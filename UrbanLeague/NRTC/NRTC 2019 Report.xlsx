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League\NRTC\"/>
    </mc:Choice>
  </mc:AlternateContent>
  <bookViews>
    <workbookView xWindow="0" yWindow="0" windowWidth="19200" windowHeight="7450" activeTab="2"/>
  </bookViews>
  <sheets>
    <sheet name="Qrt 3 2019" sheetId="2" r:id="rId1"/>
    <sheet name="PL Qrt 3 2019" sheetId="5" r:id="rId2"/>
    <sheet name="Qrt 4 2019" sheetId="6" r:id="rId3"/>
    <sheet name="PL Qrt 4 2019" sheetId="7" r:id="rId4"/>
  </sheet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9" i="6" l="1"/>
  <c r="K19" i="6" s="1"/>
  <c r="C19" i="6"/>
  <c r="G18" i="6"/>
  <c r="K18" i="6" s="1"/>
  <c r="C18" i="6"/>
  <c r="G17" i="6"/>
  <c r="K17" i="6" s="1"/>
  <c r="C17" i="6"/>
  <c r="G16" i="6"/>
  <c r="K16" i="6" s="1"/>
  <c r="C16" i="6"/>
  <c r="C20" i="6" s="1"/>
  <c r="G12" i="6"/>
  <c r="M12" i="6" s="1"/>
  <c r="C12" i="6"/>
  <c r="G11" i="6"/>
  <c r="M11" i="6" s="1"/>
  <c r="C11" i="6"/>
  <c r="G10" i="6"/>
  <c r="C10" i="6"/>
  <c r="G9" i="6"/>
  <c r="M9" i="6" s="1"/>
  <c r="C9" i="6"/>
  <c r="I20" i="6"/>
  <c r="E20" i="6"/>
  <c r="I13" i="6"/>
  <c r="I24" i="6" s="1"/>
  <c r="C13" i="6"/>
  <c r="E13" i="6"/>
  <c r="E24" i="6" l="1"/>
  <c r="K12" i="6"/>
  <c r="C24" i="6"/>
  <c r="K20" i="6"/>
  <c r="K11" i="6"/>
  <c r="G20" i="6"/>
  <c r="K9" i="6"/>
  <c r="E10" i="2"/>
  <c r="G13" i="6" l="1"/>
  <c r="G24" i="6" s="1"/>
  <c r="M10" i="6"/>
  <c r="K10" i="6"/>
  <c r="K13" i="6" s="1"/>
  <c r="K24" i="6" s="1"/>
  <c r="G17" i="2"/>
  <c r="G16" i="2"/>
  <c r="G18" i="2"/>
  <c r="G19" i="2"/>
  <c r="G11" i="2"/>
  <c r="M11" i="2" s="1"/>
  <c r="C13" i="2"/>
  <c r="C20" i="2"/>
  <c r="G10" i="2" l="1"/>
  <c r="M10" i="2" s="1"/>
  <c r="G9" i="2"/>
  <c r="M9" i="2" s="1"/>
  <c r="C24" i="2"/>
  <c r="G12" i="2" l="1"/>
  <c r="M12" i="2" s="1"/>
  <c r="K18" i="2"/>
  <c r="K19" i="2"/>
  <c r="K10" i="2"/>
  <c r="I20" i="2" l="1"/>
  <c r="E20" i="2"/>
  <c r="K16" i="2"/>
  <c r="I13" i="2"/>
  <c r="E13" i="2"/>
  <c r="K12" i="2"/>
  <c r="K11" i="2"/>
  <c r="K9" i="2"/>
  <c r="E24" i="2" l="1"/>
  <c r="I24" i="2"/>
  <c r="G13" i="2"/>
  <c r="K13" i="2"/>
  <c r="K17" i="2" l="1"/>
  <c r="K20" i="2" s="1"/>
  <c r="K24" i="2" s="1"/>
  <c r="G20" i="2"/>
  <c r="G24" i="2" s="1"/>
</calcChain>
</file>

<file path=xl/sharedStrings.xml><?xml version="1.0" encoding="utf-8"?>
<sst xmlns="http://schemas.openxmlformats.org/spreadsheetml/2006/main" count="403" uniqueCount="197">
  <si>
    <t>Urban League of Essex County</t>
  </si>
  <si>
    <t>Current QTR</t>
  </si>
  <si>
    <t>Cummulated Expense</t>
  </si>
  <si>
    <t>Budgeted</t>
  </si>
  <si>
    <t>Remain</t>
  </si>
  <si>
    <t>Personnel: Administration</t>
  </si>
  <si>
    <t xml:space="preserve">         Sub-Total</t>
  </si>
  <si>
    <t>Sub-Total</t>
  </si>
  <si>
    <t>Grant Total</t>
  </si>
  <si>
    <t>Line #</t>
  </si>
  <si>
    <t>Economic Development- Tech House</t>
  </si>
  <si>
    <t>Neighborhood Revitalization Tax Credit Project 2019 (NRTC)</t>
  </si>
  <si>
    <t>Grant # 2019-02240-0483-00</t>
  </si>
  <si>
    <t>Admin - Computer Equip</t>
  </si>
  <si>
    <t>Program - Pre- Development Loan</t>
  </si>
  <si>
    <t>Program - Taxes, Insurance and Utilities</t>
  </si>
  <si>
    <t>Program - Exterior Renovations</t>
  </si>
  <si>
    <t>Admin - Personnel - Finance</t>
  </si>
  <si>
    <t>Program - Personnel - Tech Staff -D Sharif</t>
  </si>
  <si>
    <t>PSE&amp;G</t>
  </si>
  <si>
    <t>City of Newark/Water</t>
  </si>
  <si>
    <t>URBAN LEAGUE OF ESSEX COUNTY</t>
  </si>
  <si>
    <t>Journal Entry</t>
  </si>
  <si>
    <t xml:space="preserve">General Ledger- 335 NRTC 2019 </t>
  </si>
  <si>
    <t>335 NRTC 19</t>
  </si>
  <si>
    <t xml:space="preserve">      8606.3 Utilities</t>
  </si>
  <si>
    <t xml:space="preserve">      Total for 8606.3 Utilities</t>
  </si>
  <si>
    <t>Previous Quarter</t>
  </si>
  <si>
    <t>7200 Salaries &amp; Related Expenses</t>
  </si>
  <si>
    <t xml:space="preserve">   7220 Salaries &amp; Wages</t>
  </si>
  <si>
    <t xml:space="preserve">   Total for 7220 Salaries &amp; Wages</t>
  </si>
  <si>
    <t>Date</t>
  </si>
  <si>
    <t>Transaction Type</t>
  </si>
  <si>
    <t>Num</t>
  </si>
  <si>
    <t>Name</t>
  </si>
  <si>
    <t>Memo/Description</t>
  </si>
  <si>
    <t>Class</t>
  </si>
  <si>
    <t>Debit</t>
  </si>
  <si>
    <t>8600 Housing Development</t>
  </si>
  <si>
    <t xml:space="preserve">   8602 Rehab of Existing Facility</t>
  </si>
  <si>
    <t xml:space="preserve">   Total for 8602 Rehab of Existing Facility</t>
  </si>
  <si>
    <t>Bill</t>
  </si>
  <si>
    <t>Total for 8600 Housing Development</t>
  </si>
  <si>
    <t xml:space="preserve">   </t>
  </si>
  <si>
    <t>Admin - Fringes- Finance @15%</t>
  </si>
  <si>
    <t>Program - Fringes @ 15%</t>
  </si>
  <si>
    <t>Mark Tirondola Painting Contractor Inc</t>
  </si>
  <si>
    <t>Paid</t>
  </si>
  <si>
    <t>FSR #3</t>
  </si>
  <si>
    <t>October- December 2019</t>
  </si>
  <si>
    <t>October - December, 2019</t>
  </si>
  <si>
    <t xml:space="preserve">   Beginning Balance</t>
  </si>
  <si>
    <t>10/31/2019</t>
  </si>
  <si>
    <t>19-437</t>
  </si>
  <si>
    <t>Salary Allocation - October</t>
  </si>
  <si>
    <t>11/30/2019</t>
  </si>
  <si>
    <t>Salary Allocation - November</t>
  </si>
  <si>
    <t>12/31/2019</t>
  </si>
  <si>
    <t>Salary Allocation - December</t>
  </si>
  <si>
    <t>11/22/2019</t>
  </si>
  <si>
    <t>2nd Payment for Facade Improvements  152 Littleton Ave</t>
  </si>
  <si>
    <t>12/18/2019</t>
  </si>
  <si>
    <t>3rd Payment for Facade Improvements  152 Littleton Ave</t>
  </si>
  <si>
    <t xml:space="preserve">   8605 Holding Cost</t>
  </si>
  <si>
    <t xml:space="preserve">      8606 Property Taxes</t>
  </si>
  <si>
    <t xml:space="preserve">      Beginning Balance</t>
  </si>
  <si>
    <t xml:space="preserve">      Total for 8606 Property Taxes</t>
  </si>
  <si>
    <t xml:space="preserve">      </t>
  </si>
  <si>
    <t xml:space="preserve">      8606.1 Property Insurance</t>
  </si>
  <si>
    <t xml:space="preserve">      Total for 8606.1 Property Insurance</t>
  </si>
  <si>
    <t>10/17/2019</t>
  </si>
  <si>
    <t>Holding Costs: Water 152 Littleton Ave. Oct  2019</t>
  </si>
  <si>
    <t>11/15/2019</t>
  </si>
  <si>
    <t>600506294993</t>
  </si>
  <si>
    <t>152 Littleton Ave. Acct # 73 766 329 05 Utilities 10/16/19 - 11/13/19</t>
  </si>
  <si>
    <t>11/19/2019</t>
  </si>
  <si>
    <t>Holding Costs: Water 152 Littleton Ave. Nov  2019</t>
  </si>
  <si>
    <t>12/16/2019</t>
  </si>
  <si>
    <t>Holding Costs: Water 152 Littleton Ave. Dec  2019</t>
  </si>
  <si>
    <t>600306373110</t>
  </si>
  <si>
    <t>152 Littleton Ave. Acct # 73 766 329 05 Utilities 11/14/19 - 12/16/19</t>
  </si>
  <si>
    <t xml:space="preserve">      8606.6 Water</t>
  </si>
  <si>
    <t xml:space="preserve">      Total for 8606.6 Water</t>
  </si>
  <si>
    <t xml:space="preserve">   Total for 8605 Holding Cost</t>
  </si>
  <si>
    <t>Tuesday, Jan 14, 2020 10:33:13 AM GMT-8</t>
  </si>
  <si>
    <t>check Info</t>
  </si>
  <si>
    <t>Profit and Loss Detail</t>
  </si>
  <si>
    <t>Location</t>
  </si>
  <si>
    <t>Split</t>
  </si>
  <si>
    <t>Amount</t>
  </si>
  <si>
    <t>Balance</t>
  </si>
  <si>
    <t>Ordinary Income/Expenses</t>
  </si>
  <si>
    <t xml:space="preserve">   Income</t>
  </si>
  <si>
    <t>-Split-</t>
  </si>
  <si>
    <t xml:space="preserve">      4500 Revenue from Government Grants</t>
  </si>
  <si>
    <t xml:space="preserve">         4530 State Grants</t>
  </si>
  <si>
    <t>Invoice</t>
  </si>
  <si>
    <t>1100 Accounts/ Contributions Receivable</t>
  </si>
  <si>
    <t xml:space="preserve">         Total for 4530 State Grants</t>
  </si>
  <si>
    <t>Local Initiatives Support Corp.</t>
  </si>
  <si>
    <t xml:space="preserve">   Total for Income</t>
  </si>
  <si>
    <t xml:space="preserve">   Expenses</t>
  </si>
  <si>
    <t>2000 Accounts Payable</t>
  </si>
  <si>
    <t xml:space="preserve">      7200 Salaries &amp; Related Expenses</t>
  </si>
  <si>
    <t xml:space="preserve">         7240 Employee Benefits</t>
  </si>
  <si>
    <t xml:space="preserve">            7244 Employee Contrib - Health</t>
  </si>
  <si>
    <t>Employee Medical Contrib</t>
  </si>
  <si>
    <t xml:space="preserve">            Total for 7244 Employee Contrib - Health</t>
  </si>
  <si>
    <t xml:space="preserve">            7247 Emp-ee Contrib -Dental</t>
  </si>
  <si>
    <t>Employee Dental Contrib</t>
  </si>
  <si>
    <t xml:space="preserve">            Total for 7247 Emp-ee Contrib -Dental</t>
  </si>
  <si>
    <t xml:space="preserve">         Total for 7240 Employee Benefits</t>
  </si>
  <si>
    <t xml:space="preserve">      Total for 7200 Salaries &amp; Related Expenses</t>
  </si>
  <si>
    <t xml:space="preserve">      7500 Contract Service Expenses</t>
  </si>
  <si>
    <t>Expense</t>
  </si>
  <si>
    <t xml:space="preserve">         7560 Professional fees - other</t>
  </si>
  <si>
    <t xml:space="preserve">         Total for 7560 Professional fees - other</t>
  </si>
  <si>
    <t xml:space="preserve">      Total for 7500 Contract Service Expenses</t>
  </si>
  <si>
    <t>2150 Credit Cards:Visa Card-8978</t>
  </si>
  <si>
    <t xml:space="preserve">      8500 Other Expenses</t>
  </si>
  <si>
    <t xml:space="preserve">         8580 Licenses &amp; Fees</t>
  </si>
  <si>
    <t xml:space="preserve">         Total for 8580 Licenses &amp; Fees</t>
  </si>
  <si>
    <t xml:space="preserve">      8600 Housing Development</t>
  </si>
  <si>
    <t>05 NRTC 18:231 Fairmount Ave</t>
  </si>
  <si>
    <t>05 NRTC 18:204 S. 6th St</t>
  </si>
  <si>
    <t>334 NRTC 2018 Grant</t>
  </si>
  <si>
    <t>06 NRTC 16:513 Central Ave</t>
  </si>
  <si>
    <t xml:space="preserve">         8605 Holding Cost</t>
  </si>
  <si>
    <t xml:space="preserve">            8606 Property Taxes</t>
  </si>
  <si>
    <t>City of Newark.</t>
  </si>
  <si>
    <t xml:space="preserve">            Total for 8606 Property Taxes</t>
  </si>
  <si>
    <t xml:space="preserve">            8606.2 Repairs</t>
  </si>
  <si>
    <t>04 ULEC Projects:479 So 14th St</t>
  </si>
  <si>
    <t xml:space="preserve">            Total for 8606.2 Repairs</t>
  </si>
  <si>
    <t xml:space="preserve">            8606.3 Utilities</t>
  </si>
  <si>
    <t>05 NRTC 18:231 Fairmount Ave1</t>
  </si>
  <si>
    <t xml:space="preserve">            Total for 8606.3 Utilities</t>
  </si>
  <si>
    <t xml:space="preserve">            8606.4 Interest Exp</t>
  </si>
  <si>
    <t xml:space="preserve">            Total for 8606.4 Interest Exp</t>
  </si>
  <si>
    <t xml:space="preserve">            8606.6 Water</t>
  </si>
  <si>
    <t xml:space="preserve">            Total for 8606.6 Water</t>
  </si>
  <si>
    <t xml:space="preserve">         Total for 8605 Holding Cost</t>
  </si>
  <si>
    <t xml:space="preserve">      Total for 8600 Housing Development</t>
  </si>
  <si>
    <t xml:space="preserve">   Total for Expenses</t>
  </si>
  <si>
    <t>Net Income</t>
  </si>
  <si>
    <t>10/24/2019</t>
  </si>
  <si>
    <t>Grants/Contracts:NRTC:State of NJ NRTC - 2018</t>
  </si>
  <si>
    <t>To record receivable from January 2018 - Sept Invoice 2018</t>
  </si>
  <si>
    <t xml:space="preserve">      Total for 4500 Revenue from Government Grants</t>
  </si>
  <si>
    <t>10/10/2019</t>
  </si>
  <si>
    <t>2019132030481</t>
  </si>
  <si>
    <t>Passaic Valley Sewerage Commission</t>
  </si>
  <si>
    <t>Construction Costs: Sewer Application Fees/Permit 231 Fairmount Ave</t>
  </si>
  <si>
    <t xml:space="preserve">      Total for 8500 Other Expenses</t>
  </si>
  <si>
    <t xml:space="preserve">            8606.1 Property Insurance</t>
  </si>
  <si>
    <t>CP 164 3606B</t>
  </si>
  <si>
    <t>Massey Insurance Agency</t>
  </si>
  <si>
    <t>Property &amp; Liability Insurance - 6 mos Premium October 2019 - July 2020 - 204 South 6th Street</t>
  </si>
  <si>
    <t xml:space="preserve">            Total for 8606.1 Property Insurance</t>
  </si>
  <si>
    <t>10/09/2019</t>
  </si>
  <si>
    <t>10.09.19PP</t>
  </si>
  <si>
    <t>Petty Cash</t>
  </si>
  <si>
    <t>Cleanup Lots on Fairmount Ave.</t>
  </si>
  <si>
    <t>Water Expense 231 Fairmount Ave. Sept 2019</t>
  </si>
  <si>
    <t>10/01/2019</t>
  </si>
  <si>
    <t>10.01.19_231</t>
  </si>
  <si>
    <t>Construction Loan Interest  Oct 2019 231 Fairmount Ave</t>
  </si>
  <si>
    <t>10.01.19_204</t>
  </si>
  <si>
    <t>Construction Loan Interest Oct 2019 204 S 6th Street</t>
  </si>
  <si>
    <t>19-113</t>
  </si>
  <si>
    <t>To reconcile balance to statement</t>
  </si>
  <si>
    <t>City of Newark Water: 204 S 6th Street  Sept  2019</t>
  </si>
  <si>
    <t>11/25/2019</t>
  </si>
  <si>
    <t>AIA PRODUCTS / DUES</t>
  </si>
  <si>
    <t>11/01/2019</t>
  </si>
  <si>
    <t>103962_2019Q4</t>
  </si>
  <si>
    <t>231 Fairmount Ave - 2019 Q4 R.E Taxes</t>
  </si>
  <si>
    <t>11/06/2019</t>
  </si>
  <si>
    <t>Water Expense 231 Fairmount Ave. Oct  2019</t>
  </si>
  <si>
    <t>603805565118</t>
  </si>
  <si>
    <t>Electric Charges - 204 S. 6th St - 09/17/19 - 10/15/19</t>
  </si>
  <si>
    <t>600906220639</t>
  </si>
  <si>
    <t>Acct #73 484 776 07 231 Fairmount Ave  09/17/19 - 10/17/19</t>
  </si>
  <si>
    <t>12/05/2019</t>
  </si>
  <si>
    <t>Water Expense 231 Fairmount Ave. Nov  2019</t>
  </si>
  <si>
    <t>605105022972</t>
  </si>
  <si>
    <t>Acct #73 484 776 07 231 Fairmount Ave  10/16/19 - 11/13/19</t>
  </si>
  <si>
    <t>Water Expense 479 S 14th St. Nov  2019</t>
  </si>
  <si>
    <t>603006591409</t>
  </si>
  <si>
    <t>Electric Charges - 204 S. 6th St - 10/16/19 - 11/13/19</t>
  </si>
  <si>
    <t>11.01.19_13410</t>
  </si>
  <si>
    <t>Construction Loan Interest             231 Fairmount Ave</t>
  </si>
  <si>
    <t>11.01.19_13411</t>
  </si>
  <si>
    <t>Construction Loan Interest                204 S 6th Street</t>
  </si>
  <si>
    <t>City of Newark Water: 204 S 6th St  Oct  2019</t>
  </si>
  <si>
    <t>City of Newark Water: 204 S 6th St  Nov 2019</t>
  </si>
  <si>
    <t>Sunday, Feb 16, 2020 09:57:49 AM GMT-8 - Cash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</si>
</sst>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.00\ _€"/>
    <numFmt numFmtId="166" formatCode="&quot;$&quot;* #,##0.00\ _€"/>
  </numFmts>
  <fonts count="1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u val="singleAccounting"/>
      <sz val="11"/>
      <color indexed="8"/>
      <name val="Calibri"/>
      <family val="2"/>
      <scheme val="minor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2">
    <xf numFmtId="0" fontId="0" fillId="0" borderId="0" xfId="0"/>
    <xf numFmtId="43" fontId="0" fillId="0" borderId="0" xfId="1" applyFont="1"/>
    <xf numFmtId="43" fontId="4" fillId="0" borderId="0" xfId="1" applyFont="1" applyAlignment="1">
      <alignment horizontal="center"/>
    </xf>
    <xf numFmtId="43" fontId="4" fillId="0" borderId="0" xfId="1" applyFont="1" applyBorder="1" applyAlignment="1">
      <alignment horizontal="center"/>
    </xf>
    <xf numFmtId="43" fontId="0" fillId="0" borderId="0" xfId="1" applyFont="1" applyBorder="1"/>
    <xf numFmtId="43" fontId="4" fillId="0" borderId="0" xfId="1" applyFont="1"/>
    <xf numFmtId="43" fontId="5" fillId="0" borderId="0" xfId="1" applyFont="1" applyBorder="1"/>
    <xf numFmtId="43" fontId="6" fillId="0" borderId="0" xfId="3" applyFont="1" applyFill="1"/>
    <xf numFmtId="43" fontId="5" fillId="0" borderId="0" xfId="1" applyFont="1" applyFill="1" applyBorder="1"/>
    <xf numFmtId="43" fontId="0" fillId="0" borderId="0" xfId="1" applyFont="1" applyAlignment="1">
      <alignment horizontal="right"/>
    </xf>
    <xf numFmtId="43" fontId="7" fillId="0" borderId="1" xfId="1" applyFont="1" applyFill="1" applyBorder="1"/>
    <xf numFmtId="43" fontId="0" fillId="0" borderId="1" xfId="1" applyFont="1" applyBorder="1"/>
    <xf numFmtId="43" fontId="2" fillId="0" borderId="0" xfId="1" applyFont="1"/>
    <xf numFmtId="43" fontId="0" fillId="0" borderId="0" xfId="1" applyFont="1" applyFill="1"/>
    <xf numFmtId="44" fontId="4" fillId="0" borderId="0" xfId="2" applyFont="1" applyBorder="1"/>
    <xf numFmtId="44" fontId="7" fillId="0" borderId="2" xfId="2" applyFont="1" applyFill="1" applyBorder="1"/>
    <xf numFmtId="43" fontId="8" fillId="0" borderId="0" xfId="1" applyFont="1" applyAlignment="1">
      <alignment horizontal="center"/>
    </xf>
    <xf numFmtId="43" fontId="8" fillId="0" borderId="0" xfId="1" applyFont="1" applyBorder="1" applyAlignment="1">
      <alignment horizontal="center"/>
    </xf>
    <xf numFmtId="164" fontId="0" fillId="0" borderId="0" xfId="1" applyNumberFormat="1" applyFont="1" applyAlignment="1"/>
    <xf numFmtId="43" fontId="1" fillId="0" borderId="0" xfId="1" applyFont="1"/>
    <xf numFmtId="43" fontId="4" fillId="0" borderId="0" xfId="1" applyFont="1" applyAlignment="1">
      <alignment horizontal="center"/>
    </xf>
    <xf numFmtId="43" fontId="0" fillId="0" borderId="0" xfId="1" applyFont="1" applyFill="1" applyBorder="1"/>
    <xf numFmtId="0" fontId="11" fillId="0" borderId="4" xfId="0" applyFont="1" applyBorder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165" fontId="13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wrapText="1"/>
    </xf>
    <xf numFmtId="166" fontId="12" fillId="0" borderId="3" xfId="0" applyNumberFormat="1" applyFont="1" applyBorder="1" applyAlignment="1">
      <alignment horizontal="right" wrapText="1"/>
    </xf>
    <xf numFmtId="0" fontId="0" fillId="0" borderId="0" xfId="0"/>
    <xf numFmtId="43" fontId="0" fillId="2" borderId="0" xfId="1" applyFont="1" applyFill="1" applyBorder="1"/>
    <xf numFmtId="43" fontId="5" fillId="2" borderId="0" xfId="1" applyFont="1" applyFill="1" applyBorder="1"/>
    <xf numFmtId="43" fontId="7" fillId="2" borderId="1" xfId="1" applyFont="1" applyFill="1" applyBorder="1"/>
    <xf numFmtId="44" fontId="7" fillId="2" borderId="2" xfId="2" applyFont="1" applyFill="1" applyBorder="1"/>
    <xf numFmtId="166" fontId="12" fillId="3" borderId="3" xfId="0" applyNumberFormat="1" applyFont="1" applyFill="1" applyBorder="1" applyAlignment="1">
      <alignment horizontal="right" wrapText="1"/>
    </xf>
    <xf numFmtId="0" fontId="13" fillId="4" borderId="5" xfId="0" applyFont="1" applyFill="1" applyBorder="1" applyAlignment="1">
      <alignment horizontal="right" wrapText="1"/>
    </xf>
    <xf numFmtId="43" fontId="4" fillId="0" borderId="0" xfId="1" applyFont="1" applyAlignment="1">
      <alignment horizontal="center"/>
    </xf>
    <xf numFmtId="0" fontId="0" fillId="0" borderId="0" xfId="0"/>
    <xf numFmtId="0" fontId="16" fillId="0" borderId="4" xfId="0" applyFont="1" applyBorder="1" applyAlignment="1">
      <alignment horizontal="center"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18" fillId="0" borderId="0" xfId="0" quotePrefix="1" applyFont="1" applyAlignment="1">
      <alignment horizontal="left" wrapText="1"/>
    </xf>
    <xf numFmtId="165" fontId="18" fillId="0" borderId="0" xfId="0" applyNumberFormat="1" applyFont="1" applyAlignment="1">
      <alignment horizontal="right" wrapText="1"/>
    </xf>
    <xf numFmtId="166" fontId="17" fillId="0" borderId="3" xfId="0" applyNumberFormat="1" applyFont="1" applyBorder="1" applyAlignment="1">
      <alignment horizontal="right" wrapText="1"/>
    </xf>
    <xf numFmtId="7" fontId="5" fillId="2" borderId="0" xfId="1" applyNumberFormat="1" applyFont="1" applyFill="1" applyBorder="1"/>
    <xf numFmtId="43" fontId="4" fillId="0" borderId="0" xfId="1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center"/>
    </xf>
  </cellXfs>
  <cellStyles count="4">
    <cellStyle name="Comma" xfId="1" builtinId="3"/>
    <cellStyle name="Comma 2" xf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P27"/>
  <sheetViews>
    <sheetView workbookViewId="0">
      <selection activeCell="E10" sqref="E10"/>
    </sheetView>
  </sheetViews>
  <sheetFormatPr defaultColWidth="9.1796875" defaultRowHeight="14.5" x14ac:dyDescent="0.35"/>
  <cols>
    <col min="1" max="1" width="7.1796875" style="18" customWidth="1"/>
    <col min="2" max="2" width="37.453125" style="1" bestFit="1" customWidth="1"/>
    <col min="3" max="3" width="21.1796875" style="1" customWidth="1"/>
    <col min="4" max="4" width="2" style="1" customWidth="1"/>
    <col min="5" max="5" width="20.1796875" style="4" customWidth="1"/>
    <col min="6" max="6" width="2.81640625" style="4" customWidth="1"/>
    <col min="7" max="7" width="22.1796875" style="4" bestFit="1" customWidth="1"/>
    <col min="8" max="8" width="5.453125" style="4" customWidth="1"/>
    <col min="9" max="9" width="20.54296875" style="1" customWidth="1"/>
    <col min="10" max="10" width="2.26953125" style="4" customWidth="1"/>
    <col min="11" max="11" width="18" style="1" customWidth="1"/>
    <col min="12" max="12" width="63.54296875" style="1" bestFit="1" customWidth="1"/>
    <col min="13" max="13" width="11.54296875" style="1" bestFit="1" customWidth="1"/>
    <col min="14" max="14" width="15.26953125" style="1" customWidth="1"/>
    <col min="15" max="15" width="15.1796875" style="1" customWidth="1"/>
    <col min="16" max="16" width="14.1796875" style="1" customWidth="1"/>
    <col min="17" max="17" width="11.7265625" style="1" customWidth="1"/>
    <col min="18" max="16384" width="9.1796875" style="1"/>
  </cols>
  <sheetData>
    <row r="1" spans="1:16" x14ac:dyDescent="0.35"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6" x14ac:dyDescent="0.35">
      <c r="B2" s="44" t="s">
        <v>11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6" x14ac:dyDescent="0.35">
      <c r="B3" s="44" t="s">
        <v>12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6" x14ac:dyDescent="0.35">
      <c r="B4" s="44" t="s">
        <v>49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6" x14ac:dyDescent="0.35">
      <c r="B5" s="2"/>
      <c r="C5" s="20"/>
      <c r="D5" s="20"/>
      <c r="E5" s="3"/>
      <c r="F5" s="3"/>
      <c r="G5" s="3"/>
      <c r="H5" s="3"/>
      <c r="I5" s="2"/>
      <c r="J5" s="3"/>
      <c r="K5" s="2"/>
      <c r="L5" s="2"/>
      <c r="M5" s="2"/>
    </row>
    <row r="6" spans="1:16" ht="16" x14ac:dyDescent="0.5">
      <c r="C6" s="1" t="s">
        <v>27</v>
      </c>
      <c r="E6" s="29" t="s">
        <v>1</v>
      </c>
      <c r="G6" s="4" t="s">
        <v>2</v>
      </c>
      <c r="I6" s="16" t="s">
        <v>3</v>
      </c>
      <c r="J6" s="17"/>
      <c r="K6" s="16" t="s">
        <v>4</v>
      </c>
      <c r="M6" s="13"/>
      <c r="N6" s="13"/>
      <c r="O6" s="13"/>
      <c r="P6" s="13"/>
    </row>
    <row r="7" spans="1:16" x14ac:dyDescent="0.35">
      <c r="E7" s="29"/>
      <c r="M7" s="13"/>
      <c r="N7" s="13"/>
      <c r="O7" s="13"/>
      <c r="P7" s="13"/>
    </row>
    <row r="8" spans="1:16" x14ac:dyDescent="0.35">
      <c r="A8" s="18" t="s">
        <v>9</v>
      </c>
      <c r="B8" s="5" t="s">
        <v>5</v>
      </c>
      <c r="C8" s="6"/>
      <c r="D8" s="6"/>
      <c r="E8" s="30"/>
      <c r="M8" s="13"/>
      <c r="N8" s="13"/>
      <c r="O8" s="13"/>
      <c r="P8" s="13"/>
    </row>
    <row r="9" spans="1:16" x14ac:dyDescent="0.35">
      <c r="A9" s="18">
        <v>1</v>
      </c>
      <c r="B9" s="7" t="s">
        <v>17</v>
      </c>
      <c r="C9" s="6">
        <v>6346.13</v>
      </c>
      <c r="D9" s="6"/>
      <c r="E9" s="30">
        <v>2961.15</v>
      </c>
      <c r="G9" s="4">
        <f>C9+E9</f>
        <v>9307.2800000000007</v>
      </c>
      <c r="I9" s="1">
        <v>10000</v>
      </c>
      <c r="K9" s="1">
        <f t="shared" ref="K9:K12" si="0">+I9-G9</f>
        <v>692.71999999999935</v>
      </c>
      <c r="M9" s="13">
        <f t="shared" ref="M9:M12" si="1">G9/I9</f>
        <v>0.93072800000000011</v>
      </c>
      <c r="N9" s="13"/>
      <c r="O9" s="13"/>
      <c r="P9" s="13"/>
    </row>
    <row r="10" spans="1:16" x14ac:dyDescent="0.35">
      <c r="B10" s="7" t="s">
        <v>44</v>
      </c>
      <c r="C10" s="6">
        <v>951.92</v>
      </c>
      <c r="D10" s="6"/>
      <c r="E10" s="30">
        <f>E9*0.15</f>
        <v>444.17250000000001</v>
      </c>
      <c r="G10" s="4">
        <f t="shared" ref="G10:G12" si="2">C10+E10</f>
        <v>1396.0925</v>
      </c>
      <c r="I10" s="1">
        <v>2500</v>
      </c>
      <c r="K10" s="1">
        <f t="shared" si="0"/>
        <v>1103.9075</v>
      </c>
      <c r="M10" s="13">
        <f t="shared" si="1"/>
        <v>0.55843699999999996</v>
      </c>
      <c r="N10" s="13"/>
      <c r="O10" s="13"/>
      <c r="P10" s="13"/>
    </row>
    <row r="11" spans="1:16" x14ac:dyDescent="0.35">
      <c r="A11" s="18">
        <v>2</v>
      </c>
      <c r="B11" s="7" t="s">
        <v>18</v>
      </c>
      <c r="C11" s="8"/>
      <c r="D11" s="8"/>
      <c r="E11" s="30"/>
      <c r="F11" s="21"/>
      <c r="G11" s="21">
        <f t="shared" si="2"/>
        <v>0</v>
      </c>
      <c r="I11" s="1">
        <v>23398.75</v>
      </c>
      <c r="K11" s="1">
        <f t="shared" si="0"/>
        <v>23398.75</v>
      </c>
      <c r="M11" s="13">
        <f>G11/I11</f>
        <v>0</v>
      </c>
      <c r="N11" s="13"/>
      <c r="O11" s="13"/>
      <c r="P11" s="13"/>
    </row>
    <row r="12" spans="1:16" x14ac:dyDescent="0.35">
      <c r="B12" s="7" t="s">
        <v>45</v>
      </c>
      <c r="C12" s="8"/>
      <c r="D12" s="8"/>
      <c r="E12" s="30"/>
      <c r="F12" s="21"/>
      <c r="G12" s="21">
        <f t="shared" si="2"/>
        <v>0</v>
      </c>
      <c r="I12" s="4">
        <v>5312.5</v>
      </c>
      <c r="K12" s="1">
        <f t="shared" si="0"/>
        <v>5312.5</v>
      </c>
      <c r="M12" s="13">
        <f t="shared" si="1"/>
        <v>0</v>
      </c>
      <c r="N12" s="13"/>
      <c r="O12" s="13"/>
      <c r="P12" s="13"/>
    </row>
    <row r="13" spans="1:16" x14ac:dyDescent="0.35">
      <c r="B13" s="9" t="s">
        <v>6</v>
      </c>
      <c r="C13" s="10">
        <f>SUM(C9:C12)</f>
        <v>7298.05</v>
      </c>
      <c r="D13" s="10"/>
      <c r="E13" s="31">
        <f>SUM(E9:E12)</f>
        <v>3405.3225000000002</v>
      </c>
      <c r="G13" s="11">
        <f>SUM(G9:G12)</f>
        <v>10703.372500000001</v>
      </c>
      <c r="I13" s="11">
        <f>SUM(I9:I12)</f>
        <v>41211.25</v>
      </c>
      <c r="K13" s="11">
        <f>SUM(K9:K12)</f>
        <v>30507.877499999999</v>
      </c>
      <c r="M13" s="13"/>
      <c r="N13" s="13"/>
      <c r="O13" s="13"/>
      <c r="P13" s="13"/>
    </row>
    <row r="14" spans="1:16" x14ac:dyDescent="0.35">
      <c r="B14" s="12"/>
      <c r="C14" s="8"/>
      <c r="D14" s="8"/>
      <c r="E14" s="30"/>
      <c r="I14" s="4"/>
      <c r="M14" s="13"/>
      <c r="N14" s="13"/>
      <c r="O14" s="13"/>
      <c r="P14" s="13"/>
    </row>
    <row r="15" spans="1:16" x14ac:dyDescent="0.35">
      <c r="B15" s="5" t="s">
        <v>10</v>
      </c>
      <c r="C15" s="8"/>
      <c r="D15" s="8"/>
      <c r="E15" s="30"/>
      <c r="I15" s="4"/>
      <c r="M15" s="13"/>
      <c r="N15" s="13"/>
      <c r="O15" s="13"/>
      <c r="P15" s="13"/>
    </row>
    <row r="16" spans="1:16" x14ac:dyDescent="0.35">
      <c r="A16" s="18">
        <v>3</v>
      </c>
      <c r="B16" s="1" t="s">
        <v>13</v>
      </c>
      <c r="C16" s="8"/>
      <c r="D16" s="8"/>
      <c r="E16" s="30"/>
      <c r="G16" s="4">
        <f t="shared" ref="G16:G19" si="3">C16+E16</f>
        <v>0</v>
      </c>
      <c r="I16" s="4">
        <v>28298.75</v>
      </c>
      <c r="K16" s="1">
        <f>+I16-G16</f>
        <v>28298.75</v>
      </c>
      <c r="M16" s="13"/>
      <c r="N16" s="13"/>
      <c r="O16" s="13"/>
      <c r="P16" s="13"/>
    </row>
    <row r="17" spans="1:16" x14ac:dyDescent="0.35">
      <c r="A17" s="18">
        <v>4</v>
      </c>
      <c r="B17" s="1" t="s">
        <v>14</v>
      </c>
      <c r="C17" s="8">
        <v>111026</v>
      </c>
      <c r="D17" s="8"/>
      <c r="E17" s="30">
        <v>0</v>
      </c>
      <c r="G17" s="4">
        <f t="shared" si="3"/>
        <v>111026</v>
      </c>
      <c r="I17" s="4">
        <v>111026</v>
      </c>
      <c r="K17" s="1">
        <f t="shared" ref="K17:K19" si="4">+I17-G17</f>
        <v>0</v>
      </c>
      <c r="M17" s="13"/>
      <c r="N17" s="13"/>
      <c r="O17" s="13"/>
      <c r="P17" s="13"/>
    </row>
    <row r="18" spans="1:16" x14ac:dyDescent="0.35">
      <c r="B18" s="1" t="s">
        <v>15</v>
      </c>
      <c r="C18" s="8">
        <v>8220.1</v>
      </c>
      <c r="D18" s="8"/>
      <c r="E18" s="30">
        <v>610.4</v>
      </c>
      <c r="G18" s="4">
        <f t="shared" si="3"/>
        <v>8830.5</v>
      </c>
      <c r="I18" s="4">
        <v>10700</v>
      </c>
      <c r="K18" s="1">
        <f t="shared" si="4"/>
        <v>1869.5</v>
      </c>
      <c r="M18" s="13"/>
      <c r="N18" s="8"/>
      <c r="O18" s="13"/>
      <c r="P18" s="13"/>
    </row>
    <row r="19" spans="1:16" x14ac:dyDescent="0.35">
      <c r="A19" s="18">
        <v>5</v>
      </c>
      <c r="B19" s="19" t="s">
        <v>16</v>
      </c>
      <c r="C19" s="8">
        <v>7792.5</v>
      </c>
      <c r="D19" s="8"/>
      <c r="E19" s="30">
        <v>13000.22</v>
      </c>
      <c r="G19" s="4">
        <f t="shared" si="3"/>
        <v>20792.72</v>
      </c>
      <c r="I19" s="4">
        <v>58764</v>
      </c>
      <c r="K19" s="1">
        <f t="shared" si="4"/>
        <v>37971.279999999999</v>
      </c>
      <c r="L19" s="4"/>
      <c r="M19" s="13"/>
      <c r="N19" s="8"/>
      <c r="O19" s="13"/>
      <c r="P19" s="13"/>
    </row>
    <row r="20" spans="1:16" x14ac:dyDescent="0.35">
      <c r="B20" s="9" t="s">
        <v>7</v>
      </c>
      <c r="C20" s="10">
        <f>SUM(C16:C19)</f>
        <v>127038.6</v>
      </c>
      <c r="D20" s="10"/>
      <c r="E20" s="31">
        <f>SUM(E16:E19)</f>
        <v>13610.619999999999</v>
      </c>
      <c r="G20" s="11">
        <f>SUM(G16:G19)</f>
        <v>140649.22</v>
      </c>
      <c r="I20" s="11">
        <f>SUM(I16:I19)</f>
        <v>208788.75</v>
      </c>
      <c r="K20" s="11">
        <f>SUM(K16:K19)</f>
        <v>68139.53</v>
      </c>
      <c r="M20" s="13"/>
      <c r="N20" s="13"/>
      <c r="O20" s="13"/>
      <c r="P20" s="13"/>
    </row>
    <row r="21" spans="1:16" x14ac:dyDescent="0.35">
      <c r="B21" s="9"/>
      <c r="C21" s="8"/>
      <c r="D21" s="8"/>
      <c r="E21" s="30"/>
      <c r="M21" s="13"/>
      <c r="N21" s="13"/>
      <c r="O21" s="13"/>
      <c r="P21" s="13"/>
    </row>
    <row r="22" spans="1:16" x14ac:dyDescent="0.35">
      <c r="C22" s="8"/>
      <c r="D22" s="8"/>
      <c r="E22" s="30"/>
      <c r="M22" s="13"/>
      <c r="N22" s="13"/>
      <c r="O22" s="13"/>
      <c r="P22" s="13"/>
    </row>
    <row r="23" spans="1:16" x14ac:dyDescent="0.35">
      <c r="C23" s="8"/>
      <c r="D23" s="8"/>
      <c r="E23" s="30"/>
      <c r="M23" s="13"/>
      <c r="N23" s="13"/>
      <c r="O23" s="13"/>
      <c r="P23" s="13"/>
    </row>
    <row r="24" spans="1:16" ht="15" thickBot="1" x14ac:dyDescent="0.4">
      <c r="B24" s="1" t="s">
        <v>8</v>
      </c>
      <c r="C24" s="15">
        <f>C13+C20</f>
        <v>134336.65</v>
      </c>
      <c r="D24" s="15"/>
      <c r="E24" s="32">
        <f>E13+E20</f>
        <v>17015.942499999997</v>
      </c>
      <c r="F24" s="14"/>
      <c r="G24" s="15">
        <f>G13+G20</f>
        <v>151352.5925</v>
      </c>
      <c r="H24" s="14"/>
      <c r="I24" s="15">
        <f>I13+I20</f>
        <v>250000</v>
      </c>
      <c r="J24" s="14"/>
      <c r="K24" s="15">
        <f>K13+K20</f>
        <v>98647.407500000001</v>
      </c>
      <c r="M24" s="13"/>
      <c r="N24" s="13"/>
      <c r="O24" s="13"/>
      <c r="P24" s="13"/>
    </row>
    <row r="25" spans="1:16" ht="15" thickTop="1" x14ac:dyDescent="0.35">
      <c r="E25" s="8"/>
      <c r="M25" s="13"/>
      <c r="N25" s="13"/>
      <c r="O25" s="13"/>
      <c r="P25" s="13"/>
    </row>
    <row r="26" spans="1:16" x14ac:dyDescent="0.35">
      <c r="C26" s="1" t="s">
        <v>48</v>
      </c>
      <c r="E26" s="8" t="s">
        <v>47</v>
      </c>
      <c r="M26" s="13"/>
      <c r="N26" s="13"/>
      <c r="O26" s="13"/>
      <c r="P26" s="13"/>
    </row>
    <row r="27" spans="1:16" x14ac:dyDescent="0.35">
      <c r="M27" s="13"/>
      <c r="N27" s="13"/>
      <c r="O27" s="13"/>
      <c r="P27" s="13"/>
    </row>
  </sheetData>
  <mergeCells count="4">
    <mergeCell ref="B1:M1"/>
    <mergeCell ref="B2:M2"/>
    <mergeCell ref="B4:M4"/>
    <mergeCell ref="B3:M3"/>
  </mergeCells>
  <pageMargins left="0.7" right="0.7" top="0.75" bottom="0.75" header="0.3" footer="0.3"/>
  <pageSetup paperSize="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I41"/>
  <sheetViews>
    <sheetView topLeftCell="A11" workbookViewId="0">
      <selection activeCell="L34" sqref="L34"/>
    </sheetView>
  </sheetViews>
  <sheetFormatPr defaultColWidth="9.1796875" defaultRowHeight="14.5" x14ac:dyDescent="0.35"/>
  <cols>
    <col min="1" max="1" width="49" style="28" customWidth="1"/>
    <col min="2" max="2" width="23.1796875" style="28" customWidth="1"/>
    <col min="3" max="3" width="12" style="28" customWidth="1"/>
    <col min="4" max="4" width="11.1796875" style="28" customWidth="1"/>
    <col min="5" max="5" width="33.54296875" style="28" customWidth="1"/>
    <col min="6" max="6" width="60.1796875" style="28" customWidth="1"/>
    <col min="7" max="9" width="10.26953125" style="28" customWidth="1"/>
    <col min="10" max="16384" width="9.1796875" style="28"/>
  </cols>
  <sheetData>
    <row r="1" spans="1:9" ht="18" x14ac:dyDescent="0.4">
      <c r="A1" s="47" t="s">
        <v>21</v>
      </c>
      <c r="B1" s="46"/>
      <c r="C1" s="46"/>
      <c r="D1" s="46"/>
      <c r="E1" s="46"/>
      <c r="F1" s="46"/>
      <c r="G1" s="46"/>
      <c r="H1" s="46"/>
      <c r="I1" s="46"/>
    </row>
    <row r="2" spans="1:9" ht="18" x14ac:dyDescent="0.4">
      <c r="A2" s="47" t="s">
        <v>23</v>
      </c>
      <c r="B2" s="46"/>
      <c r="C2" s="46"/>
      <c r="D2" s="46"/>
      <c r="E2" s="46"/>
      <c r="F2" s="46"/>
      <c r="G2" s="46"/>
      <c r="H2" s="46"/>
      <c r="I2" s="46"/>
    </row>
    <row r="3" spans="1:9" x14ac:dyDescent="0.35">
      <c r="A3" s="48" t="s">
        <v>50</v>
      </c>
      <c r="B3" s="46"/>
      <c r="C3" s="46"/>
      <c r="D3" s="46"/>
      <c r="E3" s="46"/>
      <c r="F3" s="46"/>
      <c r="G3" s="46"/>
      <c r="H3" s="46"/>
      <c r="I3" s="46"/>
    </row>
    <row r="5" spans="1:9" ht="24" x14ac:dyDescent="0.35">
      <c r="B5" s="22" t="s">
        <v>31</v>
      </c>
      <c r="C5" s="22" t="s">
        <v>32</v>
      </c>
      <c r="D5" s="22" t="s">
        <v>33</v>
      </c>
      <c r="E5" s="22" t="s">
        <v>34</v>
      </c>
      <c r="F5" s="22" t="s">
        <v>35</v>
      </c>
      <c r="G5" s="22" t="s">
        <v>36</v>
      </c>
      <c r="H5" s="22" t="s">
        <v>37</v>
      </c>
      <c r="I5" s="22" t="s">
        <v>85</v>
      </c>
    </row>
    <row r="6" spans="1:9" x14ac:dyDescent="0.35">
      <c r="A6" s="23" t="s">
        <v>28</v>
      </c>
    </row>
    <row r="7" spans="1:9" x14ac:dyDescent="0.35">
      <c r="A7" s="23" t="s">
        <v>29</v>
      </c>
    </row>
    <row r="8" spans="1:9" x14ac:dyDescent="0.35">
      <c r="B8" s="24" t="s">
        <v>51</v>
      </c>
    </row>
    <row r="9" spans="1:9" x14ac:dyDescent="0.35">
      <c r="B9" s="24" t="s">
        <v>52</v>
      </c>
      <c r="C9" s="24" t="s">
        <v>22</v>
      </c>
      <c r="D9" s="24" t="s">
        <v>53</v>
      </c>
      <c r="E9" s="24"/>
      <c r="F9" s="24" t="s">
        <v>54</v>
      </c>
      <c r="G9" s="24" t="s">
        <v>24</v>
      </c>
      <c r="H9" s="25">
        <v>846.15</v>
      </c>
      <c r="I9" s="26"/>
    </row>
    <row r="10" spans="1:9" x14ac:dyDescent="0.35">
      <c r="B10" s="24" t="s">
        <v>55</v>
      </c>
      <c r="C10" s="24" t="s">
        <v>22</v>
      </c>
      <c r="D10" s="24">
        <v>39</v>
      </c>
      <c r="E10" s="24"/>
      <c r="F10" s="24" t="s">
        <v>56</v>
      </c>
      <c r="G10" s="24" t="s">
        <v>24</v>
      </c>
      <c r="H10" s="25">
        <v>1269</v>
      </c>
      <c r="I10" s="26"/>
    </row>
    <row r="11" spans="1:9" x14ac:dyDescent="0.35">
      <c r="B11" s="24" t="s">
        <v>57</v>
      </c>
      <c r="C11" s="24" t="s">
        <v>22</v>
      </c>
      <c r="D11" s="24">
        <v>121</v>
      </c>
      <c r="E11" s="24"/>
      <c r="F11" s="24" t="s">
        <v>58</v>
      </c>
      <c r="G11" s="24" t="s">
        <v>24</v>
      </c>
      <c r="H11" s="25">
        <v>846</v>
      </c>
      <c r="I11" s="26"/>
    </row>
    <row r="12" spans="1:9" x14ac:dyDescent="0.35">
      <c r="A12" s="23" t="s">
        <v>30</v>
      </c>
      <c r="H12" s="33">
        <v>2961.15</v>
      </c>
      <c r="I12" s="27" t="s">
        <v>43</v>
      </c>
    </row>
    <row r="13" spans="1:9" x14ac:dyDescent="0.35">
      <c r="A13" s="23" t="s">
        <v>38</v>
      </c>
    </row>
    <row r="14" spans="1:9" x14ac:dyDescent="0.35">
      <c r="A14" s="23" t="s">
        <v>39</v>
      </c>
    </row>
    <row r="15" spans="1:9" x14ac:dyDescent="0.35">
      <c r="B15" s="24" t="s">
        <v>51</v>
      </c>
    </row>
    <row r="16" spans="1:9" x14ac:dyDescent="0.35">
      <c r="B16" s="24" t="s">
        <v>59</v>
      </c>
      <c r="C16" s="24" t="s">
        <v>41</v>
      </c>
      <c r="D16" s="24">
        <v>2</v>
      </c>
      <c r="E16" s="24" t="s">
        <v>46</v>
      </c>
      <c r="F16" s="24" t="s">
        <v>60</v>
      </c>
      <c r="G16" s="24" t="s">
        <v>24</v>
      </c>
      <c r="H16" s="25">
        <v>6000.22</v>
      </c>
      <c r="I16" s="34"/>
    </row>
    <row r="17" spans="1:9" x14ac:dyDescent="0.35">
      <c r="B17" s="24" t="s">
        <v>61</v>
      </c>
      <c r="C17" s="24" t="s">
        <v>41</v>
      </c>
      <c r="D17" s="24">
        <v>3</v>
      </c>
      <c r="E17" s="24" t="s">
        <v>46</v>
      </c>
      <c r="F17" s="24" t="s">
        <v>62</v>
      </c>
      <c r="G17" s="24" t="s">
        <v>24</v>
      </c>
      <c r="H17" s="25">
        <v>7000</v>
      </c>
      <c r="I17" s="34"/>
    </row>
    <row r="18" spans="1:9" x14ac:dyDescent="0.35">
      <c r="A18" s="23" t="s">
        <v>40</v>
      </c>
      <c r="H18" s="33">
        <v>13000.22</v>
      </c>
      <c r="I18" s="27" t="s">
        <v>43</v>
      </c>
    </row>
    <row r="19" spans="1:9" x14ac:dyDescent="0.35">
      <c r="A19" s="23" t="s">
        <v>63</v>
      </c>
    </row>
    <row r="20" spans="1:9" x14ac:dyDescent="0.35">
      <c r="A20" s="23" t="s">
        <v>64</v>
      </c>
    </row>
    <row r="21" spans="1:9" x14ac:dyDescent="0.35">
      <c r="B21" s="24" t="s">
        <v>65</v>
      </c>
    </row>
    <row r="22" spans="1:9" x14ac:dyDescent="0.35">
      <c r="A22" s="23" t="s">
        <v>66</v>
      </c>
      <c r="H22" s="27" t="s">
        <v>67</v>
      </c>
      <c r="I22" s="27" t="s">
        <v>67</v>
      </c>
    </row>
    <row r="23" spans="1:9" x14ac:dyDescent="0.35">
      <c r="A23" s="23" t="s">
        <v>68</v>
      </c>
    </row>
    <row r="24" spans="1:9" x14ac:dyDescent="0.35">
      <c r="B24" s="24" t="s">
        <v>65</v>
      </c>
    </row>
    <row r="25" spans="1:9" x14ac:dyDescent="0.35">
      <c r="A25" s="23" t="s">
        <v>69</v>
      </c>
      <c r="H25" s="27" t="s">
        <v>67</v>
      </c>
      <c r="I25" s="27" t="s">
        <v>67</v>
      </c>
    </row>
    <row r="26" spans="1:9" x14ac:dyDescent="0.35">
      <c r="A26" s="23" t="s">
        <v>25</v>
      </c>
    </row>
    <row r="27" spans="1:9" x14ac:dyDescent="0.35">
      <c r="B27" s="24" t="s">
        <v>65</v>
      </c>
    </row>
    <row r="28" spans="1:9" x14ac:dyDescent="0.35">
      <c r="B28" s="24" t="s">
        <v>70</v>
      </c>
      <c r="C28" s="24" t="s">
        <v>41</v>
      </c>
      <c r="D28" s="24">
        <v>11480180</v>
      </c>
      <c r="E28" s="24" t="s">
        <v>20</v>
      </c>
      <c r="F28" s="24" t="s">
        <v>71</v>
      </c>
      <c r="G28" s="24" t="s">
        <v>24</v>
      </c>
      <c r="H28" s="25">
        <v>78.12</v>
      </c>
      <c r="I28" s="34"/>
    </row>
    <row r="29" spans="1:9" x14ac:dyDescent="0.35">
      <c r="B29" s="24" t="s">
        <v>72</v>
      </c>
      <c r="C29" s="24" t="s">
        <v>41</v>
      </c>
      <c r="D29" s="24" t="s">
        <v>73</v>
      </c>
      <c r="E29" s="24" t="s">
        <v>19</v>
      </c>
      <c r="F29" s="24" t="s">
        <v>74</v>
      </c>
      <c r="G29" s="24" t="s">
        <v>24</v>
      </c>
      <c r="H29" s="25">
        <v>58.98</v>
      </c>
      <c r="I29" s="34"/>
    </row>
    <row r="30" spans="1:9" x14ac:dyDescent="0.35">
      <c r="B30" s="24" t="s">
        <v>75</v>
      </c>
      <c r="C30" s="24" t="s">
        <v>41</v>
      </c>
      <c r="D30" s="24">
        <v>11517227</v>
      </c>
      <c r="E30" s="24" t="s">
        <v>20</v>
      </c>
      <c r="F30" s="24" t="s">
        <v>76</v>
      </c>
      <c r="G30" s="24" t="s">
        <v>24</v>
      </c>
      <c r="H30" s="25">
        <v>78.12</v>
      </c>
      <c r="I30" s="34"/>
    </row>
    <row r="31" spans="1:9" x14ac:dyDescent="0.35">
      <c r="B31" s="24" t="s">
        <v>77</v>
      </c>
      <c r="C31" s="24" t="s">
        <v>41</v>
      </c>
      <c r="D31" s="24">
        <v>11557357</v>
      </c>
      <c r="E31" s="24" t="s">
        <v>20</v>
      </c>
      <c r="F31" s="24" t="s">
        <v>78</v>
      </c>
      <c r="G31" s="24" t="s">
        <v>24</v>
      </c>
      <c r="H31" s="25">
        <v>78.12</v>
      </c>
      <c r="I31" s="34"/>
    </row>
    <row r="32" spans="1:9" x14ac:dyDescent="0.35">
      <c r="B32" s="24" t="s">
        <v>61</v>
      </c>
      <c r="C32" s="24" t="s">
        <v>41</v>
      </c>
      <c r="D32" s="24" t="s">
        <v>79</v>
      </c>
      <c r="E32" s="24" t="s">
        <v>19</v>
      </c>
      <c r="F32" s="24" t="s">
        <v>80</v>
      </c>
      <c r="G32" s="24" t="s">
        <v>24</v>
      </c>
      <c r="H32" s="25">
        <v>317.06</v>
      </c>
      <c r="I32" s="34"/>
    </row>
    <row r="33" spans="1:9" x14ac:dyDescent="0.35">
      <c r="A33" s="23" t="s">
        <v>26</v>
      </c>
      <c r="H33" s="33">
        <v>610.4</v>
      </c>
      <c r="I33" s="27" t="s">
        <v>67</v>
      </c>
    </row>
    <row r="34" spans="1:9" x14ac:dyDescent="0.35">
      <c r="A34" s="23" t="s">
        <v>81</v>
      </c>
    </row>
    <row r="35" spans="1:9" x14ac:dyDescent="0.35">
      <c r="B35" s="24" t="s">
        <v>65</v>
      </c>
    </row>
    <row r="36" spans="1:9" x14ac:dyDescent="0.35">
      <c r="A36" s="23" t="s">
        <v>82</v>
      </c>
      <c r="H36" s="27" t="s">
        <v>67</v>
      </c>
      <c r="I36" s="27" t="s">
        <v>67</v>
      </c>
    </row>
    <row r="37" spans="1:9" x14ac:dyDescent="0.35">
      <c r="A37" s="23" t="s">
        <v>83</v>
      </c>
      <c r="H37" s="27">
        <v>610.4</v>
      </c>
      <c r="I37" s="27" t="s">
        <v>43</v>
      </c>
    </row>
    <row r="38" spans="1:9" x14ac:dyDescent="0.35">
      <c r="A38" s="23" t="s">
        <v>42</v>
      </c>
      <c r="H38" s="27">
        <v>13610.62</v>
      </c>
      <c r="I38" s="27"/>
    </row>
    <row r="41" spans="1:9" x14ac:dyDescent="0.35">
      <c r="A41" s="45" t="s">
        <v>84</v>
      </c>
      <c r="B41" s="46"/>
      <c r="C41" s="46"/>
      <c r="D41" s="46"/>
      <c r="E41" s="46"/>
      <c r="F41" s="46"/>
      <c r="G41" s="46"/>
      <c r="H41" s="46"/>
      <c r="I41" s="46"/>
    </row>
  </sheetData>
  <mergeCells count="4">
    <mergeCell ref="A41:I41"/>
    <mergeCell ref="A1:I1"/>
    <mergeCell ref="A2:I2"/>
    <mergeCell ref="A3:I3"/>
  </mergeCells>
  <pageMargins left="0.25" right="0.25" top="0.75" bottom="0.75" header="0.3" footer="0.3"/>
  <pageSetup paperSize="5" scale="7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27"/>
  <sheetViews>
    <sheetView tabSelected="1" topLeftCell="A7" workbookViewId="0">
      <selection activeCell="E16" sqref="E16"/>
    </sheetView>
  </sheetViews>
  <sheetFormatPr defaultColWidth="9.1796875" defaultRowHeight="14.5" x14ac:dyDescent="0.35"/>
  <cols>
    <col min="1" max="1" width="7.1796875" style="18" customWidth="1"/>
    <col min="2" max="2" width="37.453125" style="1" bestFit="1" customWidth="1"/>
    <col min="3" max="3" width="21.1796875" style="1" customWidth="1"/>
    <col min="4" max="4" width="2" style="1" customWidth="1"/>
    <col min="5" max="5" width="20.1796875" style="4" customWidth="1"/>
    <col min="6" max="6" width="2.81640625" style="4" customWidth="1"/>
    <col min="7" max="7" width="22.1796875" style="4" bestFit="1" customWidth="1"/>
    <col min="8" max="8" width="5.453125" style="4" customWidth="1"/>
    <col min="9" max="9" width="20.54296875" style="1" customWidth="1"/>
    <col min="10" max="10" width="2.26953125" style="4" customWidth="1"/>
    <col min="11" max="11" width="18" style="1" customWidth="1"/>
    <col min="12" max="12" width="63.54296875" style="1" bestFit="1" customWidth="1"/>
    <col min="13" max="13" width="11.54296875" style="1" bestFit="1" customWidth="1"/>
    <col min="14" max="14" width="15.26953125" style="1" customWidth="1"/>
    <col min="15" max="15" width="15.1796875" style="1" customWidth="1"/>
    <col min="16" max="16" width="14.1796875" style="1" customWidth="1"/>
    <col min="17" max="17" width="11.7265625" style="1" customWidth="1"/>
    <col min="18" max="16384" width="9.1796875" style="1"/>
  </cols>
  <sheetData>
    <row r="1" spans="1:16" x14ac:dyDescent="0.35">
      <c r="B1" s="44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6" x14ac:dyDescent="0.35">
      <c r="B2" s="44" t="s">
        <v>11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6" x14ac:dyDescent="0.35">
      <c r="B3" s="44" t="s">
        <v>12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6" x14ac:dyDescent="0.35">
      <c r="B4" s="44" t="s">
        <v>49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6" x14ac:dyDescent="0.35">
      <c r="B5" s="35"/>
      <c r="C5" s="35"/>
      <c r="D5" s="35"/>
      <c r="E5" s="3"/>
      <c r="F5" s="3"/>
      <c r="G5" s="3"/>
      <c r="H5" s="3"/>
      <c r="I5" s="35"/>
      <c r="J5" s="3"/>
      <c r="K5" s="35"/>
      <c r="L5" s="35"/>
      <c r="M5" s="35"/>
    </row>
    <row r="6" spans="1:16" ht="16" x14ac:dyDescent="0.5">
      <c r="C6" s="1" t="s">
        <v>27</v>
      </c>
      <c r="E6" s="29" t="s">
        <v>1</v>
      </c>
      <c r="G6" s="4" t="s">
        <v>2</v>
      </c>
      <c r="I6" s="16" t="s">
        <v>3</v>
      </c>
      <c r="J6" s="17"/>
      <c r="K6" s="16" t="s">
        <v>4</v>
      </c>
      <c r="M6" s="13"/>
      <c r="N6" s="13"/>
      <c r="O6" s="13"/>
      <c r="P6" s="13"/>
    </row>
    <row r="7" spans="1:16" x14ac:dyDescent="0.35">
      <c r="E7" s="29"/>
      <c r="M7" s="13"/>
      <c r="N7" s="13"/>
      <c r="O7" s="13"/>
      <c r="P7" s="13"/>
    </row>
    <row r="8" spans="1:16" x14ac:dyDescent="0.35">
      <c r="A8" s="18" t="s">
        <v>9</v>
      </c>
      <c r="B8" s="5" t="s">
        <v>5</v>
      </c>
      <c r="C8" s="6"/>
      <c r="D8" s="6"/>
      <c r="E8" s="30"/>
      <c r="M8" s="13"/>
      <c r="N8" s="13"/>
      <c r="O8" s="13"/>
      <c r="P8" s="13"/>
    </row>
    <row r="9" spans="1:16" x14ac:dyDescent="0.35">
      <c r="A9" s="18">
        <v>1</v>
      </c>
      <c r="B9" s="7" t="s">
        <v>17</v>
      </c>
      <c r="C9" s="6">
        <f>'Qrt 3 2019'!E9</f>
        <v>2961.15</v>
      </c>
      <c r="D9" s="6"/>
      <c r="E9" s="43"/>
      <c r="G9" s="4">
        <f>E9+'Qrt 3 2019'!G9</f>
        <v>9307.2800000000007</v>
      </c>
      <c r="I9" s="1">
        <v>10000</v>
      </c>
      <c r="K9" s="1">
        <f t="shared" ref="K9:K12" si="0">+I9-G9</f>
        <v>692.71999999999935</v>
      </c>
      <c r="M9" s="13">
        <f t="shared" ref="M9:M12" si="1">G9/I9</f>
        <v>0.93072800000000011</v>
      </c>
      <c r="N9" s="13"/>
      <c r="O9" s="13"/>
      <c r="P9" s="13"/>
    </row>
    <row r="10" spans="1:16" x14ac:dyDescent="0.35">
      <c r="B10" s="7" t="s">
        <v>44</v>
      </c>
      <c r="C10" s="6">
        <f>'Qrt 3 2019'!E10</f>
        <v>444.17250000000001</v>
      </c>
      <c r="D10" s="6"/>
      <c r="E10" s="30">
        <v>0</v>
      </c>
      <c r="G10" s="4">
        <f>E10+'Qrt 3 2019'!G10</f>
        <v>1396.0925</v>
      </c>
      <c r="I10" s="1">
        <v>2500</v>
      </c>
      <c r="K10" s="1">
        <f t="shared" si="0"/>
        <v>1103.9075</v>
      </c>
      <c r="M10" s="13">
        <f t="shared" si="1"/>
        <v>0.55843699999999996</v>
      </c>
      <c r="N10" s="13"/>
      <c r="O10" s="13"/>
      <c r="P10" s="13"/>
    </row>
    <row r="11" spans="1:16" x14ac:dyDescent="0.35">
      <c r="A11" s="18">
        <v>2</v>
      </c>
      <c r="B11" s="7" t="s">
        <v>18</v>
      </c>
      <c r="C11" s="6">
        <f>'Qrt 3 2019'!E11</f>
        <v>0</v>
      </c>
      <c r="D11" s="6"/>
      <c r="E11" s="43"/>
      <c r="G11" s="4">
        <f>E11+'Qrt 3 2019'!G11</f>
        <v>0</v>
      </c>
      <c r="I11" s="1">
        <v>23398.75</v>
      </c>
      <c r="K11" s="1">
        <f t="shared" si="0"/>
        <v>23398.75</v>
      </c>
      <c r="M11" s="13">
        <f>G11/I11</f>
        <v>0</v>
      </c>
      <c r="N11" s="13"/>
      <c r="O11" s="13"/>
      <c r="P11" s="13"/>
    </row>
    <row r="12" spans="1:16" x14ac:dyDescent="0.35">
      <c r="B12" s="7" t="s">
        <v>45</v>
      </c>
      <c r="C12" s="6">
        <f>'Qrt 3 2019'!E12</f>
        <v>0</v>
      </c>
      <c r="D12" s="6"/>
      <c r="E12" s="30">
        <v>0</v>
      </c>
      <c r="G12" s="4">
        <f>E12+'Qrt 3 2019'!G12</f>
        <v>0</v>
      </c>
      <c r="I12" s="4">
        <v>5312.5</v>
      </c>
      <c r="K12" s="1">
        <f t="shared" si="0"/>
        <v>5312.5</v>
      </c>
      <c r="M12" s="13">
        <f t="shared" si="1"/>
        <v>0</v>
      </c>
      <c r="N12" s="13"/>
      <c r="O12" s="13"/>
      <c r="P12" s="13"/>
    </row>
    <row r="13" spans="1:16" x14ac:dyDescent="0.35">
      <c r="B13" s="9" t="s">
        <v>6</v>
      </c>
      <c r="C13" s="10">
        <f>SUM(C9:C12)</f>
        <v>3405.3225000000002</v>
      </c>
      <c r="D13" s="10"/>
      <c r="E13" s="31">
        <f>SUM(E9:E12)</f>
        <v>0</v>
      </c>
      <c r="G13" s="11">
        <f>SUM(G9:G12)</f>
        <v>10703.372500000001</v>
      </c>
      <c r="I13" s="11">
        <f>SUM(I9:I12)</f>
        <v>41211.25</v>
      </c>
      <c r="K13" s="11">
        <f>SUM(K9:K12)</f>
        <v>30507.877499999999</v>
      </c>
      <c r="M13" s="13"/>
      <c r="N13" s="13"/>
      <c r="O13" s="13"/>
      <c r="P13" s="13"/>
    </row>
    <row r="14" spans="1:16" x14ac:dyDescent="0.35">
      <c r="B14" s="12"/>
      <c r="C14" s="8"/>
      <c r="D14" s="8"/>
      <c r="E14" s="30"/>
      <c r="I14" s="4"/>
      <c r="M14" s="13"/>
      <c r="N14" s="13"/>
      <c r="O14" s="13"/>
      <c r="P14" s="13"/>
    </row>
    <row r="15" spans="1:16" x14ac:dyDescent="0.35">
      <c r="B15" s="5" t="s">
        <v>10</v>
      </c>
      <c r="C15" s="8"/>
      <c r="D15" s="8"/>
      <c r="E15" s="30"/>
      <c r="I15" s="4"/>
      <c r="M15" s="13"/>
      <c r="N15" s="13"/>
      <c r="O15" s="13"/>
      <c r="P15" s="13"/>
    </row>
    <row r="16" spans="1:16" x14ac:dyDescent="0.35">
      <c r="A16" s="18">
        <v>3</v>
      </c>
      <c r="B16" s="1" t="s">
        <v>13</v>
      </c>
      <c r="C16" s="6">
        <f>'Qrt 3 2019'!E16</f>
        <v>0</v>
      </c>
      <c r="D16" s="6"/>
      <c r="E16" s="30">
        <v>0</v>
      </c>
      <c r="G16" s="4">
        <f>E16+'Qrt 3 2019'!G16</f>
        <v>0</v>
      </c>
      <c r="I16" s="4">
        <v>28298.75</v>
      </c>
      <c r="K16" s="1">
        <f>+I16-G16</f>
        <v>28298.75</v>
      </c>
      <c r="M16" s="13"/>
      <c r="N16" s="13"/>
      <c r="O16" s="13"/>
      <c r="P16" s="13"/>
    </row>
    <row r="17" spans="1:16" x14ac:dyDescent="0.35">
      <c r="A17" s="18">
        <v>4</v>
      </c>
      <c r="B17" s="1" t="s">
        <v>14</v>
      </c>
      <c r="C17" s="6">
        <f>'Qrt 3 2019'!E17</f>
        <v>0</v>
      </c>
      <c r="D17" s="6"/>
      <c r="E17" s="30">
        <v>0</v>
      </c>
      <c r="G17" s="4">
        <f>E17+'Qrt 3 2019'!G17</f>
        <v>111026</v>
      </c>
      <c r="I17" s="4">
        <v>111026</v>
      </c>
      <c r="K17" s="1">
        <f t="shared" ref="K17:K19" si="2">+I17-G17</f>
        <v>0</v>
      </c>
      <c r="M17" s="13"/>
      <c r="N17" s="13"/>
      <c r="O17" s="13"/>
      <c r="P17" s="13"/>
    </row>
    <row r="18" spans="1:16" x14ac:dyDescent="0.35">
      <c r="B18" s="1" t="s">
        <v>15</v>
      </c>
      <c r="C18" s="6">
        <f>'Qrt 3 2019'!E18</f>
        <v>610.4</v>
      </c>
      <c r="D18" s="6"/>
      <c r="E18" s="30">
        <v>0</v>
      </c>
      <c r="G18" s="4">
        <f>E18+'Qrt 3 2019'!G18</f>
        <v>8830.5</v>
      </c>
      <c r="I18" s="4">
        <v>10700</v>
      </c>
      <c r="K18" s="1">
        <f t="shared" si="2"/>
        <v>1869.5</v>
      </c>
      <c r="M18" s="13"/>
      <c r="N18" s="8"/>
      <c r="O18" s="13"/>
      <c r="P18" s="13"/>
    </row>
    <row r="19" spans="1:16" x14ac:dyDescent="0.35">
      <c r="A19" s="18">
        <v>5</v>
      </c>
      <c r="B19" s="19" t="s">
        <v>16</v>
      </c>
      <c r="C19" s="6">
        <f>'Qrt 3 2019'!E19</f>
        <v>13000.22</v>
      </c>
      <c r="D19" s="6"/>
      <c r="E19" s="30">
        <v>0</v>
      </c>
      <c r="G19" s="4">
        <f>E19+'Qrt 3 2019'!G19</f>
        <v>20792.72</v>
      </c>
      <c r="I19" s="4">
        <v>58764</v>
      </c>
      <c r="K19" s="1">
        <f t="shared" si="2"/>
        <v>37971.279999999999</v>
      </c>
      <c r="L19" s="4"/>
      <c r="M19" s="13"/>
      <c r="N19" s="8"/>
      <c r="O19" s="13"/>
      <c r="P19" s="13"/>
    </row>
    <row r="20" spans="1:16" x14ac:dyDescent="0.35">
      <c r="B20" s="9" t="s">
        <v>7</v>
      </c>
      <c r="C20" s="10">
        <f>SUM(C16:C19)</f>
        <v>13610.619999999999</v>
      </c>
      <c r="D20" s="10"/>
      <c r="E20" s="31">
        <f>SUM(E16:E19)</f>
        <v>0</v>
      </c>
      <c r="G20" s="11">
        <f>SUM(G16:G19)</f>
        <v>140649.22</v>
      </c>
      <c r="I20" s="11">
        <f>SUM(I16:I19)</f>
        <v>208788.75</v>
      </c>
      <c r="K20" s="11">
        <f>SUM(K16:K19)</f>
        <v>68139.53</v>
      </c>
      <c r="M20" s="13"/>
      <c r="N20" s="13"/>
      <c r="O20" s="13"/>
      <c r="P20" s="13"/>
    </row>
    <row r="21" spans="1:16" x14ac:dyDescent="0.35">
      <c r="B21" s="9"/>
      <c r="C21" s="8"/>
      <c r="D21" s="8"/>
      <c r="E21" s="30"/>
      <c r="M21" s="13"/>
      <c r="N21" s="13"/>
      <c r="O21" s="13"/>
      <c r="P21" s="13"/>
    </row>
    <row r="22" spans="1:16" x14ac:dyDescent="0.35">
      <c r="C22" s="8"/>
      <c r="D22" s="8"/>
      <c r="E22" s="30"/>
      <c r="M22" s="13"/>
      <c r="N22" s="13"/>
      <c r="O22" s="13"/>
      <c r="P22" s="13"/>
    </row>
    <row r="23" spans="1:16" x14ac:dyDescent="0.35">
      <c r="C23" s="8"/>
      <c r="D23" s="8"/>
      <c r="E23" s="30"/>
      <c r="M23" s="13"/>
      <c r="N23" s="13"/>
      <c r="O23" s="13"/>
      <c r="P23" s="13"/>
    </row>
    <row r="24" spans="1:16" ht="15" thickBot="1" x14ac:dyDescent="0.4">
      <c r="B24" s="1" t="s">
        <v>8</v>
      </c>
      <c r="C24" s="15">
        <f>C13+C20</f>
        <v>17015.942499999997</v>
      </c>
      <c r="D24" s="15"/>
      <c r="E24" s="32">
        <f>E13+E20</f>
        <v>0</v>
      </c>
      <c r="F24" s="14"/>
      <c r="G24" s="15">
        <f>G13+G20</f>
        <v>151352.5925</v>
      </c>
      <c r="H24" s="14"/>
      <c r="I24" s="15">
        <f>I13+I20</f>
        <v>250000</v>
      </c>
      <c r="J24" s="14"/>
      <c r="K24" s="15">
        <f>K13+K20</f>
        <v>98647.407500000001</v>
      </c>
      <c r="M24" s="13"/>
      <c r="N24" s="13"/>
      <c r="O24" s="13"/>
      <c r="P24" s="13"/>
    </row>
    <row r="25" spans="1:16" ht="15" thickTop="1" x14ac:dyDescent="0.35">
      <c r="E25" s="8"/>
      <c r="M25" s="13"/>
      <c r="N25" s="13"/>
      <c r="O25" s="13"/>
      <c r="P25" s="13"/>
    </row>
    <row r="26" spans="1:16" x14ac:dyDescent="0.35">
      <c r="C26" s="1" t="s">
        <v>48</v>
      </c>
      <c r="E26" s="8" t="s">
        <v>47</v>
      </c>
      <c r="M26" s="13"/>
      <c r="N26" s="13"/>
      <c r="O26" s="13"/>
      <c r="P26" s="13"/>
    </row>
    <row r="27" spans="1:16" x14ac:dyDescent="0.35">
      <c r="M27" s="13"/>
      <c r="N27" s="13"/>
      <c r="O27" s="13"/>
      <c r="P27" s="13"/>
    </row>
  </sheetData>
  <mergeCells count="4">
    <mergeCell ref="B1:M1"/>
    <mergeCell ref="B2:M2"/>
    <mergeCell ref="B3:M3"/>
    <mergeCell ref="B4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80"/>
  <sheetViews>
    <sheetView workbookViewId="0">
      <selection activeCell="A12" sqref="A12"/>
    </sheetView>
  </sheetViews>
  <sheetFormatPr defaultRowHeight="14.5" x14ac:dyDescent="0.35"/>
  <cols>
    <col min="1" max="1" width="45.54296875" style="36" customWidth="1"/>
    <col min="2" max="2" width="9.453125" style="36" customWidth="1"/>
    <col min="3" max="3" width="12" style="36" customWidth="1"/>
    <col min="4" max="4" width="12.90625" style="36" customWidth="1"/>
    <col min="5" max="5" width="39.54296875" style="36" hidden="1" customWidth="1"/>
    <col min="6" max="6" width="27.453125" style="36" hidden="1" customWidth="1"/>
    <col min="7" max="7" width="17.1796875" style="36" hidden="1" customWidth="1"/>
    <col min="8" max="8" width="81.6328125" style="36" hidden="1" customWidth="1"/>
    <col min="9" max="9" width="34.36328125" style="36" customWidth="1"/>
    <col min="10" max="10" width="11.1796875" style="36" customWidth="1"/>
    <col min="11" max="11" width="8.81640625" style="36" bestFit="1" customWidth="1"/>
    <col min="12" max="16384" width="8.7265625" style="36"/>
  </cols>
  <sheetData>
    <row r="1" spans="1:11" ht="18" x14ac:dyDescent="0.4">
      <c r="A1" s="49" t="s">
        <v>21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18" x14ac:dyDescent="0.4">
      <c r="A2" s="49" t="s">
        <v>86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1" x14ac:dyDescent="0.35">
      <c r="A3" s="50" t="s">
        <v>50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5" spans="1:11" ht="24" x14ac:dyDescent="0.35">
      <c r="B5" s="37" t="s">
        <v>31</v>
      </c>
      <c r="C5" s="37" t="s">
        <v>32</v>
      </c>
      <c r="D5" s="37" t="s">
        <v>33</v>
      </c>
      <c r="E5" s="37" t="s">
        <v>34</v>
      </c>
      <c r="F5" s="37" t="s">
        <v>87</v>
      </c>
      <c r="G5" s="37" t="s">
        <v>36</v>
      </c>
      <c r="H5" s="37" t="s">
        <v>35</v>
      </c>
      <c r="I5" s="37" t="s">
        <v>88</v>
      </c>
      <c r="J5" s="37" t="s">
        <v>89</v>
      </c>
      <c r="K5" s="37" t="s">
        <v>90</v>
      </c>
    </row>
    <row r="6" spans="1:11" x14ac:dyDescent="0.35">
      <c r="A6" s="38" t="s">
        <v>91</v>
      </c>
    </row>
    <row r="7" spans="1:11" x14ac:dyDescent="0.35">
      <c r="A7" s="38" t="s">
        <v>92</v>
      </c>
    </row>
    <row r="8" spans="1:11" x14ac:dyDescent="0.35">
      <c r="A8" s="38" t="s">
        <v>94</v>
      </c>
    </row>
    <row r="9" spans="1:11" x14ac:dyDescent="0.35">
      <c r="A9" s="38" t="s">
        <v>95</v>
      </c>
    </row>
    <row r="10" spans="1:11" x14ac:dyDescent="0.35">
      <c r="B10" s="39" t="s">
        <v>145</v>
      </c>
      <c r="C10" s="39" t="s">
        <v>96</v>
      </c>
      <c r="D10" s="39">
        <v>201937</v>
      </c>
      <c r="E10" s="39" t="s">
        <v>146</v>
      </c>
      <c r="F10" s="39"/>
      <c r="G10" s="39" t="s">
        <v>125</v>
      </c>
      <c r="H10" s="39" t="s">
        <v>147</v>
      </c>
      <c r="I10" s="39" t="s">
        <v>97</v>
      </c>
      <c r="J10" s="41">
        <v>165000</v>
      </c>
      <c r="K10" s="41">
        <v>165000</v>
      </c>
    </row>
    <row r="11" spans="1:11" x14ac:dyDescent="0.35">
      <c r="A11" s="38" t="s">
        <v>98</v>
      </c>
      <c r="J11" s="42">
        <v>165000</v>
      </c>
    </row>
    <row r="12" spans="1:11" x14ac:dyDescent="0.35">
      <c r="A12" s="38" t="s">
        <v>148</v>
      </c>
      <c r="J12" s="42">
        <v>165000</v>
      </c>
    </row>
    <row r="13" spans="1:11" x14ac:dyDescent="0.35">
      <c r="A13" s="38" t="s">
        <v>100</v>
      </c>
      <c r="J13" s="42">
        <v>165000</v>
      </c>
    </row>
    <row r="14" spans="1:11" x14ac:dyDescent="0.35">
      <c r="A14" s="38" t="s">
        <v>101</v>
      </c>
    </row>
    <row r="15" spans="1:11" x14ac:dyDescent="0.35">
      <c r="A15" s="38" t="s">
        <v>103</v>
      </c>
    </row>
    <row r="16" spans="1:11" x14ac:dyDescent="0.35">
      <c r="A16" s="38" t="s">
        <v>104</v>
      </c>
    </row>
    <row r="17" spans="1:11" x14ac:dyDescent="0.35">
      <c r="A17" s="38" t="s">
        <v>105</v>
      </c>
    </row>
    <row r="18" spans="1:11" x14ac:dyDescent="0.35">
      <c r="B18" s="39" t="s">
        <v>52</v>
      </c>
      <c r="C18" s="39" t="s">
        <v>22</v>
      </c>
      <c r="D18" s="39">
        <v>63</v>
      </c>
      <c r="E18" s="39"/>
      <c r="F18" s="39"/>
      <c r="G18" s="39" t="s">
        <v>125</v>
      </c>
      <c r="H18" s="39" t="s">
        <v>106</v>
      </c>
      <c r="I18" s="40" t="s">
        <v>93</v>
      </c>
      <c r="J18" s="41">
        <v>-47.04</v>
      </c>
      <c r="K18" s="41">
        <v>-47.04</v>
      </c>
    </row>
    <row r="19" spans="1:11" x14ac:dyDescent="0.35">
      <c r="B19" s="39" t="s">
        <v>55</v>
      </c>
      <c r="C19" s="39" t="s">
        <v>22</v>
      </c>
      <c r="D19" s="39">
        <v>64</v>
      </c>
      <c r="E19" s="39"/>
      <c r="F19" s="39"/>
      <c r="G19" s="39" t="s">
        <v>125</v>
      </c>
      <c r="H19" s="39" t="s">
        <v>106</v>
      </c>
      <c r="I19" s="40" t="s">
        <v>93</v>
      </c>
      <c r="J19" s="41">
        <v>-57.54</v>
      </c>
      <c r="K19" s="41">
        <v>-104.58</v>
      </c>
    </row>
    <row r="20" spans="1:11" x14ac:dyDescent="0.35">
      <c r="B20" s="39" t="s">
        <v>57</v>
      </c>
      <c r="C20" s="39" t="s">
        <v>22</v>
      </c>
      <c r="D20" s="39">
        <v>137</v>
      </c>
      <c r="E20" s="39"/>
      <c r="F20" s="39"/>
      <c r="G20" s="39" t="s">
        <v>125</v>
      </c>
      <c r="H20" s="39" t="s">
        <v>106</v>
      </c>
      <c r="I20" s="40" t="s">
        <v>93</v>
      </c>
      <c r="J20" s="41">
        <v>-56</v>
      </c>
      <c r="K20" s="41">
        <v>-160.58000000000001</v>
      </c>
    </row>
    <row r="21" spans="1:11" x14ac:dyDescent="0.35">
      <c r="A21" s="38" t="s">
        <v>107</v>
      </c>
      <c r="J21" s="42">
        <v>-160.58000000000001</v>
      </c>
    </row>
    <row r="22" spans="1:11" x14ac:dyDescent="0.35">
      <c r="A22" s="38" t="s">
        <v>108</v>
      </c>
    </row>
    <row r="23" spans="1:11" x14ac:dyDescent="0.35">
      <c r="B23" s="39" t="s">
        <v>52</v>
      </c>
      <c r="C23" s="39" t="s">
        <v>22</v>
      </c>
      <c r="D23" s="39">
        <v>65</v>
      </c>
      <c r="E23" s="39"/>
      <c r="F23" s="39"/>
      <c r="G23" s="39" t="s">
        <v>125</v>
      </c>
      <c r="H23" s="39" t="s">
        <v>109</v>
      </c>
      <c r="I23" s="40" t="s">
        <v>93</v>
      </c>
      <c r="J23" s="41">
        <v>-5.72</v>
      </c>
      <c r="K23" s="41">
        <v>-5.72</v>
      </c>
    </row>
    <row r="24" spans="1:11" x14ac:dyDescent="0.35">
      <c r="B24" s="39" t="s">
        <v>55</v>
      </c>
      <c r="C24" s="39" t="s">
        <v>22</v>
      </c>
      <c r="D24" s="39">
        <v>66</v>
      </c>
      <c r="E24" s="39"/>
      <c r="F24" s="39"/>
      <c r="G24" s="39" t="s">
        <v>125</v>
      </c>
      <c r="H24" s="39" t="s">
        <v>109</v>
      </c>
      <c r="I24" s="40" t="s">
        <v>93</v>
      </c>
      <c r="J24" s="41">
        <v>-11.91</v>
      </c>
      <c r="K24" s="41">
        <v>-17.63</v>
      </c>
    </row>
    <row r="25" spans="1:11" x14ac:dyDescent="0.35">
      <c r="B25" s="39" t="s">
        <v>57</v>
      </c>
      <c r="C25" s="39" t="s">
        <v>22</v>
      </c>
      <c r="D25" s="39">
        <v>138</v>
      </c>
      <c r="E25" s="39"/>
      <c r="F25" s="39"/>
      <c r="G25" s="39" t="s">
        <v>125</v>
      </c>
      <c r="H25" s="39" t="s">
        <v>109</v>
      </c>
      <c r="I25" s="40" t="s">
        <v>93</v>
      </c>
      <c r="J25" s="41">
        <v>-8</v>
      </c>
      <c r="K25" s="41">
        <v>-25.63</v>
      </c>
    </row>
    <row r="26" spans="1:11" x14ac:dyDescent="0.35">
      <c r="A26" s="38" t="s">
        <v>110</v>
      </c>
      <c r="J26" s="42">
        <v>-25.63</v>
      </c>
    </row>
    <row r="27" spans="1:11" x14ac:dyDescent="0.35">
      <c r="A27" s="38" t="s">
        <v>111</v>
      </c>
      <c r="J27" s="42">
        <v>-186.21</v>
      </c>
    </row>
    <row r="28" spans="1:11" x14ac:dyDescent="0.35">
      <c r="A28" s="23" t="s">
        <v>112</v>
      </c>
      <c r="J28" s="42">
        <v>-186.21</v>
      </c>
    </row>
    <row r="29" spans="1:11" x14ac:dyDescent="0.35">
      <c r="A29" s="38" t="s">
        <v>113</v>
      </c>
    </row>
    <row r="30" spans="1:11" x14ac:dyDescent="0.35">
      <c r="A30" s="38" t="s">
        <v>115</v>
      </c>
    </row>
    <row r="31" spans="1:11" x14ac:dyDescent="0.35">
      <c r="B31" s="39" t="s">
        <v>172</v>
      </c>
      <c r="C31" s="39" t="s">
        <v>114</v>
      </c>
      <c r="D31" s="39"/>
      <c r="E31" s="39"/>
      <c r="F31" s="39"/>
      <c r="G31" s="39" t="s">
        <v>125</v>
      </c>
      <c r="H31" s="39" t="s">
        <v>173</v>
      </c>
      <c r="I31" s="39" t="s">
        <v>118</v>
      </c>
      <c r="J31" s="41">
        <v>32.99</v>
      </c>
      <c r="K31" s="41">
        <v>32.99</v>
      </c>
    </row>
    <row r="32" spans="1:11" x14ac:dyDescent="0.35">
      <c r="B32" s="39" t="s">
        <v>172</v>
      </c>
      <c r="C32" s="39" t="s">
        <v>114</v>
      </c>
      <c r="D32" s="39"/>
      <c r="E32" s="39"/>
      <c r="F32" s="39"/>
      <c r="G32" s="39" t="s">
        <v>125</v>
      </c>
      <c r="H32" s="39" t="s">
        <v>173</v>
      </c>
      <c r="I32" s="39" t="s">
        <v>118</v>
      </c>
      <c r="J32" s="41">
        <v>32.99</v>
      </c>
      <c r="K32" s="41">
        <v>65.98</v>
      </c>
    </row>
    <row r="33" spans="1:11" x14ac:dyDescent="0.35">
      <c r="B33" s="39" t="s">
        <v>172</v>
      </c>
      <c r="C33" s="39" t="s">
        <v>114</v>
      </c>
      <c r="D33" s="39"/>
      <c r="E33" s="39"/>
      <c r="F33" s="39"/>
      <c r="G33" s="39" t="s">
        <v>125</v>
      </c>
      <c r="H33" s="39" t="s">
        <v>173</v>
      </c>
      <c r="I33" s="39" t="s">
        <v>118</v>
      </c>
      <c r="J33" s="41">
        <v>32.99</v>
      </c>
      <c r="K33" s="41">
        <v>98.97</v>
      </c>
    </row>
    <row r="34" spans="1:11" x14ac:dyDescent="0.35">
      <c r="A34" s="38" t="s">
        <v>116</v>
      </c>
      <c r="J34" s="42">
        <v>98.97</v>
      </c>
    </row>
    <row r="35" spans="1:11" x14ac:dyDescent="0.35">
      <c r="A35" s="38" t="s">
        <v>117</v>
      </c>
      <c r="J35" s="42">
        <v>98.97</v>
      </c>
    </row>
    <row r="36" spans="1:11" x14ac:dyDescent="0.35">
      <c r="A36" s="38" t="s">
        <v>119</v>
      </c>
    </row>
    <row r="37" spans="1:11" x14ac:dyDescent="0.35">
      <c r="A37" s="38" t="s">
        <v>120</v>
      </c>
    </row>
    <row r="38" spans="1:11" x14ac:dyDescent="0.35">
      <c r="B38" s="39" t="s">
        <v>149</v>
      </c>
      <c r="C38" s="39" t="s">
        <v>41</v>
      </c>
      <c r="D38" s="39" t="s">
        <v>150</v>
      </c>
      <c r="E38" s="39" t="s">
        <v>151</v>
      </c>
      <c r="F38" s="39" t="s">
        <v>135</v>
      </c>
      <c r="G38" s="39" t="s">
        <v>125</v>
      </c>
      <c r="H38" s="39" t="s">
        <v>152</v>
      </c>
      <c r="I38" s="39" t="s">
        <v>102</v>
      </c>
      <c r="J38" s="41">
        <v>994.75</v>
      </c>
      <c r="K38" s="41">
        <v>994.75</v>
      </c>
    </row>
    <row r="39" spans="1:11" x14ac:dyDescent="0.35">
      <c r="A39" s="38" t="s">
        <v>121</v>
      </c>
      <c r="J39" s="42">
        <v>994.75</v>
      </c>
    </row>
    <row r="40" spans="1:11" x14ac:dyDescent="0.35">
      <c r="A40" s="38" t="s">
        <v>153</v>
      </c>
      <c r="J40" s="42">
        <v>994.75</v>
      </c>
    </row>
    <row r="41" spans="1:11" x14ac:dyDescent="0.35">
      <c r="A41" s="38" t="s">
        <v>122</v>
      </c>
    </row>
    <row r="42" spans="1:11" x14ac:dyDescent="0.35">
      <c r="A42" s="38" t="s">
        <v>127</v>
      </c>
    </row>
    <row r="43" spans="1:11" x14ac:dyDescent="0.35">
      <c r="A43" s="38" t="s">
        <v>128</v>
      </c>
    </row>
    <row r="44" spans="1:11" x14ac:dyDescent="0.35">
      <c r="B44" s="39" t="s">
        <v>174</v>
      </c>
      <c r="C44" s="39" t="s">
        <v>41</v>
      </c>
      <c r="D44" s="39" t="s">
        <v>175</v>
      </c>
      <c r="E44" s="39" t="s">
        <v>129</v>
      </c>
      <c r="F44" s="39" t="s">
        <v>123</v>
      </c>
      <c r="G44" s="39" t="s">
        <v>125</v>
      </c>
      <c r="H44" s="39" t="s">
        <v>176</v>
      </c>
      <c r="I44" s="39" t="s">
        <v>102</v>
      </c>
      <c r="J44" s="41">
        <v>1629.48</v>
      </c>
      <c r="K44" s="41">
        <v>1629.48</v>
      </c>
    </row>
    <row r="45" spans="1:11" x14ac:dyDescent="0.35">
      <c r="A45" s="38" t="s">
        <v>130</v>
      </c>
      <c r="J45" s="42">
        <v>1629.48</v>
      </c>
    </row>
    <row r="46" spans="1:11" x14ac:dyDescent="0.35">
      <c r="A46" s="38" t="s">
        <v>154</v>
      </c>
    </row>
    <row r="47" spans="1:11" x14ac:dyDescent="0.35">
      <c r="B47" s="39" t="s">
        <v>149</v>
      </c>
      <c r="C47" s="39" t="s">
        <v>41</v>
      </c>
      <c r="D47" s="39" t="s">
        <v>155</v>
      </c>
      <c r="E47" s="39" t="s">
        <v>156</v>
      </c>
      <c r="F47" s="39" t="s">
        <v>124</v>
      </c>
      <c r="G47" s="39" t="s">
        <v>125</v>
      </c>
      <c r="H47" s="39" t="s">
        <v>157</v>
      </c>
      <c r="I47" s="39" t="s">
        <v>102</v>
      </c>
      <c r="J47" s="41">
        <v>1660.46</v>
      </c>
      <c r="K47" s="41">
        <v>1660.46</v>
      </c>
    </row>
    <row r="48" spans="1:11" x14ac:dyDescent="0.35">
      <c r="A48" s="38" t="s">
        <v>158</v>
      </c>
      <c r="J48" s="42">
        <v>1660.46</v>
      </c>
    </row>
    <row r="49" spans="1:11" x14ac:dyDescent="0.35">
      <c r="A49" s="38" t="s">
        <v>131</v>
      </c>
    </row>
    <row r="50" spans="1:11" x14ac:dyDescent="0.35">
      <c r="B50" s="39" t="s">
        <v>159</v>
      </c>
      <c r="C50" s="39" t="s">
        <v>41</v>
      </c>
      <c r="D50" s="39" t="s">
        <v>160</v>
      </c>
      <c r="E50" s="39" t="s">
        <v>161</v>
      </c>
      <c r="F50" s="39"/>
      <c r="G50" s="39" t="s">
        <v>125</v>
      </c>
      <c r="H50" s="39" t="s">
        <v>162</v>
      </c>
      <c r="I50" s="39" t="s">
        <v>102</v>
      </c>
      <c r="J50" s="41">
        <v>80</v>
      </c>
      <c r="K50" s="41">
        <v>80</v>
      </c>
    </row>
    <row r="51" spans="1:11" x14ac:dyDescent="0.35">
      <c r="A51" s="38" t="s">
        <v>133</v>
      </c>
      <c r="J51" s="42">
        <v>80</v>
      </c>
    </row>
    <row r="52" spans="1:11" x14ac:dyDescent="0.35">
      <c r="A52" s="38" t="s">
        <v>134</v>
      </c>
    </row>
    <row r="53" spans="1:11" x14ac:dyDescent="0.35">
      <c r="B53" s="39" t="s">
        <v>149</v>
      </c>
      <c r="C53" s="39" t="s">
        <v>41</v>
      </c>
      <c r="D53" s="39">
        <v>11441444</v>
      </c>
      <c r="E53" s="39" t="s">
        <v>20</v>
      </c>
      <c r="F53" s="39" t="s">
        <v>123</v>
      </c>
      <c r="G53" s="39" t="s">
        <v>125</v>
      </c>
      <c r="H53" s="39" t="s">
        <v>163</v>
      </c>
      <c r="I53" s="39" t="s">
        <v>102</v>
      </c>
      <c r="J53" s="41">
        <v>39.26</v>
      </c>
      <c r="K53" s="41">
        <v>39.26</v>
      </c>
    </row>
    <row r="54" spans="1:11" x14ac:dyDescent="0.35">
      <c r="B54" s="39" t="s">
        <v>177</v>
      </c>
      <c r="C54" s="39" t="s">
        <v>41</v>
      </c>
      <c r="D54" s="39">
        <v>11480383</v>
      </c>
      <c r="E54" s="39" t="s">
        <v>20</v>
      </c>
      <c r="F54" s="39" t="s">
        <v>123</v>
      </c>
      <c r="G54" s="39" t="s">
        <v>125</v>
      </c>
      <c r="H54" s="39" t="s">
        <v>178</v>
      </c>
      <c r="I54" s="39" t="s">
        <v>102</v>
      </c>
      <c r="J54" s="41">
        <v>38.68</v>
      </c>
      <c r="K54" s="41">
        <v>77.94</v>
      </c>
    </row>
    <row r="55" spans="1:11" x14ac:dyDescent="0.35">
      <c r="B55" s="39" t="s">
        <v>177</v>
      </c>
      <c r="C55" s="39" t="s">
        <v>41</v>
      </c>
      <c r="D55" s="39" t="s">
        <v>179</v>
      </c>
      <c r="E55" s="39" t="s">
        <v>19</v>
      </c>
      <c r="F55" s="39" t="s">
        <v>124</v>
      </c>
      <c r="G55" s="39" t="s">
        <v>125</v>
      </c>
      <c r="H55" s="39" t="s">
        <v>180</v>
      </c>
      <c r="I55" s="39" t="s">
        <v>102</v>
      </c>
      <c r="J55" s="41">
        <v>15.94</v>
      </c>
      <c r="K55" s="41">
        <v>93.88</v>
      </c>
    </row>
    <row r="56" spans="1:11" x14ac:dyDescent="0.35">
      <c r="B56" s="39" t="s">
        <v>177</v>
      </c>
      <c r="C56" s="39" t="s">
        <v>41</v>
      </c>
      <c r="D56" s="39" t="s">
        <v>181</v>
      </c>
      <c r="E56" s="39" t="s">
        <v>19</v>
      </c>
      <c r="F56" s="39" t="s">
        <v>135</v>
      </c>
      <c r="G56" s="39" t="s">
        <v>125</v>
      </c>
      <c r="H56" s="39" t="s">
        <v>182</v>
      </c>
      <c r="I56" s="39" t="s">
        <v>102</v>
      </c>
      <c r="J56" s="41">
        <v>16.329999999999998</v>
      </c>
      <c r="K56" s="41">
        <v>110.21</v>
      </c>
    </row>
    <row r="57" spans="1:11" x14ac:dyDescent="0.35">
      <c r="B57" s="39" t="s">
        <v>183</v>
      </c>
      <c r="C57" s="39" t="s">
        <v>41</v>
      </c>
      <c r="D57" s="39">
        <v>11517434</v>
      </c>
      <c r="E57" s="39" t="s">
        <v>20</v>
      </c>
      <c r="F57" s="39" t="s">
        <v>123</v>
      </c>
      <c r="G57" s="39" t="s">
        <v>125</v>
      </c>
      <c r="H57" s="39" t="s">
        <v>184</v>
      </c>
      <c r="I57" s="39" t="s">
        <v>102</v>
      </c>
      <c r="J57" s="41">
        <v>38.68</v>
      </c>
      <c r="K57" s="41">
        <v>148.88999999999999</v>
      </c>
    </row>
    <row r="58" spans="1:11" x14ac:dyDescent="0.35">
      <c r="B58" s="39" t="s">
        <v>183</v>
      </c>
      <c r="C58" s="39" t="s">
        <v>41</v>
      </c>
      <c r="D58" s="39" t="s">
        <v>185</v>
      </c>
      <c r="E58" s="39" t="s">
        <v>19</v>
      </c>
      <c r="F58" s="39" t="s">
        <v>135</v>
      </c>
      <c r="G58" s="39" t="s">
        <v>125</v>
      </c>
      <c r="H58" s="39" t="s">
        <v>186</v>
      </c>
      <c r="I58" s="39" t="s">
        <v>102</v>
      </c>
      <c r="J58" s="41">
        <v>21.11</v>
      </c>
      <c r="K58" s="41">
        <v>170</v>
      </c>
    </row>
    <row r="59" spans="1:11" x14ac:dyDescent="0.35">
      <c r="B59" s="39" t="s">
        <v>183</v>
      </c>
      <c r="C59" s="39" t="s">
        <v>41</v>
      </c>
      <c r="D59" s="39">
        <v>11514530</v>
      </c>
      <c r="E59" s="39" t="s">
        <v>20</v>
      </c>
      <c r="F59" s="39" t="s">
        <v>132</v>
      </c>
      <c r="G59" s="39" t="s">
        <v>125</v>
      </c>
      <c r="H59" s="39" t="s">
        <v>187</v>
      </c>
      <c r="I59" s="39" t="s">
        <v>102</v>
      </c>
      <c r="J59" s="41">
        <v>38.68</v>
      </c>
      <c r="K59" s="41">
        <v>208.68</v>
      </c>
    </row>
    <row r="60" spans="1:11" x14ac:dyDescent="0.35">
      <c r="B60" s="39" t="s">
        <v>183</v>
      </c>
      <c r="C60" s="39" t="s">
        <v>41</v>
      </c>
      <c r="D60" s="39" t="s">
        <v>188</v>
      </c>
      <c r="E60" s="39" t="s">
        <v>19</v>
      </c>
      <c r="F60" s="39" t="s">
        <v>124</v>
      </c>
      <c r="G60" s="39" t="s">
        <v>125</v>
      </c>
      <c r="H60" s="39" t="s">
        <v>189</v>
      </c>
      <c r="I60" s="39" t="s">
        <v>102</v>
      </c>
      <c r="J60" s="41">
        <v>7.31</v>
      </c>
      <c r="K60" s="41">
        <v>215.99</v>
      </c>
    </row>
    <row r="61" spans="1:11" x14ac:dyDescent="0.35">
      <c r="A61" s="23" t="s">
        <v>136</v>
      </c>
      <c r="J61" s="42">
        <v>215.99</v>
      </c>
    </row>
    <row r="62" spans="1:11" x14ac:dyDescent="0.35">
      <c r="A62" s="38" t="s">
        <v>137</v>
      </c>
    </row>
    <row r="63" spans="1:11" x14ac:dyDescent="0.35">
      <c r="B63" s="39" t="s">
        <v>164</v>
      </c>
      <c r="C63" s="39" t="s">
        <v>41</v>
      </c>
      <c r="D63" s="39" t="s">
        <v>165</v>
      </c>
      <c r="E63" s="39" t="s">
        <v>99</v>
      </c>
      <c r="F63" s="39" t="s">
        <v>135</v>
      </c>
      <c r="G63" s="39" t="s">
        <v>125</v>
      </c>
      <c r="H63" s="39" t="s">
        <v>166</v>
      </c>
      <c r="I63" s="39" t="s">
        <v>102</v>
      </c>
      <c r="J63" s="41">
        <v>10.41</v>
      </c>
      <c r="K63" s="41">
        <v>10.41</v>
      </c>
    </row>
    <row r="64" spans="1:11" x14ac:dyDescent="0.35">
      <c r="B64" s="39" t="s">
        <v>164</v>
      </c>
      <c r="C64" s="39" t="s">
        <v>41</v>
      </c>
      <c r="D64" s="39" t="s">
        <v>167</v>
      </c>
      <c r="E64" s="39" t="s">
        <v>99</v>
      </c>
      <c r="F64" s="39" t="s">
        <v>124</v>
      </c>
      <c r="G64" s="39" t="s">
        <v>125</v>
      </c>
      <c r="H64" s="39" t="s">
        <v>168</v>
      </c>
      <c r="I64" s="39" t="s">
        <v>102</v>
      </c>
      <c r="J64" s="41">
        <v>10.41</v>
      </c>
      <c r="K64" s="41">
        <v>20.82</v>
      </c>
    </row>
    <row r="65" spans="1:11" x14ac:dyDescent="0.35">
      <c r="B65" s="39" t="s">
        <v>52</v>
      </c>
      <c r="C65" s="39" t="s">
        <v>22</v>
      </c>
      <c r="D65" s="39" t="s">
        <v>169</v>
      </c>
      <c r="E65" s="39"/>
      <c r="F65" s="39" t="s">
        <v>126</v>
      </c>
      <c r="G65" s="39" t="s">
        <v>125</v>
      </c>
      <c r="H65" s="39" t="s">
        <v>170</v>
      </c>
      <c r="I65" s="40" t="s">
        <v>93</v>
      </c>
      <c r="J65" s="41">
        <v>12466.42</v>
      </c>
      <c r="K65" s="41">
        <v>12487.24</v>
      </c>
    </row>
    <row r="66" spans="1:11" x14ac:dyDescent="0.35">
      <c r="B66" s="39" t="s">
        <v>174</v>
      </c>
      <c r="C66" s="39" t="s">
        <v>41</v>
      </c>
      <c r="D66" s="39" t="s">
        <v>190</v>
      </c>
      <c r="E66" s="39" t="s">
        <v>99</v>
      </c>
      <c r="F66" s="39" t="s">
        <v>135</v>
      </c>
      <c r="G66" s="39" t="s">
        <v>125</v>
      </c>
      <c r="H66" s="39" t="s">
        <v>191</v>
      </c>
      <c r="I66" s="39" t="s">
        <v>102</v>
      </c>
      <c r="J66" s="41">
        <v>10.41</v>
      </c>
      <c r="K66" s="41">
        <v>12497.65</v>
      </c>
    </row>
    <row r="67" spans="1:11" x14ac:dyDescent="0.35">
      <c r="B67" s="39" t="s">
        <v>174</v>
      </c>
      <c r="C67" s="39" t="s">
        <v>41</v>
      </c>
      <c r="D67" s="39" t="s">
        <v>192</v>
      </c>
      <c r="E67" s="39" t="s">
        <v>99</v>
      </c>
      <c r="F67" s="39" t="s">
        <v>124</v>
      </c>
      <c r="G67" s="39" t="s">
        <v>125</v>
      </c>
      <c r="H67" s="39" t="s">
        <v>193</v>
      </c>
      <c r="I67" s="39" t="s">
        <v>102</v>
      </c>
      <c r="J67" s="41">
        <v>10.41</v>
      </c>
      <c r="K67" s="41">
        <v>12508.06</v>
      </c>
    </row>
    <row r="68" spans="1:11" x14ac:dyDescent="0.35">
      <c r="A68" s="38" t="s">
        <v>138</v>
      </c>
      <c r="J68" s="42">
        <v>12508.06</v>
      </c>
    </row>
    <row r="69" spans="1:11" x14ac:dyDescent="0.35">
      <c r="A69" s="38" t="s">
        <v>139</v>
      </c>
    </row>
    <row r="70" spans="1:11" x14ac:dyDescent="0.35">
      <c r="B70" s="39" t="s">
        <v>149</v>
      </c>
      <c r="C70" s="39" t="s">
        <v>41</v>
      </c>
      <c r="D70" s="39">
        <v>11441076</v>
      </c>
      <c r="E70" s="39" t="s">
        <v>20</v>
      </c>
      <c r="F70" s="39" t="s">
        <v>124</v>
      </c>
      <c r="G70" s="39" t="s">
        <v>125</v>
      </c>
      <c r="H70" s="39" t="s">
        <v>171</v>
      </c>
      <c r="I70" s="39" t="s">
        <v>102</v>
      </c>
      <c r="J70" s="41">
        <v>36.26</v>
      </c>
      <c r="K70" s="41">
        <v>36.26</v>
      </c>
    </row>
    <row r="71" spans="1:11" x14ac:dyDescent="0.35">
      <c r="B71" s="39" t="s">
        <v>177</v>
      </c>
      <c r="C71" s="39" t="s">
        <v>41</v>
      </c>
      <c r="D71" s="39">
        <v>11480014</v>
      </c>
      <c r="E71" s="39" t="s">
        <v>20</v>
      </c>
      <c r="F71" s="39" t="s">
        <v>124</v>
      </c>
      <c r="G71" s="39" t="s">
        <v>125</v>
      </c>
      <c r="H71" s="39" t="s">
        <v>194</v>
      </c>
      <c r="I71" s="39" t="s">
        <v>102</v>
      </c>
      <c r="J71" s="41">
        <v>41.73</v>
      </c>
      <c r="K71" s="41">
        <v>77.989999999999995</v>
      </c>
    </row>
    <row r="72" spans="1:11" x14ac:dyDescent="0.35">
      <c r="B72" s="39" t="s">
        <v>183</v>
      </c>
      <c r="C72" s="39" t="s">
        <v>41</v>
      </c>
      <c r="D72" s="39">
        <v>11517051</v>
      </c>
      <c r="E72" s="39" t="s">
        <v>20</v>
      </c>
      <c r="F72" s="39" t="s">
        <v>124</v>
      </c>
      <c r="G72" s="39" t="s">
        <v>125</v>
      </c>
      <c r="H72" s="39" t="s">
        <v>195</v>
      </c>
      <c r="I72" s="39" t="s">
        <v>102</v>
      </c>
      <c r="J72" s="41">
        <v>38.68</v>
      </c>
      <c r="K72" s="41">
        <v>116.67</v>
      </c>
    </row>
    <row r="73" spans="1:11" x14ac:dyDescent="0.35">
      <c r="A73" s="38" t="s">
        <v>140</v>
      </c>
      <c r="J73" s="42">
        <v>116.67</v>
      </c>
    </row>
    <row r="74" spans="1:11" x14ac:dyDescent="0.35">
      <c r="A74" s="38" t="s">
        <v>141</v>
      </c>
      <c r="J74" s="42">
        <v>16210.66</v>
      </c>
    </row>
    <row r="75" spans="1:11" x14ac:dyDescent="0.35">
      <c r="A75" s="38" t="s">
        <v>142</v>
      </c>
      <c r="J75" s="42">
        <v>16210.66</v>
      </c>
    </row>
    <row r="76" spans="1:11" x14ac:dyDescent="0.35">
      <c r="A76" s="38" t="s">
        <v>143</v>
      </c>
      <c r="J76" s="42">
        <v>17118.169999999998</v>
      </c>
    </row>
    <row r="77" spans="1:11" x14ac:dyDescent="0.35">
      <c r="A77" s="38" t="s">
        <v>144</v>
      </c>
      <c r="J77" s="42">
        <v>147881.82999999999</v>
      </c>
    </row>
    <row r="80" spans="1:11" x14ac:dyDescent="0.35">
      <c r="A80" s="51" t="s">
        <v>196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</row>
  </sheetData>
  <mergeCells count="4">
    <mergeCell ref="A1:K1"/>
    <mergeCell ref="A2:K2"/>
    <mergeCell ref="A3:K3"/>
    <mergeCell ref="A80:K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Qrt 3 2019</vt:lpstr>
      <vt:lpstr>PL Qrt 3 2019</vt:lpstr>
      <vt:lpstr>Qrt 4 2019</vt:lpstr>
      <vt:lpstr>PL Qrt 4 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Peter Schmitt</cp:lastModifiedBy>
  <cp:lastPrinted>2019-10-17T17:21:15Z</cp:lastPrinted>
  <dcterms:created xsi:type="dcterms:W3CDTF">2018-10-05T21:05:11Z</dcterms:created>
  <dcterms:modified xsi:type="dcterms:W3CDTF">2020-02-19T19:33:22Z</dcterms:modified>
</cp:coreProperties>
</file>