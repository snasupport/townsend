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eter\Documents\Associates\Projects\Townsend\Urban League\NRTC\"/>
    </mc:Choice>
  </mc:AlternateContent>
  <bookViews>
    <workbookView xWindow="0" yWindow="0" windowWidth="19200" windowHeight="7450"/>
  </bookViews>
  <sheets>
    <sheet name="Expend Report" sheetId="2" r:id="rId1"/>
    <sheet name="GL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2" l="1"/>
  <c r="G17" i="2" l="1"/>
  <c r="G16" i="2"/>
  <c r="G18" i="2"/>
  <c r="G19" i="2"/>
  <c r="G11" i="2"/>
  <c r="M11" i="2" s="1"/>
  <c r="C13" i="2"/>
  <c r="C20" i="2"/>
  <c r="G10" i="2" l="1"/>
  <c r="M10" i="2" s="1"/>
  <c r="G9" i="2"/>
  <c r="M9" i="2" s="1"/>
  <c r="C24" i="2"/>
  <c r="G12" i="2" l="1"/>
  <c r="M12" i="2" s="1"/>
  <c r="K18" i="2"/>
  <c r="K19" i="2"/>
  <c r="K10" i="2"/>
  <c r="I20" i="2" l="1"/>
  <c r="E20" i="2"/>
  <c r="K16" i="2"/>
  <c r="I13" i="2"/>
  <c r="E13" i="2"/>
  <c r="K12" i="2"/>
  <c r="K11" i="2"/>
  <c r="K9" i="2"/>
  <c r="E24" i="2" l="1"/>
  <c r="I24" i="2"/>
  <c r="G13" i="2"/>
  <c r="K13" i="2"/>
  <c r="K17" i="2" l="1"/>
  <c r="K20" i="2" s="1"/>
  <c r="K24" i="2" s="1"/>
  <c r="G20" i="2"/>
  <c r="G24" i="2" s="1"/>
</calcChain>
</file>

<file path=xl/sharedStrings.xml><?xml version="1.0" encoding="utf-8"?>
<sst xmlns="http://schemas.openxmlformats.org/spreadsheetml/2006/main" count="120" uniqueCount="86">
  <si>
    <t>Urban League of Essex County</t>
  </si>
  <si>
    <t>Current QTR</t>
  </si>
  <si>
    <t>Cummulated Expense</t>
  </si>
  <si>
    <t>Budgeted</t>
  </si>
  <si>
    <t>Remain</t>
  </si>
  <si>
    <t>Personnel: Administration</t>
  </si>
  <si>
    <t xml:space="preserve">         Sub-Total</t>
  </si>
  <si>
    <t>Sub-Total</t>
  </si>
  <si>
    <t>Grant Total</t>
  </si>
  <si>
    <t>Line #</t>
  </si>
  <si>
    <t>Economic Development- Tech House</t>
  </si>
  <si>
    <t>Neighborhood Revitalization Tax Credit Project 2019 (NRTC)</t>
  </si>
  <si>
    <t>Grant # 2019-02240-0483-00</t>
  </si>
  <si>
    <t>Admin - Computer Equip</t>
  </si>
  <si>
    <t>Program - Pre- Development Loan</t>
  </si>
  <si>
    <t>Program - Taxes, Insurance and Utilities</t>
  </si>
  <si>
    <t>Program - Exterior Renovations</t>
  </si>
  <si>
    <t>Admin - Personnel - Finance</t>
  </si>
  <si>
    <t>Program - Personnel - Tech Staff -D Sharif</t>
  </si>
  <si>
    <t>PSE&amp;G</t>
  </si>
  <si>
    <t>City of Newark/Water</t>
  </si>
  <si>
    <t>URBAN LEAGUE OF ESSEX COUNTY</t>
  </si>
  <si>
    <t>Journal Entry</t>
  </si>
  <si>
    <t xml:space="preserve">General Ledger- 335 NRTC 2019 </t>
  </si>
  <si>
    <t>335 NRTC 19</t>
  </si>
  <si>
    <t xml:space="preserve">      8606.3 Utilities</t>
  </si>
  <si>
    <t xml:space="preserve">      Total for 8606.3 Utilities</t>
  </si>
  <si>
    <t>Previous Quarter</t>
  </si>
  <si>
    <t>7200 Salaries &amp; Related Expenses</t>
  </si>
  <si>
    <t xml:space="preserve">   7220 Salaries &amp; Wages</t>
  </si>
  <si>
    <t xml:space="preserve">   Total for 7220 Salaries &amp; Wages</t>
  </si>
  <si>
    <t>Date</t>
  </si>
  <si>
    <t>Transaction Type</t>
  </si>
  <si>
    <t>Num</t>
  </si>
  <si>
    <t>Name</t>
  </si>
  <si>
    <t>Memo/Description</t>
  </si>
  <si>
    <t>Class</t>
  </si>
  <si>
    <t>Debit</t>
  </si>
  <si>
    <t>8600 Housing Development</t>
  </si>
  <si>
    <t xml:space="preserve">   8602 Rehab of Existing Facility</t>
  </si>
  <si>
    <t xml:space="preserve">   Total for 8602 Rehab of Existing Facility</t>
  </si>
  <si>
    <t>Bill</t>
  </si>
  <si>
    <t>Total for 8600 Housing Development</t>
  </si>
  <si>
    <t xml:space="preserve">   </t>
  </si>
  <si>
    <t>Admin - Fringes- Finance @15%</t>
  </si>
  <si>
    <t>Program - Fringes @ 15%</t>
  </si>
  <si>
    <t>Mark Tirondola Painting Contractor Inc</t>
  </si>
  <si>
    <t>Paid</t>
  </si>
  <si>
    <t>FSR #3</t>
  </si>
  <si>
    <t>October- December 2019</t>
  </si>
  <si>
    <t>October - December, 2019</t>
  </si>
  <si>
    <t xml:space="preserve">   Beginning Balance</t>
  </si>
  <si>
    <t>10/31/2019</t>
  </si>
  <si>
    <t>19-437</t>
  </si>
  <si>
    <t>Salary Allocation - October</t>
  </si>
  <si>
    <t>11/30/2019</t>
  </si>
  <si>
    <t>Salary Allocation - November</t>
  </si>
  <si>
    <t>12/31/2019</t>
  </si>
  <si>
    <t>Salary Allocation - December</t>
  </si>
  <si>
    <t>11/22/2019</t>
  </si>
  <si>
    <t>2nd Payment for Facade Improvements  152 Littleton Ave</t>
  </si>
  <si>
    <t>12/18/2019</t>
  </si>
  <si>
    <t>3rd Payment for Facade Improvements  152 Littleton Ave</t>
  </si>
  <si>
    <t xml:space="preserve">   8605 Holding Cost</t>
  </si>
  <si>
    <t xml:space="preserve">      8606 Property Taxes</t>
  </si>
  <si>
    <t xml:space="preserve">      Beginning Balance</t>
  </si>
  <si>
    <t xml:space="preserve">      Total for 8606 Property Taxes</t>
  </si>
  <si>
    <t xml:space="preserve">      </t>
  </si>
  <si>
    <t xml:space="preserve">      8606.1 Property Insurance</t>
  </si>
  <si>
    <t xml:space="preserve">      Total for 8606.1 Property Insurance</t>
  </si>
  <si>
    <t>10/17/2019</t>
  </si>
  <si>
    <t>Holding Costs: Water 152 Littleton Ave. Oct  2019</t>
  </si>
  <si>
    <t>11/15/2019</t>
  </si>
  <si>
    <t>600506294993</t>
  </si>
  <si>
    <t>152 Littleton Ave. Acct # 73 766 329 05 Utilities 10/16/19 - 11/13/19</t>
  </si>
  <si>
    <t>11/19/2019</t>
  </si>
  <si>
    <t>Holding Costs: Water 152 Littleton Ave. Nov  2019</t>
  </si>
  <si>
    <t>12/16/2019</t>
  </si>
  <si>
    <t>Holding Costs: Water 152 Littleton Ave. Dec  2019</t>
  </si>
  <si>
    <t>600306373110</t>
  </si>
  <si>
    <t>152 Littleton Ave. Acct # 73 766 329 05 Utilities 11/14/19 - 12/16/19</t>
  </si>
  <si>
    <t xml:space="preserve">      8606.6 Water</t>
  </si>
  <si>
    <t xml:space="preserve">      Total for 8606.6 Water</t>
  </si>
  <si>
    <t xml:space="preserve">   Total for 8605 Holding Cost</t>
  </si>
  <si>
    <t>Tuesday, Jan 14, 2020 10:33:13 AM GMT-8</t>
  </si>
  <si>
    <t>check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</si>
</sst>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,##0.00\ _€"/>
    <numFmt numFmtId="166" formatCode="&quot;$&quot;* #,##0.00\ _€"/>
  </numFmts>
  <fonts count="1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u val="singleAccounting"/>
      <sz val="11"/>
      <color indexed="8"/>
      <name val="Calibri"/>
      <family val="2"/>
      <scheme val="minor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40">
    <xf numFmtId="0" fontId="0" fillId="0" borderId="0" xfId="0"/>
    <xf numFmtId="43" fontId="0" fillId="0" borderId="0" xfId="1" applyFont="1"/>
    <xf numFmtId="43" fontId="4" fillId="0" borderId="0" xfId="1" applyFont="1" applyAlignment="1">
      <alignment horizontal="center"/>
    </xf>
    <xf numFmtId="43" fontId="4" fillId="0" borderId="0" xfId="1" applyFont="1" applyBorder="1" applyAlignment="1">
      <alignment horizontal="center"/>
    </xf>
    <xf numFmtId="43" fontId="0" fillId="0" borderId="0" xfId="1" applyFont="1" applyBorder="1"/>
    <xf numFmtId="43" fontId="4" fillId="0" borderId="0" xfId="1" applyFont="1"/>
    <xf numFmtId="43" fontId="5" fillId="0" borderId="0" xfId="1" applyFont="1" applyBorder="1"/>
    <xf numFmtId="43" fontId="6" fillId="0" borderId="0" xfId="3" applyFont="1" applyFill="1"/>
    <xf numFmtId="43" fontId="5" fillId="0" borderId="0" xfId="1" applyFont="1" applyFill="1" applyBorder="1"/>
    <xf numFmtId="43" fontId="0" fillId="0" borderId="0" xfId="1" applyFont="1" applyAlignment="1">
      <alignment horizontal="right"/>
    </xf>
    <xf numFmtId="43" fontId="7" fillId="0" borderId="1" xfId="1" applyFont="1" applyFill="1" applyBorder="1"/>
    <xf numFmtId="43" fontId="0" fillId="0" borderId="1" xfId="1" applyFont="1" applyBorder="1"/>
    <xf numFmtId="43" fontId="2" fillId="0" borderId="0" xfId="1" applyFont="1"/>
    <xf numFmtId="43" fontId="0" fillId="0" borderId="0" xfId="1" applyFont="1" applyFill="1"/>
    <xf numFmtId="44" fontId="4" fillId="0" borderId="0" xfId="2" applyFont="1" applyBorder="1"/>
    <xf numFmtId="44" fontId="7" fillId="0" borderId="2" xfId="2" applyFont="1" applyFill="1" applyBorder="1"/>
    <xf numFmtId="43" fontId="8" fillId="0" borderId="0" xfId="1" applyFont="1" applyAlignment="1">
      <alignment horizontal="center"/>
    </xf>
    <xf numFmtId="43" fontId="8" fillId="0" borderId="0" xfId="1" applyFont="1" applyBorder="1" applyAlignment="1">
      <alignment horizontal="center"/>
    </xf>
    <xf numFmtId="164" fontId="0" fillId="0" borderId="0" xfId="1" applyNumberFormat="1" applyFont="1" applyAlignment="1"/>
    <xf numFmtId="43" fontId="1" fillId="0" borderId="0" xfId="1" applyFont="1"/>
    <xf numFmtId="43" fontId="4" fillId="0" borderId="0" xfId="1" applyFont="1" applyAlignment="1">
      <alignment horizontal="center"/>
    </xf>
    <xf numFmtId="43" fontId="0" fillId="0" borderId="0" xfId="1" applyFont="1" applyFill="1" applyBorder="1"/>
    <xf numFmtId="0" fontId="11" fillId="0" borderId="4" xfId="0" applyFont="1" applyBorder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0" xfId="0" applyFont="1" applyAlignment="1">
      <alignment horizontal="left" wrapText="1"/>
    </xf>
    <xf numFmtId="165" fontId="13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wrapText="1"/>
    </xf>
    <xf numFmtId="166" fontId="12" fillId="0" borderId="3" xfId="0" applyNumberFormat="1" applyFont="1" applyBorder="1" applyAlignment="1">
      <alignment horizontal="right" wrapText="1"/>
    </xf>
    <xf numFmtId="0" fontId="0" fillId="0" borderId="0" xfId="0"/>
    <xf numFmtId="43" fontId="0" fillId="2" borderId="0" xfId="1" applyFont="1" applyFill="1" applyBorder="1"/>
    <xf numFmtId="43" fontId="5" fillId="2" borderId="0" xfId="1" applyFont="1" applyFill="1" applyBorder="1"/>
    <xf numFmtId="43" fontId="7" fillId="2" borderId="1" xfId="1" applyFont="1" applyFill="1" applyBorder="1"/>
    <xf numFmtId="44" fontId="7" fillId="2" borderId="2" xfId="2" applyFont="1" applyFill="1" applyBorder="1"/>
    <xf numFmtId="166" fontId="12" fillId="3" borderId="3" xfId="0" applyNumberFormat="1" applyFont="1" applyFill="1" applyBorder="1" applyAlignment="1">
      <alignment horizontal="right" wrapText="1"/>
    </xf>
    <xf numFmtId="0" fontId="13" fillId="4" borderId="5" xfId="0" applyFont="1" applyFill="1" applyBorder="1" applyAlignment="1">
      <alignment horizontal="right" wrapText="1"/>
    </xf>
    <xf numFmtId="43" fontId="4" fillId="0" borderId="0" xfId="1" applyFont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4">
    <cellStyle name="Comma" xfId="1" builtinId="3"/>
    <cellStyle name="Comma 2" xf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7"/>
  <sheetViews>
    <sheetView tabSelected="1" workbookViewId="0">
      <selection activeCell="E31" sqref="E31"/>
    </sheetView>
  </sheetViews>
  <sheetFormatPr defaultColWidth="9.1796875" defaultRowHeight="14.5" x14ac:dyDescent="0.35"/>
  <cols>
    <col min="1" max="1" width="7.1796875" style="18" customWidth="1"/>
    <col min="2" max="2" width="37.453125" style="1" bestFit="1" customWidth="1"/>
    <col min="3" max="3" width="21.1796875" style="1" customWidth="1"/>
    <col min="4" max="4" width="2" style="1" customWidth="1"/>
    <col min="5" max="5" width="20.1796875" style="4" customWidth="1"/>
    <col min="6" max="6" width="2.81640625" style="4" customWidth="1"/>
    <col min="7" max="7" width="22.1796875" style="4" bestFit="1" customWidth="1"/>
    <col min="8" max="8" width="5.453125" style="4" customWidth="1"/>
    <col min="9" max="9" width="20.54296875" style="1" customWidth="1"/>
    <col min="10" max="10" width="2.26953125" style="4" customWidth="1"/>
    <col min="11" max="11" width="18" style="1" customWidth="1"/>
    <col min="12" max="12" width="63.54296875" style="1" bestFit="1" customWidth="1"/>
    <col min="13" max="13" width="11.54296875" style="1" bestFit="1" customWidth="1"/>
    <col min="14" max="14" width="15.26953125" style="1" customWidth="1"/>
    <col min="15" max="15" width="15.1796875" style="1" customWidth="1"/>
    <col min="16" max="16" width="14.1796875" style="1" customWidth="1"/>
    <col min="17" max="17" width="11.7265625" style="1" customWidth="1"/>
    <col min="18" max="16384" width="9.1796875" style="1"/>
  </cols>
  <sheetData>
    <row r="1" spans="1:16" x14ac:dyDescent="0.35">
      <c r="B1" s="35" t="s">
        <v>0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6" x14ac:dyDescent="0.35">
      <c r="B2" s="35" t="s">
        <v>11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6" x14ac:dyDescent="0.35">
      <c r="B3" s="35" t="s">
        <v>12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6" x14ac:dyDescent="0.35">
      <c r="B4" s="35" t="s">
        <v>49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6" x14ac:dyDescent="0.35">
      <c r="B5" s="2"/>
      <c r="C5" s="20"/>
      <c r="D5" s="20"/>
      <c r="E5" s="3"/>
      <c r="F5" s="3"/>
      <c r="G5" s="3"/>
      <c r="H5" s="3"/>
      <c r="I5" s="2"/>
      <c r="J5" s="3"/>
      <c r="K5" s="2"/>
      <c r="L5" s="2"/>
      <c r="M5" s="2"/>
    </row>
    <row r="6" spans="1:16" ht="16" x14ac:dyDescent="0.5">
      <c r="C6" s="1" t="s">
        <v>27</v>
      </c>
      <c r="E6" s="29" t="s">
        <v>1</v>
      </c>
      <c r="G6" s="4" t="s">
        <v>2</v>
      </c>
      <c r="I6" s="16" t="s">
        <v>3</v>
      </c>
      <c r="J6" s="17"/>
      <c r="K6" s="16" t="s">
        <v>4</v>
      </c>
      <c r="M6" s="13"/>
      <c r="N6" s="13"/>
      <c r="O6" s="13"/>
      <c r="P6" s="13"/>
    </row>
    <row r="7" spans="1:16" x14ac:dyDescent="0.35">
      <c r="E7" s="29"/>
      <c r="M7" s="13"/>
      <c r="N7" s="13"/>
      <c r="O7" s="13"/>
      <c r="P7" s="13"/>
    </row>
    <row r="8" spans="1:16" x14ac:dyDescent="0.35">
      <c r="A8" s="18" t="s">
        <v>9</v>
      </c>
      <c r="B8" s="5" t="s">
        <v>5</v>
      </c>
      <c r="C8" s="6"/>
      <c r="D8" s="6"/>
      <c r="E8" s="30"/>
      <c r="M8" s="13"/>
      <c r="N8" s="13"/>
      <c r="O8" s="13"/>
      <c r="P8" s="13"/>
    </row>
    <row r="9" spans="1:16" x14ac:dyDescent="0.35">
      <c r="A9" s="18">
        <v>1</v>
      </c>
      <c r="B9" s="7" t="s">
        <v>17</v>
      </c>
      <c r="C9" s="6">
        <v>6346.13</v>
      </c>
      <c r="D9" s="6"/>
      <c r="E9" s="30">
        <v>2961.15</v>
      </c>
      <c r="G9" s="4">
        <f>C9+E9</f>
        <v>9307.2800000000007</v>
      </c>
      <c r="I9" s="1">
        <v>10000</v>
      </c>
      <c r="K9" s="1">
        <f t="shared" ref="K9:K12" si="0">+I9-G9</f>
        <v>692.71999999999935</v>
      </c>
      <c r="M9" s="13">
        <f t="shared" ref="M9:M12" si="1">G9/I9</f>
        <v>0.93072800000000011</v>
      </c>
      <c r="N9" s="13"/>
      <c r="O9" s="13"/>
      <c r="P9" s="13"/>
    </row>
    <row r="10" spans="1:16" x14ac:dyDescent="0.35">
      <c r="B10" s="7" t="s">
        <v>44</v>
      </c>
      <c r="C10" s="6">
        <v>951.92</v>
      </c>
      <c r="D10" s="6"/>
      <c r="E10" s="30">
        <f>E9*0.15</f>
        <v>444.17250000000001</v>
      </c>
      <c r="G10" s="4">
        <f t="shared" ref="G10:G12" si="2">C10+E10</f>
        <v>1396.0925</v>
      </c>
      <c r="I10" s="1">
        <v>2500</v>
      </c>
      <c r="K10" s="1">
        <f t="shared" si="0"/>
        <v>1103.9075</v>
      </c>
      <c r="M10" s="13">
        <f t="shared" si="1"/>
        <v>0.55843699999999996</v>
      </c>
      <c r="N10" s="13"/>
      <c r="O10" s="13"/>
      <c r="P10" s="13"/>
    </row>
    <row r="11" spans="1:16" x14ac:dyDescent="0.35">
      <c r="A11" s="18">
        <v>2</v>
      </c>
      <c r="B11" s="7" t="s">
        <v>18</v>
      </c>
      <c r="C11" s="8"/>
      <c r="D11" s="8"/>
      <c r="E11" s="30"/>
      <c r="F11" s="21"/>
      <c r="G11" s="21">
        <f t="shared" si="2"/>
        <v>0</v>
      </c>
      <c r="I11" s="1">
        <v>23398.75</v>
      </c>
      <c r="K11" s="1">
        <f t="shared" si="0"/>
        <v>23398.75</v>
      </c>
      <c r="M11" s="13">
        <f>G11/I11</f>
        <v>0</v>
      </c>
      <c r="N11" s="13"/>
      <c r="O11" s="13"/>
      <c r="P11" s="13"/>
    </row>
    <row r="12" spans="1:16" x14ac:dyDescent="0.35">
      <c r="B12" s="7" t="s">
        <v>45</v>
      </c>
      <c r="C12" s="8"/>
      <c r="D12" s="8"/>
      <c r="E12" s="30"/>
      <c r="F12" s="21"/>
      <c r="G12" s="21">
        <f t="shared" si="2"/>
        <v>0</v>
      </c>
      <c r="I12" s="4">
        <v>5312.5</v>
      </c>
      <c r="K12" s="1">
        <f t="shared" si="0"/>
        <v>5312.5</v>
      </c>
      <c r="M12" s="13">
        <f t="shared" si="1"/>
        <v>0</v>
      </c>
      <c r="N12" s="13"/>
      <c r="O12" s="13"/>
      <c r="P12" s="13"/>
    </row>
    <row r="13" spans="1:16" x14ac:dyDescent="0.35">
      <c r="B13" s="9" t="s">
        <v>6</v>
      </c>
      <c r="C13" s="10">
        <f>SUM(C9:C12)</f>
        <v>7298.05</v>
      </c>
      <c r="D13" s="10"/>
      <c r="E13" s="31">
        <f>SUM(E9:E12)</f>
        <v>3405.3225000000002</v>
      </c>
      <c r="G13" s="11">
        <f>SUM(G9:G12)</f>
        <v>10703.372500000001</v>
      </c>
      <c r="I13" s="11">
        <f>SUM(I9:I12)</f>
        <v>41211.25</v>
      </c>
      <c r="K13" s="11">
        <f>SUM(K9:K12)</f>
        <v>30507.877499999999</v>
      </c>
      <c r="M13" s="13"/>
      <c r="N13" s="13"/>
      <c r="O13" s="13"/>
      <c r="P13" s="13"/>
    </row>
    <row r="14" spans="1:16" x14ac:dyDescent="0.35">
      <c r="B14" s="12"/>
      <c r="C14" s="8"/>
      <c r="D14" s="8"/>
      <c r="E14" s="30"/>
      <c r="I14" s="4"/>
      <c r="M14" s="13"/>
      <c r="N14" s="13"/>
      <c r="O14" s="13"/>
      <c r="P14" s="13"/>
    </row>
    <row r="15" spans="1:16" x14ac:dyDescent="0.35">
      <c r="B15" s="5" t="s">
        <v>10</v>
      </c>
      <c r="C15" s="8"/>
      <c r="D15" s="8"/>
      <c r="E15" s="30"/>
      <c r="I15" s="4"/>
      <c r="M15" s="13"/>
      <c r="N15" s="13"/>
      <c r="O15" s="13"/>
      <c r="P15" s="13"/>
    </row>
    <row r="16" spans="1:16" x14ac:dyDescent="0.35">
      <c r="A16" s="18">
        <v>3</v>
      </c>
      <c r="B16" s="1" t="s">
        <v>13</v>
      </c>
      <c r="C16" s="8"/>
      <c r="D16" s="8"/>
      <c r="E16" s="30"/>
      <c r="G16" s="4">
        <f t="shared" ref="G16:G19" si="3">C16+E16</f>
        <v>0</v>
      </c>
      <c r="I16" s="4">
        <v>28298.75</v>
      </c>
      <c r="K16" s="1">
        <f>+I16-G16</f>
        <v>28298.75</v>
      </c>
      <c r="M16" s="13"/>
      <c r="N16" s="13"/>
      <c r="O16" s="13"/>
      <c r="P16" s="13"/>
    </row>
    <row r="17" spans="1:16" x14ac:dyDescent="0.35">
      <c r="A17" s="18">
        <v>4</v>
      </c>
      <c r="B17" s="1" t="s">
        <v>14</v>
      </c>
      <c r="C17" s="8">
        <v>111026</v>
      </c>
      <c r="D17" s="8"/>
      <c r="E17" s="30">
        <v>0</v>
      </c>
      <c r="G17" s="4">
        <f t="shared" si="3"/>
        <v>111026</v>
      </c>
      <c r="I17" s="4">
        <v>111026</v>
      </c>
      <c r="K17" s="1">
        <f t="shared" ref="K17:K19" si="4">+I17-G17</f>
        <v>0</v>
      </c>
      <c r="M17" s="13"/>
      <c r="N17" s="13"/>
      <c r="O17" s="13"/>
      <c r="P17" s="13"/>
    </row>
    <row r="18" spans="1:16" x14ac:dyDescent="0.35">
      <c r="B18" s="1" t="s">
        <v>15</v>
      </c>
      <c r="C18" s="8">
        <v>8220.1</v>
      </c>
      <c r="D18" s="8"/>
      <c r="E18" s="30">
        <v>610.4</v>
      </c>
      <c r="G18" s="4">
        <f t="shared" si="3"/>
        <v>8830.5</v>
      </c>
      <c r="I18" s="4">
        <v>10700</v>
      </c>
      <c r="K18" s="1">
        <f t="shared" si="4"/>
        <v>1869.5</v>
      </c>
      <c r="M18" s="13"/>
      <c r="N18" s="8"/>
      <c r="O18" s="13"/>
      <c r="P18" s="13"/>
    </row>
    <row r="19" spans="1:16" x14ac:dyDescent="0.35">
      <c r="A19" s="18">
        <v>5</v>
      </c>
      <c r="B19" s="19" t="s">
        <v>16</v>
      </c>
      <c r="C19" s="8">
        <v>7792.5</v>
      </c>
      <c r="D19" s="8"/>
      <c r="E19" s="30">
        <v>13000.22</v>
      </c>
      <c r="G19" s="4">
        <f t="shared" si="3"/>
        <v>20792.72</v>
      </c>
      <c r="I19" s="4">
        <v>58764</v>
      </c>
      <c r="K19" s="1">
        <f t="shared" si="4"/>
        <v>37971.279999999999</v>
      </c>
      <c r="L19" s="4"/>
      <c r="M19" s="13"/>
      <c r="N19" s="8"/>
      <c r="O19" s="13"/>
      <c r="P19" s="13"/>
    </row>
    <row r="20" spans="1:16" x14ac:dyDescent="0.35">
      <c r="B20" s="9" t="s">
        <v>7</v>
      </c>
      <c r="C20" s="10">
        <f>SUM(C16:C19)</f>
        <v>127038.6</v>
      </c>
      <c r="D20" s="10"/>
      <c r="E20" s="31">
        <f>SUM(E16:E19)</f>
        <v>13610.619999999999</v>
      </c>
      <c r="G20" s="11">
        <f>SUM(G16:G19)</f>
        <v>140649.22</v>
      </c>
      <c r="I20" s="11">
        <f>SUM(I16:I19)</f>
        <v>208788.75</v>
      </c>
      <c r="K20" s="11">
        <f>SUM(K16:K19)</f>
        <v>68139.53</v>
      </c>
      <c r="M20" s="13"/>
      <c r="N20" s="13"/>
      <c r="O20" s="13"/>
      <c r="P20" s="13"/>
    </row>
    <row r="21" spans="1:16" x14ac:dyDescent="0.35">
      <c r="B21" s="9"/>
      <c r="C21" s="8"/>
      <c r="D21" s="8"/>
      <c r="E21" s="30"/>
      <c r="M21" s="13"/>
      <c r="N21" s="13"/>
      <c r="O21" s="13"/>
      <c r="P21" s="13"/>
    </row>
    <row r="22" spans="1:16" x14ac:dyDescent="0.35">
      <c r="C22" s="8"/>
      <c r="D22" s="8"/>
      <c r="E22" s="30"/>
      <c r="M22" s="13"/>
      <c r="N22" s="13"/>
      <c r="O22" s="13"/>
      <c r="P22" s="13"/>
    </row>
    <row r="23" spans="1:16" x14ac:dyDescent="0.35">
      <c r="C23" s="8"/>
      <c r="D23" s="8"/>
      <c r="E23" s="30"/>
      <c r="M23" s="13"/>
      <c r="N23" s="13"/>
      <c r="O23" s="13"/>
      <c r="P23" s="13"/>
    </row>
    <row r="24" spans="1:16" ht="15" thickBot="1" x14ac:dyDescent="0.4">
      <c r="B24" s="1" t="s">
        <v>8</v>
      </c>
      <c r="C24" s="15">
        <f>C13+C20</f>
        <v>134336.65</v>
      </c>
      <c r="D24" s="15"/>
      <c r="E24" s="32">
        <f>E13+E20</f>
        <v>17015.942499999997</v>
      </c>
      <c r="F24" s="14"/>
      <c r="G24" s="15">
        <f>G13+G20</f>
        <v>151352.5925</v>
      </c>
      <c r="H24" s="14"/>
      <c r="I24" s="15">
        <f>I13+I20</f>
        <v>250000</v>
      </c>
      <c r="J24" s="14"/>
      <c r="K24" s="15">
        <f>K13+K20</f>
        <v>98647.407500000001</v>
      </c>
      <c r="M24" s="13"/>
      <c r="N24" s="13"/>
      <c r="O24" s="13"/>
      <c r="P24" s="13"/>
    </row>
    <row r="25" spans="1:16" ht="15" thickTop="1" x14ac:dyDescent="0.35">
      <c r="E25" s="8"/>
      <c r="M25" s="13"/>
      <c r="N25" s="13"/>
      <c r="O25" s="13"/>
      <c r="P25" s="13"/>
    </row>
    <row r="26" spans="1:16" x14ac:dyDescent="0.35">
      <c r="C26" s="1" t="s">
        <v>48</v>
      </c>
      <c r="E26" s="8" t="s">
        <v>47</v>
      </c>
      <c r="M26" s="13"/>
      <c r="N26" s="13"/>
      <c r="O26" s="13"/>
      <c r="P26" s="13"/>
    </row>
    <row r="27" spans="1:16" x14ac:dyDescent="0.35">
      <c r="M27" s="13"/>
      <c r="N27" s="13"/>
      <c r="O27" s="13"/>
      <c r="P27" s="13"/>
    </row>
  </sheetData>
  <mergeCells count="4">
    <mergeCell ref="B1:M1"/>
    <mergeCell ref="B2:M2"/>
    <mergeCell ref="B4:M4"/>
    <mergeCell ref="B3:M3"/>
  </mergeCells>
  <pageMargins left="0.7" right="0.7" top="0.75" bottom="0.75" header="0.3" footer="0.3"/>
  <pageSetup paperSize="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1"/>
  <sheetViews>
    <sheetView topLeftCell="A11" workbookViewId="0">
      <selection activeCell="L34" sqref="L34"/>
    </sheetView>
  </sheetViews>
  <sheetFormatPr defaultColWidth="9.1796875" defaultRowHeight="14.5" x14ac:dyDescent="0.35"/>
  <cols>
    <col min="1" max="1" width="49" style="28" customWidth="1"/>
    <col min="2" max="2" width="23.1796875" style="28" customWidth="1"/>
    <col min="3" max="3" width="12" style="28" customWidth="1"/>
    <col min="4" max="4" width="11.1796875" style="28" customWidth="1"/>
    <col min="5" max="5" width="33.54296875" style="28" customWidth="1"/>
    <col min="6" max="6" width="60.1796875" style="28" customWidth="1"/>
    <col min="7" max="9" width="10.26953125" style="28" customWidth="1"/>
    <col min="10" max="16384" width="9.1796875" style="28"/>
  </cols>
  <sheetData>
    <row r="1" spans="1:9" ht="18" x14ac:dyDescent="0.4">
      <c r="A1" s="38" t="s">
        <v>21</v>
      </c>
      <c r="B1" s="37"/>
      <c r="C1" s="37"/>
      <c r="D1" s="37"/>
      <c r="E1" s="37"/>
      <c r="F1" s="37"/>
      <c r="G1" s="37"/>
      <c r="H1" s="37"/>
      <c r="I1" s="37"/>
    </row>
    <row r="2" spans="1:9" ht="18" x14ac:dyDescent="0.4">
      <c r="A2" s="38" t="s">
        <v>23</v>
      </c>
      <c r="B2" s="37"/>
      <c r="C2" s="37"/>
      <c r="D2" s="37"/>
      <c r="E2" s="37"/>
      <c r="F2" s="37"/>
      <c r="G2" s="37"/>
      <c r="H2" s="37"/>
      <c r="I2" s="37"/>
    </row>
    <row r="3" spans="1:9" x14ac:dyDescent="0.35">
      <c r="A3" s="39" t="s">
        <v>50</v>
      </c>
      <c r="B3" s="37"/>
      <c r="C3" s="37"/>
      <c r="D3" s="37"/>
      <c r="E3" s="37"/>
      <c r="F3" s="37"/>
      <c r="G3" s="37"/>
      <c r="H3" s="37"/>
      <c r="I3" s="37"/>
    </row>
    <row r="5" spans="1:9" ht="24" x14ac:dyDescent="0.35">
      <c r="B5" s="22" t="s">
        <v>31</v>
      </c>
      <c r="C5" s="22" t="s">
        <v>32</v>
      </c>
      <c r="D5" s="22" t="s">
        <v>33</v>
      </c>
      <c r="E5" s="22" t="s">
        <v>34</v>
      </c>
      <c r="F5" s="22" t="s">
        <v>35</v>
      </c>
      <c r="G5" s="22" t="s">
        <v>36</v>
      </c>
      <c r="H5" s="22" t="s">
        <v>37</v>
      </c>
      <c r="I5" s="22" t="s">
        <v>85</v>
      </c>
    </row>
    <row r="6" spans="1:9" x14ac:dyDescent="0.35">
      <c r="A6" s="23" t="s">
        <v>28</v>
      </c>
    </row>
    <row r="7" spans="1:9" x14ac:dyDescent="0.35">
      <c r="A7" s="23" t="s">
        <v>29</v>
      </c>
    </row>
    <row r="8" spans="1:9" x14ac:dyDescent="0.35">
      <c r="B8" s="24" t="s">
        <v>51</v>
      </c>
    </row>
    <row r="9" spans="1:9" x14ac:dyDescent="0.35">
      <c r="B9" s="24" t="s">
        <v>52</v>
      </c>
      <c r="C9" s="24" t="s">
        <v>22</v>
      </c>
      <c r="D9" s="24" t="s">
        <v>53</v>
      </c>
      <c r="E9" s="24"/>
      <c r="F9" s="24" t="s">
        <v>54</v>
      </c>
      <c r="G9" s="24" t="s">
        <v>24</v>
      </c>
      <c r="H9" s="25">
        <v>846.15</v>
      </c>
      <c r="I9" s="26"/>
    </row>
    <row r="10" spans="1:9" x14ac:dyDescent="0.35">
      <c r="B10" s="24" t="s">
        <v>55</v>
      </c>
      <c r="C10" s="24" t="s">
        <v>22</v>
      </c>
      <c r="D10" s="24">
        <v>39</v>
      </c>
      <c r="E10" s="24"/>
      <c r="F10" s="24" t="s">
        <v>56</v>
      </c>
      <c r="G10" s="24" t="s">
        <v>24</v>
      </c>
      <c r="H10" s="25">
        <v>1269</v>
      </c>
      <c r="I10" s="26"/>
    </row>
    <row r="11" spans="1:9" x14ac:dyDescent="0.35">
      <c r="B11" s="24" t="s">
        <v>57</v>
      </c>
      <c r="C11" s="24" t="s">
        <v>22</v>
      </c>
      <c r="D11" s="24">
        <v>121</v>
      </c>
      <c r="E11" s="24"/>
      <c r="F11" s="24" t="s">
        <v>58</v>
      </c>
      <c r="G11" s="24" t="s">
        <v>24</v>
      </c>
      <c r="H11" s="25">
        <v>846</v>
      </c>
      <c r="I11" s="26"/>
    </row>
    <row r="12" spans="1:9" x14ac:dyDescent="0.35">
      <c r="A12" s="23" t="s">
        <v>30</v>
      </c>
      <c r="H12" s="33">
        <v>2961.15</v>
      </c>
      <c r="I12" s="27" t="s">
        <v>43</v>
      </c>
    </row>
    <row r="13" spans="1:9" x14ac:dyDescent="0.35">
      <c r="A13" s="23" t="s">
        <v>38</v>
      </c>
    </row>
    <row r="14" spans="1:9" x14ac:dyDescent="0.35">
      <c r="A14" s="23" t="s">
        <v>39</v>
      </c>
    </row>
    <row r="15" spans="1:9" x14ac:dyDescent="0.35">
      <c r="B15" s="24" t="s">
        <v>51</v>
      </c>
    </row>
    <row r="16" spans="1:9" x14ac:dyDescent="0.35">
      <c r="B16" s="24" t="s">
        <v>59</v>
      </c>
      <c r="C16" s="24" t="s">
        <v>41</v>
      </c>
      <c r="D16" s="24">
        <v>2</v>
      </c>
      <c r="E16" s="24" t="s">
        <v>46</v>
      </c>
      <c r="F16" s="24" t="s">
        <v>60</v>
      </c>
      <c r="G16" s="24" t="s">
        <v>24</v>
      </c>
      <c r="H16" s="25">
        <v>6000.22</v>
      </c>
      <c r="I16" s="34"/>
    </row>
    <row r="17" spans="1:9" x14ac:dyDescent="0.35">
      <c r="B17" s="24" t="s">
        <v>61</v>
      </c>
      <c r="C17" s="24" t="s">
        <v>41</v>
      </c>
      <c r="D17" s="24">
        <v>3</v>
      </c>
      <c r="E17" s="24" t="s">
        <v>46</v>
      </c>
      <c r="F17" s="24" t="s">
        <v>62</v>
      </c>
      <c r="G17" s="24" t="s">
        <v>24</v>
      </c>
      <c r="H17" s="25">
        <v>7000</v>
      </c>
      <c r="I17" s="34"/>
    </row>
    <row r="18" spans="1:9" x14ac:dyDescent="0.35">
      <c r="A18" s="23" t="s">
        <v>40</v>
      </c>
      <c r="H18" s="33">
        <v>13000.22</v>
      </c>
      <c r="I18" s="27" t="s">
        <v>43</v>
      </c>
    </row>
    <row r="19" spans="1:9" x14ac:dyDescent="0.35">
      <c r="A19" s="23" t="s">
        <v>63</v>
      </c>
    </row>
    <row r="20" spans="1:9" x14ac:dyDescent="0.35">
      <c r="A20" s="23" t="s">
        <v>64</v>
      </c>
    </row>
    <row r="21" spans="1:9" x14ac:dyDescent="0.35">
      <c r="B21" s="24" t="s">
        <v>65</v>
      </c>
    </row>
    <row r="22" spans="1:9" x14ac:dyDescent="0.35">
      <c r="A22" s="23" t="s">
        <v>66</v>
      </c>
      <c r="H22" s="27" t="s">
        <v>67</v>
      </c>
      <c r="I22" s="27" t="s">
        <v>67</v>
      </c>
    </row>
    <row r="23" spans="1:9" x14ac:dyDescent="0.35">
      <c r="A23" s="23" t="s">
        <v>68</v>
      </c>
    </row>
    <row r="24" spans="1:9" x14ac:dyDescent="0.35">
      <c r="B24" s="24" t="s">
        <v>65</v>
      </c>
    </row>
    <row r="25" spans="1:9" x14ac:dyDescent="0.35">
      <c r="A25" s="23" t="s">
        <v>69</v>
      </c>
      <c r="H25" s="27" t="s">
        <v>67</v>
      </c>
      <c r="I25" s="27" t="s">
        <v>67</v>
      </c>
    </row>
    <row r="26" spans="1:9" x14ac:dyDescent="0.35">
      <c r="A26" s="23" t="s">
        <v>25</v>
      </c>
    </row>
    <row r="27" spans="1:9" x14ac:dyDescent="0.35">
      <c r="B27" s="24" t="s">
        <v>65</v>
      </c>
    </row>
    <row r="28" spans="1:9" x14ac:dyDescent="0.35">
      <c r="B28" s="24" t="s">
        <v>70</v>
      </c>
      <c r="C28" s="24" t="s">
        <v>41</v>
      </c>
      <c r="D28" s="24">
        <v>11480180</v>
      </c>
      <c r="E28" s="24" t="s">
        <v>20</v>
      </c>
      <c r="F28" s="24" t="s">
        <v>71</v>
      </c>
      <c r="G28" s="24" t="s">
        <v>24</v>
      </c>
      <c r="H28" s="25">
        <v>78.12</v>
      </c>
      <c r="I28" s="34"/>
    </row>
    <row r="29" spans="1:9" x14ac:dyDescent="0.35">
      <c r="B29" s="24" t="s">
        <v>72</v>
      </c>
      <c r="C29" s="24" t="s">
        <v>41</v>
      </c>
      <c r="D29" s="24" t="s">
        <v>73</v>
      </c>
      <c r="E29" s="24" t="s">
        <v>19</v>
      </c>
      <c r="F29" s="24" t="s">
        <v>74</v>
      </c>
      <c r="G29" s="24" t="s">
        <v>24</v>
      </c>
      <c r="H29" s="25">
        <v>58.98</v>
      </c>
      <c r="I29" s="34"/>
    </row>
    <row r="30" spans="1:9" x14ac:dyDescent="0.35">
      <c r="B30" s="24" t="s">
        <v>75</v>
      </c>
      <c r="C30" s="24" t="s">
        <v>41</v>
      </c>
      <c r="D30" s="24">
        <v>11517227</v>
      </c>
      <c r="E30" s="24" t="s">
        <v>20</v>
      </c>
      <c r="F30" s="24" t="s">
        <v>76</v>
      </c>
      <c r="G30" s="24" t="s">
        <v>24</v>
      </c>
      <c r="H30" s="25">
        <v>78.12</v>
      </c>
      <c r="I30" s="34"/>
    </row>
    <row r="31" spans="1:9" x14ac:dyDescent="0.35">
      <c r="B31" s="24" t="s">
        <v>77</v>
      </c>
      <c r="C31" s="24" t="s">
        <v>41</v>
      </c>
      <c r="D31" s="24">
        <v>11557357</v>
      </c>
      <c r="E31" s="24" t="s">
        <v>20</v>
      </c>
      <c r="F31" s="24" t="s">
        <v>78</v>
      </c>
      <c r="G31" s="24" t="s">
        <v>24</v>
      </c>
      <c r="H31" s="25">
        <v>78.12</v>
      </c>
      <c r="I31" s="34"/>
    </row>
    <row r="32" spans="1:9" x14ac:dyDescent="0.35">
      <c r="B32" s="24" t="s">
        <v>61</v>
      </c>
      <c r="C32" s="24" t="s">
        <v>41</v>
      </c>
      <c r="D32" s="24" t="s">
        <v>79</v>
      </c>
      <c r="E32" s="24" t="s">
        <v>19</v>
      </c>
      <c r="F32" s="24" t="s">
        <v>80</v>
      </c>
      <c r="G32" s="24" t="s">
        <v>24</v>
      </c>
      <c r="H32" s="25">
        <v>317.06</v>
      </c>
      <c r="I32" s="34"/>
    </row>
    <row r="33" spans="1:9" x14ac:dyDescent="0.35">
      <c r="A33" s="23" t="s">
        <v>26</v>
      </c>
      <c r="H33" s="33">
        <v>610.4</v>
      </c>
      <c r="I33" s="27" t="s">
        <v>67</v>
      </c>
    </row>
    <row r="34" spans="1:9" x14ac:dyDescent="0.35">
      <c r="A34" s="23" t="s">
        <v>81</v>
      </c>
    </row>
    <row r="35" spans="1:9" x14ac:dyDescent="0.35">
      <c r="B35" s="24" t="s">
        <v>65</v>
      </c>
    </row>
    <row r="36" spans="1:9" x14ac:dyDescent="0.35">
      <c r="A36" s="23" t="s">
        <v>82</v>
      </c>
      <c r="H36" s="27" t="s">
        <v>67</v>
      </c>
      <c r="I36" s="27" t="s">
        <v>67</v>
      </c>
    </row>
    <row r="37" spans="1:9" x14ac:dyDescent="0.35">
      <c r="A37" s="23" t="s">
        <v>83</v>
      </c>
      <c r="H37" s="27">
        <v>610.4</v>
      </c>
      <c r="I37" s="27" t="s">
        <v>43</v>
      </c>
    </row>
    <row r="38" spans="1:9" x14ac:dyDescent="0.35">
      <c r="A38" s="23" t="s">
        <v>42</v>
      </c>
      <c r="H38" s="27">
        <v>13610.62</v>
      </c>
      <c r="I38" s="27"/>
    </row>
    <row r="41" spans="1:9" x14ac:dyDescent="0.35">
      <c r="A41" s="36" t="s">
        <v>84</v>
      </c>
      <c r="B41" s="37"/>
      <c r="C41" s="37"/>
      <c r="D41" s="37"/>
      <c r="E41" s="37"/>
      <c r="F41" s="37"/>
      <c r="G41" s="37"/>
      <c r="H41" s="37"/>
      <c r="I41" s="37"/>
    </row>
  </sheetData>
  <mergeCells count="4">
    <mergeCell ref="A41:I41"/>
    <mergeCell ref="A1:I1"/>
    <mergeCell ref="A2:I2"/>
    <mergeCell ref="A3:I3"/>
  </mergeCells>
  <pageMargins left="0.25" right="0.25" top="0.75" bottom="0.75" header="0.3" footer="0.3"/>
  <pageSetup paperSize="5" scale="7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Expend Report</vt:lpstr>
      <vt:lpstr>GL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Peter Schmitt</cp:lastModifiedBy>
  <cp:lastPrinted>2019-10-17T17:21:15Z</cp:lastPrinted>
  <dcterms:created xsi:type="dcterms:W3CDTF">2018-10-05T21:05:11Z</dcterms:created>
  <dcterms:modified xsi:type="dcterms:W3CDTF">2020-01-24T17:03:37Z</dcterms:modified>
</cp:coreProperties>
</file>