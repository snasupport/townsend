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Peter\Documents\Associates\Projects\Townsend\UrbanLeague\Abbott\"/>
    </mc:Choice>
  </mc:AlternateContent>
  <bookViews>
    <workbookView xWindow="0" yWindow="0" windowWidth="28800" windowHeight="12860" tabRatio="693" firstSheet="4" activeTab="11"/>
  </bookViews>
  <sheets>
    <sheet name="Quarter 1" sheetId="1" r:id="rId1"/>
    <sheet name="GL Q1" sheetId="15" r:id="rId2"/>
    <sheet name="Salary Alloc Q1" sheetId="13" r:id="rId3"/>
    <sheet name="Benefit Q1" sheetId="14" r:id="rId4"/>
    <sheet name="Quarter 2" sheetId="2" r:id="rId5"/>
    <sheet name="GL Q2" sheetId="16" r:id="rId6"/>
    <sheet name="P and L " sheetId="19" r:id="rId7"/>
    <sheet name="Salary Report Q2" sheetId="17" r:id="rId8"/>
    <sheet name="Salary Details" sheetId="20" r:id="rId9"/>
    <sheet name="Benefits Q2" sheetId="18" r:id="rId10"/>
    <sheet name="Quarter 3" sheetId="3" r:id="rId11"/>
    <sheet name="PL Qrt 3" sheetId="21" r:id="rId12"/>
    <sheet name="Quarter 4" sheetId="4" r:id="rId13"/>
    <sheet name="Quarter 1 - 4" sheetId="5" r:id="rId14"/>
    <sheet name="Schedule A Personnel" sheetId="11" r:id="rId15"/>
    <sheet name="Provider Planning Budget" sheetId="12" r:id="rId16"/>
    <sheet name="Monthly Enrollment Tracker" sheetId="6" r:id="rId17"/>
  </sheets>
  <externalReferences>
    <externalReference r:id="rId18"/>
  </externalReferences>
  <definedNames>
    <definedName name="_xlnm.Print_Area" localSheetId="5">'GL Q2'!$A$1:$J$261</definedName>
    <definedName name="_xlnm.Print_Area" localSheetId="15">'Provider Planning Budget'!$A$1:$I$111</definedName>
    <definedName name="_xlnm.Print_Area" localSheetId="0">'Quarter 1'!$A$1:$M$65</definedName>
    <definedName name="_xlnm.Print_Area" localSheetId="4">'Quarter 2'!$A$1:$M$64</definedName>
    <definedName name="_xlnm.Print_Area" localSheetId="10">'Quarter 3'!$A$1:$N$64</definedName>
    <definedName name="_xlnm.Print_Area" localSheetId="12">'Quarter 4'!$A$1:$O$64</definedName>
    <definedName name="_xlnm.Print_Area" localSheetId="14">'Schedule A Personnel'!$A$1:$K$61</definedName>
    <definedName name="_xlnm.Print_Titles" localSheetId="5">'GL Q2'!$1:$5</definedName>
    <definedName name="_xlnm.Print_Titles" localSheetId="0">'Quarter 1'!$1:$5</definedName>
    <definedName name="_xlnm.Print_Titles" localSheetId="13">'Quarter 1 - 4'!$1:$5</definedName>
    <definedName name="_xlnm.Print_Titles" localSheetId="4">'Quarter 2'!$1:$5</definedName>
    <definedName name="_xlnm.Print_Titles" localSheetId="10">'Quarter 3'!$1:$5</definedName>
    <definedName name="_xlnm.Print_Titles" localSheetId="12">'Quarter 4'!$1:$5</definedName>
    <definedName name="_xlnm.Print_Titles" localSheetId="14">'Schedule A Personnel'!$15:$15</definedName>
    <definedName name="test_Data_Enrollment_Summarizes_Data">#REF!</definedName>
  </definedNames>
  <calcPr calcId="152511"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2" i="2" l="1"/>
  <c r="E39" i="2" l="1"/>
  <c r="E38" i="2"/>
  <c r="E37" i="2"/>
  <c r="E36" i="2"/>
  <c r="E25" i="2"/>
  <c r="E24" i="2"/>
  <c r="E23" i="2"/>
  <c r="E22" i="2"/>
  <c r="K35" i="2"/>
  <c r="K21" i="2"/>
  <c r="E34" i="2"/>
  <c r="E32" i="2"/>
  <c r="E30" i="2"/>
  <c r="E28" i="2"/>
  <c r="E19" i="2"/>
  <c r="E16" i="2"/>
  <c r="E9" i="2"/>
  <c r="E8" i="2"/>
  <c r="E7" i="2"/>
  <c r="O20" i="17"/>
  <c r="O19" i="17"/>
  <c r="O14" i="17"/>
  <c r="M21" i="17"/>
  <c r="I40" i="17"/>
  <c r="J40" i="17" s="1"/>
  <c r="J38" i="17"/>
  <c r="I38" i="17"/>
  <c r="I36" i="17"/>
  <c r="J36" i="17" s="1"/>
  <c r="I34" i="17"/>
  <c r="J34" i="17" s="1"/>
  <c r="I30" i="17"/>
  <c r="J30" i="17" s="1"/>
  <c r="J28" i="17"/>
  <c r="I28" i="17"/>
  <c r="H167" i="20" l="1"/>
  <c r="H156" i="20"/>
  <c r="H146" i="20"/>
  <c r="H136" i="20"/>
  <c r="H127" i="20"/>
  <c r="H118" i="20"/>
  <c r="H109" i="20"/>
  <c r="H111" i="20" s="1"/>
  <c r="H169" i="20" s="1"/>
  <c r="H99" i="20"/>
  <c r="H83" i="20"/>
  <c r="H72" i="20"/>
  <c r="H62" i="20"/>
  <c r="H59" i="20"/>
  <c r="H48" i="20"/>
  <c r="H50" i="20" s="1"/>
  <c r="H32" i="20"/>
  <c r="H20" i="20"/>
  <c r="H22" i="20" s="1"/>
  <c r="E103" i="19" l="1"/>
  <c r="D103" i="19"/>
  <c r="C103" i="19"/>
  <c r="B102" i="19"/>
  <c r="B103" i="19" s="1"/>
  <c r="F103" i="19" s="1"/>
  <c r="C101" i="19"/>
  <c r="F101" i="19" s="1"/>
  <c r="F100" i="19"/>
  <c r="E99" i="19"/>
  <c r="D98" i="19"/>
  <c r="D99" i="19" s="1"/>
  <c r="B98" i="19"/>
  <c r="B99" i="19" s="1"/>
  <c r="F99" i="19" s="1"/>
  <c r="C97" i="19"/>
  <c r="F97" i="19" s="1"/>
  <c r="B97" i="19"/>
  <c r="C96" i="19"/>
  <c r="C99" i="19" s="1"/>
  <c r="B96" i="19"/>
  <c r="F96" i="19" s="1"/>
  <c r="F95" i="19"/>
  <c r="E94" i="19"/>
  <c r="D94" i="19"/>
  <c r="C93" i="19"/>
  <c r="B93" i="19"/>
  <c r="F93" i="19" s="1"/>
  <c r="C92" i="19"/>
  <c r="C94" i="19" s="1"/>
  <c r="B92" i="19"/>
  <c r="B94" i="19" s="1"/>
  <c r="F94" i="19" s="1"/>
  <c r="F91" i="19"/>
  <c r="E89" i="19"/>
  <c r="E88" i="19"/>
  <c r="D88" i="19"/>
  <c r="D89" i="19" s="1"/>
  <c r="C88" i="19"/>
  <c r="C89" i="19" s="1"/>
  <c r="B88" i="19"/>
  <c r="B89" i="19" s="1"/>
  <c r="C87" i="19"/>
  <c r="B87" i="19"/>
  <c r="F87" i="19" s="1"/>
  <c r="F86" i="19"/>
  <c r="F85" i="19"/>
  <c r="E84" i="19"/>
  <c r="D84" i="19"/>
  <c r="C84" i="19"/>
  <c r="C83" i="19"/>
  <c r="B83" i="19"/>
  <c r="B84" i="19" s="1"/>
  <c r="F84" i="19" s="1"/>
  <c r="F82" i="19"/>
  <c r="C81" i="19"/>
  <c r="F81" i="19" s="1"/>
  <c r="E80" i="19"/>
  <c r="D80" i="19"/>
  <c r="C79" i="19"/>
  <c r="B79" i="19"/>
  <c r="F79" i="19" s="1"/>
  <c r="F78" i="19"/>
  <c r="B78" i="19"/>
  <c r="C77" i="19"/>
  <c r="C80" i="19" s="1"/>
  <c r="B77" i="19"/>
  <c r="F77" i="19" s="1"/>
  <c r="E76" i="19"/>
  <c r="D76" i="19"/>
  <c r="C76" i="19"/>
  <c r="C75" i="19"/>
  <c r="B75" i="19"/>
  <c r="F75" i="19" s="1"/>
  <c r="F74" i="19"/>
  <c r="C73" i="19"/>
  <c r="F73" i="19" s="1"/>
  <c r="B73" i="19"/>
  <c r="E72" i="19"/>
  <c r="E90" i="19" s="1"/>
  <c r="D72" i="19"/>
  <c r="B72" i="19"/>
  <c r="C71" i="19"/>
  <c r="F71" i="19" s="1"/>
  <c r="B71" i="19"/>
  <c r="C70" i="19"/>
  <c r="B70" i="19"/>
  <c r="F70" i="19" s="1"/>
  <c r="F69" i="19"/>
  <c r="F68" i="19"/>
  <c r="E67" i="19"/>
  <c r="C66" i="19"/>
  <c r="B66" i="19"/>
  <c r="F66" i="19" s="1"/>
  <c r="C65" i="19"/>
  <c r="F65" i="19" s="1"/>
  <c r="B65" i="19"/>
  <c r="E64" i="19"/>
  <c r="D64" i="19"/>
  <c r="B64" i="19"/>
  <c r="C63" i="19"/>
  <c r="F63" i="19" s="1"/>
  <c r="B63" i="19"/>
  <c r="F62" i="19"/>
  <c r="E61" i="19"/>
  <c r="D61" i="19"/>
  <c r="D67" i="19" s="1"/>
  <c r="C61" i="19"/>
  <c r="B61" i="19"/>
  <c r="B67" i="19" s="1"/>
  <c r="F60" i="19"/>
  <c r="C60" i="19"/>
  <c r="B60" i="19"/>
  <c r="F59" i="19"/>
  <c r="F58" i="19"/>
  <c r="E57" i="19"/>
  <c r="D57" i="19"/>
  <c r="E56" i="19"/>
  <c r="D56" i="19"/>
  <c r="B56" i="19"/>
  <c r="C55" i="19"/>
  <c r="F55" i="19" s="1"/>
  <c r="B55" i="19"/>
  <c r="F54" i="19"/>
  <c r="E53" i="19"/>
  <c r="D53" i="19"/>
  <c r="C53" i="19"/>
  <c r="B53" i="19"/>
  <c r="B57" i="19" s="1"/>
  <c r="F52" i="19"/>
  <c r="C52" i="19"/>
  <c r="B52" i="19"/>
  <c r="F51" i="19"/>
  <c r="F50" i="19"/>
  <c r="E48" i="19"/>
  <c r="D48" i="19"/>
  <c r="B48" i="19"/>
  <c r="F48" i="19" s="1"/>
  <c r="C47" i="19"/>
  <c r="C48" i="19" s="1"/>
  <c r="B47" i="19"/>
  <c r="F46" i="19"/>
  <c r="F44" i="19"/>
  <c r="C44" i="19"/>
  <c r="B44" i="19"/>
  <c r="C43" i="19"/>
  <c r="B43" i="19"/>
  <c r="F43" i="19" s="1"/>
  <c r="C42" i="19"/>
  <c r="B42" i="19"/>
  <c r="F42" i="19" s="1"/>
  <c r="C41" i="19"/>
  <c r="B41" i="19"/>
  <c r="F41" i="19" s="1"/>
  <c r="E40" i="19"/>
  <c r="E45" i="19" s="1"/>
  <c r="D40" i="19"/>
  <c r="D45" i="19" s="1"/>
  <c r="C40" i="19"/>
  <c r="C45" i="19" s="1"/>
  <c r="B40" i="19"/>
  <c r="B45" i="19" s="1"/>
  <c r="F45" i="19" s="1"/>
  <c r="C39" i="19"/>
  <c r="B39" i="19"/>
  <c r="F39" i="19" s="1"/>
  <c r="F38" i="19"/>
  <c r="F37" i="19"/>
  <c r="E36" i="19"/>
  <c r="D36" i="19"/>
  <c r="C35" i="19"/>
  <c r="B35" i="19"/>
  <c r="F35" i="19" s="1"/>
  <c r="C34" i="19"/>
  <c r="B34" i="19"/>
  <c r="F34" i="19" s="1"/>
  <c r="C33" i="19"/>
  <c r="B33" i="19"/>
  <c r="F33" i="19" s="1"/>
  <c r="D32" i="19"/>
  <c r="C32" i="19"/>
  <c r="B32" i="19"/>
  <c r="F32" i="19" s="1"/>
  <c r="F31" i="19"/>
  <c r="D31" i="19"/>
  <c r="C31" i="19"/>
  <c r="C36" i="19" s="1"/>
  <c r="B31" i="19"/>
  <c r="B36" i="19" s="1"/>
  <c r="F36" i="19" s="1"/>
  <c r="F30" i="19"/>
  <c r="E29" i="19"/>
  <c r="E49" i="19" s="1"/>
  <c r="D29" i="19"/>
  <c r="D49" i="19" s="1"/>
  <c r="E28" i="19"/>
  <c r="D28" i="19"/>
  <c r="B28" i="19"/>
  <c r="B29" i="19" s="1"/>
  <c r="C27" i="19"/>
  <c r="C28" i="19" s="1"/>
  <c r="C29" i="19" s="1"/>
  <c r="C49" i="19" s="1"/>
  <c r="B27" i="19"/>
  <c r="F26" i="19"/>
  <c r="F25" i="19"/>
  <c r="F24" i="19"/>
  <c r="E20" i="19"/>
  <c r="D20" i="19"/>
  <c r="C20" i="19"/>
  <c r="B19" i="19"/>
  <c r="B20" i="19" s="1"/>
  <c r="F20" i="19" s="1"/>
  <c r="F18" i="19"/>
  <c r="E17" i="19"/>
  <c r="D17" i="19"/>
  <c r="C16" i="19"/>
  <c r="C17" i="19" s="1"/>
  <c r="B16" i="19"/>
  <c r="B17" i="19" s="1"/>
  <c r="F15" i="19"/>
  <c r="C12" i="19"/>
  <c r="F12" i="19" s="1"/>
  <c r="B12" i="19"/>
  <c r="E11" i="19"/>
  <c r="E13" i="19" s="1"/>
  <c r="E14" i="19" s="1"/>
  <c r="E21" i="19" s="1"/>
  <c r="E22" i="19" s="1"/>
  <c r="D11" i="19"/>
  <c r="D13" i="19" s="1"/>
  <c r="D14" i="19" s="1"/>
  <c r="D21" i="19" s="1"/>
  <c r="D22" i="19" s="1"/>
  <c r="C11" i="19"/>
  <c r="C13" i="19" s="1"/>
  <c r="C14" i="19" s="1"/>
  <c r="C10" i="19"/>
  <c r="F10" i="19" s="1"/>
  <c r="B10" i="19"/>
  <c r="B11" i="19" s="1"/>
  <c r="F9" i="19"/>
  <c r="F8" i="19"/>
  <c r="F7" i="19"/>
  <c r="O43" i="18"/>
  <c r="K41" i="18"/>
  <c r="F41" i="18"/>
  <c r="D41" i="18"/>
  <c r="P40" i="18"/>
  <c r="P39" i="18"/>
  <c r="P38" i="18"/>
  <c r="P37" i="18"/>
  <c r="M36" i="18"/>
  <c r="L36" i="18"/>
  <c r="K36" i="18"/>
  <c r="H36" i="18"/>
  <c r="G36" i="18"/>
  <c r="F36" i="18"/>
  <c r="D36" i="18"/>
  <c r="J35" i="18"/>
  <c r="N35" i="18" s="1"/>
  <c r="P35" i="18" s="1"/>
  <c r="E35" i="18"/>
  <c r="J34" i="18"/>
  <c r="E34" i="18"/>
  <c r="J33" i="18"/>
  <c r="N33" i="18" s="1"/>
  <c r="P33" i="18" s="1"/>
  <c r="E33" i="18"/>
  <c r="J32" i="18"/>
  <c r="E32" i="18"/>
  <c r="N32" i="18" s="1"/>
  <c r="P32" i="18" s="1"/>
  <c r="O31" i="18"/>
  <c r="J31" i="18"/>
  <c r="N31" i="18"/>
  <c r="P31" i="18" s="1"/>
  <c r="N30" i="18"/>
  <c r="P30" i="18" s="1"/>
  <c r="J30" i="18"/>
  <c r="E30" i="18"/>
  <c r="O29" i="18"/>
  <c r="J29" i="18"/>
  <c r="E29" i="18"/>
  <c r="P28" i="18"/>
  <c r="N28" i="18"/>
  <c r="P27" i="18"/>
  <c r="M26" i="18"/>
  <c r="L26" i="18"/>
  <c r="K26" i="18"/>
  <c r="H26" i="18"/>
  <c r="H43" i="18" s="1"/>
  <c r="G26" i="18"/>
  <c r="F26" i="18"/>
  <c r="D26" i="18"/>
  <c r="D43" i="18" s="1"/>
  <c r="J25" i="18"/>
  <c r="E25" i="18"/>
  <c r="N25" i="18" s="1"/>
  <c r="P25" i="18" s="1"/>
  <c r="J24" i="18"/>
  <c r="N24" i="18" s="1"/>
  <c r="P24" i="18" s="1"/>
  <c r="E24" i="18"/>
  <c r="J23" i="18"/>
  <c r="E23" i="18"/>
  <c r="J22" i="18"/>
  <c r="E22" i="18"/>
  <c r="J21" i="18"/>
  <c r="E21" i="18"/>
  <c r="J20" i="18"/>
  <c r="E20" i="18"/>
  <c r="J19" i="18"/>
  <c r="E19" i="18"/>
  <c r="J18" i="18"/>
  <c r="E18" i="18"/>
  <c r="J17" i="18"/>
  <c r="E17" i="18"/>
  <c r="N17" i="18" s="1"/>
  <c r="P17" i="18" s="1"/>
  <c r="J16" i="18"/>
  <c r="E16" i="18"/>
  <c r="J15" i="18"/>
  <c r="E15" i="18"/>
  <c r="J14" i="18"/>
  <c r="E14" i="18"/>
  <c r="J13" i="18"/>
  <c r="E13" i="18"/>
  <c r="N13" i="18" s="1"/>
  <c r="P13" i="18" s="1"/>
  <c r="J12" i="18"/>
  <c r="E12" i="18"/>
  <c r="J11" i="18"/>
  <c r="E11" i="18"/>
  <c r="J10" i="18"/>
  <c r="E10" i="18"/>
  <c r="J9" i="18"/>
  <c r="E9" i="18"/>
  <c r="N9" i="18" s="1"/>
  <c r="M6" i="18"/>
  <c r="L49" i="17"/>
  <c r="N46" i="17"/>
  <c r="M46" i="17"/>
  <c r="I46" i="17"/>
  <c r="F46" i="17"/>
  <c r="M41" i="17"/>
  <c r="L41" i="17"/>
  <c r="L48" i="17" s="1"/>
  <c r="K41" i="17"/>
  <c r="H41" i="17"/>
  <c r="F41" i="17"/>
  <c r="G40" i="17"/>
  <c r="N39" i="17"/>
  <c r="G38" i="17"/>
  <c r="N37" i="17"/>
  <c r="G36" i="17"/>
  <c r="N35" i="17"/>
  <c r="G34" i="17"/>
  <c r="M31" i="17"/>
  <c r="K31" i="17"/>
  <c r="K48" i="17" s="1"/>
  <c r="H31" i="17"/>
  <c r="F31" i="17"/>
  <c r="F48" i="17" s="1"/>
  <c r="G30" i="17"/>
  <c r="N29" i="17"/>
  <c r="G28" i="17"/>
  <c r="N27" i="17"/>
  <c r="N26" i="17"/>
  <c r="N25" i="17"/>
  <c r="N24" i="17"/>
  <c r="G24" i="17"/>
  <c r="N23" i="17"/>
  <c r="E20" i="17"/>
  <c r="N19" i="17"/>
  <c r="N18" i="17"/>
  <c r="N17" i="17"/>
  <c r="G16" i="17"/>
  <c r="E15" i="17"/>
  <c r="G9" i="17" s="1"/>
  <c r="N11" i="17"/>
  <c r="I9" i="17"/>
  <c r="M48" i="17" l="1"/>
  <c r="N11" i="18"/>
  <c r="P11" i="18" s="1"/>
  <c r="N15" i="18"/>
  <c r="P15" i="18" s="1"/>
  <c r="N19" i="18"/>
  <c r="P19" i="18" s="1"/>
  <c r="N23" i="18"/>
  <c r="P23" i="18" s="1"/>
  <c r="N21" i="18"/>
  <c r="P21" i="18" s="1"/>
  <c r="N34" i="18"/>
  <c r="P34" i="18" s="1"/>
  <c r="K43" i="18"/>
  <c r="L43" i="18"/>
  <c r="M43" i="18"/>
  <c r="N16" i="18"/>
  <c r="P16" i="18" s="1"/>
  <c r="J26" i="18"/>
  <c r="F43" i="18"/>
  <c r="N12" i="18"/>
  <c r="P12" i="18" s="1"/>
  <c r="E36" i="18"/>
  <c r="G43" i="18"/>
  <c r="N29" i="18"/>
  <c r="P29" i="18" s="1"/>
  <c r="N14" i="18"/>
  <c r="P14" i="18" s="1"/>
  <c r="N10" i="18"/>
  <c r="P10" i="18" s="1"/>
  <c r="N18" i="18"/>
  <c r="P18" i="18" s="1"/>
  <c r="N22" i="18"/>
  <c r="P22" i="18" s="1"/>
  <c r="E26" i="18"/>
  <c r="N20" i="18"/>
  <c r="P20" i="18" s="1"/>
  <c r="B49" i="19"/>
  <c r="F29" i="19"/>
  <c r="F56" i="19"/>
  <c r="D90" i="19"/>
  <c r="D104" i="19" s="1"/>
  <c r="D105" i="19" s="1"/>
  <c r="D106" i="19" s="1"/>
  <c r="B13" i="19"/>
  <c r="F11" i="19"/>
  <c r="F17" i="19"/>
  <c r="C21" i="19"/>
  <c r="C22" i="19" s="1"/>
  <c r="E104" i="19"/>
  <c r="E105" i="19" s="1"/>
  <c r="E106" i="19" s="1"/>
  <c r="F89" i="19"/>
  <c r="F27" i="19"/>
  <c r="F47" i="19"/>
  <c r="F92" i="19"/>
  <c r="C56" i="19"/>
  <c r="C57" i="19" s="1"/>
  <c r="F57" i="19" s="1"/>
  <c r="C64" i="19"/>
  <c r="C67" i="19" s="1"/>
  <c r="C72" i="19"/>
  <c r="C90" i="19" s="1"/>
  <c r="B80" i="19"/>
  <c r="F80" i="19" s="1"/>
  <c r="F16" i="19"/>
  <c r="F19" i="19"/>
  <c r="F40" i="19"/>
  <c r="F88" i="19"/>
  <c r="F98" i="19"/>
  <c r="F83" i="19"/>
  <c r="F28" i="19"/>
  <c r="B76" i="19"/>
  <c r="F76" i="19" s="1"/>
  <c r="F102" i="19"/>
  <c r="F53" i="19"/>
  <c r="F61" i="19"/>
  <c r="P9" i="18"/>
  <c r="J36" i="18"/>
  <c r="H48" i="17"/>
  <c r="K51" i="17" s="1"/>
  <c r="O26" i="17"/>
  <c r="N40" i="17"/>
  <c r="I31" i="17"/>
  <c r="N28" i="17"/>
  <c r="N31" i="17" s="1"/>
  <c r="J31" i="17"/>
  <c r="N34" i="17"/>
  <c r="I41" i="17"/>
  <c r="N30" i="17"/>
  <c r="N36" i="17"/>
  <c r="N38" i="17"/>
  <c r="O24" i="17"/>
  <c r="P36" i="18" l="1"/>
  <c r="J43" i="18"/>
  <c r="N36" i="18"/>
  <c r="E43" i="18"/>
  <c r="N26" i="18"/>
  <c r="L51" i="17"/>
  <c r="F67" i="19"/>
  <c r="C104" i="19"/>
  <c r="C105" i="19" s="1"/>
  <c r="C106" i="19" s="1"/>
  <c r="F64" i="19"/>
  <c r="F13" i="19"/>
  <c r="B14" i="19"/>
  <c r="B104" i="19"/>
  <c r="F104" i="19" s="1"/>
  <c r="F49" i="19"/>
  <c r="F72" i="19"/>
  <c r="B90" i="19"/>
  <c r="F90" i="19" s="1"/>
  <c r="Q15" i="18"/>
  <c r="P26" i="18"/>
  <c r="M51" i="17"/>
  <c r="P26" i="17"/>
  <c r="J41" i="17"/>
  <c r="J48" i="17" s="1"/>
  <c r="J51" i="17" s="1"/>
  <c r="I48" i="17"/>
  <c r="N41" i="17"/>
  <c r="N48" i="17" s="1"/>
  <c r="O34" i="17"/>
  <c r="P43" i="18" l="1"/>
  <c r="N43" i="18"/>
  <c r="B21" i="19"/>
  <c r="F14" i="19"/>
  <c r="B22" i="19" l="1"/>
  <c r="F21" i="19"/>
  <c r="B105" i="19" l="1"/>
  <c r="F22" i="19"/>
  <c r="B106" i="19" l="1"/>
  <c r="F106" i="19" s="1"/>
  <c r="F105" i="19"/>
  <c r="H192" i="15" l="1"/>
  <c r="H139" i="15"/>
  <c r="H29" i="15"/>
  <c r="H23" i="15"/>
  <c r="H30" i="15" s="1"/>
  <c r="H13" i="15"/>
  <c r="H14" i="15" s="1"/>
  <c r="H15" i="15" s="1"/>
  <c r="H16" i="15" s="1"/>
  <c r="E39" i="1"/>
  <c r="E38" i="1"/>
  <c r="E37" i="1"/>
  <c r="E36" i="1"/>
  <c r="E25" i="1"/>
  <c r="E24" i="1"/>
  <c r="E23" i="1"/>
  <c r="E22" i="1"/>
  <c r="O23" i="13"/>
  <c r="O25" i="13"/>
  <c r="N38" i="13"/>
  <c r="N36" i="13"/>
  <c r="N34" i="13"/>
  <c r="N28" i="13"/>
  <c r="N26" i="13"/>
  <c r="N25" i="13"/>
  <c r="N24" i="13"/>
  <c r="N23" i="13"/>
  <c r="N22" i="13"/>
  <c r="N18" i="13"/>
  <c r="N17" i="13"/>
  <c r="N16" i="13"/>
  <c r="N11" i="13"/>
  <c r="O18" i="13" s="1"/>
  <c r="P25" i="13" s="1"/>
  <c r="N45" i="13"/>
  <c r="J9" i="14"/>
  <c r="O43" i="14"/>
  <c r="K41" i="14"/>
  <c r="F41" i="14"/>
  <c r="D41" i="14"/>
  <c r="P40" i="14"/>
  <c r="P39" i="14"/>
  <c r="P38" i="14"/>
  <c r="P37" i="14"/>
  <c r="M36" i="14"/>
  <c r="L36" i="14"/>
  <c r="K36" i="14"/>
  <c r="H36" i="14"/>
  <c r="G36" i="14"/>
  <c r="F36" i="14"/>
  <c r="D36" i="14"/>
  <c r="N35" i="14"/>
  <c r="J35" i="14"/>
  <c r="E35" i="14"/>
  <c r="J34" i="14"/>
  <c r="E34" i="14"/>
  <c r="N34" i="14" s="1"/>
  <c r="P34" i="14" s="1"/>
  <c r="J33" i="14"/>
  <c r="N33" i="14" s="1"/>
  <c r="P33" i="14" s="1"/>
  <c r="E33" i="14"/>
  <c r="J32" i="14"/>
  <c r="E32" i="14"/>
  <c r="J31" i="14"/>
  <c r="N31" i="14" s="1"/>
  <c r="E31" i="14"/>
  <c r="J30" i="14"/>
  <c r="E30" i="14"/>
  <c r="N29" i="14"/>
  <c r="J29" i="14"/>
  <c r="E29" i="14"/>
  <c r="N28" i="14"/>
  <c r="P28" i="14" s="1"/>
  <c r="P27" i="14"/>
  <c r="M26" i="14"/>
  <c r="M43" i="14" s="1"/>
  <c r="L26" i="14"/>
  <c r="L43" i="14" s="1"/>
  <c r="K26" i="14"/>
  <c r="K43" i="14" s="1"/>
  <c r="H26" i="14"/>
  <c r="H43" i="14" s="1"/>
  <c r="G26" i="14"/>
  <c r="F26" i="14"/>
  <c r="D26" i="14"/>
  <c r="J25" i="14"/>
  <c r="E25" i="14"/>
  <c r="J24" i="14"/>
  <c r="E24" i="14"/>
  <c r="J23" i="14"/>
  <c r="E23" i="14"/>
  <c r="J22" i="14"/>
  <c r="E22" i="14"/>
  <c r="J21" i="14"/>
  <c r="E21" i="14"/>
  <c r="J20" i="14"/>
  <c r="E20" i="14"/>
  <c r="J19" i="14"/>
  <c r="E19" i="14"/>
  <c r="J18" i="14"/>
  <c r="E18" i="14"/>
  <c r="J17" i="14"/>
  <c r="E17" i="14"/>
  <c r="J16" i="14"/>
  <c r="E16" i="14"/>
  <c r="J15" i="14"/>
  <c r="E15" i="14"/>
  <c r="J14" i="14"/>
  <c r="N14" i="14" s="1"/>
  <c r="P14" i="14" s="1"/>
  <c r="E14" i="14"/>
  <c r="J13" i="14"/>
  <c r="E13" i="14"/>
  <c r="J12" i="14"/>
  <c r="N12" i="14" s="1"/>
  <c r="P12" i="14" s="1"/>
  <c r="E12" i="14"/>
  <c r="J11" i="14"/>
  <c r="E11" i="14"/>
  <c r="J10" i="14"/>
  <c r="E10" i="14"/>
  <c r="E9" i="14"/>
  <c r="N9" i="14" s="1"/>
  <c r="M6" i="14"/>
  <c r="J28" i="13"/>
  <c r="N13" i="14" l="1"/>
  <c r="P13" i="14" s="1"/>
  <c r="N17" i="14"/>
  <c r="P17" i="14" s="1"/>
  <c r="N21" i="14"/>
  <c r="P21" i="14" s="1"/>
  <c r="N25" i="14"/>
  <c r="P25" i="14" s="1"/>
  <c r="N18" i="14"/>
  <c r="P18" i="14" s="1"/>
  <c r="N22" i="14"/>
  <c r="P22" i="14" s="1"/>
  <c r="D43" i="14"/>
  <c r="N32" i="14"/>
  <c r="P32" i="14" s="1"/>
  <c r="F43" i="14"/>
  <c r="E36" i="14"/>
  <c r="N11" i="14"/>
  <c r="P11" i="14" s="1"/>
  <c r="N15" i="14"/>
  <c r="P15" i="14" s="1"/>
  <c r="N19" i="14"/>
  <c r="P19" i="14" s="1"/>
  <c r="G43" i="14"/>
  <c r="N20" i="14"/>
  <c r="P20" i="14" s="1"/>
  <c r="N24" i="14"/>
  <c r="P24" i="14" s="1"/>
  <c r="N30" i="14"/>
  <c r="P30" i="14" s="1"/>
  <c r="P35" i="14"/>
  <c r="N23" i="14"/>
  <c r="P23" i="14" s="1"/>
  <c r="J36" i="14"/>
  <c r="J26" i="14"/>
  <c r="E26" i="14"/>
  <c r="E43" i="14" s="1"/>
  <c r="P9" i="14"/>
  <c r="N16" i="14"/>
  <c r="P16" i="14" s="1"/>
  <c r="N10" i="14"/>
  <c r="P10" i="14" s="1"/>
  <c r="N36" i="14" l="1"/>
  <c r="J43" i="14"/>
  <c r="N26" i="14"/>
  <c r="N43" i="14" s="1"/>
  <c r="Q15" i="14"/>
  <c r="P26" i="14"/>
  <c r="Q16" i="14" l="1"/>
  <c r="E14" i="13"/>
  <c r="G9" i="13" s="1"/>
  <c r="L48" i="13"/>
  <c r="M45" i="13"/>
  <c r="I45" i="13"/>
  <c r="F45" i="13"/>
  <c r="M40" i="13"/>
  <c r="K40" i="13"/>
  <c r="H40" i="13"/>
  <c r="F40" i="13"/>
  <c r="G39" i="13"/>
  <c r="I39" i="13" s="1"/>
  <c r="L40" i="13"/>
  <c r="L47" i="13" s="1"/>
  <c r="G37" i="13"/>
  <c r="I37" i="13" s="1"/>
  <c r="G35" i="13"/>
  <c r="J34" i="13"/>
  <c r="G33" i="13"/>
  <c r="H30" i="13"/>
  <c r="F30" i="13"/>
  <c r="G29" i="13"/>
  <c r="I29" i="13" s="1"/>
  <c r="G27" i="13"/>
  <c r="I27" i="13" s="1"/>
  <c r="G23" i="13"/>
  <c r="E19" i="13"/>
  <c r="G15" i="13" s="1"/>
  <c r="I9" i="13"/>
  <c r="J37" i="13" l="1"/>
  <c r="N37" i="13"/>
  <c r="J27" i="13"/>
  <c r="N27" i="13"/>
  <c r="I35" i="13"/>
  <c r="O31" i="14"/>
  <c r="P31" i="14" s="1"/>
  <c r="J29" i="13"/>
  <c r="N29" i="13"/>
  <c r="J39" i="13"/>
  <c r="N39" i="13"/>
  <c r="I33" i="13"/>
  <c r="O29" i="14"/>
  <c r="P29" i="14" s="1"/>
  <c r="P36" i="14" s="1"/>
  <c r="P43" i="14" s="1"/>
  <c r="F47" i="13"/>
  <c r="H47" i="13"/>
  <c r="I30" i="13"/>
  <c r="I40" i="13"/>
  <c r="M30" i="13"/>
  <c r="M47" i="13" s="1"/>
  <c r="I106" i="12"/>
  <c r="I107" i="12" s="1"/>
  <c r="A104" i="12"/>
  <c r="A103" i="12"/>
  <c r="H87" i="12"/>
  <c r="E38" i="12"/>
  <c r="H37" i="12"/>
  <c r="H33" i="12"/>
  <c r="F32" i="12"/>
  <c r="E32" i="12"/>
  <c r="D29" i="12"/>
  <c r="D28" i="12"/>
  <c r="E21" i="12"/>
  <c r="D21" i="12"/>
  <c r="E20" i="12"/>
  <c r="D20" i="12"/>
  <c r="D26" i="12" s="1"/>
  <c r="E18" i="12"/>
  <c r="D18" i="12"/>
  <c r="D25" i="12" s="1"/>
  <c r="H14" i="12"/>
  <c r="E12" i="12"/>
  <c r="F61" i="12" s="1"/>
  <c r="E7" i="12"/>
  <c r="H5" i="12"/>
  <c r="E5" i="12"/>
  <c r="G61" i="12" s="1"/>
  <c r="H4" i="12"/>
  <c r="H65" i="11"/>
  <c r="H64" i="11"/>
  <c r="H63" i="11"/>
  <c r="H62" i="11"/>
  <c r="L60" i="11"/>
  <c r="L59" i="11"/>
  <c r="H59" i="11"/>
  <c r="H58" i="11"/>
  <c r="L58" i="11" s="1"/>
  <c r="L57" i="11"/>
  <c r="L56" i="11"/>
  <c r="L55" i="11"/>
  <c r="H53" i="11"/>
  <c r="L53" i="11" s="1"/>
  <c r="L52" i="11"/>
  <c r="L51" i="11"/>
  <c r="L50" i="11"/>
  <c r="H49" i="11"/>
  <c r="L49" i="11" s="1"/>
  <c r="L48" i="11"/>
  <c r="L47" i="11"/>
  <c r="L46" i="11"/>
  <c r="H45" i="11"/>
  <c r="L45" i="11" s="1"/>
  <c r="L44" i="11"/>
  <c r="H43" i="11"/>
  <c r="D43" i="11"/>
  <c r="I41" i="11"/>
  <c r="E41" i="11"/>
  <c r="L40" i="11"/>
  <c r="L38" i="11"/>
  <c r="L37" i="11"/>
  <c r="K36" i="11"/>
  <c r="F36" i="11"/>
  <c r="I36" i="11" s="1"/>
  <c r="H36" i="11" s="1"/>
  <c r="E36" i="11"/>
  <c r="D36" i="11"/>
  <c r="L36" i="11" s="1"/>
  <c r="B36" i="11"/>
  <c r="A36" i="11"/>
  <c r="K35" i="11"/>
  <c r="H35" i="11"/>
  <c r="E35" i="11"/>
  <c r="D35" i="11"/>
  <c r="B35" i="11"/>
  <c r="A35" i="11"/>
  <c r="K30" i="11"/>
  <c r="F30" i="11"/>
  <c r="I30" i="11" s="1"/>
  <c r="I32" i="11" s="1"/>
  <c r="E30" i="11"/>
  <c r="D30" i="11"/>
  <c r="D32" i="11" s="1"/>
  <c r="B30" i="11"/>
  <c r="A30" i="11"/>
  <c r="K27" i="11"/>
  <c r="F27" i="11"/>
  <c r="I27" i="11" s="1"/>
  <c r="E27" i="11"/>
  <c r="D27" i="11"/>
  <c r="B27" i="11"/>
  <c r="A27" i="11"/>
  <c r="K26" i="11"/>
  <c r="F26" i="11"/>
  <c r="I26" i="11" s="1"/>
  <c r="E26" i="11"/>
  <c r="D26" i="11"/>
  <c r="B26" i="11"/>
  <c r="A26" i="11"/>
  <c r="K25" i="11"/>
  <c r="F25" i="11"/>
  <c r="I25" i="11" s="1"/>
  <c r="E25" i="11"/>
  <c r="D25" i="11"/>
  <c r="B25" i="11"/>
  <c r="A25" i="11"/>
  <c r="K22" i="11"/>
  <c r="F22" i="11"/>
  <c r="I22" i="11" s="1"/>
  <c r="E22" i="11"/>
  <c r="D22" i="11"/>
  <c r="B22" i="11"/>
  <c r="A22" i="11"/>
  <c r="K21" i="11"/>
  <c r="F21" i="11"/>
  <c r="I21" i="11" s="1"/>
  <c r="E21" i="11"/>
  <c r="D21" i="11"/>
  <c r="B21" i="11"/>
  <c r="A21" i="11"/>
  <c r="K20" i="11"/>
  <c r="F20" i="11"/>
  <c r="I20" i="11" s="1"/>
  <c r="E20" i="11"/>
  <c r="D20" i="11"/>
  <c r="B20" i="11"/>
  <c r="A20" i="11"/>
  <c r="H18" i="11"/>
  <c r="H17" i="11"/>
  <c r="F3" i="11"/>
  <c r="B3" i="11"/>
  <c r="G69" i="12" l="1"/>
  <c r="J35" i="13"/>
  <c r="N35" i="13"/>
  <c r="N30" i="13"/>
  <c r="J33" i="13"/>
  <c r="N33" i="13"/>
  <c r="L50" i="13"/>
  <c r="K30" i="13"/>
  <c r="K47" i="13" s="1"/>
  <c r="J40" i="13"/>
  <c r="J30" i="13"/>
  <c r="M50" i="13"/>
  <c r="I47" i="13"/>
  <c r="H61" i="12"/>
  <c r="F18" i="12"/>
  <c r="H18" i="12" s="1"/>
  <c r="F75" i="12"/>
  <c r="H39" i="11"/>
  <c r="G75" i="12"/>
  <c r="F28" i="12"/>
  <c r="H28" i="12" s="1"/>
  <c r="I103" i="12" s="1"/>
  <c r="F40" i="12"/>
  <c r="F83" i="12"/>
  <c r="F20" i="12"/>
  <c r="H20" i="12" s="1"/>
  <c r="G40" i="12"/>
  <c r="G84" i="12"/>
  <c r="D23" i="11"/>
  <c r="D28" i="11"/>
  <c r="D30" i="12"/>
  <c r="H30" i="12" s="1"/>
  <c r="G58" i="12"/>
  <c r="I23" i="11"/>
  <c r="D23" i="12"/>
  <c r="F21" i="12"/>
  <c r="H21" i="12" s="1"/>
  <c r="G94" i="12"/>
  <c r="F84" i="12"/>
  <c r="H84" i="12" s="1"/>
  <c r="F80" i="12"/>
  <c r="F76" i="12"/>
  <c r="F69" i="12"/>
  <c r="H69" i="12" s="1"/>
  <c r="F58" i="12"/>
  <c r="F54" i="12"/>
  <c r="F41" i="12"/>
  <c r="G95" i="12"/>
  <c r="G91" i="12"/>
  <c r="F85" i="12"/>
  <c r="F81" i="12"/>
  <c r="F77" i="12"/>
  <c r="F73" i="12"/>
  <c r="F59" i="12"/>
  <c r="F55" i="12"/>
  <c r="F38" i="12"/>
  <c r="G92" i="12"/>
  <c r="F86" i="12"/>
  <c r="F82" i="12"/>
  <c r="F78" i="12"/>
  <c r="F56" i="12"/>
  <c r="F79" i="12"/>
  <c r="G93" i="12"/>
  <c r="H95" i="12"/>
  <c r="H91" i="12"/>
  <c r="G85" i="12"/>
  <c r="G81" i="12"/>
  <c r="G77" i="12"/>
  <c r="G73" i="12"/>
  <c r="G59" i="12"/>
  <c r="G55" i="12"/>
  <c r="G38" i="12"/>
  <c r="D32" i="12"/>
  <c r="H32" i="12" s="1"/>
  <c r="F29" i="12"/>
  <c r="H29" i="12" s="1"/>
  <c r="I104" i="12" s="1"/>
  <c r="F23" i="12"/>
  <c r="H92" i="12"/>
  <c r="G86" i="12"/>
  <c r="G82" i="12"/>
  <c r="G78" i="12"/>
  <c r="G74" i="12"/>
  <c r="G60" i="12"/>
  <c r="G56" i="12"/>
  <c r="G39" i="12"/>
  <c r="F25" i="12"/>
  <c r="H25" i="12" s="1"/>
  <c r="H93" i="12"/>
  <c r="G83" i="12"/>
  <c r="H83" i="12" s="1"/>
  <c r="G79" i="12"/>
  <c r="F26" i="12"/>
  <c r="H26" i="12" s="1"/>
  <c r="G41" i="12"/>
  <c r="G54" i="12"/>
  <c r="F57" i="12"/>
  <c r="G76" i="12"/>
  <c r="G80" i="12"/>
  <c r="H94" i="12"/>
  <c r="F39" i="12"/>
  <c r="G57" i="12"/>
  <c r="F60" i="12"/>
  <c r="H60" i="12" s="1"/>
  <c r="F74" i="12"/>
  <c r="I28" i="11"/>
  <c r="D39" i="11"/>
  <c r="O33" i="13" l="1"/>
  <c r="N40" i="13"/>
  <c r="N47" i="13"/>
  <c r="H76" i="12"/>
  <c r="H40" i="12"/>
  <c r="H74" i="12"/>
  <c r="J47" i="13"/>
  <c r="H23" i="12"/>
  <c r="K50" i="13"/>
  <c r="H81" i="12"/>
  <c r="H38" i="12"/>
  <c r="H46" i="12" s="1"/>
  <c r="H41" i="12"/>
  <c r="H79" i="12"/>
  <c r="H75" i="12"/>
  <c r="H55" i="12"/>
  <c r="H58" i="12"/>
  <c r="H39" i="12"/>
  <c r="H82" i="12"/>
  <c r="H56" i="12"/>
  <c r="H86" i="12"/>
  <c r="H59" i="12"/>
  <c r="H85" i="12"/>
  <c r="H54" i="12"/>
  <c r="H80" i="12"/>
  <c r="I92" i="12"/>
  <c r="H73" i="12"/>
  <c r="I91" i="12"/>
  <c r="H44" i="12"/>
  <c r="H57" i="12"/>
  <c r="I93" i="12"/>
  <c r="H78" i="12"/>
  <c r="H77" i="12"/>
  <c r="I95" i="12"/>
  <c r="I94" i="12"/>
  <c r="I105" i="12" l="1"/>
  <c r="H105" i="12" s="1"/>
  <c r="J50" i="13"/>
  <c r="H47" i="12"/>
  <c r="H45" i="12"/>
  <c r="I96" i="12"/>
  <c r="H62" i="12"/>
  <c r="H65" i="12"/>
  <c r="H64" i="12"/>
  <c r="H63" i="12"/>
  <c r="H49" i="12" l="1"/>
  <c r="H88" i="12"/>
  <c r="I99" i="12" l="1"/>
  <c r="I100" i="12"/>
  <c r="I108" i="12"/>
  <c r="I109" i="12" s="1"/>
  <c r="H101" i="12"/>
  <c r="A101" i="12"/>
  <c r="A58" i="1" l="1"/>
  <c r="A58" i="2" s="1"/>
  <c r="A58" i="3" s="1"/>
  <c r="A58" i="4" s="1"/>
  <c r="A59" i="1"/>
  <c r="A59" i="2" s="1"/>
  <c r="A59" i="3" s="1"/>
  <c r="A59" i="4" s="1"/>
  <c r="A60" i="1"/>
  <c r="A60" i="2" s="1"/>
  <c r="A60" i="3" s="1"/>
  <c r="A60" i="4" s="1"/>
  <c r="A61" i="1"/>
  <c r="A61" i="2" s="1"/>
  <c r="A61" i="3" s="1"/>
  <c r="A61" i="4" s="1"/>
  <c r="C61" i="1" l="1"/>
  <c r="C61" i="5" s="1"/>
  <c r="C60" i="1"/>
  <c r="C60" i="5" s="1"/>
  <c r="C58" i="1"/>
  <c r="C58" i="5" s="1"/>
  <c r="C59" i="1"/>
  <c r="C59" i="5" s="1"/>
  <c r="A61" i="5"/>
  <c r="A60" i="5"/>
  <c r="A59" i="5"/>
  <c r="A58" i="5"/>
  <c r="C20" i="1"/>
  <c r="C21" i="1" l="1"/>
  <c r="M1" i="1"/>
  <c r="F7" i="5" l="1"/>
  <c r="G7" i="5"/>
  <c r="E7" i="5"/>
  <c r="D8" i="5"/>
  <c r="D9" i="5"/>
  <c r="D10" i="5"/>
  <c r="D11" i="5"/>
  <c r="D12" i="5"/>
  <c r="D13" i="5"/>
  <c r="D14" i="5"/>
  <c r="D15" i="5"/>
  <c r="D16" i="5"/>
  <c r="D17" i="5"/>
  <c r="D18" i="5"/>
  <c r="D19" i="5"/>
  <c r="D20" i="5"/>
  <c r="D21" i="5"/>
  <c r="D22" i="5"/>
  <c r="D23" i="5"/>
  <c r="D24" i="5"/>
  <c r="D25" i="5"/>
  <c r="D7" i="5"/>
  <c r="C43" i="1"/>
  <c r="C44" i="1"/>
  <c r="C47" i="1"/>
  <c r="C48" i="1"/>
  <c r="C51" i="1"/>
  <c r="C52" i="1"/>
  <c r="C55" i="1"/>
  <c r="C56" i="1"/>
  <c r="C29" i="1"/>
  <c r="C19" i="1"/>
  <c r="A57" i="1"/>
  <c r="C54" i="1"/>
  <c r="C53" i="1"/>
  <c r="C50" i="1"/>
  <c r="C49" i="1"/>
  <c r="C46" i="1"/>
  <c r="C45" i="1"/>
  <c r="C42" i="1"/>
  <c r="C41" i="1"/>
  <c r="C35" i="1"/>
  <c r="C33" i="1"/>
  <c r="C32" i="1"/>
  <c r="C31" i="1"/>
  <c r="C30" i="1"/>
  <c r="C28" i="1"/>
  <c r="C18" i="1"/>
  <c r="C17" i="1"/>
  <c r="C15" i="1"/>
  <c r="C11" i="1"/>
  <c r="C57" i="1"/>
  <c r="C9" i="1"/>
  <c r="C13" i="1" l="1"/>
  <c r="C14" i="1"/>
  <c r="C12" i="1"/>
  <c r="C16" i="1"/>
  <c r="C34" i="1"/>
  <c r="C7" i="1"/>
  <c r="C8" i="1"/>
  <c r="C14" i="6"/>
  <c r="D14" i="6"/>
  <c r="E14" i="6"/>
  <c r="F14" i="6"/>
  <c r="G14" i="6"/>
  <c r="H14" i="6"/>
  <c r="I14" i="6"/>
  <c r="J14" i="6"/>
  <c r="K14" i="6"/>
  <c r="L14" i="6"/>
  <c r="C38" i="1" l="1"/>
  <c r="C10" i="1"/>
  <c r="C37" i="1"/>
  <c r="C39" i="1"/>
  <c r="C22" i="1"/>
  <c r="C24" i="1"/>
  <c r="C23" i="1"/>
  <c r="C36" i="1"/>
  <c r="K33" i="4"/>
  <c r="K34" i="4"/>
  <c r="C25" i="1" l="1"/>
  <c r="I28" i="1"/>
  <c r="D54" i="5"/>
  <c r="E54" i="5"/>
  <c r="D55" i="5"/>
  <c r="E55" i="5"/>
  <c r="D56" i="5"/>
  <c r="E56" i="5"/>
  <c r="D57" i="5"/>
  <c r="E57" i="5"/>
  <c r="D58" i="5"/>
  <c r="E58" i="5"/>
  <c r="D59" i="5"/>
  <c r="E59" i="5"/>
  <c r="D60" i="5"/>
  <c r="E60" i="5"/>
  <c r="D61" i="5"/>
  <c r="E61" i="5"/>
  <c r="D62" i="5"/>
  <c r="E62" i="5"/>
  <c r="D42" i="5"/>
  <c r="E42" i="5"/>
  <c r="D43" i="5"/>
  <c r="E43" i="5"/>
  <c r="D44" i="5"/>
  <c r="E44" i="5"/>
  <c r="D45" i="5"/>
  <c r="E45" i="5"/>
  <c r="D46" i="5"/>
  <c r="E46" i="5"/>
  <c r="D47" i="5"/>
  <c r="E47" i="5"/>
  <c r="D48" i="5"/>
  <c r="E48" i="5"/>
  <c r="D49" i="5"/>
  <c r="E49" i="5"/>
  <c r="D50" i="5"/>
  <c r="E50" i="5"/>
  <c r="D51" i="5"/>
  <c r="E51" i="5"/>
  <c r="D52" i="5"/>
  <c r="E52" i="5"/>
  <c r="D53" i="5"/>
  <c r="E53" i="5"/>
  <c r="E41" i="5"/>
  <c r="D41" i="5"/>
  <c r="D29" i="5"/>
  <c r="E29" i="5"/>
  <c r="D30" i="5"/>
  <c r="E30" i="5"/>
  <c r="D31" i="5"/>
  <c r="E31" i="5"/>
  <c r="D32" i="5"/>
  <c r="E32" i="5"/>
  <c r="D33" i="5"/>
  <c r="E33" i="5"/>
  <c r="D34" i="5"/>
  <c r="E34" i="5"/>
  <c r="D35" i="5"/>
  <c r="E35" i="5"/>
  <c r="D36" i="5"/>
  <c r="E36" i="5"/>
  <c r="D37" i="5"/>
  <c r="E37" i="5"/>
  <c r="D38" i="5"/>
  <c r="E38" i="5"/>
  <c r="D39" i="5"/>
  <c r="E39" i="5"/>
  <c r="E28" i="5"/>
  <c r="D28" i="5"/>
  <c r="E8" i="5"/>
  <c r="E9" i="5"/>
  <c r="E10" i="5"/>
  <c r="E11" i="5"/>
  <c r="E12" i="5"/>
  <c r="E13" i="5"/>
  <c r="E14" i="5"/>
  <c r="E15" i="5"/>
  <c r="E16" i="5"/>
  <c r="E17" i="5"/>
  <c r="E18" i="5"/>
  <c r="E19" i="5"/>
  <c r="E20" i="5"/>
  <c r="E21" i="5"/>
  <c r="E22" i="5"/>
  <c r="E23" i="5"/>
  <c r="E24" i="5"/>
  <c r="E25" i="5"/>
  <c r="G26" i="4"/>
  <c r="G64" i="4"/>
  <c r="F57" i="5" l="1"/>
  <c r="F56" i="5"/>
  <c r="G55" i="5"/>
  <c r="F55" i="5"/>
  <c r="F54" i="5"/>
  <c r="G53" i="5"/>
  <c r="F53" i="5"/>
  <c r="G52" i="5"/>
  <c r="F52" i="5"/>
  <c r="G51" i="5"/>
  <c r="F51" i="5"/>
  <c r="G50" i="5"/>
  <c r="F50" i="5"/>
  <c r="G49" i="5"/>
  <c r="F49" i="5"/>
  <c r="G48" i="5"/>
  <c r="F48" i="5"/>
  <c r="G47" i="5"/>
  <c r="F47" i="5"/>
  <c r="F46" i="5"/>
  <c r="G45" i="5"/>
  <c r="F45" i="5"/>
  <c r="G44" i="5"/>
  <c r="F44" i="5"/>
  <c r="G43" i="5"/>
  <c r="F43" i="5"/>
  <c r="G42" i="5"/>
  <c r="F42" i="5"/>
  <c r="G41" i="5"/>
  <c r="F41" i="5"/>
  <c r="F39" i="5"/>
  <c r="G38" i="5"/>
  <c r="F38" i="5"/>
  <c r="F37" i="5"/>
  <c r="F36" i="5"/>
  <c r="G35" i="5"/>
  <c r="F35" i="5"/>
  <c r="G34" i="5"/>
  <c r="F34" i="5"/>
  <c r="G33" i="5"/>
  <c r="F33" i="5"/>
  <c r="G32" i="5"/>
  <c r="F32" i="5"/>
  <c r="G31" i="5"/>
  <c r="F31" i="5"/>
  <c r="G30" i="5"/>
  <c r="F30" i="5"/>
  <c r="G29" i="5"/>
  <c r="F29" i="5"/>
  <c r="G28" i="5"/>
  <c r="F28" i="5"/>
  <c r="F8" i="5"/>
  <c r="G8" i="5"/>
  <c r="F9" i="5"/>
  <c r="G9" i="5"/>
  <c r="F10" i="5"/>
  <c r="G10" i="5"/>
  <c r="F11" i="5"/>
  <c r="G11" i="5"/>
  <c r="F12" i="5"/>
  <c r="G12" i="5"/>
  <c r="F13" i="5"/>
  <c r="G13" i="5"/>
  <c r="F14" i="5"/>
  <c r="G14" i="5"/>
  <c r="F15" i="5"/>
  <c r="G15" i="5"/>
  <c r="F16" i="5"/>
  <c r="G16" i="5"/>
  <c r="F17" i="5"/>
  <c r="G17" i="5"/>
  <c r="F18" i="5"/>
  <c r="G18" i="5"/>
  <c r="F19" i="5"/>
  <c r="G19" i="5"/>
  <c r="F20" i="5"/>
  <c r="G20" i="5"/>
  <c r="F21" i="5"/>
  <c r="G21" i="5"/>
  <c r="F22" i="5"/>
  <c r="F23" i="5"/>
  <c r="F24" i="5"/>
  <c r="F25" i="5"/>
  <c r="G36" i="5" l="1"/>
  <c r="G37" i="5"/>
  <c r="G39" i="5"/>
  <c r="G22" i="5"/>
  <c r="G23" i="5"/>
  <c r="G24" i="5"/>
  <c r="G25" i="5"/>
  <c r="J62" i="3" l="1"/>
  <c r="J61" i="3"/>
  <c r="J60" i="3"/>
  <c r="J59" i="3"/>
  <c r="J58" i="3"/>
  <c r="J57" i="3"/>
  <c r="J56" i="3"/>
  <c r="J55" i="3"/>
  <c r="J54" i="3"/>
  <c r="J53" i="3"/>
  <c r="J52" i="3"/>
  <c r="J51" i="3"/>
  <c r="J50" i="3"/>
  <c r="J49" i="3"/>
  <c r="J48" i="3"/>
  <c r="J47" i="3"/>
  <c r="J46" i="3"/>
  <c r="J45" i="3"/>
  <c r="J44" i="3"/>
  <c r="J43" i="3"/>
  <c r="J42" i="3"/>
  <c r="J41" i="3"/>
  <c r="J39" i="3"/>
  <c r="J38" i="3"/>
  <c r="J37" i="3"/>
  <c r="J36" i="3"/>
  <c r="J35" i="3"/>
  <c r="J34" i="3"/>
  <c r="J33" i="3"/>
  <c r="J32" i="3"/>
  <c r="J31" i="3"/>
  <c r="J30" i="3"/>
  <c r="J29" i="3"/>
  <c r="J28" i="3"/>
  <c r="J8" i="3"/>
  <c r="J9" i="3"/>
  <c r="J10" i="3"/>
  <c r="J11" i="3"/>
  <c r="J12" i="3"/>
  <c r="J13" i="3"/>
  <c r="J14" i="3"/>
  <c r="J15" i="3"/>
  <c r="J16" i="3"/>
  <c r="J17" i="3"/>
  <c r="J18" i="3"/>
  <c r="J19" i="3"/>
  <c r="J20" i="3"/>
  <c r="J21" i="3"/>
  <c r="J22" i="3"/>
  <c r="J23" i="3"/>
  <c r="J24" i="3"/>
  <c r="J25" i="3"/>
  <c r="H62" i="5"/>
  <c r="H61" i="5"/>
  <c r="H60" i="5"/>
  <c r="H59" i="5"/>
  <c r="H58" i="5"/>
  <c r="H57" i="5"/>
  <c r="H56" i="5"/>
  <c r="H55" i="5"/>
  <c r="H54" i="5"/>
  <c r="H53" i="5"/>
  <c r="H52" i="5"/>
  <c r="H51" i="5"/>
  <c r="H50" i="5"/>
  <c r="H49" i="5"/>
  <c r="H48" i="5"/>
  <c r="H47" i="5"/>
  <c r="H46" i="5"/>
  <c r="H45" i="5"/>
  <c r="H44" i="5"/>
  <c r="H43" i="5"/>
  <c r="H42" i="5"/>
  <c r="H41" i="5"/>
  <c r="H39" i="5"/>
  <c r="H38" i="5"/>
  <c r="H37" i="5"/>
  <c r="H36" i="5"/>
  <c r="H35" i="5"/>
  <c r="H34" i="5"/>
  <c r="H33" i="5"/>
  <c r="H32" i="5"/>
  <c r="H31" i="5"/>
  <c r="H30" i="5"/>
  <c r="H29" i="5"/>
  <c r="H28" i="5"/>
  <c r="H8" i="5"/>
  <c r="H9" i="5"/>
  <c r="H10" i="5"/>
  <c r="H11" i="5"/>
  <c r="H12" i="5"/>
  <c r="H13" i="5"/>
  <c r="H14" i="5"/>
  <c r="H15" i="5"/>
  <c r="H16" i="5"/>
  <c r="H17" i="5"/>
  <c r="H18" i="5"/>
  <c r="H19" i="5"/>
  <c r="H20" i="5"/>
  <c r="H21" i="5"/>
  <c r="H22" i="5"/>
  <c r="H23" i="5"/>
  <c r="H24" i="5"/>
  <c r="H25" i="5"/>
  <c r="H7" i="5"/>
  <c r="H64" i="3"/>
  <c r="G64" i="3"/>
  <c r="I7" i="2"/>
  <c r="I13" i="2"/>
  <c r="I7" i="1"/>
  <c r="J7" i="3"/>
  <c r="E26" i="3"/>
  <c r="H64" i="5" l="1"/>
  <c r="G46" i="5"/>
  <c r="G54" i="5"/>
  <c r="G56" i="5"/>
  <c r="G57" i="5"/>
  <c r="F61" i="5" l="1"/>
  <c r="F60" i="5"/>
  <c r="F59" i="5"/>
  <c r="F62" i="5"/>
  <c r="F58" i="5"/>
  <c r="I41" i="2"/>
  <c r="I59" i="2"/>
  <c r="I55" i="2"/>
  <c r="I51" i="2"/>
  <c r="I47" i="2"/>
  <c r="I43" i="2"/>
  <c r="I62" i="2"/>
  <c r="I58" i="2"/>
  <c r="I54" i="2"/>
  <c r="I50" i="2"/>
  <c r="I46" i="2"/>
  <c r="I42" i="2"/>
  <c r="I61" i="2"/>
  <c r="I57" i="2"/>
  <c r="I53" i="2"/>
  <c r="I49" i="2"/>
  <c r="I45" i="2"/>
  <c r="I60" i="2"/>
  <c r="I56" i="2"/>
  <c r="I52" i="2"/>
  <c r="I48" i="2"/>
  <c r="I44" i="2"/>
  <c r="I35" i="2"/>
  <c r="I30" i="2"/>
  <c r="I34" i="2"/>
  <c r="I29" i="2"/>
  <c r="I33" i="2"/>
  <c r="I28" i="2"/>
  <c r="I32" i="2"/>
  <c r="I31" i="2"/>
  <c r="I21" i="2"/>
  <c r="I17" i="2"/>
  <c r="I12" i="2"/>
  <c r="I8" i="2"/>
  <c r="I20" i="2"/>
  <c r="I16" i="2"/>
  <c r="I11" i="2"/>
  <c r="I19" i="2"/>
  <c r="I15" i="2"/>
  <c r="I10" i="2"/>
  <c r="I18" i="2"/>
  <c r="I14" i="2"/>
  <c r="I9" i="2"/>
  <c r="I32" i="1"/>
  <c r="I41" i="1"/>
  <c r="I59" i="1"/>
  <c r="I55" i="1"/>
  <c r="I51" i="1"/>
  <c r="I47" i="1"/>
  <c r="I43" i="1"/>
  <c r="I35" i="1"/>
  <c r="I31" i="1"/>
  <c r="I62" i="1"/>
  <c r="I58" i="1"/>
  <c r="I54" i="1"/>
  <c r="I50" i="1"/>
  <c r="I46" i="1"/>
  <c r="I42" i="1"/>
  <c r="I34" i="1"/>
  <c r="I30" i="1"/>
  <c r="I61" i="1"/>
  <c r="I57" i="1"/>
  <c r="I53" i="1"/>
  <c r="I49" i="1"/>
  <c r="I45" i="1"/>
  <c r="I33" i="1"/>
  <c r="I29" i="1"/>
  <c r="I60" i="1"/>
  <c r="I56" i="1"/>
  <c r="I52" i="1"/>
  <c r="I48" i="1"/>
  <c r="I44" i="1"/>
  <c r="I20" i="1"/>
  <c r="I18" i="1"/>
  <c r="I14" i="1"/>
  <c r="I10" i="1"/>
  <c r="I21" i="1"/>
  <c r="I17" i="1"/>
  <c r="I13" i="1"/>
  <c r="I9" i="1"/>
  <c r="I16" i="1"/>
  <c r="I12" i="1"/>
  <c r="I8" i="1"/>
  <c r="I19" i="1"/>
  <c r="I15" i="1"/>
  <c r="I11" i="1"/>
  <c r="E26" i="2"/>
  <c r="E26" i="1" l="1"/>
  <c r="M2" i="2" l="1"/>
  <c r="M3" i="2"/>
  <c r="N2" i="3"/>
  <c r="N3" i="3"/>
  <c r="O2" i="4"/>
  <c r="O3" i="4"/>
  <c r="O4" i="4"/>
  <c r="M1" i="2"/>
  <c r="N1" i="3"/>
  <c r="O1" i="4"/>
  <c r="M3" i="5"/>
  <c r="M2" i="5"/>
  <c r="M1" i="5"/>
  <c r="I38" i="1" l="1"/>
  <c r="I39" i="1"/>
  <c r="I36" i="1"/>
  <c r="I37" i="1"/>
  <c r="A57" i="2"/>
  <c r="A57" i="3" s="1"/>
  <c r="A57" i="4" s="1"/>
  <c r="I37" i="2" l="1"/>
  <c r="I36" i="2"/>
  <c r="I38" i="2"/>
  <c r="I39" i="2"/>
  <c r="C35" i="5"/>
  <c r="J35" i="5" s="1"/>
  <c r="I35" i="5"/>
  <c r="A57" i="5"/>
  <c r="C34" i="5"/>
  <c r="J34" i="5" s="1"/>
  <c r="I34" i="5"/>
  <c r="A63" i="1" l="1"/>
  <c r="D65" i="1" s="1"/>
  <c r="D65" i="4" s="1"/>
  <c r="D64" i="4" s="1"/>
  <c r="C26" i="1"/>
  <c r="I23" i="2"/>
  <c r="I25" i="2"/>
  <c r="I24" i="2"/>
  <c r="I22" i="2"/>
  <c r="I22" i="1"/>
  <c r="D62" i="1" l="1"/>
  <c r="F62" i="1" s="1"/>
  <c r="J62" i="1" s="1"/>
  <c r="C62" i="2" s="1"/>
  <c r="I25" i="1"/>
  <c r="I23" i="1"/>
  <c r="H64" i="1"/>
  <c r="I24" i="1"/>
  <c r="C65" i="1"/>
  <c r="C65" i="3" s="1"/>
  <c r="D14" i="1" l="1"/>
  <c r="F14" i="1" s="1"/>
  <c r="J14" i="1" s="1"/>
  <c r="C14" i="2" s="1"/>
  <c r="F14" i="2" s="1"/>
  <c r="D58" i="1"/>
  <c r="F58" i="1" s="1"/>
  <c r="J58" i="1" s="1"/>
  <c r="C58" i="2" s="1"/>
  <c r="D13" i="1"/>
  <c r="F13" i="1" s="1"/>
  <c r="J13" i="1" s="1"/>
  <c r="C13" i="2" s="1"/>
  <c r="F13" i="2" s="1"/>
  <c r="D56" i="1"/>
  <c r="F56" i="1" s="1"/>
  <c r="J56" i="1" s="1"/>
  <c r="C56" i="2" s="1"/>
  <c r="D45" i="1"/>
  <c r="F45" i="1" s="1"/>
  <c r="J45" i="1" s="1"/>
  <c r="C45" i="2" s="1"/>
  <c r="D31" i="1"/>
  <c r="F31" i="1" s="1"/>
  <c r="J31" i="1" s="1"/>
  <c r="C31" i="2" s="1"/>
  <c r="D30" i="1"/>
  <c r="F30" i="1" s="1"/>
  <c r="J30" i="1" s="1"/>
  <c r="C30" i="2" s="1"/>
  <c r="D18" i="1"/>
  <c r="F18" i="1" s="1"/>
  <c r="J18" i="1" s="1"/>
  <c r="C18" i="2" s="1"/>
  <c r="D39" i="1"/>
  <c r="F39" i="1" s="1"/>
  <c r="J39" i="1" s="1"/>
  <c r="D53" i="1"/>
  <c r="F53" i="1" s="1"/>
  <c r="J53" i="1" s="1"/>
  <c r="C53" i="2" s="1"/>
  <c r="D35" i="1"/>
  <c r="F35" i="1" s="1"/>
  <c r="J35" i="1" s="1"/>
  <c r="C35" i="2" s="1"/>
  <c r="D7" i="1"/>
  <c r="F7" i="1" s="1"/>
  <c r="J7" i="1" s="1"/>
  <c r="D32" i="1"/>
  <c r="F32" i="1" s="1"/>
  <c r="J32" i="1" s="1"/>
  <c r="C32" i="2" s="1"/>
  <c r="D64" i="1"/>
  <c r="C65" i="2"/>
  <c r="D28" i="1"/>
  <c r="F28" i="1" s="1"/>
  <c r="J28" i="1" s="1"/>
  <c r="C28" i="2" s="1"/>
  <c r="D15" i="1"/>
  <c r="F15" i="1" s="1"/>
  <c r="J15" i="1" s="1"/>
  <c r="C15" i="2" s="1"/>
  <c r="D43" i="1"/>
  <c r="F43" i="1" s="1"/>
  <c r="J43" i="1" s="1"/>
  <c r="C43" i="2" s="1"/>
  <c r="D65" i="2"/>
  <c r="D64" i="2" s="1"/>
  <c r="D34" i="1"/>
  <c r="F34" i="1" s="1"/>
  <c r="J34" i="1" s="1"/>
  <c r="C34" i="2" s="1"/>
  <c r="D55" i="1"/>
  <c r="F55" i="1" s="1"/>
  <c r="J55" i="1" s="1"/>
  <c r="C55" i="2" s="1"/>
  <c r="D57" i="1"/>
  <c r="F57" i="1" s="1"/>
  <c r="J57" i="1" s="1"/>
  <c r="C57" i="2" s="1"/>
  <c r="D16" i="1"/>
  <c r="F16" i="1" s="1"/>
  <c r="J16" i="1" s="1"/>
  <c r="C16" i="2" s="1"/>
  <c r="D12" i="1"/>
  <c r="F12" i="1" s="1"/>
  <c r="J12" i="1" s="1"/>
  <c r="C12" i="2" s="1"/>
  <c r="D44" i="1"/>
  <c r="F44" i="1" s="1"/>
  <c r="J44" i="1" s="1"/>
  <c r="C44" i="2" s="1"/>
  <c r="D38" i="1"/>
  <c r="F38" i="1" s="1"/>
  <c r="J38" i="1" s="1"/>
  <c r="D65" i="3"/>
  <c r="D49" i="1"/>
  <c r="F49" i="1" s="1"/>
  <c r="J49" i="1" s="1"/>
  <c r="C49" i="2" s="1"/>
  <c r="D59" i="1"/>
  <c r="F59" i="1" s="1"/>
  <c r="J59" i="1" s="1"/>
  <c r="C59" i="2" s="1"/>
  <c r="D24" i="1"/>
  <c r="F24" i="1" s="1"/>
  <c r="J24" i="1" s="1"/>
  <c r="D51" i="1"/>
  <c r="F51" i="1" s="1"/>
  <c r="J51" i="1" s="1"/>
  <c r="C51" i="2" s="1"/>
  <c r="D41" i="1"/>
  <c r="F41" i="1" s="1"/>
  <c r="J41" i="1" s="1"/>
  <c r="C41" i="2" s="1"/>
  <c r="D52" i="1"/>
  <c r="F52" i="1" s="1"/>
  <c r="J52" i="1" s="1"/>
  <c r="C52" i="2" s="1"/>
  <c r="D22" i="1"/>
  <c r="F22" i="1" s="1"/>
  <c r="J22" i="1" s="1"/>
  <c r="C22" i="2" s="1"/>
  <c r="D11" i="1"/>
  <c r="F11" i="1" s="1"/>
  <c r="J11" i="1" s="1"/>
  <c r="C11" i="2" s="1"/>
  <c r="D19" i="1"/>
  <c r="F19" i="1" s="1"/>
  <c r="J19" i="1" s="1"/>
  <c r="C19" i="2" s="1"/>
  <c r="D10" i="1"/>
  <c r="F10" i="1" s="1"/>
  <c r="J10" i="1" s="1"/>
  <c r="C10" i="2" s="1"/>
  <c r="D61" i="1"/>
  <c r="F61" i="1" s="1"/>
  <c r="J61" i="1" s="1"/>
  <c r="C61" i="2" s="1"/>
  <c r="D50" i="1"/>
  <c r="F50" i="1" s="1"/>
  <c r="J50" i="1" s="1"/>
  <c r="C50" i="2" s="1"/>
  <c r="D46" i="1"/>
  <c r="F46" i="1" s="1"/>
  <c r="J46" i="1" s="1"/>
  <c r="C46" i="2" s="1"/>
  <c r="D48" i="1"/>
  <c r="F48" i="1" s="1"/>
  <c r="J48" i="1" s="1"/>
  <c r="C48" i="2" s="1"/>
  <c r="D42" i="1"/>
  <c r="F42" i="1" s="1"/>
  <c r="J42" i="1" s="1"/>
  <c r="C42" i="2" s="1"/>
  <c r="D21" i="1"/>
  <c r="F21" i="1" s="1"/>
  <c r="J21" i="1" s="1"/>
  <c r="C21" i="2" s="1"/>
  <c r="D33" i="1"/>
  <c r="F33" i="1" s="1"/>
  <c r="J33" i="1" s="1"/>
  <c r="C33" i="2" s="1"/>
  <c r="D36" i="1"/>
  <c r="F36" i="1" s="1"/>
  <c r="J36" i="1" s="1"/>
  <c r="C36" i="2" s="1"/>
  <c r="D47" i="1"/>
  <c r="F47" i="1" s="1"/>
  <c r="J47" i="1" s="1"/>
  <c r="C47" i="2" s="1"/>
  <c r="E65" i="4"/>
  <c r="D25" i="1"/>
  <c r="F25" i="1" s="1"/>
  <c r="J25" i="1" s="1"/>
  <c r="D37" i="1"/>
  <c r="F37" i="1" s="1"/>
  <c r="J37" i="1" s="1"/>
  <c r="D23" i="1"/>
  <c r="F23" i="1" s="1"/>
  <c r="J23" i="1" s="1"/>
  <c r="C23" i="2" s="1"/>
  <c r="D54" i="1"/>
  <c r="F54" i="1" s="1"/>
  <c r="J54" i="1" s="1"/>
  <c r="C54" i="2" s="1"/>
  <c r="D60" i="1"/>
  <c r="F60" i="1" s="1"/>
  <c r="J60" i="1" s="1"/>
  <c r="C60" i="2" s="1"/>
  <c r="D29" i="1"/>
  <c r="F29" i="1" s="1"/>
  <c r="J29" i="1" s="1"/>
  <c r="C29" i="2" s="1"/>
  <c r="D20" i="1"/>
  <c r="F20" i="1" s="1"/>
  <c r="J20" i="1" s="1"/>
  <c r="C20" i="2" s="1"/>
  <c r="D9" i="1"/>
  <c r="F9" i="1" s="1"/>
  <c r="J9" i="1" s="1"/>
  <c r="C9" i="2" s="1"/>
  <c r="D17" i="1"/>
  <c r="F17" i="1" s="1"/>
  <c r="J17" i="1" s="1"/>
  <c r="C17" i="2" s="1"/>
  <c r="D8" i="1"/>
  <c r="F8" i="1" s="1"/>
  <c r="J8" i="1" s="1"/>
  <c r="C8" i="2" s="1"/>
  <c r="G61" i="5"/>
  <c r="G60" i="5"/>
  <c r="G59" i="5"/>
  <c r="G58" i="5"/>
  <c r="K25" i="4"/>
  <c r="K60" i="4"/>
  <c r="K59" i="4"/>
  <c r="K58" i="4"/>
  <c r="K57" i="4"/>
  <c r="K56" i="4"/>
  <c r="K55" i="4"/>
  <c r="K54" i="4"/>
  <c r="K53" i="4"/>
  <c r="K52" i="4"/>
  <c r="K51" i="4"/>
  <c r="K50" i="4"/>
  <c r="K49" i="4"/>
  <c r="K48" i="4"/>
  <c r="K47" i="4"/>
  <c r="K46" i="4"/>
  <c r="K45" i="4"/>
  <c r="K44" i="4"/>
  <c r="K43" i="4"/>
  <c r="K42" i="4"/>
  <c r="K41" i="4"/>
  <c r="K36" i="4"/>
  <c r="K32" i="4"/>
  <c r="K31" i="4"/>
  <c r="K30" i="4"/>
  <c r="K29" i="4"/>
  <c r="K28" i="4"/>
  <c r="K8" i="4"/>
  <c r="K9" i="4"/>
  <c r="K10" i="4"/>
  <c r="K11" i="4"/>
  <c r="K12" i="4"/>
  <c r="K13" i="4"/>
  <c r="K14" i="4"/>
  <c r="K15" i="4"/>
  <c r="K16" i="4"/>
  <c r="K17" i="4"/>
  <c r="K18" i="4"/>
  <c r="K19" i="4"/>
  <c r="K20" i="4"/>
  <c r="K21" i="4"/>
  <c r="K23" i="4"/>
  <c r="K7" i="4"/>
  <c r="D63" i="1" l="1"/>
  <c r="D26" i="1"/>
  <c r="F26" i="1"/>
  <c r="J14" i="2"/>
  <c r="J13" i="2"/>
  <c r="C37" i="2"/>
  <c r="K22" i="4"/>
  <c r="K37" i="4"/>
  <c r="K38" i="4"/>
  <c r="C24" i="2"/>
  <c r="C39" i="2"/>
  <c r="H64" i="4"/>
  <c r="H26" i="4"/>
  <c r="B14" i="6"/>
  <c r="C7" i="5"/>
  <c r="J7" i="5" s="1"/>
  <c r="C8" i="5"/>
  <c r="J8" i="5" s="1"/>
  <c r="C9" i="5"/>
  <c r="J9" i="5" s="1"/>
  <c r="C10" i="5"/>
  <c r="J10" i="5" s="1"/>
  <c r="C11" i="5"/>
  <c r="J11" i="5" s="1"/>
  <c r="C12" i="5"/>
  <c r="J12" i="5" s="1"/>
  <c r="C13" i="5"/>
  <c r="J13" i="5" s="1"/>
  <c r="C14" i="5"/>
  <c r="J14" i="5" s="1"/>
  <c r="C15" i="5"/>
  <c r="J15" i="5" s="1"/>
  <c r="C16" i="5"/>
  <c r="J16" i="5" s="1"/>
  <c r="C17" i="5"/>
  <c r="J17" i="5" s="1"/>
  <c r="C18" i="5"/>
  <c r="J18" i="5" s="1"/>
  <c r="C19" i="5"/>
  <c r="J19" i="5" s="1"/>
  <c r="C20" i="5"/>
  <c r="J20" i="5" s="1"/>
  <c r="C21" i="5"/>
  <c r="J21" i="5" s="1"/>
  <c r="C22" i="5"/>
  <c r="J22" i="5" s="1"/>
  <c r="C23" i="5"/>
  <c r="J23" i="5" s="1"/>
  <c r="C24" i="5"/>
  <c r="J24" i="5" s="1"/>
  <c r="C25" i="5"/>
  <c r="J25" i="5" s="1"/>
  <c r="C28" i="5"/>
  <c r="J28" i="5" s="1"/>
  <c r="C29" i="5"/>
  <c r="J29" i="5" s="1"/>
  <c r="C30" i="5"/>
  <c r="J30" i="5" s="1"/>
  <c r="C31" i="5"/>
  <c r="J31" i="5" s="1"/>
  <c r="C32" i="5"/>
  <c r="J32" i="5" s="1"/>
  <c r="C33" i="5"/>
  <c r="J33" i="5" s="1"/>
  <c r="C36" i="5"/>
  <c r="J36" i="5" s="1"/>
  <c r="C37" i="5"/>
  <c r="J37" i="5" s="1"/>
  <c r="C38" i="5"/>
  <c r="J38" i="5" s="1"/>
  <c r="C39" i="5"/>
  <c r="J39" i="5" s="1"/>
  <c r="C41" i="5"/>
  <c r="J41" i="5" s="1"/>
  <c r="C42" i="5"/>
  <c r="J42" i="5" s="1"/>
  <c r="C43" i="5"/>
  <c r="J43" i="5" s="1"/>
  <c r="C44" i="5"/>
  <c r="J44" i="5" s="1"/>
  <c r="C45" i="5"/>
  <c r="J45" i="5" s="1"/>
  <c r="C46" i="5"/>
  <c r="J46" i="5" s="1"/>
  <c r="C47" i="5"/>
  <c r="J47" i="5" s="1"/>
  <c r="C48" i="5"/>
  <c r="J48" i="5" s="1"/>
  <c r="C49" i="5"/>
  <c r="J49" i="5" s="1"/>
  <c r="C50" i="5"/>
  <c r="J50" i="5" s="1"/>
  <c r="C51" i="5"/>
  <c r="J51" i="5" s="1"/>
  <c r="C52" i="5"/>
  <c r="J52" i="5" s="1"/>
  <c r="C53" i="5"/>
  <c r="J53" i="5" s="1"/>
  <c r="C54" i="5"/>
  <c r="J54" i="5" s="1"/>
  <c r="C55" i="5"/>
  <c r="J55" i="5" s="1"/>
  <c r="C56" i="5"/>
  <c r="J56" i="5" s="1"/>
  <c r="C57" i="5"/>
  <c r="J57" i="5" s="1"/>
  <c r="C62" i="5"/>
  <c r="G62" i="5"/>
  <c r="E26" i="4"/>
  <c r="K61" i="4"/>
  <c r="K62" i="4"/>
  <c r="E64" i="4"/>
  <c r="E64" i="3"/>
  <c r="G26" i="2"/>
  <c r="E64" i="2"/>
  <c r="G64" i="2"/>
  <c r="G26" i="1"/>
  <c r="E64" i="1"/>
  <c r="G64" i="1"/>
  <c r="C7" i="2" l="1"/>
  <c r="J26" i="1"/>
  <c r="I38" i="5"/>
  <c r="C38" i="2"/>
  <c r="C14" i="3"/>
  <c r="K24" i="4"/>
  <c r="K39" i="4"/>
  <c r="C25" i="2"/>
  <c r="H64" i="2"/>
  <c r="J64" i="4"/>
  <c r="I26" i="3"/>
  <c r="I43" i="5"/>
  <c r="I41" i="5"/>
  <c r="I64" i="3"/>
  <c r="I56" i="5"/>
  <c r="I50" i="5"/>
  <c r="A63" i="5"/>
  <c r="J62" i="5"/>
  <c r="I60" i="5"/>
  <c r="I20" i="5"/>
  <c r="I18" i="5"/>
  <c r="I16" i="5"/>
  <c r="I14" i="5"/>
  <c r="I12" i="5"/>
  <c r="I10" i="5"/>
  <c r="J61" i="5"/>
  <c r="J59" i="5"/>
  <c r="I57" i="5"/>
  <c r="I55" i="5"/>
  <c r="I44" i="5"/>
  <c r="I42" i="5"/>
  <c r="I33" i="5"/>
  <c r="I31" i="5"/>
  <c r="I29" i="5"/>
  <c r="H26" i="1"/>
  <c r="I54" i="5"/>
  <c r="I53" i="5"/>
  <c r="I51" i="5"/>
  <c r="I49" i="5"/>
  <c r="I48" i="5"/>
  <c r="I47" i="5"/>
  <c r="I46" i="5"/>
  <c r="M14" i="6"/>
  <c r="J60" i="5"/>
  <c r="I45" i="5"/>
  <c r="I30" i="5"/>
  <c r="I28" i="5"/>
  <c r="I8" i="5"/>
  <c r="I61" i="5"/>
  <c r="I59" i="5"/>
  <c r="C26" i="5"/>
  <c r="I62" i="5"/>
  <c r="I32" i="5"/>
  <c r="I52" i="5"/>
  <c r="I21" i="5"/>
  <c r="I19" i="5"/>
  <c r="I17" i="5"/>
  <c r="I15" i="5"/>
  <c r="I13" i="5"/>
  <c r="I11" i="5"/>
  <c r="I9" i="5"/>
  <c r="F64" i="1"/>
  <c r="I58" i="5"/>
  <c r="H26" i="2"/>
  <c r="I22" i="5"/>
  <c r="D26" i="5"/>
  <c r="I36" i="5"/>
  <c r="I23" i="5"/>
  <c r="J26" i="4"/>
  <c r="F14" i="3" l="1"/>
  <c r="K14" i="3" s="1"/>
  <c r="C14" i="4" s="1"/>
  <c r="L14" i="4" s="1"/>
  <c r="C26" i="2"/>
  <c r="F26" i="5"/>
  <c r="A63" i="2"/>
  <c r="C13" i="3"/>
  <c r="F64" i="5"/>
  <c r="I24" i="5"/>
  <c r="D64" i="5"/>
  <c r="J58" i="5"/>
  <c r="K26" i="4"/>
  <c r="J26" i="3"/>
  <c r="I26" i="1"/>
  <c r="I37" i="5"/>
  <c r="I39" i="5"/>
  <c r="G64" i="5"/>
  <c r="J64" i="3"/>
  <c r="I64" i="1"/>
  <c r="G26" i="5"/>
  <c r="I25" i="5"/>
  <c r="I26" i="2"/>
  <c r="I64" i="2"/>
  <c r="J64" i="1"/>
  <c r="D54" i="2" l="1"/>
  <c r="F54" i="2" s="1"/>
  <c r="J54" i="2" s="1"/>
  <c r="C54" i="3" s="1"/>
  <c r="D46" i="2"/>
  <c r="F46" i="2" s="1"/>
  <c r="J46" i="2" s="1"/>
  <c r="C46" i="3" s="1"/>
  <c r="D37" i="2"/>
  <c r="D29" i="2"/>
  <c r="D52" i="2"/>
  <c r="D44" i="2"/>
  <c r="F44" i="2" s="1"/>
  <c r="J44" i="2" s="1"/>
  <c r="C44" i="3" s="1"/>
  <c r="D35" i="2"/>
  <c r="D33" i="2"/>
  <c r="D56" i="2"/>
  <c r="F56" i="2" s="1"/>
  <c r="J56" i="2" s="1"/>
  <c r="C56" i="3" s="1"/>
  <c r="D48" i="2"/>
  <c r="D39" i="2"/>
  <c r="D31" i="2"/>
  <c r="D60" i="2"/>
  <c r="D50" i="2"/>
  <c r="D42" i="2"/>
  <c r="D59" i="2"/>
  <c r="D41" i="2"/>
  <c r="D57" i="2"/>
  <c r="D43" i="2"/>
  <c r="D28" i="2"/>
  <c r="D45" i="2"/>
  <c r="D61" i="2"/>
  <c r="D30" i="2"/>
  <c r="D47" i="2"/>
  <c r="D32" i="2"/>
  <c r="D49" i="2"/>
  <c r="D58" i="2"/>
  <c r="F58" i="2" s="1"/>
  <c r="J58" i="2" s="1"/>
  <c r="C58" i="3" s="1"/>
  <c r="D34" i="2"/>
  <c r="D51" i="2"/>
  <c r="F51" i="2" s="1"/>
  <c r="J51" i="2" s="1"/>
  <c r="C51" i="3" s="1"/>
  <c r="D36" i="2"/>
  <c r="D53" i="2"/>
  <c r="D62" i="2"/>
  <c r="F62" i="2" s="1"/>
  <c r="J62" i="2" s="1"/>
  <c r="C62" i="3" s="1"/>
  <c r="D38" i="2"/>
  <c r="D55" i="2"/>
  <c r="F55" i="2" s="1"/>
  <c r="J55" i="2" s="1"/>
  <c r="C55" i="3" s="1"/>
  <c r="D7" i="2"/>
  <c r="D16" i="2"/>
  <c r="F16" i="2" s="1"/>
  <c r="D8" i="2"/>
  <c r="D10" i="2"/>
  <c r="D17" i="2"/>
  <c r="F17" i="2" s="1"/>
  <c r="D9" i="2"/>
  <c r="D20" i="2"/>
  <c r="F20" i="2" s="1"/>
  <c r="J20" i="2" s="1"/>
  <c r="C20" i="3" s="1"/>
  <c r="D12" i="2"/>
  <c r="D15" i="2"/>
  <c r="F15" i="2" s="1"/>
  <c r="D23" i="2"/>
  <c r="D22" i="2"/>
  <c r="D21" i="2"/>
  <c r="D19" i="2"/>
  <c r="D11" i="2"/>
  <c r="F11" i="2" s="1"/>
  <c r="J11" i="2" s="1"/>
  <c r="C11" i="3" s="1"/>
  <c r="D18" i="2"/>
  <c r="F18" i="2" s="1"/>
  <c r="D24" i="2"/>
  <c r="F24" i="2" s="1"/>
  <c r="D25" i="2"/>
  <c r="F25" i="2" s="1"/>
  <c r="F13" i="3"/>
  <c r="K13" i="3" s="1"/>
  <c r="C13" i="4" s="1"/>
  <c r="L13" i="4" s="1"/>
  <c r="J25" i="2" l="1"/>
  <c r="C25" i="3" s="1"/>
  <c r="J24" i="2"/>
  <c r="C24" i="3" s="1"/>
  <c r="F23" i="2"/>
  <c r="J23" i="2" s="1"/>
  <c r="C23" i="3" s="1"/>
  <c r="J18" i="2"/>
  <c r="C18" i="3" s="1"/>
  <c r="F45" i="2"/>
  <c r="J45" i="2" s="1"/>
  <c r="C45" i="3" s="1"/>
  <c r="F52" i="2"/>
  <c r="J52" i="2" s="1"/>
  <c r="C52" i="3" s="1"/>
  <c r="F9" i="2"/>
  <c r="J9" i="2" s="1"/>
  <c r="C9" i="3" s="1"/>
  <c r="J16" i="2"/>
  <c r="C16" i="3" s="1"/>
  <c r="F34" i="2"/>
  <c r="J34" i="2" s="1"/>
  <c r="C34" i="3" s="1"/>
  <c r="F47" i="2"/>
  <c r="J47" i="2" s="1"/>
  <c r="C47" i="3" s="1"/>
  <c r="F28" i="2"/>
  <c r="J28" i="2" s="1"/>
  <c r="C28" i="3" s="1"/>
  <c r="F59" i="2"/>
  <c r="J59" i="2" s="1"/>
  <c r="C59" i="3" s="1"/>
  <c r="F31" i="2"/>
  <c r="J31" i="2" s="1"/>
  <c r="C31" i="3" s="1"/>
  <c r="F33" i="2"/>
  <c r="J33" i="2" s="1"/>
  <c r="C33" i="3" s="1"/>
  <c r="F29" i="2"/>
  <c r="J29" i="2" s="1"/>
  <c r="C29" i="3" s="1"/>
  <c r="F8" i="2"/>
  <c r="J8" i="2" s="1"/>
  <c r="C8" i="3" s="1"/>
  <c r="F38" i="2"/>
  <c r="J38" i="2" s="1"/>
  <c r="C38" i="3" s="1"/>
  <c r="F32" i="2"/>
  <c r="J32" i="2" s="1"/>
  <c r="C32" i="3" s="1"/>
  <c r="F41" i="2"/>
  <c r="J41" i="2" s="1"/>
  <c r="C41" i="3" s="1"/>
  <c r="F60" i="2"/>
  <c r="J60" i="2" s="1"/>
  <c r="C60" i="3" s="1"/>
  <c r="F22" i="2"/>
  <c r="J22" i="2" s="1"/>
  <c r="C22" i="3" s="1"/>
  <c r="F19" i="2"/>
  <c r="J19" i="2" s="1"/>
  <c r="C19" i="3" s="1"/>
  <c r="J15" i="2"/>
  <c r="C15" i="3" s="1"/>
  <c r="J17" i="2"/>
  <c r="C17" i="3" s="1"/>
  <c r="D63" i="2"/>
  <c r="F53" i="2"/>
  <c r="J53" i="2" s="1"/>
  <c r="C53" i="3" s="1"/>
  <c r="F30" i="2"/>
  <c r="J30" i="2" s="1"/>
  <c r="C30" i="3" s="1"/>
  <c r="F43" i="2"/>
  <c r="J43" i="2" s="1"/>
  <c r="C43" i="3" s="1"/>
  <c r="F42" i="2"/>
  <c r="J42" i="2" s="1"/>
  <c r="C42" i="3" s="1"/>
  <c r="F39" i="2"/>
  <c r="J39" i="2" s="1"/>
  <c r="C39" i="3" s="1"/>
  <c r="F35" i="2"/>
  <c r="J35" i="2" s="1"/>
  <c r="C35" i="3" s="1"/>
  <c r="F37" i="2"/>
  <c r="J37" i="2" s="1"/>
  <c r="C37" i="3" s="1"/>
  <c r="F21" i="2"/>
  <c r="J21" i="2" s="1"/>
  <c r="C21" i="3" s="1"/>
  <c r="F12" i="2"/>
  <c r="J12" i="2" s="1"/>
  <c r="C12" i="3" s="1"/>
  <c r="F10" i="2"/>
  <c r="J10" i="2" s="1"/>
  <c r="C10" i="3" s="1"/>
  <c r="F36" i="2"/>
  <c r="J36" i="2" s="1"/>
  <c r="C36" i="3" s="1"/>
  <c r="F49" i="2"/>
  <c r="J49" i="2" s="1"/>
  <c r="C49" i="3" s="1"/>
  <c r="F61" i="2"/>
  <c r="J61" i="2" s="1"/>
  <c r="C61" i="3" s="1"/>
  <c r="F57" i="2"/>
  <c r="J57" i="2" s="1"/>
  <c r="C57" i="3" s="1"/>
  <c r="F50" i="2"/>
  <c r="J50" i="2" s="1"/>
  <c r="C50" i="3" s="1"/>
  <c r="F48" i="2"/>
  <c r="J48" i="2" s="1"/>
  <c r="C48" i="3" s="1"/>
  <c r="F7" i="2"/>
  <c r="J7" i="2" s="1"/>
  <c r="C7" i="3" s="1"/>
  <c r="D26" i="2"/>
  <c r="F26" i="2" l="1"/>
  <c r="C26" i="3"/>
  <c r="F64" i="2"/>
  <c r="I7" i="5"/>
  <c r="E26" i="5"/>
  <c r="E64" i="5"/>
  <c r="J64" i="2"/>
  <c r="J26" i="2"/>
  <c r="I26" i="5" l="1"/>
  <c r="I64" i="5"/>
  <c r="J64" i="5"/>
  <c r="J26" i="5"/>
  <c r="A63" i="3"/>
  <c r="D35" i="3" l="1"/>
  <c r="D34" i="3"/>
  <c r="D33" i="3"/>
  <c r="D28" i="3"/>
  <c r="D10" i="3"/>
  <c r="D17" i="3"/>
  <c r="D57" i="3"/>
  <c r="D52" i="3"/>
  <c r="D60" i="3"/>
  <c r="D54" i="3"/>
  <c r="F54" i="3" s="1"/>
  <c r="D51" i="3"/>
  <c r="D48" i="3"/>
  <c r="D45" i="3"/>
  <c r="D20" i="3"/>
  <c r="F20" i="3" s="1"/>
  <c r="K20" i="3" s="1"/>
  <c r="C20" i="4" s="1"/>
  <c r="L20" i="4" s="1"/>
  <c r="D30" i="3"/>
  <c r="D12" i="3"/>
  <c r="D19" i="3"/>
  <c r="D58" i="3"/>
  <c r="F58" i="3" s="1"/>
  <c r="K58" i="3" s="1"/>
  <c r="D11" i="3"/>
  <c r="D61" i="3"/>
  <c r="D16" i="3"/>
  <c r="D15" i="3"/>
  <c r="F15" i="3" s="1"/>
  <c r="D62" i="3"/>
  <c r="F62" i="3" s="1"/>
  <c r="K62" i="3" s="1"/>
  <c r="C62" i="4" s="1"/>
  <c r="D55" i="3"/>
  <c r="F55" i="3" s="1"/>
  <c r="D44" i="3"/>
  <c r="F44" i="3" s="1"/>
  <c r="D46" i="3"/>
  <c r="F46" i="3" s="1"/>
  <c r="D56" i="3"/>
  <c r="F56" i="3" s="1"/>
  <c r="K56" i="3" s="1"/>
  <c r="C56" i="4" s="1"/>
  <c r="L56" i="4" s="1"/>
  <c r="D53" i="3"/>
  <c r="D42" i="3"/>
  <c r="D47" i="3"/>
  <c r="D29" i="3"/>
  <c r="D41" i="3"/>
  <c r="D31" i="3"/>
  <c r="F31" i="3" s="1"/>
  <c r="K31" i="3" s="1"/>
  <c r="C31" i="4" s="1"/>
  <c r="L31" i="4" s="1"/>
  <c r="D21" i="3"/>
  <c r="D50" i="3"/>
  <c r="F50" i="3" s="1"/>
  <c r="D49" i="3"/>
  <c r="D43" i="3"/>
  <c r="D9" i="3"/>
  <c r="D38" i="3"/>
  <c r="D37" i="3"/>
  <c r="D39" i="3"/>
  <c r="D18" i="3"/>
  <c r="D32" i="3"/>
  <c r="D36" i="3"/>
  <c r="D59" i="3"/>
  <c r="D25" i="3"/>
  <c r="D8" i="3"/>
  <c r="D24" i="3"/>
  <c r="D23" i="3"/>
  <c r="D22" i="3"/>
  <c r="D7" i="3"/>
  <c r="C58" i="4" l="1"/>
  <c r="L58" i="4" s="1"/>
  <c r="D63" i="3"/>
  <c r="F7" i="3"/>
  <c r="K7" i="3" s="1"/>
  <c r="F23" i="3"/>
  <c r="K23" i="3" s="1"/>
  <c r="C23" i="4" s="1"/>
  <c r="L23" i="4" s="1"/>
  <c r="F59" i="3"/>
  <c r="K59" i="3" s="1"/>
  <c r="C59" i="4" s="1"/>
  <c r="F22" i="3"/>
  <c r="K22" i="3" s="1"/>
  <c r="C22" i="4" s="1"/>
  <c r="L22" i="4" s="1"/>
  <c r="F37" i="3"/>
  <c r="K37" i="3" s="1"/>
  <c r="C37" i="4" s="1"/>
  <c r="L37" i="4" s="1"/>
  <c r="F8" i="3"/>
  <c r="K8" i="3" s="1"/>
  <c r="C8" i="4" s="1"/>
  <c r="L8" i="4" s="1"/>
  <c r="F32" i="3"/>
  <c r="K32" i="3" s="1"/>
  <c r="C32" i="4" s="1"/>
  <c r="L32" i="4" s="1"/>
  <c r="K46" i="3"/>
  <c r="C46" i="4" s="1"/>
  <c r="L46" i="4" s="1"/>
  <c r="F57" i="3"/>
  <c r="K57" i="3" s="1"/>
  <c r="C57" i="4" s="1"/>
  <c r="L57" i="4" s="1"/>
  <c r="K55" i="3"/>
  <c r="C55" i="4" s="1"/>
  <c r="L55" i="4" s="1"/>
  <c r="F21" i="3"/>
  <c r="K21" i="3" s="1"/>
  <c r="C21" i="4" s="1"/>
  <c r="L21" i="4" s="1"/>
  <c r="K44" i="3"/>
  <c r="C44" i="4" s="1"/>
  <c r="L44" i="4" s="1"/>
  <c r="F11" i="3"/>
  <c r="K11" i="3" s="1"/>
  <c r="C11" i="4" s="1"/>
  <c r="L11" i="4" s="1"/>
  <c r="F29" i="3"/>
  <c r="K29" i="3" s="1"/>
  <c r="C29" i="4" s="1"/>
  <c r="L29" i="4" s="1"/>
  <c r="F35" i="3"/>
  <c r="K35" i="3" s="1"/>
  <c r="C35" i="4" s="1"/>
  <c r="L35" i="4" s="1"/>
  <c r="F24" i="3"/>
  <c r="K24" i="3" s="1"/>
  <c r="C24" i="4" s="1"/>
  <c r="L24" i="4" s="1"/>
  <c r="F18" i="3"/>
  <c r="K18" i="3" s="1"/>
  <c r="C18" i="4" s="1"/>
  <c r="L18" i="4" s="1"/>
  <c r="F38" i="3"/>
  <c r="K38" i="3" s="1"/>
  <c r="C38" i="4" s="1"/>
  <c r="L38" i="4" s="1"/>
  <c r="F51" i="3"/>
  <c r="K51" i="3" s="1"/>
  <c r="C51" i="4" s="1"/>
  <c r="L51" i="4" s="1"/>
  <c r="F17" i="3"/>
  <c r="K17" i="3" s="1"/>
  <c r="C17" i="4" s="1"/>
  <c r="L17" i="4" s="1"/>
  <c r="F43" i="3"/>
  <c r="K43" i="3" s="1"/>
  <c r="C43" i="4" s="1"/>
  <c r="L43" i="4" s="1"/>
  <c r="F52" i="3"/>
  <c r="K52" i="3" s="1"/>
  <c r="C52" i="4" s="1"/>
  <c r="L52" i="4" s="1"/>
  <c r="F16" i="3"/>
  <c r="K16" i="3" s="1"/>
  <c r="C16" i="4" s="1"/>
  <c r="L16" i="4" s="1"/>
  <c r="F45" i="3"/>
  <c r="K45" i="3" s="1"/>
  <c r="C45" i="4" s="1"/>
  <c r="L45" i="4" s="1"/>
  <c r="F60" i="3"/>
  <c r="K60" i="3" s="1"/>
  <c r="C60" i="4" s="1"/>
  <c r="F28" i="3"/>
  <c r="K28" i="3" s="1"/>
  <c r="C28" i="4" s="1"/>
  <c r="L28" i="4" s="1"/>
  <c r="F39" i="3"/>
  <c r="K39" i="3" s="1"/>
  <c r="C39" i="4" s="1"/>
  <c r="L39" i="4" s="1"/>
  <c r="F48" i="3"/>
  <c r="K48" i="3" s="1"/>
  <c r="C48" i="4" s="1"/>
  <c r="L48" i="4" s="1"/>
  <c r="F12" i="3"/>
  <c r="K12" i="3" s="1"/>
  <c r="C12" i="4" s="1"/>
  <c r="L12" i="4" s="1"/>
  <c r="F33" i="3"/>
  <c r="K33" i="3" s="1"/>
  <c r="C33" i="4" s="1"/>
  <c r="L33" i="4" s="1"/>
  <c r="F53" i="3"/>
  <c r="K53" i="3" s="1"/>
  <c r="C53" i="4" s="1"/>
  <c r="L53" i="4" s="1"/>
  <c r="F19" i="3"/>
  <c r="K19" i="3" s="1"/>
  <c r="C19" i="4" s="1"/>
  <c r="L19" i="4" s="1"/>
  <c r="F42" i="3"/>
  <c r="K42" i="3" s="1"/>
  <c r="C42" i="4" s="1"/>
  <c r="L42" i="4" s="1"/>
  <c r="K54" i="3"/>
  <c r="C54" i="4" s="1"/>
  <c r="L54" i="4" s="1"/>
  <c r="F10" i="3"/>
  <c r="K10" i="3" s="1"/>
  <c r="C10" i="4" s="1"/>
  <c r="L10" i="4" s="1"/>
  <c r="F9" i="3"/>
  <c r="K9" i="3" s="1"/>
  <c r="C9" i="4" s="1"/>
  <c r="L9" i="4" s="1"/>
  <c r="F25" i="3"/>
  <c r="K25" i="3" s="1"/>
  <c r="C25" i="4" s="1"/>
  <c r="L25" i="4" s="1"/>
  <c r="F36" i="3"/>
  <c r="K36" i="3" s="1"/>
  <c r="C36" i="4" s="1"/>
  <c r="L36" i="4" s="1"/>
  <c r="F49" i="3"/>
  <c r="K49" i="3" s="1"/>
  <c r="C49" i="4" s="1"/>
  <c r="L49" i="4" s="1"/>
  <c r="K15" i="3"/>
  <c r="C15" i="4" s="1"/>
  <c r="L15" i="4" s="1"/>
  <c r="F41" i="3"/>
  <c r="K41" i="3" s="1"/>
  <c r="C41" i="4" s="1"/>
  <c r="L41" i="4" s="1"/>
  <c r="K50" i="3"/>
  <c r="C50" i="4" s="1"/>
  <c r="L50" i="4" s="1"/>
  <c r="F47" i="3"/>
  <c r="K47" i="3" s="1"/>
  <c r="C47" i="4" s="1"/>
  <c r="L47" i="4" s="1"/>
  <c r="F61" i="3"/>
  <c r="K61" i="3" s="1"/>
  <c r="C61" i="4" s="1"/>
  <c r="F30" i="3"/>
  <c r="K30" i="3" s="1"/>
  <c r="C30" i="4" s="1"/>
  <c r="L30" i="4" s="1"/>
  <c r="F34" i="3"/>
  <c r="K34" i="3" s="1"/>
  <c r="C34" i="4" s="1"/>
  <c r="L34" i="4" s="1"/>
  <c r="C7" i="4" l="1"/>
  <c r="K26" i="3"/>
  <c r="F26" i="3"/>
  <c r="F64" i="3"/>
  <c r="K64" i="3"/>
  <c r="A63" i="4" l="1"/>
  <c r="D41" i="4" s="1"/>
  <c r="I41" i="4" s="1"/>
  <c r="L7" i="4"/>
  <c r="C26" i="4"/>
  <c r="D20" i="4" l="1"/>
  <c r="D12" i="4"/>
  <c r="D17" i="4"/>
  <c r="D62" i="4"/>
  <c r="I62" i="4" s="1"/>
  <c r="D22" i="4"/>
  <c r="D51" i="4"/>
  <c r="D59" i="4"/>
  <c r="I59" i="4" s="1"/>
  <c r="D38" i="4"/>
  <c r="I38" i="4" s="1"/>
  <c r="D47" i="4"/>
  <c r="D33" i="4"/>
  <c r="I33" i="4" s="1"/>
  <c r="D32" i="4"/>
  <c r="D43" i="4"/>
  <c r="I43" i="4" s="1"/>
  <c r="D11" i="4"/>
  <c r="D24" i="4"/>
  <c r="I24" i="4" s="1"/>
  <c r="D37" i="4"/>
  <c r="D29" i="4"/>
  <c r="I29" i="4" s="1"/>
  <c r="D48" i="4"/>
  <c r="I48" i="4" s="1"/>
  <c r="D55" i="4"/>
  <c r="D31" i="4"/>
  <c r="D7" i="4"/>
  <c r="D49" i="4"/>
  <c r="D19" i="4"/>
  <c r="I19" i="4" s="1"/>
  <c r="D34" i="4"/>
  <c r="D57" i="4"/>
  <c r="I57" i="4" s="1"/>
  <c r="D21" i="4"/>
  <c r="D61" i="4"/>
  <c r="I61" i="4" s="1"/>
  <c r="D58" i="4"/>
  <c r="D14" i="4"/>
  <c r="I14" i="4" s="1"/>
  <c r="D53" i="4"/>
  <c r="D25" i="4"/>
  <c r="I25" i="4" s="1"/>
  <c r="D45" i="4"/>
  <c r="I45" i="4" s="1"/>
  <c r="D50" i="4"/>
  <c r="I50" i="4" s="1"/>
  <c r="D60" i="4"/>
  <c r="I60" i="4" s="1"/>
  <c r="D39" i="4"/>
  <c r="I39" i="4" s="1"/>
  <c r="D15" i="4"/>
  <c r="D36" i="4"/>
  <c r="I36" i="4" s="1"/>
  <c r="D16" i="4"/>
  <c r="D30" i="4"/>
  <c r="I30" i="4" s="1"/>
  <c r="D52" i="4"/>
  <c r="I52" i="4" s="1"/>
  <c r="D8" i="4"/>
  <c r="I8" i="4" s="1"/>
  <c r="D56" i="4"/>
  <c r="D13" i="4"/>
  <c r="I13" i="4" s="1"/>
  <c r="D23" i="4"/>
  <c r="I23" i="4" s="1"/>
  <c r="D35" i="4"/>
  <c r="I35" i="4" s="1"/>
  <c r="K35" i="4" s="1"/>
  <c r="D18" i="4"/>
  <c r="D54" i="4"/>
  <c r="I54" i="4" s="1"/>
  <c r="D46" i="4"/>
  <c r="I46" i="4" s="1"/>
  <c r="D10" i="4"/>
  <c r="I10" i="4" s="1"/>
  <c r="D42" i="4"/>
  <c r="D9" i="4"/>
  <c r="I9" i="4" s="1"/>
  <c r="D44" i="4"/>
  <c r="I44" i="4" s="1"/>
  <c r="D28" i="4"/>
  <c r="I28" i="4" s="1"/>
  <c r="I21" i="4"/>
  <c r="L59" i="4"/>
  <c r="I16" i="4"/>
  <c r="I55" i="4"/>
  <c r="I53" i="4"/>
  <c r="I32" i="4"/>
  <c r="I51" i="4"/>
  <c r="I47" i="4"/>
  <c r="I58" i="4"/>
  <c r="I31" i="4"/>
  <c r="I12" i="4"/>
  <c r="I49" i="4"/>
  <c r="I37" i="4"/>
  <c r="I15" i="4"/>
  <c r="I56" i="4"/>
  <c r="I17" i="4"/>
  <c r="I34" i="4"/>
  <c r="I42" i="4"/>
  <c r="I11" i="4"/>
  <c r="I20" i="4"/>
  <c r="I22" i="4"/>
  <c r="I18" i="4"/>
  <c r="L62" i="4" l="1"/>
  <c r="D63" i="4"/>
  <c r="I7" i="4"/>
  <c r="L61" i="4"/>
  <c r="L60" i="4"/>
  <c r="F26" i="4"/>
  <c r="F64" i="4"/>
  <c r="K64" i="4"/>
  <c r="L26" i="4" l="1"/>
  <c r="L64" i="4"/>
  <c r="I64" i="4"/>
  <c r="I26" i="4"/>
</calcChain>
</file>

<file path=xl/comments1.xml><?xml version="1.0" encoding="utf-8"?>
<comments xmlns="http://schemas.openxmlformats.org/spreadsheetml/2006/main">
  <authors>
    <author>Dukes, Marie</author>
  </authors>
  <commentList>
    <comment ref="D45" authorId="0" shapeId="0">
      <text>
        <r>
          <rPr>
            <b/>
            <sz val="9"/>
            <color indexed="81"/>
            <rFont val="Tahoma"/>
            <family val="2"/>
          </rPr>
          <t>Dukes, Marie:
are the positions full time 10 months or part time FTE (1) is full time FTE (.50) is part time
if it is a service company and not an employee state service contract</t>
        </r>
      </text>
    </comment>
  </commentList>
</comments>
</file>

<file path=xl/comments2.xml><?xml version="1.0" encoding="utf-8"?>
<comments xmlns="http://schemas.openxmlformats.org/spreadsheetml/2006/main">
  <authors>
    <author>Dukes, Marie</author>
  </authors>
  <commentList>
    <comment ref="E38" authorId="0" shapeId="0">
      <text>
        <r>
          <rPr>
            <b/>
            <sz val="9"/>
            <color indexed="81"/>
            <rFont val="Tahoma"/>
            <family val="2"/>
          </rPr>
          <t>Dukes, Marie:</t>
        </r>
        <r>
          <rPr>
            <sz val="9"/>
            <color indexed="81"/>
            <rFont val="Tahoma"/>
            <family val="2"/>
          </rPr>
          <t xml:space="preserve">
</t>
        </r>
        <r>
          <rPr>
            <sz val="11"/>
            <color indexed="81"/>
            <rFont val="Calibri"/>
            <family val="2"/>
            <scheme val="minor"/>
          </rPr>
          <t>Unit cost is based on 12 month Salary for all budggets that include a R</t>
        </r>
        <r>
          <rPr>
            <b/>
            <sz val="11"/>
            <color indexed="81"/>
            <rFont val="Calibri"/>
            <family val="2"/>
            <scheme val="minor"/>
          </rPr>
          <t xml:space="preserve">atio Split of 76.73% and 81.63% </t>
        </r>
        <r>
          <rPr>
            <sz val="11"/>
            <color indexed="81"/>
            <rFont val="Calibri"/>
            <family val="2"/>
            <scheme val="minor"/>
          </rPr>
          <t xml:space="preserve">under the </t>
        </r>
        <r>
          <rPr>
            <b/>
            <sz val="11"/>
            <color indexed="81"/>
            <rFont val="Calibri"/>
            <family val="2"/>
            <scheme val="minor"/>
          </rPr>
          <t>Unit Costs/Average Unit Costs</t>
        </r>
        <r>
          <rPr>
            <sz val="11"/>
            <color indexed="81"/>
            <rFont val="Calibri"/>
            <family val="2"/>
            <scheme val="minor"/>
          </rPr>
          <t xml:space="preserve"> column</t>
        </r>
      </text>
    </comment>
  </commentList>
</comments>
</file>

<file path=xl/sharedStrings.xml><?xml version="1.0" encoding="utf-8"?>
<sst xmlns="http://schemas.openxmlformats.org/spreadsheetml/2006/main" count="3261" uniqueCount="1111">
  <si>
    <t xml:space="preserve">TOTAL CASH PAID OUT </t>
  </si>
  <si>
    <t>Profit (if applicable)</t>
  </si>
  <si>
    <t>Staff Transportation</t>
  </si>
  <si>
    <t>Advertising</t>
  </si>
  <si>
    <t>Payroll Preparation Fees</t>
  </si>
  <si>
    <t>Accounting Fees</t>
  </si>
  <si>
    <t>Insurance</t>
  </si>
  <si>
    <t>Security Equipment</t>
  </si>
  <si>
    <t>Telecommunications Services</t>
  </si>
  <si>
    <t>Utilities</t>
  </si>
  <si>
    <t>Building/Grounds Maintenance/Repair</t>
  </si>
  <si>
    <t>Food for Meetings</t>
  </si>
  <si>
    <t>Cleaning Supplies</t>
  </si>
  <si>
    <t>Food-Related Paper Supplies</t>
  </si>
  <si>
    <t>Office Materials and Supplies</t>
  </si>
  <si>
    <t>Office Equipment&gt;$2000 and Repair</t>
  </si>
  <si>
    <t>Rent, Mortgage, Other Space Costs</t>
  </si>
  <si>
    <t>Disability (0.50%)</t>
  </si>
  <si>
    <t>Unemployment (2.80%)</t>
  </si>
  <si>
    <t>Medicare (1.45%)</t>
  </si>
  <si>
    <t>Social Security (6.20%)</t>
  </si>
  <si>
    <t>Janitor Benefits</t>
  </si>
  <si>
    <t>Janitor Salary</t>
  </si>
  <si>
    <t>Clerical Benefits</t>
  </si>
  <si>
    <t>Clerical Salary</t>
  </si>
  <si>
    <t>Director Benefits</t>
  </si>
  <si>
    <t>Director Salary</t>
  </si>
  <si>
    <t>Sub-Total</t>
  </si>
  <si>
    <t>Food Worker Benefits (Cook &amp; Assist. Cook)</t>
  </si>
  <si>
    <t>Food Worker Salary (cook asst.)</t>
  </si>
  <si>
    <t>Food Worker Salary (cook)</t>
  </si>
  <si>
    <t>Food CACFP; September - June                                                                 (for contracted preschool children only)</t>
  </si>
  <si>
    <t>Family Worker Benefits</t>
  </si>
  <si>
    <t>Family Worker Salary</t>
  </si>
  <si>
    <t>Field Trips w/ Transportation</t>
  </si>
  <si>
    <t>Classroom Technology</t>
  </si>
  <si>
    <t>Classroom Materials and Supplies</t>
  </si>
  <si>
    <t>Substitute Assistant Daily Rate (Stipend)</t>
  </si>
  <si>
    <t>Substitute Teacher Daily Rate (Stipend)</t>
  </si>
  <si>
    <t>Teacher, Assistant and Floater Benefits</t>
  </si>
  <si>
    <t>Floating Teacher Assistant Salary</t>
  </si>
  <si>
    <t xml:space="preserve">Teacher Assistant Salary </t>
  </si>
  <si>
    <t xml:space="preserve">Teacher Salary </t>
  </si>
  <si>
    <r>
      <t xml:space="preserve">EDUCATIONAL PROGRAM COSTS (Instructional) </t>
    </r>
    <r>
      <rPr>
        <b/>
        <sz val="12"/>
        <rFont val="Arial"/>
        <family val="2"/>
      </rPr>
      <t xml:space="preserve"> 10-MONTH COST ONLY EXCLUDING BENEFITS</t>
    </r>
  </si>
  <si>
    <t>Comments</t>
  </si>
  <si>
    <t>Fund Balance</t>
  </si>
  <si>
    <t>(District Use)</t>
  </si>
  <si>
    <t>EXPENDITURES (Cash Paid Out)</t>
  </si>
  <si>
    <t xml:space="preserve">NPS Approved </t>
  </si>
  <si>
    <t xml:space="preserve">September Under Enrollment </t>
  </si>
  <si>
    <t>DOE Share of DOE/DHS Shared Costs</t>
  </si>
  <si>
    <t>Budget Modification Approved by the District</t>
  </si>
  <si>
    <t>Provider Balance Prior to Ependiture Review</t>
  </si>
  <si>
    <t>Provider Reported Expenditures</t>
  </si>
  <si>
    <t>Total Number of Abbott Children</t>
  </si>
  <si>
    <t>Profit</t>
  </si>
  <si>
    <t>(Oct. - Dec.)</t>
  </si>
  <si>
    <t>Unapproved Funds Expended         (Oct. - Dec.)</t>
  </si>
  <si>
    <t>October - December Under Enrollment</t>
  </si>
  <si>
    <t>(Jan- March)</t>
  </si>
  <si>
    <t>(April - June)</t>
  </si>
  <si>
    <t>Unapproved Funds Expended         (April - June)</t>
  </si>
  <si>
    <t>1st-4th Quarters</t>
  </si>
  <si>
    <t>Month</t>
  </si>
  <si>
    <t>September</t>
  </si>
  <si>
    <t>October</t>
  </si>
  <si>
    <t>November</t>
  </si>
  <si>
    <t>December</t>
  </si>
  <si>
    <t>January</t>
  </si>
  <si>
    <t>February</t>
  </si>
  <si>
    <t>March</t>
  </si>
  <si>
    <t>April</t>
  </si>
  <si>
    <t>May</t>
  </si>
  <si>
    <t>June</t>
  </si>
  <si>
    <t>Sub Total</t>
  </si>
  <si>
    <t>Contracted Slots by Location</t>
  </si>
  <si>
    <t>Budget Modification Request</t>
  </si>
  <si>
    <t>Projected Balance after Budget Mod Request</t>
  </si>
  <si>
    <t>(July-Sept.)</t>
  </si>
  <si>
    <t>Unapproved /  Approved Funds Expended (July-Sept.)</t>
  </si>
  <si>
    <t>DOE Share of Center-Wide Costs</t>
  </si>
  <si>
    <r>
      <t xml:space="preserve">ADMINISTRATIVE </t>
    </r>
    <r>
      <rPr>
        <b/>
        <sz val="11"/>
        <rFont val="Arial Black"/>
        <family val="2"/>
      </rPr>
      <t xml:space="preserve">SUPPORT </t>
    </r>
    <r>
      <rPr>
        <b/>
        <sz val="11"/>
        <rFont val="Arial"/>
        <family val="2"/>
      </rPr>
      <t xml:space="preserve">COSTS (NON-Instructional) </t>
    </r>
    <r>
      <rPr>
        <b/>
        <sz val="12"/>
        <rFont val="Arial"/>
        <family val="2"/>
      </rPr>
      <t>12-MONTH COST ONLY EXCLUDING BENEFITS</t>
    </r>
  </si>
  <si>
    <r>
      <t xml:space="preserve">INDIRECT </t>
    </r>
    <r>
      <rPr>
        <b/>
        <sz val="11"/>
        <rFont val="Arial"/>
        <family val="2"/>
      </rPr>
      <t xml:space="preserve">COSTS -- SPACE COSTS AND ALL OTHER ALLOWABLE INDIRECT  (NON-Instructional) </t>
    </r>
    <r>
      <rPr>
        <b/>
        <sz val="12"/>
        <rFont val="Arial"/>
        <family val="2"/>
      </rPr>
      <t xml:space="preserve">12-MONTH COSTS </t>
    </r>
  </si>
  <si>
    <t>Security Guard Salary</t>
  </si>
  <si>
    <t>Secufity Guard Benefits</t>
  </si>
  <si>
    <r>
      <t xml:space="preserve">District Calculated Expenditures  </t>
    </r>
    <r>
      <rPr>
        <b/>
        <sz val="9"/>
        <rFont val="Arial"/>
        <family val="2"/>
      </rPr>
      <t>3rd Quarter</t>
    </r>
  </si>
  <si>
    <t>Change DOE Share of DOE/DHS Shared Costs</t>
  </si>
  <si>
    <t>Budget Modifications</t>
  </si>
  <si>
    <t>Unapproved / Approved Funds Expended         (Jan - March</t>
  </si>
  <si>
    <t>January - March Under Enrollment</t>
  </si>
  <si>
    <t>April - June Under Enrollment</t>
  </si>
  <si>
    <t>.</t>
  </si>
  <si>
    <t xml:space="preserve">  </t>
  </si>
  <si>
    <r>
      <t>District Calculated Expenditures  4</t>
    </r>
    <r>
      <rPr>
        <b/>
        <sz val="9"/>
        <rFont val="Arial"/>
        <family val="2"/>
      </rPr>
      <t>th Quarter</t>
    </r>
  </si>
  <si>
    <r>
      <t xml:space="preserve">District Calculated Expenditures  </t>
    </r>
    <r>
      <rPr>
        <b/>
        <sz val="9"/>
        <color rgb="FFFF0000"/>
        <rFont val="Arial"/>
        <family val="2"/>
      </rPr>
      <t>2nd Quarter</t>
    </r>
  </si>
  <si>
    <r>
      <t xml:space="preserve">District Calculated Expenditures  </t>
    </r>
    <r>
      <rPr>
        <b/>
        <sz val="9"/>
        <color rgb="FFFF0000"/>
        <rFont val="Arial"/>
        <family val="2"/>
      </rPr>
      <t>1st Quarter</t>
    </r>
  </si>
  <si>
    <t>Proration Changes</t>
  </si>
  <si>
    <t>2018-19Budget</t>
  </si>
  <si>
    <t>2018-19 Budget</t>
  </si>
  <si>
    <t>1st Qrt                      (July 2018-September 2018)</t>
  </si>
  <si>
    <t>2nd Qrt                  (October 2018 -December2018)</t>
  </si>
  <si>
    <t>4th Qrt                        (April 2019 -               June 2019)</t>
  </si>
  <si>
    <t>3rd Qrt                   (January 2019 - March 2019)</t>
  </si>
  <si>
    <t>Report Due  Tuesday, October 15, 2019 by 3:00PM</t>
  </si>
  <si>
    <t>Report Due Wednesday JANUARY 15, 2020 by 3:00PM</t>
  </si>
  <si>
    <t>Report Due Tuesday, JUNE 30, 2020 by 3:00PM</t>
  </si>
  <si>
    <t>Report Due Wednesday, April 15, 2020 by 3:00PM</t>
  </si>
  <si>
    <t>Classrooms Serving Contracted Eligible Children:</t>
  </si>
  <si>
    <t>District Name:</t>
  </si>
  <si>
    <t>Contracted Eligible Children:</t>
  </si>
  <si>
    <t>Provider Name:</t>
  </si>
  <si>
    <t>Other Students in Classrooms with Contracted Eligible Children:</t>
  </si>
  <si>
    <t>Program Type:</t>
  </si>
  <si>
    <t>Other Private Provider</t>
  </si>
  <si>
    <t>All Other Classrooms:</t>
  </si>
  <si>
    <t>Non-profit Status:</t>
  </si>
  <si>
    <t>Center/parent company is 501(c)(3) non-profit</t>
  </si>
  <si>
    <t>All Other Children:</t>
  </si>
  <si>
    <t>Facility Ownership:</t>
  </si>
  <si>
    <t>Site facilities leased from related party</t>
  </si>
  <si>
    <t>DCF License Number:</t>
  </si>
  <si>
    <t>District School Calendar Days:</t>
  </si>
  <si>
    <t>DOE Share of Annual Costs:</t>
  </si>
  <si>
    <t>Total Budget Amount</t>
  </si>
  <si>
    <t>Expense</t>
  </si>
  <si>
    <t>FTE/ Quantity</t>
  </si>
  <si>
    <t>Unit Cost / Average Unit Cost</t>
  </si>
  <si>
    <t>DOE Share of Costs in Contracted Classrooms</t>
  </si>
  <si>
    <t>Total Cost</t>
  </si>
  <si>
    <t>EDUCATIONAL PROGRAM COSTS</t>
  </si>
  <si>
    <t>Teacher Salary</t>
  </si>
  <si>
    <t>Teacher Assistant Salary</t>
  </si>
  <si>
    <t>Teacher/Assistant Teacher Benefits</t>
  </si>
  <si>
    <t>Substitute Teacher Stipend</t>
  </si>
  <si>
    <t>Substitute Assistant Teacher Stipend</t>
  </si>
  <si>
    <t>DOE Share of Annual Costs</t>
  </si>
  <si>
    <t>Food-Related Costs (CACFP participant, non-reimbursable costs)</t>
  </si>
  <si>
    <t>Food (for contracted preschool children only)</t>
  </si>
  <si>
    <t>Food Worker Benefits (cook)</t>
  </si>
  <si>
    <t>Assistant Food Worker Salary (asst. cook)</t>
  </si>
  <si>
    <t>Assistant Food Worker Benefits (asst. cook)</t>
  </si>
  <si>
    <t>Employer Payroll Taxes (For Educational Program Positions only)</t>
  </si>
  <si>
    <t>SUBTOTAL, Educational Program Costs</t>
  </si>
  <si>
    <t>FTE</t>
  </si>
  <si>
    <t>ADMINISTRATIVE SUPPORT AND INDIRECT COSTS</t>
  </si>
  <si>
    <t>SUPPORT COSTS</t>
  </si>
  <si>
    <t>Custodian Salary</t>
  </si>
  <si>
    <t>Custodian Benefits</t>
  </si>
  <si>
    <t>Security Guard Benefits</t>
  </si>
  <si>
    <t>INDIRECT COSTS -- SPACE COSTS</t>
  </si>
  <si>
    <t>INDIRECT COSTS -- ALL OTHER ALLOWABLE INDIRECT</t>
  </si>
  <si>
    <t>Security</t>
  </si>
  <si>
    <t>Profit, if Applicable (Max of 2.5% of Ed Costs)</t>
  </si>
  <si>
    <t>Subtotal of Above Administrative Support and Indirect Costs</t>
  </si>
  <si>
    <t xml:space="preserve">Other Approved Budgeted Costs </t>
  </si>
  <si>
    <t xml:space="preserve">     SUBTOTAL, Other Approved Budgeted Costs</t>
  </si>
  <si>
    <t>PROVIDER PROGRAM TOTALS</t>
  </si>
  <si>
    <t xml:space="preserve">          Total Cost</t>
  </si>
  <si>
    <t xml:space="preserve">          Per-Pupil Cost</t>
  </si>
  <si>
    <t>DISTRICT ADJUSTMENTS (amounts withheld for items to be purchased by the district) FOR DISTRICT USE ONLY</t>
  </si>
  <si>
    <t>Benefits</t>
  </si>
  <si>
    <t xml:space="preserve">     Total Cost Less District Adjustments</t>
  </si>
  <si>
    <t xml:space="preserve">     Per-Pupil Cost Less District Adjustments</t>
  </si>
  <si>
    <t>Site facilities owned by provider/parent company</t>
  </si>
  <si>
    <t>Site facilities leased from unrelated party</t>
  </si>
  <si>
    <t>Enhanced Head Start (State and Federally Funded)</t>
  </si>
  <si>
    <t>Expanded Head Start (Fully State-Funded)</t>
  </si>
  <si>
    <t>Center/parent company is other non-profit</t>
  </si>
  <si>
    <t>Center/parent company is for-profit</t>
  </si>
  <si>
    <t>Salary Increase</t>
  </si>
  <si>
    <t>2019-20 SCHEDULE A: Provider Personnel Detail</t>
  </si>
  <si>
    <t xml:space="preserve">District: </t>
  </si>
  <si>
    <t xml:space="preserve">Provider: </t>
  </si>
  <si>
    <t>Employee Name</t>
  </si>
  <si>
    <t xml:space="preserve">School/Site Name </t>
  </si>
  <si>
    <t>Job Title</t>
  </si>
  <si>
    <t>Full-Time Equivalent</t>
  </si>
  <si>
    <r>
      <t xml:space="preserve">Salary Step </t>
    </r>
    <r>
      <rPr>
        <b/>
        <sz val="8"/>
        <rFont val="MS Sans Serif"/>
        <family val="2"/>
      </rPr>
      <t>(if applicable)</t>
    </r>
  </si>
  <si>
    <t>2018-19 Benefits</t>
  </si>
  <si>
    <t>SAMPLE: John Doe</t>
  </si>
  <si>
    <t>Teacher</t>
  </si>
  <si>
    <t>M2</t>
  </si>
  <si>
    <t>SAMPLE: Jane Doe</t>
  </si>
  <si>
    <t>Clerical Worker</t>
  </si>
  <si>
    <t>n/a</t>
  </si>
  <si>
    <t>Teachers</t>
  </si>
  <si>
    <t>Teacher Assistants</t>
  </si>
  <si>
    <t>Teacher Assistant</t>
  </si>
  <si>
    <t>Floater Teacher Assistant</t>
  </si>
  <si>
    <t>Floater Teacher Assist</t>
  </si>
  <si>
    <t>Family/Parent Liason</t>
  </si>
  <si>
    <t>Family Worker</t>
  </si>
  <si>
    <t>Program Directors</t>
  </si>
  <si>
    <t>Food  (Cook and Cook Assistant) Workers</t>
  </si>
  <si>
    <t xml:space="preserve">Secretarial and Clerical Assistants </t>
  </si>
  <si>
    <t>Custodian</t>
  </si>
  <si>
    <t>Security Guard</t>
  </si>
  <si>
    <t>Other Positions</t>
  </si>
  <si>
    <t>(Insert item name or brief description on this line.)</t>
  </si>
  <si>
    <t>Director</t>
  </si>
  <si>
    <t>Holiness</t>
  </si>
  <si>
    <t xml:space="preserve">Heather Wilson </t>
  </si>
  <si>
    <t xml:space="preserve">Urban League </t>
  </si>
  <si>
    <t xml:space="preserve">Patricia Taylor </t>
  </si>
  <si>
    <t xml:space="preserve">Clerical Assistant </t>
  </si>
  <si>
    <t xml:space="preserve">Custodian </t>
  </si>
  <si>
    <t xml:space="preserve">Cora Andrews </t>
  </si>
  <si>
    <t xml:space="preserve">Security </t>
  </si>
  <si>
    <t>10 Month 2018-19 Salary</t>
  </si>
  <si>
    <t>12 Month 2019-20 Salary</t>
  </si>
  <si>
    <t>10 Month 2019-20 Slary</t>
  </si>
  <si>
    <t>2019-20 Benefits</t>
  </si>
  <si>
    <t>2016-17 &amp; 2019-20 Staff Salary Increase</t>
  </si>
  <si>
    <t>2019-20 Private Provider One-Year Budget Planning Worksheet  - NOT Approved</t>
  </si>
  <si>
    <t>Salary Increase Payroll Taxes</t>
  </si>
  <si>
    <t xml:space="preserve">Abbott Staffing </t>
  </si>
  <si>
    <t>Total</t>
  </si>
  <si>
    <t>Annual Salary</t>
  </si>
  <si>
    <t>Budget</t>
  </si>
  <si>
    <t>Other</t>
  </si>
  <si>
    <t>Abbott</t>
  </si>
  <si>
    <t>Food</t>
  </si>
  <si>
    <t>Facilites</t>
  </si>
  <si>
    <t>Wrap Around</t>
  </si>
  <si>
    <t>Jhonny Janvier</t>
  </si>
  <si>
    <t>Bertrilla Simons</t>
  </si>
  <si>
    <t>Mellisa Thorpe</t>
  </si>
  <si>
    <t>Rita Castellanos</t>
  </si>
  <si>
    <t>W Hill</t>
  </si>
  <si>
    <t>R Stewart</t>
  </si>
  <si>
    <t>R Bryant</t>
  </si>
  <si>
    <t>Floater</t>
  </si>
  <si>
    <t>S Rambaran</t>
  </si>
  <si>
    <t>R Woodridge</t>
  </si>
  <si>
    <t>Substitutes</t>
  </si>
  <si>
    <t>D Brown</t>
  </si>
  <si>
    <t>Daphne McMillan</t>
  </si>
  <si>
    <t>Cook</t>
  </si>
  <si>
    <t>P Tyler</t>
  </si>
  <si>
    <t>Program Director</t>
  </si>
  <si>
    <t>Heather Dance</t>
  </si>
  <si>
    <t>Clerical</t>
  </si>
  <si>
    <t>S Alford</t>
  </si>
  <si>
    <t>P Bennett</t>
  </si>
  <si>
    <t>Cora Andrews</t>
  </si>
  <si>
    <t>For the Quarter ending September 30, 2019</t>
  </si>
  <si>
    <t>Sept</t>
  </si>
  <si>
    <t>Quintella Hollins</t>
  </si>
  <si>
    <t>Niquita Loftin</t>
  </si>
  <si>
    <t>Wrap Worker</t>
  </si>
  <si>
    <t>July - Sept</t>
  </si>
  <si>
    <t>Health Ins</t>
  </si>
  <si>
    <t>Dental Ins</t>
  </si>
  <si>
    <t>Rate</t>
  </si>
  <si>
    <t>Allocated</t>
  </si>
  <si>
    <t>Johnny Javier</t>
  </si>
  <si>
    <t>N Muhammad</t>
  </si>
  <si>
    <t>Darnell Davis</t>
  </si>
  <si>
    <t>July</t>
  </si>
  <si>
    <t xml:space="preserve">August </t>
  </si>
  <si>
    <t>Unallow</t>
  </si>
  <si>
    <t>Workers Comp</t>
  </si>
  <si>
    <t>URBAN LEAGUE OF ESSEX COUNTY</t>
  </si>
  <si>
    <t xml:space="preserve">General Ledger.111.Abbott PreSchool </t>
  </si>
  <si>
    <t>July - September, 2019</t>
  </si>
  <si>
    <t>Date</t>
  </si>
  <si>
    <t>Transaction Type</t>
  </si>
  <si>
    <t>Num</t>
  </si>
  <si>
    <t>Name</t>
  </si>
  <si>
    <t>Memo/Description</t>
  </si>
  <si>
    <t>Class</t>
  </si>
  <si>
    <t>Debit</t>
  </si>
  <si>
    <t>Credit</t>
  </si>
  <si>
    <t>7200 Salaries &amp; Related Expenses</t>
  </si>
  <si>
    <t xml:space="preserve">   7220 Salaries &amp; Wages</t>
  </si>
  <si>
    <t xml:space="preserve">      7222 Staff</t>
  </si>
  <si>
    <t xml:space="preserve">         7222h Teacher</t>
  </si>
  <si>
    <t xml:space="preserve">         Beginning Balance</t>
  </si>
  <si>
    <t>07/31/2019</t>
  </si>
  <si>
    <t>Journal Entry</t>
  </si>
  <si>
    <t>00127 Salaries</t>
  </si>
  <si>
    <t>Salary Allocation - July</t>
  </si>
  <si>
    <t>111 Abbott</t>
  </si>
  <si>
    <t>08/31/2019</t>
  </si>
  <si>
    <t>Salary Allocation - August</t>
  </si>
  <si>
    <t>09/25/2019</t>
  </si>
  <si>
    <t>Salary Allocation - September</t>
  </si>
  <si>
    <t xml:space="preserve">         Total for 7222h Teacher</t>
  </si>
  <si>
    <t xml:space="preserve">         </t>
  </si>
  <si>
    <t xml:space="preserve">      Total for 7222 Staff</t>
  </si>
  <si>
    <t xml:space="preserve">      </t>
  </si>
  <si>
    <t xml:space="preserve">   Total for 7220 Salaries &amp; Wages</t>
  </si>
  <si>
    <t xml:space="preserve">   </t>
  </si>
  <si>
    <t xml:space="preserve">   7240 Employee Benefits</t>
  </si>
  <si>
    <t xml:space="preserve">      7241 Health Insurance</t>
  </si>
  <si>
    <t xml:space="preserve">      Beginning Balance</t>
  </si>
  <si>
    <t>08/30/2019</t>
  </si>
  <si>
    <t>Employee Health Insurance 08/15/19 - 09/15/19</t>
  </si>
  <si>
    <t>09/01/2019</t>
  </si>
  <si>
    <t>Bill</t>
  </si>
  <si>
    <t>Horizon Blue Cross Blue Shield of NJ</t>
  </si>
  <si>
    <t>To record Horizon Exp. Billing Period 9/15/19 - 10/15/19</t>
  </si>
  <si>
    <t xml:space="preserve">      Total for 7241 Health Insurance</t>
  </si>
  <si>
    <t xml:space="preserve">      7242 Life and Dental Insurance</t>
  </si>
  <si>
    <t>00132 Benefits</t>
  </si>
  <si>
    <t>09.01.19PL</t>
  </si>
  <si>
    <t>Principal Financial Group</t>
  </si>
  <si>
    <t>Life, Dental &amp; AD&amp;D - ABBOTT</t>
  </si>
  <si>
    <t xml:space="preserve">      Total for 7242 Life and Dental Insurance</t>
  </si>
  <si>
    <t xml:space="preserve">   Total for 7240 Employee Benefits</t>
  </si>
  <si>
    <t xml:space="preserve">   7250 Payroll Taxes, etc.</t>
  </si>
  <si>
    <t xml:space="preserve">      7245 Worker's Compensation Insurance</t>
  </si>
  <si>
    <t xml:space="preserve">         7248 Allocated W Comp</t>
  </si>
  <si>
    <t>Workers Comp Alloc</t>
  </si>
  <si>
    <t>09/30/2019</t>
  </si>
  <si>
    <t xml:space="preserve">         Total for 7248 Allocated W Comp</t>
  </si>
  <si>
    <t xml:space="preserve">      Total for 7245 Worker's Compensation Insurance</t>
  </si>
  <si>
    <t xml:space="preserve">   7260 Payroll Service Fees</t>
  </si>
  <si>
    <t xml:space="preserve">      7260.1 Allocated Payroll Fees</t>
  </si>
  <si>
    <t>Payroll Fees</t>
  </si>
  <si>
    <t xml:space="preserve">      Total for 7260.1 Allocated Payroll Fees</t>
  </si>
  <si>
    <t xml:space="preserve">   Total for 7260 Payroll Service Fees</t>
  </si>
  <si>
    <t>Total for 7200 Salaries &amp; Related Expenses</t>
  </si>
  <si>
    <t>7500 Contract Service Expenses</t>
  </si>
  <si>
    <t xml:space="preserve">   7515 IT Support</t>
  </si>
  <si>
    <t xml:space="preserve">      7515.5 Allocated IT consultants</t>
  </si>
  <si>
    <t>IT Consultants</t>
  </si>
  <si>
    <t xml:space="preserve">      Total for 7515.5 Allocated IT consultants</t>
  </si>
  <si>
    <t xml:space="preserve">   Total for 7515 IT Support</t>
  </si>
  <si>
    <t xml:space="preserve">   7520 Accounting Fees</t>
  </si>
  <si>
    <t xml:space="preserve">      7521 Allocated Acctg and Audit</t>
  </si>
  <si>
    <t>Acctg Fee Alloc</t>
  </si>
  <si>
    <t xml:space="preserve">      Total for 7521 Allocated Acctg and Audit</t>
  </si>
  <si>
    <t xml:space="preserve">   Total for 7520 Accounting Fees</t>
  </si>
  <si>
    <t>Total for 7500 Contract Service Expenses</t>
  </si>
  <si>
    <t>8100 Operating Expenses</t>
  </si>
  <si>
    <t xml:space="preserve">   8108 Program Supplies</t>
  </si>
  <si>
    <t xml:space="preserve">   Beginning Balance</t>
  </si>
  <si>
    <t xml:space="preserve">   Total for 8108 Program Supplies</t>
  </si>
  <si>
    <t xml:space="preserve">   8110 Supplies</t>
  </si>
  <si>
    <t xml:space="preserve">      Total for 8110 Supplies</t>
  </si>
  <si>
    <t xml:space="preserve">      8112 Alloc Supplies</t>
  </si>
  <si>
    <t>Supplies Alloc</t>
  </si>
  <si>
    <t xml:space="preserve">      Total for 8112 Alloc Supplies</t>
  </si>
  <si>
    <t xml:space="preserve">   Total for 8110 Supplies with subs</t>
  </si>
  <si>
    <t xml:space="preserve">   8130 Telephone &amp; Telecommunications</t>
  </si>
  <si>
    <t xml:space="preserve">      8135.5 Allocated Telephone</t>
  </si>
  <si>
    <t>Telephone</t>
  </si>
  <si>
    <t xml:space="preserve">      Total for 8135.5 Allocated Telephone</t>
  </si>
  <si>
    <t xml:space="preserve">   Total for 8130 Telephone &amp; Telecommunications</t>
  </si>
  <si>
    <t xml:space="preserve">   8140 Postage &amp; Shipping</t>
  </si>
  <si>
    <t>Postage</t>
  </si>
  <si>
    <t xml:space="preserve">   Total for 8140 Postage &amp; Shipping</t>
  </si>
  <si>
    <t xml:space="preserve">   8160 Computer Software &amp; Hardware</t>
  </si>
  <si>
    <t xml:space="preserve">      8161 Allocated Comp -Software</t>
  </si>
  <si>
    <t xml:space="preserve">      Total for 8161 Allocated Comp -Software</t>
  </si>
  <si>
    <t xml:space="preserve">   Total for 8160 Computer Software &amp; Hardware</t>
  </si>
  <si>
    <t xml:space="preserve">   8191 Web Hosting Alloc</t>
  </si>
  <si>
    <t>Web hosting</t>
  </si>
  <si>
    <t xml:space="preserve">   Total for 8191 Web Hosting Alloc</t>
  </si>
  <si>
    <t>Total for 8100 Operating Expenses</t>
  </si>
  <si>
    <t>8200 Facility &amp; Equipment Expenses</t>
  </si>
  <si>
    <t xml:space="preserve">   8210 Utilities</t>
  </si>
  <si>
    <t xml:space="preserve">      8210.1 504 Utilities</t>
  </si>
  <si>
    <t>07/22/2019</t>
  </si>
  <si>
    <t>603205644890</t>
  </si>
  <si>
    <t>PSE&amp;G</t>
  </si>
  <si>
    <t>Acct # 65 702 018 08 - 504 Central Ave 06/18/19 - 07/17/19</t>
  </si>
  <si>
    <t>08/20/2019</t>
  </si>
  <si>
    <t>602305837798</t>
  </si>
  <si>
    <t>Acct # 65 702 018 08 - 504 Central Ave 07/18/19 - 08/15/19</t>
  </si>
  <si>
    <t>09/19/2019</t>
  </si>
  <si>
    <t>601006138792</t>
  </si>
  <si>
    <t>Acct # 6570201808 Pre-school 494-504 Central Ave.  08/16 - 09/16/19</t>
  </si>
  <si>
    <t xml:space="preserve">      Total for 8210.1 504 Utilities</t>
  </si>
  <si>
    <t xml:space="preserve">      8210.5 Allocated Utilities</t>
  </si>
  <si>
    <t xml:space="preserve">      Total for 8210.5 Allocated Utilities</t>
  </si>
  <si>
    <t xml:space="preserve">   Total for 8210 Utilities</t>
  </si>
  <si>
    <t xml:space="preserve">   8211 Water</t>
  </si>
  <si>
    <t>07/16/2019</t>
  </si>
  <si>
    <t>City of Newark/Water</t>
  </si>
  <si>
    <t>Water Expense 494-498 Central Ave.  JULY 2019</t>
  </si>
  <si>
    <t>Water Expense 494-498 Central Ave.  Aug. 2019</t>
  </si>
  <si>
    <t>09/23/2019</t>
  </si>
  <si>
    <t>Water Expense 504 Central Ave. Sept. 2019</t>
  </si>
  <si>
    <t xml:space="preserve">   Total for 8211 Water</t>
  </si>
  <si>
    <t xml:space="preserve">   8220 Equipment Rental, Repair &amp; Maintenance</t>
  </si>
  <si>
    <t xml:space="preserve">      Total for 8220 Equipment Rental, Repair &amp; Maintenance</t>
  </si>
  <si>
    <t xml:space="preserve">      8229.1 Allocated Cost</t>
  </si>
  <si>
    <t>Equipment Leases</t>
  </si>
  <si>
    <t xml:space="preserve">      Total for 8229.1 Allocated Cost</t>
  </si>
  <si>
    <t xml:space="preserve">   Total for 8220 Equipment Rental, Repair &amp; Maintenance with subs</t>
  </si>
  <si>
    <t xml:space="preserve">   8230 Building Repair &amp; Maintenance</t>
  </si>
  <si>
    <t>07/26/2019</t>
  </si>
  <si>
    <t>Nj Division of Fire Safety</t>
  </si>
  <si>
    <t>BFCE Registration Renewal Fee</t>
  </si>
  <si>
    <t>08/21/2019</t>
  </si>
  <si>
    <t>James Walker</t>
  </si>
  <si>
    <t>Stripping and Waxing Floors in Pre-School 504 Central</t>
  </si>
  <si>
    <t>09/24/2019</t>
  </si>
  <si>
    <t>Aquaflow Sewer &amp; Drain Services</t>
  </si>
  <si>
    <t>Sewer &amp; Drain Services</t>
  </si>
  <si>
    <t xml:space="preserve">      Total for 8230 Building Repair &amp; Maintenance</t>
  </si>
  <si>
    <t xml:space="preserve">      8231 Alarm Services</t>
  </si>
  <si>
    <t>08/28/2019</t>
  </si>
  <si>
    <t>City Fire Equipment Co.</t>
  </si>
  <si>
    <t>Pre-School Periodic Maintenance Annual Fire Extinguisher</t>
  </si>
  <si>
    <t xml:space="preserve">      Total for 8231 Alarm Services</t>
  </si>
  <si>
    <t xml:space="preserve">      8239 Alloc Repairs and Maint</t>
  </si>
  <si>
    <t>Repairs</t>
  </si>
  <si>
    <t xml:space="preserve">      Total for 8239 Alloc Repairs and Maint</t>
  </si>
  <si>
    <t xml:space="preserve">   Total for 8230 Building Repair &amp; Maintenance with subs</t>
  </si>
  <si>
    <t xml:space="preserve">   8240 Maintenance Supplies</t>
  </si>
  <si>
    <t xml:space="preserve">   Total for 8240 Maintenance Supplies</t>
  </si>
  <si>
    <t xml:space="preserve">   8260 Property Insurance</t>
  </si>
  <si>
    <t xml:space="preserve">      8264 Other</t>
  </si>
  <si>
    <t xml:space="preserve">         8266 Allocated Insurance</t>
  </si>
  <si>
    <t>Gen Insur Alloc</t>
  </si>
  <si>
    <t xml:space="preserve">         Total for 8266 Allocated Insurance</t>
  </si>
  <si>
    <t xml:space="preserve">      Total for 8264 Other</t>
  </si>
  <si>
    <t xml:space="preserve">   Total for 8260 Property Insurance</t>
  </si>
  <si>
    <t>Total for 8200 Facility &amp; Equipment Expenses</t>
  </si>
  <si>
    <t>8300 Travel &amp; Meetings Expenses</t>
  </si>
  <si>
    <t xml:space="preserve">   8310 Transportation &amp; Parking</t>
  </si>
  <si>
    <t>07/25/2019</t>
  </si>
  <si>
    <t>INV0231286</t>
  </si>
  <si>
    <t>NJ Transit Corp.</t>
  </si>
  <si>
    <t>Bus Card for ABBOTT Family Social Worker</t>
  </si>
  <si>
    <t>08.28.19NJT</t>
  </si>
  <si>
    <t>Bus Card for Sept. Family Social Worker</t>
  </si>
  <si>
    <t xml:space="preserve">   Total for 8310 Transportation &amp; Parking</t>
  </si>
  <si>
    <t xml:space="preserve">   8312 Travel</t>
  </si>
  <si>
    <t xml:space="preserve">   Total for 8312 Travel</t>
  </si>
  <si>
    <t xml:space="preserve">   8320 Meals</t>
  </si>
  <si>
    <t xml:space="preserve">   Total for 8320 Meals</t>
  </si>
  <si>
    <t xml:space="preserve">   8360 Field Trips</t>
  </si>
  <si>
    <t>09/26/2019</t>
  </si>
  <si>
    <t>Check</t>
  </si>
  <si>
    <t>Wightman's Farms</t>
  </si>
  <si>
    <t>Field Trips for October 1 2019 70 persons @ 8.00 ea</t>
  </si>
  <si>
    <t xml:space="preserve">   Total for 8360 Field Trips</t>
  </si>
  <si>
    <t>Total for 8300 Travel &amp; Meetings Expenses</t>
  </si>
  <si>
    <t>8400 Other Client Specific Expenses</t>
  </si>
  <si>
    <t xml:space="preserve">   8405 Classroom Materials &amp; Supplies</t>
  </si>
  <si>
    <t>08/09/2019</t>
  </si>
  <si>
    <t>Kaplan Early Learning Company</t>
  </si>
  <si>
    <t>Classroom Supplies</t>
  </si>
  <si>
    <t>Classroom Supplies - Customer #: 12854200</t>
  </si>
  <si>
    <t>08/23/2019</t>
  </si>
  <si>
    <t>09/06/2019</t>
  </si>
  <si>
    <t>0360426-IN</t>
  </si>
  <si>
    <t>Teaching Strategies, LLC</t>
  </si>
  <si>
    <t>Curriculum - Replacement Kit Covered By Insurance</t>
  </si>
  <si>
    <t>09.23.19HW2</t>
  </si>
  <si>
    <t>Heather Wilson</t>
  </si>
  <si>
    <t>Supplies purchased for Abbott Classrooms</t>
  </si>
  <si>
    <t>09.23.19HW</t>
  </si>
  <si>
    <t>Supplies &amp; Activities</t>
  </si>
  <si>
    <t xml:space="preserve">   Total for 8405 Classroom Materials &amp; Supplies</t>
  </si>
  <si>
    <t xml:space="preserve">   8425 Expungement Services</t>
  </si>
  <si>
    <t>08/15/2019</t>
  </si>
  <si>
    <t>08.15.19NNL</t>
  </si>
  <si>
    <t>State of New Jersey - CARI</t>
  </si>
  <si>
    <t>Child Abuse Record Information Form (CARI) for Niquita Nicole Loftin and Quintella Hollins</t>
  </si>
  <si>
    <t xml:space="preserve">   Total for 8425 Expungement Services</t>
  </si>
  <si>
    <t xml:space="preserve">   8445 Food &amp; Related Supplies</t>
  </si>
  <si>
    <t xml:space="preserve">   Total for 8445 Food &amp; Related Supplies</t>
  </si>
  <si>
    <t xml:space="preserve">   8540 Staff Development/Training</t>
  </si>
  <si>
    <t>08/13/2019</t>
  </si>
  <si>
    <t>08.13.19KM</t>
  </si>
  <si>
    <t>American Red Cross</t>
  </si>
  <si>
    <t>CPR and First-Aid Training</t>
  </si>
  <si>
    <t xml:space="preserve">   Total for 8540 Staff Development/Training</t>
  </si>
  <si>
    <t>Total for 8400 Other Client Specific Expenses</t>
  </si>
  <si>
    <t>8500 Other Expenses</t>
  </si>
  <si>
    <t xml:space="preserve">   8580 Licenses &amp; Fees</t>
  </si>
  <si>
    <t>07/11/2019</t>
  </si>
  <si>
    <t>Treasurer, State of NJ</t>
  </si>
  <si>
    <t>Annual Site Remediation Permit Fee - 494 Central Preschool</t>
  </si>
  <si>
    <t xml:space="preserve">   Total for 8580 Licenses &amp; Fees</t>
  </si>
  <si>
    <t>Total for 8500 Other Expenses</t>
  </si>
  <si>
    <t>Friday, Oct 11, 2019 11:44:26 AM GMT-7</t>
  </si>
  <si>
    <t>Q1</t>
  </si>
  <si>
    <t>For the Quarter ending December 31, 2019</t>
  </si>
  <si>
    <t>Oct - Dec</t>
  </si>
  <si>
    <t>Q2</t>
  </si>
  <si>
    <t>Oct</t>
  </si>
  <si>
    <t>Nov</t>
  </si>
  <si>
    <t>Dec</t>
  </si>
  <si>
    <t xml:space="preserve">General Ledger.111 Abbott </t>
  </si>
  <si>
    <t>October - December, 2019</t>
  </si>
  <si>
    <t>10/31/2019</t>
  </si>
  <si>
    <t>19-437</t>
  </si>
  <si>
    <t>Salary Allocation - October</t>
  </si>
  <si>
    <t>11/30/2019</t>
  </si>
  <si>
    <t>Salary Allocation - November</t>
  </si>
  <si>
    <t>12/31/2019</t>
  </si>
  <si>
    <t>Salary Allocation - December</t>
  </si>
  <si>
    <t>10/11/2019</t>
  </si>
  <si>
    <t>To record Horizon Exp. Billing Period10/15/19 - 11/15/19</t>
  </si>
  <si>
    <t>11/01/2019</t>
  </si>
  <si>
    <t>To record Horizon Exp. Billing Period     11/15/19 - 12/15/19</t>
  </si>
  <si>
    <t>12/01/2019</t>
  </si>
  <si>
    <t>To record Horizon Exp. Billing Period     12/15/19 - 01/15/20</t>
  </si>
  <si>
    <t>10/01/2019</t>
  </si>
  <si>
    <t>10.01.19PL</t>
  </si>
  <si>
    <t>Life, Dental &amp; AD&amp;D</t>
  </si>
  <si>
    <t>11.01.19PG</t>
  </si>
  <si>
    <t>12.01.19PG</t>
  </si>
  <si>
    <t xml:space="preserve">      7243 Disability Ins</t>
  </si>
  <si>
    <t>12.01.19DN</t>
  </si>
  <si>
    <t>Dearborn Life Insurance Co.</t>
  </si>
  <si>
    <t>Life Insurance for the Period: 12/01/19 - 02/29/20</t>
  </si>
  <si>
    <t xml:space="preserve">      Total for 7243 Disability Ins</t>
  </si>
  <si>
    <t xml:space="preserve">      7244 Employee Contrib - Health</t>
  </si>
  <si>
    <t>Employee Medical Contrib</t>
  </si>
  <si>
    <t xml:space="preserve">      Total for 7244 Employee Contrib - Health</t>
  </si>
  <si>
    <t xml:space="preserve">      7247 Emp-ee Contrib -Dental</t>
  </si>
  <si>
    <t>Employee Dental Contrib</t>
  </si>
  <si>
    <t xml:space="preserve">      Total for 7247 Emp-ee Contrib -Dental</t>
  </si>
  <si>
    <t>10/30/2019</t>
  </si>
  <si>
    <t>12/30/2019</t>
  </si>
  <si>
    <t xml:space="preserve">      7251 Social Security</t>
  </si>
  <si>
    <t>Fica</t>
  </si>
  <si>
    <t xml:space="preserve">      Total for 7251 Social Security</t>
  </si>
  <si>
    <t xml:space="preserve">      7252 Medicare</t>
  </si>
  <si>
    <t>Medi Alloc</t>
  </si>
  <si>
    <t xml:space="preserve">      Total for 7252 Medicare</t>
  </si>
  <si>
    <t xml:space="preserve">      7253 Unemployment</t>
  </si>
  <si>
    <t>SUI Alloc</t>
  </si>
  <si>
    <t xml:space="preserve">      Total for 7253 Unemployment</t>
  </si>
  <si>
    <t xml:space="preserve">      7254 Disability</t>
  </si>
  <si>
    <t>Disability Alloc</t>
  </si>
  <si>
    <t xml:space="preserve">      Total for 7254 Disability</t>
  </si>
  <si>
    <t xml:space="preserve">   Total for 7250 Payroll Taxes, etc.</t>
  </si>
  <si>
    <t>10/18/2019</t>
  </si>
  <si>
    <t>601106187043</t>
  </si>
  <si>
    <t>Acct # 6570201808 Pre-school 494-504 Central Ave.  09-17-19 To 10-15-19</t>
  </si>
  <si>
    <t>11/18/2019</t>
  </si>
  <si>
    <t>601306205235</t>
  </si>
  <si>
    <t>Acct # 65 702 018 08 Pre-School 494-504 Central Ave.  10/16/19 - 11/13/19</t>
  </si>
  <si>
    <t>12/23/2019</t>
  </si>
  <si>
    <t>601006297592</t>
  </si>
  <si>
    <t>Acct # 65 702 018 08  Pre-School 494-504 Central Ave.  11/14/19 - 12/18/19</t>
  </si>
  <si>
    <t>10/17/2019</t>
  </si>
  <si>
    <t>Water Expense 504 Central Ave. Oct. 2019</t>
  </si>
  <si>
    <t>11/19/2019</t>
  </si>
  <si>
    <t>Water Expense 504 Central Ave. Nov 2019</t>
  </si>
  <si>
    <t>12/16/2019</t>
  </si>
  <si>
    <t>Water Expense 504 Central Ave. Dec 2019</t>
  </si>
  <si>
    <t xml:space="preserve">   Total for 8220 Equipment Rental, Repair &amp; Maintenance</t>
  </si>
  <si>
    <t>Aisha H Vann</t>
  </si>
  <si>
    <t>10/20/2019</t>
  </si>
  <si>
    <t>10/24/2019</t>
  </si>
  <si>
    <t>10.15.19CC</t>
  </si>
  <si>
    <t>Conley Construction LLC</t>
  </si>
  <si>
    <t>Preschool classroom repair total $800.00 - Bal.$400.00</t>
  </si>
  <si>
    <t>142018A</t>
  </si>
  <si>
    <t>Preschool classroom repair final balance.$400.00</t>
  </si>
  <si>
    <t>11/12/2019</t>
  </si>
  <si>
    <t>11.12.19HD</t>
  </si>
  <si>
    <t>THE HOME DEPOT</t>
  </si>
  <si>
    <t>Supplies</t>
  </si>
  <si>
    <t xml:space="preserve">   8250 Mortgage Interest Expense</t>
  </si>
  <si>
    <t xml:space="preserve">      8250.1 Allocated Mortgage Interest</t>
  </si>
  <si>
    <t>Mortgage Interest</t>
  </si>
  <si>
    <t xml:space="preserve">      Total for 8250.1 Allocated Mortgage Interest</t>
  </si>
  <si>
    <t xml:space="preserve">   Total for 8250 Mortgage Interest Expense</t>
  </si>
  <si>
    <t>11/04/2019</t>
  </si>
  <si>
    <t>11.15.19HW</t>
  </si>
  <si>
    <t>Monthly Bus Card &amp; Uber</t>
  </si>
  <si>
    <t>11/06/2019</t>
  </si>
  <si>
    <t>Bus Card for November 2019 Family Social Worker</t>
  </si>
  <si>
    <t>12/19/2019</t>
  </si>
  <si>
    <t>12.19.19</t>
  </si>
  <si>
    <t>Tolls</t>
  </si>
  <si>
    <t>10/1*2019</t>
  </si>
  <si>
    <t>All my Children School Services</t>
  </si>
  <si>
    <t>Transportation For Field Trip 10/01/19 - Whigham Farms Norristown</t>
  </si>
  <si>
    <t>10.11.19CARI</t>
  </si>
  <si>
    <t>Child Abuse Record Information Form (CARI) for  Felicia Yolanda Mitchell</t>
  </si>
  <si>
    <t>12/17/2019</t>
  </si>
  <si>
    <t>12.17.19SD</t>
  </si>
  <si>
    <t>Child Abuse Record Information Form (CARI) for Walter Mumford &amp; Ayesha Shakoor</t>
  </si>
  <si>
    <t xml:space="preserve">   8520 Insurance - Non-Employee Related</t>
  </si>
  <si>
    <t>Massey Insurance Agency</t>
  </si>
  <si>
    <t>Student Accident Coverage Policy #MCB0207308 10/21/19 - 10/20/20</t>
  </si>
  <si>
    <t xml:space="preserve">   Total for 8520 Insurance - Non-Employee Related</t>
  </si>
  <si>
    <t>Thursday, Jan 16, 2020 02:16:07 PM GMT-8</t>
  </si>
  <si>
    <t>Profit and Loss. ABBOTT.19.20</t>
  </si>
  <si>
    <t>July 2019 - June 2020</t>
  </si>
  <si>
    <t>Jul - Sep, 2019</t>
  </si>
  <si>
    <t>Oct - Dec, 2019</t>
  </si>
  <si>
    <t>Jan - Mar, 2020</t>
  </si>
  <si>
    <t>Apr - Jun, 2020</t>
  </si>
  <si>
    <t>Income</t>
  </si>
  <si>
    <t xml:space="preserve">   4500 Revenue from Government Grants</t>
  </si>
  <si>
    <t xml:space="preserve">      4530 State Grants</t>
  </si>
  <si>
    <t xml:space="preserve">         4536 NPS - Abbott</t>
  </si>
  <si>
    <t xml:space="preserve">            4536.1 Abbott Benefit Reimb</t>
  </si>
  <si>
    <t xml:space="preserve">         Total 4536 NPS - Abbott</t>
  </si>
  <si>
    <t xml:space="preserve">         4537.1 Abbott FYE 19-20</t>
  </si>
  <si>
    <t xml:space="preserve">      Total 4530 State Grants</t>
  </si>
  <si>
    <t xml:space="preserve">   Total 4500 Revenue from Government Grants</t>
  </si>
  <si>
    <t xml:space="preserve">   5000 Revenue from Government Agencies</t>
  </si>
  <si>
    <t xml:space="preserve">      5030 State Contracts/PFP Fees</t>
  </si>
  <si>
    <t xml:space="preserve">   Total 5000 Revenue from Government Agencies</t>
  </si>
  <si>
    <t xml:space="preserve">   5100 Revenue from Sales &amp; Fees</t>
  </si>
  <si>
    <t xml:space="preserve">      5132 Private Pay Fees</t>
  </si>
  <si>
    <t xml:space="preserve">   Total 5100 Revenue from Sales &amp; Fees</t>
  </si>
  <si>
    <t>Total Income</t>
  </si>
  <si>
    <t>Gross Profit</t>
  </si>
  <si>
    <t>Expenses</t>
  </si>
  <si>
    <t xml:space="preserve">   7200 Salaries &amp; Related Expenses</t>
  </si>
  <si>
    <t xml:space="preserve">      7220 Salaries &amp; Wages</t>
  </si>
  <si>
    <t xml:space="preserve">         7222 Staff</t>
  </si>
  <si>
    <t xml:space="preserve">            7222h Teacher</t>
  </si>
  <si>
    <t xml:space="preserve">         Total 7222 Staff</t>
  </si>
  <si>
    <t xml:space="preserve">      Total 7220 Salaries &amp; Wages</t>
  </si>
  <si>
    <t xml:space="preserve">      7240 Employee Benefits</t>
  </si>
  <si>
    <t xml:space="preserve">         7241 Health Insurance</t>
  </si>
  <si>
    <t xml:space="preserve">         7242 Life and Dental Insurance</t>
  </si>
  <si>
    <t xml:space="preserve">         7243 Disability Ins</t>
  </si>
  <si>
    <t xml:space="preserve">         7244 Employee Contrib - Health</t>
  </si>
  <si>
    <t xml:space="preserve">         7247 Emp-ee Contrib -Dental</t>
  </si>
  <si>
    <t xml:space="preserve">      Total 7240 Employee Benefits</t>
  </si>
  <si>
    <t xml:space="preserve">      7250 Payroll Taxes, etc.</t>
  </si>
  <si>
    <t xml:space="preserve">         7245 Worker's Compensation Insurance</t>
  </si>
  <si>
    <t xml:space="preserve">            7248 Allocated W Comp</t>
  </si>
  <si>
    <t xml:space="preserve">         Total 7245 Worker's Compensation Insurance</t>
  </si>
  <si>
    <t xml:space="preserve">         7251 Social Security</t>
  </si>
  <si>
    <t xml:space="preserve">         7252 Medicare</t>
  </si>
  <si>
    <t xml:space="preserve">         7253 Unemployment</t>
  </si>
  <si>
    <t xml:space="preserve">         7254 Disability</t>
  </si>
  <si>
    <t xml:space="preserve">      Total 7250 Payroll Taxes, etc.</t>
  </si>
  <si>
    <t xml:space="preserve">      7260 Payroll Service Fees</t>
  </si>
  <si>
    <t xml:space="preserve">         7260.1 Allocated Payroll Fees</t>
  </si>
  <si>
    <t xml:space="preserve">      Total 7260 Payroll Service Fees</t>
  </si>
  <si>
    <t xml:space="preserve">   Total 7200 Salaries &amp; Related Expenses</t>
  </si>
  <si>
    <t xml:space="preserve">   7500 Contract Service Expenses</t>
  </si>
  <si>
    <t xml:space="preserve">      7515 IT Support</t>
  </si>
  <si>
    <t xml:space="preserve">         7515.5 Allocated IT consultants</t>
  </si>
  <si>
    <t xml:space="preserve">      Total 7515 IT Support</t>
  </si>
  <si>
    <t xml:space="preserve">      7520 Accounting Fees</t>
  </si>
  <si>
    <t xml:space="preserve">         7521 Allocated Acctg and Audit</t>
  </si>
  <si>
    <t xml:space="preserve">      Total 7520 Accounting Fees</t>
  </si>
  <si>
    <t xml:space="preserve">   Total 7500 Contract Service Expenses</t>
  </si>
  <si>
    <t xml:space="preserve">   8100 Operating Expenses</t>
  </si>
  <si>
    <t xml:space="preserve">      8110 Supplies</t>
  </si>
  <si>
    <t xml:space="preserve">         8112 Alloc Supplies</t>
  </si>
  <si>
    <t xml:space="preserve">      Total 8110 Supplies</t>
  </si>
  <si>
    <t xml:space="preserve">      8130 Telephone &amp; Telecommunications</t>
  </si>
  <si>
    <t xml:space="preserve">         8135.5 Allocated Telephone</t>
  </si>
  <si>
    <t xml:space="preserve">      Total 8130 Telephone &amp; Telecommunications</t>
  </si>
  <si>
    <t xml:space="preserve">      8140 Postage &amp; Shipping</t>
  </si>
  <si>
    <t xml:space="preserve">      8191 Web Hosting Alloc</t>
  </si>
  <si>
    <t xml:space="preserve">   Total 8100 Operating Expenses</t>
  </si>
  <si>
    <t xml:space="preserve">   8200 Facility &amp; Equipment Expenses</t>
  </si>
  <si>
    <t xml:space="preserve">      8210 Utilities</t>
  </si>
  <si>
    <t xml:space="preserve">         8210.1 504 Utilities</t>
  </si>
  <si>
    <t xml:space="preserve">         8210.5 Allocated Utilities</t>
  </si>
  <si>
    <t xml:space="preserve">      Total 8210 Utilities</t>
  </si>
  <si>
    <t xml:space="preserve">      8211 Water</t>
  </si>
  <si>
    <t xml:space="preserve">      8220 Equipment Rental, Repair &amp; Maintenance</t>
  </si>
  <si>
    <t xml:space="preserve">         8229.1 Allocated Cost</t>
  </si>
  <si>
    <t xml:space="preserve">      Total 8220 Equipment Rental, Repair &amp; Maintenance</t>
  </si>
  <si>
    <t xml:space="preserve">      8230 Building Repair &amp; Maintenance</t>
  </si>
  <si>
    <t xml:space="preserve">         8231 Alarm Services</t>
  </si>
  <si>
    <t xml:space="preserve">         8239 Alloc Repairs and Maint</t>
  </si>
  <si>
    <t xml:space="preserve">      Total 8230 Building Repair &amp; Maintenance</t>
  </si>
  <si>
    <t xml:space="preserve">      8240 Maintenance Supplies</t>
  </si>
  <si>
    <t xml:space="preserve">      8250 Mortgage Interest Expense</t>
  </si>
  <si>
    <t xml:space="preserve">         8250.1 Allocated Mortgage Interest</t>
  </si>
  <si>
    <t xml:space="preserve">      Total 8250 Mortgage Interest Expense</t>
  </si>
  <si>
    <t xml:space="preserve">      8260 Property Insurance</t>
  </si>
  <si>
    <t xml:space="preserve">         8264 Other</t>
  </si>
  <si>
    <t xml:space="preserve">            8266 Allocated Insurance</t>
  </si>
  <si>
    <t xml:space="preserve">         Total 8264 Other</t>
  </si>
  <si>
    <t xml:space="preserve">      Total 8260 Property Insurance</t>
  </si>
  <si>
    <t xml:space="preserve">   Total 8200 Facility &amp; Equipment Expenses</t>
  </si>
  <si>
    <t xml:space="preserve">   8300 Travel &amp; Meetings Expenses</t>
  </si>
  <si>
    <t xml:space="preserve">      8310 Transportation &amp; Parking</t>
  </si>
  <si>
    <t xml:space="preserve">      8360 Field Trips</t>
  </si>
  <si>
    <t xml:space="preserve">   Total 8300 Travel &amp; Meetings Expenses</t>
  </si>
  <si>
    <t xml:space="preserve">   8400 Other Client Specific Expenses</t>
  </si>
  <si>
    <t xml:space="preserve">      8405 Classroom Materials &amp; Supplies</t>
  </si>
  <si>
    <t xml:space="preserve">      8425 Expungement Services</t>
  </si>
  <si>
    <t xml:space="preserve">      8540 Staff Development/Training</t>
  </si>
  <si>
    <t xml:space="preserve">   Total 8400 Other Client Specific Expenses</t>
  </si>
  <si>
    <t xml:space="preserve">   8500 Other Expenses</t>
  </si>
  <si>
    <t xml:space="preserve">      8520 Insurance - Non-Employee Related</t>
  </si>
  <si>
    <t xml:space="preserve">      8580 Licenses &amp; Fees</t>
  </si>
  <si>
    <t xml:space="preserve">   Total 8500 Other Expenses</t>
  </si>
  <si>
    <t>Total Expenses</t>
  </si>
  <si>
    <t>Net Operating Income</t>
  </si>
  <si>
    <t>Net Income</t>
  </si>
  <si>
    <t>Thursday, Jan 16, 2020 02:23:45 PM GMT-8 - Accrual Basis</t>
  </si>
  <si>
    <t>Felicia Mitchell</t>
  </si>
  <si>
    <t>Urban League of Essex County</t>
  </si>
  <si>
    <t>Abbott Salaries</t>
  </si>
  <si>
    <t>10/01/2019 - 12/31/2019</t>
  </si>
  <si>
    <t>Department_Desc</t>
  </si>
  <si>
    <t>Employee_Code</t>
  </si>
  <si>
    <t>Employee_Name</t>
  </si>
  <si>
    <t>Position</t>
  </si>
  <si>
    <t>Paydate</t>
  </si>
  <si>
    <t>Start_Date</t>
  </si>
  <si>
    <t>End_Date</t>
  </si>
  <si>
    <t>Gross Pay</t>
  </si>
  <si>
    <t>Hours</t>
  </si>
  <si>
    <t>Check_#</t>
  </si>
  <si>
    <t>Distribution</t>
  </si>
  <si>
    <t>Transaction_#</t>
  </si>
  <si>
    <t>Adjust</t>
  </si>
  <si>
    <t>A002</t>
  </si>
  <si>
    <t>ANDREWS, CORA</t>
  </si>
  <si>
    <t>C3C5C41A7 - 209886773 - 000550</t>
  </si>
  <si>
    <t>C3C5C41A7</t>
  </si>
  <si>
    <t>C3C5C41A7 - 209886773 - 000570</t>
  </si>
  <si>
    <t>498337E58 - 212386264 - 000550</t>
  </si>
  <si>
    <t>498337E58</t>
  </si>
  <si>
    <t>498337E58 - 212386264 - 000570</t>
  </si>
  <si>
    <t>A7011EC06 - 214643815 - 000550</t>
  </si>
  <si>
    <t>A7011EC06</t>
  </si>
  <si>
    <t>A7011EC06 - 214643815 - 000570</t>
  </si>
  <si>
    <t>2A0FE99C0 - 216803173 - 000550</t>
  </si>
  <si>
    <t>2A0FE99C0</t>
  </si>
  <si>
    <t>2A0FE99C0 - 216803173 - 000570</t>
  </si>
  <si>
    <t>80E3439F4 - 219435869 - 000550</t>
  </si>
  <si>
    <t>80E3439F4</t>
  </si>
  <si>
    <t>80E3439F4 - 219435869 - 000570</t>
  </si>
  <si>
    <t>24FE78CF5 - 221999735 - 000550</t>
  </si>
  <si>
    <t>24FE78CF5</t>
  </si>
  <si>
    <t>24FE78CF5 - 221999735 - 000570</t>
  </si>
  <si>
    <t>06DA7FE21 - 223886743 - 000550</t>
  </si>
  <si>
    <t>06DA7FE21</t>
  </si>
  <si>
    <t>06DA7FE21 - 223886743 - 000570</t>
  </si>
  <si>
    <t>Less: Overtime</t>
  </si>
  <si>
    <t>A06G</t>
  </si>
  <si>
    <t>BENNETT, PATRICIA A</t>
  </si>
  <si>
    <t>C3C5C41A7 - 209886774 - 650</t>
  </si>
  <si>
    <t>498337E58 - 212386265 - 650</t>
  </si>
  <si>
    <t>A7011EC06 - 214643816 - 650</t>
  </si>
  <si>
    <t>2A0FE99C0 - 216803174 - 650</t>
  </si>
  <si>
    <t>80E3439F4 - 219435870 - 650</t>
  </si>
  <si>
    <t>24FE78CF5 - 221999736 - 111</t>
  </si>
  <si>
    <t>06DA7FE21 - 223886744 - 650</t>
  </si>
  <si>
    <t>Abbott Wrap</t>
  </si>
  <si>
    <t>A03A</t>
  </si>
  <si>
    <t>BROWN, DENYSE</t>
  </si>
  <si>
    <t>WRAP AROUND STAFF</t>
  </si>
  <si>
    <t>C3C5C41A7 - 209886775 - 111B</t>
  </si>
  <si>
    <t>498337E58 - 212386266 - 111B</t>
  </si>
  <si>
    <t>A7011EC06 - 214643817 - 111B</t>
  </si>
  <si>
    <t>2A0FE99C0 - 216803175 - 111B</t>
  </si>
  <si>
    <t>80E3439F4 - 219435871 - 111B</t>
  </si>
  <si>
    <t>24FE78CF5 - 221999737 - 111B</t>
  </si>
  <si>
    <t>06DA7FE21 - 223886745 - 111B</t>
  </si>
  <si>
    <t>A009</t>
  </si>
  <si>
    <t>BRYANT, RONI</t>
  </si>
  <si>
    <t>C3C5C41A7 - 209886776 - 111</t>
  </si>
  <si>
    <t>498337E58 - 212386267 - 111</t>
  </si>
  <si>
    <t>A7011EC06 - 214643818 - 111</t>
  </si>
  <si>
    <t>2A0FE99C0 - 216803176 - 111</t>
  </si>
  <si>
    <t>80E3439F4 - 219435872 - 111</t>
  </si>
  <si>
    <t>24FE78CF5 - 221999738 - 111</t>
  </si>
  <si>
    <t>06DA7FE21 - 223886746 - 111</t>
  </si>
  <si>
    <t>Less: Wrap Around</t>
  </si>
  <si>
    <t>Less: Miscellaneous</t>
  </si>
  <si>
    <t>A05S</t>
  </si>
  <si>
    <t>DANCE-WILSON, HEATHER</t>
  </si>
  <si>
    <t>Director of Early Childhood</t>
  </si>
  <si>
    <t>C3C5C41A7 - 209886779 - 111</t>
  </si>
  <si>
    <t>498337E58 - 212386270 - 111</t>
  </si>
  <si>
    <t>A7011EC06 - 214643821 - 111</t>
  </si>
  <si>
    <t>2A0FE99C0 - 216803179 - 111</t>
  </si>
  <si>
    <t>80E3439F4 - 219435875 - 111</t>
  </si>
  <si>
    <t>24FE78CF5 - 221999741 - 111</t>
  </si>
  <si>
    <t>06DA7FE21 - 223886749 - 111</t>
  </si>
  <si>
    <t>A06R</t>
  </si>
  <si>
    <t>HOLLINS, QUINTELLA D</t>
  </si>
  <si>
    <t>Lead Teacher</t>
  </si>
  <si>
    <t>C3C5C41A7 - 209886785 - 111</t>
  </si>
  <si>
    <t>498337E58 - 212386276 - 111</t>
  </si>
  <si>
    <t>A7011EC06 - 214643827 - 111</t>
  </si>
  <si>
    <t>2A0FE99C0 - 216803185 - 111</t>
  </si>
  <si>
    <t>80E3439F4 - 219435881 - 111</t>
  </si>
  <si>
    <t>24FE78CF5 - 221999748 - 111</t>
  </si>
  <si>
    <t>06DA7FE21 - 223886756 - 111</t>
  </si>
  <si>
    <t>A06F</t>
  </si>
  <si>
    <t>JANVIER, JHONNY</t>
  </si>
  <si>
    <t>Abbott Teacher</t>
  </si>
  <si>
    <t>C3C5C41A7 - 209886787 - 111</t>
  </si>
  <si>
    <t>A06Q</t>
  </si>
  <si>
    <t>LOFTIN, NIQUITA</t>
  </si>
  <si>
    <t>Temp. Teacher Asst.</t>
  </si>
  <si>
    <t>C3C5C41A7 - 209886791 - 111</t>
  </si>
  <si>
    <t>498337E58 - 212386281 - 111</t>
  </si>
  <si>
    <t>A7011EC06 - 214643832 - 111</t>
  </si>
  <si>
    <t>2A0FE99C0 - 216803190 - 111</t>
  </si>
  <si>
    <t>80E3439F4 - 219435886 - 111</t>
  </si>
  <si>
    <t>24FE78CF5 - 221999753 - 111</t>
  </si>
  <si>
    <t>06DA7FE21 - 223886761 - 111</t>
  </si>
  <si>
    <t>A03B</t>
  </si>
  <si>
    <t>MCMILLIAN, DAPHNE L.</t>
  </si>
  <si>
    <t>C3C5C41A7 - 209886793 - 111</t>
  </si>
  <si>
    <t>498337E58 - 212386283 - 111</t>
  </si>
  <si>
    <t>A7011EC06 - 214643835 - 111</t>
  </si>
  <si>
    <t>2A0FE99C0 - 216803193 - 111</t>
  </si>
  <si>
    <t>80E3439F4 - 219435889 - 111</t>
  </si>
  <si>
    <t>24FE78CF5 - 221999756 - 111</t>
  </si>
  <si>
    <t>06DA7FE21 - 223886764 - 111</t>
  </si>
  <si>
    <t>A06S</t>
  </si>
  <si>
    <t>MITCHELL, FELICIA</t>
  </si>
  <si>
    <t>A7011EC06 - 214643836 - 111</t>
  </si>
  <si>
    <t>2A0FE99C0 - 216803194 - 111</t>
  </si>
  <si>
    <t>80E3439F4 - 219435890 - 111</t>
  </si>
  <si>
    <t>24FE78CF5 - 221999757 - 111</t>
  </si>
  <si>
    <t>06DA7FE21 - 223886765 - 111</t>
  </si>
  <si>
    <t>A03K</t>
  </si>
  <si>
    <t>RAMBARAN, SHARAINI JONI</t>
  </si>
  <si>
    <t>FLOATER/TEACHER ASSISTANT</t>
  </si>
  <si>
    <t>C3C5C41A7 - 209886795 - 111</t>
  </si>
  <si>
    <t>498337E58 - 212386285 - 111</t>
  </si>
  <si>
    <t>A7011EC06 - 214643838 - 111</t>
  </si>
  <si>
    <t>2A0FE99C0 - 216803196 - 111</t>
  </si>
  <si>
    <t>80E3439F4 - 219435892 - 111</t>
  </si>
  <si>
    <t>24FE78CF5 - 221999759 - 111</t>
  </si>
  <si>
    <t>06DA7FE21 - 223886767 - 111</t>
  </si>
  <si>
    <t>A05V</t>
  </si>
  <si>
    <t>SIMMONS, BERTRILLA RENEE</t>
  </si>
  <si>
    <t>LEAD TEACHER</t>
  </si>
  <si>
    <t>C3C5C41A7 - 209886798 - 111</t>
  </si>
  <si>
    <t>498337E58 - 212386288 - 111</t>
  </si>
  <si>
    <t>A7011EC06 - 214643841 - 111</t>
  </si>
  <si>
    <t>2A0FE99C0 - 216803199 - 111</t>
  </si>
  <si>
    <t>80E3439F4 - 219435895 - 111</t>
  </si>
  <si>
    <t>24FE78CF5 - 221999762 - 111</t>
  </si>
  <si>
    <t>06DA7FE21 - 223886770 - 111</t>
  </si>
  <si>
    <t>A147</t>
  </si>
  <si>
    <t>STEWART, ROBIN D</t>
  </si>
  <si>
    <t>C3C5C41A7 - 209886799 - 111</t>
  </si>
  <si>
    <t>498337E58 - 212386289 - 111</t>
  </si>
  <si>
    <t>A7011EC06 - 214643842 - 111</t>
  </si>
  <si>
    <t>2A0FE99C0 - 216803200 - 111</t>
  </si>
  <si>
    <t>80E3439F4 - 219435896 - 111</t>
  </si>
  <si>
    <t>24FE78CF5 - 221999763 - 111</t>
  </si>
  <si>
    <t>06DA7FE21 - 223886771 - 111</t>
  </si>
  <si>
    <t>A04N</t>
  </si>
  <si>
    <t>TYLER, PATRICIA</t>
  </si>
  <si>
    <t>Food Service Worker</t>
  </si>
  <si>
    <t>C3C5C41A7 - 209886800 - 111</t>
  </si>
  <si>
    <t>498337E58 - 212386290 - 111</t>
  </si>
  <si>
    <t>A7011EC06 - 214643843 - 111</t>
  </si>
  <si>
    <t>2A0FE99C0 - 216803201 - 111</t>
  </si>
  <si>
    <t>80E3439F4 - 219435897 - 111</t>
  </si>
  <si>
    <t>24FE78CF5 - 221999764 - 111</t>
  </si>
  <si>
    <t>06DA7FE21 - 223886772 - 111</t>
  </si>
  <si>
    <t>A01B</t>
  </si>
  <si>
    <t>WOODRIDGE, ROSALIND</t>
  </si>
  <si>
    <t>WRAP AROUND WORKER</t>
  </si>
  <si>
    <t>C3C5C41A7 - 209886803 - 111</t>
  </si>
  <si>
    <t>498337E58 - 212386293 - 111</t>
  </si>
  <si>
    <t>A7011EC06 - 214643846 - 111</t>
  </si>
  <si>
    <t>2A0FE99C0 - 216803204 - 111</t>
  </si>
  <si>
    <t>80E3439F4 - 219435900 - 111</t>
  </si>
  <si>
    <t>24FE78CF5 - 221999767 - 111</t>
  </si>
  <si>
    <t>06DA7FE21 - 223886776 - 111</t>
  </si>
  <si>
    <t>18009139000x</t>
  </si>
  <si>
    <t>Sandra Jerry</t>
  </si>
  <si>
    <t>Check #</t>
  </si>
  <si>
    <t>0217</t>
  </si>
  <si>
    <t>0226</t>
  </si>
  <si>
    <t>0231</t>
  </si>
  <si>
    <t>0220</t>
  </si>
  <si>
    <t>0227</t>
  </si>
  <si>
    <t>0232</t>
  </si>
  <si>
    <t>0214</t>
  </si>
  <si>
    <t>0225</t>
  </si>
  <si>
    <t>0218</t>
  </si>
  <si>
    <t>0229</t>
  </si>
  <si>
    <t>ACH</t>
  </si>
  <si>
    <t>0222</t>
  </si>
  <si>
    <t>0223</t>
  </si>
  <si>
    <t>0234</t>
  </si>
  <si>
    <t>0210</t>
  </si>
  <si>
    <t>0215</t>
  </si>
  <si>
    <t>0233</t>
  </si>
  <si>
    <t>Disability - Sept</t>
  </si>
  <si>
    <t>Disability - August</t>
  </si>
  <si>
    <t>Profit and Loss Detail</t>
  </si>
  <si>
    <t>January 1 - March 28, 2020</t>
  </si>
  <si>
    <t>Location</t>
  </si>
  <si>
    <t>Split</t>
  </si>
  <si>
    <t>Amount</t>
  </si>
  <si>
    <t>Balance</t>
  </si>
  <si>
    <t>Ordinary Income/Expenses</t>
  </si>
  <si>
    <t xml:space="preserve">   Income</t>
  </si>
  <si>
    <t xml:space="preserve">      4500 Revenue from Government Grants</t>
  </si>
  <si>
    <t xml:space="preserve">         4530 State Grants</t>
  </si>
  <si>
    <t xml:space="preserve">            4537.1 Abbott FYE 19-20</t>
  </si>
  <si>
    <t>01/01/2020</t>
  </si>
  <si>
    <t>Invoice</t>
  </si>
  <si>
    <t>Grants/Contracts:Newark Public Schools (Abbott)</t>
  </si>
  <si>
    <t>504 Central Ave</t>
  </si>
  <si>
    <t>Abbott invoice for January 2020</t>
  </si>
  <si>
    <t>1100 Accounts/ Contributions Receivable</t>
  </si>
  <si>
    <t>02/01/2020</t>
  </si>
  <si>
    <t>Amount Due for February 2020 Abbott Program</t>
  </si>
  <si>
    <t>03/01/2020</t>
  </si>
  <si>
    <t>Amount Due for March 2020 Abbott Program</t>
  </si>
  <si>
    <t xml:space="preserve">            Total for 4537.1 Abbott FYE 19-20</t>
  </si>
  <si>
    <t xml:space="preserve">         Total for 4530 State Grants</t>
  </si>
  <si>
    <t xml:space="preserve">      Total for 4500 Revenue from Government Grants</t>
  </si>
  <si>
    <t xml:space="preserve">   Total for Income</t>
  </si>
  <si>
    <t xml:space="preserve">   Expenses</t>
  </si>
  <si>
    <t xml:space="preserve">      7200 Salaries &amp; Related Expenses</t>
  </si>
  <si>
    <t xml:space="preserve">         7220 Salaries &amp; Wages</t>
  </si>
  <si>
    <t xml:space="preserve">            7222 Staff</t>
  </si>
  <si>
    <t xml:space="preserve">               7222h Teacher</t>
  </si>
  <si>
    <t>01/31/2020</t>
  </si>
  <si>
    <t>-Split-</t>
  </si>
  <si>
    <t>02/29/2020</t>
  </si>
  <si>
    <t xml:space="preserve">               Total for 7222h Teacher</t>
  </si>
  <si>
    <t xml:space="preserve">            Total for 7222 Staff</t>
  </si>
  <si>
    <t xml:space="preserve">         Total for 7220 Salaries &amp; Wages</t>
  </si>
  <si>
    <t xml:space="preserve">         7240 Employee Benefits</t>
  </si>
  <si>
    <t xml:space="preserve">            7241 Health Insurance</t>
  </si>
  <si>
    <t>To record Horizon Exp. Billing Period     01/15/20 - 02/15/20</t>
  </si>
  <si>
    <t>2000 Accounts Payable</t>
  </si>
  <si>
    <t>To record Horizon Exp. Billing Period     02/15/20 - 03/15/20</t>
  </si>
  <si>
    <t>To record Horizon Exp. Billing Period    03/15/20 - 04/15/20</t>
  </si>
  <si>
    <t xml:space="preserve">            Total for 7241 Health Insurance</t>
  </si>
  <si>
    <t xml:space="preserve">            7242 Life and Dental Insurance</t>
  </si>
  <si>
    <t>01.01.20PL</t>
  </si>
  <si>
    <t>02.01.20PL</t>
  </si>
  <si>
    <t>03.01.20PL</t>
  </si>
  <si>
    <t xml:space="preserve">            Total for 7242 Life and Dental Insurance</t>
  </si>
  <si>
    <t xml:space="preserve">            7243 Disability Ins</t>
  </si>
  <si>
    <t>02/18/2020</t>
  </si>
  <si>
    <t>02.18.20DG</t>
  </si>
  <si>
    <t>Life Insurance for the Period: 03/01/20 - 05/31/20</t>
  </si>
  <si>
    <t xml:space="preserve">            Total for 7243 Disability Ins</t>
  </si>
  <si>
    <t xml:space="preserve">            7244 Employee Contrib - Health</t>
  </si>
  <si>
    <t xml:space="preserve">            Total for 7244 Employee Contrib - Health</t>
  </si>
  <si>
    <t xml:space="preserve">            7247 Emp-ee Contrib -Dental</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</si>
  <si>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</si>
  <si>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</si>
  <si>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</si>
  <si>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</si>
  <si>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</si>
  <si>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02/28/2020</t>
  </si>
  <si>
    <t xml:space="preserve">               Total for 7248 Allocated W Comp</t>
  </si>
  <si>
    <t xml:space="preserve">            Total for 7245 Worker's Compensation Insurance</t>
  </si>
  <si>
    <t xml:space="preserve">            7251 Social Security</t>
  </si>
  <si>
    <t>01/30/2020</t>
  </si>
  <si>
    <t xml:space="preserve">            Total for 7251 Social Security</t>
  </si>
  <si>
    <t xml:space="preserve">            7252 Medicare</t>
  </si>
  <si>
    <t xml:space="preserve">            Total for 7252 Medicare</t>
  </si>
  <si>
    <t xml:space="preserve">            7253 Unemployment</t>
  </si>
  <si>
    <t xml:space="preserve">            Total for 7253 Unemployment</t>
  </si>
  <si>
    <t xml:space="preserve">            7254 Disability</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</si>
  <si>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</si>
  <si>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</si>
  <si>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</si>
  <si>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</si>
  <si>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</si>
  <si>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</si>
  <si>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</si>
  <si>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</si>
  <si>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7515 IT Support</t>
  </si>
  <si>
    <t xml:space="preserve">            7515.5 Allocated IT consultants</t>
  </si>
  <si>
    <t xml:space="preserve">            Total for 7515.5 Allocated IT consultants</t>
  </si>
  <si>
    <t xml:space="preserve">         Total for 7515 IT Support</t>
  </si>
  <si>
    <t xml:space="preserve">         7520 Accounting Fees</t>
  </si>
  <si>
    <t xml:space="preserve">            7521 Allocated Acctg and Audit</t>
  </si>
  <si>
    <t>Allocated Acctg</t>
  </si>
  <si>
    <t xml:space="preserve">            Total for 7521 Allocated Acctg and Audit</t>
  </si>
  <si>
    <t xml:space="preserve">         Total for 7520 Accounting Fees</t>
  </si>
  <si>
    <t xml:space="preserve">      Total for 7500 Contract Service Expenses</t>
  </si>
  <si>
    <t xml:space="preserve">      8100 Operating Expenses</t>
  </si>
  <si>
    <t xml:space="preserve">         8108 Program Supplies</t>
  </si>
  <si>
    <t>03/10/2020</t>
  </si>
  <si>
    <t>03.10.20HWABBOTT</t>
  </si>
  <si>
    <t>Program Supplies</t>
  </si>
  <si>
    <t xml:space="preserve">         Total for 8108 Program Supplies</t>
  </si>
  <si>
    <t xml:space="preserve">         8110 Supplies</t>
  </si>
  <si>
    <t xml:space="preserve">            8112 Alloc Supplies</t>
  </si>
  <si>
    <t xml:space="preserve">            Total for 8112 Alloc Supplies</t>
  </si>
  <si>
    <t xml:space="preserve">         Total for 8110 Supplies</t>
  </si>
  <si>
    <t xml:space="preserve">         8130 Telephone &amp; Telecommunications</t>
  </si>
  <si>
    <t xml:space="preserve">            8135.5 Allocated Telephone</t>
  </si>
  <si>
    <t xml:space="preserve">            Total for 8135.5 Allocated Telephone</t>
  </si>
  <si>
    <t xml:space="preserve">         Total for 8130 Telephone &amp; Telecommunications</t>
  </si>
  <si>
    <t xml:space="preserve">         8140 Postage &amp; Shipping</t>
  </si>
  <si>
    <t xml:space="preserve">         Total for 8140 Postage &amp; Shipping</t>
  </si>
  <si>
    <t xml:space="preserve">         8191 Web Hosting Alloc</t>
  </si>
  <si>
    <t xml:space="preserve">         Total for 8191 Web Hosting Alloc</t>
  </si>
  <si>
    <t xml:space="preserve">      Total for 8100 Operating Expenses</t>
  </si>
  <si>
    <t xml:space="preserve">      8200 Facility &amp; Equipment Expenses</t>
  </si>
  <si>
    <t xml:space="preserve">         8210 Utilities</t>
  </si>
  <si>
    <t xml:space="preserve">            8210.1 504 Utilities</t>
  </si>
  <si>
    <t>01/22/2020</t>
  </si>
  <si>
    <t>604605536413</t>
  </si>
  <si>
    <t>Acct # 65 702 018 08  Pre-School 494-504 Central Ave.  12/19/19 - 01/16/20</t>
  </si>
  <si>
    <t>02/20/2020</t>
  </si>
  <si>
    <t>605803975914</t>
  </si>
  <si>
    <t>Acct # 65 702 018 08  Pre-School 494-504 Central Ave.  01/17/20 - 02/14/20</t>
  </si>
  <si>
    <t xml:space="preserve">            Total for 8210.1 504 Utilities</t>
  </si>
  <si>
    <t xml:space="preserve">            8210.5 Allocated Utilities</t>
  </si>
  <si>
    <t xml:space="preserve">            Total for 8210.5 Allocated Utilities</t>
  </si>
  <si>
    <t xml:space="preserve">         Total for 8210 Utilities</t>
  </si>
  <si>
    <t xml:space="preserve">         8211 Water</t>
  </si>
  <si>
    <t>01/21/2020</t>
  </si>
  <si>
    <t>494-498 Central Avene</t>
  </si>
  <si>
    <t>Water Expense 504 Central Ave. Jan 2020</t>
  </si>
  <si>
    <t>02/27/2020</t>
  </si>
  <si>
    <t>Water Expense 504 Central Ave. Feb 2020</t>
  </si>
  <si>
    <t xml:space="preserve">         Total for 8211 Water</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</si>
  <si>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</si>
  <si>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</si>
  <si>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</si>
  <si>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</si>
  <si>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</si>
  <si>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02/13/2020</t>
  </si>
  <si>
    <t>Town Gate Co.</t>
  </si>
  <si>
    <t>New Fence Installed</t>
  </si>
  <si>
    <t>Repairs &amp; Maintenance</t>
  </si>
  <si>
    <t xml:space="preserve">            Total for 8230 Building Repair &amp; Maintenance</t>
  </si>
  <si>
    <t xml:space="preserve">            8231 Alarm Services</t>
  </si>
  <si>
    <t>03/09/2020</t>
  </si>
  <si>
    <t>Pre-School Periodic Maintenance Fire Alarm System</t>
  </si>
  <si>
    <t>Pre-School Periodic Maintenance Annual Wet Sprinkler System</t>
  </si>
  <si>
    <t>Pre-School Periodic Maintenance inspection of Fire System</t>
  </si>
  <si>
    <t>Pre-School Periodic Maintenance Kitchen Fire System</t>
  </si>
  <si>
    <t xml:space="preserve">            Total for 8231 Alarm Services</t>
  </si>
  <si>
    <t xml:space="preserve">            8239 Alloc Repairs and Maint</t>
  </si>
  <si>
    <t>01/20/2020</t>
  </si>
  <si>
    <t xml:space="preserve">            Total for 8239 Alloc Repairs and Maint</t>
  </si>
  <si>
    <t xml:space="preserve">         Total for 8230 Building Repair &amp; Maintenance with sub-accounts</t>
  </si>
  <si>
    <t xml:space="preserve">         8240 Maintenance Supplies</t>
  </si>
  <si>
    <t>02/19/2020</t>
  </si>
  <si>
    <t>J1234821</t>
  </si>
  <si>
    <t>American Paper &amp; Supplies</t>
  </si>
  <si>
    <t>Maintenance Supplies</t>
  </si>
  <si>
    <t>J1234525</t>
  </si>
  <si>
    <t xml:space="preserve">         Total for 8240 Maintenance Supplies</t>
  </si>
  <si>
    <t xml:space="preserve">         8250 Mortgage Interest Expense</t>
  </si>
  <si>
    <t xml:space="preserve">            8250.1 Allocated 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</si>
  <si>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</si>
  <si>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</si>
  <si>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</si>
  <si>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</si>
  <si>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</si>
  <si>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</si>
  <si>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</si>
  <si>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</si>
  <si>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</si>
  <si>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</si>
  <si>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</si>
  <si>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01/15/2020</t>
  </si>
  <si>
    <t>INV0236485</t>
  </si>
  <si>
    <t>Single Ride Bus Tickets for Family Worker</t>
  </si>
  <si>
    <t>Transportation &amp; Parking</t>
  </si>
  <si>
    <t xml:space="preserve">         Total for 8310 Transportation &amp; Parking</t>
  </si>
  <si>
    <t xml:space="preserve">         8350 Conferences, Conventions, Meetings</t>
  </si>
  <si>
    <t>Conference, Meetings</t>
  </si>
  <si>
    <t xml:space="preserve">         Total for 8350 Conferences, Conventions, Meetings</t>
  </si>
  <si>
    <t xml:space="preserve">         8360 Field Trips</t>
  </si>
  <si>
    <t>01/28/2020</t>
  </si>
  <si>
    <t>Sankofa Stories</t>
  </si>
  <si>
    <t>Story Telling for Learners with Drummer</t>
  </si>
  <si>
    <t xml:space="preserve">         Total for 8360 Field Trips</t>
  </si>
  <si>
    <t xml:space="preserve">      Total for 8300 Travel &amp; Meetings Expenses</t>
  </si>
  <si>
    <t xml:space="preserve">      8400 Other Client Specific Expenses</t>
  </si>
  <si>
    <t xml:space="preserve">         8405 Classroom Materials &amp; Supplies</t>
  </si>
  <si>
    <t>01/14/2020</t>
  </si>
  <si>
    <t>7303780750-0-1</t>
  </si>
  <si>
    <t>Staples Advantage</t>
  </si>
  <si>
    <t>Classroom/Office Supplies</t>
  </si>
  <si>
    <t>7303780750-0-2</t>
  </si>
  <si>
    <t>Classroom Supplies Customer #: 12854200</t>
  </si>
  <si>
    <t>02/17/2020</t>
  </si>
  <si>
    <t>Pre-school Classroom Materials</t>
  </si>
  <si>
    <t>03/12/2020</t>
  </si>
  <si>
    <t>Pre-school Classroom Supplies - Classroom 2RR</t>
  </si>
  <si>
    <t xml:space="preserve">         Total for 8405 Classroom Materials &amp; Supplies</t>
  </si>
  <si>
    <t xml:space="preserve">         8410 Classroom Technology</t>
  </si>
  <si>
    <t>Classroom Computer Customer #: 12854200</t>
  </si>
  <si>
    <t xml:space="preserve">         Total for 8410 Classroom Technology</t>
  </si>
  <si>
    <t xml:space="preserve">         8425 Expungement Services</t>
  </si>
  <si>
    <t>01/27/2020</t>
  </si>
  <si>
    <t>Child Abuse Record Information Form (CARI) for James Edward Jiggetts</t>
  </si>
  <si>
    <t xml:space="preserve">         Total for 8425 Expungement Services</t>
  </si>
  <si>
    <t xml:space="preserve">         8540 Staff Development/Training</t>
  </si>
  <si>
    <t>01/06/2020</t>
  </si>
  <si>
    <t>01.06.20BE</t>
  </si>
  <si>
    <t>Bureau of Education &amp; Research, Inc.</t>
  </si>
  <si>
    <t>Full Steam Ahead Training for Abbott Teachers and Admin</t>
  </si>
  <si>
    <t xml:space="preserve">         Total for 8540 Staff Development/Training</t>
  </si>
  <si>
    <t xml:space="preserve">      Total for 8400 Other Client Specific Expenses</t>
  </si>
  <si>
    <t xml:space="preserve">      8500 Other Expenses</t>
  </si>
  <si>
    <t xml:space="preserve">         8580 Licenses &amp; Fees</t>
  </si>
  <si>
    <t>01/16/2020</t>
  </si>
  <si>
    <t>01.27.20HW</t>
  </si>
  <si>
    <t>NAEYC Academy</t>
  </si>
  <si>
    <t>Annual Accreditation Yearly Renewal</t>
  </si>
  <si>
    <t xml:space="preserve">         Total for 8580 Licenses &amp; Fees</t>
  </si>
  <si>
    <t xml:space="preserve">      Total for 8500 Other Expenses</t>
  </si>
  <si>
    <t xml:space="preserve">   Total for Expenses</t>
  </si>
  <si>
    <t>Saturday, Mar 28, 2020 05:23:45 AM GMT-7 - Accrual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</si>
</sst>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5" formatCode="&quot;$&quot;#,##0_);\(&quot;$&quot;#,##0\)"/>
    <numFmt numFmtId="7" formatCode="&quot;$&quot;#,##0.00_);\(&quot;$&quot;#,##0.00\)"/>
    <numFmt numFmtId="44" formatCode="_(&quot;$&quot;* #,##0.00_);_(&quot;$&quot;* \(#,##0.00\);_(&quot;$&quot;* &quot;-&quot;??_);_(@_)"/>
    <numFmt numFmtId="43" formatCode="_(* #,##0.00_);_(* \(#,##0.00\);_(* &quot;-&quot;??_);_(@_)"/>
    <numFmt numFmtId="164" formatCode="_(&quot;$&quot;* #,##0_);_(&quot;$&quot;* \(#,##0\);_(&quot;$&quot;* &quot;-&quot;??_);_(@_)"/>
    <numFmt numFmtId="165" formatCode="&quot;$&quot;#,##0.00"/>
    <numFmt numFmtId="166" formatCode="&quot;$&quot;#,##0"/>
    <numFmt numFmtId="167" formatCode="_(* #,##0_);_(* \(#,##0\);_(* &quot;-&quot;??_);_(@_)"/>
    <numFmt numFmtId="168" formatCode="0.0%"/>
    <numFmt numFmtId="169" formatCode="[$-409]mmmm\ d\,\ yyyy;@"/>
    <numFmt numFmtId="170" formatCode="_(* #,##0.0_);_(* \(#,##0.0\);_(* &quot;-&quot;??_);_(@_)"/>
    <numFmt numFmtId="171" formatCode="_(* #,##0.0000_);_(* \(#,##0.0000\);_(* &quot;-&quot;??_);_(@_)"/>
    <numFmt numFmtId="172" formatCode="#,##0.00\ _€"/>
    <numFmt numFmtId="173" formatCode="&quot;$&quot;* #,##0.00\ _€"/>
    <numFmt numFmtId="174" formatCode="mm/dd/yyyy"/>
  </numFmts>
  <fonts count="72"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1"/>
      <name val="Arial"/>
      <family val="2"/>
    </font>
    <font>
      <b/>
      <sz val="12"/>
      <name val="Arial"/>
      <family val="2"/>
    </font>
    <font>
      <sz val="11"/>
      <name val="Arial"/>
      <family val="2"/>
    </font>
    <font>
      <b/>
      <sz val="11"/>
      <name val="Arial Black"/>
      <family val="2"/>
    </font>
    <font>
      <b/>
      <sz val="14"/>
      <name val="Arial"/>
      <family val="2"/>
    </font>
    <font>
      <b/>
      <sz val="10"/>
      <name val="Arial"/>
      <family val="2"/>
    </font>
    <font>
      <b/>
      <sz val="9"/>
      <name val="Arial"/>
      <family val="2"/>
    </font>
    <font>
      <b/>
      <sz val="15"/>
      <name val="Arial"/>
      <family val="2"/>
    </font>
    <font>
      <sz val="10"/>
      <name val="MS Sans Serif"/>
      <family val="2"/>
    </font>
    <font>
      <b/>
      <sz val="10"/>
      <name val="MS Sans Serif"/>
      <family val="2"/>
    </font>
    <font>
      <sz val="10"/>
      <name val="MS Sans Serif"/>
      <family val="2"/>
    </font>
    <font>
      <b/>
      <sz val="14"/>
      <color indexed="9"/>
      <name val="Arial"/>
      <family val="2"/>
    </font>
    <font>
      <sz val="10"/>
      <color indexed="9"/>
      <name val="Arial"/>
      <family val="2"/>
    </font>
    <font>
      <sz val="14"/>
      <name val="Arial"/>
      <family val="2"/>
    </font>
    <font>
      <b/>
      <sz val="24"/>
      <name val="Arial"/>
      <family val="2"/>
    </font>
    <font>
      <b/>
      <i/>
      <sz val="10"/>
      <name val="MS Sans Serif"/>
      <family val="2"/>
    </font>
    <font>
      <b/>
      <sz val="13.5"/>
      <name val="Arial"/>
      <family val="2"/>
    </font>
    <font>
      <sz val="10"/>
      <color theme="0"/>
      <name val="Arial"/>
      <family val="2"/>
    </font>
    <font>
      <b/>
      <sz val="11"/>
      <color theme="0"/>
      <name val="Arial"/>
      <family val="2"/>
    </font>
    <font>
      <sz val="10"/>
      <color theme="1" tint="0.499984740745262"/>
      <name val="Arial"/>
      <family val="2"/>
    </font>
    <font>
      <sz val="10"/>
      <name val="MS Sans Serif"/>
      <family val="2"/>
    </font>
    <font>
      <b/>
      <sz val="10"/>
      <color rgb="FFFF0000"/>
      <name val="Arial"/>
      <family val="2"/>
    </font>
    <font>
      <b/>
      <sz val="9"/>
      <color rgb="FFFF0000"/>
      <name val="Arial"/>
      <family val="2"/>
    </font>
    <font>
      <b/>
      <sz val="11"/>
      <color rgb="FFFF0000"/>
      <name val="Arial"/>
      <family val="2"/>
    </font>
    <font>
      <b/>
      <sz val="12"/>
      <color rgb="FFFF0000"/>
      <name val="Arial"/>
      <family val="2"/>
    </font>
    <font>
      <b/>
      <sz val="14"/>
      <color rgb="FFFF0000"/>
      <name val="Arial"/>
      <family val="2"/>
    </font>
    <font>
      <sz val="11"/>
      <color theme="1"/>
      <name val="Times New Roman"/>
      <family val="2"/>
    </font>
    <font>
      <u/>
      <sz val="10"/>
      <color theme="10"/>
      <name val="MS Sans Serif"/>
      <family val="2"/>
    </font>
    <font>
      <u/>
      <sz val="10"/>
      <color indexed="12"/>
      <name val="MS Sans Serif"/>
      <family val="2"/>
    </font>
    <font>
      <sz val="10"/>
      <color rgb="FF000000"/>
      <name val="Arial"/>
      <family val="2"/>
    </font>
    <font>
      <b/>
      <i/>
      <sz val="10"/>
      <name val="Calibri"/>
      <family val="2"/>
      <scheme val="minor"/>
    </font>
    <font>
      <sz val="10"/>
      <color theme="0"/>
      <name val="MS Sans Serif"/>
      <family val="2"/>
    </font>
    <font>
      <sz val="10"/>
      <color rgb="FFFFFF00"/>
      <name val="MS Sans Serif"/>
      <family val="2"/>
    </font>
    <font>
      <sz val="11"/>
      <name val="Calibri"/>
      <family val="2"/>
      <scheme val="minor"/>
    </font>
    <font>
      <sz val="10"/>
      <color rgb="FFFF0000"/>
      <name val="Arial"/>
      <family val="2"/>
    </font>
    <font>
      <b/>
      <sz val="8"/>
      <name val="MS Sans Serif"/>
      <family val="2"/>
    </font>
    <font>
      <sz val="9"/>
      <name val="Arial"/>
      <family val="2"/>
    </font>
    <font>
      <b/>
      <sz val="9"/>
      <color indexed="81"/>
      <name val="Tahoma"/>
      <family val="2"/>
    </font>
    <font>
      <sz val="9"/>
      <color indexed="81"/>
      <name val="Tahoma"/>
      <family val="2"/>
    </font>
    <font>
      <sz val="11"/>
      <color indexed="81"/>
      <name val="Calibri"/>
      <family val="2"/>
      <scheme val="minor"/>
    </font>
    <font>
      <b/>
      <sz val="11"/>
      <color indexed="81"/>
      <name val="Calibri"/>
      <family val="2"/>
      <scheme val="minor"/>
    </font>
    <font>
      <sz val="8"/>
      <color theme="1"/>
      <name val="Calibri"/>
      <family val="2"/>
      <scheme val="minor"/>
    </font>
    <font>
      <sz val="8"/>
      <name val="Arial"/>
      <family val="2"/>
    </font>
    <font>
      <b/>
      <sz val="8"/>
      <color theme="1"/>
      <name val="Calibri"/>
      <family val="2"/>
      <scheme val="minor"/>
    </font>
    <font>
      <sz val="8"/>
      <name val="Calibri"/>
      <family val="2"/>
      <scheme val="minor"/>
    </font>
    <font>
      <sz val="8"/>
      <color rgb="FFFF0000"/>
      <name val="Arial"/>
      <family val="2"/>
    </font>
    <font>
      <sz val="8"/>
      <color rgb="FF000000"/>
      <name val="Calibri"/>
      <family val="2"/>
      <scheme val="minor"/>
    </font>
    <font>
      <b/>
      <sz val="14"/>
      <color indexed="8"/>
      <name val="Arial"/>
      <family val="2"/>
    </font>
    <font>
      <sz val="8"/>
      <color indexed="8"/>
      <name val="Calibri"/>
      <family val="2"/>
      <scheme val="minor"/>
    </font>
    <font>
      <b/>
      <sz val="10"/>
      <color indexed="8"/>
      <name val="Arial"/>
      <family val="2"/>
    </font>
    <font>
      <b/>
      <sz val="9"/>
      <color indexed="8"/>
      <name val="Arial"/>
      <family val="2"/>
    </font>
    <font>
      <b/>
      <sz val="8"/>
      <color indexed="8"/>
      <name val="Arial"/>
      <family val="2"/>
    </font>
    <font>
      <sz val="8"/>
      <color indexed="8"/>
      <name val="Arial"/>
      <family val="2"/>
    </font>
    <font>
      <b/>
      <sz val="14"/>
      <color indexed="8"/>
      <name val="Arial"/>
      <family val="2"/>
    </font>
    <font>
      <b/>
      <sz val="10"/>
      <color indexed="8"/>
      <name val="Arial"/>
      <family val="2"/>
    </font>
    <font>
      <b/>
      <sz val="9"/>
      <color indexed="8"/>
      <name val="Arial"/>
      <family val="2"/>
    </font>
    <font>
      <b/>
      <sz val="8"/>
      <color indexed="8"/>
      <name val="Arial"/>
      <family val="2"/>
    </font>
    <font>
      <sz val="8"/>
      <color indexed="8"/>
      <name val="Arial"/>
      <family val="2"/>
    </font>
    <font>
      <b/>
      <sz val="14"/>
      <color rgb="FF000000"/>
      <name val="Calibri"/>
      <family val="2"/>
    </font>
    <font>
      <b/>
      <sz val="12"/>
      <color rgb="FF000000"/>
      <name val="Calibri"/>
      <family val="2"/>
    </font>
    <font>
      <sz val="12"/>
      <color rgb="FF000000"/>
      <name val="Calibri"/>
      <family val="2"/>
    </font>
    <font>
      <b/>
      <sz val="11"/>
      <color rgb="FF000000"/>
      <name val="Calibri"/>
      <family val="2"/>
    </font>
    <font>
      <sz val="11"/>
      <color rgb="FF000000"/>
      <name val="Calibri"/>
      <family val="2"/>
    </font>
    <font>
      <b/>
      <sz val="8"/>
      <color rgb="FFFF0000"/>
      <name val="Calibri"/>
      <family val="2"/>
      <scheme val="minor"/>
    </font>
  </fonts>
  <fills count="45">
    <fill>
      <patternFill patternType="none"/>
    </fill>
    <fill>
      <patternFill patternType="gray125"/>
    </fill>
    <fill>
      <patternFill patternType="gray0625">
        <bgColor indexed="22"/>
      </patternFill>
    </fill>
    <fill>
      <patternFill patternType="solid">
        <fgColor indexed="4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mediumGray">
        <fgColor indexed="22"/>
      </patternFill>
    </fill>
    <fill>
      <patternFill patternType="solid">
        <fgColor indexed="61"/>
        <bgColor indexed="6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33CC33"/>
        <bgColor indexed="64"/>
      </patternFill>
    </fill>
    <fill>
      <patternFill patternType="solid">
        <fgColor theme="6" tint="0.39997558519241921"/>
        <bgColor indexed="64"/>
      </patternFill>
    </fill>
    <fill>
      <patternFill patternType="solid">
        <fgColor rgb="FFFFFF99"/>
        <bgColor rgb="FF000000"/>
      </patternFill>
    </fill>
    <fill>
      <patternFill patternType="solid">
        <fgColor theme="8" tint="0.59999389629810485"/>
        <bgColor indexed="64"/>
      </patternFill>
    </fill>
    <fill>
      <patternFill patternType="solid">
        <fgColor rgb="FFFFFF99"/>
        <bgColor indexed="64"/>
      </patternFill>
    </fill>
    <fill>
      <patternFill patternType="solid">
        <fgColor theme="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79998168889431442"/>
        <bgColor indexed="64"/>
      </patternFill>
    </fill>
  </fills>
  <borders count="78">
    <border>
      <left/>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right/>
      <top style="thick">
        <color indexed="64"/>
      </top>
      <bottom/>
      <diagonal/>
    </border>
    <border>
      <left/>
      <right style="thick">
        <color indexed="64"/>
      </right>
      <top style="thick">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style="double">
        <color indexed="64"/>
      </bottom>
      <diagonal/>
    </border>
  </borders>
  <cellStyleXfs count="51487">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16"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0" borderId="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8" fillId="0" borderId="0"/>
    <xf numFmtId="0" fontId="6" fillId="0" borderId="0"/>
    <xf numFmtId="0" fontId="6" fillId="0" borderId="0"/>
    <xf numFmtId="0" fontId="5" fillId="0" borderId="0"/>
    <xf numFmtId="0" fontId="5" fillId="0" borderId="0"/>
    <xf numFmtId="9" fontId="5" fillId="0" borderId="0" applyFont="0" applyFill="0" applyBorder="0" applyAlignment="0" applyProtection="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17" fillId="0" borderId="35">
      <alignment horizontal="center"/>
    </xf>
    <xf numFmtId="3" fontId="18" fillId="0" borderId="0" applyFont="0" applyFill="0" applyBorder="0" applyAlignment="0" applyProtection="0"/>
    <xf numFmtId="0" fontId="18" fillId="8" borderId="0" applyNumberFormat="0" applyFont="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28" fillId="0" borderId="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16" fillId="0" borderId="0" applyNumberFormat="0" applyFont="0" applyFill="0" applyBorder="0" applyAlignment="0" applyProtection="0">
      <alignment horizontal="left"/>
    </xf>
    <xf numFmtId="15" fontId="16" fillId="0" borderId="0" applyFont="0" applyFill="0" applyBorder="0" applyAlignment="0" applyProtection="0"/>
    <xf numFmtId="4" fontId="16" fillId="0" borderId="0" applyFont="0" applyFill="0" applyBorder="0" applyAlignment="0" applyProtection="0"/>
    <xf numFmtId="3" fontId="16" fillId="0" borderId="0" applyFont="0" applyFill="0" applyBorder="0" applyAlignment="0" applyProtection="0"/>
    <xf numFmtId="0" fontId="16" fillId="8" borderId="0" applyNumberFormat="0" applyFon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4"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169" fontId="16" fillId="0" borderId="0"/>
    <xf numFmtId="169"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169" fontId="16" fillId="0" borderId="0"/>
    <xf numFmtId="169" fontId="16" fillId="0" borderId="0"/>
    <xf numFmtId="0" fontId="16" fillId="0" borderId="0"/>
    <xf numFmtId="169" fontId="6" fillId="0" borderId="0"/>
    <xf numFmtId="0" fontId="16" fillId="0" borderId="0"/>
    <xf numFmtId="0" fontId="16" fillId="0" borderId="0"/>
    <xf numFmtId="0" fontId="6"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4" fillId="0" borderId="0"/>
    <xf numFmtId="0" fontId="16" fillId="0" borderId="0"/>
    <xf numFmtId="0" fontId="3" fillId="0" borderId="0"/>
    <xf numFmtId="0" fontId="3" fillId="0" borderId="0"/>
    <xf numFmtId="0" fontId="16" fillId="0" borderId="0"/>
    <xf numFmtId="0"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169" fontId="6" fillId="0" borderId="0"/>
    <xf numFmtId="0" fontId="16" fillId="0" borderId="0"/>
    <xf numFmtId="0" fontId="16" fillId="0" borderId="0"/>
    <xf numFmtId="0" fontId="3" fillId="0" borderId="0"/>
    <xf numFmtId="169" fontId="16" fillId="0" borderId="0"/>
    <xf numFmtId="169" fontId="16" fillId="0" borderId="0"/>
    <xf numFmtId="0" fontId="16" fillId="0" borderId="0"/>
    <xf numFmtId="169" fontId="16" fillId="0" borderId="0"/>
    <xf numFmtId="169"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xf numFmtId="0" fontId="16" fillId="0" borderId="0"/>
    <xf numFmtId="0" fontId="16"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16" fillId="0" borderId="0"/>
    <xf numFmtId="169" fontId="16" fillId="0" borderId="0"/>
    <xf numFmtId="0" fontId="16" fillId="0" borderId="0"/>
    <xf numFmtId="0" fontId="3" fillId="15" borderId="46" applyNumberFormat="0" applyFont="0" applyAlignment="0" applyProtection="0"/>
    <xf numFmtId="0" fontId="3" fillId="15" borderId="46"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34"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20" borderId="0" applyNumberFormat="0" applyBorder="0" applyAlignment="0" applyProtection="0"/>
    <xf numFmtId="0" fontId="6" fillId="0" borderId="0"/>
  </cellStyleXfs>
  <cellXfs count="799">
    <xf numFmtId="0" fontId="0" fillId="0" borderId="0" xfId="0"/>
    <xf numFmtId="0" fontId="0" fillId="0" borderId="0" xfId="0" applyProtection="1"/>
    <xf numFmtId="40" fontId="0" fillId="0" borderId="0" xfId="0" applyNumberFormat="1" applyProtection="1"/>
    <xf numFmtId="44" fontId="7" fillId="0" borderId="3" xfId="2" applyFont="1" applyBorder="1" applyProtection="1"/>
    <xf numFmtId="44" fontId="8" fillId="0" borderId="4" xfId="2" applyFont="1" applyBorder="1" applyAlignment="1" applyProtection="1">
      <alignment horizontal="right" wrapText="1"/>
    </xf>
    <xf numFmtId="164" fontId="9" fillId="2" borderId="9" xfId="2" applyNumberFormat="1" applyFont="1" applyFill="1" applyBorder="1" applyProtection="1"/>
    <xf numFmtId="40" fontId="9" fillId="2" borderId="9" xfId="2" applyNumberFormat="1" applyFont="1" applyFill="1" applyBorder="1" applyProtection="1"/>
    <xf numFmtId="165" fontId="8" fillId="0" borderId="5" xfId="2" applyNumberFormat="1" applyFont="1" applyBorder="1" applyAlignment="1" applyProtection="1">
      <alignment horizontal="right"/>
    </xf>
    <xf numFmtId="40" fontId="0" fillId="3" borderId="13" xfId="0" applyNumberFormat="1" applyFill="1" applyBorder="1" applyProtection="1"/>
    <xf numFmtId="44" fontId="10" fillId="0" borderId="11" xfId="2" applyFont="1" applyBorder="1" applyProtection="1"/>
    <xf numFmtId="44" fontId="10" fillId="0" borderId="15" xfId="2" applyFont="1" applyBorder="1" applyProtection="1">
      <protection locked="0"/>
    </xf>
    <xf numFmtId="44" fontId="10" fillId="0" borderId="11" xfId="2" applyFont="1" applyFill="1" applyBorder="1" applyProtection="1"/>
    <xf numFmtId="44" fontId="10" fillId="0" borderId="15" xfId="2" applyFont="1" applyFill="1" applyBorder="1" applyProtection="1">
      <protection locked="0"/>
    </xf>
    <xf numFmtId="164" fontId="8" fillId="0" borderId="9" xfId="2" applyNumberFormat="1" applyFont="1" applyBorder="1" applyProtection="1"/>
    <xf numFmtId="164" fontId="8" fillId="0" borderId="13" xfId="2" applyNumberFormat="1" applyFont="1" applyBorder="1" applyProtection="1"/>
    <xf numFmtId="164" fontId="0" fillId="0" borderId="16" xfId="0" applyNumberFormat="1" applyBorder="1" applyProtection="1"/>
    <xf numFmtId="44" fontId="10" fillId="0" borderId="13" xfId="2" applyFont="1" applyBorder="1" applyProtection="1">
      <protection locked="0"/>
    </xf>
    <xf numFmtId="0" fontId="8" fillId="4" borderId="19" xfId="0" applyNumberFormat="1" applyFont="1" applyFill="1" applyBorder="1" applyAlignment="1" applyProtection="1">
      <alignment horizontal="left"/>
    </xf>
    <xf numFmtId="0" fontId="8" fillId="4" borderId="20" xfId="0" applyNumberFormat="1" applyFont="1" applyFill="1" applyBorder="1" applyAlignment="1" applyProtection="1">
      <alignment horizontal="left"/>
    </xf>
    <xf numFmtId="44" fontId="10" fillId="0" borderId="0" xfId="2" applyFont="1" applyBorder="1" applyProtection="1"/>
    <xf numFmtId="44" fontId="10" fillId="0" borderId="25" xfId="2" applyFont="1" applyBorder="1" applyProtection="1">
      <protection locked="0"/>
    </xf>
    <xf numFmtId="0" fontId="9" fillId="0" borderId="5" xfId="0" applyNumberFormat="1" applyFont="1" applyFill="1" applyBorder="1" applyAlignment="1" applyProtection="1">
      <alignment horizontal="right"/>
    </xf>
    <xf numFmtId="0" fontId="9" fillId="0" borderId="15" xfId="0" applyNumberFormat="1" applyFont="1" applyFill="1" applyBorder="1" applyAlignment="1" applyProtection="1">
      <alignment horizontal="right"/>
    </xf>
    <xf numFmtId="164" fontId="8" fillId="6" borderId="13" xfId="2" applyNumberFormat="1" applyFont="1" applyFill="1" applyBorder="1" applyProtection="1"/>
    <xf numFmtId="0" fontId="14" fillId="0" borderId="31" xfId="0" applyFont="1" applyBorder="1" applyAlignment="1" applyProtection="1">
      <alignment horizontal="center" wrapText="1"/>
    </xf>
    <xf numFmtId="40" fontId="14" fillId="0" borderId="32" xfId="0" applyNumberFormat="1" applyFont="1" applyBorder="1" applyAlignment="1" applyProtection="1">
      <alignment horizontal="center" wrapText="1"/>
    </xf>
    <xf numFmtId="0" fontId="13" fillId="0" borderId="33" xfId="0" applyFont="1" applyBorder="1" applyAlignment="1" applyProtection="1">
      <alignment horizontal="center" wrapText="1"/>
    </xf>
    <xf numFmtId="0" fontId="9" fillId="0" borderId="30" xfId="0" applyFont="1" applyBorder="1" applyAlignment="1" applyProtection="1">
      <alignment horizontal="center" wrapText="1"/>
    </xf>
    <xf numFmtId="0" fontId="13" fillId="0" borderId="0" xfId="0" applyFont="1" applyAlignment="1" applyProtection="1">
      <alignment horizontal="right"/>
    </xf>
    <xf numFmtId="44" fontId="10" fillId="0" borderId="9" xfId="2" applyFont="1" applyBorder="1" applyProtection="1"/>
    <xf numFmtId="44" fontId="7" fillId="0" borderId="25" xfId="2" applyFont="1" applyBorder="1" applyProtection="1">
      <protection locked="0"/>
    </xf>
    <xf numFmtId="44" fontId="7" fillId="0" borderId="15" xfId="2" applyFont="1" applyFill="1" applyBorder="1" applyProtection="1">
      <protection locked="0"/>
    </xf>
    <xf numFmtId="44" fontId="7" fillId="0" borderId="15" xfId="2" applyFont="1" applyBorder="1" applyProtection="1">
      <protection locked="0"/>
    </xf>
    <xf numFmtId="44" fontId="7" fillId="0" borderId="13" xfId="2" applyFont="1" applyBorder="1" applyProtection="1">
      <protection locked="0"/>
    </xf>
    <xf numFmtId="164" fontId="8" fillId="0" borderId="24" xfId="2" applyNumberFormat="1" applyFont="1" applyBorder="1" applyProtection="1"/>
    <xf numFmtId="164" fontId="8" fillId="0" borderId="5" xfId="2" applyNumberFormat="1" applyFont="1" applyBorder="1" applyProtection="1"/>
    <xf numFmtId="44" fontId="10" fillId="0" borderId="9" xfId="2" applyFont="1" applyFill="1" applyBorder="1" applyProtection="1"/>
    <xf numFmtId="0" fontId="14" fillId="0" borderId="32" xfId="0" applyFont="1" applyBorder="1" applyAlignment="1" applyProtection="1">
      <alignment horizontal="center" wrapText="1"/>
    </xf>
    <xf numFmtId="0" fontId="8" fillId="0" borderId="23" xfId="0" applyFont="1" applyBorder="1" applyAlignment="1" applyProtection="1">
      <alignment horizontal="center" wrapText="1"/>
    </xf>
    <xf numFmtId="0" fontId="8" fillId="0" borderId="38" xfId="0" applyFont="1" applyBorder="1" applyAlignment="1" applyProtection="1">
      <alignment horizontal="center" wrapText="1"/>
    </xf>
    <xf numFmtId="167" fontId="9" fillId="0" borderId="36" xfId="1" applyNumberFormat="1" applyFont="1" applyFill="1" applyBorder="1" applyAlignment="1" applyProtection="1">
      <alignment horizontal="center" wrapText="1"/>
    </xf>
    <xf numFmtId="0" fontId="15" fillId="0" borderId="0" xfId="0" applyFont="1" applyBorder="1" applyAlignment="1" applyProtection="1"/>
    <xf numFmtId="0" fontId="6" fillId="0" borderId="9" xfId="3" applyNumberFormat="1" applyBorder="1" applyProtection="1"/>
    <xf numFmtId="43" fontId="8" fillId="0" borderId="4" xfId="0" applyNumberFormat="1" applyFont="1" applyBorder="1" applyAlignment="1" applyProtection="1">
      <alignment horizontal="right" wrapText="1"/>
    </xf>
    <xf numFmtId="166" fontId="8" fillId="0" borderId="5" xfId="2" applyNumberFormat="1" applyFont="1" applyBorder="1" applyAlignment="1" applyProtection="1">
      <alignment horizontal="right"/>
    </xf>
    <xf numFmtId="44" fontId="10" fillId="0" borderId="40" xfId="2" applyFont="1" applyBorder="1" applyProtection="1"/>
    <xf numFmtId="164" fontId="8" fillId="7" borderId="13" xfId="2" applyNumberFormat="1" applyFont="1" applyFill="1" applyBorder="1" applyProtection="1"/>
    <xf numFmtId="167" fontId="9" fillId="0" borderId="36" xfId="1" applyNumberFormat="1" applyFont="1" applyFill="1" applyBorder="1" applyAlignment="1" applyProtection="1">
      <alignment horizontal="center" wrapText="1"/>
      <protection locked="0"/>
    </xf>
    <xf numFmtId="10" fontId="6" fillId="0" borderId="9" xfId="3" applyNumberFormat="1" applyBorder="1" applyProtection="1"/>
    <xf numFmtId="164" fontId="8" fillId="0" borderId="13" xfId="2" applyNumberFormat="1" applyFont="1" applyBorder="1" applyProtection="1">
      <protection locked="0"/>
    </xf>
    <xf numFmtId="0" fontId="0" fillId="0" borderId="0" xfId="0" applyFill="1" applyProtection="1"/>
    <xf numFmtId="44" fontId="8" fillId="2" borderId="41" xfId="2" applyNumberFormat="1" applyFont="1" applyFill="1" applyBorder="1" applyProtection="1"/>
    <xf numFmtId="44" fontId="6" fillId="0" borderId="12" xfId="2" applyFill="1" applyBorder="1" applyProtection="1"/>
    <xf numFmtId="44" fontId="6" fillId="0" borderId="14" xfId="2" applyFill="1" applyBorder="1" applyProtection="1"/>
    <xf numFmtId="164" fontId="0" fillId="0" borderId="16" xfId="0" applyNumberFormat="1" applyFill="1" applyBorder="1" applyProtection="1"/>
    <xf numFmtId="44" fontId="6" fillId="0" borderId="17" xfId="2" applyFill="1" applyBorder="1" applyProtection="1"/>
    <xf numFmtId="44" fontId="6" fillId="0" borderId="23" xfId="2" applyFill="1" applyBorder="1" applyProtection="1"/>
    <xf numFmtId="0" fontId="14" fillId="0" borderId="28" xfId="0" applyFont="1" applyBorder="1" applyAlignment="1" applyProtection="1">
      <alignment horizontal="center" wrapText="1"/>
    </xf>
    <xf numFmtId="0" fontId="13" fillId="0" borderId="0" xfId="0" applyFont="1" applyBorder="1" applyAlignment="1" applyProtection="1">
      <alignment horizontal="center" wrapText="1"/>
    </xf>
    <xf numFmtId="0" fontId="0" fillId="0" borderId="0" xfId="0" applyBorder="1" applyAlignment="1" applyProtection="1">
      <alignment horizontal="left"/>
    </xf>
    <xf numFmtId="0" fontId="0" fillId="0" borderId="0" xfId="0" applyNumberFormat="1" applyProtection="1"/>
    <xf numFmtId="0" fontId="13" fillId="0" borderId="0" xfId="0" applyFont="1" applyAlignment="1">
      <alignment horizontal="right"/>
    </xf>
    <xf numFmtId="0" fontId="0" fillId="0" borderId="0" xfId="0" applyAlignment="1">
      <alignment wrapText="1"/>
    </xf>
    <xf numFmtId="167" fontId="0" fillId="0" borderId="0" xfId="1" applyNumberFormat="1" applyFont="1"/>
    <xf numFmtId="167" fontId="0" fillId="0" borderId="11" xfId="1" applyNumberFormat="1" applyFont="1" applyBorder="1"/>
    <xf numFmtId="167" fontId="0" fillId="0" borderId="0" xfId="0" applyNumberFormat="1"/>
    <xf numFmtId="0" fontId="0" fillId="0" borderId="0" xfId="0" applyBorder="1" applyAlignment="1">
      <alignment horizontal="center"/>
    </xf>
    <xf numFmtId="165" fontId="8" fillId="0" borderId="13" xfId="2" applyNumberFormat="1" applyFont="1" applyBorder="1" applyProtection="1"/>
    <xf numFmtId="165" fontId="8" fillId="0" borderId="9" xfId="2" applyNumberFormat="1" applyFont="1" applyBorder="1" applyProtection="1"/>
    <xf numFmtId="165" fontId="10" fillId="0" borderId="11" xfId="2" applyNumberFormat="1" applyFont="1" applyBorder="1" applyProtection="1"/>
    <xf numFmtId="165" fontId="0" fillId="3" borderId="13" xfId="0" applyNumberFormat="1" applyFill="1" applyBorder="1" applyProtection="1"/>
    <xf numFmtId="165" fontId="0" fillId="0" borderId="16" xfId="0" applyNumberFormat="1" applyBorder="1" applyProtection="1"/>
    <xf numFmtId="165" fontId="8" fillId="0" borderId="15" xfId="2" applyNumberFormat="1" applyFont="1" applyBorder="1" applyProtection="1"/>
    <xf numFmtId="165" fontId="8" fillId="6" borderId="13" xfId="2" applyNumberFormat="1" applyFont="1" applyFill="1" applyBorder="1" applyProtection="1"/>
    <xf numFmtId="165" fontId="10" fillId="0" borderId="11" xfId="2" applyNumberFormat="1" applyFont="1" applyFill="1" applyBorder="1" applyProtection="1"/>
    <xf numFmtId="165" fontId="10" fillId="0" borderId="0" xfId="2" applyNumberFormat="1" applyFont="1" applyBorder="1" applyProtection="1"/>
    <xf numFmtId="165" fontId="9" fillId="0" borderId="15" xfId="0" applyNumberFormat="1" applyFont="1" applyFill="1" applyBorder="1" applyAlignment="1" applyProtection="1">
      <alignment horizontal="right"/>
    </xf>
    <xf numFmtId="165" fontId="9" fillId="0" borderId="5" xfId="0" applyNumberFormat="1" applyFont="1" applyFill="1" applyBorder="1" applyAlignment="1" applyProtection="1">
      <alignment horizontal="right"/>
    </xf>
    <xf numFmtId="165" fontId="8" fillId="4" borderId="20" xfId="0" applyNumberFormat="1" applyFont="1" applyFill="1" applyBorder="1" applyAlignment="1" applyProtection="1">
      <alignment horizontal="left"/>
    </xf>
    <xf numFmtId="0" fontId="13" fillId="0" borderId="33" xfId="0" applyFont="1" applyBorder="1" applyAlignment="1" applyProtection="1">
      <alignment horizontal="center" wrapText="1"/>
    </xf>
    <xf numFmtId="0" fontId="9" fillId="0" borderId="16" xfId="0" applyFont="1" applyBorder="1" applyAlignment="1" applyProtection="1">
      <alignment horizontal="center" wrapText="1"/>
    </xf>
    <xf numFmtId="44" fontId="10" fillId="0" borderId="13" xfId="2" applyNumberFormat="1" applyFont="1" applyBorder="1" applyProtection="1">
      <protection locked="0"/>
    </xf>
    <xf numFmtId="44" fontId="0" fillId="0" borderId="0" xfId="0" applyNumberFormat="1" applyAlignment="1" applyProtection="1">
      <alignment horizontal="center"/>
    </xf>
    <xf numFmtId="44" fontId="13" fillId="0" borderId="33" xfId="0" applyNumberFormat="1" applyFont="1" applyBorder="1" applyAlignment="1" applyProtection="1">
      <alignment horizontal="center" wrapText="1"/>
    </xf>
    <xf numFmtId="44" fontId="10" fillId="0" borderId="15" xfId="2" applyNumberFormat="1" applyFont="1" applyBorder="1" applyProtection="1">
      <protection locked="0"/>
    </xf>
    <xf numFmtId="44" fontId="8" fillId="4" borderId="20" xfId="0" applyNumberFormat="1" applyFont="1" applyFill="1" applyBorder="1" applyAlignment="1" applyProtection="1">
      <alignment horizontal="left"/>
    </xf>
    <xf numFmtId="44" fontId="10" fillId="0" borderId="15" xfId="2" applyNumberFormat="1" applyFont="1" applyFill="1" applyBorder="1" applyProtection="1">
      <protection locked="0"/>
    </xf>
    <xf numFmtId="44" fontId="9" fillId="2" borderId="9" xfId="2" applyNumberFormat="1" applyFont="1" applyFill="1" applyBorder="1" applyProtection="1"/>
    <xf numFmtId="44" fontId="0" fillId="0" borderId="0" xfId="0" applyNumberFormat="1" applyProtection="1"/>
    <xf numFmtId="165" fontId="0" fillId="0" borderId="0" xfId="0" applyNumberFormat="1" applyProtection="1"/>
    <xf numFmtId="0" fontId="9" fillId="0" borderId="16" xfId="0" applyFont="1" applyBorder="1" applyAlignment="1" applyProtection="1">
      <alignment horizontal="center" wrapText="1"/>
    </xf>
    <xf numFmtId="44" fontId="10" fillId="0" borderId="42" xfId="2" applyFont="1" applyBorder="1" applyProtection="1"/>
    <xf numFmtId="0" fontId="9" fillId="0" borderId="38" xfId="0" applyFont="1" applyBorder="1" applyAlignment="1" applyProtection="1">
      <alignment horizontal="center" wrapText="1"/>
    </xf>
    <xf numFmtId="0" fontId="11" fillId="4" borderId="21" xfId="0" applyNumberFormat="1" applyFont="1" applyFill="1" applyBorder="1" applyAlignment="1" applyProtection="1">
      <alignment horizontal="left"/>
    </xf>
    <xf numFmtId="165" fontId="11" fillId="4" borderId="21" xfId="0" applyNumberFormat="1" applyFont="1" applyFill="1" applyBorder="1" applyAlignment="1" applyProtection="1">
      <alignment horizontal="left"/>
    </xf>
    <xf numFmtId="44" fontId="10" fillId="0" borderId="41" xfId="2" applyFont="1" applyBorder="1" applyProtection="1"/>
    <xf numFmtId="40" fontId="0" fillId="3" borderId="24" xfId="0" applyNumberFormat="1" applyFill="1" applyBorder="1" applyProtection="1"/>
    <xf numFmtId="0" fontId="9" fillId="0" borderId="25" xfId="0" applyNumberFormat="1" applyFont="1" applyFill="1" applyBorder="1" applyAlignment="1" applyProtection="1">
      <alignment horizontal="right"/>
    </xf>
    <xf numFmtId="0" fontId="9" fillId="0" borderId="26" xfId="0" applyNumberFormat="1" applyFont="1" applyFill="1" applyBorder="1" applyAlignment="1" applyProtection="1">
      <alignment horizontal="right"/>
    </xf>
    <xf numFmtId="164" fontId="8" fillId="0" borderId="41" xfId="2" applyNumberFormat="1" applyFont="1" applyBorder="1" applyProtection="1"/>
    <xf numFmtId="164" fontId="8" fillId="0" borderId="25" xfId="2" applyNumberFormat="1" applyFont="1" applyBorder="1" applyProtection="1"/>
    <xf numFmtId="164" fontId="8" fillId="0" borderId="26" xfId="2" applyNumberFormat="1" applyFont="1" applyBorder="1" applyProtection="1"/>
    <xf numFmtId="0" fontId="14" fillId="0" borderId="38" xfId="0" applyFont="1" applyBorder="1" applyAlignment="1" applyProtection="1">
      <alignment wrapText="1"/>
    </xf>
    <xf numFmtId="44" fontId="10" fillId="0" borderId="3" xfId="2" applyFont="1" applyBorder="1" applyProtection="1"/>
    <xf numFmtId="167" fontId="6" fillId="0" borderId="9" xfId="1" applyNumberFormat="1" applyBorder="1" applyProtection="1"/>
    <xf numFmtId="167" fontId="0" fillId="0" borderId="9" xfId="1" applyNumberFormat="1" applyFont="1" applyBorder="1" applyProtection="1"/>
    <xf numFmtId="10" fontId="0" fillId="0" borderId="9" xfId="3" applyNumberFormat="1" applyFont="1" applyBorder="1" applyProtection="1"/>
    <xf numFmtId="164" fontId="8" fillId="0" borderId="3" xfId="2" applyNumberFormat="1" applyFont="1" applyBorder="1" applyProtection="1"/>
    <xf numFmtId="166" fontId="8" fillId="0" borderId="5" xfId="2" applyNumberFormat="1" applyFont="1" applyBorder="1" applyAlignment="1" applyProtection="1">
      <alignment horizontal="right"/>
    </xf>
    <xf numFmtId="0" fontId="13" fillId="0" borderId="33" xfId="0" applyFont="1" applyBorder="1" applyAlignment="1" applyProtection="1">
      <alignment horizontal="center" wrapText="1"/>
    </xf>
    <xf numFmtId="0" fontId="24" fillId="0" borderId="0" xfId="0" applyFont="1" applyBorder="1" applyAlignment="1" applyProtection="1"/>
    <xf numFmtId="44" fontId="8" fillId="0" borderId="13" xfId="2" applyFont="1" applyBorder="1" applyProtection="1"/>
    <xf numFmtId="165" fontId="25" fillId="0" borderId="0" xfId="0" applyNumberFormat="1" applyFont="1" applyProtection="1"/>
    <xf numFmtId="44" fontId="26" fillId="0" borderId="4" xfId="2" applyFont="1" applyBorder="1" applyAlignment="1" applyProtection="1">
      <alignment horizontal="right" wrapText="1"/>
    </xf>
    <xf numFmtId="165" fontId="27" fillId="0" borderId="0" xfId="0" applyNumberFormat="1" applyFont="1" applyProtection="1"/>
    <xf numFmtId="0" fontId="27" fillId="0" borderId="0" xfId="0" applyFont="1" applyProtection="1"/>
    <xf numFmtId="165" fontId="10" fillId="0" borderId="9" xfId="2" applyNumberFormat="1" applyFont="1" applyBorder="1" applyProtection="1"/>
    <xf numFmtId="166" fontId="10" fillId="0" borderId="11" xfId="2" applyNumberFormat="1" applyFont="1" applyBorder="1" applyProtection="1"/>
    <xf numFmtId="166" fontId="10" fillId="0" borderId="0" xfId="2" applyNumberFormat="1" applyFont="1" applyBorder="1" applyProtection="1"/>
    <xf numFmtId="44" fontId="8" fillId="0" borderId="13" xfId="2" applyNumberFormat="1" applyFont="1" applyBorder="1" applyProtection="1"/>
    <xf numFmtId="40" fontId="0" fillId="3" borderId="40" xfId="0" applyNumberFormat="1" applyFill="1" applyBorder="1" applyProtection="1"/>
    <xf numFmtId="164" fontId="9" fillId="2" borderId="42" xfId="2" applyNumberFormat="1" applyFont="1" applyFill="1" applyBorder="1" applyProtection="1"/>
    <xf numFmtId="0" fontId="25" fillId="0" borderId="0" xfId="0" applyFont="1" applyProtection="1"/>
    <xf numFmtId="164" fontId="10" fillId="0" borderId="3" xfId="2" applyNumberFormat="1" applyFont="1" applyBorder="1" applyProtection="1"/>
    <xf numFmtId="164" fontId="0" fillId="0" borderId="0" xfId="0" applyNumberFormat="1" applyProtection="1"/>
    <xf numFmtId="164" fontId="6" fillId="0" borderId="12" xfId="2" applyNumberFormat="1" applyFill="1" applyBorder="1" applyProtection="1"/>
    <xf numFmtId="164" fontId="8" fillId="2" borderId="41" xfId="2" applyNumberFormat="1" applyFont="1" applyFill="1" applyBorder="1" applyProtection="1"/>
    <xf numFmtId="167" fontId="9" fillId="0" borderId="38" xfId="1" applyNumberFormat="1" applyFont="1" applyFill="1" applyBorder="1" applyAlignment="1" applyProtection="1">
      <alignment horizontal="center" wrapText="1"/>
      <protection locked="0"/>
    </xf>
    <xf numFmtId="165" fontId="10" fillId="0" borderId="42" xfId="2" applyNumberFormat="1" applyFont="1" applyBorder="1" applyProtection="1"/>
    <xf numFmtId="164" fontId="9" fillId="2" borderId="15" xfId="2" applyNumberFormat="1" applyFont="1" applyFill="1" applyBorder="1" applyProtection="1"/>
    <xf numFmtId="164" fontId="9" fillId="2" borderId="18" xfId="2" applyNumberFormat="1" applyFont="1" applyFill="1" applyBorder="1" applyProtection="1"/>
    <xf numFmtId="44" fontId="7" fillId="0" borderId="1" xfId="2" applyFont="1" applyBorder="1" applyProtection="1"/>
    <xf numFmtId="165" fontId="8" fillId="0" borderId="24" xfId="2" applyNumberFormat="1" applyFont="1" applyBorder="1" applyProtection="1"/>
    <xf numFmtId="44" fontId="8" fillId="0" borderId="24" xfId="2" applyFont="1" applyBorder="1" applyProtection="1"/>
    <xf numFmtId="165" fontId="10" fillId="0" borderId="41" xfId="2" applyNumberFormat="1" applyFont="1" applyBorder="1" applyProtection="1"/>
    <xf numFmtId="165" fontId="0" fillId="0" borderId="38" xfId="0" applyNumberFormat="1" applyBorder="1" applyProtection="1"/>
    <xf numFmtId="44" fontId="10" fillId="0" borderId="3" xfId="2" applyNumberFormat="1" applyFont="1" applyBorder="1" applyProtection="1"/>
    <xf numFmtId="44" fontId="25" fillId="0" borderId="0" xfId="0" applyNumberFormat="1" applyFont="1" applyProtection="1"/>
    <xf numFmtId="0" fontId="9" fillId="0" borderId="23" xfId="0" applyFont="1" applyBorder="1" applyAlignment="1" applyProtection="1">
      <alignment horizontal="center" wrapText="1"/>
      <protection locked="0"/>
    </xf>
    <xf numFmtId="164" fontId="13" fillId="0" borderId="0" xfId="27" applyNumberFormat="1" applyFont="1" applyFill="1" applyBorder="1" applyAlignment="1" applyProtection="1">
      <alignment horizontal="center"/>
    </xf>
    <xf numFmtId="164" fontId="6" fillId="0" borderId="0" xfId="27" applyNumberFormat="1" applyFont="1" applyProtection="1"/>
    <xf numFmtId="164" fontId="6" fillId="0" borderId="0" xfId="27" applyNumberFormat="1" applyFont="1" applyBorder="1" applyProtection="1"/>
    <xf numFmtId="164" fontId="12" fillId="0" borderId="6" xfId="27" applyNumberFormat="1" applyFont="1" applyFill="1" applyBorder="1" applyProtection="1"/>
    <xf numFmtId="164" fontId="12" fillId="12" borderId="6" xfId="27" applyNumberFormat="1" applyFont="1" applyFill="1" applyBorder="1" applyProtection="1"/>
    <xf numFmtId="164" fontId="21" fillId="11" borderId="6" xfId="27" applyNumberFormat="1" applyFont="1" applyFill="1" applyBorder="1" applyAlignment="1" applyProtection="1"/>
    <xf numFmtId="164" fontId="13" fillId="11" borderId="9" xfId="27" applyNumberFormat="1" applyFont="1" applyFill="1" applyBorder="1" applyAlignment="1" applyProtection="1">
      <alignment horizontal="center" wrapText="1"/>
    </xf>
    <xf numFmtId="164" fontId="6" fillId="0" borderId="6" xfId="27" applyNumberFormat="1" applyFont="1" applyBorder="1" applyAlignment="1" applyProtection="1"/>
    <xf numFmtId="164" fontId="9" fillId="11" borderId="6" xfId="27" applyNumberFormat="1" applyFont="1" applyFill="1" applyBorder="1" applyAlignment="1" applyProtection="1"/>
    <xf numFmtId="164" fontId="21" fillId="0" borderId="6" xfId="27" applyNumberFormat="1" applyFont="1" applyBorder="1" applyProtection="1"/>
    <xf numFmtId="166" fontId="21" fillId="0" borderId="6" xfId="27" applyNumberFormat="1" applyFont="1" applyBorder="1" applyAlignment="1" applyProtection="1">
      <alignment horizontal="right"/>
    </xf>
    <xf numFmtId="166" fontId="21" fillId="0" borderId="5" xfId="27" applyNumberFormat="1" applyFont="1" applyBorder="1" applyAlignment="1" applyProtection="1">
      <alignment horizontal="right"/>
    </xf>
    <xf numFmtId="164" fontId="21" fillId="0" borderId="6" xfId="27" applyNumberFormat="1" applyFont="1" applyBorder="1" applyAlignment="1" applyProtection="1"/>
    <xf numFmtId="164" fontId="21" fillId="11" borderId="6" xfId="27" applyNumberFormat="1" applyFont="1" applyFill="1" applyBorder="1" applyProtection="1"/>
    <xf numFmtId="166" fontId="21" fillId="11" borderId="6" xfId="27" applyNumberFormat="1" applyFont="1" applyFill="1" applyBorder="1" applyAlignment="1" applyProtection="1">
      <alignment horizontal="right"/>
    </xf>
    <xf numFmtId="166" fontId="21" fillId="11" borderId="5" xfId="27" applyNumberFormat="1" applyFont="1" applyFill="1" applyBorder="1" applyAlignment="1" applyProtection="1">
      <alignment horizontal="right"/>
    </xf>
    <xf numFmtId="166" fontId="21" fillId="0" borderId="6" xfId="27" applyNumberFormat="1" applyFont="1" applyFill="1" applyBorder="1" applyAlignment="1" applyProtection="1">
      <alignment horizontal="right"/>
    </xf>
    <xf numFmtId="164" fontId="12" fillId="0" borderId="6" xfId="27" applyNumberFormat="1" applyFont="1" applyBorder="1" applyAlignment="1" applyProtection="1"/>
    <xf numFmtId="166" fontId="21" fillId="11" borderId="9" xfId="27" applyNumberFormat="1" applyFont="1" applyFill="1" applyBorder="1" applyProtection="1"/>
    <xf numFmtId="164" fontId="12" fillId="0" borderId="9" xfId="27" applyNumberFormat="1" applyFont="1" applyBorder="1" applyAlignment="1" applyProtection="1"/>
    <xf numFmtId="164" fontId="12" fillId="12" borderId="6" xfId="27" applyNumberFormat="1" applyFont="1" applyFill="1" applyBorder="1" applyAlignment="1" applyProtection="1"/>
    <xf numFmtId="166" fontId="12" fillId="0" borderId="9" xfId="27" applyNumberFormat="1" applyFont="1" applyFill="1" applyBorder="1" applyAlignment="1" applyProtection="1">
      <alignment horizontal="right"/>
    </xf>
    <xf numFmtId="166" fontId="12" fillId="10" borderId="9" xfId="27" applyNumberFormat="1" applyFont="1" applyFill="1" applyBorder="1" applyAlignment="1" applyProtection="1">
      <alignment horizontal="right"/>
    </xf>
    <xf numFmtId="165" fontId="8" fillId="0" borderId="41" xfId="2" applyNumberFormat="1" applyFont="1" applyBorder="1" applyProtection="1"/>
    <xf numFmtId="164" fontId="8" fillId="0" borderId="4" xfId="2" applyNumberFormat="1" applyFont="1" applyBorder="1" applyProtection="1"/>
    <xf numFmtId="164" fontId="8" fillId="0" borderId="37" xfId="2" applyNumberFormat="1" applyFont="1" applyBorder="1" applyProtection="1"/>
    <xf numFmtId="164" fontId="8" fillId="0" borderId="45" xfId="2" applyNumberFormat="1" applyFont="1" applyBorder="1" applyProtection="1"/>
    <xf numFmtId="0" fontId="29" fillId="0" borderId="0" xfId="0" applyFont="1" applyProtection="1"/>
    <xf numFmtId="0" fontId="29" fillId="0" borderId="33" xfId="0" applyFont="1" applyBorder="1" applyAlignment="1" applyProtection="1">
      <alignment horizontal="center" wrapText="1"/>
    </xf>
    <xf numFmtId="44" fontId="29" fillId="15" borderId="46" xfId="2" applyFont="1" applyFill="1" applyBorder="1" applyProtection="1"/>
    <xf numFmtId="164" fontId="31" fillId="0" borderId="9" xfId="2" applyNumberFormat="1" applyFont="1" applyBorder="1" applyProtection="1"/>
    <xf numFmtId="0" fontId="31" fillId="4" borderId="20" xfId="0" applyNumberFormat="1" applyFont="1" applyFill="1" applyBorder="1" applyAlignment="1" applyProtection="1">
      <alignment horizontal="left"/>
    </xf>
    <xf numFmtId="164" fontId="32" fillId="2" borderId="9" xfId="2" applyNumberFormat="1" applyFont="1" applyFill="1" applyBorder="1" applyProtection="1"/>
    <xf numFmtId="164" fontId="31" fillId="0" borderId="3" xfId="2" applyNumberFormat="1" applyFont="1" applyBorder="1" applyProtection="1"/>
    <xf numFmtId="44" fontId="29" fillId="0" borderId="33" xfId="0" applyNumberFormat="1" applyFont="1" applyBorder="1" applyAlignment="1" applyProtection="1">
      <alignment horizontal="center" wrapText="1"/>
    </xf>
    <xf numFmtId="165" fontId="31" fillId="0" borderId="9" xfId="2" applyNumberFormat="1" applyFont="1" applyBorder="1" applyProtection="1"/>
    <xf numFmtId="165" fontId="31" fillId="0" borderId="3" xfId="2" applyNumberFormat="1" applyFont="1" applyBorder="1" applyProtection="1"/>
    <xf numFmtId="0" fontId="8" fillId="0" borderId="38" xfId="0" applyFont="1" applyBorder="1" applyAlignment="1" applyProtection="1">
      <alignment horizontal="center" wrapText="1"/>
    </xf>
    <xf numFmtId="44" fontId="29" fillId="15" borderId="47" xfId="2" applyFont="1" applyFill="1" applyBorder="1" applyProtection="1"/>
    <xf numFmtId="1" fontId="16" fillId="0" borderId="9" xfId="27" applyNumberFormat="1" applyFont="1" applyBorder="1" applyAlignment="1" applyProtection="1">
      <alignment horizontal="right"/>
    </xf>
    <xf numFmtId="44" fontId="29" fillId="15" borderId="9" xfId="2" applyFont="1" applyFill="1" applyBorder="1" applyProtection="1"/>
    <xf numFmtId="165" fontId="31" fillId="4" borderId="0" xfId="0" applyNumberFormat="1" applyFont="1" applyFill="1" applyBorder="1" applyAlignment="1" applyProtection="1">
      <alignment horizontal="left"/>
    </xf>
    <xf numFmtId="10" fontId="6" fillId="0" borderId="15" xfId="3" applyNumberFormat="1" applyBorder="1" applyProtection="1"/>
    <xf numFmtId="0" fontId="12" fillId="0" borderId="0" xfId="0" applyFont="1" applyBorder="1" applyAlignment="1" applyProtection="1"/>
    <xf numFmtId="10" fontId="10" fillId="0" borderId="42" xfId="3" applyNumberFormat="1" applyFont="1" applyBorder="1" applyProtection="1">
      <protection locked="0"/>
    </xf>
    <xf numFmtId="0" fontId="0" fillId="0" borderId="45" xfId="0" applyBorder="1" applyProtection="1">
      <protection locked="0"/>
    </xf>
    <xf numFmtId="43" fontId="13" fillId="0" borderId="0" xfId="300" applyNumberFormat="1" applyFont="1" applyFill="1" applyBorder="1" applyAlignment="1" applyProtection="1">
      <alignment horizontal="center"/>
    </xf>
    <xf numFmtId="43" fontId="6" fillId="0" borderId="0" xfId="300" applyFont="1" applyFill="1" applyBorder="1" applyAlignment="1" applyProtection="1">
      <alignment horizontal="left"/>
    </xf>
    <xf numFmtId="43" fontId="20" fillId="0" borderId="0" xfId="300" applyFont="1" applyProtection="1"/>
    <xf numFmtId="43" fontId="6" fillId="0" borderId="0" xfId="300" applyNumberFormat="1" applyFont="1" applyBorder="1" applyProtection="1"/>
    <xf numFmtId="168" fontId="6" fillId="0" borderId="0" xfId="45189" applyNumberFormat="1" applyFont="1" applyBorder="1" applyProtection="1"/>
    <xf numFmtId="167" fontId="9" fillId="10" borderId="9" xfId="300" applyNumberFormat="1" applyFont="1" applyFill="1" applyBorder="1" applyProtection="1"/>
    <xf numFmtId="170" fontId="9" fillId="10" borderId="9" xfId="300" applyNumberFormat="1" applyFont="1" applyFill="1" applyBorder="1" applyProtection="1"/>
    <xf numFmtId="0" fontId="6" fillId="0" borderId="0" xfId="0" applyFont="1" applyProtection="1"/>
    <xf numFmtId="43" fontId="6" fillId="0" borderId="0" xfId="300" applyNumberFormat="1" applyFont="1" applyProtection="1"/>
    <xf numFmtId="164" fontId="6" fillId="0" borderId="0" xfId="300" applyNumberFormat="1" applyFont="1" applyProtection="1"/>
    <xf numFmtId="10" fontId="9" fillId="10" borderId="9" xfId="45189" applyNumberFormat="1" applyFont="1" applyFill="1" applyBorder="1" applyProtection="1"/>
    <xf numFmtId="43" fontId="13" fillId="11" borderId="9" xfId="300" applyNumberFormat="1" applyFont="1" applyFill="1" applyBorder="1" applyAlignment="1" applyProtection="1">
      <alignment horizontal="center" wrapText="1"/>
    </xf>
    <xf numFmtId="168" fontId="13" fillId="11" borderId="15" xfId="45189" applyNumberFormat="1" applyFont="1" applyFill="1" applyBorder="1" applyAlignment="1" applyProtection="1">
      <alignment horizontal="center" wrapText="1"/>
    </xf>
    <xf numFmtId="168" fontId="13" fillId="11" borderId="9" xfId="45189" applyNumberFormat="1" applyFont="1" applyFill="1" applyBorder="1" applyAlignment="1" applyProtection="1">
      <alignment wrapText="1"/>
    </xf>
    <xf numFmtId="43" fontId="6" fillId="0" borderId="6" xfId="300" applyNumberFormat="1" applyFont="1" applyBorder="1" applyAlignment="1" applyProtection="1"/>
    <xf numFmtId="168" fontId="6" fillId="0" borderId="6" xfId="45189" applyNumberFormat="1" applyFont="1" applyBorder="1" applyAlignment="1" applyProtection="1"/>
    <xf numFmtId="43" fontId="9" fillId="11" borderId="6" xfId="300" applyNumberFormat="1" applyFont="1" applyFill="1" applyBorder="1" applyAlignment="1" applyProtection="1"/>
    <xf numFmtId="168" fontId="9" fillId="11" borderId="6" xfId="45189" applyNumberFormat="1" applyFont="1" applyFill="1" applyBorder="1" applyAlignment="1" applyProtection="1"/>
    <xf numFmtId="10" fontId="21" fillId="10" borderId="9" xfId="45189" applyNumberFormat="1" applyFont="1" applyFill="1" applyBorder="1" applyAlignment="1" applyProtection="1"/>
    <xf numFmtId="10" fontId="21" fillId="11" borderId="5" xfId="45189" applyNumberFormat="1" applyFont="1" applyFill="1" applyBorder="1" applyAlignment="1" applyProtection="1"/>
    <xf numFmtId="10" fontId="21" fillId="0" borderId="6" xfId="45189" applyNumberFormat="1" applyFont="1" applyBorder="1" applyProtection="1"/>
    <xf numFmtId="10" fontId="21" fillId="0" borderId="6" xfId="45189" applyNumberFormat="1" applyFont="1" applyFill="1" applyBorder="1" applyProtection="1"/>
    <xf numFmtId="43" fontId="20" fillId="0" borderId="0" xfId="300" applyFont="1" applyFill="1" applyProtection="1"/>
    <xf numFmtId="168" fontId="21" fillId="0" borderId="6" xfId="45189" applyNumberFormat="1" applyFont="1" applyBorder="1" applyProtection="1"/>
    <xf numFmtId="168" fontId="21" fillId="0" borderId="6" xfId="45189" applyNumberFormat="1" applyFont="1" applyFill="1" applyBorder="1" applyProtection="1"/>
    <xf numFmtId="43" fontId="21" fillId="0" borderId="6" xfId="300" applyNumberFormat="1" applyFont="1" applyBorder="1" applyProtection="1"/>
    <xf numFmtId="43" fontId="21" fillId="0" borderId="6" xfId="300" applyNumberFormat="1" applyFont="1" applyFill="1" applyBorder="1" applyProtection="1"/>
    <xf numFmtId="168" fontId="13" fillId="11" borderId="9" xfId="45189" applyNumberFormat="1" applyFont="1" applyFill="1" applyBorder="1" applyAlignment="1" applyProtection="1">
      <alignment horizontal="center" wrapText="1"/>
    </xf>
    <xf numFmtId="43" fontId="21" fillId="11" borderId="9" xfId="300" applyNumberFormat="1" applyFont="1" applyFill="1" applyBorder="1" applyProtection="1"/>
    <xf numFmtId="10" fontId="21" fillId="10" borderId="9" xfId="45189" applyNumberFormat="1" applyFont="1" applyFill="1" applyBorder="1" applyProtection="1"/>
    <xf numFmtId="10" fontId="21" fillId="10" borderId="41" xfId="45189" applyNumberFormat="1" applyFont="1" applyFill="1" applyBorder="1" applyProtection="1"/>
    <xf numFmtId="43" fontId="21" fillId="0" borderId="6" xfId="300" applyNumberFormat="1" applyFont="1" applyBorder="1" applyAlignment="1" applyProtection="1"/>
    <xf numFmtId="168" fontId="21" fillId="0" borderId="6" xfId="45189" applyNumberFormat="1" applyFont="1" applyBorder="1" applyAlignment="1" applyProtection="1"/>
    <xf numFmtId="43" fontId="6" fillId="11" borderId="9" xfId="300" applyNumberFormat="1" applyFont="1" applyFill="1" applyBorder="1" applyAlignment="1" applyProtection="1"/>
    <xf numFmtId="166" fontId="0" fillId="0" borderId="0" xfId="0" applyNumberFormat="1" applyAlignment="1" applyProtection="1">
      <alignment horizontal="right"/>
    </xf>
    <xf numFmtId="43" fontId="12" fillId="0" borderId="6" xfId="300" applyNumberFormat="1" applyFont="1" applyFill="1" applyBorder="1" applyProtection="1"/>
    <xf numFmtId="168" fontId="12" fillId="0" borderId="6" xfId="45189" applyNumberFormat="1" applyFont="1" applyFill="1" applyBorder="1" applyProtection="1"/>
    <xf numFmtId="168" fontId="12" fillId="0" borderId="5" xfId="45189" applyNumberFormat="1" applyFont="1" applyFill="1" applyBorder="1" applyProtection="1"/>
    <xf numFmtId="43" fontId="21" fillId="11" borderId="6" xfId="300" applyNumberFormat="1" applyFont="1" applyFill="1" applyBorder="1" applyProtection="1"/>
    <xf numFmtId="168" fontId="21" fillId="11" borderId="6" xfId="45189" applyNumberFormat="1" applyFont="1" applyFill="1" applyBorder="1" applyProtection="1"/>
    <xf numFmtId="4" fontId="21" fillId="11" borderId="9" xfId="300" applyNumberFormat="1" applyFont="1" applyFill="1" applyBorder="1" applyAlignment="1" applyProtection="1"/>
    <xf numFmtId="10" fontId="21" fillId="11" borderId="9" xfId="45189" applyNumberFormat="1" applyFont="1" applyFill="1" applyBorder="1" applyAlignment="1" applyProtection="1"/>
    <xf numFmtId="0" fontId="21" fillId="11" borderId="9" xfId="45189" applyNumberFormat="1" applyFont="1" applyFill="1" applyBorder="1" applyAlignment="1" applyProtection="1"/>
    <xf numFmtId="168" fontId="13" fillId="0" borderId="9" xfId="45189" applyNumberFormat="1" applyFont="1" applyFill="1" applyBorder="1" applyAlignment="1" applyProtection="1">
      <alignment horizontal="center" wrapText="1"/>
    </xf>
    <xf numFmtId="5" fontId="21" fillId="11" borderId="9" xfId="300" applyNumberFormat="1" applyFont="1" applyFill="1" applyBorder="1" applyAlignment="1" applyProtection="1"/>
    <xf numFmtId="10" fontId="21" fillId="10" borderId="42" xfId="45189" applyNumberFormat="1" applyFont="1" applyFill="1" applyBorder="1" applyAlignment="1" applyProtection="1"/>
    <xf numFmtId="164" fontId="21" fillId="12" borderId="9" xfId="300" applyNumberFormat="1" applyFont="1" applyFill="1" applyBorder="1" applyAlignment="1" applyProtection="1"/>
    <xf numFmtId="168" fontId="12" fillId="0" borderId="9" xfId="45189" applyNumberFormat="1" applyFont="1" applyBorder="1" applyAlignment="1" applyProtection="1"/>
    <xf numFmtId="43" fontId="21" fillId="11" borderId="11" xfId="300" applyNumberFormat="1" applyFont="1" applyFill="1" applyBorder="1" applyAlignment="1" applyProtection="1"/>
    <xf numFmtId="168" fontId="21" fillId="11" borderId="6" xfId="45189" applyNumberFormat="1" applyFont="1" applyFill="1" applyBorder="1" applyAlignment="1" applyProtection="1"/>
    <xf numFmtId="43" fontId="12" fillId="0" borderId="6" xfId="300" applyNumberFormat="1" applyFont="1" applyBorder="1" applyAlignment="1" applyProtection="1"/>
    <xf numFmtId="168" fontId="12" fillId="0" borderId="6" xfId="45189" applyNumberFormat="1" applyFont="1" applyBorder="1" applyAlignment="1" applyProtection="1"/>
    <xf numFmtId="43" fontId="21" fillId="11" borderId="6" xfId="300" applyNumberFormat="1" applyFont="1" applyFill="1" applyBorder="1" applyAlignment="1" applyProtection="1"/>
    <xf numFmtId="0" fontId="2" fillId="20" borderId="9" xfId="51485" applyBorder="1" applyAlignment="1" applyProtection="1">
      <alignment horizontal="center"/>
    </xf>
    <xf numFmtId="164" fontId="2" fillId="20" borderId="9" xfId="51485" applyNumberFormat="1" applyBorder="1" applyProtection="1"/>
    <xf numFmtId="0" fontId="0" fillId="0" borderId="9" xfId="0" applyBorder="1" applyProtection="1"/>
    <xf numFmtId="43" fontId="39" fillId="0" borderId="9" xfId="300" applyFont="1" applyBorder="1" applyProtection="1"/>
    <xf numFmtId="0" fontId="0" fillId="0" borderId="9" xfId="27" applyNumberFormat="1" applyFont="1" applyBorder="1" applyAlignment="1" applyProtection="1">
      <alignment horizontal="right"/>
    </xf>
    <xf numFmtId="164" fontId="0" fillId="30" borderId="42" xfId="0" applyNumberFormat="1" applyFill="1" applyBorder="1" applyProtection="1"/>
    <xf numFmtId="164" fontId="16" fillId="31" borderId="9" xfId="27" applyNumberFormat="1" applyFill="1" applyBorder="1" applyProtection="1"/>
    <xf numFmtId="164" fontId="16" fillId="32" borderId="9" xfId="27" applyNumberFormat="1" applyFill="1" applyBorder="1" applyProtection="1"/>
    <xf numFmtId="164" fontId="40" fillId="32" borderId="9" xfId="27" applyNumberFormat="1" applyFont="1" applyFill="1" applyBorder="1" applyProtection="1"/>
    <xf numFmtId="43" fontId="16" fillId="0" borderId="9" xfId="300" applyFont="1" applyBorder="1" applyProtection="1"/>
    <xf numFmtId="164" fontId="16" fillId="30" borderId="9" xfId="0" applyNumberFormat="1" applyFont="1" applyFill="1" applyBorder="1" applyProtection="1"/>
    <xf numFmtId="164" fontId="16" fillId="32" borderId="9" xfId="27" applyNumberFormat="1" applyFont="1" applyFill="1" applyBorder="1" applyProtection="1"/>
    <xf numFmtId="164" fontId="41" fillId="20" borderId="9" xfId="51485" applyNumberFormat="1" applyFont="1" applyBorder="1" applyProtection="1"/>
    <xf numFmtId="43" fontId="16" fillId="0" borderId="9" xfId="300" applyBorder="1" applyProtection="1"/>
    <xf numFmtId="164" fontId="0" fillId="30" borderId="9" xfId="0" applyNumberFormat="1" applyFill="1" applyBorder="1" applyProtection="1"/>
    <xf numFmtId="0" fontId="6" fillId="0" borderId="0" xfId="51486" applyFont="1" applyProtection="1"/>
    <xf numFmtId="0" fontId="13" fillId="0" borderId="0" xfId="51486" applyNumberFormat="1" applyFont="1" applyFill="1" applyBorder="1" applyAlignment="1" applyProtection="1">
      <alignment horizontal="center"/>
    </xf>
    <xf numFmtId="0" fontId="6" fillId="0" borderId="0" xfId="51486" applyNumberFormat="1" applyFont="1" applyProtection="1"/>
    <xf numFmtId="0" fontId="13" fillId="0" borderId="0" xfId="51486" applyFont="1" applyFill="1" applyBorder="1" applyAlignment="1" applyProtection="1">
      <alignment horizontal="left"/>
    </xf>
    <xf numFmtId="0" fontId="9" fillId="0" borderId="15" xfId="51486" applyFont="1" applyFill="1" applyBorder="1" applyAlignment="1" applyProtection="1"/>
    <xf numFmtId="0" fontId="9" fillId="0" borderId="6" xfId="51486" applyFont="1" applyFill="1" applyBorder="1" applyAlignment="1" applyProtection="1"/>
    <xf numFmtId="0" fontId="9" fillId="0" borderId="15" xfId="51486" applyFont="1" applyBorder="1" applyAlignment="1" applyProtection="1"/>
    <xf numFmtId="0" fontId="9" fillId="0" borderId="6" xfId="51486" applyFont="1" applyBorder="1" applyAlignment="1" applyProtection="1"/>
    <xf numFmtId="0" fontId="6" fillId="0" borderId="15" xfId="51486" applyNumberFormat="1" applyFont="1" applyBorder="1" applyAlignment="1" applyProtection="1"/>
    <xf numFmtId="0" fontId="6" fillId="0" borderId="6" xfId="51486" applyNumberFormat="1" applyFont="1" applyBorder="1" applyAlignment="1" applyProtection="1"/>
    <xf numFmtId="0" fontId="6" fillId="0" borderId="6" xfId="51486" applyFont="1" applyBorder="1" applyAlignment="1" applyProtection="1"/>
    <xf numFmtId="0" fontId="6" fillId="0" borderId="5" xfId="51486" applyFont="1" applyBorder="1" applyAlignment="1" applyProtection="1"/>
    <xf numFmtId="0" fontId="12" fillId="11" borderId="15" xfId="51486" applyNumberFormat="1" applyFont="1" applyFill="1" applyBorder="1" applyProtection="1"/>
    <xf numFmtId="0" fontId="9" fillId="11" borderId="6" xfId="51486" applyNumberFormat="1" applyFont="1" applyFill="1" applyBorder="1" applyAlignment="1" applyProtection="1"/>
    <xf numFmtId="0" fontId="9" fillId="11" borderId="6" xfId="51486" applyFont="1" applyFill="1" applyBorder="1" applyAlignment="1" applyProtection="1"/>
    <xf numFmtId="0" fontId="9" fillId="11" borderId="5" xfId="51486" applyFont="1" applyFill="1" applyBorder="1" applyAlignment="1" applyProtection="1"/>
    <xf numFmtId="0" fontId="21" fillId="0" borderId="15" xfId="51486" applyNumberFormat="1" applyFont="1" applyBorder="1" applyProtection="1"/>
    <xf numFmtId="0" fontId="21" fillId="0" borderId="6" xfId="51486" applyNumberFormat="1" applyFont="1" applyBorder="1" applyProtection="1"/>
    <xf numFmtId="0" fontId="21" fillId="0" borderId="5" xfId="51486" applyNumberFormat="1" applyFont="1" applyBorder="1" applyProtection="1"/>
    <xf numFmtId="0" fontId="21" fillId="0" borderId="25" xfId="51486" applyNumberFormat="1" applyFont="1" applyBorder="1" applyProtection="1"/>
    <xf numFmtId="0" fontId="21" fillId="0" borderId="4" xfId="51486" applyNumberFormat="1" applyFont="1" applyBorder="1" applyProtection="1"/>
    <xf numFmtId="0" fontId="21" fillId="0" borderId="26" xfId="51486" applyNumberFormat="1" applyFont="1" applyBorder="1" applyProtection="1"/>
    <xf numFmtId="0" fontId="21" fillId="0" borderId="15" xfId="51486" applyNumberFormat="1" applyFont="1" applyBorder="1" applyAlignment="1" applyProtection="1"/>
    <xf numFmtId="0" fontId="21" fillId="0" borderId="6" xfId="51486" applyNumberFormat="1" applyFont="1" applyBorder="1" applyAlignment="1" applyProtection="1"/>
    <xf numFmtId="0" fontId="21" fillId="0" borderId="6" xfId="51486" applyNumberFormat="1" applyFont="1" applyFill="1" applyBorder="1" applyAlignment="1" applyProtection="1"/>
    <xf numFmtId="0" fontId="21" fillId="0" borderId="5" xfId="51486" applyNumberFormat="1" applyFont="1" applyFill="1" applyBorder="1" applyAlignment="1" applyProtection="1"/>
    <xf numFmtId="0" fontId="21" fillId="0" borderId="13" xfId="51486" applyNumberFormat="1" applyFont="1" applyBorder="1" applyProtection="1"/>
    <xf numFmtId="0" fontId="21" fillId="0" borderId="11" xfId="51486" applyNumberFormat="1" applyFont="1" applyBorder="1" applyProtection="1"/>
    <xf numFmtId="0" fontId="21" fillId="0" borderId="18" xfId="51486" applyNumberFormat="1" applyFont="1" applyBorder="1" applyProtection="1"/>
    <xf numFmtId="0" fontId="6" fillId="0" borderId="0" xfId="51486" applyFont="1" applyBorder="1" applyProtection="1"/>
    <xf numFmtId="0" fontId="12" fillId="0" borderId="15" xfId="51486" applyNumberFormat="1" applyFont="1" applyBorder="1" applyProtection="1"/>
    <xf numFmtId="0" fontId="21" fillId="0" borderId="24" xfId="51486" applyNumberFormat="1" applyFont="1" applyFill="1" applyBorder="1" applyProtection="1"/>
    <xf numFmtId="0" fontId="12" fillId="0" borderId="15" xfId="51486" applyNumberFormat="1" applyFont="1" applyFill="1" applyBorder="1" applyProtection="1"/>
    <xf numFmtId="0" fontId="12" fillId="0" borderId="6" xfId="51486" applyNumberFormat="1" applyFont="1" applyFill="1" applyBorder="1" applyProtection="1"/>
    <xf numFmtId="0" fontId="12" fillId="11" borderId="6" xfId="51486" applyNumberFormat="1" applyFont="1" applyFill="1" applyBorder="1" applyProtection="1"/>
    <xf numFmtId="0" fontId="21" fillId="12" borderId="15" xfId="51486" applyNumberFormat="1" applyFont="1" applyFill="1" applyBorder="1" applyAlignment="1" applyProtection="1"/>
    <xf numFmtId="0" fontId="21" fillId="12" borderId="6" xfId="51486" applyNumberFormat="1" applyFont="1" applyFill="1" applyBorder="1" applyAlignment="1" applyProtection="1"/>
    <xf numFmtId="0" fontId="12" fillId="12" borderId="6" xfId="51486" applyNumberFormat="1" applyFont="1" applyFill="1" applyBorder="1" applyAlignment="1" applyProtection="1"/>
    <xf numFmtId="0" fontId="21" fillId="12" borderId="13" xfId="51486" applyNumberFormat="1" applyFont="1" applyFill="1" applyBorder="1" applyAlignment="1" applyProtection="1"/>
    <xf numFmtId="0" fontId="21" fillId="12" borderId="11" xfId="51486" applyNumberFormat="1" applyFont="1" applyFill="1" applyBorder="1" applyAlignment="1" applyProtection="1"/>
    <xf numFmtId="0" fontId="12" fillId="12" borderId="11" xfId="51486" applyNumberFormat="1" applyFont="1" applyFill="1" applyBorder="1" applyAlignment="1" applyProtection="1"/>
    <xf numFmtId="0" fontId="6" fillId="12" borderId="0" xfId="51486" applyFont="1" applyFill="1" applyProtection="1"/>
    <xf numFmtId="0" fontId="12" fillId="0" borderId="15" xfId="51486" applyNumberFormat="1" applyFont="1" applyFill="1" applyBorder="1" applyAlignment="1" applyProtection="1"/>
    <xf numFmtId="0" fontId="12" fillId="0" borderId="6" xfId="51486" applyNumberFormat="1" applyFont="1" applyFill="1" applyBorder="1" applyAlignment="1" applyProtection="1"/>
    <xf numFmtId="0" fontId="12" fillId="0" borderId="5" xfId="51486" applyNumberFormat="1" applyFont="1" applyFill="1" applyBorder="1" applyAlignment="1" applyProtection="1"/>
    <xf numFmtId="0" fontId="12" fillId="12" borderId="5" xfId="51486" applyNumberFormat="1" applyFont="1" applyFill="1" applyBorder="1" applyAlignment="1" applyProtection="1"/>
    <xf numFmtId="0" fontId="12" fillId="0" borderId="9" xfId="51486" applyNumberFormat="1" applyFont="1" applyBorder="1" applyAlignment="1" applyProtection="1"/>
    <xf numFmtId="0" fontId="12" fillId="11" borderId="15" xfId="51486" applyNumberFormat="1" applyFont="1" applyFill="1" applyBorder="1" applyAlignment="1" applyProtection="1"/>
    <xf numFmtId="0" fontId="12" fillId="11" borderId="6" xfId="51486" applyNumberFormat="1" applyFont="1" applyFill="1" applyBorder="1" applyAlignment="1" applyProtection="1"/>
    <xf numFmtId="0" fontId="21" fillId="11" borderId="6" xfId="51486" applyFont="1" applyFill="1" applyBorder="1" applyAlignment="1" applyProtection="1"/>
    <xf numFmtId="0" fontId="21" fillId="11" borderId="5" xfId="51486" applyFont="1" applyFill="1" applyBorder="1" applyAlignment="1" applyProtection="1"/>
    <xf numFmtId="0" fontId="13" fillId="0" borderId="0" xfId="51486" applyFont="1" applyProtection="1"/>
    <xf numFmtId="0" fontId="12" fillId="0" borderId="15" xfId="51486" applyNumberFormat="1" applyFont="1" applyBorder="1" applyAlignment="1" applyProtection="1"/>
    <xf numFmtId="0" fontId="12" fillId="0" borderId="6" xfId="51486" applyNumberFormat="1" applyFont="1" applyBorder="1" applyAlignment="1" applyProtection="1"/>
    <xf numFmtId="0" fontId="21" fillId="0" borderId="6" xfId="51486" applyFont="1" applyBorder="1" applyAlignment="1" applyProtection="1"/>
    <xf numFmtId="166" fontId="21" fillId="11" borderId="5" xfId="51486" applyNumberFormat="1" applyFont="1" applyFill="1" applyBorder="1" applyAlignment="1" applyProtection="1">
      <alignment horizontal="right"/>
    </xf>
    <xf numFmtId="166" fontId="21" fillId="0" borderId="5" xfId="51486" applyNumberFormat="1" applyFont="1" applyBorder="1" applyAlignment="1" applyProtection="1">
      <alignment horizontal="right"/>
    </xf>
    <xf numFmtId="0" fontId="21" fillId="11" borderId="5" xfId="51486" applyFont="1" applyFill="1" applyBorder="1" applyAlignment="1" applyProtection="1">
      <alignment horizontal="right"/>
    </xf>
    <xf numFmtId="0" fontId="6" fillId="0" borderId="0" xfId="51486" applyNumberFormat="1" applyFont="1" applyBorder="1" applyProtection="1"/>
    <xf numFmtId="43" fontId="42" fillId="0" borderId="0" xfId="300" applyFont="1" applyProtection="1"/>
    <xf numFmtId="2" fontId="21" fillId="10" borderId="9" xfId="300" applyNumberFormat="1" applyFont="1" applyFill="1" applyBorder="1" applyAlignment="1" applyProtection="1"/>
    <xf numFmtId="2" fontId="21" fillId="0" borderId="6" xfId="300" applyNumberFormat="1" applyFont="1" applyBorder="1" applyProtection="1"/>
    <xf numFmtId="2" fontId="21" fillId="10" borderId="9" xfId="300" applyNumberFormat="1" applyFont="1" applyFill="1" applyBorder="1" applyProtection="1"/>
    <xf numFmtId="39" fontId="21" fillId="10" borderId="9" xfId="300" applyNumberFormat="1" applyFont="1" applyFill="1" applyBorder="1" applyAlignment="1" applyProtection="1"/>
    <xf numFmtId="43" fontId="21" fillId="10" borderId="9" xfId="300" applyNumberFormat="1" applyFont="1" applyFill="1" applyBorder="1" applyProtection="1"/>
    <xf numFmtId="164" fontId="21" fillId="12" borderId="11" xfId="300" applyNumberFormat="1" applyFont="1" applyFill="1" applyBorder="1" applyAlignment="1" applyProtection="1"/>
    <xf numFmtId="44" fontId="12" fillId="12" borderId="5" xfId="27" applyFont="1" applyFill="1" applyBorder="1" applyProtection="1"/>
    <xf numFmtId="0" fontId="44" fillId="0" borderId="0" xfId="0" applyFont="1" applyBorder="1" applyAlignment="1" applyProtection="1">
      <alignment horizontal="left"/>
    </xf>
    <xf numFmtId="44" fontId="14" fillId="0" borderId="42" xfId="2" applyFont="1" applyBorder="1" applyProtection="1"/>
    <xf numFmtId="164" fontId="14" fillId="0" borderId="9" xfId="2" applyNumberFormat="1" applyFont="1" applyBorder="1" applyProtection="1"/>
    <xf numFmtId="0" fontId="44" fillId="0" borderId="0" xfId="0" applyFont="1" applyProtection="1"/>
    <xf numFmtId="0" fontId="0" fillId="0" borderId="11" xfId="0" applyBorder="1" applyAlignment="1">
      <alignment wrapText="1"/>
    </xf>
    <xf numFmtId="0" fontId="16" fillId="0" borderId="0" xfId="27" applyNumberFormat="1" applyAlignment="1">
      <alignment horizontal="right"/>
    </xf>
    <xf numFmtId="167" fontId="22" fillId="0" borderId="0" xfId="300" applyNumberFormat="1" applyFont="1" applyFill="1" applyBorder="1" applyAlignment="1">
      <alignment horizontal="center"/>
    </xf>
    <xf numFmtId="0" fontId="0" fillId="0" borderId="0" xfId="0" applyBorder="1"/>
    <xf numFmtId="167" fontId="13" fillId="0" borderId="0" xfId="300" applyNumberFormat="1" applyFont="1" applyFill="1" applyBorder="1"/>
    <xf numFmtId="167" fontId="13" fillId="0" borderId="30" xfId="300" applyNumberFormat="1" applyFont="1" applyFill="1" applyBorder="1"/>
    <xf numFmtId="0" fontId="0" fillId="0" borderId="28" xfId="0" applyFill="1" applyBorder="1"/>
    <xf numFmtId="43" fontId="16" fillId="0" borderId="0" xfId="300" applyFill="1" applyBorder="1"/>
    <xf numFmtId="164" fontId="16" fillId="0" borderId="30" xfId="27" applyNumberFormat="1" applyFill="1" applyBorder="1"/>
    <xf numFmtId="164" fontId="16" fillId="0" borderId="29" xfId="27" applyNumberFormat="1" applyBorder="1"/>
    <xf numFmtId="0" fontId="16" fillId="0" borderId="28" xfId="27" applyNumberFormat="1" applyBorder="1" applyAlignment="1">
      <alignment horizontal="right"/>
    </xf>
    <xf numFmtId="167" fontId="13" fillId="0" borderId="50" xfId="300" applyNumberFormat="1" applyFont="1" applyFill="1" applyBorder="1"/>
    <xf numFmtId="0" fontId="0" fillId="0" borderId="51" xfId="0" applyFill="1" applyBorder="1"/>
    <xf numFmtId="43" fontId="13" fillId="0" borderId="0" xfId="300" applyFont="1" applyFill="1" applyBorder="1"/>
    <xf numFmtId="164" fontId="16" fillId="0" borderId="50" xfId="27" applyNumberFormat="1" applyFill="1" applyBorder="1"/>
    <xf numFmtId="0" fontId="16" fillId="0" borderId="35" xfId="27" applyNumberFormat="1" applyBorder="1"/>
    <xf numFmtId="164" fontId="16" fillId="0" borderId="35" xfId="27" applyNumberFormat="1" applyBorder="1"/>
    <xf numFmtId="0" fontId="16" fillId="0" borderId="51" xfId="27" applyNumberFormat="1" applyBorder="1" applyAlignment="1">
      <alignment horizontal="right"/>
    </xf>
    <xf numFmtId="167" fontId="13" fillId="0" borderId="0" xfId="300" applyNumberFormat="1" applyFont="1" applyFill="1" applyAlignment="1">
      <alignment horizontal="right"/>
    </xf>
    <xf numFmtId="0" fontId="13" fillId="0" borderId="0" xfId="300" applyNumberFormat="1" applyFont="1" applyFill="1" applyBorder="1" applyAlignment="1">
      <alignment horizontal="center"/>
    </xf>
    <xf numFmtId="43" fontId="13" fillId="0" borderId="0" xfId="300" applyFont="1" applyFill="1" applyBorder="1" applyAlignment="1">
      <alignment horizontal="center"/>
    </xf>
    <xf numFmtId="164" fontId="13" fillId="0" borderId="0" xfId="27" applyNumberFormat="1" applyFont="1" applyFill="1" applyBorder="1" applyAlignment="1">
      <alignment horizontal="center"/>
    </xf>
    <xf numFmtId="164" fontId="17" fillId="0" borderId="0" xfId="27" applyNumberFormat="1" applyFont="1" applyFill="1" applyAlignment="1">
      <alignment horizontal="right"/>
    </xf>
    <xf numFmtId="164" fontId="17" fillId="0" borderId="0" xfId="27" applyNumberFormat="1" applyFont="1" applyFill="1" applyBorder="1"/>
    <xf numFmtId="0" fontId="13" fillId="0" borderId="0" xfId="27" applyNumberFormat="1" applyFont="1" applyFill="1" applyBorder="1" applyAlignment="1">
      <alignment horizontal="right"/>
    </xf>
    <xf numFmtId="43" fontId="16" fillId="0" borderId="0" xfId="300"/>
    <xf numFmtId="164" fontId="16" fillId="0" borderId="0" xfId="27" applyNumberFormat="1"/>
    <xf numFmtId="0" fontId="23" fillId="0" borderId="0" xfId="0" applyFont="1"/>
    <xf numFmtId="0" fontId="17" fillId="28" borderId="9" xfId="0" applyFont="1" applyFill="1" applyBorder="1" applyAlignment="1">
      <alignment horizontal="center" wrapText="1"/>
    </xf>
    <xf numFmtId="43" fontId="17" fillId="28" borderId="9" xfId="300" applyFont="1" applyFill="1" applyBorder="1" applyAlignment="1">
      <alignment horizontal="center" wrapText="1"/>
    </xf>
    <xf numFmtId="0" fontId="17" fillId="28" borderId="9" xfId="27" applyNumberFormat="1" applyFont="1" applyFill="1" applyBorder="1" applyAlignment="1">
      <alignment horizontal="center" wrapText="1"/>
    </xf>
    <xf numFmtId="164" fontId="17" fillId="28" borderId="9" xfId="27" applyNumberFormat="1" applyFont="1" applyFill="1" applyBorder="1" applyAlignment="1">
      <alignment horizontal="center" wrapText="1"/>
    </xf>
    <xf numFmtId="0" fontId="38" fillId="13" borderId="9" xfId="0" applyFont="1" applyFill="1" applyBorder="1"/>
    <xf numFmtId="43" fontId="38" fillId="13" borderId="9" xfId="300" applyFont="1" applyFill="1" applyBorder="1"/>
    <xf numFmtId="0" fontId="38" fillId="13" borderId="9" xfId="27" applyNumberFormat="1" applyFont="1" applyFill="1" applyBorder="1" applyAlignment="1">
      <alignment horizontal="right"/>
    </xf>
    <xf numFmtId="164" fontId="38" fillId="13" borderId="9" xfId="27" applyNumberFormat="1" applyFont="1" applyFill="1" applyBorder="1"/>
    <xf numFmtId="0" fontId="0" fillId="0" borderId="9" xfId="0" applyBorder="1" applyProtection="1">
      <protection locked="0"/>
    </xf>
    <xf numFmtId="43" fontId="16" fillId="0" borderId="9" xfId="300" applyBorder="1" applyProtection="1">
      <protection locked="0"/>
    </xf>
    <xf numFmtId="1" fontId="0" fillId="0" borderId="9" xfId="27" applyNumberFormat="1" applyFont="1" applyBorder="1" applyAlignment="1" applyProtection="1">
      <alignment horizontal="right"/>
      <protection locked="0"/>
    </xf>
    <xf numFmtId="164" fontId="0" fillId="30" borderId="9" xfId="0" applyNumberFormat="1" applyFill="1" applyBorder="1" applyProtection="1">
      <protection locked="0"/>
    </xf>
    <xf numFmtId="164" fontId="16" fillId="31" borderId="9" xfId="27" applyNumberFormat="1" applyFill="1" applyBorder="1" applyProtection="1">
      <protection locked="0"/>
    </xf>
    <xf numFmtId="164" fontId="16" fillId="32" borderId="9" xfId="27" applyNumberFormat="1" applyFill="1" applyBorder="1" applyProtection="1">
      <protection locked="0"/>
    </xf>
    <xf numFmtId="164" fontId="0" fillId="0" borderId="0" xfId="0" applyNumberFormat="1"/>
    <xf numFmtId="164" fontId="0" fillId="0" borderId="0" xfId="27" applyNumberFormat="1" applyFont="1"/>
    <xf numFmtId="164" fontId="0" fillId="30" borderId="42" xfId="0" applyNumberFormat="1" applyFill="1" applyBorder="1" applyProtection="1">
      <protection locked="0"/>
    </xf>
    <xf numFmtId="164" fontId="16" fillId="31" borderId="9" xfId="27" applyNumberFormat="1" applyFont="1" applyFill="1" applyBorder="1" applyProtection="1">
      <protection locked="0"/>
    </xf>
    <xf numFmtId="1" fontId="16" fillId="0" borderId="9" xfId="27" applyNumberFormat="1" applyFont="1" applyBorder="1" applyAlignment="1" applyProtection="1">
      <alignment horizontal="right"/>
      <protection locked="0"/>
    </xf>
    <xf numFmtId="1" fontId="0" fillId="0" borderId="0" xfId="0" applyNumberFormat="1"/>
    <xf numFmtId="0" fontId="16" fillId="0" borderId="9" xfId="27" applyNumberFormat="1" applyFont="1" applyBorder="1" applyAlignment="1" applyProtection="1">
      <alignment horizontal="right"/>
      <protection locked="0"/>
    </xf>
    <xf numFmtId="43" fontId="39" fillId="0" borderId="9" xfId="300" applyFont="1" applyBorder="1" applyProtection="1">
      <protection locked="0"/>
    </xf>
    <xf numFmtId="0" fontId="39" fillId="0" borderId="9" xfId="27" applyNumberFormat="1" applyFont="1" applyBorder="1" applyAlignment="1" applyProtection="1">
      <alignment horizontal="right"/>
      <protection locked="0"/>
    </xf>
    <xf numFmtId="164" fontId="40" fillId="32" borderId="9" xfId="27" applyNumberFormat="1" applyFont="1" applyFill="1" applyBorder="1" applyProtection="1">
      <protection locked="0"/>
    </xf>
    <xf numFmtId="0" fontId="0" fillId="0" borderId="0" xfId="0" applyProtection="1">
      <protection locked="0"/>
    </xf>
    <xf numFmtId="43" fontId="0" fillId="0" borderId="9" xfId="0" applyNumberFormat="1" applyBorder="1" applyProtection="1">
      <protection locked="0"/>
    </xf>
    <xf numFmtId="0" fontId="16" fillId="0" borderId="9" xfId="27" applyNumberFormat="1" applyBorder="1" applyAlignment="1" applyProtection="1">
      <alignment horizontal="right"/>
      <protection locked="0"/>
    </xf>
    <xf numFmtId="0" fontId="6" fillId="0" borderId="0" xfId="300" applyNumberFormat="1" applyFont="1" applyProtection="1">
      <protection locked="0"/>
    </xf>
    <xf numFmtId="167" fontId="9" fillId="10" borderId="9" xfId="300" applyNumberFormat="1" applyFont="1" applyFill="1" applyBorder="1" applyProtection="1">
      <protection locked="0"/>
    </xf>
    <xf numFmtId="166" fontId="21" fillId="0" borderId="9" xfId="27" applyNumberFormat="1" applyFont="1" applyBorder="1" applyProtection="1">
      <protection locked="0"/>
    </xf>
    <xf numFmtId="39" fontId="21" fillId="0" borderId="42" xfId="300" applyNumberFormat="1" applyFont="1" applyFill="1" applyBorder="1" applyAlignment="1" applyProtection="1">
      <protection locked="0"/>
    </xf>
    <xf numFmtId="166" fontId="21" fillId="0" borderId="41" xfId="27" applyNumberFormat="1" applyFont="1" applyBorder="1" applyProtection="1">
      <protection locked="0"/>
    </xf>
    <xf numFmtId="166" fontId="21" fillId="0" borderId="42" xfId="27" applyNumberFormat="1" applyFont="1" applyBorder="1" applyProtection="1">
      <protection locked="0"/>
    </xf>
    <xf numFmtId="166" fontId="21" fillId="0" borderId="9" xfId="27" applyNumberFormat="1" applyFont="1" applyFill="1" applyBorder="1" applyProtection="1">
      <protection locked="0"/>
    </xf>
    <xf numFmtId="0" fontId="6" fillId="0" borderId="0" xfId="51486" applyNumberFormat="1" applyFont="1" applyBorder="1" applyProtection="1">
      <protection locked="0"/>
    </xf>
    <xf numFmtId="10" fontId="21" fillId="10" borderId="9" xfId="45189" applyNumberFormat="1" applyFont="1" applyFill="1" applyBorder="1" applyAlignment="1" applyProtection="1">
      <protection locked="0"/>
    </xf>
    <xf numFmtId="165" fontId="6" fillId="0" borderId="0" xfId="300" applyNumberFormat="1" applyFont="1" applyProtection="1">
      <protection locked="0"/>
    </xf>
    <xf numFmtId="166" fontId="21" fillId="0" borderId="9" xfId="27" applyNumberFormat="1" applyFont="1" applyFill="1" applyBorder="1" applyAlignment="1" applyProtection="1">
      <alignment horizontal="right"/>
      <protection locked="0"/>
    </xf>
    <xf numFmtId="43" fontId="21" fillId="0" borderId="9" xfId="300" applyNumberFormat="1" applyFont="1" applyFill="1" applyBorder="1" applyProtection="1">
      <protection locked="0"/>
    </xf>
    <xf numFmtId="10" fontId="21" fillId="10" borderId="41" xfId="45189" applyNumberFormat="1" applyFont="1" applyFill="1" applyBorder="1" applyProtection="1">
      <protection locked="0"/>
    </xf>
    <xf numFmtId="0" fontId="6" fillId="0" borderId="0" xfId="51486" applyNumberFormat="1" applyFont="1" applyProtection="1">
      <protection locked="0"/>
    </xf>
    <xf numFmtId="0" fontId="6" fillId="12" borderId="0" xfId="51486" applyNumberFormat="1" applyFont="1" applyFill="1" applyProtection="1">
      <protection locked="0"/>
    </xf>
    <xf numFmtId="166" fontId="21" fillId="0" borderId="42" xfId="27" applyNumberFormat="1" applyFont="1" applyFill="1" applyBorder="1" applyProtection="1">
      <protection locked="0"/>
    </xf>
    <xf numFmtId="0" fontId="21" fillId="0" borderId="15" xfId="51486" applyNumberFormat="1" applyFont="1" applyBorder="1" applyAlignment="1" applyProtection="1">
      <protection locked="0"/>
    </xf>
    <xf numFmtId="0" fontId="21" fillId="0" borderId="6" xfId="51486" applyNumberFormat="1" applyFont="1" applyBorder="1" applyAlignment="1" applyProtection="1">
      <protection locked="0"/>
    </xf>
    <xf numFmtId="0" fontId="21" fillId="0" borderId="9" xfId="51486" applyNumberFormat="1" applyFont="1" applyBorder="1" applyAlignment="1" applyProtection="1">
      <protection locked="0"/>
    </xf>
    <xf numFmtId="0" fontId="13" fillId="0" borderId="0" xfId="51486" applyNumberFormat="1" applyFont="1" applyProtection="1">
      <protection locked="0"/>
    </xf>
    <xf numFmtId="0" fontId="13" fillId="0" borderId="0" xfId="300" applyNumberFormat="1" applyFont="1" applyProtection="1">
      <protection locked="0"/>
    </xf>
    <xf numFmtId="166" fontId="6" fillId="0" borderId="0" xfId="300" applyNumberFormat="1" applyFont="1" applyProtection="1">
      <protection locked="0"/>
    </xf>
    <xf numFmtId="166" fontId="33" fillId="0" borderId="15" xfId="27" applyNumberFormat="1" applyFont="1" applyFill="1" applyBorder="1" applyAlignment="1" applyProtection="1">
      <protection locked="0"/>
    </xf>
    <xf numFmtId="166" fontId="33" fillId="0" borderId="6" xfId="27" applyNumberFormat="1" applyFont="1" applyFill="1" applyBorder="1" applyAlignment="1" applyProtection="1">
      <protection locked="0"/>
    </xf>
    <xf numFmtId="166" fontId="33" fillId="0" borderId="9" xfId="27" applyNumberFormat="1" applyFont="1" applyFill="1" applyBorder="1" applyAlignment="1" applyProtection="1">
      <alignment horizontal="right"/>
      <protection locked="0"/>
    </xf>
    <xf numFmtId="0" fontId="21" fillId="0" borderId="7" xfId="51486" applyNumberFormat="1" applyFont="1" applyFill="1" applyBorder="1" applyProtection="1">
      <protection locked="0"/>
    </xf>
    <xf numFmtId="0" fontId="21" fillId="0" borderId="6" xfId="51486" applyNumberFormat="1" applyFont="1" applyFill="1" applyBorder="1" applyProtection="1">
      <protection locked="0"/>
    </xf>
    <xf numFmtId="43" fontId="21" fillId="0" borderId="6" xfId="300" applyNumberFormat="1" applyFont="1" applyFill="1" applyBorder="1" applyProtection="1">
      <protection locked="0"/>
    </xf>
    <xf numFmtId="164" fontId="21" fillId="0" borderId="6" xfId="27" applyNumberFormat="1" applyFont="1" applyFill="1" applyBorder="1" applyProtection="1">
      <protection locked="0"/>
    </xf>
    <xf numFmtId="168" fontId="21" fillId="0" borderId="6" xfId="45189" applyNumberFormat="1" applyFont="1" applyFill="1" applyBorder="1" applyProtection="1">
      <protection locked="0"/>
    </xf>
    <xf numFmtId="166" fontId="21" fillId="0" borderId="5" xfId="27" applyNumberFormat="1" applyFont="1" applyFill="1" applyBorder="1" applyAlignment="1" applyProtection="1">
      <alignment horizontal="right"/>
    </xf>
    <xf numFmtId="43" fontId="21" fillId="33" borderId="9" xfId="300" applyNumberFormat="1" applyFont="1" applyFill="1" applyBorder="1" applyProtection="1"/>
    <xf numFmtId="0" fontId="16" fillId="0" borderId="9" xfId="27" applyNumberFormat="1" applyFont="1" applyBorder="1" applyAlignment="1" applyProtection="1">
      <alignment horizontal="right"/>
    </xf>
    <xf numFmtId="164" fontId="16" fillId="31" borderId="9" xfId="27" applyNumberFormat="1" applyFont="1" applyFill="1" applyBorder="1" applyProtection="1"/>
    <xf numFmtId="0" fontId="16" fillId="0" borderId="9" xfId="0" applyFont="1" applyBorder="1" applyProtection="1">
      <protection locked="0"/>
    </xf>
    <xf numFmtId="0" fontId="6" fillId="0" borderId="0" xfId="0" applyFont="1" applyAlignment="1" applyProtection="1">
      <alignment horizontal="center"/>
    </xf>
    <xf numFmtId="0" fontId="6" fillId="0" borderId="0" xfId="300" applyNumberFormat="1" applyFont="1" applyProtection="1"/>
    <xf numFmtId="43" fontId="16" fillId="34" borderId="9" xfId="300" applyFill="1" applyBorder="1" applyProtection="1">
      <protection locked="0"/>
    </xf>
    <xf numFmtId="0" fontId="0" fillId="14" borderId="9" xfId="0" applyFill="1" applyBorder="1" applyProtection="1">
      <protection locked="0"/>
    </xf>
    <xf numFmtId="43" fontId="42" fillId="0" borderId="0" xfId="300" applyNumberFormat="1" applyFont="1" applyProtection="1">
      <protection locked="0"/>
    </xf>
    <xf numFmtId="0" fontId="42" fillId="0" borderId="0" xfId="300" applyNumberFormat="1" applyFont="1" applyProtection="1">
      <protection locked="0"/>
    </xf>
    <xf numFmtId="166" fontId="21" fillId="34" borderId="9" xfId="27" applyNumberFormat="1" applyFont="1" applyFill="1" applyBorder="1" applyProtection="1">
      <protection locked="0"/>
    </xf>
    <xf numFmtId="0" fontId="0" fillId="0" borderId="0" xfId="0" applyAlignment="1">
      <alignment horizontal="center"/>
    </xf>
    <xf numFmtId="43" fontId="49" fillId="0" borderId="0" xfId="1" applyFont="1"/>
    <xf numFmtId="43" fontId="50" fillId="0" borderId="0" xfId="1" applyFont="1"/>
    <xf numFmtId="43" fontId="50" fillId="0" borderId="0" xfId="1" applyFont="1" applyAlignment="1">
      <alignment horizontal="center"/>
    </xf>
    <xf numFmtId="43" fontId="0" fillId="0" borderId="0" xfId="1" applyFont="1"/>
    <xf numFmtId="43" fontId="51" fillId="0" borderId="52" xfId="0" applyNumberFormat="1" applyFont="1" applyBorder="1"/>
    <xf numFmtId="43" fontId="51" fillId="0" borderId="53" xfId="0" applyNumberFormat="1" applyFont="1" applyBorder="1"/>
    <xf numFmtId="43" fontId="51" fillId="0" borderId="54" xfId="0" applyNumberFormat="1" applyFont="1" applyBorder="1"/>
    <xf numFmtId="43" fontId="49" fillId="0" borderId="53" xfId="1" applyFont="1" applyBorder="1"/>
    <xf numFmtId="43" fontId="51" fillId="0" borderId="55" xfId="1" applyFont="1" applyBorder="1"/>
    <xf numFmtId="0" fontId="0" fillId="0" borderId="56" xfId="0" applyBorder="1" applyAlignment="1">
      <alignment horizontal="center"/>
    </xf>
    <xf numFmtId="43" fontId="49" fillId="0" borderId="57" xfId="1" applyFont="1" applyBorder="1" applyAlignment="1">
      <alignment horizontal="center"/>
    </xf>
    <xf numFmtId="43" fontId="49" fillId="0" borderId="20" xfId="1" applyFont="1" applyBorder="1" applyAlignment="1">
      <alignment horizontal="center"/>
    </xf>
    <xf numFmtId="43" fontId="49" fillId="0" borderId="58" xfId="1" applyFont="1" applyBorder="1" applyAlignment="1">
      <alignment horizontal="center"/>
    </xf>
    <xf numFmtId="43" fontId="49" fillId="0" borderId="35" xfId="1" applyFont="1" applyBorder="1" applyAlignment="1">
      <alignment horizontal="center"/>
    </xf>
    <xf numFmtId="43" fontId="49" fillId="0" borderId="59" xfId="1" applyFont="1" applyBorder="1" applyAlignment="1">
      <alignment horizontal="center"/>
    </xf>
    <xf numFmtId="0" fontId="0" fillId="0" borderId="30" xfId="0" applyBorder="1"/>
    <xf numFmtId="0" fontId="0" fillId="0" borderId="29" xfId="0" applyBorder="1"/>
    <xf numFmtId="43" fontId="50" fillId="0" borderId="29" xfId="1" applyFont="1" applyBorder="1"/>
    <xf numFmtId="43" fontId="49" fillId="0" borderId="29" xfId="1" applyFont="1" applyBorder="1"/>
    <xf numFmtId="43" fontId="52" fillId="0" borderId="30" xfId="1" applyFont="1" applyBorder="1"/>
    <xf numFmtId="43" fontId="52" fillId="0" borderId="60" xfId="1" applyFont="1" applyBorder="1"/>
    <xf numFmtId="43" fontId="52" fillId="0" borderId="64" xfId="1" applyFont="1" applyBorder="1"/>
    <xf numFmtId="43" fontId="52" fillId="0" borderId="65" xfId="1" applyFont="1" applyBorder="1"/>
    <xf numFmtId="0" fontId="0" fillId="0" borderId="23" xfId="0" applyBorder="1"/>
    <xf numFmtId="43" fontId="52" fillId="0" borderId="23" xfId="1" applyFont="1" applyBorder="1"/>
    <xf numFmtId="43" fontId="52" fillId="0" borderId="13" xfId="1" applyFont="1" applyBorder="1"/>
    <xf numFmtId="43" fontId="52" fillId="0" borderId="40" xfId="1" applyFont="1" applyBorder="1"/>
    <xf numFmtId="43" fontId="52" fillId="0" borderId="15" xfId="1" applyFont="1" applyBorder="1"/>
    <xf numFmtId="43" fontId="52" fillId="0" borderId="66" xfId="1" applyFont="1" applyBorder="1"/>
    <xf numFmtId="43" fontId="52" fillId="0" borderId="7" xfId="1" applyFont="1" applyBorder="1"/>
    <xf numFmtId="43" fontId="53" fillId="36" borderId="56" xfId="1" applyFont="1" applyFill="1" applyBorder="1"/>
    <xf numFmtId="43" fontId="53" fillId="0" borderId="0" xfId="1" applyFont="1"/>
    <xf numFmtId="171" fontId="52" fillId="0" borderId="67" xfId="1" applyNumberFormat="1" applyFont="1" applyBorder="1"/>
    <xf numFmtId="43" fontId="52" fillId="0" borderId="50" xfId="1" applyFont="1" applyBorder="1"/>
    <xf numFmtId="0" fontId="0" fillId="0" borderId="50" xfId="0" applyBorder="1"/>
    <xf numFmtId="0" fontId="0" fillId="0" borderId="35" xfId="0" applyBorder="1"/>
    <xf numFmtId="43" fontId="50" fillId="0" borderId="35" xfId="1" applyFont="1" applyBorder="1"/>
    <xf numFmtId="43" fontId="49" fillId="37" borderId="68" xfId="1" applyFont="1" applyFill="1" applyBorder="1"/>
    <xf numFmtId="43" fontId="49" fillId="37" borderId="69" xfId="1" applyFont="1" applyFill="1" applyBorder="1"/>
    <xf numFmtId="43" fontId="49" fillId="38" borderId="69" xfId="1" applyFont="1" applyFill="1" applyBorder="1"/>
    <xf numFmtId="43" fontId="54" fillId="37" borderId="70" xfId="1" applyFont="1" applyFill="1" applyBorder="1"/>
    <xf numFmtId="43" fontId="54" fillId="0" borderId="23" xfId="1" applyFont="1" applyBorder="1"/>
    <xf numFmtId="43" fontId="49" fillId="0" borderId="24" xfId="1" applyFont="1" applyBorder="1"/>
    <xf numFmtId="43" fontId="49" fillId="0" borderId="71" xfId="1" applyFont="1" applyBorder="1"/>
    <xf numFmtId="43" fontId="54" fillId="0" borderId="30" xfId="1" applyFont="1" applyBorder="1"/>
    <xf numFmtId="43" fontId="54" fillId="0" borderId="60" xfId="1" applyFont="1" applyBorder="1"/>
    <xf numFmtId="171" fontId="54" fillId="0" borderId="61" xfId="1" applyNumberFormat="1" applyFont="1" applyBorder="1"/>
    <xf numFmtId="43" fontId="49" fillId="0" borderId="63" xfId="1" applyFont="1" applyBorder="1"/>
    <xf numFmtId="43" fontId="49" fillId="0" borderId="64" xfId="1" applyFont="1" applyBorder="1"/>
    <xf numFmtId="43" fontId="49" fillId="0" borderId="65" xfId="1" applyFont="1" applyBorder="1"/>
    <xf numFmtId="43" fontId="49" fillId="37" borderId="70" xfId="1" applyFont="1" applyFill="1" applyBorder="1"/>
    <xf numFmtId="43" fontId="49" fillId="0" borderId="23" xfId="1" applyFont="1" applyBorder="1"/>
    <xf numFmtId="43" fontId="49" fillId="0" borderId="38" xfId="1" applyFont="1" applyBorder="1"/>
    <xf numFmtId="43" fontId="49" fillId="0" borderId="60" xfId="1" applyFont="1" applyBorder="1"/>
    <xf numFmtId="43" fontId="49" fillId="0" borderId="7" xfId="1" applyFont="1" applyBorder="1"/>
    <xf numFmtId="43" fontId="49" fillId="0" borderId="6" xfId="1" applyFont="1" applyBorder="1"/>
    <xf numFmtId="43" fontId="49" fillId="0" borderId="15" xfId="1" applyFont="1" applyBorder="1"/>
    <xf numFmtId="43" fontId="49" fillId="0" borderId="66" xfId="1" applyFont="1" applyBorder="1"/>
    <xf numFmtId="43" fontId="49" fillId="0" borderId="35" xfId="1" applyFont="1" applyBorder="1"/>
    <xf numFmtId="43" fontId="49" fillId="0" borderId="70" xfId="1" applyFont="1" applyBorder="1"/>
    <xf numFmtId="43" fontId="49" fillId="0" borderId="72" xfId="1" applyFont="1" applyBorder="1"/>
    <xf numFmtId="43" fontId="49" fillId="0" borderId="3" xfId="1" applyFont="1" applyBorder="1"/>
    <xf numFmtId="43" fontId="49" fillId="37" borderId="21" xfId="0" applyNumberFormat="1" applyFont="1" applyFill="1" applyBorder="1"/>
    <xf numFmtId="43" fontId="49" fillId="37" borderId="19" xfId="0" applyNumberFormat="1" applyFont="1" applyFill="1" applyBorder="1"/>
    <xf numFmtId="43" fontId="49" fillId="37" borderId="20" xfId="0" applyNumberFormat="1" applyFont="1" applyFill="1" applyBorder="1"/>
    <xf numFmtId="43" fontId="49" fillId="0" borderId="23" xfId="0" applyNumberFormat="1" applyFont="1" applyBorder="1"/>
    <xf numFmtId="43" fontId="49" fillId="0" borderId="0" xfId="0" applyNumberFormat="1" applyFont="1"/>
    <xf numFmtId="43" fontId="49" fillId="0" borderId="56" xfId="0" applyNumberFormat="1" applyFont="1" applyBorder="1"/>
    <xf numFmtId="43" fontId="49" fillId="0" borderId="21" xfId="0" applyNumberFormat="1" applyFont="1" applyBorder="1"/>
    <xf numFmtId="43" fontId="49" fillId="38" borderId="21" xfId="0" applyNumberFormat="1" applyFont="1" applyFill="1" applyBorder="1"/>
    <xf numFmtId="43" fontId="49" fillId="0" borderId="21" xfId="1" applyFont="1" applyBorder="1" applyAlignment="1">
      <alignment horizontal="center"/>
    </xf>
    <xf numFmtId="43" fontId="49" fillId="0" borderId="73" xfId="1" applyFont="1" applyBorder="1" applyAlignment="1">
      <alignment horizontal="center"/>
    </xf>
    <xf numFmtId="43" fontId="49" fillId="0" borderId="74" xfId="1" applyFont="1" applyBorder="1" applyAlignment="1">
      <alignment horizontal="center"/>
    </xf>
    <xf numFmtId="43" fontId="49" fillId="38" borderId="0" xfId="1" applyFont="1" applyFill="1"/>
    <xf numFmtId="0" fontId="50" fillId="0" borderId="0" xfId="0" applyFont="1"/>
    <xf numFmtId="43" fontId="0" fillId="0" borderId="0" xfId="0" applyNumberFormat="1"/>
    <xf numFmtId="0" fontId="0" fillId="39" borderId="56" xfId="0" applyFill="1" applyBorder="1" applyAlignment="1">
      <alignment horizontal="center"/>
    </xf>
    <xf numFmtId="43" fontId="49" fillId="0" borderId="62" xfId="1" applyFont="1" applyBorder="1"/>
    <xf numFmtId="43" fontId="49" fillId="0" borderId="31" xfId="1" applyFont="1" applyBorder="1"/>
    <xf numFmtId="43" fontId="49" fillId="0" borderId="5" xfId="1" applyFont="1" applyBorder="1"/>
    <xf numFmtId="43" fontId="50" fillId="0" borderId="0" xfId="0" applyNumberFormat="1" applyFont="1"/>
    <xf numFmtId="43" fontId="49" fillId="37" borderId="75" xfId="1" applyFont="1" applyFill="1" applyBorder="1"/>
    <xf numFmtId="43" fontId="49" fillId="37" borderId="72" xfId="1" applyFont="1" applyFill="1" applyBorder="1"/>
    <xf numFmtId="43" fontId="49" fillId="37" borderId="36" xfId="1" applyFont="1" applyFill="1" applyBorder="1"/>
    <xf numFmtId="43" fontId="49" fillId="0" borderId="45" xfId="1" applyFont="1" applyBorder="1"/>
    <xf numFmtId="43" fontId="49" fillId="0" borderId="76" xfId="1" applyFont="1" applyBorder="1"/>
    <xf numFmtId="43" fontId="49" fillId="0" borderId="9" xfId="1" applyFont="1" applyBorder="1"/>
    <xf numFmtId="43" fontId="49" fillId="0" borderId="68" xfId="1" applyFont="1" applyBorder="1"/>
    <xf numFmtId="43" fontId="49" fillId="35" borderId="56" xfId="0" applyNumberFormat="1" applyFont="1" applyFill="1" applyBorder="1"/>
    <xf numFmtId="43" fontId="49" fillId="40" borderId="56" xfId="0" applyNumberFormat="1" applyFont="1" applyFill="1" applyBorder="1"/>
    <xf numFmtId="43" fontId="49" fillId="39" borderId="56" xfId="0" applyNumberFormat="1" applyFont="1" applyFill="1" applyBorder="1"/>
    <xf numFmtId="43" fontId="49" fillId="41" borderId="56" xfId="0" applyNumberFormat="1" applyFont="1" applyFill="1" applyBorder="1"/>
    <xf numFmtId="43" fontId="49" fillId="42" borderId="62" xfId="1" applyFont="1" applyFill="1" applyBorder="1"/>
    <xf numFmtId="43" fontId="52" fillId="42" borderId="61" xfId="1" applyFont="1" applyFill="1" applyBorder="1"/>
    <xf numFmtId="171" fontId="51" fillId="0" borderId="55" xfId="1" applyNumberFormat="1" applyFont="1" applyBorder="1"/>
    <xf numFmtId="43" fontId="56" fillId="0" borderId="0" xfId="1" applyFont="1"/>
    <xf numFmtId="0" fontId="58" fillId="0" borderId="11" xfId="0" applyFont="1" applyBorder="1" applyAlignment="1">
      <alignment horizontal="center" wrapText="1"/>
    </xf>
    <xf numFmtId="0" fontId="59" fillId="0" borderId="0" xfId="0" applyFont="1" applyAlignment="1">
      <alignment horizontal="left" wrapText="1"/>
    </xf>
    <xf numFmtId="0" fontId="60" fillId="0" borderId="0" xfId="0" applyFont="1" applyAlignment="1">
      <alignment horizontal="left" wrapText="1"/>
    </xf>
    <xf numFmtId="172" fontId="60" fillId="0" borderId="0" xfId="0" applyNumberFormat="1" applyFont="1" applyAlignment="1">
      <alignment horizontal="right" wrapText="1"/>
    </xf>
    <xf numFmtId="0" fontId="60" fillId="0" borderId="0" xfId="0" applyFont="1" applyAlignment="1">
      <alignment horizontal="right" wrapText="1"/>
    </xf>
    <xf numFmtId="173" fontId="59" fillId="0" borderId="4" xfId="0" applyNumberFormat="1" applyFont="1" applyBorder="1" applyAlignment="1">
      <alignment horizontal="right" wrapText="1"/>
    </xf>
    <xf numFmtId="173" fontId="59" fillId="40" borderId="4" xfId="0" applyNumberFormat="1" applyFont="1" applyFill="1" applyBorder="1" applyAlignment="1">
      <alignment horizontal="right" wrapText="1"/>
    </xf>
    <xf numFmtId="173" fontId="59" fillId="42" borderId="4" xfId="0" applyNumberFormat="1" applyFont="1" applyFill="1" applyBorder="1" applyAlignment="1">
      <alignment horizontal="right" wrapText="1"/>
    </xf>
    <xf numFmtId="173" fontId="59" fillId="43" borderId="4" xfId="0" applyNumberFormat="1" applyFont="1" applyFill="1" applyBorder="1" applyAlignment="1">
      <alignment horizontal="right" wrapText="1"/>
    </xf>
    <xf numFmtId="172" fontId="53" fillId="0" borderId="0" xfId="0" applyNumberFormat="1" applyFont="1" applyAlignment="1">
      <alignment horizontal="right" wrapText="1"/>
    </xf>
    <xf numFmtId="0" fontId="53" fillId="0" borderId="0" xfId="0" applyFont="1" applyAlignment="1">
      <alignment horizontal="right" wrapText="1"/>
    </xf>
    <xf numFmtId="0" fontId="0" fillId="0" borderId="0" xfId="0"/>
    <xf numFmtId="0" fontId="0" fillId="0" borderId="0" xfId="0" applyAlignment="1">
      <alignment horizontal="center"/>
    </xf>
    <xf numFmtId="0" fontId="0" fillId="0" borderId="0" xfId="0"/>
    <xf numFmtId="0" fontId="0" fillId="0" borderId="0" xfId="0" applyAlignment="1">
      <alignment horizontal="center"/>
    </xf>
    <xf numFmtId="0" fontId="63" fillId="0" borderId="11" xfId="0" applyFont="1" applyBorder="1" applyAlignment="1">
      <alignment horizontal="center" wrapText="1"/>
    </xf>
    <xf numFmtId="0" fontId="64" fillId="0" borderId="0" xfId="0" applyFont="1" applyAlignment="1">
      <alignment horizontal="left" wrapText="1"/>
    </xf>
    <xf numFmtId="0" fontId="65" fillId="0" borderId="0" xfId="0" applyFont="1" applyAlignment="1">
      <alignment horizontal="left" wrapText="1"/>
    </xf>
    <xf numFmtId="172" fontId="65" fillId="0" borderId="0" xfId="0" applyNumberFormat="1" applyFont="1" applyAlignment="1">
      <alignment horizontal="right" wrapText="1"/>
    </xf>
    <xf numFmtId="0" fontId="65" fillId="0" borderId="0" xfId="0" applyFont="1" applyAlignment="1">
      <alignment horizontal="right" wrapText="1"/>
    </xf>
    <xf numFmtId="173" fontId="64" fillId="0" borderId="4" xfId="0" applyNumberFormat="1" applyFont="1" applyBorder="1" applyAlignment="1">
      <alignment horizontal="right" wrapText="1"/>
    </xf>
    <xf numFmtId="0" fontId="64" fillId="5" borderId="30" xfId="0" applyFont="1" applyFill="1" applyBorder="1" applyAlignment="1">
      <alignment horizontal="left" wrapText="1"/>
    </xf>
    <xf numFmtId="0" fontId="0" fillId="5" borderId="29" xfId="0" applyFill="1" applyBorder="1"/>
    <xf numFmtId="0" fontId="0" fillId="5" borderId="28" xfId="0" applyFill="1" applyBorder="1"/>
    <xf numFmtId="0" fontId="64" fillId="5" borderId="23" xfId="0" applyFont="1" applyFill="1" applyBorder="1" applyAlignment="1">
      <alignment horizontal="left" wrapText="1"/>
    </xf>
    <xf numFmtId="0" fontId="0" fillId="5" borderId="0" xfId="0" applyFill="1" applyBorder="1"/>
    <xf numFmtId="0" fontId="0" fillId="5" borderId="22" xfId="0" applyFill="1" applyBorder="1"/>
    <xf numFmtId="0" fontId="0" fillId="5" borderId="23" xfId="0" applyFill="1" applyBorder="1"/>
    <xf numFmtId="0" fontId="65" fillId="5" borderId="0" xfId="0" applyFont="1" applyFill="1" applyBorder="1" applyAlignment="1">
      <alignment horizontal="left" wrapText="1"/>
    </xf>
    <xf numFmtId="172" fontId="65" fillId="5" borderId="0" xfId="0" applyNumberFormat="1" applyFont="1" applyFill="1" applyBorder="1" applyAlignment="1">
      <alignment horizontal="right" wrapText="1"/>
    </xf>
    <xf numFmtId="0" fontId="65" fillId="5" borderId="22" xfId="0" applyFont="1" applyFill="1" applyBorder="1" applyAlignment="1">
      <alignment horizontal="right" wrapText="1"/>
    </xf>
    <xf numFmtId="173" fontId="64" fillId="5" borderId="4" xfId="0" applyNumberFormat="1" applyFont="1" applyFill="1" applyBorder="1" applyAlignment="1">
      <alignment horizontal="right" wrapText="1"/>
    </xf>
    <xf numFmtId="173" fontId="64" fillId="5" borderId="39" xfId="0" applyNumberFormat="1" applyFont="1" applyFill="1" applyBorder="1" applyAlignment="1">
      <alignment horizontal="right" wrapText="1"/>
    </xf>
    <xf numFmtId="0" fontId="64" fillId="5" borderId="50" xfId="0" applyFont="1" applyFill="1" applyBorder="1" applyAlignment="1">
      <alignment horizontal="left" wrapText="1"/>
    </xf>
    <xf numFmtId="0" fontId="0" fillId="5" borderId="35" xfId="0" applyFill="1" applyBorder="1"/>
    <xf numFmtId="173" fontId="64" fillId="5" borderId="2" xfId="0" applyNumberFormat="1" applyFont="1" applyFill="1" applyBorder="1" applyAlignment="1">
      <alignment horizontal="right" wrapText="1"/>
    </xf>
    <xf numFmtId="173" fontId="64" fillId="5" borderId="1" xfId="0" applyNumberFormat="1" applyFont="1" applyFill="1" applyBorder="1" applyAlignment="1">
      <alignment horizontal="right" wrapText="1"/>
    </xf>
    <xf numFmtId="0" fontId="64" fillId="44" borderId="30" xfId="0" applyFont="1" applyFill="1" applyBorder="1" applyAlignment="1">
      <alignment horizontal="left" wrapText="1"/>
    </xf>
    <xf numFmtId="0" fontId="0" fillId="44" borderId="29" xfId="0" applyFill="1" applyBorder="1"/>
    <xf numFmtId="0" fontId="0" fillId="44" borderId="28" xfId="0" applyFill="1" applyBorder="1"/>
    <xf numFmtId="0" fontId="0" fillId="44" borderId="23" xfId="0" applyFill="1" applyBorder="1"/>
    <xf numFmtId="0" fontId="65" fillId="44" borderId="0" xfId="0" applyFont="1" applyFill="1" applyBorder="1" applyAlignment="1">
      <alignment horizontal="left" wrapText="1"/>
    </xf>
    <xf numFmtId="0" fontId="0" fillId="44" borderId="0" xfId="0" applyFill="1" applyBorder="1"/>
    <xf numFmtId="0" fontId="0" fillId="44" borderId="22" xfId="0" applyFill="1" applyBorder="1"/>
    <xf numFmtId="172" fontId="65" fillId="44" borderId="0" xfId="0" applyNumberFormat="1" applyFont="1" applyFill="1" applyBorder="1" applyAlignment="1">
      <alignment horizontal="right" wrapText="1"/>
    </xf>
    <xf numFmtId="0" fontId="65" fillId="44" borderId="22" xfId="0" applyFont="1" applyFill="1" applyBorder="1" applyAlignment="1">
      <alignment horizontal="right" wrapText="1"/>
    </xf>
    <xf numFmtId="0" fontId="64" fillId="44" borderId="23" xfId="0" applyFont="1" applyFill="1" applyBorder="1" applyAlignment="1">
      <alignment horizontal="left" wrapText="1"/>
    </xf>
    <xf numFmtId="173" fontId="64" fillId="44" borderId="4" xfId="0" applyNumberFormat="1" applyFont="1" applyFill="1" applyBorder="1" applyAlignment="1">
      <alignment horizontal="right" wrapText="1"/>
    </xf>
    <xf numFmtId="173" fontId="64" fillId="44" borderId="39" xfId="0" applyNumberFormat="1" applyFont="1" applyFill="1" applyBorder="1" applyAlignment="1">
      <alignment horizontal="right" wrapText="1"/>
    </xf>
    <xf numFmtId="0" fontId="65" fillId="44" borderId="0" xfId="0" applyFont="1" applyFill="1" applyBorder="1" applyAlignment="1">
      <alignment horizontal="right" wrapText="1"/>
    </xf>
    <xf numFmtId="172" fontId="65" fillId="44" borderId="22" xfId="0" applyNumberFormat="1" applyFont="1" applyFill="1" applyBorder="1" applyAlignment="1">
      <alignment horizontal="right" wrapText="1"/>
    </xf>
    <xf numFmtId="0" fontId="64" fillId="44" borderId="50" xfId="0" applyFont="1" applyFill="1" applyBorder="1" applyAlignment="1">
      <alignment horizontal="left" wrapText="1"/>
    </xf>
    <xf numFmtId="0" fontId="0" fillId="44" borderId="35" xfId="0" applyFill="1" applyBorder="1"/>
    <xf numFmtId="173" fontId="64" fillId="44" borderId="2" xfId="0" applyNumberFormat="1" applyFont="1" applyFill="1" applyBorder="1" applyAlignment="1">
      <alignment horizontal="right" wrapText="1"/>
    </xf>
    <xf numFmtId="173" fontId="64" fillId="44" borderId="1" xfId="0" applyNumberFormat="1" applyFont="1" applyFill="1" applyBorder="1" applyAlignment="1">
      <alignment horizontal="right" wrapText="1"/>
    </xf>
    <xf numFmtId="172" fontId="65" fillId="0" borderId="0" xfId="0" applyNumberFormat="1" applyFont="1" applyAlignment="1">
      <alignment wrapText="1"/>
    </xf>
    <xf numFmtId="0" fontId="66" fillId="0" borderId="0" xfId="0" applyFont="1"/>
    <xf numFmtId="44" fontId="0" fillId="0" borderId="0" xfId="2" applyFont="1"/>
    <xf numFmtId="40" fontId="0" fillId="0" borderId="0" xfId="0" applyNumberFormat="1" applyAlignment="1">
      <alignment horizontal="center"/>
    </xf>
    <xf numFmtId="0" fontId="66" fillId="0" borderId="0" xfId="0" quotePrefix="1" applyFont="1"/>
    <xf numFmtId="44" fontId="0" fillId="0" borderId="0" xfId="2" applyFont="1" applyBorder="1"/>
    <xf numFmtId="0" fontId="67" fillId="0" borderId="0" xfId="0" applyFont="1"/>
    <xf numFmtId="0" fontId="67" fillId="0" borderId="11" xfId="0" applyFont="1" applyBorder="1"/>
    <xf numFmtId="0" fontId="67" fillId="0" borderId="11" xfId="0" applyFont="1" applyBorder="1" applyAlignment="1">
      <alignment horizontal="center"/>
    </xf>
    <xf numFmtId="44" fontId="67" fillId="0" borderId="11" xfId="2" applyFont="1" applyBorder="1"/>
    <xf numFmtId="40" fontId="67" fillId="0" borderId="11" xfId="0" applyNumberFormat="1" applyFont="1" applyBorder="1" applyAlignment="1">
      <alignment horizontal="center"/>
    </xf>
    <xf numFmtId="0" fontId="68" fillId="0" borderId="0" xfId="0" applyFont="1"/>
    <xf numFmtId="174" fontId="0" fillId="0" borderId="0" xfId="0" applyNumberFormat="1" applyAlignment="1">
      <alignment horizontal="center"/>
    </xf>
    <xf numFmtId="0" fontId="0" fillId="0" borderId="0" xfId="0" applyAlignment="1">
      <alignment horizontal="left"/>
    </xf>
    <xf numFmtId="44" fontId="0" fillId="0" borderId="11" xfId="2" applyFont="1" applyBorder="1"/>
    <xf numFmtId="44" fontId="69" fillId="0" borderId="0" xfId="2" applyFont="1"/>
    <xf numFmtId="174" fontId="70" fillId="0" borderId="0" xfId="0" applyNumberFormat="1" applyFont="1" applyAlignment="1">
      <alignment horizontal="center"/>
    </xf>
    <xf numFmtId="44" fontId="69" fillId="0" borderId="77" xfId="2" applyFont="1" applyBorder="1"/>
    <xf numFmtId="174" fontId="70" fillId="0" borderId="0" xfId="0" applyNumberFormat="1" applyFont="1" applyAlignment="1">
      <alignment horizontal="left"/>
    </xf>
    <xf numFmtId="44" fontId="69" fillId="0" borderId="0" xfId="2" applyFont="1" applyBorder="1"/>
    <xf numFmtId="44" fontId="69" fillId="14" borderId="56" xfId="2" applyFont="1" applyFill="1" applyBorder="1"/>
    <xf numFmtId="43" fontId="50" fillId="14" borderId="0" xfId="1" applyFont="1" applyFill="1"/>
    <xf numFmtId="43" fontId="50" fillId="14" borderId="0" xfId="0" applyNumberFormat="1" applyFont="1" applyFill="1"/>
    <xf numFmtId="173" fontId="64" fillId="14" borderId="4" xfId="0" applyNumberFormat="1" applyFont="1" applyFill="1" applyBorder="1" applyAlignment="1">
      <alignment horizontal="right" wrapText="1"/>
    </xf>
    <xf numFmtId="43" fontId="52" fillId="14" borderId="7" xfId="1" applyFont="1" applyFill="1" applyBorder="1"/>
    <xf numFmtId="44" fontId="69" fillId="14" borderId="77" xfId="2" applyFont="1" applyFill="1" applyBorder="1"/>
    <xf numFmtId="44" fontId="69" fillId="14" borderId="0" xfId="2" applyFont="1" applyFill="1"/>
    <xf numFmtId="0" fontId="63" fillId="0" borderId="11" xfId="0" applyFont="1" applyBorder="1" applyAlignment="1">
      <alignment horizontal="left" wrapText="1"/>
    </xf>
    <xf numFmtId="0" fontId="0" fillId="0" borderId="0" xfId="0" quotePrefix="1" applyAlignment="1">
      <alignment horizontal="left"/>
    </xf>
    <xf numFmtId="43" fontId="50" fillId="43" borderId="0" xfId="1" applyFont="1" applyFill="1"/>
    <xf numFmtId="43" fontId="52" fillId="43" borderId="7" xfId="1" applyFont="1" applyFill="1" applyBorder="1"/>
    <xf numFmtId="43" fontId="52" fillId="43" borderId="66" xfId="1" applyFont="1" applyFill="1" applyBorder="1"/>
    <xf numFmtId="43" fontId="52" fillId="43" borderId="23" xfId="1" applyFont="1" applyFill="1" applyBorder="1"/>
    <xf numFmtId="0" fontId="53" fillId="0" borderId="23" xfId="0" applyFont="1" applyBorder="1"/>
    <xf numFmtId="43" fontId="71" fillId="0" borderId="0" xfId="1" applyFont="1"/>
    <xf numFmtId="0" fontId="0" fillId="0" borderId="0" xfId="0"/>
    <xf numFmtId="0" fontId="13" fillId="0" borderId="33" xfId="0" applyFont="1" applyBorder="1" applyAlignment="1" applyProtection="1">
      <alignment horizontal="center" wrapText="1"/>
    </xf>
    <xf numFmtId="0" fontId="13" fillId="0" borderId="34" xfId="0" applyFont="1" applyBorder="1" applyAlignment="1" applyProtection="1">
      <alignment horizontal="center" wrapText="1"/>
    </xf>
    <xf numFmtId="165" fontId="10" fillId="0" borderId="7" xfId="0" applyNumberFormat="1" applyFont="1" applyFill="1" applyBorder="1" applyAlignment="1" applyProtection="1">
      <alignment horizontal="left"/>
    </xf>
    <xf numFmtId="165" fontId="10" fillId="0" borderId="5" xfId="0" applyNumberFormat="1" applyFont="1" applyFill="1" applyBorder="1" applyAlignment="1" applyProtection="1">
      <alignment horizontal="left"/>
    </xf>
    <xf numFmtId="165" fontId="0" fillId="0" borderId="6" xfId="0" applyNumberFormat="1" applyFont="1" applyBorder="1" applyAlignment="1" applyProtection="1">
      <alignment horizontal="center" wrapText="1"/>
      <protection locked="0"/>
    </xf>
    <xf numFmtId="165" fontId="6" fillId="0" borderId="6" xfId="0" applyNumberFormat="1" applyFont="1" applyBorder="1" applyAlignment="1" applyProtection="1">
      <alignment horizontal="center" wrapText="1"/>
      <protection locked="0"/>
    </xf>
    <xf numFmtId="0" fontId="13" fillId="0" borderId="30" xfId="0" applyFont="1" applyBorder="1" applyAlignment="1" applyProtection="1">
      <alignment horizontal="center"/>
    </xf>
    <xf numFmtId="0" fontId="13" fillId="0" borderId="29" xfId="0" applyFont="1" applyBorder="1" applyAlignment="1" applyProtection="1">
      <alignment horizontal="center"/>
    </xf>
    <xf numFmtId="0" fontId="8" fillId="5" borderId="15" xfId="0" applyFont="1" applyFill="1" applyBorder="1" applyAlignment="1" applyProtection="1">
      <alignment horizontal="left" wrapText="1"/>
    </xf>
    <xf numFmtId="0" fontId="8" fillId="5" borderId="6" xfId="0" applyFont="1" applyFill="1" applyBorder="1" applyAlignment="1" applyProtection="1">
      <alignment horizontal="left" wrapText="1"/>
    </xf>
    <xf numFmtId="0" fontId="8" fillId="5" borderId="4" xfId="0" applyFont="1" applyFill="1" applyBorder="1" applyAlignment="1" applyProtection="1">
      <alignment horizontal="left" wrapText="1"/>
    </xf>
    <xf numFmtId="165" fontId="10" fillId="0" borderId="12" xfId="0" applyNumberFormat="1" applyFont="1" applyFill="1" applyBorder="1" applyAlignment="1" applyProtection="1">
      <alignment horizontal="left"/>
    </xf>
    <xf numFmtId="165" fontId="10" fillId="0" borderId="18" xfId="0" applyNumberFormat="1" applyFont="1" applyFill="1" applyBorder="1" applyAlignment="1" applyProtection="1">
      <alignment horizontal="left"/>
    </xf>
    <xf numFmtId="0" fontId="8" fillId="0" borderId="7" xfId="0" applyFont="1" applyBorder="1" applyAlignment="1" applyProtection="1">
      <alignment horizontal="right" wrapText="1"/>
    </xf>
    <xf numFmtId="0" fontId="8" fillId="0" borderId="6" xfId="0" applyFont="1" applyBorder="1" applyAlignment="1" applyProtection="1">
      <alignment horizontal="right" wrapText="1"/>
    </xf>
    <xf numFmtId="0" fontId="8" fillId="0" borderId="5" xfId="0" applyFont="1" applyBorder="1" applyAlignment="1" applyProtection="1">
      <alignment horizontal="right" wrapText="1"/>
    </xf>
    <xf numFmtId="166" fontId="8" fillId="0" borderId="7" xfId="2" applyNumberFormat="1" applyFont="1" applyBorder="1" applyAlignment="1" applyProtection="1">
      <alignment horizontal="right"/>
    </xf>
    <xf numFmtId="166" fontId="8" fillId="0" borderId="6" xfId="2" applyNumberFormat="1" applyFont="1" applyBorder="1" applyAlignment="1" applyProtection="1">
      <alignment horizontal="right"/>
    </xf>
    <xf numFmtId="166" fontId="8" fillId="0" borderId="5" xfId="2" applyNumberFormat="1" applyFont="1" applyBorder="1" applyAlignment="1" applyProtection="1">
      <alignment horizontal="right"/>
    </xf>
    <xf numFmtId="165" fontId="10" fillId="0" borderId="27" xfId="0" applyNumberFormat="1" applyFont="1" applyFill="1" applyBorder="1" applyAlignment="1" applyProtection="1">
      <alignment horizontal="left"/>
    </xf>
    <xf numFmtId="165" fontId="10" fillId="0" borderId="26" xfId="0" applyNumberFormat="1" applyFont="1" applyFill="1" applyBorder="1" applyAlignment="1" applyProtection="1">
      <alignment horizontal="left"/>
    </xf>
    <xf numFmtId="165" fontId="10" fillId="0" borderId="7" xfId="0" applyNumberFormat="1" applyFont="1" applyFill="1" applyBorder="1" applyAlignment="1" applyProtection="1">
      <alignment horizontal="left" wrapText="1"/>
    </xf>
    <xf numFmtId="165" fontId="10" fillId="0" borderId="5" xfId="0" applyNumberFormat="1" applyFont="1" applyFill="1" applyBorder="1" applyAlignment="1" applyProtection="1">
      <alignment horizontal="left" wrapText="1"/>
    </xf>
    <xf numFmtId="165" fontId="6" fillId="0" borderId="12" xfId="0" applyNumberFormat="1" applyFont="1" applyBorder="1" applyAlignment="1" applyProtection="1">
      <alignment horizontal="left" wrapText="1"/>
      <protection locked="0"/>
    </xf>
    <xf numFmtId="165" fontId="6" fillId="0" borderId="11" xfId="0" applyNumberFormat="1" applyFont="1" applyBorder="1" applyAlignment="1" applyProtection="1">
      <alignment horizontal="left" wrapText="1"/>
      <protection locked="0"/>
    </xf>
    <xf numFmtId="165" fontId="0" fillId="0" borderId="6" xfId="0" applyNumberFormat="1" applyBorder="1" applyAlignment="1" applyProtection="1">
      <alignment horizontal="center" wrapText="1"/>
      <protection locked="0"/>
    </xf>
    <xf numFmtId="0" fontId="0" fillId="0" borderId="2" xfId="0" applyBorder="1" applyAlignment="1" applyProtection="1">
      <alignment horizontal="center" wrapText="1"/>
      <protection locked="0"/>
    </xf>
    <xf numFmtId="0" fontId="0" fillId="0" borderId="1" xfId="0" applyBorder="1" applyAlignment="1" applyProtection="1">
      <alignment horizontal="center" wrapText="1"/>
      <protection locked="0"/>
    </xf>
    <xf numFmtId="165" fontId="0" fillId="0" borderId="12" xfId="0" applyNumberFormat="1" applyFont="1" applyBorder="1" applyAlignment="1" applyProtection="1">
      <alignment horizontal="left" wrapText="1"/>
      <protection locked="0"/>
    </xf>
    <xf numFmtId="0" fontId="9" fillId="0" borderId="31" xfId="0" applyFont="1" applyBorder="1" applyAlignment="1" applyProtection="1">
      <alignment horizontal="center" wrapText="1"/>
    </xf>
    <xf numFmtId="0" fontId="9" fillId="0" borderId="36" xfId="0" applyFont="1" applyBorder="1" applyAlignment="1" applyProtection="1">
      <alignment horizontal="center" wrapText="1"/>
    </xf>
    <xf numFmtId="165" fontId="8" fillId="5" borderId="15" xfId="0" applyNumberFormat="1" applyFont="1" applyFill="1" applyBorder="1" applyAlignment="1" applyProtection="1">
      <alignment horizontal="left"/>
    </xf>
    <xf numFmtId="165" fontId="8" fillId="5" borderId="6" xfId="0" applyNumberFormat="1" applyFont="1" applyFill="1" applyBorder="1" applyAlignment="1" applyProtection="1">
      <alignment horizontal="left"/>
    </xf>
    <xf numFmtId="165" fontId="8" fillId="5" borderId="4" xfId="0" applyNumberFormat="1" applyFont="1" applyFill="1" applyBorder="1" applyAlignment="1" applyProtection="1">
      <alignment horizontal="left"/>
    </xf>
    <xf numFmtId="0" fontId="6" fillId="0" borderId="12" xfId="0" applyFont="1" applyBorder="1" applyAlignment="1" applyProtection="1">
      <alignment horizontal="left" wrapText="1"/>
      <protection locked="0"/>
    </xf>
    <xf numFmtId="0" fontId="6" fillId="0" borderId="11" xfId="0" applyFont="1" applyBorder="1" applyAlignment="1" applyProtection="1">
      <alignment horizontal="left" wrapText="1"/>
      <protection locked="0"/>
    </xf>
    <xf numFmtId="0" fontId="6" fillId="0" borderId="10" xfId="0" applyFont="1" applyBorder="1" applyAlignment="1" applyProtection="1">
      <alignment horizontal="left" wrapText="1"/>
      <protection locked="0"/>
    </xf>
    <xf numFmtId="0" fontId="0" fillId="0" borderId="6" xfId="0" applyBorder="1" applyAlignment="1" applyProtection="1">
      <alignment horizontal="center" wrapText="1"/>
      <protection locked="0"/>
    </xf>
    <xf numFmtId="0" fontId="0" fillId="0" borderId="8" xfId="0" applyBorder="1" applyAlignment="1" applyProtection="1">
      <alignment horizontal="center" wrapText="1"/>
      <protection locked="0"/>
    </xf>
    <xf numFmtId="0" fontId="0" fillId="0" borderId="0" xfId="0" applyNumberFormat="1" applyBorder="1" applyAlignment="1" applyProtection="1">
      <alignment horizontal="right"/>
    </xf>
    <xf numFmtId="0" fontId="0" fillId="0" borderId="37" xfId="0" applyNumberFormat="1" applyBorder="1" applyAlignment="1" applyProtection="1">
      <alignment horizontal="right"/>
    </xf>
    <xf numFmtId="0" fontId="0" fillId="0" borderId="0" xfId="0" applyBorder="1" applyAlignment="1" applyProtection="1">
      <alignment horizontal="right"/>
    </xf>
    <xf numFmtId="0" fontId="0" fillId="0" borderId="37" xfId="0" applyBorder="1" applyAlignment="1" applyProtection="1">
      <alignment horizontal="right"/>
    </xf>
    <xf numFmtId="0" fontId="0" fillId="0" borderId="41" xfId="0" applyBorder="1" applyAlignment="1" applyProtection="1">
      <alignment horizontal="center" wrapText="1"/>
    </xf>
    <xf numFmtId="0" fontId="0" fillId="0" borderId="42" xfId="0" applyBorder="1" applyAlignment="1" applyProtection="1">
      <alignment horizontal="center" wrapText="1"/>
    </xf>
    <xf numFmtId="0" fontId="29" fillId="0" borderId="31" xfId="0" applyFont="1" applyBorder="1" applyAlignment="1" applyProtection="1">
      <alignment horizontal="center" wrapText="1"/>
    </xf>
    <xf numFmtId="0" fontId="29" fillId="0" borderId="38" xfId="0" applyFont="1" applyBorder="1" applyAlignment="1" applyProtection="1">
      <alignment horizontal="center" wrapText="1"/>
    </xf>
    <xf numFmtId="0" fontId="29" fillId="0" borderId="36" xfId="0" applyFont="1" applyBorder="1" applyAlignment="1" applyProtection="1">
      <alignment horizontal="center" wrapText="1"/>
    </xf>
    <xf numFmtId="40" fontId="14" fillId="0" borderId="31" xfId="0" applyNumberFormat="1" applyFont="1" applyBorder="1" applyAlignment="1" applyProtection="1">
      <alignment horizontal="center" wrapText="1"/>
    </xf>
    <xf numFmtId="40" fontId="14" fillId="0" borderId="38" xfId="0" applyNumberFormat="1" applyFont="1" applyBorder="1" applyAlignment="1" applyProtection="1">
      <alignment horizontal="center" wrapText="1"/>
    </xf>
    <xf numFmtId="40" fontId="14" fillId="0" borderId="36" xfId="0" applyNumberFormat="1" applyFont="1" applyBorder="1" applyAlignment="1" applyProtection="1">
      <alignment horizontal="center" wrapText="1"/>
    </xf>
    <xf numFmtId="44" fontId="8" fillId="0" borderId="31" xfId="0" applyNumberFormat="1" applyFont="1" applyBorder="1" applyAlignment="1" applyProtection="1">
      <alignment horizontal="center" wrapText="1"/>
    </xf>
    <xf numFmtId="44" fontId="8" fillId="0" borderId="38" xfId="0" applyNumberFormat="1" applyFont="1" applyBorder="1" applyAlignment="1" applyProtection="1">
      <alignment horizontal="center" wrapText="1"/>
    </xf>
    <xf numFmtId="44" fontId="8" fillId="0" borderId="36" xfId="0" applyNumberFormat="1" applyFont="1" applyBorder="1" applyAlignment="1" applyProtection="1">
      <alignment horizontal="center" wrapText="1"/>
    </xf>
    <xf numFmtId="0" fontId="13" fillId="0" borderId="31" xfId="0" applyFont="1" applyBorder="1" applyAlignment="1" applyProtection="1">
      <alignment horizontal="center" wrapText="1"/>
    </xf>
    <xf numFmtId="0" fontId="13" fillId="0" borderId="38" xfId="0" applyFont="1" applyBorder="1" applyAlignment="1" applyProtection="1">
      <alignment horizontal="center" wrapText="1"/>
    </xf>
    <xf numFmtId="0" fontId="13" fillId="0" borderId="36" xfId="0" applyFont="1" applyBorder="1" applyAlignment="1" applyProtection="1">
      <alignment horizontal="center" wrapText="1"/>
    </xf>
    <xf numFmtId="0" fontId="14" fillId="0" borderId="31" xfId="0" applyFont="1" applyBorder="1" applyAlignment="1" applyProtection="1">
      <alignment horizontal="center" wrapText="1"/>
    </xf>
    <xf numFmtId="0" fontId="14" fillId="0" borderId="38" xfId="0" applyFont="1" applyBorder="1" applyAlignment="1" applyProtection="1">
      <alignment horizontal="center" wrapText="1"/>
    </xf>
    <xf numFmtId="0" fontId="14" fillId="0" borderId="36" xfId="0" applyFont="1" applyBorder="1" applyAlignment="1" applyProtection="1">
      <alignment horizontal="center" wrapText="1"/>
    </xf>
    <xf numFmtId="0" fontId="55" fillId="0" borderId="0" xfId="0" applyFont="1" applyAlignment="1">
      <alignment horizontal="center"/>
    </xf>
    <xf numFmtId="0" fontId="0" fillId="0" borderId="0" xfId="0"/>
    <xf numFmtId="0" fontId="57" fillId="0" borderId="0" xfId="0" applyFont="1" applyAlignment="1">
      <alignment horizontal="center"/>
    </xf>
    <xf numFmtId="0" fontId="60" fillId="0" borderId="0" xfId="0" applyFont="1" applyAlignment="1">
      <alignment horizontal="center"/>
    </xf>
    <xf numFmtId="0" fontId="0" fillId="0" borderId="0" xfId="0" applyAlignment="1">
      <alignment horizontal="center"/>
    </xf>
    <xf numFmtId="0" fontId="0" fillId="14" borderId="21" xfId="0" applyFill="1" applyBorder="1" applyAlignment="1">
      <alignment horizontal="center"/>
    </xf>
    <xf numFmtId="0" fontId="0" fillId="14" borderId="20" xfId="0" applyFill="1" applyBorder="1" applyAlignment="1">
      <alignment horizontal="center"/>
    </xf>
    <xf numFmtId="0" fontId="13" fillId="0" borderId="22" xfId="0" applyFont="1" applyBorder="1" applyAlignment="1" applyProtection="1">
      <alignment horizontal="center"/>
    </xf>
    <xf numFmtId="0" fontId="0" fillId="0" borderId="11"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10" fillId="0" borderId="7" xfId="0" applyNumberFormat="1" applyFont="1" applyFill="1" applyBorder="1" applyAlignment="1" applyProtection="1">
      <alignment horizontal="left"/>
    </xf>
    <xf numFmtId="0" fontId="10" fillId="0" borderId="5" xfId="0" applyNumberFormat="1" applyFont="1" applyFill="1" applyBorder="1" applyAlignment="1" applyProtection="1">
      <alignment horizontal="left"/>
    </xf>
    <xf numFmtId="0" fontId="0" fillId="0" borderId="6" xfId="0" applyFill="1" applyBorder="1" applyAlignment="1" applyProtection="1">
      <alignment horizontal="center" wrapText="1"/>
      <protection locked="0"/>
    </xf>
    <xf numFmtId="0" fontId="0" fillId="0" borderId="8" xfId="0" applyFill="1" applyBorder="1" applyAlignment="1" applyProtection="1">
      <alignment horizontal="center" wrapText="1"/>
      <protection locked="0"/>
    </xf>
    <xf numFmtId="0" fontId="8" fillId="0" borderId="31" xfId="0" applyFont="1" applyBorder="1" applyAlignment="1" applyProtection="1">
      <alignment horizontal="center" wrapText="1"/>
    </xf>
    <xf numFmtId="0" fontId="8" fillId="0" borderId="38" xfId="0" applyFont="1" applyBorder="1" applyAlignment="1" applyProtection="1">
      <alignment horizontal="center" wrapText="1"/>
    </xf>
    <xf numFmtId="0" fontId="8" fillId="0" borderId="36" xfId="0" applyFont="1" applyBorder="1" applyAlignment="1" applyProtection="1">
      <alignment horizontal="center" wrapText="1"/>
    </xf>
    <xf numFmtId="44" fontId="0" fillId="0" borderId="6" xfId="0" applyNumberFormat="1" applyBorder="1" applyAlignment="1" applyProtection="1">
      <alignment horizontal="center" wrapText="1"/>
      <protection locked="0"/>
    </xf>
    <xf numFmtId="0" fontId="10" fillId="0" borderId="27" xfId="0" applyNumberFormat="1" applyFont="1" applyFill="1" applyBorder="1" applyAlignment="1" applyProtection="1">
      <alignment horizontal="left"/>
    </xf>
    <xf numFmtId="0" fontId="10" fillId="0" borderId="26" xfId="0" applyNumberFormat="1" applyFont="1" applyFill="1" applyBorder="1" applyAlignment="1" applyProtection="1">
      <alignment horizontal="left"/>
    </xf>
    <xf numFmtId="0" fontId="0" fillId="0" borderId="6" xfId="0" applyBorder="1"/>
    <xf numFmtId="0" fontId="0" fillId="0" borderId="5" xfId="0" applyBorder="1"/>
    <xf numFmtId="0" fontId="8" fillId="5" borderId="15" xfId="0" applyNumberFormat="1" applyFont="1" applyFill="1" applyBorder="1" applyAlignment="1" applyProtection="1">
      <alignment horizontal="left"/>
    </xf>
    <xf numFmtId="0" fontId="8" fillId="5" borderId="6" xfId="0" applyNumberFormat="1" applyFont="1" applyFill="1" applyBorder="1" applyAlignment="1" applyProtection="1">
      <alignment horizontal="left"/>
    </xf>
    <xf numFmtId="0" fontId="8" fillId="5" borderId="5" xfId="0" applyNumberFormat="1" applyFont="1" applyFill="1" applyBorder="1" applyAlignment="1" applyProtection="1">
      <alignment horizontal="left"/>
    </xf>
    <xf numFmtId="0" fontId="10" fillId="0" borderId="12" xfId="0" applyNumberFormat="1" applyFont="1" applyFill="1" applyBorder="1" applyAlignment="1" applyProtection="1">
      <alignment horizontal="left"/>
    </xf>
    <xf numFmtId="0" fontId="10" fillId="0" borderId="18" xfId="0" applyNumberFormat="1" applyFont="1" applyFill="1" applyBorder="1" applyAlignment="1" applyProtection="1">
      <alignment horizontal="left"/>
    </xf>
    <xf numFmtId="0" fontId="0" fillId="0" borderId="4" xfId="0" applyBorder="1" applyAlignment="1" applyProtection="1">
      <alignment horizontal="center" wrapText="1"/>
      <protection locked="0"/>
    </xf>
    <xf numFmtId="0" fontId="0" fillId="0" borderId="39" xfId="0" applyBorder="1" applyAlignment="1" applyProtection="1">
      <alignment horizontal="center" wrapText="1"/>
      <protection locked="0"/>
    </xf>
    <xf numFmtId="0" fontId="10" fillId="0" borderId="7" xfId="0" applyNumberFormat="1" applyFont="1" applyFill="1" applyBorder="1" applyAlignment="1" applyProtection="1">
      <alignment horizontal="left"/>
      <protection locked="0"/>
    </xf>
    <xf numFmtId="0" fontId="10" fillId="0" borderId="5" xfId="0" applyNumberFormat="1" applyFont="1" applyFill="1" applyBorder="1" applyAlignment="1" applyProtection="1">
      <alignment horizontal="left"/>
      <protection locked="0"/>
    </xf>
    <xf numFmtId="0" fontId="10" fillId="0" borderId="7" xfId="0" applyNumberFormat="1" applyFont="1" applyFill="1" applyBorder="1" applyAlignment="1" applyProtection="1">
      <alignment horizontal="left" wrapText="1"/>
    </xf>
    <xf numFmtId="0" fontId="10" fillId="0" borderId="5" xfId="0" applyNumberFormat="1" applyFont="1" applyFill="1" applyBorder="1" applyAlignment="1" applyProtection="1">
      <alignment horizontal="left" wrapText="1"/>
    </xf>
    <xf numFmtId="0" fontId="0" fillId="0" borderId="7" xfId="0" applyBorder="1" applyAlignment="1" applyProtection="1">
      <alignment horizontal="center" wrapText="1"/>
      <protection locked="0"/>
    </xf>
    <xf numFmtId="0" fontId="8" fillId="5" borderId="11" xfId="0" applyFont="1" applyFill="1" applyBorder="1" applyAlignment="1" applyProtection="1">
      <alignment horizontal="left" wrapText="1"/>
    </xf>
    <xf numFmtId="0" fontId="8" fillId="5" borderId="5" xfId="0" applyFont="1" applyFill="1" applyBorder="1" applyAlignment="1" applyProtection="1">
      <alignment horizontal="left" wrapText="1"/>
    </xf>
    <xf numFmtId="0" fontId="61" fillId="0" borderId="0" xfId="0" applyFont="1" applyAlignment="1">
      <alignment horizontal="center"/>
    </xf>
    <xf numFmtId="0" fontId="62" fillId="0" borderId="0" xfId="0" applyFont="1" applyAlignment="1">
      <alignment horizontal="center"/>
    </xf>
    <xf numFmtId="0" fontId="65" fillId="0" borderId="0" xfId="0" applyFont="1" applyAlignment="1">
      <alignment horizontal="center"/>
    </xf>
    <xf numFmtId="0" fontId="8" fillId="5" borderId="21" xfId="0" applyNumberFormat="1" applyFont="1" applyFill="1" applyBorder="1" applyAlignment="1" applyProtection="1">
      <alignment horizontal="left"/>
    </xf>
    <xf numFmtId="0" fontId="8" fillId="5" borderId="20" xfId="0" applyNumberFormat="1" applyFont="1" applyFill="1" applyBorder="1" applyAlignment="1" applyProtection="1">
      <alignment horizontal="left"/>
    </xf>
    <xf numFmtId="0" fontId="8" fillId="5" borderId="19" xfId="0" applyNumberFormat="1" applyFont="1" applyFill="1" applyBorder="1" applyAlignment="1" applyProtection="1">
      <alignment horizontal="left"/>
    </xf>
    <xf numFmtId="0" fontId="13" fillId="0" borderId="30" xfId="0" applyFont="1" applyBorder="1" applyAlignment="1" applyProtection="1">
      <alignment horizontal="center" wrapText="1"/>
    </xf>
    <xf numFmtId="0" fontId="13" fillId="0" borderId="23" xfId="0" applyFont="1" applyBorder="1" applyAlignment="1" applyProtection="1">
      <alignment horizontal="center" wrapText="1"/>
    </xf>
    <xf numFmtId="0" fontId="0" fillId="0" borderId="12" xfId="0" applyBorder="1" applyAlignment="1" applyProtection="1">
      <alignment horizontal="center" wrapText="1"/>
      <protection locked="0"/>
    </xf>
    <xf numFmtId="0" fontId="8" fillId="5" borderId="21" xfId="0" applyFont="1" applyFill="1" applyBorder="1" applyAlignment="1" applyProtection="1">
      <alignment horizontal="left" wrapText="1"/>
    </xf>
    <xf numFmtId="0" fontId="8" fillId="5" borderId="20" xfId="0" applyFont="1" applyFill="1" applyBorder="1" applyAlignment="1" applyProtection="1">
      <alignment horizontal="left" wrapText="1"/>
    </xf>
    <xf numFmtId="0" fontId="8" fillId="5" borderId="19" xfId="0" applyFont="1" applyFill="1" applyBorder="1" applyAlignment="1" applyProtection="1">
      <alignment horizontal="left" wrapText="1"/>
    </xf>
    <xf numFmtId="0" fontId="14" fillId="14" borderId="31" xfId="0" applyFont="1" applyFill="1" applyBorder="1" applyAlignment="1" applyProtection="1">
      <alignment horizontal="center" wrapText="1"/>
    </xf>
    <xf numFmtId="0" fontId="14" fillId="14" borderId="38" xfId="0" applyFont="1" applyFill="1" applyBorder="1" applyAlignment="1" applyProtection="1">
      <alignment horizontal="center" wrapText="1"/>
    </xf>
    <xf numFmtId="0" fontId="14" fillId="14" borderId="36" xfId="0" applyFont="1" applyFill="1" applyBorder="1" applyAlignment="1" applyProtection="1">
      <alignment horizontal="center" wrapText="1"/>
    </xf>
    <xf numFmtId="0" fontId="0" fillId="0" borderId="2" xfId="0" applyBorder="1" applyAlignment="1" applyProtection="1">
      <alignment horizontal="center" wrapText="1"/>
    </xf>
    <xf numFmtId="0" fontId="0" fillId="0" borderId="1" xfId="0" applyBorder="1" applyAlignment="1" applyProtection="1">
      <alignment horizontal="center" wrapText="1"/>
    </xf>
    <xf numFmtId="0" fontId="13" fillId="0" borderId="28" xfId="0" applyFont="1" applyBorder="1" applyAlignment="1" applyProtection="1">
      <alignment horizontal="center"/>
    </xf>
    <xf numFmtId="0" fontId="0" fillId="0" borderId="6" xfId="0" applyBorder="1" applyAlignment="1" applyProtection="1">
      <alignment horizontal="center"/>
    </xf>
    <xf numFmtId="0" fontId="0" fillId="0" borderId="8" xfId="0" applyBorder="1" applyAlignment="1" applyProtection="1">
      <alignment horizontal="center"/>
    </xf>
    <xf numFmtId="0" fontId="0" fillId="0" borderId="2" xfId="0" applyBorder="1" applyAlignment="1" applyProtection="1">
      <alignment horizontal="center"/>
    </xf>
    <xf numFmtId="0" fontId="0" fillId="0" borderId="1" xfId="0" applyBorder="1" applyAlignment="1" applyProtection="1">
      <alignment horizontal="center"/>
    </xf>
    <xf numFmtId="166" fontId="11" fillId="4" borderId="15" xfId="0" applyNumberFormat="1" applyFont="1" applyFill="1" applyBorder="1" applyAlignment="1" applyProtection="1">
      <alignment horizontal="left"/>
    </xf>
    <xf numFmtId="166" fontId="8" fillId="4" borderId="6" xfId="0" applyNumberFormat="1" applyFont="1" applyFill="1" applyBorder="1" applyAlignment="1" applyProtection="1">
      <alignment horizontal="left"/>
    </xf>
    <xf numFmtId="166" fontId="8" fillId="4" borderId="5" xfId="0" applyNumberFormat="1" applyFont="1" applyFill="1" applyBorder="1" applyAlignment="1" applyProtection="1">
      <alignment horizontal="left"/>
    </xf>
    <xf numFmtId="166" fontId="10" fillId="0" borderId="14" xfId="0" applyNumberFormat="1" applyFont="1" applyFill="1" applyBorder="1" applyAlignment="1" applyProtection="1">
      <alignment horizontal="left"/>
    </xf>
    <xf numFmtId="166" fontId="10" fillId="0" borderId="15" xfId="0" applyNumberFormat="1" applyFont="1" applyFill="1" applyBorder="1" applyAlignment="1" applyProtection="1">
      <alignment horizontal="left"/>
    </xf>
    <xf numFmtId="166" fontId="10" fillId="0" borderId="7" xfId="0" applyNumberFormat="1" applyFont="1" applyFill="1" applyBorder="1" applyAlignment="1" applyProtection="1">
      <alignment horizontal="left" wrapText="1"/>
    </xf>
    <xf numFmtId="166" fontId="10" fillId="0" borderId="5" xfId="0" applyNumberFormat="1" applyFont="1" applyFill="1" applyBorder="1" applyAlignment="1" applyProtection="1">
      <alignment horizontal="left" wrapText="1"/>
    </xf>
    <xf numFmtId="166" fontId="10" fillId="0" borderId="7" xfId="0" applyNumberFormat="1" applyFont="1" applyFill="1" applyBorder="1" applyAlignment="1" applyProtection="1">
      <alignment horizontal="left"/>
    </xf>
    <xf numFmtId="166" fontId="10" fillId="0" borderId="5" xfId="0" applyNumberFormat="1" applyFont="1" applyFill="1" applyBorder="1" applyAlignment="1" applyProtection="1">
      <alignment horizontal="left"/>
    </xf>
    <xf numFmtId="0" fontId="0" fillId="0" borderId="7" xfId="0" applyBorder="1" applyAlignment="1" applyProtection="1">
      <alignment horizontal="center"/>
    </xf>
    <xf numFmtId="164" fontId="14" fillId="0" borderId="31" xfId="0" applyNumberFormat="1" applyFont="1" applyBorder="1" applyAlignment="1" applyProtection="1">
      <alignment horizontal="center" wrapText="1"/>
    </xf>
    <xf numFmtId="164" fontId="14" fillId="0" borderId="36" xfId="0" applyNumberFormat="1" applyFont="1" applyBorder="1" applyAlignment="1" applyProtection="1">
      <alignment horizontal="center" wrapText="1"/>
    </xf>
    <xf numFmtId="166" fontId="9" fillId="0" borderId="15" xfId="0" applyNumberFormat="1" applyFont="1" applyFill="1" applyBorder="1" applyAlignment="1" applyProtection="1">
      <alignment horizontal="right"/>
    </xf>
    <xf numFmtId="166" fontId="9" fillId="0" borderId="5" xfId="0" applyNumberFormat="1" applyFont="1" applyFill="1" applyBorder="1" applyAlignment="1" applyProtection="1">
      <alignment horizontal="right"/>
    </xf>
    <xf numFmtId="166" fontId="8" fillId="5" borderId="15" xfId="0" applyNumberFormat="1" applyFont="1" applyFill="1" applyBorder="1" applyAlignment="1" applyProtection="1">
      <alignment horizontal="left"/>
    </xf>
    <xf numFmtId="166" fontId="8" fillId="5" borderId="6" xfId="0" applyNumberFormat="1" applyFont="1" applyFill="1" applyBorder="1" applyAlignment="1" applyProtection="1">
      <alignment horizontal="left"/>
    </xf>
    <xf numFmtId="166" fontId="8" fillId="5" borderId="5" xfId="0" applyNumberFormat="1" applyFont="1" applyFill="1" applyBorder="1" applyAlignment="1" applyProtection="1">
      <alignment horizontal="left"/>
    </xf>
    <xf numFmtId="0" fontId="0" fillId="0" borderId="11" xfId="0" applyBorder="1" applyAlignment="1" applyProtection="1">
      <alignment horizontal="center"/>
    </xf>
    <xf numFmtId="0" fontId="0" fillId="0" borderId="10" xfId="0" applyBorder="1" applyAlignment="1" applyProtection="1">
      <alignment horizontal="center"/>
    </xf>
    <xf numFmtId="44" fontId="10" fillId="0" borderId="0" xfId="0" applyNumberFormat="1" applyFont="1" applyFill="1" applyBorder="1" applyAlignment="1" applyProtection="1">
      <alignment horizontal="right"/>
    </xf>
    <xf numFmtId="0" fontId="10" fillId="0" borderId="0" xfId="0" applyFont="1" applyFill="1" applyBorder="1" applyAlignment="1" applyProtection="1">
      <alignment horizontal="right"/>
    </xf>
    <xf numFmtId="0" fontId="13" fillId="0" borderId="0" xfId="0" applyFont="1" applyFill="1" applyBorder="1" applyAlignment="1" applyProtection="1">
      <alignment horizontal="right" wrapText="1"/>
    </xf>
    <xf numFmtId="0" fontId="14" fillId="0" borderId="16" xfId="0" applyFont="1" applyBorder="1" applyAlignment="1" applyProtection="1">
      <alignment horizontal="center" wrapText="1"/>
    </xf>
    <xf numFmtId="166" fontId="10" fillId="0" borderId="17" xfId="0" applyNumberFormat="1" applyFont="1" applyFill="1" applyBorder="1" applyAlignment="1" applyProtection="1">
      <alignment horizontal="left"/>
    </xf>
    <xf numFmtId="166" fontId="10" fillId="0" borderId="13" xfId="0" applyNumberFormat="1" applyFont="1" applyFill="1" applyBorder="1" applyAlignment="1" applyProtection="1">
      <alignment horizontal="left"/>
    </xf>
    <xf numFmtId="0" fontId="17" fillId="29" borderId="15" xfId="0" applyFont="1" applyFill="1" applyBorder="1" applyAlignment="1" applyProtection="1">
      <alignment horizontal="center"/>
      <protection locked="0"/>
    </xf>
    <xf numFmtId="0" fontId="17" fillId="29" borderId="6" xfId="0" applyFont="1" applyFill="1" applyBorder="1" applyAlignment="1" applyProtection="1">
      <alignment horizontal="center"/>
      <protection locked="0"/>
    </xf>
    <xf numFmtId="0" fontId="17" fillId="29" borderId="5" xfId="0" applyFont="1" applyFill="1" applyBorder="1" applyAlignment="1" applyProtection="1">
      <alignment horizontal="center"/>
      <protection locked="0"/>
    </xf>
    <xf numFmtId="167" fontId="22" fillId="28" borderId="43" xfId="300" applyNumberFormat="1" applyFont="1" applyFill="1" applyBorder="1" applyAlignment="1">
      <alignment horizontal="center"/>
    </xf>
    <xf numFmtId="167" fontId="22" fillId="28" borderId="48" xfId="300" applyNumberFormat="1" applyFont="1" applyFill="1" applyBorder="1" applyAlignment="1">
      <alignment horizontal="center"/>
    </xf>
    <xf numFmtId="167" fontId="22" fillId="28" borderId="44" xfId="300" applyNumberFormat="1" applyFont="1" applyFill="1" applyBorder="1" applyAlignment="1">
      <alignment horizontal="center"/>
    </xf>
    <xf numFmtId="167" fontId="22" fillId="28" borderId="49" xfId="300" applyNumberFormat="1" applyFont="1" applyFill="1" applyBorder="1" applyAlignment="1">
      <alignment horizontal="center"/>
    </xf>
    <xf numFmtId="164" fontId="1" fillId="20" borderId="41" xfId="51485" applyNumberFormat="1" applyFont="1" applyBorder="1" applyAlignment="1">
      <alignment horizontal="center" wrapText="1"/>
    </xf>
    <xf numFmtId="164" fontId="2" fillId="20" borderId="45" xfId="51485" applyNumberFormat="1" applyBorder="1" applyAlignment="1">
      <alignment horizontal="center" wrapText="1"/>
    </xf>
    <xf numFmtId="164" fontId="2" fillId="20" borderId="42" xfId="51485" applyNumberFormat="1" applyBorder="1" applyAlignment="1">
      <alignment horizontal="center" wrapText="1"/>
    </xf>
    <xf numFmtId="0" fontId="19" fillId="9" borderId="9" xfId="51486" applyFont="1" applyFill="1" applyBorder="1" applyAlignment="1" applyProtection="1">
      <alignment horizontal="center"/>
    </xf>
    <xf numFmtId="43" fontId="9" fillId="0" borderId="24" xfId="300" applyFont="1" applyBorder="1" applyAlignment="1" applyProtection="1">
      <alignment horizontal="right"/>
    </xf>
    <xf numFmtId="43" fontId="9" fillId="0" borderId="37" xfId="300" applyFont="1" applyBorder="1" applyAlignment="1" applyProtection="1">
      <alignment horizontal="right"/>
    </xf>
    <xf numFmtId="43" fontId="7" fillId="0" borderId="9" xfId="51486" applyNumberFormat="1" applyFont="1" applyBorder="1" applyAlignment="1" applyProtection="1">
      <alignment horizontal="left"/>
    </xf>
    <xf numFmtId="0" fontId="7" fillId="0" borderId="9" xfId="51486" applyFont="1" applyBorder="1" applyAlignment="1" applyProtection="1">
      <alignment horizontal="left"/>
    </xf>
    <xf numFmtId="0" fontId="7" fillId="0" borderId="9" xfId="51486" applyFont="1" applyFill="1" applyBorder="1" applyAlignment="1" applyProtection="1">
      <alignment horizontal="left"/>
      <protection locked="0"/>
    </xf>
    <xf numFmtId="0" fontId="13" fillId="11" borderId="15" xfId="51486" applyNumberFormat="1" applyFont="1" applyFill="1" applyBorder="1" applyAlignment="1" applyProtection="1">
      <alignment horizontal="center"/>
    </xf>
    <xf numFmtId="0" fontId="13" fillId="11" borderId="6" xfId="51486" applyNumberFormat="1" applyFont="1" applyFill="1" applyBorder="1" applyAlignment="1" applyProtection="1">
      <alignment horizontal="center"/>
    </xf>
    <xf numFmtId="0" fontId="13" fillId="11" borderId="5" xfId="51486" applyNumberFormat="1" applyFont="1" applyFill="1" applyBorder="1" applyAlignment="1" applyProtection="1">
      <alignment horizontal="center"/>
    </xf>
    <xf numFmtId="164" fontId="13" fillId="11" borderId="15" xfId="27" applyNumberFormat="1" applyFont="1" applyFill="1" applyBorder="1" applyAlignment="1" applyProtection="1">
      <alignment horizontal="center" wrapText="1"/>
    </xf>
    <xf numFmtId="164" fontId="13" fillId="11" borderId="5" xfId="27" applyNumberFormat="1" applyFont="1" applyFill="1" applyBorder="1" applyAlignment="1" applyProtection="1">
      <alignment horizontal="center" wrapText="1"/>
    </xf>
    <xf numFmtId="166" fontId="21" fillId="0" borderId="15" xfId="27" applyNumberFormat="1" applyFont="1" applyFill="1" applyBorder="1" applyAlignment="1" applyProtection="1">
      <alignment horizontal="right"/>
    </xf>
    <xf numFmtId="166" fontId="21" fillId="0" borderId="5" xfId="27" applyNumberFormat="1" applyFont="1" applyFill="1" applyBorder="1" applyAlignment="1" applyProtection="1">
      <alignment horizontal="right"/>
    </xf>
    <xf numFmtId="43" fontId="9" fillId="0" borderId="24" xfId="300" applyFont="1" applyFill="1" applyBorder="1" applyAlignment="1" applyProtection="1">
      <alignment horizontal="right"/>
    </xf>
    <xf numFmtId="43" fontId="9" fillId="0" borderId="37" xfId="300" applyFont="1" applyFill="1" applyBorder="1" applyAlignment="1" applyProtection="1">
      <alignment horizontal="right"/>
    </xf>
    <xf numFmtId="43" fontId="9" fillId="0" borderId="0" xfId="300" applyFont="1" applyBorder="1" applyAlignment="1" applyProtection="1">
      <alignment horizontal="right"/>
    </xf>
    <xf numFmtId="0" fontId="12" fillId="0" borderId="15" xfId="51486" applyNumberFormat="1" applyFont="1" applyFill="1" applyBorder="1" applyAlignment="1" applyProtection="1">
      <alignment horizontal="right"/>
    </xf>
    <xf numFmtId="0" fontId="12" fillId="0" borderId="6" xfId="51486" applyNumberFormat="1" applyFont="1" applyFill="1" applyBorder="1" applyAlignment="1" applyProtection="1">
      <alignment horizontal="right"/>
    </xf>
    <xf numFmtId="0" fontId="12" fillId="0" borderId="5" xfId="51486" applyNumberFormat="1" applyFont="1" applyFill="1" applyBorder="1" applyAlignment="1" applyProtection="1">
      <alignment horizontal="right"/>
    </xf>
    <xf numFmtId="164" fontId="12" fillId="12" borderId="9" xfId="27" applyNumberFormat="1" applyFont="1" applyFill="1" applyBorder="1" applyAlignment="1" applyProtection="1">
      <alignment horizontal="right"/>
    </xf>
    <xf numFmtId="0" fontId="12" fillId="0" borderId="15" xfId="51486" applyNumberFormat="1" applyFont="1" applyBorder="1" applyAlignment="1" applyProtection="1">
      <alignment horizontal="left"/>
    </xf>
    <xf numFmtId="0" fontId="12" fillId="0" borderId="6" xfId="51486" applyNumberFormat="1" applyFont="1" applyBorder="1" applyAlignment="1" applyProtection="1">
      <alignment horizontal="left"/>
    </xf>
    <xf numFmtId="0" fontId="12" fillId="0" borderId="5" xfId="51486" applyNumberFormat="1" applyFont="1" applyBorder="1" applyAlignment="1" applyProtection="1">
      <alignment horizontal="left"/>
    </xf>
    <xf numFmtId="166" fontId="12" fillId="10" borderId="15" xfId="27" applyNumberFormat="1" applyFont="1" applyFill="1" applyBorder="1" applyAlignment="1" applyProtection="1">
      <alignment horizontal="right"/>
    </xf>
    <xf numFmtId="166" fontId="12" fillId="10" borderId="5" xfId="27" applyNumberFormat="1" applyFont="1" applyFill="1" applyBorder="1" applyAlignment="1" applyProtection="1">
      <alignment horizontal="right"/>
    </xf>
    <xf numFmtId="0" fontId="12" fillId="12" borderId="15" xfId="51486" applyNumberFormat="1" applyFont="1" applyFill="1" applyBorder="1" applyAlignment="1" applyProtection="1">
      <alignment horizontal="left"/>
    </xf>
    <xf numFmtId="0" fontId="12" fillId="12" borderId="6" xfId="51486" applyNumberFormat="1" applyFont="1" applyFill="1" applyBorder="1" applyAlignment="1" applyProtection="1">
      <alignment horizontal="left"/>
    </xf>
    <xf numFmtId="0" fontId="12" fillId="12" borderId="5" xfId="51486" applyNumberFormat="1" applyFont="1" applyFill="1" applyBorder="1" applyAlignment="1" applyProtection="1">
      <alignment horizontal="left"/>
    </xf>
    <xf numFmtId="0" fontId="21" fillId="12" borderId="15" xfId="51486" applyNumberFormat="1" applyFont="1" applyFill="1" applyBorder="1" applyAlignment="1" applyProtection="1">
      <alignment horizontal="left"/>
    </xf>
    <xf numFmtId="0" fontId="21" fillId="12" borderId="6" xfId="51486" applyNumberFormat="1" applyFont="1" applyFill="1" applyBorder="1" applyAlignment="1" applyProtection="1">
      <alignment horizontal="left"/>
    </xf>
    <xf numFmtId="0" fontId="21" fillId="12" borderId="5" xfId="51486" applyNumberFormat="1" applyFont="1" applyFill="1" applyBorder="1" applyAlignment="1" applyProtection="1">
      <alignment horizontal="left"/>
    </xf>
    <xf numFmtId="166" fontId="21" fillId="0" borderId="9" xfId="27" applyNumberFormat="1" applyFont="1" applyFill="1" applyBorder="1" applyAlignment="1" applyProtection="1">
      <alignment horizontal="right"/>
    </xf>
    <xf numFmtId="166" fontId="21" fillId="10" borderId="9" xfId="27" applyNumberFormat="1" applyFont="1" applyFill="1" applyBorder="1" applyAlignment="1" applyProtection="1">
      <alignment horizontal="right"/>
    </xf>
    <xf numFmtId="0" fontId="60" fillId="0" borderId="0" xfId="0" quotePrefix="1" applyFont="1" applyAlignment="1">
      <alignment horizontal="left" wrapText="1"/>
    </xf>
    <xf numFmtId="7" fontId="10" fillId="0" borderId="13" xfId="2" applyNumberFormat="1" applyFont="1" applyBorder="1" applyProtection="1">
      <protection locked="0"/>
    </xf>
    <xf numFmtId="7" fontId="10" fillId="0" borderId="15" xfId="2" applyNumberFormat="1" applyFont="1" applyBorder="1" applyProtection="1">
      <protection locked="0"/>
    </xf>
    <xf numFmtId="7" fontId="7" fillId="0" borderId="15" xfId="2" applyNumberFormat="1" applyFont="1" applyBorder="1" applyProtection="1">
      <protection locked="0"/>
    </xf>
  </cellXfs>
  <cellStyles count="51487">
    <cellStyle name="20% - Accent1 2" xfId="63"/>
    <cellStyle name="20% - Accent2 2" xfId="64"/>
    <cellStyle name="20% - Accent3" xfId="51485" builtinId="38"/>
    <cellStyle name="20% - Accent3 2" xfId="65"/>
    <cellStyle name="20% - Accent4 2" xfId="66"/>
    <cellStyle name="20% - Accent5 2" xfId="67"/>
    <cellStyle name="20% - Accent6 2" xfId="68"/>
    <cellStyle name="40% - Accent1 2" xfId="69"/>
    <cellStyle name="40% - Accent2 2" xfId="70"/>
    <cellStyle name="40% - Accent3 2" xfId="71"/>
    <cellStyle name="40% - Accent4 2" xfId="72"/>
    <cellStyle name="40% - Accent5 2" xfId="73"/>
    <cellStyle name="40% - Accent6 2" xfId="74"/>
    <cellStyle name="Comma" xfId="1" builtinId="3"/>
    <cellStyle name="Comma 2" xfId="9"/>
    <cellStyle name="Comma 2 10" xfId="75"/>
    <cellStyle name="Comma 2 10 10" xfId="76"/>
    <cellStyle name="Comma 2 10 2" xfId="77"/>
    <cellStyle name="Comma 2 10 2 2" xfId="78"/>
    <cellStyle name="Comma 2 10 2 2 2" xfId="79"/>
    <cellStyle name="Comma 2 10 2 2 2 2" xfId="80"/>
    <cellStyle name="Comma 2 10 2 2 2 2 2" xfId="81"/>
    <cellStyle name="Comma 2 10 2 2 2 2 2 2" xfId="82"/>
    <cellStyle name="Comma 2 10 2 2 2 2 2 3" xfId="83"/>
    <cellStyle name="Comma 2 10 2 2 2 2 3" xfId="84"/>
    <cellStyle name="Comma 2 10 2 2 2 2 3 2" xfId="85"/>
    <cellStyle name="Comma 2 10 2 2 2 2 3 3" xfId="86"/>
    <cellStyle name="Comma 2 10 2 2 2 2 4" xfId="87"/>
    <cellStyle name="Comma 2 10 2 2 2 2 5" xfId="88"/>
    <cellStyle name="Comma 2 10 2 2 2 3" xfId="89"/>
    <cellStyle name="Comma 2 10 2 2 2 3 2" xfId="90"/>
    <cellStyle name="Comma 2 10 2 2 2 3 3" xfId="91"/>
    <cellStyle name="Comma 2 10 2 2 2 4" xfId="92"/>
    <cellStyle name="Comma 2 10 2 2 2 4 2" xfId="93"/>
    <cellStyle name="Comma 2 10 2 2 2 4 3" xfId="94"/>
    <cellStyle name="Comma 2 10 2 2 2 5" xfId="95"/>
    <cellStyle name="Comma 2 10 2 2 2 6" xfId="96"/>
    <cellStyle name="Comma 2 10 2 2 3" xfId="97"/>
    <cellStyle name="Comma 2 10 2 2 3 2" xfId="98"/>
    <cellStyle name="Comma 2 10 2 2 3 2 2" xfId="99"/>
    <cellStyle name="Comma 2 10 2 2 3 2 2 2" xfId="100"/>
    <cellStyle name="Comma 2 10 2 2 3 2 2 3" xfId="101"/>
    <cellStyle name="Comma 2 10 2 2 3 2 3" xfId="102"/>
    <cellStyle name="Comma 2 10 2 2 3 2 3 2" xfId="103"/>
    <cellStyle name="Comma 2 10 2 2 3 2 3 3" xfId="104"/>
    <cellStyle name="Comma 2 10 2 2 3 2 4" xfId="105"/>
    <cellStyle name="Comma 2 10 2 2 3 2 5" xfId="106"/>
    <cellStyle name="Comma 2 10 2 2 3 3" xfId="107"/>
    <cellStyle name="Comma 2 10 2 2 3 3 2" xfId="108"/>
    <cellStyle name="Comma 2 10 2 2 3 3 3" xfId="109"/>
    <cellStyle name="Comma 2 10 2 2 3 4" xfId="110"/>
    <cellStyle name="Comma 2 10 2 2 3 4 2" xfId="111"/>
    <cellStyle name="Comma 2 10 2 2 3 4 3" xfId="112"/>
    <cellStyle name="Comma 2 10 2 2 3 5" xfId="113"/>
    <cellStyle name="Comma 2 10 2 2 3 6" xfId="114"/>
    <cellStyle name="Comma 2 10 2 2 4" xfId="115"/>
    <cellStyle name="Comma 2 10 2 2 4 2" xfId="116"/>
    <cellStyle name="Comma 2 10 2 2 4 2 2" xfId="117"/>
    <cellStyle name="Comma 2 10 2 2 4 2 3" xfId="118"/>
    <cellStyle name="Comma 2 10 2 2 4 3" xfId="119"/>
    <cellStyle name="Comma 2 10 2 2 4 3 2" xfId="120"/>
    <cellStyle name="Comma 2 10 2 2 4 3 3" xfId="121"/>
    <cellStyle name="Comma 2 10 2 2 4 4" xfId="122"/>
    <cellStyle name="Comma 2 10 2 2 4 5" xfId="123"/>
    <cellStyle name="Comma 2 10 2 2 5" xfId="124"/>
    <cellStyle name="Comma 2 10 2 2 5 2" xfId="125"/>
    <cellStyle name="Comma 2 10 2 2 5 3" xfId="126"/>
    <cellStyle name="Comma 2 10 2 2 6" xfId="127"/>
    <cellStyle name="Comma 2 10 2 2 6 2" xfId="128"/>
    <cellStyle name="Comma 2 10 2 2 6 3" xfId="129"/>
    <cellStyle name="Comma 2 10 2 2 7" xfId="130"/>
    <cellStyle name="Comma 2 10 2 2 8" xfId="131"/>
    <cellStyle name="Comma 2 10 2 3" xfId="132"/>
    <cellStyle name="Comma 2 10 2 3 2" xfId="133"/>
    <cellStyle name="Comma 2 10 2 3 2 2" xfId="134"/>
    <cellStyle name="Comma 2 10 2 3 2 2 2" xfId="135"/>
    <cellStyle name="Comma 2 10 2 3 2 2 3" xfId="136"/>
    <cellStyle name="Comma 2 10 2 3 2 3" xfId="137"/>
    <cellStyle name="Comma 2 10 2 3 2 3 2" xfId="138"/>
    <cellStyle name="Comma 2 10 2 3 2 3 3" xfId="139"/>
    <cellStyle name="Comma 2 10 2 3 2 4" xfId="140"/>
    <cellStyle name="Comma 2 10 2 3 2 5" xfId="141"/>
    <cellStyle name="Comma 2 10 2 3 3" xfId="142"/>
    <cellStyle name="Comma 2 10 2 3 3 2" xfId="143"/>
    <cellStyle name="Comma 2 10 2 3 3 3" xfId="144"/>
    <cellStyle name="Comma 2 10 2 3 4" xfId="145"/>
    <cellStyle name="Comma 2 10 2 3 4 2" xfId="146"/>
    <cellStyle name="Comma 2 10 2 3 4 3" xfId="147"/>
    <cellStyle name="Comma 2 10 2 3 5" xfId="148"/>
    <cellStyle name="Comma 2 10 2 3 6" xfId="149"/>
    <cellStyle name="Comma 2 10 2 4" xfId="150"/>
    <cellStyle name="Comma 2 10 2 4 2" xfId="151"/>
    <cellStyle name="Comma 2 10 2 4 2 2" xfId="152"/>
    <cellStyle name="Comma 2 10 2 4 2 2 2" xfId="153"/>
    <cellStyle name="Comma 2 10 2 4 2 2 3" xfId="154"/>
    <cellStyle name="Comma 2 10 2 4 2 3" xfId="155"/>
    <cellStyle name="Comma 2 10 2 4 2 3 2" xfId="156"/>
    <cellStyle name="Comma 2 10 2 4 2 3 3" xfId="157"/>
    <cellStyle name="Comma 2 10 2 4 2 4" xfId="158"/>
    <cellStyle name="Comma 2 10 2 4 2 5" xfId="159"/>
    <cellStyle name="Comma 2 10 2 4 3" xfId="160"/>
    <cellStyle name="Comma 2 10 2 4 3 2" xfId="161"/>
    <cellStyle name="Comma 2 10 2 4 3 3" xfId="162"/>
    <cellStyle name="Comma 2 10 2 4 4" xfId="163"/>
    <cellStyle name="Comma 2 10 2 4 4 2" xfId="164"/>
    <cellStyle name="Comma 2 10 2 4 4 3" xfId="165"/>
    <cellStyle name="Comma 2 10 2 4 5" xfId="166"/>
    <cellStyle name="Comma 2 10 2 4 6" xfId="167"/>
    <cellStyle name="Comma 2 10 2 5" xfId="168"/>
    <cellStyle name="Comma 2 10 2 5 2" xfId="169"/>
    <cellStyle name="Comma 2 10 2 5 2 2" xfId="170"/>
    <cellStyle name="Comma 2 10 2 5 2 3" xfId="171"/>
    <cellStyle name="Comma 2 10 2 5 3" xfId="172"/>
    <cellStyle name="Comma 2 10 2 5 3 2" xfId="173"/>
    <cellStyle name="Comma 2 10 2 5 3 3" xfId="174"/>
    <cellStyle name="Comma 2 10 2 5 4" xfId="175"/>
    <cellStyle name="Comma 2 10 2 5 5" xfId="176"/>
    <cellStyle name="Comma 2 10 2 6" xfId="177"/>
    <cellStyle name="Comma 2 10 2 6 2" xfId="178"/>
    <cellStyle name="Comma 2 10 2 6 3" xfId="179"/>
    <cellStyle name="Comma 2 10 2 7" xfId="180"/>
    <cellStyle name="Comma 2 10 2 7 2" xfId="181"/>
    <cellStyle name="Comma 2 10 2 7 3" xfId="182"/>
    <cellStyle name="Comma 2 10 2 8" xfId="183"/>
    <cellStyle name="Comma 2 10 2 9" xfId="184"/>
    <cellStyle name="Comma 2 10 3" xfId="185"/>
    <cellStyle name="Comma 2 10 3 2" xfId="186"/>
    <cellStyle name="Comma 2 10 3 2 2" xfId="187"/>
    <cellStyle name="Comma 2 10 3 2 2 2" xfId="188"/>
    <cellStyle name="Comma 2 10 3 2 2 2 2" xfId="189"/>
    <cellStyle name="Comma 2 10 3 2 2 2 3" xfId="190"/>
    <cellStyle name="Comma 2 10 3 2 2 3" xfId="191"/>
    <cellStyle name="Comma 2 10 3 2 2 3 2" xfId="192"/>
    <cellStyle name="Comma 2 10 3 2 2 3 3" xfId="193"/>
    <cellStyle name="Comma 2 10 3 2 2 4" xfId="194"/>
    <cellStyle name="Comma 2 10 3 2 2 5" xfId="195"/>
    <cellStyle name="Comma 2 10 3 2 3" xfId="196"/>
    <cellStyle name="Comma 2 10 3 2 3 2" xfId="197"/>
    <cellStyle name="Comma 2 10 3 2 3 3" xfId="198"/>
    <cellStyle name="Comma 2 10 3 2 4" xfId="199"/>
    <cellStyle name="Comma 2 10 3 2 4 2" xfId="200"/>
    <cellStyle name="Comma 2 10 3 2 4 3" xfId="201"/>
    <cellStyle name="Comma 2 10 3 2 5" xfId="202"/>
    <cellStyle name="Comma 2 10 3 2 6" xfId="203"/>
    <cellStyle name="Comma 2 10 3 3" xfId="204"/>
    <cellStyle name="Comma 2 10 3 3 2" xfId="205"/>
    <cellStyle name="Comma 2 10 3 3 2 2" xfId="206"/>
    <cellStyle name="Comma 2 10 3 3 2 2 2" xfId="207"/>
    <cellStyle name="Comma 2 10 3 3 2 2 3" xfId="208"/>
    <cellStyle name="Comma 2 10 3 3 2 3" xfId="209"/>
    <cellStyle name="Comma 2 10 3 3 2 3 2" xfId="210"/>
    <cellStyle name="Comma 2 10 3 3 2 3 3" xfId="211"/>
    <cellStyle name="Comma 2 10 3 3 2 4" xfId="212"/>
    <cellStyle name="Comma 2 10 3 3 2 5" xfId="213"/>
    <cellStyle name="Comma 2 10 3 3 3" xfId="214"/>
    <cellStyle name="Comma 2 10 3 3 3 2" xfId="215"/>
    <cellStyle name="Comma 2 10 3 3 3 3" xfId="216"/>
    <cellStyle name="Comma 2 10 3 3 4" xfId="217"/>
    <cellStyle name="Comma 2 10 3 3 4 2" xfId="218"/>
    <cellStyle name="Comma 2 10 3 3 4 3" xfId="219"/>
    <cellStyle name="Comma 2 10 3 3 5" xfId="220"/>
    <cellStyle name="Comma 2 10 3 3 6" xfId="221"/>
    <cellStyle name="Comma 2 10 3 4" xfId="222"/>
    <cellStyle name="Comma 2 10 3 4 2" xfId="223"/>
    <cellStyle name="Comma 2 10 3 4 2 2" xfId="224"/>
    <cellStyle name="Comma 2 10 3 4 2 3" xfId="225"/>
    <cellStyle name="Comma 2 10 3 4 3" xfId="226"/>
    <cellStyle name="Comma 2 10 3 4 3 2" xfId="227"/>
    <cellStyle name="Comma 2 10 3 4 3 3" xfId="228"/>
    <cellStyle name="Comma 2 10 3 4 4" xfId="229"/>
    <cellStyle name="Comma 2 10 3 4 5" xfId="230"/>
    <cellStyle name="Comma 2 10 3 5" xfId="231"/>
    <cellStyle name="Comma 2 10 3 5 2" xfId="232"/>
    <cellStyle name="Comma 2 10 3 5 3" xfId="233"/>
    <cellStyle name="Comma 2 10 3 6" xfId="234"/>
    <cellStyle name="Comma 2 10 3 6 2" xfId="235"/>
    <cellStyle name="Comma 2 10 3 6 3" xfId="236"/>
    <cellStyle name="Comma 2 10 3 7" xfId="237"/>
    <cellStyle name="Comma 2 10 3 8" xfId="238"/>
    <cellStyle name="Comma 2 10 4" xfId="239"/>
    <cellStyle name="Comma 2 10 4 2" xfId="240"/>
    <cellStyle name="Comma 2 10 4 2 2" xfId="241"/>
    <cellStyle name="Comma 2 10 4 2 2 2" xfId="242"/>
    <cellStyle name="Comma 2 10 4 2 2 3" xfId="243"/>
    <cellStyle name="Comma 2 10 4 2 3" xfId="244"/>
    <cellStyle name="Comma 2 10 4 2 3 2" xfId="245"/>
    <cellStyle name="Comma 2 10 4 2 3 3" xfId="246"/>
    <cellStyle name="Comma 2 10 4 2 4" xfId="247"/>
    <cellStyle name="Comma 2 10 4 2 5" xfId="248"/>
    <cellStyle name="Comma 2 10 4 3" xfId="249"/>
    <cellStyle name="Comma 2 10 4 3 2" xfId="250"/>
    <cellStyle name="Comma 2 10 4 3 3" xfId="251"/>
    <cellStyle name="Comma 2 10 4 4" xfId="252"/>
    <cellStyle name="Comma 2 10 4 4 2" xfId="253"/>
    <cellStyle name="Comma 2 10 4 4 3" xfId="254"/>
    <cellStyle name="Comma 2 10 4 5" xfId="255"/>
    <cellStyle name="Comma 2 10 4 6" xfId="256"/>
    <cellStyle name="Comma 2 10 5" xfId="257"/>
    <cellStyle name="Comma 2 10 5 2" xfId="258"/>
    <cellStyle name="Comma 2 10 5 2 2" xfId="259"/>
    <cellStyle name="Comma 2 10 5 2 2 2" xfId="260"/>
    <cellStyle name="Comma 2 10 5 2 2 3" xfId="261"/>
    <cellStyle name="Comma 2 10 5 2 3" xfId="262"/>
    <cellStyle name="Comma 2 10 5 2 3 2" xfId="263"/>
    <cellStyle name="Comma 2 10 5 2 3 3" xfId="264"/>
    <cellStyle name="Comma 2 10 5 2 4" xfId="265"/>
    <cellStyle name="Comma 2 10 5 2 5" xfId="266"/>
    <cellStyle name="Comma 2 10 5 3" xfId="267"/>
    <cellStyle name="Comma 2 10 5 3 2" xfId="268"/>
    <cellStyle name="Comma 2 10 5 3 3" xfId="269"/>
    <cellStyle name="Comma 2 10 5 4" xfId="270"/>
    <cellStyle name="Comma 2 10 5 4 2" xfId="271"/>
    <cellStyle name="Comma 2 10 5 4 3" xfId="272"/>
    <cellStyle name="Comma 2 10 5 5" xfId="273"/>
    <cellStyle name="Comma 2 10 5 6" xfId="274"/>
    <cellStyle name="Comma 2 10 6" xfId="275"/>
    <cellStyle name="Comma 2 10 6 2" xfId="276"/>
    <cellStyle name="Comma 2 10 6 2 2" xfId="277"/>
    <cellStyle name="Comma 2 10 6 2 3" xfId="278"/>
    <cellStyle name="Comma 2 10 6 3" xfId="279"/>
    <cellStyle name="Comma 2 10 6 3 2" xfId="280"/>
    <cellStyle name="Comma 2 10 6 3 3" xfId="281"/>
    <cellStyle name="Comma 2 10 6 4" xfId="282"/>
    <cellStyle name="Comma 2 10 6 5" xfId="283"/>
    <cellStyle name="Comma 2 10 7" xfId="284"/>
    <cellStyle name="Comma 2 10 7 2" xfId="285"/>
    <cellStyle name="Comma 2 10 7 3" xfId="286"/>
    <cellStyle name="Comma 2 10 8" xfId="287"/>
    <cellStyle name="Comma 2 10 8 2" xfId="288"/>
    <cellStyle name="Comma 2 10 8 3" xfId="289"/>
    <cellStyle name="Comma 2 10 9" xfId="290"/>
    <cellStyle name="Comma 2 11" xfId="291"/>
    <cellStyle name="Comma 2 11 2" xfId="292"/>
    <cellStyle name="Comma 2 11 2 2" xfId="293"/>
    <cellStyle name="Comma 2 11 2 3" xfId="294"/>
    <cellStyle name="Comma 2 11 3" xfId="295"/>
    <cellStyle name="Comma 2 11 3 2" xfId="296"/>
    <cellStyle name="Comma 2 11 3 3" xfId="297"/>
    <cellStyle name="Comma 2 11 4" xfId="298"/>
    <cellStyle name="Comma 2 11 5" xfId="299"/>
    <cellStyle name="Comma 2 12" xfId="300"/>
    <cellStyle name="Comma 2 13" xfId="301"/>
    <cellStyle name="Comma 2 14" xfId="302"/>
    <cellStyle name="Comma 2 15" xfId="303"/>
    <cellStyle name="Comma 2 2" xfId="25"/>
    <cellStyle name="Comma 2 2 2" xfId="304"/>
    <cellStyle name="Comma 2 2 3" xfId="305"/>
    <cellStyle name="Comma 2 3" xfId="52"/>
    <cellStyle name="Comma 2 3 10" xfId="306"/>
    <cellStyle name="Comma 2 3 2" xfId="307"/>
    <cellStyle name="Comma 2 3 2 10" xfId="308"/>
    <cellStyle name="Comma 2 3 2 10 2" xfId="309"/>
    <cellStyle name="Comma 2 3 2 10 3" xfId="310"/>
    <cellStyle name="Comma 2 3 2 11" xfId="311"/>
    <cellStyle name="Comma 2 3 2 11 2" xfId="312"/>
    <cellStyle name="Comma 2 3 2 11 3" xfId="313"/>
    <cellStyle name="Comma 2 3 2 12" xfId="314"/>
    <cellStyle name="Comma 2 3 2 13" xfId="315"/>
    <cellStyle name="Comma 2 3 2 14" xfId="316"/>
    <cellStyle name="Comma 2 3 2 15" xfId="317"/>
    <cellStyle name="Comma 2 3 2 2" xfId="318"/>
    <cellStyle name="Comma 2 3 2 2 10" xfId="319"/>
    <cellStyle name="Comma 2 3 2 2 10 2" xfId="320"/>
    <cellStyle name="Comma 2 3 2 2 10 3" xfId="321"/>
    <cellStyle name="Comma 2 3 2 2 11" xfId="322"/>
    <cellStyle name="Comma 2 3 2 2 12" xfId="323"/>
    <cellStyle name="Comma 2 3 2 2 2" xfId="324"/>
    <cellStyle name="Comma 2 3 2 2 2 10" xfId="325"/>
    <cellStyle name="Comma 2 3 2 2 2 2" xfId="326"/>
    <cellStyle name="Comma 2 3 2 2 2 2 2" xfId="327"/>
    <cellStyle name="Comma 2 3 2 2 2 2 2 2" xfId="328"/>
    <cellStyle name="Comma 2 3 2 2 2 2 2 2 2" xfId="329"/>
    <cellStyle name="Comma 2 3 2 2 2 2 2 2 2 2" xfId="330"/>
    <cellStyle name="Comma 2 3 2 2 2 2 2 2 2 2 2" xfId="331"/>
    <cellStyle name="Comma 2 3 2 2 2 2 2 2 2 2 3" xfId="332"/>
    <cellStyle name="Comma 2 3 2 2 2 2 2 2 2 3" xfId="333"/>
    <cellStyle name="Comma 2 3 2 2 2 2 2 2 2 3 2" xfId="334"/>
    <cellStyle name="Comma 2 3 2 2 2 2 2 2 2 3 3" xfId="335"/>
    <cellStyle name="Comma 2 3 2 2 2 2 2 2 2 4" xfId="336"/>
    <cellStyle name="Comma 2 3 2 2 2 2 2 2 2 5" xfId="337"/>
    <cellStyle name="Comma 2 3 2 2 2 2 2 2 3" xfId="338"/>
    <cellStyle name="Comma 2 3 2 2 2 2 2 2 3 2" xfId="339"/>
    <cellStyle name="Comma 2 3 2 2 2 2 2 2 3 3" xfId="340"/>
    <cellStyle name="Comma 2 3 2 2 2 2 2 2 4" xfId="341"/>
    <cellStyle name="Comma 2 3 2 2 2 2 2 2 4 2" xfId="342"/>
    <cellStyle name="Comma 2 3 2 2 2 2 2 2 4 3" xfId="343"/>
    <cellStyle name="Comma 2 3 2 2 2 2 2 2 5" xfId="344"/>
    <cellStyle name="Comma 2 3 2 2 2 2 2 2 6" xfId="345"/>
    <cellStyle name="Comma 2 3 2 2 2 2 2 3" xfId="346"/>
    <cellStyle name="Comma 2 3 2 2 2 2 2 3 2" xfId="347"/>
    <cellStyle name="Comma 2 3 2 2 2 2 2 3 2 2" xfId="348"/>
    <cellStyle name="Comma 2 3 2 2 2 2 2 3 2 2 2" xfId="349"/>
    <cellStyle name="Comma 2 3 2 2 2 2 2 3 2 2 3" xfId="350"/>
    <cellStyle name="Comma 2 3 2 2 2 2 2 3 2 3" xfId="351"/>
    <cellStyle name="Comma 2 3 2 2 2 2 2 3 2 3 2" xfId="352"/>
    <cellStyle name="Comma 2 3 2 2 2 2 2 3 2 3 3" xfId="353"/>
    <cellStyle name="Comma 2 3 2 2 2 2 2 3 2 4" xfId="354"/>
    <cellStyle name="Comma 2 3 2 2 2 2 2 3 2 5" xfId="355"/>
    <cellStyle name="Comma 2 3 2 2 2 2 2 3 3" xfId="356"/>
    <cellStyle name="Comma 2 3 2 2 2 2 2 3 3 2" xfId="357"/>
    <cellStyle name="Comma 2 3 2 2 2 2 2 3 3 3" xfId="358"/>
    <cellStyle name="Comma 2 3 2 2 2 2 2 3 4" xfId="359"/>
    <cellStyle name="Comma 2 3 2 2 2 2 2 3 4 2" xfId="360"/>
    <cellStyle name="Comma 2 3 2 2 2 2 2 3 4 3" xfId="361"/>
    <cellStyle name="Comma 2 3 2 2 2 2 2 3 5" xfId="362"/>
    <cellStyle name="Comma 2 3 2 2 2 2 2 3 6" xfId="363"/>
    <cellStyle name="Comma 2 3 2 2 2 2 2 4" xfId="364"/>
    <cellStyle name="Comma 2 3 2 2 2 2 2 4 2" xfId="365"/>
    <cellStyle name="Comma 2 3 2 2 2 2 2 4 2 2" xfId="366"/>
    <cellStyle name="Comma 2 3 2 2 2 2 2 4 2 3" xfId="367"/>
    <cellStyle name="Comma 2 3 2 2 2 2 2 4 3" xfId="368"/>
    <cellStyle name="Comma 2 3 2 2 2 2 2 4 3 2" xfId="369"/>
    <cellStyle name="Comma 2 3 2 2 2 2 2 4 3 3" xfId="370"/>
    <cellStyle name="Comma 2 3 2 2 2 2 2 4 4" xfId="371"/>
    <cellStyle name="Comma 2 3 2 2 2 2 2 4 5" xfId="372"/>
    <cellStyle name="Comma 2 3 2 2 2 2 2 5" xfId="373"/>
    <cellStyle name="Comma 2 3 2 2 2 2 2 5 2" xfId="374"/>
    <cellStyle name="Comma 2 3 2 2 2 2 2 5 3" xfId="375"/>
    <cellStyle name="Comma 2 3 2 2 2 2 2 6" xfId="376"/>
    <cellStyle name="Comma 2 3 2 2 2 2 2 6 2" xfId="377"/>
    <cellStyle name="Comma 2 3 2 2 2 2 2 6 3" xfId="378"/>
    <cellStyle name="Comma 2 3 2 2 2 2 2 7" xfId="379"/>
    <cellStyle name="Comma 2 3 2 2 2 2 2 8" xfId="380"/>
    <cellStyle name="Comma 2 3 2 2 2 2 3" xfId="381"/>
    <cellStyle name="Comma 2 3 2 2 2 2 3 2" xfId="382"/>
    <cellStyle name="Comma 2 3 2 2 2 2 3 2 2" xfId="383"/>
    <cellStyle name="Comma 2 3 2 2 2 2 3 2 2 2" xfId="384"/>
    <cellStyle name="Comma 2 3 2 2 2 2 3 2 2 3" xfId="385"/>
    <cellStyle name="Comma 2 3 2 2 2 2 3 2 3" xfId="386"/>
    <cellStyle name="Comma 2 3 2 2 2 2 3 2 3 2" xfId="387"/>
    <cellStyle name="Comma 2 3 2 2 2 2 3 2 3 3" xfId="388"/>
    <cellStyle name="Comma 2 3 2 2 2 2 3 2 4" xfId="389"/>
    <cellStyle name="Comma 2 3 2 2 2 2 3 2 5" xfId="390"/>
    <cellStyle name="Comma 2 3 2 2 2 2 3 3" xfId="391"/>
    <cellStyle name="Comma 2 3 2 2 2 2 3 3 2" xfId="392"/>
    <cellStyle name="Comma 2 3 2 2 2 2 3 3 3" xfId="393"/>
    <cellStyle name="Comma 2 3 2 2 2 2 3 4" xfId="394"/>
    <cellStyle name="Comma 2 3 2 2 2 2 3 4 2" xfId="395"/>
    <cellStyle name="Comma 2 3 2 2 2 2 3 4 3" xfId="396"/>
    <cellStyle name="Comma 2 3 2 2 2 2 3 5" xfId="397"/>
    <cellStyle name="Comma 2 3 2 2 2 2 3 6" xfId="398"/>
    <cellStyle name="Comma 2 3 2 2 2 2 4" xfId="399"/>
    <cellStyle name="Comma 2 3 2 2 2 2 4 2" xfId="400"/>
    <cellStyle name="Comma 2 3 2 2 2 2 4 2 2" xfId="401"/>
    <cellStyle name="Comma 2 3 2 2 2 2 4 2 2 2" xfId="402"/>
    <cellStyle name="Comma 2 3 2 2 2 2 4 2 2 3" xfId="403"/>
    <cellStyle name="Comma 2 3 2 2 2 2 4 2 3" xfId="404"/>
    <cellStyle name="Comma 2 3 2 2 2 2 4 2 3 2" xfId="405"/>
    <cellStyle name="Comma 2 3 2 2 2 2 4 2 3 3" xfId="406"/>
    <cellStyle name="Comma 2 3 2 2 2 2 4 2 4" xfId="407"/>
    <cellStyle name="Comma 2 3 2 2 2 2 4 2 5" xfId="408"/>
    <cellStyle name="Comma 2 3 2 2 2 2 4 3" xfId="409"/>
    <cellStyle name="Comma 2 3 2 2 2 2 4 3 2" xfId="410"/>
    <cellStyle name="Comma 2 3 2 2 2 2 4 3 3" xfId="411"/>
    <cellStyle name="Comma 2 3 2 2 2 2 4 4" xfId="412"/>
    <cellStyle name="Comma 2 3 2 2 2 2 4 4 2" xfId="413"/>
    <cellStyle name="Comma 2 3 2 2 2 2 4 4 3" xfId="414"/>
    <cellStyle name="Comma 2 3 2 2 2 2 4 5" xfId="415"/>
    <cellStyle name="Comma 2 3 2 2 2 2 4 6" xfId="416"/>
    <cellStyle name="Comma 2 3 2 2 2 2 5" xfId="417"/>
    <cellStyle name="Comma 2 3 2 2 2 2 5 2" xfId="418"/>
    <cellStyle name="Comma 2 3 2 2 2 2 5 2 2" xfId="419"/>
    <cellStyle name="Comma 2 3 2 2 2 2 5 2 3" xfId="420"/>
    <cellStyle name="Comma 2 3 2 2 2 2 5 3" xfId="421"/>
    <cellStyle name="Comma 2 3 2 2 2 2 5 3 2" xfId="422"/>
    <cellStyle name="Comma 2 3 2 2 2 2 5 3 3" xfId="423"/>
    <cellStyle name="Comma 2 3 2 2 2 2 5 4" xfId="424"/>
    <cellStyle name="Comma 2 3 2 2 2 2 5 5" xfId="425"/>
    <cellStyle name="Comma 2 3 2 2 2 2 6" xfId="426"/>
    <cellStyle name="Comma 2 3 2 2 2 2 6 2" xfId="427"/>
    <cellStyle name="Comma 2 3 2 2 2 2 6 3" xfId="428"/>
    <cellStyle name="Comma 2 3 2 2 2 2 7" xfId="429"/>
    <cellStyle name="Comma 2 3 2 2 2 2 7 2" xfId="430"/>
    <cellStyle name="Comma 2 3 2 2 2 2 7 3" xfId="431"/>
    <cellStyle name="Comma 2 3 2 2 2 2 8" xfId="432"/>
    <cellStyle name="Comma 2 3 2 2 2 2 9" xfId="433"/>
    <cellStyle name="Comma 2 3 2 2 2 3" xfId="434"/>
    <cellStyle name="Comma 2 3 2 2 2 3 2" xfId="435"/>
    <cellStyle name="Comma 2 3 2 2 2 3 2 2" xfId="436"/>
    <cellStyle name="Comma 2 3 2 2 2 3 2 2 2" xfId="437"/>
    <cellStyle name="Comma 2 3 2 2 2 3 2 2 2 2" xfId="438"/>
    <cellStyle name="Comma 2 3 2 2 2 3 2 2 2 3" xfId="439"/>
    <cellStyle name="Comma 2 3 2 2 2 3 2 2 3" xfId="440"/>
    <cellStyle name="Comma 2 3 2 2 2 3 2 2 3 2" xfId="441"/>
    <cellStyle name="Comma 2 3 2 2 2 3 2 2 3 3" xfId="442"/>
    <cellStyle name="Comma 2 3 2 2 2 3 2 2 4" xfId="443"/>
    <cellStyle name="Comma 2 3 2 2 2 3 2 2 5" xfId="444"/>
    <cellStyle name="Comma 2 3 2 2 2 3 2 3" xfId="445"/>
    <cellStyle name="Comma 2 3 2 2 2 3 2 3 2" xfId="446"/>
    <cellStyle name="Comma 2 3 2 2 2 3 2 3 3" xfId="447"/>
    <cellStyle name="Comma 2 3 2 2 2 3 2 4" xfId="448"/>
    <cellStyle name="Comma 2 3 2 2 2 3 2 4 2" xfId="449"/>
    <cellStyle name="Comma 2 3 2 2 2 3 2 4 3" xfId="450"/>
    <cellStyle name="Comma 2 3 2 2 2 3 2 5" xfId="451"/>
    <cellStyle name="Comma 2 3 2 2 2 3 2 6" xfId="452"/>
    <cellStyle name="Comma 2 3 2 2 2 3 3" xfId="453"/>
    <cellStyle name="Comma 2 3 2 2 2 3 3 2" xfId="454"/>
    <cellStyle name="Comma 2 3 2 2 2 3 3 2 2" xfId="455"/>
    <cellStyle name="Comma 2 3 2 2 2 3 3 2 2 2" xfId="456"/>
    <cellStyle name="Comma 2 3 2 2 2 3 3 2 2 3" xfId="457"/>
    <cellStyle name="Comma 2 3 2 2 2 3 3 2 3" xfId="458"/>
    <cellStyle name="Comma 2 3 2 2 2 3 3 2 3 2" xfId="459"/>
    <cellStyle name="Comma 2 3 2 2 2 3 3 2 3 3" xfId="460"/>
    <cellStyle name="Comma 2 3 2 2 2 3 3 2 4" xfId="461"/>
    <cellStyle name="Comma 2 3 2 2 2 3 3 2 5" xfId="462"/>
    <cellStyle name="Comma 2 3 2 2 2 3 3 3" xfId="463"/>
    <cellStyle name="Comma 2 3 2 2 2 3 3 3 2" xfId="464"/>
    <cellStyle name="Comma 2 3 2 2 2 3 3 3 3" xfId="465"/>
    <cellStyle name="Comma 2 3 2 2 2 3 3 4" xfId="466"/>
    <cellStyle name="Comma 2 3 2 2 2 3 3 4 2" xfId="467"/>
    <cellStyle name="Comma 2 3 2 2 2 3 3 4 3" xfId="468"/>
    <cellStyle name="Comma 2 3 2 2 2 3 3 5" xfId="469"/>
    <cellStyle name="Comma 2 3 2 2 2 3 3 6" xfId="470"/>
    <cellStyle name="Comma 2 3 2 2 2 3 4" xfId="471"/>
    <cellStyle name="Comma 2 3 2 2 2 3 4 2" xfId="472"/>
    <cellStyle name="Comma 2 3 2 2 2 3 4 2 2" xfId="473"/>
    <cellStyle name="Comma 2 3 2 2 2 3 4 2 3" xfId="474"/>
    <cellStyle name="Comma 2 3 2 2 2 3 4 3" xfId="475"/>
    <cellStyle name="Comma 2 3 2 2 2 3 4 3 2" xfId="476"/>
    <cellStyle name="Comma 2 3 2 2 2 3 4 3 3" xfId="477"/>
    <cellStyle name="Comma 2 3 2 2 2 3 4 4" xfId="478"/>
    <cellStyle name="Comma 2 3 2 2 2 3 4 5" xfId="479"/>
    <cellStyle name="Comma 2 3 2 2 2 3 5" xfId="480"/>
    <cellStyle name="Comma 2 3 2 2 2 3 5 2" xfId="481"/>
    <cellStyle name="Comma 2 3 2 2 2 3 5 3" xfId="482"/>
    <cellStyle name="Comma 2 3 2 2 2 3 6" xfId="483"/>
    <cellStyle name="Comma 2 3 2 2 2 3 6 2" xfId="484"/>
    <cellStyle name="Comma 2 3 2 2 2 3 6 3" xfId="485"/>
    <cellStyle name="Comma 2 3 2 2 2 3 7" xfId="486"/>
    <cellStyle name="Comma 2 3 2 2 2 3 8" xfId="487"/>
    <cellStyle name="Comma 2 3 2 2 2 4" xfId="488"/>
    <cellStyle name="Comma 2 3 2 2 2 4 2" xfId="489"/>
    <cellStyle name="Comma 2 3 2 2 2 4 2 2" xfId="490"/>
    <cellStyle name="Comma 2 3 2 2 2 4 2 2 2" xfId="491"/>
    <cellStyle name="Comma 2 3 2 2 2 4 2 2 3" xfId="492"/>
    <cellStyle name="Comma 2 3 2 2 2 4 2 3" xfId="493"/>
    <cellStyle name="Comma 2 3 2 2 2 4 2 3 2" xfId="494"/>
    <cellStyle name="Comma 2 3 2 2 2 4 2 3 3" xfId="495"/>
    <cellStyle name="Comma 2 3 2 2 2 4 2 4" xfId="496"/>
    <cellStyle name="Comma 2 3 2 2 2 4 2 5" xfId="497"/>
    <cellStyle name="Comma 2 3 2 2 2 4 3" xfId="498"/>
    <cellStyle name="Comma 2 3 2 2 2 4 3 2" xfId="499"/>
    <cellStyle name="Comma 2 3 2 2 2 4 3 3" xfId="500"/>
    <cellStyle name="Comma 2 3 2 2 2 4 4" xfId="501"/>
    <cellStyle name="Comma 2 3 2 2 2 4 4 2" xfId="502"/>
    <cellStyle name="Comma 2 3 2 2 2 4 4 3" xfId="503"/>
    <cellStyle name="Comma 2 3 2 2 2 4 5" xfId="504"/>
    <cellStyle name="Comma 2 3 2 2 2 4 6" xfId="505"/>
    <cellStyle name="Comma 2 3 2 2 2 5" xfId="506"/>
    <cellStyle name="Comma 2 3 2 2 2 5 2" xfId="507"/>
    <cellStyle name="Comma 2 3 2 2 2 5 2 2" xfId="508"/>
    <cellStyle name="Comma 2 3 2 2 2 5 2 2 2" xfId="509"/>
    <cellStyle name="Comma 2 3 2 2 2 5 2 2 3" xfId="510"/>
    <cellStyle name="Comma 2 3 2 2 2 5 2 3" xfId="511"/>
    <cellStyle name="Comma 2 3 2 2 2 5 2 3 2" xfId="512"/>
    <cellStyle name="Comma 2 3 2 2 2 5 2 3 3" xfId="513"/>
    <cellStyle name="Comma 2 3 2 2 2 5 2 4" xfId="514"/>
    <cellStyle name="Comma 2 3 2 2 2 5 2 5" xfId="515"/>
    <cellStyle name="Comma 2 3 2 2 2 5 3" xfId="516"/>
    <cellStyle name="Comma 2 3 2 2 2 5 3 2" xfId="517"/>
    <cellStyle name="Comma 2 3 2 2 2 5 3 3" xfId="518"/>
    <cellStyle name="Comma 2 3 2 2 2 5 4" xfId="519"/>
    <cellStyle name="Comma 2 3 2 2 2 5 4 2" xfId="520"/>
    <cellStyle name="Comma 2 3 2 2 2 5 4 3" xfId="521"/>
    <cellStyle name="Comma 2 3 2 2 2 5 5" xfId="522"/>
    <cellStyle name="Comma 2 3 2 2 2 5 6" xfId="523"/>
    <cellStyle name="Comma 2 3 2 2 2 6" xfId="524"/>
    <cellStyle name="Comma 2 3 2 2 2 6 2" xfId="525"/>
    <cellStyle name="Comma 2 3 2 2 2 6 2 2" xfId="526"/>
    <cellStyle name="Comma 2 3 2 2 2 6 2 3" xfId="527"/>
    <cellStyle name="Comma 2 3 2 2 2 6 3" xfId="528"/>
    <cellStyle name="Comma 2 3 2 2 2 6 3 2" xfId="529"/>
    <cellStyle name="Comma 2 3 2 2 2 6 3 3" xfId="530"/>
    <cellStyle name="Comma 2 3 2 2 2 6 4" xfId="531"/>
    <cellStyle name="Comma 2 3 2 2 2 6 5" xfId="532"/>
    <cellStyle name="Comma 2 3 2 2 2 7" xfId="533"/>
    <cellStyle name="Comma 2 3 2 2 2 7 2" xfId="534"/>
    <cellStyle name="Comma 2 3 2 2 2 7 3" xfId="535"/>
    <cellStyle name="Comma 2 3 2 2 2 8" xfId="536"/>
    <cellStyle name="Comma 2 3 2 2 2 8 2" xfId="537"/>
    <cellStyle name="Comma 2 3 2 2 2 8 3" xfId="538"/>
    <cellStyle name="Comma 2 3 2 2 2 9" xfId="539"/>
    <cellStyle name="Comma 2 3 2 2 3" xfId="540"/>
    <cellStyle name="Comma 2 3 2 2 3 10" xfId="541"/>
    <cellStyle name="Comma 2 3 2 2 3 2" xfId="542"/>
    <cellStyle name="Comma 2 3 2 2 3 2 2" xfId="543"/>
    <cellStyle name="Comma 2 3 2 2 3 2 2 2" xfId="544"/>
    <cellStyle name="Comma 2 3 2 2 3 2 2 2 2" xfId="545"/>
    <cellStyle name="Comma 2 3 2 2 3 2 2 2 2 2" xfId="546"/>
    <cellStyle name="Comma 2 3 2 2 3 2 2 2 2 2 2" xfId="547"/>
    <cellStyle name="Comma 2 3 2 2 3 2 2 2 2 2 3" xfId="548"/>
    <cellStyle name="Comma 2 3 2 2 3 2 2 2 2 3" xfId="549"/>
    <cellStyle name="Comma 2 3 2 2 3 2 2 2 2 3 2" xfId="550"/>
    <cellStyle name="Comma 2 3 2 2 3 2 2 2 2 3 3" xfId="551"/>
    <cellStyle name="Comma 2 3 2 2 3 2 2 2 2 4" xfId="552"/>
    <cellStyle name="Comma 2 3 2 2 3 2 2 2 2 5" xfId="553"/>
    <cellStyle name="Comma 2 3 2 2 3 2 2 2 3" xfId="554"/>
    <cellStyle name="Comma 2 3 2 2 3 2 2 2 3 2" xfId="555"/>
    <cellStyle name="Comma 2 3 2 2 3 2 2 2 3 3" xfId="556"/>
    <cellStyle name="Comma 2 3 2 2 3 2 2 2 4" xfId="557"/>
    <cellStyle name="Comma 2 3 2 2 3 2 2 2 4 2" xfId="558"/>
    <cellStyle name="Comma 2 3 2 2 3 2 2 2 4 3" xfId="559"/>
    <cellStyle name="Comma 2 3 2 2 3 2 2 2 5" xfId="560"/>
    <cellStyle name="Comma 2 3 2 2 3 2 2 2 6" xfId="561"/>
    <cellStyle name="Comma 2 3 2 2 3 2 2 3" xfId="562"/>
    <cellStyle name="Comma 2 3 2 2 3 2 2 3 2" xfId="563"/>
    <cellStyle name="Comma 2 3 2 2 3 2 2 3 2 2" xfId="564"/>
    <cellStyle name="Comma 2 3 2 2 3 2 2 3 2 2 2" xfId="565"/>
    <cellStyle name="Comma 2 3 2 2 3 2 2 3 2 2 3" xfId="566"/>
    <cellStyle name="Comma 2 3 2 2 3 2 2 3 2 3" xfId="567"/>
    <cellStyle name="Comma 2 3 2 2 3 2 2 3 2 3 2" xfId="568"/>
    <cellStyle name="Comma 2 3 2 2 3 2 2 3 2 3 3" xfId="569"/>
    <cellStyle name="Comma 2 3 2 2 3 2 2 3 2 4" xfId="570"/>
    <cellStyle name="Comma 2 3 2 2 3 2 2 3 2 5" xfId="571"/>
    <cellStyle name="Comma 2 3 2 2 3 2 2 3 3" xfId="572"/>
    <cellStyle name="Comma 2 3 2 2 3 2 2 3 3 2" xfId="573"/>
    <cellStyle name="Comma 2 3 2 2 3 2 2 3 3 3" xfId="574"/>
    <cellStyle name="Comma 2 3 2 2 3 2 2 3 4" xfId="575"/>
    <cellStyle name="Comma 2 3 2 2 3 2 2 3 4 2" xfId="576"/>
    <cellStyle name="Comma 2 3 2 2 3 2 2 3 4 3" xfId="577"/>
    <cellStyle name="Comma 2 3 2 2 3 2 2 3 5" xfId="578"/>
    <cellStyle name="Comma 2 3 2 2 3 2 2 3 6" xfId="579"/>
    <cellStyle name="Comma 2 3 2 2 3 2 2 4" xfId="580"/>
    <cellStyle name="Comma 2 3 2 2 3 2 2 4 2" xfId="581"/>
    <cellStyle name="Comma 2 3 2 2 3 2 2 4 2 2" xfId="582"/>
    <cellStyle name="Comma 2 3 2 2 3 2 2 4 2 3" xfId="583"/>
    <cellStyle name="Comma 2 3 2 2 3 2 2 4 3" xfId="584"/>
    <cellStyle name="Comma 2 3 2 2 3 2 2 4 3 2" xfId="585"/>
    <cellStyle name="Comma 2 3 2 2 3 2 2 4 3 3" xfId="586"/>
    <cellStyle name="Comma 2 3 2 2 3 2 2 4 4" xfId="587"/>
    <cellStyle name="Comma 2 3 2 2 3 2 2 4 5" xfId="588"/>
    <cellStyle name="Comma 2 3 2 2 3 2 2 5" xfId="589"/>
    <cellStyle name="Comma 2 3 2 2 3 2 2 5 2" xfId="590"/>
    <cellStyle name="Comma 2 3 2 2 3 2 2 5 3" xfId="591"/>
    <cellStyle name="Comma 2 3 2 2 3 2 2 6" xfId="592"/>
    <cellStyle name="Comma 2 3 2 2 3 2 2 6 2" xfId="593"/>
    <cellStyle name="Comma 2 3 2 2 3 2 2 6 3" xfId="594"/>
    <cellStyle name="Comma 2 3 2 2 3 2 2 7" xfId="595"/>
    <cellStyle name="Comma 2 3 2 2 3 2 2 8" xfId="596"/>
    <cellStyle name="Comma 2 3 2 2 3 2 3" xfId="597"/>
    <cellStyle name="Comma 2 3 2 2 3 2 3 2" xfId="598"/>
    <cellStyle name="Comma 2 3 2 2 3 2 3 2 2" xfId="599"/>
    <cellStyle name="Comma 2 3 2 2 3 2 3 2 2 2" xfId="600"/>
    <cellStyle name="Comma 2 3 2 2 3 2 3 2 2 3" xfId="601"/>
    <cellStyle name="Comma 2 3 2 2 3 2 3 2 3" xfId="602"/>
    <cellStyle name="Comma 2 3 2 2 3 2 3 2 3 2" xfId="603"/>
    <cellStyle name="Comma 2 3 2 2 3 2 3 2 3 3" xfId="604"/>
    <cellStyle name="Comma 2 3 2 2 3 2 3 2 4" xfId="605"/>
    <cellStyle name="Comma 2 3 2 2 3 2 3 2 5" xfId="606"/>
    <cellStyle name="Comma 2 3 2 2 3 2 3 3" xfId="607"/>
    <cellStyle name="Comma 2 3 2 2 3 2 3 3 2" xfId="608"/>
    <cellStyle name="Comma 2 3 2 2 3 2 3 3 3" xfId="609"/>
    <cellStyle name="Comma 2 3 2 2 3 2 3 4" xfId="610"/>
    <cellStyle name="Comma 2 3 2 2 3 2 3 4 2" xfId="611"/>
    <cellStyle name="Comma 2 3 2 2 3 2 3 4 3" xfId="612"/>
    <cellStyle name="Comma 2 3 2 2 3 2 3 5" xfId="613"/>
    <cellStyle name="Comma 2 3 2 2 3 2 3 6" xfId="614"/>
    <cellStyle name="Comma 2 3 2 2 3 2 4" xfId="615"/>
    <cellStyle name="Comma 2 3 2 2 3 2 4 2" xfId="616"/>
    <cellStyle name="Comma 2 3 2 2 3 2 4 2 2" xfId="617"/>
    <cellStyle name="Comma 2 3 2 2 3 2 4 2 2 2" xfId="618"/>
    <cellStyle name="Comma 2 3 2 2 3 2 4 2 2 3" xfId="619"/>
    <cellStyle name="Comma 2 3 2 2 3 2 4 2 3" xfId="620"/>
    <cellStyle name="Comma 2 3 2 2 3 2 4 2 3 2" xfId="621"/>
    <cellStyle name="Comma 2 3 2 2 3 2 4 2 3 3" xfId="622"/>
    <cellStyle name="Comma 2 3 2 2 3 2 4 2 4" xfId="623"/>
    <cellStyle name="Comma 2 3 2 2 3 2 4 2 5" xfId="624"/>
    <cellStyle name="Comma 2 3 2 2 3 2 4 3" xfId="625"/>
    <cellStyle name="Comma 2 3 2 2 3 2 4 3 2" xfId="626"/>
    <cellStyle name="Comma 2 3 2 2 3 2 4 3 3" xfId="627"/>
    <cellStyle name="Comma 2 3 2 2 3 2 4 4" xfId="628"/>
    <cellStyle name="Comma 2 3 2 2 3 2 4 4 2" xfId="629"/>
    <cellStyle name="Comma 2 3 2 2 3 2 4 4 3" xfId="630"/>
    <cellStyle name="Comma 2 3 2 2 3 2 4 5" xfId="631"/>
    <cellStyle name="Comma 2 3 2 2 3 2 4 6" xfId="632"/>
    <cellStyle name="Comma 2 3 2 2 3 2 5" xfId="633"/>
    <cellStyle name="Comma 2 3 2 2 3 2 5 2" xfId="634"/>
    <cellStyle name="Comma 2 3 2 2 3 2 5 2 2" xfId="635"/>
    <cellStyle name="Comma 2 3 2 2 3 2 5 2 3" xfId="636"/>
    <cellStyle name="Comma 2 3 2 2 3 2 5 3" xfId="637"/>
    <cellStyle name="Comma 2 3 2 2 3 2 5 3 2" xfId="638"/>
    <cellStyle name="Comma 2 3 2 2 3 2 5 3 3" xfId="639"/>
    <cellStyle name="Comma 2 3 2 2 3 2 5 4" xfId="640"/>
    <cellStyle name="Comma 2 3 2 2 3 2 5 5" xfId="641"/>
    <cellStyle name="Comma 2 3 2 2 3 2 6" xfId="642"/>
    <cellStyle name="Comma 2 3 2 2 3 2 6 2" xfId="643"/>
    <cellStyle name="Comma 2 3 2 2 3 2 6 3" xfId="644"/>
    <cellStyle name="Comma 2 3 2 2 3 2 7" xfId="645"/>
    <cellStyle name="Comma 2 3 2 2 3 2 7 2" xfId="646"/>
    <cellStyle name="Comma 2 3 2 2 3 2 7 3" xfId="647"/>
    <cellStyle name="Comma 2 3 2 2 3 2 8" xfId="648"/>
    <cellStyle name="Comma 2 3 2 2 3 2 9" xfId="649"/>
    <cellStyle name="Comma 2 3 2 2 3 3" xfId="650"/>
    <cellStyle name="Comma 2 3 2 2 3 3 2" xfId="651"/>
    <cellStyle name="Comma 2 3 2 2 3 3 2 2" xfId="652"/>
    <cellStyle name="Comma 2 3 2 2 3 3 2 2 2" xfId="653"/>
    <cellStyle name="Comma 2 3 2 2 3 3 2 2 2 2" xfId="654"/>
    <cellStyle name="Comma 2 3 2 2 3 3 2 2 2 3" xfId="655"/>
    <cellStyle name="Comma 2 3 2 2 3 3 2 2 3" xfId="656"/>
    <cellStyle name="Comma 2 3 2 2 3 3 2 2 3 2" xfId="657"/>
    <cellStyle name="Comma 2 3 2 2 3 3 2 2 3 3" xfId="658"/>
    <cellStyle name="Comma 2 3 2 2 3 3 2 2 4" xfId="659"/>
    <cellStyle name="Comma 2 3 2 2 3 3 2 2 5" xfId="660"/>
    <cellStyle name="Comma 2 3 2 2 3 3 2 3" xfId="661"/>
    <cellStyle name="Comma 2 3 2 2 3 3 2 3 2" xfId="662"/>
    <cellStyle name="Comma 2 3 2 2 3 3 2 3 3" xfId="663"/>
    <cellStyle name="Comma 2 3 2 2 3 3 2 4" xfId="664"/>
    <cellStyle name="Comma 2 3 2 2 3 3 2 4 2" xfId="665"/>
    <cellStyle name="Comma 2 3 2 2 3 3 2 4 3" xfId="666"/>
    <cellStyle name="Comma 2 3 2 2 3 3 2 5" xfId="667"/>
    <cellStyle name="Comma 2 3 2 2 3 3 2 6" xfId="668"/>
    <cellStyle name="Comma 2 3 2 2 3 3 3" xfId="669"/>
    <cellStyle name="Comma 2 3 2 2 3 3 3 2" xfId="670"/>
    <cellStyle name="Comma 2 3 2 2 3 3 3 2 2" xfId="671"/>
    <cellStyle name="Comma 2 3 2 2 3 3 3 2 2 2" xfId="672"/>
    <cellStyle name="Comma 2 3 2 2 3 3 3 2 2 3" xfId="673"/>
    <cellStyle name="Comma 2 3 2 2 3 3 3 2 3" xfId="674"/>
    <cellStyle name="Comma 2 3 2 2 3 3 3 2 3 2" xfId="675"/>
    <cellStyle name="Comma 2 3 2 2 3 3 3 2 3 3" xfId="676"/>
    <cellStyle name="Comma 2 3 2 2 3 3 3 2 4" xfId="677"/>
    <cellStyle name="Comma 2 3 2 2 3 3 3 2 5" xfId="678"/>
    <cellStyle name="Comma 2 3 2 2 3 3 3 3" xfId="679"/>
    <cellStyle name="Comma 2 3 2 2 3 3 3 3 2" xfId="680"/>
    <cellStyle name="Comma 2 3 2 2 3 3 3 3 3" xfId="681"/>
    <cellStyle name="Comma 2 3 2 2 3 3 3 4" xfId="682"/>
    <cellStyle name="Comma 2 3 2 2 3 3 3 4 2" xfId="683"/>
    <cellStyle name="Comma 2 3 2 2 3 3 3 4 3" xfId="684"/>
    <cellStyle name="Comma 2 3 2 2 3 3 3 5" xfId="685"/>
    <cellStyle name="Comma 2 3 2 2 3 3 3 6" xfId="686"/>
    <cellStyle name="Comma 2 3 2 2 3 3 4" xfId="687"/>
    <cellStyle name="Comma 2 3 2 2 3 3 4 2" xfId="688"/>
    <cellStyle name="Comma 2 3 2 2 3 3 4 2 2" xfId="689"/>
    <cellStyle name="Comma 2 3 2 2 3 3 4 2 3" xfId="690"/>
    <cellStyle name="Comma 2 3 2 2 3 3 4 3" xfId="691"/>
    <cellStyle name="Comma 2 3 2 2 3 3 4 3 2" xfId="692"/>
    <cellStyle name="Comma 2 3 2 2 3 3 4 3 3" xfId="693"/>
    <cellStyle name="Comma 2 3 2 2 3 3 4 4" xfId="694"/>
    <cellStyle name="Comma 2 3 2 2 3 3 4 5" xfId="695"/>
    <cellStyle name="Comma 2 3 2 2 3 3 5" xfId="696"/>
    <cellStyle name="Comma 2 3 2 2 3 3 5 2" xfId="697"/>
    <cellStyle name="Comma 2 3 2 2 3 3 5 3" xfId="698"/>
    <cellStyle name="Comma 2 3 2 2 3 3 6" xfId="699"/>
    <cellStyle name="Comma 2 3 2 2 3 3 6 2" xfId="700"/>
    <cellStyle name="Comma 2 3 2 2 3 3 6 3" xfId="701"/>
    <cellStyle name="Comma 2 3 2 2 3 3 7" xfId="702"/>
    <cellStyle name="Comma 2 3 2 2 3 3 8" xfId="703"/>
    <cellStyle name="Comma 2 3 2 2 3 4" xfId="704"/>
    <cellStyle name="Comma 2 3 2 2 3 4 2" xfId="705"/>
    <cellStyle name="Comma 2 3 2 2 3 4 2 2" xfId="706"/>
    <cellStyle name="Comma 2 3 2 2 3 4 2 2 2" xfId="707"/>
    <cellStyle name="Comma 2 3 2 2 3 4 2 2 3" xfId="708"/>
    <cellStyle name="Comma 2 3 2 2 3 4 2 3" xfId="709"/>
    <cellStyle name="Comma 2 3 2 2 3 4 2 3 2" xfId="710"/>
    <cellStyle name="Comma 2 3 2 2 3 4 2 3 3" xfId="711"/>
    <cellStyle name="Comma 2 3 2 2 3 4 2 4" xfId="712"/>
    <cellStyle name="Comma 2 3 2 2 3 4 2 5" xfId="713"/>
    <cellStyle name="Comma 2 3 2 2 3 4 3" xfId="714"/>
    <cellStyle name="Comma 2 3 2 2 3 4 3 2" xfId="715"/>
    <cellStyle name="Comma 2 3 2 2 3 4 3 3" xfId="716"/>
    <cellStyle name="Comma 2 3 2 2 3 4 4" xfId="717"/>
    <cellStyle name="Comma 2 3 2 2 3 4 4 2" xfId="718"/>
    <cellStyle name="Comma 2 3 2 2 3 4 4 3" xfId="719"/>
    <cellStyle name="Comma 2 3 2 2 3 4 5" xfId="720"/>
    <cellStyle name="Comma 2 3 2 2 3 4 6" xfId="721"/>
    <cellStyle name="Comma 2 3 2 2 3 5" xfId="722"/>
    <cellStyle name="Comma 2 3 2 2 3 5 2" xfId="723"/>
    <cellStyle name="Comma 2 3 2 2 3 5 2 2" xfId="724"/>
    <cellStyle name="Comma 2 3 2 2 3 5 2 2 2" xfId="725"/>
    <cellStyle name="Comma 2 3 2 2 3 5 2 2 3" xfId="726"/>
    <cellStyle name="Comma 2 3 2 2 3 5 2 3" xfId="727"/>
    <cellStyle name="Comma 2 3 2 2 3 5 2 3 2" xfId="728"/>
    <cellStyle name="Comma 2 3 2 2 3 5 2 3 3" xfId="729"/>
    <cellStyle name="Comma 2 3 2 2 3 5 2 4" xfId="730"/>
    <cellStyle name="Comma 2 3 2 2 3 5 2 5" xfId="731"/>
    <cellStyle name="Comma 2 3 2 2 3 5 3" xfId="732"/>
    <cellStyle name="Comma 2 3 2 2 3 5 3 2" xfId="733"/>
    <cellStyle name="Comma 2 3 2 2 3 5 3 3" xfId="734"/>
    <cellStyle name="Comma 2 3 2 2 3 5 4" xfId="735"/>
    <cellStyle name="Comma 2 3 2 2 3 5 4 2" xfId="736"/>
    <cellStyle name="Comma 2 3 2 2 3 5 4 3" xfId="737"/>
    <cellStyle name="Comma 2 3 2 2 3 5 5" xfId="738"/>
    <cellStyle name="Comma 2 3 2 2 3 5 6" xfId="739"/>
    <cellStyle name="Comma 2 3 2 2 3 6" xfId="740"/>
    <cellStyle name="Comma 2 3 2 2 3 6 2" xfId="741"/>
    <cellStyle name="Comma 2 3 2 2 3 6 2 2" xfId="742"/>
    <cellStyle name="Comma 2 3 2 2 3 6 2 3" xfId="743"/>
    <cellStyle name="Comma 2 3 2 2 3 6 3" xfId="744"/>
    <cellStyle name="Comma 2 3 2 2 3 6 3 2" xfId="745"/>
    <cellStyle name="Comma 2 3 2 2 3 6 3 3" xfId="746"/>
    <cellStyle name="Comma 2 3 2 2 3 6 4" xfId="747"/>
    <cellStyle name="Comma 2 3 2 2 3 6 5" xfId="748"/>
    <cellStyle name="Comma 2 3 2 2 3 7" xfId="749"/>
    <cellStyle name="Comma 2 3 2 2 3 7 2" xfId="750"/>
    <cellStyle name="Comma 2 3 2 2 3 7 3" xfId="751"/>
    <cellStyle name="Comma 2 3 2 2 3 8" xfId="752"/>
    <cellStyle name="Comma 2 3 2 2 3 8 2" xfId="753"/>
    <cellStyle name="Comma 2 3 2 2 3 8 3" xfId="754"/>
    <cellStyle name="Comma 2 3 2 2 3 9" xfId="755"/>
    <cellStyle name="Comma 2 3 2 2 4" xfId="756"/>
    <cellStyle name="Comma 2 3 2 2 4 2" xfId="757"/>
    <cellStyle name="Comma 2 3 2 2 4 2 2" xfId="758"/>
    <cellStyle name="Comma 2 3 2 2 4 2 2 2" xfId="759"/>
    <cellStyle name="Comma 2 3 2 2 4 2 2 2 2" xfId="760"/>
    <cellStyle name="Comma 2 3 2 2 4 2 2 2 2 2" xfId="761"/>
    <cellStyle name="Comma 2 3 2 2 4 2 2 2 2 3" xfId="762"/>
    <cellStyle name="Comma 2 3 2 2 4 2 2 2 3" xfId="763"/>
    <cellStyle name="Comma 2 3 2 2 4 2 2 2 3 2" xfId="764"/>
    <cellStyle name="Comma 2 3 2 2 4 2 2 2 3 3" xfId="765"/>
    <cellStyle name="Comma 2 3 2 2 4 2 2 2 4" xfId="766"/>
    <cellStyle name="Comma 2 3 2 2 4 2 2 2 5" xfId="767"/>
    <cellStyle name="Comma 2 3 2 2 4 2 2 3" xfId="768"/>
    <cellStyle name="Comma 2 3 2 2 4 2 2 3 2" xfId="769"/>
    <cellStyle name="Comma 2 3 2 2 4 2 2 3 3" xfId="770"/>
    <cellStyle name="Comma 2 3 2 2 4 2 2 4" xfId="771"/>
    <cellStyle name="Comma 2 3 2 2 4 2 2 4 2" xfId="772"/>
    <cellStyle name="Comma 2 3 2 2 4 2 2 4 3" xfId="773"/>
    <cellStyle name="Comma 2 3 2 2 4 2 2 5" xfId="774"/>
    <cellStyle name="Comma 2 3 2 2 4 2 2 6" xfId="775"/>
    <cellStyle name="Comma 2 3 2 2 4 2 3" xfId="776"/>
    <cellStyle name="Comma 2 3 2 2 4 2 3 2" xfId="777"/>
    <cellStyle name="Comma 2 3 2 2 4 2 3 2 2" xfId="778"/>
    <cellStyle name="Comma 2 3 2 2 4 2 3 2 2 2" xfId="779"/>
    <cellStyle name="Comma 2 3 2 2 4 2 3 2 2 3" xfId="780"/>
    <cellStyle name="Comma 2 3 2 2 4 2 3 2 3" xfId="781"/>
    <cellStyle name="Comma 2 3 2 2 4 2 3 2 3 2" xfId="782"/>
    <cellStyle name="Comma 2 3 2 2 4 2 3 2 3 3" xfId="783"/>
    <cellStyle name="Comma 2 3 2 2 4 2 3 2 4" xfId="784"/>
    <cellStyle name="Comma 2 3 2 2 4 2 3 2 5" xfId="785"/>
    <cellStyle name="Comma 2 3 2 2 4 2 3 3" xfId="786"/>
    <cellStyle name="Comma 2 3 2 2 4 2 3 3 2" xfId="787"/>
    <cellStyle name="Comma 2 3 2 2 4 2 3 3 3" xfId="788"/>
    <cellStyle name="Comma 2 3 2 2 4 2 3 4" xfId="789"/>
    <cellStyle name="Comma 2 3 2 2 4 2 3 4 2" xfId="790"/>
    <cellStyle name="Comma 2 3 2 2 4 2 3 4 3" xfId="791"/>
    <cellStyle name="Comma 2 3 2 2 4 2 3 5" xfId="792"/>
    <cellStyle name="Comma 2 3 2 2 4 2 3 6" xfId="793"/>
    <cellStyle name="Comma 2 3 2 2 4 2 4" xfId="794"/>
    <cellStyle name="Comma 2 3 2 2 4 2 4 2" xfId="795"/>
    <cellStyle name="Comma 2 3 2 2 4 2 4 2 2" xfId="796"/>
    <cellStyle name="Comma 2 3 2 2 4 2 4 2 3" xfId="797"/>
    <cellStyle name="Comma 2 3 2 2 4 2 4 3" xfId="798"/>
    <cellStyle name="Comma 2 3 2 2 4 2 4 3 2" xfId="799"/>
    <cellStyle name="Comma 2 3 2 2 4 2 4 3 3" xfId="800"/>
    <cellStyle name="Comma 2 3 2 2 4 2 4 4" xfId="801"/>
    <cellStyle name="Comma 2 3 2 2 4 2 4 5" xfId="802"/>
    <cellStyle name="Comma 2 3 2 2 4 2 5" xfId="803"/>
    <cellStyle name="Comma 2 3 2 2 4 2 5 2" xfId="804"/>
    <cellStyle name="Comma 2 3 2 2 4 2 5 3" xfId="805"/>
    <cellStyle name="Comma 2 3 2 2 4 2 6" xfId="806"/>
    <cellStyle name="Comma 2 3 2 2 4 2 6 2" xfId="807"/>
    <cellStyle name="Comma 2 3 2 2 4 2 6 3" xfId="808"/>
    <cellStyle name="Comma 2 3 2 2 4 2 7" xfId="809"/>
    <cellStyle name="Comma 2 3 2 2 4 2 8" xfId="810"/>
    <cellStyle name="Comma 2 3 2 2 4 3" xfId="811"/>
    <cellStyle name="Comma 2 3 2 2 4 3 2" xfId="812"/>
    <cellStyle name="Comma 2 3 2 2 4 3 2 2" xfId="813"/>
    <cellStyle name="Comma 2 3 2 2 4 3 2 2 2" xfId="814"/>
    <cellStyle name="Comma 2 3 2 2 4 3 2 2 3" xfId="815"/>
    <cellStyle name="Comma 2 3 2 2 4 3 2 3" xfId="816"/>
    <cellStyle name="Comma 2 3 2 2 4 3 2 3 2" xfId="817"/>
    <cellStyle name="Comma 2 3 2 2 4 3 2 3 3" xfId="818"/>
    <cellStyle name="Comma 2 3 2 2 4 3 2 4" xfId="819"/>
    <cellStyle name="Comma 2 3 2 2 4 3 2 5" xfId="820"/>
    <cellStyle name="Comma 2 3 2 2 4 3 3" xfId="821"/>
    <cellStyle name="Comma 2 3 2 2 4 3 3 2" xfId="822"/>
    <cellStyle name="Comma 2 3 2 2 4 3 3 3" xfId="823"/>
    <cellStyle name="Comma 2 3 2 2 4 3 4" xfId="824"/>
    <cellStyle name="Comma 2 3 2 2 4 3 4 2" xfId="825"/>
    <cellStyle name="Comma 2 3 2 2 4 3 4 3" xfId="826"/>
    <cellStyle name="Comma 2 3 2 2 4 3 5" xfId="827"/>
    <cellStyle name="Comma 2 3 2 2 4 3 6" xfId="828"/>
    <cellStyle name="Comma 2 3 2 2 4 4" xfId="829"/>
    <cellStyle name="Comma 2 3 2 2 4 4 2" xfId="830"/>
    <cellStyle name="Comma 2 3 2 2 4 4 2 2" xfId="831"/>
    <cellStyle name="Comma 2 3 2 2 4 4 2 2 2" xfId="832"/>
    <cellStyle name="Comma 2 3 2 2 4 4 2 2 3" xfId="833"/>
    <cellStyle name="Comma 2 3 2 2 4 4 2 3" xfId="834"/>
    <cellStyle name="Comma 2 3 2 2 4 4 2 3 2" xfId="835"/>
    <cellStyle name="Comma 2 3 2 2 4 4 2 3 3" xfId="836"/>
    <cellStyle name="Comma 2 3 2 2 4 4 2 4" xfId="837"/>
    <cellStyle name="Comma 2 3 2 2 4 4 2 5" xfId="838"/>
    <cellStyle name="Comma 2 3 2 2 4 4 3" xfId="839"/>
    <cellStyle name="Comma 2 3 2 2 4 4 3 2" xfId="840"/>
    <cellStyle name="Comma 2 3 2 2 4 4 3 3" xfId="841"/>
    <cellStyle name="Comma 2 3 2 2 4 4 4" xfId="842"/>
    <cellStyle name="Comma 2 3 2 2 4 4 4 2" xfId="843"/>
    <cellStyle name="Comma 2 3 2 2 4 4 4 3" xfId="844"/>
    <cellStyle name="Comma 2 3 2 2 4 4 5" xfId="845"/>
    <cellStyle name="Comma 2 3 2 2 4 4 6" xfId="846"/>
    <cellStyle name="Comma 2 3 2 2 4 5" xfId="847"/>
    <cellStyle name="Comma 2 3 2 2 4 5 2" xfId="848"/>
    <cellStyle name="Comma 2 3 2 2 4 5 2 2" xfId="849"/>
    <cellStyle name="Comma 2 3 2 2 4 5 2 3" xfId="850"/>
    <cellStyle name="Comma 2 3 2 2 4 5 3" xfId="851"/>
    <cellStyle name="Comma 2 3 2 2 4 5 3 2" xfId="852"/>
    <cellStyle name="Comma 2 3 2 2 4 5 3 3" xfId="853"/>
    <cellStyle name="Comma 2 3 2 2 4 5 4" xfId="854"/>
    <cellStyle name="Comma 2 3 2 2 4 5 5" xfId="855"/>
    <cellStyle name="Comma 2 3 2 2 4 6" xfId="856"/>
    <cellStyle name="Comma 2 3 2 2 4 6 2" xfId="857"/>
    <cellStyle name="Comma 2 3 2 2 4 6 3" xfId="858"/>
    <cellStyle name="Comma 2 3 2 2 4 7" xfId="859"/>
    <cellStyle name="Comma 2 3 2 2 4 7 2" xfId="860"/>
    <cellStyle name="Comma 2 3 2 2 4 7 3" xfId="861"/>
    <cellStyle name="Comma 2 3 2 2 4 8" xfId="862"/>
    <cellStyle name="Comma 2 3 2 2 4 9" xfId="863"/>
    <cellStyle name="Comma 2 3 2 2 5" xfId="864"/>
    <cellStyle name="Comma 2 3 2 2 5 2" xfId="865"/>
    <cellStyle name="Comma 2 3 2 2 5 2 2" xfId="866"/>
    <cellStyle name="Comma 2 3 2 2 5 2 2 2" xfId="867"/>
    <cellStyle name="Comma 2 3 2 2 5 2 2 2 2" xfId="868"/>
    <cellStyle name="Comma 2 3 2 2 5 2 2 2 3" xfId="869"/>
    <cellStyle name="Comma 2 3 2 2 5 2 2 3" xfId="870"/>
    <cellStyle name="Comma 2 3 2 2 5 2 2 3 2" xfId="871"/>
    <cellStyle name="Comma 2 3 2 2 5 2 2 3 3" xfId="872"/>
    <cellStyle name="Comma 2 3 2 2 5 2 2 4" xfId="873"/>
    <cellStyle name="Comma 2 3 2 2 5 2 2 5" xfId="874"/>
    <cellStyle name="Comma 2 3 2 2 5 2 3" xfId="875"/>
    <cellStyle name="Comma 2 3 2 2 5 2 3 2" xfId="876"/>
    <cellStyle name="Comma 2 3 2 2 5 2 3 3" xfId="877"/>
    <cellStyle name="Comma 2 3 2 2 5 2 4" xfId="878"/>
    <cellStyle name="Comma 2 3 2 2 5 2 4 2" xfId="879"/>
    <cellStyle name="Comma 2 3 2 2 5 2 4 3" xfId="880"/>
    <cellStyle name="Comma 2 3 2 2 5 2 5" xfId="881"/>
    <cellStyle name="Comma 2 3 2 2 5 2 6" xfId="882"/>
    <cellStyle name="Comma 2 3 2 2 5 3" xfId="883"/>
    <cellStyle name="Comma 2 3 2 2 5 3 2" xfId="884"/>
    <cellStyle name="Comma 2 3 2 2 5 3 2 2" xfId="885"/>
    <cellStyle name="Comma 2 3 2 2 5 3 2 2 2" xfId="886"/>
    <cellStyle name="Comma 2 3 2 2 5 3 2 2 3" xfId="887"/>
    <cellStyle name="Comma 2 3 2 2 5 3 2 3" xfId="888"/>
    <cellStyle name="Comma 2 3 2 2 5 3 2 3 2" xfId="889"/>
    <cellStyle name="Comma 2 3 2 2 5 3 2 3 3" xfId="890"/>
    <cellStyle name="Comma 2 3 2 2 5 3 2 4" xfId="891"/>
    <cellStyle name="Comma 2 3 2 2 5 3 2 5" xfId="892"/>
    <cellStyle name="Comma 2 3 2 2 5 3 3" xfId="893"/>
    <cellStyle name="Comma 2 3 2 2 5 3 3 2" xfId="894"/>
    <cellStyle name="Comma 2 3 2 2 5 3 3 3" xfId="895"/>
    <cellStyle name="Comma 2 3 2 2 5 3 4" xfId="896"/>
    <cellStyle name="Comma 2 3 2 2 5 3 4 2" xfId="897"/>
    <cellStyle name="Comma 2 3 2 2 5 3 4 3" xfId="898"/>
    <cellStyle name="Comma 2 3 2 2 5 3 5" xfId="899"/>
    <cellStyle name="Comma 2 3 2 2 5 3 6" xfId="900"/>
    <cellStyle name="Comma 2 3 2 2 5 4" xfId="901"/>
    <cellStyle name="Comma 2 3 2 2 5 4 2" xfId="902"/>
    <cellStyle name="Comma 2 3 2 2 5 4 2 2" xfId="903"/>
    <cellStyle name="Comma 2 3 2 2 5 4 2 3" xfId="904"/>
    <cellStyle name="Comma 2 3 2 2 5 4 3" xfId="905"/>
    <cellStyle name="Comma 2 3 2 2 5 4 3 2" xfId="906"/>
    <cellStyle name="Comma 2 3 2 2 5 4 3 3" xfId="907"/>
    <cellStyle name="Comma 2 3 2 2 5 4 4" xfId="908"/>
    <cellStyle name="Comma 2 3 2 2 5 4 5" xfId="909"/>
    <cellStyle name="Comma 2 3 2 2 5 5" xfId="910"/>
    <cellStyle name="Comma 2 3 2 2 5 5 2" xfId="911"/>
    <cellStyle name="Comma 2 3 2 2 5 5 3" xfId="912"/>
    <cellStyle name="Comma 2 3 2 2 5 6" xfId="913"/>
    <cellStyle name="Comma 2 3 2 2 5 6 2" xfId="914"/>
    <cellStyle name="Comma 2 3 2 2 5 6 3" xfId="915"/>
    <cellStyle name="Comma 2 3 2 2 5 7" xfId="916"/>
    <cellStyle name="Comma 2 3 2 2 5 8" xfId="917"/>
    <cellStyle name="Comma 2 3 2 2 6" xfId="918"/>
    <cellStyle name="Comma 2 3 2 2 6 2" xfId="919"/>
    <cellStyle name="Comma 2 3 2 2 6 2 2" xfId="920"/>
    <cellStyle name="Comma 2 3 2 2 6 2 2 2" xfId="921"/>
    <cellStyle name="Comma 2 3 2 2 6 2 2 3" xfId="922"/>
    <cellStyle name="Comma 2 3 2 2 6 2 3" xfId="923"/>
    <cellStyle name="Comma 2 3 2 2 6 2 3 2" xfId="924"/>
    <cellStyle name="Comma 2 3 2 2 6 2 3 3" xfId="925"/>
    <cellStyle name="Comma 2 3 2 2 6 2 4" xfId="926"/>
    <cellStyle name="Comma 2 3 2 2 6 2 5" xfId="927"/>
    <cellStyle name="Comma 2 3 2 2 6 3" xfId="928"/>
    <cellStyle name="Comma 2 3 2 2 6 3 2" xfId="929"/>
    <cellStyle name="Comma 2 3 2 2 6 3 3" xfId="930"/>
    <cellStyle name="Comma 2 3 2 2 6 4" xfId="931"/>
    <cellStyle name="Comma 2 3 2 2 6 4 2" xfId="932"/>
    <cellStyle name="Comma 2 3 2 2 6 4 3" xfId="933"/>
    <cellStyle name="Comma 2 3 2 2 6 5" xfId="934"/>
    <cellStyle name="Comma 2 3 2 2 6 6" xfId="935"/>
    <cellStyle name="Comma 2 3 2 2 7" xfId="936"/>
    <cellStyle name="Comma 2 3 2 2 7 2" xfId="937"/>
    <cellStyle name="Comma 2 3 2 2 7 2 2" xfId="938"/>
    <cellStyle name="Comma 2 3 2 2 7 2 2 2" xfId="939"/>
    <cellStyle name="Comma 2 3 2 2 7 2 2 3" xfId="940"/>
    <cellStyle name="Comma 2 3 2 2 7 2 3" xfId="941"/>
    <cellStyle name="Comma 2 3 2 2 7 2 3 2" xfId="942"/>
    <cellStyle name="Comma 2 3 2 2 7 2 3 3" xfId="943"/>
    <cellStyle name="Comma 2 3 2 2 7 2 4" xfId="944"/>
    <cellStyle name="Comma 2 3 2 2 7 2 5" xfId="945"/>
    <cellStyle name="Comma 2 3 2 2 7 3" xfId="946"/>
    <cellStyle name="Comma 2 3 2 2 7 3 2" xfId="947"/>
    <cellStyle name="Comma 2 3 2 2 7 3 3" xfId="948"/>
    <cellStyle name="Comma 2 3 2 2 7 4" xfId="949"/>
    <cellStyle name="Comma 2 3 2 2 7 4 2" xfId="950"/>
    <cellStyle name="Comma 2 3 2 2 7 4 3" xfId="951"/>
    <cellStyle name="Comma 2 3 2 2 7 5" xfId="952"/>
    <cellStyle name="Comma 2 3 2 2 7 6" xfId="953"/>
    <cellStyle name="Comma 2 3 2 2 8" xfId="954"/>
    <cellStyle name="Comma 2 3 2 2 8 2" xfId="955"/>
    <cellStyle name="Comma 2 3 2 2 8 2 2" xfId="956"/>
    <cellStyle name="Comma 2 3 2 2 8 2 3" xfId="957"/>
    <cellStyle name="Comma 2 3 2 2 8 3" xfId="958"/>
    <cellStyle name="Comma 2 3 2 2 8 3 2" xfId="959"/>
    <cellStyle name="Comma 2 3 2 2 8 3 3" xfId="960"/>
    <cellStyle name="Comma 2 3 2 2 8 4" xfId="961"/>
    <cellStyle name="Comma 2 3 2 2 8 5" xfId="962"/>
    <cellStyle name="Comma 2 3 2 2 9" xfId="963"/>
    <cellStyle name="Comma 2 3 2 2 9 2" xfId="964"/>
    <cellStyle name="Comma 2 3 2 2 9 3" xfId="965"/>
    <cellStyle name="Comma 2 3 2 3" xfId="966"/>
    <cellStyle name="Comma 2 3 2 3 10" xfId="967"/>
    <cellStyle name="Comma 2 3 2 3 2" xfId="968"/>
    <cellStyle name="Comma 2 3 2 3 2 2" xfId="969"/>
    <cellStyle name="Comma 2 3 2 3 2 2 2" xfId="970"/>
    <cellStyle name="Comma 2 3 2 3 2 2 2 2" xfId="971"/>
    <cellStyle name="Comma 2 3 2 3 2 2 2 2 2" xfId="972"/>
    <cellStyle name="Comma 2 3 2 3 2 2 2 2 2 2" xfId="973"/>
    <cellStyle name="Comma 2 3 2 3 2 2 2 2 2 3" xfId="974"/>
    <cellStyle name="Comma 2 3 2 3 2 2 2 2 3" xfId="975"/>
    <cellStyle name="Comma 2 3 2 3 2 2 2 2 3 2" xfId="976"/>
    <cellStyle name="Comma 2 3 2 3 2 2 2 2 3 3" xfId="977"/>
    <cellStyle name="Comma 2 3 2 3 2 2 2 2 4" xfId="978"/>
    <cellStyle name="Comma 2 3 2 3 2 2 2 2 5" xfId="979"/>
    <cellStyle name="Comma 2 3 2 3 2 2 2 3" xfId="980"/>
    <cellStyle name="Comma 2 3 2 3 2 2 2 3 2" xfId="981"/>
    <cellStyle name="Comma 2 3 2 3 2 2 2 3 3" xfId="982"/>
    <cellStyle name="Comma 2 3 2 3 2 2 2 4" xfId="983"/>
    <cellStyle name="Comma 2 3 2 3 2 2 2 4 2" xfId="984"/>
    <cellStyle name="Comma 2 3 2 3 2 2 2 4 3" xfId="985"/>
    <cellStyle name="Comma 2 3 2 3 2 2 2 5" xfId="986"/>
    <cellStyle name="Comma 2 3 2 3 2 2 2 6" xfId="987"/>
    <cellStyle name="Comma 2 3 2 3 2 2 3" xfId="988"/>
    <cellStyle name="Comma 2 3 2 3 2 2 3 2" xfId="989"/>
    <cellStyle name="Comma 2 3 2 3 2 2 3 2 2" xfId="990"/>
    <cellStyle name="Comma 2 3 2 3 2 2 3 2 2 2" xfId="991"/>
    <cellStyle name="Comma 2 3 2 3 2 2 3 2 2 3" xfId="992"/>
    <cellStyle name="Comma 2 3 2 3 2 2 3 2 3" xfId="993"/>
    <cellStyle name="Comma 2 3 2 3 2 2 3 2 3 2" xfId="994"/>
    <cellStyle name="Comma 2 3 2 3 2 2 3 2 3 3" xfId="995"/>
    <cellStyle name="Comma 2 3 2 3 2 2 3 2 4" xfId="996"/>
    <cellStyle name="Comma 2 3 2 3 2 2 3 2 5" xfId="997"/>
    <cellStyle name="Comma 2 3 2 3 2 2 3 3" xfId="998"/>
    <cellStyle name="Comma 2 3 2 3 2 2 3 3 2" xfId="999"/>
    <cellStyle name="Comma 2 3 2 3 2 2 3 3 3" xfId="1000"/>
    <cellStyle name="Comma 2 3 2 3 2 2 3 4" xfId="1001"/>
    <cellStyle name="Comma 2 3 2 3 2 2 3 4 2" xfId="1002"/>
    <cellStyle name="Comma 2 3 2 3 2 2 3 4 3" xfId="1003"/>
    <cellStyle name="Comma 2 3 2 3 2 2 3 5" xfId="1004"/>
    <cellStyle name="Comma 2 3 2 3 2 2 3 6" xfId="1005"/>
    <cellStyle name="Comma 2 3 2 3 2 2 4" xfId="1006"/>
    <cellStyle name="Comma 2 3 2 3 2 2 4 2" xfId="1007"/>
    <cellStyle name="Comma 2 3 2 3 2 2 4 2 2" xfId="1008"/>
    <cellStyle name="Comma 2 3 2 3 2 2 4 2 3" xfId="1009"/>
    <cellStyle name="Comma 2 3 2 3 2 2 4 3" xfId="1010"/>
    <cellStyle name="Comma 2 3 2 3 2 2 4 3 2" xfId="1011"/>
    <cellStyle name="Comma 2 3 2 3 2 2 4 3 3" xfId="1012"/>
    <cellStyle name="Comma 2 3 2 3 2 2 4 4" xfId="1013"/>
    <cellStyle name="Comma 2 3 2 3 2 2 4 5" xfId="1014"/>
    <cellStyle name="Comma 2 3 2 3 2 2 5" xfId="1015"/>
    <cellStyle name="Comma 2 3 2 3 2 2 5 2" xfId="1016"/>
    <cellStyle name="Comma 2 3 2 3 2 2 5 3" xfId="1017"/>
    <cellStyle name="Comma 2 3 2 3 2 2 6" xfId="1018"/>
    <cellStyle name="Comma 2 3 2 3 2 2 6 2" xfId="1019"/>
    <cellStyle name="Comma 2 3 2 3 2 2 6 3" xfId="1020"/>
    <cellStyle name="Comma 2 3 2 3 2 2 7" xfId="1021"/>
    <cellStyle name="Comma 2 3 2 3 2 2 8" xfId="1022"/>
    <cellStyle name="Comma 2 3 2 3 2 3" xfId="1023"/>
    <cellStyle name="Comma 2 3 2 3 2 3 2" xfId="1024"/>
    <cellStyle name="Comma 2 3 2 3 2 3 2 2" xfId="1025"/>
    <cellStyle name="Comma 2 3 2 3 2 3 2 2 2" xfId="1026"/>
    <cellStyle name="Comma 2 3 2 3 2 3 2 2 3" xfId="1027"/>
    <cellStyle name="Comma 2 3 2 3 2 3 2 3" xfId="1028"/>
    <cellStyle name="Comma 2 3 2 3 2 3 2 3 2" xfId="1029"/>
    <cellStyle name="Comma 2 3 2 3 2 3 2 3 3" xfId="1030"/>
    <cellStyle name="Comma 2 3 2 3 2 3 2 4" xfId="1031"/>
    <cellStyle name="Comma 2 3 2 3 2 3 2 5" xfId="1032"/>
    <cellStyle name="Comma 2 3 2 3 2 3 3" xfId="1033"/>
    <cellStyle name="Comma 2 3 2 3 2 3 3 2" xfId="1034"/>
    <cellStyle name="Comma 2 3 2 3 2 3 3 3" xfId="1035"/>
    <cellStyle name="Comma 2 3 2 3 2 3 4" xfId="1036"/>
    <cellStyle name="Comma 2 3 2 3 2 3 4 2" xfId="1037"/>
    <cellStyle name="Comma 2 3 2 3 2 3 4 3" xfId="1038"/>
    <cellStyle name="Comma 2 3 2 3 2 3 5" xfId="1039"/>
    <cellStyle name="Comma 2 3 2 3 2 3 6" xfId="1040"/>
    <cellStyle name="Comma 2 3 2 3 2 4" xfId="1041"/>
    <cellStyle name="Comma 2 3 2 3 2 4 2" xfId="1042"/>
    <cellStyle name="Comma 2 3 2 3 2 4 2 2" xfId="1043"/>
    <cellStyle name="Comma 2 3 2 3 2 4 2 2 2" xfId="1044"/>
    <cellStyle name="Comma 2 3 2 3 2 4 2 2 3" xfId="1045"/>
    <cellStyle name="Comma 2 3 2 3 2 4 2 3" xfId="1046"/>
    <cellStyle name="Comma 2 3 2 3 2 4 2 3 2" xfId="1047"/>
    <cellStyle name="Comma 2 3 2 3 2 4 2 3 3" xfId="1048"/>
    <cellStyle name="Comma 2 3 2 3 2 4 2 4" xfId="1049"/>
    <cellStyle name="Comma 2 3 2 3 2 4 2 5" xfId="1050"/>
    <cellStyle name="Comma 2 3 2 3 2 4 3" xfId="1051"/>
    <cellStyle name="Comma 2 3 2 3 2 4 3 2" xfId="1052"/>
    <cellStyle name="Comma 2 3 2 3 2 4 3 3" xfId="1053"/>
    <cellStyle name="Comma 2 3 2 3 2 4 4" xfId="1054"/>
    <cellStyle name="Comma 2 3 2 3 2 4 4 2" xfId="1055"/>
    <cellStyle name="Comma 2 3 2 3 2 4 4 3" xfId="1056"/>
    <cellStyle name="Comma 2 3 2 3 2 4 5" xfId="1057"/>
    <cellStyle name="Comma 2 3 2 3 2 4 6" xfId="1058"/>
    <cellStyle name="Comma 2 3 2 3 2 5" xfId="1059"/>
    <cellStyle name="Comma 2 3 2 3 2 5 2" xfId="1060"/>
    <cellStyle name="Comma 2 3 2 3 2 5 2 2" xfId="1061"/>
    <cellStyle name="Comma 2 3 2 3 2 5 2 3" xfId="1062"/>
    <cellStyle name="Comma 2 3 2 3 2 5 3" xfId="1063"/>
    <cellStyle name="Comma 2 3 2 3 2 5 3 2" xfId="1064"/>
    <cellStyle name="Comma 2 3 2 3 2 5 3 3" xfId="1065"/>
    <cellStyle name="Comma 2 3 2 3 2 5 4" xfId="1066"/>
    <cellStyle name="Comma 2 3 2 3 2 5 5" xfId="1067"/>
    <cellStyle name="Comma 2 3 2 3 2 6" xfId="1068"/>
    <cellStyle name="Comma 2 3 2 3 2 6 2" xfId="1069"/>
    <cellStyle name="Comma 2 3 2 3 2 6 3" xfId="1070"/>
    <cellStyle name="Comma 2 3 2 3 2 7" xfId="1071"/>
    <cellStyle name="Comma 2 3 2 3 2 7 2" xfId="1072"/>
    <cellStyle name="Comma 2 3 2 3 2 7 3" xfId="1073"/>
    <cellStyle name="Comma 2 3 2 3 2 8" xfId="1074"/>
    <cellStyle name="Comma 2 3 2 3 2 9" xfId="1075"/>
    <cellStyle name="Comma 2 3 2 3 3" xfId="1076"/>
    <cellStyle name="Comma 2 3 2 3 3 2" xfId="1077"/>
    <cellStyle name="Comma 2 3 2 3 3 2 2" xfId="1078"/>
    <cellStyle name="Comma 2 3 2 3 3 2 2 2" xfId="1079"/>
    <cellStyle name="Comma 2 3 2 3 3 2 2 2 2" xfId="1080"/>
    <cellStyle name="Comma 2 3 2 3 3 2 2 2 3" xfId="1081"/>
    <cellStyle name="Comma 2 3 2 3 3 2 2 3" xfId="1082"/>
    <cellStyle name="Comma 2 3 2 3 3 2 2 3 2" xfId="1083"/>
    <cellStyle name="Comma 2 3 2 3 3 2 2 3 3" xfId="1084"/>
    <cellStyle name="Comma 2 3 2 3 3 2 2 4" xfId="1085"/>
    <cellStyle name="Comma 2 3 2 3 3 2 2 5" xfId="1086"/>
    <cellStyle name="Comma 2 3 2 3 3 2 3" xfId="1087"/>
    <cellStyle name="Comma 2 3 2 3 3 2 3 2" xfId="1088"/>
    <cellStyle name="Comma 2 3 2 3 3 2 3 3" xfId="1089"/>
    <cellStyle name="Comma 2 3 2 3 3 2 4" xfId="1090"/>
    <cellStyle name="Comma 2 3 2 3 3 2 4 2" xfId="1091"/>
    <cellStyle name="Comma 2 3 2 3 3 2 4 3" xfId="1092"/>
    <cellStyle name="Comma 2 3 2 3 3 2 5" xfId="1093"/>
    <cellStyle name="Comma 2 3 2 3 3 2 6" xfId="1094"/>
    <cellStyle name="Comma 2 3 2 3 3 3" xfId="1095"/>
    <cellStyle name="Comma 2 3 2 3 3 3 2" xfId="1096"/>
    <cellStyle name="Comma 2 3 2 3 3 3 2 2" xfId="1097"/>
    <cellStyle name="Comma 2 3 2 3 3 3 2 2 2" xfId="1098"/>
    <cellStyle name="Comma 2 3 2 3 3 3 2 2 3" xfId="1099"/>
    <cellStyle name="Comma 2 3 2 3 3 3 2 3" xfId="1100"/>
    <cellStyle name="Comma 2 3 2 3 3 3 2 3 2" xfId="1101"/>
    <cellStyle name="Comma 2 3 2 3 3 3 2 3 3" xfId="1102"/>
    <cellStyle name="Comma 2 3 2 3 3 3 2 4" xfId="1103"/>
    <cellStyle name="Comma 2 3 2 3 3 3 2 5" xfId="1104"/>
    <cellStyle name="Comma 2 3 2 3 3 3 3" xfId="1105"/>
    <cellStyle name="Comma 2 3 2 3 3 3 3 2" xfId="1106"/>
    <cellStyle name="Comma 2 3 2 3 3 3 3 3" xfId="1107"/>
    <cellStyle name="Comma 2 3 2 3 3 3 4" xfId="1108"/>
    <cellStyle name="Comma 2 3 2 3 3 3 4 2" xfId="1109"/>
    <cellStyle name="Comma 2 3 2 3 3 3 4 3" xfId="1110"/>
    <cellStyle name="Comma 2 3 2 3 3 3 5" xfId="1111"/>
    <cellStyle name="Comma 2 3 2 3 3 3 6" xfId="1112"/>
    <cellStyle name="Comma 2 3 2 3 3 4" xfId="1113"/>
    <cellStyle name="Comma 2 3 2 3 3 4 2" xfId="1114"/>
    <cellStyle name="Comma 2 3 2 3 3 4 2 2" xfId="1115"/>
    <cellStyle name="Comma 2 3 2 3 3 4 2 3" xfId="1116"/>
    <cellStyle name="Comma 2 3 2 3 3 4 3" xfId="1117"/>
    <cellStyle name="Comma 2 3 2 3 3 4 3 2" xfId="1118"/>
    <cellStyle name="Comma 2 3 2 3 3 4 3 3" xfId="1119"/>
    <cellStyle name="Comma 2 3 2 3 3 4 4" xfId="1120"/>
    <cellStyle name="Comma 2 3 2 3 3 4 5" xfId="1121"/>
    <cellStyle name="Comma 2 3 2 3 3 5" xfId="1122"/>
    <cellStyle name="Comma 2 3 2 3 3 5 2" xfId="1123"/>
    <cellStyle name="Comma 2 3 2 3 3 5 3" xfId="1124"/>
    <cellStyle name="Comma 2 3 2 3 3 6" xfId="1125"/>
    <cellStyle name="Comma 2 3 2 3 3 6 2" xfId="1126"/>
    <cellStyle name="Comma 2 3 2 3 3 6 3" xfId="1127"/>
    <cellStyle name="Comma 2 3 2 3 3 7" xfId="1128"/>
    <cellStyle name="Comma 2 3 2 3 3 8" xfId="1129"/>
    <cellStyle name="Comma 2 3 2 3 4" xfId="1130"/>
    <cellStyle name="Comma 2 3 2 3 4 2" xfId="1131"/>
    <cellStyle name="Comma 2 3 2 3 4 2 2" xfId="1132"/>
    <cellStyle name="Comma 2 3 2 3 4 2 2 2" xfId="1133"/>
    <cellStyle name="Comma 2 3 2 3 4 2 2 3" xfId="1134"/>
    <cellStyle name="Comma 2 3 2 3 4 2 3" xfId="1135"/>
    <cellStyle name="Comma 2 3 2 3 4 2 3 2" xfId="1136"/>
    <cellStyle name="Comma 2 3 2 3 4 2 3 3" xfId="1137"/>
    <cellStyle name="Comma 2 3 2 3 4 2 4" xfId="1138"/>
    <cellStyle name="Comma 2 3 2 3 4 2 5" xfId="1139"/>
    <cellStyle name="Comma 2 3 2 3 4 3" xfId="1140"/>
    <cellStyle name="Comma 2 3 2 3 4 3 2" xfId="1141"/>
    <cellStyle name="Comma 2 3 2 3 4 3 3" xfId="1142"/>
    <cellStyle name="Comma 2 3 2 3 4 4" xfId="1143"/>
    <cellStyle name="Comma 2 3 2 3 4 4 2" xfId="1144"/>
    <cellStyle name="Comma 2 3 2 3 4 4 3" xfId="1145"/>
    <cellStyle name="Comma 2 3 2 3 4 5" xfId="1146"/>
    <cellStyle name="Comma 2 3 2 3 4 6" xfId="1147"/>
    <cellStyle name="Comma 2 3 2 3 5" xfId="1148"/>
    <cellStyle name="Comma 2 3 2 3 5 2" xfId="1149"/>
    <cellStyle name="Comma 2 3 2 3 5 2 2" xfId="1150"/>
    <cellStyle name="Comma 2 3 2 3 5 2 2 2" xfId="1151"/>
    <cellStyle name="Comma 2 3 2 3 5 2 2 3" xfId="1152"/>
    <cellStyle name="Comma 2 3 2 3 5 2 3" xfId="1153"/>
    <cellStyle name="Comma 2 3 2 3 5 2 3 2" xfId="1154"/>
    <cellStyle name="Comma 2 3 2 3 5 2 3 3" xfId="1155"/>
    <cellStyle name="Comma 2 3 2 3 5 2 4" xfId="1156"/>
    <cellStyle name="Comma 2 3 2 3 5 2 5" xfId="1157"/>
    <cellStyle name="Comma 2 3 2 3 5 3" xfId="1158"/>
    <cellStyle name="Comma 2 3 2 3 5 3 2" xfId="1159"/>
    <cellStyle name="Comma 2 3 2 3 5 3 3" xfId="1160"/>
    <cellStyle name="Comma 2 3 2 3 5 4" xfId="1161"/>
    <cellStyle name="Comma 2 3 2 3 5 4 2" xfId="1162"/>
    <cellStyle name="Comma 2 3 2 3 5 4 3" xfId="1163"/>
    <cellStyle name="Comma 2 3 2 3 5 5" xfId="1164"/>
    <cellStyle name="Comma 2 3 2 3 5 6" xfId="1165"/>
    <cellStyle name="Comma 2 3 2 3 6" xfId="1166"/>
    <cellStyle name="Comma 2 3 2 3 6 2" xfId="1167"/>
    <cellStyle name="Comma 2 3 2 3 6 2 2" xfId="1168"/>
    <cellStyle name="Comma 2 3 2 3 6 2 3" xfId="1169"/>
    <cellStyle name="Comma 2 3 2 3 6 3" xfId="1170"/>
    <cellStyle name="Comma 2 3 2 3 6 3 2" xfId="1171"/>
    <cellStyle name="Comma 2 3 2 3 6 3 3" xfId="1172"/>
    <cellStyle name="Comma 2 3 2 3 6 4" xfId="1173"/>
    <cellStyle name="Comma 2 3 2 3 6 5" xfId="1174"/>
    <cellStyle name="Comma 2 3 2 3 7" xfId="1175"/>
    <cellStyle name="Comma 2 3 2 3 7 2" xfId="1176"/>
    <cellStyle name="Comma 2 3 2 3 7 3" xfId="1177"/>
    <cellStyle name="Comma 2 3 2 3 8" xfId="1178"/>
    <cellStyle name="Comma 2 3 2 3 8 2" xfId="1179"/>
    <cellStyle name="Comma 2 3 2 3 8 3" xfId="1180"/>
    <cellStyle name="Comma 2 3 2 3 9" xfId="1181"/>
    <cellStyle name="Comma 2 3 2 4" xfId="1182"/>
    <cellStyle name="Comma 2 3 2 4 10" xfId="1183"/>
    <cellStyle name="Comma 2 3 2 4 2" xfId="1184"/>
    <cellStyle name="Comma 2 3 2 4 2 2" xfId="1185"/>
    <cellStyle name="Comma 2 3 2 4 2 2 2" xfId="1186"/>
    <cellStyle name="Comma 2 3 2 4 2 2 2 2" xfId="1187"/>
    <cellStyle name="Comma 2 3 2 4 2 2 2 2 2" xfId="1188"/>
    <cellStyle name="Comma 2 3 2 4 2 2 2 2 2 2" xfId="1189"/>
    <cellStyle name="Comma 2 3 2 4 2 2 2 2 2 3" xfId="1190"/>
    <cellStyle name="Comma 2 3 2 4 2 2 2 2 3" xfId="1191"/>
    <cellStyle name="Comma 2 3 2 4 2 2 2 2 3 2" xfId="1192"/>
    <cellStyle name="Comma 2 3 2 4 2 2 2 2 3 3" xfId="1193"/>
    <cellStyle name="Comma 2 3 2 4 2 2 2 2 4" xfId="1194"/>
    <cellStyle name="Comma 2 3 2 4 2 2 2 2 5" xfId="1195"/>
    <cellStyle name="Comma 2 3 2 4 2 2 2 3" xfId="1196"/>
    <cellStyle name="Comma 2 3 2 4 2 2 2 3 2" xfId="1197"/>
    <cellStyle name="Comma 2 3 2 4 2 2 2 3 3" xfId="1198"/>
    <cellStyle name="Comma 2 3 2 4 2 2 2 4" xfId="1199"/>
    <cellStyle name="Comma 2 3 2 4 2 2 2 4 2" xfId="1200"/>
    <cellStyle name="Comma 2 3 2 4 2 2 2 4 3" xfId="1201"/>
    <cellStyle name="Comma 2 3 2 4 2 2 2 5" xfId="1202"/>
    <cellStyle name="Comma 2 3 2 4 2 2 2 6" xfId="1203"/>
    <cellStyle name="Comma 2 3 2 4 2 2 3" xfId="1204"/>
    <cellStyle name="Comma 2 3 2 4 2 2 3 2" xfId="1205"/>
    <cellStyle name="Comma 2 3 2 4 2 2 3 2 2" xfId="1206"/>
    <cellStyle name="Comma 2 3 2 4 2 2 3 2 2 2" xfId="1207"/>
    <cellStyle name="Comma 2 3 2 4 2 2 3 2 2 3" xfId="1208"/>
    <cellStyle name="Comma 2 3 2 4 2 2 3 2 3" xfId="1209"/>
    <cellStyle name="Comma 2 3 2 4 2 2 3 2 3 2" xfId="1210"/>
    <cellStyle name="Comma 2 3 2 4 2 2 3 2 3 3" xfId="1211"/>
    <cellStyle name="Comma 2 3 2 4 2 2 3 2 4" xfId="1212"/>
    <cellStyle name="Comma 2 3 2 4 2 2 3 2 5" xfId="1213"/>
    <cellStyle name="Comma 2 3 2 4 2 2 3 3" xfId="1214"/>
    <cellStyle name="Comma 2 3 2 4 2 2 3 3 2" xfId="1215"/>
    <cellStyle name="Comma 2 3 2 4 2 2 3 3 3" xfId="1216"/>
    <cellStyle name="Comma 2 3 2 4 2 2 3 4" xfId="1217"/>
    <cellStyle name="Comma 2 3 2 4 2 2 3 4 2" xfId="1218"/>
    <cellStyle name="Comma 2 3 2 4 2 2 3 4 3" xfId="1219"/>
    <cellStyle name="Comma 2 3 2 4 2 2 3 5" xfId="1220"/>
    <cellStyle name="Comma 2 3 2 4 2 2 3 6" xfId="1221"/>
    <cellStyle name="Comma 2 3 2 4 2 2 4" xfId="1222"/>
    <cellStyle name="Comma 2 3 2 4 2 2 4 2" xfId="1223"/>
    <cellStyle name="Comma 2 3 2 4 2 2 4 2 2" xfId="1224"/>
    <cellStyle name="Comma 2 3 2 4 2 2 4 2 3" xfId="1225"/>
    <cellStyle name="Comma 2 3 2 4 2 2 4 3" xfId="1226"/>
    <cellStyle name="Comma 2 3 2 4 2 2 4 3 2" xfId="1227"/>
    <cellStyle name="Comma 2 3 2 4 2 2 4 3 3" xfId="1228"/>
    <cellStyle name="Comma 2 3 2 4 2 2 4 4" xfId="1229"/>
    <cellStyle name="Comma 2 3 2 4 2 2 4 5" xfId="1230"/>
    <cellStyle name="Comma 2 3 2 4 2 2 5" xfId="1231"/>
    <cellStyle name="Comma 2 3 2 4 2 2 5 2" xfId="1232"/>
    <cellStyle name="Comma 2 3 2 4 2 2 5 3" xfId="1233"/>
    <cellStyle name="Comma 2 3 2 4 2 2 6" xfId="1234"/>
    <cellStyle name="Comma 2 3 2 4 2 2 6 2" xfId="1235"/>
    <cellStyle name="Comma 2 3 2 4 2 2 6 3" xfId="1236"/>
    <cellStyle name="Comma 2 3 2 4 2 2 7" xfId="1237"/>
    <cellStyle name="Comma 2 3 2 4 2 2 8" xfId="1238"/>
    <cellStyle name="Comma 2 3 2 4 2 3" xfId="1239"/>
    <cellStyle name="Comma 2 3 2 4 2 3 2" xfId="1240"/>
    <cellStyle name="Comma 2 3 2 4 2 3 2 2" xfId="1241"/>
    <cellStyle name="Comma 2 3 2 4 2 3 2 2 2" xfId="1242"/>
    <cellStyle name="Comma 2 3 2 4 2 3 2 2 3" xfId="1243"/>
    <cellStyle name="Comma 2 3 2 4 2 3 2 3" xfId="1244"/>
    <cellStyle name="Comma 2 3 2 4 2 3 2 3 2" xfId="1245"/>
    <cellStyle name="Comma 2 3 2 4 2 3 2 3 3" xfId="1246"/>
    <cellStyle name="Comma 2 3 2 4 2 3 2 4" xfId="1247"/>
    <cellStyle name="Comma 2 3 2 4 2 3 2 5" xfId="1248"/>
    <cellStyle name="Comma 2 3 2 4 2 3 3" xfId="1249"/>
    <cellStyle name="Comma 2 3 2 4 2 3 3 2" xfId="1250"/>
    <cellStyle name="Comma 2 3 2 4 2 3 3 3" xfId="1251"/>
    <cellStyle name="Comma 2 3 2 4 2 3 4" xfId="1252"/>
    <cellStyle name="Comma 2 3 2 4 2 3 4 2" xfId="1253"/>
    <cellStyle name="Comma 2 3 2 4 2 3 4 3" xfId="1254"/>
    <cellStyle name="Comma 2 3 2 4 2 3 5" xfId="1255"/>
    <cellStyle name="Comma 2 3 2 4 2 3 6" xfId="1256"/>
    <cellStyle name="Comma 2 3 2 4 2 4" xfId="1257"/>
    <cellStyle name="Comma 2 3 2 4 2 4 2" xfId="1258"/>
    <cellStyle name="Comma 2 3 2 4 2 4 2 2" xfId="1259"/>
    <cellStyle name="Comma 2 3 2 4 2 4 2 2 2" xfId="1260"/>
    <cellStyle name="Comma 2 3 2 4 2 4 2 2 3" xfId="1261"/>
    <cellStyle name="Comma 2 3 2 4 2 4 2 3" xfId="1262"/>
    <cellStyle name="Comma 2 3 2 4 2 4 2 3 2" xfId="1263"/>
    <cellStyle name="Comma 2 3 2 4 2 4 2 3 3" xfId="1264"/>
    <cellStyle name="Comma 2 3 2 4 2 4 2 4" xfId="1265"/>
    <cellStyle name="Comma 2 3 2 4 2 4 2 5" xfId="1266"/>
    <cellStyle name="Comma 2 3 2 4 2 4 3" xfId="1267"/>
    <cellStyle name="Comma 2 3 2 4 2 4 3 2" xfId="1268"/>
    <cellStyle name="Comma 2 3 2 4 2 4 3 3" xfId="1269"/>
    <cellStyle name="Comma 2 3 2 4 2 4 4" xfId="1270"/>
    <cellStyle name="Comma 2 3 2 4 2 4 4 2" xfId="1271"/>
    <cellStyle name="Comma 2 3 2 4 2 4 4 3" xfId="1272"/>
    <cellStyle name="Comma 2 3 2 4 2 4 5" xfId="1273"/>
    <cellStyle name="Comma 2 3 2 4 2 4 6" xfId="1274"/>
    <cellStyle name="Comma 2 3 2 4 2 5" xfId="1275"/>
    <cellStyle name="Comma 2 3 2 4 2 5 2" xfId="1276"/>
    <cellStyle name="Comma 2 3 2 4 2 5 2 2" xfId="1277"/>
    <cellStyle name="Comma 2 3 2 4 2 5 2 3" xfId="1278"/>
    <cellStyle name="Comma 2 3 2 4 2 5 3" xfId="1279"/>
    <cellStyle name="Comma 2 3 2 4 2 5 3 2" xfId="1280"/>
    <cellStyle name="Comma 2 3 2 4 2 5 3 3" xfId="1281"/>
    <cellStyle name="Comma 2 3 2 4 2 5 4" xfId="1282"/>
    <cellStyle name="Comma 2 3 2 4 2 5 5" xfId="1283"/>
    <cellStyle name="Comma 2 3 2 4 2 6" xfId="1284"/>
    <cellStyle name="Comma 2 3 2 4 2 6 2" xfId="1285"/>
    <cellStyle name="Comma 2 3 2 4 2 6 3" xfId="1286"/>
    <cellStyle name="Comma 2 3 2 4 2 7" xfId="1287"/>
    <cellStyle name="Comma 2 3 2 4 2 7 2" xfId="1288"/>
    <cellStyle name="Comma 2 3 2 4 2 7 3" xfId="1289"/>
    <cellStyle name="Comma 2 3 2 4 2 8" xfId="1290"/>
    <cellStyle name="Comma 2 3 2 4 2 9" xfId="1291"/>
    <cellStyle name="Comma 2 3 2 4 3" xfId="1292"/>
    <cellStyle name="Comma 2 3 2 4 3 2" xfId="1293"/>
    <cellStyle name="Comma 2 3 2 4 3 2 2" xfId="1294"/>
    <cellStyle name="Comma 2 3 2 4 3 2 2 2" xfId="1295"/>
    <cellStyle name="Comma 2 3 2 4 3 2 2 2 2" xfId="1296"/>
    <cellStyle name="Comma 2 3 2 4 3 2 2 2 3" xfId="1297"/>
    <cellStyle name="Comma 2 3 2 4 3 2 2 3" xfId="1298"/>
    <cellStyle name="Comma 2 3 2 4 3 2 2 3 2" xfId="1299"/>
    <cellStyle name="Comma 2 3 2 4 3 2 2 3 3" xfId="1300"/>
    <cellStyle name="Comma 2 3 2 4 3 2 2 4" xfId="1301"/>
    <cellStyle name="Comma 2 3 2 4 3 2 2 5" xfId="1302"/>
    <cellStyle name="Comma 2 3 2 4 3 2 3" xfId="1303"/>
    <cellStyle name="Comma 2 3 2 4 3 2 3 2" xfId="1304"/>
    <cellStyle name="Comma 2 3 2 4 3 2 3 3" xfId="1305"/>
    <cellStyle name="Comma 2 3 2 4 3 2 4" xfId="1306"/>
    <cellStyle name="Comma 2 3 2 4 3 2 4 2" xfId="1307"/>
    <cellStyle name="Comma 2 3 2 4 3 2 4 3" xfId="1308"/>
    <cellStyle name="Comma 2 3 2 4 3 2 5" xfId="1309"/>
    <cellStyle name="Comma 2 3 2 4 3 2 6" xfId="1310"/>
    <cellStyle name="Comma 2 3 2 4 3 3" xfId="1311"/>
    <cellStyle name="Comma 2 3 2 4 3 3 2" xfId="1312"/>
    <cellStyle name="Comma 2 3 2 4 3 3 2 2" xfId="1313"/>
    <cellStyle name="Comma 2 3 2 4 3 3 2 2 2" xfId="1314"/>
    <cellStyle name="Comma 2 3 2 4 3 3 2 2 3" xfId="1315"/>
    <cellStyle name="Comma 2 3 2 4 3 3 2 3" xfId="1316"/>
    <cellStyle name="Comma 2 3 2 4 3 3 2 3 2" xfId="1317"/>
    <cellStyle name="Comma 2 3 2 4 3 3 2 3 3" xfId="1318"/>
    <cellStyle name="Comma 2 3 2 4 3 3 2 4" xfId="1319"/>
    <cellStyle name="Comma 2 3 2 4 3 3 2 5" xfId="1320"/>
    <cellStyle name="Comma 2 3 2 4 3 3 3" xfId="1321"/>
    <cellStyle name="Comma 2 3 2 4 3 3 3 2" xfId="1322"/>
    <cellStyle name="Comma 2 3 2 4 3 3 3 3" xfId="1323"/>
    <cellStyle name="Comma 2 3 2 4 3 3 4" xfId="1324"/>
    <cellStyle name="Comma 2 3 2 4 3 3 4 2" xfId="1325"/>
    <cellStyle name="Comma 2 3 2 4 3 3 4 3" xfId="1326"/>
    <cellStyle name="Comma 2 3 2 4 3 3 5" xfId="1327"/>
    <cellStyle name="Comma 2 3 2 4 3 3 6" xfId="1328"/>
    <cellStyle name="Comma 2 3 2 4 3 4" xfId="1329"/>
    <cellStyle name="Comma 2 3 2 4 3 4 2" xfId="1330"/>
    <cellStyle name="Comma 2 3 2 4 3 4 2 2" xfId="1331"/>
    <cellStyle name="Comma 2 3 2 4 3 4 2 3" xfId="1332"/>
    <cellStyle name="Comma 2 3 2 4 3 4 3" xfId="1333"/>
    <cellStyle name="Comma 2 3 2 4 3 4 3 2" xfId="1334"/>
    <cellStyle name="Comma 2 3 2 4 3 4 3 3" xfId="1335"/>
    <cellStyle name="Comma 2 3 2 4 3 4 4" xfId="1336"/>
    <cellStyle name="Comma 2 3 2 4 3 4 5" xfId="1337"/>
    <cellStyle name="Comma 2 3 2 4 3 5" xfId="1338"/>
    <cellStyle name="Comma 2 3 2 4 3 5 2" xfId="1339"/>
    <cellStyle name="Comma 2 3 2 4 3 5 3" xfId="1340"/>
    <cellStyle name="Comma 2 3 2 4 3 6" xfId="1341"/>
    <cellStyle name="Comma 2 3 2 4 3 6 2" xfId="1342"/>
    <cellStyle name="Comma 2 3 2 4 3 6 3" xfId="1343"/>
    <cellStyle name="Comma 2 3 2 4 3 7" xfId="1344"/>
    <cellStyle name="Comma 2 3 2 4 3 8" xfId="1345"/>
    <cellStyle name="Comma 2 3 2 4 4" xfId="1346"/>
    <cellStyle name="Comma 2 3 2 4 4 2" xfId="1347"/>
    <cellStyle name="Comma 2 3 2 4 4 2 2" xfId="1348"/>
    <cellStyle name="Comma 2 3 2 4 4 2 2 2" xfId="1349"/>
    <cellStyle name="Comma 2 3 2 4 4 2 2 3" xfId="1350"/>
    <cellStyle name="Comma 2 3 2 4 4 2 3" xfId="1351"/>
    <cellStyle name="Comma 2 3 2 4 4 2 3 2" xfId="1352"/>
    <cellStyle name="Comma 2 3 2 4 4 2 3 3" xfId="1353"/>
    <cellStyle name="Comma 2 3 2 4 4 2 4" xfId="1354"/>
    <cellStyle name="Comma 2 3 2 4 4 2 5" xfId="1355"/>
    <cellStyle name="Comma 2 3 2 4 4 3" xfId="1356"/>
    <cellStyle name="Comma 2 3 2 4 4 3 2" xfId="1357"/>
    <cellStyle name="Comma 2 3 2 4 4 3 3" xfId="1358"/>
    <cellStyle name="Comma 2 3 2 4 4 4" xfId="1359"/>
    <cellStyle name="Comma 2 3 2 4 4 4 2" xfId="1360"/>
    <cellStyle name="Comma 2 3 2 4 4 4 3" xfId="1361"/>
    <cellStyle name="Comma 2 3 2 4 4 5" xfId="1362"/>
    <cellStyle name="Comma 2 3 2 4 4 6" xfId="1363"/>
    <cellStyle name="Comma 2 3 2 4 5" xfId="1364"/>
    <cellStyle name="Comma 2 3 2 4 5 2" xfId="1365"/>
    <cellStyle name="Comma 2 3 2 4 5 2 2" xfId="1366"/>
    <cellStyle name="Comma 2 3 2 4 5 2 2 2" xfId="1367"/>
    <cellStyle name="Comma 2 3 2 4 5 2 2 3" xfId="1368"/>
    <cellStyle name="Comma 2 3 2 4 5 2 3" xfId="1369"/>
    <cellStyle name="Comma 2 3 2 4 5 2 3 2" xfId="1370"/>
    <cellStyle name="Comma 2 3 2 4 5 2 3 3" xfId="1371"/>
    <cellStyle name="Comma 2 3 2 4 5 2 4" xfId="1372"/>
    <cellStyle name="Comma 2 3 2 4 5 2 5" xfId="1373"/>
    <cellStyle name="Comma 2 3 2 4 5 3" xfId="1374"/>
    <cellStyle name="Comma 2 3 2 4 5 3 2" xfId="1375"/>
    <cellStyle name="Comma 2 3 2 4 5 3 3" xfId="1376"/>
    <cellStyle name="Comma 2 3 2 4 5 4" xfId="1377"/>
    <cellStyle name="Comma 2 3 2 4 5 4 2" xfId="1378"/>
    <cellStyle name="Comma 2 3 2 4 5 4 3" xfId="1379"/>
    <cellStyle name="Comma 2 3 2 4 5 5" xfId="1380"/>
    <cellStyle name="Comma 2 3 2 4 5 6" xfId="1381"/>
    <cellStyle name="Comma 2 3 2 4 6" xfId="1382"/>
    <cellStyle name="Comma 2 3 2 4 6 2" xfId="1383"/>
    <cellStyle name="Comma 2 3 2 4 6 2 2" xfId="1384"/>
    <cellStyle name="Comma 2 3 2 4 6 2 3" xfId="1385"/>
    <cellStyle name="Comma 2 3 2 4 6 3" xfId="1386"/>
    <cellStyle name="Comma 2 3 2 4 6 3 2" xfId="1387"/>
    <cellStyle name="Comma 2 3 2 4 6 3 3" xfId="1388"/>
    <cellStyle name="Comma 2 3 2 4 6 4" xfId="1389"/>
    <cellStyle name="Comma 2 3 2 4 6 5" xfId="1390"/>
    <cellStyle name="Comma 2 3 2 4 7" xfId="1391"/>
    <cellStyle name="Comma 2 3 2 4 7 2" xfId="1392"/>
    <cellStyle name="Comma 2 3 2 4 7 3" xfId="1393"/>
    <cellStyle name="Comma 2 3 2 4 8" xfId="1394"/>
    <cellStyle name="Comma 2 3 2 4 8 2" xfId="1395"/>
    <cellStyle name="Comma 2 3 2 4 8 3" xfId="1396"/>
    <cellStyle name="Comma 2 3 2 4 9" xfId="1397"/>
    <cellStyle name="Comma 2 3 2 5" xfId="1398"/>
    <cellStyle name="Comma 2 3 2 5 2" xfId="1399"/>
    <cellStyle name="Comma 2 3 2 5 2 2" xfId="1400"/>
    <cellStyle name="Comma 2 3 2 5 2 2 2" xfId="1401"/>
    <cellStyle name="Comma 2 3 2 5 2 2 2 2" xfId="1402"/>
    <cellStyle name="Comma 2 3 2 5 2 2 2 2 2" xfId="1403"/>
    <cellStyle name="Comma 2 3 2 5 2 2 2 2 3" xfId="1404"/>
    <cellStyle name="Comma 2 3 2 5 2 2 2 3" xfId="1405"/>
    <cellStyle name="Comma 2 3 2 5 2 2 2 3 2" xfId="1406"/>
    <cellStyle name="Comma 2 3 2 5 2 2 2 3 3" xfId="1407"/>
    <cellStyle name="Comma 2 3 2 5 2 2 2 4" xfId="1408"/>
    <cellStyle name="Comma 2 3 2 5 2 2 2 5" xfId="1409"/>
    <cellStyle name="Comma 2 3 2 5 2 2 3" xfId="1410"/>
    <cellStyle name="Comma 2 3 2 5 2 2 3 2" xfId="1411"/>
    <cellStyle name="Comma 2 3 2 5 2 2 3 3" xfId="1412"/>
    <cellStyle name="Comma 2 3 2 5 2 2 4" xfId="1413"/>
    <cellStyle name="Comma 2 3 2 5 2 2 4 2" xfId="1414"/>
    <cellStyle name="Comma 2 3 2 5 2 2 4 3" xfId="1415"/>
    <cellStyle name="Comma 2 3 2 5 2 2 5" xfId="1416"/>
    <cellStyle name="Comma 2 3 2 5 2 2 6" xfId="1417"/>
    <cellStyle name="Comma 2 3 2 5 2 3" xfId="1418"/>
    <cellStyle name="Comma 2 3 2 5 2 3 2" xfId="1419"/>
    <cellStyle name="Comma 2 3 2 5 2 3 2 2" xfId="1420"/>
    <cellStyle name="Comma 2 3 2 5 2 3 2 2 2" xfId="1421"/>
    <cellStyle name="Comma 2 3 2 5 2 3 2 2 3" xfId="1422"/>
    <cellStyle name="Comma 2 3 2 5 2 3 2 3" xfId="1423"/>
    <cellStyle name="Comma 2 3 2 5 2 3 2 3 2" xfId="1424"/>
    <cellStyle name="Comma 2 3 2 5 2 3 2 3 3" xfId="1425"/>
    <cellStyle name="Comma 2 3 2 5 2 3 2 4" xfId="1426"/>
    <cellStyle name="Comma 2 3 2 5 2 3 2 5" xfId="1427"/>
    <cellStyle name="Comma 2 3 2 5 2 3 3" xfId="1428"/>
    <cellStyle name="Comma 2 3 2 5 2 3 3 2" xfId="1429"/>
    <cellStyle name="Comma 2 3 2 5 2 3 3 3" xfId="1430"/>
    <cellStyle name="Comma 2 3 2 5 2 3 4" xfId="1431"/>
    <cellStyle name="Comma 2 3 2 5 2 3 4 2" xfId="1432"/>
    <cellStyle name="Comma 2 3 2 5 2 3 4 3" xfId="1433"/>
    <cellStyle name="Comma 2 3 2 5 2 3 5" xfId="1434"/>
    <cellStyle name="Comma 2 3 2 5 2 3 6" xfId="1435"/>
    <cellStyle name="Comma 2 3 2 5 2 4" xfId="1436"/>
    <cellStyle name="Comma 2 3 2 5 2 4 2" xfId="1437"/>
    <cellStyle name="Comma 2 3 2 5 2 4 2 2" xfId="1438"/>
    <cellStyle name="Comma 2 3 2 5 2 4 2 3" xfId="1439"/>
    <cellStyle name="Comma 2 3 2 5 2 4 3" xfId="1440"/>
    <cellStyle name="Comma 2 3 2 5 2 4 3 2" xfId="1441"/>
    <cellStyle name="Comma 2 3 2 5 2 4 3 3" xfId="1442"/>
    <cellStyle name="Comma 2 3 2 5 2 4 4" xfId="1443"/>
    <cellStyle name="Comma 2 3 2 5 2 4 5" xfId="1444"/>
    <cellStyle name="Comma 2 3 2 5 2 5" xfId="1445"/>
    <cellStyle name="Comma 2 3 2 5 2 5 2" xfId="1446"/>
    <cellStyle name="Comma 2 3 2 5 2 5 3" xfId="1447"/>
    <cellStyle name="Comma 2 3 2 5 2 6" xfId="1448"/>
    <cellStyle name="Comma 2 3 2 5 2 6 2" xfId="1449"/>
    <cellStyle name="Comma 2 3 2 5 2 6 3" xfId="1450"/>
    <cellStyle name="Comma 2 3 2 5 2 7" xfId="1451"/>
    <cellStyle name="Comma 2 3 2 5 2 8" xfId="1452"/>
    <cellStyle name="Comma 2 3 2 5 3" xfId="1453"/>
    <cellStyle name="Comma 2 3 2 5 3 2" xfId="1454"/>
    <cellStyle name="Comma 2 3 2 5 3 2 2" xfId="1455"/>
    <cellStyle name="Comma 2 3 2 5 3 2 2 2" xfId="1456"/>
    <cellStyle name="Comma 2 3 2 5 3 2 2 3" xfId="1457"/>
    <cellStyle name="Comma 2 3 2 5 3 2 3" xfId="1458"/>
    <cellStyle name="Comma 2 3 2 5 3 2 3 2" xfId="1459"/>
    <cellStyle name="Comma 2 3 2 5 3 2 3 3" xfId="1460"/>
    <cellStyle name="Comma 2 3 2 5 3 2 4" xfId="1461"/>
    <cellStyle name="Comma 2 3 2 5 3 2 5" xfId="1462"/>
    <cellStyle name="Comma 2 3 2 5 3 3" xfId="1463"/>
    <cellStyle name="Comma 2 3 2 5 3 3 2" xfId="1464"/>
    <cellStyle name="Comma 2 3 2 5 3 3 3" xfId="1465"/>
    <cellStyle name="Comma 2 3 2 5 3 4" xfId="1466"/>
    <cellStyle name="Comma 2 3 2 5 3 4 2" xfId="1467"/>
    <cellStyle name="Comma 2 3 2 5 3 4 3" xfId="1468"/>
    <cellStyle name="Comma 2 3 2 5 3 5" xfId="1469"/>
    <cellStyle name="Comma 2 3 2 5 3 6" xfId="1470"/>
    <cellStyle name="Comma 2 3 2 5 4" xfId="1471"/>
    <cellStyle name="Comma 2 3 2 5 4 2" xfId="1472"/>
    <cellStyle name="Comma 2 3 2 5 4 2 2" xfId="1473"/>
    <cellStyle name="Comma 2 3 2 5 4 2 2 2" xfId="1474"/>
    <cellStyle name="Comma 2 3 2 5 4 2 2 3" xfId="1475"/>
    <cellStyle name="Comma 2 3 2 5 4 2 3" xfId="1476"/>
    <cellStyle name="Comma 2 3 2 5 4 2 3 2" xfId="1477"/>
    <cellStyle name="Comma 2 3 2 5 4 2 3 3" xfId="1478"/>
    <cellStyle name="Comma 2 3 2 5 4 2 4" xfId="1479"/>
    <cellStyle name="Comma 2 3 2 5 4 2 5" xfId="1480"/>
    <cellStyle name="Comma 2 3 2 5 4 3" xfId="1481"/>
    <cellStyle name="Comma 2 3 2 5 4 3 2" xfId="1482"/>
    <cellStyle name="Comma 2 3 2 5 4 3 3" xfId="1483"/>
    <cellStyle name="Comma 2 3 2 5 4 4" xfId="1484"/>
    <cellStyle name="Comma 2 3 2 5 4 4 2" xfId="1485"/>
    <cellStyle name="Comma 2 3 2 5 4 4 3" xfId="1486"/>
    <cellStyle name="Comma 2 3 2 5 4 5" xfId="1487"/>
    <cellStyle name="Comma 2 3 2 5 4 6" xfId="1488"/>
    <cellStyle name="Comma 2 3 2 5 5" xfId="1489"/>
    <cellStyle name="Comma 2 3 2 5 5 2" xfId="1490"/>
    <cellStyle name="Comma 2 3 2 5 5 2 2" xfId="1491"/>
    <cellStyle name="Comma 2 3 2 5 5 2 3" xfId="1492"/>
    <cellStyle name="Comma 2 3 2 5 5 3" xfId="1493"/>
    <cellStyle name="Comma 2 3 2 5 5 3 2" xfId="1494"/>
    <cellStyle name="Comma 2 3 2 5 5 3 3" xfId="1495"/>
    <cellStyle name="Comma 2 3 2 5 5 4" xfId="1496"/>
    <cellStyle name="Comma 2 3 2 5 5 5" xfId="1497"/>
    <cellStyle name="Comma 2 3 2 5 6" xfId="1498"/>
    <cellStyle name="Comma 2 3 2 5 6 2" xfId="1499"/>
    <cellStyle name="Comma 2 3 2 5 6 3" xfId="1500"/>
    <cellStyle name="Comma 2 3 2 5 7" xfId="1501"/>
    <cellStyle name="Comma 2 3 2 5 7 2" xfId="1502"/>
    <cellStyle name="Comma 2 3 2 5 7 3" xfId="1503"/>
    <cellStyle name="Comma 2 3 2 5 8" xfId="1504"/>
    <cellStyle name="Comma 2 3 2 5 9" xfId="1505"/>
    <cellStyle name="Comma 2 3 2 6" xfId="1506"/>
    <cellStyle name="Comma 2 3 2 6 2" xfId="1507"/>
    <cellStyle name="Comma 2 3 2 6 2 2" xfId="1508"/>
    <cellStyle name="Comma 2 3 2 6 2 2 2" xfId="1509"/>
    <cellStyle name="Comma 2 3 2 6 2 2 2 2" xfId="1510"/>
    <cellStyle name="Comma 2 3 2 6 2 2 2 3" xfId="1511"/>
    <cellStyle name="Comma 2 3 2 6 2 2 3" xfId="1512"/>
    <cellStyle name="Comma 2 3 2 6 2 2 3 2" xfId="1513"/>
    <cellStyle name="Comma 2 3 2 6 2 2 3 3" xfId="1514"/>
    <cellStyle name="Comma 2 3 2 6 2 2 4" xfId="1515"/>
    <cellStyle name="Comma 2 3 2 6 2 2 5" xfId="1516"/>
    <cellStyle name="Comma 2 3 2 6 2 3" xfId="1517"/>
    <cellStyle name="Comma 2 3 2 6 2 3 2" xfId="1518"/>
    <cellStyle name="Comma 2 3 2 6 2 3 3" xfId="1519"/>
    <cellStyle name="Comma 2 3 2 6 2 4" xfId="1520"/>
    <cellStyle name="Comma 2 3 2 6 2 4 2" xfId="1521"/>
    <cellStyle name="Comma 2 3 2 6 2 4 3" xfId="1522"/>
    <cellStyle name="Comma 2 3 2 6 2 5" xfId="1523"/>
    <cellStyle name="Comma 2 3 2 6 2 6" xfId="1524"/>
    <cellStyle name="Comma 2 3 2 6 3" xfId="1525"/>
    <cellStyle name="Comma 2 3 2 6 3 2" xfId="1526"/>
    <cellStyle name="Comma 2 3 2 6 3 2 2" xfId="1527"/>
    <cellStyle name="Comma 2 3 2 6 3 2 2 2" xfId="1528"/>
    <cellStyle name="Comma 2 3 2 6 3 2 2 3" xfId="1529"/>
    <cellStyle name="Comma 2 3 2 6 3 2 3" xfId="1530"/>
    <cellStyle name="Comma 2 3 2 6 3 2 3 2" xfId="1531"/>
    <cellStyle name="Comma 2 3 2 6 3 2 3 3" xfId="1532"/>
    <cellStyle name="Comma 2 3 2 6 3 2 4" xfId="1533"/>
    <cellStyle name="Comma 2 3 2 6 3 2 5" xfId="1534"/>
    <cellStyle name="Comma 2 3 2 6 3 3" xfId="1535"/>
    <cellStyle name="Comma 2 3 2 6 3 3 2" xfId="1536"/>
    <cellStyle name="Comma 2 3 2 6 3 3 3" xfId="1537"/>
    <cellStyle name="Comma 2 3 2 6 3 4" xfId="1538"/>
    <cellStyle name="Comma 2 3 2 6 3 4 2" xfId="1539"/>
    <cellStyle name="Comma 2 3 2 6 3 4 3" xfId="1540"/>
    <cellStyle name="Comma 2 3 2 6 3 5" xfId="1541"/>
    <cellStyle name="Comma 2 3 2 6 3 6" xfId="1542"/>
    <cellStyle name="Comma 2 3 2 6 4" xfId="1543"/>
    <cellStyle name="Comma 2 3 2 6 4 2" xfId="1544"/>
    <cellStyle name="Comma 2 3 2 6 4 2 2" xfId="1545"/>
    <cellStyle name="Comma 2 3 2 6 4 2 3" xfId="1546"/>
    <cellStyle name="Comma 2 3 2 6 4 3" xfId="1547"/>
    <cellStyle name="Comma 2 3 2 6 4 3 2" xfId="1548"/>
    <cellStyle name="Comma 2 3 2 6 4 3 3" xfId="1549"/>
    <cellStyle name="Comma 2 3 2 6 4 4" xfId="1550"/>
    <cellStyle name="Comma 2 3 2 6 4 5" xfId="1551"/>
    <cellStyle name="Comma 2 3 2 6 5" xfId="1552"/>
    <cellStyle name="Comma 2 3 2 6 5 2" xfId="1553"/>
    <cellStyle name="Comma 2 3 2 6 5 3" xfId="1554"/>
    <cellStyle name="Comma 2 3 2 6 6" xfId="1555"/>
    <cellStyle name="Comma 2 3 2 6 6 2" xfId="1556"/>
    <cellStyle name="Comma 2 3 2 6 6 3" xfId="1557"/>
    <cellStyle name="Comma 2 3 2 6 7" xfId="1558"/>
    <cellStyle name="Comma 2 3 2 6 8" xfId="1559"/>
    <cellStyle name="Comma 2 3 2 7" xfId="1560"/>
    <cellStyle name="Comma 2 3 2 7 2" xfId="1561"/>
    <cellStyle name="Comma 2 3 2 7 2 2" xfId="1562"/>
    <cellStyle name="Comma 2 3 2 7 2 2 2" xfId="1563"/>
    <cellStyle name="Comma 2 3 2 7 2 2 3" xfId="1564"/>
    <cellStyle name="Comma 2 3 2 7 2 3" xfId="1565"/>
    <cellStyle name="Comma 2 3 2 7 2 3 2" xfId="1566"/>
    <cellStyle name="Comma 2 3 2 7 2 3 3" xfId="1567"/>
    <cellStyle name="Comma 2 3 2 7 2 4" xfId="1568"/>
    <cellStyle name="Comma 2 3 2 7 2 5" xfId="1569"/>
    <cellStyle name="Comma 2 3 2 7 3" xfId="1570"/>
    <cellStyle name="Comma 2 3 2 7 3 2" xfId="1571"/>
    <cellStyle name="Comma 2 3 2 7 3 3" xfId="1572"/>
    <cellStyle name="Comma 2 3 2 7 4" xfId="1573"/>
    <cellStyle name="Comma 2 3 2 7 4 2" xfId="1574"/>
    <cellStyle name="Comma 2 3 2 7 4 3" xfId="1575"/>
    <cellStyle name="Comma 2 3 2 7 5" xfId="1576"/>
    <cellStyle name="Comma 2 3 2 7 6" xfId="1577"/>
    <cellStyle name="Comma 2 3 2 8" xfId="1578"/>
    <cellStyle name="Comma 2 3 2 8 2" xfId="1579"/>
    <cellStyle name="Comma 2 3 2 8 2 2" xfId="1580"/>
    <cellStyle name="Comma 2 3 2 8 2 2 2" xfId="1581"/>
    <cellStyle name="Comma 2 3 2 8 2 2 3" xfId="1582"/>
    <cellStyle name="Comma 2 3 2 8 2 3" xfId="1583"/>
    <cellStyle name="Comma 2 3 2 8 2 3 2" xfId="1584"/>
    <cellStyle name="Comma 2 3 2 8 2 3 3" xfId="1585"/>
    <cellStyle name="Comma 2 3 2 8 2 4" xfId="1586"/>
    <cellStyle name="Comma 2 3 2 8 2 5" xfId="1587"/>
    <cellStyle name="Comma 2 3 2 8 3" xfId="1588"/>
    <cellStyle name="Comma 2 3 2 8 3 2" xfId="1589"/>
    <cellStyle name="Comma 2 3 2 8 3 3" xfId="1590"/>
    <cellStyle name="Comma 2 3 2 8 4" xfId="1591"/>
    <cellStyle name="Comma 2 3 2 8 4 2" xfId="1592"/>
    <cellStyle name="Comma 2 3 2 8 4 3" xfId="1593"/>
    <cellStyle name="Comma 2 3 2 8 5" xfId="1594"/>
    <cellStyle name="Comma 2 3 2 8 6" xfId="1595"/>
    <cellStyle name="Comma 2 3 2 9" xfId="1596"/>
    <cellStyle name="Comma 2 3 2 9 2" xfId="1597"/>
    <cellStyle name="Comma 2 3 2 9 2 2" xfId="1598"/>
    <cellStyle name="Comma 2 3 2 9 2 3" xfId="1599"/>
    <cellStyle name="Comma 2 3 2 9 3" xfId="1600"/>
    <cellStyle name="Comma 2 3 2 9 3 2" xfId="1601"/>
    <cellStyle name="Comma 2 3 2 9 3 3" xfId="1602"/>
    <cellStyle name="Comma 2 3 2 9 4" xfId="1603"/>
    <cellStyle name="Comma 2 3 2 9 5" xfId="1604"/>
    <cellStyle name="Comma 2 3 3" xfId="1605"/>
    <cellStyle name="Comma 2 3 3 10" xfId="1606"/>
    <cellStyle name="Comma 2 3 3 10 2" xfId="1607"/>
    <cellStyle name="Comma 2 3 3 10 3" xfId="1608"/>
    <cellStyle name="Comma 2 3 3 11" xfId="1609"/>
    <cellStyle name="Comma 2 3 3 12" xfId="1610"/>
    <cellStyle name="Comma 2 3 3 2" xfId="1611"/>
    <cellStyle name="Comma 2 3 3 2 10" xfId="1612"/>
    <cellStyle name="Comma 2 3 3 2 2" xfId="1613"/>
    <cellStyle name="Comma 2 3 3 2 2 2" xfId="1614"/>
    <cellStyle name="Comma 2 3 3 2 2 2 2" xfId="1615"/>
    <cellStyle name="Comma 2 3 3 2 2 2 2 2" xfId="1616"/>
    <cellStyle name="Comma 2 3 3 2 2 2 2 2 2" xfId="1617"/>
    <cellStyle name="Comma 2 3 3 2 2 2 2 2 2 2" xfId="1618"/>
    <cellStyle name="Comma 2 3 3 2 2 2 2 2 2 3" xfId="1619"/>
    <cellStyle name="Comma 2 3 3 2 2 2 2 2 3" xfId="1620"/>
    <cellStyle name="Comma 2 3 3 2 2 2 2 2 3 2" xfId="1621"/>
    <cellStyle name="Comma 2 3 3 2 2 2 2 2 3 3" xfId="1622"/>
    <cellStyle name="Comma 2 3 3 2 2 2 2 2 4" xfId="1623"/>
    <cellStyle name="Comma 2 3 3 2 2 2 2 2 5" xfId="1624"/>
    <cellStyle name="Comma 2 3 3 2 2 2 2 3" xfId="1625"/>
    <cellStyle name="Comma 2 3 3 2 2 2 2 3 2" xfId="1626"/>
    <cellStyle name="Comma 2 3 3 2 2 2 2 3 3" xfId="1627"/>
    <cellStyle name="Comma 2 3 3 2 2 2 2 4" xfId="1628"/>
    <cellStyle name="Comma 2 3 3 2 2 2 2 4 2" xfId="1629"/>
    <cellStyle name="Comma 2 3 3 2 2 2 2 4 3" xfId="1630"/>
    <cellStyle name="Comma 2 3 3 2 2 2 2 5" xfId="1631"/>
    <cellStyle name="Comma 2 3 3 2 2 2 2 6" xfId="1632"/>
    <cellStyle name="Comma 2 3 3 2 2 2 3" xfId="1633"/>
    <cellStyle name="Comma 2 3 3 2 2 2 3 2" xfId="1634"/>
    <cellStyle name="Comma 2 3 3 2 2 2 3 2 2" xfId="1635"/>
    <cellStyle name="Comma 2 3 3 2 2 2 3 2 2 2" xfId="1636"/>
    <cellStyle name="Comma 2 3 3 2 2 2 3 2 2 3" xfId="1637"/>
    <cellStyle name="Comma 2 3 3 2 2 2 3 2 3" xfId="1638"/>
    <cellStyle name="Comma 2 3 3 2 2 2 3 2 3 2" xfId="1639"/>
    <cellStyle name="Comma 2 3 3 2 2 2 3 2 3 3" xfId="1640"/>
    <cellStyle name="Comma 2 3 3 2 2 2 3 2 4" xfId="1641"/>
    <cellStyle name="Comma 2 3 3 2 2 2 3 2 5" xfId="1642"/>
    <cellStyle name="Comma 2 3 3 2 2 2 3 3" xfId="1643"/>
    <cellStyle name="Comma 2 3 3 2 2 2 3 3 2" xfId="1644"/>
    <cellStyle name="Comma 2 3 3 2 2 2 3 3 3" xfId="1645"/>
    <cellStyle name="Comma 2 3 3 2 2 2 3 4" xfId="1646"/>
    <cellStyle name="Comma 2 3 3 2 2 2 3 4 2" xfId="1647"/>
    <cellStyle name="Comma 2 3 3 2 2 2 3 4 3" xfId="1648"/>
    <cellStyle name="Comma 2 3 3 2 2 2 3 5" xfId="1649"/>
    <cellStyle name="Comma 2 3 3 2 2 2 3 6" xfId="1650"/>
    <cellStyle name="Comma 2 3 3 2 2 2 4" xfId="1651"/>
    <cellStyle name="Comma 2 3 3 2 2 2 4 2" xfId="1652"/>
    <cellStyle name="Comma 2 3 3 2 2 2 4 2 2" xfId="1653"/>
    <cellStyle name="Comma 2 3 3 2 2 2 4 2 3" xfId="1654"/>
    <cellStyle name="Comma 2 3 3 2 2 2 4 3" xfId="1655"/>
    <cellStyle name="Comma 2 3 3 2 2 2 4 3 2" xfId="1656"/>
    <cellStyle name="Comma 2 3 3 2 2 2 4 3 3" xfId="1657"/>
    <cellStyle name="Comma 2 3 3 2 2 2 4 4" xfId="1658"/>
    <cellStyle name="Comma 2 3 3 2 2 2 4 5" xfId="1659"/>
    <cellStyle name="Comma 2 3 3 2 2 2 5" xfId="1660"/>
    <cellStyle name="Comma 2 3 3 2 2 2 5 2" xfId="1661"/>
    <cellStyle name="Comma 2 3 3 2 2 2 5 3" xfId="1662"/>
    <cellStyle name="Comma 2 3 3 2 2 2 6" xfId="1663"/>
    <cellStyle name="Comma 2 3 3 2 2 2 6 2" xfId="1664"/>
    <cellStyle name="Comma 2 3 3 2 2 2 6 3" xfId="1665"/>
    <cellStyle name="Comma 2 3 3 2 2 2 7" xfId="1666"/>
    <cellStyle name="Comma 2 3 3 2 2 2 8" xfId="1667"/>
    <cellStyle name="Comma 2 3 3 2 2 3" xfId="1668"/>
    <cellStyle name="Comma 2 3 3 2 2 3 2" xfId="1669"/>
    <cellStyle name="Comma 2 3 3 2 2 3 2 2" xfId="1670"/>
    <cellStyle name="Comma 2 3 3 2 2 3 2 2 2" xfId="1671"/>
    <cellStyle name="Comma 2 3 3 2 2 3 2 2 3" xfId="1672"/>
    <cellStyle name="Comma 2 3 3 2 2 3 2 3" xfId="1673"/>
    <cellStyle name="Comma 2 3 3 2 2 3 2 3 2" xfId="1674"/>
    <cellStyle name="Comma 2 3 3 2 2 3 2 3 3" xfId="1675"/>
    <cellStyle name="Comma 2 3 3 2 2 3 2 4" xfId="1676"/>
    <cellStyle name="Comma 2 3 3 2 2 3 2 5" xfId="1677"/>
    <cellStyle name="Comma 2 3 3 2 2 3 3" xfId="1678"/>
    <cellStyle name="Comma 2 3 3 2 2 3 3 2" xfId="1679"/>
    <cellStyle name="Comma 2 3 3 2 2 3 3 3" xfId="1680"/>
    <cellStyle name="Comma 2 3 3 2 2 3 4" xfId="1681"/>
    <cellStyle name="Comma 2 3 3 2 2 3 4 2" xfId="1682"/>
    <cellStyle name="Comma 2 3 3 2 2 3 4 3" xfId="1683"/>
    <cellStyle name="Comma 2 3 3 2 2 3 5" xfId="1684"/>
    <cellStyle name="Comma 2 3 3 2 2 3 6" xfId="1685"/>
    <cellStyle name="Comma 2 3 3 2 2 4" xfId="1686"/>
    <cellStyle name="Comma 2 3 3 2 2 4 2" xfId="1687"/>
    <cellStyle name="Comma 2 3 3 2 2 4 2 2" xfId="1688"/>
    <cellStyle name="Comma 2 3 3 2 2 4 2 2 2" xfId="1689"/>
    <cellStyle name="Comma 2 3 3 2 2 4 2 2 3" xfId="1690"/>
    <cellStyle name="Comma 2 3 3 2 2 4 2 3" xfId="1691"/>
    <cellStyle name="Comma 2 3 3 2 2 4 2 3 2" xfId="1692"/>
    <cellStyle name="Comma 2 3 3 2 2 4 2 3 3" xfId="1693"/>
    <cellStyle name="Comma 2 3 3 2 2 4 2 4" xfId="1694"/>
    <cellStyle name="Comma 2 3 3 2 2 4 2 5" xfId="1695"/>
    <cellStyle name="Comma 2 3 3 2 2 4 3" xfId="1696"/>
    <cellStyle name="Comma 2 3 3 2 2 4 3 2" xfId="1697"/>
    <cellStyle name="Comma 2 3 3 2 2 4 3 3" xfId="1698"/>
    <cellStyle name="Comma 2 3 3 2 2 4 4" xfId="1699"/>
    <cellStyle name="Comma 2 3 3 2 2 4 4 2" xfId="1700"/>
    <cellStyle name="Comma 2 3 3 2 2 4 4 3" xfId="1701"/>
    <cellStyle name="Comma 2 3 3 2 2 4 5" xfId="1702"/>
    <cellStyle name="Comma 2 3 3 2 2 4 6" xfId="1703"/>
    <cellStyle name="Comma 2 3 3 2 2 5" xfId="1704"/>
    <cellStyle name="Comma 2 3 3 2 2 5 2" xfId="1705"/>
    <cellStyle name="Comma 2 3 3 2 2 5 2 2" xfId="1706"/>
    <cellStyle name="Comma 2 3 3 2 2 5 2 3" xfId="1707"/>
    <cellStyle name="Comma 2 3 3 2 2 5 3" xfId="1708"/>
    <cellStyle name="Comma 2 3 3 2 2 5 3 2" xfId="1709"/>
    <cellStyle name="Comma 2 3 3 2 2 5 3 3" xfId="1710"/>
    <cellStyle name="Comma 2 3 3 2 2 5 4" xfId="1711"/>
    <cellStyle name="Comma 2 3 3 2 2 5 5" xfId="1712"/>
    <cellStyle name="Comma 2 3 3 2 2 6" xfId="1713"/>
    <cellStyle name="Comma 2 3 3 2 2 6 2" xfId="1714"/>
    <cellStyle name="Comma 2 3 3 2 2 6 3" xfId="1715"/>
    <cellStyle name="Comma 2 3 3 2 2 7" xfId="1716"/>
    <cellStyle name="Comma 2 3 3 2 2 7 2" xfId="1717"/>
    <cellStyle name="Comma 2 3 3 2 2 7 3" xfId="1718"/>
    <cellStyle name="Comma 2 3 3 2 2 8" xfId="1719"/>
    <cellStyle name="Comma 2 3 3 2 2 9" xfId="1720"/>
    <cellStyle name="Comma 2 3 3 2 3" xfId="1721"/>
    <cellStyle name="Comma 2 3 3 2 3 2" xfId="1722"/>
    <cellStyle name="Comma 2 3 3 2 3 2 2" xfId="1723"/>
    <cellStyle name="Comma 2 3 3 2 3 2 2 2" xfId="1724"/>
    <cellStyle name="Comma 2 3 3 2 3 2 2 2 2" xfId="1725"/>
    <cellStyle name="Comma 2 3 3 2 3 2 2 2 3" xfId="1726"/>
    <cellStyle name="Comma 2 3 3 2 3 2 2 3" xfId="1727"/>
    <cellStyle name="Comma 2 3 3 2 3 2 2 3 2" xfId="1728"/>
    <cellStyle name="Comma 2 3 3 2 3 2 2 3 3" xfId="1729"/>
    <cellStyle name="Comma 2 3 3 2 3 2 2 4" xfId="1730"/>
    <cellStyle name="Comma 2 3 3 2 3 2 2 5" xfId="1731"/>
    <cellStyle name="Comma 2 3 3 2 3 2 3" xfId="1732"/>
    <cellStyle name="Comma 2 3 3 2 3 2 3 2" xfId="1733"/>
    <cellStyle name="Comma 2 3 3 2 3 2 3 3" xfId="1734"/>
    <cellStyle name="Comma 2 3 3 2 3 2 4" xfId="1735"/>
    <cellStyle name="Comma 2 3 3 2 3 2 4 2" xfId="1736"/>
    <cellStyle name="Comma 2 3 3 2 3 2 4 3" xfId="1737"/>
    <cellStyle name="Comma 2 3 3 2 3 2 5" xfId="1738"/>
    <cellStyle name="Comma 2 3 3 2 3 2 6" xfId="1739"/>
    <cellStyle name="Comma 2 3 3 2 3 3" xfId="1740"/>
    <cellStyle name="Comma 2 3 3 2 3 3 2" xfId="1741"/>
    <cellStyle name="Comma 2 3 3 2 3 3 2 2" xfId="1742"/>
    <cellStyle name="Comma 2 3 3 2 3 3 2 2 2" xfId="1743"/>
    <cellStyle name="Comma 2 3 3 2 3 3 2 2 3" xfId="1744"/>
    <cellStyle name="Comma 2 3 3 2 3 3 2 3" xfId="1745"/>
    <cellStyle name="Comma 2 3 3 2 3 3 2 3 2" xfId="1746"/>
    <cellStyle name="Comma 2 3 3 2 3 3 2 3 3" xfId="1747"/>
    <cellStyle name="Comma 2 3 3 2 3 3 2 4" xfId="1748"/>
    <cellStyle name="Comma 2 3 3 2 3 3 2 5" xfId="1749"/>
    <cellStyle name="Comma 2 3 3 2 3 3 3" xfId="1750"/>
    <cellStyle name="Comma 2 3 3 2 3 3 3 2" xfId="1751"/>
    <cellStyle name="Comma 2 3 3 2 3 3 3 3" xfId="1752"/>
    <cellStyle name="Comma 2 3 3 2 3 3 4" xfId="1753"/>
    <cellStyle name="Comma 2 3 3 2 3 3 4 2" xfId="1754"/>
    <cellStyle name="Comma 2 3 3 2 3 3 4 3" xfId="1755"/>
    <cellStyle name="Comma 2 3 3 2 3 3 5" xfId="1756"/>
    <cellStyle name="Comma 2 3 3 2 3 3 6" xfId="1757"/>
    <cellStyle name="Comma 2 3 3 2 3 4" xfId="1758"/>
    <cellStyle name="Comma 2 3 3 2 3 4 2" xfId="1759"/>
    <cellStyle name="Comma 2 3 3 2 3 4 2 2" xfId="1760"/>
    <cellStyle name="Comma 2 3 3 2 3 4 2 3" xfId="1761"/>
    <cellStyle name="Comma 2 3 3 2 3 4 3" xfId="1762"/>
    <cellStyle name="Comma 2 3 3 2 3 4 3 2" xfId="1763"/>
    <cellStyle name="Comma 2 3 3 2 3 4 3 3" xfId="1764"/>
    <cellStyle name="Comma 2 3 3 2 3 4 4" xfId="1765"/>
    <cellStyle name="Comma 2 3 3 2 3 4 5" xfId="1766"/>
    <cellStyle name="Comma 2 3 3 2 3 5" xfId="1767"/>
    <cellStyle name="Comma 2 3 3 2 3 5 2" xfId="1768"/>
    <cellStyle name="Comma 2 3 3 2 3 5 3" xfId="1769"/>
    <cellStyle name="Comma 2 3 3 2 3 6" xfId="1770"/>
    <cellStyle name="Comma 2 3 3 2 3 6 2" xfId="1771"/>
    <cellStyle name="Comma 2 3 3 2 3 6 3" xfId="1772"/>
    <cellStyle name="Comma 2 3 3 2 3 7" xfId="1773"/>
    <cellStyle name="Comma 2 3 3 2 3 8" xfId="1774"/>
    <cellStyle name="Comma 2 3 3 2 4" xfId="1775"/>
    <cellStyle name="Comma 2 3 3 2 4 2" xfId="1776"/>
    <cellStyle name="Comma 2 3 3 2 4 2 2" xfId="1777"/>
    <cellStyle name="Comma 2 3 3 2 4 2 2 2" xfId="1778"/>
    <cellStyle name="Comma 2 3 3 2 4 2 2 3" xfId="1779"/>
    <cellStyle name="Comma 2 3 3 2 4 2 3" xfId="1780"/>
    <cellStyle name="Comma 2 3 3 2 4 2 3 2" xfId="1781"/>
    <cellStyle name="Comma 2 3 3 2 4 2 3 3" xfId="1782"/>
    <cellStyle name="Comma 2 3 3 2 4 2 4" xfId="1783"/>
    <cellStyle name="Comma 2 3 3 2 4 2 5" xfId="1784"/>
    <cellStyle name="Comma 2 3 3 2 4 3" xfId="1785"/>
    <cellStyle name="Comma 2 3 3 2 4 3 2" xfId="1786"/>
    <cellStyle name="Comma 2 3 3 2 4 3 3" xfId="1787"/>
    <cellStyle name="Comma 2 3 3 2 4 4" xfId="1788"/>
    <cellStyle name="Comma 2 3 3 2 4 4 2" xfId="1789"/>
    <cellStyle name="Comma 2 3 3 2 4 4 3" xfId="1790"/>
    <cellStyle name="Comma 2 3 3 2 4 5" xfId="1791"/>
    <cellStyle name="Comma 2 3 3 2 4 6" xfId="1792"/>
    <cellStyle name="Comma 2 3 3 2 5" xfId="1793"/>
    <cellStyle name="Comma 2 3 3 2 5 2" xfId="1794"/>
    <cellStyle name="Comma 2 3 3 2 5 2 2" xfId="1795"/>
    <cellStyle name="Comma 2 3 3 2 5 2 2 2" xfId="1796"/>
    <cellStyle name="Comma 2 3 3 2 5 2 2 3" xfId="1797"/>
    <cellStyle name="Comma 2 3 3 2 5 2 3" xfId="1798"/>
    <cellStyle name="Comma 2 3 3 2 5 2 3 2" xfId="1799"/>
    <cellStyle name="Comma 2 3 3 2 5 2 3 3" xfId="1800"/>
    <cellStyle name="Comma 2 3 3 2 5 2 4" xfId="1801"/>
    <cellStyle name="Comma 2 3 3 2 5 2 5" xfId="1802"/>
    <cellStyle name="Comma 2 3 3 2 5 3" xfId="1803"/>
    <cellStyle name="Comma 2 3 3 2 5 3 2" xfId="1804"/>
    <cellStyle name="Comma 2 3 3 2 5 3 3" xfId="1805"/>
    <cellStyle name="Comma 2 3 3 2 5 4" xfId="1806"/>
    <cellStyle name="Comma 2 3 3 2 5 4 2" xfId="1807"/>
    <cellStyle name="Comma 2 3 3 2 5 4 3" xfId="1808"/>
    <cellStyle name="Comma 2 3 3 2 5 5" xfId="1809"/>
    <cellStyle name="Comma 2 3 3 2 5 6" xfId="1810"/>
    <cellStyle name="Comma 2 3 3 2 6" xfId="1811"/>
    <cellStyle name="Comma 2 3 3 2 6 2" xfId="1812"/>
    <cellStyle name="Comma 2 3 3 2 6 2 2" xfId="1813"/>
    <cellStyle name="Comma 2 3 3 2 6 2 3" xfId="1814"/>
    <cellStyle name="Comma 2 3 3 2 6 3" xfId="1815"/>
    <cellStyle name="Comma 2 3 3 2 6 3 2" xfId="1816"/>
    <cellStyle name="Comma 2 3 3 2 6 3 3" xfId="1817"/>
    <cellStyle name="Comma 2 3 3 2 6 4" xfId="1818"/>
    <cellStyle name="Comma 2 3 3 2 6 5" xfId="1819"/>
    <cellStyle name="Comma 2 3 3 2 7" xfId="1820"/>
    <cellStyle name="Comma 2 3 3 2 7 2" xfId="1821"/>
    <cellStyle name="Comma 2 3 3 2 7 3" xfId="1822"/>
    <cellStyle name="Comma 2 3 3 2 8" xfId="1823"/>
    <cellStyle name="Comma 2 3 3 2 8 2" xfId="1824"/>
    <cellStyle name="Comma 2 3 3 2 8 3" xfId="1825"/>
    <cellStyle name="Comma 2 3 3 2 9" xfId="1826"/>
    <cellStyle name="Comma 2 3 3 3" xfId="1827"/>
    <cellStyle name="Comma 2 3 3 3 10" xfId="1828"/>
    <cellStyle name="Comma 2 3 3 3 2" xfId="1829"/>
    <cellStyle name="Comma 2 3 3 3 2 2" xfId="1830"/>
    <cellStyle name="Comma 2 3 3 3 2 2 2" xfId="1831"/>
    <cellStyle name="Comma 2 3 3 3 2 2 2 2" xfId="1832"/>
    <cellStyle name="Comma 2 3 3 3 2 2 2 2 2" xfId="1833"/>
    <cellStyle name="Comma 2 3 3 3 2 2 2 2 2 2" xfId="1834"/>
    <cellStyle name="Comma 2 3 3 3 2 2 2 2 2 3" xfId="1835"/>
    <cellStyle name="Comma 2 3 3 3 2 2 2 2 3" xfId="1836"/>
    <cellStyle name="Comma 2 3 3 3 2 2 2 2 3 2" xfId="1837"/>
    <cellStyle name="Comma 2 3 3 3 2 2 2 2 3 3" xfId="1838"/>
    <cellStyle name="Comma 2 3 3 3 2 2 2 2 4" xfId="1839"/>
    <cellStyle name="Comma 2 3 3 3 2 2 2 2 5" xfId="1840"/>
    <cellStyle name="Comma 2 3 3 3 2 2 2 3" xfId="1841"/>
    <cellStyle name="Comma 2 3 3 3 2 2 2 3 2" xfId="1842"/>
    <cellStyle name="Comma 2 3 3 3 2 2 2 3 3" xfId="1843"/>
    <cellStyle name="Comma 2 3 3 3 2 2 2 4" xfId="1844"/>
    <cellStyle name="Comma 2 3 3 3 2 2 2 4 2" xfId="1845"/>
    <cellStyle name="Comma 2 3 3 3 2 2 2 4 3" xfId="1846"/>
    <cellStyle name="Comma 2 3 3 3 2 2 2 5" xfId="1847"/>
    <cellStyle name="Comma 2 3 3 3 2 2 2 6" xfId="1848"/>
    <cellStyle name="Comma 2 3 3 3 2 2 3" xfId="1849"/>
    <cellStyle name="Comma 2 3 3 3 2 2 3 2" xfId="1850"/>
    <cellStyle name="Comma 2 3 3 3 2 2 3 2 2" xfId="1851"/>
    <cellStyle name="Comma 2 3 3 3 2 2 3 2 2 2" xfId="1852"/>
    <cellStyle name="Comma 2 3 3 3 2 2 3 2 2 3" xfId="1853"/>
    <cellStyle name="Comma 2 3 3 3 2 2 3 2 3" xfId="1854"/>
    <cellStyle name="Comma 2 3 3 3 2 2 3 2 3 2" xfId="1855"/>
    <cellStyle name="Comma 2 3 3 3 2 2 3 2 3 3" xfId="1856"/>
    <cellStyle name="Comma 2 3 3 3 2 2 3 2 4" xfId="1857"/>
    <cellStyle name="Comma 2 3 3 3 2 2 3 2 5" xfId="1858"/>
    <cellStyle name="Comma 2 3 3 3 2 2 3 3" xfId="1859"/>
    <cellStyle name="Comma 2 3 3 3 2 2 3 3 2" xfId="1860"/>
    <cellStyle name="Comma 2 3 3 3 2 2 3 3 3" xfId="1861"/>
    <cellStyle name="Comma 2 3 3 3 2 2 3 4" xfId="1862"/>
    <cellStyle name="Comma 2 3 3 3 2 2 3 4 2" xfId="1863"/>
    <cellStyle name="Comma 2 3 3 3 2 2 3 4 3" xfId="1864"/>
    <cellStyle name="Comma 2 3 3 3 2 2 3 5" xfId="1865"/>
    <cellStyle name="Comma 2 3 3 3 2 2 3 6" xfId="1866"/>
    <cellStyle name="Comma 2 3 3 3 2 2 4" xfId="1867"/>
    <cellStyle name="Comma 2 3 3 3 2 2 4 2" xfId="1868"/>
    <cellStyle name="Comma 2 3 3 3 2 2 4 2 2" xfId="1869"/>
    <cellStyle name="Comma 2 3 3 3 2 2 4 2 3" xfId="1870"/>
    <cellStyle name="Comma 2 3 3 3 2 2 4 3" xfId="1871"/>
    <cellStyle name="Comma 2 3 3 3 2 2 4 3 2" xfId="1872"/>
    <cellStyle name="Comma 2 3 3 3 2 2 4 3 3" xfId="1873"/>
    <cellStyle name="Comma 2 3 3 3 2 2 4 4" xfId="1874"/>
    <cellStyle name="Comma 2 3 3 3 2 2 4 5" xfId="1875"/>
    <cellStyle name="Comma 2 3 3 3 2 2 5" xfId="1876"/>
    <cellStyle name="Comma 2 3 3 3 2 2 5 2" xfId="1877"/>
    <cellStyle name="Comma 2 3 3 3 2 2 5 3" xfId="1878"/>
    <cellStyle name="Comma 2 3 3 3 2 2 6" xfId="1879"/>
    <cellStyle name="Comma 2 3 3 3 2 2 6 2" xfId="1880"/>
    <cellStyle name="Comma 2 3 3 3 2 2 6 3" xfId="1881"/>
    <cellStyle name="Comma 2 3 3 3 2 2 7" xfId="1882"/>
    <cellStyle name="Comma 2 3 3 3 2 2 8" xfId="1883"/>
    <cellStyle name="Comma 2 3 3 3 2 3" xfId="1884"/>
    <cellStyle name="Comma 2 3 3 3 2 3 2" xfId="1885"/>
    <cellStyle name="Comma 2 3 3 3 2 3 2 2" xfId="1886"/>
    <cellStyle name="Comma 2 3 3 3 2 3 2 2 2" xfId="1887"/>
    <cellStyle name="Comma 2 3 3 3 2 3 2 2 3" xfId="1888"/>
    <cellStyle name="Comma 2 3 3 3 2 3 2 3" xfId="1889"/>
    <cellStyle name="Comma 2 3 3 3 2 3 2 3 2" xfId="1890"/>
    <cellStyle name="Comma 2 3 3 3 2 3 2 3 3" xfId="1891"/>
    <cellStyle name="Comma 2 3 3 3 2 3 2 4" xfId="1892"/>
    <cellStyle name="Comma 2 3 3 3 2 3 2 5" xfId="1893"/>
    <cellStyle name="Comma 2 3 3 3 2 3 3" xfId="1894"/>
    <cellStyle name="Comma 2 3 3 3 2 3 3 2" xfId="1895"/>
    <cellStyle name="Comma 2 3 3 3 2 3 3 3" xfId="1896"/>
    <cellStyle name="Comma 2 3 3 3 2 3 4" xfId="1897"/>
    <cellStyle name="Comma 2 3 3 3 2 3 4 2" xfId="1898"/>
    <cellStyle name="Comma 2 3 3 3 2 3 4 3" xfId="1899"/>
    <cellStyle name="Comma 2 3 3 3 2 3 5" xfId="1900"/>
    <cellStyle name="Comma 2 3 3 3 2 3 6" xfId="1901"/>
    <cellStyle name="Comma 2 3 3 3 2 4" xfId="1902"/>
    <cellStyle name="Comma 2 3 3 3 2 4 2" xfId="1903"/>
    <cellStyle name="Comma 2 3 3 3 2 4 2 2" xfId="1904"/>
    <cellStyle name="Comma 2 3 3 3 2 4 2 2 2" xfId="1905"/>
    <cellStyle name="Comma 2 3 3 3 2 4 2 2 3" xfId="1906"/>
    <cellStyle name="Comma 2 3 3 3 2 4 2 3" xfId="1907"/>
    <cellStyle name="Comma 2 3 3 3 2 4 2 3 2" xfId="1908"/>
    <cellStyle name="Comma 2 3 3 3 2 4 2 3 3" xfId="1909"/>
    <cellStyle name="Comma 2 3 3 3 2 4 2 4" xfId="1910"/>
    <cellStyle name="Comma 2 3 3 3 2 4 2 5" xfId="1911"/>
    <cellStyle name="Comma 2 3 3 3 2 4 3" xfId="1912"/>
    <cellStyle name="Comma 2 3 3 3 2 4 3 2" xfId="1913"/>
    <cellStyle name="Comma 2 3 3 3 2 4 3 3" xfId="1914"/>
    <cellStyle name="Comma 2 3 3 3 2 4 4" xfId="1915"/>
    <cellStyle name="Comma 2 3 3 3 2 4 4 2" xfId="1916"/>
    <cellStyle name="Comma 2 3 3 3 2 4 4 3" xfId="1917"/>
    <cellStyle name="Comma 2 3 3 3 2 4 5" xfId="1918"/>
    <cellStyle name="Comma 2 3 3 3 2 4 6" xfId="1919"/>
    <cellStyle name="Comma 2 3 3 3 2 5" xfId="1920"/>
    <cellStyle name="Comma 2 3 3 3 2 5 2" xfId="1921"/>
    <cellStyle name="Comma 2 3 3 3 2 5 2 2" xfId="1922"/>
    <cellStyle name="Comma 2 3 3 3 2 5 2 3" xfId="1923"/>
    <cellStyle name="Comma 2 3 3 3 2 5 3" xfId="1924"/>
    <cellStyle name="Comma 2 3 3 3 2 5 3 2" xfId="1925"/>
    <cellStyle name="Comma 2 3 3 3 2 5 3 3" xfId="1926"/>
    <cellStyle name="Comma 2 3 3 3 2 5 4" xfId="1927"/>
    <cellStyle name="Comma 2 3 3 3 2 5 5" xfId="1928"/>
    <cellStyle name="Comma 2 3 3 3 2 6" xfId="1929"/>
    <cellStyle name="Comma 2 3 3 3 2 6 2" xfId="1930"/>
    <cellStyle name="Comma 2 3 3 3 2 6 3" xfId="1931"/>
    <cellStyle name="Comma 2 3 3 3 2 7" xfId="1932"/>
    <cellStyle name="Comma 2 3 3 3 2 7 2" xfId="1933"/>
    <cellStyle name="Comma 2 3 3 3 2 7 3" xfId="1934"/>
    <cellStyle name="Comma 2 3 3 3 2 8" xfId="1935"/>
    <cellStyle name="Comma 2 3 3 3 2 9" xfId="1936"/>
    <cellStyle name="Comma 2 3 3 3 3" xfId="1937"/>
    <cellStyle name="Comma 2 3 3 3 3 2" xfId="1938"/>
    <cellStyle name="Comma 2 3 3 3 3 2 2" xfId="1939"/>
    <cellStyle name="Comma 2 3 3 3 3 2 2 2" xfId="1940"/>
    <cellStyle name="Comma 2 3 3 3 3 2 2 2 2" xfId="1941"/>
    <cellStyle name="Comma 2 3 3 3 3 2 2 2 3" xfId="1942"/>
    <cellStyle name="Comma 2 3 3 3 3 2 2 3" xfId="1943"/>
    <cellStyle name="Comma 2 3 3 3 3 2 2 3 2" xfId="1944"/>
    <cellStyle name="Comma 2 3 3 3 3 2 2 3 3" xfId="1945"/>
    <cellStyle name="Comma 2 3 3 3 3 2 2 4" xfId="1946"/>
    <cellStyle name="Comma 2 3 3 3 3 2 2 5" xfId="1947"/>
    <cellStyle name="Comma 2 3 3 3 3 2 3" xfId="1948"/>
    <cellStyle name="Comma 2 3 3 3 3 2 3 2" xfId="1949"/>
    <cellStyle name="Comma 2 3 3 3 3 2 3 3" xfId="1950"/>
    <cellStyle name="Comma 2 3 3 3 3 2 4" xfId="1951"/>
    <cellStyle name="Comma 2 3 3 3 3 2 4 2" xfId="1952"/>
    <cellStyle name="Comma 2 3 3 3 3 2 4 3" xfId="1953"/>
    <cellStyle name="Comma 2 3 3 3 3 2 5" xfId="1954"/>
    <cellStyle name="Comma 2 3 3 3 3 2 6" xfId="1955"/>
    <cellStyle name="Comma 2 3 3 3 3 3" xfId="1956"/>
    <cellStyle name="Comma 2 3 3 3 3 3 2" xfId="1957"/>
    <cellStyle name="Comma 2 3 3 3 3 3 2 2" xfId="1958"/>
    <cellStyle name="Comma 2 3 3 3 3 3 2 2 2" xfId="1959"/>
    <cellStyle name="Comma 2 3 3 3 3 3 2 2 3" xfId="1960"/>
    <cellStyle name="Comma 2 3 3 3 3 3 2 3" xfId="1961"/>
    <cellStyle name="Comma 2 3 3 3 3 3 2 3 2" xfId="1962"/>
    <cellStyle name="Comma 2 3 3 3 3 3 2 3 3" xfId="1963"/>
    <cellStyle name="Comma 2 3 3 3 3 3 2 4" xfId="1964"/>
    <cellStyle name="Comma 2 3 3 3 3 3 2 5" xfId="1965"/>
    <cellStyle name="Comma 2 3 3 3 3 3 3" xfId="1966"/>
    <cellStyle name="Comma 2 3 3 3 3 3 3 2" xfId="1967"/>
    <cellStyle name="Comma 2 3 3 3 3 3 3 3" xfId="1968"/>
    <cellStyle name="Comma 2 3 3 3 3 3 4" xfId="1969"/>
    <cellStyle name="Comma 2 3 3 3 3 3 4 2" xfId="1970"/>
    <cellStyle name="Comma 2 3 3 3 3 3 4 3" xfId="1971"/>
    <cellStyle name="Comma 2 3 3 3 3 3 5" xfId="1972"/>
    <cellStyle name="Comma 2 3 3 3 3 3 6" xfId="1973"/>
    <cellStyle name="Comma 2 3 3 3 3 4" xfId="1974"/>
    <cellStyle name="Comma 2 3 3 3 3 4 2" xfId="1975"/>
    <cellStyle name="Comma 2 3 3 3 3 4 2 2" xfId="1976"/>
    <cellStyle name="Comma 2 3 3 3 3 4 2 3" xfId="1977"/>
    <cellStyle name="Comma 2 3 3 3 3 4 3" xfId="1978"/>
    <cellStyle name="Comma 2 3 3 3 3 4 3 2" xfId="1979"/>
    <cellStyle name="Comma 2 3 3 3 3 4 3 3" xfId="1980"/>
    <cellStyle name="Comma 2 3 3 3 3 4 4" xfId="1981"/>
    <cellStyle name="Comma 2 3 3 3 3 4 5" xfId="1982"/>
    <cellStyle name="Comma 2 3 3 3 3 5" xfId="1983"/>
    <cellStyle name="Comma 2 3 3 3 3 5 2" xfId="1984"/>
    <cellStyle name="Comma 2 3 3 3 3 5 3" xfId="1985"/>
    <cellStyle name="Comma 2 3 3 3 3 6" xfId="1986"/>
    <cellStyle name="Comma 2 3 3 3 3 6 2" xfId="1987"/>
    <cellStyle name="Comma 2 3 3 3 3 6 3" xfId="1988"/>
    <cellStyle name="Comma 2 3 3 3 3 7" xfId="1989"/>
    <cellStyle name="Comma 2 3 3 3 3 8" xfId="1990"/>
    <cellStyle name="Comma 2 3 3 3 4" xfId="1991"/>
    <cellStyle name="Comma 2 3 3 3 4 2" xfId="1992"/>
    <cellStyle name="Comma 2 3 3 3 4 2 2" xfId="1993"/>
    <cellStyle name="Comma 2 3 3 3 4 2 2 2" xfId="1994"/>
    <cellStyle name="Comma 2 3 3 3 4 2 2 3" xfId="1995"/>
    <cellStyle name="Comma 2 3 3 3 4 2 3" xfId="1996"/>
    <cellStyle name="Comma 2 3 3 3 4 2 3 2" xfId="1997"/>
    <cellStyle name="Comma 2 3 3 3 4 2 3 3" xfId="1998"/>
    <cellStyle name="Comma 2 3 3 3 4 2 4" xfId="1999"/>
    <cellStyle name="Comma 2 3 3 3 4 2 5" xfId="2000"/>
    <cellStyle name="Comma 2 3 3 3 4 3" xfId="2001"/>
    <cellStyle name="Comma 2 3 3 3 4 3 2" xfId="2002"/>
    <cellStyle name="Comma 2 3 3 3 4 3 3" xfId="2003"/>
    <cellStyle name="Comma 2 3 3 3 4 4" xfId="2004"/>
    <cellStyle name="Comma 2 3 3 3 4 4 2" xfId="2005"/>
    <cellStyle name="Comma 2 3 3 3 4 4 3" xfId="2006"/>
    <cellStyle name="Comma 2 3 3 3 4 5" xfId="2007"/>
    <cellStyle name="Comma 2 3 3 3 4 6" xfId="2008"/>
    <cellStyle name="Comma 2 3 3 3 5" xfId="2009"/>
    <cellStyle name="Comma 2 3 3 3 5 2" xfId="2010"/>
    <cellStyle name="Comma 2 3 3 3 5 2 2" xfId="2011"/>
    <cellStyle name="Comma 2 3 3 3 5 2 2 2" xfId="2012"/>
    <cellStyle name="Comma 2 3 3 3 5 2 2 3" xfId="2013"/>
    <cellStyle name="Comma 2 3 3 3 5 2 3" xfId="2014"/>
    <cellStyle name="Comma 2 3 3 3 5 2 3 2" xfId="2015"/>
    <cellStyle name="Comma 2 3 3 3 5 2 3 3" xfId="2016"/>
    <cellStyle name="Comma 2 3 3 3 5 2 4" xfId="2017"/>
    <cellStyle name="Comma 2 3 3 3 5 2 5" xfId="2018"/>
    <cellStyle name="Comma 2 3 3 3 5 3" xfId="2019"/>
    <cellStyle name="Comma 2 3 3 3 5 3 2" xfId="2020"/>
    <cellStyle name="Comma 2 3 3 3 5 3 3" xfId="2021"/>
    <cellStyle name="Comma 2 3 3 3 5 4" xfId="2022"/>
    <cellStyle name="Comma 2 3 3 3 5 4 2" xfId="2023"/>
    <cellStyle name="Comma 2 3 3 3 5 4 3" xfId="2024"/>
    <cellStyle name="Comma 2 3 3 3 5 5" xfId="2025"/>
    <cellStyle name="Comma 2 3 3 3 5 6" xfId="2026"/>
    <cellStyle name="Comma 2 3 3 3 6" xfId="2027"/>
    <cellStyle name="Comma 2 3 3 3 6 2" xfId="2028"/>
    <cellStyle name="Comma 2 3 3 3 6 2 2" xfId="2029"/>
    <cellStyle name="Comma 2 3 3 3 6 2 3" xfId="2030"/>
    <cellStyle name="Comma 2 3 3 3 6 3" xfId="2031"/>
    <cellStyle name="Comma 2 3 3 3 6 3 2" xfId="2032"/>
    <cellStyle name="Comma 2 3 3 3 6 3 3" xfId="2033"/>
    <cellStyle name="Comma 2 3 3 3 6 4" xfId="2034"/>
    <cellStyle name="Comma 2 3 3 3 6 5" xfId="2035"/>
    <cellStyle name="Comma 2 3 3 3 7" xfId="2036"/>
    <cellStyle name="Comma 2 3 3 3 7 2" xfId="2037"/>
    <cellStyle name="Comma 2 3 3 3 7 3" xfId="2038"/>
    <cellStyle name="Comma 2 3 3 3 8" xfId="2039"/>
    <cellStyle name="Comma 2 3 3 3 8 2" xfId="2040"/>
    <cellStyle name="Comma 2 3 3 3 8 3" xfId="2041"/>
    <cellStyle name="Comma 2 3 3 3 9" xfId="2042"/>
    <cellStyle name="Comma 2 3 3 4" xfId="2043"/>
    <cellStyle name="Comma 2 3 3 4 2" xfId="2044"/>
    <cellStyle name="Comma 2 3 3 4 2 2" xfId="2045"/>
    <cellStyle name="Comma 2 3 3 4 2 2 2" xfId="2046"/>
    <cellStyle name="Comma 2 3 3 4 2 2 2 2" xfId="2047"/>
    <cellStyle name="Comma 2 3 3 4 2 2 2 2 2" xfId="2048"/>
    <cellStyle name="Comma 2 3 3 4 2 2 2 2 3" xfId="2049"/>
    <cellStyle name="Comma 2 3 3 4 2 2 2 3" xfId="2050"/>
    <cellStyle name="Comma 2 3 3 4 2 2 2 3 2" xfId="2051"/>
    <cellStyle name="Comma 2 3 3 4 2 2 2 3 3" xfId="2052"/>
    <cellStyle name="Comma 2 3 3 4 2 2 2 4" xfId="2053"/>
    <cellStyle name="Comma 2 3 3 4 2 2 2 5" xfId="2054"/>
    <cellStyle name="Comma 2 3 3 4 2 2 3" xfId="2055"/>
    <cellStyle name="Comma 2 3 3 4 2 2 3 2" xfId="2056"/>
    <cellStyle name="Comma 2 3 3 4 2 2 3 3" xfId="2057"/>
    <cellStyle name="Comma 2 3 3 4 2 2 4" xfId="2058"/>
    <cellStyle name="Comma 2 3 3 4 2 2 4 2" xfId="2059"/>
    <cellStyle name="Comma 2 3 3 4 2 2 4 3" xfId="2060"/>
    <cellStyle name="Comma 2 3 3 4 2 2 5" xfId="2061"/>
    <cellStyle name="Comma 2 3 3 4 2 2 6" xfId="2062"/>
    <cellStyle name="Comma 2 3 3 4 2 3" xfId="2063"/>
    <cellStyle name="Comma 2 3 3 4 2 3 2" xfId="2064"/>
    <cellStyle name="Comma 2 3 3 4 2 3 2 2" xfId="2065"/>
    <cellStyle name="Comma 2 3 3 4 2 3 2 2 2" xfId="2066"/>
    <cellStyle name="Comma 2 3 3 4 2 3 2 2 3" xfId="2067"/>
    <cellStyle name="Comma 2 3 3 4 2 3 2 3" xfId="2068"/>
    <cellStyle name="Comma 2 3 3 4 2 3 2 3 2" xfId="2069"/>
    <cellStyle name="Comma 2 3 3 4 2 3 2 3 3" xfId="2070"/>
    <cellStyle name="Comma 2 3 3 4 2 3 2 4" xfId="2071"/>
    <cellStyle name="Comma 2 3 3 4 2 3 2 5" xfId="2072"/>
    <cellStyle name="Comma 2 3 3 4 2 3 3" xfId="2073"/>
    <cellStyle name="Comma 2 3 3 4 2 3 3 2" xfId="2074"/>
    <cellStyle name="Comma 2 3 3 4 2 3 3 3" xfId="2075"/>
    <cellStyle name="Comma 2 3 3 4 2 3 4" xfId="2076"/>
    <cellStyle name="Comma 2 3 3 4 2 3 4 2" xfId="2077"/>
    <cellStyle name="Comma 2 3 3 4 2 3 4 3" xfId="2078"/>
    <cellStyle name="Comma 2 3 3 4 2 3 5" xfId="2079"/>
    <cellStyle name="Comma 2 3 3 4 2 3 6" xfId="2080"/>
    <cellStyle name="Comma 2 3 3 4 2 4" xfId="2081"/>
    <cellStyle name="Comma 2 3 3 4 2 4 2" xfId="2082"/>
    <cellStyle name="Comma 2 3 3 4 2 4 2 2" xfId="2083"/>
    <cellStyle name="Comma 2 3 3 4 2 4 2 3" xfId="2084"/>
    <cellStyle name="Comma 2 3 3 4 2 4 3" xfId="2085"/>
    <cellStyle name="Comma 2 3 3 4 2 4 3 2" xfId="2086"/>
    <cellStyle name="Comma 2 3 3 4 2 4 3 3" xfId="2087"/>
    <cellStyle name="Comma 2 3 3 4 2 4 4" xfId="2088"/>
    <cellStyle name="Comma 2 3 3 4 2 4 5" xfId="2089"/>
    <cellStyle name="Comma 2 3 3 4 2 5" xfId="2090"/>
    <cellStyle name="Comma 2 3 3 4 2 5 2" xfId="2091"/>
    <cellStyle name="Comma 2 3 3 4 2 5 3" xfId="2092"/>
    <cellStyle name="Comma 2 3 3 4 2 6" xfId="2093"/>
    <cellStyle name="Comma 2 3 3 4 2 6 2" xfId="2094"/>
    <cellStyle name="Comma 2 3 3 4 2 6 3" xfId="2095"/>
    <cellStyle name="Comma 2 3 3 4 2 7" xfId="2096"/>
    <cellStyle name="Comma 2 3 3 4 2 8" xfId="2097"/>
    <cellStyle name="Comma 2 3 3 4 3" xfId="2098"/>
    <cellStyle name="Comma 2 3 3 4 3 2" xfId="2099"/>
    <cellStyle name="Comma 2 3 3 4 3 2 2" xfId="2100"/>
    <cellStyle name="Comma 2 3 3 4 3 2 2 2" xfId="2101"/>
    <cellStyle name="Comma 2 3 3 4 3 2 2 3" xfId="2102"/>
    <cellStyle name="Comma 2 3 3 4 3 2 3" xfId="2103"/>
    <cellStyle name="Comma 2 3 3 4 3 2 3 2" xfId="2104"/>
    <cellStyle name="Comma 2 3 3 4 3 2 3 3" xfId="2105"/>
    <cellStyle name="Comma 2 3 3 4 3 2 4" xfId="2106"/>
    <cellStyle name="Comma 2 3 3 4 3 2 5" xfId="2107"/>
    <cellStyle name="Comma 2 3 3 4 3 3" xfId="2108"/>
    <cellStyle name="Comma 2 3 3 4 3 3 2" xfId="2109"/>
    <cellStyle name="Comma 2 3 3 4 3 3 3" xfId="2110"/>
    <cellStyle name="Comma 2 3 3 4 3 4" xfId="2111"/>
    <cellStyle name="Comma 2 3 3 4 3 4 2" xfId="2112"/>
    <cellStyle name="Comma 2 3 3 4 3 4 3" xfId="2113"/>
    <cellStyle name="Comma 2 3 3 4 3 5" xfId="2114"/>
    <cellStyle name="Comma 2 3 3 4 3 6" xfId="2115"/>
    <cellStyle name="Comma 2 3 3 4 4" xfId="2116"/>
    <cellStyle name="Comma 2 3 3 4 4 2" xfId="2117"/>
    <cellStyle name="Comma 2 3 3 4 4 2 2" xfId="2118"/>
    <cellStyle name="Comma 2 3 3 4 4 2 2 2" xfId="2119"/>
    <cellStyle name="Comma 2 3 3 4 4 2 2 3" xfId="2120"/>
    <cellStyle name="Comma 2 3 3 4 4 2 3" xfId="2121"/>
    <cellStyle name="Comma 2 3 3 4 4 2 3 2" xfId="2122"/>
    <cellStyle name="Comma 2 3 3 4 4 2 3 3" xfId="2123"/>
    <cellStyle name="Comma 2 3 3 4 4 2 4" xfId="2124"/>
    <cellStyle name="Comma 2 3 3 4 4 2 5" xfId="2125"/>
    <cellStyle name="Comma 2 3 3 4 4 3" xfId="2126"/>
    <cellStyle name="Comma 2 3 3 4 4 3 2" xfId="2127"/>
    <cellStyle name="Comma 2 3 3 4 4 3 3" xfId="2128"/>
    <cellStyle name="Comma 2 3 3 4 4 4" xfId="2129"/>
    <cellStyle name="Comma 2 3 3 4 4 4 2" xfId="2130"/>
    <cellStyle name="Comma 2 3 3 4 4 4 3" xfId="2131"/>
    <cellStyle name="Comma 2 3 3 4 4 5" xfId="2132"/>
    <cellStyle name="Comma 2 3 3 4 4 6" xfId="2133"/>
    <cellStyle name="Comma 2 3 3 4 5" xfId="2134"/>
    <cellStyle name="Comma 2 3 3 4 5 2" xfId="2135"/>
    <cellStyle name="Comma 2 3 3 4 5 2 2" xfId="2136"/>
    <cellStyle name="Comma 2 3 3 4 5 2 3" xfId="2137"/>
    <cellStyle name="Comma 2 3 3 4 5 3" xfId="2138"/>
    <cellStyle name="Comma 2 3 3 4 5 3 2" xfId="2139"/>
    <cellStyle name="Comma 2 3 3 4 5 3 3" xfId="2140"/>
    <cellStyle name="Comma 2 3 3 4 5 4" xfId="2141"/>
    <cellStyle name="Comma 2 3 3 4 5 5" xfId="2142"/>
    <cellStyle name="Comma 2 3 3 4 6" xfId="2143"/>
    <cellStyle name="Comma 2 3 3 4 6 2" xfId="2144"/>
    <cellStyle name="Comma 2 3 3 4 6 3" xfId="2145"/>
    <cellStyle name="Comma 2 3 3 4 7" xfId="2146"/>
    <cellStyle name="Comma 2 3 3 4 7 2" xfId="2147"/>
    <cellStyle name="Comma 2 3 3 4 7 3" xfId="2148"/>
    <cellStyle name="Comma 2 3 3 4 8" xfId="2149"/>
    <cellStyle name="Comma 2 3 3 4 9" xfId="2150"/>
    <cellStyle name="Comma 2 3 3 5" xfId="2151"/>
    <cellStyle name="Comma 2 3 3 5 2" xfId="2152"/>
    <cellStyle name="Comma 2 3 3 5 2 2" xfId="2153"/>
    <cellStyle name="Comma 2 3 3 5 2 2 2" xfId="2154"/>
    <cellStyle name="Comma 2 3 3 5 2 2 2 2" xfId="2155"/>
    <cellStyle name="Comma 2 3 3 5 2 2 2 3" xfId="2156"/>
    <cellStyle name="Comma 2 3 3 5 2 2 3" xfId="2157"/>
    <cellStyle name="Comma 2 3 3 5 2 2 3 2" xfId="2158"/>
    <cellStyle name="Comma 2 3 3 5 2 2 3 3" xfId="2159"/>
    <cellStyle name="Comma 2 3 3 5 2 2 4" xfId="2160"/>
    <cellStyle name="Comma 2 3 3 5 2 2 5" xfId="2161"/>
    <cellStyle name="Comma 2 3 3 5 2 3" xfId="2162"/>
    <cellStyle name="Comma 2 3 3 5 2 3 2" xfId="2163"/>
    <cellStyle name="Comma 2 3 3 5 2 3 3" xfId="2164"/>
    <cellStyle name="Comma 2 3 3 5 2 4" xfId="2165"/>
    <cellStyle name="Comma 2 3 3 5 2 4 2" xfId="2166"/>
    <cellStyle name="Comma 2 3 3 5 2 4 3" xfId="2167"/>
    <cellStyle name="Comma 2 3 3 5 2 5" xfId="2168"/>
    <cellStyle name="Comma 2 3 3 5 2 6" xfId="2169"/>
    <cellStyle name="Comma 2 3 3 5 3" xfId="2170"/>
    <cellStyle name="Comma 2 3 3 5 3 2" xfId="2171"/>
    <cellStyle name="Comma 2 3 3 5 3 2 2" xfId="2172"/>
    <cellStyle name="Comma 2 3 3 5 3 2 2 2" xfId="2173"/>
    <cellStyle name="Comma 2 3 3 5 3 2 2 3" xfId="2174"/>
    <cellStyle name="Comma 2 3 3 5 3 2 3" xfId="2175"/>
    <cellStyle name="Comma 2 3 3 5 3 2 3 2" xfId="2176"/>
    <cellStyle name="Comma 2 3 3 5 3 2 3 3" xfId="2177"/>
    <cellStyle name="Comma 2 3 3 5 3 2 4" xfId="2178"/>
    <cellStyle name="Comma 2 3 3 5 3 2 5" xfId="2179"/>
    <cellStyle name="Comma 2 3 3 5 3 3" xfId="2180"/>
    <cellStyle name="Comma 2 3 3 5 3 3 2" xfId="2181"/>
    <cellStyle name="Comma 2 3 3 5 3 3 3" xfId="2182"/>
    <cellStyle name="Comma 2 3 3 5 3 4" xfId="2183"/>
    <cellStyle name="Comma 2 3 3 5 3 4 2" xfId="2184"/>
    <cellStyle name="Comma 2 3 3 5 3 4 3" xfId="2185"/>
    <cellStyle name="Comma 2 3 3 5 3 5" xfId="2186"/>
    <cellStyle name="Comma 2 3 3 5 3 6" xfId="2187"/>
    <cellStyle name="Comma 2 3 3 5 4" xfId="2188"/>
    <cellStyle name="Comma 2 3 3 5 4 2" xfId="2189"/>
    <cellStyle name="Comma 2 3 3 5 4 2 2" xfId="2190"/>
    <cellStyle name="Comma 2 3 3 5 4 2 3" xfId="2191"/>
    <cellStyle name="Comma 2 3 3 5 4 3" xfId="2192"/>
    <cellStyle name="Comma 2 3 3 5 4 3 2" xfId="2193"/>
    <cellStyle name="Comma 2 3 3 5 4 3 3" xfId="2194"/>
    <cellStyle name="Comma 2 3 3 5 4 4" xfId="2195"/>
    <cellStyle name="Comma 2 3 3 5 4 5" xfId="2196"/>
    <cellStyle name="Comma 2 3 3 5 5" xfId="2197"/>
    <cellStyle name="Comma 2 3 3 5 5 2" xfId="2198"/>
    <cellStyle name="Comma 2 3 3 5 5 3" xfId="2199"/>
    <cellStyle name="Comma 2 3 3 5 6" xfId="2200"/>
    <cellStyle name="Comma 2 3 3 5 6 2" xfId="2201"/>
    <cellStyle name="Comma 2 3 3 5 6 3" xfId="2202"/>
    <cellStyle name="Comma 2 3 3 5 7" xfId="2203"/>
    <cellStyle name="Comma 2 3 3 5 8" xfId="2204"/>
    <cellStyle name="Comma 2 3 3 6" xfId="2205"/>
    <cellStyle name="Comma 2 3 3 6 2" xfId="2206"/>
    <cellStyle name="Comma 2 3 3 6 2 2" xfId="2207"/>
    <cellStyle name="Comma 2 3 3 6 2 2 2" xfId="2208"/>
    <cellStyle name="Comma 2 3 3 6 2 2 3" xfId="2209"/>
    <cellStyle name="Comma 2 3 3 6 2 3" xfId="2210"/>
    <cellStyle name="Comma 2 3 3 6 2 3 2" xfId="2211"/>
    <cellStyle name="Comma 2 3 3 6 2 3 3" xfId="2212"/>
    <cellStyle name="Comma 2 3 3 6 2 4" xfId="2213"/>
    <cellStyle name="Comma 2 3 3 6 2 5" xfId="2214"/>
    <cellStyle name="Comma 2 3 3 6 3" xfId="2215"/>
    <cellStyle name="Comma 2 3 3 6 3 2" xfId="2216"/>
    <cellStyle name="Comma 2 3 3 6 3 3" xfId="2217"/>
    <cellStyle name="Comma 2 3 3 6 4" xfId="2218"/>
    <cellStyle name="Comma 2 3 3 6 4 2" xfId="2219"/>
    <cellStyle name="Comma 2 3 3 6 4 3" xfId="2220"/>
    <cellStyle name="Comma 2 3 3 6 5" xfId="2221"/>
    <cellStyle name="Comma 2 3 3 6 6" xfId="2222"/>
    <cellStyle name="Comma 2 3 3 7" xfId="2223"/>
    <cellStyle name="Comma 2 3 3 7 2" xfId="2224"/>
    <cellStyle name="Comma 2 3 3 7 2 2" xfId="2225"/>
    <cellStyle name="Comma 2 3 3 7 2 2 2" xfId="2226"/>
    <cellStyle name="Comma 2 3 3 7 2 2 3" xfId="2227"/>
    <cellStyle name="Comma 2 3 3 7 2 3" xfId="2228"/>
    <cellStyle name="Comma 2 3 3 7 2 3 2" xfId="2229"/>
    <cellStyle name="Comma 2 3 3 7 2 3 3" xfId="2230"/>
    <cellStyle name="Comma 2 3 3 7 2 4" xfId="2231"/>
    <cellStyle name="Comma 2 3 3 7 2 5" xfId="2232"/>
    <cellStyle name="Comma 2 3 3 7 3" xfId="2233"/>
    <cellStyle name="Comma 2 3 3 7 3 2" xfId="2234"/>
    <cellStyle name="Comma 2 3 3 7 3 3" xfId="2235"/>
    <cellStyle name="Comma 2 3 3 7 4" xfId="2236"/>
    <cellStyle name="Comma 2 3 3 7 4 2" xfId="2237"/>
    <cellStyle name="Comma 2 3 3 7 4 3" xfId="2238"/>
    <cellStyle name="Comma 2 3 3 7 5" xfId="2239"/>
    <cellStyle name="Comma 2 3 3 7 6" xfId="2240"/>
    <cellStyle name="Comma 2 3 3 8" xfId="2241"/>
    <cellStyle name="Comma 2 3 3 8 2" xfId="2242"/>
    <cellStyle name="Comma 2 3 3 8 2 2" xfId="2243"/>
    <cellStyle name="Comma 2 3 3 8 2 3" xfId="2244"/>
    <cellStyle name="Comma 2 3 3 8 3" xfId="2245"/>
    <cellStyle name="Comma 2 3 3 8 3 2" xfId="2246"/>
    <cellStyle name="Comma 2 3 3 8 3 3" xfId="2247"/>
    <cellStyle name="Comma 2 3 3 8 4" xfId="2248"/>
    <cellStyle name="Comma 2 3 3 8 5" xfId="2249"/>
    <cellStyle name="Comma 2 3 3 9" xfId="2250"/>
    <cellStyle name="Comma 2 3 3 9 2" xfId="2251"/>
    <cellStyle name="Comma 2 3 3 9 3" xfId="2252"/>
    <cellStyle name="Comma 2 3 4" xfId="2253"/>
    <cellStyle name="Comma 2 3 4 10" xfId="2254"/>
    <cellStyle name="Comma 2 3 4 2" xfId="2255"/>
    <cellStyle name="Comma 2 3 4 2 2" xfId="2256"/>
    <cellStyle name="Comma 2 3 4 2 2 2" xfId="2257"/>
    <cellStyle name="Comma 2 3 4 2 2 2 2" xfId="2258"/>
    <cellStyle name="Comma 2 3 4 2 2 2 2 2" xfId="2259"/>
    <cellStyle name="Comma 2 3 4 2 2 2 2 2 2" xfId="2260"/>
    <cellStyle name="Comma 2 3 4 2 2 2 2 2 3" xfId="2261"/>
    <cellStyle name="Comma 2 3 4 2 2 2 2 3" xfId="2262"/>
    <cellStyle name="Comma 2 3 4 2 2 2 2 3 2" xfId="2263"/>
    <cellStyle name="Comma 2 3 4 2 2 2 2 3 3" xfId="2264"/>
    <cellStyle name="Comma 2 3 4 2 2 2 2 4" xfId="2265"/>
    <cellStyle name="Comma 2 3 4 2 2 2 2 5" xfId="2266"/>
    <cellStyle name="Comma 2 3 4 2 2 2 3" xfId="2267"/>
    <cellStyle name="Comma 2 3 4 2 2 2 3 2" xfId="2268"/>
    <cellStyle name="Comma 2 3 4 2 2 2 3 3" xfId="2269"/>
    <cellStyle name="Comma 2 3 4 2 2 2 4" xfId="2270"/>
    <cellStyle name="Comma 2 3 4 2 2 2 4 2" xfId="2271"/>
    <cellStyle name="Comma 2 3 4 2 2 2 4 3" xfId="2272"/>
    <cellStyle name="Comma 2 3 4 2 2 2 5" xfId="2273"/>
    <cellStyle name="Comma 2 3 4 2 2 2 6" xfId="2274"/>
    <cellStyle name="Comma 2 3 4 2 2 3" xfId="2275"/>
    <cellStyle name="Comma 2 3 4 2 2 3 2" xfId="2276"/>
    <cellStyle name="Comma 2 3 4 2 2 3 2 2" xfId="2277"/>
    <cellStyle name="Comma 2 3 4 2 2 3 2 2 2" xfId="2278"/>
    <cellStyle name="Comma 2 3 4 2 2 3 2 2 3" xfId="2279"/>
    <cellStyle name="Comma 2 3 4 2 2 3 2 3" xfId="2280"/>
    <cellStyle name="Comma 2 3 4 2 2 3 2 3 2" xfId="2281"/>
    <cellStyle name="Comma 2 3 4 2 2 3 2 3 3" xfId="2282"/>
    <cellStyle name="Comma 2 3 4 2 2 3 2 4" xfId="2283"/>
    <cellStyle name="Comma 2 3 4 2 2 3 2 5" xfId="2284"/>
    <cellStyle name="Comma 2 3 4 2 2 3 3" xfId="2285"/>
    <cellStyle name="Comma 2 3 4 2 2 3 3 2" xfId="2286"/>
    <cellStyle name="Comma 2 3 4 2 2 3 3 3" xfId="2287"/>
    <cellStyle name="Comma 2 3 4 2 2 3 4" xfId="2288"/>
    <cellStyle name="Comma 2 3 4 2 2 3 4 2" xfId="2289"/>
    <cellStyle name="Comma 2 3 4 2 2 3 4 3" xfId="2290"/>
    <cellStyle name="Comma 2 3 4 2 2 3 5" xfId="2291"/>
    <cellStyle name="Comma 2 3 4 2 2 3 6" xfId="2292"/>
    <cellStyle name="Comma 2 3 4 2 2 4" xfId="2293"/>
    <cellStyle name="Comma 2 3 4 2 2 4 2" xfId="2294"/>
    <cellStyle name="Comma 2 3 4 2 2 4 2 2" xfId="2295"/>
    <cellStyle name="Comma 2 3 4 2 2 4 2 3" xfId="2296"/>
    <cellStyle name="Comma 2 3 4 2 2 4 3" xfId="2297"/>
    <cellStyle name="Comma 2 3 4 2 2 4 3 2" xfId="2298"/>
    <cellStyle name="Comma 2 3 4 2 2 4 3 3" xfId="2299"/>
    <cellStyle name="Comma 2 3 4 2 2 4 4" xfId="2300"/>
    <cellStyle name="Comma 2 3 4 2 2 4 5" xfId="2301"/>
    <cellStyle name="Comma 2 3 4 2 2 5" xfId="2302"/>
    <cellStyle name="Comma 2 3 4 2 2 5 2" xfId="2303"/>
    <cellStyle name="Comma 2 3 4 2 2 5 3" xfId="2304"/>
    <cellStyle name="Comma 2 3 4 2 2 6" xfId="2305"/>
    <cellStyle name="Comma 2 3 4 2 2 6 2" xfId="2306"/>
    <cellStyle name="Comma 2 3 4 2 2 6 3" xfId="2307"/>
    <cellStyle name="Comma 2 3 4 2 2 7" xfId="2308"/>
    <cellStyle name="Comma 2 3 4 2 2 8" xfId="2309"/>
    <cellStyle name="Comma 2 3 4 2 3" xfId="2310"/>
    <cellStyle name="Comma 2 3 4 2 3 2" xfId="2311"/>
    <cellStyle name="Comma 2 3 4 2 3 2 2" xfId="2312"/>
    <cellStyle name="Comma 2 3 4 2 3 2 2 2" xfId="2313"/>
    <cellStyle name="Comma 2 3 4 2 3 2 2 3" xfId="2314"/>
    <cellStyle name="Comma 2 3 4 2 3 2 3" xfId="2315"/>
    <cellStyle name="Comma 2 3 4 2 3 2 3 2" xfId="2316"/>
    <cellStyle name="Comma 2 3 4 2 3 2 3 3" xfId="2317"/>
    <cellStyle name="Comma 2 3 4 2 3 2 4" xfId="2318"/>
    <cellStyle name="Comma 2 3 4 2 3 2 5" xfId="2319"/>
    <cellStyle name="Comma 2 3 4 2 3 3" xfId="2320"/>
    <cellStyle name="Comma 2 3 4 2 3 3 2" xfId="2321"/>
    <cellStyle name="Comma 2 3 4 2 3 3 3" xfId="2322"/>
    <cellStyle name="Comma 2 3 4 2 3 4" xfId="2323"/>
    <cellStyle name="Comma 2 3 4 2 3 4 2" xfId="2324"/>
    <cellStyle name="Comma 2 3 4 2 3 4 3" xfId="2325"/>
    <cellStyle name="Comma 2 3 4 2 3 5" xfId="2326"/>
    <cellStyle name="Comma 2 3 4 2 3 6" xfId="2327"/>
    <cellStyle name="Comma 2 3 4 2 4" xfId="2328"/>
    <cellStyle name="Comma 2 3 4 2 4 2" xfId="2329"/>
    <cellStyle name="Comma 2 3 4 2 4 2 2" xfId="2330"/>
    <cellStyle name="Comma 2 3 4 2 4 2 2 2" xfId="2331"/>
    <cellStyle name="Comma 2 3 4 2 4 2 2 3" xfId="2332"/>
    <cellStyle name="Comma 2 3 4 2 4 2 3" xfId="2333"/>
    <cellStyle name="Comma 2 3 4 2 4 2 3 2" xfId="2334"/>
    <cellStyle name="Comma 2 3 4 2 4 2 3 3" xfId="2335"/>
    <cellStyle name="Comma 2 3 4 2 4 2 4" xfId="2336"/>
    <cellStyle name="Comma 2 3 4 2 4 2 5" xfId="2337"/>
    <cellStyle name="Comma 2 3 4 2 4 3" xfId="2338"/>
    <cellStyle name="Comma 2 3 4 2 4 3 2" xfId="2339"/>
    <cellStyle name="Comma 2 3 4 2 4 3 3" xfId="2340"/>
    <cellStyle name="Comma 2 3 4 2 4 4" xfId="2341"/>
    <cellStyle name="Comma 2 3 4 2 4 4 2" xfId="2342"/>
    <cellStyle name="Comma 2 3 4 2 4 4 3" xfId="2343"/>
    <cellStyle name="Comma 2 3 4 2 4 5" xfId="2344"/>
    <cellStyle name="Comma 2 3 4 2 4 6" xfId="2345"/>
    <cellStyle name="Comma 2 3 4 2 5" xfId="2346"/>
    <cellStyle name="Comma 2 3 4 2 5 2" xfId="2347"/>
    <cellStyle name="Comma 2 3 4 2 5 2 2" xfId="2348"/>
    <cellStyle name="Comma 2 3 4 2 5 2 3" xfId="2349"/>
    <cellStyle name="Comma 2 3 4 2 5 3" xfId="2350"/>
    <cellStyle name="Comma 2 3 4 2 5 3 2" xfId="2351"/>
    <cellStyle name="Comma 2 3 4 2 5 3 3" xfId="2352"/>
    <cellStyle name="Comma 2 3 4 2 5 4" xfId="2353"/>
    <cellStyle name="Comma 2 3 4 2 5 5" xfId="2354"/>
    <cellStyle name="Comma 2 3 4 2 6" xfId="2355"/>
    <cellStyle name="Comma 2 3 4 2 6 2" xfId="2356"/>
    <cellStyle name="Comma 2 3 4 2 6 3" xfId="2357"/>
    <cellStyle name="Comma 2 3 4 2 7" xfId="2358"/>
    <cellStyle name="Comma 2 3 4 2 7 2" xfId="2359"/>
    <cellStyle name="Comma 2 3 4 2 7 3" xfId="2360"/>
    <cellStyle name="Comma 2 3 4 2 8" xfId="2361"/>
    <cellStyle name="Comma 2 3 4 2 9" xfId="2362"/>
    <cellStyle name="Comma 2 3 4 3" xfId="2363"/>
    <cellStyle name="Comma 2 3 4 3 2" xfId="2364"/>
    <cellStyle name="Comma 2 3 4 3 2 2" xfId="2365"/>
    <cellStyle name="Comma 2 3 4 3 2 2 2" xfId="2366"/>
    <cellStyle name="Comma 2 3 4 3 2 2 2 2" xfId="2367"/>
    <cellStyle name="Comma 2 3 4 3 2 2 2 3" xfId="2368"/>
    <cellStyle name="Comma 2 3 4 3 2 2 3" xfId="2369"/>
    <cellStyle name="Comma 2 3 4 3 2 2 3 2" xfId="2370"/>
    <cellStyle name="Comma 2 3 4 3 2 2 3 3" xfId="2371"/>
    <cellStyle name="Comma 2 3 4 3 2 2 4" xfId="2372"/>
    <cellStyle name="Comma 2 3 4 3 2 2 5" xfId="2373"/>
    <cellStyle name="Comma 2 3 4 3 2 3" xfId="2374"/>
    <cellStyle name="Comma 2 3 4 3 2 3 2" xfId="2375"/>
    <cellStyle name="Comma 2 3 4 3 2 3 3" xfId="2376"/>
    <cellStyle name="Comma 2 3 4 3 2 4" xfId="2377"/>
    <cellStyle name="Comma 2 3 4 3 2 4 2" xfId="2378"/>
    <cellStyle name="Comma 2 3 4 3 2 4 3" xfId="2379"/>
    <cellStyle name="Comma 2 3 4 3 2 5" xfId="2380"/>
    <cellStyle name="Comma 2 3 4 3 2 6" xfId="2381"/>
    <cellStyle name="Comma 2 3 4 3 3" xfId="2382"/>
    <cellStyle name="Comma 2 3 4 3 3 2" xfId="2383"/>
    <cellStyle name="Comma 2 3 4 3 3 2 2" xfId="2384"/>
    <cellStyle name="Comma 2 3 4 3 3 2 2 2" xfId="2385"/>
    <cellStyle name="Comma 2 3 4 3 3 2 2 3" xfId="2386"/>
    <cellStyle name="Comma 2 3 4 3 3 2 3" xfId="2387"/>
    <cellStyle name="Comma 2 3 4 3 3 2 3 2" xfId="2388"/>
    <cellStyle name="Comma 2 3 4 3 3 2 3 3" xfId="2389"/>
    <cellStyle name="Comma 2 3 4 3 3 2 4" xfId="2390"/>
    <cellStyle name="Comma 2 3 4 3 3 2 5" xfId="2391"/>
    <cellStyle name="Comma 2 3 4 3 3 3" xfId="2392"/>
    <cellStyle name="Comma 2 3 4 3 3 3 2" xfId="2393"/>
    <cellStyle name="Comma 2 3 4 3 3 3 3" xfId="2394"/>
    <cellStyle name="Comma 2 3 4 3 3 4" xfId="2395"/>
    <cellStyle name="Comma 2 3 4 3 3 4 2" xfId="2396"/>
    <cellStyle name="Comma 2 3 4 3 3 4 3" xfId="2397"/>
    <cellStyle name="Comma 2 3 4 3 3 5" xfId="2398"/>
    <cellStyle name="Comma 2 3 4 3 3 6" xfId="2399"/>
    <cellStyle name="Comma 2 3 4 3 4" xfId="2400"/>
    <cellStyle name="Comma 2 3 4 3 4 2" xfId="2401"/>
    <cellStyle name="Comma 2 3 4 3 4 2 2" xfId="2402"/>
    <cellStyle name="Comma 2 3 4 3 4 2 3" xfId="2403"/>
    <cellStyle name="Comma 2 3 4 3 4 3" xfId="2404"/>
    <cellStyle name="Comma 2 3 4 3 4 3 2" xfId="2405"/>
    <cellStyle name="Comma 2 3 4 3 4 3 3" xfId="2406"/>
    <cellStyle name="Comma 2 3 4 3 4 4" xfId="2407"/>
    <cellStyle name="Comma 2 3 4 3 4 5" xfId="2408"/>
    <cellStyle name="Comma 2 3 4 3 5" xfId="2409"/>
    <cellStyle name="Comma 2 3 4 3 5 2" xfId="2410"/>
    <cellStyle name="Comma 2 3 4 3 5 3" xfId="2411"/>
    <cellStyle name="Comma 2 3 4 3 6" xfId="2412"/>
    <cellStyle name="Comma 2 3 4 3 6 2" xfId="2413"/>
    <cellStyle name="Comma 2 3 4 3 6 3" xfId="2414"/>
    <cellStyle name="Comma 2 3 4 3 7" xfId="2415"/>
    <cellStyle name="Comma 2 3 4 3 8" xfId="2416"/>
    <cellStyle name="Comma 2 3 4 4" xfId="2417"/>
    <cellStyle name="Comma 2 3 4 4 2" xfId="2418"/>
    <cellStyle name="Comma 2 3 4 4 2 2" xfId="2419"/>
    <cellStyle name="Comma 2 3 4 4 2 2 2" xfId="2420"/>
    <cellStyle name="Comma 2 3 4 4 2 2 3" xfId="2421"/>
    <cellStyle name="Comma 2 3 4 4 2 3" xfId="2422"/>
    <cellStyle name="Comma 2 3 4 4 2 3 2" xfId="2423"/>
    <cellStyle name="Comma 2 3 4 4 2 3 3" xfId="2424"/>
    <cellStyle name="Comma 2 3 4 4 2 4" xfId="2425"/>
    <cellStyle name="Comma 2 3 4 4 2 5" xfId="2426"/>
    <cellStyle name="Comma 2 3 4 4 3" xfId="2427"/>
    <cellStyle name="Comma 2 3 4 4 3 2" xfId="2428"/>
    <cellStyle name="Comma 2 3 4 4 3 3" xfId="2429"/>
    <cellStyle name="Comma 2 3 4 4 4" xfId="2430"/>
    <cellStyle name="Comma 2 3 4 4 4 2" xfId="2431"/>
    <cellStyle name="Comma 2 3 4 4 4 3" xfId="2432"/>
    <cellStyle name="Comma 2 3 4 4 5" xfId="2433"/>
    <cellStyle name="Comma 2 3 4 4 6" xfId="2434"/>
    <cellStyle name="Comma 2 3 4 5" xfId="2435"/>
    <cellStyle name="Comma 2 3 4 5 2" xfId="2436"/>
    <cellStyle name="Comma 2 3 4 5 2 2" xfId="2437"/>
    <cellStyle name="Comma 2 3 4 5 2 2 2" xfId="2438"/>
    <cellStyle name="Comma 2 3 4 5 2 2 3" xfId="2439"/>
    <cellStyle name="Comma 2 3 4 5 2 3" xfId="2440"/>
    <cellStyle name="Comma 2 3 4 5 2 3 2" xfId="2441"/>
    <cellStyle name="Comma 2 3 4 5 2 3 3" xfId="2442"/>
    <cellStyle name="Comma 2 3 4 5 2 4" xfId="2443"/>
    <cellStyle name="Comma 2 3 4 5 2 5" xfId="2444"/>
    <cellStyle name="Comma 2 3 4 5 3" xfId="2445"/>
    <cellStyle name="Comma 2 3 4 5 3 2" xfId="2446"/>
    <cellStyle name="Comma 2 3 4 5 3 3" xfId="2447"/>
    <cellStyle name="Comma 2 3 4 5 4" xfId="2448"/>
    <cellStyle name="Comma 2 3 4 5 4 2" xfId="2449"/>
    <cellStyle name="Comma 2 3 4 5 4 3" xfId="2450"/>
    <cellStyle name="Comma 2 3 4 5 5" xfId="2451"/>
    <cellStyle name="Comma 2 3 4 5 6" xfId="2452"/>
    <cellStyle name="Comma 2 3 4 6" xfId="2453"/>
    <cellStyle name="Comma 2 3 4 6 2" xfId="2454"/>
    <cellStyle name="Comma 2 3 4 6 2 2" xfId="2455"/>
    <cellStyle name="Comma 2 3 4 6 2 3" xfId="2456"/>
    <cellStyle name="Comma 2 3 4 6 3" xfId="2457"/>
    <cellStyle name="Comma 2 3 4 6 3 2" xfId="2458"/>
    <cellStyle name="Comma 2 3 4 6 3 3" xfId="2459"/>
    <cellStyle name="Comma 2 3 4 6 4" xfId="2460"/>
    <cellStyle name="Comma 2 3 4 6 5" xfId="2461"/>
    <cellStyle name="Comma 2 3 4 7" xfId="2462"/>
    <cellStyle name="Comma 2 3 4 7 2" xfId="2463"/>
    <cellStyle name="Comma 2 3 4 7 3" xfId="2464"/>
    <cellStyle name="Comma 2 3 4 8" xfId="2465"/>
    <cellStyle name="Comma 2 3 4 8 2" xfId="2466"/>
    <cellStyle name="Comma 2 3 4 8 3" xfId="2467"/>
    <cellStyle name="Comma 2 3 4 9" xfId="2468"/>
    <cellStyle name="Comma 2 3 5" xfId="2469"/>
    <cellStyle name="Comma 2 3 5 10" xfId="2470"/>
    <cellStyle name="Comma 2 3 5 2" xfId="2471"/>
    <cellStyle name="Comma 2 3 5 2 2" xfId="2472"/>
    <cellStyle name="Comma 2 3 5 2 2 2" xfId="2473"/>
    <cellStyle name="Comma 2 3 5 2 2 2 2" xfId="2474"/>
    <cellStyle name="Comma 2 3 5 2 2 2 2 2" xfId="2475"/>
    <cellStyle name="Comma 2 3 5 2 2 2 2 2 2" xfId="2476"/>
    <cellStyle name="Comma 2 3 5 2 2 2 2 2 3" xfId="2477"/>
    <cellStyle name="Comma 2 3 5 2 2 2 2 3" xfId="2478"/>
    <cellStyle name="Comma 2 3 5 2 2 2 2 3 2" xfId="2479"/>
    <cellStyle name="Comma 2 3 5 2 2 2 2 3 3" xfId="2480"/>
    <cellStyle name="Comma 2 3 5 2 2 2 2 4" xfId="2481"/>
    <cellStyle name="Comma 2 3 5 2 2 2 2 5" xfId="2482"/>
    <cellStyle name="Comma 2 3 5 2 2 2 3" xfId="2483"/>
    <cellStyle name="Comma 2 3 5 2 2 2 3 2" xfId="2484"/>
    <cellStyle name="Comma 2 3 5 2 2 2 3 3" xfId="2485"/>
    <cellStyle name="Comma 2 3 5 2 2 2 4" xfId="2486"/>
    <cellStyle name="Comma 2 3 5 2 2 2 4 2" xfId="2487"/>
    <cellStyle name="Comma 2 3 5 2 2 2 4 3" xfId="2488"/>
    <cellStyle name="Comma 2 3 5 2 2 2 5" xfId="2489"/>
    <cellStyle name="Comma 2 3 5 2 2 2 6" xfId="2490"/>
    <cellStyle name="Comma 2 3 5 2 2 3" xfId="2491"/>
    <cellStyle name="Comma 2 3 5 2 2 3 2" xfId="2492"/>
    <cellStyle name="Comma 2 3 5 2 2 3 2 2" xfId="2493"/>
    <cellStyle name="Comma 2 3 5 2 2 3 2 2 2" xfId="2494"/>
    <cellStyle name="Comma 2 3 5 2 2 3 2 2 3" xfId="2495"/>
    <cellStyle name="Comma 2 3 5 2 2 3 2 3" xfId="2496"/>
    <cellStyle name="Comma 2 3 5 2 2 3 2 3 2" xfId="2497"/>
    <cellStyle name="Comma 2 3 5 2 2 3 2 3 3" xfId="2498"/>
    <cellStyle name="Comma 2 3 5 2 2 3 2 4" xfId="2499"/>
    <cellStyle name="Comma 2 3 5 2 2 3 2 5" xfId="2500"/>
    <cellStyle name="Comma 2 3 5 2 2 3 3" xfId="2501"/>
    <cellStyle name="Comma 2 3 5 2 2 3 3 2" xfId="2502"/>
    <cellStyle name="Comma 2 3 5 2 2 3 3 3" xfId="2503"/>
    <cellStyle name="Comma 2 3 5 2 2 3 4" xfId="2504"/>
    <cellStyle name="Comma 2 3 5 2 2 3 4 2" xfId="2505"/>
    <cellStyle name="Comma 2 3 5 2 2 3 4 3" xfId="2506"/>
    <cellStyle name="Comma 2 3 5 2 2 3 5" xfId="2507"/>
    <cellStyle name="Comma 2 3 5 2 2 3 6" xfId="2508"/>
    <cellStyle name="Comma 2 3 5 2 2 4" xfId="2509"/>
    <cellStyle name="Comma 2 3 5 2 2 4 2" xfId="2510"/>
    <cellStyle name="Comma 2 3 5 2 2 4 2 2" xfId="2511"/>
    <cellStyle name="Comma 2 3 5 2 2 4 2 3" xfId="2512"/>
    <cellStyle name="Comma 2 3 5 2 2 4 3" xfId="2513"/>
    <cellStyle name="Comma 2 3 5 2 2 4 3 2" xfId="2514"/>
    <cellStyle name="Comma 2 3 5 2 2 4 3 3" xfId="2515"/>
    <cellStyle name="Comma 2 3 5 2 2 4 4" xfId="2516"/>
    <cellStyle name="Comma 2 3 5 2 2 4 5" xfId="2517"/>
    <cellStyle name="Comma 2 3 5 2 2 5" xfId="2518"/>
    <cellStyle name="Comma 2 3 5 2 2 5 2" xfId="2519"/>
    <cellStyle name="Comma 2 3 5 2 2 5 3" xfId="2520"/>
    <cellStyle name="Comma 2 3 5 2 2 6" xfId="2521"/>
    <cellStyle name="Comma 2 3 5 2 2 6 2" xfId="2522"/>
    <cellStyle name="Comma 2 3 5 2 2 6 3" xfId="2523"/>
    <cellStyle name="Comma 2 3 5 2 2 7" xfId="2524"/>
    <cellStyle name="Comma 2 3 5 2 2 8" xfId="2525"/>
    <cellStyle name="Comma 2 3 5 2 3" xfId="2526"/>
    <cellStyle name="Comma 2 3 5 2 3 2" xfId="2527"/>
    <cellStyle name="Comma 2 3 5 2 3 2 2" xfId="2528"/>
    <cellStyle name="Comma 2 3 5 2 3 2 2 2" xfId="2529"/>
    <cellStyle name="Comma 2 3 5 2 3 2 2 3" xfId="2530"/>
    <cellStyle name="Comma 2 3 5 2 3 2 3" xfId="2531"/>
    <cellStyle name="Comma 2 3 5 2 3 2 3 2" xfId="2532"/>
    <cellStyle name="Comma 2 3 5 2 3 2 3 3" xfId="2533"/>
    <cellStyle name="Comma 2 3 5 2 3 2 4" xfId="2534"/>
    <cellStyle name="Comma 2 3 5 2 3 2 5" xfId="2535"/>
    <cellStyle name="Comma 2 3 5 2 3 3" xfId="2536"/>
    <cellStyle name="Comma 2 3 5 2 3 3 2" xfId="2537"/>
    <cellStyle name="Comma 2 3 5 2 3 3 3" xfId="2538"/>
    <cellStyle name="Comma 2 3 5 2 3 4" xfId="2539"/>
    <cellStyle name="Comma 2 3 5 2 3 4 2" xfId="2540"/>
    <cellStyle name="Comma 2 3 5 2 3 4 3" xfId="2541"/>
    <cellStyle name="Comma 2 3 5 2 3 5" xfId="2542"/>
    <cellStyle name="Comma 2 3 5 2 3 6" xfId="2543"/>
    <cellStyle name="Comma 2 3 5 2 4" xfId="2544"/>
    <cellStyle name="Comma 2 3 5 2 4 2" xfId="2545"/>
    <cellStyle name="Comma 2 3 5 2 4 2 2" xfId="2546"/>
    <cellStyle name="Comma 2 3 5 2 4 2 2 2" xfId="2547"/>
    <cellStyle name="Comma 2 3 5 2 4 2 2 3" xfId="2548"/>
    <cellStyle name="Comma 2 3 5 2 4 2 3" xfId="2549"/>
    <cellStyle name="Comma 2 3 5 2 4 2 3 2" xfId="2550"/>
    <cellStyle name="Comma 2 3 5 2 4 2 3 3" xfId="2551"/>
    <cellStyle name="Comma 2 3 5 2 4 2 4" xfId="2552"/>
    <cellStyle name="Comma 2 3 5 2 4 2 5" xfId="2553"/>
    <cellStyle name="Comma 2 3 5 2 4 3" xfId="2554"/>
    <cellStyle name="Comma 2 3 5 2 4 3 2" xfId="2555"/>
    <cellStyle name="Comma 2 3 5 2 4 3 3" xfId="2556"/>
    <cellStyle name="Comma 2 3 5 2 4 4" xfId="2557"/>
    <cellStyle name="Comma 2 3 5 2 4 4 2" xfId="2558"/>
    <cellStyle name="Comma 2 3 5 2 4 4 3" xfId="2559"/>
    <cellStyle name="Comma 2 3 5 2 4 5" xfId="2560"/>
    <cellStyle name="Comma 2 3 5 2 4 6" xfId="2561"/>
    <cellStyle name="Comma 2 3 5 2 5" xfId="2562"/>
    <cellStyle name="Comma 2 3 5 2 5 2" xfId="2563"/>
    <cellStyle name="Comma 2 3 5 2 5 2 2" xfId="2564"/>
    <cellStyle name="Comma 2 3 5 2 5 2 3" xfId="2565"/>
    <cellStyle name="Comma 2 3 5 2 5 3" xfId="2566"/>
    <cellStyle name="Comma 2 3 5 2 5 3 2" xfId="2567"/>
    <cellStyle name="Comma 2 3 5 2 5 3 3" xfId="2568"/>
    <cellStyle name="Comma 2 3 5 2 5 4" xfId="2569"/>
    <cellStyle name="Comma 2 3 5 2 5 5" xfId="2570"/>
    <cellStyle name="Comma 2 3 5 2 6" xfId="2571"/>
    <cellStyle name="Comma 2 3 5 2 6 2" xfId="2572"/>
    <cellStyle name="Comma 2 3 5 2 6 3" xfId="2573"/>
    <cellStyle name="Comma 2 3 5 2 7" xfId="2574"/>
    <cellStyle name="Comma 2 3 5 2 7 2" xfId="2575"/>
    <cellStyle name="Comma 2 3 5 2 7 3" xfId="2576"/>
    <cellStyle name="Comma 2 3 5 2 8" xfId="2577"/>
    <cellStyle name="Comma 2 3 5 2 9" xfId="2578"/>
    <cellStyle name="Comma 2 3 5 3" xfId="2579"/>
    <cellStyle name="Comma 2 3 5 3 2" xfId="2580"/>
    <cellStyle name="Comma 2 3 5 3 2 2" xfId="2581"/>
    <cellStyle name="Comma 2 3 5 3 2 2 2" xfId="2582"/>
    <cellStyle name="Comma 2 3 5 3 2 2 2 2" xfId="2583"/>
    <cellStyle name="Comma 2 3 5 3 2 2 2 3" xfId="2584"/>
    <cellStyle name="Comma 2 3 5 3 2 2 3" xfId="2585"/>
    <cellStyle name="Comma 2 3 5 3 2 2 3 2" xfId="2586"/>
    <cellStyle name="Comma 2 3 5 3 2 2 3 3" xfId="2587"/>
    <cellStyle name="Comma 2 3 5 3 2 2 4" xfId="2588"/>
    <cellStyle name="Comma 2 3 5 3 2 2 5" xfId="2589"/>
    <cellStyle name="Comma 2 3 5 3 2 3" xfId="2590"/>
    <cellStyle name="Comma 2 3 5 3 2 3 2" xfId="2591"/>
    <cellStyle name="Comma 2 3 5 3 2 3 3" xfId="2592"/>
    <cellStyle name="Comma 2 3 5 3 2 4" xfId="2593"/>
    <cellStyle name="Comma 2 3 5 3 2 4 2" xfId="2594"/>
    <cellStyle name="Comma 2 3 5 3 2 4 3" xfId="2595"/>
    <cellStyle name="Comma 2 3 5 3 2 5" xfId="2596"/>
    <cellStyle name="Comma 2 3 5 3 2 6" xfId="2597"/>
    <cellStyle name="Comma 2 3 5 3 3" xfId="2598"/>
    <cellStyle name="Comma 2 3 5 3 3 2" xfId="2599"/>
    <cellStyle name="Comma 2 3 5 3 3 2 2" xfId="2600"/>
    <cellStyle name="Comma 2 3 5 3 3 2 2 2" xfId="2601"/>
    <cellStyle name="Comma 2 3 5 3 3 2 2 3" xfId="2602"/>
    <cellStyle name="Comma 2 3 5 3 3 2 3" xfId="2603"/>
    <cellStyle name="Comma 2 3 5 3 3 2 3 2" xfId="2604"/>
    <cellStyle name="Comma 2 3 5 3 3 2 3 3" xfId="2605"/>
    <cellStyle name="Comma 2 3 5 3 3 2 4" xfId="2606"/>
    <cellStyle name="Comma 2 3 5 3 3 2 5" xfId="2607"/>
    <cellStyle name="Comma 2 3 5 3 3 3" xfId="2608"/>
    <cellStyle name="Comma 2 3 5 3 3 3 2" xfId="2609"/>
    <cellStyle name="Comma 2 3 5 3 3 3 3" xfId="2610"/>
    <cellStyle name="Comma 2 3 5 3 3 4" xfId="2611"/>
    <cellStyle name="Comma 2 3 5 3 3 4 2" xfId="2612"/>
    <cellStyle name="Comma 2 3 5 3 3 4 3" xfId="2613"/>
    <cellStyle name="Comma 2 3 5 3 3 5" xfId="2614"/>
    <cellStyle name="Comma 2 3 5 3 3 6" xfId="2615"/>
    <cellStyle name="Comma 2 3 5 3 4" xfId="2616"/>
    <cellStyle name="Comma 2 3 5 3 4 2" xfId="2617"/>
    <cellStyle name="Comma 2 3 5 3 4 2 2" xfId="2618"/>
    <cellStyle name="Comma 2 3 5 3 4 2 3" xfId="2619"/>
    <cellStyle name="Comma 2 3 5 3 4 3" xfId="2620"/>
    <cellStyle name="Comma 2 3 5 3 4 3 2" xfId="2621"/>
    <cellStyle name="Comma 2 3 5 3 4 3 3" xfId="2622"/>
    <cellStyle name="Comma 2 3 5 3 4 4" xfId="2623"/>
    <cellStyle name="Comma 2 3 5 3 4 5" xfId="2624"/>
    <cellStyle name="Comma 2 3 5 3 5" xfId="2625"/>
    <cellStyle name="Comma 2 3 5 3 5 2" xfId="2626"/>
    <cellStyle name="Comma 2 3 5 3 5 3" xfId="2627"/>
    <cellStyle name="Comma 2 3 5 3 6" xfId="2628"/>
    <cellStyle name="Comma 2 3 5 3 6 2" xfId="2629"/>
    <cellStyle name="Comma 2 3 5 3 6 3" xfId="2630"/>
    <cellStyle name="Comma 2 3 5 3 7" xfId="2631"/>
    <cellStyle name="Comma 2 3 5 3 8" xfId="2632"/>
    <cellStyle name="Comma 2 3 5 4" xfId="2633"/>
    <cellStyle name="Comma 2 3 5 4 2" xfId="2634"/>
    <cellStyle name="Comma 2 3 5 4 2 2" xfId="2635"/>
    <cellStyle name="Comma 2 3 5 4 2 2 2" xfId="2636"/>
    <cellStyle name="Comma 2 3 5 4 2 2 3" xfId="2637"/>
    <cellStyle name="Comma 2 3 5 4 2 3" xfId="2638"/>
    <cellStyle name="Comma 2 3 5 4 2 3 2" xfId="2639"/>
    <cellStyle name="Comma 2 3 5 4 2 3 3" xfId="2640"/>
    <cellStyle name="Comma 2 3 5 4 2 4" xfId="2641"/>
    <cellStyle name="Comma 2 3 5 4 2 5" xfId="2642"/>
    <cellStyle name="Comma 2 3 5 4 3" xfId="2643"/>
    <cellStyle name="Comma 2 3 5 4 3 2" xfId="2644"/>
    <cellStyle name="Comma 2 3 5 4 3 3" xfId="2645"/>
    <cellStyle name="Comma 2 3 5 4 4" xfId="2646"/>
    <cellStyle name="Comma 2 3 5 4 4 2" xfId="2647"/>
    <cellStyle name="Comma 2 3 5 4 4 3" xfId="2648"/>
    <cellStyle name="Comma 2 3 5 4 5" xfId="2649"/>
    <cellStyle name="Comma 2 3 5 4 6" xfId="2650"/>
    <cellStyle name="Comma 2 3 5 5" xfId="2651"/>
    <cellStyle name="Comma 2 3 5 5 2" xfId="2652"/>
    <cellStyle name="Comma 2 3 5 5 2 2" xfId="2653"/>
    <cellStyle name="Comma 2 3 5 5 2 2 2" xfId="2654"/>
    <cellStyle name="Comma 2 3 5 5 2 2 3" xfId="2655"/>
    <cellStyle name="Comma 2 3 5 5 2 3" xfId="2656"/>
    <cellStyle name="Comma 2 3 5 5 2 3 2" xfId="2657"/>
    <cellStyle name="Comma 2 3 5 5 2 3 3" xfId="2658"/>
    <cellStyle name="Comma 2 3 5 5 2 4" xfId="2659"/>
    <cellStyle name="Comma 2 3 5 5 2 5" xfId="2660"/>
    <cellStyle name="Comma 2 3 5 5 3" xfId="2661"/>
    <cellStyle name="Comma 2 3 5 5 3 2" xfId="2662"/>
    <cellStyle name="Comma 2 3 5 5 3 3" xfId="2663"/>
    <cellStyle name="Comma 2 3 5 5 4" xfId="2664"/>
    <cellStyle name="Comma 2 3 5 5 4 2" xfId="2665"/>
    <cellStyle name="Comma 2 3 5 5 4 3" xfId="2666"/>
    <cellStyle name="Comma 2 3 5 5 5" xfId="2667"/>
    <cellStyle name="Comma 2 3 5 5 6" xfId="2668"/>
    <cellStyle name="Comma 2 3 5 6" xfId="2669"/>
    <cellStyle name="Comma 2 3 5 6 2" xfId="2670"/>
    <cellStyle name="Comma 2 3 5 6 2 2" xfId="2671"/>
    <cellStyle name="Comma 2 3 5 6 2 3" xfId="2672"/>
    <cellStyle name="Comma 2 3 5 6 3" xfId="2673"/>
    <cellStyle name="Comma 2 3 5 6 3 2" xfId="2674"/>
    <cellStyle name="Comma 2 3 5 6 3 3" xfId="2675"/>
    <cellStyle name="Comma 2 3 5 6 4" xfId="2676"/>
    <cellStyle name="Comma 2 3 5 6 5" xfId="2677"/>
    <cellStyle name="Comma 2 3 5 7" xfId="2678"/>
    <cellStyle name="Comma 2 3 5 7 2" xfId="2679"/>
    <cellStyle name="Comma 2 3 5 7 3" xfId="2680"/>
    <cellStyle name="Comma 2 3 5 8" xfId="2681"/>
    <cellStyle name="Comma 2 3 5 8 2" xfId="2682"/>
    <cellStyle name="Comma 2 3 5 8 3" xfId="2683"/>
    <cellStyle name="Comma 2 3 5 9" xfId="2684"/>
    <cellStyle name="Comma 2 3 6" xfId="2685"/>
    <cellStyle name="Comma 2 3 6 10" xfId="2686"/>
    <cellStyle name="Comma 2 3 6 2" xfId="2687"/>
    <cellStyle name="Comma 2 3 6 2 2" xfId="2688"/>
    <cellStyle name="Comma 2 3 6 2 2 2" xfId="2689"/>
    <cellStyle name="Comma 2 3 6 2 2 2 2" xfId="2690"/>
    <cellStyle name="Comma 2 3 6 2 2 2 2 2" xfId="2691"/>
    <cellStyle name="Comma 2 3 6 2 2 2 2 2 2" xfId="2692"/>
    <cellStyle name="Comma 2 3 6 2 2 2 2 2 3" xfId="2693"/>
    <cellStyle name="Comma 2 3 6 2 2 2 2 3" xfId="2694"/>
    <cellStyle name="Comma 2 3 6 2 2 2 2 3 2" xfId="2695"/>
    <cellStyle name="Comma 2 3 6 2 2 2 2 3 3" xfId="2696"/>
    <cellStyle name="Comma 2 3 6 2 2 2 2 4" xfId="2697"/>
    <cellStyle name="Comma 2 3 6 2 2 2 2 5" xfId="2698"/>
    <cellStyle name="Comma 2 3 6 2 2 2 3" xfId="2699"/>
    <cellStyle name="Comma 2 3 6 2 2 2 3 2" xfId="2700"/>
    <cellStyle name="Comma 2 3 6 2 2 2 3 3" xfId="2701"/>
    <cellStyle name="Comma 2 3 6 2 2 2 4" xfId="2702"/>
    <cellStyle name="Comma 2 3 6 2 2 2 4 2" xfId="2703"/>
    <cellStyle name="Comma 2 3 6 2 2 2 4 3" xfId="2704"/>
    <cellStyle name="Comma 2 3 6 2 2 2 5" xfId="2705"/>
    <cellStyle name="Comma 2 3 6 2 2 2 6" xfId="2706"/>
    <cellStyle name="Comma 2 3 6 2 2 3" xfId="2707"/>
    <cellStyle name="Comma 2 3 6 2 2 3 2" xfId="2708"/>
    <cellStyle name="Comma 2 3 6 2 2 3 2 2" xfId="2709"/>
    <cellStyle name="Comma 2 3 6 2 2 3 2 2 2" xfId="2710"/>
    <cellStyle name="Comma 2 3 6 2 2 3 2 2 3" xfId="2711"/>
    <cellStyle name="Comma 2 3 6 2 2 3 2 3" xfId="2712"/>
    <cellStyle name="Comma 2 3 6 2 2 3 2 3 2" xfId="2713"/>
    <cellStyle name="Comma 2 3 6 2 2 3 2 3 3" xfId="2714"/>
    <cellStyle name="Comma 2 3 6 2 2 3 2 4" xfId="2715"/>
    <cellStyle name="Comma 2 3 6 2 2 3 2 5" xfId="2716"/>
    <cellStyle name="Comma 2 3 6 2 2 3 3" xfId="2717"/>
    <cellStyle name="Comma 2 3 6 2 2 3 3 2" xfId="2718"/>
    <cellStyle name="Comma 2 3 6 2 2 3 3 3" xfId="2719"/>
    <cellStyle name="Comma 2 3 6 2 2 3 4" xfId="2720"/>
    <cellStyle name="Comma 2 3 6 2 2 3 4 2" xfId="2721"/>
    <cellStyle name="Comma 2 3 6 2 2 3 4 3" xfId="2722"/>
    <cellStyle name="Comma 2 3 6 2 2 3 5" xfId="2723"/>
    <cellStyle name="Comma 2 3 6 2 2 3 6" xfId="2724"/>
    <cellStyle name="Comma 2 3 6 2 2 4" xfId="2725"/>
    <cellStyle name="Comma 2 3 6 2 2 4 2" xfId="2726"/>
    <cellStyle name="Comma 2 3 6 2 2 4 2 2" xfId="2727"/>
    <cellStyle name="Comma 2 3 6 2 2 4 2 3" xfId="2728"/>
    <cellStyle name="Comma 2 3 6 2 2 4 3" xfId="2729"/>
    <cellStyle name="Comma 2 3 6 2 2 4 3 2" xfId="2730"/>
    <cellStyle name="Comma 2 3 6 2 2 4 3 3" xfId="2731"/>
    <cellStyle name="Comma 2 3 6 2 2 4 4" xfId="2732"/>
    <cellStyle name="Comma 2 3 6 2 2 4 5" xfId="2733"/>
    <cellStyle name="Comma 2 3 6 2 2 5" xfId="2734"/>
    <cellStyle name="Comma 2 3 6 2 2 5 2" xfId="2735"/>
    <cellStyle name="Comma 2 3 6 2 2 5 3" xfId="2736"/>
    <cellStyle name="Comma 2 3 6 2 2 6" xfId="2737"/>
    <cellStyle name="Comma 2 3 6 2 2 6 2" xfId="2738"/>
    <cellStyle name="Comma 2 3 6 2 2 6 3" xfId="2739"/>
    <cellStyle name="Comma 2 3 6 2 2 7" xfId="2740"/>
    <cellStyle name="Comma 2 3 6 2 2 8" xfId="2741"/>
    <cellStyle name="Comma 2 3 6 2 3" xfId="2742"/>
    <cellStyle name="Comma 2 3 6 2 3 2" xfId="2743"/>
    <cellStyle name="Comma 2 3 6 2 3 2 2" xfId="2744"/>
    <cellStyle name="Comma 2 3 6 2 3 2 2 2" xfId="2745"/>
    <cellStyle name="Comma 2 3 6 2 3 2 2 3" xfId="2746"/>
    <cellStyle name="Comma 2 3 6 2 3 2 3" xfId="2747"/>
    <cellStyle name="Comma 2 3 6 2 3 2 3 2" xfId="2748"/>
    <cellStyle name="Comma 2 3 6 2 3 2 3 3" xfId="2749"/>
    <cellStyle name="Comma 2 3 6 2 3 2 4" xfId="2750"/>
    <cellStyle name="Comma 2 3 6 2 3 2 5" xfId="2751"/>
    <cellStyle name="Comma 2 3 6 2 3 3" xfId="2752"/>
    <cellStyle name="Comma 2 3 6 2 3 3 2" xfId="2753"/>
    <cellStyle name="Comma 2 3 6 2 3 3 3" xfId="2754"/>
    <cellStyle name="Comma 2 3 6 2 3 4" xfId="2755"/>
    <cellStyle name="Comma 2 3 6 2 3 4 2" xfId="2756"/>
    <cellStyle name="Comma 2 3 6 2 3 4 3" xfId="2757"/>
    <cellStyle name="Comma 2 3 6 2 3 5" xfId="2758"/>
    <cellStyle name="Comma 2 3 6 2 3 6" xfId="2759"/>
    <cellStyle name="Comma 2 3 6 2 4" xfId="2760"/>
    <cellStyle name="Comma 2 3 6 2 4 2" xfId="2761"/>
    <cellStyle name="Comma 2 3 6 2 4 2 2" xfId="2762"/>
    <cellStyle name="Comma 2 3 6 2 4 2 2 2" xfId="2763"/>
    <cellStyle name="Comma 2 3 6 2 4 2 2 3" xfId="2764"/>
    <cellStyle name="Comma 2 3 6 2 4 2 3" xfId="2765"/>
    <cellStyle name="Comma 2 3 6 2 4 2 3 2" xfId="2766"/>
    <cellStyle name="Comma 2 3 6 2 4 2 3 3" xfId="2767"/>
    <cellStyle name="Comma 2 3 6 2 4 2 4" xfId="2768"/>
    <cellStyle name="Comma 2 3 6 2 4 2 5" xfId="2769"/>
    <cellStyle name="Comma 2 3 6 2 4 3" xfId="2770"/>
    <cellStyle name="Comma 2 3 6 2 4 3 2" xfId="2771"/>
    <cellStyle name="Comma 2 3 6 2 4 3 3" xfId="2772"/>
    <cellStyle name="Comma 2 3 6 2 4 4" xfId="2773"/>
    <cellStyle name="Comma 2 3 6 2 4 4 2" xfId="2774"/>
    <cellStyle name="Comma 2 3 6 2 4 4 3" xfId="2775"/>
    <cellStyle name="Comma 2 3 6 2 4 5" xfId="2776"/>
    <cellStyle name="Comma 2 3 6 2 4 6" xfId="2777"/>
    <cellStyle name="Comma 2 3 6 2 5" xfId="2778"/>
    <cellStyle name="Comma 2 3 6 2 5 2" xfId="2779"/>
    <cellStyle name="Comma 2 3 6 2 5 2 2" xfId="2780"/>
    <cellStyle name="Comma 2 3 6 2 5 2 3" xfId="2781"/>
    <cellStyle name="Comma 2 3 6 2 5 3" xfId="2782"/>
    <cellStyle name="Comma 2 3 6 2 5 3 2" xfId="2783"/>
    <cellStyle name="Comma 2 3 6 2 5 3 3" xfId="2784"/>
    <cellStyle name="Comma 2 3 6 2 5 4" xfId="2785"/>
    <cellStyle name="Comma 2 3 6 2 5 5" xfId="2786"/>
    <cellStyle name="Comma 2 3 6 2 6" xfId="2787"/>
    <cellStyle name="Comma 2 3 6 2 6 2" xfId="2788"/>
    <cellStyle name="Comma 2 3 6 2 6 3" xfId="2789"/>
    <cellStyle name="Comma 2 3 6 2 7" xfId="2790"/>
    <cellStyle name="Comma 2 3 6 2 7 2" xfId="2791"/>
    <cellStyle name="Comma 2 3 6 2 7 3" xfId="2792"/>
    <cellStyle name="Comma 2 3 6 2 8" xfId="2793"/>
    <cellStyle name="Comma 2 3 6 2 9" xfId="2794"/>
    <cellStyle name="Comma 2 3 6 3" xfId="2795"/>
    <cellStyle name="Comma 2 3 6 3 2" xfId="2796"/>
    <cellStyle name="Comma 2 3 6 3 2 2" xfId="2797"/>
    <cellStyle name="Comma 2 3 6 3 2 2 2" xfId="2798"/>
    <cellStyle name="Comma 2 3 6 3 2 2 2 2" xfId="2799"/>
    <cellStyle name="Comma 2 3 6 3 2 2 2 3" xfId="2800"/>
    <cellStyle name="Comma 2 3 6 3 2 2 3" xfId="2801"/>
    <cellStyle name="Comma 2 3 6 3 2 2 3 2" xfId="2802"/>
    <cellStyle name="Comma 2 3 6 3 2 2 3 3" xfId="2803"/>
    <cellStyle name="Comma 2 3 6 3 2 2 4" xfId="2804"/>
    <cellStyle name="Comma 2 3 6 3 2 2 5" xfId="2805"/>
    <cellStyle name="Comma 2 3 6 3 2 3" xfId="2806"/>
    <cellStyle name="Comma 2 3 6 3 2 3 2" xfId="2807"/>
    <cellStyle name="Comma 2 3 6 3 2 3 3" xfId="2808"/>
    <cellStyle name="Comma 2 3 6 3 2 4" xfId="2809"/>
    <cellStyle name="Comma 2 3 6 3 2 4 2" xfId="2810"/>
    <cellStyle name="Comma 2 3 6 3 2 4 3" xfId="2811"/>
    <cellStyle name="Comma 2 3 6 3 2 5" xfId="2812"/>
    <cellStyle name="Comma 2 3 6 3 2 6" xfId="2813"/>
    <cellStyle name="Comma 2 3 6 3 3" xfId="2814"/>
    <cellStyle name="Comma 2 3 6 3 3 2" xfId="2815"/>
    <cellStyle name="Comma 2 3 6 3 3 2 2" xfId="2816"/>
    <cellStyle name="Comma 2 3 6 3 3 2 2 2" xfId="2817"/>
    <cellStyle name="Comma 2 3 6 3 3 2 2 3" xfId="2818"/>
    <cellStyle name="Comma 2 3 6 3 3 2 3" xfId="2819"/>
    <cellStyle name="Comma 2 3 6 3 3 2 3 2" xfId="2820"/>
    <cellStyle name="Comma 2 3 6 3 3 2 3 3" xfId="2821"/>
    <cellStyle name="Comma 2 3 6 3 3 2 4" xfId="2822"/>
    <cellStyle name="Comma 2 3 6 3 3 2 5" xfId="2823"/>
    <cellStyle name="Comma 2 3 6 3 3 3" xfId="2824"/>
    <cellStyle name="Comma 2 3 6 3 3 3 2" xfId="2825"/>
    <cellStyle name="Comma 2 3 6 3 3 3 3" xfId="2826"/>
    <cellStyle name="Comma 2 3 6 3 3 4" xfId="2827"/>
    <cellStyle name="Comma 2 3 6 3 3 4 2" xfId="2828"/>
    <cellStyle name="Comma 2 3 6 3 3 4 3" xfId="2829"/>
    <cellStyle name="Comma 2 3 6 3 3 5" xfId="2830"/>
    <cellStyle name="Comma 2 3 6 3 3 6" xfId="2831"/>
    <cellStyle name="Comma 2 3 6 3 4" xfId="2832"/>
    <cellStyle name="Comma 2 3 6 3 4 2" xfId="2833"/>
    <cellStyle name="Comma 2 3 6 3 4 2 2" xfId="2834"/>
    <cellStyle name="Comma 2 3 6 3 4 2 3" xfId="2835"/>
    <cellStyle name="Comma 2 3 6 3 4 3" xfId="2836"/>
    <cellStyle name="Comma 2 3 6 3 4 3 2" xfId="2837"/>
    <cellStyle name="Comma 2 3 6 3 4 3 3" xfId="2838"/>
    <cellStyle name="Comma 2 3 6 3 4 4" xfId="2839"/>
    <cellStyle name="Comma 2 3 6 3 4 5" xfId="2840"/>
    <cellStyle name="Comma 2 3 6 3 5" xfId="2841"/>
    <cellStyle name="Comma 2 3 6 3 5 2" xfId="2842"/>
    <cellStyle name="Comma 2 3 6 3 5 3" xfId="2843"/>
    <cellStyle name="Comma 2 3 6 3 6" xfId="2844"/>
    <cellStyle name="Comma 2 3 6 3 6 2" xfId="2845"/>
    <cellStyle name="Comma 2 3 6 3 6 3" xfId="2846"/>
    <cellStyle name="Comma 2 3 6 3 7" xfId="2847"/>
    <cellStyle name="Comma 2 3 6 3 8" xfId="2848"/>
    <cellStyle name="Comma 2 3 6 4" xfId="2849"/>
    <cellStyle name="Comma 2 3 6 4 2" xfId="2850"/>
    <cellStyle name="Comma 2 3 6 4 2 2" xfId="2851"/>
    <cellStyle name="Comma 2 3 6 4 2 2 2" xfId="2852"/>
    <cellStyle name="Comma 2 3 6 4 2 2 3" xfId="2853"/>
    <cellStyle name="Comma 2 3 6 4 2 3" xfId="2854"/>
    <cellStyle name="Comma 2 3 6 4 2 3 2" xfId="2855"/>
    <cellStyle name="Comma 2 3 6 4 2 3 3" xfId="2856"/>
    <cellStyle name="Comma 2 3 6 4 2 4" xfId="2857"/>
    <cellStyle name="Comma 2 3 6 4 2 5" xfId="2858"/>
    <cellStyle name="Comma 2 3 6 4 3" xfId="2859"/>
    <cellStyle name="Comma 2 3 6 4 3 2" xfId="2860"/>
    <cellStyle name="Comma 2 3 6 4 3 3" xfId="2861"/>
    <cellStyle name="Comma 2 3 6 4 4" xfId="2862"/>
    <cellStyle name="Comma 2 3 6 4 4 2" xfId="2863"/>
    <cellStyle name="Comma 2 3 6 4 4 3" xfId="2864"/>
    <cellStyle name="Comma 2 3 6 4 5" xfId="2865"/>
    <cellStyle name="Comma 2 3 6 4 6" xfId="2866"/>
    <cellStyle name="Comma 2 3 6 5" xfId="2867"/>
    <cellStyle name="Comma 2 3 6 5 2" xfId="2868"/>
    <cellStyle name="Comma 2 3 6 5 2 2" xfId="2869"/>
    <cellStyle name="Comma 2 3 6 5 2 2 2" xfId="2870"/>
    <cellStyle name="Comma 2 3 6 5 2 2 3" xfId="2871"/>
    <cellStyle name="Comma 2 3 6 5 2 3" xfId="2872"/>
    <cellStyle name="Comma 2 3 6 5 2 3 2" xfId="2873"/>
    <cellStyle name="Comma 2 3 6 5 2 3 3" xfId="2874"/>
    <cellStyle name="Comma 2 3 6 5 2 4" xfId="2875"/>
    <cellStyle name="Comma 2 3 6 5 2 5" xfId="2876"/>
    <cellStyle name="Comma 2 3 6 5 3" xfId="2877"/>
    <cellStyle name="Comma 2 3 6 5 3 2" xfId="2878"/>
    <cellStyle name="Comma 2 3 6 5 3 3" xfId="2879"/>
    <cellStyle name="Comma 2 3 6 5 4" xfId="2880"/>
    <cellStyle name="Comma 2 3 6 5 4 2" xfId="2881"/>
    <cellStyle name="Comma 2 3 6 5 4 3" xfId="2882"/>
    <cellStyle name="Comma 2 3 6 5 5" xfId="2883"/>
    <cellStyle name="Comma 2 3 6 5 6" xfId="2884"/>
    <cellStyle name="Comma 2 3 6 6" xfId="2885"/>
    <cellStyle name="Comma 2 3 6 6 2" xfId="2886"/>
    <cellStyle name="Comma 2 3 6 6 2 2" xfId="2887"/>
    <cellStyle name="Comma 2 3 6 6 2 3" xfId="2888"/>
    <cellStyle name="Comma 2 3 6 6 3" xfId="2889"/>
    <cellStyle name="Comma 2 3 6 6 3 2" xfId="2890"/>
    <cellStyle name="Comma 2 3 6 6 3 3" xfId="2891"/>
    <cellStyle name="Comma 2 3 6 6 4" xfId="2892"/>
    <cellStyle name="Comma 2 3 6 6 5" xfId="2893"/>
    <cellStyle name="Comma 2 3 6 7" xfId="2894"/>
    <cellStyle name="Comma 2 3 6 7 2" xfId="2895"/>
    <cellStyle name="Comma 2 3 6 7 3" xfId="2896"/>
    <cellStyle name="Comma 2 3 6 8" xfId="2897"/>
    <cellStyle name="Comma 2 3 6 8 2" xfId="2898"/>
    <cellStyle name="Comma 2 3 6 8 3" xfId="2899"/>
    <cellStyle name="Comma 2 3 6 9" xfId="2900"/>
    <cellStyle name="Comma 2 3 7" xfId="2901"/>
    <cellStyle name="Comma 2 3 8" xfId="2902"/>
    <cellStyle name="Comma 2 3 9" xfId="2903"/>
    <cellStyle name="Comma 2 4" xfId="2904"/>
    <cellStyle name="Comma 2 4 2" xfId="2905"/>
    <cellStyle name="Comma 2 4 2 10" xfId="2906"/>
    <cellStyle name="Comma 2 4 2 10 2" xfId="2907"/>
    <cellStyle name="Comma 2 4 2 10 3" xfId="2908"/>
    <cellStyle name="Comma 2 4 2 11" xfId="2909"/>
    <cellStyle name="Comma 2 4 2 12" xfId="2910"/>
    <cellStyle name="Comma 2 4 2 13" xfId="2911"/>
    <cellStyle name="Comma 2 4 2 14" xfId="2912"/>
    <cellStyle name="Comma 2 4 2 2" xfId="2913"/>
    <cellStyle name="Comma 2 4 2 2 10" xfId="2914"/>
    <cellStyle name="Comma 2 4 2 2 2" xfId="2915"/>
    <cellStyle name="Comma 2 4 2 2 2 2" xfId="2916"/>
    <cellStyle name="Comma 2 4 2 2 2 2 2" xfId="2917"/>
    <cellStyle name="Comma 2 4 2 2 2 2 2 2" xfId="2918"/>
    <cellStyle name="Comma 2 4 2 2 2 2 2 2 2" xfId="2919"/>
    <cellStyle name="Comma 2 4 2 2 2 2 2 2 2 2" xfId="2920"/>
    <cellStyle name="Comma 2 4 2 2 2 2 2 2 2 3" xfId="2921"/>
    <cellStyle name="Comma 2 4 2 2 2 2 2 2 3" xfId="2922"/>
    <cellStyle name="Comma 2 4 2 2 2 2 2 2 3 2" xfId="2923"/>
    <cellStyle name="Comma 2 4 2 2 2 2 2 2 3 3" xfId="2924"/>
    <cellStyle name="Comma 2 4 2 2 2 2 2 2 4" xfId="2925"/>
    <cellStyle name="Comma 2 4 2 2 2 2 2 2 5" xfId="2926"/>
    <cellStyle name="Comma 2 4 2 2 2 2 2 3" xfId="2927"/>
    <cellStyle name="Comma 2 4 2 2 2 2 2 3 2" xfId="2928"/>
    <cellStyle name="Comma 2 4 2 2 2 2 2 3 3" xfId="2929"/>
    <cellStyle name="Comma 2 4 2 2 2 2 2 4" xfId="2930"/>
    <cellStyle name="Comma 2 4 2 2 2 2 2 4 2" xfId="2931"/>
    <cellStyle name="Comma 2 4 2 2 2 2 2 4 3" xfId="2932"/>
    <cellStyle name="Comma 2 4 2 2 2 2 2 5" xfId="2933"/>
    <cellStyle name="Comma 2 4 2 2 2 2 2 6" xfId="2934"/>
    <cellStyle name="Comma 2 4 2 2 2 2 3" xfId="2935"/>
    <cellStyle name="Comma 2 4 2 2 2 2 3 2" xfId="2936"/>
    <cellStyle name="Comma 2 4 2 2 2 2 3 2 2" xfId="2937"/>
    <cellStyle name="Comma 2 4 2 2 2 2 3 2 2 2" xfId="2938"/>
    <cellStyle name="Comma 2 4 2 2 2 2 3 2 2 3" xfId="2939"/>
    <cellStyle name="Comma 2 4 2 2 2 2 3 2 3" xfId="2940"/>
    <cellStyle name="Comma 2 4 2 2 2 2 3 2 3 2" xfId="2941"/>
    <cellStyle name="Comma 2 4 2 2 2 2 3 2 3 3" xfId="2942"/>
    <cellStyle name="Comma 2 4 2 2 2 2 3 2 4" xfId="2943"/>
    <cellStyle name="Comma 2 4 2 2 2 2 3 2 5" xfId="2944"/>
    <cellStyle name="Comma 2 4 2 2 2 2 3 3" xfId="2945"/>
    <cellStyle name="Comma 2 4 2 2 2 2 3 3 2" xfId="2946"/>
    <cellStyle name="Comma 2 4 2 2 2 2 3 3 3" xfId="2947"/>
    <cellStyle name="Comma 2 4 2 2 2 2 3 4" xfId="2948"/>
    <cellStyle name="Comma 2 4 2 2 2 2 3 4 2" xfId="2949"/>
    <cellStyle name="Comma 2 4 2 2 2 2 3 4 3" xfId="2950"/>
    <cellStyle name="Comma 2 4 2 2 2 2 3 5" xfId="2951"/>
    <cellStyle name="Comma 2 4 2 2 2 2 3 6" xfId="2952"/>
    <cellStyle name="Comma 2 4 2 2 2 2 4" xfId="2953"/>
    <cellStyle name="Comma 2 4 2 2 2 2 4 2" xfId="2954"/>
    <cellStyle name="Comma 2 4 2 2 2 2 4 2 2" xfId="2955"/>
    <cellStyle name="Comma 2 4 2 2 2 2 4 2 3" xfId="2956"/>
    <cellStyle name="Comma 2 4 2 2 2 2 4 3" xfId="2957"/>
    <cellStyle name="Comma 2 4 2 2 2 2 4 3 2" xfId="2958"/>
    <cellStyle name="Comma 2 4 2 2 2 2 4 3 3" xfId="2959"/>
    <cellStyle name="Comma 2 4 2 2 2 2 4 4" xfId="2960"/>
    <cellStyle name="Comma 2 4 2 2 2 2 4 5" xfId="2961"/>
    <cellStyle name="Comma 2 4 2 2 2 2 5" xfId="2962"/>
    <cellStyle name="Comma 2 4 2 2 2 2 5 2" xfId="2963"/>
    <cellStyle name="Comma 2 4 2 2 2 2 5 3" xfId="2964"/>
    <cellStyle name="Comma 2 4 2 2 2 2 6" xfId="2965"/>
    <cellStyle name="Comma 2 4 2 2 2 2 6 2" xfId="2966"/>
    <cellStyle name="Comma 2 4 2 2 2 2 6 3" xfId="2967"/>
    <cellStyle name="Comma 2 4 2 2 2 2 7" xfId="2968"/>
    <cellStyle name="Comma 2 4 2 2 2 2 8" xfId="2969"/>
    <cellStyle name="Comma 2 4 2 2 2 3" xfId="2970"/>
    <cellStyle name="Comma 2 4 2 2 2 3 2" xfId="2971"/>
    <cellStyle name="Comma 2 4 2 2 2 3 2 2" xfId="2972"/>
    <cellStyle name="Comma 2 4 2 2 2 3 2 2 2" xfId="2973"/>
    <cellStyle name="Comma 2 4 2 2 2 3 2 2 3" xfId="2974"/>
    <cellStyle name="Comma 2 4 2 2 2 3 2 3" xfId="2975"/>
    <cellStyle name="Comma 2 4 2 2 2 3 2 3 2" xfId="2976"/>
    <cellStyle name="Comma 2 4 2 2 2 3 2 3 3" xfId="2977"/>
    <cellStyle name="Comma 2 4 2 2 2 3 2 4" xfId="2978"/>
    <cellStyle name="Comma 2 4 2 2 2 3 2 5" xfId="2979"/>
    <cellStyle name="Comma 2 4 2 2 2 3 3" xfId="2980"/>
    <cellStyle name="Comma 2 4 2 2 2 3 3 2" xfId="2981"/>
    <cellStyle name="Comma 2 4 2 2 2 3 3 3" xfId="2982"/>
    <cellStyle name="Comma 2 4 2 2 2 3 4" xfId="2983"/>
    <cellStyle name="Comma 2 4 2 2 2 3 4 2" xfId="2984"/>
    <cellStyle name="Comma 2 4 2 2 2 3 4 3" xfId="2985"/>
    <cellStyle name="Comma 2 4 2 2 2 3 5" xfId="2986"/>
    <cellStyle name="Comma 2 4 2 2 2 3 6" xfId="2987"/>
    <cellStyle name="Comma 2 4 2 2 2 4" xfId="2988"/>
    <cellStyle name="Comma 2 4 2 2 2 4 2" xfId="2989"/>
    <cellStyle name="Comma 2 4 2 2 2 4 2 2" xfId="2990"/>
    <cellStyle name="Comma 2 4 2 2 2 4 2 2 2" xfId="2991"/>
    <cellStyle name="Comma 2 4 2 2 2 4 2 2 3" xfId="2992"/>
    <cellStyle name="Comma 2 4 2 2 2 4 2 3" xfId="2993"/>
    <cellStyle name="Comma 2 4 2 2 2 4 2 3 2" xfId="2994"/>
    <cellStyle name="Comma 2 4 2 2 2 4 2 3 3" xfId="2995"/>
    <cellStyle name="Comma 2 4 2 2 2 4 2 4" xfId="2996"/>
    <cellStyle name="Comma 2 4 2 2 2 4 2 5" xfId="2997"/>
    <cellStyle name="Comma 2 4 2 2 2 4 3" xfId="2998"/>
    <cellStyle name="Comma 2 4 2 2 2 4 3 2" xfId="2999"/>
    <cellStyle name="Comma 2 4 2 2 2 4 3 3" xfId="3000"/>
    <cellStyle name="Comma 2 4 2 2 2 4 4" xfId="3001"/>
    <cellStyle name="Comma 2 4 2 2 2 4 4 2" xfId="3002"/>
    <cellStyle name="Comma 2 4 2 2 2 4 4 3" xfId="3003"/>
    <cellStyle name="Comma 2 4 2 2 2 4 5" xfId="3004"/>
    <cellStyle name="Comma 2 4 2 2 2 4 6" xfId="3005"/>
    <cellStyle name="Comma 2 4 2 2 2 5" xfId="3006"/>
    <cellStyle name="Comma 2 4 2 2 2 5 2" xfId="3007"/>
    <cellStyle name="Comma 2 4 2 2 2 5 2 2" xfId="3008"/>
    <cellStyle name="Comma 2 4 2 2 2 5 2 3" xfId="3009"/>
    <cellStyle name="Comma 2 4 2 2 2 5 3" xfId="3010"/>
    <cellStyle name="Comma 2 4 2 2 2 5 3 2" xfId="3011"/>
    <cellStyle name="Comma 2 4 2 2 2 5 3 3" xfId="3012"/>
    <cellStyle name="Comma 2 4 2 2 2 5 4" xfId="3013"/>
    <cellStyle name="Comma 2 4 2 2 2 5 5" xfId="3014"/>
    <cellStyle name="Comma 2 4 2 2 2 6" xfId="3015"/>
    <cellStyle name="Comma 2 4 2 2 2 6 2" xfId="3016"/>
    <cellStyle name="Comma 2 4 2 2 2 6 3" xfId="3017"/>
    <cellStyle name="Comma 2 4 2 2 2 7" xfId="3018"/>
    <cellStyle name="Comma 2 4 2 2 2 7 2" xfId="3019"/>
    <cellStyle name="Comma 2 4 2 2 2 7 3" xfId="3020"/>
    <cellStyle name="Comma 2 4 2 2 2 8" xfId="3021"/>
    <cellStyle name="Comma 2 4 2 2 2 9" xfId="3022"/>
    <cellStyle name="Comma 2 4 2 2 3" xfId="3023"/>
    <cellStyle name="Comma 2 4 2 2 3 2" xfId="3024"/>
    <cellStyle name="Comma 2 4 2 2 3 2 2" xfId="3025"/>
    <cellStyle name="Comma 2 4 2 2 3 2 2 2" xfId="3026"/>
    <cellStyle name="Comma 2 4 2 2 3 2 2 2 2" xfId="3027"/>
    <cellStyle name="Comma 2 4 2 2 3 2 2 2 3" xfId="3028"/>
    <cellStyle name="Comma 2 4 2 2 3 2 2 3" xfId="3029"/>
    <cellStyle name="Comma 2 4 2 2 3 2 2 3 2" xfId="3030"/>
    <cellStyle name="Comma 2 4 2 2 3 2 2 3 3" xfId="3031"/>
    <cellStyle name="Comma 2 4 2 2 3 2 2 4" xfId="3032"/>
    <cellStyle name="Comma 2 4 2 2 3 2 2 5" xfId="3033"/>
    <cellStyle name="Comma 2 4 2 2 3 2 3" xfId="3034"/>
    <cellStyle name="Comma 2 4 2 2 3 2 3 2" xfId="3035"/>
    <cellStyle name="Comma 2 4 2 2 3 2 3 3" xfId="3036"/>
    <cellStyle name="Comma 2 4 2 2 3 2 4" xfId="3037"/>
    <cellStyle name="Comma 2 4 2 2 3 2 4 2" xfId="3038"/>
    <cellStyle name="Comma 2 4 2 2 3 2 4 3" xfId="3039"/>
    <cellStyle name="Comma 2 4 2 2 3 2 5" xfId="3040"/>
    <cellStyle name="Comma 2 4 2 2 3 2 6" xfId="3041"/>
    <cellStyle name="Comma 2 4 2 2 3 3" xfId="3042"/>
    <cellStyle name="Comma 2 4 2 2 3 3 2" xfId="3043"/>
    <cellStyle name="Comma 2 4 2 2 3 3 2 2" xfId="3044"/>
    <cellStyle name="Comma 2 4 2 2 3 3 2 2 2" xfId="3045"/>
    <cellStyle name="Comma 2 4 2 2 3 3 2 2 3" xfId="3046"/>
    <cellStyle name="Comma 2 4 2 2 3 3 2 3" xfId="3047"/>
    <cellStyle name="Comma 2 4 2 2 3 3 2 3 2" xfId="3048"/>
    <cellStyle name="Comma 2 4 2 2 3 3 2 3 3" xfId="3049"/>
    <cellStyle name="Comma 2 4 2 2 3 3 2 4" xfId="3050"/>
    <cellStyle name="Comma 2 4 2 2 3 3 2 5" xfId="3051"/>
    <cellStyle name="Comma 2 4 2 2 3 3 3" xfId="3052"/>
    <cellStyle name="Comma 2 4 2 2 3 3 3 2" xfId="3053"/>
    <cellStyle name="Comma 2 4 2 2 3 3 3 3" xfId="3054"/>
    <cellStyle name="Comma 2 4 2 2 3 3 4" xfId="3055"/>
    <cellStyle name="Comma 2 4 2 2 3 3 4 2" xfId="3056"/>
    <cellStyle name="Comma 2 4 2 2 3 3 4 3" xfId="3057"/>
    <cellStyle name="Comma 2 4 2 2 3 3 5" xfId="3058"/>
    <cellStyle name="Comma 2 4 2 2 3 3 6" xfId="3059"/>
    <cellStyle name="Comma 2 4 2 2 3 4" xfId="3060"/>
    <cellStyle name="Comma 2 4 2 2 3 4 2" xfId="3061"/>
    <cellStyle name="Comma 2 4 2 2 3 4 2 2" xfId="3062"/>
    <cellStyle name="Comma 2 4 2 2 3 4 2 3" xfId="3063"/>
    <cellStyle name="Comma 2 4 2 2 3 4 3" xfId="3064"/>
    <cellStyle name="Comma 2 4 2 2 3 4 3 2" xfId="3065"/>
    <cellStyle name="Comma 2 4 2 2 3 4 3 3" xfId="3066"/>
    <cellStyle name="Comma 2 4 2 2 3 4 4" xfId="3067"/>
    <cellStyle name="Comma 2 4 2 2 3 4 5" xfId="3068"/>
    <cellStyle name="Comma 2 4 2 2 3 5" xfId="3069"/>
    <cellStyle name="Comma 2 4 2 2 3 5 2" xfId="3070"/>
    <cellStyle name="Comma 2 4 2 2 3 5 3" xfId="3071"/>
    <cellStyle name="Comma 2 4 2 2 3 6" xfId="3072"/>
    <cellStyle name="Comma 2 4 2 2 3 6 2" xfId="3073"/>
    <cellStyle name="Comma 2 4 2 2 3 6 3" xfId="3074"/>
    <cellStyle name="Comma 2 4 2 2 3 7" xfId="3075"/>
    <cellStyle name="Comma 2 4 2 2 3 8" xfId="3076"/>
    <cellStyle name="Comma 2 4 2 2 4" xfId="3077"/>
    <cellStyle name="Comma 2 4 2 2 4 2" xfId="3078"/>
    <cellStyle name="Comma 2 4 2 2 4 2 2" xfId="3079"/>
    <cellStyle name="Comma 2 4 2 2 4 2 2 2" xfId="3080"/>
    <cellStyle name="Comma 2 4 2 2 4 2 2 3" xfId="3081"/>
    <cellStyle name="Comma 2 4 2 2 4 2 3" xfId="3082"/>
    <cellStyle name="Comma 2 4 2 2 4 2 3 2" xfId="3083"/>
    <cellStyle name="Comma 2 4 2 2 4 2 3 3" xfId="3084"/>
    <cellStyle name="Comma 2 4 2 2 4 2 4" xfId="3085"/>
    <cellStyle name="Comma 2 4 2 2 4 2 5" xfId="3086"/>
    <cellStyle name="Comma 2 4 2 2 4 3" xfId="3087"/>
    <cellStyle name="Comma 2 4 2 2 4 3 2" xfId="3088"/>
    <cellStyle name="Comma 2 4 2 2 4 3 3" xfId="3089"/>
    <cellStyle name="Comma 2 4 2 2 4 4" xfId="3090"/>
    <cellStyle name="Comma 2 4 2 2 4 4 2" xfId="3091"/>
    <cellStyle name="Comma 2 4 2 2 4 4 3" xfId="3092"/>
    <cellStyle name="Comma 2 4 2 2 4 5" xfId="3093"/>
    <cellStyle name="Comma 2 4 2 2 4 6" xfId="3094"/>
    <cellStyle name="Comma 2 4 2 2 5" xfId="3095"/>
    <cellStyle name="Comma 2 4 2 2 5 2" xfId="3096"/>
    <cellStyle name="Comma 2 4 2 2 5 2 2" xfId="3097"/>
    <cellStyle name="Comma 2 4 2 2 5 2 2 2" xfId="3098"/>
    <cellStyle name="Comma 2 4 2 2 5 2 2 3" xfId="3099"/>
    <cellStyle name="Comma 2 4 2 2 5 2 3" xfId="3100"/>
    <cellStyle name="Comma 2 4 2 2 5 2 3 2" xfId="3101"/>
    <cellStyle name="Comma 2 4 2 2 5 2 3 3" xfId="3102"/>
    <cellStyle name="Comma 2 4 2 2 5 2 4" xfId="3103"/>
    <cellStyle name="Comma 2 4 2 2 5 2 5" xfId="3104"/>
    <cellStyle name="Comma 2 4 2 2 5 3" xfId="3105"/>
    <cellStyle name="Comma 2 4 2 2 5 3 2" xfId="3106"/>
    <cellStyle name="Comma 2 4 2 2 5 3 3" xfId="3107"/>
    <cellStyle name="Comma 2 4 2 2 5 4" xfId="3108"/>
    <cellStyle name="Comma 2 4 2 2 5 4 2" xfId="3109"/>
    <cellStyle name="Comma 2 4 2 2 5 4 3" xfId="3110"/>
    <cellStyle name="Comma 2 4 2 2 5 5" xfId="3111"/>
    <cellStyle name="Comma 2 4 2 2 5 6" xfId="3112"/>
    <cellStyle name="Comma 2 4 2 2 6" xfId="3113"/>
    <cellStyle name="Comma 2 4 2 2 6 2" xfId="3114"/>
    <cellStyle name="Comma 2 4 2 2 6 2 2" xfId="3115"/>
    <cellStyle name="Comma 2 4 2 2 6 2 3" xfId="3116"/>
    <cellStyle name="Comma 2 4 2 2 6 3" xfId="3117"/>
    <cellStyle name="Comma 2 4 2 2 6 3 2" xfId="3118"/>
    <cellStyle name="Comma 2 4 2 2 6 3 3" xfId="3119"/>
    <cellStyle name="Comma 2 4 2 2 6 4" xfId="3120"/>
    <cellStyle name="Comma 2 4 2 2 6 5" xfId="3121"/>
    <cellStyle name="Comma 2 4 2 2 7" xfId="3122"/>
    <cellStyle name="Comma 2 4 2 2 7 2" xfId="3123"/>
    <cellStyle name="Comma 2 4 2 2 7 3" xfId="3124"/>
    <cellStyle name="Comma 2 4 2 2 8" xfId="3125"/>
    <cellStyle name="Comma 2 4 2 2 8 2" xfId="3126"/>
    <cellStyle name="Comma 2 4 2 2 8 3" xfId="3127"/>
    <cellStyle name="Comma 2 4 2 2 9" xfId="3128"/>
    <cellStyle name="Comma 2 4 2 3" xfId="3129"/>
    <cellStyle name="Comma 2 4 2 3 10" xfId="3130"/>
    <cellStyle name="Comma 2 4 2 3 2" xfId="3131"/>
    <cellStyle name="Comma 2 4 2 3 2 2" xfId="3132"/>
    <cellStyle name="Comma 2 4 2 3 2 2 2" xfId="3133"/>
    <cellStyle name="Comma 2 4 2 3 2 2 2 2" xfId="3134"/>
    <cellStyle name="Comma 2 4 2 3 2 2 2 2 2" xfId="3135"/>
    <cellStyle name="Comma 2 4 2 3 2 2 2 2 2 2" xfId="3136"/>
    <cellStyle name="Comma 2 4 2 3 2 2 2 2 2 3" xfId="3137"/>
    <cellStyle name="Comma 2 4 2 3 2 2 2 2 3" xfId="3138"/>
    <cellStyle name="Comma 2 4 2 3 2 2 2 2 3 2" xfId="3139"/>
    <cellStyle name="Comma 2 4 2 3 2 2 2 2 3 3" xfId="3140"/>
    <cellStyle name="Comma 2 4 2 3 2 2 2 2 4" xfId="3141"/>
    <cellStyle name="Comma 2 4 2 3 2 2 2 2 5" xfId="3142"/>
    <cellStyle name="Comma 2 4 2 3 2 2 2 3" xfId="3143"/>
    <cellStyle name="Comma 2 4 2 3 2 2 2 3 2" xfId="3144"/>
    <cellStyle name="Comma 2 4 2 3 2 2 2 3 3" xfId="3145"/>
    <cellStyle name="Comma 2 4 2 3 2 2 2 4" xfId="3146"/>
    <cellStyle name="Comma 2 4 2 3 2 2 2 4 2" xfId="3147"/>
    <cellStyle name="Comma 2 4 2 3 2 2 2 4 3" xfId="3148"/>
    <cellStyle name="Comma 2 4 2 3 2 2 2 5" xfId="3149"/>
    <cellStyle name="Comma 2 4 2 3 2 2 2 6" xfId="3150"/>
    <cellStyle name="Comma 2 4 2 3 2 2 3" xfId="3151"/>
    <cellStyle name="Comma 2 4 2 3 2 2 3 2" xfId="3152"/>
    <cellStyle name="Comma 2 4 2 3 2 2 3 2 2" xfId="3153"/>
    <cellStyle name="Comma 2 4 2 3 2 2 3 2 2 2" xfId="3154"/>
    <cellStyle name="Comma 2 4 2 3 2 2 3 2 2 3" xfId="3155"/>
    <cellStyle name="Comma 2 4 2 3 2 2 3 2 3" xfId="3156"/>
    <cellStyle name="Comma 2 4 2 3 2 2 3 2 3 2" xfId="3157"/>
    <cellStyle name="Comma 2 4 2 3 2 2 3 2 3 3" xfId="3158"/>
    <cellStyle name="Comma 2 4 2 3 2 2 3 2 4" xfId="3159"/>
    <cellStyle name="Comma 2 4 2 3 2 2 3 2 5" xfId="3160"/>
    <cellStyle name="Comma 2 4 2 3 2 2 3 3" xfId="3161"/>
    <cellStyle name="Comma 2 4 2 3 2 2 3 3 2" xfId="3162"/>
    <cellStyle name="Comma 2 4 2 3 2 2 3 3 3" xfId="3163"/>
    <cellStyle name="Comma 2 4 2 3 2 2 3 4" xfId="3164"/>
    <cellStyle name="Comma 2 4 2 3 2 2 3 4 2" xfId="3165"/>
    <cellStyle name="Comma 2 4 2 3 2 2 3 4 3" xfId="3166"/>
    <cellStyle name="Comma 2 4 2 3 2 2 3 5" xfId="3167"/>
    <cellStyle name="Comma 2 4 2 3 2 2 3 6" xfId="3168"/>
    <cellStyle name="Comma 2 4 2 3 2 2 4" xfId="3169"/>
    <cellStyle name="Comma 2 4 2 3 2 2 4 2" xfId="3170"/>
    <cellStyle name="Comma 2 4 2 3 2 2 4 2 2" xfId="3171"/>
    <cellStyle name="Comma 2 4 2 3 2 2 4 2 3" xfId="3172"/>
    <cellStyle name="Comma 2 4 2 3 2 2 4 3" xfId="3173"/>
    <cellStyle name="Comma 2 4 2 3 2 2 4 3 2" xfId="3174"/>
    <cellStyle name="Comma 2 4 2 3 2 2 4 3 3" xfId="3175"/>
    <cellStyle name="Comma 2 4 2 3 2 2 4 4" xfId="3176"/>
    <cellStyle name="Comma 2 4 2 3 2 2 4 5" xfId="3177"/>
    <cellStyle name="Comma 2 4 2 3 2 2 5" xfId="3178"/>
    <cellStyle name="Comma 2 4 2 3 2 2 5 2" xfId="3179"/>
    <cellStyle name="Comma 2 4 2 3 2 2 5 3" xfId="3180"/>
    <cellStyle name="Comma 2 4 2 3 2 2 6" xfId="3181"/>
    <cellStyle name="Comma 2 4 2 3 2 2 6 2" xfId="3182"/>
    <cellStyle name="Comma 2 4 2 3 2 2 6 3" xfId="3183"/>
    <cellStyle name="Comma 2 4 2 3 2 2 7" xfId="3184"/>
    <cellStyle name="Comma 2 4 2 3 2 2 8" xfId="3185"/>
    <cellStyle name="Comma 2 4 2 3 2 3" xfId="3186"/>
    <cellStyle name="Comma 2 4 2 3 2 3 2" xfId="3187"/>
    <cellStyle name="Comma 2 4 2 3 2 3 2 2" xfId="3188"/>
    <cellStyle name="Comma 2 4 2 3 2 3 2 2 2" xfId="3189"/>
    <cellStyle name="Comma 2 4 2 3 2 3 2 2 3" xfId="3190"/>
    <cellStyle name="Comma 2 4 2 3 2 3 2 3" xfId="3191"/>
    <cellStyle name="Comma 2 4 2 3 2 3 2 3 2" xfId="3192"/>
    <cellStyle name="Comma 2 4 2 3 2 3 2 3 3" xfId="3193"/>
    <cellStyle name="Comma 2 4 2 3 2 3 2 4" xfId="3194"/>
    <cellStyle name="Comma 2 4 2 3 2 3 2 5" xfId="3195"/>
    <cellStyle name="Comma 2 4 2 3 2 3 3" xfId="3196"/>
    <cellStyle name="Comma 2 4 2 3 2 3 3 2" xfId="3197"/>
    <cellStyle name="Comma 2 4 2 3 2 3 3 3" xfId="3198"/>
    <cellStyle name="Comma 2 4 2 3 2 3 4" xfId="3199"/>
    <cellStyle name="Comma 2 4 2 3 2 3 4 2" xfId="3200"/>
    <cellStyle name="Comma 2 4 2 3 2 3 4 3" xfId="3201"/>
    <cellStyle name="Comma 2 4 2 3 2 3 5" xfId="3202"/>
    <cellStyle name="Comma 2 4 2 3 2 3 6" xfId="3203"/>
    <cellStyle name="Comma 2 4 2 3 2 4" xfId="3204"/>
    <cellStyle name="Comma 2 4 2 3 2 4 2" xfId="3205"/>
    <cellStyle name="Comma 2 4 2 3 2 4 2 2" xfId="3206"/>
    <cellStyle name="Comma 2 4 2 3 2 4 2 2 2" xfId="3207"/>
    <cellStyle name="Comma 2 4 2 3 2 4 2 2 3" xfId="3208"/>
    <cellStyle name="Comma 2 4 2 3 2 4 2 3" xfId="3209"/>
    <cellStyle name="Comma 2 4 2 3 2 4 2 3 2" xfId="3210"/>
    <cellStyle name="Comma 2 4 2 3 2 4 2 3 3" xfId="3211"/>
    <cellStyle name="Comma 2 4 2 3 2 4 2 4" xfId="3212"/>
    <cellStyle name="Comma 2 4 2 3 2 4 2 5" xfId="3213"/>
    <cellStyle name="Comma 2 4 2 3 2 4 3" xfId="3214"/>
    <cellStyle name="Comma 2 4 2 3 2 4 3 2" xfId="3215"/>
    <cellStyle name="Comma 2 4 2 3 2 4 3 3" xfId="3216"/>
    <cellStyle name="Comma 2 4 2 3 2 4 4" xfId="3217"/>
    <cellStyle name="Comma 2 4 2 3 2 4 4 2" xfId="3218"/>
    <cellStyle name="Comma 2 4 2 3 2 4 4 3" xfId="3219"/>
    <cellStyle name="Comma 2 4 2 3 2 4 5" xfId="3220"/>
    <cellStyle name="Comma 2 4 2 3 2 4 6" xfId="3221"/>
    <cellStyle name="Comma 2 4 2 3 2 5" xfId="3222"/>
    <cellStyle name="Comma 2 4 2 3 2 5 2" xfId="3223"/>
    <cellStyle name="Comma 2 4 2 3 2 5 2 2" xfId="3224"/>
    <cellStyle name="Comma 2 4 2 3 2 5 2 3" xfId="3225"/>
    <cellStyle name="Comma 2 4 2 3 2 5 3" xfId="3226"/>
    <cellStyle name="Comma 2 4 2 3 2 5 3 2" xfId="3227"/>
    <cellStyle name="Comma 2 4 2 3 2 5 3 3" xfId="3228"/>
    <cellStyle name="Comma 2 4 2 3 2 5 4" xfId="3229"/>
    <cellStyle name="Comma 2 4 2 3 2 5 5" xfId="3230"/>
    <cellStyle name="Comma 2 4 2 3 2 6" xfId="3231"/>
    <cellStyle name="Comma 2 4 2 3 2 6 2" xfId="3232"/>
    <cellStyle name="Comma 2 4 2 3 2 6 3" xfId="3233"/>
    <cellStyle name="Comma 2 4 2 3 2 7" xfId="3234"/>
    <cellStyle name="Comma 2 4 2 3 2 7 2" xfId="3235"/>
    <cellStyle name="Comma 2 4 2 3 2 7 3" xfId="3236"/>
    <cellStyle name="Comma 2 4 2 3 2 8" xfId="3237"/>
    <cellStyle name="Comma 2 4 2 3 2 9" xfId="3238"/>
    <cellStyle name="Comma 2 4 2 3 3" xfId="3239"/>
    <cellStyle name="Comma 2 4 2 3 3 2" xfId="3240"/>
    <cellStyle name="Comma 2 4 2 3 3 2 2" xfId="3241"/>
    <cellStyle name="Comma 2 4 2 3 3 2 2 2" xfId="3242"/>
    <cellStyle name="Comma 2 4 2 3 3 2 2 2 2" xfId="3243"/>
    <cellStyle name="Comma 2 4 2 3 3 2 2 2 3" xfId="3244"/>
    <cellStyle name="Comma 2 4 2 3 3 2 2 3" xfId="3245"/>
    <cellStyle name="Comma 2 4 2 3 3 2 2 3 2" xfId="3246"/>
    <cellStyle name="Comma 2 4 2 3 3 2 2 3 3" xfId="3247"/>
    <cellStyle name="Comma 2 4 2 3 3 2 2 4" xfId="3248"/>
    <cellStyle name="Comma 2 4 2 3 3 2 2 5" xfId="3249"/>
    <cellStyle name="Comma 2 4 2 3 3 2 3" xfId="3250"/>
    <cellStyle name="Comma 2 4 2 3 3 2 3 2" xfId="3251"/>
    <cellStyle name="Comma 2 4 2 3 3 2 3 3" xfId="3252"/>
    <cellStyle name="Comma 2 4 2 3 3 2 4" xfId="3253"/>
    <cellStyle name="Comma 2 4 2 3 3 2 4 2" xfId="3254"/>
    <cellStyle name="Comma 2 4 2 3 3 2 4 3" xfId="3255"/>
    <cellStyle name="Comma 2 4 2 3 3 2 5" xfId="3256"/>
    <cellStyle name="Comma 2 4 2 3 3 2 6" xfId="3257"/>
    <cellStyle name="Comma 2 4 2 3 3 3" xfId="3258"/>
    <cellStyle name="Comma 2 4 2 3 3 3 2" xfId="3259"/>
    <cellStyle name="Comma 2 4 2 3 3 3 2 2" xfId="3260"/>
    <cellStyle name="Comma 2 4 2 3 3 3 2 2 2" xfId="3261"/>
    <cellStyle name="Comma 2 4 2 3 3 3 2 2 3" xfId="3262"/>
    <cellStyle name="Comma 2 4 2 3 3 3 2 3" xfId="3263"/>
    <cellStyle name="Comma 2 4 2 3 3 3 2 3 2" xfId="3264"/>
    <cellStyle name="Comma 2 4 2 3 3 3 2 3 3" xfId="3265"/>
    <cellStyle name="Comma 2 4 2 3 3 3 2 4" xfId="3266"/>
    <cellStyle name="Comma 2 4 2 3 3 3 2 5" xfId="3267"/>
    <cellStyle name="Comma 2 4 2 3 3 3 3" xfId="3268"/>
    <cellStyle name="Comma 2 4 2 3 3 3 3 2" xfId="3269"/>
    <cellStyle name="Comma 2 4 2 3 3 3 3 3" xfId="3270"/>
    <cellStyle name="Comma 2 4 2 3 3 3 4" xfId="3271"/>
    <cellStyle name="Comma 2 4 2 3 3 3 4 2" xfId="3272"/>
    <cellStyle name="Comma 2 4 2 3 3 3 4 3" xfId="3273"/>
    <cellStyle name="Comma 2 4 2 3 3 3 5" xfId="3274"/>
    <cellStyle name="Comma 2 4 2 3 3 3 6" xfId="3275"/>
    <cellStyle name="Comma 2 4 2 3 3 4" xfId="3276"/>
    <cellStyle name="Comma 2 4 2 3 3 4 2" xfId="3277"/>
    <cellStyle name="Comma 2 4 2 3 3 4 2 2" xfId="3278"/>
    <cellStyle name="Comma 2 4 2 3 3 4 2 3" xfId="3279"/>
    <cellStyle name="Comma 2 4 2 3 3 4 3" xfId="3280"/>
    <cellStyle name="Comma 2 4 2 3 3 4 3 2" xfId="3281"/>
    <cellStyle name="Comma 2 4 2 3 3 4 3 3" xfId="3282"/>
    <cellStyle name="Comma 2 4 2 3 3 4 4" xfId="3283"/>
    <cellStyle name="Comma 2 4 2 3 3 4 5" xfId="3284"/>
    <cellStyle name="Comma 2 4 2 3 3 5" xfId="3285"/>
    <cellStyle name="Comma 2 4 2 3 3 5 2" xfId="3286"/>
    <cellStyle name="Comma 2 4 2 3 3 5 3" xfId="3287"/>
    <cellStyle name="Comma 2 4 2 3 3 6" xfId="3288"/>
    <cellStyle name="Comma 2 4 2 3 3 6 2" xfId="3289"/>
    <cellStyle name="Comma 2 4 2 3 3 6 3" xfId="3290"/>
    <cellStyle name="Comma 2 4 2 3 3 7" xfId="3291"/>
    <cellStyle name="Comma 2 4 2 3 3 8" xfId="3292"/>
    <cellStyle name="Comma 2 4 2 3 4" xfId="3293"/>
    <cellStyle name="Comma 2 4 2 3 4 2" xfId="3294"/>
    <cellStyle name="Comma 2 4 2 3 4 2 2" xfId="3295"/>
    <cellStyle name="Comma 2 4 2 3 4 2 2 2" xfId="3296"/>
    <cellStyle name="Comma 2 4 2 3 4 2 2 3" xfId="3297"/>
    <cellStyle name="Comma 2 4 2 3 4 2 3" xfId="3298"/>
    <cellStyle name="Comma 2 4 2 3 4 2 3 2" xfId="3299"/>
    <cellStyle name="Comma 2 4 2 3 4 2 3 3" xfId="3300"/>
    <cellStyle name="Comma 2 4 2 3 4 2 4" xfId="3301"/>
    <cellStyle name="Comma 2 4 2 3 4 2 5" xfId="3302"/>
    <cellStyle name="Comma 2 4 2 3 4 3" xfId="3303"/>
    <cellStyle name="Comma 2 4 2 3 4 3 2" xfId="3304"/>
    <cellStyle name="Comma 2 4 2 3 4 3 3" xfId="3305"/>
    <cellStyle name="Comma 2 4 2 3 4 4" xfId="3306"/>
    <cellStyle name="Comma 2 4 2 3 4 4 2" xfId="3307"/>
    <cellStyle name="Comma 2 4 2 3 4 4 3" xfId="3308"/>
    <cellStyle name="Comma 2 4 2 3 4 5" xfId="3309"/>
    <cellStyle name="Comma 2 4 2 3 4 6" xfId="3310"/>
    <cellStyle name="Comma 2 4 2 3 5" xfId="3311"/>
    <cellStyle name="Comma 2 4 2 3 5 2" xfId="3312"/>
    <cellStyle name="Comma 2 4 2 3 5 2 2" xfId="3313"/>
    <cellStyle name="Comma 2 4 2 3 5 2 2 2" xfId="3314"/>
    <cellStyle name="Comma 2 4 2 3 5 2 2 3" xfId="3315"/>
    <cellStyle name="Comma 2 4 2 3 5 2 3" xfId="3316"/>
    <cellStyle name="Comma 2 4 2 3 5 2 3 2" xfId="3317"/>
    <cellStyle name="Comma 2 4 2 3 5 2 3 3" xfId="3318"/>
    <cellStyle name="Comma 2 4 2 3 5 2 4" xfId="3319"/>
    <cellStyle name="Comma 2 4 2 3 5 2 5" xfId="3320"/>
    <cellStyle name="Comma 2 4 2 3 5 3" xfId="3321"/>
    <cellStyle name="Comma 2 4 2 3 5 3 2" xfId="3322"/>
    <cellStyle name="Comma 2 4 2 3 5 3 3" xfId="3323"/>
    <cellStyle name="Comma 2 4 2 3 5 4" xfId="3324"/>
    <cellStyle name="Comma 2 4 2 3 5 4 2" xfId="3325"/>
    <cellStyle name="Comma 2 4 2 3 5 4 3" xfId="3326"/>
    <cellStyle name="Comma 2 4 2 3 5 5" xfId="3327"/>
    <cellStyle name="Comma 2 4 2 3 5 6" xfId="3328"/>
    <cellStyle name="Comma 2 4 2 3 6" xfId="3329"/>
    <cellStyle name="Comma 2 4 2 3 6 2" xfId="3330"/>
    <cellStyle name="Comma 2 4 2 3 6 2 2" xfId="3331"/>
    <cellStyle name="Comma 2 4 2 3 6 2 3" xfId="3332"/>
    <cellStyle name="Comma 2 4 2 3 6 3" xfId="3333"/>
    <cellStyle name="Comma 2 4 2 3 6 3 2" xfId="3334"/>
    <cellStyle name="Comma 2 4 2 3 6 3 3" xfId="3335"/>
    <cellStyle name="Comma 2 4 2 3 6 4" xfId="3336"/>
    <cellStyle name="Comma 2 4 2 3 6 5" xfId="3337"/>
    <cellStyle name="Comma 2 4 2 3 7" xfId="3338"/>
    <cellStyle name="Comma 2 4 2 3 7 2" xfId="3339"/>
    <cellStyle name="Comma 2 4 2 3 7 3" xfId="3340"/>
    <cellStyle name="Comma 2 4 2 3 8" xfId="3341"/>
    <cellStyle name="Comma 2 4 2 3 8 2" xfId="3342"/>
    <cellStyle name="Comma 2 4 2 3 8 3" xfId="3343"/>
    <cellStyle name="Comma 2 4 2 3 9" xfId="3344"/>
    <cellStyle name="Comma 2 4 2 4" xfId="3345"/>
    <cellStyle name="Comma 2 4 2 4 2" xfId="3346"/>
    <cellStyle name="Comma 2 4 2 4 2 2" xfId="3347"/>
    <cellStyle name="Comma 2 4 2 4 2 2 2" xfId="3348"/>
    <cellStyle name="Comma 2 4 2 4 2 2 2 2" xfId="3349"/>
    <cellStyle name="Comma 2 4 2 4 2 2 2 2 2" xfId="3350"/>
    <cellStyle name="Comma 2 4 2 4 2 2 2 2 3" xfId="3351"/>
    <cellStyle name="Comma 2 4 2 4 2 2 2 3" xfId="3352"/>
    <cellStyle name="Comma 2 4 2 4 2 2 2 3 2" xfId="3353"/>
    <cellStyle name="Comma 2 4 2 4 2 2 2 3 3" xfId="3354"/>
    <cellStyle name="Comma 2 4 2 4 2 2 2 4" xfId="3355"/>
    <cellStyle name="Comma 2 4 2 4 2 2 2 5" xfId="3356"/>
    <cellStyle name="Comma 2 4 2 4 2 2 3" xfId="3357"/>
    <cellStyle name="Comma 2 4 2 4 2 2 3 2" xfId="3358"/>
    <cellStyle name="Comma 2 4 2 4 2 2 3 3" xfId="3359"/>
    <cellStyle name="Comma 2 4 2 4 2 2 4" xfId="3360"/>
    <cellStyle name="Comma 2 4 2 4 2 2 4 2" xfId="3361"/>
    <cellStyle name="Comma 2 4 2 4 2 2 4 3" xfId="3362"/>
    <cellStyle name="Comma 2 4 2 4 2 2 5" xfId="3363"/>
    <cellStyle name="Comma 2 4 2 4 2 2 6" xfId="3364"/>
    <cellStyle name="Comma 2 4 2 4 2 3" xfId="3365"/>
    <cellStyle name="Comma 2 4 2 4 2 3 2" xfId="3366"/>
    <cellStyle name="Comma 2 4 2 4 2 3 2 2" xfId="3367"/>
    <cellStyle name="Comma 2 4 2 4 2 3 2 2 2" xfId="3368"/>
    <cellStyle name="Comma 2 4 2 4 2 3 2 2 3" xfId="3369"/>
    <cellStyle name="Comma 2 4 2 4 2 3 2 3" xfId="3370"/>
    <cellStyle name="Comma 2 4 2 4 2 3 2 3 2" xfId="3371"/>
    <cellStyle name="Comma 2 4 2 4 2 3 2 3 3" xfId="3372"/>
    <cellStyle name="Comma 2 4 2 4 2 3 2 4" xfId="3373"/>
    <cellStyle name="Comma 2 4 2 4 2 3 2 5" xfId="3374"/>
    <cellStyle name="Comma 2 4 2 4 2 3 3" xfId="3375"/>
    <cellStyle name="Comma 2 4 2 4 2 3 3 2" xfId="3376"/>
    <cellStyle name="Comma 2 4 2 4 2 3 3 3" xfId="3377"/>
    <cellStyle name="Comma 2 4 2 4 2 3 4" xfId="3378"/>
    <cellStyle name="Comma 2 4 2 4 2 3 4 2" xfId="3379"/>
    <cellStyle name="Comma 2 4 2 4 2 3 4 3" xfId="3380"/>
    <cellStyle name="Comma 2 4 2 4 2 3 5" xfId="3381"/>
    <cellStyle name="Comma 2 4 2 4 2 3 6" xfId="3382"/>
    <cellStyle name="Comma 2 4 2 4 2 4" xfId="3383"/>
    <cellStyle name="Comma 2 4 2 4 2 4 2" xfId="3384"/>
    <cellStyle name="Comma 2 4 2 4 2 4 2 2" xfId="3385"/>
    <cellStyle name="Comma 2 4 2 4 2 4 2 3" xfId="3386"/>
    <cellStyle name="Comma 2 4 2 4 2 4 3" xfId="3387"/>
    <cellStyle name="Comma 2 4 2 4 2 4 3 2" xfId="3388"/>
    <cellStyle name="Comma 2 4 2 4 2 4 3 3" xfId="3389"/>
    <cellStyle name="Comma 2 4 2 4 2 4 4" xfId="3390"/>
    <cellStyle name="Comma 2 4 2 4 2 4 5" xfId="3391"/>
    <cellStyle name="Comma 2 4 2 4 2 5" xfId="3392"/>
    <cellStyle name="Comma 2 4 2 4 2 5 2" xfId="3393"/>
    <cellStyle name="Comma 2 4 2 4 2 5 3" xfId="3394"/>
    <cellStyle name="Comma 2 4 2 4 2 6" xfId="3395"/>
    <cellStyle name="Comma 2 4 2 4 2 6 2" xfId="3396"/>
    <cellStyle name="Comma 2 4 2 4 2 6 3" xfId="3397"/>
    <cellStyle name="Comma 2 4 2 4 2 7" xfId="3398"/>
    <cellStyle name="Comma 2 4 2 4 2 8" xfId="3399"/>
    <cellStyle name="Comma 2 4 2 4 3" xfId="3400"/>
    <cellStyle name="Comma 2 4 2 4 3 2" xfId="3401"/>
    <cellStyle name="Comma 2 4 2 4 3 2 2" xfId="3402"/>
    <cellStyle name="Comma 2 4 2 4 3 2 2 2" xfId="3403"/>
    <cellStyle name="Comma 2 4 2 4 3 2 2 3" xfId="3404"/>
    <cellStyle name="Comma 2 4 2 4 3 2 3" xfId="3405"/>
    <cellStyle name="Comma 2 4 2 4 3 2 3 2" xfId="3406"/>
    <cellStyle name="Comma 2 4 2 4 3 2 3 3" xfId="3407"/>
    <cellStyle name="Comma 2 4 2 4 3 2 4" xfId="3408"/>
    <cellStyle name="Comma 2 4 2 4 3 2 5" xfId="3409"/>
    <cellStyle name="Comma 2 4 2 4 3 3" xfId="3410"/>
    <cellStyle name="Comma 2 4 2 4 3 3 2" xfId="3411"/>
    <cellStyle name="Comma 2 4 2 4 3 3 3" xfId="3412"/>
    <cellStyle name="Comma 2 4 2 4 3 4" xfId="3413"/>
    <cellStyle name="Comma 2 4 2 4 3 4 2" xfId="3414"/>
    <cellStyle name="Comma 2 4 2 4 3 4 3" xfId="3415"/>
    <cellStyle name="Comma 2 4 2 4 3 5" xfId="3416"/>
    <cellStyle name="Comma 2 4 2 4 3 6" xfId="3417"/>
    <cellStyle name="Comma 2 4 2 4 4" xfId="3418"/>
    <cellStyle name="Comma 2 4 2 4 4 2" xfId="3419"/>
    <cellStyle name="Comma 2 4 2 4 4 2 2" xfId="3420"/>
    <cellStyle name="Comma 2 4 2 4 4 2 2 2" xfId="3421"/>
    <cellStyle name="Comma 2 4 2 4 4 2 2 3" xfId="3422"/>
    <cellStyle name="Comma 2 4 2 4 4 2 3" xfId="3423"/>
    <cellStyle name="Comma 2 4 2 4 4 2 3 2" xfId="3424"/>
    <cellStyle name="Comma 2 4 2 4 4 2 3 3" xfId="3425"/>
    <cellStyle name="Comma 2 4 2 4 4 2 4" xfId="3426"/>
    <cellStyle name="Comma 2 4 2 4 4 2 5" xfId="3427"/>
    <cellStyle name="Comma 2 4 2 4 4 3" xfId="3428"/>
    <cellStyle name="Comma 2 4 2 4 4 3 2" xfId="3429"/>
    <cellStyle name="Comma 2 4 2 4 4 3 3" xfId="3430"/>
    <cellStyle name="Comma 2 4 2 4 4 4" xfId="3431"/>
    <cellStyle name="Comma 2 4 2 4 4 4 2" xfId="3432"/>
    <cellStyle name="Comma 2 4 2 4 4 4 3" xfId="3433"/>
    <cellStyle name="Comma 2 4 2 4 4 5" xfId="3434"/>
    <cellStyle name="Comma 2 4 2 4 4 6" xfId="3435"/>
    <cellStyle name="Comma 2 4 2 4 5" xfId="3436"/>
    <cellStyle name="Comma 2 4 2 4 5 2" xfId="3437"/>
    <cellStyle name="Comma 2 4 2 4 5 2 2" xfId="3438"/>
    <cellStyle name="Comma 2 4 2 4 5 2 3" xfId="3439"/>
    <cellStyle name="Comma 2 4 2 4 5 3" xfId="3440"/>
    <cellStyle name="Comma 2 4 2 4 5 3 2" xfId="3441"/>
    <cellStyle name="Comma 2 4 2 4 5 3 3" xfId="3442"/>
    <cellStyle name="Comma 2 4 2 4 5 4" xfId="3443"/>
    <cellStyle name="Comma 2 4 2 4 5 5" xfId="3444"/>
    <cellStyle name="Comma 2 4 2 4 6" xfId="3445"/>
    <cellStyle name="Comma 2 4 2 4 6 2" xfId="3446"/>
    <cellStyle name="Comma 2 4 2 4 6 3" xfId="3447"/>
    <cellStyle name="Comma 2 4 2 4 7" xfId="3448"/>
    <cellStyle name="Comma 2 4 2 4 7 2" xfId="3449"/>
    <cellStyle name="Comma 2 4 2 4 7 3" xfId="3450"/>
    <cellStyle name="Comma 2 4 2 4 8" xfId="3451"/>
    <cellStyle name="Comma 2 4 2 4 9" xfId="3452"/>
    <cellStyle name="Comma 2 4 2 5" xfId="3453"/>
    <cellStyle name="Comma 2 4 2 5 2" xfId="3454"/>
    <cellStyle name="Comma 2 4 2 5 2 2" xfId="3455"/>
    <cellStyle name="Comma 2 4 2 5 2 2 2" xfId="3456"/>
    <cellStyle name="Comma 2 4 2 5 2 2 2 2" xfId="3457"/>
    <cellStyle name="Comma 2 4 2 5 2 2 2 3" xfId="3458"/>
    <cellStyle name="Comma 2 4 2 5 2 2 3" xfId="3459"/>
    <cellStyle name="Comma 2 4 2 5 2 2 3 2" xfId="3460"/>
    <cellStyle name="Comma 2 4 2 5 2 2 3 3" xfId="3461"/>
    <cellStyle name="Comma 2 4 2 5 2 2 4" xfId="3462"/>
    <cellStyle name="Comma 2 4 2 5 2 2 5" xfId="3463"/>
    <cellStyle name="Comma 2 4 2 5 2 3" xfId="3464"/>
    <cellStyle name="Comma 2 4 2 5 2 3 2" xfId="3465"/>
    <cellStyle name="Comma 2 4 2 5 2 3 3" xfId="3466"/>
    <cellStyle name="Comma 2 4 2 5 2 4" xfId="3467"/>
    <cellStyle name="Comma 2 4 2 5 2 4 2" xfId="3468"/>
    <cellStyle name="Comma 2 4 2 5 2 4 3" xfId="3469"/>
    <cellStyle name="Comma 2 4 2 5 2 5" xfId="3470"/>
    <cellStyle name="Comma 2 4 2 5 2 6" xfId="3471"/>
    <cellStyle name="Comma 2 4 2 5 3" xfId="3472"/>
    <cellStyle name="Comma 2 4 2 5 3 2" xfId="3473"/>
    <cellStyle name="Comma 2 4 2 5 3 2 2" xfId="3474"/>
    <cellStyle name="Comma 2 4 2 5 3 2 2 2" xfId="3475"/>
    <cellStyle name="Comma 2 4 2 5 3 2 2 3" xfId="3476"/>
    <cellStyle name="Comma 2 4 2 5 3 2 3" xfId="3477"/>
    <cellStyle name="Comma 2 4 2 5 3 2 3 2" xfId="3478"/>
    <cellStyle name="Comma 2 4 2 5 3 2 3 3" xfId="3479"/>
    <cellStyle name="Comma 2 4 2 5 3 2 4" xfId="3480"/>
    <cellStyle name="Comma 2 4 2 5 3 2 5" xfId="3481"/>
    <cellStyle name="Comma 2 4 2 5 3 3" xfId="3482"/>
    <cellStyle name="Comma 2 4 2 5 3 3 2" xfId="3483"/>
    <cellStyle name="Comma 2 4 2 5 3 3 3" xfId="3484"/>
    <cellStyle name="Comma 2 4 2 5 3 4" xfId="3485"/>
    <cellStyle name="Comma 2 4 2 5 3 4 2" xfId="3486"/>
    <cellStyle name="Comma 2 4 2 5 3 4 3" xfId="3487"/>
    <cellStyle name="Comma 2 4 2 5 3 5" xfId="3488"/>
    <cellStyle name="Comma 2 4 2 5 3 6" xfId="3489"/>
    <cellStyle name="Comma 2 4 2 5 4" xfId="3490"/>
    <cellStyle name="Comma 2 4 2 5 4 2" xfId="3491"/>
    <cellStyle name="Comma 2 4 2 5 4 2 2" xfId="3492"/>
    <cellStyle name="Comma 2 4 2 5 4 2 3" xfId="3493"/>
    <cellStyle name="Comma 2 4 2 5 4 3" xfId="3494"/>
    <cellStyle name="Comma 2 4 2 5 4 3 2" xfId="3495"/>
    <cellStyle name="Comma 2 4 2 5 4 3 3" xfId="3496"/>
    <cellStyle name="Comma 2 4 2 5 4 4" xfId="3497"/>
    <cellStyle name="Comma 2 4 2 5 4 5" xfId="3498"/>
    <cellStyle name="Comma 2 4 2 5 5" xfId="3499"/>
    <cellStyle name="Comma 2 4 2 5 5 2" xfId="3500"/>
    <cellStyle name="Comma 2 4 2 5 5 3" xfId="3501"/>
    <cellStyle name="Comma 2 4 2 5 6" xfId="3502"/>
    <cellStyle name="Comma 2 4 2 5 6 2" xfId="3503"/>
    <cellStyle name="Comma 2 4 2 5 6 3" xfId="3504"/>
    <cellStyle name="Comma 2 4 2 5 7" xfId="3505"/>
    <cellStyle name="Comma 2 4 2 5 8" xfId="3506"/>
    <cellStyle name="Comma 2 4 2 6" xfId="3507"/>
    <cellStyle name="Comma 2 4 2 6 2" xfId="3508"/>
    <cellStyle name="Comma 2 4 2 6 2 2" xfId="3509"/>
    <cellStyle name="Comma 2 4 2 6 2 2 2" xfId="3510"/>
    <cellStyle name="Comma 2 4 2 6 2 2 3" xfId="3511"/>
    <cellStyle name="Comma 2 4 2 6 2 3" xfId="3512"/>
    <cellStyle name="Comma 2 4 2 6 2 3 2" xfId="3513"/>
    <cellStyle name="Comma 2 4 2 6 2 3 3" xfId="3514"/>
    <cellStyle name="Comma 2 4 2 6 2 4" xfId="3515"/>
    <cellStyle name="Comma 2 4 2 6 2 5" xfId="3516"/>
    <cellStyle name="Comma 2 4 2 6 3" xfId="3517"/>
    <cellStyle name="Comma 2 4 2 6 3 2" xfId="3518"/>
    <cellStyle name="Comma 2 4 2 6 3 3" xfId="3519"/>
    <cellStyle name="Comma 2 4 2 6 4" xfId="3520"/>
    <cellStyle name="Comma 2 4 2 6 4 2" xfId="3521"/>
    <cellStyle name="Comma 2 4 2 6 4 3" xfId="3522"/>
    <cellStyle name="Comma 2 4 2 6 5" xfId="3523"/>
    <cellStyle name="Comma 2 4 2 6 6" xfId="3524"/>
    <cellStyle name="Comma 2 4 2 7" xfId="3525"/>
    <cellStyle name="Comma 2 4 2 7 2" xfId="3526"/>
    <cellStyle name="Comma 2 4 2 7 2 2" xfId="3527"/>
    <cellStyle name="Comma 2 4 2 7 2 2 2" xfId="3528"/>
    <cellStyle name="Comma 2 4 2 7 2 2 3" xfId="3529"/>
    <cellStyle name="Comma 2 4 2 7 2 3" xfId="3530"/>
    <cellStyle name="Comma 2 4 2 7 2 3 2" xfId="3531"/>
    <cellStyle name="Comma 2 4 2 7 2 3 3" xfId="3532"/>
    <cellStyle name="Comma 2 4 2 7 2 4" xfId="3533"/>
    <cellStyle name="Comma 2 4 2 7 2 5" xfId="3534"/>
    <cellStyle name="Comma 2 4 2 7 3" xfId="3535"/>
    <cellStyle name="Comma 2 4 2 7 3 2" xfId="3536"/>
    <cellStyle name="Comma 2 4 2 7 3 3" xfId="3537"/>
    <cellStyle name="Comma 2 4 2 7 4" xfId="3538"/>
    <cellStyle name="Comma 2 4 2 7 4 2" xfId="3539"/>
    <cellStyle name="Comma 2 4 2 7 4 3" xfId="3540"/>
    <cellStyle name="Comma 2 4 2 7 5" xfId="3541"/>
    <cellStyle name="Comma 2 4 2 7 6" xfId="3542"/>
    <cellStyle name="Comma 2 4 2 8" xfId="3543"/>
    <cellStyle name="Comma 2 4 2 8 2" xfId="3544"/>
    <cellStyle name="Comma 2 4 2 8 2 2" xfId="3545"/>
    <cellStyle name="Comma 2 4 2 8 2 3" xfId="3546"/>
    <cellStyle name="Comma 2 4 2 8 3" xfId="3547"/>
    <cellStyle name="Comma 2 4 2 8 3 2" xfId="3548"/>
    <cellStyle name="Comma 2 4 2 8 3 3" xfId="3549"/>
    <cellStyle name="Comma 2 4 2 8 4" xfId="3550"/>
    <cellStyle name="Comma 2 4 2 8 5" xfId="3551"/>
    <cellStyle name="Comma 2 4 2 9" xfId="3552"/>
    <cellStyle name="Comma 2 4 2 9 2" xfId="3553"/>
    <cellStyle name="Comma 2 4 2 9 3" xfId="3554"/>
    <cellStyle name="Comma 2 4 3" xfId="3555"/>
    <cellStyle name="Comma 2 4 3 10" xfId="3556"/>
    <cellStyle name="Comma 2 4 3 2" xfId="3557"/>
    <cellStyle name="Comma 2 4 3 2 2" xfId="3558"/>
    <cellStyle name="Comma 2 4 3 2 2 2" xfId="3559"/>
    <cellStyle name="Comma 2 4 3 2 2 2 2" xfId="3560"/>
    <cellStyle name="Comma 2 4 3 2 2 2 2 2" xfId="3561"/>
    <cellStyle name="Comma 2 4 3 2 2 2 2 2 2" xfId="3562"/>
    <cellStyle name="Comma 2 4 3 2 2 2 2 2 3" xfId="3563"/>
    <cellStyle name="Comma 2 4 3 2 2 2 2 3" xfId="3564"/>
    <cellStyle name="Comma 2 4 3 2 2 2 2 3 2" xfId="3565"/>
    <cellStyle name="Comma 2 4 3 2 2 2 2 3 3" xfId="3566"/>
    <cellStyle name="Comma 2 4 3 2 2 2 2 4" xfId="3567"/>
    <cellStyle name="Comma 2 4 3 2 2 2 2 5" xfId="3568"/>
    <cellStyle name="Comma 2 4 3 2 2 2 3" xfId="3569"/>
    <cellStyle name="Comma 2 4 3 2 2 2 3 2" xfId="3570"/>
    <cellStyle name="Comma 2 4 3 2 2 2 3 3" xfId="3571"/>
    <cellStyle name="Comma 2 4 3 2 2 2 4" xfId="3572"/>
    <cellStyle name="Comma 2 4 3 2 2 2 4 2" xfId="3573"/>
    <cellStyle name="Comma 2 4 3 2 2 2 4 3" xfId="3574"/>
    <cellStyle name="Comma 2 4 3 2 2 2 5" xfId="3575"/>
    <cellStyle name="Comma 2 4 3 2 2 2 6" xfId="3576"/>
    <cellStyle name="Comma 2 4 3 2 2 3" xfId="3577"/>
    <cellStyle name="Comma 2 4 3 2 2 3 2" xfId="3578"/>
    <cellStyle name="Comma 2 4 3 2 2 3 2 2" xfId="3579"/>
    <cellStyle name="Comma 2 4 3 2 2 3 2 2 2" xfId="3580"/>
    <cellStyle name="Comma 2 4 3 2 2 3 2 2 3" xfId="3581"/>
    <cellStyle name="Comma 2 4 3 2 2 3 2 3" xfId="3582"/>
    <cellStyle name="Comma 2 4 3 2 2 3 2 3 2" xfId="3583"/>
    <cellStyle name="Comma 2 4 3 2 2 3 2 3 3" xfId="3584"/>
    <cellStyle name="Comma 2 4 3 2 2 3 2 4" xfId="3585"/>
    <cellStyle name="Comma 2 4 3 2 2 3 2 5" xfId="3586"/>
    <cellStyle name="Comma 2 4 3 2 2 3 3" xfId="3587"/>
    <cellStyle name="Comma 2 4 3 2 2 3 3 2" xfId="3588"/>
    <cellStyle name="Comma 2 4 3 2 2 3 3 3" xfId="3589"/>
    <cellStyle name="Comma 2 4 3 2 2 3 4" xfId="3590"/>
    <cellStyle name="Comma 2 4 3 2 2 3 4 2" xfId="3591"/>
    <cellStyle name="Comma 2 4 3 2 2 3 4 3" xfId="3592"/>
    <cellStyle name="Comma 2 4 3 2 2 3 5" xfId="3593"/>
    <cellStyle name="Comma 2 4 3 2 2 3 6" xfId="3594"/>
    <cellStyle name="Comma 2 4 3 2 2 4" xfId="3595"/>
    <cellStyle name="Comma 2 4 3 2 2 4 2" xfId="3596"/>
    <cellStyle name="Comma 2 4 3 2 2 4 2 2" xfId="3597"/>
    <cellStyle name="Comma 2 4 3 2 2 4 2 3" xfId="3598"/>
    <cellStyle name="Comma 2 4 3 2 2 4 3" xfId="3599"/>
    <cellStyle name="Comma 2 4 3 2 2 4 3 2" xfId="3600"/>
    <cellStyle name="Comma 2 4 3 2 2 4 3 3" xfId="3601"/>
    <cellStyle name="Comma 2 4 3 2 2 4 4" xfId="3602"/>
    <cellStyle name="Comma 2 4 3 2 2 4 5" xfId="3603"/>
    <cellStyle name="Comma 2 4 3 2 2 5" xfId="3604"/>
    <cellStyle name="Comma 2 4 3 2 2 5 2" xfId="3605"/>
    <cellStyle name="Comma 2 4 3 2 2 5 3" xfId="3606"/>
    <cellStyle name="Comma 2 4 3 2 2 6" xfId="3607"/>
    <cellStyle name="Comma 2 4 3 2 2 6 2" xfId="3608"/>
    <cellStyle name="Comma 2 4 3 2 2 6 3" xfId="3609"/>
    <cellStyle name="Comma 2 4 3 2 2 7" xfId="3610"/>
    <cellStyle name="Comma 2 4 3 2 2 8" xfId="3611"/>
    <cellStyle name="Comma 2 4 3 2 3" xfId="3612"/>
    <cellStyle name="Comma 2 4 3 2 3 2" xfId="3613"/>
    <cellStyle name="Comma 2 4 3 2 3 2 2" xfId="3614"/>
    <cellStyle name="Comma 2 4 3 2 3 2 2 2" xfId="3615"/>
    <cellStyle name="Comma 2 4 3 2 3 2 2 3" xfId="3616"/>
    <cellStyle name="Comma 2 4 3 2 3 2 3" xfId="3617"/>
    <cellStyle name="Comma 2 4 3 2 3 2 3 2" xfId="3618"/>
    <cellStyle name="Comma 2 4 3 2 3 2 3 3" xfId="3619"/>
    <cellStyle name="Comma 2 4 3 2 3 2 4" xfId="3620"/>
    <cellStyle name="Comma 2 4 3 2 3 2 5" xfId="3621"/>
    <cellStyle name="Comma 2 4 3 2 3 3" xfId="3622"/>
    <cellStyle name="Comma 2 4 3 2 3 3 2" xfId="3623"/>
    <cellStyle name="Comma 2 4 3 2 3 3 3" xfId="3624"/>
    <cellStyle name="Comma 2 4 3 2 3 4" xfId="3625"/>
    <cellStyle name="Comma 2 4 3 2 3 4 2" xfId="3626"/>
    <cellStyle name="Comma 2 4 3 2 3 4 3" xfId="3627"/>
    <cellStyle name="Comma 2 4 3 2 3 5" xfId="3628"/>
    <cellStyle name="Comma 2 4 3 2 3 6" xfId="3629"/>
    <cellStyle name="Comma 2 4 3 2 4" xfId="3630"/>
    <cellStyle name="Comma 2 4 3 2 4 2" xfId="3631"/>
    <cellStyle name="Comma 2 4 3 2 4 2 2" xfId="3632"/>
    <cellStyle name="Comma 2 4 3 2 4 2 2 2" xfId="3633"/>
    <cellStyle name="Comma 2 4 3 2 4 2 2 3" xfId="3634"/>
    <cellStyle name="Comma 2 4 3 2 4 2 3" xfId="3635"/>
    <cellStyle name="Comma 2 4 3 2 4 2 3 2" xfId="3636"/>
    <cellStyle name="Comma 2 4 3 2 4 2 3 3" xfId="3637"/>
    <cellStyle name="Comma 2 4 3 2 4 2 4" xfId="3638"/>
    <cellStyle name="Comma 2 4 3 2 4 2 5" xfId="3639"/>
    <cellStyle name="Comma 2 4 3 2 4 3" xfId="3640"/>
    <cellStyle name="Comma 2 4 3 2 4 3 2" xfId="3641"/>
    <cellStyle name="Comma 2 4 3 2 4 3 3" xfId="3642"/>
    <cellStyle name="Comma 2 4 3 2 4 4" xfId="3643"/>
    <cellStyle name="Comma 2 4 3 2 4 4 2" xfId="3644"/>
    <cellStyle name="Comma 2 4 3 2 4 4 3" xfId="3645"/>
    <cellStyle name="Comma 2 4 3 2 4 5" xfId="3646"/>
    <cellStyle name="Comma 2 4 3 2 4 6" xfId="3647"/>
    <cellStyle name="Comma 2 4 3 2 5" xfId="3648"/>
    <cellStyle name="Comma 2 4 3 2 5 2" xfId="3649"/>
    <cellStyle name="Comma 2 4 3 2 5 2 2" xfId="3650"/>
    <cellStyle name="Comma 2 4 3 2 5 2 3" xfId="3651"/>
    <cellStyle name="Comma 2 4 3 2 5 3" xfId="3652"/>
    <cellStyle name="Comma 2 4 3 2 5 3 2" xfId="3653"/>
    <cellStyle name="Comma 2 4 3 2 5 3 3" xfId="3654"/>
    <cellStyle name="Comma 2 4 3 2 5 4" xfId="3655"/>
    <cellStyle name="Comma 2 4 3 2 5 5" xfId="3656"/>
    <cellStyle name="Comma 2 4 3 2 6" xfId="3657"/>
    <cellStyle name="Comma 2 4 3 2 6 2" xfId="3658"/>
    <cellStyle name="Comma 2 4 3 2 6 3" xfId="3659"/>
    <cellStyle name="Comma 2 4 3 2 7" xfId="3660"/>
    <cellStyle name="Comma 2 4 3 2 7 2" xfId="3661"/>
    <cellStyle name="Comma 2 4 3 2 7 3" xfId="3662"/>
    <cellStyle name="Comma 2 4 3 2 8" xfId="3663"/>
    <cellStyle name="Comma 2 4 3 2 9" xfId="3664"/>
    <cellStyle name="Comma 2 4 3 3" xfId="3665"/>
    <cellStyle name="Comma 2 4 3 3 2" xfId="3666"/>
    <cellStyle name="Comma 2 4 3 3 2 2" xfId="3667"/>
    <cellStyle name="Comma 2 4 3 3 2 2 2" xfId="3668"/>
    <cellStyle name="Comma 2 4 3 3 2 2 2 2" xfId="3669"/>
    <cellStyle name="Comma 2 4 3 3 2 2 2 3" xfId="3670"/>
    <cellStyle name="Comma 2 4 3 3 2 2 3" xfId="3671"/>
    <cellStyle name="Comma 2 4 3 3 2 2 3 2" xfId="3672"/>
    <cellStyle name="Comma 2 4 3 3 2 2 3 3" xfId="3673"/>
    <cellStyle name="Comma 2 4 3 3 2 2 4" xfId="3674"/>
    <cellStyle name="Comma 2 4 3 3 2 2 5" xfId="3675"/>
    <cellStyle name="Comma 2 4 3 3 2 3" xfId="3676"/>
    <cellStyle name="Comma 2 4 3 3 2 3 2" xfId="3677"/>
    <cellStyle name="Comma 2 4 3 3 2 3 3" xfId="3678"/>
    <cellStyle name="Comma 2 4 3 3 2 4" xfId="3679"/>
    <cellStyle name="Comma 2 4 3 3 2 4 2" xfId="3680"/>
    <cellStyle name="Comma 2 4 3 3 2 4 3" xfId="3681"/>
    <cellStyle name="Comma 2 4 3 3 2 5" xfId="3682"/>
    <cellStyle name="Comma 2 4 3 3 2 6" xfId="3683"/>
    <cellStyle name="Comma 2 4 3 3 3" xfId="3684"/>
    <cellStyle name="Comma 2 4 3 3 3 2" xfId="3685"/>
    <cellStyle name="Comma 2 4 3 3 3 2 2" xfId="3686"/>
    <cellStyle name="Comma 2 4 3 3 3 2 2 2" xfId="3687"/>
    <cellStyle name="Comma 2 4 3 3 3 2 2 3" xfId="3688"/>
    <cellStyle name="Comma 2 4 3 3 3 2 3" xfId="3689"/>
    <cellStyle name="Comma 2 4 3 3 3 2 3 2" xfId="3690"/>
    <cellStyle name="Comma 2 4 3 3 3 2 3 3" xfId="3691"/>
    <cellStyle name="Comma 2 4 3 3 3 2 4" xfId="3692"/>
    <cellStyle name="Comma 2 4 3 3 3 2 5" xfId="3693"/>
    <cellStyle name="Comma 2 4 3 3 3 3" xfId="3694"/>
    <cellStyle name="Comma 2 4 3 3 3 3 2" xfId="3695"/>
    <cellStyle name="Comma 2 4 3 3 3 3 3" xfId="3696"/>
    <cellStyle name="Comma 2 4 3 3 3 4" xfId="3697"/>
    <cellStyle name="Comma 2 4 3 3 3 4 2" xfId="3698"/>
    <cellStyle name="Comma 2 4 3 3 3 4 3" xfId="3699"/>
    <cellStyle name="Comma 2 4 3 3 3 5" xfId="3700"/>
    <cellStyle name="Comma 2 4 3 3 3 6" xfId="3701"/>
    <cellStyle name="Comma 2 4 3 3 4" xfId="3702"/>
    <cellStyle name="Comma 2 4 3 3 4 2" xfId="3703"/>
    <cellStyle name="Comma 2 4 3 3 4 2 2" xfId="3704"/>
    <cellStyle name="Comma 2 4 3 3 4 2 3" xfId="3705"/>
    <cellStyle name="Comma 2 4 3 3 4 3" xfId="3706"/>
    <cellStyle name="Comma 2 4 3 3 4 3 2" xfId="3707"/>
    <cellStyle name="Comma 2 4 3 3 4 3 3" xfId="3708"/>
    <cellStyle name="Comma 2 4 3 3 4 4" xfId="3709"/>
    <cellStyle name="Comma 2 4 3 3 4 5" xfId="3710"/>
    <cellStyle name="Comma 2 4 3 3 5" xfId="3711"/>
    <cellStyle name="Comma 2 4 3 3 5 2" xfId="3712"/>
    <cellStyle name="Comma 2 4 3 3 5 3" xfId="3713"/>
    <cellStyle name="Comma 2 4 3 3 6" xfId="3714"/>
    <cellStyle name="Comma 2 4 3 3 6 2" xfId="3715"/>
    <cellStyle name="Comma 2 4 3 3 6 3" xfId="3716"/>
    <cellStyle name="Comma 2 4 3 3 7" xfId="3717"/>
    <cellStyle name="Comma 2 4 3 3 8" xfId="3718"/>
    <cellStyle name="Comma 2 4 3 4" xfId="3719"/>
    <cellStyle name="Comma 2 4 3 4 2" xfId="3720"/>
    <cellStyle name="Comma 2 4 3 4 2 2" xfId="3721"/>
    <cellStyle name="Comma 2 4 3 4 2 2 2" xfId="3722"/>
    <cellStyle name="Comma 2 4 3 4 2 2 3" xfId="3723"/>
    <cellStyle name="Comma 2 4 3 4 2 3" xfId="3724"/>
    <cellStyle name="Comma 2 4 3 4 2 3 2" xfId="3725"/>
    <cellStyle name="Comma 2 4 3 4 2 3 3" xfId="3726"/>
    <cellStyle name="Comma 2 4 3 4 2 4" xfId="3727"/>
    <cellStyle name="Comma 2 4 3 4 2 5" xfId="3728"/>
    <cellStyle name="Comma 2 4 3 4 3" xfId="3729"/>
    <cellStyle name="Comma 2 4 3 4 3 2" xfId="3730"/>
    <cellStyle name="Comma 2 4 3 4 3 3" xfId="3731"/>
    <cellStyle name="Comma 2 4 3 4 4" xfId="3732"/>
    <cellStyle name="Comma 2 4 3 4 4 2" xfId="3733"/>
    <cellStyle name="Comma 2 4 3 4 4 3" xfId="3734"/>
    <cellStyle name="Comma 2 4 3 4 5" xfId="3735"/>
    <cellStyle name="Comma 2 4 3 4 6" xfId="3736"/>
    <cellStyle name="Comma 2 4 3 5" xfId="3737"/>
    <cellStyle name="Comma 2 4 3 5 2" xfId="3738"/>
    <cellStyle name="Comma 2 4 3 5 2 2" xfId="3739"/>
    <cellStyle name="Comma 2 4 3 5 2 2 2" xfId="3740"/>
    <cellStyle name="Comma 2 4 3 5 2 2 3" xfId="3741"/>
    <cellStyle name="Comma 2 4 3 5 2 3" xfId="3742"/>
    <cellStyle name="Comma 2 4 3 5 2 3 2" xfId="3743"/>
    <cellStyle name="Comma 2 4 3 5 2 3 3" xfId="3744"/>
    <cellStyle name="Comma 2 4 3 5 2 4" xfId="3745"/>
    <cellStyle name="Comma 2 4 3 5 2 5" xfId="3746"/>
    <cellStyle name="Comma 2 4 3 5 3" xfId="3747"/>
    <cellStyle name="Comma 2 4 3 5 3 2" xfId="3748"/>
    <cellStyle name="Comma 2 4 3 5 3 3" xfId="3749"/>
    <cellStyle name="Comma 2 4 3 5 4" xfId="3750"/>
    <cellStyle name="Comma 2 4 3 5 4 2" xfId="3751"/>
    <cellStyle name="Comma 2 4 3 5 4 3" xfId="3752"/>
    <cellStyle name="Comma 2 4 3 5 5" xfId="3753"/>
    <cellStyle name="Comma 2 4 3 5 6" xfId="3754"/>
    <cellStyle name="Comma 2 4 3 6" xfId="3755"/>
    <cellStyle name="Comma 2 4 3 6 2" xfId="3756"/>
    <cellStyle name="Comma 2 4 3 6 2 2" xfId="3757"/>
    <cellStyle name="Comma 2 4 3 6 2 3" xfId="3758"/>
    <cellStyle name="Comma 2 4 3 6 3" xfId="3759"/>
    <cellStyle name="Comma 2 4 3 6 3 2" xfId="3760"/>
    <cellStyle name="Comma 2 4 3 6 3 3" xfId="3761"/>
    <cellStyle name="Comma 2 4 3 6 4" xfId="3762"/>
    <cellStyle name="Comma 2 4 3 6 5" xfId="3763"/>
    <cellStyle name="Comma 2 4 3 7" xfId="3764"/>
    <cellStyle name="Comma 2 4 3 7 2" xfId="3765"/>
    <cellStyle name="Comma 2 4 3 7 3" xfId="3766"/>
    <cellStyle name="Comma 2 4 3 8" xfId="3767"/>
    <cellStyle name="Comma 2 4 3 8 2" xfId="3768"/>
    <cellStyle name="Comma 2 4 3 8 3" xfId="3769"/>
    <cellStyle name="Comma 2 4 3 9" xfId="3770"/>
    <cellStyle name="Comma 2 4 4" xfId="3771"/>
    <cellStyle name="Comma 2 4 4 10" xfId="3772"/>
    <cellStyle name="Comma 2 4 4 2" xfId="3773"/>
    <cellStyle name="Comma 2 4 4 2 2" xfId="3774"/>
    <cellStyle name="Comma 2 4 4 2 2 2" xfId="3775"/>
    <cellStyle name="Comma 2 4 4 2 2 2 2" xfId="3776"/>
    <cellStyle name="Comma 2 4 4 2 2 2 2 2" xfId="3777"/>
    <cellStyle name="Comma 2 4 4 2 2 2 2 2 2" xfId="3778"/>
    <cellStyle name="Comma 2 4 4 2 2 2 2 2 3" xfId="3779"/>
    <cellStyle name="Comma 2 4 4 2 2 2 2 3" xfId="3780"/>
    <cellStyle name="Comma 2 4 4 2 2 2 2 3 2" xfId="3781"/>
    <cellStyle name="Comma 2 4 4 2 2 2 2 3 3" xfId="3782"/>
    <cellStyle name="Comma 2 4 4 2 2 2 2 4" xfId="3783"/>
    <cellStyle name="Comma 2 4 4 2 2 2 2 5" xfId="3784"/>
    <cellStyle name="Comma 2 4 4 2 2 2 3" xfId="3785"/>
    <cellStyle name="Comma 2 4 4 2 2 2 3 2" xfId="3786"/>
    <cellStyle name="Comma 2 4 4 2 2 2 3 3" xfId="3787"/>
    <cellStyle name="Comma 2 4 4 2 2 2 4" xfId="3788"/>
    <cellStyle name="Comma 2 4 4 2 2 2 4 2" xfId="3789"/>
    <cellStyle name="Comma 2 4 4 2 2 2 4 3" xfId="3790"/>
    <cellStyle name="Comma 2 4 4 2 2 2 5" xfId="3791"/>
    <cellStyle name="Comma 2 4 4 2 2 2 6" xfId="3792"/>
    <cellStyle name="Comma 2 4 4 2 2 3" xfId="3793"/>
    <cellStyle name="Comma 2 4 4 2 2 3 2" xfId="3794"/>
    <cellStyle name="Comma 2 4 4 2 2 3 2 2" xfId="3795"/>
    <cellStyle name="Comma 2 4 4 2 2 3 2 2 2" xfId="3796"/>
    <cellStyle name="Comma 2 4 4 2 2 3 2 2 3" xfId="3797"/>
    <cellStyle name="Comma 2 4 4 2 2 3 2 3" xfId="3798"/>
    <cellStyle name="Comma 2 4 4 2 2 3 2 3 2" xfId="3799"/>
    <cellStyle name="Comma 2 4 4 2 2 3 2 3 3" xfId="3800"/>
    <cellStyle name="Comma 2 4 4 2 2 3 2 4" xfId="3801"/>
    <cellStyle name="Comma 2 4 4 2 2 3 2 5" xfId="3802"/>
    <cellStyle name="Comma 2 4 4 2 2 3 3" xfId="3803"/>
    <cellStyle name="Comma 2 4 4 2 2 3 3 2" xfId="3804"/>
    <cellStyle name="Comma 2 4 4 2 2 3 3 3" xfId="3805"/>
    <cellStyle name="Comma 2 4 4 2 2 3 4" xfId="3806"/>
    <cellStyle name="Comma 2 4 4 2 2 3 4 2" xfId="3807"/>
    <cellStyle name="Comma 2 4 4 2 2 3 4 3" xfId="3808"/>
    <cellStyle name="Comma 2 4 4 2 2 3 5" xfId="3809"/>
    <cellStyle name="Comma 2 4 4 2 2 3 6" xfId="3810"/>
    <cellStyle name="Comma 2 4 4 2 2 4" xfId="3811"/>
    <cellStyle name="Comma 2 4 4 2 2 4 2" xfId="3812"/>
    <cellStyle name="Comma 2 4 4 2 2 4 2 2" xfId="3813"/>
    <cellStyle name="Comma 2 4 4 2 2 4 2 3" xfId="3814"/>
    <cellStyle name="Comma 2 4 4 2 2 4 3" xfId="3815"/>
    <cellStyle name="Comma 2 4 4 2 2 4 3 2" xfId="3816"/>
    <cellStyle name="Comma 2 4 4 2 2 4 3 3" xfId="3817"/>
    <cellStyle name="Comma 2 4 4 2 2 4 4" xfId="3818"/>
    <cellStyle name="Comma 2 4 4 2 2 4 5" xfId="3819"/>
    <cellStyle name="Comma 2 4 4 2 2 5" xfId="3820"/>
    <cellStyle name="Comma 2 4 4 2 2 5 2" xfId="3821"/>
    <cellStyle name="Comma 2 4 4 2 2 5 3" xfId="3822"/>
    <cellStyle name="Comma 2 4 4 2 2 6" xfId="3823"/>
    <cellStyle name="Comma 2 4 4 2 2 6 2" xfId="3824"/>
    <cellStyle name="Comma 2 4 4 2 2 6 3" xfId="3825"/>
    <cellStyle name="Comma 2 4 4 2 2 7" xfId="3826"/>
    <cellStyle name="Comma 2 4 4 2 2 8" xfId="3827"/>
    <cellStyle name="Comma 2 4 4 2 3" xfId="3828"/>
    <cellStyle name="Comma 2 4 4 2 3 2" xfId="3829"/>
    <cellStyle name="Comma 2 4 4 2 3 2 2" xfId="3830"/>
    <cellStyle name="Comma 2 4 4 2 3 2 2 2" xfId="3831"/>
    <cellStyle name="Comma 2 4 4 2 3 2 2 3" xfId="3832"/>
    <cellStyle name="Comma 2 4 4 2 3 2 3" xfId="3833"/>
    <cellStyle name="Comma 2 4 4 2 3 2 3 2" xfId="3834"/>
    <cellStyle name="Comma 2 4 4 2 3 2 3 3" xfId="3835"/>
    <cellStyle name="Comma 2 4 4 2 3 2 4" xfId="3836"/>
    <cellStyle name="Comma 2 4 4 2 3 2 5" xfId="3837"/>
    <cellStyle name="Comma 2 4 4 2 3 3" xfId="3838"/>
    <cellStyle name="Comma 2 4 4 2 3 3 2" xfId="3839"/>
    <cellStyle name="Comma 2 4 4 2 3 3 3" xfId="3840"/>
    <cellStyle name="Comma 2 4 4 2 3 4" xfId="3841"/>
    <cellStyle name="Comma 2 4 4 2 3 4 2" xfId="3842"/>
    <cellStyle name="Comma 2 4 4 2 3 4 3" xfId="3843"/>
    <cellStyle name="Comma 2 4 4 2 3 5" xfId="3844"/>
    <cellStyle name="Comma 2 4 4 2 3 6" xfId="3845"/>
    <cellStyle name="Comma 2 4 4 2 4" xfId="3846"/>
    <cellStyle name="Comma 2 4 4 2 4 2" xfId="3847"/>
    <cellStyle name="Comma 2 4 4 2 4 2 2" xfId="3848"/>
    <cellStyle name="Comma 2 4 4 2 4 2 2 2" xfId="3849"/>
    <cellStyle name="Comma 2 4 4 2 4 2 2 3" xfId="3850"/>
    <cellStyle name="Comma 2 4 4 2 4 2 3" xfId="3851"/>
    <cellStyle name="Comma 2 4 4 2 4 2 3 2" xfId="3852"/>
    <cellStyle name="Comma 2 4 4 2 4 2 3 3" xfId="3853"/>
    <cellStyle name="Comma 2 4 4 2 4 2 4" xfId="3854"/>
    <cellStyle name="Comma 2 4 4 2 4 2 5" xfId="3855"/>
    <cellStyle name="Comma 2 4 4 2 4 3" xfId="3856"/>
    <cellStyle name="Comma 2 4 4 2 4 3 2" xfId="3857"/>
    <cellStyle name="Comma 2 4 4 2 4 3 3" xfId="3858"/>
    <cellStyle name="Comma 2 4 4 2 4 4" xfId="3859"/>
    <cellStyle name="Comma 2 4 4 2 4 4 2" xfId="3860"/>
    <cellStyle name="Comma 2 4 4 2 4 4 3" xfId="3861"/>
    <cellStyle name="Comma 2 4 4 2 4 5" xfId="3862"/>
    <cellStyle name="Comma 2 4 4 2 4 6" xfId="3863"/>
    <cellStyle name="Comma 2 4 4 2 5" xfId="3864"/>
    <cellStyle name="Comma 2 4 4 2 5 2" xfId="3865"/>
    <cellStyle name="Comma 2 4 4 2 5 2 2" xfId="3866"/>
    <cellStyle name="Comma 2 4 4 2 5 2 3" xfId="3867"/>
    <cellStyle name="Comma 2 4 4 2 5 3" xfId="3868"/>
    <cellStyle name="Comma 2 4 4 2 5 3 2" xfId="3869"/>
    <cellStyle name="Comma 2 4 4 2 5 3 3" xfId="3870"/>
    <cellStyle name="Comma 2 4 4 2 5 4" xfId="3871"/>
    <cellStyle name="Comma 2 4 4 2 5 5" xfId="3872"/>
    <cellStyle name="Comma 2 4 4 2 6" xfId="3873"/>
    <cellStyle name="Comma 2 4 4 2 6 2" xfId="3874"/>
    <cellStyle name="Comma 2 4 4 2 6 3" xfId="3875"/>
    <cellStyle name="Comma 2 4 4 2 7" xfId="3876"/>
    <cellStyle name="Comma 2 4 4 2 7 2" xfId="3877"/>
    <cellStyle name="Comma 2 4 4 2 7 3" xfId="3878"/>
    <cellStyle name="Comma 2 4 4 2 8" xfId="3879"/>
    <cellStyle name="Comma 2 4 4 2 9" xfId="3880"/>
    <cellStyle name="Comma 2 4 4 3" xfId="3881"/>
    <cellStyle name="Comma 2 4 4 3 2" xfId="3882"/>
    <cellStyle name="Comma 2 4 4 3 2 2" xfId="3883"/>
    <cellStyle name="Comma 2 4 4 3 2 2 2" xfId="3884"/>
    <cellStyle name="Comma 2 4 4 3 2 2 2 2" xfId="3885"/>
    <cellStyle name="Comma 2 4 4 3 2 2 2 3" xfId="3886"/>
    <cellStyle name="Comma 2 4 4 3 2 2 3" xfId="3887"/>
    <cellStyle name="Comma 2 4 4 3 2 2 3 2" xfId="3888"/>
    <cellStyle name="Comma 2 4 4 3 2 2 3 3" xfId="3889"/>
    <cellStyle name="Comma 2 4 4 3 2 2 4" xfId="3890"/>
    <cellStyle name="Comma 2 4 4 3 2 2 5" xfId="3891"/>
    <cellStyle name="Comma 2 4 4 3 2 3" xfId="3892"/>
    <cellStyle name="Comma 2 4 4 3 2 3 2" xfId="3893"/>
    <cellStyle name="Comma 2 4 4 3 2 3 3" xfId="3894"/>
    <cellStyle name="Comma 2 4 4 3 2 4" xfId="3895"/>
    <cellStyle name="Comma 2 4 4 3 2 4 2" xfId="3896"/>
    <cellStyle name="Comma 2 4 4 3 2 4 3" xfId="3897"/>
    <cellStyle name="Comma 2 4 4 3 2 5" xfId="3898"/>
    <cellStyle name="Comma 2 4 4 3 2 6" xfId="3899"/>
    <cellStyle name="Comma 2 4 4 3 3" xfId="3900"/>
    <cellStyle name="Comma 2 4 4 3 3 2" xfId="3901"/>
    <cellStyle name="Comma 2 4 4 3 3 2 2" xfId="3902"/>
    <cellStyle name="Comma 2 4 4 3 3 2 2 2" xfId="3903"/>
    <cellStyle name="Comma 2 4 4 3 3 2 2 3" xfId="3904"/>
    <cellStyle name="Comma 2 4 4 3 3 2 3" xfId="3905"/>
    <cellStyle name="Comma 2 4 4 3 3 2 3 2" xfId="3906"/>
    <cellStyle name="Comma 2 4 4 3 3 2 3 3" xfId="3907"/>
    <cellStyle name="Comma 2 4 4 3 3 2 4" xfId="3908"/>
    <cellStyle name="Comma 2 4 4 3 3 2 5" xfId="3909"/>
    <cellStyle name="Comma 2 4 4 3 3 3" xfId="3910"/>
    <cellStyle name="Comma 2 4 4 3 3 3 2" xfId="3911"/>
    <cellStyle name="Comma 2 4 4 3 3 3 3" xfId="3912"/>
    <cellStyle name="Comma 2 4 4 3 3 4" xfId="3913"/>
    <cellStyle name="Comma 2 4 4 3 3 4 2" xfId="3914"/>
    <cellStyle name="Comma 2 4 4 3 3 4 3" xfId="3915"/>
    <cellStyle name="Comma 2 4 4 3 3 5" xfId="3916"/>
    <cellStyle name="Comma 2 4 4 3 3 6" xfId="3917"/>
    <cellStyle name="Comma 2 4 4 3 4" xfId="3918"/>
    <cellStyle name="Comma 2 4 4 3 4 2" xfId="3919"/>
    <cellStyle name="Comma 2 4 4 3 4 2 2" xfId="3920"/>
    <cellStyle name="Comma 2 4 4 3 4 2 3" xfId="3921"/>
    <cellStyle name="Comma 2 4 4 3 4 3" xfId="3922"/>
    <cellStyle name="Comma 2 4 4 3 4 3 2" xfId="3923"/>
    <cellStyle name="Comma 2 4 4 3 4 3 3" xfId="3924"/>
    <cellStyle name="Comma 2 4 4 3 4 4" xfId="3925"/>
    <cellStyle name="Comma 2 4 4 3 4 5" xfId="3926"/>
    <cellStyle name="Comma 2 4 4 3 5" xfId="3927"/>
    <cellStyle name="Comma 2 4 4 3 5 2" xfId="3928"/>
    <cellStyle name="Comma 2 4 4 3 5 3" xfId="3929"/>
    <cellStyle name="Comma 2 4 4 3 6" xfId="3930"/>
    <cellStyle name="Comma 2 4 4 3 6 2" xfId="3931"/>
    <cellStyle name="Comma 2 4 4 3 6 3" xfId="3932"/>
    <cellStyle name="Comma 2 4 4 3 7" xfId="3933"/>
    <cellStyle name="Comma 2 4 4 3 8" xfId="3934"/>
    <cellStyle name="Comma 2 4 4 4" xfId="3935"/>
    <cellStyle name="Comma 2 4 4 4 2" xfId="3936"/>
    <cellStyle name="Comma 2 4 4 4 2 2" xfId="3937"/>
    <cellStyle name="Comma 2 4 4 4 2 2 2" xfId="3938"/>
    <cellStyle name="Comma 2 4 4 4 2 2 3" xfId="3939"/>
    <cellStyle name="Comma 2 4 4 4 2 3" xfId="3940"/>
    <cellStyle name="Comma 2 4 4 4 2 3 2" xfId="3941"/>
    <cellStyle name="Comma 2 4 4 4 2 3 3" xfId="3942"/>
    <cellStyle name="Comma 2 4 4 4 2 4" xfId="3943"/>
    <cellStyle name="Comma 2 4 4 4 2 5" xfId="3944"/>
    <cellStyle name="Comma 2 4 4 4 3" xfId="3945"/>
    <cellStyle name="Comma 2 4 4 4 3 2" xfId="3946"/>
    <cellStyle name="Comma 2 4 4 4 3 3" xfId="3947"/>
    <cellStyle name="Comma 2 4 4 4 4" xfId="3948"/>
    <cellStyle name="Comma 2 4 4 4 4 2" xfId="3949"/>
    <cellStyle name="Comma 2 4 4 4 4 3" xfId="3950"/>
    <cellStyle name="Comma 2 4 4 4 5" xfId="3951"/>
    <cellStyle name="Comma 2 4 4 4 6" xfId="3952"/>
    <cellStyle name="Comma 2 4 4 5" xfId="3953"/>
    <cellStyle name="Comma 2 4 4 5 2" xfId="3954"/>
    <cellStyle name="Comma 2 4 4 5 2 2" xfId="3955"/>
    <cellStyle name="Comma 2 4 4 5 2 2 2" xfId="3956"/>
    <cellStyle name="Comma 2 4 4 5 2 2 3" xfId="3957"/>
    <cellStyle name="Comma 2 4 4 5 2 3" xfId="3958"/>
    <cellStyle name="Comma 2 4 4 5 2 3 2" xfId="3959"/>
    <cellStyle name="Comma 2 4 4 5 2 3 3" xfId="3960"/>
    <cellStyle name="Comma 2 4 4 5 2 4" xfId="3961"/>
    <cellStyle name="Comma 2 4 4 5 2 5" xfId="3962"/>
    <cellStyle name="Comma 2 4 4 5 3" xfId="3963"/>
    <cellStyle name="Comma 2 4 4 5 3 2" xfId="3964"/>
    <cellStyle name="Comma 2 4 4 5 3 3" xfId="3965"/>
    <cellStyle name="Comma 2 4 4 5 4" xfId="3966"/>
    <cellStyle name="Comma 2 4 4 5 4 2" xfId="3967"/>
    <cellStyle name="Comma 2 4 4 5 4 3" xfId="3968"/>
    <cellStyle name="Comma 2 4 4 5 5" xfId="3969"/>
    <cellStyle name="Comma 2 4 4 5 6" xfId="3970"/>
    <cellStyle name="Comma 2 4 4 6" xfId="3971"/>
    <cellStyle name="Comma 2 4 4 6 2" xfId="3972"/>
    <cellStyle name="Comma 2 4 4 6 2 2" xfId="3973"/>
    <cellStyle name="Comma 2 4 4 6 2 3" xfId="3974"/>
    <cellStyle name="Comma 2 4 4 6 3" xfId="3975"/>
    <cellStyle name="Comma 2 4 4 6 3 2" xfId="3976"/>
    <cellStyle name="Comma 2 4 4 6 3 3" xfId="3977"/>
    <cellStyle name="Comma 2 4 4 6 4" xfId="3978"/>
    <cellStyle name="Comma 2 4 4 6 5" xfId="3979"/>
    <cellStyle name="Comma 2 4 4 7" xfId="3980"/>
    <cellStyle name="Comma 2 4 4 7 2" xfId="3981"/>
    <cellStyle name="Comma 2 4 4 7 3" xfId="3982"/>
    <cellStyle name="Comma 2 4 4 8" xfId="3983"/>
    <cellStyle name="Comma 2 4 4 8 2" xfId="3984"/>
    <cellStyle name="Comma 2 4 4 8 3" xfId="3985"/>
    <cellStyle name="Comma 2 4 4 9" xfId="3986"/>
    <cellStyle name="Comma 2 4 5" xfId="3987"/>
    <cellStyle name="Comma 2 4 5 10" xfId="3988"/>
    <cellStyle name="Comma 2 4 5 2" xfId="3989"/>
    <cellStyle name="Comma 2 4 5 2 2" xfId="3990"/>
    <cellStyle name="Comma 2 4 5 2 2 2" xfId="3991"/>
    <cellStyle name="Comma 2 4 5 2 2 2 2" xfId="3992"/>
    <cellStyle name="Comma 2 4 5 2 2 2 2 2" xfId="3993"/>
    <cellStyle name="Comma 2 4 5 2 2 2 2 2 2" xfId="3994"/>
    <cellStyle name="Comma 2 4 5 2 2 2 2 2 3" xfId="3995"/>
    <cellStyle name="Comma 2 4 5 2 2 2 2 3" xfId="3996"/>
    <cellStyle name="Comma 2 4 5 2 2 2 2 3 2" xfId="3997"/>
    <cellStyle name="Comma 2 4 5 2 2 2 2 3 3" xfId="3998"/>
    <cellStyle name="Comma 2 4 5 2 2 2 2 4" xfId="3999"/>
    <cellStyle name="Comma 2 4 5 2 2 2 2 5" xfId="4000"/>
    <cellStyle name="Comma 2 4 5 2 2 2 3" xfId="4001"/>
    <cellStyle name="Comma 2 4 5 2 2 2 3 2" xfId="4002"/>
    <cellStyle name="Comma 2 4 5 2 2 2 3 3" xfId="4003"/>
    <cellStyle name="Comma 2 4 5 2 2 2 4" xfId="4004"/>
    <cellStyle name="Comma 2 4 5 2 2 2 4 2" xfId="4005"/>
    <cellStyle name="Comma 2 4 5 2 2 2 4 3" xfId="4006"/>
    <cellStyle name="Comma 2 4 5 2 2 2 5" xfId="4007"/>
    <cellStyle name="Comma 2 4 5 2 2 2 6" xfId="4008"/>
    <cellStyle name="Comma 2 4 5 2 2 3" xfId="4009"/>
    <cellStyle name="Comma 2 4 5 2 2 3 2" xfId="4010"/>
    <cellStyle name="Comma 2 4 5 2 2 3 2 2" xfId="4011"/>
    <cellStyle name="Comma 2 4 5 2 2 3 2 2 2" xfId="4012"/>
    <cellStyle name="Comma 2 4 5 2 2 3 2 2 3" xfId="4013"/>
    <cellStyle name="Comma 2 4 5 2 2 3 2 3" xfId="4014"/>
    <cellStyle name="Comma 2 4 5 2 2 3 2 3 2" xfId="4015"/>
    <cellStyle name="Comma 2 4 5 2 2 3 2 3 3" xfId="4016"/>
    <cellStyle name="Comma 2 4 5 2 2 3 2 4" xfId="4017"/>
    <cellStyle name="Comma 2 4 5 2 2 3 2 5" xfId="4018"/>
    <cellStyle name="Comma 2 4 5 2 2 3 3" xfId="4019"/>
    <cellStyle name="Comma 2 4 5 2 2 3 3 2" xfId="4020"/>
    <cellStyle name="Comma 2 4 5 2 2 3 3 3" xfId="4021"/>
    <cellStyle name="Comma 2 4 5 2 2 3 4" xfId="4022"/>
    <cellStyle name="Comma 2 4 5 2 2 3 4 2" xfId="4023"/>
    <cellStyle name="Comma 2 4 5 2 2 3 4 3" xfId="4024"/>
    <cellStyle name="Comma 2 4 5 2 2 3 5" xfId="4025"/>
    <cellStyle name="Comma 2 4 5 2 2 3 6" xfId="4026"/>
    <cellStyle name="Comma 2 4 5 2 2 4" xfId="4027"/>
    <cellStyle name="Comma 2 4 5 2 2 4 2" xfId="4028"/>
    <cellStyle name="Comma 2 4 5 2 2 4 2 2" xfId="4029"/>
    <cellStyle name="Comma 2 4 5 2 2 4 2 3" xfId="4030"/>
    <cellStyle name="Comma 2 4 5 2 2 4 3" xfId="4031"/>
    <cellStyle name="Comma 2 4 5 2 2 4 3 2" xfId="4032"/>
    <cellStyle name="Comma 2 4 5 2 2 4 3 3" xfId="4033"/>
    <cellStyle name="Comma 2 4 5 2 2 4 4" xfId="4034"/>
    <cellStyle name="Comma 2 4 5 2 2 4 5" xfId="4035"/>
    <cellStyle name="Comma 2 4 5 2 2 5" xfId="4036"/>
    <cellStyle name="Comma 2 4 5 2 2 5 2" xfId="4037"/>
    <cellStyle name="Comma 2 4 5 2 2 5 3" xfId="4038"/>
    <cellStyle name="Comma 2 4 5 2 2 6" xfId="4039"/>
    <cellStyle name="Comma 2 4 5 2 2 6 2" xfId="4040"/>
    <cellStyle name="Comma 2 4 5 2 2 6 3" xfId="4041"/>
    <cellStyle name="Comma 2 4 5 2 2 7" xfId="4042"/>
    <cellStyle name="Comma 2 4 5 2 2 8" xfId="4043"/>
    <cellStyle name="Comma 2 4 5 2 3" xfId="4044"/>
    <cellStyle name="Comma 2 4 5 2 3 2" xfId="4045"/>
    <cellStyle name="Comma 2 4 5 2 3 2 2" xfId="4046"/>
    <cellStyle name="Comma 2 4 5 2 3 2 2 2" xfId="4047"/>
    <cellStyle name="Comma 2 4 5 2 3 2 2 3" xfId="4048"/>
    <cellStyle name="Comma 2 4 5 2 3 2 3" xfId="4049"/>
    <cellStyle name="Comma 2 4 5 2 3 2 3 2" xfId="4050"/>
    <cellStyle name="Comma 2 4 5 2 3 2 3 3" xfId="4051"/>
    <cellStyle name="Comma 2 4 5 2 3 2 4" xfId="4052"/>
    <cellStyle name="Comma 2 4 5 2 3 2 5" xfId="4053"/>
    <cellStyle name="Comma 2 4 5 2 3 3" xfId="4054"/>
    <cellStyle name="Comma 2 4 5 2 3 3 2" xfId="4055"/>
    <cellStyle name="Comma 2 4 5 2 3 3 3" xfId="4056"/>
    <cellStyle name="Comma 2 4 5 2 3 4" xfId="4057"/>
    <cellStyle name="Comma 2 4 5 2 3 4 2" xfId="4058"/>
    <cellStyle name="Comma 2 4 5 2 3 4 3" xfId="4059"/>
    <cellStyle name="Comma 2 4 5 2 3 5" xfId="4060"/>
    <cellStyle name="Comma 2 4 5 2 3 6" xfId="4061"/>
    <cellStyle name="Comma 2 4 5 2 4" xfId="4062"/>
    <cellStyle name="Comma 2 4 5 2 4 2" xfId="4063"/>
    <cellStyle name="Comma 2 4 5 2 4 2 2" xfId="4064"/>
    <cellStyle name="Comma 2 4 5 2 4 2 2 2" xfId="4065"/>
    <cellStyle name="Comma 2 4 5 2 4 2 2 3" xfId="4066"/>
    <cellStyle name="Comma 2 4 5 2 4 2 3" xfId="4067"/>
    <cellStyle name="Comma 2 4 5 2 4 2 3 2" xfId="4068"/>
    <cellStyle name="Comma 2 4 5 2 4 2 3 3" xfId="4069"/>
    <cellStyle name="Comma 2 4 5 2 4 2 4" xfId="4070"/>
    <cellStyle name="Comma 2 4 5 2 4 2 5" xfId="4071"/>
    <cellStyle name="Comma 2 4 5 2 4 3" xfId="4072"/>
    <cellStyle name="Comma 2 4 5 2 4 3 2" xfId="4073"/>
    <cellStyle name="Comma 2 4 5 2 4 3 3" xfId="4074"/>
    <cellStyle name="Comma 2 4 5 2 4 4" xfId="4075"/>
    <cellStyle name="Comma 2 4 5 2 4 4 2" xfId="4076"/>
    <cellStyle name="Comma 2 4 5 2 4 4 3" xfId="4077"/>
    <cellStyle name="Comma 2 4 5 2 4 5" xfId="4078"/>
    <cellStyle name="Comma 2 4 5 2 4 6" xfId="4079"/>
    <cellStyle name="Comma 2 4 5 2 5" xfId="4080"/>
    <cellStyle name="Comma 2 4 5 2 5 2" xfId="4081"/>
    <cellStyle name="Comma 2 4 5 2 5 2 2" xfId="4082"/>
    <cellStyle name="Comma 2 4 5 2 5 2 3" xfId="4083"/>
    <cellStyle name="Comma 2 4 5 2 5 3" xfId="4084"/>
    <cellStyle name="Comma 2 4 5 2 5 3 2" xfId="4085"/>
    <cellStyle name="Comma 2 4 5 2 5 3 3" xfId="4086"/>
    <cellStyle name="Comma 2 4 5 2 5 4" xfId="4087"/>
    <cellStyle name="Comma 2 4 5 2 5 5" xfId="4088"/>
    <cellStyle name="Comma 2 4 5 2 6" xfId="4089"/>
    <cellStyle name="Comma 2 4 5 2 6 2" xfId="4090"/>
    <cellStyle name="Comma 2 4 5 2 6 3" xfId="4091"/>
    <cellStyle name="Comma 2 4 5 2 7" xfId="4092"/>
    <cellStyle name="Comma 2 4 5 2 7 2" xfId="4093"/>
    <cellStyle name="Comma 2 4 5 2 7 3" xfId="4094"/>
    <cellStyle name="Comma 2 4 5 2 8" xfId="4095"/>
    <cellStyle name="Comma 2 4 5 2 9" xfId="4096"/>
    <cellStyle name="Comma 2 4 5 3" xfId="4097"/>
    <cellStyle name="Comma 2 4 5 3 2" xfId="4098"/>
    <cellStyle name="Comma 2 4 5 3 2 2" xfId="4099"/>
    <cellStyle name="Comma 2 4 5 3 2 2 2" xfId="4100"/>
    <cellStyle name="Comma 2 4 5 3 2 2 2 2" xfId="4101"/>
    <cellStyle name="Comma 2 4 5 3 2 2 2 3" xfId="4102"/>
    <cellStyle name="Comma 2 4 5 3 2 2 3" xfId="4103"/>
    <cellStyle name="Comma 2 4 5 3 2 2 3 2" xfId="4104"/>
    <cellStyle name="Comma 2 4 5 3 2 2 3 3" xfId="4105"/>
    <cellStyle name="Comma 2 4 5 3 2 2 4" xfId="4106"/>
    <cellStyle name="Comma 2 4 5 3 2 2 5" xfId="4107"/>
    <cellStyle name="Comma 2 4 5 3 2 3" xfId="4108"/>
    <cellStyle name="Comma 2 4 5 3 2 3 2" xfId="4109"/>
    <cellStyle name="Comma 2 4 5 3 2 3 3" xfId="4110"/>
    <cellStyle name="Comma 2 4 5 3 2 4" xfId="4111"/>
    <cellStyle name="Comma 2 4 5 3 2 4 2" xfId="4112"/>
    <cellStyle name="Comma 2 4 5 3 2 4 3" xfId="4113"/>
    <cellStyle name="Comma 2 4 5 3 2 5" xfId="4114"/>
    <cellStyle name="Comma 2 4 5 3 2 6" xfId="4115"/>
    <cellStyle name="Comma 2 4 5 3 3" xfId="4116"/>
    <cellStyle name="Comma 2 4 5 3 3 2" xfId="4117"/>
    <cellStyle name="Comma 2 4 5 3 3 2 2" xfId="4118"/>
    <cellStyle name="Comma 2 4 5 3 3 2 2 2" xfId="4119"/>
    <cellStyle name="Comma 2 4 5 3 3 2 2 3" xfId="4120"/>
    <cellStyle name="Comma 2 4 5 3 3 2 3" xfId="4121"/>
    <cellStyle name="Comma 2 4 5 3 3 2 3 2" xfId="4122"/>
    <cellStyle name="Comma 2 4 5 3 3 2 3 3" xfId="4123"/>
    <cellStyle name="Comma 2 4 5 3 3 2 4" xfId="4124"/>
    <cellStyle name="Comma 2 4 5 3 3 2 5" xfId="4125"/>
    <cellStyle name="Comma 2 4 5 3 3 3" xfId="4126"/>
    <cellStyle name="Comma 2 4 5 3 3 3 2" xfId="4127"/>
    <cellStyle name="Comma 2 4 5 3 3 3 3" xfId="4128"/>
    <cellStyle name="Comma 2 4 5 3 3 4" xfId="4129"/>
    <cellStyle name="Comma 2 4 5 3 3 4 2" xfId="4130"/>
    <cellStyle name="Comma 2 4 5 3 3 4 3" xfId="4131"/>
    <cellStyle name="Comma 2 4 5 3 3 5" xfId="4132"/>
    <cellStyle name="Comma 2 4 5 3 3 6" xfId="4133"/>
    <cellStyle name="Comma 2 4 5 3 4" xfId="4134"/>
    <cellStyle name="Comma 2 4 5 3 4 2" xfId="4135"/>
    <cellStyle name="Comma 2 4 5 3 4 2 2" xfId="4136"/>
    <cellStyle name="Comma 2 4 5 3 4 2 3" xfId="4137"/>
    <cellStyle name="Comma 2 4 5 3 4 3" xfId="4138"/>
    <cellStyle name="Comma 2 4 5 3 4 3 2" xfId="4139"/>
    <cellStyle name="Comma 2 4 5 3 4 3 3" xfId="4140"/>
    <cellStyle name="Comma 2 4 5 3 4 4" xfId="4141"/>
    <cellStyle name="Comma 2 4 5 3 4 5" xfId="4142"/>
    <cellStyle name="Comma 2 4 5 3 5" xfId="4143"/>
    <cellStyle name="Comma 2 4 5 3 5 2" xfId="4144"/>
    <cellStyle name="Comma 2 4 5 3 5 3" xfId="4145"/>
    <cellStyle name="Comma 2 4 5 3 6" xfId="4146"/>
    <cellStyle name="Comma 2 4 5 3 6 2" xfId="4147"/>
    <cellStyle name="Comma 2 4 5 3 6 3" xfId="4148"/>
    <cellStyle name="Comma 2 4 5 3 7" xfId="4149"/>
    <cellStyle name="Comma 2 4 5 3 8" xfId="4150"/>
    <cellStyle name="Comma 2 4 5 4" xfId="4151"/>
    <cellStyle name="Comma 2 4 5 4 2" xfId="4152"/>
    <cellStyle name="Comma 2 4 5 4 2 2" xfId="4153"/>
    <cellStyle name="Comma 2 4 5 4 2 2 2" xfId="4154"/>
    <cellStyle name="Comma 2 4 5 4 2 2 3" xfId="4155"/>
    <cellStyle name="Comma 2 4 5 4 2 3" xfId="4156"/>
    <cellStyle name="Comma 2 4 5 4 2 3 2" xfId="4157"/>
    <cellStyle name="Comma 2 4 5 4 2 3 3" xfId="4158"/>
    <cellStyle name="Comma 2 4 5 4 2 4" xfId="4159"/>
    <cellStyle name="Comma 2 4 5 4 2 5" xfId="4160"/>
    <cellStyle name="Comma 2 4 5 4 3" xfId="4161"/>
    <cellStyle name="Comma 2 4 5 4 3 2" xfId="4162"/>
    <cellStyle name="Comma 2 4 5 4 3 3" xfId="4163"/>
    <cellStyle name="Comma 2 4 5 4 4" xfId="4164"/>
    <cellStyle name="Comma 2 4 5 4 4 2" xfId="4165"/>
    <cellStyle name="Comma 2 4 5 4 4 3" xfId="4166"/>
    <cellStyle name="Comma 2 4 5 4 5" xfId="4167"/>
    <cellStyle name="Comma 2 4 5 4 6" xfId="4168"/>
    <cellStyle name="Comma 2 4 5 5" xfId="4169"/>
    <cellStyle name="Comma 2 4 5 5 2" xfId="4170"/>
    <cellStyle name="Comma 2 4 5 5 2 2" xfId="4171"/>
    <cellStyle name="Comma 2 4 5 5 2 2 2" xfId="4172"/>
    <cellStyle name="Comma 2 4 5 5 2 2 3" xfId="4173"/>
    <cellStyle name="Comma 2 4 5 5 2 3" xfId="4174"/>
    <cellStyle name="Comma 2 4 5 5 2 3 2" xfId="4175"/>
    <cellStyle name="Comma 2 4 5 5 2 3 3" xfId="4176"/>
    <cellStyle name="Comma 2 4 5 5 2 4" xfId="4177"/>
    <cellStyle name="Comma 2 4 5 5 2 5" xfId="4178"/>
    <cellStyle name="Comma 2 4 5 5 3" xfId="4179"/>
    <cellStyle name="Comma 2 4 5 5 3 2" xfId="4180"/>
    <cellStyle name="Comma 2 4 5 5 3 3" xfId="4181"/>
    <cellStyle name="Comma 2 4 5 5 4" xfId="4182"/>
    <cellStyle name="Comma 2 4 5 5 4 2" xfId="4183"/>
    <cellStyle name="Comma 2 4 5 5 4 3" xfId="4184"/>
    <cellStyle name="Comma 2 4 5 5 5" xfId="4185"/>
    <cellStyle name="Comma 2 4 5 5 6" xfId="4186"/>
    <cellStyle name="Comma 2 4 5 6" xfId="4187"/>
    <cellStyle name="Comma 2 4 5 6 2" xfId="4188"/>
    <cellStyle name="Comma 2 4 5 6 2 2" xfId="4189"/>
    <cellStyle name="Comma 2 4 5 6 2 3" xfId="4190"/>
    <cellStyle name="Comma 2 4 5 6 3" xfId="4191"/>
    <cellStyle name="Comma 2 4 5 6 3 2" xfId="4192"/>
    <cellStyle name="Comma 2 4 5 6 3 3" xfId="4193"/>
    <cellStyle name="Comma 2 4 5 6 4" xfId="4194"/>
    <cellStyle name="Comma 2 4 5 6 5" xfId="4195"/>
    <cellStyle name="Comma 2 4 5 7" xfId="4196"/>
    <cellStyle name="Comma 2 4 5 7 2" xfId="4197"/>
    <cellStyle name="Comma 2 4 5 7 3" xfId="4198"/>
    <cellStyle name="Comma 2 4 5 8" xfId="4199"/>
    <cellStyle name="Comma 2 4 5 8 2" xfId="4200"/>
    <cellStyle name="Comma 2 4 5 8 3" xfId="4201"/>
    <cellStyle name="Comma 2 4 5 9" xfId="4202"/>
    <cellStyle name="Comma 2 4 6" xfId="4203"/>
    <cellStyle name="Comma 2 4 7" xfId="4204"/>
    <cellStyle name="Comma 2 4 8" xfId="4205"/>
    <cellStyle name="Comma 2 4 9" xfId="4206"/>
    <cellStyle name="Comma 2 5" xfId="4207"/>
    <cellStyle name="Comma 2 5 10" xfId="4208"/>
    <cellStyle name="Comma 2 5 10 2" xfId="4209"/>
    <cellStyle name="Comma 2 5 10 3" xfId="4210"/>
    <cellStyle name="Comma 2 5 11" xfId="4211"/>
    <cellStyle name="Comma 2 5 11 2" xfId="4212"/>
    <cellStyle name="Comma 2 5 11 3" xfId="4213"/>
    <cellStyle name="Comma 2 5 12" xfId="4214"/>
    <cellStyle name="Comma 2 5 13" xfId="4215"/>
    <cellStyle name="Comma 2 5 14" xfId="4216"/>
    <cellStyle name="Comma 2 5 15" xfId="4217"/>
    <cellStyle name="Comma 2 5 2" xfId="4218"/>
    <cellStyle name="Comma 2 5 2 10" xfId="4219"/>
    <cellStyle name="Comma 2 5 2 11" xfId="4220"/>
    <cellStyle name="Comma 2 5 2 12" xfId="4221"/>
    <cellStyle name="Comma 2 5 2 2" xfId="4222"/>
    <cellStyle name="Comma 2 5 2 2 2" xfId="4223"/>
    <cellStyle name="Comma 2 5 2 2 2 2" xfId="4224"/>
    <cellStyle name="Comma 2 5 2 2 2 2 2" xfId="4225"/>
    <cellStyle name="Comma 2 5 2 2 2 2 2 2" xfId="4226"/>
    <cellStyle name="Comma 2 5 2 2 2 2 2 2 2" xfId="4227"/>
    <cellStyle name="Comma 2 5 2 2 2 2 2 2 3" xfId="4228"/>
    <cellStyle name="Comma 2 5 2 2 2 2 2 3" xfId="4229"/>
    <cellStyle name="Comma 2 5 2 2 2 2 2 3 2" xfId="4230"/>
    <cellStyle name="Comma 2 5 2 2 2 2 2 3 3" xfId="4231"/>
    <cellStyle name="Comma 2 5 2 2 2 2 2 4" xfId="4232"/>
    <cellStyle name="Comma 2 5 2 2 2 2 2 5" xfId="4233"/>
    <cellStyle name="Comma 2 5 2 2 2 2 3" xfId="4234"/>
    <cellStyle name="Comma 2 5 2 2 2 2 3 2" xfId="4235"/>
    <cellStyle name="Comma 2 5 2 2 2 2 3 3" xfId="4236"/>
    <cellStyle name="Comma 2 5 2 2 2 2 4" xfId="4237"/>
    <cellStyle name="Comma 2 5 2 2 2 2 4 2" xfId="4238"/>
    <cellStyle name="Comma 2 5 2 2 2 2 4 3" xfId="4239"/>
    <cellStyle name="Comma 2 5 2 2 2 2 5" xfId="4240"/>
    <cellStyle name="Comma 2 5 2 2 2 2 6" xfId="4241"/>
    <cellStyle name="Comma 2 5 2 2 2 3" xfId="4242"/>
    <cellStyle name="Comma 2 5 2 2 2 3 2" xfId="4243"/>
    <cellStyle name="Comma 2 5 2 2 2 3 2 2" xfId="4244"/>
    <cellStyle name="Comma 2 5 2 2 2 3 2 2 2" xfId="4245"/>
    <cellStyle name="Comma 2 5 2 2 2 3 2 2 3" xfId="4246"/>
    <cellStyle name="Comma 2 5 2 2 2 3 2 3" xfId="4247"/>
    <cellStyle name="Comma 2 5 2 2 2 3 2 3 2" xfId="4248"/>
    <cellStyle name="Comma 2 5 2 2 2 3 2 3 3" xfId="4249"/>
    <cellStyle name="Comma 2 5 2 2 2 3 2 4" xfId="4250"/>
    <cellStyle name="Comma 2 5 2 2 2 3 2 5" xfId="4251"/>
    <cellStyle name="Comma 2 5 2 2 2 3 3" xfId="4252"/>
    <cellStyle name="Comma 2 5 2 2 2 3 3 2" xfId="4253"/>
    <cellStyle name="Comma 2 5 2 2 2 3 3 3" xfId="4254"/>
    <cellStyle name="Comma 2 5 2 2 2 3 4" xfId="4255"/>
    <cellStyle name="Comma 2 5 2 2 2 3 4 2" xfId="4256"/>
    <cellStyle name="Comma 2 5 2 2 2 3 4 3" xfId="4257"/>
    <cellStyle name="Comma 2 5 2 2 2 3 5" xfId="4258"/>
    <cellStyle name="Comma 2 5 2 2 2 3 6" xfId="4259"/>
    <cellStyle name="Comma 2 5 2 2 2 4" xfId="4260"/>
    <cellStyle name="Comma 2 5 2 2 2 4 2" xfId="4261"/>
    <cellStyle name="Comma 2 5 2 2 2 4 2 2" xfId="4262"/>
    <cellStyle name="Comma 2 5 2 2 2 4 2 3" xfId="4263"/>
    <cellStyle name="Comma 2 5 2 2 2 4 3" xfId="4264"/>
    <cellStyle name="Comma 2 5 2 2 2 4 3 2" xfId="4265"/>
    <cellStyle name="Comma 2 5 2 2 2 4 3 3" xfId="4266"/>
    <cellStyle name="Comma 2 5 2 2 2 4 4" xfId="4267"/>
    <cellStyle name="Comma 2 5 2 2 2 4 5" xfId="4268"/>
    <cellStyle name="Comma 2 5 2 2 2 5" xfId="4269"/>
    <cellStyle name="Comma 2 5 2 2 2 5 2" xfId="4270"/>
    <cellStyle name="Comma 2 5 2 2 2 5 3" xfId="4271"/>
    <cellStyle name="Comma 2 5 2 2 2 6" xfId="4272"/>
    <cellStyle name="Comma 2 5 2 2 2 6 2" xfId="4273"/>
    <cellStyle name="Comma 2 5 2 2 2 6 3" xfId="4274"/>
    <cellStyle name="Comma 2 5 2 2 2 7" xfId="4275"/>
    <cellStyle name="Comma 2 5 2 2 2 8" xfId="4276"/>
    <cellStyle name="Comma 2 5 2 2 3" xfId="4277"/>
    <cellStyle name="Comma 2 5 2 2 3 2" xfId="4278"/>
    <cellStyle name="Comma 2 5 2 2 3 2 2" xfId="4279"/>
    <cellStyle name="Comma 2 5 2 2 3 2 2 2" xfId="4280"/>
    <cellStyle name="Comma 2 5 2 2 3 2 2 3" xfId="4281"/>
    <cellStyle name="Comma 2 5 2 2 3 2 3" xfId="4282"/>
    <cellStyle name="Comma 2 5 2 2 3 2 3 2" xfId="4283"/>
    <cellStyle name="Comma 2 5 2 2 3 2 3 3" xfId="4284"/>
    <cellStyle name="Comma 2 5 2 2 3 2 4" xfId="4285"/>
    <cellStyle name="Comma 2 5 2 2 3 2 5" xfId="4286"/>
    <cellStyle name="Comma 2 5 2 2 3 3" xfId="4287"/>
    <cellStyle name="Comma 2 5 2 2 3 3 2" xfId="4288"/>
    <cellStyle name="Comma 2 5 2 2 3 3 3" xfId="4289"/>
    <cellStyle name="Comma 2 5 2 2 3 4" xfId="4290"/>
    <cellStyle name="Comma 2 5 2 2 3 4 2" xfId="4291"/>
    <cellStyle name="Comma 2 5 2 2 3 4 3" xfId="4292"/>
    <cellStyle name="Comma 2 5 2 2 3 5" xfId="4293"/>
    <cellStyle name="Comma 2 5 2 2 3 6" xfId="4294"/>
    <cellStyle name="Comma 2 5 2 2 4" xfId="4295"/>
    <cellStyle name="Comma 2 5 2 2 4 2" xfId="4296"/>
    <cellStyle name="Comma 2 5 2 2 4 2 2" xfId="4297"/>
    <cellStyle name="Comma 2 5 2 2 4 2 2 2" xfId="4298"/>
    <cellStyle name="Comma 2 5 2 2 4 2 2 3" xfId="4299"/>
    <cellStyle name="Comma 2 5 2 2 4 2 3" xfId="4300"/>
    <cellStyle name="Comma 2 5 2 2 4 2 3 2" xfId="4301"/>
    <cellStyle name="Comma 2 5 2 2 4 2 3 3" xfId="4302"/>
    <cellStyle name="Comma 2 5 2 2 4 2 4" xfId="4303"/>
    <cellStyle name="Comma 2 5 2 2 4 2 5" xfId="4304"/>
    <cellStyle name="Comma 2 5 2 2 4 3" xfId="4305"/>
    <cellStyle name="Comma 2 5 2 2 4 3 2" xfId="4306"/>
    <cellStyle name="Comma 2 5 2 2 4 3 3" xfId="4307"/>
    <cellStyle name="Comma 2 5 2 2 4 4" xfId="4308"/>
    <cellStyle name="Comma 2 5 2 2 4 4 2" xfId="4309"/>
    <cellStyle name="Comma 2 5 2 2 4 4 3" xfId="4310"/>
    <cellStyle name="Comma 2 5 2 2 4 5" xfId="4311"/>
    <cellStyle name="Comma 2 5 2 2 4 6" xfId="4312"/>
    <cellStyle name="Comma 2 5 2 2 5" xfId="4313"/>
    <cellStyle name="Comma 2 5 2 2 5 2" xfId="4314"/>
    <cellStyle name="Comma 2 5 2 2 5 2 2" xfId="4315"/>
    <cellStyle name="Comma 2 5 2 2 5 2 3" xfId="4316"/>
    <cellStyle name="Comma 2 5 2 2 5 3" xfId="4317"/>
    <cellStyle name="Comma 2 5 2 2 5 3 2" xfId="4318"/>
    <cellStyle name="Comma 2 5 2 2 5 3 3" xfId="4319"/>
    <cellStyle name="Comma 2 5 2 2 5 4" xfId="4320"/>
    <cellStyle name="Comma 2 5 2 2 5 5" xfId="4321"/>
    <cellStyle name="Comma 2 5 2 2 6" xfId="4322"/>
    <cellStyle name="Comma 2 5 2 2 6 2" xfId="4323"/>
    <cellStyle name="Comma 2 5 2 2 6 3" xfId="4324"/>
    <cellStyle name="Comma 2 5 2 2 7" xfId="4325"/>
    <cellStyle name="Comma 2 5 2 2 7 2" xfId="4326"/>
    <cellStyle name="Comma 2 5 2 2 7 3" xfId="4327"/>
    <cellStyle name="Comma 2 5 2 2 8" xfId="4328"/>
    <cellStyle name="Comma 2 5 2 2 9" xfId="4329"/>
    <cellStyle name="Comma 2 5 2 3" xfId="4330"/>
    <cellStyle name="Comma 2 5 2 3 2" xfId="4331"/>
    <cellStyle name="Comma 2 5 2 3 2 2" xfId="4332"/>
    <cellStyle name="Comma 2 5 2 3 2 2 2" xfId="4333"/>
    <cellStyle name="Comma 2 5 2 3 2 2 2 2" xfId="4334"/>
    <cellStyle name="Comma 2 5 2 3 2 2 2 3" xfId="4335"/>
    <cellStyle name="Comma 2 5 2 3 2 2 3" xfId="4336"/>
    <cellStyle name="Comma 2 5 2 3 2 2 3 2" xfId="4337"/>
    <cellStyle name="Comma 2 5 2 3 2 2 3 3" xfId="4338"/>
    <cellStyle name="Comma 2 5 2 3 2 2 4" xfId="4339"/>
    <cellStyle name="Comma 2 5 2 3 2 2 5" xfId="4340"/>
    <cellStyle name="Comma 2 5 2 3 2 3" xfId="4341"/>
    <cellStyle name="Comma 2 5 2 3 2 3 2" xfId="4342"/>
    <cellStyle name="Comma 2 5 2 3 2 3 3" xfId="4343"/>
    <cellStyle name="Comma 2 5 2 3 2 4" xfId="4344"/>
    <cellStyle name="Comma 2 5 2 3 2 4 2" xfId="4345"/>
    <cellStyle name="Comma 2 5 2 3 2 4 3" xfId="4346"/>
    <cellStyle name="Comma 2 5 2 3 2 5" xfId="4347"/>
    <cellStyle name="Comma 2 5 2 3 2 6" xfId="4348"/>
    <cellStyle name="Comma 2 5 2 3 3" xfId="4349"/>
    <cellStyle name="Comma 2 5 2 3 3 2" xfId="4350"/>
    <cellStyle name="Comma 2 5 2 3 3 2 2" xfId="4351"/>
    <cellStyle name="Comma 2 5 2 3 3 2 2 2" xfId="4352"/>
    <cellStyle name="Comma 2 5 2 3 3 2 2 3" xfId="4353"/>
    <cellStyle name="Comma 2 5 2 3 3 2 3" xfId="4354"/>
    <cellStyle name="Comma 2 5 2 3 3 2 3 2" xfId="4355"/>
    <cellStyle name="Comma 2 5 2 3 3 2 3 3" xfId="4356"/>
    <cellStyle name="Comma 2 5 2 3 3 2 4" xfId="4357"/>
    <cellStyle name="Comma 2 5 2 3 3 2 5" xfId="4358"/>
    <cellStyle name="Comma 2 5 2 3 3 3" xfId="4359"/>
    <cellStyle name="Comma 2 5 2 3 3 3 2" xfId="4360"/>
    <cellStyle name="Comma 2 5 2 3 3 3 3" xfId="4361"/>
    <cellStyle name="Comma 2 5 2 3 3 4" xfId="4362"/>
    <cellStyle name="Comma 2 5 2 3 3 4 2" xfId="4363"/>
    <cellStyle name="Comma 2 5 2 3 3 4 3" xfId="4364"/>
    <cellStyle name="Comma 2 5 2 3 3 5" xfId="4365"/>
    <cellStyle name="Comma 2 5 2 3 3 6" xfId="4366"/>
    <cellStyle name="Comma 2 5 2 3 4" xfId="4367"/>
    <cellStyle name="Comma 2 5 2 3 4 2" xfId="4368"/>
    <cellStyle name="Comma 2 5 2 3 4 2 2" xfId="4369"/>
    <cellStyle name="Comma 2 5 2 3 4 2 3" xfId="4370"/>
    <cellStyle name="Comma 2 5 2 3 4 3" xfId="4371"/>
    <cellStyle name="Comma 2 5 2 3 4 3 2" xfId="4372"/>
    <cellStyle name="Comma 2 5 2 3 4 3 3" xfId="4373"/>
    <cellStyle name="Comma 2 5 2 3 4 4" xfId="4374"/>
    <cellStyle name="Comma 2 5 2 3 4 5" xfId="4375"/>
    <cellStyle name="Comma 2 5 2 3 5" xfId="4376"/>
    <cellStyle name="Comma 2 5 2 3 5 2" xfId="4377"/>
    <cellStyle name="Comma 2 5 2 3 5 3" xfId="4378"/>
    <cellStyle name="Comma 2 5 2 3 6" xfId="4379"/>
    <cellStyle name="Comma 2 5 2 3 6 2" xfId="4380"/>
    <cellStyle name="Comma 2 5 2 3 6 3" xfId="4381"/>
    <cellStyle name="Comma 2 5 2 3 7" xfId="4382"/>
    <cellStyle name="Comma 2 5 2 3 8" xfId="4383"/>
    <cellStyle name="Comma 2 5 2 4" xfId="4384"/>
    <cellStyle name="Comma 2 5 2 4 2" xfId="4385"/>
    <cellStyle name="Comma 2 5 2 4 2 2" xfId="4386"/>
    <cellStyle name="Comma 2 5 2 4 2 2 2" xfId="4387"/>
    <cellStyle name="Comma 2 5 2 4 2 2 3" xfId="4388"/>
    <cellStyle name="Comma 2 5 2 4 2 3" xfId="4389"/>
    <cellStyle name="Comma 2 5 2 4 2 3 2" xfId="4390"/>
    <cellStyle name="Comma 2 5 2 4 2 3 3" xfId="4391"/>
    <cellStyle name="Comma 2 5 2 4 2 4" xfId="4392"/>
    <cellStyle name="Comma 2 5 2 4 2 5" xfId="4393"/>
    <cellStyle name="Comma 2 5 2 4 3" xfId="4394"/>
    <cellStyle name="Comma 2 5 2 4 3 2" xfId="4395"/>
    <cellStyle name="Comma 2 5 2 4 3 3" xfId="4396"/>
    <cellStyle name="Comma 2 5 2 4 4" xfId="4397"/>
    <cellStyle name="Comma 2 5 2 4 4 2" xfId="4398"/>
    <cellStyle name="Comma 2 5 2 4 4 3" xfId="4399"/>
    <cellStyle name="Comma 2 5 2 4 5" xfId="4400"/>
    <cellStyle name="Comma 2 5 2 4 6" xfId="4401"/>
    <cellStyle name="Comma 2 5 2 5" xfId="4402"/>
    <cellStyle name="Comma 2 5 2 5 2" xfId="4403"/>
    <cellStyle name="Comma 2 5 2 5 2 2" xfId="4404"/>
    <cellStyle name="Comma 2 5 2 5 2 2 2" xfId="4405"/>
    <cellStyle name="Comma 2 5 2 5 2 2 3" xfId="4406"/>
    <cellStyle name="Comma 2 5 2 5 2 3" xfId="4407"/>
    <cellStyle name="Comma 2 5 2 5 2 3 2" xfId="4408"/>
    <cellStyle name="Comma 2 5 2 5 2 3 3" xfId="4409"/>
    <cellStyle name="Comma 2 5 2 5 2 4" xfId="4410"/>
    <cellStyle name="Comma 2 5 2 5 2 5" xfId="4411"/>
    <cellStyle name="Comma 2 5 2 5 3" xfId="4412"/>
    <cellStyle name="Comma 2 5 2 5 3 2" xfId="4413"/>
    <cellStyle name="Comma 2 5 2 5 3 3" xfId="4414"/>
    <cellStyle name="Comma 2 5 2 5 4" xfId="4415"/>
    <cellStyle name="Comma 2 5 2 5 4 2" xfId="4416"/>
    <cellStyle name="Comma 2 5 2 5 4 3" xfId="4417"/>
    <cellStyle name="Comma 2 5 2 5 5" xfId="4418"/>
    <cellStyle name="Comma 2 5 2 5 6" xfId="4419"/>
    <cellStyle name="Comma 2 5 2 6" xfId="4420"/>
    <cellStyle name="Comma 2 5 2 6 2" xfId="4421"/>
    <cellStyle name="Comma 2 5 2 6 2 2" xfId="4422"/>
    <cellStyle name="Comma 2 5 2 6 2 3" xfId="4423"/>
    <cellStyle name="Comma 2 5 2 6 3" xfId="4424"/>
    <cellStyle name="Comma 2 5 2 6 3 2" xfId="4425"/>
    <cellStyle name="Comma 2 5 2 6 3 3" xfId="4426"/>
    <cellStyle name="Comma 2 5 2 6 4" xfId="4427"/>
    <cellStyle name="Comma 2 5 2 6 5" xfId="4428"/>
    <cellStyle name="Comma 2 5 2 7" xfId="4429"/>
    <cellStyle name="Comma 2 5 2 7 2" xfId="4430"/>
    <cellStyle name="Comma 2 5 2 7 3" xfId="4431"/>
    <cellStyle name="Comma 2 5 2 8" xfId="4432"/>
    <cellStyle name="Comma 2 5 2 8 2" xfId="4433"/>
    <cellStyle name="Comma 2 5 2 8 3" xfId="4434"/>
    <cellStyle name="Comma 2 5 2 9" xfId="4435"/>
    <cellStyle name="Comma 2 5 3" xfId="4436"/>
    <cellStyle name="Comma 2 5 3 10" xfId="4437"/>
    <cellStyle name="Comma 2 5 3 2" xfId="4438"/>
    <cellStyle name="Comma 2 5 3 2 2" xfId="4439"/>
    <cellStyle name="Comma 2 5 3 2 2 2" xfId="4440"/>
    <cellStyle name="Comma 2 5 3 2 2 2 2" xfId="4441"/>
    <cellStyle name="Comma 2 5 3 2 2 2 2 2" xfId="4442"/>
    <cellStyle name="Comma 2 5 3 2 2 2 2 2 2" xfId="4443"/>
    <cellStyle name="Comma 2 5 3 2 2 2 2 2 3" xfId="4444"/>
    <cellStyle name="Comma 2 5 3 2 2 2 2 3" xfId="4445"/>
    <cellStyle name="Comma 2 5 3 2 2 2 2 3 2" xfId="4446"/>
    <cellStyle name="Comma 2 5 3 2 2 2 2 3 3" xfId="4447"/>
    <cellStyle name="Comma 2 5 3 2 2 2 2 4" xfId="4448"/>
    <cellStyle name="Comma 2 5 3 2 2 2 2 5" xfId="4449"/>
    <cellStyle name="Comma 2 5 3 2 2 2 3" xfId="4450"/>
    <cellStyle name="Comma 2 5 3 2 2 2 3 2" xfId="4451"/>
    <cellStyle name="Comma 2 5 3 2 2 2 3 3" xfId="4452"/>
    <cellStyle name="Comma 2 5 3 2 2 2 4" xfId="4453"/>
    <cellStyle name="Comma 2 5 3 2 2 2 4 2" xfId="4454"/>
    <cellStyle name="Comma 2 5 3 2 2 2 4 3" xfId="4455"/>
    <cellStyle name="Comma 2 5 3 2 2 2 5" xfId="4456"/>
    <cellStyle name="Comma 2 5 3 2 2 2 6" xfId="4457"/>
    <cellStyle name="Comma 2 5 3 2 2 3" xfId="4458"/>
    <cellStyle name="Comma 2 5 3 2 2 3 2" xfId="4459"/>
    <cellStyle name="Comma 2 5 3 2 2 3 2 2" xfId="4460"/>
    <cellStyle name="Comma 2 5 3 2 2 3 2 2 2" xfId="4461"/>
    <cellStyle name="Comma 2 5 3 2 2 3 2 2 3" xfId="4462"/>
    <cellStyle name="Comma 2 5 3 2 2 3 2 3" xfId="4463"/>
    <cellStyle name="Comma 2 5 3 2 2 3 2 3 2" xfId="4464"/>
    <cellStyle name="Comma 2 5 3 2 2 3 2 3 3" xfId="4465"/>
    <cellStyle name="Comma 2 5 3 2 2 3 2 4" xfId="4466"/>
    <cellStyle name="Comma 2 5 3 2 2 3 2 5" xfId="4467"/>
    <cellStyle name="Comma 2 5 3 2 2 3 3" xfId="4468"/>
    <cellStyle name="Comma 2 5 3 2 2 3 3 2" xfId="4469"/>
    <cellStyle name="Comma 2 5 3 2 2 3 3 3" xfId="4470"/>
    <cellStyle name="Comma 2 5 3 2 2 3 4" xfId="4471"/>
    <cellStyle name="Comma 2 5 3 2 2 3 4 2" xfId="4472"/>
    <cellStyle name="Comma 2 5 3 2 2 3 4 3" xfId="4473"/>
    <cellStyle name="Comma 2 5 3 2 2 3 5" xfId="4474"/>
    <cellStyle name="Comma 2 5 3 2 2 3 6" xfId="4475"/>
    <cellStyle name="Comma 2 5 3 2 2 4" xfId="4476"/>
    <cellStyle name="Comma 2 5 3 2 2 4 2" xfId="4477"/>
    <cellStyle name="Comma 2 5 3 2 2 4 2 2" xfId="4478"/>
    <cellStyle name="Comma 2 5 3 2 2 4 2 3" xfId="4479"/>
    <cellStyle name="Comma 2 5 3 2 2 4 3" xfId="4480"/>
    <cellStyle name="Comma 2 5 3 2 2 4 3 2" xfId="4481"/>
    <cellStyle name="Comma 2 5 3 2 2 4 3 3" xfId="4482"/>
    <cellStyle name="Comma 2 5 3 2 2 4 4" xfId="4483"/>
    <cellStyle name="Comma 2 5 3 2 2 4 5" xfId="4484"/>
    <cellStyle name="Comma 2 5 3 2 2 5" xfId="4485"/>
    <cellStyle name="Comma 2 5 3 2 2 5 2" xfId="4486"/>
    <cellStyle name="Comma 2 5 3 2 2 5 3" xfId="4487"/>
    <cellStyle name="Comma 2 5 3 2 2 6" xfId="4488"/>
    <cellStyle name="Comma 2 5 3 2 2 6 2" xfId="4489"/>
    <cellStyle name="Comma 2 5 3 2 2 6 3" xfId="4490"/>
    <cellStyle name="Comma 2 5 3 2 2 7" xfId="4491"/>
    <cellStyle name="Comma 2 5 3 2 2 8" xfId="4492"/>
    <cellStyle name="Comma 2 5 3 2 3" xfId="4493"/>
    <cellStyle name="Comma 2 5 3 2 3 2" xfId="4494"/>
    <cellStyle name="Comma 2 5 3 2 3 2 2" xfId="4495"/>
    <cellStyle name="Comma 2 5 3 2 3 2 2 2" xfId="4496"/>
    <cellStyle name="Comma 2 5 3 2 3 2 2 3" xfId="4497"/>
    <cellStyle name="Comma 2 5 3 2 3 2 3" xfId="4498"/>
    <cellStyle name="Comma 2 5 3 2 3 2 3 2" xfId="4499"/>
    <cellStyle name="Comma 2 5 3 2 3 2 3 3" xfId="4500"/>
    <cellStyle name="Comma 2 5 3 2 3 2 4" xfId="4501"/>
    <cellStyle name="Comma 2 5 3 2 3 2 5" xfId="4502"/>
    <cellStyle name="Comma 2 5 3 2 3 3" xfId="4503"/>
    <cellStyle name="Comma 2 5 3 2 3 3 2" xfId="4504"/>
    <cellStyle name="Comma 2 5 3 2 3 3 3" xfId="4505"/>
    <cellStyle name="Comma 2 5 3 2 3 4" xfId="4506"/>
    <cellStyle name="Comma 2 5 3 2 3 4 2" xfId="4507"/>
    <cellStyle name="Comma 2 5 3 2 3 4 3" xfId="4508"/>
    <cellStyle name="Comma 2 5 3 2 3 5" xfId="4509"/>
    <cellStyle name="Comma 2 5 3 2 3 6" xfId="4510"/>
    <cellStyle name="Comma 2 5 3 2 4" xfId="4511"/>
    <cellStyle name="Comma 2 5 3 2 4 2" xfId="4512"/>
    <cellStyle name="Comma 2 5 3 2 4 2 2" xfId="4513"/>
    <cellStyle name="Comma 2 5 3 2 4 2 2 2" xfId="4514"/>
    <cellStyle name="Comma 2 5 3 2 4 2 2 3" xfId="4515"/>
    <cellStyle name="Comma 2 5 3 2 4 2 3" xfId="4516"/>
    <cellStyle name="Comma 2 5 3 2 4 2 3 2" xfId="4517"/>
    <cellStyle name="Comma 2 5 3 2 4 2 3 3" xfId="4518"/>
    <cellStyle name="Comma 2 5 3 2 4 2 4" xfId="4519"/>
    <cellStyle name="Comma 2 5 3 2 4 2 5" xfId="4520"/>
    <cellStyle name="Comma 2 5 3 2 4 3" xfId="4521"/>
    <cellStyle name="Comma 2 5 3 2 4 3 2" xfId="4522"/>
    <cellStyle name="Comma 2 5 3 2 4 3 3" xfId="4523"/>
    <cellStyle name="Comma 2 5 3 2 4 4" xfId="4524"/>
    <cellStyle name="Comma 2 5 3 2 4 4 2" xfId="4525"/>
    <cellStyle name="Comma 2 5 3 2 4 4 3" xfId="4526"/>
    <cellStyle name="Comma 2 5 3 2 4 5" xfId="4527"/>
    <cellStyle name="Comma 2 5 3 2 4 6" xfId="4528"/>
    <cellStyle name="Comma 2 5 3 2 5" xfId="4529"/>
    <cellStyle name="Comma 2 5 3 2 5 2" xfId="4530"/>
    <cellStyle name="Comma 2 5 3 2 5 2 2" xfId="4531"/>
    <cellStyle name="Comma 2 5 3 2 5 2 3" xfId="4532"/>
    <cellStyle name="Comma 2 5 3 2 5 3" xfId="4533"/>
    <cellStyle name="Comma 2 5 3 2 5 3 2" xfId="4534"/>
    <cellStyle name="Comma 2 5 3 2 5 3 3" xfId="4535"/>
    <cellStyle name="Comma 2 5 3 2 5 4" xfId="4536"/>
    <cellStyle name="Comma 2 5 3 2 5 5" xfId="4537"/>
    <cellStyle name="Comma 2 5 3 2 6" xfId="4538"/>
    <cellStyle name="Comma 2 5 3 2 6 2" xfId="4539"/>
    <cellStyle name="Comma 2 5 3 2 6 3" xfId="4540"/>
    <cellStyle name="Comma 2 5 3 2 7" xfId="4541"/>
    <cellStyle name="Comma 2 5 3 2 7 2" xfId="4542"/>
    <cellStyle name="Comma 2 5 3 2 7 3" xfId="4543"/>
    <cellStyle name="Comma 2 5 3 2 8" xfId="4544"/>
    <cellStyle name="Comma 2 5 3 2 9" xfId="4545"/>
    <cellStyle name="Comma 2 5 3 3" xfId="4546"/>
    <cellStyle name="Comma 2 5 3 3 2" xfId="4547"/>
    <cellStyle name="Comma 2 5 3 3 2 2" xfId="4548"/>
    <cellStyle name="Comma 2 5 3 3 2 2 2" xfId="4549"/>
    <cellStyle name="Comma 2 5 3 3 2 2 2 2" xfId="4550"/>
    <cellStyle name="Comma 2 5 3 3 2 2 2 3" xfId="4551"/>
    <cellStyle name="Comma 2 5 3 3 2 2 3" xfId="4552"/>
    <cellStyle name="Comma 2 5 3 3 2 2 3 2" xfId="4553"/>
    <cellStyle name="Comma 2 5 3 3 2 2 3 3" xfId="4554"/>
    <cellStyle name="Comma 2 5 3 3 2 2 4" xfId="4555"/>
    <cellStyle name="Comma 2 5 3 3 2 2 5" xfId="4556"/>
    <cellStyle name="Comma 2 5 3 3 2 3" xfId="4557"/>
    <cellStyle name="Comma 2 5 3 3 2 3 2" xfId="4558"/>
    <cellStyle name="Comma 2 5 3 3 2 3 3" xfId="4559"/>
    <cellStyle name="Comma 2 5 3 3 2 4" xfId="4560"/>
    <cellStyle name="Comma 2 5 3 3 2 4 2" xfId="4561"/>
    <cellStyle name="Comma 2 5 3 3 2 4 3" xfId="4562"/>
    <cellStyle name="Comma 2 5 3 3 2 5" xfId="4563"/>
    <cellStyle name="Comma 2 5 3 3 2 6" xfId="4564"/>
    <cellStyle name="Comma 2 5 3 3 3" xfId="4565"/>
    <cellStyle name="Comma 2 5 3 3 3 2" xfId="4566"/>
    <cellStyle name="Comma 2 5 3 3 3 2 2" xfId="4567"/>
    <cellStyle name="Comma 2 5 3 3 3 2 2 2" xfId="4568"/>
    <cellStyle name="Comma 2 5 3 3 3 2 2 3" xfId="4569"/>
    <cellStyle name="Comma 2 5 3 3 3 2 3" xfId="4570"/>
    <cellStyle name="Comma 2 5 3 3 3 2 3 2" xfId="4571"/>
    <cellStyle name="Comma 2 5 3 3 3 2 3 3" xfId="4572"/>
    <cellStyle name="Comma 2 5 3 3 3 2 4" xfId="4573"/>
    <cellStyle name="Comma 2 5 3 3 3 2 5" xfId="4574"/>
    <cellStyle name="Comma 2 5 3 3 3 3" xfId="4575"/>
    <cellStyle name="Comma 2 5 3 3 3 3 2" xfId="4576"/>
    <cellStyle name="Comma 2 5 3 3 3 3 3" xfId="4577"/>
    <cellStyle name="Comma 2 5 3 3 3 4" xfId="4578"/>
    <cellStyle name="Comma 2 5 3 3 3 4 2" xfId="4579"/>
    <cellStyle name="Comma 2 5 3 3 3 4 3" xfId="4580"/>
    <cellStyle name="Comma 2 5 3 3 3 5" xfId="4581"/>
    <cellStyle name="Comma 2 5 3 3 3 6" xfId="4582"/>
    <cellStyle name="Comma 2 5 3 3 4" xfId="4583"/>
    <cellStyle name="Comma 2 5 3 3 4 2" xfId="4584"/>
    <cellStyle name="Comma 2 5 3 3 4 2 2" xfId="4585"/>
    <cellStyle name="Comma 2 5 3 3 4 2 3" xfId="4586"/>
    <cellStyle name="Comma 2 5 3 3 4 3" xfId="4587"/>
    <cellStyle name="Comma 2 5 3 3 4 3 2" xfId="4588"/>
    <cellStyle name="Comma 2 5 3 3 4 3 3" xfId="4589"/>
    <cellStyle name="Comma 2 5 3 3 4 4" xfId="4590"/>
    <cellStyle name="Comma 2 5 3 3 4 5" xfId="4591"/>
    <cellStyle name="Comma 2 5 3 3 5" xfId="4592"/>
    <cellStyle name="Comma 2 5 3 3 5 2" xfId="4593"/>
    <cellStyle name="Comma 2 5 3 3 5 3" xfId="4594"/>
    <cellStyle name="Comma 2 5 3 3 6" xfId="4595"/>
    <cellStyle name="Comma 2 5 3 3 6 2" xfId="4596"/>
    <cellStyle name="Comma 2 5 3 3 6 3" xfId="4597"/>
    <cellStyle name="Comma 2 5 3 3 7" xfId="4598"/>
    <cellStyle name="Comma 2 5 3 3 8" xfId="4599"/>
    <cellStyle name="Comma 2 5 3 4" xfId="4600"/>
    <cellStyle name="Comma 2 5 3 4 2" xfId="4601"/>
    <cellStyle name="Comma 2 5 3 4 2 2" xfId="4602"/>
    <cellStyle name="Comma 2 5 3 4 2 2 2" xfId="4603"/>
    <cellStyle name="Comma 2 5 3 4 2 2 3" xfId="4604"/>
    <cellStyle name="Comma 2 5 3 4 2 3" xfId="4605"/>
    <cellStyle name="Comma 2 5 3 4 2 3 2" xfId="4606"/>
    <cellStyle name="Comma 2 5 3 4 2 3 3" xfId="4607"/>
    <cellStyle name="Comma 2 5 3 4 2 4" xfId="4608"/>
    <cellStyle name="Comma 2 5 3 4 2 5" xfId="4609"/>
    <cellStyle name="Comma 2 5 3 4 3" xfId="4610"/>
    <cellStyle name="Comma 2 5 3 4 3 2" xfId="4611"/>
    <cellStyle name="Comma 2 5 3 4 3 3" xfId="4612"/>
    <cellStyle name="Comma 2 5 3 4 4" xfId="4613"/>
    <cellStyle name="Comma 2 5 3 4 4 2" xfId="4614"/>
    <cellStyle name="Comma 2 5 3 4 4 3" xfId="4615"/>
    <cellStyle name="Comma 2 5 3 4 5" xfId="4616"/>
    <cellStyle name="Comma 2 5 3 4 6" xfId="4617"/>
    <cellStyle name="Comma 2 5 3 5" xfId="4618"/>
    <cellStyle name="Comma 2 5 3 5 2" xfId="4619"/>
    <cellStyle name="Comma 2 5 3 5 2 2" xfId="4620"/>
    <cellStyle name="Comma 2 5 3 5 2 2 2" xfId="4621"/>
    <cellStyle name="Comma 2 5 3 5 2 2 3" xfId="4622"/>
    <cellStyle name="Comma 2 5 3 5 2 3" xfId="4623"/>
    <cellStyle name="Comma 2 5 3 5 2 3 2" xfId="4624"/>
    <cellStyle name="Comma 2 5 3 5 2 3 3" xfId="4625"/>
    <cellStyle name="Comma 2 5 3 5 2 4" xfId="4626"/>
    <cellStyle name="Comma 2 5 3 5 2 5" xfId="4627"/>
    <cellStyle name="Comma 2 5 3 5 3" xfId="4628"/>
    <cellStyle name="Comma 2 5 3 5 3 2" xfId="4629"/>
    <cellStyle name="Comma 2 5 3 5 3 3" xfId="4630"/>
    <cellStyle name="Comma 2 5 3 5 4" xfId="4631"/>
    <cellStyle name="Comma 2 5 3 5 4 2" xfId="4632"/>
    <cellStyle name="Comma 2 5 3 5 4 3" xfId="4633"/>
    <cellStyle name="Comma 2 5 3 5 5" xfId="4634"/>
    <cellStyle name="Comma 2 5 3 5 6" xfId="4635"/>
    <cellStyle name="Comma 2 5 3 6" xfId="4636"/>
    <cellStyle name="Comma 2 5 3 6 2" xfId="4637"/>
    <cellStyle name="Comma 2 5 3 6 2 2" xfId="4638"/>
    <cellStyle name="Comma 2 5 3 6 2 3" xfId="4639"/>
    <cellStyle name="Comma 2 5 3 6 3" xfId="4640"/>
    <cellStyle name="Comma 2 5 3 6 3 2" xfId="4641"/>
    <cellStyle name="Comma 2 5 3 6 3 3" xfId="4642"/>
    <cellStyle name="Comma 2 5 3 6 4" xfId="4643"/>
    <cellStyle name="Comma 2 5 3 6 5" xfId="4644"/>
    <cellStyle name="Comma 2 5 3 7" xfId="4645"/>
    <cellStyle name="Comma 2 5 3 7 2" xfId="4646"/>
    <cellStyle name="Comma 2 5 3 7 3" xfId="4647"/>
    <cellStyle name="Comma 2 5 3 8" xfId="4648"/>
    <cellStyle name="Comma 2 5 3 8 2" xfId="4649"/>
    <cellStyle name="Comma 2 5 3 8 3" xfId="4650"/>
    <cellStyle name="Comma 2 5 3 9" xfId="4651"/>
    <cellStyle name="Comma 2 5 4" xfId="4652"/>
    <cellStyle name="Comma 2 5 4 10" xfId="4653"/>
    <cellStyle name="Comma 2 5 4 2" xfId="4654"/>
    <cellStyle name="Comma 2 5 4 2 2" xfId="4655"/>
    <cellStyle name="Comma 2 5 4 2 2 2" xfId="4656"/>
    <cellStyle name="Comma 2 5 4 2 2 2 2" xfId="4657"/>
    <cellStyle name="Comma 2 5 4 2 2 2 2 2" xfId="4658"/>
    <cellStyle name="Comma 2 5 4 2 2 2 2 2 2" xfId="4659"/>
    <cellStyle name="Comma 2 5 4 2 2 2 2 2 3" xfId="4660"/>
    <cellStyle name="Comma 2 5 4 2 2 2 2 3" xfId="4661"/>
    <cellStyle name="Comma 2 5 4 2 2 2 2 3 2" xfId="4662"/>
    <cellStyle name="Comma 2 5 4 2 2 2 2 3 3" xfId="4663"/>
    <cellStyle name="Comma 2 5 4 2 2 2 2 4" xfId="4664"/>
    <cellStyle name="Comma 2 5 4 2 2 2 2 5" xfId="4665"/>
    <cellStyle name="Comma 2 5 4 2 2 2 3" xfId="4666"/>
    <cellStyle name="Comma 2 5 4 2 2 2 3 2" xfId="4667"/>
    <cellStyle name="Comma 2 5 4 2 2 2 3 3" xfId="4668"/>
    <cellStyle name="Comma 2 5 4 2 2 2 4" xfId="4669"/>
    <cellStyle name="Comma 2 5 4 2 2 2 4 2" xfId="4670"/>
    <cellStyle name="Comma 2 5 4 2 2 2 4 3" xfId="4671"/>
    <cellStyle name="Comma 2 5 4 2 2 2 5" xfId="4672"/>
    <cellStyle name="Comma 2 5 4 2 2 2 6" xfId="4673"/>
    <cellStyle name="Comma 2 5 4 2 2 3" xfId="4674"/>
    <cellStyle name="Comma 2 5 4 2 2 3 2" xfId="4675"/>
    <cellStyle name="Comma 2 5 4 2 2 3 2 2" xfId="4676"/>
    <cellStyle name="Comma 2 5 4 2 2 3 2 2 2" xfId="4677"/>
    <cellStyle name="Comma 2 5 4 2 2 3 2 2 3" xfId="4678"/>
    <cellStyle name="Comma 2 5 4 2 2 3 2 3" xfId="4679"/>
    <cellStyle name="Comma 2 5 4 2 2 3 2 3 2" xfId="4680"/>
    <cellStyle name="Comma 2 5 4 2 2 3 2 3 3" xfId="4681"/>
    <cellStyle name="Comma 2 5 4 2 2 3 2 4" xfId="4682"/>
    <cellStyle name="Comma 2 5 4 2 2 3 2 5" xfId="4683"/>
    <cellStyle name="Comma 2 5 4 2 2 3 3" xfId="4684"/>
    <cellStyle name="Comma 2 5 4 2 2 3 3 2" xfId="4685"/>
    <cellStyle name="Comma 2 5 4 2 2 3 3 3" xfId="4686"/>
    <cellStyle name="Comma 2 5 4 2 2 3 4" xfId="4687"/>
    <cellStyle name="Comma 2 5 4 2 2 3 4 2" xfId="4688"/>
    <cellStyle name="Comma 2 5 4 2 2 3 4 3" xfId="4689"/>
    <cellStyle name="Comma 2 5 4 2 2 3 5" xfId="4690"/>
    <cellStyle name="Comma 2 5 4 2 2 3 6" xfId="4691"/>
    <cellStyle name="Comma 2 5 4 2 2 4" xfId="4692"/>
    <cellStyle name="Comma 2 5 4 2 2 4 2" xfId="4693"/>
    <cellStyle name="Comma 2 5 4 2 2 4 2 2" xfId="4694"/>
    <cellStyle name="Comma 2 5 4 2 2 4 2 3" xfId="4695"/>
    <cellStyle name="Comma 2 5 4 2 2 4 3" xfId="4696"/>
    <cellStyle name="Comma 2 5 4 2 2 4 3 2" xfId="4697"/>
    <cellStyle name="Comma 2 5 4 2 2 4 3 3" xfId="4698"/>
    <cellStyle name="Comma 2 5 4 2 2 4 4" xfId="4699"/>
    <cellStyle name="Comma 2 5 4 2 2 4 5" xfId="4700"/>
    <cellStyle name="Comma 2 5 4 2 2 5" xfId="4701"/>
    <cellStyle name="Comma 2 5 4 2 2 5 2" xfId="4702"/>
    <cellStyle name="Comma 2 5 4 2 2 5 3" xfId="4703"/>
    <cellStyle name="Comma 2 5 4 2 2 6" xfId="4704"/>
    <cellStyle name="Comma 2 5 4 2 2 6 2" xfId="4705"/>
    <cellStyle name="Comma 2 5 4 2 2 6 3" xfId="4706"/>
    <cellStyle name="Comma 2 5 4 2 2 7" xfId="4707"/>
    <cellStyle name="Comma 2 5 4 2 2 8" xfId="4708"/>
    <cellStyle name="Comma 2 5 4 2 3" xfId="4709"/>
    <cellStyle name="Comma 2 5 4 2 3 2" xfId="4710"/>
    <cellStyle name="Comma 2 5 4 2 3 2 2" xfId="4711"/>
    <cellStyle name="Comma 2 5 4 2 3 2 2 2" xfId="4712"/>
    <cellStyle name="Comma 2 5 4 2 3 2 2 3" xfId="4713"/>
    <cellStyle name="Comma 2 5 4 2 3 2 3" xfId="4714"/>
    <cellStyle name="Comma 2 5 4 2 3 2 3 2" xfId="4715"/>
    <cellStyle name="Comma 2 5 4 2 3 2 3 3" xfId="4716"/>
    <cellStyle name="Comma 2 5 4 2 3 2 4" xfId="4717"/>
    <cellStyle name="Comma 2 5 4 2 3 2 5" xfId="4718"/>
    <cellStyle name="Comma 2 5 4 2 3 3" xfId="4719"/>
    <cellStyle name="Comma 2 5 4 2 3 3 2" xfId="4720"/>
    <cellStyle name="Comma 2 5 4 2 3 3 3" xfId="4721"/>
    <cellStyle name="Comma 2 5 4 2 3 4" xfId="4722"/>
    <cellStyle name="Comma 2 5 4 2 3 4 2" xfId="4723"/>
    <cellStyle name="Comma 2 5 4 2 3 4 3" xfId="4724"/>
    <cellStyle name="Comma 2 5 4 2 3 5" xfId="4725"/>
    <cellStyle name="Comma 2 5 4 2 3 6" xfId="4726"/>
    <cellStyle name="Comma 2 5 4 2 4" xfId="4727"/>
    <cellStyle name="Comma 2 5 4 2 4 2" xfId="4728"/>
    <cellStyle name="Comma 2 5 4 2 4 2 2" xfId="4729"/>
    <cellStyle name="Comma 2 5 4 2 4 2 2 2" xfId="4730"/>
    <cellStyle name="Comma 2 5 4 2 4 2 2 3" xfId="4731"/>
    <cellStyle name="Comma 2 5 4 2 4 2 3" xfId="4732"/>
    <cellStyle name="Comma 2 5 4 2 4 2 3 2" xfId="4733"/>
    <cellStyle name="Comma 2 5 4 2 4 2 3 3" xfId="4734"/>
    <cellStyle name="Comma 2 5 4 2 4 2 4" xfId="4735"/>
    <cellStyle name="Comma 2 5 4 2 4 2 5" xfId="4736"/>
    <cellStyle name="Comma 2 5 4 2 4 3" xfId="4737"/>
    <cellStyle name="Comma 2 5 4 2 4 3 2" xfId="4738"/>
    <cellStyle name="Comma 2 5 4 2 4 3 3" xfId="4739"/>
    <cellStyle name="Comma 2 5 4 2 4 4" xfId="4740"/>
    <cellStyle name="Comma 2 5 4 2 4 4 2" xfId="4741"/>
    <cellStyle name="Comma 2 5 4 2 4 4 3" xfId="4742"/>
    <cellStyle name="Comma 2 5 4 2 4 5" xfId="4743"/>
    <cellStyle name="Comma 2 5 4 2 4 6" xfId="4744"/>
    <cellStyle name="Comma 2 5 4 2 5" xfId="4745"/>
    <cellStyle name="Comma 2 5 4 2 5 2" xfId="4746"/>
    <cellStyle name="Comma 2 5 4 2 5 2 2" xfId="4747"/>
    <cellStyle name="Comma 2 5 4 2 5 2 3" xfId="4748"/>
    <cellStyle name="Comma 2 5 4 2 5 3" xfId="4749"/>
    <cellStyle name="Comma 2 5 4 2 5 3 2" xfId="4750"/>
    <cellStyle name="Comma 2 5 4 2 5 3 3" xfId="4751"/>
    <cellStyle name="Comma 2 5 4 2 5 4" xfId="4752"/>
    <cellStyle name="Comma 2 5 4 2 5 5" xfId="4753"/>
    <cellStyle name="Comma 2 5 4 2 6" xfId="4754"/>
    <cellStyle name="Comma 2 5 4 2 6 2" xfId="4755"/>
    <cellStyle name="Comma 2 5 4 2 6 3" xfId="4756"/>
    <cellStyle name="Comma 2 5 4 2 7" xfId="4757"/>
    <cellStyle name="Comma 2 5 4 2 7 2" xfId="4758"/>
    <cellStyle name="Comma 2 5 4 2 7 3" xfId="4759"/>
    <cellStyle name="Comma 2 5 4 2 8" xfId="4760"/>
    <cellStyle name="Comma 2 5 4 2 9" xfId="4761"/>
    <cellStyle name="Comma 2 5 4 3" xfId="4762"/>
    <cellStyle name="Comma 2 5 4 3 2" xfId="4763"/>
    <cellStyle name="Comma 2 5 4 3 2 2" xfId="4764"/>
    <cellStyle name="Comma 2 5 4 3 2 2 2" xfId="4765"/>
    <cellStyle name="Comma 2 5 4 3 2 2 2 2" xfId="4766"/>
    <cellStyle name="Comma 2 5 4 3 2 2 2 3" xfId="4767"/>
    <cellStyle name="Comma 2 5 4 3 2 2 3" xfId="4768"/>
    <cellStyle name="Comma 2 5 4 3 2 2 3 2" xfId="4769"/>
    <cellStyle name="Comma 2 5 4 3 2 2 3 3" xfId="4770"/>
    <cellStyle name="Comma 2 5 4 3 2 2 4" xfId="4771"/>
    <cellStyle name="Comma 2 5 4 3 2 2 5" xfId="4772"/>
    <cellStyle name="Comma 2 5 4 3 2 3" xfId="4773"/>
    <cellStyle name="Comma 2 5 4 3 2 3 2" xfId="4774"/>
    <cellStyle name="Comma 2 5 4 3 2 3 3" xfId="4775"/>
    <cellStyle name="Comma 2 5 4 3 2 4" xfId="4776"/>
    <cellStyle name="Comma 2 5 4 3 2 4 2" xfId="4777"/>
    <cellStyle name="Comma 2 5 4 3 2 4 3" xfId="4778"/>
    <cellStyle name="Comma 2 5 4 3 2 5" xfId="4779"/>
    <cellStyle name="Comma 2 5 4 3 2 6" xfId="4780"/>
    <cellStyle name="Comma 2 5 4 3 3" xfId="4781"/>
    <cellStyle name="Comma 2 5 4 3 3 2" xfId="4782"/>
    <cellStyle name="Comma 2 5 4 3 3 2 2" xfId="4783"/>
    <cellStyle name="Comma 2 5 4 3 3 2 2 2" xfId="4784"/>
    <cellStyle name="Comma 2 5 4 3 3 2 2 3" xfId="4785"/>
    <cellStyle name="Comma 2 5 4 3 3 2 3" xfId="4786"/>
    <cellStyle name="Comma 2 5 4 3 3 2 3 2" xfId="4787"/>
    <cellStyle name="Comma 2 5 4 3 3 2 3 3" xfId="4788"/>
    <cellStyle name="Comma 2 5 4 3 3 2 4" xfId="4789"/>
    <cellStyle name="Comma 2 5 4 3 3 2 5" xfId="4790"/>
    <cellStyle name="Comma 2 5 4 3 3 3" xfId="4791"/>
    <cellStyle name="Comma 2 5 4 3 3 3 2" xfId="4792"/>
    <cellStyle name="Comma 2 5 4 3 3 3 3" xfId="4793"/>
    <cellStyle name="Comma 2 5 4 3 3 4" xfId="4794"/>
    <cellStyle name="Comma 2 5 4 3 3 4 2" xfId="4795"/>
    <cellStyle name="Comma 2 5 4 3 3 4 3" xfId="4796"/>
    <cellStyle name="Comma 2 5 4 3 3 5" xfId="4797"/>
    <cellStyle name="Comma 2 5 4 3 3 6" xfId="4798"/>
    <cellStyle name="Comma 2 5 4 3 4" xfId="4799"/>
    <cellStyle name="Comma 2 5 4 3 4 2" xfId="4800"/>
    <cellStyle name="Comma 2 5 4 3 4 2 2" xfId="4801"/>
    <cellStyle name="Comma 2 5 4 3 4 2 3" xfId="4802"/>
    <cellStyle name="Comma 2 5 4 3 4 3" xfId="4803"/>
    <cellStyle name="Comma 2 5 4 3 4 3 2" xfId="4804"/>
    <cellStyle name="Comma 2 5 4 3 4 3 3" xfId="4805"/>
    <cellStyle name="Comma 2 5 4 3 4 4" xfId="4806"/>
    <cellStyle name="Comma 2 5 4 3 4 5" xfId="4807"/>
    <cellStyle name="Comma 2 5 4 3 5" xfId="4808"/>
    <cellStyle name="Comma 2 5 4 3 5 2" xfId="4809"/>
    <cellStyle name="Comma 2 5 4 3 5 3" xfId="4810"/>
    <cellStyle name="Comma 2 5 4 3 6" xfId="4811"/>
    <cellStyle name="Comma 2 5 4 3 6 2" xfId="4812"/>
    <cellStyle name="Comma 2 5 4 3 6 3" xfId="4813"/>
    <cellStyle name="Comma 2 5 4 3 7" xfId="4814"/>
    <cellStyle name="Comma 2 5 4 3 8" xfId="4815"/>
    <cellStyle name="Comma 2 5 4 4" xfId="4816"/>
    <cellStyle name="Comma 2 5 4 4 2" xfId="4817"/>
    <cellStyle name="Comma 2 5 4 4 2 2" xfId="4818"/>
    <cellStyle name="Comma 2 5 4 4 2 2 2" xfId="4819"/>
    <cellStyle name="Comma 2 5 4 4 2 2 3" xfId="4820"/>
    <cellStyle name="Comma 2 5 4 4 2 3" xfId="4821"/>
    <cellStyle name="Comma 2 5 4 4 2 3 2" xfId="4822"/>
    <cellStyle name="Comma 2 5 4 4 2 3 3" xfId="4823"/>
    <cellStyle name="Comma 2 5 4 4 2 4" xfId="4824"/>
    <cellStyle name="Comma 2 5 4 4 2 5" xfId="4825"/>
    <cellStyle name="Comma 2 5 4 4 3" xfId="4826"/>
    <cellStyle name="Comma 2 5 4 4 3 2" xfId="4827"/>
    <cellStyle name="Comma 2 5 4 4 3 3" xfId="4828"/>
    <cellStyle name="Comma 2 5 4 4 4" xfId="4829"/>
    <cellStyle name="Comma 2 5 4 4 4 2" xfId="4830"/>
    <cellStyle name="Comma 2 5 4 4 4 3" xfId="4831"/>
    <cellStyle name="Comma 2 5 4 4 5" xfId="4832"/>
    <cellStyle name="Comma 2 5 4 4 6" xfId="4833"/>
    <cellStyle name="Comma 2 5 4 5" xfId="4834"/>
    <cellStyle name="Comma 2 5 4 5 2" xfId="4835"/>
    <cellStyle name="Comma 2 5 4 5 2 2" xfId="4836"/>
    <cellStyle name="Comma 2 5 4 5 2 2 2" xfId="4837"/>
    <cellStyle name="Comma 2 5 4 5 2 2 3" xfId="4838"/>
    <cellStyle name="Comma 2 5 4 5 2 3" xfId="4839"/>
    <cellStyle name="Comma 2 5 4 5 2 3 2" xfId="4840"/>
    <cellStyle name="Comma 2 5 4 5 2 3 3" xfId="4841"/>
    <cellStyle name="Comma 2 5 4 5 2 4" xfId="4842"/>
    <cellStyle name="Comma 2 5 4 5 2 5" xfId="4843"/>
    <cellStyle name="Comma 2 5 4 5 3" xfId="4844"/>
    <cellStyle name="Comma 2 5 4 5 3 2" xfId="4845"/>
    <cellStyle name="Comma 2 5 4 5 3 3" xfId="4846"/>
    <cellStyle name="Comma 2 5 4 5 4" xfId="4847"/>
    <cellStyle name="Comma 2 5 4 5 4 2" xfId="4848"/>
    <cellStyle name="Comma 2 5 4 5 4 3" xfId="4849"/>
    <cellStyle name="Comma 2 5 4 5 5" xfId="4850"/>
    <cellStyle name="Comma 2 5 4 5 6" xfId="4851"/>
    <cellStyle name="Comma 2 5 4 6" xfId="4852"/>
    <cellStyle name="Comma 2 5 4 6 2" xfId="4853"/>
    <cellStyle name="Comma 2 5 4 6 2 2" xfId="4854"/>
    <cellStyle name="Comma 2 5 4 6 2 3" xfId="4855"/>
    <cellStyle name="Comma 2 5 4 6 3" xfId="4856"/>
    <cellStyle name="Comma 2 5 4 6 3 2" xfId="4857"/>
    <cellStyle name="Comma 2 5 4 6 3 3" xfId="4858"/>
    <cellStyle name="Comma 2 5 4 6 4" xfId="4859"/>
    <cellStyle name="Comma 2 5 4 6 5" xfId="4860"/>
    <cellStyle name="Comma 2 5 4 7" xfId="4861"/>
    <cellStyle name="Comma 2 5 4 7 2" xfId="4862"/>
    <cellStyle name="Comma 2 5 4 7 3" xfId="4863"/>
    <cellStyle name="Comma 2 5 4 8" xfId="4864"/>
    <cellStyle name="Comma 2 5 4 8 2" xfId="4865"/>
    <cellStyle name="Comma 2 5 4 8 3" xfId="4866"/>
    <cellStyle name="Comma 2 5 4 9" xfId="4867"/>
    <cellStyle name="Comma 2 5 5" xfId="4868"/>
    <cellStyle name="Comma 2 5 5 2" xfId="4869"/>
    <cellStyle name="Comma 2 5 5 2 2" xfId="4870"/>
    <cellStyle name="Comma 2 5 5 2 2 2" xfId="4871"/>
    <cellStyle name="Comma 2 5 5 2 2 2 2" xfId="4872"/>
    <cellStyle name="Comma 2 5 5 2 2 2 2 2" xfId="4873"/>
    <cellStyle name="Comma 2 5 5 2 2 2 2 3" xfId="4874"/>
    <cellStyle name="Comma 2 5 5 2 2 2 3" xfId="4875"/>
    <cellStyle name="Comma 2 5 5 2 2 2 3 2" xfId="4876"/>
    <cellStyle name="Comma 2 5 5 2 2 2 3 3" xfId="4877"/>
    <cellStyle name="Comma 2 5 5 2 2 2 4" xfId="4878"/>
    <cellStyle name="Comma 2 5 5 2 2 2 5" xfId="4879"/>
    <cellStyle name="Comma 2 5 5 2 2 3" xfId="4880"/>
    <cellStyle name="Comma 2 5 5 2 2 3 2" xfId="4881"/>
    <cellStyle name="Comma 2 5 5 2 2 3 3" xfId="4882"/>
    <cellStyle name="Comma 2 5 5 2 2 4" xfId="4883"/>
    <cellStyle name="Comma 2 5 5 2 2 4 2" xfId="4884"/>
    <cellStyle name="Comma 2 5 5 2 2 4 3" xfId="4885"/>
    <cellStyle name="Comma 2 5 5 2 2 5" xfId="4886"/>
    <cellStyle name="Comma 2 5 5 2 2 6" xfId="4887"/>
    <cellStyle name="Comma 2 5 5 2 3" xfId="4888"/>
    <cellStyle name="Comma 2 5 5 2 3 2" xfId="4889"/>
    <cellStyle name="Comma 2 5 5 2 3 2 2" xfId="4890"/>
    <cellStyle name="Comma 2 5 5 2 3 2 2 2" xfId="4891"/>
    <cellStyle name="Comma 2 5 5 2 3 2 2 3" xfId="4892"/>
    <cellStyle name="Comma 2 5 5 2 3 2 3" xfId="4893"/>
    <cellStyle name="Comma 2 5 5 2 3 2 3 2" xfId="4894"/>
    <cellStyle name="Comma 2 5 5 2 3 2 3 3" xfId="4895"/>
    <cellStyle name="Comma 2 5 5 2 3 2 4" xfId="4896"/>
    <cellStyle name="Comma 2 5 5 2 3 2 5" xfId="4897"/>
    <cellStyle name="Comma 2 5 5 2 3 3" xfId="4898"/>
    <cellStyle name="Comma 2 5 5 2 3 3 2" xfId="4899"/>
    <cellStyle name="Comma 2 5 5 2 3 3 3" xfId="4900"/>
    <cellStyle name="Comma 2 5 5 2 3 4" xfId="4901"/>
    <cellStyle name="Comma 2 5 5 2 3 4 2" xfId="4902"/>
    <cellStyle name="Comma 2 5 5 2 3 4 3" xfId="4903"/>
    <cellStyle name="Comma 2 5 5 2 3 5" xfId="4904"/>
    <cellStyle name="Comma 2 5 5 2 3 6" xfId="4905"/>
    <cellStyle name="Comma 2 5 5 2 4" xfId="4906"/>
    <cellStyle name="Comma 2 5 5 2 4 2" xfId="4907"/>
    <cellStyle name="Comma 2 5 5 2 4 2 2" xfId="4908"/>
    <cellStyle name="Comma 2 5 5 2 4 2 3" xfId="4909"/>
    <cellStyle name="Comma 2 5 5 2 4 3" xfId="4910"/>
    <cellStyle name="Comma 2 5 5 2 4 3 2" xfId="4911"/>
    <cellStyle name="Comma 2 5 5 2 4 3 3" xfId="4912"/>
    <cellStyle name="Comma 2 5 5 2 4 4" xfId="4913"/>
    <cellStyle name="Comma 2 5 5 2 4 5" xfId="4914"/>
    <cellStyle name="Comma 2 5 5 2 5" xfId="4915"/>
    <cellStyle name="Comma 2 5 5 2 5 2" xfId="4916"/>
    <cellStyle name="Comma 2 5 5 2 5 3" xfId="4917"/>
    <cellStyle name="Comma 2 5 5 2 6" xfId="4918"/>
    <cellStyle name="Comma 2 5 5 2 6 2" xfId="4919"/>
    <cellStyle name="Comma 2 5 5 2 6 3" xfId="4920"/>
    <cellStyle name="Comma 2 5 5 2 7" xfId="4921"/>
    <cellStyle name="Comma 2 5 5 2 8" xfId="4922"/>
    <cellStyle name="Comma 2 5 5 3" xfId="4923"/>
    <cellStyle name="Comma 2 5 5 3 2" xfId="4924"/>
    <cellStyle name="Comma 2 5 5 3 2 2" xfId="4925"/>
    <cellStyle name="Comma 2 5 5 3 2 2 2" xfId="4926"/>
    <cellStyle name="Comma 2 5 5 3 2 2 3" xfId="4927"/>
    <cellStyle name="Comma 2 5 5 3 2 3" xfId="4928"/>
    <cellStyle name="Comma 2 5 5 3 2 3 2" xfId="4929"/>
    <cellStyle name="Comma 2 5 5 3 2 3 3" xfId="4930"/>
    <cellStyle name="Comma 2 5 5 3 2 4" xfId="4931"/>
    <cellStyle name="Comma 2 5 5 3 2 5" xfId="4932"/>
    <cellStyle name="Comma 2 5 5 3 3" xfId="4933"/>
    <cellStyle name="Comma 2 5 5 3 3 2" xfId="4934"/>
    <cellStyle name="Comma 2 5 5 3 3 3" xfId="4935"/>
    <cellStyle name="Comma 2 5 5 3 4" xfId="4936"/>
    <cellStyle name="Comma 2 5 5 3 4 2" xfId="4937"/>
    <cellStyle name="Comma 2 5 5 3 4 3" xfId="4938"/>
    <cellStyle name="Comma 2 5 5 3 5" xfId="4939"/>
    <cellStyle name="Comma 2 5 5 3 6" xfId="4940"/>
    <cellStyle name="Comma 2 5 5 4" xfId="4941"/>
    <cellStyle name="Comma 2 5 5 4 2" xfId="4942"/>
    <cellStyle name="Comma 2 5 5 4 2 2" xfId="4943"/>
    <cellStyle name="Comma 2 5 5 4 2 2 2" xfId="4944"/>
    <cellStyle name="Comma 2 5 5 4 2 2 3" xfId="4945"/>
    <cellStyle name="Comma 2 5 5 4 2 3" xfId="4946"/>
    <cellStyle name="Comma 2 5 5 4 2 3 2" xfId="4947"/>
    <cellStyle name="Comma 2 5 5 4 2 3 3" xfId="4948"/>
    <cellStyle name="Comma 2 5 5 4 2 4" xfId="4949"/>
    <cellStyle name="Comma 2 5 5 4 2 5" xfId="4950"/>
    <cellStyle name="Comma 2 5 5 4 3" xfId="4951"/>
    <cellStyle name="Comma 2 5 5 4 3 2" xfId="4952"/>
    <cellStyle name="Comma 2 5 5 4 3 3" xfId="4953"/>
    <cellStyle name="Comma 2 5 5 4 4" xfId="4954"/>
    <cellStyle name="Comma 2 5 5 4 4 2" xfId="4955"/>
    <cellStyle name="Comma 2 5 5 4 4 3" xfId="4956"/>
    <cellStyle name="Comma 2 5 5 4 5" xfId="4957"/>
    <cellStyle name="Comma 2 5 5 4 6" xfId="4958"/>
    <cellStyle name="Comma 2 5 5 5" xfId="4959"/>
    <cellStyle name="Comma 2 5 5 5 2" xfId="4960"/>
    <cellStyle name="Comma 2 5 5 5 2 2" xfId="4961"/>
    <cellStyle name="Comma 2 5 5 5 2 3" xfId="4962"/>
    <cellStyle name="Comma 2 5 5 5 3" xfId="4963"/>
    <cellStyle name="Comma 2 5 5 5 3 2" xfId="4964"/>
    <cellStyle name="Comma 2 5 5 5 3 3" xfId="4965"/>
    <cellStyle name="Comma 2 5 5 5 4" xfId="4966"/>
    <cellStyle name="Comma 2 5 5 5 5" xfId="4967"/>
    <cellStyle name="Comma 2 5 5 6" xfId="4968"/>
    <cellStyle name="Comma 2 5 5 6 2" xfId="4969"/>
    <cellStyle name="Comma 2 5 5 6 3" xfId="4970"/>
    <cellStyle name="Comma 2 5 5 7" xfId="4971"/>
    <cellStyle name="Comma 2 5 5 7 2" xfId="4972"/>
    <cellStyle name="Comma 2 5 5 7 3" xfId="4973"/>
    <cellStyle name="Comma 2 5 5 8" xfId="4974"/>
    <cellStyle name="Comma 2 5 5 9" xfId="4975"/>
    <cellStyle name="Comma 2 5 6" xfId="4976"/>
    <cellStyle name="Comma 2 5 6 2" xfId="4977"/>
    <cellStyle name="Comma 2 5 6 2 2" xfId="4978"/>
    <cellStyle name="Comma 2 5 6 2 2 2" xfId="4979"/>
    <cellStyle name="Comma 2 5 6 2 2 2 2" xfId="4980"/>
    <cellStyle name="Comma 2 5 6 2 2 2 3" xfId="4981"/>
    <cellStyle name="Comma 2 5 6 2 2 3" xfId="4982"/>
    <cellStyle name="Comma 2 5 6 2 2 3 2" xfId="4983"/>
    <cellStyle name="Comma 2 5 6 2 2 3 3" xfId="4984"/>
    <cellStyle name="Comma 2 5 6 2 2 4" xfId="4985"/>
    <cellStyle name="Comma 2 5 6 2 2 5" xfId="4986"/>
    <cellStyle name="Comma 2 5 6 2 3" xfId="4987"/>
    <cellStyle name="Comma 2 5 6 2 3 2" xfId="4988"/>
    <cellStyle name="Comma 2 5 6 2 3 3" xfId="4989"/>
    <cellStyle name="Comma 2 5 6 2 4" xfId="4990"/>
    <cellStyle name="Comma 2 5 6 2 4 2" xfId="4991"/>
    <cellStyle name="Comma 2 5 6 2 4 3" xfId="4992"/>
    <cellStyle name="Comma 2 5 6 2 5" xfId="4993"/>
    <cellStyle name="Comma 2 5 6 2 6" xfId="4994"/>
    <cellStyle name="Comma 2 5 6 3" xfId="4995"/>
    <cellStyle name="Comma 2 5 6 3 2" xfId="4996"/>
    <cellStyle name="Comma 2 5 6 3 2 2" xfId="4997"/>
    <cellStyle name="Comma 2 5 6 3 2 2 2" xfId="4998"/>
    <cellStyle name="Comma 2 5 6 3 2 2 3" xfId="4999"/>
    <cellStyle name="Comma 2 5 6 3 2 3" xfId="5000"/>
    <cellStyle name="Comma 2 5 6 3 2 3 2" xfId="5001"/>
    <cellStyle name="Comma 2 5 6 3 2 3 3" xfId="5002"/>
    <cellStyle name="Comma 2 5 6 3 2 4" xfId="5003"/>
    <cellStyle name="Comma 2 5 6 3 2 5" xfId="5004"/>
    <cellStyle name="Comma 2 5 6 3 3" xfId="5005"/>
    <cellStyle name="Comma 2 5 6 3 3 2" xfId="5006"/>
    <cellStyle name="Comma 2 5 6 3 3 3" xfId="5007"/>
    <cellStyle name="Comma 2 5 6 3 4" xfId="5008"/>
    <cellStyle name="Comma 2 5 6 3 4 2" xfId="5009"/>
    <cellStyle name="Comma 2 5 6 3 4 3" xfId="5010"/>
    <cellStyle name="Comma 2 5 6 3 5" xfId="5011"/>
    <cellStyle name="Comma 2 5 6 3 6" xfId="5012"/>
    <cellStyle name="Comma 2 5 6 4" xfId="5013"/>
    <cellStyle name="Comma 2 5 6 4 2" xfId="5014"/>
    <cellStyle name="Comma 2 5 6 4 2 2" xfId="5015"/>
    <cellStyle name="Comma 2 5 6 4 2 3" xfId="5016"/>
    <cellStyle name="Comma 2 5 6 4 3" xfId="5017"/>
    <cellStyle name="Comma 2 5 6 4 3 2" xfId="5018"/>
    <cellStyle name="Comma 2 5 6 4 3 3" xfId="5019"/>
    <cellStyle name="Comma 2 5 6 4 4" xfId="5020"/>
    <cellStyle name="Comma 2 5 6 4 5" xfId="5021"/>
    <cellStyle name="Comma 2 5 6 5" xfId="5022"/>
    <cellStyle name="Comma 2 5 6 5 2" xfId="5023"/>
    <cellStyle name="Comma 2 5 6 5 3" xfId="5024"/>
    <cellStyle name="Comma 2 5 6 6" xfId="5025"/>
    <cellStyle name="Comma 2 5 6 6 2" xfId="5026"/>
    <cellStyle name="Comma 2 5 6 6 3" xfId="5027"/>
    <cellStyle name="Comma 2 5 6 7" xfId="5028"/>
    <cellStyle name="Comma 2 5 6 8" xfId="5029"/>
    <cellStyle name="Comma 2 5 7" xfId="5030"/>
    <cellStyle name="Comma 2 5 7 2" xfId="5031"/>
    <cellStyle name="Comma 2 5 7 2 2" xfId="5032"/>
    <cellStyle name="Comma 2 5 7 2 2 2" xfId="5033"/>
    <cellStyle name="Comma 2 5 7 2 2 3" xfId="5034"/>
    <cellStyle name="Comma 2 5 7 2 3" xfId="5035"/>
    <cellStyle name="Comma 2 5 7 2 3 2" xfId="5036"/>
    <cellStyle name="Comma 2 5 7 2 3 3" xfId="5037"/>
    <cellStyle name="Comma 2 5 7 2 4" xfId="5038"/>
    <cellStyle name="Comma 2 5 7 2 5" xfId="5039"/>
    <cellStyle name="Comma 2 5 7 3" xfId="5040"/>
    <cellStyle name="Comma 2 5 7 3 2" xfId="5041"/>
    <cellStyle name="Comma 2 5 7 3 3" xfId="5042"/>
    <cellStyle name="Comma 2 5 7 4" xfId="5043"/>
    <cellStyle name="Comma 2 5 7 4 2" xfId="5044"/>
    <cellStyle name="Comma 2 5 7 4 3" xfId="5045"/>
    <cellStyle name="Comma 2 5 7 5" xfId="5046"/>
    <cellStyle name="Comma 2 5 7 6" xfId="5047"/>
    <cellStyle name="Comma 2 5 8" xfId="5048"/>
    <cellStyle name="Comma 2 5 8 2" xfId="5049"/>
    <cellStyle name="Comma 2 5 8 2 2" xfId="5050"/>
    <cellStyle name="Comma 2 5 8 2 2 2" xfId="5051"/>
    <cellStyle name="Comma 2 5 8 2 2 3" xfId="5052"/>
    <cellStyle name="Comma 2 5 8 2 3" xfId="5053"/>
    <cellStyle name="Comma 2 5 8 2 3 2" xfId="5054"/>
    <cellStyle name="Comma 2 5 8 2 3 3" xfId="5055"/>
    <cellStyle name="Comma 2 5 8 2 4" xfId="5056"/>
    <cellStyle name="Comma 2 5 8 2 5" xfId="5057"/>
    <cellStyle name="Comma 2 5 8 3" xfId="5058"/>
    <cellStyle name="Comma 2 5 8 3 2" xfId="5059"/>
    <cellStyle name="Comma 2 5 8 3 3" xfId="5060"/>
    <cellStyle name="Comma 2 5 8 4" xfId="5061"/>
    <cellStyle name="Comma 2 5 8 4 2" xfId="5062"/>
    <cellStyle name="Comma 2 5 8 4 3" xfId="5063"/>
    <cellStyle name="Comma 2 5 8 5" xfId="5064"/>
    <cellStyle name="Comma 2 5 8 6" xfId="5065"/>
    <cellStyle name="Comma 2 5 9" xfId="5066"/>
    <cellStyle name="Comma 2 5 9 2" xfId="5067"/>
    <cellStyle name="Comma 2 5 9 2 2" xfId="5068"/>
    <cellStyle name="Comma 2 5 9 2 3" xfId="5069"/>
    <cellStyle name="Comma 2 5 9 3" xfId="5070"/>
    <cellStyle name="Comma 2 5 9 3 2" xfId="5071"/>
    <cellStyle name="Comma 2 5 9 3 3" xfId="5072"/>
    <cellStyle name="Comma 2 5 9 4" xfId="5073"/>
    <cellStyle name="Comma 2 5 9 5" xfId="5074"/>
    <cellStyle name="Comma 2 6" xfId="5075"/>
    <cellStyle name="Comma 2 6 10" xfId="5076"/>
    <cellStyle name="Comma 2 6 10 2" xfId="5077"/>
    <cellStyle name="Comma 2 6 10 3" xfId="5078"/>
    <cellStyle name="Comma 2 6 11" xfId="5079"/>
    <cellStyle name="Comma 2 6 12" xfId="5080"/>
    <cellStyle name="Comma 2 6 13" xfId="5081"/>
    <cellStyle name="Comma 2 6 14" xfId="5082"/>
    <cellStyle name="Comma 2 6 2" xfId="5083"/>
    <cellStyle name="Comma 2 6 2 10" xfId="5084"/>
    <cellStyle name="Comma 2 6 2 2" xfId="5085"/>
    <cellStyle name="Comma 2 6 2 2 2" xfId="5086"/>
    <cellStyle name="Comma 2 6 2 2 2 2" xfId="5087"/>
    <cellStyle name="Comma 2 6 2 2 2 2 2" xfId="5088"/>
    <cellStyle name="Comma 2 6 2 2 2 2 2 2" xfId="5089"/>
    <cellStyle name="Comma 2 6 2 2 2 2 2 2 2" xfId="5090"/>
    <cellStyle name="Comma 2 6 2 2 2 2 2 2 3" xfId="5091"/>
    <cellStyle name="Comma 2 6 2 2 2 2 2 3" xfId="5092"/>
    <cellStyle name="Comma 2 6 2 2 2 2 2 3 2" xfId="5093"/>
    <cellStyle name="Comma 2 6 2 2 2 2 2 3 3" xfId="5094"/>
    <cellStyle name="Comma 2 6 2 2 2 2 2 4" xfId="5095"/>
    <cellStyle name="Comma 2 6 2 2 2 2 2 5" xfId="5096"/>
    <cellStyle name="Comma 2 6 2 2 2 2 3" xfId="5097"/>
    <cellStyle name="Comma 2 6 2 2 2 2 3 2" xfId="5098"/>
    <cellStyle name="Comma 2 6 2 2 2 2 3 3" xfId="5099"/>
    <cellStyle name="Comma 2 6 2 2 2 2 4" xfId="5100"/>
    <cellStyle name="Comma 2 6 2 2 2 2 4 2" xfId="5101"/>
    <cellStyle name="Comma 2 6 2 2 2 2 4 3" xfId="5102"/>
    <cellStyle name="Comma 2 6 2 2 2 2 5" xfId="5103"/>
    <cellStyle name="Comma 2 6 2 2 2 2 6" xfId="5104"/>
    <cellStyle name="Comma 2 6 2 2 2 3" xfId="5105"/>
    <cellStyle name="Comma 2 6 2 2 2 3 2" xfId="5106"/>
    <cellStyle name="Comma 2 6 2 2 2 3 2 2" xfId="5107"/>
    <cellStyle name="Comma 2 6 2 2 2 3 2 2 2" xfId="5108"/>
    <cellStyle name="Comma 2 6 2 2 2 3 2 2 3" xfId="5109"/>
    <cellStyle name="Comma 2 6 2 2 2 3 2 3" xfId="5110"/>
    <cellStyle name="Comma 2 6 2 2 2 3 2 3 2" xfId="5111"/>
    <cellStyle name="Comma 2 6 2 2 2 3 2 3 3" xfId="5112"/>
    <cellStyle name="Comma 2 6 2 2 2 3 2 4" xfId="5113"/>
    <cellStyle name="Comma 2 6 2 2 2 3 2 5" xfId="5114"/>
    <cellStyle name="Comma 2 6 2 2 2 3 3" xfId="5115"/>
    <cellStyle name="Comma 2 6 2 2 2 3 3 2" xfId="5116"/>
    <cellStyle name="Comma 2 6 2 2 2 3 3 3" xfId="5117"/>
    <cellStyle name="Comma 2 6 2 2 2 3 4" xfId="5118"/>
    <cellStyle name="Comma 2 6 2 2 2 3 4 2" xfId="5119"/>
    <cellStyle name="Comma 2 6 2 2 2 3 4 3" xfId="5120"/>
    <cellStyle name="Comma 2 6 2 2 2 3 5" xfId="5121"/>
    <cellStyle name="Comma 2 6 2 2 2 3 6" xfId="5122"/>
    <cellStyle name="Comma 2 6 2 2 2 4" xfId="5123"/>
    <cellStyle name="Comma 2 6 2 2 2 4 2" xfId="5124"/>
    <cellStyle name="Comma 2 6 2 2 2 4 2 2" xfId="5125"/>
    <cellStyle name="Comma 2 6 2 2 2 4 2 3" xfId="5126"/>
    <cellStyle name="Comma 2 6 2 2 2 4 3" xfId="5127"/>
    <cellStyle name="Comma 2 6 2 2 2 4 3 2" xfId="5128"/>
    <cellStyle name="Comma 2 6 2 2 2 4 3 3" xfId="5129"/>
    <cellStyle name="Comma 2 6 2 2 2 4 4" xfId="5130"/>
    <cellStyle name="Comma 2 6 2 2 2 4 5" xfId="5131"/>
    <cellStyle name="Comma 2 6 2 2 2 5" xfId="5132"/>
    <cellStyle name="Comma 2 6 2 2 2 5 2" xfId="5133"/>
    <cellStyle name="Comma 2 6 2 2 2 5 3" xfId="5134"/>
    <cellStyle name="Comma 2 6 2 2 2 6" xfId="5135"/>
    <cellStyle name="Comma 2 6 2 2 2 6 2" xfId="5136"/>
    <cellStyle name="Comma 2 6 2 2 2 6 3" xfId="5137"/>
    <cellStyle name="Comma 2 6 2 2 2 7" xfId="5138"/>
    <cellStyle name="Comma 2 6 2 2 2 8" xfId="5139"/>
    <cellStyle name="Comma 2 6 2 2 3" xfId="5140"/>
    <cellStyle name="Comma 2 6 2 2 3 2" xfId="5141"/>
    <cellStyle name="Comma 2 6 2 2 3 2 2" xfId="5142"/>
    <cellStyle name="Comma 2 6 2 2 3 2 2 2" xfId="5143"/>
    <cellStyle name="Comma 2 6 2 2 3 2 2 3" xfId="5144"/>
    <cellStyle name="Comma 2 6 2 2 3 2 3" xfId="5145"/>
    <cellStyle name="Comma 2 6 2 2 3 2 3 2" xfId="5146"/>
    <cellStyle name="Comma 2 6 2 2 3 2 3 3" xfId="5147"/>
    <cellStyle name="Comma 2 6 2 2 3 2 4" xfId="5148"/>
    <cellStyle name="Comma 2 6 2 2 3 2 5" xfId="5149"/>
    <cellStyle name="Comma 2 6 2 2 3 3" xfId="5150"/>
    <cellStyle name="Comma 2 6 2 2 3 3 2" xfId="5151"/>
    <cellStyle name="Comma 2 6 2 2 3 3 3" xfId="5152"/>
    <cellStyle name="Comma 2 6 2 2 3 4" xfId="5153"/>
    <cellStyle name="Comma 2 6 2 2 3 4 2" xfId="5154"/>
    <cellStyle name="Comma 2 6 2 2 3 4 3" xfId="5155"/>
    <cellStyle name="Comma 2 6 2 2 3 5" xfId="5156"/>
    <cellStyle name="Comma 2 6 2 2 3 6" xfId="5157"/>
    <cellStyle name="Comma 2 6 2 2 4" xfId="5158"/>
    <cellStyle name="Comma 2 6 2 2 4 2" xfId="5159"/>
    <cellStyle name="Comma 2 6 2 2 4 2 2" xfId="5160"/>
    <cellStyle name="Comma 2 6 2 2 4 2 2 2" xfId="5161"/>
    <cellStyle name="Comma 2 6 2 2 4 2 2 3" xfId="5162"/>
    <cellStyle name="Comma 2 6 2 2 4 2 3" xfId="5163"/>
    <cellStyle name="Comma 2 6 2 2 4 2 3 2" xfId="5164"/>
    <cellStyle name="Comma 2 6 2 2 4 2 3 3" xfId="5165"/>
    <cellStyle name="Comma 2 6 2 2 4 2 4" xfId="5166"/>
    <cellStyle name="Comma 2 6 2 2 4 2 5" xfId="5167"/>
    <cellStyle name="Comma 2 6 2 2 4 3" xfId="5168"/>
    <cellStyle name="Comma 2 6 2 2 4 3 2" xfId="5169"/>
    <cellStyle name="Comma 2 6 2 2 4 3 3" xfId="5170"/>
    <cellStyle name="Comma 2 6 2 2 4 4" xfId="5171"/>
    <cellStyle name="Comma 2 6 2 2 4 4 2" xfId="5172"/>
    <cellStyle name="Comma 2 6 2 2 4 4 3" xfId="5173"/>
    <cellStyle name="Comma 2 6 2 2 4 5" xfId="5174"/>
    <cellStyle name="Comma 2 6 2 2 4 6" xfId="5175"/>
    <cellStyle name="Comma 2 6 2 2 5" xfId="5176"/>
    <cellStyle name="Comma 2 6 2 2 5 2" xfId="5177"/>
    <cellStyle name="Comma 2 6 2 2 5 2 2" xfId="5178"/>
    <cellStyle name="Comma 2 6 2 2 5 2 3" xfId="5179"/>
    <cellStyle name="Comma 2 6 2 2 5 3" xfId="5180"/>
    <cellStyle name="Comma 2 6 2 2 5 3 2" xfId="5181"/>
    <cellStyle name="Comma 2 6 2 2 5 3 3" xfId="5182"/>
    <cellStyle name="Comma 2 6 2 2 5 4" xfId="5183"/>
    <cellStyle name="Comma 2 6 2 2 5 5" xfId="5184"/>
    <cellStyle name="Comma 2 6 2 2 6" xfId="5185"/>
    <cellStyle name="Comma 2 6 2 2 6 2" xfId="5186"/>
    <cellStyle name="Comma 2 6 2 2 6 3" xfId="5187"/>
    <cellStyle name="Comma 2 6 2 2 7" xfId="5188"/>
    <cellStyle name="Comma 2 6 2 2 7 2" xfId="5189"/>
    <cellStyle name="Comma 2 6 2 2 7 3" xfId="5190"/>
    <cellStyle name="Comma 2 6 2 2 8" xfId="5191"/>
    <cellStyle name="Comma 2 6 2 2 9" xfId="5192"/>
    <cellStyle name="Comma 2 6 2 3" xfId="5193"/>
    <cellStyle name="Comma 2 6 2 3 2" xfId="5194"/>
    <cellStyle name="Comma 2 6 2 3 2 2" xfId="5195"/>
    <cellStyle name="Comma 2 6 2 3 2 2 2" xfId="5196"/>
    <cellStyle name="Comma 2 6 2 3 2 2 2 2" xfId="5197"/>
    <cellStyle name="Comma 2 6 2 3 2 2 2 3" xfId="5198"/>
    <cellStyle name="Comma 2 6 2 3 2 2 3" xfId="5199"/>
    <cellStyle name="Comma 2 6 2 3 2 2 3 2" xfId="5200"/>
    <cellStyle name="Comma 2 6 2 3 2 2 3 3" xfId="5201"/>
    <cellStyle name="Comma 2 6 2 3 2 2 4" xfId="5202"/>
    <cellStyle name="Comma 2 6 2 3 2 2 5" xfId="5203"/>
    <cellStyle name="Comma 2 6 2 3 2 3" xfId="5204"/>
    <cellStyle name="Comma 2 6 2 3 2 3 2" xfId="5205"/>
    <cellStyle name="Comma 2 6 2 3 2 3 3" xfId="5206"/>
    <cellStyle name="Comma 2 6 2 3 2 4" xfId="5207"/>
    <cellStyle name="Comma 2 6 2 3 2 4 2" xfId="5208"/>
    <cellStyle name="Comma 2 6 2 3 2 4 3" xfId="5209"/>
    <cellStyle name="Comma 2 6 2 3 2 5" xfId="5210"/>
    <cellStyle name="Comma 2 6 2 3 2 6" xfId="5211"/>
    <cellStyle name="Comma 2 6 2 3 3" xfId="5212"/>
    <cellStyle name="Comma 2 6 2 3 3 2" xfId="5213"/>
    <cellStyle name="Comma 2 6 2 3 3 2 2" xfId="5214"/>
    <cellStyle name="Comma 2 6 2 3 3 2 2 2" xfId="5215"/>
    <cellStyle name="Comma 2 6 2 3 3 2 2 3" xfId="5216"/>
    <cellStyle name="Comma 2 6 2 3 3 2 3" xfId="5217"/>
    <cellStyle name="Comma 2 6 2 3 3 2 3 2" xfId="5218"/>
    <cellStyle name="Comma 2 6 2 3 3 2 3 3" xfId="5219"/>
    <cellStyle name="Comma 2 6 2 3 3 2 4" xfId="5220"/>
    <cellStyle name="Comma 2 6 2 3 3 2 5" xfId="5221"/>
    <cellStyle name="Comma 2 6 2 3 3 3" xfId="5222"/>
    <cellStyle name="Comma 2 6 2 3 3 3 2" xfId="5223"/>
    <cellStyle name="Comma 2 6 2 3 3 3 3" xfId="5224"/>
    <cellStyle name="Comma 2 6 2 3 3 4" xfId="5225"/>
    <cellStyle name="Comma 2 6 2 3 3 4 2" xfId="5226"/>
    <cellStyle name="Comma 2 6 2 3 3 4 3" xfId="5227"/>
    <cellStyle name="Comma 2 6 2 3 3 5" xfId="5228"/>
    <cellStyle name="Comma 2 6 2 3 3 6" xfId="5229"/>
    <cellStyle name="Comma 2 6 2 3 4" xfId="5230"/>
    <cellStyle name="Comma 2 6 2 3 4 2" xfId="5231"/>
    <cellStyle name="Comma 2 6 2 3 4 2 2" xfId="5232"/>
    <cellStyle name="Comma 2 6 2 3 4 2 3" xfId="5233"/>
    <cellStyle name="Comma 2 6 2 3 4 3" xfId="5234"/>
    <cellStyle name="Comma 2 6 2 3 4 3 2" xfId="5235"/>
    <cellStyle name="Comma 2 6 2 3 4 3 3" xfId="5236"/>
    <cellStyle name="Comma 2 6 2 3 4 4" xfId="5237"/>
    <cellStyle name="Comma 2 6 2 3 4 5" xfId="5238"/>
    <cellStyle name="Comma 2 6 2 3 5" xfId="5239"/>
    <cellStyle name="Comma 2 6 2 3 5 2" xfId="5240"/>
    <cellStyle name="Comma 2 6 2 3 5 3" xfId="5241"/>
    <cellStyle name="Comma 2 6 2 3 6" xfId="5242"/>
    <cellStyle name="Comma 2 6 2 3 6 2" xfId="5243"/>
    <cellStyle name="Comma 2 6 2 3 6 3" xfId="5244"/>
    <cellStyle name="Comma 2 6 2 3 7" xfId="5245"/>
    <cellStyle name="Comma 2 6 2 3 8" xfId="5246"/>
    <cellStyle name="Comma 2 6 2 4" xfId="5247"/>
    <cellStyle name="Comma 2 6 2 4 2" xfId="5248"/>
    <cellStyle name="Comma 2 6 2 4 2 2" xfId="5249"/>
    <cellStyle name="Comma 2 6 2 4 2 2 2" xfId="5250"/>
    <cellStyle name="Comma 2 6 2 4 2 2 3" xfId="5251"/>
    <cellStyle name="Comma 2 6 2 4 2 3" xfId="5252"/>
    <cellStyle name="Comma 2 6 2 4 2 3 2" xfId="5253"/>
    <cellStyle name="Comma 2 6 2 4 2 3 3" xfId="5254"/>
    <cellStyle name="Comma 2 6 2 4 2 4" xfId="5255"/>
    <cellStyle name="Comma 2 6 2 4 2 5" xfId="5256"/>
    <cellStyle name="Comma 2 6 2 4 3" xfId="5257"/>
    <cellStyle name="Comma 2 6 2 4 3 2" xfId="5258"/>
    <cellStyle name="Comma 2 6 2 4 3 3" xfId="5259"/>
    <cellStyle name="Comma 2 6 2 4 4" xfId="5260"/>
    <cellStyle name="Comma 2 6 2 4 4 2" xfId="5261"/>
    <cellStyle name="Comma 2 6 2 4 4 3" xfId="5262"/>
    <cellStyle name="Comma 2 6 2 4 5" xfId="5263"/>
    <cellStyle name="Comma 2 6 2 4 6" xfId="5264"/>
    <cellStyle name="Comma 2 6 2 5" xfId="5265"/>
    <cellStyle name="Comma 2 6 2 5 2" xfId="5266"/>
    <cellStyle name="Comma 2 6 2 5 2 2" xfId="5267"/>
    <cellStyle name="Comma 2 6 2 5 2 2 2" xfId="5268"/>
    <cellStyle name="Comma 2 6 2 5 2 2 3" xfId="5269"/>
    <cellStyle name="Comma 2 6 2 5 2 3" xfId="5270"/>
    <cellStyle name="Comma 2 6 2 5 2 3 2" xfId="5271"/>
    <cellStyle name="Comma 2 6 2 5 2 3 3" xfId="5272"/>
    <cellStyle name="Comma 2 6 2 5 2 4" xfId="5273"/>
    <cellStyle name="Comma 2 6 2 5 2 5" xfId="5274"/>
    <cellStyle name="Comma 2 6 2 5 3" xfId="5275"/>
    <cellStyle name="Comma 2 6 2 5 3 2" xfId="5276"/>
    <cellStyle name="Comma 2 6 2 5 3 3" xfId="5277"/>
    <cellStyle name="Comma 2 6 2 5 4" xfId="5278"/>
    <cellStyle name="Comma 2 6 2 5 4 2" xfId="5279"/>
    <cellStyle name="Comma 2 6 2 5 4 3" xfId="5280"/>
    <cellStyle name="Comma 2 6 2 5 5" xfId="5281"/>
    <cellStyle name="Comma 2 6 2 5 6" xfId="5282"/>
    <cellStyle name="Comma 2 6 2 6" xfId="5283"/>
    <cellStyle name="Comma 2 6 2 6 2" xfId="5284"/>
    <cellStyle name="Comma 2 6 2 6 2 2" xfId="5285"/>
    <cellStyle name="Comma 2 6 2 6 2 3" xfId="5286"/>
    <cellStyle name="Comma 2 6 2 6 3" xfId="5287"/>
    <cellStyle name="Comma 2 6 2 6 3 2" xfId="5288"/>
    <cellStyle name="Comma 2 6 2 6 3 3" xfId="5289"/>
    <cellStyle name="Comma 2 6 2 6 4" xfId="5290"/>
    <cellStyle name="Comma 2 6 2 6 5" xfId="5291"/>
    <cellStyle name="Comma 2 6 2 7" xfId="5292"/>
    <cellStyle name="Comma 2 6 2 7 2" xfId="5293"/>
    <cellStyle name="Comma 2 6 2 7 3" xfId="5294"/>
    <cellStyle name="Comma 2 6 2 8" xfId="5295"/>
    <cellStyle name="Comma 2 6 2 8 2" xfId="5296"/>
    <cellStyle name="Comma 2 6 2 8 3" xfId="5297"/>
    <cellStyle name="Comma 2 6 2 9" xfId="5298"/>
    <cellStyle name="Comma 2 6 3" xfId="5299"/>
    <cellStyle name="Comma 2 6 3 10" xfId="5300"/>
    <cellStyle name="Comma 2 6 3 2" xfId="5301"/>
    <cellStyle name="Comma 2 6 3 2 2" xfId="5302"/>
    <cellStyle name="Comma 2 6 3 2 2 2" xfId="5303"/>
    <cellStyle name="Comma 2 6 3 2 2 2 2" xfId="5304"/>
    <cellStyle name="Comma 2 6 3 2 2 2 2 2" xfId="5305"/>
    <cellStyle name="Comma 2 6 3 2 2 2 2 2 2" xfId="5306"/>
    <cellStyle name="Comma 2 6 3 2 2 2 2 2 3" xfId="5307"/>
    <cellStyle name="Comma 2 6 3 2 2 2 2 3" xfId="5308"/>
    <cellStyle name="Comma 2 6 3 2 2 2 2 3 2" xfId="5309"/>
    <cellStyle name="Comma 2 6 3 2 2 2 2 3 3" xfId="5310"/>
    <cellStyle name="Comma 2 6 3 2 2 2 2 4" xfId="5311"/>
    <cellStyle name="Comma 2 6 3 2 2 2 2 5" xfId="5312"/>
    <cellStyle name="Comma 2 6 3 2 2 2 3" xfId="5313"/>
    <cellStyle name="Comma 2 6 3 2 2 2 3 2" xfId="5314"/>
    <cellStyle name="Comma 2 6 3 2 2 2 3 3" xfId="5315"/>
    <cellStyle name="Comma 2 6 3 2 2 2 4" xfId="5316"/>
    <cellStyle name="Comma 2 6 3 2 2 2 4 2" xfId="5317"/>
    <cellStyle name="Comma 2 6 3 2 2 2 4 3" xfId="5318"/>
    <cellStyle name="Comma 2 6 3 2 2 2 5" xfId="5319"/>
    <cellStyle name="Comma 2 6 3 2 2 2 6" xfId="5320"/>
    <cellStyle name="Comma 2 6 3 2 2 3" xfId="5321"/>
    <cellStyle name="Comma 2 6 3 2 2 3 2" xfId="5322"/>
    <cellStyle name="Comma 2 6 3 2 2 3 2 2" xfId="5323"/>
    <cellStyle name="Comma 2 6 3 2 2 3 2 2 2" xfId="5324"/>
    <cellStyle name="Comma 2 6 3 2 2 3 2 2 3" xfId="5325"/>
    <cellStyle name="Comma 2 6 3 2 2 3 2 3" xfId="5326"/>
    <cellStyle name="Comma 2 6 3 2 2 3 2 3 2" xfId="5327"/>
    <cellStyle name="Comma 2 6 3 2 2 3 2 3 3" xfId="5328"/>
    <cellStyle name="Comma 2 6 3 2 2 3 2 4" xfId="5329"/>
    <cellStyle name="Comma 2 6 3 2 2 3 2 5" xfId="5330"/>
    <cellStyle name="Comma 2 6 3 2 2 3 3" xfId="5331"/>
    <cellStyle name="Comma 2 6 3 2 2 3 3 2" xfId="5332"/>
    <cellStyle name="Comma 2 6 3 2 2 3 3 3" xfId="5333"/>
    <cellStyle name="Comma 2 6 3 2 2 3 4" xfId="5334"/>
    <cellStyle name="Comma 2 6 3 2 2 3 4 2" xfId="5335"/>
    <cellStyle name="Comma 2 6 3 2 2 3 4 3" xfId="5336"/>
    <cellStyle name="Comma 2 6 3 2 2 3 5" xfId="5337"/>
    <cellStyle name="Comma 2 6 3 2 2 3 6" xfId="5338"/>
    <cellStyle name="Comma 2 6 3 2 2 4" xfId="5339"/>
    <cellStyle name="Comma 2 6 3 2 2 4 2" xfId="5340"/>
    <cellStyle name="Comma 2 6 3 2 2 4 2 2" xfId="5341"/>
    <cellStyle name="Comma 2 6 3 2 2 4 2 3" xfId="5342"/>
    <cellStyle name="Comma 2 6 3 2 2 4 3" xfId="5343"/>
    <cellStyle name="Comma 2 6 3 2 2 4 3 2" xfId="5344"/>
    <cellStyle name="Comma 2 6 3 2 2 4 3 3" xfId="5345"/>
    <cellStyle name="Comma 2 6 3 2 2 4 4" xfId="5346"/>
    <cellStyle name="Comma 2 6 3 2 2 4 5" xfId="5347"/>
    <cellStyle name="Comma 2 6 3 2 2 5" xfId="5348"/>
    <cellStyle name="Comma 2 6 3 2 2 5 2" xfId="5349"/>
    <cellStyle name="Comma 2 6 3 2 2 5 3" xfId="5350"/>
    <cellStyle name="Comma 2 6 3 2 2 6" xfId="5351"/>
    <cellStyle name="Comma 2 6 3 2 2 6 2" xfId="5352"/>
    <cellStyle name="Comma 2 6 3 2 2 6 3" xfId="5353"/>
    <cellStyle name="Comma 2 6 3 2 2 7" xfId="5354"/>
    <cellStyle name="Comma 2 6 3 2 2 8" xfId="5355"/>
    <cellStyle name="Comma 2 6 3 2 3" xfId="5356"/>
    <cellStyle name="Comma 2 6 3 2 3 2" xfId="5357"/>
    <cellStyle name="Comma 2 6 3 2 3 2 2" xfId="5358"/>
    <cellStyle name="Comma 2 6 3 2 3 2 2 2" xfId="5359"/>
    <cellStyle name="Comma 2 6 3 2 3 2 2 3" xfId="5360"/>
    <cellStyle name="Comma 2 6 3 2 3 2 3" xfId="5361"/>
    <cellStyle name="Comma 2 6 3 2 3 2 3 2" xfId="5362"/>
    <cellStyle name="Comma 2 6 3 2 3 2 3 3" xfId="5363"/>
    <cellStyle name="Comma 2 6 3 2 3 2 4" xfId="5364"/>
    <cellStyle name="Comma 2 6 3 2 3 2 5" xfId="5365"/>
    <cellStyle name="Comma 2 6 3 2 3 3" xfId="5366"/>
    <cellStyle name="Comma 2 6 3 2 3 3 2" xfId="5367"/>
    <cellStyle name="Comma 2 6 3 2 3 3 3" xfId="5368"/>
    <cellStyle name="Comma 2 6 3 2 3 4" xfId="5369"/>
    <cellStyle name="Comma 2 6 3 2 3 4 2" xfId="5370"/>
    <cellStyle name="Comma 2 6 3 2 3 4 3" xfId="5371"/>
    <cellStyle name="Comma 2 6 3 2 3 5" xfId="5372"/>
    <cellStyle name="Comma 2 6 3 2 3 6" xfId="5373"/>
    <cellStyle name="Comma 2 6 3 2 4" xfId="5374"/>
    <cellStyle name="Comma 2 6 3 2 4 2" xfId="5375"/>
    <cellStyle name="Comma 2 6 3 2 4 2 2" xfId="5376"/>
    <cellStyle name="Comma 2 6 3 2 4 2 2 2" xfId="5377"/>
    <cellStyle name="Comma 2 6 3 2 4 2 2 3" xfId="5378"/>
    <cellStyle name="Comma 2 6 3 2 4 2 3" xfId="5379"/>
    <cellStyle name="Comma 2 6 3 2 4 2 3 2" xfId="5380"/>
    <cellStyle name="Comma 2 6 3 2 4 2 3 3" xfId="5381"/>
    <cellStyle name="Comma 2 6 3 2 4 2 4" xfId="5382"/>
    <cellStyle name="Comma 2 6 3 2 4 2 5" xfId="5383"/>
    <cellStyle name="Comma 2 6 3 2 4 3" xfId="5384"/>
    <cellStyle name="Comma 2 6 3 2 4 3 2" xfId="5385"/>
    <cellStyle name="Comma 2 6 3 2 4 3 3" xfId="5386"/>
    <cellStyle name="Comma 2 6 3 2 4 4" xfId="5387"/>
    <cellStyle name="Comma 2 6 3 2 4 4 2" xfId="5388"/>
    <cellStyle name="Comma 2 6 3 2 4 4 3" xfId="5389"/>
    <cellStyle name="Comma 2 6 3 2 4 5" xfId="5390"/>
    <cellStyle name="Comma 2 6 3 2 4 6" xfId="5391"/>
    <cellStyle name="Comma 2 6 3 2 5" xfId="5392"/>
    <cellStyle name="Comma 2 6 3 2 5 2" xfId="5393"/>
    <cellStyle name="Comma 2 6 3 2 5 2 2" xfId="5394"/>
    <cellStyle name="Comma 2 6 3 2 5 2 3" xfId="5395"/>
    <cellStyle name="Comma 2 6 3 2 5 3" xfId="5396"/>
    <cellStyle name="Comma 2 6 3 2 5 3 2" xfId="5397"/>
    <cellStyle name="Comma 2 6 3 2 5 3 3" xfId="5398"/>
    <cellStyle name="Comma 2 6 3 2 5 4" xfId="5399"/>
    <cellStyle name="Comma 2 6 3 2 5 5" xfId="5400"/>
    <cellStyle name="Comma 2 6 3 2 6" xfId="5401"/>
    <cellStyle name="Comma 2 6 3 2 6 2" xfId="5402"/>
    <cellStyle name="Comma 2 6 3 2 6 3" xfId="5403"/>
    <cellStyle name="Comma 2 6 3 2 7" xfId="5404"/>
    <cellStyle name="Comma 2 6 3 2 7 2" xfId="5405"/>
    <cellStyle name="Comma 2 6 3 2 7 3" xfId="5406"/>
    <cellStyle name="Comma 2 6 3 2 8" xfId="5407"/>
    <cellStyle name="Comma 2 6 3 2 9" xfId="5408"/>
    <cellStyle name="Comma 2 6 3 3" xfId="5409"/>
    <cellStyle name="Comma 2 6 3 3 2" xfId="5410"/>
    <cellStyle name="Comma 2 6 3 3 2 2" xfId="5411"/>
    <cellStyle name="Comma 2 6 3 3 2 2 2" xfId="5412"/>
    <cellStyle name="Comma 2 6 3 3 2 2 2 2" xfId="5413"/>
    <cellStyle name="Comma 2 6 3 3 2 2 2 3" xfId="5414"/>
    <cellStyle name="Comma 2 6 3 3 2 2 3" xfId="5415"/>
    <cellStyle name="Comma 2 6 3 3 2 2 3 2" xfId="5416"/>
    <cellStyle name="Comma 2 6 3 3 2 2 3 3" xfId="5417"/>
    <cellStyle name="Comma 2 6 3 3 2 2 4" xfId="5418"/>
    <cellStyle name="Comma 2 6 3 3 2 2 5" xfId="5419"/>
    <cellStyle name="Comma 2 6 3 3 2 3" xfId="5420"/>
    <cellStyle name="Comma 2 6 3 3 2 3 2" xfId="5421"/>
    <cellStyle name="Comma 2 6 3 3 2 3 3" xfId="5422"/>
    <cellStyle name="Comma 2 6 3 3 2 4" xfId="5423"/>
    <cellStyle name="Comma 2 6 3 3 2 4 2" xfId="5424"/>
    <cellStyle name="Comma 2 6 3 3 2 4 3" xfId="5425"/>
    <cellStyle name="Comma 2 6 3 3 2 5" xfId="5426"/>
    <cellStyle name="Comma 2 6 3 3 2 6" xfId="5427"/>
    <cellStyle name="Comma 2 6 3 3 3" xfId="5428"/>
    <cellStyle name="Comma 2 6 3 3 3 2" xfId="5429"/>
    <cellStyle name="Comma 2 6 3 3 3 2 2" xfId="5430"/>
    <cellStyle name="Comma 2 6 3 3 3 2 2 2" xfId="5431"/>
    <cellStyle name="Comma 2 6 3 3 3 2 2 3" xfId="5432"/>
    <cellStyle name="Comma 2 6 3 3 3 2 3" xfId="5433"/>
    <cellStyle name="Comma 2 6 3 3 3 2 3 2" xfId="5434"/>
    <cellStyle name="Comma 2 6 3 3 3 2 3 3" xfId="5435"/>
    <cellStyle name="Comma 2 6 3 3 3 2 4" xfId="5436"/>
    <cellStyle name="Comma 2 6 3 3 3 2 5" xfId="5437"/>
    <cellStyle name="Comma 2 6 3 3 3 3" xfId="5438"/>
    <cellStyle name="Comma 2 6 3 3 3 3 2" xfId="5439"/>
    <cellStyle name="Comma 2 6 3 3 3 3 3" xfId="5440"/>
    <cellStyle name="Comma 2 6 3 3 3 4" xfId="5441"/>
    <cellStyle name="Comma 2 6 3 3 3 4 2" xfId="5442"/>
    <cellStyle name="Comma 2 6 3 3 3 4 3" xfId="5443"/>
    <cellStyle name="Comma 2 6 3 3 3 5" xfId="5444"/>
    <cellStyle name="Comma 2 6 3 3 3 6" xfId="5445"/>
    <cellStyle name="Comma 2 6 3 3 4" xfId="5446"/>
    <cellStyle name="Comma 2 6 3 3 4 2" xfId="5447"/>
    <cellStyle name="Comma 2 6 3 3 4 2 2" xfId="5448"/>
    <cellStyle name="Comma 2 6 3 3 4 2 3" xfId="5449"/>
    <cellStyle name="Comma 2 6 3 3 4 3" xfId="5450"/>
    <cellStyle name="Comma 2 6 3 3 4 3 2" xfId="5451"/>
    <cellStyle name="Comma 2 6 3 3 4 3 3" xfId="5452"/>
    <cellStyle name="Comma 2 6 3 3 4 4" xfId="5453"/>
    <cellStyle name="Comma 2 6 3 3 4 5" xfId="5454"/>
    <cellStyle name="Comma 2 6 3 3 5" xfId="5455"/>
    <cellStyle name="Comma 2 6 3 3 5 2" xfId="5456"/>
    <cellStyle name="Comma 2 6 3 3 5 3" xfId="5457"/>
    <cellStyle name="Comma 2 6 3 3 6" xfId="5458"/>
    <cellStyle name="Comma 2 6 3 3 6 2" xfId="5459"/>
    <cellStyle name="Comma 2 6 3 3 6 3" xfId="5460"/>
    <cellStyle name="Comma 2 6 3 3 7" xfId="5461"/>
    <cellStyle name="Comma 2 6 3 3 8" xfId="5462"/>
    <cellStyle name="Comma 2 6 3 4" xfId="5463"/>
    <cellStyle name="Comma 2 6 3 4 2" xfId="5464"/>
    <cellStyle name="Comma 2 6 3 4 2 2" xfId="5465"/>
    <cellStyle name="Comma 2 6 3 4 2 2 2" xfId="5466"/>
    <cellStyle name="Comma 2 6 3 4 2 2 3" xfId="5467"/>
    <cellStyle name="Comma 2 6 3 4 2 3" xfId="5468"/>
    <cellStyle name="Comma 2 6 3 4 2 3 2" xfId="5469"/>
    <cellStyle name="Comma 2 6 3 4 2 3 3" xfId="5470"/>
    <cellStyle name="Comma 2 6 3 4 2 4" xfId="5471"/>
    <cellStyle name="Comma 2 6 3 4 2 5" xfId="5472"/>
    <cellStyle name="Comma 2 6 3 4 3" xfId="5473"/>
    <cellStyle name="Comma 2 6 3 4 3 2" xfId="5474"/>
    <cellStyle name="Comma 2 6 3 4 3 3" xfId="5475"/>
    <cellStyle name="Comma 2 6 3 4 4" xfId="5476"/>
    <cellStyle name="Comma 2 6 3 4 4 2" xfId="5477"/>
    <cellStyle name="Comma 2 6 3 4 4 3" xfId="5478"/>
    <cellStyle name="Comma 2 6 3 4 5" xfId="5479"/>
    <cellStyle name="Comma 2 6 3 4 6" xfId="5480"/>
    <cellStyle name="Comma 2 6 3 5" xfId="5481"/>
    <cellStyle name="Comma 2 6 3 5 2" xfId="5482"/>
    <cellStyle name="Comma 2 6 3 5 2 2" xfId="5483"/>
    <cellStyle name="Comma 2 6 3 5 2 2 2" xfId="5484"/>
    <cellStyle name="Comma 2 6 3 5 2 2 3" xfId="5485"/>
    <cellStyle name="Comma 2 6 3 5 2 3" xfId="5486"/>
    <cellStyle name="Comma 2 6 3 5 2 3 2" xfId="5487"/>
    <cellStyle name="Comma 2 6 3 5 2 3 3" xfId="5488"/>
    <cellStyle name="Comma 2 6 3 5 2 4" xfId="5489"/>
    <cellStyle name="Comma 2 6 3 5 2 5" xfId="5490"/>
    <cellStyle name="Comma 2 6 3 5 3" xfId="5491"/>
    <cellStyle name="Comma 2 6 3 5 3 2" xfId="5492"/>
    <cellStyle name="Comma 2 6 3 5 3 3" xfId="5493"/>
    <cellStyle name="Comma 2 6 3 5 4" xfId="5494"/>
    <cellStyle name="Comma 2 6 3 5 4 2" xfId="5495"/>
    <cellStyle name="Comma 2 6 3 5 4 3" xfId="5496"/>
    <cellStyle name="Comma 2 6 3 5 5" xfId="5497"/>
    <cellStyle name="Comma 2 6 3 5 6" xfId="5498"/>
    <cellStyle name="Comma 2 6 3 6" xfId="5499"/>
    <cellStyle name="Comma 2 6 3 6 2" xfId="5500"/>
    <cellStyle name="Comma 2 6 3 6 2 2" xfId="5501"/>
    <cellStyle name="Comma 2 6 3 6 2 3" xfId="5502"/>
    <cellStyle name="Comma 2 6 3 6 3" xfId="5503"/>
    <cellStyle name="Comma 2 6 3 6 3 2" xfId="5504"/>
    <cellStyle name="Comma 2 6 3 6 3 3" xfId="5505"/>
    <cellStyle name="Comma 2 6 3 6 4" xfId="5506"/>
    <cellStyle name="Comma 2 6 3 6 5" xfId="5507"/>
    <cellStyle name="Comma 2 6 3 7" xfId="5508"/>
    <cellStyle name="Comma 2 6 3 7 2" xfId="5509"/>
    <cellStyle name="Comma 2 6 3 7 3" xfId="5510"/>
    <cellStyle name="Comma 2 6 3 8" xfId="5511"/>
    <cellStyle name="Comma 2 6 3 8 2" xfId="5512"/>
    <cellStyle name="Comma 2 6 3 8 3" xfId="5513"/>
    <cellStyle name="Comma 2 6 3 9" xfId="5514"/>
    <cellStyle name="Comma 2 6 4" xfId="5515"/>
    <cellStyle name="Comma 2 6 4 2" xfId="5516"/>
    <cellStyle name="Comma 2 6 4 2 2" xfId="5517"/>
    <cellStyle name="Comma 2 6 4 2 2 2" xfId="5518"/>
    <cellStyle name="Comma 2 6 4 2 2 2 2" xfId="5519"/>
    <cellStyle name="Comma 2 6 4 2 2 2 2 2" xfId="5520"/>
    <cellStyle name="Comma 2 6 4 2 2 2 2 3" xfId="5521"/>
    <cellStyle name="Comma 2 6 4 2 2 2 3" xfId="5522"/>
    <cellStyle name="Comma 2 6 4 2 2 2 3 2" xfId="5523"/>
    <cellStyle name="Comma 2 6 4 2 2 2 3 3" xfId="5524"/>
    <cellStyle name="Comma 2 6 4 2 2 2 4" xfId="5525"/>
    <cellStyle name="Comma 2 6 4 2 2 2 5" xfId="5526"/>
    <cellStyle name="Comma 2 6 4 2 2 3" xfId="5527"/>
    <cellStyle name="Comma 2 6 4 2 2 3 2" xfId="5528"/>
    <cellStyle name="Comma 2 6 4 2 2 3 3" xfId="5529"/>
    <cellStyle name="Comma 2 6 4 2 2 4" xfId="5530"/>
    <cellStyle name="Comma 2 6 4 2 2 4 2" xfId="5531"/>
    <cellStyle name="Comma 2 6 4 2 2 4 3" xfId="5532"/>
    <cellStyle name="Comma 2 6 4 2 2 5" xfId="5533"/>
    <cellStyle name="Comma 2 6 4 2 2 6" xfId="5534"/>
    <cellStyle name="Comma 2 6 4 2 3" xfId="5535"/>
    <cellStyle name="Comma 2 6 4 2 3 2" xfId="5536"/>
    <cellStyle name="Comma 2 6 4 2 3 2 2" xfId="5537"/>
    <cellStyle name="Comma 2 6 4 2 3 2 2 2" xfId="5538"/>
    <cellStyle name="Comma 2 6 4 2 3 2 2 3" xfId="5539"/>
    <cellStyle name="Comma 2 6 4 2 3 2 3" xfId="5540"/>
    <cellStyle name="Comma 2 6 4 2 3 2 3 2" xfId="5541"/>
    <cellStyle name="Comma 2 6 4 2 3 2 3 3" xfId="5542"/>
    <cellStyle name="Comma 2 6 4 2 3 2 4" xfId="5543"/>
    <cellStyle name="Comma 2 6 4 2 3 2 5" xfId="5544"/>
    <cellStyle name="Comma 2 6 4 2 3 3" xfId="5545"/>
    <cellStyle name="Comma 2 6 4 2 3 3 2" xfId="5546"/>
    <cellStyle name="Comma 2 6 4 2 3 3 3" xfId="5547"/>
    <cellStyle name="Comma 2 6 4 2 3 4" xfId="5548"/>
    <cellStyle name="Comma 2 6 4 2 3 4 2" xfId="5549"/>
    <cellStyle name="Comma 2 6 4 2 3 4 3" xfId="5550"/>
    <cellStyle name="Comma 2 6 4 2 3 5" xfId="5551"/>
    <cellStyle name="Comma 2 6 4 2 3 6" xfId="5552"/>
    <cellStyle name="Comma 2 6 4 2 4" xfId="5553"/>
    <cellStyle name="Comma 2 6 4 2 4 2" xfId="5554"/>
    <cellStyle name="Comma 2 6 4 2 4 2 2" xfId="5555"/>
    <cellStyle name="Comma 2 6 4 2 4 2 3" xfId="5556"/>
    <cellStyle name="Comma 2 6 4 2 4 3" xfId="5557"/>
    <cellStyle name="Comma 2 6 4 2 4 3 2" xfId="5558"/>
    <cellStyle name="Comma 2 6 4 2 4 3 3" xfId="5559"/>
    <cellStyle name="Comma 2 6 4 2 4 4" xfId="5560"/>
    <cellStyle name="Comma 2 6 4 2 4 5" xfId="5561"/>
    <cellStyle name="Comma 2 6 4 2 5" xfId="5562"/>
    <cellStyle name="Comma 2 6 4 2 5 2" xfId="5563"/>
    <cellStyle name="Comma 2 6 4 2 5 3" xfId="5564"/>
    <cellStyle name="Comma 2 6 4 2 6" xfId="5565"/>
    <cellStyle name="Comma 2 6 4 2 6 2" xfId="5566"/>
    <cellStyle name="Comma 2 6 4 2 6 3" xfId="5567"/>
    <cellStyle name="Comma 2 6 4 2 7" xfId="5568"/>
    <cellStyle name="Comma 2 6 4 2 8" xfId="5569"/>
    <cellStyle name="Comma 2 6 4 3" xfId="5570"/>
    <cellStyle name="Comma 2 6 4 3 2" xfId="5571"/>
    <cellStyle name="Comma 2 6 4 3 2 2" xfId="5572"/>
    <cellStyle name="Comma 2 6 4 3 2 2 2" xfId="5573"/>
    <cellStyle name="Comma 2 6 4 3 2 2 3" xfId="5574"/>
    <cellStyle name="Comma 2 6 4 3 2 3" xfId="5575"/>
    <cellStyle name="Comma 2 6 4 3 2 3 2" xfId="5576"/>
    <cellStyle name="Comma 2 6 4 3 2 3 3" xfId="5577"/>
    <cellStyle name="Comma 2 6 4 3 2 4" xfId="5578"/>
    <cellStyle name="Comma 2 6 4 3 2 5" xfId="5579"/>
    <cellStyle name="Comma 2 6 4 3 3" xfId="5580"/>
    <cellStyle name="Comma 2 6 4 3 3 2" xfId="5581"/>
    <cellStyle name="Comma 2 6 4 3 3 3" xfId="5582"/>
    <cellStyle name="Comma 2 6 4 3 4" xfId="5583"/>
    <cellStyle name="Comma 2 6 4 3 4 2" xfId="5584"/>
    <cellStyle name="Comma 2 6 4 3 4 3" xfId="5585"/>
    <cellStyle name="Comma 2 6 4 3 5" xfId="5586"/>
    <cellStyle name="Comma 2 6 4 3 6" xfId="5587"/>
    <cellStyle name="Comma 2 6 4 4" xfId="5588"/>
    <cellStyle name="Comma 2 6 4 4 2" xfId="5589"/>
    <cellStyle name="Comma 2 6 4 4 2 2" xfId="5590"/>
    <cellStyle name="Comma 2 6 4 4 2 2 2" xfId="5591"/>
    <cellStyle name="Comma 2 6 4 4 2 2 3" xfId="5592"/>
    <cellStyle name="Comma 2 6 4 4 2 3" xfId="5593"/>
    <cellStyle name="Comma 2 6 4 4 2 3 2" xfId="5594"/>
    <cellStyle name="Comma 2 6 4 4 2 3 3" xfId="5595"/>
    <cellStyle name="Comma 2 6 4 4 2 4" xfId="5596"/>
    <cellStyle name="Comma 2 6 4 4 2 5" xfId="5597"/>
    <cellStyle name="Comma 2 6 4 4 3" xfId="5598"/>
    <cellStyle name="Comma 2 6 4 4 3 2" xfId="5599"/>
    <cellStyle name="Comma 2 6 4 4 3 3" xfId="5600"/>
    <cellStyle name="Comma 2 6 4 4 4" xfId="5601"/>
    <cellStyle name="Comma 2 6 4 4 4 2" xfId="5602"/>
    <cellStyle name="Comma 2 6 4 4 4 3" xfId="5603"/>
    <cellStyle name="Comma 2 6 4 4 5" xfId="5604"/>
    <cellStyle name="Comma 2 6 4 4 6" xfId="5605"/>
    <cellStyle name="Comma 2 6 4 5" xfId="5606"/>
    <cellStyle name="Comma 2 6 4 5 2" xfId="5607"/>
    <cellStyle name="Comma 2 6 4 5 2 2" xfId="5608"/>
    <cellStyle name="Comma 2 6 4 5 2 3" xfId="5609"/>
    <cellStyle name="Comma 2 6 4 5 3" xfId="5610"/>
    <cellStyle name="Comma 2 6 4 5 3 2" xfId="5611"/>
    <cellStyle name="Comma 2 6 4 5 3 3" xfId="5612"/>
    <cellStyle name="Comma 2 6 4 5 4" xfId="5613"/>
    <cellStyle name="Comma 2 6 4 5 5" xfId="5614"/>
    <cellStyle name="Comma 2 6 4 6" xfId="5615"/>
    <cellStyle name="Comma 2 6 4 6 2" xfId="5616"/>
    <cellStyle name="Comma 2 6 4 6 3" xfId="5617"/>
    <cellStyle name="Comma 2 6 4 7" xfId="5618"/>
    <cellStyle name="Comma 2 6 4 7 2" xfId="5619"/>
    <cellStyle name="Comma 2 6 4 7 3" xfId="5620"/>
    <cellStyle name="Comma 2 6 4 8" xfId="5621"/>
    <cellStyle name="Comma 2 6 4 9" xfId="5622"/>
    <cellStyle name="Comma 2 6 5" xfId="5623"/>
    <cellStyle name="Comma 2 6 5 2" xfId="5624"/>
    <cellStyle name="Comma 2 6 5 2 2" xfId="5625"/>
    <cellStyle name="Comma 2 6 5 2 2 2" xfId="5626"/>
    <cellStyle name="Comma 2 6 5 2 2 2 2" xfId="5627"/>
    <cellStyle name="Comma 2 6 5 2 2 2 3" xfId="5628"/>
    <cellStyle name="Comma 2 6 5 2 2 3" xfId="5629"/>
    <cellStyle name="Comma 2 6 5 2 2 3 2" xfId="5630"/>
    <cellStyle name="Comma 2 6 5 2 2 3 3" xfId="5631"/>
    <cellStyle name="Comma 2 6 5 2 2 4" xfId="5632"/>
    <cellStyle name="Comma 2 6 5 2 2 5" xfId="5633"/>
    <cellStyle name="Comma 2 6 5 2 3" xfId="5634"/>
    <cellStyle name="Comma 2 6 5 2 3 2" xfId="5635"/>
    <cellStyle name="Comma 2 6 5 2 3 3" xfId="5636"/>
    <cellStyle name="Comma 2 6 5 2 4" xfId="5637"/>
    <cellStyle name="Comma 2 6 5 2 4 2" xfId="5638"/>
    <cellStyle name="Comma 2 6 5 2 4 3" xfId="5639"/>
    <cellStyle name="Comma 2 6 5 2 5" xfId="5640"/>
    <cellStyle name="Comma 2 6 5 2 6" xfId="5641"/>
    <cellStyle name="Comma 2 6 5 3" xfId="5642"/>
    <cellStyle name="Comma 2 6 5 3 2" xfId="5643"/>
    <cellStyle name="Comma 2 6 5 3 2 2" xfId="5644"/>
    <cellStyle name="Comma 2 6 5 3 2 2 2" xfId="5645"/>
    <cellStyle name="Comma 2 6 5 3 2 2 3" xfId="5646"/>
    <cellStyle name="Comma 2 6 5 3 2 3" xfId="5647"/>
    <cellStyle name="Comma 2 6 5 3 2 3 2" xfId="5648"/>
    <cellStyle name="Comma 2 6 5 3 2 3 3" xfId="5649"/>
    <cellStyle name="Comma 2 6 5 3 2 4" xfId="5650"/>
    <cellStyle name="Comma 2 6 5 3 2 5" xfId="5651"/>
    <cellStyle name="Comma 2 6 5 3 3" xfId="5652"/>
    <cellStyle name="Comma 2 6 5 3 3 2" xfId="5653"/>
    <cellStyle name="Comma 2 6 5 3 3 3" xfId="5654"/>
    <cellStyle name="Comma 2 6 5 3 4" xfId="5655"/>
    <cellStyle name="Comma 2 6 5 3 4 2" xfId="5656"/>
    <cellStyle name="Comma 2 6 5 3 4 3" xfId="5657"/>
    <cellStyle name="Comma 2 6 5 3 5" xfId="5658"/>
    <cellStyle name="Comma 2 6 5 3 6" xfId="5659"/>
    <cellStyle name="Comma 2 6 5 4" xfId="5660"/>
    <cellStyle name="Comma 2 6 5 4 2" xfId="5661"/>
    <cellStyle name="Comma 2 6 5 4 2 2" xfId="5662"/>
    <cellStyle name="Comma 2 6 5 4 2 3" xfId="5663"/>
    <cellStyle name="Comma 2 6 5 4 3" xfId="5664"/>
    <cellStyle name="Comma 2 6 5 4 3 2" xfId="5665"/>
    <cellStyle name="Comma 2 6 5 4 3 3" xfId="5666"/>
    <cellStyle name="Comma 2 6 5 4 4" xfId="5667"/>
    <cellStyle name="Comma 2 6 5 4 5" xfId="5668"/>
    <cellStyle name="Comma 2 6 5 5" xfId="5669"/>
    <cellStyle name="Comma 2 6 5 5 2" xfId="5670"/>
    <cellStyle name="Comma 2 6 5 5 3" xfId="5671"/>
    <cellStyle name="Comma 2 6 5 6" xfId="5672"/>
    <cellStyle name="Comma 2 6 5 6 2" xfId="5673"/>
    <cellStyle name="Comma 2 6 5 6 3" xfId="5674"/>
    <cellStyle name="Comma 2 6 5 7" xfId="5675"/>
    <cellStyle name="Comma 2 6 5 8" xfId="5676"/>
    <cellStyle name="Comma 2 6 6" xfId="5677"/>
    <cellStyle name="Comma 2 6 6 2" xfId="5678"/>
    <cellStyle name="Comma 2 6 6 2 2" xfId="5679"/>
    <cellStyle name="Comma 2 6 6 2 2 2" xfId="5680"/>
    <cellStyle name="Comma 2 6 6 2 2 3" xfId="5681"/>
    <cellStyle name="Comma 2 6 6 2 3" xfId="5682"/>
    <cellStyle name="Comma 2 6 6 2 3 2" xfId="5683"/>
    <cellStyle name="Comma 2 6 6 2 3 3" xfId="5684"/>
    <cellStyle name="Comma 2 6 6 2 4" xfId="5685"/>
    <cellStyle name="Comma 2 6 6 2 5" xfId="5686"/>
    <cellStyle name="Comma 2 6 6 3" xfId="5687"/>
    <cellStyle name="Comma 2 6 6 3 2" xfId="5688"/>
    <cellStyle name="Comma 2 6 6 3 3" xfId="5689"/>
    <cellStyle name="Comma 2 6 6 4" xfId="5690"/>
    <cellStyle name="Comma 2 6 6 4 2" xfId="5691"/>
    <cellStyle name="Comma 2 6 6 4 3" xfId="5692"/>
    <cellStyle name="Comma 2 6 6 5" xfId="5693"/>
    <cellStyle name="Comma 2 6 6 6" xfId="5694"/>
    <cellStyle name="Comma 2 6 7" xfId="5695"/>
    <cellStyle name="Comma 2 6 7 2" xfId="5696"/>
    <cellStyle name="Comma 2 6 7 2 2" xfId="5697"/>
    <cellStyle name="Comma 2 6 7 2 2 2" xfId="5698"/>
    <cellStyle name="Comma 2 6 7 2 2 3" xfId="5699"/>
    <cellStyle name="Comma 2 6 7 2 3" xfId="5700"/>
    <cellStyle name="Comma 2 6 7 2 3 2" xfId="5701"/>
    <cellStyle name="Comma 2 6 7 2 3 3" xfId="5702"/>
    <cellStyle name="Comma 2 6 7 2 4" xfId="5703"/>
    <cellStyle name="Comma 2 6 7 2 5" xfId="5704"/>
    <cellStyle name="Comma 2 6 7 3" xfId="5705"/>
    <cellStyle name="Comma 2 6 7 3 2" xfId="5706"/>
    <cellStyle name="Comma 2 6 7 3 3" xfId="5707"/>
    <cellStyle name="Comma 2 6 7 4" xfId="5708"/>
    <cellStyle name="Comma 2 6 7 4 2" xfId="5709"/>
    <cellStyle name="Comma 2 6 7 4 3" xfId="5710"/>
    <cellStyle name="Comma 2 6 7 5" xfId="5711"/>
    <cellStyle name="Comma 2 6 7 6" xfId="5712"/>
    <cellStyle name="Comma 2 6 8" xfId="5713"/>
    <cellStyle name="Comma 2 6 8 2" xfId="5714"/>
    <cellStyle name="Comma 2 6 8 2 2" xfId="5715"/>
    <cellStyle name="Comma 2 6 8 2 3" xfId="5716"/>
    <cellStyle name="Comma 2 6 8 3" xfId="5717"/>
    <cellStyle name="Comma 2 6 8 3 2" xfId="5718"/>
    <cellStyle name="Comma 2 6 8 3 3" xfId="5719"/>
    <cellStyle name="Comma 2 6 8 4" xfId="5720"/>
    <cellStyle name="Comma 2 6 8 5" xfId="5721"/>
    <cellStyle name="Comma 2 6 9" xfId="5722"/>
    <cellStyle name="Comma 2 6 9 2" xfId="5723"/>
    <cellStyle name="Comma 2 6 9 3" xfId="5724"/>
    <cellStyle name="Comma 2 7" xfId="5725"/>
    <cellStyle name="Comma 2 7 10" xfId="5726"/>
    <cellStyle name="Comma 2 7 2" xfId="5727"/>
    <cellStyle name="Comma 2 7 2 2" xfId="5728"/>
    <cellStyle name="Comma 2 7 2 2 2" xfId="5729"/>
    <cellStyle name="Comma 2 7 2 2 2 2" xfId="5730"/>
    <cellStyle name="Comma 2 7 2 2 2 2 2" xfId="5731"/>
    <cellStyle name="Comma 2 7 2 2 2 2 2 2" xfId="5732"/>
    <cellStyle name="Comma 2 7 2 2 2 2 2 3" xfId="5733"/>
    <cellStyle name="Comma 2 7 2 2 2 2 3" xfId="5734"/>
    <cellStyle name="Comma 2 7 2 2 2 2 3 2" xfId="5735"/>
    <cellStyle name="Comma 2 7 2 2 2 2 3 3" xfId="5736"/>
    <cellStyle name="Comma 2 7 2 2 2 2 4" xfId="5737"/>
    <cellStyle name="Comma 2 7 2 2 2 2 5" xfId="5738"/>
    <cellStyle name="Comma 2 7 2 2 2 3" xfId="5739"/>
    <cellStyle name="Comma 2 7 2 2 2 3 2" xfId="5740"/>
    <cellStyle name="Comma 2 7 2 2 2 3 3" xfId="5741"/>
    <cellStyle name="Comma 2 7 2 2 2 4" xfId="5742"/>
    <cellStyle name="Comma 2 7 2 2 2 4 2" xfId="5743"/>
    <cellStyle name="Comma 2 7 2 2 2 4 3" xfId="5744"/>
    <cellStyle name="Comma 2 7 2 2 2 5" xfId="5745"/>
    <cellStyle name="Comma 2 7 2 2 2 6" xfId="5746"/>
    <cellStyle name="Comma 2 7 2 2 3" xfId="5747"/>
    <cellStyle name="Comma 2 7 2 2 3 2" xfId="5748"/>
    <cellStyle name="Comma 2 7 2 2 3 2 2" xfId="5749"/>
    <cellStyle name="Comma 2 7 2 2 3 2 2 2" xfId="5750"/>
    <cellStyle name="Comma 2 7 2 2 3 2 2 3" xfId="5751"/>
    <cellStyle name="Comma 2 7 2 2 3 2 3" xfId="5752"/>
    <cellStyle name="Comma 2 7 2 2 3 2 3 2" xfId="5753"/>
    <cellStyle name="Comma 2 7 2 2 3 2 3 3" xfId="5754"/>
    <cellStyle name="Comma 2 7 2 2 3 2 4" xfId="5755"/>
    <cellStyle name="Comma 2 7 2 2 3 2 5" xfId="5756"/>
    <cellStyle name="Comma 2 7 2 2 3 3" xfId="5757"/>
    <cellStyle name="Comma 2 7 2 2 3 3 2" xfId="5758"/>
    <cellStyle name="Comma 2 7 2 2 3 3 3" xfId="5759"/>
    <cellStyle name="Comma 2 7 2 2 3 4" xfId="5760"/>
    <cellStyle name="Comma 2 7 2 2 3 4 2" xfId="5761"/>
    <cellStyle name="Comma 2 7 2 2 3 4 3" xfId="5762"/>
    <cellStyle name="Comma 2 7 2 2 3 5" xfId="5763"/>
    <cellStyle name="Comma 2 7 2 2 3 6" xfId="5764"/>
    <cellStyle name="Comma 2 7 2 2 4" xfId="5765"/>
    <cellStyle name="Comma 2 7 2 2 4 2" xfId="5766"/>
    <cellStyle name="Comma 2 7 2 2 4 2 2" xfId="5767"/>
    <cellStyle name="Comma 2 7 2 2 4 2 3" xfId="5768"/>
    <cellStyle name="Comma 2 7 2 2 4 3" xfId="5769"/>
    <cellStyle name="Comma 2 7 2 2 4 3 2" xfId="5770"/>
    <cellStyle name="Comma 2 7 2 2 4 3 3" xfId="5771"/>
    <cellStyle name="Comma 2 7 2 2 4 4" xfId="5772"/>
    <cellStyle name="Comma 2 7 2 2 4 5" xfId="5773"/>
    <cellStyle name="Comma 2 7 2 2 5" xfId="5774"/>
    <cellStyle name="Comma 2 7 2 2 5 2" xfId="5775"/>
    <cellStyle name="Comma 2 7 2 2 5 3" xfId="5776"/>
    <cellStyle name="Comma 2 7 2 2 6" xfId="5777"/>
    <cellStyle name="Comma 2 7 2 2 6 2" xfId="5778"/>
    <cellStyle name="Comma 2 7 2 2 6 3" xfId="5779"/>
    <cellStyle name="Comma 2 7 2 2 7" xfId="5780"/>
    <cellStyle name="Comma 2 7 2 2 8" xfId="5781"/>
    <cellStyle name="Comma 2 7 2 3" xfId="5782"/>
    <cellStyle name="Comma 2 7 2 3 2" xfId="5783"/>
    <cellStyle name="Comma 2 7 2 3 2 2" xfId="5784"/>
    <cellStyle name="Comma 2 7 2 3 2 2 2" xfId="5785"/>
    <cellStyle name="Comma 2 7 2 3 2 2 3" xfId="5786"/>
    <cellStyle name="Comma 2 7 2 3 2 3" xfId="5787"/>
    <cellStyle name="Comma 2 7 2 3 2 3 2" xfId="5788"/>
    <cellStyle name="Comma 2 7 2 3 2 3 3" xfId="5789"/>
    <cellStyle name="Comma 2 7 2 3 2 4" xfId="5790"/>
    <cellStyle name="Comma 2 7 2 3 2 5" xfId="5791"/>
    <cellStyle name="Comma 2 7 2 3 3" xfId="5792"/>
    <cellStyle name="Comma 2 7 2 3 3 2" xfId="5793"/>
    <cellStyle name="Comma 2 7 2 3 3 3" xfId="5794"/>
    <cellStyle name="Comma 2 7 2 3 4" xfId="5795"/>
    <cellStyle name="Comma 2 7 2 3 4 2" xfId="5796"/>
    <cellStyle name="Comma 2 7 2 3 4 3" xfId="5797"/>
    <cellStyle name="Comma 2 7 2 3 5" xfId="5798"/>
    <cellStyle name="Comma 2 7 2 3 6" xfId="5799"/>
    <cellStyle name="Comma 2 7 2 4" xfId="5800"/>
    <cellStyle name="Comma 2 7 2 4 2" xfId="5801"/>
    <cellStyle name="Comma 2 7 2 4 2 2" xfId="5802"/>
    <cellStyle name="Comma 2 7 2 4 2 2 2" xfId="5803"/>
    <cellStyle name="Comma 2 7 2 4 2 2 3" xfId="5804"/>
    <cellStyle name="Comma 2 7 2 4 2 3" xfId="5805"/>
    <cellStyle name="Comma 2 7 2 4 2 3 2" xfId="5806"/>
    <cellStyle name="Comma 2 7 2 4 2 3 3" xfId="5807"/>
    <cellStyle name="Comma 2 7 2 4 2 4" xfId="5808"/>
    <cellStyle name="Comma 2 7 2 4 2 5" xfId="5809"/>
    <cellStyle name="Comma 2 7 2 4 3" xfId="5810"/>
    <cellStyle name="Comma 2 7 2 4 3 2" xfId="5811"/>
    <cellStyle name="Comma 2 7 2 4 3 3" xfId="5812"/>
    <cellStyle name="Comma 2 7 2 4 4" xfId="5813"/>
    <cellStyle name="Comma 2 7 2 4 4 2" xfId="5814"/>
    <cellStyle name="Comma 2 7 2 4 4 3" xfId="5815"/>
    <cellStyle name="Comma 2 7 2 4 5" xfId="5816"/>
    <cellStyle name="Comma 2 7 2 4 6" xfId="5817"/>
    <cellStyle name="Comma 2 7 2 5" xfId="5818"/>
    <cellStyle name="Comma 2 7 2 5 2" xfId="5819"/>
    <cellStyle name="Comma 2 7 2 5 2 2" xfId="5820"/>
    <cellStyle name="Comma 2 7 2 5 2 3" xfId="5821"/>
    <cellStyle name="Comma 2 7 2 5 3" xfId="5822"/>
    <cellStyle name="Comma 2 7 2 5 3 2" xfId="5823"/>
    <cellStyle name="Comma 2 7 2 5 3 3" xfId="5824"/>
    <cellStyle name="Comma 2 7 2 5 4" xfId="5825"/>
    <cellStyle name="Comma 2 7 2 5 5" xfId="5826"/>
    <cellStyle name="Comma 2 7 2 6" xfId="5827"/>
    <cellStyle name="Comma 2 7 2 6 2" xfId="5828"/>
    <cellStyle name="Comma 2 7 2 6 3" xfId="5829"/>
    <cellStyle name="Comma 2 7 2 7" xfId="5830"/>
    <cellStyle name="Comma 2 7 2 7 2" xfId="5831"/>
    <cellStyle name="Comma 2 7 2 7 3" xfId="5832"/>
    <cellStyle name="Comma 2 7 2 8" xfId="5833"/>
    <cellStyle name="Comma 2 7 2 9" xfId="5834"/>
    <cellStyle name="Comma 2 7 3" xfId="5835"/>
    <cellStyle name="Comma 2 7 3 2" xfId="5836"/>
    <cellStyle name="Comma 2 7 3 2 2" xfId="5837"/>
    <cellStyle name="Comma 2 7 3 2 2 2" xfId="5838"/>
    <cellStyle name="Comma 2 7 3 2 2 2 2" xfId="5839"/>
    <cellStyle name="Comma 2 7 3 2 2 2 3" xfId="5840"/>
    <cellStyle name="Comma 2 7 3 2 2 3" xfId="5841"/>
    <cellStyle name="Comma 2 7 3 2 2 3 2" xfId="5842"/>
    <cellStyle name="Comma 2 7 3 2 2 3 3" xfId="5843"/>
    <cellStyle name="Comma 2 7 3 2 2 4" xfId="5844"/>
    <cellStyle name="Comma 2 7 3 2 2 5" xfId="5845"/>
    <cellStyle name="Comma 2 7 3 2 3" xfId="5846"/>
    <cellStyle name="Comma 2 7 3 2 3 2" xfId="5847"/>
    <cellStyle name="Comma 2 7 3 2 3 3" xfId="5848"/>
    <cellStyle name="Comma 2 7 3 2 4" xfId="5849"/>
    <cellStyle name="Comma 2 7 3 2 4 2" xfId="5850"/>
    <cellStyle name="Comma 2 7 3 2 4 3" xfId="5851"/>
    <cellStyle name="Comma 2 7 3 2 5" xfId="5852"/>
    <cellStyle name="Comma 2 7 3 2 6" xfId="5853"/>
    <cellStyle name="Comma 2 7 3 3" xfId="5854"/>
    <cellStyle name="Comma 2 7 3 3 2" xfId="5855"/>
    <cellStyle name="Comma 2 7 3 3 2 2" xfId="5856"/>
    <cellStyle name="Comma 2 7 3 3 2 2 2" xfId="5857"/>
    <cellStyle name="Comma 2 7 3 3 2 2 3" xfId="5858"/>
    <cellStyle name="Comma 2 7 3 3 2 3" xfId="5859"/>
    <cellStyle name="Comma 2 7 3 3 2 3 2" xfId="5860"/>
    <cellStyle name="Comma 2 7 3 3 2 3 3" xfId="5861"/>
    <cellStyle name="Comma 2 7 3 3 2 4" xfId="5862"/>
    <cellStyle name="Comma 2 7 3 3 2 5" xfId="5863"/>
    <cellStyle name="Comma 2 7 3 3 3" xfId="5864"/>
    <cellStyle name="Comma 2 7 3 3 3 2" xfId="5865"/>
    <cellStyle name="Comma 2 7 3 3 3 3" xfId="5866"/>
    <cellStyle name="Comma 2 7 3 3 4" xfId="5867"/>
    <cellStyle name="Comma 2 7 3 3 4 2" xfId="5868"/>
    <cellStyle name="Comma 2 7 3 3 4 3" xfId="5869"/>
    <cellStyle name="Comma 2 7 3 3 5" xfId="5870"/>
    <cellStyle name="Comma 2 7 3 3 6" xfId="5871"/>
    <cellStyle name="Comma 2 7 3 4" xfId="5872"/>
    <cellStyle name="Comma 2 7 3 4 2" xfId="5873"/>
    <cellStyle name="Comma 2 7 3 4 2 2" xfId="5874"/>
    <cellStyle name="Comma 2 7 3 4 2 3" xfId="5875"/>
    <cellStyle name="Comma 2 7 3 4 3" xfId="5876"/>
    <cellStyle name="Comma 2 7 3 4 3 2" xfId="5877"/>
    <cellStyle name="Comma 2 7 3 4 3 3" xfId="5878"/>
    <cellStyle name="Comma 2 7 3 4 4" xfId="5879"/>
    <cellStyle name="Comma 2 7 3 4 5" xfId="5880"/>
    <cellStyle name="Comma 2 7 3 5" xfId="5881"/>
    <cellStyle name="Comma 2 7 3 5 2" xfId="5882"/>
    <cellStyle name="Comma 2 7 3 5 3" xfId="5883"/>
    <cellStyle name="Comma 2 7 3 6" xfId="5884"/>
    <cellStyle name="Comma 2 7 3 6 2" xfId="5885"/>
    <cellStyle name="Comma 2 7 3 6 3" xfId="5886"/>
    <cellStyle name="Comma 2 7 3 7" xfId="5887"/>
    <cellStyle name="Comma 2 7 3 8" xfId="5888"/>
    <cellStyle name="Comma 2 7 4" xfId="5889"/>
    <cellStyle name="Comma 2 7 4 2" xfId="5890"/>
    <cellStyle name="Comma 2 7 4 2 2" xfId="5891"/>
    <cellStyle name="Comma 2 7 4 2 2 2" xfId="5892"/>
    <cellStyle name="Comma 2 7 4 2 2 3" xfId="5893"/>
    <cellStyle name="Comma 2 7 4 2 3" xfId="5894"/>
    <cellStyle name="Comma 2 7 4 2 3 2" xfId="5895"/>
    <cellStyle name="Comma 2 7 4 2 3 3" xfId="5896"/>
    <cellStyle name="Comma 2 7 4 2 4" xfId="5897"/>
    <cellStyle name="Comma 2 7 4 2 5" xfId="5898"/>
    <cellStyle name="Comma 2 7 4 3" xfId="5899"/>
    <cellStyle name="Comma 2 7 4 3 2" xfId="5900"/>
    <cellStyle name="Comma 2 7 4 3 3" xfId="5901"/>
    <cellStyle name="Comma 2 7 4 4" xfId="5902"/>
    <cellStyle name="Comma 2 7 4 4 2" xfId="5903"/>
    <cellStyle name="Comma 2 7 4 4 3" xfId="5904"/>
    <cellStyle name="Comma 2 7 4 5" xfId="5905"/>
    <cellStyle name="Comma 2 7 4 6" xfId="5906"/>
    <cellStyle name="Comma 2 7 5" xfId="5907"/>
    <cellStyle name="Comma 2 7 5 2" xfId="5908"/>
    <cellStyle name="Comma 2 7 5 2 2" xfId="5909"/>
    <cellStyle name="Comma 2 7 5 2 2 2" xfId="5910"/>
    <cellStyle name="Comma 2 7 5 2 2 3" xfId="5911"/>
    <cellStyle name="Comma 2 7 5 2 3" xfId="5912"/>
    <cellStyle name="Comma 2 7 5 2 3 2" xfId="5913"/>
    <cellStyle name="Comma 2 7 5 2 3 3" xfId="5914"/>
    <cellStyle name="Comma 2 7 5 2 4" xfId="5915"/>
    <cellStyle name="Comma 2 7 5 2 5" xfId="5916"/>
    <cellStyle name="Comma 2 7 5 3" xfId="5917"/>
    <cellStyle name="Comma 2 7 5 3 2" xfId="5918"/>
    <cellStyle name="Comma 2 7 5 3 3" xfId="5919"/>
    <cellStyle name="Comma 2 7 5 4" xfId="5920"/>
    <cellStyle name="Comma 2 7 5 4 2" xfId="5921"/>
    <cellStyle name="Comma 2 7 5 4 3" xfId="5922"/>
    <cellStyle name="Comma 2 7 5 5" xfId="5923"/>
    <cellStyle name="Comma 2 7 5 6" xfId="5924"/>
    <cellStyle name="Comma 2 7 6" xfId="5925"/>
    <cellStyle name="Comma 2 7 6 2" xfId="5926"/>
    <cellStyle name="Comma 2 7 6 2 2" xfId="5927"/>
    <cellStyle name="Comma 2 7 6 2 3" xfId="5928"/>
    <cellStyle name="Comma 2 7 6 3" xfId="5929"/>
    <cellStyle name="Comma 2 7 6 3 2" xfId="5930"/>
    <cellStyle name="Comma 2 7 6 3 3" xfId="5931"/>
    <cellStyle name="Comma 2 7 6 4" xfId="5932"/>
    <cellStyle name="Comma 2 7 6 5" xfId="5933"/>
    <cellStyle name="Comma 2 7 7" xfId="5934"/>
    <cellStyle name="Comma 2 7 7 2" xfId="5935"/>
    <cellStyle name="Comma 2 7 7 3" xfId="5936"/>
    <cellStyle name="Comma 2 7 8" xfId="5937"/>
    <cellStyle name="Comma 2 7 8 2" xfId="5938"/>
    <cellStyle name="Comma 2 7 8 3" xfId="5939"/>
    <cellStyle name="Comma 2 7 9" xfId="5940"/>
    <cellStyle name="Comma 2 8" xfId="5941"/>
    <cellStyle name="Comma 2 8 10" xfId="5942"/>
    <cellStyle name="Comma 2 8 2" xfId="5943"/>
    <cellStyle name="Comma 2 8 2 2" xfId="5944"/>
    <cellStyle name="Comma 2 8 2 2 2" xfId="5945"/>
    <cellStyle name="Comma 2 8 2 2 2 2" xfId="5946"/>
    <cellStyle name="Comma 2 8 2 2 2 2 2" xfId="5947"/>
    <cellStyle name="Comma 2 8 2 2 2 2 2 2" xfId="5948"/>
    <cellStyle name="Comma 2 8 2 2 2 2 2 3" xfId="5949"/>
    <cellStyle name="Comma 2 8 2 2 2 2 3" xfId="5950"/>
    <cellStyle name="Comma 2 8 2 2 2 2 3 2" xfId="5951"/>
    <cellStyle name="Comma 2 8 2 2 2 2 3 3" xfId="5952"/>
    <cellStyle name="Comma 2 8 2 2 2 2 4" xfId="5953"/>
    <cellStyle name="Comma 2 8 2 2 2 2 5" xfId="5954"/>
    <cellStyle name="Comma 2 8 2 2 2 3" xfId="5955"/>
    <cellStyle name="Comma 2 8 2 2 2 3 2" xfId="5956"/>
    <cellStyle name="Comma 2 8 2 2 2 3 3" xfId="5957"/>
    <cellStyle name="Comma 2 8 2 2 2 4" xfId="5958"/>
    <cellStyle name="Comma 2 8 2 2 2 4 2" xfId="5959"/>
    <cellStyle name="Comma 2 8 2 2 2 4 3" xfId="5960"/>
    <cellStyle name="Comma 2 8 2 2 2 5" xfId="5961"/>
    <cellStyle name="Comma 2 8 2 2 2 6" xfId="5962"/>
    <cellStyle name="Comma 2 8 2 2 3" xfId="5963"/>
    <cellStyle name="Comma 2 8 2 2 3 2" xfId="5964"/>
    <cellStyle name="Comma 2 8 2 2 3 2 2" xfId="5965"/>
    <cellStyle name="Comma 2 8 2 2 3 2 2 2" xfId="5966"/>
    <cellStyle name="Comma 2 8 2 2 3 2 2 3" xfId="5967"/>
    <cellStyle name="Comma 2 8 2 2 3 2 3" xfId="5968"/>
    <cellStyle name="Comma 2 8 2 2 3 2 3 2" xfId="5969"/>
    <cellStyle name="Comma 2 8 2 2 3 2 3 3" xfId="5970"/>
    <cellStyle name="Comma 2 8 2 2 3 2 4" xfId="5971"/>
    <cellStyle name="Comma 2 8 2 2 3 2 5" xfId="5972"/>
    <cellStyle name="Comma 2 8 2 2 3 3" xfId="5973"/>
    <cellStyle name="Comma 2 8 2 2 3 3 2" xfId="5974"/>
    <cellStyle name="Comma 2 8 2 2 3 3 3" xfId="5975"/>
    <cellStyle name="Comma 2 8 2 2 3 4" xfId="5976"/>
    <cellStyle name="Comma 2 8 2 2 3 4 2" xfId="5977"/>
    <cellStyle name="Comma 2 8 2 2 3 4 3" xfId="5978"/>
    <cellStyle name="Comma 2 8 2 2 3 5" xfId="5979"/>
    <cellStyle name="Comma 2 8 2 2 3 6" xfId="5980"/>
    <cellStyle name="Comma 2 8 2 2 4" xfId="5981"/>
    <cellStyle name="Comma 2 8 2 2 4 2" xfId="5982"/>
    <cellStyle name="Comma 2 8 2 2 4 2 2" xfId="5983"/>
    <cellStyle name="Comma 2 8 2 2 4 2 3" xfId="5984"/>
    <cellStyle name="Comma 2 8 2 2 4 3" xfId="5985"/>
    <cellStyle name="Comma 2 8 2 2 4 3 2" xfId="5986"/>
    <cellStyle name="Comma 2 8 2 2 4 3 3" xfId="5987"/>
    <cellStyle name="Comma 2 8 2 2 4 4" xfId="5988"/>
    <cellStyle name="Comma 2 8 2 2 4 5" xfId="5989"/>
    <cellStyle name="Comma 2 8 2 2 5" xfId="5990"/>
    <cellStyle name="Comma 2 8 2 2 5 2" xfId="5991"/>
    <cellStyle name="Comma 2 8 2 2 5 3" xfId="5992"/>
    <cellStyle name="Comma 2 8 2 2 6" xfId="5993"/>
    <cellStyle name="Comma 2 8 2 2 6 2" xfId="5994"/>
    <cellStyle name="Comma 2 8 2 2 6 3" xfId="5995"/>
    <cellStyle name="Comma 2 8 2 2 7" xfId="5996"/>
    <cellStyle name="Comma 2 8 2 2 8" xfId="5997"/>
    <cellStyle name="Comma 2 8 2 3" xfId="5998"/>
    <cellStyle name="Comma 2 8 2 3 2" xfId="5999"/>
    <cellStyle name="Comma 2 8 2 3 2 2" xfId="6000"/>
    <cellStyle name="Comma 2 8 2 3 2 2 2" xfId="6001"/>
    <cellStyle name="Comma 2 8 2 3 2 2 3" xfId="6002"/>
    <cellStyle name="Comma 2 8 2 3 2 3" xfId="6003"/>
    <cellStyle name="Comma 2 8 2 3 2 3 2" xfId="6004"/>
    <cellStyle name="Comma 2 8 2 3 2 3 3" xfId="6005"/>
    <cellStyle name="Comma 2 8 2 3 2 4" xfId="6006"/>
    <cellStyle name="Comma 2 8 2 3 2 5" xfId="6007"/>
    <cellStyle name="Comma 2 8 2 3 3" xfId="6008"/>
    <cellStyle name="Comma 2 8 2 3 3 2" xfId="6009"/>
    <cellStyle name="Comma 2 8 2 3 3 3" xfId="6010"/>
    <cellStyle name="Comma 2 8 2 3 4" xfId="6011"/>
    <cellStyle name="Comma 2 8 2 3 4 2" xfId="6012"/>
    <cellStyle name="Comma 2 8 2 3 4 3" xfId="6013"/>
    <cellStyle name="Comma 2 8 2 3 5" xfId="6014"/>
    <cellStyle name="Comma 2 8 2 3 6" xfId="6015"/>
    <cellStyle name="Comma 2 8 2 4" xfId="6016"/>
    <cellStyle name="Comma 2 8 2 4 2" xfId="6017"/>
    <cellStyle name="Comma 2 8 2 4 2 2" xfId="6018"/>
    <cellStyle name="Comma 2 8 2 4 2 2 2" xfId="6019"/>
    <cellStyle name="Comma 2 8 2 4 2 2 3" xfId="6020"/>
    <cellStyle name="Comma 2 8 2 4 2 3" xfId="6021"/>
    <cellStyle name="Comma 2 8 2 4 2 3 2" xfId="6022"/>
    <cellStyle name="Comma 2 8 2 4 2 3 3" xfId="6023"/>
    <cellStyle name="Comma 2 8 2 4 2 4" xfId="6024"/>
    <cellStyle name="Comma 2 8 2 4 2 5" xfId="6025"/>
    <cellStyle name="Comma 2 8 2 4 3" xfId="6026"/>
    <cellStyle name="Comma 2 8 2 4 3 2" xfId="6027"/>
    <cellStyle name="Comma 2 8 2 4 3 3" xfId="6028"/>
    <cellStyle name="Comma 2 8 2 4 4" xfId="6029"/>
    <cellStyle name="Comma 2 8 2 4 4 2" xfId="6030"/>
    <cellStyle name="Comma 2 8 2 4 4 3" xfId="6031"/>
    <cellStyle name="Comma 2 8 2 4 5" xfId="6032"/>
    <cellStyle name="Comma 2 8 2 4 6" xfId="6033"/>
    <cellStyle name="Comma 2 8 2 5" xfId="6034"/>
    <cellStyle name="Comma 2 8 2 5 2" xfId="6035"/>
    <cellStyle name="Comma 2 8 2 5 2 2" xfId="6036"/>
    <cellStyle name="Comma 2 8 2 5 2 3" xfId="6037"/>
    <cellStyle name="Comma 2 8 2 5 3" xfId="6038"/>
    <cellStyle name="Comma 2 8 2 5 3 2" xfId="6039"/>
    <cellStyle name="Comma 2 8 2 5 3 3" xfId="6040"/>
    <cellStyle name="Comma 2 8 2 5 4" xfId="6041"/>
    <cellStyle name="Comma 2 8 2 5 5" xfId="6042"/>
    <cellStyle name="Comma 2 8 2 6" xfId="6043"/>
    <cellStyle name="Comma 2 8 2 6 2" xfId="6044"/>
    <cellStyle name="Comma 2 8 2 6 3" xfId="6045"/>
    <cellStyle name="Comma 2 8 2 7" xfId="6046"/>
    <cellStyle name="Comma 2 8 2 7 2" xfId="6047"/>
    <cellStyle name="Comma 2 8 2 7 3" xfId="6048"/>
    <cellStyle name="Comma 2 8 2 8" xfId="6049"/>
    <cellStyle name="Comma 2 8 2 9" xfId="6050"/>
    <cellStyle name="Comma 2 8 3" xfId="6051"/>
    <cellStyle name="Comma 2 8 3 2" xfId="6052"/>
    <cellStyle name="Comma 2 8 3 2 2" xfId="6053"/>
    <cellStyle name="Comma 2 8 3 2 2 2" xfId="6054"/>
    <cellStyle name="Comma 2 8 3 2 2 2 2" xfId="6055"/>
    <cellStyle name="Comma 2 8 3 2 2 2 3" xfId="6056"/>
    <cellStyle name="Comma 2 8 3 2 2 3" xfId="6057"/>
    <cellStyle name="Comma 2 8 3 2 2 3 2" xfId="6058"/>
    <cellStyle name="Comma 2 8 3 2 2 3 3" xfId="6059"/>
    <cellStyle name="Comma 2 8 3 2 2 4" xfId="6060"/>
    <cellStyle name="Comma 2 8 3 2 2 5" xfId="6061"/>
    <cellStyle name="Comma 2 8 3 2 3" xfId="6062"/>
    <cellStyle name="Comma 2 8 3 2 3 2" xfId="6063"/>
    <cellStyle name="Comma 2 8 3 2 3 3" xfId="6064"/>
    <cellStyle name="Comma 2 8 3 2 4" xfId="6065"/>
    <cellStyle name="Comma 2 8 3 2 4 2" xfId="6066"/>
    <cellStyle name="Comma 2 8 3 2 4 3" xfId="6067"/>
    <cellStyle name="Comma 2 8 3 2 5" xfId="6068"/>
    <cellStyle name="Comma 2 8 3 2 6" xfId="6069"/>
    <cellStyle name="Comma 2 8 3 3" xfId="6070"/>
    <cellStyle name="Comma 2 8 3 3 2" xfId="6071"/>
    <cellStyle name="Comma 2 8 3 3 2 2" xfId="6072"/>
    <cellStyle name="Comma 2 8 3 3 2 2 2" xfId="6073"/>
    <cellStyle name="Comma 2 8 3 3 2 2 3" xfId="6074"/>
    <cellStyle name="Comma 2 8 3 3 2 3" xfId="6075"/>
    <cellStyle name="Comma 2 8 3 3 2 3 2" xfId="6076"/>
    <cellStyle name="Comma 2 8 3 3 2 3 3" xfId="6077"/>
    <cellStyle name="Comma 2 8 3 3 2 4" xfId="6078"/>
    <cellStyle name="Comma 2 8 3 3 2 5" xfId="6079"/>
    <cellStyle name="Comma 2 8 3 3 3" xfId="6080"/>
    <cellStyle name="Comma 2 8 3 3 3 2" xfId="6081"/>
    <cellStyle name="Comma 2 8 3 3 3 3" xfId="6082"/>
    <cellStyle name="Comma 2 8 3 3 4" xfId="6083"/>
    <cellStyle name="Comma 2 8 3 3 4 2" xfId="6084"/>
    <cellStyle name="Comma 2 8 3 3 4 3" xfId="6085"/>
    <cellStyle name="Comma 2 8 3 3 5" xfId="6086"/>
    <cellStyle name="Comma 2 8 3 3 6" xfId="6087"/>
    <cellStyle name="Comma 2 8 3 4" xfId="6088"/>
    <cellStyle name="Comma 2 8 3 4 2" xfId="6089"/>
    <cellStyle name="Comma 2 8 3 4 2 2" xfId="6090"/>
    <cellStyle name="Comma 2 8 3 4 2 3" xfId="6091"/>
    <cellStyle name="Comma 2 8 3 4 3" xfId="6092"/>
    <cellStyle name="Comma 2 8 3 4 3 2" xfId="6093"/>
    <cellStyle name="Comma 2 8 3 4 3 3" xfId="6094"/>
    <cellStyle name="Comma 2 8 3 4 4" xfId="6095"/>
    <cellStyle name="Comma 2 8 3 4 5" xfId="6096"/>
    <cellStyle name="Comma 2 8 3 5" xfId="6097"/>
    <cellStyle name="Comma 2 8 3 5 2" xfId="6098"/>
    <cellStyle name="Comma 2 8 3 5 3" xfId="6099"/>
    <cellStyle name="Comma 2 8 3 6" xfId="6100"/>
    <cellStyle name="Comma 2 8 3 6 2" xfId="6101"/>
    <cellStyle name="Comma 2 8 3 6 3" xfId="6102"/>
    <cellStyle name="Comma 2 8 3 7" xfId="6103"/>
    <cellStyle name="Comma 2 8 3 8" xfId="6104"/>
    <cellStyle name="Comma 2 8 4" xfId="6105"/>
    <cellStyle name="Comma 2 8 4 2" xfId="6106"/>
    <cellStyle name="Comma 2 8 4 2 2" xfId="6107"/>
    <cellStyle name="Comma 2 8 4 2 2 2" xfId="6108"/>
    <cellStyle name="Comma 2 8 4 2 2 3" xfId="6109"/>
    <cellStyle name="Comma 2 8 4 2 3" xfId="6110"/>
    <cellStyle name="Comma 2 8 4 2 3 2" xfId="6111"/>
    <cellStyle name="Comma 2 8 4 2 3 3" xfId="6112"/>
    <cellStyle name="Comma 2 8 4 2 4" xfId="6113"/>
    <cellStyle name="Comma 2 8 4 2 5" xfId="6114"/>
    <cellStyle name="Comma 2 8 4 3" xfId="6115"/>
    <cellStyle name="Comma 2 8 4 3 2" xfId="6116"/>
    <cellStyle name="Comma 2 8 4 3 3" xfId="6117"/>
    <cellStyle name="Comma 2 8 4 4" xfId="6118"/>
    <cellStyle name="Comma 2 8 4 4 2" xfId="6119"/>
    <cellStyle name="Comma 2 8 4 4 3" xfId="6120"/>
    <cellStyle name="Comma 2 8 4 5" xfId="6121"/>
    <cellStyle name="Comma 2 8 4 6" xfId="6122"/>
    <cellStyle name="Comma 2 8 5" xfId="6123"/>
    <cellStyle name="Comma 2 8 5 2" xfId="6124"/>
    <cellStyle name="Comma 2 8 5 2 2" xfId="6125"/>
    <cellStyle name="Comma 2 8 5 2 2 2" xfId="6126"/>
    <cellStyle name="Comma 2 8 5 2 2 3" xfId="6127"/>
    <cellStyle name="Comma 2 8 5 2 3" xfId="6128"/>
    <cellStyle name="Comma 2 8 5 2 3 2" xfId="6129"/>
    <cellStyle name="Comma 2 8 5 2 3 3" xfId="6130"/>
    <cellStyle name="Comma 2 8 5 2 4" xfId="6131"/>
    <cellStyle name="Comma 2 8 5 2 5" xfId="6132"/>
    <cellStyle name="Comma 2 8 5 3" xfId="6133"/>
    <cellStyle name="Comma 2 8 5 3 2" xfId="6134"/>
    <cellStyle name="Comma 2 8 5 3 3" xfId="6135"/>
    <cellStyle name="Comma 2 8 5 4" xfId="6136"/>
    <cellStyle name="Comma 2 8 5 4 2" xfId="6137"/>
    <cellStyle name="Comma 2 8 5 4 3" xfId="6138"/>
    <cellStyle name="Comma 2 8 5 5" xfId="6139"/>
    <cellStyle name="Comma 2 8 5 6" xfId="6140"/>
    <cellStyle name="Comma 2 8 6" xfId="6141"/>
    <cellStyle name="Comma 2 8 6 2" xfId="6142"/>
    <cellStyle name="Comma 2 8 6 2 2" xfId="6143"/>
    <cellStyle name="Comma 2 8 6 2 3" xfId="6144"/>
    <cellStyle name="Comma 2 8 6 3" xfId="6145"/>
    <cellStyle name="Comma 2 8 6 3 2" xfId="6146"/>
    <cellStyle name="Comma 2 8 6 3 3" xfId="6147"/>
    <cellStyle name="Comma 2 8 6 4" xfId="6148"/>
    <cellStyle name="Comma 2 8 6 5" xfId="6149"/>
    <cellStyle name="Comma 2 8 7" xfId="6150"/>
    <cellStyle name="Comma 2 8 7 2" xfId="6151"/>
    <cellStyle name="Comma 2 8 7 3" xfId="6152"/>
    <cellStyle name="Comma 2 8 8" xfId="6153"/>
    <cellStyle name="Comma 2 8 8 2" xfId="6154"/>
    <cellStyle name="Comma 2 8 8 3" xfId="6155"/>
    <cellStyle name="Comma 2 8 9" xfId="6156"/>
    <cellStyle name="Comma 2 9" xfId="6157"/>
    <cellStyle name="Comma 2 9 10" xfId="6158"/>
    <cellStyle name="Comma 2 9 2" xfId="6159"/>
    <cellStyle name="Comma 2 9 2 2" xfId="6160"/>
    <cellStyle name="Comma 2 9 2 2 2" xfId="6161"/>
    <cellStyle name="Comma 2 9 2 2 2 2" xfId="6162"/>
    <cellStyle name="Comma 2 9 2 2 2 2 2" xfId="6163"/>
    <cellStyle name="Comma 2 9 2 2 2 2 2 2" xfId="6164"/>
    <cellStyle name="Comma 2 9 2 2 2 2 2 3" xfId="6165"/>
    <cellStyle name="Comma 2 9 2 2 2 2 3" xfId="6166"/>
    <cellStyle name="Comma 2 9 2 2 2 2 3 2" xfId="6167"/>
    <cellStyle name="Comma 2 9 2 2 2 2 3 3" xfId="6168"/>
    <cellStyle name="Comma 2 9 2 2 2 2 4" xfId="6169"/>
    <cellStyle name="Comma 2 9 2 2 2 2 5" xfId="6170"/>
    <cellStyle name="Comma 2 9 2 2 2 3" xfId="6171"/>
    <cellStyle name="Comma 2 9 2 2 2 3 2" xfId="6172"/>
    <cellStyle name="Comma 2 9 2 2 2 3 3" xfId="6173"/>
    <cellStyle name="Comma 2 9 2 2 2 4" xfId="6174"/>
    <cellStyle name="Comma 2 9 2 2 2 4 2" xfId="6175"/>
    <cellStyle name="Comma 2 9 2 2 2 4 3" xfId="6176"/>
    <cellStyle name="Comma 2 9 2 2 2 5" xfId="6177"/>
    <cellStyle name="Comma 2 9 2 2 2 6" xfId="6178"/>
    <cellStyle name="Comma 2 9 2 2 3" xfId="6179"/>
    <cellStyle name="Comma 2 9 2 2 3 2" xfId="6180"/>
    <cellStyle name="Comma 2 9 2 2 3 2 2" xfId="6181"/>
    <cellStyle name="Comma 2 9 2 2 3 2 2 2" xfId="6182"/>
    <cellStyle name="Comma 2 9 2 2 3 2 2 3" xfId="6183"/>
    <cellStyle name="Comma 2 9 2 2 3 2 3" xfId="6184"/>
    <cellStyle name="Comma 2 9 2 2 3 2 3 2" xfId="6185"/>
    <cellStyle name="Comma 2 9 2 2 3 2 3 3" xfId="6186"/>
    <cellStyle name="Comma 2 9 2 2 3 2 4" xfId="6187"/>
    <cellStyle name="Comma 2 9 2 2 3 2 5" xfId="6188"/>
    <cellStyle name="Comma 2 9 2 2 3 3" xfId="6189"/>
    <cellStyle name="Comma 2 9 2 2 3 3 2" xfId="6190"/>
    <cellStyle name="Comma 2 9 2 2 3 3 3" xfId="6191"/>
    <cellStyle name="Comma 2 9 2 2 3 4" xfId="6192"/>
    <cellStyle name="Comma 2 9 2 2 3 4 2" xfId="6193"/>
    <cellStyle name="Comma 2 9 2 2 3 4 3" xfId="6194"/>
    <cellStyle name="Comma 2 9 2 2 3 5" xfId="6195"/>
    <cellStyle name="Comma 2 9 2 2 3 6" xfId="6196"/>
    <cellStyle name="Comma 2 9 2 2 4" xfId="6197"/>
    <cellStyle name="Comma 2 9 2 2 4 2" xfId="6198"/>
    <cellStyle name="Comma 2 9 2 2 4 2 2" xfId="6199"/>
    <cellStyle name="Comma 2 9 2 2 4 2 3" xfId="6200"/>
    <cellStyle name="Comma 2 9 2 2 4 3" xfId="6201"/>
    <cellStyle name="Comma 2 9 2 2 4 3 2" xfId="6202"/>
    <cellStyle name="Comma 2 9 2 2 4 3 3" xfId="6203"/>
    <cellStyle name="Comma 2 9 2 2 4 4" xfId="6204"/>
    <cellStyle name="Comma 2 9 2 2 4 5" xfId="6205"/>
    <cellStyle name="Comma 2 9 2 2 5" xfId="6206"/>
    <cellStyle name="Comma 2 9 2 2 5 2" xfId="6207"/>
    <cellStyle name="Comma 2 9 2 2 5 3" xfId="6208"/>
    <cellStyle name="Comma 2 9 2 2 6" xfId="6209"/>
    <cellStyle name="Comma 2 9 2 2 6 2" xfId="6210"/>
    <cellStyle name="Comma 2 9 2 2 6 3" xfId="6211"/>
    <cellStyle name="Comma 2 9 2 2 7" xfId="6212"/>
    <cellStyle name="Comma 2 9 2 2 8" xfId="6213"/>
    <cellStyle name="Comma 2 9 2 3" xfId="6214"/>
    <cellStyle name="Comma 2 9 2 3 2" xfId="6215"/>
    <cellStyle name="Comma 2 9 2 3 2 2" xfId="6216"/>
    <cellStyle name="Comma 2 9 2 3 2 2 2" xfId="6217"/>
    <cellStyle name="Comma 2 9 2 3 2 2 3" xfId="6218"/>
    <cellStyle name="Comma 2 9 2 3 2 3" xfId="6219"/>
    <cellStyle name="Comma 2 9 2 3 2 3 2" xfId="6220"/>
    <cellStyle name="Comma 2 9 2 3 2 3 3" xfId="6221"/>
    <cellStyle name="Comma 2 9 2 3 2 4" xfId="6222"/>
    <cellStyle name="Comma 2 9 2 3 2 5" xfId="6223"/>
    <cellStyle name="Comma 2 9 2 3 3" xfId="6224"/>
    <cellStyle name="Comma 2 9 2 3 3 2" xfId="6225"/>
    <cellStyle name="Comma 2 9 2 3 3 3" xfId="6226"/>
    <cellStyle name="Comma 2 9 2 3 4" xfId="6227"/>
    <cellStyle name="Comma 2 9 2 3 4 2" xfId="6228"/>
    <cellStyle name="Comma 2 9 2 3 4 3" xfId="6229"/>
    <cellStyle name="Comma 2 9 2 3 5" xfId="6230"/>
    <cellStyle name="Comma 2 9 2 3 6" xfId="6231"/>
    <cellStyle name="Comma 2 9 2 4" xfId="6232"/>
    <cellStyle name="Comma 2 9 2 4 2" xfId="6233"/>
    <cellStyle name="Comma 2 9 2 4 2 2" xfId="6234"/>
    <cellStyle name="Comma 2 9 2 4 2 2 2" xfId="6235"/>
    <cellStyle name="Comma 2 9 2 4 2 2 3" xfId="6236"/>
    <cellStyle name="Comma 2 9 2 4 2 3" xfId="6237"/>
    <cellStyle name="Comma 2 9 2 4 2 3 2" xfId="6238"/>
    <cellStyle name="Comma 2 9 2 4 2 3 3" xfId="6239"/>
    <cellStyle name="Comma 2 9 2 4 2 4" xfId="6240"/>
    <cellStyle name="Comma 2 9 2 4 2 5" xfId="6241"/>
    <cellStyle name="Comma 2 9 2 4 3" xfId="6242"/>
    <cellStyle name="Comma 2 9 2 4 3 2" xfId="6243"/>
    <cellStyle name="Comma 2 9 2 4 3 3" xfId="6244"/>
    <cellStyle name="Comma 2 9 2 4 4" xfId="6245"/>
    <cellStyle name="Comma 2 9 2 4 4 2" xfId="6246"/>
    <cellStyle name="Comma 2 9 2 4 4 3" xfId="6247"/>
    <cellStyle name="Comma 2 9 2 4 5" xfId="6248"/>
    <cellStyle name="Comma 2 9 2 4 6" xfId="6249"/>
    <cellStyle name="Comma 2 9 2 5" xfId="6250"/>
    <cellStyle name="Comma 2 9 2 5 2" xfId="6251"/>
    <cellStyle name="Comma 2 9 2 5 2 2" xfId="6252"/>
    <cellStyle name="Comma 2 9 2 5 2 3" xfId="6253"/>
    <cellStyle name="Comma 2 9 2 5 3" xfId="6254"/>
    <cellStyle name="Comma 2 9 2 5 3 2" xfId="6255"/>
    <cellStyle name="Comma 2 9 2 5 3 3" xfId="6256"/>
    <cellStyle name="Comma 2 9 2 5 4" xfId="6257"/>
    <cellStyle name="Comma 2 9 2 5 5" xfId="6258"/>
    <cellStyle name="Comma 2 9 2 6" xfId="6259"/>
    <cellStyle name="Comma 2 9 2 6 2" xfId="6260"/>
    <cellStyle name="Comma 2 9 2 6 3" xfId="6261"/>
    <cellStyle name="Comma 2 9 2 7" xfId="6262"/>
    <cellStyle name="Comma 2 9 2 7 2" xfId="6263"/>
    <cellStyle name="Comma 2 9 2 7 3" xfId="6264"/>
    <cellStyle name="Comma 2 9 2 8" xfId="6265"/>
    <cellStyle name="Comma 2 9 2 9" xfId="6266"/>
    <cellStyle name="Comma 2 9 3" xfId="6267"/>
    <cellStyle name="Comma 2 9 3 2" xfId="6268"/>
    <cellStyle name="Comma 2 9 3 2 2" xfId="6269"/>
    <cellStyle name="Comma 2 9 3 2 2 2" xfId="6270"/>
    <cellStyle name="Comma 2 9 3 2 2 2 2" xfId="6271"/>
    <cellStyle name="Comma 2 9 3 2 2 2 3" xfId="6272"/>
    <cellStyle name="Comma 2 9 3 2 2 3" xfId="6273"/>
    <cellStyle name="Comma 2 9 3 2 2 3 2" xfId="6274"/>
    <cellStyle name="Comma 2 9 3 2 2 3 3" xfId="6275"/>
    <cellStyle name="Comma 2 9 3 2 2 4" xfId="6276"/>
    <cellStyle name="Comma 2 9 3 2 2 5" xfId="6277"/>
    <cellStyle name="Comma 2 9 3 2 3" xfId="6278"/>
    <cellStyle name="Comma 2 9 3 2 3 2" xfId="6279"/>
    <cellStyle name="Comma 2 9 3 2 3 3" xfId="6280"/>
    <cellStyle name="Comma 2 9 3 2 4" xfId="6281"/>
    <cellStyle name="Comma 2 9 3 2 4 2" xfId="6282"/>
    <cellStyle name="Comma 2 9 3 2 4 3" xfId="6283"/>
    <cellStyle name="Comma 2 9 3 2 5" xfId="6284"/>
    <cellStyle name="Comma 2 9 3 2 6" xfId="6285"/>
    <cellStyle name="Comma 2 9 3 3" xfId="6286"/>
    <cellStyle name="Comma 2 9 3 3 2" xfId="6287"/>
    <cellStyle name="Comma 2 9 3 3 2 2" xfId="6288"/>
    <cellStyle name="Comma 2 9 3 3 2 2 2" xfId="6289"/>
    <cellStyle name="Comma 2 9 3 3 2 2 3" xfId="6290"/>
    <cellStyle name="Comma 2 9 3 3 2 3" xfId="6291"/>
    <cellStyle name="Comma 2 9 3 3 2 3 2" xfId="6292"/>
    <cellStyle name="Comma 2 9 3 3 2 3 3" xfId="6293"/>
    <cellStyle name="Comma 2 9 3 3 2 4" xfId="6294"/>
    <cellStyle name="Comma 2 9 3 3 2 5" xfId="6295"/>
    <cellStyle name="Comma 2 9 3 3 3" xfId="6296"/>
    <cellStyle name="Comma 2 9 3 3 3 2" xfId="6297"/>
    <cellStyle name="Comma 2 9 3 3 3 3" xfId="6298"/>
    <cellStyle name="Comma 2 9 3 3 4" xfId="6299"/>
    <cellStyle name="Comma 2 9 3 3 4 2" xfId="6300"/>
    <cellStyle name="Comma 2 9 3 3 4 3" xfId="6301"/>
    <cellStyle name="Comma 2 9 3 3 5" xfId="6302"/>
    <cellStyle name="Comma 2 9 3 3 6" xfId="6303"/>
    <cellStyle name="Comma 2 9 3 4" xfId="6304"/>
    <cellStyle name="Comma 2 9 3 4 2" xfId="6305"/>
    <cellStyle name="Comma 2 9 3 4 2 2" xfId="6306"/>
    <cellStyle name="Comma 2 9 3 4 2 3" xfId="6307"/>
    <cellStyle name="Comma 2 9 3 4 3" xfId="6308"/>
    <cellStyle name="Comma 2 9 3 4 3 2" xfId="6309"/>
    <cellStyle name="Comma 2 9 3 4 3 3" xfId="6310"/>
    <cellStyle name="Comma 2 9 3 4 4" xfId="6311"/>
    <cellStyle name="Comma 2 9 3 4 5" xfId="6312"/>
    <cellStyle name="Comma 2 9 3 5" xfId="6313"/>
    <cellStyle name="Comma 2 9 3 5 2" xfId="6314"/>
    <cellStyle name="Comma 2 9 3 5 3" xfId="6315"/>
    <cellStyle name="Comma 2 9 3 6" xfId="6316"/>
    <cellStyle name="Comma 2 9 3 6 2" xfId="6317"/>
    <cellStyle name="Comma 2 9 3 6 3" xfId="6318"/>
    <cellStyle name="Comma 2 9 3 7" xfId="6319"/>
    <cellStyle name="Comma 2 9 3 8" xfId="6320"/>
    <cellStyle name="Comma 2 9 4" xfId="6321"/>
    <cellStyle name="Comma 2 9 4 2" xfId="6322"/>
    <cellStyle name="Comma 2 9 4 2 2" xfId="6323"/>
    <cellStyle name="Comma 2 9 4 2 2 2" xfId="6324"/>
    <cellStyle name="Comma 2 9 4 2 2 3" xfId="6325"/>
    <cellStyle name="Comma 2 9 4 2 3" xfId="6326"/>
    <cellStyle name="Comma 2 9 4 2 3 2" xfId="6327"/>
    <cellStyle name="Comma 2 9 4 2 3 3" xfId="6328"/>
    <cellStyle name="Comma 2 9 4 2 4" xfId="6329"/>
    <cellStyle name="Comma 2 9 4 2 5" xfId="6330"/>
    <cellStyle name="Comma 2 9 4 3" xfId="6331"/>
    <cellStyle name="Comma 2 9 4 3 2" xfId="6332"/>
    <cellStyle name="Comma 2 9 4 3 3" xfId="6333"/>
    <cellStyle name="Comma 2 9 4 4" xfId="6334"/>
    <cellStyle name="Comma 2 9 4 4 2" xfId="6335"/>
    <cellStyle name="Comma 2 9 4 4 3" xfId="6336"/>
    <cellStyle name="Comma 2 9 4 5" xfId="6337"/>
    <cellStyle name="Comma 2 9 4 6" xfId="6338"/>
    <cellStyle name="Comma 2 9 5" xfId="6339"/>
    <cellStyle name="Comma 2 9 5 2" xfId="6340"/>
    <cellStyle name="Comma 2 9 5 2 2" xfId="6341"/>
    <cellStyle name="Comma 2 9 5 2 2 2" xfId="6342"/>
    <cellStyle name="Comma 2 9 5 2 2 3" xfId="6343"/>
    <cellStyle name="Comma 2 9 5 2 3" xfId="6344"/>
    <cellStyle name="Comma 2 9 5 2 3 2" xfId="6345"/>
    <cellStyle name="Comma 2 9 5 2 3 3" xfId="6346"/>
    <cellStyle name="Comma 2 9 5 2 4" xfId="6347"/>
    <cellStyle name="Comma 2 9 5 2 5" xfId="6348"/>
    <cellStyle name="Comma 2 9 5 3" xfId="6349"/>
    <cellStyle name="Comma 2 9 5 3 2" xfId="6350"/>
    <cellStyle name="Comma 2 9 5 3 3" xfId="6351"/>
    <cellStyle name="Comma 2 9 5 4" xfId="6352"/>
    <cellStyle name="Comma 2 9 5 4 2" xfId="6353"/>
    <cellStyle name="Comma 2 9 5 4 3" xfId="6354"/>
    <cellStyle name="Comma 2 9 5 5" xfId="6355"/>
    <cellStyle name="Comma 2 9 5 6" xfId="6356"/>
    <cellStyle name="Comma 2 9 6" xfId="6357"/>
    <cellStyle name="Comma 2 9 6 2" xfId="6358"/>
    <cellStyle name="Comma 2 9 6 2 2" xfId="6359"/>
    <cellStyle name="Comma 2 9 6 2 3" xfId="6360"/>
    <cellStyle name="Comma 2 9 6 3" xfId="6361"/>
    <cellStyle name="Comma 2 9 6 3 2" xfId="6362"/>
    <cellStyle name="Comma 2 9 6 3 3" xfId="6363"/>
    <cellStyle name="Comma 2 9 6 4" xfId="6364"/>
    <cellStyle name="Comma 2 9 6 5" xfId="6365"/>
    <cellStyle name="Comma 2 9 7" xfId="6366"/>
    <cellStyle name="Comma 2 9 7 2" xfId="6367"/>
    <cellStyle name="Comma 2 9 7 3" xfId="6368"/>
    <cellStyle name="Comma 2 9 8" xfId="6369"/>
    <cellStyle name="Comma 2 9 8 2" xfId="6370"/>
    <cellStyle name="Comma 2 9 8 3" xfId="6371"/>
    <cellStyle name="Comma 2 9 9" xfId="6372"/>
    <cellStyle name="Comma 3" xfId="5"/>
    <cellStyle name="Comma 3 2" xfId="6373"/>
    <cellStyle name="Comma 3 3" xfId="6374"/>
    <cellStyle name="Comma 4" xfId="24"/>
    <cellStyle name="Comma 4 10" xfId="6375"/>
    <cellStyle name="Comma 4 10 2" xfId="6376"/>
    <cellStyle name="Comma 4 10 2 2" xfId="6377"/>
    <cellStyle name="Comma 4 10 2 3" xfId="6378"/>
    <cellStyle name="Comma 4 10 3" xfId="6379"/>
    <cellStyle name="Comma 4 10 3 2" xfId="6380"/>
    <cellStyle name="Comma 4 10 3 3" xfId="6381"/>
    <cellStyle name="Comma 4 10 4" xfId="6382"/>
    <cellStyle name="Comma 4 10 5" xfId="6383"/>
    <cellStyle name="Comma 4 11" xfId="6384"/>
    <cellStyle name="Comma 4 11 2" xfId="6385"/>
    <cellStyle name="Comma 4 11 3" xfId="6386"/>
    <cellStyle name="Comma 4 12" xfId="6387"/>
    <cellStyle name="Comma 4 12 2" xfId="6388"/>
    <cellStyle name="Comma 4 12 3" xfId="6389"/>
    <cellStyle name="Comma 4 13" xfId="6390"/>
    <cellStyle name="Comma 4 14" xfId="6391"/>
    <cellStyle name="Comma 4 15" xfId="6392"/>
    <cellStyle name="Comma 4 2" xfId="6393"/>
    <cellStyle name="Comma 4 2 10" xfId="6394"/>
    <cellStyle name="Comma 4 2 10 2" xfId="6395"/>
    <cellStyle name="Comma 4 2 10 3" xfId="6396"/>
    <cellStyle name="Comma 4 2 11" xfId="6397"/>
    <cellStyle name="Comma 4 2 11 2" xfId="6398"/>
    <cellStyle name="Comma 4 2 11 3" xfId="6399"/>
    <cellStyle name="Comma 4 2 12" xfId="6400"/>
    <cellStyle name="Comma 4 2 13" xfId="6401"/>
    <cellStyle name="Comma 4 2 2" xfId="6402"/>
    <cellStyle name="Comma 4 2 2 10" xfId="6403"/>
    <cellStyle name="Comma 4 2 2 10 2" xfId="6404"/>
    <cellStyle name="Comma 4 2 2 10 3" xfId="6405"/>
    <cellStyle name="Comma 4 2 2 11" xfId="6406"/>
    <cellStyle name="Comma 4 2 2 12" xfId="6407"/>
    <cellStyle name="Comma 4 2 2 2" xfId="6408"/>
    <cellStyle name="Comma 4 2 2 2 10" xfId="6409"/>
    <cellStyle name="Comma 4 2 2 2 2" xfId="6410"/>
    <cellStyle name="Comma 4 2 2 2 2 2" xfId="6411"/>
    <cellStyle name="Comma 4 2 2 2 2 2 2" xfId="6412"/>
    <cellStyle name="Comma 4 2 2 2 2 2 2 2" xfId="6413"/>
    <cellStyle name="Comma 4 2 2 2 2 2 2 2 2" xfId="6414"/>
    <cellStyle name="Comma 4 2 2 2 2 2 2 2 2 2" xfId="6415"/>
    <cellStyle name="Comma 4 2 2 2 2 2 2 2 2 3" xfId="6416"/>
    <cellStyle name="Comma 4 2 2 2 2 2 2 2 3" xfId="6417"/>
    <cellStyle name="Comma 4 2 2 2 2 2 2 2 3 2" xfId="6418"/>
    <cellStyle name="Comma 4 2 2 2 2 2 2 2 3 3" xfId="6419"/>
    <cellStyle name="Comma 4 2 2 2 2 2 2 2 4" xfId="6420"/>
    <cellStyle name="Comma 4 2 2 2 2 2 2 2 5" xfId="6421"/>
    <cellStyle name="Comma 4 2 2 2 2 2 2 3" xfId="6422"/>
    <cellStyle name="Comma 4 2 2 2 2 2 2 3 2" xfId="6423"/>
    <cellStyle name="Comma 4 2 2 2 2 2 2 3 3" xfId="6424"/>
    <cellStyle name="Comma 4 2 2 2 2 2 2 4" xfId="6425"/>
    <cellStyle name="Comma 4 2 2 2 2 2 2 4 2" xfId="6426"/>
    <cellStyle name="Comma 4 2 2 2 2 2 2 4 3" xfId="6427"/>
    <cellStyle name="Comma 4 2 2 2 2 2 2 5" xfId="6428"/>
    <cellStyle name="Comma 4 2 2 2 2 2 2 6" xfId="6429"/>
    <cellStyle name="Comma 4 2 2 2 2 2 3" xfId="6430"/>
    <cellStyle name="Comma 4 2 2 2 2 2 3 2" xfId="6431"/>
    <cellStyle name="Comma 4 2 2 2 2 2 3 2 2" xfId="6432"/>
    <cellStyle name="Comma 4 2 2 2 2 2 3 2 2 2" xfId="6433"/>
    <cellStyle name="Comma 4 2 2 2 2 2 3 2 2 3" xfId="6434"/>
    <cellStyle name="Comma 4 2 2 2 2 2 3 2 3" xfId="6435"/>
    <cellStyle name="Comma 4 2 2 2 2 2 3 2 3 2" xfId="6436"/>
    <cellStyle name="Comma 4 2 2 2 2 2 3 2 3 3" xfId="6437"/>
    <cellStyle name="Comma 4 2 2 2 2 2 3 2 4" xfId="6438"/>
    <cellStyle name="Comma 4 2 2 2 2 2 3 2 5" xfId="6439"/>
    <cellStyle name="Comma 4 2 2 2 2 2 3 3" xfId="6440"/>
    <cellStyle name="Comma 4 2 2 2 2 2 3 3 2" xfId="6441"/>
    <cellStyle name="Comma 4 2 2 2 2 2 3 3 3" xfId="6442"/>
    <cellStyle name="Comma 4 2 2 2 2 2 3 4" xfId="6443"/>
    <cellStyle name="Comma 4 2 2 2 2 2 3 4 2" xfId="6444"/>
    <cellStyle name="Comma 4 2 2 2 2 2 3 4 3" xfId="6445"/>
    <cellStyle name="Comma 4 2 2 2 2 2 3 5" xfId="6446"/>
    <cellStyle name="Comma 4 2 2 2 2 2 3 6" xfId="6447"/>
    <cellStyle name="Comma 4 2 2 2 2 2 4" xfId="6448"/>
    <cellStyle name="Comma 4 2 2 2 2 2 4 2" xfId="6449"/>
    <cellStyle name="Comma 4 2 2 2 2 2 4 2 2" xfId="6450"/>
    <cellStyle name="Comma 4 2 2 2 2 2 4 2 3" xfId="6451"/>
    <cellStyle name="Comma 4 2 2 2 2 2 4 3" xfId="6452"/>
    <cellStyle name="Comma 4 2 2 2 2 2 4 3 2" xfId="6453"/>
    <cellStyle name="Comma 4 2 2 2 2 2 4 3 3" xfId="6454"/>
    <cellStyle name="Comma 4 2 2 2 2 2 4 4" xfId="6455"/>
    <cellStyle name="Comma 4 2 2 2 2 2 4 5" xfId="6456"/>
    <cellStyle name="Comma 4 2 2 2 2 2 5" xfId="6457"/>
    <cellStyle name="Comma 4 2 2 2 2 2 5 2" xfId="6458"/>
    <cellStyle name="Comma 4 2 2 2 2 2 5 3" xfId="6459"/>
    <cellStyle name="Comma 4 2 2 2 2 2 6" xfId="6460"/>
    <cellStyle name="Comma 4 2 2 2 2 2 6 2" xfId="6461"/>
    <cellStyle name="Comma 4 2 2 2 2 2 6 3" xfId="6462"/>
    <cellStyle name="Comma 4 2 2 2 2 2 7" xfId="6463"/>
    <cellStyle name="Comma 4 2 2 2 2 2 8" xfId="6464"/>
    <cellStyle name="Comma 4 2 2 2 2 3" xfId="6465"/>
    <cellStyle name="Comma 4 2 2 2 2 3 2" xfId="6466"/>
    <cellStyle name="Comma 4 2 2 2 2 3 2 2" xfId="6467"/>
    <cellStyle name="Comma 4 2 2 2 2 3 2 2 2" xfId="6468"/>
    <cellStyle name="Comma 4 2 2 2 2 3 2 2 3" xfId="6469"/>
    <cellStyle name="Comma 4 2 2 2 2 3 2 3" xfId="6470"/>
    <cellStyle name="Comma 4 2 2 2 2 3 2 3 2" xfId="6471"/>
    <cellStyle name="Comma 4 2 2 2 2 3 2 3 3" xfId="6472"/>
    <cellStyle name="Comma 4 2 2 2 2 3 2 4" xfId="6473"/>
    <cellStyle name="Comma 4 2 2 2 2 3 2 5" xfId="6474"/>
    <cellStyle name="Comma 4 2 2 2 2 3 3" xfId="6475"/>
    <cellStyle name="Comma 4 2 2 2 2 3 3 2" xfId="6476"/>
    <cellStyle name="Comma 4 2 2 2 2 3 3 3" xfId="6477"/>
    <cellStyle name="Comma 4 2 2 2 2 3 4" xfId="6478"/>
    <cellStyle name="Comma 4 2 2 2 2 3 4 2" xfId="6479"/>
    <cellStyle name="Comma 4 2 2 2 2 3 4 3" xfId="6480"/>
    <cellStyle name="Comma 4 2 2 2 2 3 5" xfId="6481"/>
    <cellStyle name="Comma 4 2 2 2 2 3 6" xfId="6482"/>
    <cellStyle name="Comma 4 2 2 2 2 4" xfId="6483"/>
    <cellStyle name="Comma 4 2 2 2 2 4 2" xfId="6484"/>
    <cellStyle name="Comma 4 2 2 2 2 4 2 2" xfId="6485"/>
    <cellStyle name="Comma 4 2 2 2 2 4 2 2 2" xfId="6486"/>
    <cellStyle name="Comma 4 2 2 2 2 4 2 2 3" xfId="6487"/>
    <cellStyle name="Comma 4 2 2 2 2 4 2 3" xfId="6488"/>
    <cellStyle name="Comma 4 2 2 2 2 4 2 3 2" xfId="6489"/>
    <cellStyle name="Comma 4 2 2 2 2 4 2 3 3" xfId="6490"/>
    <cellStyle name="Comma 4 2 2 2 2 4 2 4" xfId="6491"/>
    <cellStyle name="Comma 4 2 2 2 2 4 2 5" xfId="6492"/>
    <cellStyle name="Comma 4 2 2 2 2 4 3" xfId="6493"/>
    <cellStyle name="Comma 4 2 2 2 2 4 3 2" xfId="6494"/>
    <cellStyle name="Comma 4 2 2 2 2 4 3 3" xfId="6495"/>
    <cellStyle name="Comma 4 2 2 2 2 4 4" xfId="6496"/>
    <cellStyle name="Comma 4 2 2 2 2 4 4 2" xfId="6497"/>
    <cellStyle name="Comma 4 2 2 2 2 4 4 3" xfId="6498"/>
    <cellStyle name="Comma 4 2 2 2 2 4 5" xfId="6499"/>
    <cellStyle name="Comma 4 2 2 2 2 4 6" xfId="6500"/>
    <cellStyle name="Comma 4 2 2 2 2 5" xfId="6501"/>
    <cellStyle name="Comma 4 2 2 2 2 5 2" xfId="6502"/>
    <cellStyle name="Comma 4 2 2 2 2 5 2 2" xfId="6503"/>
    <cellStyle name="Comma 4 2 2 2 2 5 2 3" xfId="6504"/>
    <cellStyle name="Comma 4 2 2 2 2 5 3" xfId="6505"/>
    <cellStyle name="Comma 4 2 2 2 2 5 3 2" xfId="6506"/>
    <cellStyle name="Comma 4 2 2 2 2 5 3 3" xfId="6507"/>
    <cellStyle name="Comma 4 2 2 2 2 5 4" xfId="6508"/>
    <cellStyle name="Comma 4 2 2 2 2 5 5" xfId="6509"/>
    <cellStyle name="Comma 4 2 2 2 2 6" xfId="6510"/>
    <cellStyle name="Comma 4 2 2 2 2 6 2" xfId="6511"/>
    <cellStyle name="Comma 4 2 2 2 2 6 3" xfId="6512"/>
    <cellStyle name="Comma 4 2 2 2 2 7" xfId="6513"/>
    <cellStyle name="Comma 4 2 2 2 2 7 2" xfId="6514"/>
    <cellStyle name="Comma 4 2 2 2 2 7 3" xfId="6515"/>
    <cellStyle name="Comma 4 2 2 2 2 8" xfId="6516"/>
    <cellStyle name="Comma 4 2 2 2 2 9" xfId="6517"/>
    <cellStyle name="Comma 4 2 2 2 3" xfId="6518"/>
    <cellStyle name="Comma 4 2 2 2 3 2" xfId="6519"/>
    <cellStyle name="Comma 4 2 2 2 3 2 2" xfId="6520"/>
    <cellStyle name="Comma 4 2 2 2 3 2 2 2" xfId="6521"/>
    <cellStyle name="Comma 4 2 2 2 3 2 2 2 2" xfId="6522"/>
    <cellStyle name="Comma 4 2 2 2 3 2 2 2 3" xfId="6523"/>
    <cellStyle name="Comma 4 2 2 2 3 2 2 3" xfId="6524"/>
    <cellStyle name="Comma 4 2 2 2 3 2 2 3 2" xfId="6525"/>
    <cellStyle name="Comma 4 2 2 2 3 2 2 3 3" xfId="6526"/>
    <cellStyle name="Comma 4 2 2 2 3 2 2 4" xfId="6527"/>
    <cellStyle name="Comma 4 2 2 2 3 2 2 5" xfId="6528"/>
    <cellStyle name="Comma 4 2 2 2 3 2 3" xfId="6529"/>
    <cellStyle name="Comma 4 2 2 2 3 2 3 2" xfId="6530"/>
    <cellStyle name="Comma 4 2 2 2 3 2 3 3" xfId="6531"/>
    <cellStyle name="Comma 4 2 2 2 3 2 4" xfId="6532"/>
    <cellStyle name="Comma 4 2 2 2 3 2 4 2" xfId="6533"/>
    <cellStyle name="Comma 4 2 2 2 3 2 4 3" xfId="6534"/>
    <cellStyle name="Comma 4 2 2 2 3 2 5" xfId="6535"/>
    <cellStyle name="Comma 4 2 2 2 3 2 6" xfId="6536"/>
    <cellStyle name="Comma 4 2 2 2 3 3" xfId="6537"/>
    <cellStyle name="Comma 4 2 2 2 3 3 2" xfId="6538"/>
    <cellStyle name="Comma 4 2 2 2 3 3 2 2" xfId="6539"/>
    <cellStyle name="Comma 4 2 2 2 3 3 2 2 2" xfId="6540"/>
    <cellStyle name="Comma 4 2 2 2 3 3 2 2 3" xfId="6541"/>
    <cellStyle name="Comma 4 2 2 2 3 3 2 3" xfId="6542"/>
    <cellStyle name="Comma 4 2 2 2 3 3 2 3 2" xfId="6543"/>
    <cellStyle name="Comma 4 2 2 2 3 3 2 3 3" xfId="6544"/>
    <cellStyle name="Comma 4 2 2 2 3 3 2 4" xfId="6545"/>
    <cellStyle name="Comma 4 2 2 2 3 3 2 5" xfId="6546"/>
    <cellStyle name="Comma 4 2 2 2 3 3 3" xfId="6547"/>
    <cellStyle name="Comma 4 2 2 2 3 3 3 2" xfId="6548"/>
    <cellStyle name="Comma 4 2 2 2 3 3 3 3" xfId="6549"/>
    <cellStyle name="Comma 4 2 2 2 3 3 4" xfId="6550"/>
    <cellStyle name="Comma 4 2 2 2 3 3 4 2" xfId="6551"/>
    <cellStyle name="Comma 4 2 2 2 3 3 4 3" xfId="6552"/>
    <cellStyle name="Comma 4 2 2 2 3 3 5" xfId="6553"/>
    <cellStyle name="Comma 4 2 2 2 3 3 6" xfId="6554"/>
    <cellStyle name="Comma 4 2 2 2 3 4" xfId="6555"/>
    <cellStyle name="Comma 4 2 2 2 3 4 2" xfId="6556"/>
    <cellStyle name="Comma 4 2 2 2 3 4 2 2" xfId="6557"/>
    <cellStyle name="Comma 4 2 2 2 3 4 2 3" xfId="6558"/>
    <cellStyle name="Comma 4 2 2 2 3 4 3" xfId="6559"/>
    <cellStyle name="Comma 4 2 2 2 3 4 3 2" xfId="6560"/>
    <cellStyle name="Comma 4 2 2 2 3 4 3 3" xfId="6561"/>
    <cellStyle name="Comma 4 2 2 2 3 4 4" xfId="6562"/>
    <cellStyle name="Comma 4 2 2 2 3 4 5" xfId="6563"/>
    <cellStyle name="Comma 4 2 2 2 3 5" xfId="6564"/>
    <cellStyle name="Comma 4 2 2 2 3 5 2" xfId="6565"/>
    <cellStyle name="Comma 4 2 2 2 3 5 3" xfId="6566"/>
    <cellStyle name="Comma 4 2 2 2 3 6" xfId="6567"/>
    <cellStyle name="Comma 4 2 2 2 3 6 2" xfId="6568"/>
    <cellStyle name="Comma 4 2 2 2 3 6 3" xfId="6569"/>
    <cellStyle name="Comma 4 2 2 2 3 7" xfId="6570"/>
    <cellStyle name="Comma 4 2 2 2 3 8" xfId="6571"/>
    <cellStyle name="Comma 4 2 2 2 4" xfId="6572"/>
    <cellStyle name="Comma 4 2 2 2 4 2" xfId="6573"/>
    <cellStyle name="Comma 4 2 2 2 4 2 2" xfId="6574"/>
    <cellStyle name="Comma 4 2 2 2 4 2 2 2" xfId="6575"/>
    <cellStyle name="Comma 4 2 2 2 4 2 2 3" xfId="6576"/>
    <cellStyle name="Comma 4 2 2 2 4 2 3" xfId="6577"/>
    <cellStyle name="Comma 4 2 2 2 4 2 3 2" xfId="6578"/>
    <cellStyle name="Comma 4 2 2 2 4 2 3 3" xfId="6579"/>
    <cellStyle name="Comma 4 2 2 2 4 2 4" xfId="6580"/>
    <cellStyle name="Comma 4 2 2 2 4 2 5" xfId="6581"/>
    <cellStyle name="Comma 4 2 2 2 4 3" xfId="6582"/>
    <cellStyle name="Comma 4 2 2 2 4 3 2" xfId="6583"/>
    <cellStyle name="Comma 4 2 2 2 4 3 3" xfId="6584"/>
    <cellStyle name="Comma 4 2 2 2 4 4" xfId="6585"/>
    <cellStyle name="Comma 4 2 2 2 4 4 2" xfId="6586"/>
    <cellStyle name="Comma 4 2 2 2 4 4 3" xfId="6587"/>
    <cellStyle name="Comma 4 2 2 2 4 5" xfId="6588"/>
    <cellStyle name="Comma 4 2 2 2 4 6" xfId="6589"/>
    <cellStyle name="Comma 4 2 2 2 5" xfId="6590"/>
    <cellStyle name="Comma 4 2 2 2 5 2" xfId="6591"/>
    <cellStyle name="Comma 4 2 2 2 5 2 2" xfId="6592"/>
    <cellStyle name="Comma 4 2 2 2 5 2 2 2" xfId="6593"/>
    <cellStyle name="Comma 4 2 2 2 5 2 2 3" xfId="6594"/>
    <cellStyle name="Comma 4 2 2 2 5 2 3" xfId="6595"/>
    <cellStyle name="Comma 4 2 2 2 5 2 3 2" xfId="6596"/>
    <cellStyle name="Comma 4 2 2 2 5 2 3 3" xfId="6597"/>
    <cellStyle name="Comma 4 2 2 2 5 2 4" xfId="6598"/>
    <cellStyle name="Comma 4 2 2 2 5 2 5" xfId="6599"/>
    <cellStyle name="Comma 4 2 2 2 5 3" xfId="6600"/>
    <cellStyle name="Comma 4 2 2 2 5 3 2" xfId="6601"/>
    <cellStyle name="Comma 4 2 2 2 5 3 3" xfId="6602"/>
    <cellStyle name="Comma 4 2 2 2 5 4" xfId="6603"/>
    <cellStyle name="Comma 4 2 2 2 5 4 2" xfId="6604"/>
    <cellStyle name="Comma 4 2 2 2 5 4 3" xfId="6605"/>
    <cellStyle name="Comma 4 2 2 2 5 5" xfId="6606"/>
    <cellStyle name="Comma 4 2 2 2 5 6" xfId="6607"/>
    <cellStyle name="Comma 4 2 2 2 6" xfId="6608"/>
    <cellStyle name="Comma 4 2 2 2 6 2" xfId="6609"/>
    <cellStyle name="Comma 4 2 2 2 6 2 2" xfId="6610"/>
    <cellStyle name="Comma 4 2 2 2 6 2 3" xfId="6611"/>
    <cellStyle name="Comma 4 2 2 2 6 3" xfId="6612"/>
    <cellStyle name="Comma 4 2 2 2 6 3 2" xfId="6613"/>
    <cellStyle name="Comma 4 2 2 2 6 3 3" xfId="6614"/>
    <cellStyle name="Comma 4 2 2 2 6 4" xfId="6615"/>
    <cellStyle name="Comma 4 2 2 2 6 5" xfId="6616"/>
    <cellStyle name="Comma 4 2 2 2 7" xfId="6617"/>
    <cellStyle name="Comma 4 2 2 2 7 2" xfId="6618"/>
    <cellStyle name="Comma 4 2 2 2 7 3" xfId="6619"/>
    <cellStyle name="Comma 4 2 2 2 8" xfId="6620"/>
    <cellStyle name="Comma 4 2 2 2 8 2" xfId="6621"/>
    <cellStyle name="Comma 4 2 2 2 8 3" xfId="6622"/>
    <cellStyle name="Comma 4 2 2 2 9" xfId="6623"/>
    <cellStyle name="Comma 4 2 2 3" xfId="6624"/>
    <cellStyle name="Comma 4 2 2 3 10" xfId="6625"/>
    <cellStyle name="Comma 4 2 2 3 2" xfId="6626"/>
    <cellStyle name="Comma 4 2 2 3 2 2" xfId="6627"/>
    <cellStyle name="Comma 4 2 2 3 2 2 2" xfId="6628"/>
    <cellStyle name="Comma 4 2 2 3 2 2 2 2" xfId="6629"/>
    <cellStyle name="Comma 4 2 2 3 2 2 2 2 2" xfId="6630"/>
    <cellStyle name="Comma 4 2 2 3 2 2 2 2 2 2" xfId="6631"/>
    <cellStyle name="Comma 4 2 2 3 2 2 2 2 2 3" xfId="6632"/>
    <cellStyle name="Comma 4 2 2 3 2 2 2 2 3" xfId="6633"/>
    <cellStyle name="Comma 4 2 2 3 2 2 2 2 3 2" xfId="6634"/>
    <cellStyle name="Comma 4 2 2 3 2 2 2 2 3 3" xfId="6635"/>
    <cellStyle name="Comma 4 2 2 3 2 2 2 2 4" xfId="6636"/>
    <cellStyle name="Comma 4 2 2 3 2 2 2 2 5" xfId="6637"/>
    <cellStyle name="Comma 4 2 2 3 2 2 2 3" xfId="6638"/>
    <cellStyle name="Comma 4 2 2 3 2 2 2 3 2" xfId="6639"/>
    <cellStyle name="Comma 4 2 2 3 2 2 2 3 3" xfId="6640"/>
    <cellStyle name="Comma 4 2 2 3 2 2 2 4" xfId="6641"/>
    <cellStyle name="Comma 4 2 2 3 2 2 2 4 2" xfId="6642"/>
    <cellStyle name="Comma 4 2 2 3 2 2 2 4 3" xfId="6643"/>
    <cellStyle name="Comma 4 2 2 3 2 2 2 5" xfId="6644"/>
    <cellStyle name="Comma 4 2 2 3 2 2 2 6" xfId="6645"/>
    <cellStyle name="Comma 4 2 2 3 2 2 3" xfId="6646"/>
    <cellStyle name="Comma 4 2 2 3 2 2 3 2" xfId="6647"/>
    <cellStyle name="Comma 4 2 2 3 2 2 3 2 2" xfId="6648"/>
    <cellStyle name="Comma 4 2 2 3 2 2 3 2 2 2" xfId="6649"/>
    <cellStyle name="Comma 4 2 2 3 2 2 3 2 2 3" xfId="6650"/>
    <cellStyle name="Comma 4 2 2 3 2 2 3 2 3" xfId="6651"/>
    <cellStyle name="Comma 4 2 2 3 2 2 3 2 3 2" xfId="6652"/>
    <cellStyle name="Comma 4 2 2 3 2 2 3 2 3 3" xfId="6653"/>
    <cellStyle name="Comma 4 2 2 3 2 2 3 2 4" xfId="6654"/>
    <cellStyle name="Comma 4 2 2 3 2 2 3 2 5" xfId="6655"/>
    <cellStyle name="Comma 4 2 2 3 2 2 3 3" xfId="6656"/>
    <cellStyle name="Comma 4 2 2 3 2 2 3 3 2" xfId="6657"/>
    <cellStyle name="Comma 4 2 2 3 2 2 3 3 3" xfId="6658"/>
    <cellStyle name="Comma 4 2 2 3 2 2 3 4" xfId="6659"/>
    <cellStyle name="Comma 4 2 2 3 2 2 3 4 2" xfId="6660"/>
    <cellStyle name="Comma 4 2 2 3 2 2 3 4 3" xfId="6661"/>
    <cellStyle name="Comma 4 2 2 3 2 2 3 5" xfId="6662"/>
    <cellStyle name="Comma 4 2 2 3 2 2 3 6" xfId="6663"/>
    <cellStyle name="Comma 4 2 2 3 2 2 4" xfId="6664"/>
    <cellStyle name="Comma 4 2 2 3 2 2 4 2" xfId="6665"/>
    <cellStyle name="Comma 4 2 2 3 2 2 4 2 2" xfId="6666"/>
    <cellStyle name="Comma 4 2 2 3 2 2 4 2 3" xfId="6667"/>
    <cellStyle name="Comma 4 2 2 3 2 2 4 3" xfId="6668"/>
    <cellStyle name="Comma 4 2 2 3 2 2 4 3 2" xfId="6669"/>
    <cellStyle name="Comma 4 2 2 3 2 2 4 3 3" xfId="6670"/>
    <cellStyle name="Comma 4 2 2 3 2 2 4 4" xfId="6671"/>
    <cellStyle name="Comma 4 2 2 3 2 2 4 5" xfId="6672"/>
    <cellStyle name="Comma 4 2 2 3 2 2 5" xfId="6673"/>
    <cellStyle name="Comma 4 2 2 3 2 2 5 2" xfId="6674"/>
    <cellStyle name="Comma 4 2 2 3 2 2 5 3" xfId="6675"/>
    <cellStyle name="Comma 4 2 2 3 2 2 6" xfId="6676"/>
    <cellStyle name="Comma 4 2 2 3 2 2 6 2" xfId="6677"/>
    <cellStyle name="Comma 4 2 2 3 2 2 6 3" xfId="6678"/>
    <cellStyle name="Comma 4 2 2 3 2 2 7" xfId="6679"/>
    <cellStyle name="Comma 4 2 2 3 2 2 8" xfId="6680"/>
    <cellStyle name="Comma 4 2 2 3 2 3" xfId="6681"/>
    <cellStyle name="Comma 4 2 2 3 2 3 2" xfId="6682"/>
    <cellStyle name="Comma 4 2 2 3 2 3 2 2" xfId="6683"/>
    <cellStyle name="Comma 4 2 2 3 2 3 2 2 2" xfId="6684"/>
    <cellStyle name="Comma 4 2 2 3 2 3 2 2 3" xfId="6685"/>
    <cellStyle name="Comma 4 2 2 3 2 3 2 3" xfId="6686"/>
    <cellStyle name="Comma 4 2 2 3 2 3 2 3 2" xfId="6687"/>
    <cellStyle name="Comma 4 2 2 3 2 3 2 3 3" xfId="6688"/>
    <cellStyle name="Comma 4 2 2 3 2 3 2 4" xfId="6689"/>
    <cellStyle name="Comma 4 2 2 3 2 3 2 5" xfId="6690"/>
    <cellStyle name="Comma 4 2 2 3 2 3 3" xfId="6691"/>
    <cellStyle name="Comma 4 2 2 3 2 3 3 2" xfId="6692"/>
    <cellStyle name="Comma 4 2 2 3 2 3 3 3" xfId="6693"/>
    <cellStyle name="Comma 4 2 2 3 2 3 4" xfId="6694"/>
    <cellStyle name="Comma 4 2 2 3 2 3 4 2" xfId="6695"/>
    <cellStyle name="Comma 4 2 2 3 2 3 4 3" xfId="6696"/>
    <cellStyle name="Comma 4 2 2 3 2 3 5" xfId="6697"/>
    <cellStyle name="Comma 4 2 2 3 2 3 6" xfId="6698"/>
    <cellStyle name="Comma 4 2 2 3 2 4" xfId="6699"/>
    <cellStyle name="Comma 4 2 2 3 2 4 2" xfId="6700"/>
    <cellStyle name="Comma 4 2 2 3 2 4 2 2" xfId="6701"/>
    <cellStyle name="Comma 4 2 2 3 2 4 2 2 2" xfId="6702"/>
    <cellStyle name="Comma 4 2 2 3 2 4 2 2 3" xfId="6703"/>
    <cellStyle name="Comma 4 2 2 3 2 4 2 3" xfId="6704"/>
    <cellStyle name="Comma 4 2 2 3 2 4 2 3 2" xfId="6705"/>
    <cellStyle name="Comma 4 2 2 3 2 4 2 3 3" xfId="6706"/>
    <cellStyle name="Comma 4 2 2 3 2 4 2 4" xfId="6707"/>
    <cellStyle name="Comma 4 2 2 3 2 4 2 5" xfId="6708"/>
    <cellStyle name="Comma 4 2 2 3 2 4 3" xfId="6709"/>
    <cellStyle name="Comma 4 2 2 3 2 4 3 2" xfId="6710"/>
    <cellStyle name="Comma 4 2 2 3 2 4 3 3" xfId="6711"/>
    <cellStyle name="Comma 4 2 2 3 2 4 4" xfId="6712"/>
    <cellStyle name="Comma 4 2 2 3 2 4 4 2" xfId="6713"/>
    <cellStyle name="Comma 4 2 2 3 2 4 4 3" xfId="6714"/>
    <cellStyle name="Comma 4 2 2 3 2 4 5" xfId="6715"/>
    <cellStyle name="Comma 4 2 2 3 2 4 6" xfId="6716"/>
    <cellStyle name="Comma 4 2 2 3 2 5" xfId="6717"/>
    <cellStyle name="Comma 4 2 2 3 2 5 2" xfId="6718"/>
    <cellStyle name="Comma 4 2 2 3 2 5 2 2" xfId="6719"/>
    <cellStyle name="Comma 4 2 2 3 2 5 2 3" xfId="6720"/>
    <cellStyle name="Comma 4 2 2 3 2 5 3" xfId="6721"/>
    <cellStyle name="Comma 4 2 2 3 2 5 3 2" xfId="6722"/>
    <cellStyle name="Comma 4 2 2 3 2 5 3 3" xfId="6723"/>
    <cellStyle name="Comma 4 2 2 3 2 5 4" xfId="6724"/>
    <cellStyle name="Comma 4 2 2 3 2 5 5" xfId="6725"/>
    <cellStyle name="Comma 4 2 2 3 2 6" xfId="6726"/>
    <cellStyle name="Comma 4 2 2 3 2 6 2" xfId="6727"/>
    <cellStyle name="Comma 4 2 2 3 2 6 3" xfId="6728"/>
    <cellStyle name="Comma 4 2 2 3 2 7" xfId="6729"/>
    <cellStyle name="Comma 4 2 2 3 2 7 2" xfId="6730"/>
    <cellStyle name="Comma 4 2 2 3 2 7 3" xfId="6731"/>
    <cellStyle name="Comma 4 2 2 3 2 8" xfId="6732"/>
    <cellStyle name="Comma 4 2 2 3 2 9" xfId="6733"/>
    <cellStyle name="Comma 4 2 2 3 3" xfId="6734"/>
    <cellStyle name="Comma 4 2 2 3 3 2" xfId="6735"/>
    <cellStyle name="Comma 4 2 2 3 3 2 2" xfId="6736"/>
    <cellStyle name="Comma 4 2 2 3 3 2 2 2" xfId="6737"/>
    <cellStyle name="Comma 4 2 2 3 3 2 2 2 2" xfId="6738"/>
    <cellStyle name="Comma 4 2 2 3 3 2 2 2 3" xfId="6739"/>
    <cellStyle name="Comma 4 2 2 3 3 2 2 3" xfId="6740"/>
    <cellStyle name="Comma 4 2 2 3 3 2 2 3 2" xfId="6741"/>
    <cellStyle name="Comma 4 2 2 3 3 2 2 3 3" xfId="6742"/>
    <cellStyle name="Comma 4 2 2 3 3 2 2 4" xfId="6743"/>
    <cellStyle name="Comma 4 2 2 3 3 2 2 5" xfId="6744"/>
    <cellStyle name="Comma 4 2 2 3 3 2 3" xfId="6745"/>
    <cellStyle name="Comma 4 2 2 3 3 2 3 2" xfId="6746"/>
    <cellStyle name="Comma 4 2 2 3 3 2 3 3" xfId="6747"/>
    <cellStyle name="Comma 4 2 2 3 3 2 4" xfId="6748"/>
    <cellStyle name="Comma 4 2 2 3 3 2 4 2" xfId="6749"/>
    <cellStyle name="Comma 4 2 2 3 3 2 4 3" xfId="6750"/>
    <cellStyle name="Comma 4 2 2 3 3 2 5" xfId="6751"/>
    <cellStyle name="Comma 4 2 2 3 3 2 6" xfId="6752"/>
    <cellStyle name="Comma 4 2 2 3 3 3" xfId="6753"/>
    <cellStyle name="Comma 4 2 2 3 3 3 2" xfId="6754"/>
    <cellStyle name="Comma 4 2 2 3 3 3 2 2" xfId="6755"/>
    <cellStyle name="Comma 4 2 2 3 3 3 2 2 2" xfId="6756"/>
    <cellStyle name="Comma 4 2 2 3 3 3 2 2 3" xfId="6757"/>
    <cellStyle name="Comma 4 2 2 3 3 3 2 3" xfId="6758"/>
    <cellStyle name="Comma 4 2 2 3 3 3 2 3 2" xfId="6759"/>
    <cellStyle name="Comma 4 2 2 3 3 3 2 3 3" xfId="6760"/>
    <cellStyle name="Comma 4 2 2 3 3 3 2 4" xfId="6761"/>
    <cellStyle name="Comma 4 2 2 3 3 3 2 5" xfId="6762"/>
    <cellStyle name="Comma 4 2 2 3 3 3 3" xfId="6763"/>
    <cellStyle name="Comma 4 2 2 3 3 3 3 2" xfId="6764"/>
    <cellStyle name="Comma 4 2 2 3 3 3 3 3" xfId="6765"/>
    <cellStyle name="Comma 4 2 2 3 3 3 4" xfId="6766"/>
    <cellStyle name="Comma 4 2 2 3 3 3 4 2" xfId="6767"/>
    <cellStyle name="Comma 4 2 2 3 3 3 4 3" xfId="6768"/>
    <cellStyle name="Comma 4 2 2 3 3 3 5" xfId="6769"/>
    <cellStyle name="Comma 4 2 2 3 3 3 6" xfId="6770"/>
    <cellStyle name="Comma 4 2 2 3 3 4" xfId="6771"/>
    <cellStyle name="Comma 4 2 2 3 3 4 2" xfId="6772"/>
    <cellStyle name="Comma 4 2 2 3 3 4 2 2" xfId="6773"/>
    <cellStyle name="Comma 4 2 2 3 3 4 2 3" xfId="6774"/>
    <cellStyle name="Comma 4 2 2 3 3 4 3" xfId="6775"/>
    <cellStyle name="Comma 4 2 2 3 3 4 3 2" xfId="6776"/>
    <cellStyle name="Comma 4 2 2 3 3 4 3 3" xfId="6777"/>
    <cellStyle name="Comma 4 2 2 3 3 4 4" xfId="6778"/>
    <cellStyle name="Comma 4 2 2 3 3 4 5" xfId="6779"/>
    <cellStyle name="Comma 4 2 2 3 3 5" xfId="6780"/>
    <cellStyle name="Comma 4 2 2 3 3 5 2" xfId="6781"/>
    <cellStyle name="Comma 4 2 2 3 3 5 3" xfId="6782"/>
    <cellStyle name="Comma 4 2 2 3 3 6" xfId="6783"/>
    <cellStyle name="Comma 4 2 2 3 3 6 2" xfId="6784"/>
    <cellStyle name="Comma 4 2 2 3 3 6 3" xfId="6785"/>
    <cellStyle name="Comma 4 2 2 3 3 7" xfId="6786"/>
    <cellStyle name="Comma 4 2 2 3 3 8" xfId="6787"/>
    <cellStyle name="Comma 4 2 2 3 4" xfId="6788"/>
    <cellStyle name="Comma 4 2 2 3 4 2" xfId="6789"/>
    <cellStyle name="Comma 4 2 2 3 4 2 2" xfId="6790"/>
    <cellStyle name="Comma 4 2 2 3 4 2 2 2" xfId="6791"/>
    <cellStyle name="Comma 4 2 2 3 4 2 2 3" xfId="6792"/>
    <cellStyle name="Comma 4 2 2 3 4 2 3" xfId="6793"/>
    <cellStyle name="Comma 4 2 2 3 4 2 3 2" xfId="6794"/>
    <cellStyle name="Comma 4 2 2 3 4 2 3 3" xfId="6795"/>
    <cellStyle name="Comma 4 2 2 3 4 2 4" xfId="6796"/>
    <cellStyle name="Comma 4 2 2 3 4 2 5" xfId="6797"/>
    <cellStyle name="Comma 4 2 2 3 4 3" xfId="6798"/>
    <cellStyle name="Comma 4 2 2 3 4 3 2" xfId="6799"/>
    <cellStyle name="Comma 4 2 2 3 4 3 3" xfId="6800"/>
    <cellStyle name="Comma 4 2 2 3 4 4" xfId="6801"/>
    <cellStyle name="Comma 4 2 2 3 4 4 2" xfId="6802"/>
    <cellStyle name="Comma 4 2 2 3 4 4 3" xfId="6803"/>
    <cellStyle name="Comma 4 2 2 3 4 5" xfId="6804"/>
    <cellStyle name="Comma 4 2 2 3 4 6" xfId="6805"/>
    <cellStyle name="Comma 4 2 2 3 5" xfId="6806"/>
    <cellStyle name="Comma 4 2 2 3 5 2" xfId="6807"/>
    <cellStyle name="Comma 4 2 2 3 5 2 2" xfId="6808"/>
    <cellStyle name="Comma 4 2 2 3 5 2 2 2" xfId="6809"/>
    <cellStyle name="Comma 4 2 2 3 5 2 2 3" xfId="6810"/>
    <cellStyle name="Comma 4 2 2 3 5 2 3" xfId="6811"/>
    <cellStyle name="Comma 4 2 2 3 5 2 3 2" xfId="6812"/>
    <cellStyle name="Comma 4 2 2 3 5 2 3 3" xfId="6813"/>
    <cellStyle name="Comma 4 2 2 3 5 2 4" xfId="6814"/>
    <cellStyle name="Comma 4 2 2 3 5 2 5" xfId="6815"/>
    <cellStyle name="Comma 4 2 2 3 5 3" xfId="6816"/>
    <cellStyle name="Comma 4 2 2 3 5 3 2" xfId="6817"/>
    <cellStyle name="Comma 4 2 2 3 5 3 3" xfId="6818"/>
    <cellStyle name="Comma 4 2 2 3 5 4" xfId="6819"/>
    <cellStyle name="Comma 4 2 2 3 5 4 2" xfId="6820"/>
    <cellStyle name="Comma 4 2 2 3 5 4 3" xfId="6821"/>
    <cellStyle name="Comma 4 2 2 3 5 5" xfId="6822"/>
    <cellStyle name="Comma 4 2 2 3 5 6" xfId="6823"/>
    <cellStyle name="Comma 4 2 2 3 6" xfId="6824"/>
    <cellStyle name="Comma 4 2 2 3 6 2" xfId="6825"/>
    <cellStyle name="Comma 4 2 2 3 6 2 2" xfId="6826"/>
    <cellStyle name="Comma 4 2 2 3 6 2 3" xfId="6827"/>
    <cellStyle name="Comma 4 2 2 3 6 3" xfId="6828"/>
    <cellStyle name="Comma 4 2 2 3 6 3 2" xfId="6829"/>
    <cellStyle name="Comma 4 2 2 3 6 3 3" xfId="6830"/>
    <cellStyle name="Comma 4 2 2 3 6 4" xfId="6831"/>
    <cellStyle name="Comma 4 2 2 3 6 5" xfId="6832"/>
    <cellStyle name="Comma 4 2 2 3 7" xfId="6833"/>
    <cellStyle name="Comma 4 2 2 3 7 2" xfId="6834"/>
    <cellStyle name="Comma 4 2 2 3 7 3" xfId="6835"/>
    <cellStyle name="Comma 4 2 2 3 8" xfId="6836"/>
    <cellStyle name="Comma 4 2 2 3 8 2" xfId="6837"/>
    <cellStyle name="Comma 4 2 2 3 8 3" xfId="6838"/>
    <cellStyle name="Comma 4 2 2 3 9" xfId="6839"/>
    <cellStyle name="Comma 4 2 2 4" xfId="6840"/>
    <cellStyle name="Comma 4 2 2 4 2" xfId="6841"/>
    <cellStyle name="Comma 4 2 2 4 2 2" xfId="6842"/>
    <cellStyle name="Comma 4 2 2 4 2 2 2" xfId="6843"/>
    <cellStyle name="Comma 4 2 2 4 2 2 2 2" xfId="6844"/>
    <cellStyle name="Comma 4 2 2 4 2 2 2 2 2" xfId="6845"/>
    <cellStyle name="Comma 4 2 2 4 2 2 2 2 3" xfId="6846"/>
    <cellStyle name="Comma 4 2 2 4 2 2 2 3" xfId="6847"/>
    <cellStyle name="Comma 4 2 2 4 2 2 2 3 2" xfId="6848"/>
    <cellStyle name="Comma 4 2 2 4 2 2 2 3 3" xfId="6849"/>
    <cellStyle name="Comma 4 2 2 4 2 2 2 4" xfId="6850"/>
    <cellStyle name="Comma 4 2 2 4 2 2 2 5" xfId="6851"/>
    <cellStyle name="Comma 4 2 2 4 2 2 3" xfId="6852"/>
    <cellStyle name="Comma 4 2 2 4 2 2 3 2" xfId="6853"/>
    <cellStyle name="Comma 4 2 2 4 2 2 3 3" xfId="6854"/>
    <cellStyle name="Comma 4 2 2 4 2 2 4" xfId="6855"/>
    <cellStyle name="Comma 4 2 2 4 2 2 4 2" xfId="6856"/>
    <cellStyle name="Comma 4 2 2 4 2 2 4 3" xfId="6857"/>
    <cellStyle name="Comma 4 2 2 4 2 2 5" xfId="6858"/>
    <cellStyle name="Comma 4 2 2 4 2 2 6" xfId="6859"/>
    <cellStyle name="Comma 4 2 2 4 2 3" xfId="6860"/>
    <cellStyle name="Comma 4 2 2 4 2 3 2" xfId="6861"/>
    <cellStyle name="Comma 4 2 2 4 2 3 2 2" xfId="6862"/>
    <cellStyle name="Comma 4 2 2 4 2 3 2 2 2" xfId="6863"/>
    <cellStyle name="Comma 4 2 2 4 2 3 2 2 3" xfId="6864"/>
    <cellStyle name="Comma 4 2 2 4 2 3 2 3" xfId="6865"/>
    <cellStyle name="Comma 4 2 2 4 2 3 2 3 2" xfId="6866"/>
    <cellStyle name="Comma 4 2 2 4 2 3 2 3 3" xfId="6867"/>
    <cellStyle name="Comma 4 2 2 4 2 3 2 4" xfId="6868"/>
    <cellStyle name="Comma 4 2 2 4 2 3 2 5" xfId="6869"/>
    <cellStyle name="Comma 4 2 2 4 2 3 3" xfId="6870"/>
    <cellStyle name="Comma 4 2 2 4 2 3 3 2" xfId="6871"/>
    <cellStyle name="Comma 4 2 2 4 2 3 3 3" xfId="6872"/>
    <cellStyle name="Comma 4 2 2 4 2 3 4" xfId="6873"/>
    <cellStyle name="Comma 4 2 2 4 2 3 4 2" xfId="6874"/>
    <cellStyle name="Comma 4 2 2 4 2 3 4 3" xfId="6875"/>
    <cellStyle name="Comma 4 2 2 4 2 3 5" xfId="6876"/>
    <cellStyle name="Comma 4 2 2 4 2 3 6" xfId="6877"/>
    <cellStyle name="Comma 4 2 2 4 2 4" xfId="6878"/>
    <cellStyle name="Comma 4 2 2 4 2 4 2" xfId="6879"/>
    <cellStyle name="Comma 4 2 2 4 2 4 2 2" xfId="6880"/>
    <cellStyle name="Comma 4 2 2 4 2 4 2 3" xfId="6881"/>
    <cellStyle name="Comma 4 2 2 4 2 4 3" xfId="6882"/>
    <cellStyle name="Comma 4 2 2 4 2 4 3 2" xfId="6883"/>
    <cellStyle name="Comma 4 2 2 4 2 4 3 3" xfId="6884"/>
    <cellStyle name="Comma 4 2 2 4 2 4 4" xfId="6885"/>
    <cellStyle name="Comma 4 2 2 4 2 4 5" xfId="6886"/>
    <cellStyle name="Comma 4 2 2 4 2 5" xfId="6887"/>
    <cellStyle name="Comma 4 2 2 4 2 5 2" xfId="6888"/>
    <cellStyle name="Comma 4 2 2 4 2 5 3" xfId="6889"/>
    <cellStyle name="Comma 4 2 2 4 2 6" xfId="6890"/>
    <cellStyle name="Comma 4 2 2 4 2 6 2" xfId="6891"/>
    <cellStyle name="Comma 4 2 2 4 2 6 3" xfId="6892"/>
    <cellStyle name="Comma 4 2 2 4 2 7" xfId="6893"/>
    <cellStyle name="Comma 4 2 2 4 2 8" xfId="6894"/>
    <cellStyle name="Comma 4 2 2 4 3" xfId="6895"/>
    <cellStyle name="Comma 4 2 2 4 3 2" xfId="6896"/>
    <cellStyle name="Comma 4 2 2 4 3 2 2" xfId="6897"/>
    <cellStyle name="Comma 4 2 2 4 3 2 2 2" xfId="6898"/>
    <cellStyle name="Comma 4 2 2 4 3 2 2 3" xfId="6899"/>
    <cellStyle name="Comma 4 2 2 4 3 2 3" xfId="6900"/>
    <cellStyle name="Comma 4 2 2 4 3 2 3 2" xfId="6901"/>
    <cellStyle name="Comma 4 2 2 4 3 2 3 3" xfId="6902"/>
    <cellStyle name="Comma 4 2 2 4 3 2 4" xfId="6903"/>
    <cellStyle name="Comma 4 2 2 4 3 2 5" xfId="6904"/>
    <cellStyle name="Comma 4 2 2 4 3 3" xfId="6905"/>
    <cellStyle name="Comma 4 2 2 4 3 3 2" xfId="6906"/>
    <cellStyle name="Comma 4 2 2 4 3 3 3" xfId="6907"/>
    <cellStyle name="Comma 4 2 2 4 3 4" xfId="6908"/>
    <cellStyle name="Comma 4 2 2 4 3 4 2" xfId="6909"/>
    <cellStyle name="Comma 4 2 2 4 3 4 3" xfId="6910"/>
    <cellStyle name="Comma 4 2 2 4 3 5" xfId="6911"/>
    <cellStyle name="Comma 4 2 2 4 3 6" xfId="6912"/>
    <cellStyle name="Comma 4 2 2 4 4" xfId="6913"/>
    <cellStyle name="Comma 4 2 2 4 4 2" xfId="6914"/>
    <cellStyle name="Comma 4 2 2 4 4 2 2" xfId="6915"/>
    <cellStyle name="Comma 4 2 2 4 4 2 2 2" xfId="6916"/>
    <cellStyle name="Comma 4 2 2 4 4 2 2 3" xfId="6917"/>
    <cellStyle name="Comma 4 2 2 4 4 2 3" xfId="6918"/>
    <cellStyle name="Comma 4 2 2 4 4 2 3 2" xfId="6919"/>
    <cellStyle name="Comma 4 2 2 4 4 2 3 3" xfId="6920"/>
    <cellStyle name="Comma 4 2 2 4 4 2 4" xfId="6921"/>
    <cellStyle name="Comma 4 2 2 4 4 2 5" xfId="6922"/>
    <cellStyle name="Comma 4 2 2 4 4 3" xfId="6923"/>
    <cellStyle name="Comma 4 2 2 4 4 3 2" xfId="6924"/>
    <cellStyle name="Comma 4 2 2 4 4 3 3" xfId="6925"/>
    <cellStyle name="Comma 4 2 2 4 4 4" xfId="6926"/>
    <cellStyle name="Comma 4 2 2 4 4 4 2" xfId="6927"/>
    <cellStyle name="Comma 4 2 2 4 4 4 3" xfId="6928"/>
    <cellStyle name="Comma 4 2 2 4 4 5" xfId="6929"/>
    <cellStyle name="Comma 4 2 2 4 4 6" xfId="6930"/>
    <cellStyle name="Comma 4 2 2 4 5" xfId="6931"/>
    <cellStyle name="Comma 4 2 2 4 5 2" xfId="6932"/>
    <cellStyle name="Comma 4 2 2 4 5 2 2" xfId="6933"/>
    <cellStyle name="Comma 4 2 2 4 5 2 3" xfId="6934"/>
    <cellStyle name="Comma 4 2 2 4 5 3" xfId="6935"/>
    <cellStyle name="Comma 4 2 2 4 5 3 2" xfId="6936"/>
    <cellStyle name="Comma 4 2 2 4 5 3 3" xfId="6937"/>
    <cellStyle name="Comma 4 2 2 4 5 4" xfId="6938"/>
    <cellStyle name="Comma 4 2 2 4 5 5" xfId="6939"/>
    <cellStyle name="Comma 4 2 2 4 6" xfId="6940"/>
    <cellStyle name="Comma 4 2 2 4 6 2" xfId="6941"/>
    <cellStyle name="Comma 4 2 2 4 6 3" xfId="6942"/>
    <cellStyle name="Comma 4 2 2 4 7" xfId="6943"/>
    <cellStyle name="Comma 4 2 2 4 7 2" xfId="6944"/>
    <cellStyle name="Comma 4 2 2 4 7 3" xfId="6945"/>
    <cellStyle name="Comma 4 2 2 4 8" xfId="6946"/>
    <cellStyle name="Comma 4 2 2 4 9" xfId="6947"/>
    <cellStyle name="Comma 4 2 2 5" xfId="6948"/>
    <cellStyle name="Comma 4 2 2 5 2" xfId="6949"/>
    <cellStyle name="Comma 4 2 2 5 2 2" xfId="6950"/>
    <cellStyle name="Comma 4 2 2 5 2 2 2" xfId="6951"/>
    <cellStyle name="Comma 4 2 2 5 2 2 2 2" xfId="6952"/>
    <cellStyle name="Comma 4 2 2 5 2 2 2 3" xfId="6953"/>
    <cellStyle name="Comma 4 2 2 5 2 2 3" xfId="6954"/>
    <cellStyle name="Comma 4 2 2 5 2 2 3 2" xfId="6955"/>
    <cellStyle name="Comma 4 2 2 5 2 2 3 3" xfId="6956"/>
    <cellStyle name="Comma 4 2 2 5 2 2 4" xfId="6957"/>
    <cellStyle name="Comma 4 2 2 5 2 2 5" xfId="6958"/>
    <cellStyle name="Comma 4 2 2 5 2 3" xfId="6959"/>
    <cellStyle name="Comma 4 2 2 5 2 3 2" xfId="6960"/>
    <cellStyle name="Comma 4 2 2 5 2 3 3" xfId="6961"/>
    <cellStyle name="Comma 4 2 2 5 2 4" xfId="6962"/>
    <cellStyle name="Comma 4 2 2 5 2 4 2" xfId="6963"/>
    <cellStyle name="Comma 4 2 2 5 2 4 3" xfId="6964"/>
    <cellStyle name="Comma 4 2 2 5 2 5" xfId="6965"/>
    <cellStyle name="Comma 4 2 2 5 2 6" xfId="6966"/>
    <cellStyle name="Comma 4 2 2 5 3" xfId="6967"/>
    <cellStyle name="Comma 4 2 2 5 3 2" xfId="6968"/>
    <cellStyle name="Comma 4 2 2 5 3 2 2" xfId="6969"/>
    <cellStyle name="Comma 4 2 2 5 3 2 2 2" xfId="6970"/>
    <cellStyle name="Comma 4 2 2 5 3 2 2 3" xfId="6971"/>
    <cellStyle name="Comma 4 2 2 5 3 2 3" xfId="6972"/>
    <cellStyle name="Comma 4 2 2 5 3 2 3 2" xfId="6973"/>
    <cellStyle name="Comma 4 2 2 5 3 2 3 3" xfId="6974"/>
    <cellStyle name="Comma 4 2 2 5 3 2 4" xfId="6975"/>
    <cellStyle name="Comma 4 2 2 5 3 2 5" xfId="6976"/>
    <cellStyle name="Comma 4 2 2 5 3 3" xfId="6977"/>
    <cellStyle name="Comma 4 2 2 5 3 3 2" xfId="6978"/>
    <cellStyle name="Comma 4 2 2 5 3 3 3" xfId="6979"/>
    <cellStyle name="Comma 4 2 2 5 3 4" xfId="6980"/>
    <cellStyle name="Comma 4 2 2 5 3 4 2" xfId="6981"/>
    <cellStyle name="Comma 4 2 2 5 3 4 3" xfId="6982"/>
    <cellStyle name="Comma 4 2 2 5 3 5" xfId="6983"/>
    <cellStyle name="Comma 4 2 2 5 3 6" xfId="6984"/>
    <cellStyle name="Comma 4 2 2 5 4" xfId="6985"/>
    <cellStyle name="Comma 4 2 2 5 4 2" xfId="6986"/>
    <cellStyle name="Comma 4 2 2 5 4 2 2" xfId="6987"/>
    <cellStyle name="Comma 4 2 2 5 4 2 3" xfId="6988"/>
    <cellStyle name="Comma 4 2 2 5 4 3" xfId="6989"/>
    <cellStyle name="Comma 4 2 2 5 4 3 2" xfId="6990"/>
    <cellStyle name="Comma 4 2 2 5 4 3 3" xfId="6991"/>
    <cellStyle name="Comma 4 2 2 5 4 4" xfId="6992"/>
    <cellStyle name="Comma 4 2 2 5 4 5" xfId="6993"/>
    <cellStyle name="Comma 4 2 2 5 5" xfId="6994"/>
    <cellStyle name="Comma 4 2 2 5 5 2" xfId="6995"/>
    <cellStyle name="Comma 4 2 2 5 5 3" xfId="6996"/>
    <cellStyle name="Comma 4 2 2 5 6" xfId="6997"/>
    <cellStyle name="Comma 4 2 2 5 6 2" xfId="6998"/>
    <cellStyle name="Comma 4 2 2 5 6 3" xfId="6999"/>
    <cellStyle name="Comma 4 2 2 5 7" xfId="7000"/>
    <cellStyle name="Comma 4 2 2 5 8" xfId="7001"/>
    <cellStyle name="Comma 4 2 2 6" xfId="7002"/>
    <cellStyle name="Comma 4 2 2 6 2" xfId="7003"/>
    <cellStyle name="Comma 4 2 2 6 2 2" xfId="7004"/>
    <cellStyle name="Comma 4 2 2 6 2 2 2" xfId="7005"/>
    <cellStyle name="Comma 4 2 2 6 2 2 3" xfId="7006"/>
    <cellStyle name="Comma 4 2 2 6 2 3" xfId="7007"/>
    <cellStyle name="Comma 4 2 2 6 2 3 2" xfId="7008"/>
    <cellStyle name="Comma 4 2 2 6 2 3 3" xfId="7009"/>
    <cellStyle name="Comma 4 2 2 6 2 4" xfId="7010"/>
    <cellStyle name="Comma 4 2 2 6 2 5" xfId="7011"/>
    <cellStyle name="Comma 4 2 2 6 3" xfId="7012"/>
    <cellStyle name="Comma 4 2 2 6 3 2" xfId="7013"/>
    <cellStyle name="Comma 4 2 2 6 3 3" xfId="7014"/>
    <cellStyle name="Comma 4 2 2 6 4" xfId="7015"/>
    <cellStyle name="Comma 4 2 2 6 4 2" xfId="7016"/>
    <cellStyle name="Comma 4 2 2 6 4 3" xfId="7017"/>
    <cellStyle name="Comma 4 2 2 6 5" xfId="7018"/>
    <cellStyle name="Comma 4 2 2 6 6" xfId="7019"/>
    <cellStyle name="Comma 4 2 2 7" xfId="7020"/>
    <cellStyle name="Comma 4 2 2 7 2" xfId="7021"/>
    <cellStyle name="Comma 4 2 2 7 2 2" xfId="7022"/>
    <cellStyle name="Comma 4 2 2 7 2 2 2" xfId="7023"/>
    <cellStyle name="Comma 4 2 2 7 2 2 3" xfId="7024"/>
    <cellStyle name="Comma 4 2 2 7 2 3" xfId="7025"/>
    <cellStyle name="Comma 4 2 2 7 2 3 2" xfId="7026"/>
    <cellStyle name="Comma 4 2 2 7 2 3 3" xfId="7027"/>
    <cellStyle name="Comma 4 2 2 7 2 4" xfId="7028"/>
    <cellStyle name="Comma 4 2 2 7 2 5" xfId="7029"/>
    <cellStyle name="Comma 4 2 2 7 3" xfId="7030"/>
    <cellStyle name="Comma 4 2 2 7 3 2" xfId="7031"/>
    <cellStyle name="Comma 4 2 2 7 3 3" xfId="7032"/>
    <cellStyle name="Comma 4 2 2 7 4" xfId="7033"/>
    <cellStyle name="Comma 4 2 2 7 4 2" xfId="7034"/>
    <cellStyle name="Comma 4 2 2 7 4 3" xfId="7035"/>
    <cellStyle name="Comma 4 2 2 7 5" xfId="7036"/>
    <cellStyle name="Comma 4 2 2 7 6" xfId="7037"/>
    <cellStyle name="Comma 4 2 2 8" xfId="7038"/>
    <cellStyle name="Comma 4 2 2 8 2" xfId="7039"/>
    <cellStyle name="Comma 4 2 2 8 2 2" xfId="7040"/>
    <cellStyle name="Comma 4 2 2 8 2 3" xfId="7041"/>
    <cellStyle name="Comma 4 2 2 8 3" xfId="7042"/>
    <cellStyle name="Comma 4 2 2 8 3 2" xfId="7043"/>
    <cellStyle name="Comma 4 2 2 8 3 3" xfId="7044"/>
    <cellStyle name="Comma 4 2 2 8 4" xfId="7045"/>
    <cellStyle name="Comma 4 2 2 8 5" xfId="7046"/>
    <cellStyle name="Comma 4 2 2 9" xfId="7047"/>
    <cellStyle name="Comma 4 2 2 9 2" xfId="7048"/>
    <cellStyle name="Comma 4 2 2 9 3" xfId="7049"/>
    <cellStyle name="Comma 4 2 3" xfId="7050"/>
    <cellStyle name="Comma 4 2 3 10" xfId="7051"/>
    <cellStyle name="Comma 4 2 3 2" xfId="7052"/>
    <cellStyle name="Comma 4 2 3 2 2" xfId="7053"/>
    <cellStyle name="Comma 4 2 3 2 2 2" xfId="7054"/>
    <cellStyle name="Comma 4 2 3 2 2 2 2" xfId="7055"/>
    <cellStyle name="Comma 4 2 3 2 2 2 2 2" xfId="7056"/>
    <cellStyle name="Comma 4 2 3 2 2 2 2 2 2" xfId="7057"/>
    <cellStyle name="Comma 4 2 3 2 2 2 2 2 3" xfId="7058"/>
    <cellStyle name="Comma 4 2 3 2 2 2 2 3" xfId="7059"/>
    <cellStyle name="Comma 4 2 3 2 2 2 2 3 2" xfId="7060"/>
    <cellStyle name="Comma 4 2 3 2 2 2 2 3 3" xfId="7061"/>
    <cellStyle name="Comma 4 2 3 2 2 2 2 4" xfId="7062"/>
    <cellStyle name="Comma 4 2 3 2 2 2 2 5" xfId="7063"/>
    <cellStyle name="Comma 4 2 3 2 2 2 3" xfId="7064"/>
    <cellStyle name="Comma 4 2 3 2 2 2 3 2" xfId="7065"/>
    <cellStyle name="Comma 4 2 3 2 2 2 3 3" xfId="7066"/>
    <cellStyle name="Comma 4 2 3 2 2 2 4" xfId="7067"/>
    <cellStyle name="Comma 4 2 3 2 2 2 4 2" xfId="7068"/>
    <cellStyle name="Comma 4 2 3 2 2 2 4 3" xfId="7069"/>
    <cellStyle name="Comma 4 2 3 2 2 2 5" xfId="7070"/>
    <cellStyle name="Comma 4 2 3 2 2 2 6" xfId="7071"/>
    <cellStyle name="Comma 4 2 3 2 2 3" xfId="7072"/>
    <cellStyle name="Comma 4 2 3 2 2 3 2" xfId="7073"/>
    <cellStyle name="Comma 4 2 3 2 2 3 2 2" xfId="7074"/>
    <cellStyle name="Comma 4 2 3 2 2 3 2 2 2" xfId="7075"/>
    <cellStyle name="Comma 4 2 3 2 2 3 2 2 3" xfId="7076"/>
    <cellStyle name="Comma 4 2 3 2 2 3 2 3" xfId="7077"/>
    <cellStyle name="Comma 4 2 3 2 2 3 2 3 2" xfId="7078"/>
    <cellStyle name="Comma 4 2 3 2 2 3 2 3 3" xfId="7079"/>
    <cellStyle name="Comma 4 2 3 2 2 3 2 4" xfId="7080"/>
    <cellStyle name="Comma 4 2 3 2 2 3 2 5" xfId="7081"/>
    <cellStyle name="Comma 4 2 3 2 2 3 3" xfId="7082"/>
    <cellStyle name="Comma 4 2 3 2 2 3 3 2" xfId="7083"/>
    <cellStyle name="Comma 4 2 3 2 2 3 3 3" xfId="7084"/>
    <cellStyle name="Comma 4 2 3 2 2 3 4" xfId="7085"/>
    <cellStyle name="Comma 4 2 3 2 2 3 4 2" xfId="7086"/>
    <cellStyle name="Comma 4 2 3 2 2 3 4 3" xfId="7087"/>
    <cellStyle name="Comma 4 2 3 2 2 3 5" xfId="7088"/>
    <cellStyle name="Comma 4 2 3 2 2 3 6" xfId="7089"/>
    <cellStyle name="Comma 4 2 3 2 2 4" xfId="7090"/>
    <cellStyle name="Comma 4 2 3 2 2 4 2" xfId="7091"/>
    <cellStyle name="Comma 4 2 3 2 2 4 2 2" xfId="7092"/>
    <cellStyle name="Comma 4 2 3 2 2 4 2 3" xfId="7093"/>
    <cellStyle name="Comma 4 2 3 2 2 4 3" xfId="7094"/>
    <cellStyle name="Comma 4 2 3 2 2 4 3 2" xfId="7095"/>
    <cellStyle name="Comma 4 2 3 2 2 4 3 3" xfId="7096"/>
    <cellStyle name="Comma 4 2 3 2 2 4 4" xfId="7097"/>
    <cellStyle name="Comma 4 2 3 2 2 4 5" xfId="7098"/>
    <cellStyle name="Comma 4 2 3 2 2 5" xfId="7099"/>
    <cellStyle name="Comma 4 2 3 2 2 5 2" xfId="7100"/>
    <cellStyle name="Comma 4 2 3 2 2 5 3" xfId="7101"/>
    <cellStyle name="Comma 4 2 3 2 2 6" xfId="7102"/>
    <cellStyle name="Comma 4 2 3 2 2 6 2" xfId="7103"/>
    <cellStyle name="Comma 4 2 3 2 2 6 3" xfId="7104"/>
    <cellStyle name="Comma 4 2 3 2 2 7" xfId="7105"/>
    <cellStyle name="Comma 4 2 3 2 2 8" xfId="7106"/>
    <cellStyle name="Comma 4 2 3 2 3" xfId="7107"/>
    <cellStyle name="Comma 4 2 3 2 3 2" xfId="7108"/>
    <cellStyle name="Comma 4 2 3 2 3 2 2" xfId="7109"/>
    <cellStyle name="Comma 4 2 3 2 3 2 2 2" xfId="7110"/>
    <cellStyle name="Comma 4 2 3 2 3 2 2 3" xfId="7111"/>
    <cellStyle name="Comma 4 2 3 2 3 2 3" xfId="7112"/>
    <cellStyle name="Comma 4 2 3 2 3 2 3 2" xfId="7113"/>
    <cellStyle name="Comma 4 2 3 2 3 2 3 3" xfId="7114"/>
    <cellStyle name="Comma 4 2 3 2 3 2 4" xfId="7115"/>
    <cellStyle name="Comma 4 2 3 2 3 2 5" xfId="7116"/>
    <cellStyle name="Comma 4 2 3 2 3 3" xfId="7117"/>
    <cellStyle name="Comma 4 2 3 2 3 3 2" xfId="7118"/>
    <cellStyle name="Comma 4 2 3 2 3 3 3" xfId="7119"/>
    <cellStyle name="Comma 4 2 3 2 3 4" xfId="7120"/>
    <cellStyle name="Comma 4 2 3 2 3 4 2" xfId="7121"/>
    <cellStyle name="Comma 4 2 3 2 3 4 3" xfId="7122"/>
    <cellStyle name="Comma 4 2 3 2 3 5" xfId="7123"/>
    <cellStyle name="Comma 4 2 3 2 3 6" xfId="7124"/>
    <cellStyle name="Comma 4 2 3 2 4" xfId="7125"/>
    <cellStyle name="Comma 4 2 3 2 4 2" xfId="7126"/>
    <cellStyle name="Comma 4 2 3 2 4 2 2" xfId="7127"/>
    <cellStyle name="Comma 4 2 3 2 4 2 2 2" xfId="7128"/>
    <cellStyle name="Comma 4 2 3 2 4 2 2 3" xfId="7129"/>
    <cellStyle name="Comma 4 2 3 2 4 2 3" xfId="7130"/>
    <cellStyle name="Comma 4 2 3 2 4 2 3 2" xfId="7131"/>
    <cellStyle name="Comma 4 2 3 2 4 2 3 3" xfId="7132"/>
    <cellStyle name="Comma 4 2 3 2 4 2 4" xfId="7133"/>
    <cellStyle name="Comma 4 2 3 2 4 2 5" xfId="7134"/>
    <cellStyle name="Comma 4 2 3 2 4 3" xfId="7135"/>
    <cellStyle name="Comma 4 2 3 2 4 3 2" xfId="7136"/>
    <cellStyle name="Comma 4 2 3 2 4 3 3" xfId="7137"/>
    <cellStyle name="Comma 4 2 3 2 4 4" xfId="7138"/>
    <cellStyle name="Comma 4 2 3 2 4 4 2" xfId="7139"/>
    <cellStyle name="Comma 4 2 3 2 4 4 3" xfId="7140"/>
    <cellStyle name="Comma 4 2 3 2 4 5" xfId="7141"/>
    <cellStyle name="Comma 4 2 3 2 4 6" xfId="7142"/>
    <cellStyle name="Comma 4 2 3 2 5" xfId="7143"/>
    <cellStyle name="Comma 4 2 3 2 5 2" xfId="7144"/>
    <cellStyle name="Comma 4 2 3 2 5 2 2" xfId="7145"/>
    <cellStyle name="Comma 4 2 3 2 5 2 3" xfId="7146"/>
    <cellStyle name="Comma 4 2 3 2 5 3" xfId="7147"/>
    <cellStyle name="Comma 4 2 3 2 5 3 2" xfId="7148"/>
    <cellStyle name="Comma 4 2 3 2 5 3 3" xfId="7149"/>
    <cellStyle name="Comma 4 2 3 2 5 4" xfId="7150"/>
    <cellStyle name="Comma 4 2 3 2 5 5" xfId="7151"/>
    <cellStyle name="Comma 4 2 3 2 6" xfId="7152"/>
    <cellStyle name="Comma 4 2 3 2 6 2" xfId="7153"/>
    <cellStyle name="Comma 4 2 3 2 6 3" xfId="7154"/>
    <cellStyle name="Comma 4 2 3 2 7" xfId="7155"/>
    <cellStyle name="Comma 4 2 3 2 7 2" xfId="7156"/>
    <cellStyle name="Comma 4 2 3 2 7 3" xfId="7157"/>
    <cellStyle name="Comma 4 2 3 2 8" xfId="7158"/>
    <cellStyle name="Comma 4 2 3 2 9" xfId="7159"/>
    <cellStyle name="Comma 4 2 3 3" xfId="7160"/>
    <cellStyle name="Comma 4 2 3 3 2" xfId="7161"/>
    <cellStyle name="Comma 4 2 3 3 2 2" xfId="7162"/>
    <cellStyle name="Comma 4 2 3 3 2 2 2" xfId="7163"/>
    <cellStyle name="Comma 4 2 3 3 2 2 2 2" xfId="7164"/>
    <cellStyle name="Comma 4 2 3 3 2 2 2 3" xfId="7165"/>
    <cellStyle name="Comma 4 2 3 3 2 2 3" xfId="7166"/>
    <cellStyle name="Comma 4 2 3 3 2 2 3 2" xfId="7167"/>
    <cellStyle name="Comma 4 2 3 3 2 2 3 3" xfId="7168"/>
    <cellStyle name="Comma 4 2 3 3 2 2 4" xfId="7169"/>
    <cellStyle name="Comma 4 2 3 3 2 2 5" xfId="7170"/>
    <cellStyle name="Comma 4 2 3 3 2 3" xfId="7171"/>
    <cellStyle name="Comma 4 2 3 3 2 3 2" xfId="7172"/>
    <cellStyle name="Comma 4 2 3 3 2 3 3" xfId="7173"/>
    <cellStyle name="Comma 4 2 3 3 2 4" xfId="7174"/>
    <cellStyle name="Comma 4 2 3 3 2 4 2" xfId="7175"/>
    <cellStyle name="Comma 4 2 3 3 2 4 3" xfId="7176"/>
    <cellStyle name="Comma 4 2 3 3 2 5" xfId="7177"/>
    <cellStyle name="Comma 4 2 3 3 2 6" xfId="7178"/>
    <cellStyle name="Comma 4 2 3 3 3" xfId="7179"/>
    <cellStyle name="Comma 4 2 3 3 3 2" xfId="7180"/>
    <cellStyle name="Comma 4 2 3 3 3 2 2" xfId="7181"/>
    <cellStyle name="Comma 4 2 3 3 3 2 2 2" xfId="7182"/>
    <cellStyle name="Comma 4 2 3 3 3 2 2 3" xfId="7183"/>
    <cellStyle name="Comma 4 2 3 3 3 2 3" xfId="7184"/>
    <cellStyle name="Comma 4 2 3 3 3 2 3 2" xfId="7185"/>
    <cellStyle name="Comma 4 2 3 3 3 2 3 3" xfId="7186"/>
    <cellStyle name="Comma 4 2 3 3 3 2 4" xfId="7187"/>
    <cellStyle name="Comma 4 2 3 3 3 2 5" xfId="7188"/>
    <cellStyle name="Comma 4 2 3 3 3 3" xfId="7189"/>
    <cellStyle name="Comma 4 2 3 3 3 3 2" xfId="7190"/>
    <cellStyle name="Comma 4 2 3 3 3 3 3" xfId="7191"/>
    <cellStyle name="Comma 4 2 3 3 3 4" xfId="7192"/>
    <cellStyle name="Comma 4 2 3 3 3 4 2" xfId="7193"/>
    <cellStyle name="Comma 4 2 3 3 3 4 3" xfId="7194"/>
    <cellStyle name="Comma 4 2 3 3 3 5" xfId="7195"/>
    <cellStyle name="Comma 4 2 3 3 3 6" xfId="7196"/>
    <cellStyle name="Comma 4 2 3 3 4" xfId="7197"/>
    <cellStyle name="Comma 4 2 3 3 4 2" xfId="7198"/>
    <cellStyle name="Comma 4 2 3 3 4 2 2" xfId="7199"/>
    <cellStyle name="Comma 4 2 3 3 4 2 3" xfId="7200"/>
    <cellStyle name="Comma 4 2 3 3 4 3" xfId="7201"/>
    <cellStyle name="Comma 4 2 3 3 4 3 2" xfId="7202"/>
    <cellStyle name="Comma 4 2 3 3 4 3 3" xfId="7203"/>
    <cellStyle name="Comma 4 2 3 3 4 4" xfId="7204"/>
    <cellStyle name="Comma 4 2 3 3 4 5" xfId="7205"/>
    <cellStyle name="Comma 4 2 3 3 5" xfId="7206"/>
    <cellStyle name="Comma 4 2 3 3 5 2" xfId="7207"/>
    <cellStyle name="Comma 4 2 3 3 5 3" xfId="7208"/>
    <cellStyle name="Comma 4 2 3 3 6" xfId="7209"/>
    <cellStyle name="Comma 4 2 3 3 6 2" xfId="7210"/>
    <cellStyle name="Comma 4 2 3 3 6 3" xfId="7211"/>
    <cellStyle name="Comma 4 2 3 3 7" xfId="7212"/>
    <cellStyle name="Comma 4 2 3 3 8" xfId="7213"/>
    <cellStyle name="Comma 4 2 3 4" xfId="7214"/>
    <cellStyle name="Comma 4 2 3 4 2" xfId="7215"/>
    <cellStyle name="Comma 4 2 3 4 2 2" xfId="7216"/>
    <cellStyle name="Comma 4 2 3 4 2 2 2" xfId="7217"/>
    <cellStyle name="Comma 4 2 3 4 2 2 3" xfId="7218"/>
    <cellStyle name="Comma 4 2 3 4 2 3" xfId="7219"/>
    <cellStyle name="Comma 4 2 3 4 2 3 2" xfId="7220"/>
    <cellStyle name="Comma 4 2 3 4 2 3 3" xfId="7221"/>
    <cellStyle name="Comma 4 2 3 4 2 4" xfId="7222"/>
    <cellStyle name="Comma 4 2 3 4 2 5" xfId="7223"/>
    <cellStyle name="Comma 4 2 3 4 3" xfId="7224"/>
    <cellStyle name="Comma 4 2 3 4 3 2" xfId="7225"/>
    <cellStyle name="Comma 4 2 3 4 3 3" xfId="7226"/>
    <cellStyle name="Comma 4 2 3 4 4" xfId="7227"/>
    <cellStyle name="Comma 4 2 3 4 4 2" xfId="7228"/>
    <cellStyle name="Comma 4 2 3 4 4 3" xfId="7229"/>
    <cellStyle name="Comma 4 2 3 4 5" xfId="7230"/>
    <cellStyle name="Comma 4 2 3 4 6" xfId="7231"/>
    <cellStyle name="Comma 4 2 3 5" xfId="7232"/>
    <cellStyle name="Comma 4 2 3 5 2" xfId="7233"/>
    <cellStyle name="Comma 4 2 3 5 2 2" xfId="7234"/>
    <cellStyle name="Comma 4 2 3 5 2 2 2" xfId="7235"/>
    <cellStyle name="Comma 4 2 3 5 2 2 3" xfId="7236"/>
    <cellStyle name="Comma 4 2 3 5 2 3" xfId="7237"/>
    <cellStyle name="Comma 4 2 3 5 2 3 2" xfId="7238"/>
    <cellStyle name="Comma 4 2 3 5 2 3 3" xfId="7239"/>
    <cellStyle name="Comma 4 2 3 5 2 4" xfId="7240"/>
    <cellStyle name="Comma 4 2 3 5 2 5" xfId="7241"/>
    <cellStyle name="Comma 4 2 3 5 3" xfId="7242"/>
    <cellStyle name="Comma 4 2 3 5 3 2" xfId="7243"/>
    <cellStyle name="Comma 4 2 3 5 3 3" xfId="7244"/>
    <cellStyle name="Comma 4 2 3 5 4" xfId="7245"/>
    <cellStyle name="Comma 4 2 3 5 4 2" xfId="7246"/>
    <cellStyle name="Comma 4 2 3 5 4 3" xfId="7247"/>
    <cellStyle name="Comma 4 2 3 5 5" xfId="7248"/>
    <cellStyle name="Comma 4 2 3 5 6" xfId="7249"/>
    <cellStyle name="Comma 4 2 3 6" xfId="7250"/>
    <cellStyle name="Comma 4 2 3 6 2" xfId="7251"/>
    <cellStyle name="Comma 4 2 3 6 2 2" xfId="7252"/>
    <cellStyle name="Comma 4 2 3 6 2 3" xfId="7253"/>
    <cellStyle name="Comma 4 2 3 6 3" xfId="7254"/>
    <cellStyle name="Comma 4 2 3 6 3 2" xfId="7255"/>
    <cellStyle name="Comma 4 2 3 6 3 3" xfId="7256"/>
    <cellStyle name="Comma 4 2 3 6 4" xfId="7257"/>
    <cellStyle name="Comma 4 2 3 6 5" xfId="7258"/>
    <cellStyle name="Comma 4 2 3 7" xfId="7259"/>
    <cellStyle name="Comma 4 2 3 7 2" xfId="7260"/>
    <cellStyle name="Comma 4 2 3 7 3" xfId="7261"/>
    <cellStyle name="Comma 4 2 3 8" xfId="7262"/>
    <cellStyle name="Comma 4 2 3 8 2" xfId="7263"/>
    <cellStyle name="Comma 4 2 3 8 3" xfId="7264"/>
    <cellStyle name="Comma 4 2 3 9" xfId="7265"/>
    <cellStyle name="Comma 4 2 4" xfId="7266"/>
    <cellStyle name="Comma 4 2 4 10" xfId="7267"/>
    <cellStyle name="Comma 4 2 4 2" xfId="7268"/>
    <cellStyle name="Comma 4 2 4 2 2" xfId="7269"/>
    <cellStyle name="Comma 4 2 4 2 2 2" xfId="7270"/>
    <cellStyle name="Comma 4 2 4 2 2 2 2" xfId="7271"/>
    <cellStyle name="Comma 4 2 4 2 2 2 2 2" xfId="7272"/>
    <cellStyle name="Comma 4 2 4 2 2 2 2 2 2" xfId="7273"/>
    <cellStyle name="Comma 4 2 4 2 2 2 2 2 3" xfId="7274"/>
    <cellStyle name="Comma 4 2 4 2 2 2 2 3" xfId="7275"/>
    <cellStyle name="Comma 4 2 4 2 2 2 2 3 2" xfId="7276"/>
    <cellStyle name="Comma 4 2 4 2 2 2 2 3 3" xfId="7277"/>
    <cellStyle name="Comma 4 2 4 2 2 2 2 4" xfId="7278"/>
    <cellStyle name="Comma 4 2 4 2 2 2 2 5" xfId="7279"/>
    <cellStyle name="Comma 4 2 4 2 2 2 3" xfId="7280"/>
    <cellStyle name="Comma 4 2 4 2 2 2 3 2" xfId="7281"/>
    <cellStyle name="Comma 4 2 4 2 2 2 3 3" xfId="7282"/>
    <cellStyle name="Comma 4 2 4 2 2 2 4" xfId="7283"/>
    <cellStyle name="Comma 4 2 4 2 2 2 4 2" xfId="7284"/>
    <cellStyle name="Comma 4 2 4 2 2 2 4 3" xfId="7285"/>
    <cellStyle name="Comma 4 2 4 2 2 2 5" xfId="7286"/>
    <cellStyle name="Comma 4 2 4 2 2 2 6" xfId="7287"/>
    <cellStyle name="Comma 4 2 4 2 2 3" xfId="7288"/>
    <cellStyle name="Comma 4 2 4 2 2 3 2" xfId="7289"/>
    <cellStyle name="Comma 4 2 4 2 2 3 2 2" xfId="7290"/>
    <cellStyle name="Comma 4 2 4 2 2 3 2 2 2" xfId="7291"/>
    <cellStyle name="Comma 4 2 4 2 2 3 2 2 3" xfId="7292"/>
    <cellStyle name="Comma 4 2 4 2 2 3 2 3" xfId="7293"/>
    <cellStyle name="Comma 4 2 4 2 2 3 2 3 2" xfId="7294"/>
    <cellStyle name="Comma 4 2 4 2 2 3 2 3 3" xfId="7295"/>
    <cellStyle name="Comma 4 2 4 2 2 3 2 4" xfId="7296"/>
    <cellStyle name="Comma 4 2 4 2 2 3 2 5" xfId="7297"/>
    <cellStyle name="Comma 4 2 4 2 2 3 3" xfId="7298"/>
    <cellStyle name="Comma 4 2 4 2 2 3 3 2" xfId="7299"/>
    <cellStyle name="Comma 4 2 4 2 2 3 3 3" xfId="7300"/>
    <cellStyle name="Comma 4 2 4 2 2 3 4" xfId="7301"/>
    <cellStyle name="Comma 4 2 4 2 2 3 4 2" xfId="7302"/>
    <cellStyle name="Comma 4 2 4 2 2 3 4 3" xfId="7303"/>
    <cellStyle name="Comma 4 2 4 2 2 3 5" xfId="7304"/>
    <cellStyle name="Comma 4 2 4 2 2 3 6" xfId="7305"/>
    <cellStyle name="Comma 4 2 4 2 2 4" xfId="7306"/>
    <cellStyle name="Comma 4 2 4 2 2 4 2" xfId="7307"/>
    <cellStyle name="Comma 4 2 4 2 2 4 2 2" xfId="7308"/>
    <cellStyle name="Comma 4 2 4 2 2 4 2 3" xfId="7309"/>
    <cellStyle name="Comma 4 2 4 2 2 4 3" xfId="7310"/>
    <cellStyle name="Comma 4 2 4 2 2 4 3 2" xfId="7311"/>
    <cellStyle name="Comma 4 2 4 2 2 4 3 3" xfId="7312"/>
    <cellStyle name="Comma 4 2 4 2 2 4 4" xfId="7313"/>
    <cellStyle name="Comma 4 2 4 2 2 4 5" xfId="7314"/>
    <cellStyle name="Comma 4 2 4 2 2 5" xfId="7315"/>
    <cellStyle name="Comma 4 2 4 2 2 5 2" xfId="7316"/>
    <cellStyle name="Comma 4 2 4 2 2 5 3" xfId="7317"/>
    <cellStyle name="Comma 4 2 4 2 2 6" xfId="7318"/>
    <cellStyle name="Comma 4 2 4 2 2 6 2" xfId="7319"/>
    <cellStyle name="Comma 4 2 4 2 2 6 3" xfId="7320"/>
    <cellStyle name="Comma 4 2 4 2 2 7" xfId="7321"/>
    <cellStyle name="Comma 4 2 4 2 2 8" xfId="7322"/>
    <cellStyle name="Comma 4 2 4 2 3" xfId="7323"/>
    <cellStyle name="Comma 4 2 4 2 3 2" xfId="7324"/>
    <cellStyle name="Comma 4 2 4 2 3 2 2" xfId="7325"/>
    <cellStyle name="Comma 4 2 4 2 3 2 2 2" xfId="7326"/>
    <cellStyle name="Comma 4 2 4 2 3 2 2 3" xfId="7327"/>
    <cellStyle name="Comma 4 2 4 2 3 2 3" xfId="7328"/>
    <cellStyle name="Comma 4 2 4 2 3 2 3 2" xfId="7329"/>
    <cellStyle name="Comma 4 2 4 2 3 2 3 3" xfId="7330"/>
    <cellStyle name="Comma 4 2 4 2 3 2 4" xfId="7331"/>
    <cellStyle name="Comma 4 2 4 2 3 2 5" xfId="7332"/>
    <cellStyle name="Comma 4 2 4 2 3 3" xfId="7333"/>
    <cellStyle name="Comma 4 2 4 2 3 3 2" xfId="7334"/>
    <cellStyle name="Comma 4 2 4 2 3 3 3" xfId="7335"/>
    <cellStyle name="Comma 4 2 4 2 3 4" xfId="7336"/>
    <cellStyle name="Comma 4 2 4 2 3 4 2" xfId="7337"/>
    <cellStyle name="Comma 4 2 4 2 3 4 3" xfId="7338"/>
    <cellStyle name="Comma 4 2 4 2 3 5" xfId="7339"/>
    <cellStyle name="Comma 4 2 4 2 3 6" xfId="7340"/>
    <cellStyle name="Comma 4 2 4 2 4" xfId="7341"/>
    <cellStyle name="Comma 4 2 4 2 4 2" xfId="7342"/>
    <cellStyle name="Comma 4 2 4 2 4 2 2" xfId="7343"/>
    <cellStyle name="Comma 4 2 4 2 4 2 2 2" xfId="7344"/>
    <cellStyle name="Comma 4 2 4 2 4 2 2 3" xfId="7345"/>
    <cellStyle name="Comma 4 2 4 2 4 2 3" xfId="7346"/>
    <cellStyle name="Comma 4 2 4 2 4 2 3 2" xfId="7347"/>
    <cellStyle name="Comma 4 2 4 2 4 2 3 3" xfId="7348"/>
    <cellStyle name="Comma 4 2 4 2 4 2 4" xfId="7349"/>
    <cellStyle name="Comma 4 2 4 2 4 2 5" xfId="7350"/>
    <cellStyle name="Comma 4 2 4 2 4 3" xfId="7351"/>
    <cellStyle name="Comma 4 2 4 2 4 3 2" xfId="7352"/>
    <cellStyle name="Comma 4 2 4 2 4 3 3" xfId="7353"/>
    <cellStyle name="Comma 4 2 4 2 4 4" xfId="7354"/>
    <cellStyle name="Comma 4 2 4 2 4 4 2" xfId="7355"/>
    <cellStyle name="Comma 4 2 4 2 4 4 3" xfId="7356"/>
    <cellStyle name="Comma 4 2 4 2 4 5" xfId="7357"/>
    <cellStyle name="Comma 4 2 4 2 4 6" xfId="7358"/>
    <cellStyle name="Comma 4 2 4 2 5" xfId="7359"/>
    <cellStyle name="Comma 4 2 4 2 5 2" xfId="7360"/>
    <cellStyle name="Comma 4 2 4 2 5 2 2" xfId="7361"/>
    <cellStyle name="Comma 4 2 4 2 5 2 3" xfId="7362"/>
    <cellStyle name="Comma 4 2 4 2 5 3" xfId="7363"/>
    <cellStyle name="Comma 4 2 4 2 5 3 2" xfId="7364"/>
    <cellStyle name="Comma 4 2 4 2 5 3 3" xfId="7365"/>
    <cellStyle name="Comma 4 2 4 2 5 4" xfId="7366"/>
    <cellStyle name="Comma 4 2 4 2 5 5" xfId="7367"/>
    <cellStyle name="Comma 4 2 4 2 6" xfId="7368"/>
    <cellStyle name="Comma 4 2 4 2 6 2" xfId="7369"/>
    <cellStyle name="Comma 4 2 4 2 6 3" xfId="7370"/>
    <cellStyle name="Comma 4 2 4 2 7" xfId="7371"/>
    <cellStyle name="Comma 4 2 4 2 7 2" xfId="7372"/>
    <cellStyle name="Comma 4 2 4 2 7 3" xfId="7373"/>
    <cellStyle name="Comma 4 2 4 2 8" xfId="7374"/>
    <cellStyle name="Comma 4 2 4 2 9" xfId="7375"/>
    <cellStyle name="Comma 4 2 4 3" xfId="7376"/>
    <cellStyle name="Comma 4 2 4 3 2" xfId="7377"/>
    <cellStyle name="Comma 4 2 4 3 2 2" xfId="7378"/>
    <cellStyle name="Comma 4 2 4 3 2 2 2" xfId="7379"/>
    <cellStyle name="Comma 4 2 4 3 2 2 2 2" xfId="7380"/>
    <cellStyle name="Comma 4 2 4 3 2 2 2 3" xfId="7381"/>
    <cellStyle name="Comma 4 2 4 3 2 2 3" xfId="7382"/>
    <cellStyle name="Comma 4 2 4 3 2 2 3 2" xfId="7383"/>
    <cellStyle name="Comma 4 2 4 3 2 2 3 3" xfId="7384"/>
    <cellStyle name="Comma 4 2 4 3 2 2 4" xfId="7385"/>
    <cellStyle name="Comma 4 2 4 3 2 2 5" xfId="7386"/>
    <cellStyle name="Comma 4 2 4 3 2 3" xfId="7387"/>
    <cellStyle name="Comma 4 2 4 3 2 3 2" xfId="7388"/>
    <cellStyle name="Comma 4 2 4 3 2 3 3" xfId="7389"/>
    <cellStyle name="Comma 4 2 4 3 2 4" xfId="7390"/>
    <cellStyle name="Comma 4 2 4 3 2 4 2" xfId="7391"/>
    <cellStyle name="Comma 4 2 4 3 2 4 3" xfId="7392"/>
    <cellStyle name="Comma 4 2 4 3 2 5" xfId="7393"/>
    <cellStyle name="Comma 4 2 4 3 2 6" xfId="7394"/>
    <cellStyle name="Comma 4 2 4 3 3" xfId="7395"/>
    <cellStyle name="Comma 4 2 4 3 3 2" xfId="7396"/>
    <cellStyle name="Comma 4 2 4 3 3 2 2" xfId="7397"/>
    <cellStyle name="Comma 4 2 4 3 3 2 2 2" xfId="7398"/>
    <cellStyle name="Comma 4 2 4 3 3 2 2 3" xfId="7399"/>
    <cellStyle name="Comma 4 2 4 3 3 2 3" xfId="7400"/>
    <cellStyle name="Comma 4 2 4 3 3 2 3 2" xfId="7401"/>
    <cellStyle name="Comma 4 2 4 3 3 2 3 3" xfId="7402"/>
    <cellStyle name="Comma 4 2 4 3 3 2 4" xfId="7403"/>
    <cellStyle name="Comma 4 2 4 3 3 2 5" xfId="7404"/>
    <cellStyle name="Comma 4 2 4 3 3 3" xfId="7405"/>
    <cellStyle name="Comma 4 2 4 3 3 3 2" xfId="7406"/>
    <cellStyle name="Comma 4 2 4 3 3 3 3" xfId="7407"/>
    <cellStyle name="Comma 4 2 4 3 3 4" xfId="7408"/>
    <cellStyle name="Comma 4 2 4 3 3 4 2" xfId="7409"/>
    <cellStyle name="Comma 4 2 4 3 3 4 3" xfId="7410"/>
    <cellStyle name="Comma 4 2 4 3 3 5" xfId="7411"/>
    <cellStyle name="Comma 4 2 4 3 3 6" xfId="7412"/>
    <cellStyle name="Comma 4 2 4 3 4" xfId="7413"/>
    <cellStyle name="Comma 4 2 4 3 4 2" xfId="7414"/>
    <cellStyle name="Comma 4 2 4 3 4 2 2" xfId="7415"/>
    <cellStyle name="Comma 4 2 4 3 4 2 3" xfId="7416"/>
    <cellStyle name="Comma 4 2 4 3 4 3" xfId="7417"/>
    <cellStyle name="Comma 4 2 4 3 4 3 2" xfId="7418"/>
    <cellStyle name="Comma 4 2 4 3 4 3 3" xfId="7419"/>
    <cellStyle name="Comma 4 2 4 3 4 4" xfId="7420"/>
    <cellStyle name="Comma 4 2 4 3 4 5" xfId="7421"/>
    <cellStyle name="Comma 4 2 4 3 5" xfId="7422"/>
    <cellStyle name="Comma 4 2 4 3 5 2" xfId="7423"/>
    <cellStyle name="Comma 4 2 4 3 5 3" xfId="7424"/>
    <cellStyle name="Comma 4 2 4 3 6" xfId="7425"/>
    <cellStyle name="Comma 4 2 4 3 6 2" xfId="7426"/>
    <cellStyle name="Comma 4 2 4 3 6 3" xfId="7427"/>
    <cellStyle name="Comma 4 2 4 3 7" xfId="7428"/>
    <cellStyle name="Comma 4 2 4 3 8" xfId="7429"/>
    <cellStyle name="Comma 4 2 4 4" xfId="7430"/>
    <cellStyle name="Comma 4 2 4 4 2" xfId="7431"/>
    <cellStyle name="Comma 4 2 4 4 2 2" xfId="7432"/>
    <cellStyle name="Comma 4 2 4 4 2 2 2" xfId="7433"/>
    <cellStyle name="Comma 4 2 4 4 2 2 3" xfId="7434"/>
    <cellStyle name="Comma 4 2 4 4 2 3" xfId="7435"/>
    <cellStyle name="Comma 4 2 4 4 2 3 2" xfId="7436"/>
    <cellStyle name="Comma 4 2 4 4 2 3 3" xfId="7437"/>
    <cellStyle name="Comma 4 2 4 4 2 4" xfId="7438"/>
    <cellStyle name="Comma 4 2 4 4 2 5" xfId="7439"/>
    <cellStyle name="Comma 4 2 4 4 3" xfId="7440"/>
    <cellStyle name="Comma 4 2 4 4 3 2" xfId="7441"/>
    <cellStyle name="Comma 4 2 4 4 3 3" xfId="7442"/>
    <cellStyle name="Comma 4 2 4 4 4" xfId="7443"/>
    <cellStyle name="Comma 4 2 4 4 4 2" xfId="7444"/>
    <cellStyle name="Comma 4 2 4 4 4 3" xfId="7445"/>
    <cellStyle name="Comma 4 2 4 4 5" xfId="7446"/>
    <cellStyle name="Comma 4 2 4 4 6" xfId="7447"/>
    <cellStyle name="Comma 4 2 4 5" xfId="7448"/>
    <cellStyle name="Comma 4 2 4 5 2" xfId="7449"/>
    <cellStyle name="Comma 4 2 4 5 2 2" xfId="7450"/>
    <cellStyle name="Comma 4 2 4 5 2 2 2" xfId="7451"/>
    <cellStyle name="Comma 4 2 4 5 2 2 3" xfId="7452"/>
    <cellStyle name="Comma 4 2 4 5 2 3" xfId="7453"/>
    <cellStyle name="Comma 4 2 4 5 2 3 2" xfId="7454"/>
    <cellStyle name="Comma 4 2 4 5 2 3 3" xfId="7455"/>
    <cellStyle name="Comma 4 2 4 5 2 4" xfId="7456"/>
    <cellStyle name="Comma 4 2 4 5 2 5" xfId="7457"/>
    <cellStyle name="Comma 4 2 4 5 3" xfId="7458"/>
    <cellStyle name="Comma 4 2 4 5 3 2" xfId="7459"/>
    <cellStyle name="Comma 4 2 4 5 3 3" xfId="7460"/>
    <cellStyle name="Comma 4 2 4 5 4" xfId="7461"/>
    <cellStyle name="Comma 4 2 4 5 4 2" xfId="7462"/>
    <cellStyle name="Comma 4 2 4 5 4 3" xfId="7463"/>
    <cellStyle name="Comma 4 2 4 5 5" xfId="7464"/>
    <cellStyle name="Comma 4 2 4 5 6" xfId="7465"/>
    <cellStyle name="Comma 4 2 4 6" xfId="7466"/>
    <cellStyle name="Comma 4 2 4 6 2" xfId="7467"/>
    <cellStyle name="Comma 4 2 4 6 2 2" xfId="7468"/>
    <cellStyle name="Comma 4 2 4 6 2 3" xfId="7469"/>
    <cellStyle name="Comma 4 2 4 6 3" xfId="7470"/>
    <cellStyle name="Comma 4 2 4 6 3 2" xfId="7471"/>
    <cellStyle name="Comma 4 2 4 6 3 3" xfId="7472"/>
    <cellStyle name="Comma 4 2 4 6 4" xfId="7473"/>
    <cellStyle name="Comma 4 2 4 6 5" xfId="7474"/>
    <cellStyle name="Comma 4 2 4 7" xfId="7475"/>
    <cellStyle name="Comma 4 2 4 7 2" xfId="7476"/>
    <cellStyle name="Comma 4 2 4 7 3" xfId="7477"/>
    <cellStyle name="Comma 4 2 4 8" xfId="7478"/>
    <cellStyle name="Comma 4 2 4 8 2" xfId="7479"/>
    <cellStyle name="Comma 4 2 4 8 3" xfId="7480"/>
    <cellStyle name="Comma 4 2 4 9" xfId="7481"/>
    <cellStyle name="Comma 4 2 5" xfId="7482"/>
    <cellStyle name="Comma 4 2 5 2" xfId="7483"/>
    <cellStyle name="Comma 4 2 5 2 2" xfId="7484"/>
    <cellStyle name="Comma 4 2 5 2 2 2" xfId="7485"/>
    <cellStyle name="Comma 4 2 5 2 2 2 2" xfId="7486"/>
    <cellStyle name="Comma 4 2 5 2 2 2 2 2" xfId="7487"/>
    <cellStyle name="Comma 4 2 5 2 2 2 2 3" xfId="7488"/>
    <cellStyle name="Comma 4 2 5 2 2 2 3" xfId="7489"/>
    <cellStyle name="Comma 4 2 5 2 2 2 3 2" xfId="7490"/>
    <cellStyle name="Comma 4 2 5 2 2 2 3 3" xfId="7491"/>
    <cellStyle name="Comma 4 2 5 2 2 2 4" xfId="7492"/>
    <cellStyle name="Comma 4 2 5 2 2 2 5" xfId="7493"/>
    <cellStyle name="Comma 4 2 5 2 2 3" xfId="7494"/>
    <cellStyle name="Comma 4 2 5 2 2 3 2" xfId="7495"/>
    <cellStyle name="Comma 4 2 5 2 2 3 3" xfId="7496"/>
    <cellStyle name="Comma 4 2 5 2 2 4" xfId="7497"/>
    <cellStyle name="Comma 4 2 5 2 2 4 2" xfId="7498"/>
    <cellStyle name="Comma 4 2 5 2 2 4 3" xfId="7499"/>
    <cellStyle name="Comma 4 2 5 2 2 5" xfId="7500"/>
    <cellStyle name="Comma 4 2 5 2 2 6" xfId="7501"/>
    <cellStyle name="Comma 4 2 5 2 3" xfId="7502"/>
    <cellStyle name="Comma 4 2 5 2 3 2" xfId="7503"/>
    <cellStyle name="Comma 4 2 5 2 3 2 2" xfId="7504"/>
    <cellStyle name="Comma 4 2 5 2 3 2 2 2" xfId="7505"/>
    <cellStyle name="Comma 4 2 5 2 3 2 2 3" xfId="7506"/>
    <cellStyle name="Comma 4 2 5 2 3 2 3" xfId="7507"/>
    <cellStyle name="Comma 4 2 5 2 3 2 3 2" xfId="7508"/>
    <cellStyle name="Comma 4 2 5 2 3 2 3 3" xfId="7509"/>
    <cellStyle name="Comma 4 2 5 2 3 2 4" xfId="7510"/>
    <cellStyle name="Comma 4 2 5 2 3 2 5" xfId="7511"/>
    <cellStyle name="Comma 4 2 5 2 3 3" xfId="7512"/>
    <cellStyle name="Comma 4 2 5 2 3 3 2" xfId="7513"/>
    <cellStyle name="Comma 4 2 5 2 3 3 3" xfId="7514"/>
    <cellStyle name="Comma 4 2 5 2 3 4" xfId="7515"/>
    <cellStyle name="Comma 4 2 5 2 3 4 2" xfId="7516"/>
    <cellStyle name="Comma 4 2 5 2 3 4 3" xfId="7517"/>
    <cellStyle name="Comma 4 2 5 2 3 5" xfId="7518"/>
    <cellStyle name="Comma 4 2 5 2 3 6" xfId="7519"/>
    <cellStyle name="Comma 4 2 5 2 4" xfId="7520"/>
    <cellStyle name="Comma 4 2 5 2 4 2" xfId="7521"/>
    <cellStyle name="Comma 4 2 5 2 4 2 2" xfId="7522"/>
    <cellStyle name="Comma 4 2 5 2 4 2 3" xfId="7523"/>
    <cellStyle name="Comma 4 2 5 2 4 3" xfId="7524"/>
    <cellStyle name="Comma 4 2 5 2 4 3 2" xfId="7525"/>
    <cellStyle name="Comma 4 2 5 2 4 3 3" xfId="7526"/>
    <cellStyle name="Comma 4 2 5 2 4 4" xfId="7527"/>
    <cellStyle name="Comma 4 2 5 2 4 5" xfId="7528"/>
    <cellStyle name="Comma 4 2 5 2 5" xfId="7529"/>
    <cellStyle name="Comma 4 2 5 2 5 2" xfId="7530"/>
    <cellStyle name="Comma 4 2 5 2 5 3" xfId="7531"/>
    <cellStyle name="Comma 4 2 5 2 6" xfId="7532"/>
    <cellStyle name="Comma 4 2 5 2 6 2" xfId="7533"/>
    <cellStyle name="Comma 4 2 5 2 6 3" xfId="7534"/>
    <cellStyle name="Comma 4 2 5 2 7" xfId="7535"/>
    <cellStyle name="Comma 4 2 5 2 8" xfId="7536"/>
    <cellStyle name="Comma 4 2 5 3" xfId="7537"/>
    <cellStyle name="Comma 4 2 5 3 2" xfId="7538"/>
    <cellStyle name="Comma 4 2 5 3 2 2" xfId="7539"/>
    <cellStyle name="Comma 4 2 5 3 2 2 2" xfId="7540"/>
    <cellStyle name="Comma 4 2 5 3 2 2 3" xfId="7541"/>
    <cellStyle name="Comma 4 2 5 3 2 3" xfId="7542"/>
    <cellStyle name="Comma 4 2 5 3 2 3 2" xfId="7543"/>
    <cellStyle name="Comma 4 2 5 3 2 3 3" xfId="7544"/>
    <cellStyle name="Comma 4 2 5 3 2 4" xfId="7545"/>
    <cellStyle name="Comma 4 2 5 3 2 5" xfId="7546"/>
    <cellStyle name="Comma 4 2 5 3 3" xfId="7547"/>
    <cellStyle name="Comma 4 2 5 3 3 2" xfId="7548"/>
    <cellStyle name="Comma 4 2 5 3 3 3" xfId="7549"/>
    <cellStyle name="Comma 4 2 5 3 4" xfId="7550"/>
    <cellStyle name="Comma 4 2 5 3 4 2" xfId="7551"/>
    <cellStyle name="Comma 4 2 5 3 4 3" xfId="7552"/>
    <cellStyle name="Comma 4 2 5 3 5" xfId="7553"/>
    <cellStyle name="Comma 4 2 5 3 6" xfId="7554"/>
    <cellStyle name="Comma 4 2 5 4" xfId="7555"/>
    <cellStyle name="Comma 4 2 5 4 2" xfId="7556"/>
    <cellStyle name="Comma 4 2 5 4 2 2" xfId="7557"/>
    <cellStyle name="Comma 4 2 5 4 2 2 2" xfId="7558"/>
    <cellStyle name="Comma 4 2 5 4 2 2 3" xfId="7559"/>
    <cellStyle name="Comma 4 2 5 4 2 3" xfId="7560"/>
    <cellStyle name="Comma 4 2 5 4 2 3 2" xfId="7561"/>
    <cellStyle name="Comma 4 2 5 4 2 3 3" xfId="7562"/>
    <cellStyle name="Comma 4 2 5 4 2 4" xfId="7563"/>
    <cellStyle name="Comma 4 2 5 4 2 5" xfId="7564"/>
    <cellStyle name="Comma 4 2 5 4 3" xfId="7565"/>
    <cellStyle name="Comma 4 2 5 4 3 2" xfId="7566"/>
    <cellStyle name="Comma 4 2 5 4 3 3" xfId="7567"/>
    <cellStyle name="Comma 4 2 5 4 4" xfId="7568"/>
    <cellStyle name="Comma 4 2 5 4 4 2" xfId="7569"/>
    <cellStyle name="Comma 4 2 5 4 4 3" xfId="7570"/>
    <cellStyle name="Comma 4 2 5 4 5" xfId="7571"/>
    <cellStyle name="Comma 4 2 5 4 6" xfId="7572"/>
    <cellStyle name="Comma 4 2 5 5" xfId="7573"/>
    <cellStyle name="Comma 4 2 5 5 2" xfId="7574"/>
    <cellStyle name="Comma 4 2 5 5 2 2" xfId="7575"/>
    <cellStyle name="Comma 4 2 5 5 2 3" xfId="7576"/>
    <cellStyle name="Comma 4 2 5 5 3" xfId="7577"/>
    <cellStyle name="Comma 4 2 5 5 3 2" xfId="7578"/>
    <cellStyle name="Comma 4 2 5 5 3 3" xfId="7579"/>
    <cellStyle name="Comma 4 2 5 5 4" xfId="7580"/>
    <cellStyle name="Comma 4 2 5 5 5" xfId="7581"/>
    <cellStyle name="Comma 4 2 5 6" xfId="7582"/>
    <cellStyle name="Comma 4 2 5 6 2" xfId="7583"/>
    <cellStyle name="Comma 4 2 5 6 3" xfId="7584"/>
    <cellStyle name="Comma 4 2 5 7" xfId="7585"/>
    <cellStyle name="Comma 4 2 5 7 2" xfId="7586"/>
    <cellStyle name="Comma 4 2 5 7 3" xfId="7587"/>
    <cellStyle name="Comma 4 2 5 8" xfId="7588"/>
    <cellStyle name="Comma 4 2 5 9" xfId="7589"/>
    <cellStyle name="Comma 4 2 6" xfId="7590"/>
    <cellStyle name="Comma 4 2 6 2" xfId="7591"/>
    <cellStyle name="Comma 4 2 6 2 2" xfId="7592"/>
    <cellStyle name="Comma 4 2 6 2 2 2" xfId="7593"/>
    <cellStyle name="Comma 4 2 6 2 2 2 2" xfId="7594"/>
    <cellStyle name="Comma 4 2 6 2 2 2 3" xfId="7595"/>
    <cellStyle name="Comma 4 2 6 2 2 3" xfId="7596"/>
    <cellStyle name="Comma 4 2 6 2 2 3 2" xfId="7597"/>
    <cellStyle name="Comma 4 2 6 2 2 3 3" xfId="7598"/>
    <cellStyle name="Comma 4 2 6 2 2 4" xfId="7599"/>
    <cellStyle name="Comma 4 2 6 2 2 5" xfId="7600"/>
    <cellStyle name="Comma 4 2 6 2 3" xfId="7601"/>
    <cellStyle name="Comma 4 2 6 2 3 2" xfId="7602"/>
    <cellStyle name="Comma 4 2 6 2 3 3" xfId="7603"/>
    <cellStyle name="Comma 4 2 6 2 4" xfId="7604"/>
    <cellStyle name="Comma 4 2 6 2 4 2" xfId="7605"/>
    <cellStyle name="Comma 4 2 6 2 4 3" xfId="7606"/>
    <cellStyle name="Comma 4 2 6 2 5" xfId="7607"/>
    <cellStyle name="Comma 4 2 6 2 6" xfId="7608"/>
    <cellStyle name="Comma 4 2 6 3" xfId="7609"/>
    <cellStyle name="Comma 4 2 6 3 2" xfId="7610"/>
    <cellStyle name="Comma 4 2 6 3 2 2" xfId="7611"/>
    <cellStyle name="Comma 4 2 6 3 2 2 2" xfId="7612"/>
    <cellStyle name="Comma 4 2 6 3 2 2 3" xfId="7613"/>
    <cellStyle name="Comma 4 2 6 3 2 3" xfId="7614"/>
    <cellStyle name="Comma 4 2 6 3 2 3 2" xfId="7615"/>
    <cellStyle name="Comma 4 2 6 3 2 3 3" xfId="7616"/>
    <cellStyle name="Comma 4 2 6 3 2 4" xfId="7617"/>
    <cellStyle name="Comma 4 2 6 3 2 5" xfId="7618"/>
    <cellStyle name="Comma 4 2 6 3 3" xfId="7619"/>
    <cellStyle name="Comma 4 2 6 3 3 2" xfId="7620"/>
    <cellStyle name="Comma 4 2 6 3 3 3" xfId="7621"/>
    <cellStyle name="Comma 4 2 6 3 4" xfId="7622"/>
    <cellStyle name="Comma 4 2 6 3 4 2" xfId="7623"/>
    <cellStyle name="Comma 4 2 6 3 4 3" xfId="7624"/>
    <cellStyle name="Comma 4 2 6 3 5" xfId="7625"/>
    <cellStyle name="Comma 4 2 6 3 6" xfId="7626"/>
    <cellStyle name="Comma 4 2 6 4" xfId="7627"/>
    <cellStyle name="Comma 4 2 6 4 2" xfId="7628"/>
    <cellStyle name="Comma 4 2 6 4 2 2" xfId="7629"/>
    <cellStyle name="Comma 4 2 6 4 2 3" xfId="7630"/>
    <cellStyle name="Comma 4 2 6 4 3" xfId="7631"/>
    <cellStyle name="Comma 4 2 6 4 3 2" xfId="7632"/>
    <cellStyle name="Comma 4 2 6 4 3 3" xfId="7633"/>
    <cellStyle name="Comma 4 2 6 4 4" xfId="7634"/>
    <cellStyle name="Comma 4 2 6 4 5" xfId="7635"/>
    <cellStyle name="Comma 4 2 6 5" xfId="7636"/>
    <cellStyle name="Comma 4 2 6 5 2" xfId="7637"/>
    <cellStyle name="Comma 4 2 6 5 3" xfId="7638"/>
    <cellStyle name="Comma 4 2 6 6" xfId="7639"/>
    <cellStyle name="Comma 4 2 6 6 2" xfId="7640"/>
    <cellStyle name="Comma 4 2 6 6 3" xfId="7641"/>
    <cellStyle name="Comma 4 2 6 7" xfId="7642"/>
    <cellStyle name="Comma 4 2 6 8" xfId="7643"/>
    <cellStyle name="Comma 4 2 7" xfId="7644"/>
    <cellStyle name="Comma 4 2 7 2" xfId="7645"/>
    <cellStyle name="Comma 4 2 7 2 2" xfId="7646"/>
    <cellStyle name="Comma 4 2 7 2 2 2" xfId="7647"/>
    <cellStyle name="Comma 4 2 7 2 2 3" xfId="7648"/>
    <cellStyle name="Comma 4 2 7 2 3" xfId="7649"/>
    <cellStyle name="Comma 4 2 7 2 3 2" xfId="7650"/>
    <cellStyle name="Comma 4 2 7 2 3 3" xfId="7651"/>
    <cellStyle name="Comma 4 2 7 2 4" xfId="7652"/>
    <cellStyle name="Comma 4 2 7 2 5" xfId="7653"/>
    <cellStyle name="Comma 4 2 7 3" xfId="7654"/>
    <cellStyle name="Comma 4 2 7 3 2" xfId="7655"/>
    <cellStyle name="Comma 4 2 7 3 3" xfId="7656"/>
    <cellStyle name="Comma 4 2 7 4" xfId="7657"/>
    <cellStyle name="Comma 4 2 7 4 2" xfId="7658"/>
    <cellStyle name="Comma 4 2 7 4 3" xfId="7659"/>
    <cellStyle name="Comma 4 2 7 5" xfId="7660"/>
    <cellStyle name="Comma 4 2 7 6" xfId="7661"/>
    <cellStyle name="Comma 4 2 8" xfId="7662"/>
    <cellStyle name="Comma 4 2 8 2" xfId="7663"/>
    <cellStyle name="Comma 4 2 8 2 2" xfId="7664"/>
    <cellStyle name="Comma 4 2 8 2 2 2" xfId="7665"/>
    <cellStyle name="Comma 4 2 8 2 2 3" xfId="7666"/>
    <cellStyle name="Comma 4 2 8 2 3" xfId="7667"/>
    <cellStyle name="Comma 4 2 8 2 3 2" xfId="7668"/>
    <cellStyle name="Comma 4 2 8 2 3 3" xfId="7669"/>
    <cellStyle name="Comma 4 2 8 2 4" xfId="7670"/>
    <cellStyle name="Comma 4 2 8 2 5" xfId="7671"/>
    <cellStyle name="Comma 4 2 8 3" xfId="7672"/>
    <cellStyle name="Comma 4 2 8 3 2" xfId="7673"/>
    <cellStyle name="Comma 4 2 8 3 3" xfId="7674"/>
    <cellStyle name="Comma 4 2 8 4" xfId="7675"/>
    <cellStyle name="Comma 4 2 8 4 2" xfId="7676"/>
    <cellStyle name="Comma 4 2 8 4 3" xfId="7677"/>
    <cellStyle name="Comma 4 2 8 5" xfId="7678"/>
    <cellStyle name="Comma 4 2 8 6" xfId="7679"/>
    <cellStyle name="Comma 4 2 9" xfId="7680"/>
    <cellStyle name="Comma 4 2 9 2" xfId="7681"/>
    <cellStyle name="Comma 4 2 9 2 2" xfId="7682"/>
    <cellStyle name="Comma 4 2 9 2 3" xfId="7683"/>
    <cellStyle name="Comma 4 2 9 3" xfId="7684"/>
    <cellStyle name="Comma 4 2 9 3 2" xfId="7685"/>
    <cellStyle name="Comma 4 2 9 3 3" xfId="7686"/>
    <cellStyle name="Comma 4 2 9 4" xfId="7687"/>
    <cellStyle name="Comma 4 2 9 5" xfId="7688"/>
    <cellStyle name="Comma 4 3" xfId="7689"/>
    <cellStyle name="Comma 4 3 10" xfId="7690"/>
    <cellStyle name="Comma 4 3 10 2" xfId="7691"/>
    <cellStyle name="Comma 4 3 10 3" xfId="7692"/>
    <cellStyle name="Comma 4 3 11" xfId="7693"/>
    <cellStyle name="Comma 4 3 12" xfId="7694"/>
    <cellStyle name="Comma 4 3 2" xfId="7695"/>
    <cellStyle name="Comma 4 3 2 10" xfId="7696"/>
    <cellStyle name="Comma 4 3 2 2" xfId="7697"/>
    <cellStyle name="Comma 4 3 2 2 2" xfId="7698"/>
    <cellStyle name="Comma 4 3 2 2 2 2" xfId="7699"/>
    <cellStyle name="Comma 4 3 2 2 2 2 2" xfId="7700"/>
    <cellStyle name="Comma 4 3 2 2 2 2 2 2" xfId="7701"/>
    <cellStyle name="Comma 4 3 2 2 2 2 2 2 2" xfId="7702"/>
    <cellStyle name="Comma 4 3 2 2 2 2 2 2 3" xfId="7703"/>
    <cellStyle name="Comma 4 3 2 2 2 2 2 3" xfId="7704"/>
    <cellStyle name="Comma 4 3 2 2 2 2 2 3 2" xfId="7705"/>
    <cellStyle name="Comma 4 3 2 2 2 2 2 3 3" xfId="7706"/>
    <cellStyle name="Comma 4 3 2 2 2 2 2 4" xfId="7707"/>
    <cellStyle name="Comma 4 3 2 2 2 2 2 5" xfId="7708"/>
    <cellStyle name="Comma 4 3 2 2 2 2 3" xfId="7709"/>
    <cellStyle name="Comma 4 3 2 2 2 2 3 2" xfId="7710"/>
    <cellStyle name="Comma 4 3 2 2 2 2 3 3" xfId="7711"/>
    <cellStyle name="Comma 4 3 2 2 2 2 4" xfId="7712"/>
    <cellStyle name="Comma 4 3 2 2 2 2 4 2" xfId="7713"/>
    <cellStyle name="Comma 4 3 2 2 2 2 4 3" xfId="7714"/>
    <cellStyle name="Comma 4 3 2 2 2 2 5" xfId="7715"/>
    <cellStyle name="Comma 4 3 2 2 2 2 6" xfId="7716"/>
    <cellStyle name="Comma 4 3 2 2 2 3" xfId="7717"/>
    <cellStyle name="Comma 4 3 2 2 2 3 2" xfId="7718"/>
    <cellStyle name="Comma 4 3 2 2 2 3 2 2" xfId="7719"/>
    <cellStyle name="Comma 4 3 2 2 2 3 2 2 2" xfId="7720"/>
    <cellStyle name="Comma 4 3 2 2 2 3 2 2 3" xfId="7721"/>
    <cellStyle name="Comma 4 3 2 2 2 3 2 3" xfId="7722"/>
    <cellStyle name="Comma 4 3 2 2 2 3 2 3 2" xfId="7723"/>
    <cellStyle name="Comma 4 3 2 2 2 3 2 3 3" xfId="7724"/>
    <cellStyle name="Comma 4 3 2 2 2 3 2 4" xfId="7725"/>
    <cellStyle name="Comma 4 3 2 2 2 3 2 5" xfId="7726"/>
    <cellStyle name="Comma 4 3 2 2 2 3 3" xfId="7727"/>
    <cellStyle name="Comma 4 3 2 2 2 3 3 2" xfId="7728"/>
    <cellStyle name="Comma 4 3 2 2 2 3 3 3" xfId="7729"/>
    <cellStyle name="Comma 4 3 2 2 2 3 4" xfId="7730"/>
    <cellStyle name="Comma 4 3 2 2 2 3 4 2" xfId="7731"/>
    <cellStyle name="Comma 4 3 2 2 2 3 4 3" xfId="7732"/>
    <cellStyle name="Comma 4 3 2 2 2 3 5" xfId="7733"/>
    <cellStyle name="Comma 4 3 2 2 2 3 6" xfId="7734"/>
    <cellStyle name="Comma 4 3 2 2 2 4" xfId="7735"/>
    <cellStyle name="Comma 4 3 2 2 2 4 2" xfId="7736"/>
    <cellStyle name="Comma 4 3 2 2 2 4 2 2" xfId="7737"/>
    <cellStyle name="Comma 4 3 2 2 2 4 2 3" xfId="7738"/>
    <cellStyle name="Comma 4 3 2 2 2 4 3" xfId="7739"/>
    <cellStyle name="Comma 4 3 2 2 2 4 3 2" xfId="7740"/>
    <cellStyle name="Comma 4 3 2 2 2 4 3 3" xfId="7741"/>
    <cellStyle name="Comma 4 3 2 2 2 4 4" xfId="7742"/>
    <cellStyle name="Comma 4 3 2 2 2 4 5" xfId="7743"/>
    <cellStyle name="Comma 4 3 2 2 2 5" xfId="7744"/>
    <cellStyle name="Comma 4 3 2 2 2 5 2" xfId="7745"/>
    <cellStyle name="Comma 4 3 2 2 2 5 3" xfId="7746"/>
    <cellStyle name="Comma 4 3 2 2 2 6" xfId="7747"/>
    <cellStyle name="Comma 4 3 2 2 2 6 2" xfId="7748"/>
    <cellStyle name="Comma 4 3 2 2 2 6 3" xfId="7749"/>
    <cellStyle name="Comma 4 3 2 2 2 7" xfId="7750"/>
    <cellStyle name="Comma 4 3 2 2 2 8" xfId="7751"/>
    <cellStyle name="Comma 4 3 2 2 3" xfId="7752"/>
    <cellStyle name="Comma 4 3 2 2 3 2" xfId="7753"/>
    <cellStyle name="Comma 4 3 2 2 3 2 2" xfId="7754"/>
    <cellStyle name="Comma 4 3 2 2 3 2 2 2" xfId="7755"/>
    <cellStyle name="Comma 4 3 2 2 3 2 2 3" xfId="7756"/>
    <cellStyle name="Comma 4 3 2 2 3 2 3" xfId="7757"/>
    <cellStyle name="Comma 4 3 2 2 3 2 3 2" xfId="7758"/>
    <cellStyle name="Comma 4 3 2 2 3 2 3 3" xfId="7759"/>
    <cellStyle name="Comma 4 3 2 2 3 2 4" xfId="7760"/>
    <cellStyle name="Comma 4 3 2 2 3 2 5" xfId="7761"/>
    <cellStyle name="Comma 4 3 2 2 3 3" xfId="7762"/>
    <cellStyle name="Comma 4 3 2 2 3 3 2" xfId="7763"/>
    <cellStyle name="Comma 4 3 2 2 3 3 3" xfId="7764"/>
    <cellStyle name="Comma 4 3 2 2 3 4" xfId="7765"/>
    <cellStyle name="Comma 4 3 2 2 3 4 2" xfId="7766"/>
    <cellStyle name="Comma 4 3 2 2 3 4 3" xfId="7767"/>
    <cellStyle name="Comma 4 3 2 2 3 5" xfId="7768"/>
    <cellStyle name="Comma 4 3 2 2 3 6" xfId="7769"/>
    <cellStyle name="Comma 4 3 2 2 4" xfId="7770"/>
    <cellStyle name="Comma 4 3 2 2 4 2" xfId="7771"/>
    <cellStyle name="Comma 4 3 2 2 4 2 2" xfId="7772"/>
    <cellStyle name="Comma 4 3 2 2 4 2 2 2" xfId="7773"/>
    <cellStyle name="Comma 4 3 2 2 4 2 2 3" xfId="7774"/>
    <cellStyle name="Comma 4 3 2 2 4 2 3" xfId="7775"/>
    <cellStyle name="Comma 4 3 2 2 4 2 3 2" xfId="7776"/>
    <cellStyle name="Comma 4 3 2 2 4 2 3 3" xfId="7777"/>
    <cellStyle name="Comma 4 3 2 2 4 2 4" xfId="7778"/>
    <cellStyle name="Comma 4 3 2 2 4 2 5" xfId="7779"/>
    <cellStyle name="Comma 4 3 2 2 4 3" xfId="7780"/>
    <cellStyle name="Comma 4 3 2 2 4 3 2" xfId="7781"/>
    <cellStyle name="Comma 4 3 2 2 4 3 3" xfId="7782"/>
    <cellStyle name="Comma 4 3 2 2 4 4" xfId="7783"/>
    <cellStyle name="Comma 4 3 2 2 4 4 2" xfId="7784"/>
    <cellStyle name="Comma 4 3 2 2 4 4 3" xfId="7785"/>
    <cellStyle name="Comma 4 3 2 2 4 5" xfId="7786"/>
    <cellStyle name="Comma 4 3 2 2 4 6" xfId="7787"/>
    <cellStyle name="Comma 4 3 2 2 5" xfId="7788"/>
    <cellStyle name="Comma 4 3 2 2 5 2" xfId="7789"/>
    <cellStyle name="Comma 4 3 2 2 5 2 2" xfId="7790"/>
    <cellStyle name="Comma 4 3 2 2 5 2 3" xfId="7791"/>
    <cellStyle name="Comma 4 3 2 2 5 3" xfId="7792"/>
    <cellStyle name="Comma 4 3 2 2 5 3 2" xfId="7793"/>
    <cellStyle name="Comma 4 3 2 2 5 3 3" xfId="7794"/>
    <cellStyle name="Comma 4 3 2 2 5 4" xfId="7795"/>
    <cellStyle name="Comma 4 3 2 2 5 5" xfId="7796"/>
    <cellStyle name="Comma 4 3 2 2 6" xfId="7797"/>
    <cellStyle name="Comma 4 3 2 2 6 2" xfId="7798"/>
    <cellStyle name="Comma 4 3 2 2 6 3" xfId="7799"/>
    <cellStyle name="Comma 4 3 2 2 7" xfId="7800"/>
    <cellStyle name="Comma 4 3 2 2 7 2" xfId="7801"/>
    <cellStyle name="Comma 4 3 2 2 7 3" xfId="7802"/>
    <cellStyle name="Comma 4 3 2 2 8" xfId="7803"/>
    <cellStyle name="Comma 4 3 2 2 9" xfId="7804"/>
    <cellStyle name="Comma 4 3 2 3" xfId="7805"/>
    <cellStyle name="Comma 4 3 2 3 2" xfId="7806"/>
    <cellStyle name="Comma 4 3 2 3 2 2" xfId="7807"/>
    <cellStyle name="Comma 4 3 2 3 2 2 2" xfId="7808"/>
    <cellStyle name="Comma 4 3 2 3 2 2 2 2" xfId="7809"/>
    <cellStyle name="Comma 4 3 2 3 2 2 2 3" xfId="7810"/>
    <cellStyle name="Comma 4 3 2 3 2 2 3" xfId="7811"/>
    <cellStyle name="Comma 4 3 2 3 2 2 3 2" xfId="7812"/>
    <cellStyle name="Comma 4 3 2 3 2 2 3 3" xfId="7813"/>
    <cellStyle name="Comma 4 3 2 3 2 2 4" xfId="7814"/>
    <cellStyle name="Comma 4 3 2 3 2 2 5" xfId="7815"/>
    <cellStyle name="Comma 4 3 2 3 2 3" xfId="7816"/>
    <cellStyle name="Comma 4 3 2 3 2 3 2" xfId="7817"/>
    <cellStyle name="Comma 4 3 2 3 2 3 3" xfId="7818"/>
    <cellStyle name="Comma 4 3 2 3 2 4" xfId="7819"/>
    <cellStyle name="Comma 4 3 2 3 2 4 2" xfId="7820"/>
    <cellStyle name="Comma 4 3 2 3 2 4 3" xfId="7821"/>
    <cellStyle name="Comma 4 3 2 3 2 5" xfId="7822"/>
    <cellStyle name="Comma 4 3 2 3 2 6" xfId="7823"/>
    <cellStyle name="Comma 4 3 2 3 3" xfId="7824"/>
    <cellStyle name="Comma 4 3 2 3 3 2" xfId="7825"/>
    <cellStyle name="Comma 4 3 2 3 3 2 2" xfId="7826"/>
    <cellStyle name="Comma 4 3 2 3 3 2 2 2" xfId="7827"/>
    <cellStyle name="Comma 4 3 2 3 3 2 2 3" xfId="7828"/>
    <cellStyle name="Comma 4 3 2 3 3 2 3" xfId="7829"/>
    <cellStyle name="Comma 4 3 2 3 3 2 3 2" xfId="7830"/>
    <cellStyle name="Comma 4 3 2 3 3 2 3 3" xfId="7831"/>
    <cellStyle name="Comma 4 3 2 3 3 2 4" xfId="7832"/>
    <cellStyle name="Comma 4 3 2 3 3 2 5" xfId="7833"/>
    <cellStyle name="Comma 4 3 2 3 3 3" xfId="7834"/>
    <cellStyle name="Comma 4 3 2 3 3 3 2" xfId="7835"/>
    <cellStyle name="Comma 4 3 2 3 3 3 3" xfId="7836"/>
    <cellStyle name="Comma 4 3 2 3 3 4" xfId="7837"/>
    <cellStyle name="Comma 4 3 2 3 3 4 2" xfId="7838"/>
    <cellStyle name="Comma 4 3 2 3 3 4 3" xfId="7839"/>
    <cellStyle name="Comma 4 3 2 3 3 5" xfId="7840"/>
    <cellStyle name="Comma 4 3 2 3 3 6" xfId="7841"/>
    <cellStyle name="Comma 4 3 2 3 4" xfId="7842"/>
    <cellStyle name="Comma 4 3 2 3 4 2" xfId="7843"/>
    <cellStyle name="Comma 4 3 2 3 4 2 2" xfId="7844"/>
    <cellStyle name="Comma 4 3 2 3 4 2 3" xfId="7845"/>
    <cellStyle name="Comma 4 3 2 3 4 3" xfId="7846"/>
    <cellStyle name="Comma 4 3 2 3 4 3 2" xfId="7847"/>
    <cellStyle name="Comma 4 3 2 3 4 3 3" xfId="7848"/>
    <cellStyle name="Comma 4 3 2 3 4 4" xfId="7849"/>
    <cellStyle name="Comma 4 3 2 3 4 5" xfId="7850"/>
    <cellStyle name="Comma 4 3 2 3 5" xfId="7851"/>
    <cellStyle name="Comma 4 3 2 3 5 2" xfId="7852"/>
    <cellStyle name="Comma 4 3 2 3 5 3" xfId="7853"/>
    <cellStyle name="Comma 4 3 2 3 6" xfId="7854"/>
    <cellStyle name="Comma 4 3 2 3 6 2" xfId="7855"/>
    <cellStyle name="Comma 4 3 2 3 6 3" xfId="7856"/>
    <cellStyle name="Comma 4 3 2 3 7" xfId="7857"/>
    <cellStyle name="Comma 4 3 2 3 8" xfId="7858"/>
    <cellStyle name="Comma 4 3 2 4" xfId="7859"/>
    <cellStyle name="Comma 4 3 2 4 2" xfId="7860"/>
    <cellStyle name="Comma 4 3 2 4 2 2" xfId="7861"/>
    <cellStyle name="Comma 4 3 2 4 2 2 2" xfId="7862"/>
    <cellStyle name="Comma 4 3 2 4 2 2 3" xfId="7863"/>
    <cellStyle name="Comma 4 3 2 4 2 3" xfId="7864"/>
    <cellStyle name="Comma 4 3 2 4 2 3 2" xfId="7865"/>
    <cellStyle name="Comma 4 3 2 4 2 3 3" xfId="7866"/>
    <cellStyle name="Comma 4 3 2 4 2 4" xfId="7867"/>
    <cellStyle name="Comma 4 3 2 4 2 5" xfId="7868"/>
    <cellStyle name="Comma 4 3 2 4 3" xfId="7869"/>
    <cellStyle name="Comma 4 3 2 4 3 2" xfId="7870"/>
    <cellStyle name="Comma 4 3 2 4 3 3" xfId="7871"/>
    <cellStyle name="Comma 4 3 2 4 4" xfId="7872"/>
    <cellStyle name="Comma 4 3 2 4 4 2" xfId="7873"/>
    <cellStyle name="Comma 4 3 2 4 4 3" xfId="7874"/>
    <cellStyle name="Comma 4 3 2 4 5" xfId="7875"/>
    <cellStyle name="Comma 4 3 2 4 6" xfId="7876"/>
    <cellStyle name="Comma 4 3 2 5" xfId="7877"/>
    <cellStyle name="Comma 4 3 2 5 2" xfId="7878"/>
    <cellStyle name="Comma 4 3 2 5 2 2" xfId="7879"/>
    <cellStyle name="Comma 4 3 2 5 2 2 2" xfId="7880"/>
    <cellStyle name="Comma 4 3 2 5 2 2 3" xfId="7881"/>
    <cellStyle name="Comma 4 3 2 5 2 3" xfId="7882"/>
    <cellStyle name="Comma 4 3 2 5 2 3 2" xfId="7883"/>
    <cellStyle name="Comma 4 3 2 5 2 3 3" xfId="7884"/>
    <cellStyle name="Comma 4 3 2 5 2 4" xfId="7885"/>
    <cellStyle name="Comma 4 3 2 5 2 5" xfId="7886"/>
    <cellStyle name="Comma 4 3 2 5 3" xfId="7887"/>
    <cellStyle name="Comma 4 3 2 5 3 2" xfId="7888"/>
    <cellStyle name="Comma 4 3 2 5 3 3" xfId="7889"/>
    <cellStyle name="Comma 4 3 2 5 4" xfId="7890"/>
    <cellStyle name="Comma 4 3 2 5 4 2" xfId="7891"/>
    <cellStyle name="Comma 4 3 2 5 4 3" xfId="7892"/>
    <cellStyle name="Comma 4 3 2 5 5" xfId="7893"/>
    <cellStyle name="Comma 4 3 2 5 6" xfId="7894"/>
    <cellStyle name="Comma 4 3 2 6" xfId="7895"/>
    <cellStyle name="Comma 4 3 2 6 2" xfId="7896"/>
    <cellStyle name="Comma 4 3 2 6 2 2" xfId="7897"/>
    <cellStyle name="Comma 4 3 2 6 2 3" xfId="7898"/>
    <cellStyle name="Comma 4 3 2 6 3" xfId="7899"/>
    <cellStyle name="Comma 4 3 2 6 3 2" xfId="7900"/>
    <cellStyle name="Comma 4 3 2 6 3 3" xfId="7901"/>
    <cellStyle name="Comma 4 3 2 6 4" xfId="7902"/>
    <cellStyle name="Comma 4 3 2 6 5" xfId="7903"/>
    <cellStyle name="Comma 4 3 2 7" xfId="7904"/>
    <cellStyle name="Comma 4 3 2 7 2" xfId="7905"/>
    <cellStyle name="Comma 4 3 2 7 3" xfId="7906"/>
    <cellStyle name="Comma 4 3 2 8" xfId="7907"/>
    <cellStyle name="Comma 4 3 2 8 2" xfId="7908"/>
    <cellStyle name="Comma 4 3 2 8 3" xfId="7909"/>
    <cellStyle name="Comma 4 3 2 9" xfId="7910"/>
    <cellStyle name="Comma 4 3 3" xfId="7911"/>
    <cellStyle name="Comma 4 3 3 10" xfId="7912"/>
    <cellStyle name="Comma 4 3 3 2" xfId="7913"/>
    <cellStyle name="Comma 4 3 3 2 2" xfId="7914"/>
    <cellStyle name="Comma 4 3 3 2 2 2" xfId="7915"/>
    <cellStyle name="Comma 4 3 3 2 2 2 2" xfId="7916"/>
    <cellStyle name="Comma 4 3 3 2 2 2 2 2" xfId="7917"/>
    <cellStyle name="Comma 4 3 3 2 2 2 2 2 2" xfId="7918"/>
    <cellStyle name="Comma 4 3 3 2 2 2 2 2 3" xfId="7919"/>
    <cellStyle name="Comma 4 3 3 2 2 2 2 3" xfId="7920"/>
    <cellStyle name="Comma 4 3 3 2 2 2 2 3 2" xfId="7921"/>
    <cellStyle name="Comma 4 3 3 2 2 2 2 3 3" xfId="7922"/>
    <cellStyle name="Comma 4 3 3 2 2 2 2 4" xfId="7923"/>
    <cellStyle name="Comma 4 3 3 2 2 2 2 5" xfId="7924"/>
    <cellStyle name="Comma 4 3 3 2 2 2 3" xfId="7925"/>
    <cellStyle name="Comma 4 3 3 2 2 2 3 2" xfId="7926"/>
    <cellStyle name="Comma 4 3 3 2 2 2 3 3" xfId="7927"/>
    <cellStyle name="Comma 4 3 3 2 2 2 4" xfId="7928"/>
    <cellStyle name="Comma 4 3 3 2 2 2 4 2" xfId="7929"/>
    <cellStyle name="Comma 4 3 3 2 2 2 4 3" xfId="7930"/>
    <cellStyle name="Comma 4 3 3 2 2 2 5" xfId="7931"/>
    <cellStyle name="Comma 4 3 3 2 2 2 6" xfId="7932"/>
    <cellStyle name="Comma 4 3 3 2 2 3" xfId="7933"/>
    <cellStyle name="Comma 4 3 3 2 2 3 2" xfId="7934"/>
    <cellStyle name="Comma 4 3 3 2 2 3 2 2" xfId="7935"/>
    <cellStyle name="Comma 4 3 3 2 2 3 2 2 2" xfId="7936"/>
    <cellStyle name="Comma 4 3 3 2 2 3 2 2 3" xfId="7937"/>
    <cellStyle name="Comma 4 3 3 2 2 3 2 3" xfId="7938"/>
    <cellStyle name="Comma 4 3 3 2 2 3 2 3 2" xfId="7939"/>
    <cellStyle name="Comma 4 3 3 2 2 3 2 3 3" xfId="7940"/>
    <cellStyle name="Comma 4 3 3 2 2 3 2 4" xfId="7941"/>
    <cellStyle name="Comma 4 3 3 2 2 3 2 5" xfId="7942"/>
    <cellStyle name="Comma 4 3 3 2 2 3 3" xfId="7943"/>
    <cellStyle name="Comma 4 3 3 2 2 3 3 2" xfId="7944"/>
    <cellStyle name="Comma 4 3 3 2 2 3 3 3" xfId="7945"/>
    <cellStyle name="Comma 4 3 3 2 2 3 4" xfId="7946"/>
    <cellStyle name="Comma 4 3 3 2 2 3 4 2" xfId="7947"/>
    <cellStyle name="Comma 4 3 3 2 2 3 4 3" xfId="7948"/>
    <cellStyle name="Comma 4 3 3 2 2 3 5" xfId="7949"/>
    <cellStyle name="Comma 4 3 3 2 2 3 6" xfId="7950"/>
    <cellStyle name="Comma 4 3 3 2 2 4" xfId="7951"/>
    <cellStyle name="Comma 4 3 3 2 2 4 2" xfId="7952"/>
    <cellStyle name="Comma 4 3 3 2 2 4 2 2" xfId="7953"/>
    <cellStyle name="Comma 4 3 3 2 2 4 2 3" xfId="7954"/>
    <cellStyle name="Comma 4 3 3 2 2 4 3" xfId="7955"/>
    <cellStyle name="Comma 4 3 3 2 2 4 3 2" xfId="7956"/>
    <cellStyle name="Comma 4 3 3 2 2 4 3 3" xfId="7957"/>
    <cellStyle name="Comma 4 3 3 2 2 4 4" xfId="7958"/>
    <cellStyle name="Comma 4 3 3 2 2 4 5" xfId="7959"/>
    <cellStyle name="Comma 4 3 3 2 2 5" xfId="7960"/>
    <cellStyle name="Comma 4 3 3 2 2 5 2" xfId="7961"/>
    <cellStyle name="Comma 4 3 3 2 2 5 3" xfId="7962"/>
    <cellStyle name="Comma 4 3 3 2 2 6" xfId="7963"/>
    <cellStyle name="Comma 4 3 3 2 2 6 2" xfId="7964"/>
    <cellStyle name="Comma 4 3 3 2 2 6 3" xfId="7965"/>
    <cellStyle name="Comma 4 3 3 2 2 7" xfId="7966"/>
    <cellStyle name="Comma 4 3 3 2 2 8" xfId="7967"/>
    <cellStyle name="Comma 4 3 3 2 3" xfId="7968"/>
    <cellStyle name="Comma 4 3 3 2 3 2" xfId="7969"/>
    <cellStyle name="Comma 4 3 3 2 3 2 2" xfId="7970"/>
    <cellStyle name="Comma 4 3 3 2 3 2 2 2" xfId="7971"/>
    <cellStyle name="Comma 4 3 3 2 3 2 2 3" xfId="7972"/>
    <cellStyle name="Comma 4 3 3 2 3 2 3" xfId="7973"/>
    <cellStyle name="Comma 4 3 3 2 3 2 3 2" xfId="7974"/>
    <cellStyle name="Comma 4 3 3 2 3 2 3 3" xfId="7975"/>
    <cellStyle name="Comma 4 3 3 2 3 2 4" xfId="7976"/>
    <cellStyle name="Comma 4 3 3 2 3 2 5" xfId="7977"/>
    <cellStyle name="Comma 4 3 3 2 3 3" xfId="7978"/>
    <cellStyle name="Comma 4 3 3 2 3 3 2" xfId="7979"/>
    <cellStyle name="Comma 4 3 3 2 3 3 3" xfId="7980"/>
    <cellStyle name="Comma 4 3 3 2 3 4" xfId="7981"/>
    <cellStyle name="Comma 4 3 3 2 3 4 2" xfId="7982"/>
    <cellStyle name="Comma 4 3 3 2 3 4 3" xfId="7983"/>
    <cellStyle name="Comma 4 3 3 2 3 5" xfId="7984"/>
    <cellStyle name="Comma 4 3 3 2 3 6" xfId="7985"/>
    <cellStyle name="Comma 4 3 3 2 4" xfId="7986"/>
    <cellStyle name="Comma 4 3 3 2 4 2" xfId="7987"/>
    <cellStyle name="Comma 4 3 3 2 4 2 2" xfId="7988"/>
    <cellStyle name="Comma 4 3 3 2 4 2 2 2" xfId="7989"/>
    <cellStyle name="Comma 4 3 3 2 4 2 2 3" xfId="7990"/>
    <cellStyle name="Comma 4 3 3 2 4 2 3" xfId="7991"/>
    <cellStyle name="Comma 4 3 3 2 4 2 3 2" xfId="7992"/>
    <cellStyle name="Comma 4 3 3 2 4 2 3 3" xfId="7993"/>
    <cellStyle name="Comma 4 3 3 2 4 2 4" xfId="7994"/>
    <cellStyle name="Comma 4 3 3 2 4 2 5" xfId="7995"/>
    <cellStyle name="Comma 4 3 3 2 4 3" xfId="7996"/>
    <cellStyle name="Comma 4 3 3 2 4 3 2" xfId="7997"/>
    <cellStyle name="Comma 4 3 3 2 4 3 3" xfId="7998"/>
    <cellStyle name="Comma 4 3 3 2 4 4" xfId="7999"/>
    <cellStyle name="Comma 4 3 3 2 4 4 2" xfId="8000"/>
    <cellStyle name="Comma 4 3 3 2 4 4 3" xfId="8001"/>
    <cellStyle name="Comma 4 3 3 2 4 5" xfId="8002"/>
    <cellStyle name="Comma 4 3 3 2 4 6" xfId="8003"/>
    <cellStyle name="Comma 4 3 3 2 5" xfId="8004"/>
    <cellStyle name="Comma 4 3 3 2 5 2" xfId="8005"/>
    <cellStyle name="Comma 4 3 3 2 5 2 2" xfId="8006"/>
    <cellStyle name="Comma 4 3 3 2 5 2 3" xfId="8007"/>
    <cellStyle name="Comma 4 3 3 2 5 3" xfId="8008"/>
    <cellStyle name="Comma 4 3 3 2 5 3 2" xfId="8009"/>
    <cellStyle name="Comma 4 3 3 2 5 3 3" xfId="8010"/>
    <cellStyle name="Comma 4 3 3 2 5 4" xfId="8011"/>
    <cellStyle name="Comma 4 3 3 2 5 5" xfId="8012"/>
    <cellStyle name="Comma 4 3 3 2 6" xfId="8013"/>
    <cellStyle name="Comma 4 3 3 2 6 2" xfId="8014"/>
    <cellStyle name="Comma 4 3 3 2 6 3" xfId="8015"/>
    <cellStyle name="Comma 4 3 3 2 7" xfId="8016"/>
    <cellStyle name="Comma 4 3 3 2 7 2" xfId="8017"/>
    <cellStyle name="Comma 4 3 3 2 7 3" xfId="8018"/>
    <cellStyle name="Comma 4 3 3 2 8" xfId="8019"/>
    <cellStyle name="Comma 4 3 3 2 9" xfId="8020"/>
    <cellStyle name="Comma 4 3 3 3" xfId="8021"/>
    <cellStyle name="Comma 4 3 3 3 2" xfId="8022"/>
    <cellStyle name="Comma 4 3 3 3 2 2" xfId="8023"/>
    <cellStyle name="Comma 4 3 3 3 2 2 2" xfId="8024"/>
    <cellStyle name="Comma 4 3 3 3 2 2 2 2" xfId="8025"/>
    <cellStyle name="Comma 4 3 3 3 2 2 2 3" xfId="8026"/>
    <cellStyle name="Comma 4 3 3 3 2 2 3" xfId="8027"/>
    <cellStyle name="Comma 4 3 3 3 2 2 3 2" xfId="8028"/>
    <cellStyle name="Comma 4 3 3 3 2 2 3 3" xfId="8029"/>
    <cellStyle name="Comma 4 3 3 3 2 2 4" xfId="8030"/>
    <cellStyle name="Comma 4 3 3 3 2 2 5" xfId="8031"/>
    <cellStyle name="Comma 4 3 3 3 2 3" xfId="8032"/>
    <cellStyle name="Comma 4 3 3 3 2 3 2" xfId="8033"/>
    <cellStyle name="Comma 4 3 3 3 2 3 3" xfId="8034"/>
    <cellStyle name="Comma 4 3 3 3 2 4" xfId="8035"/>
    <cellStyle name="Comma 4 3 3 3 2 4 2" xfId="8036"/>
    <cellStyle name="Comma 4 3 3 3 2 4 3" xfId="8037"/>
    <cellStyle name="Comma 4 3 3 3 2 5" xfId="8038"/>
    <cellStyle name="Comma 4 3 3 3 2 6" xfId="8039"/>
    <cellStyle name="Comma 4 3 3 3 3" xfId="8040"/>
    <cellStyle name="Comma 4 3 3 3 3 2" xfId="8041"/>
    <cellStyle name="Comma 4 3 3 3 3 2 2" xfId="8042"/>
    <cellStyle name="Comma 4 3 3 3 3 2 2 2" xfId="8043"/>
    <cellStyle name="Comma 4 3 3 3 3 2 2 3" xfId="8044"/>
    <cellStyle name="Comma 4 3 3 3 3 2 3" xfId="8045"/>
    <cellStyle name="Comma 4 3 3 3 3 2 3 2" xfId="8046"/>
    <cellStyle name="Comma 4 3 3 3 3 2 3 3" xfId="8047"/>
    <cellStyle name="Comma 4 3 3 3 3 2 4" xfId="8048"/>
    <cellStyle name="Comma 4 3 3 3 3 2 5" xfId="8049"/>
    <cellStyle name="Comma 4 3 3 3 3 3" xfId="8050"/>
    <cellStyle name="Comma 4 3 3 3 3 3 2" xfId="8051"/>
    <cellStyle name="Comma 4 3 3 3 3 3 3" xfId="8052"/>
    <cellStyle name="Comma 4 3 3 3 3 4" xfId="8053"/>
    <cellStyle name="Comma 4 3 3 3 3 4 2" xfId="8054"/>
    <cellStyle name="Comma 4 3 3 3 3 4 3" xfId="8055"/>
    <cellStyle name="Comma 4 3 3 3 3 5" xfId="8056"/>
    <cellStyle name="Comma 4 3 3 3 3 6" xfId="8057"/>
    <cellStyle name="Comma 4 3 3 3 4" xfId="8058"/>
    <cellStyle name="Comma 4 3 3 3 4 2" xfId="8059"/>
    <cellStyle name="Comma 4 3 3 3 4 2 2" xfId="8060"/>
    <cellStyle name="Comma 4 3 3 3 4 2 3" xfId="8061"/>
    <cellStyle name="Comma 4 3 3 3 4 3" xfId="8062"/>
    <cellStyle name="Comma 4 3 3 3 4 3 2" xfId="8063"/>
    <cellStyle name="Comma 4 3 3 3 4 3 3" xfId="8064"/>
    <cellStyle name="Comma 4 3 3 3 4 4" xfId="8065"/>
    <cellStyle name="Comma 4 3 3 3 4 5" xfId="8066"/>
    <cellStyle name="Comma 4 3 3 3 5" xfId="8067"/>
    <cellStyle name="Comma 4 3 3 3 5 2" xfId="8068"/>
    <cellStyle name="Comma 4 3 3 3 5 3" xfId="8069"/>
    <cellStyle name="Comma 4 3 3 3 6" xfId="8070"/>
    <cellStyle name="Comma 4 3 3 3 6 2" xfId="8071"/>
    <cellStyle name="Comma 4 3 3 3 6 3" xfId="8072"/>
    <cellStyle name="Comma 4 3 3 3 7" xfId="8073"/>
    <cellStyle name="Comma 4 3 3 3 8" xfId="8074"/>
    <cellStyle name="Comma 4 3 3 4" xfId="8075"/>
    <cellStyle name="Comma 4 3 3 4 2" xfId="8076"/>
    <cellStyle name="Comma 4 3 3 4 2 2" xfId="8077"/>
    <cellStyle name="Comma 4 3 3 4 2 2 2" xfId="8078"/>
    <cellStyle name="Comma 4 3 3 4 2 2 3" xfId="8079"/>
    <cellStyle name="Comma 4 3 3 4 2 3" xfId="8080"/>
    <cellStyle name="Comma 4 3 3 4 2 3 2" xfId="8081"/>
    <cellStyle name="Comma 4 3 3 4 2 3 3" xfId="8082"/>
    <cellStyle name="Comma 4 3 3 4 2 4" xfId="8083"/>
    <cellStyle name="Comma 4 3 3 4 2 5" xfId="8084"/>
    <cellStyle name="Comma 4 3 3 4 3" xfId="8085"/>
    <cellStyle name="Comma 4 3 3 4 3 2" xfId="8086"/>
    <cellStyle name="Comma 4 3 3 4 3 3" xfId="8087"/>
    <cellStyle name="Comma 4 3 3 4 4" xfId="8088"/>
    <cellStyle name="Comma 4 3 3 4 4 2" xfId="8089"/>
    <cellStyle name="Comma 4 3 3 4 4 3" xfId="8090"/>
    <cellStyle name="Comma 4 3 3 4 5" xfId="8091"/>
    <cellStyle name="Comma 4 3 3 4 6" xfId="8092"/>
    <cellStyle name="Comma 4 3 3 5" xfId="8093"/>
    <cellStyle name="Comma 4 3 3 5 2" xfId="8094"/>
    <cellStyle name="Comma 4 3 3 5 2 2" xfId="8095"/>
    <cellStyle name="Comma 4 3 3 5 2 2 2" xfId="8096"/>
    <cellStyle name="Comma 4 3 3 5 2 2 3" xfId="8097"/>
    <cellStyle name="Comma 4 3 3 5 2 3" xfId="8098"/>
    <cellStyle name="Comma 4 3 3 5 2 3 2" xfId="8099"/>
    <cellStyle name="Comma 4 3 3 5 2 3 3" xfId="8100"/>
    <cellStyle name="Comma 4 3 3 5 2 4" xfId="8101"/>
    <cellStyle name="Comma 4 3 3 5 2 5" xfId="8102"/>
    <cellStyle name="Comma 4 3 3 5 3" xfId="8103"/>
    <cellStyle name="Comma 4 3 3 5 3 2" xfId="8104"/>
    <cellStyle name="Comma 4 3 3 5 3 3" xfId="8105"/>
    <cellStyle name="Comma 4 3 3 5 4" xfId="8106"/>
    <cellStyle name="Comma 4 3 3 5 4 2" xfId="8107"/>
    <cellStyle name="Comma 4 3 3 5 4 3" xfId="8108"/>
    <cellStyle name="Comma 4 3 3 5 5" xfId="8109"/>
    <cellStyle name="Comma 4 3 3 5 6" xfId="8110"/>
    <cellStyle name="Comma 4 3 3 6" xfId="8111"/>
    <cellStyle name="Comma 4 3 3 6 2" xfId="8112"/>
    <cellStyle name="Comma 4 3 3 6 2 2" xfId="8113"/>
    <cellStyle name="Comma 4 3 3 6 2 3" xfId="8114"/>
    <cellStyle name="Comma 4 3 3 6 3" xfId="8115"/>
    <cellStyle name="Comma 4 3 3 6 3 2" xfId="8116"/>
    <cellStyle name="Comma 4 3 3 6 3 3" xfId="8117"/>
    <cellStyle name="Comma 4 3 3 6 4" xfId="8118"/>
    <cellStyle name="Comma 4 3 3 6 5" xfId="8119"/>
    <cellStyle name="Comma 4 3 3 7" xfId="8120"/>
    <cellStyle name="Comma 4 3 3 7 2" xfId="8121"/>
    <cellStyle name="Comma 4 3 3 7 3" xfId="8122"/>
    <cellStyle name="Comma 4 3 3 8" xfId="8123"/>
    <cellStyle name="Comma 4 3 3 8 2" xfId="8124"/>
    <cellStyle name="Comma 4 3 3 8 3" xfId="8125"/>
    <cellStyle name="Comma 4 3 3 9" xfId="8126"/>
    <cellStyle name="Comma 4 3 4" xfId="8127"/>
    <cellStyle name="Comma 4 3 4 2" xfId="8128"/>
    <cellStyle name="Comma 4 3 4 2 2" xfId="8129"/>
    <cellStyle name="Comma 4 3 4 2 2 2" xfId="8130"/>
    <cellStyle name="Comma 4 3 4 2 2 2 2" xfId="8131"/>
    <cellStyle name="Comma 4 3 4 2 2 2 2 2" xfId="8132"/>
    <cellStyle name="Comma 4 3 4 2 2 2 2 3" xfId="8133"/>
    <cellStyle name="Comma 4 3 4 2 2 2 3" xfId="8134"/>
    <cellStyle name="Comma 4 3 4 2 2 2 3 2" xfId="8135"/>
    <cellStyle name="Comma 4 3 4 2 2 2 3 3" xfId="8136"/>
    <cellStyle name="Comma 4 3 4 2 2 2 4" xfId="8137"/>
    <cellStyle name="Comma 4 3 4 2 2 2 5" xfId="8138"/>
    <cellStyle name="Comma 4 3 4 2 2 3" xfId="8139"/>
    <cellStyle name="Comma 4 3 4 2 2 3 2" xfId="8140"/>
    <cellStyle name="Comma 4 3 4 2 2 3 3" xfId="8141"/>
    <cellStyle name="Comma 4 3 4 2 2 4" xfId="8142"/>
    <cellStyle name="Comma 4 3 4 2 2 4 2" xfId="8143"/>
    <cellStyle name="Comma 4 3 4 2 2 4 3" xfId="8144"/>
    <cellStyle name="Comma 4 3 4 2 2 5" xfId="8145"/>
    <cellStyle name="Comma 4 3 4 2 2 6" xfId="8146"/>
    <cellStyle name="Comma 4 3 4 2 3" xfId="8147"/>
    <cellStyle name="Comma 4 3 4 2 3 2" xfId="8148"/>
    <cellStyle name="Comma 4 3 4 2 3 2 2" xfId="8149"/>
    <cellStyle name="Comma 4 3 4 2 3 2 2 2" xfId="8150"/>
    <cellStyle name="Comma 4 3 4 2 3 2 2 3" xfId="8151"/>
    <cellStyle name="Comma 4 3 4 2 3 2 3" xfId="8152"/>
    <cellStyle name="Comma 4 3 4 2 3 2 3 2" xfId="8153"/>
    <cellStyle name="Comma 4 3 4 2 3 2 3 3" xfId="8154"/>
    <cellStyle name="Comma 4 3 4 2 3 2 4" xfId="8155"/>
    <cellStyle name="Comma 4 3 4 2 3 2 5" xfId="8156"/>
    <cellStyle name="Comma 4 3 4 2 3 3" xfId="8157"/>
    <cellStyle name="Comma 4 3 4 2 3 3 2" xfId="8158"/>
    <cellStyle name="Comma 4 3 4 2 3 3 3" xfId="8159"/>
    <cellStyle name="Comma 4 3 4 2 3 4" xfId="8160"/>
    <cellStyle name="Comma 4 3 4 2 3 4 2" xfId="8161"/>
    <cellStyle name="Comma 4 3 4 2 3 4 3" xfId="8162"/>
    <cellStyle name="Comma 4 3 4 2 3 5" xfId="8163"/>
    <cellStyle name="Comma 4 3 4 2 3 6" xfId="8164"/>
    <cellStyle name="Comma 4 3 4 2 4" xfId="8165"/>
    <cellStyle name="Comma 4 3 4 2 4 2" xfId="8166"/>
    <cellStyle name="Comma 4 3 4 2 4 2 2" xfId="8167"/>
    <cellStyle name="Comma 4 3 4 2 4 2 3" xfId="8168"/>
    <cellStyle name="Comma 4 3 4 2 4 3" xfId="8169"/>
    <cellStyle name="Comma 4 3 4 2 4 3 2" xfId="8170"/>
    <cellStyle name="Comma 4 3 4 2 4 3 3" xfId="8171"/>
    <cellStyle name="Comma 4 3 4 2 4 4" xfId="8172"/>
    <cellStyle name="Comma 4 3 4 2 4 5" xfId="8173"/>
    <cellStyle name="Comma 4 3 4 2 5" xfId="8174"/>
    <cellStyle name="Comma 4 3 4 2 5 2" xfId="8175"/>
    <cellStyle name="Comma 4 3 4 2 5 3" xfId="8176"/>
    <cellStyle name="Comma 4 3 4 2 6" xfId="8177"/>
    <cellStyle name="Comma 4 3 4 2 6 2" xfId="8178"/>
    <cellStyle name="Comma 4 3 4 2 6 3" xfId="8179"/>
    <cellStyle name="Comma 4 3 4 2 7" xfId="8180"/>
    <cellStyle name="Comma 4 3 4 2 8" xfId="8181"/>
    <cellStyle name="Comma 4 3 4 3" xfId="8182"/>
    <cellStyle name="Comma 4 3 4 3 2" xfId="8183"/>
    <cellStyle name="Comma 4 3 4 3 2 2" xfId="8184"/>
    <cellStyle name="Comma 4 3 4 3 2 2 2" xfId="8185"/>
    <cellStyle name="Comma 4 3 4 3 2 2 3" xfId="8186"/>
    <cellStyle name="Comma 4 3 4 3 2 3" xfId="8187"/>
    <cellStyle name="Comma 4 3 4 3 2 3 2" xfId="8188"/>
    <cellStyle name="Comma 4 3 4 3 2 3 3" xfId="8189"/>
    <cellStyle name="Comma 4 3 4 3 2 4" xfId="8190"/>
    <cellStyle name="Comma 4 3 4 3 2 5" xfId="8191"/>
    <cellStyle name="Comma 4 3 4 3 3" xfId="8192"/>
    <cellStyle name="Comma 4 3 4 3 3 2" xfId="8193"/>
    <cellStyle name="Comma 4 3 4 3 3 3" xfId="8194"/>
    <cellStyle name="Comma 4 3 4 3 4" xfId="8195"/>
    <cellStyle name="Comma 4 3 4 3 4 2" xfId="8196"/>
    <cellStyle name="Comma 4 3 4 3 4 3" xfId="8197"/>
    <cellStyle name="Comma 4 3 4 3 5" xfId="8198"/>
    <cellStyle name="Comma 4 3 4 3 6" xfId="8199"/>
    <cellStyle name="Comma 4 3 4 4" xfId="8200"/>
    <cellStyle name="Comma 4 3 4 4 2" xfId="8201"/>
    <cellStyle name="Comma 4 3 4 4 2 2" xfId="8202"/>
    <cellStyle name="Comma 4 3 4 4 2 2 2" xfId="8203"/>
    <cellStyle name="Comma 4 3 4 4 2 2 3" xfId="8204"/>
    <cellStyle name="Comma 4 3 4 4 2 3" xfId="8205"/>
    <cellStyle name="Comma 4 3 4 4 2 3 2" xfId="8206"/>
    <cellStyle name="Comma 4 3 4 4 2 3 3" xfId="8207"/>
    <cellStyle name="Comma 4 3 4 4 2 4" xfId="8208"/>
    <cellStyle name="Comma 4 3 4 4 2 5" xfId="8209"/>
    <cellStyle name="Comma 4 3 4 4 3" xfId="8210"/>
    <cellStyle name="Comma 4 3 4 4 3 2" xfId="8211"/>
    <cellStyle name="Comma 4 3 4 4 3 3" xfId="8212"/>
    <cellStyle name="Comma 4 3 4 4 4" xfId="8213"/>
    <cellStyle name="Comma 4 3 4 4 4 2" xfId="8214"/>
    <cellStyle name="Comma 4 3 4 4 4 3" xfId="8215"/>
    <cellStyle name="Comma 4 3 4 4 5" xfId="8216"/>
    <cellStyle name="Comma 4 3 4 4 6" xfId="8217"/>
    <cellStyle name="Comma 4 3 4 5" xfId="8218"/>
    <cellStyle name="Comma 4 3 4 5 2" xfId="8219"/>
    <cellStyle name="Comma 4 3 4 5 2 2" xfId="8220"/>
    <cellStyle name="Comma 4 3 4 5 2 3" xfId="8221"/>
    <cellStyle name="Comma 4 3 4 5 3" xfId="8222"/>
    <cellStyle name="Comma 4 3 4 5 3 2" xfId="8223"/>
    <cellStyle name="Comma 4 3 4 5 3 3" xfId="8224"/>
    <cellStyle name="Comma 4 3 4 5 4" xfId="8225"/>
    <cellStyle name="Comma 4 3 4 5 5" xfId="8226"/>
    <cellStyle name="Comma 4 3 4 6" xfId="8227"/>
    <cellStyle name="Comma 4 3 4 6 2" xfId="8228"/>
    <cellStyle name="Comma 4 3 4 6 3" xfId="8229"/>
    <cellStyle name="Comma 4 3 4 7" xfId="8230"/>
    <cellStyle name="Comma 4 3 4 7 2" xfId="8231"/>
    <cellStyle name="Comma 4 3 4 7 3" xfId="8232"/>
    <cellStyle name="Comma 4 3 4 8" xfId="8233"/>
    <cellStyle name="Comma 4 3 4 9" xfId="8234"/>
    <cellStyle name="Comma 4 3 5" xfId="8235"/>
    <cellStyle name="Comma 4 3 5 2" xfId="8236"/>
    <cellStyle name="Comma 4 3 5 2 2" xfId="8237"/>
    <cellStyle name="Comma 4 3 5 2 2 2" xfId="8238"/>
    <cellStyle name="Comma 4 3 5 2 2 2 2" xfId="8239"/>
    <cellStyle name="Comma 4 3 5 2 2 2 3" xfId="8240"/>
    <cellStyle name="Comma 4 3 5 2 2 3" xfId="8241"/>
    <cellStyle name="Comma 4 3 5 2 2 3 2" xfId="8242"/>
    <cellStyle name="Comma 4 3 5 2 2 3 3" xfId="8243"/>
    <cellStyle name="Comma 4 3 5 2 2 4" xfId="8244"/>
    <cellStyle name="Comma 4 3 5 2 2 5" xfId="8245"/>
    <cellStyle name="Comma 4 3 5 2 3" xfId="8246"/>
    <cellStyle name="Comma 4 3 5 2 3 2" xfId="8247"/>
    <cellStyle name="Comma 4 3 5 2 3 3" xfId="8248"/>
    <cellStyle name="Comma 4 3 5 2 4" xfId="8249"/>
    <cellStyle name="Comma 4 3 5 2 4 2" xfId="8250"/>
    <cellStyle name="Comma 4 3 5 2 4 3" xfId="8251"/>
    <cellStyle name="Comma 4 3 5 2 5" xfId="8252"/>
    <cellStyle name="Comma 4 3 5 2 6" xfId="8253"/>
    <cellStyle name="Comma 4 3 5 3" xfId="8254"/>
    <cellStyle name="Comma 4 3 5 3 2" xfId="8255"/>
    <cellStyle name="Comma 4 3 5 3 2 2" xfId="8256"/>
    <cellStyle name="Comma 4 3 5 3 2 2 2" xfId="8257"/>
    <cellStyle name="Comma 4 3 5 3 2 2 3" xfId="8258"/>
    <cellStyle name="Comma 4 3 5 3 2 3" xfId="8259"/>
    <cellStyle name="Comma 4 3 5 3 2 3 2" xfId="8260"/>
    <cellStyle name="Comma 4 3 5 3 2 3 3" xfId="8261"/>
    <cellStyle name="Comma 4 3 5 3 2 4" xfId="8262"/>
    <cellStyle name="Comma 4 3 5 3 2 5" xfId="8263"/>
    <cellStyle name="Comma 4 3 5 3 3" xfId="8264"/>
    <cellStyle name="Comma 4 3 5 3 3 2" xfId="8265"/>
    <cellStyle name="Comma 4 3 5 3 3 3" xfId="8266"/>
    <cellStyle name="Comma 4 3 5 3 4" xfId="8267"/>
    <cellStyle name="Comma 4 3 5 3 4 2" xfId="8268"/>
    <cellStyle name="Comma 4 3 5 3 4 3" xfId="8269"/>
    <cellStyle name="Comma 4 3 5 3 5" xfId="8270"/>
    <cellStyle name="Comma 4 3 5 3 6" xfId="8271"/>
    <cellStyle name="Comma 4 3 5 4" xfId="8272"/>
    <cellStyle name="Comma 4 3 5 4 2" xfId="8273"/>
    <cellStyle name="Comma 4 3 5 4 2 2" xfId="8274"/>
    <cellStyle name="Comma 4 3 5 4 2 3" xfId="8275"/>
    <cellStyle name="Comma 4 3 5 4 3" xfId="8276"/>
    <cellStyle name="Comma 4 3 5 4 3 2" xfId="8277"/>
    <cellStyle name="Comma 4 3 5 4 3 3" xfId="8278"/>
    <cellStyle name="Comma 4 3 5 4 4" xfId="8279"/>
    <cellStyle name="Comma 4 3 5 4 5" xfId="8280"/>
    <cellStyle name="Comma 4 3 5 5" xfId="8281"/>
    <cellStyle name="Comma 4 3 5 5 2" xfId="8282"/>
    <cellStyle name="Comma 4 3 5 5 3" xfId="8283"/>
    <cellStyle name="Comma 4 3 5 6" xfId="8284"/>
    <cellStyle name="Comma 4 3 5 6 2" xfId="8285"/>
    <cellStyle name="Comma 4 3 5 6 3" xfId="8286"/>
    <cellStyle name="Comma 4 3 5 7" xfId="8287"/>
    <cellStyle name="Comma 4 3 5 8" xfId="8288"/>
    <cellStyle name="Comma 4 3 6" xfId="8289"/>
    <cellStyle name="Comma 4 3 6 2" xfId="8290"/>
    <cellStyle name="Comma 4 3 6 2 2" xfId="8291"/>
    <cellStyle name="Comma 4 3 6 2 2 2" xfId="8292"/>
    <cellStyle name="Comma 4 3 6 2 2 3" xfId="8293"/>
    <cellStyle name="Comma 4 3 6 2 3" xfId="8294"/>
    <cellStyle name="Comma 4 3 6 2 3 2" xfId="8295"/>
    <cellStyle name="Comma 4 3 6 2 3 3" xfId="8296"/>
    <cellStyle name="Comma 4 3 6 2 4" xfId="8297"/>
    <cellStyle name="Comma 4 3 6 2 5" xfId="8298"/>
    <cellStyle name="Comma 4 3 6 3" xfId="8299"/>
    <cellStyle name="Comma 4 3 6 3 2" xfId="8300"/>
    <cellStyle name="Comma 4 3 6 3 3" xfId="8301"/>
    <cellStyle name="Comma 4 3 6 4" xfId="8302"/>
    <cellStyle name="Comma 4 3 6 4 2" xfId="8303"/>
    <cellStyle name="Comma 4 3 6 4 3" xfId="8304"/>
    <cellStyle name="Comma 4 3 6 5" xfId="8305"/>
    <cellStyle name="Comma 4 3 6 6" xfId="8306"/>
    <cellStyle name="Comma 4 3 7" xfId="8307"/>
    <cellStyle name="Comma 4 3 7 2" xfId="8308"/>
    <cellStyle name="Comma 4 3 7 2 2" xfId="8309"/>
    <cellStyle name="Comma 4 3 7 2 2 2" xfId="8310"/>
    <cellStyle name="Comma 4 3 7 2 2 3" xfId="8311"/>
    <cellStyle name="Comma 4 3 7 2 3" xfId="8312"/>
    <cellStyle name="Comma 4 3 7 2 3 2" xfId="8313"/>
    <cellStyle name="Comma 4 3 7 2 3 3" xfId="8314"/>
    <cellStyle name="Comma 4 3 7 2 4" xfId="8315"/>
    <cellStyle name="Comma 4 3 7 2 5" xfId="8316"/>
    <cellStyle name="Comma 4 3 7 3" xfId="8317"/>
    <cellStyle name="Comma 4 3 7 3 2" xfId="8318"/>
    <cellStyle name="Comma 4 3 7 3 3" xfId="8319"/>
    <cellStyle name="Comma 4 3 7 4" xfId="8320"/>
    <cellStyle name="Comma 4 3 7 4 2" xfId="8321"/>
    <cellStyle name="Comma 4 3 7 4 3" xfId="8322"/>
    <cellStyle name="Comma 4 3 7 5" xfId="8323"/>
    <cellStyle name="Comma 4 3 7 6" xfId="8324"/>
    <cellStyle name="Comma 4 3 8" xfId="8325"/>
    <cellStyle name="Comma 4 3 8 2" xfId="8326"/>
    <cellStyle name="Comma 4 3 8 2 2" xfId="8327"/>
    <cellStyle name="Comma 4 3 8 2 3" xfId="8328"/>
    <cellStyle name="Comma 4 3 8 3" xfId="8329"/>
    <cellStyle name="Comma 4 3 8 3 2" xfId="8330"/>
    <cellStyle name="Comma 4 3 8 3 3" xfId="8331"/>
    <cellStyle name="Comma 4 3 8 4" xfId="8332"/>
    <cellStyle name="Comma 4 3 8 5" xfId="8333"/>
    <cellStyle name="Comma 4 3 9" xfId="8334"/>
    <cellStyle name="Comma 4 3 9 2" xfId="8335"/>
    <cellStyle name="Comma 4 3 9 3" xfId="8336"/>
    <cellStyle name="Comma 4 4" xfId="8337"/>
    <cellStyle name="Comma 4 4 10" xfId="8338"/>
    <cellStyle name="Comma 4 4 2" xfId="8339"/>
    <cellStyle name="Comma 4 4 2 2" xfId="8340"/>
    <cellStyle name="Comma 4 4 2 2 2" xfId="8341"/>
    <cellStyle name="Comma 4 4 2 2 2 2" xfId="8342"/>
    <cellStyle name="Comma 4 4 2 2 2 2 2" xfId="8343"/>
    <cellStyle name="Comma 4 4 2 2 2 2 2 2" xfId="8344"/>
    <cellStyle name="Comma 4 4 2 2 2 2 2 3" xfId="8345"/>
    <cellStyle name="Comma 4 4 2 2 2 2 3" xfId="8346"/>
    <cellStyle name="Comma 4 4 2 2 2 2 3 2" xfId="8347"/>
    <cellStyle name="Comma 4 4 2 2 2 2 3 3" xfId="8348"/>
    <cellStyle name="Comma 4 4 2 2 2 2 4" xfId="8349"/>
    <cellStyle name="Comma 4 4 2 2 2 2 5" xfId="8350"/>
    <cellStyle name="Comma 4 4 2 2 2 3" xfId="8351"/>
    <cellStyle name="Comma 4 4 2 2 2 3 2" xfId="8352"/>
    <cellStyle name="Comma 4 4 2 2 2 3 3" xfId="8353"/>
    <cellStyle name="Comma 4 4 2 2 2 4" xfId="8354"/>
    <cellStyle name="Comma 4 4 2 2 2 4 2" xfId="8355"/>
    <cellStyle name="Comma 4 4 2 2 2 4 3" xfId="8356"/>
    <cellStyle name="Comma 4 4 2 2 2 5" xfId="8357"/>
    <cellStyle name="Comma 4 4 2 2 2 6" xfId="8358"/>
    <cellStyle name="Comma 4 4 2 2 3" xfId="8359"/>
    <cellStyle name="Comma 4 4 2 2 3 2" xfId="8360"/>
    <cellStyle name="Comma 4 4 2 2 3 2 2" xfId="8361"/>
    <cellStyle name="Comma 4 4 2 2 3 2 2 2" xfId="8362"/>
    <cellStyle name="Comma 4 4 2 2 3 2 2 3" xfId="8363"/>
    <cellStyle name="Comma 4 4 2 2 3 2 3" xfId="8364"/>
    <cellStyle name="Comma 4 4 2 2 3 2 3 2" xfId="8365"/>
    <cellStyle name="Comma 4 4 2 2 3 2 3 3" xfId="8366"/>
    <cellStyle name="Comma 4 4 2 2 3 2 4" xfId="8367"/>
    <cellStyle name="Comma 4 4 2 2 3 2 5" xfId="8368"/>
    <cellStyle name="Comma 4 4 2 2 3 3" xfId="8369"/>
    <cellStyle name="Comma 4 4 2 2 3 3 2" xfId="8370"/>
    <cellStyle name="Comma 4 4 2 2 3 3 3" xfId="8371"/>
    <cellStyle name="Comma 4 4 2 2 3 4" xfId="8372"/>
    <cellStyle name="Comma 4 4 2 2 3 4 2" xfId="8373"/>
    <cellStyle name="Comma 4 4 2 2 3 4 3" xfId="8374"/>
    <cellStyle name="Comma 4 4 2 2 3 5" xfId="8375"/>
    <cellStyle name="Comma 4 4 2 2 3 6" xfId="8376"/>
    <cellStyle name="Comma 4 4 2 2 4" xfId="8377"/>
    <cellStyle name="Comma 4 4 2 2 4 2" xfId="8378"/>
    <cellStyle name="Comma 4 4 2 2 4 2 2" xfId="8379"/>
    <cellStyle name="Comma 4 4 2 2 4 2 3" xfId="8380"/>
    <cellStyle name="Comma 4 4 2 2 4 3" xfId="8381"/>
    <cellStyle name="Comma 4 4 2 2 4 3 2" xfId="8382"/>
    <cellStyle name="Comma 4 4 2 2 4 3 3" xfId="8383"/>
    <cellStyle name="Comma 4 4 2 2 4 4" xfId="8384"/>
    <cellStyle name="Comma 4 4 2 2 4 5" xfId="8385"/>
    <cellStyle name="Comma 4 4 2 2 5" xfId="8386"/>
    <cellStyle name="Comma 4 4 2 2 5 2" xfId="8387"/>
    <cellStyle name="Comma 4 4 2 2 5 3" xfId="8388"/>
    <cellStyle name="Comma 4 4 2 2 6" xfId="8389"/>
    <cellStyle name="Comma 4 4 2 2 6 2" xfId="8390"/>
    <cellStyle name="Comma 4 4 2 2 6 3" xfId="8391"/>
    <cellStyle name="Comma 4 4 2 2 7" xfId="8392"/>
    <cellStyle name="Comma 4 4 2 2 8" xfId="8393"/>
    <cellStyle name="Comma 4 4 2 3" xfId="8394"/>
    <cellStyle name="Comma 4 4 2 3 2" xfId="8395"/>
    <cellStyle name="Comma 4 4 2 3 2 2" xfId="8396"/>
    <cellStyle name="Comma 4 4 2 3 2 2 2" xfId="8397"/>
    <cellStyle name="Comma 4 4 2 3 2 2 3" xfId="8398"/>
    <cellStyle name="Comma 4 4 2 3 2 3" xfId="8399"/>
    <cellStyle name="Comma 4 4 2 3 2 3 2" xfId="8400"/>
    <cellStyle name="Comma 4 4 2 3 2 3 3" xfId="8401"/>
    <cellStyle name="Comma 4 4 2 3 2 4" xfId="8402"/>
    <cellStyle name="Comma 4 4 2 3 2 5" xfId="8403"/>
    <cellStyle name="Comma 4 4 2 3 3" xfId="8404"/>
    <cellStyle name="Comma 4 4 2 3 3 2" xfId="8405"/>
    <cellStyle name="Comma 4 4 2 3 3 3" xfId="8406"/>
    <cellStyle name="Comma 4 4 2 3 4" xfId="8407"/>
    <cellStyle name="Comma 4 4 2 3 4 2" xfId="8408"/>
    <cellStyle name="Comma 4 4 2 3 4 3" xfId="8409"/>
    <cellStyle name="Comma 4 4 2 3 5" xfId="8410"/>
    <cellStyle name="Comma 4 4 2 3 6" xfId="8411"/>
    <cellStyle name="Comma 4 4 2 4" xfId="8412"/>
    <cellStyle name="Comma 4 4 2 4 2" xfId="8413"/>
    <cellStyle name="Comma 4 4 2 4 2 2" xfId="8414"/>
    <cellStyle name="Comma 4 4 2 4 2 2 2" xfId="8415"/>
    <cellStyle name="Comma 4 4 2 4 2 2 3" xfId="8416"/>
    <cellStyle name="Comma 4 4 2 4 2 3" xfId="8417"/>
    <cellStyle name="Comma 4 4 2 4 2 3 2" xfId="8418"/>
    <cellStyle name="Comma 4 4 2 4 2 3 3" xfId="8419"/>
    <cellStyle name="Comma 4 4 2 4 2 4" xfId="8420"/>
    <cellStyle name="Comma 4 4 2 4 2 5" xfId="8421"/>
    <cellStyle name="Comma 4 4 2 4 3" xfId="8422"/>
    <cellStyle name="Comma 4 4 2 4 3 2" xfId="8423"/>
    <cellStyle name="Comma 4 4 2 4 3 3" xfId="8424"/>
    <cellStyle name="Comma 4 4 2 4 4" xfId="8425"/>
    <cellStyle name="Comma 4 4 2 4 4 2" xfId="8426"/>
    <cellStyle name="Comma 4 4 2 4 4 3" xfId="8427"/>
    <cellStyle name="Comma 4 4 2 4 5" xfId="8428"/>
    <cellStyle name="Comma 4 4 2 4 6" xfId="8429"/>
    <cellStyle name="Comma 4 4 2 5" xfId="8430"/>
    <cellStyle name="Comma 4 4 2 5 2" xfId="8431"/>
    <cellStyle name="Comma 4 4 2 5 2 2" xfId="8432"/>
    <cellStyle name="Comma 4 4 2 5 2 3" xfId="8433"/>
    <cellStyle name="Comma 4 4 2 5 3" xfId="8434"/>
    <cellStyle name="Comma 4 4 2 5 3 2" xfId="8435"/>
    <cellStyle name="Comma 4 4 2 5 3 3" xfId="8436"/>
    <cellStyle name="Comma 4 4 2 5 4" xfId="8437"/>
    <cellStyle name="Comma 4 4 2 5 5" xfId="8438"/>
    <cellStyle name="Comma 4 4 2 6" xfId="8439"/>
    <cellStyle name="Comma 4 4 2 6 2" xfId="8440"/>
    <cellStyle name="Comma 4 4 2 6 3" xfId="8441"/>
    <cellStyle name="Comma 4 4 2 7" xfId="8442"/>
    <cellStyle name="Comma 4 4 2 7 2" xfId="8443"/>
    <cellStyle name="Comma 4 4 2 7 3" xfId="8444"/>
    <cellStyle name="Comma 4 4 2 8" xfId="8445"/>
    <cellStyle name="Comma 4 4 2 9" xfId="8446"/>
    <cellStyle name="Comma 4 4 3" xfId="8447"/>
    <cellStyle name="Comma 4 4 3 2" xfId="8448"/>
    <cellStyle name="Comma 4 4 3 2 2" xfId="8449"/>
    <cellStyle name="Comma 4 4 3 2 2 2" xfId="8450"/>
    <cellStyle name="Comma 4 4 3 2 2 2 2" xfId="8451"/>
    <cellStyle name="Comma 4 4 3 2 2 2 3" xfId="8452"/>
    <cellStyle name="Comma 4 4 3 2 2 3" xfId="8453"/>
    <cellStyle name="Comma 4 4 3 2 2 3 2" xfId="8454"/>
    <cellStyle name="Comma 4 4 3 2 2 3 3" xfId="8455"/>
    <cellStyle name="Comma 4 4 3 2 2 4" xfId="8456"/>
    <cellStyle name="Comma 4 4 3 2 2 5" xfId="8457"/>
    <cellStyle name="Comma 4 4 3 2 3" xfId="8458"/>
    <cellStyle name="Comma 4 4 3 2 3 2" xfId="8459"/>
    <cellStyle name="Comma 4 4 3 2 3 3" xfId="8460"/>
    <cellStyle name="Comma 4 4 3 2 4" xfId="8461"/>
    <cellStyle name="Comma 4 4 3 2 4 2" xfId="8462"/>
    <cellStyle name="Comma 4 4 3 2 4 3" xfId="8463"/>
    <cellStyle name="Comma 4 4 3 2 5" xfId="8464"/>
    <cellStyle name="Comma 4 4 3 2 6" xfId="8465"/>
    <cellStyle name="Comma 4 4 3 3" xfId="8466"/>
    <cellStyle name="Comma 4 4 3 3 2" xfId="8467"/>
    <cellStyle name="Comma 4 4 3 3 2 2" xfId="8468"/>
    <cellStyle name="Comma 4 4 3 3 2 2 2" xfId="8469"/>
    <cellStyle name="Comma 4 4 3 3 2 2 3" xfId="8470"/>
    <cellStyle name="Comma 4 4 3 3 2 3" xfId="8471"/>
    <cellStyle name="Comma 4 4 3 3 2 3 2" xfId="8472"/>
    <cellStyle name="Comma 4 4 3 3 2 3 3" xfId="8473"/>
    <cellStyle name="Comma 4 4 3 3 2 4" xfId="8474"/>
    <cellStyle name="Comma 4 4 3 3 2 5" xfId="8475"/>
    <cellStyle name="Comma 4 4 3 3 3" xfId="8476"/>
    <cellStyle name="Comma 4 4 3 3 3 2" xfId="8477"/>
    <cellStyle name="Comma 4 4 3 3 3 3" xfId="8478"/>
    <cellStyle name="Comma 4 4 3 3 4" xfId="8479"/>
    <cellStyle name="Comma 4 4 3 3 4 2" xfId="8480"/>
    <cellStyle name="Comma 4 4 3 3 4 3" xfId="8481"/>
    <cellStyle name="Comma 4 4 3 3 5" xfId="8482"/>
    <cellStyle name="Comma 4 4 3 3 6" xfId="8483"/>
    <cellStyle name="Comma 4 4 3 4" xfId="8484"/>
    <cellStyle name="Comma 4 4 3 4 2" xfId="8485"/>
    <cellStyle name="Comma 4 4 3 4 2 2" xfId="8486"/>
    <cellStyle name="Comma 4 4 3 4 2 3" xfId="8487"/>
    <cellStyle name="Comma 4 4 3 4 3" xfId="8488"/>
    <cellStyle name="Comma 4 4 3 4 3 2" xfId="8489"/>
    <cellStyle name="Comma 4 4 3 4 3 3" xfId="8490"/>
    <cellStyle name="Comma 4 4 3 4 4" xfId="8491"/>
    <cellStyle name="Comma 4 4 3 4 5" xfId="8492"/>
    <cellStyle name="Comma 4 4 3 5" xfId="8493"/>
    <cellStyle name="Comma 4 4 3 5 2" xfId="8494"/>
    <cellStyle name="Comma 4 4 3 5 3" xfId="8495"/>
    <cellStyle name="Comma 4 4 3 6" xfId="8496"/>
    <cellStyle name="Comma 4 4 3 6 2" xfId="8497"/>
    <cellStyle name="Comma 4 4 3 6 3" xfId="8498"/>
    <cellStyle name="Comma 4 4 3 7" xfId="8499"/>
    <cellStyle name="Comma 4 4 3 8" xfId="8500"/>
    <cellStyle name="Comma 4 4 4" xfId="8501"/>
    <cellStyle name="Comma 4 4 4 2" xfId="8502"/>
    <cellStyle name="Comma 4 4 4 2 2" xfId="8503"/>
    <cellStyle name="Comma 4 4 4 2 2 2" xfId="8504"/>
    <cellStyle name="Comma 4 4 4 2 2 3" xfId="8505"/>
    <cellStyle name="Comma 4 4 4 2 3" xfId="8506"/>
    <cellStyle name="Comma 4 4 4 2 3 2" xfId="8507"/>
    <cellStyle name="Comma 4 4 4 2 3 3" xfId="8508"/>
    <cellStyle name="Comma 4 4 4 2 4" xfId="8509"/>
    <cellStyle name="Comma 4 4 4 2 5" xfId="8510"/>
    <cellStyle name="Comma 4 4 4 3" xfId="8511"/>
    <cellStyle name="Comma 4 4 4 3 2" xfId="8512"/>
    <cellStyle name="Comma 4 4 4 3 3" xfId="8513"/>
    <cellStyle name="Comma 4 4 4 4" xfId="8514"/>
    <cellStyle name="Comma 4 4 4 4 2" xfId="8515"/>
    <cellStyle name="Comma 4 4 4 4 3" xfId="8516"/>
    <cellStyle name="Comma 4 4 4 5" xfId="8517"/>
    <cellStyle name="Comma 4 4 4 6" xfId="8518"/>
    <cellStyle name="Comma 4 4 5" xfId="8519"/>
    <cellStyle name="Comma 4 4 5 2" xfId="8520"/>
    <cellStyle name="Comma 4 4 5 2 2" xfId="8521"/>
    <cellStyle name="Comma 4 4 5 2 2 2" xfId="8522"/>
    <cellStyle name="Comma 4 4 5 2 2 3" xfId="8523"/>
    <cellStyle name="Comma 4 4 5 2 3" xfId="8524"/>
    <cellStyle name="Comma 4 4 5 2 3 2" xfId="8525"/>
    <cellStyle name="Comma 4 4 5 2 3 3" xfId="8526"/>
    <cellStyle name="Comma 4 4 5 2 4" xfId="8527"/>
    <cellStyle name="Comma 4 4 5 2 5" xfId="8528"/>
    <cellStyle name="Comma 4 4 5 3" xfId="8529"/>
    <cellStyle name="Comma 4 4 5 3 2" xfId="8530"/>
    <cellStyle name="Comma 4 4 5 3 3" xfId="8531"/>
    <cellStyle name="Comma 4 4 5 4" xfId="8532"/>
    <cellStyle name="Comma 4 4 5 4 2" xfId="8533"/>
    <cellStyle name="Comma 4 4 5 4 3" xfId="8534"/>
    <cellStyle name="Comma 4 4 5 5" xfId="8535"/>
    <cellStyle name="Comma 4 4 5 6" xfId="8536"/>
    <cellStyle name="Comma 4 4 6" xfId="8537"/>
    <cellStyle name="Comma 4 4 6 2" xfId="8538"/>
    <cellStyle name="Comma 4 4 6 2 2" xfId="8539"/>
    <cellStyle name="Comma 4 4 6 2 3" xfId="8540"/>
    <cellStyle name="Comma 4 4 6 3" xfId="8541"/>
    <cellStyle name="Comma 4 4 6 3 2" xfId="8542"/>
    <cellStyle name="Comma 4 4 6 3 3" xfId="8543"/>
    <cellStyle name="Comma 4 4 6 4" xfId="8544"/>
    <cellStyle name="Comma 4 4 6 5" xfId="8545"/>
    <cellStyle name="Comma 4 4 7" xfId="8546"/>
    <cellStyle name="Comma 4 4 7 2" xfId="8547"/>
    <cellStyle name="Comma 4 4 7 3" xfId="8548"/>
    <cellStyle name="Comma 4 4 8" xfId="8549"/>
    <cellStyle name="Comma 4 4 8 2" xfId="8550"/>
    <cellStyle name="Comma 4 4 8 3" xfId="8551"/>
    <cellStyle name="Comma 4 4 9" xfId="8552"/>
    <cellStyle name="Comma 4 5" xfId="8553"/>
    <cellStyle name="Comma 4 5 10" xfId="8554"/>
    <cellStyle name="Comma 4 5 2" xfId="8555"/>
    <cellStyle name="Comma 4 5 2 2" xfId="8556"/>
    <cellStyle name="Comma 4 5 2 2 2" xfId="8557"/>
    <cellStyle name="Comma 4 5 2 2 2 2" xfId="8558"/>
    <cellStyle name="Comma 4 5 2 2 2 2 2" xfId="8559"/>
    <cellStyle name="Comma 4 5 2 2 2 2 2 2" xfId="8560"/>
    <cellStyle name="Comma 4 5 2 2 2 2 2 3" xfId="8561"/>
    <cellStyle name="Comma 4 5 2 2 2 2 3" xfId="8562"/>
    <cellStyle name="Comma 4 5 2 2 2 2 3 2" xfId="8563"/>
    <cellStyle name="Comma 4 5 2 2 2 2 3 3" xfId="8564"/>
    <cellStyle name="Comma 4 5 2 2 2 2 4" xfId="8565"/>
    <cellStyle name="Comma 4 5 2 2 2 2 5" xfId="8566"/>
    <cellStyle name="Comma 4 5 2 2 2 3" xfId="8567"/>
    <cellStyle name="Comma 4 5 2 2 2 3 2" xfId="8568"/>
    <cellStyle name="Comma 4 5 2 2 2 3 3" xfId="8569"/>
    <cellStyle name="Comma 4 5 2 2 2 4" xfId="8570"/>
    <cellStyle name="Comma 4 5 2 2 2 4 2" xfId="8571"/>
    <cellStyle name="Comma 4 5 2 2 2 4 3" xfId="8572"/>
    <cellStyle name="Comma 4 5 2 2 2 5" xfId="8573"/>
    <cellStyle name="Comma 4 5 2 2 2 6" xfId="8574"/>
    <cellStyle name="Comma 4 5 2 2 3" xfId="8575"/>
    <cellStyle name="Comma 4 5 2 2 3 2" xfId="8576"/>
    <cellStyle name="Comma 4 5 2 2 3 2 2" xfId="8577"/>
    <cellStyle name="Comma 4 5 2 2 3 2 2 2" xfId="8578"/>
    <cellStyle name="Comma 4 5 2 2 3 2 2 3" xfId="8579"/>
    <cellStyle name="Comma 4 5 2 2 3 2 3" xfId="8580"/>
    <cellStyle name="Comma 4 5 2 2 3 2 3 2" xfId="8581"/>
    <cellStyle name="Comma 4 5 2 2 3 2 3 3" xfId="8582"/>
    <cellStyle name="Comma 4 5 2 2 3 2 4" xfId="8583"/>
    <cellStyle name="Comma 4 5 2 2 3 2 5" xfId="8584"/>
    <cellStyle name="Comma 4 5 2 2 3 3" xfId="8585"/>
    <cellStyle name="Comma 4 5 2 2 3 3 2" xfId="8586"/>
    <cellStyle name="Comma 4 5 2 2 3 3 3" xfId="8587"/>
    <cellStyle name="Comma 4 5 2 2 3 4" xfId="8588"/>
    <cellStyle name="Comma 4 5 2 2 3 4 2" xfId="8589"/>
    <cellStyle name="Comma 4 5 2 2 3 4 3" xfId="8590"/>
    <cellStyle name="Comma 4 5 2 2 3 5" xfId="8591"/>
    <cellStyle name="Comma 4 5 2 2 3 6" xfId="8592"/>
    <cellStyle name="Comma 4 5 2 2 4" xfId="8593"/>
    <cellStyle name="Comma 4 5 2 2 4 2" xfId="8594"/>
    <cellStyle name="Comma 4 5 2 2 4 2 2" xfId="8595"/>
    <cellStyle name="Comma 4 5 2 2 4 2 3" xfId="8596"/>
    <cellStyle name="Comma 4 5 2 2 4 3" xfId="8597"/>
    <cellStyle name="Comma 4 5 2 2 4 3 2" xfId="8598"/>
    <cellStyle name="Comma 4 5 2 2 4 3 3" xfId="8599"/>
    <cellStyle name="Comma 4 5 2 2 4 4" xfId="8600"/>
    <cellStyle name="Comma 4 5 2 2 4 5" xfId="8601"/>
    <cellStyle name="Comma 4 5 2 2 5" xfId="8602"/>
    <cellStyle name="Comma 4 5 2 2 5 2" xfId="8603"/>
    <cellStyle name="Comma 4 5 2 2 5 3" xfId="8604"/>
    <cellStyle name="Comma 4 5 2 2 6" xfId="8605"/>
    <cellStyle name="Comma 4 5 2 2 6 2" xfId="8606"/>
    <cellStyle name="Comma 4 5 2 2 6 3" xfId="8607"/>
    <cellStyle name="Comma 4 5 2 2 7" xfId="8608"/>
    <cellStyle name="Comma 4 5 2 2 8" xfId="8609"/>
    <cellStyle name="Comma 4 5 2 3" xfId="8610"/>
    <cellStyle name="Comma 4 5 2 3 2" xfId="8611"/>
    <cellStyle name="Comma 4 5 2 3 2 2" xfId="8612"/>
    <cellStyle name="Comma 4 5 2 3 2 2 2" xfId="8613"/>
    <cellStyle name="Comma 4 5 2 3 2 2 3" xfId="8614"/>
    <cellStyle name="Comma 4 5 2 3 2 3" xfId="8615"/>
    <cellStyle name="Comma 4 5 2 3 2 3 2" xfId="8616"/>
    <cellStyle name="Comma 4 5 2 3 2 3 3" xfId="8617"/>
    <cellStyle name="Comma 4 5 2 3 2 4" xfId="8618"/>
    <cellStyle name="Comma 4 5 2 3 2 5" xfId="8619"/>
    <cellStyle name="Comma 4 5 2 3 3" xfId="8620"/>
    <cellStyle name="Comma 4 5 2 3 3 2" xfId="8621"/>
    <cellStyle name="Comma 4 5 2 3 3 3" xfId="8622"/>
    <cellStyle name="Comma 4 5 2 3 4" xfId="8623"/>
    <cellStyle name="Comma 4 5 2 3 4 2" xfId="8624"/>
    <cellStyle name="Comma 4 5 2 3 4 3" xfId="8625"/>
    <cellStyle name="Comma 4 5 2 3 5" xfId="8626"/>
    <cellStyle name="Comma 4 5 2 3 6" xfId="8627"/>
    <cellStyle name="Comma 4 5 2 4" xfId="8628"/>
    <cellStyle name="Comma 4 5 2 4 2" xfId="8629"/>
    <cellStyle name="Comma 4 5 2 4 2 2" xfId="8630"/>
    <cellStyle name="Comma 4 5 2 4 2 2 2" xfId="8631"/>
    <cellStyle name="Comma 4 5 2 4 2 2 3" xfId="8632"/>
    <cellStyle name="Comma 4 5 2 4 2 3" xfId="8633"/>
    <cellStyle name="Comma 4 5 2 4 2 3 2" xfId="8634"/>
    <cellStyle name="Comma 4 5 2 4 2 3 3" xfId="8635"/>
    <cellStyle name="Comma 4 5 2 4 2 4" xfId="8636"/>
    <cellStyle name="Comma 4 5 2 4 2 5" xfId="8637"/>
    <cellStyle name="Comma 4 5 2 4 3" xfId="8638"/>
    <cellStyle name="Comma 4 5 2 4 3 2" xfId="8639"/>
    <cellStyle name="Comma 4 5 2 4 3 3" xfId="8640"/>
    <cellStyle name="Comma 4 5 2 4 4" xfId="8641"/>
    <cellStyle name="Comma 4 5 2 4 4 2" xfId="8642"/>
    <cellStyle name="Comma 4 5 2 4 4 3" xfId="8643"/>
    <cellStyle name="Comma 4 5 2 4 5" xfId="8644"/>
    <cellStyle name="Comma 4 5 2 4 6" xfId="8645"/>
    <cellStyle name="Comma 4 5 2 5" xfId="8646"/>
    <cellStyle name="Comma 4 5 2 5 2" xfId="8647"/>
    <cellStyle name="Comma 4 5 2 5 2 2" xfId="8648"/>
    <cellStyle name="Comma 4 5 2 5 2 3" xfId="8649"/>
    <cellStyle name="Comma 4 5 2 5 3" xfId="8650"/>
    <cellStyle name="Comma 4 5 2 5 3 2" xfId="8651"/>
    <cellStyle name="Comma 4 5 2 5 3 3" xfId="8652"/>
    <cellStyle name="Comma 4 5 2 5 4" xfId="8653"/>
    <cellStyle name="Comma 4 5 2 5 5" xfId="8654"/>
    <cellStyle name="Comma 4 5 2 6" xfId="8655"/>
    <cellStyle name="Comma 4 5 2 6 2" xfId="8656"/>
    <cellStyle name="Comma 4 5 2 6 3" xfId="8657"/>
    <cellStyle name="Comma 4 5 2 7" xfId="8658"/>
    <cellStyle name="Comma 4 5 2 7 2" xfId="8659"/>
    <cellStyle name="Comma 4 5 2 7 3" xfId="8660"/>
    <cellStyle name="Comma 4 5 2 8" xfId="8661"/>
    <cellStyle name="Comma 4 5 2 9" xfId="8662"/>
    <cellStyle name="Comma 4 5 3" xfId="8663"/>
    <cellStyle name="Comma 4 5 3 2" xfId="8664"/>
    <cellStyle name="Comma 4 5 3 2 2" xfId="8665"/>
    <cellStyle name="Comma 4 5 3 2 2 2" xfId="8666"/>
    <cellStyle name="Comma 4 5 3 2 2 2 2" xfId="8667"/>
    <cellStyle name="Comma 4 5 3 2 2 2 3" xfId="8668"/>
    <cellStyle name="Comma 4 5 3 2 2 3" xfId="8669"/>
    <cellStyle name="Comma 4 5 3 2 2 3 2" xfId="8670"/>
    <cellStyle name="Comma 4 5 3 2 2 3 3" xfId="8671"/>
    <cellStyle name="Comma 4 5 3 2 2 4" xfId="8672"/>
    <cellStyle name="Comma 4 5 3 2 2 5" xfId="8673"/>
    <cellStyle name="Comma 4 5 3 2 3" xfId="8674"/>
    <cellStyle name="Comma 4 5 3 2 3 2" xfId="8675"/>
    <cellStyle name="Comma 4 5 3 2 3 3" xfId="8676"/>
    <cellStyle name="Comma 4 5 3 2 4" xfId="8677"/>
    <cellStyle name="Comma 4 5 3 2 4 2" xfId="8678"/>
    <cellStyle name="Comma 4 5 3 2 4 3" xfId="8679"/>
    <cellStyle name="Comma 4 5 3 2 5" xfId="8680"/>
    <cellStyle name="Comma 4 5 3 2 6" xfId="8681"/>
    <cellStyle name="Comma 4 5 3 3" xfId="8682"/>
    <cellStyle name="Comma 4 5 3 3 2" xfId="8683"/>
    <cellStyle name="Comma 4 5 3 3 2 2" xfId="8684"/>
    <cellStyle name="Comma 4 5 3 3 2 2 2" xfId="8685"/>
    <cellStyle name="Comma 4 5 3 3 2 2 3" xfId="8686"/>
    <cellStyle name="Comma 4 5 3 3 2 3" xfId="8687"/>
    <cellStyle name="Comma 4 5 3 3 2 3 2" xfId="8688"/>
    <cellStyle name="Comma 4 5 3 3 2 3 3" xfId="8689"/>
    <cellStyle name="Comma 4 5 3 3 2 4" xfId="8690"/>
    <cellStyle name="Comma 4 5 3 3 2 5" xfId="8691"/>
    <cellStyle name="Comma 4 5 3 3 3" xfId="8692"/>
    <cellStyle name="Comma 4 5 3 3 3 2" xfId="8693"/>
    <cellStyle name="Comma 4 5 3 3 3 3" xfId="8694"/>
    <cellStyle name="Comma 4 5 3 3 4" xfId="8695"/>
    <cellStyle name="Comma 4 5 3 3 4 2" xfId="8696"/>
    <cellStyle name="Comma 4 5 3 3 4 3" xfId="8697"/>
    <cellStyle name="Comma 4 5 3 3 5" xfId="8698"/>
    <cellStyle name="Comma 4 5 3 3 6" xfId="8699"/>
    <cellStyle name="Comma 4 5 3 4" xfId="8700"/>
    <cellStyle name="Comma 4 5 3 4 2" xfId="8701"/>
    <cellStyle name="Comma 4 5 3 4 2 2" xfId="8702"/>
    <cellStyle name="Comma 4 5 3 4 2 3" xfId="8703"/>
    <cellStyle name="Comma 4 5 3 4 3" xfId="8704"/>
    <cellStyle name="Comma 4 5 3 4 3 2" xfId="8705"/>
    <cellStyle name="Comma 4 5 3 4 3 3" xfId="8706"/>
    <cellStyle name="Comma 4 5 3 4 4" xfId="8707"/>
    <cellStyle name="Comma 4 5 3 4 5" xfId="8708"/>
    <cellStyle name="Comma 4 5 3 5" xfId="8709"/>
    <cellStyle name="Comma 4 5 3 5 2" xfId="8710"/>
    <cellStyle name="Comma 4 5 3 5 3" xfId="8711"/>
    <cellStyle name="Comma 4 5 3 6" xfId="8712"/>
    <cellStyle name="Comma 4 5 3 6 2" xfId="8713"/>
    <cellStyle name="Comma 4 5 3 6 3" xfId="8714"/>
    <cellStyle name="Comma 4 5 3 7" xfId="8715"/>
    <cellStyle name="Comma 4 5 3 8" xfId="8716"/>
    <cellStyle name="Comma 4 5 4" xfId="8717"/>
    <cellStyle name="Comma 4 5 4 2" xfId="8718"/>
    <cellStyle name="Comma 4 5 4 2 2" xfId="8719"/>
    <cellStyle name="Comma 4 5 4 2 2 2" xfId="8720"/>
    <cellStyle name="Comma 4 5 4 2 2 3" xfId="8721"/>
    <cellStyle name="Comma 4 5 4 2 3" xfId="8722"/>
    <cellStyle name="Comma 4 5 4 2 3 2" xfId="8723"/>
    <cellStyle name="Comma 4 5 4 2 3 3" xfId="8724"/>
    <cellStyle name="Comma 4 5 4 2 4" xfId="8725"/>
    <cellStyle name="Comma 4 5 4 2 5" xfId="8726"/>
    <cellStyle name="Comma 4 5 4 3" xfId="8727"/>
    <cellStyle name="Comma 4 5 4 3 2" xfId="8728"/>
    <cellStyle name="Comma 4 5 4 3 3" xfId="8729"/>
    <cellStyle name="Comma 4 5 4 4" xfId="8730"/>
    <cellStyle name="Comma 4 5 4 4 2" xfId="8731"/>
    <cellStyle name="Comma 4 5 4 4 3" xfId="8732"/>
    <cellStyle name="Comma 4 5 4 5" xfId="8733"/>
    <cellStyle name="Comma 4 5 4 6" xfId="8734"/>
    <cellStyle name="Comma 4 5 5" xfId="8735"/>
    <cellStyle name="Comma 4 5 5 2" xfId="8736"/>
    <cellStyle name="Comma 4 5 5 2 2" xfId="8737"/>
    <cellStyle name="Comma 4 5 5 2 2 2" xfId="8738"/>
    <cellStyle name="Comma 4 5 5 2 2 3" xfId="8739"/>
    <cellStyle name="Comma 4 5 5 2 3" xfId="8740"/>
    <cellStyle name="Comma 4 5 5 2 3 2" xfId="8741"/>
    <cellStyle name="Comma 4 5 5 2 3 3" xfId="8742"/>
    <cellStyle name="Comma 4 5 5 2 4" xfId="8743"/>
    <cellStyle name="Comma 4 5 5 2 5" xfId="8744"/>
    <cellStyle name="Comma 4 5 5 3" xfId="8745"/>
    <cellStyle name="Comma 4 5 5 3 2" xfId="8746"/>
    <cellStyle name="Comma 4 5 5 3 3" xfId="8747"/>
    <cellStyle name="Comma 4 5 5 4" xfId="8748"/>
    <cellStyle name="Comma 4 5 5 4 2" xfId="8749"/>
    <cellStyle name="Comma 4 5 5 4 3" xfId="8750"/>
    <cellStyle name="Comma 4 5 5 5" xfId="8751"/>
    <cellStyle name="Comma 4 5 5 6" xfId="8752"/>
    <cellStyle name="Comma 4 5 6" xfId="8753"/>
    <cellStyle name="Comma 4 5 6 2" xfId="8754"/>
    <cellStyle name="Comma 4 5 6 2 2" xfId="8755"/>
    <cellStyle name="Comma 4 5 6 2 3" xfId="8756"/>
    <cellStyle name="Comma 4 5 6 3" xfId="8757"/>
    <cellStyle name="Comma 4 5 6 3 2" xfId="8758"/>
    <cellStyle name="Comma 4 5 6 3 3" xfId="8759"/>
    <cellStyle name="Comma 4 5 6 4" xfId="8760"/>
    <cellStyle name="Comma 4 5 6 5" xfId="8761"/>
    <cellStyle name="Comma 4 5 7" xfId="8762"/>
    <cellStyle name="Comma 4 5 7 2" xfId="8763"/>
    <cellStyle name="Comma 4 5 7 3" xfId="8764"/>
    <cellStyle name="Comma 4 5 8" xfId="8765"/>
    <cellStyle name="Comma 4 5 8 2" xfId="8766"/>
    <cellStyle name="Comma 4 5 8 3" xfId="8767"/>
    <cellStyle name="Comma 4 5 9" xfId="8768"/>
    <cellStyle name="Comma 4 6" xfId="8769"/>
    <cellStyle name="Comma 4 6 2" xfId="8770"/>
    <cellStyle name="Comma 4 6 2 2" xfId="8771"/>
    <cellStyle name="Comma 4 6 2 2 2" xfId="8772"/>
    <cellStyle name="Comma 4 6 2 2 2 2" xfId="8773"/>
    <cellStyle name="Comma 4 6 2 2 2 2 2" xfId="8774"/>
    <cellStyle name="Comma 4 6 2 2 2 2 3" xfId="8775"/>
    <cellStyle name="Comma 4 6 2 2 2 3" xfId="8776"/>
    <cellStyle name="Comma 4 6 2 2 2 3 2" xfId="8777"/>
    <cellStyle name="Comma 4 6 2 2 2 3 3" xfId="8778"/>
    <cellStyle name="Comma 4 6 2 2 2 4" xfId="8779"/>
    <cellStyle name="Comma 4 6 2 2 2 5" xfId="8780"/>
    <cellStyle name="Comma 4 6 2 2 3" xfId="8781"/>
    <cellStyle name="Comma 4 6 2 2 3 2" xfId="8782"/>
    <cellStyle name="Comma 4 6 2 2 3 3" xfId="8783"/>
    <cellStyle name="Comma 4 6 2 2 4" xfId="8784"/>
    <cellStyle name="Comma 4 6 2 2 4 2" xfId="8785"/>
    <cellStyle name="Comma 4 6 2 2 4 3" xfId="8786"/>
    <cellStyle name="Comma 4 6 2 2 5" xfId="8787"/>
    <cellStyle name="Comma 4 6 2 2 6" xfId="8788"/>
    <cellStyle name="Comma 4 6 2 3" xfId="8789"/>
    <cellStyle name="Comma 4 6 2 3 2" xfId="8790"/>
    <cellStyle name="Comma 4 6 2 3 2 2" xfId="8791"/>
    <cellStyle name="Comma 4 6 2 3 2 2 2" xfId="8792"/>
    <cellStyle name="Comma 4 6 2 3 2 2 3" xfId="8793"/>
    <cellStyle name="Comma 4 6 2 3 2 3" xfId="8794"/>
    <cellStyle name="Comma 4 6 2 3 2 3 2" xfId="8795"/>
    <cellStyle name="Comma 4 6 2 3 2 3 3" xfId="8796"/>
    <cellStyle name="Comma 4 6 2 3 2 4" xfId="8797"/>
    <cellStyle name="Comma 4 6 2 3 2 5" xfId="8798"/>
    <cellStyle name="Comma 4 6 2 3 3" xfId="8799"/>
    <cellStyle name="Comma 4 6 2 3 3 2" xfId="8800"/>
    <cellStyle name="Comma 4 6 2 3 3 3" xfId="8801"/>
    <cellStyle name="Comma 4 6 2 3 4" xfId="8802"/>
    <cellStyle name="Comma 4 6 2 3 4 2" xfId="8803"/>
    <cellStyle name="Comma 4 6 2 3 4 3" xfId="8804"/>
    <cellStyle name="Comma 4 6 2 3 5" xfId="8805"/>
    <cellStyle name="Comma 4 6 2 3 6" xfId="8806"/>
    <cellStyle name="Comma 4 6 2 4" xfId="8807"/>
    <cellStyle name="Comma 4 6 2 4 2" xfId="8808"/>
    <cellStyle name="Comma 4 6 2 4 2 2" xfId="8809"/>
    <cellStyle name="Comma 4 6 2 4 2 3" xfId="8810"/>
    <cellStyle name="Comma 4 6 2 4 3" xfId="8811"/>
    <cellStyle name="Comma 4 6 2 4 3 2" xfId="8812"/>
    <cellStyle name="Comma 4 6 2 4 3 3" xfId="8813"/>
    <cellStyle name="Comma 4 6 2 4 4" xfId="8814"/>
    <cellStyle name="Comma 4 6 2 4 5" xfId="8815"/>
    <cellStyle name="Comma 4 6 2 5" xfId="8816"/>
    <cellStyle name="Comma 4 6 2 5 2" xfId="8817"/>
    <cellStyle name="Comma 4 6 2 5 3" xfId="8818"/>
    <cellStyle name="Comma 4 6 2 6" xfId="8819"/>
    <cellStyle name="Comma 4 6 2 6 2" xfId="8820"/>
    <cellStyle name="Comma 4 6 2 6 3" xfId="8821"/>
    <cellStyle name="Comma 4 6 2 7" xfId="8822"/>
    <cellStyle name="Comma 4 6 2 8" xfId="8823"/>
    <cellStyle name="Comma 4 6 3" xfId="8824"/>
    <cellStyle name="Comma 4 6 3 2" xfId="8825"/>
    <cellStyle name="Comma 4 6 3 2 2" xfId="8826"/>
    <cellStyle name="Comma 4 6 3 2 2 2" xfId="8827"/>
    <cellStyle name="Comma 4 6 3 2 2 3" xfId="8828"/>
    <cellStyle name="Comma 4 6 3 2 3" xfId="8829"/>
    <cellStyle name="Comma 4 6 3 2 3 2" xfId="8830"/>
    <cellStyle name="Comma 4 6 3 2 3 3" xfId="8831"/>
    <cellStyle name="Comma 4 6 3 2 4" xfId="8832"/>
    <cellStyle name="Comma 4 6 3 2 5" xfId="8833"/>
    <cellStyle name="Comma 4 6 3 3" xfId="8834"/>
    <cellStyle name="Comma 4 6 3 3 2" xfId="8835"/>
    <cellStyle name="Comma 4 6 3 3 3" xfId="8836"/>
    <cellStyle name="Comma 4 6 3 4" xfId="8837"/>
    <cellStyle name="Comma 4 6 3 4 2" xfId="8838"/>
    <cellStyle name="Comma 4 6 3 4 3" xfId="8839"/>
    <cellStyle name="Comma 4 6 3 5" xfId="8840"/>
    <cellStyle name="Comma 4 6 3 6" xfId="8841"/>
    <cellStyle name="Comma 4 6 4" xfId="8842"/>
    <cellStyle name="Comma 4 6 4 2" xfId="8843"/>
    <cellStyle name="Comma 4 6 4 2 2" xfId="8844"/>
    <cellStyle name="Comma 4 6 4 2 2 2" xfId="8845"/>
    <cellStyle name="Comma 4 6 4 2 2 3" xfId="8846"/>
    <cellStyle name="Comma 4 6 4 2 3" xfId="8847"/>
    <cellStyle name="Comma 4 6 4 2 3 2" xfId="8848"/>
    <cellStyle name="Comma 4 6 4 2 3 3" xfId="8849"/>
    <cellStyle name="Comma 4 6 4 2 4" xfId="8850"/>
    <cellStyle name="Comma 4 6 4 2 5" xfId="8851"/>
    <cellStyle name="Comma 4 6 4 3" xfId="8852"/>
    <cellStyle name="Comma 4 6 4 3 2" xfId="8853"/>
    <cellStyle name="Comma 4 6 4 3 3" xfId="8854"/>
    <cellStyle name="Comma 4 6 4 4" xfId="8855"/>
    <cellStyle name="Comma 4 6 4 4 2" xfId="8856"/>
    <cellStyle name="Comma 4 6 4 4 3" xfId="8857"/>
    <cellStyle name="Comma 4 6 4 5" xfId="8858"/>
    <cellStyle name="Comma 4 6 4 6" xfId="8859"/>
    <cellStyle name="Comma 4 6 5" xfId="8860"/>
    <cellStyle name="Comma 4 6 5 2" xfId="8861"/>
    <cellStyle name="Comma 4 6 5 2 2" xfId="8862"/>
    <cellStyle name="Comma 4 6 5 2 3" xfId="8863"/>
    <cellStyle name="Comma 4 6 5 3" xfId="8864"/>
    <cellStyle name="Comma 4 6 5 3 2" xfId="8865"/>
    <cellStyle name="Comma 4 6 5 3 3" xfId="8866"/>
    <cellStyle name="Comma 4 6 5 4" xfId="8867"/>
    <cellStyle name="Comma 4 6 5 5" xfId="8868"/>
    <cellStyle name="Comma 4 6 6" xfId="8869"/>
    <cellStyle name="Comma 4 6 6 2" xfId="8870"/>
    <cellStyle name="Comma 4 6 6 3" xfId="8871"/>
    <cellStyle name="Comma 4 6 7" xfId="8872"/>
    <cellStyle name="Comma 4 6 7 2" xfId="8873"/>
    <cellStyle name="Comma 4 6 7 3" xfId="8874"/>
    <cellStyle name="Comma 4 6 8" xfId="8875"/>
    <cellStyle name="Comma 4 6 9" xfId="8876"/>
    <cellStyle name="Comma 4 7" xfId="8877"/>
    <cellStyle name="Comma 4 7 2" xfId="8878"/>
    <cellStyle name="Comma 4 7 2 2" xfId="8879"/>
    <cellStyle name="Comma 4 7 2 2 2" xfId="8880"/>
    <cellStyle name="Comma 4 7 2 2 2 2" xfId="8881"/>
    <cellStyle name="Comma 4 7 2 2 2 3" xfId="8882"/>
    <cellStyle name="Comma 4 7 2 2 3" xfId="8883"/>
    <cellStyle name="Comma 4 7 2 2 3 2" xfId="8884"/>
    <cellStyle name="Comma 4 7 2 2 3 3" xfId="8885"/>
    <cellStyle name="Comma 4 7 2 2 4" xfId="8886"/>
    <cellStyle name="Comma 4 7 2 2 5" xfId="8887"/>
    <cellStyle name="Comma 4 7 2 3" xfId="8888"/>
    <cellStyle name="Comma 4 7 2 3 2" xfId="8889"/>
    <cellStyle name="Comma 4 7 2 3 3" xfId="8890"/>
    <cellStyle name="Comma 4 7 2 4" xfId="8891"/>
    <cellStyle name="Comma 4 7 2 4 2" xfId="8892"/>
    <cellStyle name="Comma 4 7 2 4 3" xfId="8893"/>
    <cellStyle name="Comma 4 7 2 5" xfId="8894"/>
    <cellStyle name="Comma 4 7 2 6" xfId="8895"/>
    <cellStyle name="Comma 4 7 3" xfId="8896"/>
    <cellStyle name="Comma 4 7 3 2" xfId="8897"/>
    <cellStyle name="Comma 4 7 3 2 2" xfId="8898"/>
    <cellStyle name="Comma 4 7 3 2 2 2" xfId="8899"/>
    <cellStyle name="Comma 4 7 3 2 2 3" xfId="8900"/>
    <cellStyle name="Comma 4 7 3 2 3" xfId="8901"/>
    <cellStyle name="Comma 4 7 3 2 3 2" xfId="8902"/>
    <cellStyle name="Comma 4 7 3 2 3 3" xfId="8903"/>
    <cellStyle name="Comma 4 7 3 2 4" xfId="8904"/>
    <cellStyle name="Comma 4 7 3 2 5" xfId="8905"/>
    <cellStyle name="Comma 4 7 3 3" xfId="8906"/>
    <cellStyle name="Comma 4 7 3 3 2" xfId="8907"/>
    <cellStyle name="Comma 4 7 3 3 3" xfId="8908"/>
    <cellStyle name="Comma 4 7 3 4" xfId="8909"/>
    <cellStyle name="Comma 4 7 3 4 2" xfId="8910"/>
    <cellStyle name="Comma 4 7 3 4 3" xfId="8911"/>
    <cellStyle name="Comma 4 7 3 5" xfId="8912"/>
    <cellStyle name="Comma 4 7 3 6" xfId="8913"/>
    <cellStyle name="Comma 4 7 4" xfId="8914"/>
    <cellStyle name="Comma 4 7 4 2" xfId="8915"/>
    <cellStyle name="Comma 4 7 4 2 2" xfId="8916"/>
    <cellStyle name="Comma 4 7 4 2 3" xfId="8917"/>
    <cellStyle name="Comma 4 7 4 3" xfId="8918"/>
    <cellStyle name="Comma 4 7 4 3 2" xfId="8919"/>
    <cellStyle name="Comma 4 7 4 3 3" xfId="8920"/>
    <cellStyle name="Comma 4 7 4 4" xfId="8921"/>
    <cellStyle name="Comma 4 7 4 5" xfId="8922"/>
    <cellStyle name="Comma 4 7 5" xfId="8923"/>
    <cellStyle name="Comma 4 7 5 2" xfId="8924"/>
    <cellStyle name="Comma 4 7 5 3" xfId="8925"/>
    <cellStyle name="Comma 4 7 6" xfId="8926"/>
    <cellStyle name="Comma 4 7 6 2" xfId="8927"/>
    <cellStyle name="Comma 4 7 6 3" xfId="8928"/>
    <cellStyle name="Comma 4 7 7" xfId="8929"/>
    <cellStyle name="Comma 4 7 8" xfId="8930"/>
    <cellStyle name="Comma 4 8" xfId="8931"/>
    <cellStyle name="Comma 4 8 2" xfId="8932"/>
    <cellStyle name="Comma 4 8 2 2" xfId="8933"/>
    <cellStyle name="Comma 4 8 2 2 2" xfId="8934"/>
    <cellStyle name="Comma 4 8 2 2 3" xfId="8935"/>
    <cellStyle name="Comma 4 8 2 3" xfId="8936"/>
    <cellStyle name="Comma 4 8 2 3 2" xfId="8937"/>
    <cellStyle name="Comma 4 8 2 3 3" xfId="8938"/>
    <cellStyle name="Comma 4 8 2 4" xfId="8939"/>
    <cellStyle name="Comma 4 8 2 5" xfId="8940"/>
    <cellStyle name="Comma 4 8 3" xfId="8941"/>
    <cellStyle name="Comma 4 8 3 2" xfId="8942"/>
    <cellStyle name="Comma 4 8 3 3" xfId="8943"/>
    <cellStyle name="Comma 4 8 4" xfId="8944"/>
    <cellStyle name="Comma 4 8 4 2" xfId="8945"/>
    <cellStyle name="Comma 4 8 4 3" xfId="8946"/>
    <cellStyle name="Comma 4 8 5" xfId="8947"/>
    <cellStyle name="Comma 4 8 6" xfId="8948"/>
    <cellStyle name="Comma 4 9" xfId="8949"/>
    <cellStyle name="Comma 4 9 2" xfId="8950"/>
    <cellStyle name="Comma 4 9 2 2" xfId="8951"/>
    <cellStyle name="Comma 4 9 2 2 2" xfId="8952"/>
    <cellStyle name="Comma 4 9 2 2 3" xfId="8953"/>
    <cellStyle name="Comma 4 9 2 3" xfId="8954"/>
    <cellStyle name="Comma 4 9 2 3 2" xfId="8955"/>
    <cellStyle name="Comma 4 9 2 3 3" xfId="8956"/>
    <cellStyle name="Comma 4 9 2 4" xfId="8957"/>
    <cellStyle name="Comma 4 9 2 5" xfId="8958"/>
    <cellStyle name="Comma 4 9 3" xfId="8959"/>
    <cellStyle name="Comma 4 9 3 2" xfId="8960"/>
    <cellStyle name="Comma 4 9 3 3" xfId="8961"/>
    <cellStyle name="Comma 4 9 4" xfId="8962"/>
    <cellStyle name="Comma 4 9 4 2" xfId="8963"/>
    <cellStyle name="Comma 4 9 4 3" xfId="8964"/>
    <cellStyle name="Comma 4 9 5" xfId="8965"/>
    <cellStyle name="Comma 4 9 6" xfId="8966"/>
    <cellStyle name="Comma 5" xfId="8967"/>
    <cellStyle name="Comma 5 10" xfId="8968"/>
    <cellStyle name="Comma 5 10 2" xfId="8969"/>
    <cellStyle name="Comma 5 10 2 2" xfId="8970"/>
    <cellStyle name="Comma 5 10 2 3" xfId="8971"/>
    <cellStyle name="Comma 5 10 3" xfId="8972"/>
    <cellStyle name="Comma 5 10 3 2" xfId="8973"/>
    <cellStyle name="Comma 5 10 3 3" xfId="8974"/>
    <cellStyle name="Comma 5 10 4" xfId="8975"/>
    <cellStyle name="Comma 5 10 5" xfId="8976"/>
    <cellStyle name="Comma 5 11" xfId="8977"/>
    <cellStyle name="Comma 5 11 2" xfId="8978"/>
    <cellStyle name="Comma 5 11 3" xfId="8979"/>
    <cellStyle name="Comma 5 12" xfId="8980"/>
    <cellStyle name="Comma 5 12 2" xfId="8981"/>
    <cellStyle name="Comma 5 12 3" xfId="8982"/>
    <cellStyle name="Comma 5 13" xfId="8983"/>
    <cellStyle name="Comma 5 14" xfId="8984"/>
    <cellStyle name="Comma 5 15" xfId="8985"/>
    <cellStyle name="Comma 5 2" xfId="8986"/>
    <cellStyle name="Comma 5 2 10" xfId="8987"/>
    <cellStyle name="Comma 5 2 10 2" xfId="8988"/>
    <cellStyle name="Comma 5 2 10 3" xfId="8989"/>
    <cellStyle name="Comma 5 2 11" xfId="8990"/>
    <cellStyle name="Comma 5 2 11 2" xfId="8991"/>
    <cellStyle name="Comma 5 2 11 3" xfId="8992"/>
    <cellStyle name="Comma 5 2 12" xfId="8993"/>
    <cellStyle name="Comma 5 2 13" xfId="8994"/>
    <cellStyle name="Comma 5 2 2" xfId="8995"/>
    <cellStyle name="Comma 5 2 2 10" xfId="8996"/>
    <cellStyle name="Comma 5 2 2 10 2" xfId="8997"/>
    <cellStyle name="Comma 5 2 2 10 3" xfId="8998"/>
    <cellStyle name="Comma 5 2 2 11" xfId="8999"/>
    <cellStyle name="Comma 5 2 2 12" xfId="9000"/>
    <cellStyle name="Comma 5 2 2 2" xfId="9001"/>
    <cellStyle name="Comma 5 2 2 2 10" xfId="9002"/>
    <cellStyle name="Comma 5 2 2 2 2" xfId="9003"/>
    <cellStyle name="Comma 5 2 2 2 2 2" xfId="9004"/>
    <cellStyle name="Comma 5 2 2 2 2 2 2" xfId="9005"/>
    <cellStyle name="Comma 5 2 2 2 2 2 2 2" xfId="9006"/>
    <cellStyle name="Comma 5 2 2 2 2 2 2 2 2" xfId="9007"/>
    <cellStyle name="Comma 5 2 2 2 2 2 2 2 2 2" xfId="9008"/>
    <cellStyle name="Comma 5 2 2 2 2 2 2 2 2 3" xfId="9009"/>
    <cellStyle name="Comma 5 2 2 2 2 2 2 2 3" xfId="9010"/>
    <cellStyle name="Comma 5 2 2 2 2 2 2 2 3 2" xfId="9011"/>
    <cellStyle name="Comma 5 2 2 2 2 2 2 2 3 3" xfId="9012"/>
    <cellStyle name="Comma 5 2 2 2 2 2 2 2 4" xfId="9013"/>
    <cellStyle name="Comma 5 2 2 2 2 2 2 2 5" xfId="9014"/>
    <cellStyle name="Comma 5 2 2 2 2 2 2 3" xfId="9015"/>
    <cellStyle name="Comma 5 2 2 2 2 2 2 3 2" xfId="9016"/>
    <cellStyle name="Comma 5 2 2 2 2 2 2 3 3" xfId="9017"/>
    <cellStyle name="Comma 5 2 2 2 2 2 2 4" xfId="9018"/>
    <cellStyle name="Comma 5 2 2 2 2 2 2 4 2" xfId="9019"/>
    <cellStyle name="Comma 5 2 2 2 2 2 2 4 3" xfId="9020"/>
    <cellStyle name="Comma 5 2 2 2 2 2 2 5" xfId="9021"/>
    <cellStyle name="Comma 5 2 2 2 2 2 2 6" xfId="9022"/>
    <cellStyle name="Comma 5 2 2 2 2 2 3" xfId="9023"/>
    <cellStyle name="Comma 5 2 2 2 2 2 3 2" xfId="9024"/>
    <cellStyle name="Comma 5 2 2 2 2 2 3 2 2" xfId="9025"/>
    <cellStyle name="Comma 5 2 2 2 2 2 3 2 2 2" xfId="9026"/>
    <cellStyle name="Comma 5 2 2 2 2 2 3 2 2 3" xfId="9027"/>
    <cellStyle name="Comma 5 2 2 2 2 2 3 2 3" xfId="9028"/>
    <cellStyle name="Comma 5 2 2 2 2 2 3 2 3 2" xfId="9029"/>
    <cellStyle name="Comma 5 2 2 2 2 2 3 2 3 3" xfId="9030"/>
    <cellStyle name="Comma 5 2 2 2 2 2 3 2 4" xfId="9031"/>
    <cellStyle name="Comma 5 2 2 2 2 2 3 2 5" xfId="9032"/>
    <cellStyle name="Comma 5 2 2 2 2 2 3 3" xfId="9033"/>
    <cellStyle name="Comma 5 2 2 2 2 2 3 3 2" xfId="9034"/>
    <cellStyle name="Comma 5 2 2 2 2 2 3 3 3" xfId="9035"/>
    <cellStyle name="Comma 5 2 2 2 2 2 3 4" xfId="9036"/>
    <cellStyle name="Comma 5 2 2 2 2 2 3 4 2" xfId="9037"/>
    <cellStyle name="Comma 5 2 2 2 2 2 3 4 3" xfId="9038"/>
    <cellStyle name="Comma 5 2 2 2 2 2 3 5" xfId="9039"/>
    <cellStyle name="Comma 5 2 2 2 2 2 3 6" xfId="9040"/>
    <cellStyle name="Comma 5 2 2 2 2 2 4" xfId="9041"/>
    <cellStyle name="Comma 5 2 2 2 2 2 4 2" xfId="9042"/>
    <cellStyle name="Comma 5 2 2 2 2 2 4 2 2" xfId="9043"/>
    <cellStyle name="Comma 5 2 2 2 2 2 4 2 3" xfId="9044"/>
    <cellStyle name="Comma 5 2 2 2 2 2 4 3" xfId="9045"/>
    <cellStyle name="Comma 5 2 2 2 2 2 4 3 2" xfId="9046"/>
    <cellStyle name="Comma 5 2 2 2 2 2 4 3 3" xfId="9047"/>
    <cellStyle name="Comma 5 2 2 2 2 2 4 4" xfId="9048"/>
    <cellStyle name="Comma 5 2 2 2 2 2 4 5" xfId="9049"/>
    <cellStyle name="Comma 5 2 2 2 2 2 5" xfId="9050"/>
    <cellStyle name="Comma 5 2 2 2 2 2 5 2" xfId="9051"/>
    <cellStyle name="Comma 5 2 2 2 2 2 5 3" xfId="9052"/>
    <cellStyle name="Comma 5 2 2 2 2 2 6" xfId="9053"/>
    <cellStyle name="Comma 5 2 2 2 2 2 6 2" xfId="9054"/>
    <cellStyle name="Comma 5 2 2 2 2 2 6 3" xfId="9055"/>
    <cellStyle name="Comma 5 2 2 2 2 2 7" xfId="9056"/>
    <cellStyle name="Comma 5 2 2 2 2 2 8" xfId="9057"/>
    <cellStyle name="Comma 5 2 2 2 2 3" xfId="9058"/>
    <cellStyle name="Comma 5 2 2 2 2 3 2" xfId="9059"/>
    <cellStyle name="Comma 5 2 2 2 2 3 2 2" xfId="9060"/>
    <cellStyle name="Comma 5 2 2 2 2 3 2 2 2" xfId="9061"/>
    <cellStyle name="Comma 5 2 2 2 2 3 2 2 3" xfId="9062"/>
    <cellStyle name="Comma 5 2 2 2 2 3 2 3" xfId="9063"/>
    <cellStyle name="Comma 5 2 2 2 2 3 2 3 2" xfId="9064"/>
    <cellStyle name="Comma 5 2 2 2 2 3 2 3 3" xfId="9065"/>
    <cellStyle name="Comma 5 2 2 2 2 3 2 4" xfId="9066"/>
    <cellStyle name="Comma 5 2 2 2 2 3 2 5" xfId="9067"/>
    <cellStyle name="Comma 5 2 2 2 2 3 3" xfId="9068"/>
    <cellStyle name="Comma 5 2 2 2 2 3 3 2" xfId="9069"/>
    <cellStyle name="Comma 5 2 2 2 2 3 3 3" xfId="9070"/>
    <cellStyle name="Comma 5 2 2 2 2 3 4" xfId="9071"/>
    <cellStyle name="Comma 5 2 2 2 2 3 4 2" xfId="9072"/>
    <cellStyle name="Comma 5 2 2 2 2 3 4 3" xfId="9073"/>
    <cellStyle name="Comma 5 2 2 2 2 3 5" xfId="9074"/>
    <cellStyle name="Comma 5 2 2 2 2 3 6" xfId="9075"/>
    <cellStyle name="Comma 5 2 2 2 2 4" xfId="9076"/>
    <cellStyle name="Comma 5 2 2 2 2 4 2" xfId="9077"/>
    <cellStyle name="Comma 5 2 2 2 2 4 2 2" xfId="9078"/>
    <cellStyle name="Comma 5 2 2 2 2 4 2 2 2" xfId="9079"/>
    <cellStyle name="Comma 5 2 2 2 2 4 2 2 3" xfId="9080"/>
    <cellStyle name="Comma 5 2 2 2 2 4 2 3" xfId="9081"/>
    <cellStyle name="Comma 5 2 2 2 2 4 2 3 2" xfId="9082"/>
    <cellStyle name="Comma 5 2 2 2 2 4 2 3 3" xfId="9083"/>
    <cellStyle name="Comma 5 2 2 2 2 4 2 4" xfId="9084"/>
    <cellStyle name="Comma 5 2 2 2 2 4 2 5" xfId="9085"/>
    <cellStyle name="Comma 5 2 2 2 2 4 3" xfId="9086"/>
    <cellStyle name="Comma 5 2 2 2 2 4 3 2" xfId="9087"/>
    <cellStyle name="Comma 5 2 2 2 2 4 3 3" xfId="9088"/>
    <cellStyle name="Comma 5 2 2 2 2 4 4" xfId="9089"/>
    <cellStyle name="Comma 5 2 2 2 2 4 4 2" xfId="9090"/>
    <cellStyle name="Comma 5 2 2 2 2 4 4 3" xfId="9091"/>
    <cellStyle name="Comma 5 2 2 2 2 4 5" xfId="9092"/>
    <cellStyle name="Comma 5 2 2 2 2 4 6" xfId="9093"/>
    <cellStyle name="Comma 5 2 2 2 2 5" xfId="9094"/>
    <cellStyle name="Comma 5 2 2 2 2 5 2" xfId="9095"/>
    <cellStyle name="Comma 5 2 2 2 2 5 2 2" xfId="9096"/>
    <cellStyle name="Comma 5 2 2 2 2 5 2 3" xfId="9097"/>
    <cellStyle name="Comma 5 2 2 2 2 5 3" xfId="9098"/>
    <cellStyle name="Comma 5 2 2 2 2 5 3 2" xfId="9099"/>
    <cellStyle name="Comma 5 2 2 2 2 5 3 3" xfId="9100"/>
    <cellStyle name="Comma 5 2 2 2 2 5 4" xfId="9101"/>
    <cellStyle name="Comma 5 2 2 2 2 5 5" xfId="9102"/>
    <cellStyle name="Comma 5 2 2 2 2 6" xfId="9103"/>
    <cellStyle name="Comma 5 2 2 2 2 6 2" xfId="9104"/>
    <cellStyle name="Comma 5 2 2 2 2 6 3" xfId="9105"/>
    <cellStyle name="Comma 5 2 2 2 2 7" xfId="9106"/>
    <cellStyle name="Comma 5 2 2 2 2 7 2" xfId="9107"/>
    <cellStyle name="Comma 5 2 2 2 2 7 3" xfId="9108"/>
    <cellStyle name="Comma 5 2 2 2 2 8" xfId="9109"/>
    <cellStyle name="Comma 5 2 2 2 2 9" xfId="9110"/>
    <cellStyle name="Comma 5 2 2 2 3" xfId="9111"/>
    <cellStyle name="Comma 5 2 2 2 3 2" xfId="9112"/>
    <cellStyle name="Comma 5 2 2 2 3 2 2" xfId="9113"/>
    <cellStyle name="Comma 5 2 2 2 3 2 2 2" xfId="9114"/>
    <cellStyle name="Comma 5 2 2 2 3 2 2 2 2" xfId="9115"/>
    <cellStyle name="Comma 5 2 2 2 3 2 2 2 3" xfId="9116"/>
    <cellStyle name="Comma 5 2 2 2 3 2 2 3" xfId="9117"/>
    <cellStyle name="Comma 5 2 2 2 3 2 2 3 2" xfId="9118"/>
    <cellStyle name="Comma 5 2 2 2 3 2 2 3 3" xfId="9119"/>
    <cellStyle name="Comma 5 2 2 2 3 2 2 4" xfId="9120"/>
    <cellStyle name="Comma 5 2 2 2 3 2 2 5" xfId="9121"/>
    <cellStyle name="Comma 5 2 2 2 3 2 3" xfId="9122"/>
    <cellStyle name="Comma 5 2 2 2 3 2 3 2" xfId="9123"/>
    <cellStyle name="Comma 5 2 2 2 3 2 3 3" xfId="9124"/>
    <cellStyle name="Comma 5 2 2 2 3 2 4" xfId="9125"/>
    <cellStyle name="Comma 5 2 2 2 3 2 4 2" xfId="9126"/>
    <cellStyle name="Comma 5 2 2 2 3 2 4 3" xfId="9127"/>
    <cellStyle name="Comma 5 2 2 2 3 2 5" xfId="9128"/>
    <cellStyle name="Comma 5 2 2 2 3 2 6" xfId="9129"/>
    <cellStyle name="Comma 5 2 2 2 3 3" xfId="9130"/>
    <cellStyle name="Comma 5 2 2 2 3 3 2" xfId="9131"/>
    <cellStyle name="Comma 5 2 2 2 3 3 2 2" xfId="9132"/>
    <cellStyle name="Comma 5 2 2 2 3 3 2 2 2" xfId="9133"/>
    <cellStyle name="Comma 5 2 2 2 3 3 2 2 3" xfId="9134"/>
    <cellStyle name="Comma 5 2 2 2 3 3 2 3" xfId="9135"/>
    <cellStyle name="Comma 5 2 2 2 3 3 2 3 2" xfId="9136"/>
    <cellStyle name="Comma 5 2 2 2 3 3 2 3 3" xfId="9137"/>
    <cellStyle name="Comma 5 2 2 2 3 3 2 4" xfId="9138"/>
    <cellStyle name="Comma 5 2 2 2 3 3 2 5" xfId="9139"/>
    <cellStyle name="Comma 5 2 2 2 3 3 3" xfId="9140"/>
    <cellStyle name="Comma 5 2 2 2 3 3 3 2" xfId="9141"/>
    <cellStyle name="Comma 5 2 2 2 3 3 3 3" xfId="9142"/>
    <cellStyle name="Comma 5 2 2 2 3 3 4" xfId="9143"/>
    <cellStyle name="Comma 5 2 2 2 3 3 4 2" xfId="9144"/>
    <cellStyle name="Comma 5 2 2 2 3 3 4 3" xfId="9145"/>
    <cellStyle name="Comma 5 2 2 2 3 3 5" xfId="9146"/>
    <cellStyle name="Comma 5 2 2 2 3 3 6" xfId="9147"/>
    <cellStyle name="Comma 5 2 2 2 3 4" xfId="9148"/>
    <cellStyle name="Comma 5 2 2 2 3 4 2" xfId="9149"/>
    <cellStyle name="Comma 5 2 2 2 3 4 2 2" xfId="9150"/>
    <cellStyle name="Comma 5 2 2 2 3 4 2 3" xfId="9151"/>
    <cellStyle name="Comma 5 2 2 2 3 4 3" xfId="9152"/>
    <cellStyle name="Comma 5 2 2 2 3 4 3 2" xfId="9153"/>
    <cellStyle name="Comma 5 2 2 2 3 4 3 3" xfId="9154"/>
    <cellStyle name="Comma 5 2 2 2 3 4 4" xfId="9155"/>
    <cellStyle name="Comma 5 2 2 2 3 4 5" xfId="9156"/>
    <cellStyle name="Comma 5 2 2 2 3 5" xfId="9157"/>
    <cellStyle name="Comma 5 2 2 2 3 5 2" xfId="9158"/>
    <cellStyle name="Comma 5 2 2 2 3 5 3" xfId="9159"/>
    <cellStyle name="Comma 5 2 2 2 3 6" xfId="9160"/>
    <cellStyle name="Comma 5 2 2 2 3 6 2" xfId="9161"/>
    <cellStyle name="Comma 5 2 2 2 3 6 3" xfId="9162"/>
    <cellStyle name="Comma 5 2 2 2 3 7" xfId="9163"/>
    <cellStyle name="Comma 5 2 2 2 3 8" xfId="9164"/>
    <cellStyle name="Comma 5 2 2 2 4" xfId="9165"/>
    <cellStyle name="Comma 5 2 2 2 4 2" xfId="9166"/>
    <cellStyle name="Comma 5 2 2 2 4 2 2" xfId="9167"/>
    <cellStyle name="Comma 5 2 2 2 4 2 2 2" xfId="9168"/>
    <cellStyle name="Comma 5 2 2 2 4 2 2 3" xfId="9169"/>
    <cellStyle name="Comma 5 2 2 2 4 2 3" xfId="9170"/>
    <cellStyle name="Comma 5 2 2 2 4 2 3 2" xfId="9171"/>
    <cellStyle name="Comma 5 2 2 2 4 2 3 3" xfId="9172"/>
    <cellStyle name="Comma 5 2 2 2 4 2 4" xfId="9173"/>
    <cellStyle name="Comma 5 2 2 2 4 2 5" xfId="9174"/>
    <cellStyle name="Comma 5 2 2 2 4 3" xfId="9175"/>
    <cellStyle name="Comma 5 2 2 2 4 3 2" xfId="9176"/>
    <cellStyle name="Comma 5 2 2 2 4 3 3" xfId="9177"/>
    <cellStyle name="Comma 5 2 2 2 4 4" xfId="9178"/>
    <cellStyle name="Comma 5 2 2 2 4 4 2" xfId="9179"/>
    <cellStyle name="Comma 5 2 2 2 4 4 3" xfId="9180"/>
    <cellStyle name="Comma 5 2 2 2 4 5" xfId="9181"/>
    <cellStyle name="Comma 5 2 2 2 4 6" xfId="9182"/>
    <cellStyle name="Comma 5 2 2 2 5" xfId="9183"/>
    <cellStyle name="Comma 5 2 2 2 5 2" xfId="9184"/>
    <cellStyle name="Comma 5 2 2 2 5 2 2" xfId="9185"/>
    <cellStyle name="Comma 5 2 2 2 5 2 2 2" xfId="9186"/>
    <cellStyle name="Comma 5 2 2 2 5 2 2 3" xfId="9187"/>
    <cellStyle name="Comma 5 2 2 2 5 2 3" xfId="9188"/>
    <cellStyle name="Comma 5 2 2 2 5 2 3 2" xfId="9189"/>
    <cellStyle name="Comma 5 2 2 2 5 2 3 3" xfId="9190"/>
    <cellStyle name="Comma 5 2 2 2 5 2 4" xfId="9191"/>
    <cellStyle name="Comma 5 2 2 2 5 2 5" xfId="9192"/>
    <cellStyle name="Comma 5 2 2 2 5 3" xfId="9193"/>
    <cellStyle name="Comma 5 2 2 2 5 3 2" xfId="9194"/>
    <cellStyle name="Comma 5 2 2 2 5 3 3" xfId="9195"/>
    <cellStyle name="Comma 5 2 2 2 5 4" xfId="9196"/>
    <cellStyle name="Comma 5 2 2 2 5 4 2" xfId="9197"/>
    <cellStyle name="Comma 5 2 2 2 5 4 3" xfId="9198"/>
    <cellStyle name="Comma 5 2 2 2 5 5" xfId="9199"/>
    <cellStyle name="Comma 5 2 2 2 5 6" xfId="9200"/>
    <cellStyle name="Comma 5 2 2 2 6" xfId="9201"/>
    <cellStyle name="Comma 5 2 2 2 6 2" xfId="9202"/>
    <cellStyle name="Comma 5 2 2 2 6 2 2" xfId="9203"/>
    <cellStyle name="Comma 5 2 2 2 6 2 3" xfId="9204"/>
    <cellStyle name="Comma 5 2 2 2 6 3" xfId="9205"/>
    <cellStyle name="Comma 5 2 2 2 6 3 2" xfId="9206"/>
    <cellStyle name="Comma 5 2 2 2 6 3 3" xfId="9207"/>
    <cellStyle name="Comma 5 2 2 2 6 4" xfId="9208"/>
    <cellStyle name="Comma 5 2 2 2 6 5" xfId="9209"/>
    <cellStyle name="Comma 5 2 2 2 7" xfId="9210"/>
    <cellStyle name="Comma 5 2 2 2 7 2" xfId="9211"/>
    <cellStyle name="Comma 5 2 2 2 7 3" xfId="9212"/>
    <cellStyle name="Comma 5 2 2 2 8" xfId="9213"/>
    <cellStyle name="Comma 5 2 2 2 8 2" xfId="9214"/>
    <cellStyle name="Comma 5 2 2 2 8 3" xfId="9215"/>
    <cellStyle name="Comma 5 2 2 2 9" xfId="9216"/>
    <cellStyle name="Comma 5 2 2 3" xfId="9217"/>
    <cellStyle name="Comma 5 2 2 3 10" xfId="9218"/>
    <cellStyle name="Comma 5 2 2 3 2" xfId="9219"/>
    <cellStyle name="Comma 5 2 2 3 2 2" xfId="9220"/>
    <cellStyle name="Comma 5 2 2 3 2 2 2" xfId="9221"/>
    <cellStyle name="Comma 5 2 2 3 2 2 2 2" xfId="9222"/>
    <cellStyle name="Comma 5 2 2 3 2 2 2 2 2" xfId="9223"/>
    <cellStyle name="Comma 5 2 2 3 2 2 2 2 2 2" xfId="9224"/>
    <cellStyle name="Comma 5 2 2 3 2 2 2 2 2 3" xfId="9225"/>
    <cellStyle name="Comma 5 2 2 3 2 2 2 2 3" xfId="9226"/>
    <cellStyle name="Comma 5 2 2 3 2 2 2 2 3 2" xfId="9227"/>
    <cellStyle name="Comma 5 2 2 3 2 2 2 2 3 3" xfId="9228"/>
    <cellStyle name="Comma 5 2 2 3 2 2 2 2 4" xfId="9229"/>
    <cellStyle name="Comma 5 2 2 3 2 2 2 2 5" xfId="9230"/>
    <cellStyle name="Comma 5 2 2 3 2 2 2 3" xfId="9231"/>
    <cellStyle name="Comma 5 2 2 3 2 2 2 3 2" xfId="9232"/>
    <cellStyle name="Comma 5 2 2 3 2 2 2 3 3" xfId="9233"/>
    <cellStyle name="Comma 5 2 2 3 2 2 2 4" xfId="9234"/>
    <cellStyle name="Comma 5 2 2 3 2 2 2 4 2" xfId="9235"/>
    <cellStyle name="Comma 5 2 2 3 2 2 2 4 3" xfId="9236"/>
    <cellStyle name="Comma 5 2 2 3 2 2 2 5" xfId="9237"/>
    <cellStyle name="Comma 5 2 2 3 2 2 2 6" xfId="9238"/>
    <cellStyle name="Comma 5 2 2 3 2 2 3" xfId="9239"/>
    <cellStyle name="Comma 5 2 2 3 2 2 3 2" xfId="9240"/>
    <cellStyle name="Comma 5 2 2 3 2 2 3 2 2" xfId="9241"/>
    <cellStyle name="Comma 5 2 2 3 2 2 3 2 2 2" xfId="9242"/>
    <cellStyle name="Comma 5 2 2 3 2 2 3 2 2 3" xfId="9243"/>
    <cellStyle name="Comma 5 2 2 3 2 2 3 2 3" xfId="9244"/>
    <cellStyle name="Comma 5 2 2 3 2 2 3 2 3 2" xfId="9245"/>
    <cellStyle name="Comma 5 2 2 3 2 2 3 2 3 3" xfId="9246"/>
    <cellStyle name="Comma 5 2 2 3 2 2 3 2 4" xfId="9247"/>
    <cellStyle name="Comma 5 2 2 3 2 2 3 2 5" xfId="9248"/>
    <cellStyle name="Comma 5 2 2 3 2 2 3 3" xfId="9249"/>
    <cellStyle name="Comma 5 2 2 3 2 2 3 3 2" xfId="9250"/>
    <cellStyle name="Comma 5 2 2 3 2 2 3 3 3" xfId="9251"/>
    <cellStyle name="Comma 5 2 2 3 2 2 3 4" xfId="9252"/>
    <cellStyle name="Comma 5 2 2 3 2 2 3 4 2" xfId="9253"/>
    <cellStyle name="Comma 5 2 2 3 2 2 3 4 3" xfId="9254"/>
    <cellStyle name="Comma 5 2 2 3 2 2 3 5" xfId="9255"/>
    <cellStyle name="Comma 5 2 2 3 2 2 3 6" xfId="9256"/>
    <cellStyle name="Comma 5 2 2 3 2 2 4" xfId="9257"/>
    <cellStyle name="Comma 5 2 2 3 2 2 4 2" xfId="9258"/>
    <cellStyle name="Comma 5 2 2 3 2 2 4 2 2" xfId="9259"/>
    <cellStyle name="Comma 5 2 2 3 2 2 4 2 3" xfId="9260"/>
    <cellStyle name="Comma 5 2 2 3 2 2 4 3" xfId="9261"/>
    <cellStyle name="Comma 5 2 2 3 2 2 4 3 2" xfId="9262"/>
    <cellStyle name="Comma 5 2 2 3 2 2 4 3 3" xfId="9263"/>
    <cellStyle name="Comma 5 2 2 3 2 2 4 4" xfId="9264"/>
    <cellStyle name="Comma 5 2 2 3 2 2 4 5" xfId="9265"/>
    <cellStyle name="Comma 5 2 2 3 2 2 5" xfId="9266"/>
    <cellStyle name="Comma 5 2 2 3 2 2 5 2" xfId="9267"/>
    <cellStyle name="Comma 5 2 2 3 2 2 5 3" xfId="9268"/>
    <cellStyle name="Comma 5 2 2 3 2 2 6" xfId="9269"/>
    <cellStyle name="Comma 5 2 2 3 2 2 6 2" xfId="9270"/>
    <cellStyle name="Comma 5 2 2 3 2 2 6 3" xfId="9271"/>
    <cellStyle name="Comma 5 2 2 3 2 2 7" xfId="9272"/>
    <cellStyle name="Comma 5 2 2 3 2 2 8" xfId="9273"/>
    <cellStyle name="Comma 5 2 2 3 2 3" xfId="9274"/>
    <cellStyle name="Comma 5 2 2 3 2 3 2" xfId="9275"/>
    <cellStyle name="Comma 5 2 2 3 2 3 2 2" xfId="9276"/>
    <cellStyle name="Comma 5 2 2 3 2 3 2 2 2" xfId="9277"/>
    <cellStyle name="Comma 5 2 2 3 2 3 2 2 3" xfId="9278"/>
    <cellStyle name="Comma 5 2 2 3 2 3 2 3" xfId="9279"/>
    <cellStyle name="Comma 5 2 2 3 2 3 2 3 2" xfId="9280"/>
    <cellStyle name="Comma 5 2 2 3 2 3 2 3 3" xfId="9281"/>
    <cellStyle name="Comma 5 2 2 3 2 3 2 4" xfId="9282"/>
    <cellStyle name="Comma 5 2 2 3 2 3 2 5" xfId="9283"/>
    <cellStyle name="Comma 5 2 2 3 2 3 3" xfId="9284"/>
    <cellStyle name="Comma 5 2 2 3 2 3 3 2" xfId="9285"/>
    <cellStyle name="Comma 5 2 2 3 2 3 3 3" xfId="9286"/>
    <cellStyle name="Comma 5 2 2 3 2 3 4" xfId="9287"/>
    <cellStyle name="Comma 5 2 2 3 2 3 4 2" xfId="9288"/>
    <cellStyle name="Comma 5 2 2 3 2 3 4 3" xfId="9289"/>
    <cellStyle name="Comma 5 2 2 3 2 3 5" xfId="9290"/>
    <cellStyle name="Comma 5 2 2 3 2 3 6" xfId="9291"/>
    <cellStyle name="Comma 5 2 2 3 2 4" xfId="9292"/>
    <cellStyle name="Comma 5 2 2 3 2 4 2" xfId="9293"/>
    <cellStyle name="Comma 5 2 2 3 2 4 2 2" xfId="9294"/>
    <cellStyle name="Comma 5 2 2 3 2 4 2 2 2" xfId="9295"/>
    <cellStyle name="Comma 5 2 2 3 2 4 2 2 3" xfId="9296"/>
    <cellStyle name="Comma 5 2 2 3 2 4 2 3" xfId="9297"/>
    <cellStyle name="Comma 5 2 2 3 2 4 2 3 2" xfId="9298"/>
    <cellStyle name="Comma 5 2 2 3 2 4 2 3 3" xfId="9299"/>
    <cellStyle name="Comma 5 2 2 3 2 4 2 4" xfId="9300"/>
    <cellStyle name="Comma 5 2 2 3 2 4 2 5" xfId="9301"/>
    <cellStyle name="Comma 5 2 2 3 2 4 3" xfId="9302"/>
    <cellStyle name="Comma 5 2 2 3 2 4 3 2" xfId="9303"/>
    <cellStyle name="Comma 5 2 2 3 2 4 3 3" xfId="9304"/>
    <cellStyle name="Comma 5 2 2 3 2 4 4" xfId="9305"/>
    <cellStyle name="Comma 5 2 2 3 2 4 4 2" xfId="9306"/>
    <cellStyle name="Comma 5 2 2 3 2 4 4 3" xfId="9307"/>
    <cellStyle name="Comma 5 2 2 3 2 4 5" xfId="9308"/>
    <cellStyle name="Comma 5 2 2 3 2 4 6" xfId="9309"/>
    <cellStyle name="Comma 5 2 2 3 2 5" xfId="9310"/>
    <cellStyle name="Comma 5 2 2 3 2 5 2" xfId="9311"/>
    <cellStyle name="Comma 5 2 2 3 2 5 2 2" xfId="9312"/>
    <cellStyle name="Comma 5 2 2 3 2 5 2 3" xfId="9313"/>
    <cellStyle name="Comma 5 2 2 3 2 5 3" xfId="9314"/>
    <cellStyle name="Comma 5 2 2 3 2 5 3 2" xfId="9315"/>
    <cellStyle name="Comma 5 2 2 3 2 5 3 3" xfId="9316"/>
    <cellStyle name="Comma 5 2 2 3 2 5 4" xfId="9317"/>
    <cellStyle name="Comma 5 2 2 3 2 5 5" xfId="9318"/>
    <cellStyle name="Comma 5 2 2 3 2 6" xfId="9319"/>
    <cellStyle name="Comma 5 2 2 3 2 6 2" xfId="9320"/>
    <cellStyle name="Comma 5 2 2 3 2 6 3" xfId="9321"/>
    <cellStyle name="Comma 5 2 2 3 2 7" xfId="9322"/>
    <cellStyle name="Comma 5 2 2 3 2 7 2" xfId="9323"/>
    <cellStyle name="Comma 5 2 2 3 2 7 3" xfId="9324"/>
    <cellStyle name="Comma 5 2 2 3 2 8" xfId="9325"/>
    <cellStyle name="Comma 5 2 2 3 2 9" xfId="9326"/>
    <cellStyle name="Comma 5 2 2 3 3" xfId="9327"/>
    <cellStyle name="Comma 5 2 2 3 3 2" xfId="9328"/>
    <cellStyle name="Comma 5 2 2 3 3 2 2" xfId="9329"/>
    <cellStyle name="Comma 5 2 2 3 3 2 2 2" xfId="9330"/>
    <cellStyle name="Comma 5 2 2 3 3 2 2 2 2" xfId="9331"/>
    <cellStyle name="Comma 5 2 2 3 3 2 2 2 3" xfId="9332"/>
    <cellStyle name="Comma 5 2 2 3 3 2 2 3" xfId="9333"/>
    <cellStyle name="Comma 5 2 2 3 3 2 2 3 2" xfId="9334"/>
    <cellStyle name="Comma 5 2 2 3 3 2 2 3 3" xfId="9335"/>
    <cellStyle name="Comma 5 2 2 3 3 2 2 4" xfId="9336"/>
    <cellStyle name="Comma 5 2 2 3 3 2 2 5" xfId="9337"/>
    <cellStyle name="Comma 5 2 2 3 3 2 3" xfId="9338"/>
    <cellStyle name="Comma 5 2 2 3 3 2 3 2" xfId="9339"/>
    <cellStyle name="Comma 5 2 2 3 3 2 3 3" xfId="9340"/>
    <cellStyle name="Comma 5 2 2 3 3 2 4" xfId="9341"/>
    <cellStyle name="Comma 5 2 2 3 3 2 4 2" xfId="9342"/>
    <cellStyle name="Comma 5 2 2 3 3 2 4 3" xfId="9343"/>
    <cellStyle name="Comma 5 2 2 3 3 2 5" xfId="9344"/>
    <cellStyle name="Comma 5 2 2 3 3 2 6" xfId="9345"/>
    <cellStyle name="Comma 5 2 2 3 3 3" xfId="9346"/>
    <cellStyle name="Comma 5 2 2 3 3 3 2" xfId="9347"/>
    <cellStyle name="Comma 5 2 2 3 3 3 2 2" xfId="9348"/>
    <cellStyle name="Comma 5 2 2 3 3 3 2 2 2" xfId="9349"/>
    <cellStyle name="Comma 5 2 2 3 3 3 2 2 3" xfId="9350"/>
    <cellStyle name="Comma 5 2 2 3 3 3 2 3" xfId="9351"/>
    <cellStyle name="Comma 5 2 2 3 3 3 2 3 2" xfId="9352"/>
    <cellStyle name="Comma 5 2 2 3 3 3 2 3 3" xfId="9353"/>
    <cellStyle name="Comma 5 2 2 3 3 3 2 4" xfId="9354"/>
    <cellStyle name="Comma 5 2 2 3 3 3 2 5" xfId="9355"/>
    <cellStyle name="Comma 5 2 2 3 3 3 3" xfId="9356"/>
    <cellStyle name="Comma 5 2 2 3 3 3 3 2" xfId="9357"/>
    <cellStyle name="Comma 5 2 2 3 3 3 3 3" xfId="9358"/>
    <cellStyle name="Comma 5 2 2 3 3 3 4" xfId="9359"/>
    <cellStyle name="Comma 5 2 2 3 3 3 4 2" xfId="9360"/>
    <cellStyle name="Comma 5 2 2 3 3 3 4 3" xfId="9361"/>
    <cellStyle name="Comma 5 2 2 3 3 3 5" xfId="9362"/>
    <cellStyle name="Comma 5 2 2 3 3 3 6" xfId="9363"/>
    <cellStyle name="Comma 5 2 2 3 3 4" xfId="9364"/>
    <cellStyle name="Comma 5 2 2 3 3 4 2" xfId="9365"/>
    <cellStyle name="Comma 5 2 2 3 3 4 2 2" xfId="9366"/>
    <cellStyle name="Comma 5 2 2 3 3 4 2 3" xfId="9367"/>
    <cellStyle name="Comma 5 2 2 3 3 4 3" xfId="9368"/>
    <cellStyle name="Comma 5 2 2 3 3 4 3 2" xfId="9369"/>
    <cellStyle name="Comma 5 2 2 3 3 4 3 3" xfId="9370"/>
    <cellStyle name="Comma 5 2 2 3 3 4 4" xfId="9371"/>
    <cellStyle name="Comma 5 2 2 3 3 4 5" xfId="9372"/>
    <cellStyle name="Comma 5 2 2 3 3 5" xfId="9373"/>
    <cellStyle name="Comma 5 2 2 3 3 5 2" xfId="9374"/>
    <cellStyle name="Comma 5 2 2 3 3 5 3" xfId="9375"/>
    <cellStyle name="Comma 5 2 2 3 3 6" xfId="9376"/>
    <cellStyle name="Comma 5 2 2 3 3 6 2" xfId="9377"/>
    <cellStyle name="Comma 5 2 2 3 3 6 3" xfId="9378"/>
    <cellStyle name="Comma 5 2 2 3 3 7" xfId="9379"/>
    <cellStyle name="Comma 5 2 2 3 3 8" xfId="9380"/>
    <cellStyle name="Comma 5 2 2 3 4" xfId="9381"/>
    <cellStyle name="Comma 5 2 2 3 4 2" xfId="9382"/>
    <cellStyle name="Comma 5 2 2 3 4 2 2" xfId="9383"/>
    <cellStyle name="Comma 5 2 2 3 4 2 2 2" xfId="9384"/>
    <cellStyle name="Comma 5 2 2 3 4 2 2 3" xfId="9385"/>
    <cellStyle name="Comma 5 2 2 3 4 2 3" xfId="9386"/>
    <cellStyle name="Comma 5 2 2 3 4 2 3 2" xfId="9387"/>
    <cellStyle name="Comma 5 2 2 3 4 2 3 3" xfId="9388"/>
    <cellStyle name="Comma 5 2 2 3 4 2 4" xfId="9389"/>
    <cellStyle name="Comma 5 2 2 3 4 2 5" xfId="9390"/>
    <cellStyle name="Comma 5 2 2 3 4 3" xfId="9391"/>
    <cellStyle name="Comma 5 2 2 3 4 3 2" xfId="9392"/>
    <cellStyle name="Comma 5 2 2 3 4 3 3" xfId="9393"/>
    <cellStyle name="Comma 5 2 2 3 4 4" xfId="9394"/>
    <cellStyle name="Comma 5 2 2 3 4 4 2" xfId="9395"/>
    <cellStyle name="Comma 5 2 2 3 4 4 3" xfId="9396"/>
    <cellStyle name="Comma 5 2 2 3 4 5" xfId="9397"/>
    <cellStyle name="Comma 5 2 2 3 4 6" xfId="9398"/>
    <cellStyle name="Comma 5 2 2 3 5" xfId="9399"/>
    <cellStyle name="Comma 5 2 2 3 5 2" xfId="9400"/>
    <cellStyle name="Comma 5 2 2 3 5 2 2" xfId="9401"/>
    <cellStyle name="Comma 5 2 2 3 5 2 2 2" xfId="9402"/>
    <cellStyle name="Comma 5 2 2 3 5 2 2 3" xfId="9403"/>
    <cellStyle name="Comma 5 2 2 3 5 2 3" xfId="9404"/>
    <cellStyle name="Comma 5 2 2 3 5 2 3 2" xfId="9405"/>
    <cellStyle name="Comma 5 2 2 3 5 2 3 3" xfId="9406"/>
    <cellStyle name="Comma 5 2 2 3 5 2 4" xfId="9407"/>
    <cellStyle name="Comma 5 2 2 3 5 2 5" xfId="9408"/>
    <cellStyle name="Comma 5 2 2 3 5 3" xfId="9409"/>
    <cellStyle name="Comma 5 2 2 3 5 3 2" xfId="9410"/>
    <cellStyle name="Comma 5 2 2 3 5 3 3" xfId="9411"/>
    <cellStyle name="Comma 5 2 2 3 5 4" xfId="9412"/>
    <cellStyle name="Comma 5 2 2 3 5 4 2" xfId="9413"/>
    <cellStyle name="Comma 5 2 2 3 5 4 3" xfId="9414"/>
    <cellStyle name="Comma 5 2 2 3 5 5" xfId="9415"/>
    <cellStyle name="Comma 5 2 2 3 5 6" xfId="9416"/>
    <cellStyle name="Comma 5 2 2 3 6" xfId="9417"/>
    <cellStyle name="Comma 5 2 2 3 6 2" xfId="9418"/>
    <cellStyle name="Comma 5 2 2 3 6 2 2" xfId="9419"/>
    <cellStyle name="Comma 5 2 2 3 6 2 3" xfId="9420"/>
    <cellStyle name="Comma 5 2 2 3 6 3" xfId="9421"/>
    <cellStyle name="Comma 5 2 2 3 6 3 2" xfId="9422"/>
    <cellStyle name="Comma 5 2 2 3 6 3 3" xfId="9423"/>
    <cellStyle name="Comma 5 2 2 3 6 4" xfId="9424"/>
    <cellStyle name="Comma 5 2 2 3 6 5" xfId="9425"/>
    <cellStyle name="Comma 5 2 2 3 7" xfId="9426"/>
    <cellStyle name="Comma 5 2 2 3 7 2" xfId="9427"/>
    <cellStyle name="Comma 5 2 2 3 7 3" xfId="9428"/>
    <cellStyle name="Comma 5 2 2 3 8" xfId="9429"/>
    <cellStyle name="Comma 5 2 2 3 8 2" xfId="9430"/>
    <cellStyle name="Comma 5 2 2 3 8 3" xfId="9431"/>
    <cellStyle name="Comma 5 2 2 3 9" xfId="9432"/>
    <cellStyle name="Comma 5 2 2 4" xfId="9433"/>
    <cellStyle name="Comma 5 2 2 4 2" xfId="9434"/>
    <cellStyle name="Comma 5 2 2 4 2 2" xfId="9435"/>
    <cellStyle name="Comma 5 2 2 4 2 2 2" xfId="9436"/>
    <cellStyle name="Comma 5 2 2 4 2 2 2 2" xfId="9437"/>
    <cellStyle name="Comma 5 2 2 4 2 2 2 2 2" xfId="9438"/>
    <cellStyle name="Comma 5 2 2 4 2 2 2 2 3" xfId="9439"/>
    <cellStyle name="Comma 5 2 2 4 2 2 2 3" xfId="9440"/>
    <cellStyle name="Comma 5 2 2 4 2 2 2 3 2" xfId="9441"/>
    <cellStyle name="Comma 5 2 2 4 2 2 2 3 3" xfId="9442"/>
    <cellStyle name="Comma 5 2 2 4 2 2 2 4" xfId="9443"/>
    <cellStyle name="Comma 5 2 2 4 2 2 2 5" xfId="9444"/>
    <cellStyle name="Comma 5 2 2 4 2 2 3" xfId="9445"/>
    <cellStyle name="Comma 5 2 2 4 2 2 3 2" xfId="9446"/>
    <cellStyle name="Comma 5 2 2 4 2 2 3 3" xfId="9447"/>
    <cellStyle name="Comma 5 2 2 4 2 2 4" xfId="9448"/>
    <cellStyle name="Comma 5 2 2 4 2 2 4 2" xfId="9449"/>
    <cellStyle name="Comma 5 2 2 4 2 2 4 3" xfId="9450"/>
    <cellStyle name="Comma 5 2 2 4 2 2 5" xfId="9451"/>
    <cellStyle name="Comma 5 2 2 4 2 2 6" xfId="9452"/>
    <cellStyle name="Comma 5 2 2 4 2 3" xfId="9453"/>
    <cellStyle name="Comma 5 2 2 4 2 3 2" xfId="9454"/>
    <cellStyle name="Comma 5 2 2 4 2 3 2 2" xfId="9455"/>
    <cellStyle name="Comma 5 2 2 4 2 3 2 2 2" xfId="9456"/>
    <cellStyle name="Comma 5 2 2 4 2 3 2 2 3" xfId="9457"/>
    <cellStyle name="Comma 5 2 2 4 2 3 2 3" xfId="9458"/>
    <cellStyle name="Comma 5 2 2 4 2 3 2 3 2" xfId="9459"/>
    <cellStyle name="Comma 5 2 2 4 2 3 2 3 3" xfId="9460"/>
    <cellStyle name="Comma 5 2 2 4 2 3 2 4" xfId="9461"/>
    <cellStyle name="Comma 5 2 2 4 2 3 2 5" xfId="9462"/>
    <cellStyle name="Comma 5 2 2 4 2 3 3" xfId="9463"/>
    <cellStyle name="Comma 5 2 2 4 2 3 3 2" xfId="9464"/>
    <cellStyle name="Comma 5 2 2 4 2 3 3 3" xfId="9465"/>
    <cellStyle name="Comma 5 2 2 4 2 3 4" xfId="9466"/>
    <cellStyle name="Comma 5 2 2 4 2 3 4 2" xfId="9467"/>
    <cellStyle name="Comma 5 2 2 4 2 3 4 3" xfId="9468"/>
    <cellStyle name="Comma 5 2 2 4 2 3 5" xfId="9469"/>
    <cellStyle name="Comma 5 2 2 4 2 3 6" xfId="9470"/>
    <cellStyle name="Comma 5 2 2 4 2 4" xfId="9471"/>
    <cellStyle name="Comma 5 2 2 4 2 4 2" xfId="9472"/>
    <cellStyle name="Comma 5 2 2 4 2 4 2 2" xfId="9473"/>
    <cellStyle name="Comma 5 2 2 4 2 4 2 3" xfId="9474"/>
    <cellStyle name="Comma 5 2 2 4 2 4 3" xfId="9475"/>
    <cellStyle name="Comma 5 2 2 4 2 4 3 2" xfId="9476"/>
    <cellStyle name="Comma 5 2 2 4 2 4 3 3" xfId="9477"/>
    <cellStyle name="Comma 5 2 2 4 2 4 4" xfId="9478"/>
    <cellStyle name="Comma 5 2 2 4 2 4 5" xfId="9479"/>
    <cellStyle name="Comma 5 2 2 4 2 5" xfId="9480"/>
    <cellStyle name="Comma 5 2 2 4 2 5 2" xfId="9481"/>
    <cellStyle name="Comma 5 2 2 4 2 5 3" xfId="9482"/>
    <cellStyle name="Comma 5 2 2 4 2 6" xfId="9483"/>
    <cellStyle name="Comma 5 2 2 4 2 6 2" xfId="9484"/>
    <cellStyle name="Comma 5 2 2 4 2 6 3" xfId="9485"/>
    <cellStyle name="Comma 5 2 2 4 2 7" xfId="9486"/>
    <cellStyle name="Comma 5 2 2 4 2 8" xfId="9487"/>
    <cellStyle name="Comma 5 2 2 4 3" xfId="9488"/>
    <cellStyle name="Comma 5 2 2 4 3 2" xfId="9489"/>
    <cellStyle name="Comma 5 2 2 4 3 2 2" xfId="9490"/>
    <cellStyle name="Comma 5 2 2 4 3 2 2 2" xfId="9491"/>
    <cellStyle name="Comma 5 2 2 4 3 2 2 3" xfId="9492"/>
    <cellStyle name="Comma 5 2 2 4 3 2 3" xfId="9493"/>
    <cellStyle name="Comma 5 2 2 4 3 2 3 2" xfId="9494"/>
    <cellStyle name="Comma 5 2 2 4 3 2 3 3" xfId="9495"/>
    <cellStyle name="Comma 5 2 2 4 3 2 4" xfId="9496"/>
    <cellStyle name="Comma 5 2 2 4 3 2 5" xfId="9497"/>
    <cellStyle name="Comma 5 2 2 4 3 3" xfId="9498"/>
    <cellStyle name="Comma 5 2 2 4 3 3 2" xfId="9499"/>
    <cellStyle name="Comma 5 2 2 4 3 3 3" xfId="9500"/>
    <cellStyle name="Comma 5 2 2 4 3 4" xfId="9501"/>
    <cellStyle name="Comma 5 2 2 4 3 4 2" xfId="9502"/>
    <cellStyle name="Comma 5 2 2 4 3 4 3" xfId="9503"/>
    <cellStyle name="Comma 5 2 2 4 3 5" xfId="9504"/>
    <cellStyle name="Comma 5 2 2 4 3 6" xfId="9505"/>
    <cellStyle name="Comma 5 2 2 4 4" xfId="9506"/>
    <cellStyle name="Comma 5 2 2 4 4 2" xfId="9507"/>
    <cellStyle name="Comma 5 2 2 4 4 2 2" xfId="9508"/>
    <cellStyle name="Comma 5 2 2 4 4 2 2 2" xfId="9509"/>
    <cellStyle name="Comma 5 2 2 4 4 2 2 3" xfId="9510"/>
    <cellStyle name="Comma 5 2 2 4 4 2 3" xfId="9511"/>
    <cellStyle name="Comma 5 2 2 4 4 2 3 2" xfId="9512"/>
    <cellStyle name="Comma 5 2 2 4 4 2 3 3" xfId="9513"/>
    <cellStyle name="Comma 5 2 2 4 4 2 4" xfId="9514"/>
    <cellStyle name="Comma 5 2 2 4 4 2 5" xfId="9515"/>
    <cellStyle name="Comma 5 2 2 4 4 3" xfId="9516"/>
    <cellStyle name="Comma 5 2 2 4 4 3 2" xfId="9517"/>
    <cellStyle name="Comma 5 2 2 4 4 3 3" xfId="9518"/>
    <cellStyle name="Comma 5 2 2 4 4 4" xfId="9519"/>
    <cellStyle name="Comma 5 2 2 4 4 4 2" xfId="9520"/>
    <cellStyle name="Comma 5 2 2 4 4 4 3" xfId="9521"/>
    <cellStyle name="Comma 5 2 2 4 4 5" xfId="9522"/>
    <cellStyle name="Comma 5 2 2 4 4 6" xfId="9523"/>
    <cellStyle name="Comma 5 2 2 4 5" xfId="9524"/>
    <cellStyle name="Comma 5 2 2 4 5 2" xfId="9525"/>
    <cellStyle name="Comma 5 2 2 4 5 2 2" xfId="9526"/>
    <cellStyle name="Comma 5 2 2 4 5 2 3" xfId="9527"/>
    <cellStyle name="Comma 5 2 2 4 5 3" xfId="9528"/>
    <cellStyle name="Comma 5 2 2 4 5 3 2" xfId="9529"/>
    <cellStyle name="Comma 5 2 2 4 5 3 3" xfId="9530"/>
    <cellStyle name="Comma 5 2 2 4 5 4" xfId="9531"/>
    <cellStyle name="Comma 5 2 2 4 5 5" xfId="9532"/>
    <cellStyle name="Comma 5 2 2 4 6" xfId="9533"/>
    <cellStyle name="Comma 5 2 2 4 6 2" xfId="9534"/>
    <cellStyle name="Comma 5 2 2 4 6 3" xfId="9535"/>
    <cellStyle name="Comma 5 2 2 4 7" xfId="9536"/>
    <cellStyle name="Comma 5 2 2 4 7 2" xfId="9537"/>
    <cellStyle name="Comma 5 2 2 4 7 3" xfId="9538"/>
    <cellStyle name="Comma 5 2 2 4 8" xfId="9539"/>
    <cellStyle name="Comma 5 2 2 4 9" xfId="9540"/>
    <cellStyle name="Comma 5 2 2 5" xfId="9541"/>
    <cellStyle name="Comma 5 2 2 5 2" xfId="9542"/>
    <cellStyle name="Comma 5 2 2 5 2 2" xfId="9543"/>
    <cellStyle name="Comma 5 2 2 5 2 2 2" xfId="9544"/>
    <cellStyle name="Comma 5 2 2 5 2 2 2 2" xfId="9545"/>
    <cellStyle name="Comma 5 2 2 5 2 2 2 3" xfId="9546"/>
    <cellStyle name="Comma 5 2 2 5 2 2 3" xfId="9547"/>
    <cellStyle name="Comma 5 2 2 5 2 2 3 2" xfId="9548"/>
    <cellStyle name="Comma 5 2 2 5 2 2 3 3" xfId="9549"/>
    <cellStyle name="Comma 5 2 2 5 2 2 4" xfId="9550"/>
    <cellStyle name="Comma 5 2 2 5 2 2 5" xfId="9551"/>
    <cellStyle name="Comma 5 2 2 5 2 3" xfId="9552"/>
    <cellStyle name="Comma 5 2 2 5 2 3 2" xfId="9553"/>
    <cellStyle name="Comma 5 2 2 5 2 3 3" xfId="9554"/>
    <cellStyle name="Comma 5 2 2 5 2 4" xfId="9555"/>
    <cellStyle name="Comma 5 2 2 5 2 4 2" xfId="9556"/>
    <cellStyle name="Comma 5 2 2 5 2 4 3" xfId="9557"/>
    <cellStyle name="Comma 5 2 2 5 2 5" xfId="9558"/>
    <cellStyle name="Comma 5 2 2 5 2 6" xfId="9559"/>
    <cellStyle name="Comma 5 2 2 5 3" xfId="9560"/>
    <cellStyle name="Comma 5 2 2 5 3 2" xfId="9561"/>
    <cellStyle name="Comma 5 2 2 5 3 2 2" xfId="9562"/>
    <cellStyle name="Comma 5 2 2 5 3 2 2 2" xfId="9563"/>
    <cellStyle name="Comma 5 2 2 5 3 2 2 3" xfId="9564"/>
    <cellStyle name="Comma 5 2 2 5 3 2 3" xfId="9565"/>
    <cellStyle name="Comma 5 2 2 5 3 2 3 2" xfId="9566"/>
    <cellStyle name="Comma 5 2 2 5 3 2 3 3" xfId="9567"/>
    <cellStyle name="Comma 5 2 2 5 3 2 4" xfId="9568"/>
    <cellStyle name="Comma 5 2 2 5 3 2 5" xfId="9569"/>
    <cellStyle name="Comma 5 2 2 5 3 3" xfId="9570"/>
    <cellStyle name="Comma 5 2 2 5 3 3 2" xfId="9571"/>
    <cellStyle name="Comma 5 2 2 5 3 3 3" xfId="9572"/>
    <cellStyle name="Comma 5 2 2 5 3 4" xfId="9573"/>
    <cellStyle name="Comma 5 2 2 5 3 4 2" xfId="9574"/>
    <cellStyle name="Comma 5 2 2 5 3 4 3" xfId="9575"/>
    <cellStyle name="Comma 5 2 2 5 3 5" xfId="9576"/>
    <cellStyle name="Comma 5 2 2 5 3 6" xfId="9577"/>
    <cellStyle name="Comma 5 2 2 5 4" xfId="9578"/>
    <cellStyle name="Comma 5 2 2 5 4 2" xfId="9579"/>
    <cellStyle name="Comma 5 2 2 5 4 2 2" xfId="9580"/>
    <cellStyle name="Comma 5 2 2 5 4 2 3" xfId="9581"/>
    <cellStyle name="Comma 5 2 2 5 4 3" xfId="9582"/>
    <cellStyle name="Comma 5 2 2 5 4 3 2" xfId="9583"/>
    <cellStyle name="Comma 5 2 2 5 4 3 3" xfId="9584"/>
    <cellStyle name="Comma 5 2 2 5 4 4" xfId="9585"/>
    <cellStyle name="Comma 5 2 2 5 4 5" xfId="9586"/>
    <cellStyle name="Comma 5 2 2 5 5" xfId="9587"/>
    <cellStyle name="Comma 5 2 2 5 5 2" xfId="9588"/>
    <cellStyle name="Comma 5 2 2 5 5 3" xfId="9589"/>
    <cellStyle name="Comma 5 2 2 5 6" xfId="9590"/>
    <cellStyle name="Comma 5 2 2 5 6 2" xfId="9591"/>
    <cellStyle name="Comma 5 2 2 5 6 3" xfId="9592"/>
    <cellStyle name="Comma 5 2 2 5 7" xfId="9593"/>
    <cellStyle name="Comma 5 2 2 5 8" xfId="9594"/>
    <cellStyle name="Comma 5 2 2 6" xfId="9595"/>
    <cellStyle name="Comma 5 2 2 6 2" xfId="9596"/>
    <cellStyle name="Comma 5 2 2 6 2 2" xfId="9597"/>
    <cellStyle name="Comma 5 2 2 6 2 2 2" xfId="9598"/>
    <cellStyle name="Comma 5 2 2 6 2 2 3" xfId="9599"/>
    <cellStyle name="Comma 5 2 2 6 2 3" xfId="9600"/>
    <cellStyle name="Comma 5 2 2 6 2 3 2" xfId="9601"/>
    <cellStyle name="Comma 5 2 2 6 2 3 3" xfId="9602"/>
    <cellStyle name="Comma 5 2 2 6 2 4" xfId="9603"/>
    <cellStyle name="Comma 5 2 2 6 2 5" xfId="9604"/>
    <cellStyle name="Comma 5 2 2 6 3" xfId="9605"/>
    <cellStyle name="Comma 5 2 2 6 3 2" xfId="9606"/>
    <cellStyle name="Comma 5 2 2 6 3 3" xfId="9607"/>
    <cellStyle name="Comma 5 2 2 6 4" xfId="9608"/>
    <cellStyle name="Comma 5 2 2 6 4 2" xfId="9609"/>
    <cellStyle name="Comma 5 2 2 6 4 3" xfId="9610"/>
    <cellStyle name="Comma 5 2 2 6 5" xfId="9611"/>
    <cellStyle name="Comma 5 2 2 6 6" xfId="9612"/>
    <cellStyle name="Comma 5 2 2 7" xfId="9613"/>
    <cellStyle name="Comma 5 2 2 7 2" xfId="9614"/>
    <cellStyle name="Comma 5 2 2 7 2 2" xfId="9615"/>
    <cellStyle name="Comma 5 2 2 7 2 2 2" xfId="9616"/>
    <cellStyle name="Comma 5 2 2 7 2 2 3" xfId="9617"/>
    <cellStyle name="Comma 5 2 2 7 2 3" xfId="9618"/>
    <cellStyle name="Comma 5 2 2 7 2 3 2" xfId="9619"/>
    <cellStyle name="Comma 5 2 2 7 2 3 3" xfId="9620"/>
    <cellStyle name="Comma 5 2 2 7 2 4" xfId="9621"/>
    <cellStyle name="Comma 5 2 2 7 2 5" xfId="9622"/>
    <cellStyle name="Comma 5 2 2 7 3" xfId="9623"/>
    <cellStyle name="Comma 5 2 2 7 3 2" xfId="9624"/>
    <cellStyle name="Comma 5 2 2 7 3 3" xfId="9625"/>
    <cellStyle name="Comma 5 2 2 7 4" xfId="9626"/>
    <cellStyle name="Comma 5 2 2 7 4 2" xfId="9627"/>
    <cellStyle name="Comma 5 2 2 7 4 3" xfId="9628"/>
    <cellStyle name="Comma 5 2 2 7 5" xfId="9629"/>
    <cellStyle name="Comma 5 2 2 7 6" xfId="9630"/>
    <cellStyle name="Comma 5 2 2 8" xfId="9631"/>
    <cellStyle name="Comma 5 2 2 8 2" xfId="9632"/>
    <cellStyle name="Comma 5 2 2 8 2 2" xfId="9633"/>
    <cellStyle name="Comma 5 2 2 8 2 3" xfId="9634"/>
    <cellStyle name="Comma 5 2 2 8 3" xfId="9635"/>
    <cellStyle name="Comma 5 2 2 8 3 2" xfId="9636"/>
    <cellStyle name="Comma 5 2 2 8 3 3" xfId="9637"/>
    <cellStyle name="Comma 5 2 2 8 4" xfId="9638"/>
    <cellStyle name="Comma 5 2 2 8 5" xfId="9639"/>
    <cellStyle name="Comma 5 2 2 9" xfId="9640"/>
    <cellStyle name="Comma 5 2 2 9 2" xfId="9641"/>
    <cellStyle name="Comma 5 2 2 9 3" xfId="9642"/>
    <cellStyle name="Comma 5 2 3" xfId="9643"/>
    <cellStyle name="Comma 5 2 3 10" xfId="9644"/>
    <cellStyle name="Comma 5 2 3 2" xfId="9645"/>
    <cellStyle name="Comma 5 2 3 2 2" xfId="9646"/>
    <cellStyle name="Comma 5 2 3 2 2 2" xfId="9647"/>
    <cellStyle name="Comma 5 2 3 2 2 2 2" xfId="9648"/>
    <cellStyle name="Comma 5 2 3 2 2 2 2 2" xfId="9649"/>
    <cellStyle name="Comma 5 2 3 2 2 2 2 2 2" xfId="9650"/>
    <cellStyle name="Comma 5 2 3 2 2 2 2 2 3" xfId="9651"/>
    <cellStyle name="Comma 5 2 3 2 2 2 2 3" xfId="9652"/>
    <cellStyle name="Comma 5 2 3 2 2 2 2 3 2" xfId="9653"/>
    <cellStyle name="Comma 5 2 3 2 2 2 2 3 3" xfId="9654"/>
    <cellStyle name="Comma 5 2 3 2 2 2 2 4" xfId="9655"/>
    <cellStyle name="Comma 5 2 3 2 2 2 2 5" xfId="9656"/>
    <cellStyle name="Comma 5 2 3 2 2 2 3" xfId="9657"/>
    <cellStyle name="Comma 5 2 3 2 2 2 3 2" xfId="9658"/>
    <cellStyle name="Comma 5 2 3 2 2 2 3 3" xfId="9659"/>
    <cellStyle name="Comma 5 2 3 2 2 2 4" xfId="9660"/>
    <cellStyle name="Comma 5 2 3 2 2 2 4 2" xfId="9661"/>
    <cellStyle name="Comma 5 2 3 2 2 2 4 3" xfId="9662"/>
    <cellStyle name="Comma 5 2 3 2 2 2 5" xfId="9663"/>
    <cellStyle name="Comma 5 2 3 2 2 2 6" xfId="9664"/>
    <cellStyle name="Comma 5 2 3 2 2 3" xfId="9665"/>
    <cellStyle name="Comma 5 2 3 2 2 3 2" xfId="9666"/>
    <cellStyle name="Comma 5 2 3 2 2 3 2 2" xfId="9667"/>
    <cellStyle name="Comma 5 2 3 2 2 3 2 2 2" xfId="9668"/>
    <cellStyle name="Comma 5 2 3 2 2 3 2 2 3" xfId="9669"/>
    <cellStyle name="Comma 5 2 3 2 2 3 2 3" xfId="9670"/>
    <cellStyle name="Comma 5 2 3 2 2 3 2 3 2" xfId="9671"/>
    <cellStyle name="Comma 5 2 3 2 2 3 2 3 3" xfId="9672"/>
    <cellStyle name="Comma 5 2 3 2 2 3 2 4" xfId="9673"/>
    <cellStyle name="Comma 5 2 3 2 2 3 2 5" xfId="9674"/>
    <cellStyle name="Comma 5 2 3 2 2 3 3" xfId="9675"/>
    <cellStyle name="Comma 5 2 3 2 2 3 3 2" xfId="9676"/>
    <cellStyle name="Comma 5 2 3 2 2 3 3 3" xfId="9677"/>
    <cellStyle name="Comma 5 2 3 2 2 3 4" xfId="9678"/>
    <cellStyle name="Comma 5 2 3 2 2 3 4 2" xfId="9679"/>
    <cellStyle name="Comma 5 2 3 2 2 3 4 3" xfId="9680"/>
    <cellStyle name="Comma 5 2 3 2 2 3 5" xfId="9681"/>
    <cellStyle name="Comma 5 2 3 2 2 3 6" xfId="9682"/>
    <cellStyle name="Comma 5 2 3 2 2 4" xfId="9683"/>
    <cellStyle name="Comma 5 2 3 2 2 4 2" xfId="9684"/>
    <cellStyle name="Comma 5 2 3 2 2 4 2 2" xfId="9685"/>
    <cellStyle name="Comma 5 2 3 2 2 4 2 3" xfId="9686"/>
    <cellStyle name="Comma 5 2 3 2 2 4 3" xfId="9687"/>
    <cellStyle name="Comma 5 2 3 2 2 4 3 2" xfId="9688"/>
    <cellStyle name="Comma 5 2 3 2 2 4 3 3" xfId="9689"/>
    <cellStyle name="Comma 5 2 3 2 2 4 4" xfId="9690"/>
    <cellStyle name="Comma 5 2 3 2 2 4 5" xfId="9691"/>
    <cellStyle name="Comma 5 2 3 2 2 5" xfId="9692"/>
    <cellStyle name="Comma 5 2 3 2 2 5 2" xfId="9693"/>
    <cellStyle name="Comma 5 2 3 2 2 5 3" xfId="9694"/>
    <cellStyle name="Comma 5 2 3 2 2 6" xfId="9695"/>
    <cellStyle name="Comma 5 2 3 2 2 6 2" xfId="9696"/>
    <cellStyle name="Comma 5 2 3 2 2 6 3" xfId="9697"/>
    <cellStyle name="Comma 5 2 3 2 2 7" xfId="9698"/>
    <cellStyle name="Comma 5 2 3 2 2 8" xfId="9699"/>
    <cellStyle name="Comma 5 2 3 2 3" xfId="9700"/>
    <cellStyle name="Comma 5 2 3 2 3 2" xfId="9701"/>
    <cellStyle name="Comma 5 2 3 2 3 2 2" xfId="9702"/>
    <cellStyle name="Comma 5 2 3 2 3 2 2 2" xfId="9703"/>
    <cellStyle name="Comma 5 2 3 2 3 2 2 3" xfId="9704"/>
    <cellStyle name="Comma 5 2 3 2 3 2 3" xfId="9705"/>
    <cellStyle name="Comma 5 2 3 2 3 2 3 2" xfId="9706"/>
    <cellStyle name="Comma 5 2 3 2 3 2 3 3" xfId="9707"/>
    <cellStyle name="Comma 5 2 3 2 3 2 4" xfId="9708"/>
    <cellStyle name="Comma 5 2 3 2 3 2 5" xfId="9709"/>
    <cellStyle name="Comma 5 2 3 2 3 3" xfId="9710"/>
    <cellStyle name="Comma 5 2 3 2 3 3 2" xfId="9711"/>
    <cellStyle name="Comma 5 2 3 2 3 3 3" xfId="9712"/>
    <cellStyle name="Comma 5 2 3 2 3 4" xfId="9713"/>
    <cellStyle name="Comma 5 2 3 2 3 4 2" xfId="9714"/>
    <cellStyle name="Comma 5 2 3 2 3 4 3" xfId="9715"/>
    <cellStyle name="Comma 5 2 3 2 3 5" xfId="9716"/>
    <cellStyle name="Comma 5 2 3 2 3 6" xfId="9717"/>
    <cellStyle name="Comma 5 2 3 2 4" xfId="9718"/>
    <cellStyle name="Comma 5 2 3 2 4 2" xfId="9719"/>
    <cellStyle name="Comma 5 2 3 2 4 2 2" xfId="9720"/>
    <cellStyle name="Comma 5 2 3 2 4 2 2 2" xfId="9721"/>
    <cellStyle name="Comma 5 2 3 2 4 2 2 3" xfId="9722"/>
    <cellStyle name="Comma 5 2 3 2 4 2 3" xfId="9723"/>
    <cellStyle name="Comma 5 2 3 2 4 2 3 2" xfId="9724"/>
    <cellStyle name="Comma 5 2 3 2 4 2 3 3" xfId="9725"/>
    <cellStyle name="Comma 5 2 3 2 4 2 4" xfId="9726"/>
    <cellStyle name="Comma 5 2 3 2 4 2 5" xfId="9727"/>
    <cellStyle name="Comma 5 2 3 2 4 3" xfId="9728"/>
    <cellStyle name="Comma 5 2 3 2 4 3 2" xfId="9729"/>
    <cellStyle name="Comma 5 2 3 2 4 3 3" xfId="9730"/>
    <cellStyle name="Comma 5 2 3 2 4 4" xfId="9731"/>
    <cellStyle name="Comma 5 2 3 2 4 4 2" xfId="9732"/>
    <cellStyle name="Comma 5 2 3 2 4 4 3" xfId="9733"/>
    <cellStyle name="Comma 5 2 3 2 4 5" xfId="9734"/>
    <cellStyle name="Comma 5 2 3 2 4 6" xfId="9735"/>
    <cellStyle name="Comma 5 2 3 2 5" xfId="9736"/>
    <cellStyle name="Comma 5 2 3 2 5 2" xfId="9737"/>
    <cellStyle name="Comma 5 2 3 2 5 2 2" xfId="9738"/>
    <cellStyle name="Comma 5 2 3 2 5 2 3" xfId="9739"/>
    <cellStyle name="Comma 5 2 3 2 5 3" xfId="9740"/>
    <cellStyle name="Comma 5 2 3 2 5 3 2" xfId="9741"/>
    <cellStyle name="Comma 5 2 3 2 5 3 3" xfId="9742"/>
    <cellStyle name="Comma 5 2 3 2 5 4" xfId="9743"/>
    <cellStyle name="Comma 5 2 3 2 5 5" xfId="9744"/>
    <cellStyle name="Comma 5 2 3 2 6" xfId="9745"/>
    <cellStyle name="Comma 5 2 3 2 6 2" xfId="9746"/>
    <cellStyle name="Comma 5 2 3 2 6 3" xfId="9747"/>
    <cellStyle name="Comma 5 2 3 2 7" xfId="9748"/>
    <cellStyle name="Comma 5 2 3 2 7 2" xfId="9749"/>
    <cellStyle name="Comma 5 2 3 2 7 3" xfId="9750"/>
    <cellStyle name="Comma 5 2 3 2 8" xfId="9751"/>
    <cellStyle name="Comma 5 2 3 2 9" xfId="9752"/>
    <cellStyle name="Comma 5 2 3 3" xfId="9753"/>
    <cellStyle name="Comma 5 2 3 3 2" xfId="9754"/>
    <cellStyle name="Comma 5 2 3 3 2 2" xfId="9755"/>
    <cellStyle name="Comma 5 2 3 3 2 2 2" xfId="9756"/>
    <cellStyle name="Comma 5 2 3 3 2 2 2 2" xfId="9757"/>
    <cellStyle name="Comma 5 2 3 3 2 2 2 3" xfId="9758"/>
    <cellStyle name="Comma 5 2 3 3 2 2 3" xfId="9759"/>
    <cellStyle name="Comma 5 2 3 3 2 2 3 2" xfId="9760"/>
    <cellStyle name="Comma 5 2 3 3 2 2 3 3" xfId="9761"/>
    <cellStyle name="Comma 5 2 3 3 2 2 4" xfId="9762"/>
    <cellStyle name="Comma 5 2 3 3 2 2 5" xfId="9763"/>
    <cellStyle name="Comma 5 2 3 3 2 3" xfId="9764"/>
    <cellStyle name="Comma 5 2 3 3 2 3 2" xfId="9765"/>
    <cellStyle name="Comma 5 2 3 3 2 3 3" xfId="9766"/>
    <cellStyle name="Comma 5 2 3 3 2 4" xfId="9767"/>
    <cellStyle name="Comma 5 2 3 3 2 4 2" xfId="9768"/>
    <cellStyle name="Comma 5 2 3 3 2 4 3" xfId="9769"/>
    <cellStyle name="Comma 5 2 3 3 2 5" xfId="9770"/>
    <cellStyle name="Comma 5 2 3 3 2 6" xfId="9771"/>
    <cellStyle name="Comma 5 2 3 3 3" xfId="9772"/>
    <cellStyle name="Comma 5 2 3 3 3 2" xfId="9773"/>
    <cellStyle name="Comma 5 2 3 3 3 2 2" xfId="9774"/>
    <cellStyle name="Comma 5 2 3 3 3 2 2 2" xfId="9775"/>
    <cellStyle name="Comma 5 2 3 3 3 2 2 3" xfId="9776"/>
    <cellStyle name="Comma 5 2 3 3 3 2 3" xfId="9777"/>
    <cellStyle name="Comma 5 2 3 3 3 2 3 2" xfId="9778"/>
    <cellStyle name="Comma 5 2 3 3 3 2 3 3" xfId="9779"/>
    <cellStyle name="Comma 5 2 3 3 3 2 4" xfId="9780"/>
    <cellStyle name="Comma 5 2 3 3 3 2 5" xfId="9781"/>
    <cellStyle name="Comma 5 2 3 3 3 3" xfId="9782"/>
    <cellStyle name="Comma 5 2 3 3 3 3 2" xfId="9783"/>
    <cellStyle name="Comma 5 2 3 3 3 3 3" xfId="9784"/>
    <cellStyle name="Comma 5 2 3 3 3 4" xfId="9785"/>
    <cellStyle name="Comma 5 2 3 3 3 4 2" xfId="9786"/>
    <cellStyle name="Comma 5 2 3 3 3 4 3" xfId="9787"/>
    <cellStyle name="Comma 5 2 3 3 3 5" xfId="9788"/>
    <cellStyle name="Comma 5 2 3 3 3 6" xfId="9789"/>
    <cellStyle name="Comma 5 2 3 3 4" xfId="9790"/>
    <cellStyle name="Comma 5 2 3 3 4 2" xfId="9791"/>
    <cellStyle name="Comma 5 2 3 3 4 2 2" xfId="9792"/>
    <cellStyle name="Comma 5 2 3 3 4 2 3" xfId="9793"/>
    <cellStyle name="Comma 5 2 3 3 4 3" xfId="9794"/>
    <cellStyle name="Comma 5 2 3 3 4 3 2" xfId="9795"/>
    <cellStyle name="Comma 5 2 3 3 4 3 3" xfId="9796"/>
    <cellStyle name="Comma 5 2 3 3 4 4" xfId="9797"/>
    <cellStyle name="Comma 5 2 3 3 4 5" xfId="9798"/>
    <cellStyle name="Comma 5 2 3 3 5" xfId="9799"/>
    <cellStyle name="Comma 5 2 3 3 5 2" xfId="9800"/>
    <cellStyle name="Comma 5 2 3 3 5 3" xfId="9801"/>
    <cellStyle name="Comma 5 2 3 3 6" xfId="9802"/>
    <cellStyle name="Comma 5 2 3 3 6 2" xfId="9803"/>
    <cellStyle name="Comma 5 2 3 3 6 3" xfId="9804"/>
    <cellStyle name="Comma 5 2 3 3 7" xfId="9805"/>
    <cellStyle name="Comma 5 2 3 3 8" xfId="9806"/>
    <cellStyle name="Comma 5 2 3 4" xfId="9807"/>
    <cellStyle name="Comma 5 2 3 4 2" xfId="9808"/>
    <cellStyle name="Comma 5 2 3 4 2 2" xfId="9809"/>
    <cellStyle name="Comma 5 2 3 4 2 2 2" xfId="9810"/>
    <cellStyle name="Comma 5 2 3 4 2 2 3" xfId="9811"/>
    <cellStyle name="Comma 5 2 3 4 2 3" xfId="9812"/>
    <cellStyle name="Comma 5 2 3 4 2 3 2" xfId="9813"/>
    <cellStyle name="Comma 5 2 3 4 2 3 3" xfId="9814"/>
    <cellStyle name="Comma 5 2 3 4 2 4" xfId="9815"/>
    <cellStyle name="Comma 5 2 3 4 2 5" xfId="9816"/>
    <cellStyle name="Comma 5 2 3 4 3" xfId="9817"/>
    <cellStyle name="Comma 5 2 3 4 3 2" xfId="9818"/>
    <cellStyle name="Comma 5 2 3 4 3 3" xfId="9819"/>
    <cellStyle name="Comma 5 2 3 4 4" xfId="9820"/>
    <cellStyle name="Comma 5 2 3 4 4 2" xfId="9821"/>
    <cellStyle name="Comma 5 2 3 4 4 3" xfId="9822"/>
    <cellStyle name="Comma 5 2 3 4 5" xfId="9823"/>
    <cellStyle name="Comma 5 2 3 4 6" xfId="9824"/>
    <cellStyle name="Comma 5 2 3 5" xfId="9825"/>
    <cellStyle name="Comma 5 2 3 5 2" xfId="9826"/>
    <cellStyle name="Comma 5 2 3 5 2 2" xfId="9827"/>
    <cellStyle name="Comma 5 2 3 5 2 2 2" xfId="9828"/>
    <cellStyle name="Comma 5 2 3 5 2 2 3" xfId="9829"/>
    <cellStyle name="Comma 5 2 3 5 2 3" xfId="9830"/>
    <cellStyle name="Comma 5 2 3 5 2 3 2" xfId="9831"/>
    <cellStyle name="Comma 5 2 3 5 2 3 3" xfId="9832"/>
    <cellStyle name="Comma 5 2 3 5 2 4" xfId="9833"/>
    <cellStyle name="Comma 5 2 3 5 2 5" xfId="9834"/>
    <cellStyle name="Comma 5 2 3 5 3" xfId="9835"/>
    <cellStyle name="Comma 5 2 3 5 3 2" xfId="9836"/>
    <cellStyle name="Comma 5 2 3 5 3 3" xfId="9837"/>
    <cellStyle name="Comma 5 2 3 5 4" xfId="9838"/>
    <cellStyle name="Comma 5 2 3 5 4 2" xfId="9839"/>
    <cellStyle name="Comma 5 2 3 5 4 3" xfId="9840"/>
    <cellStyle name="Comma 5 2 3 5 5" xfId="9841"/>
    <cellStyle name="Comma 5 2 3 5 6" xfId="9842"/>
    <cellStyle name="Comma 5 2 3 6" xfId="9843"/>
    <cellStyle name="Comma 5 2 3 6 2" xfId="9844"/>
    <cellStyle name="Comma 5 2 3 6 2 2" xfId="9845"/>
    <cellStyle name="Comma 5 2 3 6 2 3" xfId="9846"/>
    <cellStyle name="Comma 5 2 3 6 3" xfId="9847"/>
    <cellStyle name="Comma 5 2 3 6 3 2" xfId="9848"/>
    <cellStyle name="Comma 5 2 3 6 3 3" xfId="9849"/>
    <cellStyle name="Comma 5 2 3 6 4" xfId="9850"/>
    <cellStyle name="Comma 5 2 3 6 5" xfId="9851"/>
    <cellStyle name="Comma 5 2 3 7" xfId="9852"/>
    <cellStyle name="Comma 5 2 3 7 2" xfId="9853"/>
    <cellStyle name="Comma 5 2 3 7 3" xfId="9854"/>
    <cellStyle name="Comma 5 2 3 8" xfId="9855"/>
    <cellStyle name="Comma 5 2 3 8 2" xfId="9856"/>
    <cellStyle name="Comma 5 2 3 8 3" xfId="9857"/>
    <cellStyle name="Comma 5 2 3 9" xfId="9858"/>
    <cellStyle name="Comma 5 2 4" xfId="9859"/>
    <cellStyle name="Comma 5 2 4 10" xfId="9860"/>
    <cellStyle name="Comma 5 2 4 2" xfId="9861"/>
    <cellStyle name="Comma 5 2 4 2 2" xfId="9862"/>
    <cellStyle name="Comma 5 2 4 2 2 2" xfId="9863"/>
    <cellStyle name="Comma 5 2 4 2 2 2 2" xfId="9864"/>
    <cellStyle name="Comma 5 2 4 2 2 2 2 2" xfId="9865"/>
    <cellStyle name="Comma 5 2 4 2 2 2 2 2 2" xfId="9866"/>
    <cellStyle name="Comma 5 2 4 2 2 2 2 2 3" xfId="9867"/>
    <cellStyle name="Comma 5 2 4 2 2 2 2 3" xfId="9868"/>
    <cellStyle name="Comma 5 2 4 2 2 2 2 3 2" xfId="9869"/>
    <cellStyle name="Comma 5 2 4 2 2 2 2 3 3" xfId="9870"/>
    <cellStyle name="Comma 5 2 4 2 2 2 2 4" xfId="9871"/>
    <cellStyle name="Comma 5 2 4 2 2 2 2 5" xfId="9872"/>
    <cellStyle name="Comma 5 2 4 2 2 2 3" xfId="9873"/>
    <cellStyle name="Comma 5 2 4 2 2 2 3 2" xfId="9874"/>
    <cellStyle name="Comma 5 2 4 2 2 2 3 3" xfId="9875"/>
    <cellStyle name="Comma 5 2 4 2 2 2 4" xfId="9876"/>
    <cellStyle name="Comma 5 2 4 2 2 2 4 2" xfId="9877"/>
    <cellStyle name="Comma 5 2 4 2 2 2 4 3" xfId="9878"/>
    <cellStyle name="Comma 5 2 4 2 2 2 5" xfId="9879"/>
    <cellStyle name="Comma 5 2 4 2 2 2 6" xfId="9880"/>
    <cellStyle name="Comma 5 2 4 2 2 3" xfId="9881"/>
    <cellStyle name="Comma 5 2 4 2 2 3 2" xfId="9882"/>
    <cellStyle name="Comma 5 2 4 2 2 3 2 2" xfId="9883"/>
    <cellStyle name="Comma 5 2 4 2 2 3 2 2 2" xfId="9884"/>
    <cellStyle name="Comma 5 2 4 2 2 3 2 2 3" xfId="9885"/>
    <cellStyle name="Comma 5 2 4 2 2 3 2 3" xfId="9886"/>
    <cellStyle name="Comma 5 2 4 2 2 3 2 3 2" xfId="9887"/>
    <cellStyle name="Comma 5 2 4 2 2 3 2 3 3" xfId="9888"/>
    <cellStyle name="Comma 5 2 4 2 2 3 2 4" xfId="9889"/>
    <cellStyle name="Comma 5 2 4 2 2 3 2 5" xfId="9890"/>
    <cellStyle name="Comma 5 2 4 2 2 3 3" xfId="9891"/>
    <cellStyle name="Comma 5 2 4 2 2 3 3 2" xfId="9892"/>
    <cellStyle name="Comma 5 2 4 2 2 3 3 3" xfId="9893"/>
    <cellStyle name="Comma 5 2 4 2 2 3 4" xfId="9894"/>
    <cellStyle name="Comma 5 2 4 2 2 3 4 2" xfId="9895"/>
    <cellStyle name="Comma 5 2 4 2 2 3 4 3" xfId="9896"/>
    <cellStyle name="Comma 5 2 4 2 2 3 5" xfId="9897"/>
    <cellStyle name="Comma 5 2 4 2 2 3 6" xfId="9898"/>
    <cellStyle name="Comma 5 2 4 2 2 4" xfId="9899"/>
    <cellStyle name="Comma 5 2 4 2 2 4 2" xfId="9900"/>
    <cellStyle name="Comma 5 2 4 2 2 4 2 2" xfId="9901"/>
    <cellStyle name="Comma 5 2 4 2 2 4 2 3" xfId="9902"/>
    <cellStyle name="Comma 5 2 4 2 2 4 3" xfId="9903"/>
    <cellStyle name="Comma 5 2 4 2 2 4 3 2" xfId="9904"/>
    <cellStyle name="Comma 5 2 4 2 2 4 3 3" xfId="9905"/>
    <cellStyle name="Comma 5 2 4 2 2 4 4" xfId="9906"/>
    <cellStyle name="Comma 5 2 4 2 2 4 5" xfId="9907"/>
    <cellStyle name="Comma 5 2 4 2 2 5" xfId="9908"/>
    <cellStyle name="Comma 5 2 4 2 2 5 2" xfId="9909"/>
    <cellStyle name="Comma 5 2 4 2 2 5 3" xfId="9910"/>
    <cellStyle name="Comma 5 2 4 2 2 6" xfId="9911"/>
    <cellStyle name="Comma 5 2 4 2 2 6 2" xfId="9912"/>
    <cellStyle name="Comma 5 2 4 2 2 6 3" xfId="9913"/>
    <cellStyle name="Comma 5 2 4 2 2 7" xfId="9914"/>
    <cellStyle name="Comma 5 2 4 2 2 8" xfId="9915"/>
    <cellStyle name="Comma 5 2 4 2 3" xfId="9916"/>
    <cellStyle name="Comma 5 2 4 2 3 2" xfId="9917"/>
    <cellStyle name="Comma 5 2 4 2 3 2 2" xfId="9918"/>
    <cellStyle name="Comma 5 2 4 2 3 2 2 2" xfId="9919"/>
    <cellStyle name="Comma 5 2 4 2 3 2 2 3" xfId="9920"/>
    <cellStyle name="Comma 5 2 4 2 3 2 3" xfId="9921"/>
    <cellStyle name="Comma 5 2 4 2 3 2 3 2" xfId="9922"/>
    <cellStyle name="Comma 5 2 4 2 3 2 3 3" xfId="9923"/>
    <cellStyle name="Comma 5 2 4 2 3 2 4" xfId="9924"/>
    <cellStyle name="Comma 5 2 4 2 3 2 5" xfId="9925"/>
    <cellStyle name="Comma 5 2 4 2 3 3" xfId="9926"/>
    <cellStyle name="Comma 5 2 4 2 3 3 2" xfId="9927"/>
    <cellStyle name="Comma 5 2 4 2 3 3 3" xfId="9928"/>
    <cellStyle name="Comma 5 2 4 2 3 4" xfId="9929"/>
    <cellStyle name="Comma 5 2 4 2 3 4 2" xfId="9930"/>
    <cellStyle name="Comma 5 2 4 2 3 4 3" xfId="9931"/>
    <cellStyle name="Comma 5 2 4 2 3 5" xfId="9932"/>
    <cellStyle name="Comma 5 2 4 2 3 6" xfId="9933"/>
    <cellStyle name="Comma 5 2 4 2 4" xfId="9934"/>
    <cellStyle name="Comma 5 2 4 2 4 2" xfId="9935"/>
    <cellStyle name="Comma 5 2 4 2 4 2 2" xfId="9936"/>
    <cellStyle name="Comma 5 2 4 2 4 2 2 2" xfId="9937"/>
    <cellStyle name="Comma 5 2 4 2 4 2 2 3" xfId="9938"/>
    <cellStyle name="Comma 5 2 4 2 4 2 3" xfId="9939"/>
    <cellStyle name="Comma 5 2 4 2 4 2 3 2" xfId="9940"/>
    <cellStyle name="Comma 5 2 4 2 4 2 3 3" xfId="9941"/>
    <cellStyle name="Comma 5 2 4 2 4 2 4" xfId="9942"/>
    <cellStyle name="Comma 5 2 4 2 4 2 5" xfId="9943"/>
    <cellStyle name="Comma 5 2 4 2 4 3" xfId="9944"/>
    <cellStyle name="Comma 5 2 4 2 4 3 2" xfId="9945"/>
    <cellStyle name="Comma 5 2 4 2 4 3 3" xfId="9946"/>
    <cellStyle name="Comma 5 2 4 2 4 4" xfId="9947"/>
    <cellStyle name="Comma 5 2 4 2 4 4 2" xfId="9948"/>
    <cellStyle name="Comma 5 2 4 2 4 4 3" xfId="9949"/>
    <cellStyle name="Comma 5 2 4 2 4 5" xfId="9950"/>
    <cellStyle name="Comma 5 2 4 2 4 6" xfId="9951"/>
    <cellStyle name="Comma 5 2 4 2 5" xfId="9952"/>
    <cellStyle name="Comma 5 2 4 2 5 2" xfId="9953"/>
    <cellStyle name="Comma 5 2 4 2 5 2 2" xfId="9954"/>
    <cellStyle name="Comma 5 2 4 2 5 2 3" xfId="9955"/>
    <cellStyle name="Comma 5 2 4 2 5 3" xfId="9956"/>
    <cellStyle name="Comma 5 2 4 2 5 3 2" xfId="9957"/>
    <cellStyle name="Comma 5 2 4 2 5 3 3" xfId="9958"/>
    <cellStyle name="Comma 5 2 4 2 5 4" xfId="9959"/>
    <cellStyle name="Comma 5 2 4 2 5 5" xfId="9960"/>
    <cellStyle name="Comma 5 2 4 2 6" xfId="9961"/>
    <cellStyle name="Comma 5 2 4 2 6 2" xfId="9962"/>
    <cellStyle name="Comma 5 2 4 2 6 3" xfId="9963"/>
    <cellStyle name="Comma 5 2 4 2 7" xfId="9964"/>
    <cellStyle name="Comma 5 2 4 2 7 2" xfId="9965"/>
    <cellStyle name="Comma 5 2 4 2 7 3" xfId="9966"/>
    <cellStyle name="Comma 5 2 4 2 8" xfId="9967"/>
    <cellStyle name="Comma 5 2 4 2 9" xfId="9968"/>
    <cellStyle name="Comma 5 2 4 3" xfId="9969"/>
    <cellStyle name="Comma 5 2 4 3 2" xfId="9970"/>
    <cellStyle name="Comma 5 2 4 3 2 2" xfId="9971"/>
    <cellStyle name="Comma 5 2 4 3 2 2 2" xfId="9972"/>
    <cellStyle name="Comma 5 2 4 3 2 2 2 2" xfId="9973"/>
    <cellStyle name="Comma 5 2 4 3 2 2 2 3" xfId="9974"/>
    <cellStyle name="Comma 5 2 4 3 2 2 3" xfId="9975"/>
    <cellStyle name="Comma 5 2 4 3 2 2 3 2" xfId="9976"/>
    <cellStyle name="Comma 5 2 4 3 2 2 3 3" xfId="9977"/>
    <cellStyle name="Comma 5 2 4 3 2 2 4" xfId="9978"/>
    <cellStyle name="Comma 5 2 4 3 2 2 5" xfId="9979"/>
    <cellStyle name="Comma 5 2 4 3 2 3" xfId="9980"/>
    <cellStyle name="Comma 5 2 4 3 2 3 2" xfId="9981"/>
    <cellStyle name="Comma 5 2 4 3 2 3 3" xfId="9982"/>
    <cellStyle name="Comma 5 2 4 3 2 4" xfId="9983"/>
    <cellStyle name="Comma 5 2 4 3 2 4 2" xfId="9984"/>
    <cellStyle name="Comma 5 2 4 3 2 4 3" xfId="9985"/>
    <cellStyle name="Comma 5 2 4 3 2 5" xfId="9986"/>
    <cellStyle name="Comma 5 2 4 3 2 6" xfId="9987"/>
    <cellStyle name="Comma 5 2 4 3 3" xfId="9988"/>
    <cellStyle name="Comma 5 2 4 3 3 2" xfId="9989"/>
    <cellStyle name="Comma 5 2 4 3 3 2 2" xfId="9990"/>
    <cellStyle name="Comma 5 2 4 3 3 2 2 2" xfId="9991"/>
    <cellStyle name="Comma 5 2 4 3 3 2 2 3" xfId="9992"/>
    <cellStyle name="Comma 5 2 4 3 3 2 3" xfId="9993"/>
    <cellStyle name="Comma 5 2 4 3 3 2 3 2" xfId="9994"/>
    <cellStyle name="Comma 5 2 4 3 3 2 3 3" xfId="9995"/>
    <cellStyle name="Comma 5 2 4 3 3 2 4" xfId="9996"/>
    <cellStyle name="Comma 5 2 4 3 3 2 5" xfId="9997"/>
    <cellStyle name="Comma 5 2 4 3 3 3" xfId="9998"/>
    <cellStyle name="Comma 5 2 4 3 3 3 2" xfId="9999"/>
    <cellStyle name="Comma 5 2 4 3 3 3 3" xfId="10000"/>
    <cellStyle name="Comma 5 2 4 3 3 4" xfId="10001"/>
    <cellStyle name="Comma 5 2 4 3 3 4 2" xfId="10002"/>
    <cellStyle name="Comma 5 2 4 3 3 4 3" xfId="10003"/>
    <cellStyle name="Comma 5 2 4 3 3 5" xfId="10004"/>
    <cellStyle name="Comma 5 2 4 3 3 6" xfId="10005"/>
    <cellStyle name="Comma 5 2 4 3 4" xfId="10006"/>
    <cellStyle name="Comma 5 2 4 3 4 2" xfId="10007"/>
    <cellStyle name="Comma 5 2 4 3 4 2 2" xfId="10008"/>
    <cellStyle name="Comma 5 2 4 3 4 2 3" xfId="10009"/>
    <cellStyle name="Comma 5 2 4 3 4 3" xfId="10010"/>
    <cellStyle name="Comma 5 2 4 3 4 3 2" xfId="10011"/>
    <cellStyle name="Comma 5 2 4 3 4 3 3" xfId="10012"/>
    <cellStyle name="Comma 5 2 4 3 4 4" xfId="10013"/>
    <cellStyle name="Comma 5 2 4 3 4 5" xfId="10014"/>
    <cellStyle name="Comma 5 2 4 3 5" xfId="10015"/>
    <cellStyle name="Comma 5 2 4 3 5 2" xfId="10016"/>
    <cellStyle name="Comma 5 2 4 3 5 3" xfId="10017"/>
    <cellStyle name="Comma 5 2 4 3 6" xfId="10018"/>
    <cellStyle name="Comma 5 2 4 3 6 2" xfId="10019"/>
    <cellStyle name="Comma 5 2 4 3 6 3" xfId="10020"/>
    <cellStyle name="Comma 5 2 4 3 7" xfId="10021"/>
    <cellStyle name="Comma 5 2 4 3 8" xfId="10022"/>
    <cellStyle name="Comma 5 2 4 4" xfId="10023"/>
    <cellStyle name="Comma 5 2 4 4 2" xfId="10024"/>
    <cellStyle name="Comma 5 2 4 4 2 2" xfId="10025"/>
    <cellStyle name="Comma 5 2 4 4 2 2 2" xfId="10026"/>
    <cellStyle name="Comma 5 2 4 4 2 2 3" xfId="10027"/>
    <cellStyle name="Comma 5 2 4 4 2 3" xfId="10028"/>
    <cellStyle name="Comma 5 2 4 4 2 3 2" xfId="10029"/>
    <cellStyle name="Comma 5 2 4 4 2 3 3" xfId="10030"/>
    <cellStyle name="Comma 5 2 4 4 2 4" xfId="10031"/>
    <cellStyle name="Comma 5 2 4 4 2 5" xfId="10032"/>
    <cellStyle name="Comma 5 2 4 4 3" xfId="10033"/>
    <cellStyle name="Comma 5 2 4 4 3 2" xfId="10034"/>
    <cellStyle name="Comma 5 2 4 4 3 3" xfId="10035"/>
    <cellStyle name="Comma 5 2 4 4 4" xfId="10036"/>
    <cellStyle name="Comma 5 2 4 4 4 2" xfId="10037"/>
    <cellStyle name="Comma 5 2 4 4 4 3" xfId="10038"/>
    <cellStyle name="Comma 5 2 4 4 5" xfId="10039"/>
    <cellStyle name="Comma 5 2 4 4 6" xfId="10040"/>
    <cellStyle name="Comma 5 2 4 5" xfId="10041"/>
    <cellStyle name="Comma 5 2 4 5 2" xfId="10042"/>
    <cellStyle name="Comma 5 2 4 5 2 2" xfId="10043"/>
    <cellStyle name="Comma 5 2 4 5 2 2 2" xfId="10044"/>
    <cellStyle name="Comma 5 2 4 5 2 2 3" xfId="10045"/>
    <cellStyle name="Comma 5 2 4 5 2 3" xfId="10046"/>
    <cellStyle name="Comma 5 2 4 5 2 3 2" xfId="10047"/>
    <cellStyle name="Comma 5 2 4 5 2 3 3" xfId="10048"/>
    <cellStyle name="Comma 5 2 4 5 2 4" xfId="10049"/>
    <cellStyle name="Comma 5 2 4 5 2 5" xfId="10050"/>
    <cellStyle name="Comma 5 2 4 5 3" xfId="10051"/>
    <cellStyle name="Comma 5 2 4 5 3 2" xfId="10052"/>
    <cellStyle name="Comma 5 2 4 5 3 3" xfId="10053"/>
    <cellStyle name="Comma 5 2 4 5 4" xfId="10054"/>
    <cellStyle name="Comma 5 2 4 5 4 2" xfId="10055"/>
    <cellStyle name="Comma 5 2 4 5 4 3" xfId="10056"/>
    <cellStyle name="Comma 5 2 4 5 5" xfId="10057"/>
    <cellStyle name="Comma 5 2 4 5 6" xfId="10058"/>
    <cellStyle name="Comma 5 2 4 6" xfId="10059"/>
    <cellStyle name="Comma 5 2 4 6 2" xfId="10060"/>
    <cellStyle name="Comma 5 2 4 6 2 2" xfId="10061"/>
    <cellStyle name="Comma 5 2 4 6 2 3" xfId="10062"/>
    <cellStyle name="Comma 5 2 4 6 3" xfId="10063"/>
    <cellStyle name="Comma 5 2 4 6 3 2" xfId="10064"/>
    <cellStyle name="Comma 5 2 4 6 3 3" xfId="10065"/>
    <cellStyle name="Comma 5 2 4 6 4" xfId="10066"/>
    <cellStyle name="Comma 5 2 4 6 5" xfId="10067"/>
    <cellStyle name="Comma 5 2 4 7" xfId="10068"/>
    <cellStyle name="Comma 5 2 4 7 2" xfId="10069"/>
    <cellStyle name="Comma 5 2 4 7 3" xfId="10070"/>
    <cellStyle name="Comma 5 2 4 8" xfId="10071"/>
    <cellStyle name="Comma 5 2 4 8 2" xfId="10072"/>
    <cellStyle name="Comma 5 2 4 8 3" xfId="10073"/>
    <cellStyle name="Comma 5 2 4 9" xfId="10074"/>
    <cellStyle name="Comma 5 2 5" xfId="10075"/>
    <cellStyle name="Comma 5 2 5 2" xfId="10076"/>
    <cellStyle name="Comma 5 2 5 2 2" xfId="10077"/>
    <cellStyle name="Comma 5 2 5 2 2 2" xfId="10078"/>
    <cellStyle name="Comma 5 2 5 2 2 2 2" xfId="10079"/>
    <cellStyle name="Comma 5 2 5 2 2 2 2 2" xfId="10080"/>
    <cellStyle name="Comma 5 2 5 2 2 2 2 3" xfId="10081"/>
    <cellStyle name="Comma 5 2 5 2 2 2 3" xfId="10082"/>
    <cellStyle name="Comma 5 2 5 2 2 2 3 2" xfId="10083"/>
    <cellStyle name="Comma 5 2 5 2 2 2 3 3" xfId="10084"/>
    <cellStyle name="Comma 5 2 5 2 2 2 4" xfId="10085"/>
    <cellStyle name="Comma 5 2 5 2 2 2 5" xfId="10086"/>
    <cellStyle name="Comma 5 2 5 2 2 3" xfId="10087"/>
    <cellStyle name="Comma 5 2 5 2 2 3 2" xfId="10088"/>
    <cellStyle name="Comma 5 2 5 2 2 3 3" xfId="10089"/>
    <cellStyle name="Comma 5 2 5 2 2 4" xfId="10090"/>
    <cellStyle name="Comma 5 2 5 2 2 4 2" xfId="10091"/>
    <cellStyle name="Comma 5 2 5 2 2 4 3" xfId="10092"/>
    <cellStyle name="Comma 5 2 5 2 2 5" xfId="10093"/>
    <cellStyle name="Comma 5 2 5 2 2 6" xfId="10094"/>
    <cellStyle name="Comma 5 2 5 2 3" xfId="10095"/>
    <cellStyle name="Comma 5 2 5 2 3 2" xfId="10096"/>
    <cellStyle name="Comma 5 2 5 2 3 2 2" xfId="10097"/>
    <cellStyle name="Comma 5 2 5 2 3 2 2 2" xfId="10098"/>
    <cellStyle name="Comma 5 2 5 2 3 2 2 3" xfId="10099"/>
    <cellStyle name="Comma 5 2 5 2 3 2 3" xfId="10100"/>
    <cellStyle name="Comma 5 2 5 2 3 2 3 2" xfId="10101"/>
    <cellStyle name="Comma 5 2 5 2 3 2 3 3" xfId="10102"/>
    <cellStyle name="Comma 5 2 5 2 3 2 4" xfId="10103"/>
    <cellStyle name="Comma 5 2 5 2 3 2 5" xfId="10104"/>
    <cellStyle name="Comma 5 2 5 2 3 3" xfId="10105"/>
    <cellStyle name="Comma 5 2 5 2 3 3 2" xfId="10106"/>
    <cellStyle name="Comma 5 2 5 2 3 3 3" xfId="10107"/>
    <cellStyle name="Comma 5 2 5 2 3 4" xfId="10108"/>
    <cellStyle name="Comma 5 2 5 2 3 4 2" xfId="10109"/>
    <cellStyle name="Comma 5 2 5 2 3 4 3" xfId="10110"/>
    <cellStyle name="Comma 5 2 5 2 3 5" xfId="10111"/>
    <cellStyle name="Comma 5 2 5 2 3 6" xfId="10112"/>
    <cellStyle name="Comma 5 2 5 2 4" xfId="10113"/>
    <cellStyle name="Comma 5 2 5 2 4 2" xfId="10114"/>
    <cellStyle name="Comma 5 2 5 2 4 2 2" xfId="10115"/>
    <cellStyle name="Comma 5 2 5 2 4 2 3" xfId="10116"/>
    <cellStyle name="Comma 5 2 5 2 4 3" xfId="10117"/>
    <cellStyle name="Comma 5 2 5 2 4 3 2" xfId="10118"/>
    <cellStyle name="Comma 5 2 5 2 4 3 3" xfId="10119"/>
    <cellStyle name="Comma 5 2 5 2 4 4" xfId="10120"/>
    <cellStyle name="Comma 5 2 5 2 4 5" xfId="10121"/>
    <cellStyle name="Comma 5 2 5 2 5" xfId="10122"/>
    <cellStyle name="Comma 5 2 5 2 5 2" xfId="10123"/>
    <cellStyle name="Comma 5 2 5 2 5 3" xfId="10124"/>
    <cellStyle name="Comma 5 2 5 2 6" xfId="10125"/>
    <cellStyle name="Comma 5 2 5 2 6 2" xfId="10126"/>
    <cellStyle name="Comma 5 2 5 2 6 3" xfId="10127"/>
    <cellStyle name="Comma 5 2 5 2 7" xfId="10128"/>
    <cellStyle name="Comma 5 2 5 2 8" xfId="10129"/>
    <cellStyle name="Comma 5 2 5 3" xfId="10130"/>
    <cellStyle name="Comma 5 2 5 3 2" xfId="10131"/>
    <cellStyle name="Comma 5 2 5 3 2 2" xfId="10132"/>
    <cellStyle name="Comma 5 2 5 3 2 2 2" xfId="10133"/>
    <cellStyle name="Comma 5 2 5 3 2 2 3" xfId="10134"/>
    <cellStyle name="Comma 5 2 5 3 2 3" xfId="10135"/>
    <cellStyle name="Comma 5 2 5 3 2 3 2" xfId="10136"/>
    <cellStyle name="Comma 5 2 5 3 2 3 3" xfId="10137"/>
    <cellStyle name="Comma 5 2 5 3 2 4" xfId="10138"/>
    <cellStyle name="Comma 5 2 5 3 2 5" xfId="10139"/>
    <cellStyle name="Comma 5 2 5 3 3" xfId="10140"/>
    <cellStyle name="Comma 5 2 5 3 3 2" xfId="10141"/>
    <cellStyle name="Comma 5 2 5 3 3 3" xfId="10142"/>
    <cellStyle name="Comma 5 2 5 3 4" xfId="10143"/>
    <cellStyle name="Comma 5 2 5 3 4 2" xfId="10144"/>
    <cellStyle name="Comma 5 2 5 3 4 3" xfId="10145"/>
    <cellStyle name="Comma 5 2 5 3 5" xfId="10146"/>
    <cellStyle name="Comma 5 2 5 3 6" xfId="10147"/>
    <cellStyle name="Comma 5 2 5 4" xfId="10148"/>
    <cellStyle name="Comma 5 2 5 4 2" xfId="10149"/>
    <cellStyle name="Comma 5 2 5 4 2 2" xfId="10150"/>
    <cellStyle name="Comma 5 2 5 4 2 2 2" xfId="10151"/>
    <cellStyle name="Comma 5 2 5 4 2 2 3" xfId="10152"/>
    <cellStyle name="Comma 5 2 5 4 2 3" xfId="10153"/>
    <cellStyle name="Comma 5 2 5 4 2 3 2" xfId="10154"/>
    <cellStyle name="Comma 5 2 5 4 2 3 3" xfId="10155"/>
    <cellStyle name="Comma 5 2 5 4 2 4" xfId="10156"/>
    <cellStyle name="Comma 5 2 5 4 2 5" xfId="10157"/>
    <cellStyle name="Comma 5 2 5 4 3" xfId="10158"/>
    <cellStyle name="Comma 5 2 5 4 3 2" xfId="10159"/>
    <cellStyle name="Comma 5 2 5 4 3 3" xfId="10160"/>
    <cellStyle name="Comma 5 2 5 4 4" xfId="10161"/>
    <cellStyle name="Comma 5 2 5 4 4 2" xfId="10162"/>
    <cellStyle name="Comma 5 2 5 4 4 3" xfId="10163"/>
    <cellStyle name="Comma 5 2 5 4 5" xfId="10164"/>
    <cellStyle name="Comma 5 2 5 4 6" xfId="10165"/>
    <cellStyle name="Comma 5 2 5 5" xfId="10166"/>
    <cellStyle name="Comma 5 2 5 5 2" xfId="10167"/>
    <cellStyle name="Comma 5 2 5 5 2 2" xfId="10168"/>
    <cellStyle name="Comma 5 2 5 5 2 3" xfId="10169"/>
    <cellStyle name="Comma 5 2 5 5 3" xfId="10170"/>
    <cellStyle name="Comma 5 2 5 5 3 2" xfId="10171"/>
    <cellStyle name="Comma 5 2 5 5 3 3" xfId="10172"/>
    <cellStyle name="Comma 5 2 5 5 4" xfId="10173"/>
    <cellStyle name="Comma 5 2 5 5 5" xfId="10174"/>
    <cellStyle name="Comma 5 2 5 6" xfId="10175"/>
    <cellStyle name="Comma 5 2 5 6 2" xfId="10176"/>
    <cellStyle name="Comma 5 2 5 6 3" xfId="10177"/>
    <cellStyle name="Comma 5 2 5 7" xfId="10178"/>
    <cellStyle name="Comma 5 2 5 7 2" xfId="10179"/>
    <cellStyle name="Comma 5 2 5 7 3" xfId="10180"/>
    <cellStyle name="Comma 5 2 5 8" xfId="10181"/>
    <cellStyle name="Comma 5 2 5 9" xfId="10182"/>
    <cellStyle name="Comma 5 2 6" xfId="10183"/>
    <cellStyle name="Comma 5 2 6 2" xfId="10184"/>
    <cellStyle name="Comma 5 2 6 2 2" xfId="10185"/>
    <cellStyle name="Comma 5 2 6 2 2 2" xfId="10186"/>
    <cellStyle name="Comma 5 2 6 2 2 2 2" xfId="10187"/>
    <cellStyle name="Comma 5 2 6 2 2 2 3" xfId="10188"/>
    <cellStyle name="Comma 5 2 6 2 2 3" xfId="10189"/>
    <cellStyle name="Comma 5 2 6 2 2 3 2" xfId="10190"/>
    <cellStyle name="Comma 5 2 6 2 2 3 3" xfId="10191"/>
    <cellStyle name="Comma 5 2 6 2 2 4" xfId="10192"/>
    <cellStyle name="Comma 5 2 6 2 2 5" xfId="10193"/>
    <cellStyle name="Comma 5 2 6 2 3" xfId="10194"/>
    <cellStyle name="Comma 5 2 6 2 3 2" xfId="10195"/>
    <cellStyle name="Comma 5 2 6 2 3 3" xfId="10196"/>
    <cellStyle name="Comma 5 2 6 2 4" xfId="10197"/>
    <cellStyle name="Comma 5 2 6 2 4 2" xfId="10198"/>
    <cellStyle name="Comma 5 2 6 2 4 3" xfId="10199"/>
    <cellStyle name="Comma 5 2 6 2 5" xfId="10200"/>
    <cellStyle name="Comma 5 2 6 2 6" xfId="10201"/>
    <cellStyle name="Comma 5 2 6 3" xfId="10202"/>
    <cellStyle name="Comma 5 2 6 3 2" xfId="10203"/>
    <cellStyle name="Comma 5 2 6 3 2 2" xfId="10204"/>
    <cellStyle name="Comma 5 2 6 3 2 2 2" xfId="10205"/>
    <cellStyle name="Comma 5 2 6 3 2 2 3" xfId="10206"/>
    <cellStyle name="Comma 5 2 6 3 2 3" xfId="10207"/>
    <cellStyle name="Comma 5 2 6 3 2 3 2" xfId="10208"/>
    <cellStyle name="Comma 5 2 6 3 2 3 3" xfId="10209"/>
    <cellStyle name="Comma 5 2 6 3 2 4" xfId="10210"/>
    <cellStyle name="Comma 5 2 6 3 2 5" xfId="10211"/>
    <cellStyle name="Comma 5 2 6 3 3" xfId="10212"/>
    <cellStyle name="Comma 5 2 6 3 3 2" xfId="10213"/>
    <cellStyle name="Comma 5 2 6 3 3 3" xfId="10214"/>
    <cellStyle name="Comma 5 2 6 3 4" xfId="10215"/>
    <cellStyle name="Comma 5 2 6 3 4 2" xfId="10216"/>
    <cellStyle name="Comma 5 2 6 3 4 3" xfId="10217"/>
    <cellStyle name="Comma 5 2 6 3 5" xfId="10218"/>
    <cellStyle name="Comma 5 2 6 3 6" xfId="10219"/>
    <cellStyle name="Comma 5 2 6 4" xfId="10220"/>
    <cellStyle name="Comma 5 2 6 4 2" xfId="10221"/>
    <cellStyle name="Comma 5 2 6 4 2 2" xfId="10222"/>
    <cellStyle name="Comma 5 2 6 4 2 3" xfId="10223"/>
    <cellStyle name="Comma 5 2 6 4 3" xfId="10224"/>
    <cellStyle name="Comma 5 2 6 4 3 2" xfId="10225"/>
    <cellStyle name="Comma 5 2 6 4 3 3" xfId="10226"/>
    <cellStyle name="Comma 5 2 6 4 4" xfId="10227"/>
    <cellStyle name="Comma 5 2 6 4 5" xfId="10228"/>
    <cellStyle name="Comma 5 2 6 5" xfId="10229"/>
    <cellStyle name="Comma 5 2 6 5 2" xfId="10230"/>
    <cellStyle name="Comma 5 2 6 5 3" xfId="10231"/>
    <cellStyle name="Comma 5 2 6 6" xfId="10232"/>
    <cellStyle name="Comma 5 2 6 6 2" xfId="10233"/>
    <cellStyle name="Comma 5 2 6 6 3" xfId="10234"/>
    <cellStyle name="Comma 5 2 6 7" xfId="10235"/>
    <cellStyle name="Comma 5 2 6 8" xfId="10236"/>
    <cellStyle name="Comma 5 2 7" xfId="10237"/>
    <cellStyle name="Comma 5 2 7 2" xfId="10238"/>
    <cellStyle name="Comma 5 2 7 2 2" xfId="10239"/>
    <cellStyle name="Comma 5 2 7 2 2 2" xfId="10240"/>
    <cellStyle name="Comma 5 2 7 2 2 3" xfId="10241"/>
    <cellStyle name="Comma 5 2 7 2 3" xfId="10242"/>
    <cellStyle name="Comma 5 2 7 2 3 2" xfId="10243"/>
    <cellStyle name="Comma 5 2 7 2 3 3" xfId="10244"/>
    <cellStyle name="Comma 5 2 7 2 4" xfId="10245"/>
    <cellStyle name="Comma 5 2 7 2 5" xfId="10246"/>
    <cellStyle name="Comma 5 2 7 3" xfId="10247"/>
    <cellStyle name="Comma 5 2 7 3 2" xfId="10248"/>
    <cellStyle name="Comma 5 2 7 3 3" xfId="10249"/>
    <cellStyle name="Comma 5 2 7 4" xfId="10250"/>
    <cellStyle name="Comma 5 2 7 4 2" xfId="10251"/>
    <cellStyle name="Comma 5 2 7 4 3" xfId="10252"/>
    <cellStyle name="Comma 5 2 7 5" xfId="10253"/>
    <cellStyle name="Comma 5 2 7 6" xfId="10254"/>
    <cellStyle name="Comma 5 2 8" xfId="10255"/>
    <cellStyle name="Comma 5 2 8 2" xfId="10256"/>
    <cellStyle name="Comma 5 2 8 2 2" xfId="10257"/>
    <cellStyle name="Comma 5 2 8 2 2 2" xfId="10258"/>
    <cellStyle name="Comma 5 2 8 2 2 3" xfId="10259"/>
    <cellStyle name="Comma 5 2 8 2 3" xfId="10260"/>
    <cellStyle name="Comma 5 2 8 2 3 2" xfId="10261"/>
    <cellStyle name="Comma 5 2 8 2 3 3" xfId="10262"/>
    <cellStyle name="Comma 5 2 8 2 4" xfId="10263"/>
    <cellStyle name="Comma 5 2 8 2 5" xfId="10264"/>
    <cellStyle name="Comma 5 2 8 3" xfId="10265"/>
    <cellStyle name="Comma 5 2 8 3 2" xfId="10266"/>
    <cellStyle name="Comma 5 2 8 3 3" xfId="10267"/>
    <cellStyle name="Comma 5 2 8 4" xfId="10268"/>
    <cellStyle name="Comma 5 2 8 4 2" xfId="10269"/>
    <cellStyle name="Comma 5 2 8 4 3" xfId="10270"/>
    <cellStyle name="Comma 5 2 8 5" xfId="10271"/>
    <cellStyle name="Comma 5 2 8 6" xfId="10272"/>
    <cellStyle name="Comma 5 2 9" xfId="10273"/>
    <cellStyle name="Comma 5 2 9 2" xfId="10274"/>
    <cellStyle name="Comma 5 2 9 2 2" xfId="10275"/>
    <cellStyle name="Comma 5 2 9 2 3" xfId="10276"/>
    <cellStyle name="Comma 5 2 9 3" xfId="10277"/>
    <cellStyle name="Comma 5 2 9 3 2" xfId="10278"/>
    <cellStyle name="Comma 5 2 9 3 3" xfId="10279"/>
    <cellStyle name="Comma 5 2 9 4" xfId="10280"/>
    <cellStyle name="Comma 5 2 9 5" xfId="10281"/>
    <cellStyle name="Comma 5 3" xfId="10282"/>
    <cellStyle name="Comma 5 3 10" xfId="10283"/>
    <cellStyle name="Comma 5 3 10 2" xfId="10284"/>
    <cellStyle name="Comma 5 3 10 3" xfId="10285"/>
    <cellStyle name="Comma 5 3 11" xfId="10286"/>
    <cellStyle name="Comma 5 3 12" xfId="10287"/>
    <cellStyle name="Comma 5 3 2" xfId="10288"/>
    <cellStyle name="Comma 5 3 2 10" xfId="10289"/>
    <cellStyle name="Comma 5 3 2 2" xfId="10290"/>
    <cellStyle name="Comma 5 3 2 2 2" xfId="10291"/>
    <cellStyle name="Comma 5 3 2 2 2 2" xfId="10292"/>
    <cellStyle name="Comma 5 3 2 2 2 2 2" xfId="10293"/>
    <cellStyle name="Comma 5 3 2 2 2 2 2 2" xfId="10294"/>
    <cellStyle name="Comma 5 3 2 2 2 2 2 2 2" xfId="10295"/>
    <cellStyle name="Comma 5 3 2 2 2 2 2 2 3" xfId="10296"/>
    <cellStyle name="Comma 5 3 2 2 2 2 2 3" xfId="10297"/>
    <cellStyle name="Comma 5 3 2 2 2 2 2 3 2" xfId="10298"/>
    <cellStyle name="Comma 5 3 2 2 2 2 2 3 3" xfId="10299"/>
    <cellStyle name="Comma 5 3 2 2 2 2 2 4" xfId="10300"/>
    <cellStyle name="Comma 5 3 2 2 2 2 2 5" xfId="10301"/>
    <cellStyle name="Comma 5 3 2 2 2 2 3" xfId="10302"/>
    <cellStyle name="Comma 5 3 2 2 2 2 3 2" xfId="10303"/>
    <cellStyle name="Comma 5 3 2 2 2 2 3 3" xfId="10304"/>
    <cellStyle name="Comma 5 3 2 2 2 2 4" xfId="10305"/>
    <cellStyle name="Comma 5 3 2 2 2 2 4 2" xfId="10306"/>
    <cellStyle name="Comma 5 3 2 2 2 2 4 3" xfId="10307"/>
    <cellStyle name="Comma 5 3 2 2 2 2 5" xfId="10308"/>
    <cellStyle name="Comma 5 3 2 2 2 2 6" xfId="10309"/>
    <cellStyle name="Comma 5 3 2 2 2 3" xfId="10310"/>
    <cellStyle name="Comma 5 3 2 2 2 3 2" xfId="10311"/>
    <cellStyle name="Comma 5 3 2 2 2 3 2 2" xfId="10312"/>
    <cellStyle name="Comma 5 3 2 2 2 3 2 2 2" xfId="10313"/>
    <cellStyle name="Comma 5 3 2 2 2 3 2 2 3" xfId="10314"/>
    <cellStyle name="Comma 5 3 2 2 2 3 2 3" xfId="10315"/>
    <cellStyle name="Comma 5 3 2 2 2 3 2 3 2" xfId="10316"/>
    <cellStyle name="Comma 5 3 2 2 2 3 2 3 3" xfId="10317"/>
    <cellStyle name="Comma 5 3 2 2 2 3 2 4" xfId="10318"/>
    <cellStyle name="Comma 5 3 2 2 2 3 2 5" xfId="10319"/>
    <cellStyle name="Comma 5 3 2 2 2 3 3" xfId="10320"/>
    <cellStyle name="Comma 5 3 2 2 2 3 3 2" xfId="10321"/>
    <cellStyle name="Comma 5 3 2 2 2 3 3 3" xfId="10322"/>
    <cellStyle name="Comma 5 3 2 2 2 3 4" xfId="10323"/>
    <cellStyle name="Comma 5 3 2 2 2 3 4 2" xfId="10324"/>
    <cellStyle name="Comma 5 3 2 2 2 3 4 3" xfId="10325"/>
    <cellStyle name="Comma 5 3 2 2 2 3 5" xfId="10326"/>
    <cellStyle name="Comma 5 3 2 2 2 3 6" xfId="10327"/>
    <cellStyle name="Comma 5 3 2 2 2 4" xfId="10328"/>
    <cellStyle name="Comma 5 3 2 2 2 4 2" xfId="10329"/>
    <cellStyle name="Comma 5 3 2 2 2 4 2 2" xfId="10330"/>
    <cellStyle name="Comma 5 3 2 2 2 4 2 3" xfId="10331"/>
    <cellStyle name="Comma 5 3 2 2 2 4 3" xfId="10332"/>
    <cellStyle name="Comma 5 3 2 2 2 4 3 2" xfId="10333"/>
    <cellStyle name="Comma 5 3 2 2 2 4 3 3" xfId="10334"/>
    <cellStyle name="Comma 5 3 2 2 2 4 4" xfId="10335"/>
    <cellStyle name="Comma 5 3 2 2 2 4 5" xfId="10336"/>
    <cellStyle name="Comma 5 3 2 2 2 5" xfId="10337"/>
    <cellStyle name="Comma 5 3 2 2 2 5 2" xfId="10338"/>
    <cellStyle name="Comma 5 3 2 2 2 5 3" xfId="10339"/>
    <cellStyle name="Comma 5 3 2 2 2 6" xfId="10340"/>
    <cellStyle name="Comma 5 3 2 2 2 6 2" xfId="10341"/>
    <cellStyle name="Comma 5 3 2 2 2 6 3" xfId="10342"/>
    <cellStyle name="Comma 5 3 2 2 2 7" xfId="10343"/>
    <cellStyle name="Comma 5 3 2 2 2 8" xfId="10344"/>
    <cellStyle name="Comma 5 3 2 2 3" xfId="10345"/>
    <cellStyle name="Comma 5 3 2 2 3 2" xfId="10346"/>
    <cellStyle name="Comma 5 3 2 2 3 2 2" xfId="10347"/>
    <cellStyle name="Comma 5 3 2 2 3 2 2 2" xfId="10348"/>
    <cellStyle name="Comma 5 3 2 2 3 2 2 3" xfId="10349"/>
    <cellStyle name="Comma 5 3 2 2 3 2 3" xfId="10350"/>
    <cellStyle name="Comma 5 3 2 2 3 2 3 2" xfId="10351"/>
    <cellStyle name="Comma 5 3 2 2 3 2 3 3" xfId="10352"/>
    <cellStyle name="Comma 5 3 2 2 3 2 4" xfId="10353"/>
    <cellStyle name="Comma 5 3 2 2 3 2 5" xfId="10354"/>
    <cellStyle name="Comma 5 3 2 2 3 3" xfId="10355"/>
    <cellStyle name="Comma 5 3 2 2 3 3 2" xfId="10356"/>
    <cellStyle name="Comma 5 3 2 2 3 3 3" xfId="10357"/>
    <cellStyle name="Comma 5 3 2 2 3 4" xfId="10358"/>
    <cellStyle name="Comma 5 3 2 2 3 4 2" xfId="10359"/>
    <cellStyle name="Comma 5 3 2 2 3 4 3" xfId="10360"/>
    <cellStyle name="Comma 5 3 2 2 3 5" xfId="10361"/>
    <cellStyle name="Comma 5 3 2 2 3 6" xfId="10362"/>
    <cellStyle name="Comma 5 3 2 2 4" xfId="10363"/>
    <cellStyle name="Comma 5 3 2 2 4 2" xfId="10364"/>
    <cellStyle name="Comma 5 3 2 2 4 2 2" xfId="10365"/>
    <cellStyle name="Comma 5 3 2 2 4 2 2 2" xfId="10366"/>
    <cellStyle name="Comma 5 3 2 2 4 2 2 3" xfId="10367"/>
    <cellStyle name="Comma 5 3 2 2 4 2 3" xfId="10368"/>
    <cellStyle name="Comma 5 3 2 2 4 2 3 2" xfId="10369"/>
    <cellStyle name="Comma 5 3 2 2 4 2 3 3" xfId="10370"/>
    <cellStyle name="Comma 5 3 2 2 4 2 4" xfId="10371"/>
    <cellStyle name="Comma 5 3 2 2 4 2 5" xfId="10372"/>
    <cellStyle name="Comma 5 3 2 2 4 3" xfId="10373"/>
    <cellStyle name="Comma 5 3 2 2 4 3 2" xfId="10374"/>
    <cellStyle name="Comma 5 3 2 2 4 3 3" xfId="10375"/>
    <cellStyle name="Comma 5 3 2 2 4 4" xfId="10376"/>
    <cellStyle name="Comma 5 3 2 2 4 4 2" xfId="10377"/>
    <cellStyle name="Comma 5 3 2 2 4 4 3" xfId="10378"/>
    <cellStyle name="Comma 5 3 2 2 4 5" xfId="10379"/>
    <cellStyle name="Comma 5 3 2 2 4 6" xfId="10380"/>
    <cellStyle name="Comma 5 3 2 2 5" xfId="10381"/>
    <cellStyle name="Comma 5 3 2 2 5 2" xfId="10382"/>
    <cellStyle name="Comma 5 3 2 2 5 2 2" xfId="10383"/>
    <cellStyle name="Comma 5 3 2 2 5 2 3" xfId="10384"/>
    <cellStyle name="Comma 5 3 2 2 5 3" xfId="10385"/>
    <cellStyle name="Comma 5 3 2 2 5 3 2" xfId="10386"/>
    <cellStyle name="Comma 5 3 2 2 5 3 3" xfId="10387"/>
    <cellStyle name="Comma 5 3 2 2 5 4" xfId="10388"/>
    <cellStyle name="Comma 5 3 2 2 5 5" xfId="10389"/>
    <cellStyle name="Comma 5 3 2 2 6" xfId="10390"/>
    <cellStyle name="Comma 5 3 2 2 6 2" xfId="10391"/>
    <cellStyle name="Comma 5 3 2 2 6 3" xfId="10392"/>
    <cellStyle name="Comma 5 3 2 2 7" xfId="10393"/>
    <cellStyle name="Comma 5 3 2 2 7 2" xfId="10394"/>
    <cellStyle name="Comma 5 3 2 2 7 3" xfId="10395"/>
    <cellStyle name="Comma 5 3 2 2 8" xfId="10396"/>
    <cellStyle name="Comma 5 3 2 2 9" xfId="10397"/>
    <cellStyle name="Comma 5 3 2 3" xfId="10398"/>
    <cellStyle name="Comma 5 3 2 3 2" xfId="10399"/>
    <cellStyle name="Comma 5 3 2 3 2 2" xfId="10400"/>
    <cellStyle name="Comma 5 3 2 3 2 2 2" xfId="10401"/>
    <cellStyle name="Comma 5 3 2 3 2 2 2 2" xfId="10402"/>
    <cellStyle name="Comma 5 3 2 3 2 2 2 3" xfId="10403"/>
    <cellStyle name="Comma 5 3 2 3 2 2 3" xfId="10404"/>
    <cellStyle name="Comma 5 3 2 3 2 2 3 2" xfId="10405"/>
    <cellStyle name="Comma 5 3 2 3 2 2 3 3" xfId="10406"/>
    <cellStyle name="Comma 5 3 2 3 2 2 4" xfId="10407"/>
    <cellStyle name="Comma 5 3 2 3 2 2 5" xfId="10408"/>
    <cellStyle name="Comma 5 3 2 3 2 3" xfId="10409"/>
    <cellStyle name="Comma 5 3 2 3 2 3 2" xfId="10410"/>
    <cellStyle name="Comma 5 3 2 3 2 3 3" xfId="10411"/>
    <cellStyle name="Comma 5 3 2 3 2 4" xfId="10412"/>
    <cellStyle name="Comma 5 3 2 3 2 4 2" xfId="10413"/>
    <cellStyle name="Comma 5 3 2 3 2 4 3" xfId="10414"/>
    <cellStyle name="Comma 5 3 2 3 2 5" xfId="10415"/>
    <cellStyle name="Comma 5 3 2 3 2 6" xfId="10416"/>
    <cellStyle name="Comma 5 3 2 3 3" xfId="10417"/>
    <cellStyle name="Comma 5 3 2 3 3 2" xfId="10418"/>
    <cellStyle name="Comma 5 3 2 3 3 2 2" xfId="10419"/>
    <cellStyle name="Comma 5 3 2 3 3 2 2 2" xfId="10420"/>
    <cellStyle name="Comma 5 3 2 3 3 2 2 3" xfId="10421"/>
    <cellStyle name="Comma 5 3 2 3 3 2 3" xfId="10422"/>
    <cellStyle name="Comma 5 3 2 3 3 2 3 2" xfId="10423"/>
    <cellStyle name="Comma 5 3 2 3 3 2 3 3" xfId="10424"/>
    <cellStyle name="Comma 5 3 2 3 3 2 4" xfId="10425"/>
    <cellStyle name="Comma 5 3 2 3 3 2 5" xfId="10426"/>
    <cellStyle name="Comma 5 3 2 3 3 3" xfId="10427"/>
    <cellStyle name="Comma 5 3 2 3 3 3 2" xfId="10428"/>
    <cellStyle name="Comma 5 3 2 3 3 3 3" xfId="10429"/>
    <cellStyle name="Comma 5 3 2 3 3 4" xfId="10430"/>
    <cellStyle name="Comma 5 3 2 3 3 4 2" xfId="10431"/>
    <cellStyle name="Comma 5 3 2 3 3 4 3" xfId="10432"/>
    <cellStyle name="Comma 5 3 2 3 3 5" xfId="10433"/>
    <cellStyle name="Comma 5 3 2 3 3 6" xfId="10434"/>
    <cellStyle name="Comma 5 3 2 3 4" xfId="10435"/>
    <cellStyle name="Comma 5 3 2 3 4 2" xfId="10436"/>
    <cellStyle name="Comma 5 3 2 3 4 2 2" xfId="10437"/>
    <cellStyle name="Comma 5 3 2 3 4 2 3" xfId="10438"/>
    <cellStyle name="Comma 5 3 2 3 4 3" xfId="10439"/>
    <cellStyle name="Comma 5 3 2 3 4 3 2" xfId="10440"/>
    <cellStyle name="Comma 5 3 2 3 4 3 3" xfId="10441"/>
    <cellStyle name="Comma 5 3 2 3 4 4" xfId="10442"/>
    <cellStyle name="Comma 5 3 2 3 4 5" xfId="10443"/>
    <cellStyle name="Comma 5 3 2 3 5" xfId="10444"/>
    <cellStyle name="Comma 5 3 2 3 5 2" xfId="10445"/>
    <cellStyle name="Comma 5 3 2 3 5 3" xfId="10446"/>
    <cellStyle name="Comma 5 3 2 3 6" xfId="10447"/>
    <cellStyle name="Comma 5 3 2 3 6 2" xfId="10448"/>
    <cellStyle name="Comma 5 3 2 3 6 3" xfId="10449"/>
    <cellStyle name="Comma 5 3 2 3 7" xfId="10450"/>
    <cellStyle name="Comma 5 3 2 3 8" xfId="10451"/>
    <cellStyle name="Comma 5 3 2 4" xfId="10452"/>
    <cellStyle name="Comma 5 3 2 4 2" xfId="10453"/>
    <cellStyle name="Comma 5 3 2 4 2 2" xfId="10454"/>
    <cellStyle name="Comma 5 3 2 4 2 2 2" xfId="10455"/>
    <cellStyle name="Comma 5 3 2 4 2 2 3" xfId="10456"/>
    <cellStyle name="Comma 5 3 2 4 2 3" xfId="10457"/>
    <cellStyle name="Comma 5 3 2 4 2 3 2" xfId="10458"/>
    <cellStyle name="Comma 5 3 2 4 2 3 3" xfId="10459"/>
    <cellStyle name="Comma 5 3 2 4 2 4" xfId="10460"/>
    <cellStyle name="Comma 5 3 2 4 2 5" xfId="10461"/>
    <cellStyle name="Comma 5 3 2 4 3" xfId="10462"/>
    <cellStyle name="Comma 5 3 2 4 3 2" xfId="10463"/>
    <cellStyle name="Comma 5 3 2 4 3 3" xfId="10464"/>
    <cellStyle name="Comma 5 3 2 4 4" xfId="10465"/>
    <cellStyle name="Comma 5 3 2 4 4 2" xfId="10466"/>
    <cellStyle name="Comma 5 3 2 4 4 3" xfId="10467"/>
    <cellStyle name="Comma 5 3 2 4 5" xfId="10468"/>
    <cellStyle name="Comma 5 3 2 4 6" xfId="10469"/>
    <cellStyle name="Comma 5 3 2 5" xfId="10470"/>
    <cellStyle name="Comma 5 3 2 5 2" xfId="10471"/>
    <cellStyle name="Comma 5 3 2 5 2 2" xfId="10472"/>
    <cellStyle name="Comma 5 3 2 5 2 2 2" xfId="10473"/>
    <cellStyle name="Comma 5 3 2 5 2 2 3" xfId="10474"/>
    <cellStyle name="Comma 5 3 2 5 2 3" xfId="10475"/>
    <cellStyle name="Comma 5 3 2 5 2 3 2" xfId="10476"/>
    <cellStyle name="Comma 5 3 2 5 2 3 3" xfId="10477"/>
    <cellStyle name="Comma 5 3 2 5 2 4" xfId="10478"/>
    <cellStyle name="Comma 5 3 2 5 2 5" xfId="10479"/>
    <cellStyle name="Comma 5 3 2 5 3" xfId="10480"/>
    <cellStyle name="Comma 5 3 2 5 3 2" xfId="10481"/>
    <cellStyle name="Comma 5 3 2 5 3 3" xfId="10482"/>
    <cellStyle name="Comma 5 3 2 5 4" xfId="10483"/>
    <cellStyle name="Comma 5 3 2 5 4 2" xfId="10484"/>
    <cellStyle name="Comma 5 3 2 5 4 3" xfId="10485"/>
    <cellStyle name="Comma 5 3 2 5 5" xfId="10486"/>
    <cellStyle name="Comma 5 3 2 5 6" xfId="10487"/>
    <cellStyle name="Comma 5 3 2 6" xfId="10488"/>
    <cellStyle name="Comma 5 3 2 6 2" xfId="10489"/>
    <cellStyle name="Comma 5 3 2 6 2 2" xfId="10490"/>
    <cellStyle name="Comma 5 3 2 6 2 3" xfId="10491"/>
    <cellStyle name="Comma 5 3 2 6 3" xfId="10492"/>
    <cellStyle name="Comma 5 3 2 6 3 2" xfId="10493"/>
    <cellStyle name="Comma 5 3 2 6 3 3" xfId="10494"/>
    <cellStyle name="Comma 5 3 2 6 4" xfId="10495"/>
    <cellStyle name="Comma 5 3 2 6 5" xfId="10496"/>
    <cellStyle name="Comma 5 3 2 7" xfId="10497"/>
    <cellStyle name="Comma 5 3 2 7 2" xfId="10498"/>
    <cellStyle name="Comma 5 3 2 7 3" xfId="10499"/>
    <cellStyle name="Comma 5 3 2 8" xfId="10500"/>
    <cellStyle name="Comma 5 3 2 8 2" xfId="10501"/>
    <cellStyle name="Comma 5 3 2 8 3" xfId="10502"/>
    <cellStyle name="Comma 5 3 2 9" xfId="10503"/>
    <cellStyle name="Comma 5 3 3" xfId="10504"/>
    <cellStyle name="Comma 5 3 3 10" xfId="10505"/>
    <cellStyle name="Comma 5 3 3 2" xfId="10506"/>
    <cellStyle name="Comma 5 3 3 2 2" xfId="10507"/>
    <cellStyle name="Comma 5 3 3 2 2 2" xfId="10508"/>
    <cellStyle name="Comma 5 3 3 2 2 2 2" xfId="10509"/>
    <cellStyle name="Comma 5 3 3 2 2 2 2 2" xfId="10510"/>
    <cellStyle name="Comma 5 3 3 2 2 2 2 2 2" xfId="10511"/>
    <cellStyle name="Comma 5 3 3 2 2 2 2 2 3" xfId="10512"/>
    <cellStyle name="Comma 5 3 3 2 2 2 2 3" xfId="10513"/>
    <cellStyle name="Comma 5 3 3 2 2 2 2 3 2" xfId="10514"/>
    <cellStyle name="Comma 5 3 3 2 2 2 2 3 3" xfId="10515"/>
    <cellStyle name="Comma 5 3 3 2 2 2 2 4" xfId="10516"/>
    <cellStyle name="Comma 5 3 3 2 2 2 2 5" xfId="10517"/>
    <cellStyle name="Comma 5 3 3 2 2 2 3" xfId="10518"/>
    <cellStyle name="Comma 5 3 3 2 2 2 3 2" xfId="10519"/>
    <cellStyle name="Comma 5 3 3 2 2 2 3 3" xfId="10520"/>
    <cellStyle name="Comma 5 3 3 2 2 2 4" xfId="10521"/>
    <cellStyle name="Comma 5 3 3 2 2 2 4 2" xfId="10522"/>
    <cellStyle name="Comma 5 3 3 2 2 2 4 3" xfId="10523"/>
    <cellStyle name="Comma 5 3 3 2 2 2 5" xfId="10524"/>
    <cellStyle name="Comma 5 3 3 2 2 2 6" xfId="10525"/>
    <cellStyle name="Comma 5 3 3 2 2 3" xfId="10526"/>
    <cellStyle name="Comma 5 3 3 2 2 3 2" xfId="10527"/>
    <cellStyle name="Comma 5 3 3 2 2 3 2 2" xfId="10528"/>
    <cellStyle name="Comma 5 3 3 2 2 3 2 2 2" xfId="10529"/>
    <cellStyle name="Comma 5 3 3 2 2 3 2 2 3" xfId="10530"/>
    <cellStyle name="Comma 5 3 3 2 2 3 2 3" xfId="10531"/>
    <cellStyle name="Comma 5 3 3 2 2 3 2 3 2" xfId="10532"/>
    <cellStyle name="Comma 5 3 3 2 2 3 2 3 3" xfId="10533"/>
    <cellStyle name="Comma 5 3 3 2 2 3 2 4" xfId="10534"/>
    <cellStyle name="Comma 5 3 3 2 2 3 2 5" xfId="10535"/>
    <cellStyle name="Comma 5 3 3 2 2 3 3" xfId="10536"/>
    <cellStyle name="Comma 5 3 3 2 2 3 3 2" xfId="10537"/>
    <cellStyle name="Comma 5 3 3 2 2 3 3 3" xfId="10538"/>
    <cellStyle name="Comma 5 3 3 2 2 3 4" xfId="10539"/>
    <cellStyle name="Comma 5 3 3 2 2 3 4 2" xfId="10540"/>
    <cellStyle name="Comma 5 3 3 2 2 3 4 3" xfId="10541"/>
    <cellStyle name="Comma 5 3 3 2 2 3 5" xfId="10542"/>
    <cellStyle name="Comma 5 3 3 2 2 3 6" xfId="10543"/>
    <cellStyle name="Comma 5 3 3 2 2 4" xfId="10544"/>
    <cellStyle name="Comma 5 3 3 2 2 4 2" xfId="10545"/>
    <cellStyle name="Comma 5 3 3 2 2 4 2 2" xfId="10546"/>
    <cellStyle name="Comma 5 3 3 2 2 4 2 3" xfId="10547"/>
    <cellStyle name="Comma 5 3 3 2 2 4 3" xfId="10548"/>
    <cellStyle name="Comma 5 3 3 2 2 4 3 2" xfId="10549"/>
    <cellStyle name="Comma 5 3 3 2 2 4 3 3" xfId="10550"/>
    <cellStyle name="Comma 5 3 3 2 2 4 4" xfId="10551"/>
    <cellStyle name="Comma 5 3 3 2 2 4 5" xfId="10552"/>
    <cellStyle name="Comma 5 3 3 2 2 5" xfId="10553"/>
    <cellStyle name="Comma 5 3 3 2 2 5 2" xfId="10554"/>
    <cellStyle name="Comma 5 3 3 2 2 5 3" xfId="10555"/>
    <cellStyle name="Comma 5 3 3 2 2 6" xfId="10556"/>
    <cellStyle name="Comma 5 3 3 2 2 6 2" xfId="10557"/>
    <cellStyle name="Comma 5 3 3 2 2 6 3" xfId="10558"/>
    <cellStyle name="Comma 5 3 3 2 2 7" xfId="10559"/>
    <cellStyle name="Comma 5 3 3 2 2 8" xfId="10560"/>
    <cellStyle name="Comma 5 3 3 2 3" xfId="10561"/>
    <cellStyle name="Comma 5 3 3 2 3 2" xfId="10562"/>
    <cellStyle name="Comma 5 3 3 2 3 2 2" xfId="10563"/>
    <cellStyle name="Comma 5 3 3 2 3 2 2 2" xfId="10564"/>
    <cellStyle name="Comma 5 3 3 2 3 2 2 3" xfId="10565"/>
    <cellStyle name="Comma 5 3 3 2 3 2 3" xfId="10566"/>
    <cellStyle name="Comma 5 3 3 2 3 2 3 2" xfId="10567"/>
    <cellStyle name="Comma 5 3 3 2 3 2 3 3" xfId="10568"/>
    <cellStyle name="Comma 5 3 3 2 3 2 4" xfId="10569"/>
    <cellStyle name="Comma 5 3 3 2 3 2 5" xfId="10570"/>
    <cellStyle name="Comma 5 3 3 2 3 3" xfId="10571"/>
    <cellStyle name="Comma 5 3 3 2 3 3 2" xfId="10572"/>
    <cellStyle name="Comma 5 3 3 2 3 3 3" xfId="10573"/>
    <cellStyle name="Comma 5 3 3 2 3 4" xfId="10574"/>
    <cellStyle name="Comma 5 3 3 2 3 4 2" xfId="10575"/>
    <cellStyle name="Comma 5 3 3 2 3 4 3" xfId="10576"/>
    <cellStyle name="Comma 5 3 3 2 3 5" xfId="10577"/>
    <cellStyle name="Comma 5 3 3 2 3 6" xfId="10578"/>
    <cellStyle name="Comma 5 3 3 2 4" xfId="10579"/>
    <cellStyle name="Comma 5 3 3 2 4 2" xfId="10580"/>
    <cellStyle name="Comma 5 3 3 2 4 2 2" xfId="10581"/>
    <cellStyle name="Comma 5 3 3 2 4 2 2 2" xfId="10582"/>
    <cellStyle name="Comma 5 3 3 2 4 2 2 3" xfId="10583"/>
    <cellStyle name="Comma 5 3 3 2 4 2 3" xfId="10584"/>
    <cellStyle name="Comma 5 3 3 2 4 2 3 2" xfId="10585"/>
    <cellStyle name="Comma 5 3 3 2 4 2 3 3" xfId="10586"/>
    <cellStyle name="Comma 5 3 3 2 4 2 4" xfId="10587"/>
    <cellStyle name="Comma 5 3 3 2 4 2 5" xfId="10588"/>
    <cellStyle name="Comma 5 3 3 2 4 3" xfId="10589"/>
    <cellStyle name="Comma 5 3 3 2 4 3 2" xfId="10590"/>
    <cellStyle name="Comma 5 3 3 2 4 3 3" xfId="10591"/>
    <cellStyle name="Comma 5 3 3 2 4 4" xfId="10592"/>
    <cellStyle name="Comma 5 3 3 2 4 4 2" xfId="10593"/>
    <cellStyle name="Comma 5 3 3 2 4 4 3" xfId="10594"/>
    <cellStyle name="Comma 5 3 3 2 4 5" xfId="10595"/>
    <cellStyle name="Comma 5 3 3 2 4 6" xfId="10596"/>
    <cellStyle name="Comma 5 3 3 2 5" xfId="10597"/>
    <cellStyle name="Comma 5 3 3 2 5 2" xfId="10598"/>
    <cellStyle name="Comma 5 3 3 2 5 2 2" xfId="10599"/>
    <cellStyle name="Comma 5 3 3 2 5 2 3" xfId="10600"/>
    <cellStyle name="Comma 5 3 3 2 5 3" xfId="10601"/>
    <cellStyle name="Comma 5 3 3 2 5 3 2" xfId="10602"/>
    <cellStyle name="Comma 5 3 3 2 5 3 3" xfId="10603"/>
    <cellStyle name="Comma 5 3 3 2 5 4" xfId="10604"/>
    <cellStyle name="Comma 5 3 3 2 5 5" xfId="10605"/>
    <cellStyle name="Comma 5 3 3 2 6" xfId="10606"/>
    <cellStyle name="Comma 5 3 3 2 6 2" xfId="10607"/>
    <cellStyle name="Comma 5 3 3 2 6 3" xfId="10608"/>
    <cellStyle name="Comma 5 3 3 2 7" xfId="10609"/>
    <cellStyle name="Comma 5 3 3 2 7 2" xfId="10610"/>
    <cellStyle name="Comma 5 3 3 2 7 3" xfId="10611"/>
    <cellStyle name="Comma 5 3 3 2 8" xfId="10612"/>
    <cellStyle name="Comma 5 3 3 2 9" xfId="10613"/>
    <cellStyle name="Comma 5 3 3 3" xfId="10614"/>
    <cellStyle name="Comma 5 3 3 3 2" xfId="10615"/>
    <cellStyle name="Comma 5 3 3 3 2 2" xfId="10616"/>
    <cellStyle name="Comma 5 3 3 3 2 2 2" xfId="10617"/>
    <cellStyle name="Comma 5 3 3 3 2 2 2 2" xfId="10618"/>
    <cellStyle name="Comma 5 3 3 3 2 2 2 3" xfId="10619"/>
    <cellStyle name="Comma 5 3 3 3 2 2 3" xfId="10620"/>
    <cellStyle name="Comma 5 3 3 3 2 2 3 2" xfId="10621"/>
    <cellStyle name="Comma 5 3 3 3 2 2 3 3" xfId="10622"/>
    <cellStyle name="Comma 5 3 3 3 2 2 4" xfId="10623"/>
    <cellStyle name="Comma 5 3 3 3 2 2 5" xfId="10624"/>
    <cellStyle name="Comma 5 3 3 3 2 3" xfId="10625"/>
    <cellStyle name="Comma 5 3 3 3 2 3 2" xfId="10626"/>
    <cellStyle name="Comma 5 3 3 3 2 3 3" xfId="10627"/>
    <cellStyle name="Comma 5 3 3 3 2 4" xfId="10628"/>
    <cellStyle name="Comma 5 3 3 3 2 4 2" xfId="10629"/>
    <cellStyle name="Comma 5 3 3 3 2 4 3" xfId="10630"/>
    <cellStyle name="Comma 5 3 3 3 2 5" xfId="10631"/>
    <cellStyle name="Comma 5 3 3 3 2 6" xfId="10632"/>
    <cellStyle name="Comma 5 3 3 3 3" xfId="10633"/>
    <cellStyle name="Comma 5 3 3 3 3 2" xfId="10634"/>
    <cellStyle name="Comma 5 3 3 3 3 2 2" xfId="10635"/>
    <cellStyle name="Comma 5 3 3 3 3 2 2 2" xfId="10636"/>
    <cellStyle name="Comma 5 3 3 3 3 2 2 3" xfId="10637"/>
    <cellStyle name="Comma 5 3 3 3 3 2 3" xfId="10638"/>
    <cellStyle name="Comma 5 3 3 3 3 2 3 2" xfId="10639"/>
    <cellStyle name="Comma 5 3 3 3 3 2 3 3" xfId="10640"/>
    <cellStyle name="Comma 5 3 3 3 3 2 4" xfId="10641"/>
    <cellStyle name="Comma 5 3 3 3 3 2 5" xfId="10642"/>
    <cellStyle name="Comma 5 3 3 3 3 3" xfId="10643"/>
    <cellStyle name="Comma 5 3 3 3 3 3 2" xfId="10644"/>
    <cellStyle name="Comma 5 3 3 3 3 3 3" xfId="10645"/>
    <cellStyle name="Comma 5 3 3 3 3 4" xfId="10646"/>
    <cellStyle name="Comma 5 3 3 3 3 4 2" xfId="10647"/>
    <cellStyle name="Comma 5 3 3 3 3 4 3" xfId="10648"/>
    <cellStyle name="Comma 5 3 3 3 3 5" xfId="10649"/>
    <cellStyle name="Comma 5 3 3 3 3 6" xfId="10650"/>
    <cellStyle name="Comma 5 3 3 3 4" xfId="10651"/>
    <cellStyle name="Comma 5 3 3 3 4 2" xfId="10652"/>
    <cellStyle name="Comma 5 3 3 3 4 2 2" xfId="10653"/>
    <cellStyle name="Comma 5 3 3 3 4 2 3" xfId="10654"/>
    <cellStyle name="Comma 5 3 3 3 4 3" xfId="10655"/>
    <cellStyle name="Comma 5 3 3 3 4 3 2" xfId="10656"/>
    <cellStyle name="Comma 5 3 3 3 4 3 3" xfId="10657"/>
    <cellStyle name="Comma 5 3 3 3 4 4" xfId="10658"/>
    <cellStyle name="Comma 5 3 3 3 4 5" xfId="10659"/>
    <cellStyle name="Comma 5 3 3 3 5" xfId="10660"/>
    <cellStyle name="Comma 5 3 3 3 5 2" xfId="10661"/>
    <cellStyle name="Comma 5 3 3 3 5 3" xfId="10662"/>
    <cellStyle name="Comma 5 3 3 3 6" xfId="10663"/>
    <cellStyle name="Comma 5 3 3 3 6 2" xfId="10664"/>
    <cellStyle name="Comma 5 3 3 3 6 3" xfId="10665"/>
    <cellStyle name="Comma 5 3 3 3 7" xfId="10666"/>
    <cellStyle name="Comma 5 3 3 3 8" xfId="10667"/>
    <cellStyle name="Comma 5 3 3 4" xfId="10668"/>
    <cellStyle name="Comma 5 3 3 4 2" xfId="10669"/>
    <cellStyle name="Comma 5 3 3 4 2 2" xfId="10670"/>
    <cellStyle name="Comma 5 3 3 4 2 2 2" xfId="10671"/>
    <cellStyle name="Comma 5 3 3 4 2 2 3" xfId="10672"/>
    <cellStyle name="Comma 5 3 3 4 2 3" xfId="10673"/>
    <cellStyle name="Comma 5 3 3 4 2 3 2" xfId="10674"/>
    <cellStyle name="Comma 5 3 3 4 2 3 3" xfId="10675"/>
    <cellStyle name="Comma 5 3 3 4 2 4" xfId="10676"/>
    <cellStyle name="Comma 5 3 3 4 2 5" xfId="10677"/>
    <cellStyle name="Comma 5 3 3 4 3" xfId="10678"/>
    <cellStyle name="Comma 5 3 3 4 3 2" xfId="10679"/>
    <cellStyle name="Comma 5 3 3 4 3 3" xfId="10680"/>
    <cellStyle name="Comma 5 3 3 4 4" xfId="10681"/>
    <cellStyle name="Comma 5 3 3 4 4 2" xfId="10682"/>
    <cellStyle name="Comma 5 3 3 4 4 3" xfId="10683"/>
    <cellStyle name="Comma 5 3 3 4 5" xfId="10684"/>
    <cellStyle name="Comma 5 3 3 4 6" xfId="10685"/>
    <cellStyle name="Comma 5 3 3 5" xfId="10686"/>
    <cellStyle name="Comma 5 3 3 5 2" xfId="10687"/>
    <cellStyle name="Comma 5 3 3 5 2 2" xfId="10688"/>
    <cellStyle name="Comma 5 3 3 5 2 2 2" xfId="10689"/>
    <cellStyle name="Comma 5 3 3 5 2 2 3" xfId="10690"/>
    <cellStyle name="Comma 5 3 3 5 2 3" xfId="10691"/>
    <cellStyle name="Comma 5 3 3 5 2 3 2" xfId="10692"/>
    <cellStyle name="Comma 5 3 3 5 2 3 3" xfId="10693"/>
    <cellStyle name="Comma 5 3 3 5 2 4" xfId="10694"/>
    <cellStyle name="Comma 5 3 3 5 2 5" xfId="10695"/>
    <cellStyle name="Comma 5 3 3 5 3" xfId="10696"/>
    <cellStyle name="Comma 5 3 3 5 3 2" xfId="10697"/>
    <cellStyle name="Comma 5 3 3 5 3 3" xfId="10698"/>
    <cellStyle name="Comma 5 3 3 5 4" xfId="10699"/>
    <cellStyle name="Comma 5 3 3 5 4 2" xfId="10700"/>
    <cellStyle name="Comma 5 3 3 5 4 3" xfId="10701"/>
    <cellStyle name="Comma 5 3 3 5 5" xfId="10702"/>
    <cellStyle name="Comma 5 3 3 5 6" xfId="10703"/>
    <cellStyle name="Comma 5 3 3 6" xfId="10704"/>
    <cellStyle name="Comma 5 3 3 6 2" xfId="10705"/>
    <cellStyle name="Comma 5 3 3 6 2 2" xfId="10706"/>
    <cellStyle name="Comma 5 3 3 6 2 3" xfId="10707"/>
    <cellStyle name="Comma 5 3 3 6 3" xfId="10708"/>
    <cellStyle name="Comma 5 3 3 6 3 2" xfId="10709"/>
    <cellStyle name="Comma 5 3 3 6 3 3" xfId="10710"/>
    <cellStyle name="Comma 5 3 3 6 4" xfId="10711"/>
    <cellStyle name="Comma 5 3 3 6 5" xfId="10712"/>
    <cellStyle name="Comma 5 3 3 7" xfId="10713"/>
    <cellStyle name="Comma 5 3 3 7 2" xfId="10714"/>
    <cellStyle name="Comma 5 3 3 7 3" xfId="10715"/>
    <cellStyle name="Comma 5 3 3 8" xfId="10716"/>
    <cellStyle name="Comma 5 3 3 8 2" xfId="10717"/>
    <cellStyle name="Comma 5 3 3 8 3" xfId="10718"/>
    <cellStyle name="Comma 5 3 3 9" xfId="10719"/>
    <cellStyle name="Comma 5 3 4" xfId="10720"/>
    <cellStyle name="Comma 5 3 4 2" xfId="10721"/>
    <cellStyle name="Comma 5 3 4 2 2" xfId="10722"/>
    <cellStyle name="Comma 5 3 4 2 2 2" xfId="10723"/>
    <cellStyle name="Comma 5 3 4 2 2 2 2" xfId="10724"/>
    <cellStyle name="Comma 5 3 4 2 2 2 2 2" xfId="10725"/>
    <cellStyle name="Comma 5 3 4 2 2 2 2 3" xfId="10726"/>
    <cellStyle name="Comma 5 3 4 2 2 2 3" xfId="10727"/>
    <cellStyle name="Comma 5 3 4 2 2 2 3 2" xfId="10728"/>
    <cellStyle name="Comma 5 3 4 2 2 2 3 3" xfId="10729"/>
    <cellStyle name="Comma 5 3 4 2 2 2 4" xfId="10730"/>
    <cellStyle name="Comma 5 3 4 2 2 2 5" xfId="10731"/>
    <cellStyle name="Comma 5 3 4 2 2 3" xfId="10732"/>
    <cellStyle name="Comma 5 3 4 2 2 3 2" xfId="10733"/>
    <cellStyle name="Comma 5 3 4 2 2 3 3" xfId="10734"/>
    <cellStyle name="Comma 5 3 4 2 2 4" xfId="10735"/>
    <cellStyle name="Comma 5 3 4 2 2 4 2" xfId="10736"/>
    <cellStyle name="Comma 5 3 4 2 2 4 3" xfId="10737"/>
    <cellStyle name="Comma 5 3 4 2 2 5" xfId="10738"/>
    <cellStyle name="Comma 5 3 4 2 2 6" xfId="10739"/>
    <cellStyle name="Comma 5 3 4 2 3" xfId="10740"/>
    <cellStyle name="Comma 5 3 4 2 3 2" xfId="10741"/>
    <cellStyle name="Comma 5 3 4 2 3 2 2" xfId="10742"/>
    <cellStyle name="Comma 5 3 4 2 3 2 2 2" xfId="10743"/>
    <cellStyle name="Comma 5 3 4 2 3 2 2 3" xfId="10744"/>
    <cellStyle name="Comma 5 3 4 2 3 2 3" xfId="10745"/>
    <cellStyle name="Comma 5 3 4 2 3 2 3 2" xfId="10746"/>
    <cellStyle name="Comma 5 3 4 2 3 2 3 3" xfId="10747"/>
    <cellStyle name="Comma 5 3 4 2 3 2 4" xfId="10748"/>
    <cellStyle name="Comma 5 3 4 2 3 2 5" xfId="10749"/>
    <cellStyle name="Comma 5 3 4 2 3 3" xfId="10750"/>
    <cellStyle name="Comma 5 3 4 2 3 3 2" xfId="10751"/>
    <cellStyle name="Comma 5 3 4 2 3 3 3" xfId="10752"/>
    <cellStyle name="Comma 5 3 4 2 3 4" xfId="10753"/>
    <cellStyle name="Comma 5 3 4 2 3 4 2" xfId="10754"/>
    <cellStyle name="Comma 5 3 4 2 3 4 3" xfId="10755"/>
    <cellStyle name="Comma 5 3 4 2 3 5" xfId="10756"/>
    <cellStyle name="Comma 5 3 4 2 3 6" xfId="10757"/>
    <cellStyle name="Comma 5 3 4 2 4" xfId="10758"/>
    <cellStyle name="Comma 5 3 4 2 4 2" xfId="10759"/>
    <cellStyle name="Comma 5 3 4 2 4 2 2" xfId="10760"/>
    <cellStyle name="Comma 5 3 4 2 4 2 3" xfId="10761"/>
    <cellStyle name="Comma 5 3 4 2 4 3" xfId="10762"/>
    <cellStyle name="Comma 5 3 4 2 4 3 2" xfId="10763"/>
    <cellStyle name="Comma 5 3 4 2 4 3 3" xfId="10764"/>
    <cellStyle name="Comma 5 3 4 2 4 4" xfId="10765"/>
    <cellStyle name="Comma 5 3 4 2 4 5" xfId="10766"/>
    <cellStyle name="Comma 5 3 4 2 5" xfId="10767"/>
    <cellStyle name="Comma 5 3 4 2 5 2" xfId="10768"/>
    <cellStyle name="Comma 5 3 4 2 5 3" xfId="10769"/>
    <cellStyle name="Comma 5 3 4 2 6" xfId="10770"/>
    <cellStyle name="Comma 5 3 4 2 6 2" xfId="10771"/>
    <cellStyle name="Comma 5 3 4 2 6 3" xfId="10772"/>
    <cellStyle name="Comma 5 3 4 2 7" xfId="10773"/>
    <cellStyle name="Comma 5 3 4 2 8" xfId="10774"/>
    <cellStyle name="Comma 5 3 4 3" xfId="10775"/>
    <cellStyle name="Comma 5 3 4 3 2" xfId="10776"/>
    <cellStyle name="Comma 5 3 4 3 2 2" xfId="10777"/>
    <cellStyle name="Comma 5 3 4 3 2 2 2" xfId="10778"/>
    <cellStyle name="Comma 5 3 4 3 2 2 3" xfId="10779"/>
    <cellStyle name="Comma 5 3 4 3 2 3" xfId="10780"/>
    <cellStyle name="Comma 5 3 4 3 2 3 2" xfId="10781"/>
    <cellStyle name="Comma 5 3 4 3 2 3 3" xfId="10782"/>
    <cellStyle name="Comma 5 3 4 3 2 4" xfId="10783"/>
    <cellStyle name="Comma 5 3 4 3 2 5" xfId="10784"/>
    <cellStyle name="Comma 5 3 4 3 3" xfId="10785"/>
    <cellStyle name="Comma 5 3 4 3 3 2" xfId="10786"/>
    <cellStyle name="Comma 5 3 4 3 3 3" xfId="10787"/>
    <cellStyle name="Comma 5 3 4 3 4" xfId="10788"/>
    <cellStyle name="Comma 5 3 4 3 4 2" xfId="10789"/>
    <cellStyle name="Comma 5 3 4 3 4 3" xfId="10790"/>
    <cellStyle name="Comma 5 3 4 3 5" xfId="10791"/>
    <cellStyle name="Comma 5 3 4 3 6" xfId="10792"/>
    <cellStyle name="Comma 5 3 4 4" xfId="10793"/>
    <cellStyle name="Comma 5 3 4 4 2" xfId="10794"/>
    <cellStyle name="Comma 5 3 4 4 2 2" xfId="10795"/>
    <cellStyle name="Comma 5 3 4 4 2 2 2" xfId="10796"/>
    <cellStyle name="Comma 5 3 4 4 2 2 3" xfId="10797"/>
    <cellStyle name="Comma 5 3 4 4 2 3" xfId="10798"/>
    <cellStyle name="Comma 5 3 4 4 2 3 2" xfId="10799"/>
    <cellStyle name="Comma 5 3 4 4 2 3 3" xfId="10800"/>
    <cellStyle name="Comma 5 3 4 4 2 4" xfId="10801"/>
    <cellStyle name="Comma 5 3 4 4 2 5" xfId="10802"/>
    <cellStyle name="Comma 5 3 4 4 3" xfId="10803"/>
    <cellStyle name="Comma 5 3 4 4 3 2" xfId="10804"/>
    <cellStyle name="Comma 5 3 4 4 3 3" xfId="10805"/>
    <cellStyle name="Comma 5 3 4 4 4" xfId="10806"/>
    <cellStyle name="Comma 5 3 4 4 4 2" xfId="10807"/>
    <cellStyle name="Comma 5 3 4 4 4 3" xfId="10808"/>
    <cellStyle name="Comma 5 3 4 4 5" xfId="10809"/>
    <cellStyle name="Comma 5 3 4 4 6" xfId="10810"/>
    <cellStyle name="Comma 5 3 4 5" xfId="10811"/>
    <cellStyle name="Comma 5 3 4 5 2" xfId="10812"/>
    <cellStyle name="Comma 5 3 4 5 2 2" xfId="10813"/>
    <cellStyle name="Comma 5 3 4 5 2 3" xfId="10814"/>
    <cellStyle name="Comma 5 3 4 5 3" xfId="10815"/>
    <cellStyle name="Comma 5 3 4 5 3 2" xfId="10816"/>
    <cellStyle name="Comma 5 3 4 5 3 3" xfId="10817"/>
    <cellStyle name="Comma 5 3 4 5 4" xfId="10818"/>
    <cellStyle name="Comma 5 3 4 5 5" xfId="10819"/>
    <cellStyle name="Comma 5 3 4 6" xfId="10820"/>
    <cellStyle name="Comma 5 3 4 6 2" xfId="10821"/>
    <cellStyle name="Comma 5 3 4 6 3" xfId="10822"/>
    <cellStyle name="Comma 5 3 4 7" xfId="10823"/>
    <cellStyle name="Comma 5 3 4 7 2" xfId="10824"/>
    <cellStyle name="Comma 5 3 4 7 3" xfId="10825"/>
    <cellStyle name="Comma 5 3 4 8" xfId="10826"/>
    <cellStyle name="Comma 5 3 4 9" xfId="10827"/>
    <cellStyle name="Comma 5 3 5" xfId="10828"/>
    <cellStyle name="Comma 5 3 5 2" xfId="10829"/>
    <cellStyle name="Comma 5 3 5 2 2" xfId="10830"/>
    <cellStyle name="Comma 5 3 5 2 2 2" xfId="10831"/>
    <cellStyle name="Comma 5 3 5 2 2 2 2" xfId="10832"/>
    <cellStyle name="Comma 5 3 5 2 2 2 3" xfId="10833"/>
    <cellStyle name="Comma 5 3 5 2 2 3" xfId="10834"/>
    <cellStyle name="Comma 5 3 5 2 2 3 2" xfId="10835"/>
    <cellStyle name="Comma 5 3 5 2 2 3 3" xfId="10836"/>
    <cellStyle name="Comma 5 3 5 2 2 4" xfId="10837"/>
    <cellStyle name="Comma 5 3 5 2 2 5" xfId="10838"/>
    <cellStyle name="Comma 5 3 5 2 3" xfId="10839"/>
    <cellStyle name="Comma 5 3 5 2 3 2" xfId="10840"/>
    <cellStyle name="Comma 5 3 5 2 3 3" xfId="10841"/>
    <cellStyle name="Comma 5 3 5 2 4" xfId="10842"/>
    <cellStyle name="Comma 5 3 5 2 4 2" xfId="10843"/>
    <cellStyle name="Comma 5 3 5 2 4 3" xfId="10844"/>
    <cellStyle name="Comma 5 3 5 2 5" xfId="10845"/>
    <cellStyle name="Comma 5 3 5 2 6" xfId="10846"/>
    <cellStyle name="Comma 5 3 5 3" xfId="10847"/>
    <cellStyle name="Comma 5 3 5 3 2" xfId="10848"/>
    <cellStyle name="Comma 5 3 5 3 2 2" xfId="10849"/>
    <cellStyle name="Comma 5 3 5 3 2 2 2" xfId="10850"/>
    <cellStyle name="Comma 5 3 5 3 2 2 3" xfId="10851"/>
    <cellStyle name="Comma 5 3 5 3 2 3" xfId="10852"/>
    <cellStyle name="Comma 5 3 5 3 2 3 2" xfId="10853"/>
    <cellStyle name="Comma 5 3 5 3 2 3 3" xfId="10854"/>
    <cellStyle name="Comma 5 3 5 3 2 4" xfId="10855"/>
    <cellStyle name="Comma 5 3 5 3 2 5" xfId="10856"/>
    <cellStyle name="Comma 5 3 5 3 3" xfId="10857"/>
    <cellStyle name="Comma 5 3 5 3 3 2" xfId="10858"/>
    <cellStyle name="Comma 5 3 5 3 3 3" xfId="10859"/>
    <cellStyle name="Comma 5 3 5 3 4" xfId="10860"/>
    <cellStyle name="Comma 5 3 5 3 4 2" xfId="10861"/>
    <cellStyle name="Comma 5 3 5 3 4 3" xfId="10862"/>
    <cellStyle name="Comma 5 3 5 3 5" xfId="10863"/>
    <cellStyle name="Comma 5 3 5 3 6" xfId="10864"/>
    <cellStyle name="Comma 5 3 5 4" xfId="10865"/>
    <cellStyle name="Comma 5 3 5 4 2" xfId="10866"/>
    <cellStyle name="Comma 5 3 5 4 2 2" xfId="10867"/>
    <cellStyle name="Comma 5 3 5 4 2 3" xfId="10868"/>
    <cellStyle name="Comma 5 3 5 4 3" xfId="10869"/>
    <cellStyle name="Comma 5 3 5 4 3 2" xfId="10870"/>
    <cellStyle name="Comma 5 3 5 4 3 3" xfId="10871"/>
    <cellStyle name="Comma 5 3 5 4 4" xfId="10872"/>
    <cellStyle name="Comma 5 3 5 4 5" xfId="10873"/>
    <cellStyle name="Comma 5 3 5 5" xfId="10874"/>
    <cellStyle name="Comma 5 3 5 5 2" xfId="10875"/>
    <cellStyle name="Comma 5 3 5 5 3" xfId="10876"/>
    <cellStyle name="Comma 5 3 5 6" xfId="10877"/>
    <cellStyle name="Comma 5 3 5 6 2" xfId="10878"/>
    <cellStyle name="Comma 5 3 5 6 3" xfId="10879"/>
    <cellStyle name="Comma 5 3 5 7" xfId="10880"/>
    <cellStyle name="Comma 5 3 5 8" xfId="10881"/>
    <cellStyle name="Comma 5 3 6" xfId="10882"/>
    <cellStyle name="Comma 5 3 6 2" xfId="10883"/>
    <cellStyle name="Comma 5 3 6 2 2" xfId="10884"/>
    <cellStyle name="Comma 5 3 6 2 2 2" xfId="10885"/>
    <cellStyle name="Comma 5 3 6 2 2 3" xfId="10886"/>
    <cellStyle name="Comma 5 3 6 2 3" xfId="10887"/>
    <cellStyle name="Comma 5 3 6 2 3 2" xfId="10888"/>
    <cellStyle name="Comma 5 3 6 2 3 3" xfId="10889"/>
    <cellStyle name="Comma 5 3 6 2 4" xfId="10890"/>
    <cellStyle name="Comma 5 3 6 2 5" xfId="10891"/>
    <cellStyle name="Comma 5 3 6 3" xfId="10892"/>
    <cellStyle name="Comma 5 3 6 3 2" xfId="10893"/>
    <cellStyle name="Comma 5 3 6 3 3" xfId="10894"/>
    <cellStyle name="Comma 5 3 6 4" xfId="10895"/>
    <cellStyle name="Comma 5 3 6 4 2" xfId="10896"/>
    <cellStyle name="Comma 5 3 6 4 3" xfId="10897"/>
    <cellStyle name="Comma 5 3 6 5" xfId="10898"/>
    <cellStyle name="Comma 5 3 6 6" xfId="10899"/>
    <cellStyle name="Comma 5 3 7" xfId="10900"/>
    <cellStyle name="Comma 5 3 7 2" xfId="10901"/>
    <cellStyle name="Comma 5 3 7 2 2" xfId="10902"/>
    <cellStyle name="Comma 5 3 7 2 2 2" xfId="10903"/>
    <cellStyle name="Comma 5 3 7 2 2 3" xfId="10904"/>
    <cellStyle name="Comma 5 3 7 2 3" xfId="10905"/>
    <cellStyle name="Comma 5 3 7 2 3 2" xfId="10906"/>
    <cellStyle name="Comma 5 3 7 2 3 3" xfId="10907"/>
    <cellStyle name="Comma 5 3 7 2 4" xfId="10908"/>
    <cellStyle name="Comma 5 3 7 2 5" xfId="10909"/>
    <cellStyle name="Comma 5 3 7 3" xfId="10910"/>
    <cellStyle name="Comma 5 3 7 3 2" xfId="10911"/>
    <cellStyle name="Comma 5 3 7 3 3" xfId="10912"/>
    <cellStyle name="Comma 5 3 7 4" xfId="10913"/>
    <cellStyle name="Comma 5 3 7 4 2" xfId="10914"/>
    <cellStyle name="Comma 5 3 7 4 3" xfId="10915"/>
    <cellStyle name="Comma 5 3 7 5" xfId="10916"/>
    <cellStyle name="Comma 5 3 7 6" xfId="10917"/>
    <cellStyle name="Comma 5 3 8" xfId="10918"/>
    <cellStyle name="Comma 5 3 8 2" xfId="10919"/>
    <cellStyle name="Comma 5 3 8 2 2" xfId="10920"/>
    <cellStyle name="Comma 5 3 8 2 3" xfId="10921"/>
    <cellStyle name="Comma 5 3 8 3" xfId="10922"/>
    <cellStyle name="Comma 5 3 8 3 2" xfId="10923"/>
    <cellStyle name="Comma 5 3 8 3 3" xfId="10924"/>
    <cellStyle name="Comma 5 3 8 4" xfId="10925"/>
    <cellStyle name="Comma 5 3 8 5" xfId="10926"/>
    <cellStyle name="Comma 5 3 9" xfId="10927"/>
    <cellStyle name="Comma 5 3 9 2" xfId="10928"/>
    <cellStyle name="Comma 5 3 9 3" xfId="10929"/>
    <cellStyle name="Comma 5 4" xfId="10930"/>
    <cellStyle name="Comma 5 4 10" xfId="10931"/>
    <cellStyle name="Comma 5 4 2" xfId="10932"/>
    <cellStyle name="Comma 5 4 2 2" xfId="10933"/>
    <cellStyle name="Comma 5 4 2 2 2" xfId="10934"/>
    <cellStyle name="Comma 5 4 2 2 2 2" xfId="10935"/>
    <cellStyle name="Comma 5 4 2 2 2 2 2" xfId="10936"/>
    <cellStyle name="Comma 5 4 2 2 2 2 2 2" xfId="10937"/>
    <cellStyle name="Comma 5 4 2 2 2 2 2 3" xfId="10938"/>
    <cellStyle name="Comma 5 4 2 2 2 2 3" xfId="10939"/>
    <cellStyle name="Comma 5 4 2 2 2 2 3 2" xfId="10940"/>
    <cellStyle name="Comma 5 4 2 2 2 2 3 3" xfId="10941"/>
    <cellStyle name="Comma 5 4 2 2 2 2 4" xfId="10942"/>
    <cellStyle name="Comma 5 4 2 2 2 2 5" xfId="10943"/>
    <cellStyle name="Comma 5 4 2 2 2 3" xfId="10944"/>
    <cellStyle name="Comma 5 4 2 2 2 3 2" xfId="10945"/>
    <cellStyle name="Comma 5 4 2 2 2 3 3" xfId="10946"/>
    <cellStyle name="Comma 5 4 2 2 2 4" xfId="10947"/>
    <cellStyle name="Comma 5 4 2 2 2 4 2" xfId="10948"/>
    <cellStyle name="Comma 5 4 2 2 2 4 3" xfId="10949"/>
    <cellStyle name="Comma 5 4 2 2 2 5" xfId="10950"/>
    <cellStyle name="Comma 5 4 2 2 2 6" xfId="10951"/>
    <cellStyle name="Comma 5 4 2 2 3" xfId="10952"/>
    <cellStyle name="Comma 5 4 2 2 3 2" xfId="10953"/>
    <cellStyle name="Comma 5 4 2 2 3 2 2" xfId="10954"/>
    <cellStyle name="Comma 5 4 2 2 3 2 2 2" xfId="10955"/>
    <cellStyle name="Comma 5 4 2 2 3 2 2 3" xfId="10956"/>
    <cellStyle name="Comma 5 4 2 2 3 2 3" xfId="10957"/>
    <cellStyle name="Comma 5 4 2 2 3 2 3 2" xfId="10958"/>
    <cellStyle name="Comma 5 4 2 2 3 2 3 3" xfId="10959"/>
    <cellStyle name="Comma 5 4 2 2 3 2 4" xfId="10960"/>
    <cellStyle name="Comma 5 4 2 2 3 2 5" xfId="10961"/>
    <cellStyle name="Comma 5 4 2 2 3 3" xfId="10962"/>
    <cellStyle name="Comma 5 4 2 2 3 3 2" xfId="10963"/>
    <cellStyle name="Comma 5 4 2 2 3 3 3" xfId="10964"/>
    <cellStyle name="Comma 5 4 2 2 3 4" xfId="10965"/>
    <cellStyle name="Comma 5 4 2 2 3 4 2" xfId="10966"/>
    <cellStyle name="Comma 5 4 2 2 3 4 3" xfId="10967"/>
    <cellStyle name="Comma 5 4 2 2 3 5" xfId="10968"/>
    <cellStyle name="Comma 5 4 2 2 3 6" xfId="10969"/>
    <cellStyle name="Comma 5 4 2 2 4" xfId="10970"/>
    <cellStyle name="Comma 5 4 2 2 4 2" xfId="10971"/>
    <cellStyle name="Comma 5 4 2 2 4 2 2" xfId="10972"/>
    <cellStyle name="Comma 5 4 2 2 4 2 3" xfId="10973"/>
    <cellStyle name="Comma 5 4 2 2 4 3" xfId="10974"/>
    <cellStyle name="Comma 5 4 2 2 4 3 2" xfId="10975"/>
    <cellStyle name="Comma 5 4 2 2 4 3 3" xfId="10976"/>
    <cellStyle name="Comma 5 4 2 2 4 4" xfId="10977"/>
    <cellStyle name="Comma 5 4 2 2 4 5" xfId="10978"/>
    <cellStyle name="Comma 5 4 2 2 5" xfId="10979"/>
    <cellStyle name="Comma 5 4 2 2 5 2" xfId="10980"/>
    <cellStyle name="Comma 5 4 2 2 5 3" xfId="10981"/>
    <cellStyle name="Comma 5 4 2 2 6" xfId="10982"/>
    <cellStyle name="Comma 5 4 2 2 6 2" xfId="10983"/>
    <cellStyle name="Comma 5 4 2 2 6 3" xfId="10984"/>
    <cellStyle name="Comma 5 4 2 2 7" xfId="10985"/>
    <cellStyle name="Comma 5 4 2 2 8" xfId="10986"/>
    <cellStyle name="Comma 5 4 2 3" xfId="10987"/>
    <cellStyle name="Comma 5 4 2 3 2" xfId="10988"/>
    <cellStyle name="Comma 5 4 2 3 2 2" xfId="10989"/>
    <cellStyle name="Comma 5 4 2 3 2 2 2" xfId="10990"/>
    <cellStyle name="Comma 5 4 2 3 2 2 3" xfId="10991"/>
    <cellStyle name="Comma 5 4 2 3 2 3" xfId="10992"/>
    <cellStyle name="Comma 5 4 2 3 2 3 2" xfId="10993"/>
    <cellStyle name="Comma 5 4 2 3 2 3 3" xfId="10994"/>
    <cellStyle name="Comma 5 4 2 3 2 4" xfId="10995"/>
    <cellStyle name="Comma 5 4 2 3 2 5" xfId="10996"/>
    <cellStyle name="Comma 5 4 2 3 3" xfId="10997"/>
    <cellStyle name="Comma 5 4 2 3 3 2" xfId="10998"/>
    <cellStyle name="Comma 5 4 2 3 3 3" xfId="10999"/>
    <cellStyle name="Comma 5 4 2 3 4" xfId="11000"/>
    <cellStyle name="Comma 5 4 2 3 4 2" xfId="11001"/>
    <cellStyle name="Comma 5 4 2 3 4 3" xfId="11002"/>
    <cellStyle name="Comma 5 4 2 3 5" xfId="11003"/>
    <cellStyle name="Comma 5 4 2 3 6" xfId="11004"/>
    <cellStyle name="Comma 5 4 2 4" xfId="11005"/>
    <cellStyle name="Comma 5 4 2 4 2" xfId="11006"/>
    <cellStyle name="Comma 5 4 2 4 2 2" xfId="11007"/>
    <cellStyle name="Comma 5 4 2 4 2 2 2" xfId="11008"/>
    <cellStyle name="Comma 5 4 2 4 2 2 3" xfId="11009"/>
    <cellStyle name="Comma 5 4 2 4 2 3" xfId="11010"/>
    <cellStyle name="Comma 5 4 2 4 2 3 2" xfId="11011"/>
    <cellStyle name="Comma 5 4 2 4 2 3 3" xfId="11012"/>
    <cellStyle name="Comma 5 4 2 4 2 4" xfId="11013"/>
    <cellStyle name="Comma 5 4 2 4 2 5" xfId="11014"/>
    <cellStyle name="Comma 5 4 2 4 3" xfId="11015"/>
    <cellStyle name="Comma 5 4 2 4 3 2" xfId="11016"/>
    <cellStyle name="Comma 5 4 2 4 3 3" xfId="11017"/>
    <cellStyle name="Comma 5 4 2 4 4" xfId="11018"/>
    <cellStyle name="Comma 5 4 2 4 4 2" xfId="11019"/>
    <cellStyle name="Comma 5 4 2 4 4 3" xfId="11020"/>
    <cellStyle name="Comma 5 4 2 4 5" xfId="11021"/>
    <cellStyle name="Comma 5 4 2 4 6" xfId="11022"/>
    <cellStyle name="Comma 5 4 2 5" xfId="11023"/>
    <cellStyle name="Comma 5 4 2 5 2" xfId="11024"/>
    <cellStyle name="Comma 5 4 2 5 2 2" xfId="11025"/>
    <cellStyle name="Comma 5 4 2 5 2 3" xfId="11026"/>
    <cellStyle name="Comma 5 4 2 5 3" xfId="11027"/>
    <cellStyle name="Comma 5 4 2 5 3 2" xfId="11028"/>
    <cellStyle name="Comma 5 4 2 5 3 3" xfId="11029"/>
    <cellStyle name="Comma 5 4 2 5 4" xfId="11030"/>
    <cellStyle name="Comma 5 4 2 5 5" xfId="11031"/>
    <cellStyle name="Comma 5 4 2 6" xfId="11032"/>
    <cellStyle name="Comma 5 4 2 6 2" xfId="11033"/>
    <cellStyle name="Comma 5 4 2 6 3" xfId="11034"/>
    <cellStyle name="Comma 5 4 2 7" xfId="11035"/>
    <cellStyle name="Comma 5 4 2 7 2" xfId="11036"/>
    <cellStyle name="Comma 5 4 2 7 3" xfId="11037"/>
    <cellStyle name="Comma 5 4 2 8" xfId="11038"/>
    <cellStyle name="Comma 5 4 2 9" xfId="11039"/>
    <cellStyle name="Comma 5 4 3" xfId="11040"/>
    <cellStyle name="Comma 5 4 3 2" xfId="11041"/>
    <cellStyle name="Comma 5 4 3 2 2" xfId="11042"/>
    <cellStyle name="Comma 5 4 3 2 2 2" xfId="11043"/>
    <cellStyle name="Comma 5 4 3 2 2 2 2" xfId="11044"/>
    <cellStyle name="Comma 5 4 3 2 2 2 3" xfId="11045"/>
    <cellStyle name="Comma 5 4 3 2 2 3" xfId="11046"/>
    <cellStyle name="Comma 5 4 3 2 2 3 2" xfId="11047"/>
    <cellStyle name="Comma 5 4 3 2 2 3 3" xfId="11048"/>
    <cellStyle name="Comma 5 4 3 2 2 4" xfId="11049"/>
    <cellStyle name="Comma 5 4 3 2 2 5" xfId="11050"/>
    <cellStyle name="Comma 5 4 3 2 3" xfId="11051"/>
    <cellStyle name="Comma 5 4 3 2 3 2" xfId="11052"/>
    <cellStyle name="Comma 5 4 3 2 3 3" xfId="11053"/>
    <cellStyle name="Comma 5 4 3 2 4" xfId="11054"/>
    <cellStyle name="Comma 5 4 3 2 4 2" xfId="11055"/>
    <cellStyle name="Comma 5 4 3 2 4 3" xfId="11056"/>
    <cellStyle name="Comma 5 4 3 2 5" xfId="11057"/>
    <cellStyle name="Comma 5 4 3 2 6" xfId="11058"/>
    <cellStyle name="Comma 5 4 3 3" xfId="11059"/>
    <cellStyle name="Comma 5 4 3 3 2" xfId="11060"/>
    <cellStyle name="Comma 5 4 3 3 2 2" xfId="11061"/>
    <cellStyle name="Comma 5 4 3 3 2 2 2" xfId="11062"/>
    <cellStyle name="Comma 5 4 3 3 2 2 3" xfId="11063"/>
    <cellStyle name="Comma 5 4 3 3 2 3" xfId="11064"/>
    <cellStyle name="Comma 5 4 3 3 2 3 2" xfId="11065"/>
    <cellStyle name="Comma 5 4 3 3 2 3 3" xfId="11066"/>
    <cellStyle name="Comma 5 4 3 3 2 4" xfId="11067"/>
    <cellStyle name="Comma 5 4 3 3 2 5" xfId="11068"/>
    <cellStyle name="Comma 5 4 3 3 3" xfId="11069"/>
    <cellStyle name="Comma 5 4 3 3 3 2" xfId="11070"/>
    <cellStyle name="Comma 5 4 3 3 3 3" xfId="11071"/>
    <cellStyle name="Comma 5 4 3 3 4" xfId="11072"/>
    <cellStyle name="Comma 5 4 3 3 4 2" xfId="11073"/>
    <cellStyle name="Comma 5 4 3 3 4 3" xfId="11074"/>
    <cellStyle name="Comma 5 4 3 3 5" xfId="11075"/>
    <cellStyle name="Comma 5 4 3 3 6" xfId="11076"/>
    <cellStyle name="Comma 5 4 3 4" xfId="11077"/>
    <cellStyle name="Comma 5 4 3 4 2" xfId="11078"/>
    <cellStyle name="Comma 5 4 3 4 2 2" xfId="11079"/>
    <cellStyle name="Comma 5 4 3 4 2 3" xfId="11080"/>
    <cellStyle name="Comma 5 4 3 4 3" xfId="11081"/>
    <cellStyle name="Comma 5 4 3 4 3 2" xfId="11082"/>
    <cellStyle name="Comma 5 4 3 4 3 3" xfId="11083"/>
    <cellStyle name="Comma 5 4 3 4 4" xfId="11084"/>
    <cellStyle name="Comma 5 4 3 4 5" xfId="11085"/>
    <cellStyle name="Comma 5 4 3 5" xfId="11086"/>
    <cellStyle name="Comma 5 4 3 5 2" xfId="11087"/>
    <cellStyle name="Comma 5 4 3 5 3" xfId="11088"/>
    <cellStyle name="Comma 5 4 3 6" xfId="11089"/>
    <cellStyle name="Comma 5 4 3 6 2" xfId="11090"/>
    <cellStyle name="Comma 5 4 3 6 3" xfId="11091"/>
    <cellStyle name="Comma 5 4 3 7" xfId="11092"/>
    <cellStyle name="Comma 5 4 3 8" xfId="11093"/>
    <cellStyle name="Comma 5 4 4" xfId="11094"/>
    <cellStyle name="Comma 5 4 4 2" xfId="11095"/>
    <cellStyle name="Comma 5 4 4 2 2" xfId="11096"/>
    <cellStyle name="Comma 5 4 4 2 2 2" xfId="11097"/>
    <cellStyle name="Comma 5 4 4 2 2 3" xfId="11098"/>
    <cellStyle name="Comma 5 4 4 2 3" xfId="11099"/>
    <cellStyle name="Comma 5 4 4 2 3 2" xfId="11100"/>
    <cellStyle name="Comma 5 4 4 2 3 3" xfId="11101"/>
    <cellStyle name="Comma 5 4 4 2 4" xfId="11102"/>
    <cellStyle name="Comma 5 4 4 2 5" xfId="11103"/>
    <cellStyle name="Comma 5 4 4 3" xfId="11104"/>
    <cellStyle name="Comma 5 4 4 3 2" xfId="11105"/>
    <cellStyle name="Comma 5 4 4 3 3" xfId="11106"/>
    <cellStyle name="Comma 5 4 4 4" xfId="11107"/>
    <cellStyle name="Comma 5 4 4 4 2" xfId="11108"/>
    <cellStyle name="Comma 5 4 4 4 3" xfId="11109"/>
    <cellStyle name="Comma 5 4 4 5" xfId="11110"/>
    <cellStyle name="Comma 5 4 4 6" xfId="11111"/>
    <cellStyle name="Comma 5 4 5" xfId="11112"/>
    <cellStyle name="Comma 5 4 5 2" xfId="11113"/>
    <cellStyle name="Comma 5 4 5 2 2" xfId="11114"/>
    <cellStyle name="Comma 5 4 5 2 2 2" xfId="11115"/>
    <cellStyle name="Comma 5 4 5 2 2 3" xfId="11116"/>
    <cellStyle name="Comma 5 4 5 2 3" xfId="11117"/>
    <cellStyle name="Comma 5 4 5 2 3 2" xfId="11118"/>
    <cellStyle name="Comma 5 4 5 2 3 3" xfId="11119"/>
    <cellStyle name="Comma 5 4 5 2 4" xfId="11120"/>
    <cellStyle name="Comma 5 4 5 2 5" xfId="11121"/>
    <cellStyle name="Comma 5 4 5 3" xfId="11122"/>
    <cellStyle name="Comma 5 4 5 3 2" xfId="11123"/>
    <cellStyle name="Comma 5 4 5 3 3" xfId="11124"/>
    <cellStyle name="Comma 5 4 5 4" xfId="11125"/>
    <cellStyle name="Comma 5 4 5 4 2" xfId="11126"/>
    <cellStyle name="Comma 5 4 5 4 3" xfId="11127"/>
    <cellStyle name="Comma 5 4 5 5" xfId="11128"/>
    <cellStyle name="Comma 5 4 5 6" xfId="11129"/>
    <cellStyle name="Comma 5 4 6" xfId="11130"/>
    <cellStyle name="Comma 5 4 6 2" xfId="11131"/>
    <cellStyle name="Comma 5 4 6 2 2" xfId="11132"/>
    <cellStyle name="Comma 5 4 6 2 3" xfId="11133"/>
    <cellStyle name="Comma 5 4 6 3" xfId="11134"/>
    <cellStyle name="Comma 5 4 6 3 2" xfId="11135"/>
    <cellStyle name="Comma 5 4 6 3 3" xfId="11136"/>
    <cellStyle name="Comma 5 4 6 4" xfId="11137"/>
    <cellStyle name="Comma 5 4 6 5" xfId="11138"/>
    <cellStyle name="Comma 5 4 7" xfId="11139"/>
    <cellStyle name="Comma 5 4 7 2" xfId="11140"/>
    <cellStyle name="Comma 5 4 7 3" xfId="11141"/>
    <cellStyle name="Comma 5 4 8" xfId="11142"/>
    <cellStyle name="Comma 5 4 8 2" xfId="11143"/>
    <cellStyle name="Comma 5 4 8 3" xfId="11144"/>
    <cellStyle name="Comma 5 4 9" xfId="11145"/>
    <cellStyle name="Comma 5 5" xfId="11146"/>
    <cellStyle name="Comma 5 5 10" xfId="11147"/>
    <cellStyle name="Comma 5 5 2" xfId="11148"/>
    <cellStyle name="Comma 5 5 2 2" xfId="11149"/>
    <cellStyle name="Comma 5 5 2 2 2" xfId="11150"/>
    <cellStyle name="Comma 5 5 2 2 2 2" xfId="11151"/>
    <cellStyle name="Comma 5 5 2 2 2 2 2" xfId="11152"/>
    <cellStyle name="Comma 5 5 2 2 2 2 2 2" xfId="11153"/>
    <cellStyle name="Comma 5 5 2 2 2 2 2 3" xfId="11154"/>
    <cellStyle name="Comma 5 5 2 2 2 2 3" xfId="11155"/>
    <cellStyle name="Comma 5 5 2 2 2 2 3 2" xfId="11156"/>
    <cellStyle name="Comma 5 5 2 2 2 2 3 3" xfId="11157"/>
    <cellStyle name="Comma 5 5 2 2 2 2 4" xfId="11158"/>
    <cellStyle name="Comma 5 5 2 2 2 2 5" xfId="11159"/>
    <cellStyle name="Comma 5 5 2 2 2 3" xfId="11160"/>
    <cellStyle name="Comma 5 5 2 2 2 3 2" xfId="11161"/>
    <cellStyle name="Comma 5 5 2 2 2 3 3" xfId="11162"/>
    <cellStyle name="Comma 5 5 2 2 2 4" xfId="11163"/>
    <cellStyle name="Comma 5 5 2 2 2 4 2" xfId="11164"/>
    <cellStyle name="Comma 5 5 2 2 2 4 3" xfId="11165"/>
    <cellStyle name="Comma 5 5 2 2 2 5" xfId="11166"/>
    <cellStyle name="Comma 5 5 2 2 2 6" xfId="11167"/>
    <cellStyle name="Comma 5 5 2 2 3" xfId="11168"/>
    <cellStyle name="Comma 5 5 2 2 3 2" xfId="11169"/>
    <cellStyle name="Comma 5 5 2 2 3 2 2" xfId="11170"/>
    <cellStyle name="Comma 5 5 2 2 3 2 2 2" xfId="11171"/>
    <cellStyle name="Comma 5 5 2 2 3 2 2 3" xfId="11172"/>
    <cellStyle name="Comma 5 5 2 2 3 2 3" xfId="11173"/>
    <cellStyle name="Comma 5 5 2 2 3 2 3 2" xfId="11174"/>
    <cellStyle name="Comma 5 5 2 2 3 2 3 3" xfId="11175"/>
    <cellStyle name="Comma 5 5 2 2 3 2 4" xfId="11176"/>
    <cellStyle name="Comma 5 5 2 2 3 2 5" xfId="11177"/>
    <cellStyle name="Comma 5 5 2 2 3 3" xfId="11178"/>
    <cellStyle name="Comma 5 5 2 2 3 3 2" xfId="11179"/>
    <cellStyle name="Comma 5 5 2 2 3 3 3" xfId="11180"/>
    <cellStyle name="Comma 5 5 2 2 3 4" xfId="11181"/>
    <cellStyle name="Comma 5 5 2 2 3 4 2" xfId="11182"/>
    <cellStyle name="Comma 5 5 2 2 3 4 3" xfId="11183"/>
    <cellStyle name="Comma 5 5 2 2 3 5" xfId="11184"/>
    <cellStyle name="Comma 5 5 2 2 3 6" xfId="11185"/>
    <cellStyle name="Comma 5 5 2 2 4" xfId="11186"/>
    <cellStyle name="Comma 5 5 2 2 4 2" xfId="11187"/>
    <cellStyle name="Comma 5 5 2 2 4 2 2" xfId="11188"/>
    <cellStyle name="Comma 5 5 2 2 4 2 3" xfId="11189"/>
    <cellStyle name="Comma 5 5 2 2 4 3" xfId="11190"/>
    <cellStyle name="Comma 5 5 2 2 4 3 2" xfId="11191"/>
    <cellStyle name="Comma 5 5 2 2 4 3 3" xfId="11192"/>
    <cellStyle name="Comma 5 5 2 2 4 4" xfId="11193"/>
    <cellStyle name="Comma 5 5 2 2 4 5" xfId="11194"/>
    <cellStyle name="Comma 5 5 2 2 5" xfId="11195"/>
    <cellStyle name="Comma 5 5 2 2 5 2" xfId="11196"/>
    <cellStyle name="Comma 5 5 2 2 5 3" xfId="11197"/>
    <cellStyle name="Comma 5 5 2 2 6" xfId="11198"/>
    <cellStyle name="Comma 5 5 2 2 6 2" xfId="11199"/>
    <cellStyle name="Comma 5 5 2 2 6 3" xfId="11200"/>
    <cellStyle name="Comma 5 5 2 2 7" xfId="11201"/>
    <cellStyle name="Comma 5 5 2 2 8" xfId="11202"/>
    <cellStyle name="Comma 5 5 2 3" xfId="11203"/>
    <cellStyle name="Comma 5 5 2 3 2" xfId="11204"/>
    <cellStyle name="Comma 5 5 2 3 2 2" xfId="11205"/>
    <cellStyle name="Comma 5 5 2 3 2 2 2" xfId="11206"/>
    <cellStyle name="Comma 5 5 2 3 2 2 3" xfId="11207"/>
    <cellStyle name="Comma 5 5 2 3 2 3" xfId="11208"/>
    <cellStyle name="Comma 5 5 2 3 2 3 2" xfId="11209"/>
    <cellStyle name="Comma 5 5 2 3 2 3 3" xfId="11210"/>
    <cellStyle name="Comma 5 5 2 3 2 4" xfId="11211"/>
    <cellStyle name="Comma 5 5 2 3 2 5" xfId="11212"/>
    <cellStyle name="Comma 5 5 2 3 3" xfId="11213"/>
    <cellStyle name="Comma 5 5 2 3 3 2" xfId="11214"/>
    <cellStyle name="Comma 5 5 2 3 3 3" xfId="11215"/>
    <cellStyle name="Comma 5 5 2 3 4" xfId="11216"/>
    <cellStyle name="Comma 5 5 2 3 4 2" xfId="11217"/>
    <cellStyle name="Comma 5 5 2 3 4 3" xfId="11218"/>
    <cellStyle name="Comma 5 5 2 3 5" xfId="11219"/>
    <cellStyle name="Comma 5 5 2 3 6" xfId="11220"/>
    <cellStyle name="Comma 5 5 2 4" xfId="11221"/>
    <cellStyle name="Comma 5 5 2 4 2" xfId="11222"/>
    <cellStyle name="Comma 5 5 2 4 2 2" xfId="11223"/>
    <cellStyle name="Comma 5 5 2 4 2 2 2" xfId="11224"/>
    <cellStyle name="Comma 5 5 2 4 2 2 3" xfId="11225"/>
    <cellStyle name="Comma 5 5 2 4 2 3" xfId="11226"/>
    <cellStyle name="Comma 5 5 2 4 2 3 2" xfId="11227"/>
    <cellStyle name="Comma 5 5 2 4 2 3 3" xfId="11228"/>
    <cellStyle name="Comma 5 5 2 4 2 4" xfId="11229"/>
    <cellStyle name="Comma 5 5 2 4 2 5" xfId="11230"/>
    <cellStyle name="Comma 5 5 2 4 3" xfId="11231"/>
    <cellStyle name="Comma 5 5 2 4 3 2" xfId="11232"/>
    <cellStyle name="Comma 5 5 2 4 3 3" xfId="11233"/>
    <cellStyle name="Comma 5 5 2 4 4" xfId="11234"/>
    <cellStyle name="Comma 5 5 2 4 4 2" xfId="11235"/>
    <cellStyle name="Comma 5 5 2 4 4 3" xfId="11236"/>
    <cellStyle name="Comma 5 5 2 4 5" xfId="11237"/>
    <cellStyle name="Comma 5 5 2 4 6" xfId="11238"/>
    <cellStyle name="Comma 5 5 2 5" xfId="11239"/>
    <cellStyle name="Comma 5 5 2 5 2" xfId="11240"/>
    <cellStyle name="Comma 5 5 2 5 2 2" xfId="11241"/>
    <cellStyle name="Comma 5 5 2 5 2 3" xfId="11242"/>
    <cellStyle name="Comma 5 5 2 5 3" xfId="11243"/>
    <cellStyle name="Comma 5 5 2 5 3 2" xfId="11244"/>
    <cellStyle name="Comma 5 5 2 5 3 3" xfId="11245"/>
    <cellStyle name="Comma 5 5 2 5 4" xfId="11246"/>
    <cellStyle name="Comma 5 5 2 5 5" xfId="11247"/>
    <cellStyle name="Comma 5 5 2 6" xfId="11248"/>
    <cellStyle name="Comma 5 5 2 6 2" xfId="11249"/>
    <cellStyle name="Comma 5 5 2 6 3" xfId="11250"/>
    <cellStyle name="Comma 5 5 2 7" xfId="11251"/>
    <cellStyle name="Comma 5 5 2 7 2" xfId="11252"/>
    <cellStyle name="Comma 5 5 2 7 3" xfId="11253"/>
    <cellStyle name="Comma 5 5 2 8" xfId="11254"/>
    <cellStyle name="Comma 5 5 2 9" xfId="11255"/>
    <cellStyle name="Comma 5 5 3" xfId="11256"/>
    <cellStyle name="Comma 5 5 3 2" xfId="11257"/>
    <cellStyle name="Comma 5 5 3 2 2" xfId="11258"/>
    <cellStyle name="Comma 5 5 3 2 2 2" xfId="11259"/>
    <cellStyle name="Comma 5 5 3 2 2 2 2" xfId="11260"/>
    <cellStyle name="Comma 5 5 3 2 2 2 3" xfId="11261"/>
    <cellStyle name="Comma 5 5 3 2 2 3" xfId="11262"/>
    <cellStyle name="Comma 5 5 3 2 2 3 2" xfId="11263"/>
    <cellStyle name="Comma 5 5 3 2 2 3 3" xfId="11264"/>
    <cellStyle name="Comma 5 5 3 2 2 4" xfId="11265"/>
    <cellStyle name="Comma 5 5 3 2 2 5" xfId="11266"/>
    <cellStyle name="Comma 5 5 3 2 3" xfId="11267"/>
    <cellStyle name="Comma 5 5 3 2 3 2" xfId="11268"/>
    <cellStyle name="Comma 5 5 3 2 3 3" xfId="11269"/>
    <cellStyle name="Comma 5 5 3 2 4" xfId="11270"/>
    <cellStyle name="Comma 5 5 3 2 4 2" xfId="11271"/>
    <cellStyle name="Comma 5 5 3 2 4 3" xfId="11272"/>
    <cellStyle name="Comma 5 5 3 2 5" xfId="11273"/>
    <cellStyle name="Comma 5 5 3 2 6" xfId="11274"/>
    <cellStyle name="Comma 5 5 3 3" xfId="11275"/>
    <cellStyle name="Comma 5 5 3 3 2" xfId="11276"/>
    <cellStyle name="Comma 5 5 3 3 2 2" xfId="11277"/>
    <cellStyle name="Comma 5 5 3 3 2 2 2" xfId="11278"/>
    <cellStyle name="Comma 5 5 3 3 2 2 3" xfId="11279"/>
    <cellStyle name="Comma 5 5 3 3 2 3" xfId="11280"/>
    <cellStyle name="Comma 5 5 3 3 2 3 2" xfId="11281"/>
    <cellStyle name="Comma 5 5 3 3 2 3 3" xfId="11282"/>
    <cellStyle name="Comma 5 5 3 3 2 4" xfId="11283"/>
    <cellStyle name="Comma 5 5 3 3 2 5" xfId="11284"/>
    <cellStyle name="Comma 5 5 3 3 3" xfId="11285"/>
    <cellStyle name="Comma 5 5 3 3 3 2" xfId="11286"/>
    <cellStyle name="Comma 5 5 3 3 3 3" xfId="11287"/>
    <cellStyle name="Comma 5 5 3 3 4" xfId="11288"/>
    <cellStyle name="Comma 5 5 3 3 4 2" xfId="11289"/>
    <cellStyle name="Comma 5 5 3 3 4 3" xfId="11290"/>
    <cellStyle name="Comma 5 5 3 3 5" xfId="11291"/>
    <cellStyle name="Comma 5 5 3 3 6" xfId="11292"/>
    <cellStyle name="Comma 5 5 3 4" xfId="11293"/>
    <cellStyle name="Comma 5 5 3 4 2" xfId="11294"/>
    <cellStyle name="Comma 5 5 3 4 2 2" xfId="11295"/>
    <cellStyle name="Comma 5 5 3 4 2 3" xfId="11296"/>
    <cellStyle name="Comma 5 5 3 4 3" xfId="11297"/>
    <cellStyle name="Comma 5 5 3 4 3 2" xfId="11298"/>
    <cellStyle name="Comma 5 5 3 4 3 3" xfId="11299"/>
    <cellStyle name="Comma 5 5 3 4 4" xfId="11300"/>
    <cellStyle name="Comma 5 5 3 4 5" xfId="11301"/>
    <cellStyle name="Comma 5 5 3 5" xfId="11302"/>
    <cellStyle name="Comma 5 5 3 5 2" xfId="11303"/>
    <cellStyle name="Comma 5 5 3 5 3" xfId="11304"/>
    <cellStyle name="Comma 5 5 3 6" xfId="11305"/>
    <cellStyle name="Comma 5 5 3 6 2" xfId="11306"/>
    <cellStyle name="Comma 5 5 3 6 3" xfId="11307"/>
    <cellStyle name="Comma 5 5 3 7" xfId="11308"/>
    <cellStyle name="Comma 5 5 3 8" xfId="11309"/>
    <cellStyle name="Comma 5 5 4" xfId="11310"/>
    <cellStyle name="Comma 5 5 4 2" xfId="11311"/>
    <cellStyle name="Comma 5 5 4 2 2" xfId="11312"/>
    <cellStyle name="Comma 5 5 4 2 2 2" xfId="11313"/>
    <cellStyle name="Comma 5 5 4 2 2 3" xfId="11314"/>
    <cellStyle name="Comma 5 5 4 2 3" xfId="11315"/>
    <cellStyle name="Comma 5 5 4 2 3 2" xfId="11316"/>
    <cellStyle name="Comma 5 5 4 2 3 3" xfId="11317"/>
    <cellStyle name="Comma 5 5 4 2 4" xfId="11318"/>
    <cellStyle name="Comma 5 5 4 2 5" xfId="11319"/>
    <cellStyle name="Comma 5 5 4 3" xfId="11320"/>
    <cellStyle name="Comma 5 5 4 3 2" xfId="11321"/>
    <cellStyle name="Comma 5 5 4 3 3" xfId="11322"/>
    <cellStyle name="Comma 5 5 4 4" xfId="11323"/>
    <cellStyle name="Comma 5 5 4 4 2" xfId="11324"/>
    <cellStyle name="Comma 5 5 4 4 3" xfId="11325"/>
    <cellStyle name="Comma 5 5 4 5" xfId="11326"/>
    <cellStyle name="Comma 5 5 4 6" xfId="11327"/>
    <cellStyle name="Comma 5 5 5" xfId="11328"/>
    <cellStyle name="Comma 5 5 5 2" xfId="11329"/>
    <cellStyle name="Comma 5 5 5 2 2" xfId="11330"/>
    <cellStyle name="Comma 5 5 5 2 2 2" xfId="11331"/>
    <cellStyle name="Comma 5 5 5 2 2 3" xfId="11332"/>
    <cellStyle name="Comma 5 5 5 2 3" xfId="11333"/>
    <cellStyle name="Comma 5 5 5 2 3 2" xfId="11334"/>
    <cellStyle name="Comma 5 5 5 2 3 3" xfId="11335"/>
    <cellStyle name="Comma 5 5 5 2 4" xfId="11336"/>
    <cellStyle name="Comma 5 5 5 2 5" xfId="11337"/>
    <cellStyle name="Comma 5 5 5 3" xfId="11338"/>
    <cellStyle name="Comma 5 5 5 3 2" xfId="11339"/>
    <cellStyle name="Comma 5 5 5 3 3" xfId="11340"/>
    <cellStyle name="Comma 5 5 5 4" xfId="11341"/>
    <cellStyle name="Comma 5 5 5 4 2" xfId="11342"/>
    <cellStyle name="Comma 5 5 5 4 3" xfId="11343"/>
    <cellStyle name="Comma 5 5 5 5" xfId="11344"/>
    <cellStyle name="Comma 5 5 5 6" xfId="11345"/>
    <cellStyle name="Comma 5 5 6" xfId="11346"/>
    <cellStyle name="Comma 5 5 6 2" xfId="11347"/>
    <cellStyle name="Comma 5 5 6 2 2" xfId="11348"/>
    <cellStyle name="Comma 5 5 6 2 3" xfId="11349"/>
    <cellStyle name="Comma 5 5 6 3" xfId="11350"/>
    <cellStyle name="Comma 5 5 6 3 2" xfId="11351"/>
    <cellStyle name="Comma 5 5 6 3 3" xfId="11352"/>
    <cellStyle name="Comma 5 5 6 4" xfId="11353"/>
    <cellStyle name="Comma 5 5 6 5" xfId="11354"/>
    <cellStyle name="Comma 5 5 7" xfId="11355"/>
    <cellStyle name="Comma 5 5 7 2" xfId="11356"/>
    <cellStyle name="Comma 5 5 7 3" xfId="11357"/>
    <cellStyle name="Comma 5 5 8" xfId="11358"/>
    <cellStyle name="Comma 5 5 8 2" xfId="11359"/>
    <cellStyle name="Comma 5 5 8 3" xfId="11360"/>
    <cellStyle name="Comma 5 5 9" xfId="11361"/>
    <cellStyle name="Comma 5 6" xfId="11362"/>
    <cellStyle name="Comma 5 6 2" xfId="11363"/>
    <cellStyle name="Comma 5 6 2 2" xfId="11364"/>
    <cellStyle name="Comma 5 6 2 2 2" xfId="11365"/>
    <cellStyle name="Comma 5 6 2 2 2 2" xfId="11366"/>
    <cellStyle name="Comma 5 6 2 2 2 2 2" xfId="11367"/>
    <cellStyle name="Comma 5 6 2 2 2 2 3" xfId="11368"/>
    <cellStyle name="Comma 5 6 2 2 2 3" xfId="11369"/>
    <cellStyle name="Comma 5 6 2 2 2 3 2" xfId="11370"/>
    <cellStyle name="Comma 5 6 2 2 2 3 3" xfId="11371"/>
    <cellStyle name="Comma 5 6 2 2 2 4" xfId="11372"/>
    <cellStyle name="Comma 5 6 2 2 2 5" xfId="11373"/>
    <cellStyle name="Comma 5 6 2 2 3" xfId="11374"/>
    <cellStyle name="Comma 5 6 2 2 3 2" xfId="11375"/>
    <cellStyle name="Comma 5 6 2 2 3 3" xfId="11376"/>
    <cellStyle name="Comma 5 6 2 2 4" xfId="11377"/>
    <cellStyle name="Comma 5 6 2 2 4 2" xfId="11378"/>
    <cellStyle name="Comma 5 6 2 2 4 3" xfId="11379"/>
    <cellStyle name="Comma 5 6 2 2 5" xfId="11380"/>
    <cellStyle name="Comma 5 6 2 2 6" xfId="11381"/>
    <cellStyle name="Comma 5 6 2 3" xfId="11382"/>
    <cellStyle name="Comma 5 6 2 3 2" xfId="11383"/>
    <cellStyle name="Comma 5 6 2 3 2 2" xfId="11384"/>
    <cellStyle name="Comma 5 6 2 3 2 2 2" xfId="11385"/>
    <cellStyle name="Comma 5 6 2 3 2 2 3" xfId="11386"/>
    <cellStyle name="Comma 5 6 2 3 2 3" xfId="11387"/>
    <cellStyle name="Comma 5 6 2 3 2 3 2" xfId="11388"/>
    <cellStyle name="Comma 5 6 2 3 2 3 3" xfId="11389"/>
    <cellStyle name="Comma 5 6 2 3 2 4" xfId="11390"/>
    <cellStyle name="Comma 5 6 2 3 2 5" xfId="11391"/>
    <cellStyle name="Comma 5 6 2 3 3" xfId="11392"/>
    <cellStyle name="Comma 5 6 2 3 3 2" xfId="11393"/>
    <cellStyle name="Comma 5 6 2 3 3 3" xfId="11394"/>
    <cellStyle name="Comma 5 6 2 3 4" xfId="11395"/>
    <cellStyle name="Comma 5 6 2 3 4 2" xfId="11396"/>
    <cellStyle name="Comma 5 6 2 3 4 3" xfId="11397"/>
    <cellStyle name="Comma 5 6 2 3 5" xfId="11398"/>
    <cellStyle name="Comma 5 6 2 3 6" xfId="11399"/>
    <cellStyle name="Comma 5 6 2 4" xfId="11400"/>
    <cellStyle name="Comma 5 6 2 4 2" xfId="11401"/>
    <cellStyle name="Comma 5 6 2 4 2 2" xfId="11402"/>
    <cellStyle name="Comma 5 6 2 4 2 3" xfId="11403"/>
    <cellStyle name="Comma 5 6 2 4 3" xfId="11404"/>
    <cellStyle name="Comma 5 6 2 4 3 2" xfId="11405"/>
    <cellStyle name="Comma 5 6 2 4 3 3" xfId="11406"/>
    <cellStyle name="Comma 5 6 2 4 4" xfId="11407"/>
    <cellStyle name="Comma 5 6 2 4 5" xfId="11408"/>
    <cellStyle name="Comma 5 6 2 5" xfId="11409"/>
    <cellStyle name="Comma 5 6 2 5 2" xfId="11410"/>
    <cellStyle name="Comma 5 6 2 5 3" xfId="11411"/>
    <cellStyle name="Comma 5 6 2 6" xfId="11412"/>
    <cellStyle name="Comma 5 6 2 6 2" xfId="11413"/>
    <cellStyle name="Comma 5 6 2 6 3" xfId="11414"/>
    <cellStyle name="Comma 5 6 2 7" xfId="11415"/>
    <cellStyle name="Comma 5 6 2 8" xfId="11416"/>
    <cellStyle name="Comma 5 6 3" xfId="11417"/>
    <cellStyle name="Comma 5 6 3 2" xfId="11418"/>
    <cellStyle name="Comma 5 6 3 2 2" xfId="11419"/>
    <cellStyle name="Comma 5 6 3 2 2 2" xfId="11420"/>
    <cellStyle name="Comma 5 6 3 2 2 3" xfId="11421"/>
    <cellStyle name="Comma 5 6 3 2 3" xfId="11422"/>
    <cellStyle name="Comma 5 6 3 2 3 2" xfId="11423"/>
    <cellStyle name="Comma 5 6 3 2 3 3" xfId="11424"/>
    <cellStyle name="Comma 5 6 3 2 4" xfId="11425"/>
    <cellStyle name="Comma 5 6 3 2 5" xfId="11426"/>
    <cellStyle name="Comma 5 6 3 3" xfId="11427"/>
    <cellStyle name="Comma 5 6 3 3 2" xfId="11428"/>
    <cellStyle name="Comma 5 6 3 3 3" xfId="11429"/>
    <cellStyle name="Comma 5 6 3 4" xfId="11430"/>
    <cellStyle name="Comma 5 6 3 4 2" xfId="11431"/>
    <cellStyle name="Comma 5 6 3 4 3" xfId="11432"/>
    <cellStyle name="Comma 5 6 3 5" xfId="11433"/>
    <cellStyle name="Comma 5 6 3 6" xfId="11434"/>
    <cellStyle name="Comma 5 6 4" xfId="11435"/>
    <cellStyle name="Comma 5 6 4 2" xfId="11436"/>
    <cellStyle name="Comma 5 6 4 2 2" xfId="11437"/>
    <cellStyle name="Comma 5 6 4 2 2 2" xfId="11438"/>
    <cellStyle name="Comma 5 6 4 2 2 3" xfId="11439"/>
    <cellStyle name="Comma 5 6 4 2 3" xfId="11440"/>
    <cellStyle name="Comma 5 6 4 2 3 2" xfId="11441"/>
    <cellStyle name="Comma 5 6 4 2 3 3" xfId="11442"/>
    <cellStyle name="Comma 5 6 4 2 4" xfId="11443"/>
    <cellStyle name="Comma 5 6 4 2 5" xfId="11444"/>
    <cellStyle name="Comma 5 6 4 3" xfId="11445"/>
    <cellStyle name="Comma 5 6 4 3 2" xfId="11446"/>
    <cellStyle name="Comma 5 6 4 3 3" xfId="11447"/>
    <cellStyle name="Comma 5 6 4 4" xfId="11448"/>
    <cellStyle name="Comma 5 6 4 4 2" xfId="11449"/>
    <cellStyle name="Comma 5 6 4 4 3" xfId="11450"/>
    <cellStyle name="Comma 5 6 4 5" xfId="11451"/>
    <cellStyle name="Comma 5 6 4 6" xfId="11452"/>
    <cellStyle name="Comma 5 6 5" xfId="11453"/>
    <cellStyle name="Comma 5 6 5 2" xfId="11454"/>
    <cellStyle name="Comma 5 6 5 2 2" xfId="11455"/>
    <cellStyle name="Comma 5 6 5 2 3" xfId="11456"/>
    <cellStyle name="Comma 5 6 5 3" xfId="11457"/>
    <cellStyle name="Comma 5 6 5 3 2" xfId="11458"/>
    <cellStyle name="Comma 5 6 5 3 3" xfId="11459"/>
    <cellStyle name="Comma 5 6 5 4" xfId="11460"/>
    <cellStyle name="Comma 5 6 5 5" xfId="11461"/>
    <cellStyle name="Comma 5 6 6" xfId="11462"/>
    <cellStyle name="Comma 5 6 6 2" xfId="11463"/>
    <cellStyle name="Comma 5 6 6 3" xfId="11464"/>
    <cellStyle name="Comma 5 6 7" xfId="11465"/>
    <cellStyle name="Comma 5 6 7 2" xfId="11466"/>
    <cellStyle name="Comma 5 6 7 3" xfId="11467"/>
    <cellStyle name="Comma 5 6 8" xfId="11468"/>
    <cellStyle name="Comma 5 6 9" xfId="11469"/>
    <cellStyle name="Comma 5 7" xfId="11470"/>
    <cellStyle name="Comma 5 7 2" xfId="11471"/>
    <cellStyle name="Comma 5 7 2 2" xfId="11472"/>
    <cellStyle name="Comma 5 7 2 2 2" xfId="11473"/>
    <cellStyle name="Comma 5 7 2 2 2 2" xfId="11474"/>
    <cellStyle name="Comma 5 7 2 2 2 3" xfId="11475"/>
    <cellStyle name="Comma 5 7 2 2 3" xfId="11476"/>
    <cellStyle name="Comma 5 7 2 2 3 2" xfId="11477"/>
    <cellStyle name="Comma 5 7 2 2 3 3" xfId="11478"/>
    <cellStyle name="Comma 5 7 2 2 4" xfId="11479"/>
    <cellStyle name="Comma 5 7 2 2 5" xfId="11480"/>
    <cellStyle name="Comma 5 7 2 3" xfId="11481"/>
    <cellStyle name="Comma 5 7 2 3 2" xfId="11482"/>
    <cellStyle name="Comma 5 7 2 3 3" xfId="11483"/>
    <cellStyle name="Comma 5 7 2 4" xfId="11484"/>
    <cellStyle name="Comma 5 7 2 4 2" xfId="11485"/>
    <cellStyle name="Comma 5 7 2 4 3" xfId="11486"/>
    <cellStyle name="Comma 5 7 2 5" xfId="11487"/>
    <cellStyle name="Comma 5 7 2 6" xfId="11488"/>
    <cellStyle name="Comma 5 7 3" xfId="11489"/>
    <cellStyle name="Comma 5 7 3 2" xfId="11490"/>
    <cellStyle name="Comma 5 7 3 2 2" xfId="11491"/>
    <cellStyle name="Comma 5 7 3 2 2 2" xfId="11492"/>
    <cellStyle name="Comma 5 7 3 2 2 3" xfId="11493"/>
    <cellStyle name="Comma 5 7 3 2 3" xfId="11494"/>
    <cellStyle name="Comma 5 7 3 2 3 2" xfId="11495"/>
    <cellStyle name="Comma 5 7 3 2 3 3" xfId="11496"/>
    <cellStyle name="Comma 5 7 3 2 4" xfId="11497"/>
    <cellStyle name="Comma 5 7 3 2 5" xfId="11498"/>
    <cellStyle name="Comma 5 7 3 3" xfId="11499"/>
    <cellStyle name="Comma 5 7 3 3 2" xfId="11500"/>
    <cellStyle name="Comma 5 7 3 3 3" xfId="11501"/>
    <cellStyle name="Comma 5 7 3 4" xfId="11502"/>
    <cellStyle name="Comma 5 7 3 4 2" xfId="11503"/>
    <cellStyle name="Comma 5 7 3 4 3" xfId="11504"/>
    <cellStyle name="Comma 5 7 3 5" xfId="11505"/>
    <cellStyle name="Comma 5 7 3 6" xfId="11506"/>
    <cellStyle name="Comma 5 7 4" xfId="11507"/>
    <cellStyle name="Comma 5 7 4 2" xfId="11508"/>
    <cellStyle name="Comma 5 7 4 2 2" xfId="11509"/>
    <cellStyle name="Comma 5 7 4 2 3" xfId="11510"/>
    <cellStyle name="Comma 5 7 4 3" xfId="11511"/>
    <cellStyle name="Comma 5 7 4 3 2" xfId="11512"/>
    <cellStyle name="Comma 5 7 4 3 3" xfId="11513"/>
    <cellStyle name="Comma 5 7 4 4" xfId="11514"/>
    <cellStyle name="Comma 5 7 4 5" xfId="11515"/>
    <cellStyle name="Comma 5 7 5" xfId="11516"/>
    <cellStyle name="Comma 5 7 5 2" xfId="11517"/>
    <cellStyle name="Comma 5 7 5 3" xfId="11518"/>
    <cellStyle name="Comma 5 7 6" xfId="11519"/>
    <cellStyle name="Comma 5 7 6 2" xfId="11520"/>
    <cellStyle name="Comma 5 7 6 3" xfId="11521"/>
    <cellStyle name="Comma 5 7 7" xfId="11522"/>
    <cellStyle name="Comma 5 7 8" xfId="11523"/>
    <cellStyle name="Comma 5 8" xfId="11524"/>
    <cellStyle name="Comma 5 8 2" xfId="11525"/>
    <cellStyle name="Comma 5 8 2 2" xfId="11526"/>
    <cellStyle name="Comma 5 8 2 2 2" xfId="11527"/>
    <cellStyle name="Comma 5 8 2 2 3" xfId="11528"/>
    <cellStyle name="Comma 5 8 2 3" xfId="11529"/>
    <cellStyle name="Comma 5 8 2 3 2" xfId="11530"/>
    <cellStyle name="Comma 5 8 2 3 3" xfId="11531"/>
    <cellStyle name="Comma 5 8 2 4" xfId="11532"/>
    <cellStyle name="Comma 5 8 2 5" xfId="11533"/>
    <cellStyle name="Comma 5 8 3" xfId="11534"/>
    <cellStyle name="Comma 5 8 3 2" xfId="11535"/>
    <cellStyle name="Comma 5 8 3 3" xfId="11536"/>
    <cellStyle name="Comma 5 8 4" xfId="11537"/>
    <cellStyle name="Comma 5 8 4 2" xfId="11538"/>
    <cellStyle name="Comma 5 8 4 3" xfId="11539"/>
    <cellStyle name="Comma 5 8 5" xfId="11540"/>
    <cellStyle name="Comma 5 8 6" xfId="11541"/>
    <cellStyle name="Comma 5 9" xfId="11542"/>
    <cellStyle name="Comma 5 9 2" xfId="11543"/>
    <cellStyle name="Comma 5 9 2 2" xfId="11544"/>
    <cellStyle name="Comma 5 9 2 2 2" xfId="11545"/>
    <cellStyle name="Comma 5 9 2 2 3" xfId="11546"/>
    <cellStyle name="Comma 5 9 2 3" xfId="11547"/>
    <cellStyle name="Comma 5 9 2 3 2" xfId="11548"/>
    <cellStyle name="Comma 5 9 2 3 3" xfId="11549"/>
    <cellStyle name="Comma 5 9 2 4" xfId="11550"/>
    <cellStyle name="Comma 5 9 2 5" xfId="11551"/>
    <cellStyle name="Comma 5 9 3" xfId="11552"/>
    <cellStyle name="Comma 5 9 3 2" xfId="11553"/>
    <cellStyle name="Comma 5 9 3 3" xfId="11554"/>
    <cellStyle name="Comma 5 9 4" xfId="11555"/>
    <cellStyle name="Comma 5 9 4 2" xfId="11556"/>
    <cellStyle name="Comma 5 9 4 3" xfId="11557"/>
    <cellStyle name="Comma 5 9 5" xfId="11558"/>
    <cellStyle name="Comma 5 9 6" xfId="11559"/>
    <cellStyle name="Comma 6" xfId="11560"/>
    <cellStyle name="Comma 6 2" xfId="11561"/>
    <cellStyle name="Comma 7" xfId="11562"/>
    <cellStyle name="Currency" xfId="2" builtinId="4"/>
    <cellStyle name="Currency 10" xfId="11563"/>
    <cellStyle name="Currency 11" xfId="11564"/>
    <cellStyle name="Currency 12" xfId="11565"/>
    <cellStyle name="Currency 2" xfId="10"/>
    <cellStyle name="Currency 2 10" xfId="11566"/>
    <cellStyle name="Currency 2 10 2" xfId="11567"/>
    <cellStyle name="Currency 2 10 2 2" xfId="11568"/>
    <cellStyle name="Currency 2 10 2 2 2" xfId="11569"/>
    <cellStyle name="Currency 2 10 2 2 2 2" xfId="11570"/>
    <cellStyle name="Currency 2 10 2 2 2 2 2" xfId="11571"/>
    <cellStyle name="Currency 2 10 2 2 2 2 3" xfId="11572"/>
    <cellStyle name="Currency 2 10 2 2 2 3" xfId="11573"/>
    <cellStyle name="Currency 2 10 2 2 2 3 2" xfId="11574"/>
    <cellStyle name="Currency 2 10 2 2 2 3 3" xfId="11575"/>
    <cellStyle name="Currency 2 10 2 2 2 4" xfId="11576"/>
    <cellStyle name="Currency 2 10 2 2 2 5" xfId="11577"/>
    <cellStyle name="Currency 2 10 2 2 3" xfId="11578"/>
    <cellStyle name="Currency 2 10 2 2 3 2" xfId="11579"/>
    <cellStyle name="Currency 2 10 2 2 3 3" xfId="11580"/>
    <cellStyle name="Currency 2 10 2 2 4" xfId="11581"/>
    <cellStyle name="Currency 2 10 2 2 4 2" xfId="11582"/>
    <cellStyle name="Currency 2 10 2 2 4 3" xfId="11583"/>
    <cellStyle name="Currency 2 10 2 2 5" xfId="11584"/>
    <cellStyle name="Currency 2 10 2 2 6" xfId="11585"/>
    <cellStyle name="Currency 2 10 2 3" xfId="11586"/>
    <cellStyle name="Currency 2 10 2 3 2" xfId="11587"/>
    <cellStyle name="Currency 2 10 2 3 2 2" xfId="11588"/>
    <cellStyle name="Currency 2 10 2 3 2 2 2" xfId="11589"/>
    <cellStyle name="Currency 2 10 2 3 2 2 3" xfId="11590"/>
    <cellStyle name="Currency 2 10 2 3 2 3" xfId="11591"/>
    <cellStyle name="Currency 2 10 2 3 2 3 2" xfId="11592"/>
    <cellStyle name="Currency 2 10 2 3 2 3 3" xfId="11593"/>
    <cellStyle name="Currency 2 10 2 3 2 4" xfId="11594"/>
    <cellStyle name="Currency 2 10 2 3 2 5" xfId="11595"/>
    <cellStyle name="Currency 2 10 2 3 3" xfId="11596"/>
    <cellStyle name="Currency 2 10 2 3 3 2" xfId="11597"/>
    <cellStyle name="Currency 2 10 2 3 3 3" xfId="11598"/>
    <cellStyle name="Currency 2 10 2 3 4" xfId="11599"/>
    <cellStyle name="Currency 2 10 2 3 4 2" xfId="11600"/>
    <cellStyle name="Currency 2 10 2 3 4 3" xfId="11601"/>
    <cellStyle name="Currency 2 10 2 3 5" xfId="11602"/>
    <cellStyle name="Currency 2 10 2 3 6" xfId="11603"/>
    <cellStyle name="Currency 2 10 2 4" xfId="11604"/>
    <cellStyle name="Currency 2 10 2 4 2" xfId="11605"/>
    <cellStyle name="Currency 2 10 2 4 2 2" xfId="11606"/>
    <cellStyle name="Currency 2 10 2 4 2 3" xfId="11607"/>
    <cellStyle name="Currency 2 10 2 4 3" xfId="11608"/>
    <cellStyle name="Currency 2 10 2 4 3 2" xfId="11609"/>
    <cellStyle name="Currency 2 10 2 4 3 3" xfId="11610"/>
    <cellStyle name="Currency 2 10 2 4 4" xfId="11611"/>
    <cellStyle name="Currency 2 10 2 4 5" xfId="11612"/>
    <cellStyle name="Currency 2 10 2 5" xfId="11613"/>
    <cellStyle name="Currency 2 10 2 5 2" xfId="11614"/>
    <cellStyle name="Currency 2 10 2 5 3" xfId="11615"/>
    <cellStyle name="Currency 2 10 2 6" xfId="11616"/>
    <cellStyle name="Currency 2 10 2 6 2" xfId="11617"/>
    <cellStyle name="Currency 2 10 2 6 3" xfId="11618"/>
    <cellStyle name="Currency 2 10 2 7" xfId="11619"/>
    <cellStyle name="Currency 2 10 2 8" xfId="11620"/>
    <cellStyle name="Currency 2 10 3" xfId="11621"/>
    <cellStyle name="Currency 2 10 3 2" xfId="11622"/>
    <cellStyle name="Currency 2 10 3 2 2" xfId="11623"/>
    <cellStyle name="Currency 2 10 3 2 2 2" xfId="11624"/>
    <cellStyle name="Currency 2 10 3 2 2 3" xfId="11625"/>
    <cellStyle name="Currency 2 10 3 2 3" xfId="11626"/>
    <cellStyle name="Currency 2 10 3 2 3 2" xfId="11627"/>
    <cellStyle name="Currency 2 10 3 2 3 3" xfId="11628"/>
    <cellStyle name="Currency 2 10 3 2 4" xfId="11629"/>
    <cellStyle name="Currency 2 10 3 2 5" xfId="11630"/>
    <cellStyle name="Currency 2 10 3 3" xfId="11631"/>
    <cellStyle name="Currency 2 10 3 3 2" xfId="11632"/>
    <cellStyle name="Currency 2 10 3 3 3" xfId="11633"/>
    <cellStyle name="Currency 2 10 3 4" xfId="11634"/>
    <cellStyle name="Currency 2 10 3 4 2" xfId="11635"/>
    <cellStyle name="Currency 2 10 3 4 3" xfId="11636"/>
    <cellStyle name="Currency 2 10 3 5" xfId="11637"/>
    <cellStyle name="Currency 2 10 3 6" xfId="11638"/>
    <cellStyle name="Currency 2 10 4" xfId="11639"/>
    <cellStyle name="Currency 2 10 4 2" xfId="11640"/>
    <cellStyle name="Currency 2 10 4 2 2" xfId="11641"/>
    <cellStyle name="Currency 2 10 4 2 2 2" xfId="11642"/>
    <cellStyle name="Currency 2 10 4 2 2 3" xfId="11643"/>
    <cellStyle name="Currency 2 10 4 2 3" xfId="11644"/>
    <cellStyle name="Currency 2 10 4 2 3 2" xfId="11645"/>
    <cellStyle name="Currency 2 10 4 2 3 3" xfId="11646"/>
    <cellStyle name="Currency 2 10 4 2 4" xfId="11647"/>
    <cellStyle name="Currency 2 10 4 2 5" xfId="11648"/>
    <cellStyle name="Currency 2 10 4 3" xfId="11649"/>
    <cellStyle name="Currency 2 10 4 3 2" xfId="11650"/>
    <cellStyle name="Currency 2 10 4 3 3" xfId="11651"/>
    <cellStyle name="Currency 2 10 4 4" xfId="11652"/>
    <cellStyle name="Currency 2 10 4 4 2" xfId="11653"/>
    <cellStyle name="Currency 2 10 4 4 3" xfId="11654"/>
    <cellStyle name="Currency 2 10 4 5" xfId="11655"/>
    <cellStyle name="Currency 2 10 4 6" xfId="11656"/>
    <cellStyle name="Currency 2 10 5" xfId="11657"/>
    <cellStyle name="Currency 2 10 5 2" xfId="11658"/>
    <cellStyle name="Currency 2 10 5 2 2" xfId="11659"/>
    <cellStyle name="Currency 2 10 5 2 3" xfId="11660"/>
    <cellStyle name="Currency 2 10 5 3" xfId="11661"/>
    <cellStyle name="Currency 2 10 5 3 2" xfId="11662"/>
    <cellStyle name="Currency 2 10 5 3 3" xfId="11663"/>
    <cellStyle name="Currency 2 10 5 4" xfId="11664"/>
    <cellStyle name="Currency 2 10 5 5" xfId="11665"/>
    <cellStyle name="Currency 2 10 6" xfId="11666"/>
    <cellStyle name="Currency 2 10 6 2" xfId="11667"/>
    <cellStyle name="Currency 2 10 6 3" xfId="11668"/>
    <cellStyle name="Currency 2 10 7" xfId="11669"/>
    <cellStyle name="Currency 2 10 7 2" xfId="11670"/>
    <cellStyle name="Currency 2 10 7 3" xfId="11671"/>
    <cellStyle name="Currency 2 10 8" xfId="11672"/>
    <cellStyle name="Currency 2 10 9" xfId="11673"/>
    <cellStyle name="Currency 2 11" xfId="11674"/>
    <cellStyle name="Currency 2 11 2" xfId="11675"/>
    <cellStyle name="Currency 2 11 2 2" xfId="11676"/>
    <cellStyle name="Currency 2 11 2 2 2" xfId="11677"/>
    <cellStyle name="Currency 2 11 2 2 2 2" xfId="11678"/>
    <cellStyle name="Currency 2 11 2 2 2 3" xfId="11679"/>
    <cellStyle name="Currency 2 11 2 2 3" xfId="11680"/>
    <cellStyle name="Currency 2 11 2 2 3 2" xfId="11681"/>
    <cellStyle name="Currency 2 11 2 2 3 3" xfId="11682"/>
    <cellStyle name="Currency 2 11 2 2 4" xfId="11683"/>
    <cellStyle name="Currency 2 11 2 2 5" xfId="11684"/>
    <cellStyle name="Currency 2 11 2 3" xfId="11685"/>
    <cellStyle name="Currency 2 11 2 3 2" xfId="11686"/>
    <cellStyle name="Currency 2 11 2 3 3" xfId="11687"/>
    <cellStyle name="Currency 2 11 2 4" xfId="11688"/>
    <cellStyle name="Currency 2 11 2 4 2" xfId="11689"/>
    <cellStyle name="Currency 2 11 2 4 3" xfId="11690"/>
    <cellStyle name="Currency 2 11 2 5" xfId="11691"/>
    <cellStyle name="Currency 2 11 2 6" xfId="11692"/>
    <cellStyle name="Currency 2 11 3" xfId="11693"/>
    <cellStyle name="Currency 2 11 3 2" xfId="11694"/>
    <cellStyle name="Currency 2 11 3 2 2" xfId="11695"/>
    <cellStyle name="Currency 2 11 3 2 2 2" xfId="11696"/>
    <cellStyle name="Currency 2 11 3 2 2 3" xfId="11697"/>
    <cellStyle name="Currency 2 11 3 2 3" xfId="11698"/>
    <cellStyle name="Currency 2 11 3 2 3 2" xfId="11699"/>
    <cellStyle name="Currency 2 11 3 2 3 3" xfId="11700"/>
    <cellStyle name="Currency 2 11 3 2 4" xfId="11701"/>
    <cellStyle name="Currency 2 11 3 2 5" xfId="11702"/>
    <cellStyle name="Currency 2 11 3 3" xfId="11703"/>
    <cellStyle name="Currency 2 11 3 3 2" xfId="11704"/>
    <cellStyle name="Currency 2 11 3 3 3" xfId="11705"/>
    <cellStyle name="Currency 2 11 3 4" xfId="11706"/>
    <cellStyle name="Currency 2 11 3 4 2" xfId="11707"/>
    <cellStyle name="Currency 2 11 3 4 3" xfId="11708"/>
    <cellStyle name="Currency 2 11 3 5" xfId="11709"/>
    <cellStyle name="Currency 2 11 3 6" xfId="11710"/>
    <cellStyle name="Currency 2 11 4" xfId="11711"/>
    <cellStyle name="Currency 2 11 4 2" xfId="11712"/>
    <cellStyle name="Currency 2 11 4 2 2" xfId="11713"/>
    <cellStyle name="Currency 2 11 4 2 3" xfId="11714"/>
    <cellStyle name="Currency 2 11 4 3" xfId="11715"/>
    <cellStyle name="Currency 2 11 4 3 2" xfId="11716"/>
    <cellStyle name="Currency 2 11 4 3 3" xfId="11717"/>
    <cellStyle name="Currency 2 11 4 4" xfId="11718"/>
    <cellStyle name="Currency 2 11 4 5" xfId="11719"/>
    <cellStyle name="Currency 2 11 5" xfId="11720"/>
    <cellStyle name="Currency 2 11 5 2" xfId="11721"/>
    <cellStyle name="Currency 2 11 5 3" xfId="11722"/>
    <cellStyle name="Currency 2 11 6" xfId="11723"/>
    <cellStyle name="Currency 2 11 6 2" xfId="11724"/>
    <cellStyle name="Currency 2 11 6 3" xfId="11725"/>
    <cellStyle name="Currency 2 11 7" xfId="11726"/>
    <cellStyle name="Currency 2 11 8" xfId="11727"/>
    <cellStyle name="Currency 2 12" xfId="11728"/>
    <cellStyle name="Currency 2 12 2" xfId="11729"/>
    <cellStyle name="Currency 2 12 2 2" xfId="11730"/>
    <cellStyle name="Currency 2 12 2 2 2" xfId="11731"/>
    <cellStyle name="Currency 2 12 2 2 3" xfId="11732"/>
    <cellStyle name="Currency 2 12 2 3" xfId="11733"/>
    <cellStyle name="Currency 2 12 2 3 2" xfId="11734"/>
    <cellStyle name="Currency 2 12 2 3 3" xfId="11735"/>
    <cellStyle name="Currency 2 12 2 4" xfId="11736"/>
    <cellStyle name="Currency 2 12 2 5" xfId="11737"/>
    <cellStyle name="Currency 2 12 3" xfId="11738"/>
    <cellStyle name="Currency 2 12 3 2" xfId="11739"/>
    <cellStyle name="Currency 2 12 3 3" xfId="11740"/>
    <cellStyle name="Currency 2 12 4" xfId="11741"/>
    <cellStyle name="Currency 2 12 4 2" xfId="11742"/>
    <cellStyle name="Currency 2 12 4 3" xfId="11743"/>
    <cellStyle name="Currency 2 12 5" xfId="11744"/>
    <cellStyle name="Currency 2 12 6" xfId="11745"/>
    <cellStyle name="Currency 2 13" xfId="11746"/>
    <cellStyle name="Currency 2 13 2" xfId="11747"/>
    <cellStyle name="Currency 2 13 2 2" xfId="11748"/>
    <cellStyle name="Currency 2 13 2 2 2" xfId="11749"/>
    <cellStyle name="Currency 2 13 2 2 3" xfId="11750"/>
    <cellStyle name="Currency 2 13 2 3" xfId="11751"/>
    <cellStyle name="Currency 2 13 2 3 2" xfId="11752"/>
    <cellStyle name="Currency 2 13 2 3 3" xfId="11753"/>
    <cellStyle name="Currency 2 13 2 4" xfId="11754"/>
    <cellStyle name="Currency 2 13 2 5" xfId="11755"/>
    <cellStyle name="Currency 2 13 3" xfId="11756"/>
    <cellStyle name="Currency 2 13 3 2" xfId="11757"/>
    <cellStyle name="Currency 2 13 3 3" xfId="11758"/>
    <cellStyle name="Currency 2 13 4" xfId="11759"/>
    <cellStyle name="Currency 2 13 4 2" xfId="11760"/>
    <cellStyle name="Currency 2 13 4 3" xfId="11761"/>
    <cellStyle name="Currency 2 13 5" xfId="11762"/>
    <cellStyle name="Currency 2 13 6" xfId="11763"/>
    <cellStyle name="Currency 2 14" xfId="11764"/>
    <cellStyle name="Currency 2 14 2" xfId="11765"/>
    <cellStyle name="Currency 2 14 2 2" xfId="11766"/>
    <cellStyle name="Currency 2 14 2 3" xfId="11767"/>
    <cellStyle name="Currency 2 14 3" xfId="11768"/>
    <cellStyle name="Currency 2 14 3 2" xfId="11769"/>
    <cellStyle name="Currency 2 14 3 3" xfId="11770"/>
    <cellStyle name="Currency 2 14 4" xfId="11771"/>
    <cellStyle name="Currency 2 14 5" xfId="11772"/>
    <cellStyle name="Currency 2 15" xfId="11773"/>
    <cellStyle name="Currency 2 15 2" xfId="11774"/>
    <cellStyle name="Currency 2 15 3" xfId="11775"/>
    <cellStyle name="Currency 2 16" xfId="11776"/>
    <cellStyle name="Currency 2 16 2" xfId="11777"/>
    <cellStyle name="Currency 2 16 3" xfId="11778"/>
    <cellStyle name="Currency 2 17" xfId="11779"/>
    <cellStyle name="Currency 2 18" xfId="11780"/>
    <cellStyle name="Currency 2 19" xfId="11781"/>
    <cellStyle name="Currency 2 2" xfId="27"/>
    <cellStyle name="Currency 2 2 10" xfId="11782"/>
    <cellStyle name="Currency 2 2 10 2" xfId="11783"/>
    <cellStyle name="Currency 2 2 10 2 2" xfId="11784"/>
    <cellStyle name="Currency 2 2 10 2 2 2" xfId="11785"/>
    <cellStyle name="Currency 2 2 10 2 2 3" xfId="11786"/>
    <cellStyle name="Currency 2 2 10 2 3" xfId="11787"/>
    <cellStyle name="Currency 2 2 10 2 3 2" xfId="11788"/>
    <cellStyle name="Currency 2 2 10 2 3 3" xfId="11789"/>
    <cellStyle name="Currency 2 2 10 2 4" xfId="11790"/>
    <cellStyle name="Currency 2 2 10 2 5" xfId="11791"/>
    <cellStyle name="Currency 2 2 10 3" xfId="11792"/>
    <cellStyle name="Currency 2 2 10 3 2" xfId="11793"/>
    <cellStyle name="Currency 2 2 10 3 3" xfId="11794"/>
    <cellStyle name="Currency 2 2 10 4" xfId="11795"/>
    <cellStyle name="Currency 2 2 10 4 2" xfId="11796"/>
    <cellStyle name="Currency 2 2 10 4 3" xfId="11797"/>
    <cellStyle name="Currency 2 2 10 5" xfId="11798"/>
    <cellStyle name="Currency 2 2 10 6" xfId="11799"/>
    <cellStyle name="Currency 2 2 11" xfId="11800"/>
    <cellStyle name="Currency 2 2 11 2" xfId="11801"/>
    <cellStyle name="Currency 2 2 11 2 2" xfId="11802"/>
    <cellStyle name="Currency 2 2 11 2 3" xfId="11803"/>
    <cellStyle name="Currency 2 2 11 3" xfId="11804"/>
    <cellStyle name="Currency 2 2 11 3 2" xfId="11805"/>
    <cellStyle name="Currency 2 2 11 3 3" xfId="11806"/>
    <cellStyle name="Currency 2 2 11 4" xfId="11807"/>
    <cellStyle name="Currency 2 2 11 5" xfId="11808"/>
    <cellStyle name="Currency 2 2 12" xfId="11809"/>
    <cellStyle name="Currency 2 2 12 2" xfId="11810"/>
    <cellStyle name="Currency 2 2 12 3" xfId="11811"/>
    <cellStyle name="Currency 2 2 13" xfId="11812"/>
    <cellStyle name="Currency 2 2 13 2" xfId="11813"/>
    <cellStyle name="Currency 2 2 13 3" xfId="11814"/>
    <cellStyle name="Currency 2 2 14" xfId="11815"/>
    <cellStyle name="Currency 2 2 15" xfId="11816"/>
    <cellStyle name="Currency 2 2 16" xfId="11817"/>
    <cellStyle name="Currency 2 2 2" xfId="11818"/>
    <cellStyle name="Currency 2 2 2 2" xfId="11819"/>
    <cellStyle name="Currency 2 2 3" xfId="11820"/>
    <cellStyle name="Currency 2 2 3 10" xfId="11821"/>
    <cellStyle name="Currency 2 2 3 10 2" xfId="11822"/>
    <cellStyle name="Currency 2 2 3 10 3" xfId="11823"/>
    <cellStyle name="Currency 2 2 3 11" xfId="11824"/>
    <cellStyle name="Currency 2 2 3 11 2" xfId="11825"/>
    <cellStyle name="Currency 2 2 3 11 3" xfId="11826"/>
    <cellStyle name="Currency 2 2 3 12" xfId="11827"/>
    <cellStyle name="Currency 2 2 3 13" xfId="11828"/>
    <cellStyle name="Currency 2 2 3 2" xfId="11829"/>
    <cellStyle name="Currency 2 2 3 2 10" xfId="11830"/>
    <cellStyle name="Currency 2 2 3 2 10 2" xfId="11831"/>
    <cellStyle name="Currency 2 2 3 2 10 3" xfId="11832"/>
    <cellStyle name="Currency 2 2 3 2 11" xfId="11833"/>
    <cellStyle name="Currency 2 2 3 2 12" xfId="11834"/>
    <cellStyle name="Currency 2 2 3 2 2" xfId="11835"/>
    <cellStyle name="Currency 2 2 3 2 2 10" xfId="11836"/>
    <cellStyle name="Currency 2 2 3 2 2 2" xfId="11837"/>
    <cellStyle name="Currency 2 2 3 2 2 2 2" xfId="11838"/>
    <cellStyle name="Currency 2 2 3 2 2 2 2 2" xfId="11839"/>
    <cellStyle name="Currency 2 2 3 2 2 2 2 2 2" xfId="11840"/>
    <cellStyle name="Currency 2 2 3 2 2 2 2 2 2 2" xfId="11841"/>
    <cellStyle name="Currency 2 2 3 2 2 2 2 2 2 2 2" xfId="11842"/>
    <cellStyle name="Currency 2 2 3 2 2 2 2 2 2 2 3" xfId="11843"/>
    <cellStyle name="Currency 2 2 3 2 2 2 2 2 2 3" xfId="11844"/>
    <cellStyle name="Currency 2 2 3 2 2 2 2 2 2 3 2" xfId="11845"/>
    <cellStyle name="Currency 2 2 3 2 2 2 2 2 2 3 3" xfId="11846"/>
    <cellStyle name="Currency 2 2 3 2 2 2 2 2 2 4" xfId="11847"/>
    <cellStyle name="Currency 2 2 3 2 2 2 2 2 2 5" xfId="11848"/>
    <cellStyle name="Currency 2 2 3 2 2 2 2 2 3" xfId="11849"/>
    <cellStyle name="Currency 2 2 3 2 2 2 2 2 3 2" xfId="11850"/>
    <cellStyle name="Currency 2 2 3 2 2 2 2 2 3 3" xfId="11851"/>
    <cellStyle name="Currency 2 2 3 2 2 2 2 2 4" xfId="11852"/>
    <cellStyle name="Currency 2 2 3 2 2 2 2 2 4 2" xfId="11853"/>
    <cellStyle name="Currency 2 2 3 2 2 2 2 2 4 3" xfId="11854"/>
    <cellStyle name="Currency 2 2 3 2 2 2 2 2 5" xfId="11855"/>
    <cellStyle name="Currency 2 2 3 2 2 2 2 2 6" xfId="11856"/>
    <cellStyle name="Currency 2 2 3 2 2 2 2 3" xfId="11857"/>
    <cellStyle name="Currency 2 2 3 2 2 2 2 3 2" xfId="11858"/>
    <cellStyle name="Currency 2 2 3 2 2 2 2 3 2 2" xfId="11859"/>
    <cellStyle name="Currency 2 2 3 2 2 2 2 3 2 2 2" xfId="11860"/>
    <cellStyle name="Currency 2 2 3 2 2 2 2 3 2 2 3" xfId="11861"/>
    <cellStyle name="Currency 2 2 3 2 2 2 2 3 2 3" xfId="11862"/>
    <cellStyle name="Currency 2 2 3 2 2 2 2 3 2 3 2" xfId="11863"/>
    <cellStyle name="Currency 2 2 3 2 2 2 2 3 2 3 3" xfId="11864"/>
    <cellStyle name="Currency 2 2 3 2 2 2 2 3 2 4" xfId="11865"/>
    <cellStyle name="Currency 2 2 3 2 2 2 2 3 2 5" xfId="11866"/>
    <cellStyle name="Currency 2 2 3 2 2 2 2 3 3" xfId="11867"/>
    <cellStyle name="Currency 2 2 3 2 2 2 2 3 3 2" xfId="11868"/>
    <cellStyle name="Currency 2 2 3 2 2 2 2 3 3 3" xfId="11869"/>
    <cellStyle name="Currency 2 2 3 2 2 2 2 3 4" xfId="11870"/>
    <cellStyle name="Currency 2 2 3 2 2 2 2 3 4 2" xfId="11871"/>
    <cellStyle name="Currency 2 2 3 2 2 2 2 3 4 3" xfId="11872"/>
    <cellStyle name="Currency 2 2 3 2 2 2 2 3 5" xfId="11873"/>
    <cellStyle name="Currency 2 2 3 2 2 2 2 3 6" xfId="11874"/>
    <cellStyle name="Currency 2 2 3 2 2 2 2 4" xfId="11875"/>
    <cellStyle name="Currency 2 2 3 2 2 2 2 4 2" xfId="11876"/>
    <cellStyle name="Currency 2 2 3 2 2 2 2 4 2 2" xfId="11877"/>
    <cellStyle name="Currency 2 2 3 2 2 2 2 4 2 3" xfId="11878"/>
    <cellStyle name="Currency 2 2 3 2 2 2 2 4 3" xfId="11879"/>
    <cellStyle name="Currency 2 2 3 2 2 2 2 4 3 2" xfId="11880"/>
    <cellStyle name="Currency 2 2 3 2 2 2 2 4 3 3" xfId="11881"/>
    <cellStyle name="Currency 2 2 3 2 2 2 2 4 4" xfId="11882"/>
    <cellStyle name="Currency 2 2 3 2 2 2 2 4 5" xfId="11883"/>
    <cellStyle name="Currency 2 2 3 2 2 2 2 5" xfId="11884"/>
    <cellStyle name="Currency 2 2 3 2 2 2 2 5 2" xfId="11885"/>
    <cellStyle name="Currency 2 2 3 2 2 2 2 5 3" xfId="11886"/>
    <cellStyle name="Currency 2 2 3 2 2 2 2 6" xfId="11887"/>
    <cellStyle name="Currency 2 2 3 2 2 2 2 6 2" xfId="11888"/>
    <cellStyle name="Currency 2 2 3 2 2 2 2 6 3" xfId="11889"/>
    <cellStyle name="Currency 2 2 3 2 2 2 2 7" xfId="11890"/>
    <cellStyle name="Currency 2 2 3 2 2 2 2 8" xfId="11891"/>
    <cellStyle name="Currency 2 2 3 2 2 2 3" xfId="11892"/>
    <cellStyle name="Currency 2 2 3 2 2 2 3 2" xfId="11893"/>
    <cellStyle name="Currency 2 2 3 2 2 2 3 2 2" xfId="11894"/>
    <cellStyle name="Currency 2 2 3 2 2 2 3 2 2 2" xfId="11895"/>
    <cellStyle name="Currency 2 2 3 2 2 2 3 2 2 3" xfId="11896"/>
    <cellStyle name="Currency 2 2 3 2 2 2 3 2 3" xfId="11897"/>
    <cellStyle name="Currency 2 2 3 2 2 2 3 2 3 2" xfId="11898"/>
    <cellStyle name="Currency 2 2 3 2 2 2 3 2 3 3" xfId="11899"/>
    <cellStyle name="Currency 2 2 3 2 2 2 3 2 4" xfId="11900"/>
    <cellStyle name="Currency 2 2 3 2 2 2 3 2 5" xfId="11901"/>
    <cellStyle name="Currency 2 2 3 2 2 2 3 3" xfId="11902"/>
    <cellStyle name="Currency 2 2 3 2 2 2 3 3 2" xfId="11903"/>
    <cellStyle name="Currency 2 2 3 2 2 2 3 3 3" xfId="11904"/>
    <cellStyle name="Currency 2 2 3 2 2 2 3 4" xfId="11905"/>
    <cellStyle name="Currency 2 2 3 2 2 2 3 4 2" xfId="11906"/>
    <cellStyle name="Currency 2 2 3 2 2 2 3 4 3" xfId="11907"/>
    <cellStyle name="Currency 2 2 3 2 2 2 3 5" xfId="11908"/>
    <cellStyle name="Currency 2 2 3 2 2 2 3 6" xfId="11909"/>
    <cellStyle name="Currency 2 2 3 2 2 2 4" xfId="11910"/>
    <cellStyle name="Currency 2 2 3 2 2 2 4 2" xfId="11911"/>
    <cellStyle name="Currency 2 2 3 2 2 2 4 2 2" xfId="11912"/>
    <cellStyle name="Currency 2 2 3 2 2 2 4 2 2 2" xfId="11913"/>
    <cellStyle name="Currency 2 2 3 2 2 2 4 2 2 3" xfId="11914"/>
    <cellStyle name="Currency 2 2 3 2 2 2 4 2 3" xfId="11915"/>
    <cellStyle name="Currency 2 2 3 2 2 2 4 2 3 2" xfId="11916"/>
    <cellStyle name="Currency 2 2 3 2 2 2 4 2 3 3" xfId="11917"/>
    <cellStyle name="Currency 2 2 3 2 2 2 4 2 4" xfId="11918"/>
    <cellStyle name="Currency 2 2 3 2 2 2 4 2 5" xfId="11919"/>
    <cellStyle name="Currency 2 2 3 2 2 2 4 3" xfId="11920"/>
    <cellStyle name="Currency 2 2 3 2 2 2 4 3 2" xfId="11921"/>
    <cellStyle name="Currency 2 2 3 2 2 2 4 3 3" xfId="11922"/>
    <cellStyle name="Currency 2 2 3 2 2 2 4 4" xfId="11923"/>
    <cellStyle name="Currency 2 2 3 2 2 2 4 4 2" xfId="11924"/>
    <cellStyle name="Currency 2 2 3 2 2 2 4 4 3" xfId="11925"/>
    <cellStyle name="Currency 2 2 3 2 2 2 4 5" xfId="11926"/>
    <cellStyle name="Currency 2 2 3 2 2 2 4 6" xfId="11927"/>
    <cellStyle name="Currency 2 2 3 2 2 2 5" xfId="11928"/>
    <cellStyle name="Currency 2 2 3 2 2 2 5 2" xfId="11929"/>
    <cellStyle name="Currency 2 2 3 2 2 2 5 2 2" xfId="11930"/>
    <cellStyle name="Currency 2 2 3 2 2 2 5 2 3" xfId="11931"/>
    <cellStyle name="Currency 2 2 3 2 2 2 5 3" xfId="11932"/>
    <cellStyle name="Currency 2 2 3 2 2 2 5 3 2" xfId="11933"/>
    <cellStyle name="Currency 2 2 3 2 2 2 5 3 3" xfId="11934"/>
    <cellStyle name="Currency 2 2 3 2 2 2 5 4" xfId="11935"/>
    <cellStyle name="Currency 2 2 3 2 2 2 5 5" xfId="11936"/>
    <cellStyle name="Currency 2 2 3 2 2 2 6" xfId="11937"/>
    <cellStyle name="Currency 2 2 3 2 2 2 6 2" xfId="11938"/>
    <cellStyle name="Currency 2 2 3 2 2 2 6 3" xfId="11939"/>
    <cellStyle name="Currency 2 2 3 2 2 2 7" xfId="11940"/>
    <cellStyle name="Currency 2 2 3 2 2 2 7 2" xfId="11941"/>
    <cellStyle name="Currency 2 2 3 2 2 2 7 3" xfId="11942"/>
    <cellStyle name="Currency 2 2 3 2 2 2 8" xfId="11943"/>
    <cellStyle name="Currency 2 2 3 2 2 2 9" xfId="11944"/>
    <cellStyle name="Currency 2 2 3 2 2 3" xfId="11945"/>
    <cellStyle name="Currency 2 2 3 2 2 3 2" xfId="11946"/>
    <cellStyle name="Currency 2 2 3 2 2 3 2 2" xfId="11947"/>
    <cellStyle name="Currency 2 2 3 2 2 3 2 2 2" xfId="11948"/>
    <cellStyle name="Currency 2 2 3 2 2 3 2 2 2 2" xfId="11949"/>
    <cellStyle name="Currency 2 2 3 2 2 3 2 2 2 3" xfId="11950"/>
    <cellStyle name="Currency 2 2 3 2 2 3 2 2 3" xfId="11951"/>
    <cellStyle name="Currency 2 2 3 2 2 3 2 2 3 2" xfId="11952"/>
    <cellStyle name="Currency 2 2 3 2 2 3 2 2 3 3" xfId="11953"/>
    <cellStyle name="Currency 2 2 3 2 2 3 2 2 4" xfId="11954"/>
    <cellStyle name="Currency 2 2 3 2 2 3 2 2 5" xfId="11955"/>
    <cellStyle name="Currency 2 2 3 2 2 3 2 3" xfId="11956"/>
    <cellStyle name="Currency 2 2 3 2 2 3 2 3 2" xfId="11957"/>
    <cellStyle name="Currency 2 2 3 2 2 3 2 3 3" xfId="11958"/>
    <cellStyle name="Currency 2 2 3 2 2 3 2 4" xfId="11959"/>
    <cellStyle name="Currency 2 2 3 2 2 3 2 4 2" xfId="11960"/>
    <cellStyle name="Currency 2 2 3 2 2 3 2 4 3" xfId="11961"/>
    <cellStyle name="Currency 2 2 3 2 2 3 2 5" xfId="11962"/>
    <cellStyle name="Currency 2 2 3 2 2 3 2 6" xfId="11963"/>
    <cellStyle name="Currency 2 2 3 2 2 3 3" xfId="11964"/>
    <cellStyle name="Currency 2 2 3 2 2 3 3 2" xfId="11965"/>
    <cellStyle name="Currency 2 2 3 2 2 3 3 2 2" xfId="11966"/>
    <cellStyle name="Currency 2 2 3 2 2 3 3 2 2 2" xfId="11967"/>
    <cellStyle name="Currency 2 2 3 2 2 3 3 2 2 3" xfId="11968"/>
    <cellStyle name="Currency 2 2 3 2 2 3 3 2 3" xfId="11969"/>
    <cellStyle name="Currency 2 2 3 2 2 3 3 2 3 2" xfId="11970"/>
    <cellStyle name="Currency 2 2 3 2 2 3 3 2 3 3" xfId="11971"/>
    <cellStyle name="Currency 2 2 3 2 2 3 3 2 4" xfId="11972"/>
    <cellStyle name="Currency 2 2 3 2 2 3 3 2 5" xfId="11973"/>
    <cellStyle name="Currency 2 2 3 2 2 3 3 3" xfId="11974"/>
    <cellStyle name="Currency 2 2 3 2 2 3 3 3 2" xfId="11975"/>
    <cellStyle name="Currency 2 2 3 2 2 3 3 3 3" xfId="11976"/>
    <cellStyle name="Currency 2 2 3 2 2 3 3 4" xfId="11977"/>
    <cellStyle name="Currency 2 2 3 2 2 3 3 4 2" xfId="11978"/>
    <cellStyle name="Currency 2 2 3 2 2 3 3 4 3" xfId="11979"/>
    <cellStyle name="Currency 2 2 3 2 2 3 3 5" xfId="11980"/>
    <cellStyle name="Currency 2 2 3 2 2 3 3 6" xfId="11981"/>
    <cellStyle name="Currency 2 2 3 2 2 3 4" xfId="11982"/>
    <cellStyle name="Currency 2 2 3 2 2 3 4 2" xfId="11983"/>
    <cellStyle name="Currency 2 2 3 2 2 3 4 2 2" xfId="11984"/>
    <cellStyle name="Currency 2 2 3 2 2 3 4 2 3" xfId="11985"/>
    <cellStyle name="Currency 2 2 3 2 2 3 4 3" xfId="11986"/>
    <cellStyle name="Currency 2 2 3 2 2 3 4 3 2" xfId="11987"/>
    <cellStyle name="Currency 2 2 3 2 2 3 4 3 3" xfId="11988"/>
    <cellStyle name="Currency 2 2 3 2 2 3 4 4" xfId="11989"/>
    <cellStyle name="Currency 2 2 3 2 2 3 4 5" xfId="11990"/>
    <cellStyle name="Currency 2 2 3 2 2 3 5" xfId="11991"/>
    <cellStyle name="Currency 2 2 3 2 2 3 5 2" xfId="11992"/>
    <cellStyle name="Currency 2 2 3 2 2 3 5 3" xfId="11993"/>
    <cellStyle name="Currency 2 2 3 2 2 3 6" xfId="11994"/>
    <cellStyle name="Currency 2 2 3 2 2 3 6 2" xfId="11995"/>
    <cellStyle name="Currency 2 2 3 2 2 3 6 3" xfId="11996"/>
    <cellStyle name="Currency 2 2 3 2 2 3 7" xfId="11997"/>
    <cellStyle name="Currency 2 2 3 2 2 3 8" xfId="11998"/>
    <cellStyle name="Currency 2 2 3 2 2 4" xfId="11999"/>
    <cellStyle name="Currency 2 2 3 2 2 4 2" xfId="12000"/>
    <cellStyle name="Currency 2 2 3 2 2 4 2 2" xfId="12001"/>
    <cellStyle name="Currency 2 2 3 2 2 4 2 2 2" xfId="12002"/>
    <cellStyle name="Currency 2 2 3 2 2 4 2 2 3" xfId="12003"/>
    <cellStyle name="Currency 2 2 3 2 2 4 2 3" xfId="12004"/>
    <cellStyle name="Currency 2 2 3 2 2 4 2 3 2" xfId="12005"/>
    <cellStyle name="Currency 2 2 3 2 2 4 2 3 3" xfId="12006"/>
    <cellStyle name="Currency 2 2 3 2 2 4 2 4" xfId="12007"/>
    <cellStyle name="Currency 2 2 3 2 2 4 2 5" xfId="12008"/>
    <cellStyle name="Currency 2 2 3 2 2 4 3" xfId="12009"/>
    <cellStyle name="Currency 2 2 3 2 2 4 3 2" xfId="12010"/>
    <cellStyle name="Currency 2 2 3 2 2 4 3 3" xfId="12011"/>
    <cellStyle name="Currency 2 2 3 2 2 4 4" xfId="12012"/>
    <cellStyle name="Currency 2 2 3 2 2 4 4 2" xfId="12013"/>
    <cellStyle name="Currency 2 2 3 2 2 4 4 3" xfId="12014"/>
    <cellStyle name="Currency 2 2 3 2 2 4 5" xfId="12015"/>
    <cellStyle name="Currency 2 2 3 2 2 4 6" xfId="12016"/>
    <cellStyle name="Currency 2 2 3 2 2 5" xfId="12017"/>
    <cellStyle name="Currency 2 2 3 2 2 5 2" xfId="12018"/>
    <cellStyle name="Currency 2 2 3 2 2 5 2 2" xfId="12019"/>
    <cellStyle name="Currency 2 2 3 2 2 5 2 2 2" xfId="12020"/>
    <cellStyle name="Currency 2 2 3 2 2 5 2 2 3" xfId="12021"/>
    <cellStyle name="Currency 2 2 3 2 2 5 2 3" xfId="12022"/>
    <cellStyle name="Currency 2 2 3 2 2 5 2 3 2" xfId="12023"/>
    <cellStyle name="Currency 2 2 3 2 2 5 2 3 3" xfId="12024"/>
    <cellStyle name="Currency 2 2 3 2 2 5 2 4" xfId="12025"/>
    <cellStyle name="Currency 2 2 3 2 2 5 2 5" xfId="12026"/>
    <cellStyle name="Currency 2 2 3 2 2 5 3" xfId="12027"/>
    <cellStyle name="Currency 2 2 3 2 2 5 3 2" xfId="12028"/>
    <cellStyle name="Currency 2 2 3 2 2 5 3 3" xfId="12029"/>
    <cellStyle name="Currency 2 2 3 2 2 5 4" xfId="12030"/>
    <cellStyle name="Currency 2 2 3 2 2 5 4 2" xfId="12031"/>
    <cellStyle name="Currency 2 2 3 2 2 5 4 3" xfId="12032"/>
    <cellStyle name="Currency 2 2 3 2 2 5 5" xfId="12033"/>
    <cellStyle name="Currency 2 2 3 2 2 5 6" xfId="12034"/>
    <cellStyle name="Currency 2 2 3 2 2 6" xfId="12035"/>
    <cellStyle name="Currency 2 2 3 2 2 6 2" xfId="12036"/>
    <cellStyle name="Currency 2 2 3 2 2 6 2 2" xfId="12037"/>
    <cellStyle name="Currency 2 2 3 2 2 6 2 3" xfId="12038"/>
    <cellStyle name="Currency 2 2 3 2 2 6 3" xfId="12039"/>
    <cellStyle name="Currency 2 2 3 2 2 6 3 2" xfId="12040"/>
    <cellStyle name="Currency 2 2 3 2 2 6 3 3" xfId="12041"/>
    <cellStyle name="Currency 2 2 3 2 2 6 4" xfId="12042"/>
    <cellStyle name="Currency 2 2 3 2 2 6 5" xfId="12043"/>
    <cellStyle name="Currency 2 2 3 2 2 7" xfId="12044"/>
    <cellStyle name="Currency 2 2 3 2 2 7 2" xfId="12045"/>
    <cellStyle name="Currency 2 2 3 2 2 7 3" xfId="12046"/>
    <cellStyle name="Currency 2 2 3 2 2 8" xfId="12047"/>
    <cellStyle name="Currency 2 2 3 2 2 8 2" xfId="12048"/>
    <cellStyle name="Currency 2 2 3 2 2 8 3" xfId="12049"/>
    <cellStyle name="Currency 2 2 3 2 2 9" xfId="12050"/>
    <cellStyle name="Currency 2 2 3 2 3" xfId="12051"/>
    <cellStyle name="Currency 2 2 3 2 3 10" xfId="12052"/>
    <cellStyle name="Currency 2 2 3 2 3 2" xfId="12053"/>
    <cellStyle name="Currency 2 2 3 2 3 2 2" xfId="12054"/>
    <cellStyle name="Currency 2 2 3 2 3 2 2 2" xfId="12055"/>
    <cellStyle name="Currency 2 2 3 2 3 2 2 2 2" xfId="12056"/>
    <cellStyle name="Currency 2 2 3 2 3 2 2 2 2 2" xfId="12057"/>
    <cellStyle name="Currency 2 2 3 2 3 2 2 2 2 2 2" xfId="12058"/>
    <cellStyle name="Currency 2 2 3 2 3 2 2 2 2 2 3" xfId="12059"/>
    <cellStyle name="Currency 2 2 3 2 3 2 2 2 2 3" xfId="12060"/>
    <cellStyle name="Currency 2 2 3 2 3 2 2 2 2 3 2" xfId="12061"/>
    <cellStyle name="Currency 2 2 3 2 3 2 2 2 2 3 3" xfId="12062"/>
    <cellStyle name="Currency 2 2 3 2 3 2 2 2 2 4" xfId="12063"/>
    <cellStyle name="Currency 2 2 3 2 3 2 2 2 2 5" xfId="12064"/>
    <cellStyle name="Currency 2 2 3 2 3 2 2 2 3" xfId="12065"/>
    <cellStyle name="Currency 2 2 3 2 3 2 2 2 3 2" xfId="12066"/>
    <cellStyle name="Currency 2 2 3 2 3 2 2 2 3 3" xfId="12067"/>
    <cellStyle name="Currency 2 2 3 2 3 2 2 2 4" xfId="12068"/>
    <cellStyle name="Currency 2 2 3 2 3 2 2 2 4 2" xfId="12069"/>
    <cellStyle name="Currency 2 2 3 2 3 2 2 2 4 3" xfId="12070"/>
    <cellStyle name="Currency 2 2 3 2 3 2 2 2 5" xfId="12071"/>
    <cellStyle name="Currency 2 2 3 2 3 2 2 2 6" xfId="12072"/>
    <cellStyle name="Currency 2 2 3 2 3 2 2 3" xfId="12073"/>
    <cellStyle name="Currency 2 2 3 2 3 2 2 3 2" xfId="12074"/>
    <cellStyle name="Currency 2 2 3 2 3 2 2 3 2 2" xfId="12075"/>
    <cellStyle name="Currency 2 2 3 2 3 2 2 3 2 2 2" xfId="12076"/>
    <cellStyle name="Currency 2 2 3 2 3 2 2 3 2 2 3" xfId="12077"/>
    <cellStyle name="Currency 2 2 3 2 3 2 2 3 2 3" xfId="12078"/>
    <cellStyle name="Currency 2 2 3 2 3 2 2 3 2 3 2" xfId="12079"/>
    <cellStyle name="Currency 2 2 3 2 3 2 2 3 2 3 3" xfId="12080"/>
    <cellStyle name="Currency 2 2 3 2 3 2 2 3 2 4" xfId="12081"/>
    <cellStyle name="Currency 2 2 3 2 3 2 2 3 2 5" xfId="12082"/>
    <cellStyle name="Currency 2 2 3 2 3 2 2 3 3" xfId="12083"/>
    <cellStyle name="Currency 2 2 3 2 3 2 2 3 3 2" xfId="12084"/>
    <cellStyle name="Currency 2 2 3 2 3 2 2 3 3 3" xfId="12085"/>
    <cellStyle name="Currency 2 2 3 2 3 2 2 3 4" xfId="12086"/>
    <cellStyle name="Currency 2 2 3 2 3 2 2 3 4 2" xfId="12087"/>
    <cellStyle name="Currency 2 2 3 2 3 2 2 3 4 3" xfId="12088"/>
    <cellStyle name="Currency 2 2 3 2 3 2 2 3 5" xfId="12089"/>
    <cellStyle name="Currency 2 2 3 2 3 2 2 3 6" xfId="12090"/>
    <cellStyle name="Currency 2 2 3 2 3 2 2 4" xfId="12091"/>
    <cellStyle name="Currency 2 2 3 2 3 2 2 4 2" xfId="12092"/>
    <cellStyle name="Currency 2 2 3 2 3 2 2 4 2 2" xfId="12093"/>
    <cellStyle name="Currency 2 2 3 2 3 2 2 4 2 3" xfId="12094"/>
    <cellStyle name="Currency 2 2 3 2 3 2 2 4 3" xfId="12095"/>
    <cellStyle name="Currency 2 2 3 2 3 2 2 4 3 2" xfId="12096"/>
    <cellStyle name="Currency 2 2 3 2 3 2 2 4 3 3" xfId="12097"/>
    <cellStyle name="Currency 2 2 3 2 3 2 2 4 4" xfId="12098"/>
    <cellStyle name="Currency 2 2 3 2 3 2 2 4 5" xfId="12099"/>
    <cellStyle name="Currency 2 2 3 2 3 2 2 5" xfId="12100"/>
    <cellStyle name="Currency 2 2 3 2 3 2 2 5 2" xfId="12101"/>
    <cellStyle name="Currency 2 2 3 2 3 2 2 5 3" xfId="12102"/>
    <cellStyle name="Currency 2 2 3 2 3 2 2 6" xfId="12103"/>
    <cellStyle name="Currency 2 2 3 2 3 2 2 6 2" xfId="12104"/>
    <cellStyle name="Currency 2 2 3 2 3 2 2 6 3" xfId="12105"/>
    <cellStyle name="Currency 2 2 3 2 3 2 2 7" xfId="12106"/>
    <cellStyle name="Currency 2 2 3 2 3 2 2 8" xfId="12107"/>
    <cellStyle name="Currency 2 2 3 2 3 2 3" xfId="12108"/>
    <cellStyle name="Currency 2 2 3 2 3 2 3 2" xfId="12109"/>
    <cellStyle name="Currency 2 2 3 2 3 2 3 2 2" xfId="12110"/>
    <cellStyle name="Currency 2 2 3 2 3 2 3 2 2 2" xfId="12111"/>
    <cellStyle name="Currency 2 2 3 2 3 2 3 2 2 3" xfId="12112"/>
    <cellStyle name="Currency 2 2 3 2 3 2 3 2 3" xfId="12113"/>
    <cellStyle name="Currency 2 2 3 2 3 2 3 2 3 2" xfId="12114"/>
    <cellStyle name="Currency 2 2 3 2 3 2 3 2 3 3" xfId="12115"/>
    <cellStyle name="Currency 2 2 3 2 3 2 3 2 4" xfId="12116"/>
    <cellStyle name="Currency 2 2 3 2 3 2 3 2 5" xfId="12117"/>
    <cellStyle name="Currency 2 2 3 2 3 2 3 3" xfId="12118"/>
    <cellStyle name="Currency 2 2 3 2 3 2 3 3 2" xfId="12119"/>
    <cellStyle name="Currency 2 2 3 2 3 2 3 3 3" xfId="12120"/>
    <cellStyle name="Currency 2 2 3 2 3 2 3 4" xfId="12121"/>
    <cellStyle name="Currency 2 2 3 2 3 2 3 4 2" xfId="12122"/>
    <cellStyle name="Currency 2 2 3 2 3 2 3 4 3" xfId="12123"/>
    <cellStyle name="Currency 2 2 3 2 3 2 3 5" xfId="12124"/>
    <cellStyle name="Currency 2 2 3 2 3 2 3 6" xfId="12125"/>
    <cellStyle name="Currency 2 2 3 2 3 2 4" xfId="12126"/>
    <cellStyle name="Currency 2 2 3 2 3 2 4 2" xfId="12127"/>
    <cellStyle name="Currency 2 2 3 2 3 2 4 2 2" xfId="12128"/>
    <cellStyle name="Currency 2 2 3 2 3 2 4 2 2 2" xfId="12129"/>
    <cellStyle name="Currency 2 2 3 2 3 2 4 2 2 3" xfId="12130"/>
    <cellStyle name="Currency 2 2 3 2 3 2 4 2 3" xfId="12131"/>
    <cellStyle name="Currency 2 2 3 2 3 2 4 2 3 2" xfId="12132"/>
    <cellStyle name="Currency 2 2 3 2 3 2 4 2 3 3" xfId="12133"/>
    <cellStyle name="Currency 2 2 3 2 3 2 4 2 4" xfId="12134"/>
    <cellStyle name="Currency 2 2 3 2 3 2 4 2 5" xfId="12135"/>
    <cellStyle name="Currency 2 2 3 2 3 2 4 3" xfId="12136"/>
    <cellStyle name="Currency 2 2 3 2 3 2 4 3 2" xfId="12137"/>
    <cellStyle name="Currency 2 2 3 2 3 2 4 3 3" xfId="12138"/>
    <cellStyle name="Currency 2 2 3 2 3 2 4 4" xfId="12139"/>
    <cellStyle name="Currency 2 2 3 2 3 2 4 4 2" xfId="12140"/>
    <cellStyle name="Currency 2 2 3 2 3 2 4 4 3" xfId="12141"/>
    <cellStyle name="Currency 2 2 3 2 3 2 4 5" xfId="12142"/>
    <cellStyle name="Currency 2 2 3 2 3 2 4 6" xfId="12143"/>
    <cellStyle name="Currency 2 2 3 2 3 2 5" xfId="12144"/>
    <cellStyle name="Currency 2 2 3 2 3 2 5 2" xfId="12145"/>
    <cellStyle name="Currency 2 2 3 2 3 2 5 2 2" xfId="12146"/>
    <cellStyle name="Currency 2 2 3 2 3 2 5 2 3" xfId="12147"/>
    <cellStyle name="Currency 2 2 3 2 3 2 5 3" xfId="12148"/>
    <cellStyle name="Currency 2 2 3 2 3 2 5 3 2" xfId="12149"/>
    <cellStyle name="Currency 2 2 3 2 3 2 5 3 3" xfId="12150"/>
    <cellStyle name="Currency 2 2 3 2 3 2 5 4" xfId="12151"/>
    <cellStyle name="Currency 2 2 3 2 3 2 5 5" xfId="12152"/>
    <cellStyle name="Currency 2 2 3 2 3 2 6" xfId="12153"/>
    <cellStyle name="Currency 2 2 3 2 3 2 6 2" xfId="12154"/>
    <cellStyle name="Currency 2 2 3 2 3 2 6 3" xfId="12155"/>
    <cellStyle name="Currency 2 2 3 2 3 2 7" xfId="12156"/>
    <cellStyle name="Currency 2 2 3 2 3 2 7 2" xfId="12157"/>
    <cellStyle name="Currency 2 2 3 2 3 2 7 3" xfId="12158"/>
    <cellStyle name="Currency 2 2 3 2 3 2 8" xfId="12159"/>
    <cellStyle name="Currency 2 2 3 2 3 2 9" xfId="12160"/>
    <cellStyle name="Currency 2 2 3 2 3 3" xfId="12161"/>
    <cellStyle name="Currency 2 2 3 2 3 3 2" xfId="12162"/>
    <cellStyle name="Currency 2 2 3 2 3 3 2 2" xfId="12163"/>
    <cellStyle name="Currency 2 2 3 2 3 3 2 2 2" xfId="12164"/>
    <cellStyle name="Currency 2 2 3 2 3 3 2 2 2 2" xfId="12165"/>
    <cellStyle name="Currency 2 2 3 2 3 3 2 2 2 3" xfId="12166"/>
    <cellStyle name="Currency 2 2 3 2 3 3 2 2 3" xfId="12167"/>
    <cellStyle name="Currency 2 2 3 2 3 3 2 2 3 2" xfId="12168"/>
    <cellStyle name="Currency 2 2 3 2 3 3 2 2 3 3" xfId="12169"/>
    <cellStyle name="Currency 2 2 3 2 3 3 2 2 4" xfId="12170"/>
    <cellStyle name="Currency 2 2 3 2 3 3 2 2 5" xfId="12171"/>
    <cellStyle name="Currency 2 2 3 2 3 3 2 3" xfId="12172"/>
    <cellStyle name="Currency 2 2 3 2 3 3 2 3 2" xfId="12173"/>
    <cellStyle name="Currency 2 2 3 2 3 3 2 3 3" xfId="12174"/>
    <cellStyle name="Currency 2 2 3 2 3 3 2 4" xfId="12175"/>
    <cellStyle name="Currency 2 2 3 2 3 3 2 4 2" xfId="12176"/>
    <cellStyle name="Currency 2 2 3 2 3 3 2 4 3" xfId="12177"/>
    <cellStyle name="Currency 2 2 3 2 3 3 2 5" xfId="12178"/>
    <cellStyle name="Currency 2 2 3 2 3 3 2 6" xfId="12179"/>
    <cellStyle name="Currency 2 2 3 2 3 3 3" xfId="12180"/>
    <cellStyle name="Currency 2 2 3 2 3 3 3 2" xfId="12181"/>
    <cellStyle name="Currency 2 2 3 2 3 3 3 2 2" xfId="12182"/>
    <cellStyle name="Currency 2 2 3 2 3 3 3 2 2 2" xfId="12183"/>
    <cellStyle name="Currency 2 2 3 2 3 3 3 2 2 3" xfId="12184"/>
    <cellStyle name="Currency 2 2 3 2 3 3 3 2 3" xfId="12185"/>
    <cellStyle name="Currency 2 2 3 2 3 3 3 2 3 2" xfId="12186"/>
    <cellStyle name="Currency 2 2 3 2 3 3 3 2 3 3" xfId="12187"/>
    <cellStyle name="Currency 2 2 3 2 3 3 3 2 4" xfId="12188"/>
    <cellStyle name="Currency 2 2 3 2 3 3 3 2 5" xfId="12189"/>
    <cellStyle name="Currency 2 2 3 2 3 3 3 3" xfId="12190"/>
    <cellStyle name="Currency 2 2 3 2 3 3 3 3 2" xfId="12191"/>
    <cellStyle name="Currency 2 2 3 2 3 3 3 3 3" xfId="12192"/>
    <cellStyle name="Currency 2 2 3 2 3 3 3 4" xfId="12193"/>
    <cellStyle name="Currency 2 2 3 2 3 3 3 4 2" xfId="12194"/>
    <cellStyle name="Currency 2 2 3 2 3 3 3 4 3" xfId="12195"/>
    <cellStyle name="Currency 2 2 3 2 3 3 3 5" xfId="12196"/>
    <cellStyle name="Currency 2 2 3 2 3 3 3 6" xfId="12197"/>
    <cellStyle name="Currency 2 2 3 2 3 3 4" xfId="12198"/>
    <cellStyle name="Currency 2 2 3 2 3 3 4 2" xfId="12199"/>
    <cellStyle name="Currency 2 2 3 2 3 3 4 2 2" xfId="12200"/>
    <cellStyle name="Currency 2 2 3 2 3 3 4 2 3" xfId="12201"/>
    <cellStyle name="Currency 2 2 3 2 3 3 4 3" xfId="12202"/>
    <cellStyle name="Currency 2 2 3 2 3 3 4 3 2" xfId="12203"/>
    <cellStyle name="Currency 2 2 3 2 3 3 4 3 3" xfId="12204"/>
    <cellStyle name="Currency 2 2 3 2 3 3 4 4" xfId="12205"/>
    <cellStyle name="Currency 2 2 3 2 3 3 4 5" xfId="12206"/>
    <cellStyle name="Currency 2 2 3 2 3 3 5" xfId="12207"/>
    <cellStyle name="Currency 2 2 3 2 3 3 5 2" xfId="12208"/>
    <cellStyle name="Currency 2 2 3 2 3 3 5 3" xfId="12209"/>
    <cellStyle name="Currency 2 2 3 2 3 3 6" xfId="12210"/>
    <cellStyle name="Currency 2 2 3 2 3 3 6 2" xfId="12211"/>
    <cellStyle name="Currency 2 2 3 2 3 3 6 3" xfId="12212"/>
    <cellStyle name="Currency 2 2 3 2 3 3 7" xfId="12213"/>
    <cellStyle name="Currency 2 2 3 2 3 3 8" xfId="12214"/>
    <cellStyle name="Currency 2 2 3 2 3 4" xfId="12215"/>
    <cellStyle name="Currency 2 2 3 2 3 4 2" xfId="12216"/>
    <cellStyle name="Currency 2 2 3 2 3 4 2 2" xfId="12217"/>
    <cellStyle name="Currency 2 2 3 2 3 4 2 2 2" xfId="12218"/>
    <cellStyle name="Currency 2 2 3 2 3 4 2 2 3" xfId="12219"/>
    <cellStyle name="Currency 2 2 3 2 3 4 2 3" xfId="12220"/>
    <cellStyle name="Currency 2 2 3 2 3 4 2 3 2" xfId="12221"/>
    <cellStyle name="Currency 2 2 3 2 3 4 2 3 3" xfId="12222"/>
    <cellStyle name="Currency 2 2 3 2 3 4 2 4" xfId="12223"/>
    <cellStyle name="Currency 2 2 3 2 3 4 2 5" xfId="12224"/>
    <cellStyle name="Currency 2 2 3 2 3 4 3" xfId="12225"/>
    <cellStyle name="Currency 2 2 3 2 3 4 3 2" xfId="12226"/>
    <cellStyle name="Currency 2 2 3 2 3 4 3 3" xfId="12227"/>
    <cellStyle name="Currency 2 2 3 2 3 4 4" xfId="12228"/>
    <cellStyle name="Currency 2 2 3 2 3 4 4 2" xfId="12229"/>
    <cellStyle name="Currency 2 2 3 2 3 4 4 3" xfId="12230"/>
    <cellStyle name="Currency 2 2 3 2 3 4 5" xfId="12231"/>
    <cellStyle name="Currency 2 2 3 2 3 4 6" xfId="12232"/>
    <cellStyle name="Currency 2 2 3 2 3 5" xfId="12233"/>
    <cellStyle name="Currency 2 2 3 2 3 5 2" xfId="12234"/>
    <cellStyle name="Currency 2 2 3 2 3 5 2 2" xfId="12235"/>
    <cellStyle name="Currency 2 2 3 2 3 5 2 2 2" xfId="12236"/>
    <cellStyle name="Currency 2 2 3 2 3 5 2 2 3" xfId="12237"/>
    <cellStyle name="Currency 2 2 3 2 3 5 2 3" xfId="12238"/>
    <cellStyle name="Currency 2 2 3 2 3 5 2 3 2" xfId="12239"/>
    <cellStyle name="Currency 2 2 3 2 3 5 2 3 3" xfId="12240"/>
    <cellStyle name="Currency 2 2 3 2 3 5 2 4" xfId="12241"/>
    <cellStyle name="Currency 2 2 3 2 3 5 2 5" xfId="12242"/>
    <cellStyle name="Currency 2 2 3 2 3 5 3" xfId="12243"/>
    <cellStyle name="Currency 2 2 3 2 3 5 3 2" xfId="12244"/>
    <cellStyle name="Currency 2 2 3 2 3 5 3 3" xfId="12245"/>
    <cellStyle name="Currency 2 2 3 2 3 5 4" xfId="12246"/>
    <cellStyle name="Currency 2 2 3 2 3 5 4 2" xfId="12247"/>
    <cellStyle name="Currency 2 2 3 2 3 5 4 3" xfId="12248"/>
    <cellStyle name="Currency 2 2 3 2 3 5 5" xfId="12249"/>
    <cellStyle name="Currency 2 2 3 2 3 5 6" xfId="12250"/>
    <cellStyle name="Currency 2 2 3 2 3 6" xfId="12251"/>
    <cellStyle name="Currency 2 2 3 2 3 6 2" xfId="12252"/>
    <cellStyle name="Currency 2 2 3 2 3 6 2 2" xfId="12253"/>
    <cellStyle name="Currency 2 2 3 2 3 6 2 3" xfId="12254"/>
    <cellStyle name="Currency 2 2 3 2 3 6 3" xfId="12255"/>
    <cellStyle name="Currency 2 2 3 2 3 6 3 2" xfId="12256"/>
    <cellStyle name="Currency 2 2 3 2 3 6 3 3" xfId="12257"/>
    <cellStyle name="Currency 2 2 3 2 3 6 4" xfId="12258"/>
    <cellStyle name="Currency 2 2 3 2 3 6 5" xfId="12259"/>
    <cellStyle name="Currency 2 2 3 2 3 7" xfId="12260"/>
    <cellStyle name="Currency 2 2 3 2 3 7 2" xfId="12261"/>
    <cellStyle name="Currency 2 2 3 2 3 7 3" xfId="12262"/>
    <cellStyle name="Currency 2 2 3 2 3 8" xfId="12263"/>
    <cellStyle name="Currency 2 2 3 2 3 8 2" xfId="12264"/>
    <cellStyle name="Currency 2 2 3 2 3 8 3" xfId="12265"/>
    <cellStyle name="Currency 2 2 3 2 3 9" xfId="12266"/>
    <cellStyle name="Currency 2 2 3 2 4" xfId="12267"/>
    <cellStyle name="Currency 2 2 3 2 4 2" xfId="12268"/>
    <cellStyle name="Currency 2 2 3 2 4 2 2" xfId="12269"/>
    <cellStyle name="Currency 2 2 3 2 4 2 2 2" xfId="12270"/>
    <cellStyle name="Currency 2 2 3 2 4 2 2 2 2" xfId="12271"/>
    <cellStyle name="Currency 2 2 3 2 4 2 2 2 2 2" xfId="12272"/>
    <cellStyle name="Currency 2 2 3 2 4 2 2 2 2 3" xfId="12273"/>
    <cellStyle name="Currency 2 2 3 2 4 2 2 2 3" xfId="12274"/>
    <cellStyle name="Currency 2 2 3 2 4 2 2 2 3 2" xfId="12275"/>
    <cellStyle name="Currency 2 2 3 2 4 2 2 2 3 3" xfId="12276"/>
    <cellStyle name="Currency 2 2 3 2 4 2 2 2 4" xfId="12277"/>
    <cellStyle name="Currency 2 2 3 2 4 2 2 2 5" xfId="12278"/>
    <cellStyle name="Currency 2 2 3 2 4 2 2 3" xfId="12279"/>
    <cellStyle name="Currency 2 2 3 2 4 2 2 3 2" xfId="12280"/>
    <cellStyle name="Currency 2 2 3 2 4 2 2 3 3" xfId="12281"/>
    <cellStyle name="Currency 2 2 3 2 4 2 2 4" xfId="12282"/>
    <cellStyle name="Currency 2 2 3 2 4 2 2 4 2" xfId="12283"/>
    <cellStyle name="Currency 2 2 3 2 4 2 2 4 3" xfId="12284"/>
    <cellStyle name="Currency 2 2 3 2 4 2 2 5" xfId="12285"/>
    <cellStyle name="Currency 2 2 3 2 4 2 2 6" xfId="12286"/>
    <cellStyle name="Currency 2 2 3 2 4 2 3" xfId="12287"/>
    <cellStyle name="Currency 2 2 3 2 4 2 3 2" xfId="12288"/>
    <cellStyle name="Currency 2 2 3 2 4 2 3 2 2" xfId="12289"/>
    <cellStyle name="Currency 2 2 3 2 4 2 3 2 2 2" xfId="12290"/>
    <cellStyle name="Currency 2 2 3 2 4 2 3 2 2 3" xfId="12291"/>
    <cellStyle name="Currency 2 2 3 2 4 2 3 2 3" xfId="12292"/>
    <cellStyle name="Currency 2 2 3 2 4 2 3 2 3 2" xfId="12293"/>
    <cellStyle name="Currency 2 2 3 2 4 2 3 2 3 3" xfId="12294"/>
    <cellStyle name="Currency 2 2 3 2 4 2 3 2 4" xfId="12295"/>
    <cellStyle name="Currency 2 2 3 2 4 2 3 2 5" xfId="12296"/>
    <cellStyle name="Currency 2 2 3 2 4 2 3 3" xfId="12297"/>
    <cellStyle name="Currency 2 2 3 2 4 2 3 3 2" xfId="12298"/>
    <cellStyle name="Currency 2 2 3 2 4 2 3 3 3" xfId="12299"/>
    <cellStyle name="Currency 2 2 3 2 4 2 3 4" xfId="12300"/>
    <cellStyle name="Currency 2 2 3 2 4 2 3 4 2" xfId="12301"/>
    <cellStyle name="Currency 2 2 3 2 4 2 3 4 3" xfId="12302"/>
    <cellStyle name="Currency 2 2 3 2 4 2 3 5" xfId="12303"/>
    <cellStyle name="Currency 2 2 3 2 4 2 3 6" xfId="12304"/>
    <cellStyle name="Currency 2 2 3 2 4 2 4" xfId="12305"/>
    <cellStyle name="Currency 2 2 3 2 4 2 4 2" xfId="12306"/>
    <cellStyle name="Currency 2 2 3 2 4 2 4 2 2" xfId="12307"/>
    <cellStyle name="Currency 2 2 3 2 4 2 4 2 3" xfId="12308"/>
    <cellStyle name="Currency 2 2 3 2 4 2 4 3" xfId="12309"/>
    <cellStyle name="Currency 2 2 3 2 4 2 4 3 2" xfId="12310"/>
    <cellStyle name="Currency 2 2 3 2 4 2 4 3 3" xfId="12311"/>
    <cellStyle name="Currency 2 2 3 2 4 2 4 4" xfId="12312"/>
    <cellStyle name="Currency 2 2 3 2 4 2 4 5" xfId="12313"/>
    <cellStyle name="Currency 2 2 3 2 4 2 5" xfId="12314"/>
    <cellStyle name="Currency 2 2 3 2 4 2 5 2" xfId="12315"/>
    <cellStyle name="Currency 2 2 3 2 4 2 5 3" xfId="12316"/>
    <cellStyle name="Currency 2 2 3 2 4 2 6" xfId="12317"/>
    <cellStyle name="Currency 2 2 3 2 4 2 6 2" xfId="12318"/>
    <cellStyle name="Currency 2 2 3 2 4 2 6 3" xfId="12319"/>
    <cellStyle name="Currency 2 2 3 2 4 2 7" xfId="12320"/>
    <cellStyle name="Currency 2 2 3 2 4 2 8" xfId="12321"/>
    <cellStyle name="Currency 2 2 3 2 4 3" xfId="12322"/>
    <cellStyle name="Currency 2 2 3 2 4 3 2" xfId="12323"/>
    <cellStyle name="Currency 2 2 3 2 4 3 2 2" xfId="12324"/>
    <cellStyle name="Currency 2 2 3 2 4 3 2 2 2" xfId="12325"/>
    <cellStyle name="Currency 2 2 3 2 4 3 2 2 3" xfId="12326"/>
    <cellStyle name="Currency 2 2 3 2 4 3 2 3" xfId="12327"/>
    <cellStyle name="Currency 2 2 3 2 4 3 2 3 2" xfId="12328"/>
    <cellStyle name="Currency 2 2 3 2 4 3 2 3 3" xfId="12329"/>
    <cellStyle name="Currency 2 2 3 2 4 3 2 4" xfId="12330"/>
    <cellStyle name="Currency 2 2 3 2 4 3 2 5" xfId="12331"/>
    <cellStyle name="Currency 2 2 3 2 4 3 3" xfId="12332"/>
    <cellStyle name="Currency 2 2 3 2 4 3 3 2" xfId="12333"/>
    <cellStyle name="Currency 2 2 3 2 4 3 3 3" xfId="12334"/>
    <cellStyle name="Currency 2 2 3 2 4 3 4" xfId="12335"/>
    <cellStyle name="Currency 2 2 3 2 4 3 4 2" xfId="12336"/>
    <cellStyle name="Currency 2 2 3 2 4 3 4 3" xfId="12337"/>
    <cellStyle name="Currency 2 2 3 2 4 3 5" xfId="12338"/>
    <cellStyle name="Currency 2 2 3 2 4 3 6" xfId="12339"/>
    <cellStyle name="Currency 2 2 3 2 4 4" xfId="12340"/>
    <cellStyle name="Currency 2 2 3 2 4 4 2" xfId="12341"/>
    <cellStyle name="Currency 2 2 3 2 4 4 2 2" xfId="12342"/>
    <cellStyle name="Currency 2 2 3 2 4 4 2 2 2" xfId="12343"/>
    <cellStyle name="Currency 2 2 3 2 4 4 2 2 3" xfId="12344"/>
    <cellStyle name="Currency 2 2 3 2 4 4 2 3" xfId="12345"/>
    <cellStyle name="Currency 2 2 3 2 4 4 2 3 2" xfId="12346"/>
    <cellStyle name="Currency 2 2 3 2 4 4 2 3 3" xfId="12347"/>
    <cellStyle name="Currency 2 2 3 2 4 4 2 4" xfId="12348"/>
    <cellStyle name="Currency 2 2 3 2 4 4 2 5" xfId="12349"/>
    <cellStyle name="Currency 2 2 3 2 4 4 3" xfId="12350"/>
    <cellStyle name="Currency 2 2 3 2 4 4 3 2" xfId="12351"/>
    <cellStyle name="Currency 2 2 3 2 4 4 3 3" xfId="12352"/>
    <cellStyle name="Currency 2 2 3 2 4 4 4" xfId="12353"/>
    <cellStyle name="Currency 2 2 3 2 4 4 4 2" xfId="12354"/>
    <cellStyle name="Currency 2 2 3 2 4 4 4 3" xfId="12355"/>
    <cellStyle name="Currency 2 2 3 2 4 4 5" xfId="12356"/>
    <cellStyle name="Currency 2 2 3 2 4 4 6" xfId="12357"/>
    <cellStyle name="Currency 2 2 3 2 4 5" xfId="12358"/>
    <cellStyle name="Currency 2 2 3 2 4 5 2" xfId="12359"/>
    <cellStyle name="Currency 2 2 3 2 4 5 2 2" xfId="12360"/>
    <cellStyle name="Currency 2 2 3 2 4 5 2 3" xfId="12361"/>
    <cellStyle name="Currency 2 2 3 2 4 5 3" xfId="12362"/>
    <cellStyle name="Currency 2 2 3 2 4 5 3 2" xfId="12363"/>
    <cellStyle name="Currency 2 2 3 2 4 5 3 3" xfId="12364"/>
    <cellStyle name="Currency 2 2 3 2 4 5 4" xfId="12365"/>
    <cellStyle name="Currency 2 2 3 2 4 5 5" xfId="12366"/>
    <cellStyle name="Currency 2 2 3 2 4 6" xfId="12367"/>
    <cellStyle name="Currency 2 2 3 2 4 6 2" xfId="12368"/>
    <cellStyle name="Currency 2 2 3 2 4 6 3" xfId="12369"/>
    <cellStyle name="Currency 2 2 3 2 4 7" xfId="12370"/>
    <cellStyle name="Currency 2 2 3 2 4 7 2" xfId="12371"/>
    <cellStyle name="Currency 2 2 3 2 4 7 3" xfId="12372"/>
    <cellStyle name="Currency 2 2 3 2 4 8" xfId="12373"/>
    <cellStyle name="Currency 2 2 3 2 4 9" xfId="12374"/>
    <cellStyle name="Currency 2 2 3 2 5" xfId="12375"/>
    <cellStyle name="Currency 2 2 3 2 5 2" xfId="12376"/>
    <cellStyle name="Currency 2 2 3 2 5 2 2" xfId="12377"/>
    <cellStyle name="Currency 2 2 3 2 5 2 2 2" xfId="12378"/>
    <cellStyle name="Currency 2 2 3 2 5 2 2 2 2" xfId="12379"/>
    <cellStyle name="Currency 2 2 3 2 5 2 2 2 3" xfId="12380"/>
    <cellStyle name="Currency 2 2 3 2 5 2 2 3" xfId="12381"/>
    <cellStyle name="Currency 2 2 3 2 5 2 2 3 2" xfId="12382"/>
    <cellStyle name="Currency 2 2 3 2 5 2 2 3 3" xfId="12383"/>
    <cellStyle name="Currency 2 2 3 2 5 2 2 4" xfId="12384"/>
    <cellStyle name="Currency 2 2 3 2 5 2 2 5" xfId="12385"/>
    <cellStyle name="Currency 2 2 3 2 5 2 3" xfId="12386"/>
    <cellStyle name="Currency 2 2 3 2 5 2 3 2" xfId="12387"/>
    <cellStyle name="Currency 2 2 3 2 5 2 3 3" xfId="12388"/>
    <cellStyle name="Currency 2 2 3 2 5 2 4" xfId="12389"/>
    <cellStyle name="Currency 2 2 3 2 5 2 4 2" xfId="12390"/>
    <cellStyle name="Currency 2 2 3 2 5 2 4 3" xfId="12391"/>
    <cellStyle name="Currency 2 2 3 2 5 2 5" xfId="12392"/>
    <cellStyle name="Currency 2 2 3 2 5 2 6" xfId="12393"/>
    <cellStyle name="Currency 2 2 3 2 5 3" xfId="12394"/>
    <cellStyle name="Currency 2 2 3 2 5 3 2" xfId="12395"/>
    <cellStyle name="Currency 2 2 3 2 5 3 2 2" xfId="12396"/>
    <cellStyle name="Currency 2 2 3 2 5 3 2 2 2" xfId="12397"/>
    <cellStyle name="Currency 2 2 3 2 5 3 2 2 3" xfId="12398"/>
    <cellStyle name="Currency 2 2 3 2 5 3 2 3" xfId="12399"/>
    <cellStyle name="Currency 2 2 3 2 5 3 2 3 2" xfId="12400"/>
    <cellStyle name="Currency 2 2 3 2 5 3 2 3 3" xfId="12401"/>
    <cellStyle name="Currency 2 2 3 2 5 3 2 4" xfId="12402"/>
    <cellStyle name="Currency 2 2 3 2 5 3 2 5" xfId="12403"/>
    <cellStyle name="Currency 2 2 3 2 5 3 3" xfId="12404"/>
    <cellStyle name="Currency 2 2 3 2 5 3 3 2" xfId="12405"/>
    <cellStyle name="Currency 2 2 3 2 5 3 3 3" xfId="12406"/>
    <cellStyle name="Currency 2 2 3 2 5 3 4" xfId="12407"/>
    <cellStyle name="Currency 2 2 3 2 5 3 4 2" xfId="12408"/>
    <cellStyle name="Currency 2 2 3 2 5 3 4 3" xfId="12409"/>
    <cellStyle name="Currency 2 2 3 2 5 3 5" xfId="12410"/>
    <cellStyle name="Currency 2 2 3 2 5 3 6" xfId="12411"/>
    <cellStyle name="Currency 2 2 3 2 5 4" xfId="12412"/>
    <cellStyle name="Currency 2 2 3 2 5 4 2" xfId="12413"/>
    <cellStyle name="Currency 2 2 3 2 5 4 2 2" xfId="12414"/>
    <cellStyle name="Currency 2 2 3 2 5 4 2 3" xfId="12415"/>
    <cellStyle name="Currency 2 2 3 2 5 4 3" xfId="12416"/>
    <cellStyle name="Currency 2 2 3 2 5 4 3 2" xfId="12417"/>
    <cellStyle name="Currency 2 2 3 2 5 4 3 3" xfId="12418"/>
    <cellStyle name="Currency 2 2 3 2 5 4 4" xfId="12419"/>
    <cellStyle name="Currency 2 2 3 2 5 4 5" xfId="12420"/>
    <cellStyle name="Currency 2 2 3 2 5 5" xfId="12421"/>
    <cellStyle name="Currency 2 2 3 2 5 5 2" xfId="12422"/>
    <cellStyle name="Currency 2 2 3 2 5 5 3" xfId="12423"/>
    <cellStyle name="Currency 2 2 3 2 5 6" xfId="12424"/>
    <cellStyle name="Currency 2 2 3 2 5 6 2" xfId="12425"/>
    <cellStyle name="Currency 2 2 3 2 5 6 3" xfId="12426"/>
    <cellStyle name="Currency 2 2 3 2 5 7" xfId="12427"/>
    <cellStyle name="Currency 2 2 3 2 5 8" xfId="12428"/>
    <cellStyle name="Currency 2 2 3 2 6" xfId="12429"/>
    <cellStyle name="Currency 2 2 3 2 6 2" xfId="12430"/>
    <cellStyle name="Currency 2 2 3 2 6 2 2" xfId="12431"/>
    <cellStyle name="Currency 2 2 3 2 6 2 2 2" xfId="12432"/>
    <cellStyle name="Currency 2 2 3 2 6 2 2 3" xfId="12433"/>
    <cellStyle name="Currency 2 2 3 2 6 2 3" xfId="12434"/>
    <cellStyle name="Currency 2 2 3 2 6 2 3 2" xfId="12435"/>
    <cellStyle name="Currency 2 2 3 2 6 2 3 3" xfId="12436"/>
    <cellStyle name="Currency 2 2 3 2 6 2 4" xfId="12437"/>
    <cellStyle name="Currency 2 2 3 2 6 2 5" xfId="12438"/>
    <cellStyle name="Currency 2 2 3 2 6 3" xfId="12439"/>
    <cellStyle name="Currency 2 2 3 2 6 3 2" xfId="12440"/>
    <cellStyle name="Currency 2 2 3 2 6 3 3" xfId="12441"/>
    <cellStyle name="Currency 2 2 3 2 6 4" xfId="12442"/>
    <cellStyle name="Currency 2 2 3 2 6 4 2" xfId="12443"/>
    <cellStyle name="Currency 2 2 3 2 6 4 3" xfId="12444"/>
    <cellStyle name="Currency 2 2 3 2 6 5" xfId="12445"/>
    <cellStyle name="Currency 2 2 3 2 6 6" xfId="12446"/>
    <cellStyle name="Currency 2 2 3 2 7" xfId="12447"/>
    <cellStyle name="Currency 2 2 3 2 7 2" xfId="12448"/>
    <cellStyle name="Currency 2 2 3 2 7 2 2" xfId="12449"/>
    <cellStyle name="Currency 2 2 3 2 7 2 2 2" xfId="12450"/>
    <cellStyle name="Currency 2 2 3 2 7 2 2 3" xfId="12451"/>
    <cellStyle name="Currency 2 2 3 2 7 2 3" xfId="12452"/>
    <cellStyle name="Currency 2 2 3 2 7 2 3 2" xfId="12453"/>
    <cellStyle name="Currency 2 2 3 2 7 2 3 3" xfId="12454"/>
    <cellStyle name="Currency 2 2 3 2 7 2 4" xfId="12455"/>
    <cellStyle name="Currency 2 2 3 2 7 2 5" xfId="12456"/>
    <cellStyle name="Currency 2 2 3 2 7 3" xfId="12457"/>
    <cellStyle name="Currency 2 2 3 2 7 3 2" xfId="12458"/>
    <cellStyle name="Currency 2 2 3 2 7 3 3" xfId="12459"/>
    <cellStyle name="Currency 2 2 3 2 7 4" xfId="12460"/>
    <cellStyle name="Currency 2 2 3 2 7 4 2" xfId="12461"/>
    <cellStyle name="Currency 2 2 3 2 7 4 3" xfId="12462"/>
    <cellStyle name="Currency 2 2 3 2 7 5" xfId="12463"/>
    <cellStyle name="Currency 2 2 3 2 7 6" xfId="12464"/>
    <cellStyle name="Currency 2 2 3 2 8" xfId="12465"/>
    <cellStyle name="Currency 2 2 3 2 8 2" xfId="12466"/>
    <cellStyle name="Currency 2 2 3 2 8 2 2" xfId="12467"/>
    <cellStyle name="Currency 2 2 3 2 8 2 3" xfId="12468"/>
    <cellStyle name="Currency 2 2 3 2 8 3" xfId="12469"/>
    <cellStyle name="Currency 2 2 3 2 8 3 2" xfId="12470"/>
    <cellStyle name="Currency 2 2 3 2 8 3 3" xfId="12471"/>
    <cellStyle name="Currency 2 2 3 2 8 4" xfId="12472"/>
    <cellStyle name="Currency 2 2 3 2 8 5" xfId="12473"/>
    <cellStyle name="Currency 2 2 3 2 9" xfId="12474"/>
    <cellStyle name="Currency 2 2 3 2 9 2" xfId="12475"/>
    <cellStyle name="Currency 2 2 3 2 9 3" xfId="12476"/>
    <cellStyle name="Currency 2 2 3 3" xfId="12477"/>
    <cellStyle name="Currency 2 2 3 3 10" xfId="12478"/>
    <cellStyle name="Currency 2 2 3 3 2" xfId="12479"/>
    <cellStyle name="Currency 2 2 3 3 2 2" xfId="12480"/>
    <cellStyle name="Currency 2 2 3 3 2 2 2" xfId="12481"/>
    <cellStyle name="Currency 2 2 3 3 2 2 2 2" xfId="12482"/>
    <cellStyle name="Currency 2 2 3 3 2 2 2 2 2" xfId="12483"/>
    <cellStyle name="Currency 2 2 3 3 2 2 2 2 2 2" xfId="12484"/>
    <cellStyle name="Currency 2 2 3 3 2 2 2 2 2 3" xfId="12485"/>
    <cellStyle name="Currency 2 2 3 3 2 2 2 2 3" xfId="12486"/>
    <cellStyle name="Currency 2 2 3 3 2 2 2 2 3 2" xfId="12487"/>
    <cellStyle name="Currency 2 2 3 3 2 2 2 2 3 3" xfId="12488"/>
    <cellStyle name="Currency 2 2 3 3 2 2 2 2 4" xfId="12489"/>
    <cellStyle name="Currency 2 2 3 3 2 2 2 2 5" xfId="12490"/>
    <cellStyle name="Currency 2 2 3 3 2 2 2 3" xfId="12491"/>
    <cellStyle name="Currency 2 2 3 3 2 2 2 3 2" xfId="12492"/>
    <cellStyle name="Currency 2 2 3 3 2 2 2 3 3" xfId="12493"/>
    <cellStyle name="Currency 2 2 3 3 2 2 2 4" xfId="12494"/>
    <cellStyle name="Currency 2 2 3 3 2 2 2 4 2" xfId="12495"/>
    <cellStyle name="Currency 2 2 3 3 2 2 2 4 3" xfId="12496"/>
    <cellStyle name="Currency 2 2 3 3 2 2 2 5" xfId="12497"/>
    <cellStyle name="Currency 2 2 3 3 2 2 2 6" xfId="12498"/>
    <cellStyle name="Currency 2 2 3 3 2 2 3" xfId="12499"/>
    <cellStyle name="Currency 2 2 3 3 2 2 3 2" xfId="12500"/>
    <cellStyle name="Currency 2 2 3 3 2 2 3 2 2" xfId="12501"/>
    <cellStyle name="Currency 2 2 3 3 2 2 3 2 2 2" xfId="12502"/>
    <cellStyle name="Currency 2 2 3 3 2 2 3 2 2 3" xfId="12503"/>
    <cellStyle name="Currency 2 2 3 3 2 2 3 2 3" xfId="12504"/>
    <cellStyle name="Currency 2 2 3 3 2 2 3 2 3 2" xfId="12505"/>
    <cellStyle name="Currency 2 2 3 3 2 2 3 2 3 3" xfId="12506"/>
    <cellStyle name="Currency 2 2 3 3 2 2 3 2 4" xfId="12507"/>
    <cellStyle name="Currency 2 2 3 3 2 2 3 2 5" xfId="12508"/>
    <cellStyle name="Currency 2 2 3 3 2 2 3 3" xfId="12509"/>
    <cellStyle name="Currency 2 2 3 3 2 2 3 3 2" xfId="12510"/>
    <cellStyle name="Currency 2 2 3 3 2 2 3 3 3" xfId="12511"/>
    <cellStyle name="Currency 2 2 3 3 2 2 3 4" xfId="12512"/>
    <cellStyle name="Currency 2 2 3 3 2 2 3 4 2" xfId="12513"/>
    <cellStyle name="Currency 2 2 3 3 2 2 3 4 3" xfId="12514"/>
    <cellStyle name="Currency 2 2 3 3 2 2 3 5" xfId="12515"/>
    <cellStyle name="Currency 2 2 3 3 2 2 3 6" xfId="12516"/>
    <cellStyle name="Currency 2 2 3 3 2 2 4" xfId="12517"/>
    <cellStyle name="Currency 2 2 3 3 2 2 4 2" xfId="12518"/>
    <cellStyle name="Currency 2 2 3 3 2 2 4 2 2" xfId="12519"/>
    <cellStyle name="Currency 2 2 3 3 2 2 4 2 3" xfId="12520"/>
    <cellStyle name="Currency 2 2 3 3 2 2 4 3" xfId="12521"/>
    <cellStyle name="Currency 2 2 3 3 2 2 4 3 2" xfId="12522"/>
    <cellStyle name="Currency 2 2 3 3 2 2 4 3 3" xfId="12523"/>
    <cellStyle name="Currency 2 2 3 3 2 2 4 4" xfId="12524"/>
    <cellStyle name="Currency 2 2 3 3 2 2 4 5" xfId="12525"/>
    <cellStyle name="Currency 2 2 3 3 2 2 5" xfId="12526"/>
    <cellStyle name="Currency 2 2 3 3 2 2 5 2" xfId="12527"/>
    <cellStyle name="Currency 2 2 3 3 2 2 5 3" xfId="12528"/>
    <cellStyle name="Currency 2 2 3 3 2 2 6" xfId="12529"/>
    <cellStyle name="Currency 2 2 3 3 2 2 6 2" xfId="12530"/>
    <cellStyle name="Currency 2 2 3 3 2 2 6 3" xfId="12531"/>
    <cellStyle name="Currency 2 2 3 3 2 2 7" xfId="12532"/>
    <cellStyle name="Currency 2 2 3 3 2 2 8" xfId="12533"/>
    <cellStyle name="Currency 2 2 3 3 2 3" xfId="12534"/>
    <cellStyle name="Currency 2 2 3 3 2 3 2" xfId="12535"/>
    <cellStyle name="Currency 2 2 3 3 2 3 2 2" xfId="12536"/>
    <cellStyle name="Currency 2 2 3 3 2 3 2 2 2" xfId="12537"/>
    <cellStyle name="Currency 2 2 3 3 2 3 2 2 3" xfId="12538"/>
    <cellStyle name="Currency 2 2 3 3 2 3 2 3" xfId="12539"/>
    <cellStyle name="Currency 2 2 3 3 2 3 2 3 2" xfId="12540"/>
    <cellStyle name="Currency 2 2 3 3 2 3 2 3 3" xfId="12541"/>
    <cellStyle name="Currency 2 2 3 3 2 3 2 4" xfId="12542"/>
    <cellStyle name="Currency 2 2 3 3 2 3 2 5" xfId="12543"/>
    <cellStyle name="Currency 2 2 3 3 2 3 3" xfId="12544"/>
    <cellStyle name="Currency 2 2 3 3 2 3 3 2" xfId="12545"/>
    <cellStyle name="Currency 2 2 3 3 2 3 3 3" xfId="12546"/>
    <cellStyle name="Currency 2 2 3 3 2 3 4" xfId="12547"/>
    <cellStyle name="Currency 2 2 3 3 2 3 4 2" xfId="12548"/>
    <cellStyle name="Currency 2 2 3 3 2 3 4 3" xfId="12549"/>
    <cellStyle name="Currency 2 2 3 3 2 3 5" xfId="12550"/>
    <cellStyle name="Currency 2 2 3 3 2 3 6" xfId="12551"/>
    <cellStyle name="Currency 2 2 3 3 2 4" xfId="12552"/>
    <cellStyle name="Currency 2 2 3 3 2 4 2" xfId="12553"/>
    <cellStyle name="Currency 2 2 3 3 2 4 2 2" xfId="12554"/>
    <cellStyle name="Currency 2 2 3 3 2 4 2 2 2" xfId="12555"/>
    <cellStyle name="Currency 2 2 3 3 2 4 2 2 3" xfId="12556"/>
    <cellStyle name="Currency 2 2 3 3 2 4 2 3" xfId="12557"/>
    <cellStyle name="Currency 2 2 3 3 2 4 2 3 2" xfId="12558"/>
    <cellStyle name="Currency 2 2 3 3 2 4 2 3 3" xfId="12559"/>
    <cellStyle name="Currency 2 2 3 3 2 4 2 4" xfId="12560"/>
    <cellStyle name="Currency 2 2 3 3 2 4 2 5" xfId="12561"/>
    <cellStyle name="Currency 2 2 3 3 2 4 3" xfId="12562"/>
    <cellStyle name="Currency 2 2 3 3 2 4 3 2" xfId="12563"/>
    <cellStyle name="Currency 2 2 3 3 2 4 3 3" xfId="12564"/>
    <cellStyle name="Currency 2 2 3 3 2 4 4" xfId="12565"/>
    <cellStyle name="Currency 2 2 3 3 2 4 4 2" xfId="12566"/>
    <cellStyle name="Currency 2 2 3 3 2 4 4 3" xfId="12567"/>
    <cellStyle name="Currency 2 2 3 3 2 4 5" xfId="12568"/>
    <cellStyle name="Currency 2 2 3 3 2 4 6" xfId="12569"/>
    <cellStyle name="Currency 2 2 3 3 2 5" xfId="12570"/>
    <cellStyle name="Currency 2 2 3 3 2 5 2" xfId="12571"/>
    <cellStyle name="Currency 2 2 3 3 2 5 2 2" xfId="12572"/>
    <cellStyle name="Currency 2 2 3 3 2 5 2 3" xfId="12573"/>
    <cellStyle name="Currency 2 2 3 3 2 5 3" xfId="12574"/>
    <cellStyle name="Currency 2 2 3 3 2 5 3 2" xfId="12575"/>
    <cellStyle name="Currency 2 2 3 3 2 5 3 3" xfId="12576"/>
    <cellStyle name="Currency 2 2 3 3 2 5 4" xfId="12577"/>
    <cellStyle name="Currency 2 2 3 3 2 5 5" xfId="12578"/>
    <cellStyle name="Currency 2 2 3 3 2 6" xfId="12579"/>
    <cellStyle name="Currency 2 2 3 3 2 6 2" xfId="12580"/>
    <cellStyle name="Currency 2 2 3 3 2 6 3" xfId="12581"/>
    <cellStyle name="Currency 2 2 3 3 2 7" xfId="12582"/>
    <cellStyle name="Currency 2 2 3 3 2 7 2" xfId="12583"/>
    <cellStyle name="Currency 2 2 3 3 2 7 3" xfId="12584"/>
    <cellStyle name="Currency 2 2 3 3 2 8" xfId="12585"/>
    <cellStyle name="Currency 2 2 3 3 2 9" xfId="12586"/>
    <cellStyle name="Currency 2 2 3 3 3" xfId="12587"/>
    <cellStyle name="Currency 2 2 3 3 3 2" xfId="12588"/>
    <cellStyle name="Currency 2 2 3 3 3 2 2" xfId="12589"/>
    <cellStyle name="Currency 2 2 3 3 3 2 2 2" xfId="12590"/>
    <cellStyle name="Currency 2 2 3 3 3 2 2 2 2" xfId="12591"/>
    <cellStyle name="Currency 2 2 3 3 3 2 2 2 3" xfId="12592"/>
    <cellStyle name="Currency 2 2 3 3 3 2 2 3" xfId="12593"/>
    <cellStyle name="Currency 2 2 3 3 3 2 2 3 2" xfId="12594"/>
    <cellStyle name="Currency 2 2 3 3 3 2 2 3 3" xfId="12595"/>
    <cellStyle name="Currency 2 2 3 3 3 2 2 4" xfId="12596"/>
    <cellStyle name="Currency 2 2 3 3 3 2 2 5" xfId="12597"/>
    <cellStyle name="Currency 2 2 3 3 3 2 3" xfId="12598"/>
    <cellStyle name="Currency 2 2 3 3 3 2 3 2" xfId="12599"/>
    <cellStyle name="Currency 2 2 3 3 3 2 3 3" xfId="12600"/>
    <cellStyle name="Currency 2 2 3 3 3 2 4" xfId="12601"/>
    <cellStyle name="Currency 2 2 3 3 3 2 4 2" xfId="12602"/>
    <cellStyle name="Currency 2 2 3 3 3 2 4 3" xfId="12603"/>
    <cellStyle name="Currency 2 2 3 3 3 2 5" xfId="12604"/>
    <cellStyle name="Currency 2 2 3 3 3 2 6" xfId="12605"/>
    <cellStyle name="Currency 2 2 3 3 3 3" xfId="12606"/>
    <cellStyle name="Currency 2 2 3 3 3 3 2" xfId="12607"/>
    <cellStyle name="Currency 2 2 3 3 3 3 2 2" xfId="12608"/>
    <cellStyle name="Currency 2 2 3 3 3 3 2 2 2" xfId="12609"/>
    <cellStyle name="Currency 2 2 3 3 3 3 2 2 3" xfId="12610"/>
    <cellStyle name="Currency 2 2 3 3 3 3 2 3" xfId="12611"/>
    <cellStyle name="Currency 2 2 3 3 3 3 2 3 2" xfId="12612"/>
    <cellStyle name="Currency 2 2 3 3 3 3 2 3 3" xfId="12613"/>
    <cellStyle name="Currency 2 2 3 3 3 3 2 4" xfId="12614"/>
    <cellStyle name="Currency 2 2 3 3 3 3 2 5" xfId="12615"/>
    <cellStyle name="Currency 2 2 3 3 3 3 3" xfId="12616"/>
    <cellStyle name="Currency 2 2 3 3 3 3 3 2" xfId="12617"/>
    <cellStyle name="Currency 2 2 3 3 3 3 3 3" xfId="12618"/>
    <cellStyle name="Currency 2 2 3 3 3 3 4" xfId="12619"/>
    <cellStyle name="Currency 2 2 3 3 3 3 4 2" xfId="12620"/>
    <cellStyle name="Currency 2 2 3 3 3 3 4 3" xfId="12621"/>
    <cellStyle name="Currency 2 2 3 3 3 3 5" xfId="12622"/>
    <cellStyle name="Currency 2 2 3 3 3 3 6" xfId="12623"/>
    <cellStyle name="Currency 2 2 3 3 3 4" xfId="12624"/>
    <cellStyle name="Currency 2 2 3 3 3 4 2" xfId="12625"/>
    <cellStyle name="Currency 2 2 3 3 3 4 2 2" xfId="12626"/>
    <cellStyle name="Currency 2 2 3 3 3 4 2 3" xfId="12627"/>
    <cellStyle name="Currency 2 2 3 3 3 4 3" xfId="12628"/>
    <cellStyle name="Currency 2 2 3 3 3 4 3 2" xfId="12629"/>
    <cellStyle name="Currency 2 2 3 3 3 4 3 3" xfId="12630"/>
    <cellStyle name="Currency 2 2 3 3 3 4 4" xfId="12631"/>
    <cellStyle name="Currency 2 2 3 3 3 4 5" xfId="12632"/>
    <cellStyle name="Currency 2 2 3 3 3 5" xfId="12633"/>
    <cellStyle name="Currency 2 2 3 3 3 5 2" xfId="12634"/>
    <cellStyle name="Currency 2 2 3 3 3 5 3" xfId="12635"/>
    <cellStyle name="Currency 2 2 3 3 3 6" xfId="12636"/>
    <cellStyle name="Currency 2 2 3 3 3 6 2" xfId="12637"/>
    <cellStyle name="Currency 2 2 3 3 3 6 3" xfId="12638"/>
    <cellStyle name="Currency 2 2 3 3 3 7" xfId="12639"/>
    <cellStyle name="Currency 2 2 3 3 3 8" xfId="12640"/>
    <cellStyle name="Currency 2 2 3 3 4" xfId="12641"/>
    <cellStyle name="Currency 2 2 3 3 4 2" xfId="12642"/>
    <cellStyle name="Currency 2 2 3 3 4 2 2" xfId="12643"/>
    <cellStyle name="Currency 2 2 3 3 4 2 2 2" xfId="12644"/>
    <cellStyle name="Currency 2 2 3 3 4 2 2 3" xfId="12645"/>
    <cellStyle name="Currency 2 2 3 3 4 2 3" xfId="12646"/>
    <cellStyle name="Currency 2 2 3 3 4 2 3 2" xfId="12647"/>
    <cellStyle name="Currency 2 2 3 3 4 2 3 3" xfId="12648"/>
    <cellStyle name="Currency 2 2 3 3 4 2 4" xfId="12649"/>
    <cellStyle name="Currency 2 2 3 3 4 2 5" xfId="12650"/>
    <cellStyle name="Currency 2 2 3 3 4 3" xfId="12651"/>
    <cellStyle name="Currency 2 2 3 3 4 3 2" xfId="12652"/>
    <cellStyle name="Currency 2 2 3 3 4 3 3" xfId="12653"/>
    <cellStyle name="Currency 2 2 3 3 4 4" xfId="12654"/>
    <cellStyle name="Currency 2 2 3 3 4 4 2" xfId="12655"/>
    <cellStyle name="Currency 2 2 3 3 4 4 3" xfId="12656"/>
    <cellStyle name="Currency 2 2 3 3 4 5" xfId="12657"/>
    <cellStyle name="Currency 2 2 3 3 4 6" xfId="12658"/>
    <cellStyle name="Currency 2 2 3 3 5" xfId="12659"/>
    <cellStyle name="Currency 2 2 3 3 5 2" xfId="12660"/>
    <cellStyle name="Currency 2 2 3 3 5 2 2" xfId="12661"/>
    <cellStyle name="Currency 2 2 3 3 5 2 2 2" xfId="12662"/>
    <cellStyle name="Currency 2 2 3 3 5 2 2 3" xfId="12663"/>
    <cellStyle name="Currency 2 2 3 3 5 2 3" xfId="12664"/>
    <cellStyle name="Currency 2 2 3 3 5 2 3 2" xfId="12665"/>
    <cellStyle name="Currency 2 2 3 3 5 2 3 3" xfId="12666"/>
    <cellStyle name="Currency 2 2 3 3 5 2 4" xfId="12667"/>
    <cellStyle name="Currency 2 2 3 3 5 2 5" xfId="12668"/>
    <cellStyle name="Currency 2 2 3 3 5 3" xfId="12669"/>
    <cellStyle name="Currency 2 2 3 3 5 3 2" xfId="12670"/>
    <cellStyle name="Currency 2 2 3 3 5 3 3" xfId="12671"/>
    <cellStyle name="Currency 2 2 3 3 5 4" xfId="12672"/>
    <cellStyle name="Currency 2 2 3 3 5 4 2" xfId="12673"/>
    <cellStyle name="Currency 2 2 3 3 5 4 3" xfId="12674"/>
    <cellStyle name="Currency 2 2 3 3 5 5" xfId="12675"/>
    <cellStyle name="Currency 2 2 3 3 5 6" xfId="12676"/>
    <cellStyle name="Currency 2 2 3 3 6" xfId="12677"/>
    <cellStyle name="Currency 2 2 3 3 6 2" xfId="12678"/>
    <cellStyle name="Currency 2 2 3 3 6 2 2" xfId="12679"/>
    <cellStyle name="Currency 2 2 3 3 6 2 3" xfId="12680"/>
    <cellStyle name="Currency 2 2 3 3 6 3" xfId="12681"/>
    <cellStyle name="Currency 2 2 3 3 6 3 2" xfId="12682"/>
    <cellStyle name="Currency 2 2 3 3 6 3 3" xfId="12683"/>
    <cellStyle name="Currency 2 2 3 3 6 4" xfId="12684"/>
    <cellStyle name="Currency 2 2 3 3 6 5" xfId="12685"/>
    <cellStyle name="Currency 2 2 3 3 7" xfId="12686"/>
    <cellStyle name="Currency 2 2 3 3 7 2" xfId="12687"/>
    <cellStyle name="Currency 2 2 3 3 7 3" xfId="12688"/>
    <cellStyle name="Currency 2 2 3 3 8" xfId="12689"/>
    <cellStyle name="Currency 2 2 3 3 8 2" xfId="12690"/>
    <cellStyle name="Currency 2 2 3 3 8 3" xfId="12691"/>
    <cellStyle name="Currency 2 2 3 3 9" xfId="12692"/>
    <cellStyle name="Currency 2 2 3 4" xfId="12693"/>
    <cellStyle name="Currency 2 2 3 4 10" xfId="12694"/>
    <cellStyle name="Currency 2 2 3 4 2" xfId="12695"/>
    <cellStyle name="Currency 2 2 3 4 2 2" xfId="12696"/>
    <cellStyle name="Currency 2 2 3 4 2 2 2" xfId="12697"/>
    <cellStyle name="Currency 2 2 3 4 2 2 2 2" xfId="12698"/>
    <cellStyle name="Currency 2 2 3 4 2 2 2 2 2" xfId="12699"/>
    <cellStyle name="Currency 2 2 3 4 2 2 2 2 2 2" xfId="12700"/>
    <cellStyle name="Currency 2 2 3 4 2 2 2 2 2 3" xfId="12701"/>
    <cellStyle name="Currency 2 2 3 4 2 2 2 2 3" xfId="12702"/>
    <cellStyle name="Currency 2 2 3 4 2 2 2 2 3 2" xfId="12703"/>
    <cellStyle name="Currency 2 2 3 4 2 2 2 2 3 3" xfId="12704"/>
    <cellStyle name="Currency 2 2 3 4 2 2 2 2 4" xfId="12705"/>
    <cellStyle name="Currency 2 2 3 4 2 2 2 2 5" xfId="12706"/>
    <cellStyle name="Currency 2 2 3 4 2 2 2 3" xfId="12707"/>
    <cellStyle name="Currency 2 2 3 4 2 2 2 3 2" xfId="12708"/>
    <cellStyle name="Currency 2 2 3 4 2 2 2 3 3" xfId="12709"/>
    <cellStyle name="Currency 2 2 3 4 2 2 2 4" xfId="12710"/>
    <cellStyle name="Currency 2 2 3 4 2 2 2 4 2" xfId="12711"/>
    <cellStyle name="Currency 2 2 3 4 2 2 2 4 3" xfId="12712"/>
    <cellStyle name="Currency 2 2 3 4 2 2 2 5" xfId="12713"/>
    <cellStyle name="Currency 2 2 3 4 2 2 2 6" xfId="12714"/>
    <cellStyle name="Currency 2 2 3 4 2 2 3" xfId="12715"/>
    <cellStyle name="Currency 2 2 3 4 2 2 3 2" xfId="12716"/>
    <cellStyle name="Currency 2 2 3 4 2 2 3 2 2" xfId="12717"/>
    <cellStyle name="Currency 2 2 3 4 2 2 3 2 2 2" xfId="12718"/>
    <cellStyle name="Currency 2 2 3 4 2 2 3 2 2 3" xfId="12719"/>
    <cellStyle name="Currency 2 2 3 4 2 2 3 2 3" xfId="12720"/>
    <cellStyle name="Currency 2 2 3 4 2 2 3 2 3 2" xfId="12721"/>
    <cellStyle name="Currency 2 2 3 4 2 2 3 2 3 3" xfId="12722"/>
    <cellStyle name="Currency 2 2 3 4 2 2 3 2 4" xfId="12723"/>
    <cellStyle name="Currency 2 2 3 4 2 2 3 2 5" xfId="12724"/>
    <cellStyle name="Currency 2 2 3 4 2 2 3 3" xfId="12725"/>
    <cellStyle name="Currency 2 2 3 4 2 2 3 3 2" xfId="12726"/>
    <cellStyle name="Currency 2 2 3 4 2 2 3 3 3" xfId="12727"/>
    <cellStyle name="Currency 2 2 3 4 2 2 3 4" xfId="12728"/>
    <cellStyle name="Currency 2 2 3 4 2 2 3 4 2" xfId="12729"/>
    <cellStyle name="Currency 2 2 3 4 2 2 3 4 3" xfId="12730"/>
    <cellStyle name="Currency 2 2 3 4 2 2 3 5" xfId="12731"/>
    <cellStyle name="Currency 2 2 3 4 2 2 3 6" xfId="12732"/>
    <cellStyle name="Currency 2 2 3 4 2 2 4" xfId="12733"/>
    <cellStyle name="Currency 2 2 3 4 2 2 4 2" xfId="12734"/>
    <cellStyle name="Currency 2 2 3 4 2 2 4 2 2" xfId="12735"/>
    <cellStyle name="Currency 2 2 3 4 2 2 4 2 3" xfId="12736"/>
    <cellStyle name="Currency 2 2 3 4 2 2 4 3" xfId="12737"/>
    <cellStyle name="Currency 2 2 3 4 2 2 4 3 2" xfId="12738"/>
    <cellStyle name="Currency 2 2 3 4 2 2 4 3 3" xfId="12739"/>
    <cellStyle name="Currency 2 2 3 4 2 2 4 4" xfId="12740"/>
    <cellStyle name="Currency 2 2 3 4 2 2 4 5" xfId="12741"/>
    <cellStyle name="Currency 2 2 3 4 2 2 5" xfId="12742"/>
    <cellStyle name="Currency 2 2 3 4 2 2 5 2" xfId="12743"/>
    <cellStyle name="Currency 2 2 3 4 2 2 5 3" xfId="12744"/>
    <cellStyle name="Currency 2 2 3 4 2 2 6" xfId="12745"/>
    <cellStyle name="Currency 2 2 3 4 2 2 6 2" xfId="12746"/>
    <cellStyle name="Currency 2 2 3 4 2 2 6 3" xfId="12747"/>
    <cellStyle name="Currency 2 2 3 4 2 2 7" xfId="12748"/>
    <cellStyle name="Currency 2 2 3 4 2 2 8" xfId="12749"/>
    <cellStyle name="Currency 2 2 3 4 2 3" xfId="12750"/>
    <cellStyle name="Currency 2 2 3 4 2 3 2" xfId="12751"/>
    <cellStyle name="Currency 2 2 3 4 2 3 2 2" xfId="12752"/>
    <cellStyle name="Currency 2 2 3 4 2 3 2 2 2" xfId="12753"/>
    <cellStyle name="Currency 2 2 3 4 2 3 2 2 3" xfId="12754"/>
    <cellStyle name="Currency 2 2 3 4 2 3 2 3" xfId="12755"/>
    <cellStyle name="Currency 2 2 3 4 2 3 2 3 2" xfId="12756"/>
    <cellStyle name="Currency 2 2 3 4 2 3 2 3 3" xfId="12757"/>
    <cellStyle name="Currency 2 2 3 4 2 3 2 4" xfId="12758"/>
    <cellStyle name="Currency 2 2 3 4 2 3 2 5" xfId="12759"/>
    <cellStyle name="Currency 2 2 3 4 2 3 3" xfId="12760"/>
    <cellStyle name="Currency 2 2 3 4 2 3 3 2" xfId="12761"/>
    <cellStyle name="Currency 2 2 3 4 2 3 3 3" xfId="12762"/>
    <cellStyle name="Currency 2 2 3 4 2 3 4" xfId="12763"/>
    <cellStyle name="Currency 2 2 3 4 2 3 4 2" xfId="12764"/>
    <cellStyle name="Currency 2 2 3 4 2 3 4 3" xfId="12765"/>
    <cellStyle name="Currency 2 2 3 4 2 3 5" xfId="12766"/>
    <cellStyle name="Currency 2 2 3 4 2 3 6" xfId="12767"/>
    <cellStyle name="Currency 2 2 3 4 2 4" xfId="12768"/>
    <cellStyle name="Currency 2 2 3 4 2 4 2" xfId="12769"/>
    <cellStyle name="Currency 2 2 3 4 2 4 2 2" xfId="12770"/>
    <cellStyle name="Currency 2 2 3 4 2 4 2 2 2" xfId="12771"/>
    <cellStyle name="Currency 2 2 3 4 2 4 2 2 3" xfId="12772"/>
    <cellStyle name="Currency 2 2 3 4 2 4 2 3" xfId="12773"/>
    <cellStyle name="Currency 2 2 3 4 2 4 2 3 2" xfId="12774"/>
    <cellStyle name="Currency 2 2 3 4 2 4 2 3 3" xfId="12775"/>
    <cellStyle name="Currency 2 2 3 4 2 4 2 4" xfId="12776"/>
    <cellStyle name="Currency 2 2 3 4 2 4 2 5" xfId="12777"/>
    <cellStyle name="Currency 2 2 3 4 2 4 3" xfId="12778"/>
    <cellStyle name="Currency 2 2 3 4 2 4 3 2" xfId="12779"/>
    <cellStyle name="Currency 2 2 3 4 2 4 3 3" xfId="12780"/>
    <cellStyle name="Currency 2 2 3 4 2 4 4" xfId="12781"/>
    <cellStyle name="Currency 2 2 3 4 2 4 4 2" xfId="12782"/>
    <cellStyle name="Currency 2 2 3 4 2 4 4 3" xfId="12783"/>
    <cellStyle name="Currency 2 2 3 4 2 4 5" xfId="12784"/>
    <cellStyle name="Currency 2 2 3 4 2 4 6" xfId="12785"/>
    <cellStyle name="Currency 2 2 3 4 2 5" xfId="12786"/>
    <cellStyle name="Currency 2 2 3 4 2 5 2" xfId="12787"/>
    <cellStyle name="Currency 2 2 3 4 2 5 2 2" xfId="12788"/>
    <cellStyle name="Currency 2 2 3 4 2 5 2 3" xfId="12789"/>
    <cellStyle name="Currency 2 2 3 4 2 5 3" xfId="12790"/>
    <cellStyle name="Currency 2 2 3 4 2 5 3 2" xfId="12791"/>
    <cellStyle name="Currency 2 2 3 4 2 5 3 3" xfId="12792"/>
    <cellStyle name="Currency 2 2 3 4 2 5 4" xfId="12793"/>
    <cellStyle name="Currency 2 2 3 4 2 5 5" xfId="12794"/>
    <cellStyle name="Currency 2 2 3 4 2 6" xfId="12795"/>
    <cellStyle name="Currency 2 2 3 4 2 6 2" xfId="12796"/>
    <cellStyle name="Currency 2 2 3 4 2 6 3" xfId="12797"/>
    <cellStyle name="Currency 2 2 3 4 2 7" xfId="12798"/>
    <cellStyle name="Currency 2 2 3 4 2 7 2" xfId="12799"/>
    <cellStyle name="Currency 2 2 3 4 2 7 3" xfId="12800"/>
    <cellStyle name="Currency 2 2 3 4 2 8" xfId="12801"/>
    <cellStyle name="Currency 2 2 3 4 2 9" xfId="12802"/>
    <cellStyle name="Currency 2 2 3 4 3" xfId="12803"/>
    <cellStyle name="Currency 2 2 3 4 3 2" xfId="12804"/>
    <cellStyle name="Currency 2 2 3 4 3 2 2" xfId="12805"/>
    <cellStyle name="Currency 2 2 3 4 3 2 2 2" xfId="12806"/>
    <cellStyle name="Currency 2 2 3 4 3 2 2 2 2" xfId="12807"/>
    <cellStyle name="Currency 2 2 3 4 3 2 2 2 3" xfId="12808"/>
    <cellStyle name="Currency 2 2 3 4 3 2 2 3" xfId="12809"/>
    <cellStyle name="Currency 2 2 3 4 3 2 2 3 2" xfId="12810"/>
    <cellStyle name="Currency 2 2 3 4 3 2 2 3 3" xfId="12811"/>
    <cellStyle name="Currency 2 2 3 4 3 2 2 4" xfId="12812"/>
    <cellStyle name="Currency 2 2 3 4 3 2 2 5" xfId="12813"/>
    <cellStyle name="Currency 2 2 3 4 3 2 3" xfId="12814"/>
    <cellStyle name="Currency 2 2 3 4 3 2 3 2" xfId="12815"/>
    <cellStyle name="Currency 2 2 3 4 3 2 3 3" xfId="12816"/>
    <cellStyle name="Currency 2 2 3 4 3 2 4" xfId="12817"/>
    <cellStyle name="Currency 2 2 3 4 3 2 4 2" xfId="12818"/>
    <cellStyle name="Currency 2 2 3 4 3 2 4 3" xfId="12819"/>
    <cellStyle name="Currency 2 2 3 4 3 2 5" xfId="12820"/>
    <cellStyle name="Currency 2 2 3 4 3 2 6" xfId="12821"/>
    <cellStyle name="Currency 2 2 3 4 3 3" xfId="12822"/>
    <cellStyle name="Currency 2 2 3 4 3 3 2" xfId="12823"/>
    <cellStyle name="Currency 2 2 3 4 3 3 2 2" xfId="12824"/>
    <cellStyle name="Currency 2 2 3 4 3 3 2 2 2" xfId="12825"/>
    <cellStyle name="Currency 2 2 3 4 3 3 2 2 3" xfId="12826"/>
    <cellStyle name="Currency 2 2 3 4 3 3 2 3" xfId="12827"/>
    <cellStyle name="Currency 2 2 3 4 3 3 2 3 2" xfId="12828"/>
    <cellStyle name="Currency 2 2 3 4 3 3 2 3 3" xfId="12829"/>
    <cellStyle name="Currency 2 2 3 4 3 3 2 4" xfId="12830"/>
    <cellStyle name="Currency 2 2 3 4 3 3 2 5" xfId="12831"/>
    <cellStyle name="Currency 2 2 3 4 3 3 3" xfId="12832"/>
    <cellStyle name="Currency 2 2 3 4 3 3 3 2" xfId="12833"/>
    <cellStyle name="Currency 2 2 3 4 3 3 3 3" xfId="12834"/>
    <cellStyle name="Currency 2 2 3 4 3 3 4" xfId="12835"/>
    <cellStyle name="Currency 2 2 3 4 3 3 4 2" xfId="12836"/>
    <cellStyle name="Currency 2 2 3 4 3 3 4 3" xfId="12837"/>
    <cellStyle name="Currency 2 2 3 4 3 3 5" xfId="12838"/>
    <cellStyle name="Currency 2 2 3 4 3 3 6" xfId="12839"/>
    <cellStyle name="Currency 2 2 3 4 3 4" xfId="12840"/>
    <cellStyle name="Currency 2 2 3 4 3 4 2" xfId="12841"/>
    <cellStyle name="Currency 2 2 3 4 3 4 2 2" xfId="12842"/>
    <cellStyle name="Currency 2 2 3 4 3 4 2 3" xfId="12843"/>
    <cellStyle name="Currency 2 2 3 4 3 4 3" xfId="12844"/>
    <cellStyle name="Currency 2 2 3 4 3 4 3 2" xfId="12845"/>
    <cellStyle name="Currency 2 2 3 4 3 4 3 3" xfId="12846"/>
    <cellStyle name="Currency 2 2 3 4 3 4 4" xfId="12847"/>
    <cellStyle name="Currency 2 2 3 4 3 4 5" xfId="12848"/>
    <cellStyle name="Currency 2 2 3 4 3 5" xfId="12849"/>
    <cellStyle name="Currency 2 2 3 4 3 5 2" xfId="12850"/>
    <cellStyle name="Currency 2 2 3 4 3 5 3" xfId="12851"/>
    <cellStyle name="Currency 2 2 3 4 3 6" xfId="12852"/>
    <cellStyle name="Currency 2 2 3 4 3 6 2" xfId="12853"/>
    <cellStyle name="Currency 2 2 3 4 3 6 3" xfId="12854"/>
    <cellStyle name="Currency 2 2 3 4 3 7" xfId="12855"/>
    <cellStyle name="Currency 2 2 3 4 3 8" xfId="12856"/>
    <cellStyle name="Currency 2 2 3 4 4" xfId="12857"/>
    <cellStyle name="Currency 2 2 3 4 4 2" xfId="12858"/>
    <cellStyle name="Currency 2 2 3 4 4 2 2" xfId="12859"/>
    <cellStyle name="Currency 2 2 3 4 4 2 2 2" xfId="12860"/>
    <cellStyle name="Currency 2 2 3 4 4 2 2 3" xfId="12861"/>
    <cellStyle name="Currency 2 2 3 4 4 2 3" xfId="12862"/>
    <cellStyle name="Currency 2 2 3 4 4 2 3 2" xfId="12863"/>
    <cellStyle name="Currency 2 2 3 4 4 2 3 3" xfId="12864"/>
    <cellStyle name="Currency 2 2 3 4 4 2 4" xfId="12865"/>
    <cellStyle name="Currency 2 2 3 4 4 2 5" xfId="12866"/>
    <cellStyle name="Currency 2 2 3 4 4 3" xfId="12867"/>
    <cellStyle name="Currency 2 2 3 4 4 3 2" xfId="12868"/>
    <cellStyle name="Currency 2 2 3 4 4 3 3" xfId="12869"/>
    <cellStyle name="Currency 2 2 3 4 4 4" xfId="12870"/>
    <cellStyle name="Currency 2 2 3 4 4 4 2" xfId="12871"/>
    <cellStyle name="Currency 2 2 3 4 4 4 3" xfId="12872"/>
    <cellStyle name="Currency 2 2 3 4 4 5" xfId="12873"/>
    <cellStyle name="Currency 2 2 3 4 4 6" xfId="12874"/>
    <cellStyle name="Currency 2 2 3 4 5" xfId="12875"/>
    <cellStyle name="Currency 2 2 3 4 5 2" xfId="12876"/>
    <cellStyle name="Currency 2 2 3 4 5 2 2" xfId="12877"/>
    <cellStyle name="Currency 2 2 3 4 5 2 2 2" xfId="12878"/>
    <cellStyle name="Currency 2 2 3 4 5 2 2 3" xfId="12879"/>
    <cellStyle name="Currency 2 2 3 4 5 2 3" xfId="12880"/>
    <cellStyle name="Currency 2 2 3 4 5 2 3 2" xfId="12881"/>
    <cellStyle name="Currency 2 2 3 4 5 2 3 3" xfId="12882"/>
    <cellStyle name="Currency 2 2 3 4 5 2 4" xfId="12883"/>
    <cellStyle name="Currency 2 2 3 4 5 2 5" xfId="12884"/>
    <cellStyle name="Currency 2 2 3 4 5 3" xfId="12885"/>
    <cellStyle name="Currency 2 2 3 4 5 3 2" xfId="12886"/>
    <cellStyle name="Currency 2 2 3 4 5 3 3" xfId="12887"/>
    <cellStyle name="Currency 2 2 3 4 5 4" xfId="12888"/>
    <cellStyle name="Currency 2 2 3 4 5 4 2" xfId="12889"/>
    <cellStyle name="Currency 2 2 3 4 5 4 3" xfId="12890"/>
    <cellStyle name="Currency 2 2 3 4 5 5" xfId="12891"/>
    <cellStyle name="Currency 2 2 3 4 5 6" xfId="12892"/>
    <cellStyle name="Currency 2 2 3 4 6" xfId="12893"/>
    <cellStyle name="Currency 2 2 3 4 6 2" xfId="12894"/>
    <cellStyle name="Currency 2 2 3 4 6 2 2" xfId="12895"/>
    <cellStyle name="Currency 2 2 3 4 6 2 3" xfId="12896"/>
    <cellStyle name="Currency 2 2 3 4 6 3" xfId="12897"/>
    <cellStyle name="Currency 2 2 3 4 6 3 2" xfId="12898"/>
    <cellStyle name="Currency 2 2 3 4 6 3 3" xfId="12899"/>
    <cellStyle name="Currency 2 2 3 4 6 4" xfId="12900"/>
    <cellStyle name="Currency 2 2 3 4 6 5" xfId="12901"/>
    <cellStyle name="Currency 2 2 3 4 7" xfId="12902"/>
    <cellStyle name="Currency 2 2 3 4 7 2" xfId="12903"/>
    <cellStyle name="Currency 2 2 3 4 7 3" xfId="12904"/>
    <cellStyle name="Currency 2 2 3 4 8" xfId="12905"/>
    <cellStyle name="Currency 2 2 3 4 8 2" xfId="12906"/>
    <cellStyle name="Currency 2 2 3 4 8 3" xfId="12907"/>
    <cellStyle name="Currency 2 2 3 4 9" xfId="12908"/>
    <cellStyle name="Currency 2 2 3 5" xfId="12909"/>
    <cellStyle name="Currency 2 2 3 5 2" xfId="12910"/>
    <cellStyle name="Currency 2 2 3 5 2 2" xfId="12911"/>
    <cellStyle name="Currency 2 2 3 5 2 2 2" xfId="12912"/>
    <cellStyle name="Currency 2 2 3 5 2 2 2 2" xfId="12913"/>
    <cellStyle name="Currency 2 2 3 5 2 2 2 2 2" xfId="12914"/>
    <cellStyle name="Currency 2 2 3 5 2 2 2 2 3" xfId="12915"/>
    <cellStyle name="Currency 2 2 3 5 2 2 2 3" xfId="12916"/>
    <cellStyle name="Currency 2 2 3 5 2 2 2 3 2" xfId="12917"/>
    <cellStyle name="Currency 2 2 3 5 2 2 2 3 3" xfId="12918"/>
    <cellStyle name="Currency 2 2 3 5 2 2 2 4" xfId="12919"/>
    <cellStyle name="Currency 2 2 3 5 2 2 2 5" xfId="12920"/>
    <cellStyle name="Currency 2 2 3 5 2 2 3" xfId="12921"/>
    <cellStyle name="Currency 2 2 3 5 2 2 3 2" xfId="12922"/>
    <cellStyle name="Currency 2 2 3 5 2 2 3 3" xfId="12923"/>
    <cellStyle name="Currency 2 2 3 5 2 2 4" xfId="12924"/>
    <cellStyle name="Currency 2 2 3 5 2 2 4 2" xfId="12925"/>
    <cellStyle name="Currency 2 2 3 5 2 2 4 3" xfId="12926"/>
    <cellStyle name="Currency 2 2 3 5 2 2 5" xfId="12927"/>
    <cellStyle name="Currency 2 2 3 5 2 2 6" xfId="12928"/>
    <cellStyle name="Currency 2 2 3 5 2 3" xfId="12929"/>
    <cellStyle name="Currency 2 2 3 5 2 3 2" xfId="12930"/>
    <cellStyle name="Currency 2 2 3 5 2 3 2 2" xfId="12931"/>
    <cellStyle name="Currency 2 2 3 5 2 3 2 2 2" xfId="12932"/>
    <cellStyle name="Currency 2 2 3 5 2 3 2 2 3" xfId="12933"/>
    <cellStyle name="Currency 2 2 3 5 2 3 2 3" xfId="12934"/>
    <cellStyle name="Currency 2 2 3 5 2 3 2 3 2" xfId="12935"/>
    <cellStyle name="Currency 2 2 3 5 2 3 2 3 3" xfId="12936"/>
    <cellStyle name="Currency 2 2 3 5 2 3 2 4" xfId="12937"/>
    <cellStyle name="Currency 2 2 3 5 2 3 2 5" xfId="12938"/>
    <cellStyle name="Currency 2 2 3 5 2 3 3" xfId="12939"/>
    <cellStyle name="Currency 2 2 3 5 2 3 3 2" xfId="12940"/>
    <cellStyle name="Currency 2 2 3 5 2 3 3 3" xfId="12941"/>
    <cellStyle name="Currency 2 2 3 5 2 3 4" xfId="12942"/>
    <cellStyle name="Currency 2 2 3 5 2 3 4 2" xfId="12943"/>
    <cellStyle name="Currency 2 2 3 5 2 3 4 3" xfId="12944"/>
    <cellStyle name="Currency 2 2 3 5 2 3 5" xfId="12945"/>
    <cellStyle name="Currency 2 2 3 5 2 3 6" xfId="12946"/>
    <cellStyle name="Currency 2 2 3 5 2 4" xfId="12947"/>
    <cellStyle name="Currency 2 2 3 5 2 4 2" xfId="12948"/>
    <cellStyle name="Currency 2 2 3 5 2 4 2 2" xfId="12949"/>
    <cellStyle name="Currency 2 2 3 5 2 4 2 3" xfId="12950"/>
    <cellStyle name="Currency 2 2 3 5 2 4 3" xfId="12951"/>
    <cellStyle name="Currency 2 2 3 5 2 4 3 2" xfId="12952"/>
    <cellStyle name="Currency 2 2 3 5 2 4 3 3" xfId="12953"/>
    <cellStyle name="Currency 2 2 3 5 2 4 4" xfId="12954"/>
    <cellStyle name="Currency 2 2 3 5 2 4 5" xfId="12955"/>
    <cellStyle name="Currency 2 2 3 5 2 5" xfId="12956"/>
    <cellStyle name="Currency 2 2 3 5 2 5 2" xfId="12957"/>
    <cellStyle name="Currency 2 2 3 5 2 5 3" xfId="12958"/>
    <cellStyle name="Currency 2 2 3 5 2 6" xfId="12959"/>
    <cellStyle name="Currency 2 2 3 5 2 6 2" xfId="12960"/>
    <cellStyle name="Currency 2 2 3 5 2 6 3" xfId="12961"/>
    <cellStyle name="Currency 2 2 3 5 2 7" xfId="12962"/>
    <cellStyle name="Currency 2 2 3 5 2 8" xfId="12963"/>
    <cellStyle name="Currency 2 2 3 5 3" xfId="12964"/>
    <cellStyle name="Currency 2 2 3 5 3 2" xfId="12965"/>
    <cellStyle name="Currency 2 2 3 5 3 2 2" xfId="12966"/>
    <cellStyle name="Currency 2 2 3 5 3 2 2 2" xfId="12967"/>
    <cellStyle name="Currency 2 2 3 5 3 2 2 3" xfId="12968"/>
    <cellStyle name="Currency 2 2 3 5 3 2 3" xfId="12969"/>
    <cellStyle name="Currency 2 2 3 5 3 2 3 2" xfId="12970"/>
    <cellStyle name="Currency 2 2 3 5 3 2 3 3" xfId="12971"/>
    <cellStyle name="Currency 2 2 3 5 3 2 4" xfId="12972"/>
    <cellStyle name="Currency 2 2 3 5 3 2 5" xfId="12973"/>
    <cellStyle name="Currency 2 2 3 5 3 3" xfId="12974"/>
    <cellStyle name="Currency 2 2 3 5 3 3 2" xfId="12975"/>
    <cellStyle name="Currency 2 2 3 5 3 3 3" xfId="12976"/>
    <cellStyle name="Currency 2 2 3 5 3 4" xfId="12977"/>
    <cellStyle name="Currency 2 2 3 5 3 4 2" xfId="12978"/>
    <cellStyle name="Currency 2 2 3 5 3 4 3" xfId="12979"/>
    <cellStyle name="Currency 2 2 3 5 3 5" xfId="12980"/>
    <cellStyle name="Currency 2 2 3 5 3 6" xfId="12981"/>
    <cellStyle name="Currency 2 2 3 5 4" xfId="12982"/>
    <cellStyle name="Currency 2 2 3 5 4 2" xfId="12983"/>
    <cellStyle name="Currency 2 2 3 5 4 2 2" xfId="12984"/>
    <cellStyle name="Currency 2 2 3 5 4 2 2 2" xfId="12985"/>
    <cellStyle name="Currency 2 2 3 5 4 2 2 3" xfId="12986"/>
    <cellStyle name="Currency 2 2 3 5 4 2 3" xfId="12987"/>
    <cellStyle name="Currency 2 2 3 5 4 2 3 2" xfId="12988"/>
    <cellStyle name="Currency 2 2 3 5 4 2 3 3" xfId="12989"/>
    <cellStyle name="Currency 2 2 3 5 4 2 4" xfId="12990"/>
    <cellStyle name="Currency 2 2 3 5 4 2 5" xfId="12991"/>
    <cellStyle name="Currency 2 2 3 5 4 3" xfId="12992"/>
    <cellStyle name="Currency 2 2 3 5 4 3 2" xfId="12993"/>
    <cellStyle name="Currency 2 2 3 5 4 3 3" xfId="12994"/>
    <cellStyle name="Currency 2 2 3 5 4 4" xfId="12995"/>
    <cellStyle name="Currency 2 2 3 5 4 4 2" xfId="12996"/>
    <cellStyle name="Currency 2 2 3 5 4 4 3" xfId="12997"/>
    <cellStyle name="Currency 2 2 3 5 4 5" xfId="12998"/>
    <cellStyle name="Currency 2 2 3 5 4 6" xfId="12999"/>
    <cellStyle name="Currency 2 2 3 5 5" xfId="13000"/>
    <cellStyle name="Currency 2 2 3 5 5 2" xfId="13001"/>
    <cellStyle name="Currency 2 2 3 5 5 2 2" xfId="13002"/>
    <cellStyle name="Currency 2 2 3 5 5 2 3" xfId="13003"/>
    <cellStyle name="Currency 2 2 3 5 5 3" xfId="13004"/>
    <cellStyle name="Currency 2 2 3 5 5 3 2" xfId="13005"/>
    <cellStyle name="Currency 2 2 3 5 5 3 3" xfId="13006"/>
    <cellStyle name="Currency 2 2 3 5 5 4" xfId="13007"/>
    <cellStyle name="Currency 2 2 3 5 5 5" xfId="13008"/>
    <cellStyle name="Currency 2 2 3 5 6" xfId="13009"/>
    <cellStyle name="Currency 2 2 3 5 6 2" xfId="13010"/>
    <cellStyle name="Currency 2 2 3 5 6 3" xfId="13011"/>
    <cellStyle name="Currency 2 2 3 5 7" xfId="13012"/>
    <cellStyle name="Currency 2 2 3 5 7 2" xfId="13013"/>
    <cellStyle name="Currency 2 2 3 5 7 3" xfId="13014"/>
    <cellStyle name="Currency 2 2 3 5 8" xfId="13015"/>
    <cellStyle name="Currency 2 2 3 5 9" xfId="13016"/>
    <cellStyle name="Currency 2 2 3 6" xfId="13017"/>
    <cellStyle name="Currency 2 2 3 6 2" xfId="13018"/>
    <cellStyle name="Currency 2 2 3 6 2 2" xfId="13019"/>
    <cellStyle name="Currency 2 2 3 6 2 2 2" xfId="13020"/>
    <cellStyle name="Currency 2 2 3 6 2 2 2 2" xfId="13021"/>
    <cellStyle name="Currency 2 2 3 6 2 2 2 3" xfId="13022"/>
    <cellStyle name="Currency 2 2 3 6 2 2 3" xfId="13023"/>
    <cellStyle name="Currency 2 2 3 6 2 2 3 2" xfId="13024"/>
    <cellStyle name="Currency 2 2 3 6 2 2 3 3" xfId="13025"/>
    <cellStyle name="Currency 2 2 3 6 2 2 4" xfId="13026"/>
    <cellStyle name="Currency 2 2 3 6 2 2 5" xfId="13027"/>
    <cellStyle name="Currency 2 2 3 6 2 3" xfId="13028"/>
    <cellStyle name="Currency 2 2 3 6 2 3 2" xfId="13029"/>
    <cellStyle name="Currency 2 2 3 6 2 3 3" xfId="13030"/>
    <cellStyle name="Currency 2 2 3 6 2 4" xfId="13031"/>
    <cellStyle name="Currency 2 2 3 6 2 4 2" xfId="13032"/>
    <cellStyle name="Currency 2 2 3 6 2 4 3" xfId="13033"/>
    <cellStyle name="Currency 2 2 3 6 2 5" xfId="13034"/>
    <cellStyle name="Currency 2 2 3 6 2 6" xfId="13035"/>
    <cellStyle name="Currency 2 2 3 6 3" xfId="13036"/>
    <cellStyle name="Currency 2 2 3 6 3 2" xfId="13037"/>
    <cellStyle name="Currency 2 2 3 6 3 2 2" xfId="13038"/>
    <cellStyle name="Currency 2 2 3 6 3 2 2 2" xfId="13039"/>
    <cellStyle name="Currency 2 2 3 6 3 2 2 3" xfId="13040"/>
    <cellStyle name="Currency 2 2 3 6 3 2 3" xfId="13041"/>
    <cellStyle name="Currency 2 2 3 6 3 2 3 2" xfId="13042"/>
    <cellStyle name="Currency 2 2 3 6 3 2 3 3" xfId="13043"/>
    <cellStyle name="Currency 2 2 3 6 3 2 4" xfId="13044"/>
    <cellStyle name="Currency 2 2 3 6 3 2 5" xfId="13045"/>
    <cellStyle name="Currency 2 2 3 6 3 3" xfId="13046"/>
    <cellStyle name="Currency 2 2 3 6 3 3 2" xfId="13047"/>
    <cellStyle name="Currency 2 2 3 6 3 3 3" xfId="13048"/>
    <cellStyle name="Currency 2 2 3 6 3 4" xfId="13049"/>
    <cellStyle name="Currency 2 2 3 6 3 4 2" xfId="13050"/>
    <cellStyle name="Currency 2 2 3 6 3 4 3" xfId="13051"/>
    <cellStyle name="Currency 2 2 3 6 3 5" xfId="13052"/>
    <cellStyle name="Currency 2 2 3 6 3 6" xfId="13053"/>
    <cellStyle name="Currency 2 2 3 6 4" xfId="13054"/>
    <cellStyle name="Currency 2 2 3 6 4 2" xfId="13055"/>
    <cellStyle name="Currency 2 2 3 6 4 2 2" xfId="13056"/>
    <cellStyle name="Currency 2 2 3 6 4 2 3" xfId="13057"/>
    <cellStyle name="Currency 2 2 3 6 4 3" xfId="13058"/>
    <cellStyle name="Currency 2 2 3 6 4 3 2" xfId="13059"/>
    <cellStyle name="Currency 2 2 3 6 4 3 3" xfId="13060"/>
    <cellStyle name="Currency 2 2 3 6 4 4" xfId="13061"/>
    <cellStyle name="Currency 2 2 3 6 4 5" xfId="13062"/>
    <cellStyle name="Currency 2 2 3 6 5" xfId="13063"/>
    <cellStyle name="Currency 2 2 3 6 5 2" xfId="13064"/>
    <cellStyle name="Currency 2 2 3 6 5 3" xfId="13065"/>
    <cellStyle name="Currency 2 2 3 6 6" xfId="13066"/>
    <cellStyle name="Currency 2 2 3 6 6 2" xfId="13067"/>
    <cellStyle name="Currency 2 2 3 6 6 3" xfId="13068"/>
    <cellStyle name="Currency 2 2 3 6 7" xfId="13069"/>
    <cellStyle name="Currency 2 2 3 6 8" xfId="13070"/>
    <cellStyle name="Currency 2 2 3 7" xfId="13071"/>
    <cellStyle name="Currency 2 2 3 7 2" xfId="13072"/>
    <cellStyle name="Currency 2 2 3 7 2 2" xfId="13073"/>
    <cellStyle name="Currency 2 2 3 7 2 2 2" xfId="13074"/>
    <cellStyle name="Currency 2 2 3 7 2 2 3" xfId="13075"/>
    <cellStyle name="Currency 2 2 3 7 2 3" xfId="13076"/>
    <cellStyle name="Currency 2 2 3 7 2 3 2" xfId="13077"/>
    <cellStyle name="Currency 2 2 3 7 2 3 3" xfId="13078"/>
    <cellStyle name="Currency 2 2 3 7 2 4" xfId="13079"/>
    <cellStyle name="Currency 2 2 3 7 2 5" xfId="13080"/>
    <cellStyle name="Currency 2 2 3 7 3" xfId="13081"/>
    <cellStyle name="Currency 2 2 3 7 3 2" xfId="13082"/>
    <cellStyle name="Currency 2 2 3 7 3 3" xfId="13083"/>
    <cellStyle name="Currency 2 2 3 7 4" xfId="13084"/>
    <cellStyle name="Currency 2 2 3 7 4 2" xfId="13085"/>
    <cellStyle name="Currency 2 2 3 7 4 3" xfId="13086"/>
    <cellStyle name="Currency 2 2 3 7 5" xfId="13087"/>
    <cellStyle name="Currency 2 2 3 7 6" xfId="13088"/>
    <cellStyle name="Currency 2 2 3 8" xfId="13089"/>
    <cellStyle name="Currency 2 2 3 8 2" xfId="13090"/>
    <cellStyle name="Currency 2 2 3 8 2 2" xfId="13091"/>
    <cellStyle name="Currency 2 2 3 8 2 2 2" xfId="13092"/>
    <cellStyle name="Currency 2 2 3 8 2 2 3" xfId="13093"/>
    <cellStyle name="Currency 2 2 3 8 2 3" xfId="13094"/>
    <cellStyle name="Currency 2 2 3 8 2 3 2" xfId="13095"/>
    <cellStyle name="Currency 2 2 3 8 2 3 3" xfId="13096"/>
    <cellStyle name="Currency 2 2 3 8 2 4" xfId="13097"/>
    <cellStyle name="Currency 2 2 3 8 2 5" xfId="13098"/>
    <cellStyle name="Currency 2 2 3 8 3" xfId="13099"/>
    <cellStyle name="Currency 2 2 3 8 3 2" xfId="13100"/>
    <cellStyle name="Currency 2 2 3 8 3 3" xfId="13101"/>
    <cellStyle name="Currency 2 2 3 8 4" xfId="13102"/>
    <cellStyle name="Currency 2 2 3 8 4 2" xfId="13103"/>
    <cellStyle name="Currency 2 2 3 8 4 3" xfId="13104"/>
    <cellStyle name="Currency 2 2 3 8 5" xfId="13105"/>
    <cellStyle name="Currency 2 2 3 8 6" xfId="13106"/>
    <cellStyle name="Currency 2 2 3 9" xfId="13107"/>
    <cellStyle name="Currency 2 2 3 9 2" xfId="13108"/>
    <cellStyle name="Currency 2 2 3 9 2 2" xfId="13109"/>
    <cellStyle name="Currency 2 2 3 9 2 3" xfId="13110"/>
    <cellStyle name="Currency 2 2 3 9 3" xfId="13111"/>
    <cellStyle name="Currency 2 2 3 9 3 2" xfId="13112"/>
    <cellStyle name="Currency 2 2 3 9 3 3" xfId="13113"/>
    <cellStyle name="Currency 2 2 3 9 4" xfId="13114"/>
    <cellStyle name="Currency 2 2 3 9 5" xfId="13115"/>
    <cellStyle name="Currency 2 2 4" xfId="13116"/>
    <cellStyle name="Currency 2 2 4 10" xfId="13117"/>
    <cellStyle name="Currency 2 2 4 10 2" xfId="13118"/>
    <cellStyle name="Currency 2 2 4 10 3" xfId="13119"/>
    <cellStyle name="Currency 2 2 4 11" xfId="13120"/>
    <cellStyle name="Currency 2 2 4 12" xfId="13121"/>
    <cellStyle name="Currency 2 2 4 2" xfId="13122"/>
    <cellStyle name="Currency 2 2 4 2 10" xfId="13123"/>
    <cellStyle name="Currency 2 2 4 2 2" xfId="13124"/>
    <cellStyle name="Currency 2 2 4 2 2 2" xfId="13125"/>
    <cellStyle name="Currency 2 2 4 2 2 2 2" xfId="13126"/>
    <cellStyle name="Currency 2 2 4 2 2 2 2 2" xfId="13127"/>
    <cellStyle name="Currency 2 2 4 2 2 2 2 2 2" xfId="13128"/>
    <cellStyle name="Currency 2 2 4 2 2 2 2 2 2 2" xfId="13129"/>
    <cellStyle name="Currency 2 2 4 2 2 2 2 2 2 3" xfId="13130"/>
    <cellStyle name="Currency 2 2 4 2 2 2 2 2 3" xfId="13131"/>
    <cellStyle name="Currency 2 2 4 2 2 2 2 2 3 2" xfId="13132"/>
    <cellStyle name="Currency 2 2 4 2 2 2 2 2 3 3" xfId="13133"/>
    <cellStyle name="Currency 2 2 4 2 2 2 2 2 4" xfId="13134"/>
    <cellStyle name="Currency 2 2 4 2 2 2 2 2 5" xfId="13135"/>
    <cellStyle name="Currency 2 2 4 2 2 2 2 3" xfId="13136"/>
    <cellStyle name="Currency 2 2 4 2 2 2 2 3 2" xfId="13137"/>
    <cellStyle name="Currency 2 2 4 2 2 2 2 3 3" xfId="13138"/>
    <cellStyle name="Currency 2 2 4 2 2 2 2 4" xfId="13139"/>
    <cellStyle name="Currency 2 2 4 2 2 2 2 4 2" xfId="13140"/>
    <cellStyle name="Currency 2 2 4 2 2 2 2 4 3" xfId="13141"/>
    <cellStyle name="Currency 2 2 4 2 2 2 2 5" xfId="13142"/>
    <cellStyle name="Currency 2 2 4 2 2 2 2 6" xfId="13143"/>
    <cellStyle name="Currency 2 2 4 2 2 2 3" xfId="13144"/>
    <cellStyle name="Currency 2 2 4 2 2 2 3 2" xfId="13145"/>
    <cellStyle name="Currency 2 2 4 2 2 2 3 2 2" xfId="13146"/>
    <cellStyle name="Currency 2 2 4 2 2 2 3 2 2 2" xfId="13147"/>
    <cellStyle name="Currency 2 2 4 2 2 2 3 2 2 3" xfId="13148"/>
    <cellStyle name="Currency 2 2 4 2 2 2 3 2 3" xfId="13149"/>
    <cellStyle name="Currency 2 2 4 2 2 2 3 2 3 2" xfId="13150"/>
    <cellStyle name="Currency 2 2 4 2 2 2 3 2 3 3" xfId="13151"/>
    <cellStyle name="Currency 2 2 4 2 2 2 3 2 4" xfId="13152"/>
    <cellStyle name="Currency 2 2 4 2 2 2 3 2 5" xfId="13153"/>
    <cellStyle name="Currency 2 2 4 2 2 2 3 3" xfId="13154"/>
    <cellStyle name="Currency 2 2 4 2 2 2 3 3 2" xfId="13155"/>
    <cellStyle name="Currency 2 2 4 2 2 2 3 3 3" xfId="13156"/>
    <cellStyle name="Currency 2 2 4 2 2 2 3 4" xfId="13157"/>
    <cellStyle name="Currency 2 2 4 2 2 2 3 4 2" xfId="13158"/>
    <cellStyle name="Currency 2 2 4 2 2 2 3 4 3" xfId="13159"/>
    <cellStyle name="Currency 2 2 4 2 2 2 3 5" xfId="13160"/>
    <cellStyle name="Currency 2 2 4 2 2 2 3 6" xfId="13161"/>
    <cellStyle name="Currency 2 2 4 2 2 2 4" xfId="13162"/>
    <cellStyle name="Currency 2 2 4 2 2 2 4 2" xfId="13163"/>
    <cellStyle name="Currency 2 2 4 2 2 2 4 2 2" xfId="13164"/>
    <cellStyle name="Currency 2 2 4 2 2 2 4 2 3" xfId="13165"/>
    <cellStyle name="Currency 2 2 4 2 2 2 4 3" xfId="13166"/>
    <cellStyle name="Currency 2 2 4 2 2 2 4 3 2" xfId="13167"/>
    <cellStyle name="Currency 2 2 4 2 2 2 4 3 3" xfId="13168"/>
    <cellStyle name="Currency 2 2 4 2 2 2 4 4" xfId="13169"/>
    <cellStyle name="Currency 2 2 4 2 2 2 4 5" xfId="13170"/>
    <cellStyle name="Currency 2 2 4 2 2 2 5" xfId="13171"/>
    <cellStyle name="Currency 2 2 4 2 2 2 5 2" xfId="13172"/>
    <cellStyle name="Currency 2 2 4 2 2 2 5 3" xfId="13173"/>
    <cellStyle name="Currency 2 2 4 2 2 2 6" xfId="13174"/>
    <cellStyle name="Currency 2 2 4 2 2 2 6 2" xfId="13175"/>
    <cellStyle name="Currency 2 2 4 2 2 2 6 3" xfId="13176"/>
    <cellStyle name="Currency 2 2 4 2 2 2 7" xfId="13177"/>
    <cellStyle name="Currency 2 2 4 2 2 2 8" xfId="13178"/>
    <cellStyle name="Currency 2 2 4 2 2 3" xfId="13179"/>
    <cellStyle name="Currency 2 2 4 2 2 3 2" xfId="13180"/>
    <cellStyle name="Currency 2 2 4 2 2 3 2 2" xfId="13181"/>
    <cellStyle name="Currency 2 2 4 2 2 3 2 2 2" xfId="13182"/>
    <cellStyle name="Currency 2 2 4 2 2 3 2 2 3" xfId="13183"/>
    <cellStyle name="Currency 2 2 4 2 2 3 2 3" xfId="13184"/>
    <cellStyle name="Currency 2 2 4 2 2 3 2 3 2" xfId="13185"/>
    <cellStyle name="Currency 2 2 4 2 2 3 2 3 3" xfId="13186"/>
    <cellStyle name="Currency 2 2 4 2 2 3 2 4" xfId="13187"/>
    <cellStyle name="Currency 2 2 4 2 2 3 2 5" xfId="13188"/>
    <cellStyle name="Currency 2 2 4 2 2 3 3" xfId="13189"/>
    <cellStyle name="Currency 2 2 4 2 2 3 3 2" xfId="13190"/>
    <cellStyle name="Currency 2 2 4 2 2 3 3 3" xfId="13191"/>
    <cellStyle name="Currency 2 2 4 2 2 3 4" xfId="13192"/>
    <cellStyle name="Currency 2 2 4 2 2 3 4 2" xfId="13193"/>
    <cellStyle name="Currency 2 2 4 2 2 3 4 3" xfId="13194"/>
    <cellStyle name="Currency 2 2 4 2 2 3 5" xfId="13195"/>
    <cellStyle name="Currency 2 2 4 2 2 3 6" xfId="13196"/>
    <cellStyle name="Currency 2 2 4 2 2 4" xfId="13197"/>
    <cellStyle name="Currency 2 2 4 2 2 4 2" xfId="13198"/>
    <cellStyle name="Currency 2 2 4 2 2 4 2 2" xfId="13199"/>
    <cellStyle name="Currency 2 2 4 2 2 4 2 2 2" xfId="13200"/>
    <cellStyle name="Currency 2 2 4 2 2 4 2 2 3" xfId="13201"/>
    <cellStyle name="Currency 2 2 4 2 2 4 2 3" xfId="13202"/>
    <cellStyle name="Currency 2 2 4 2 2 4 2 3 2" xfId="13203"/>
    <cellStyle name="Currency 2 2 4 2 2 4 2 3 3" xfId="13204"/>
    <cellStyle name="Currency 2 2 4 2 2 4 2 4" xfId="13205"/>
    <cellStyle name="Currency 2 2 4 2 2 4 2 5" xfId="13206"/>
    <cellStyle name="Currency 2 2 4 2 2 4 3" xfId="13207"/>
    <cellStyle name="Currency 2 2 4 2 2 4 3 2" xfId="13208"/>
    <cellStyle name="Currency 2 2 4 2 2 4 3 3" xfId="13209"/>
    <cellStyle name="Currency 2 2 4 2 2 4 4" xfId="13210"/>
    <cellStyle name="Currency 2 2 4 2 2 4 4 2" xfId="13211"/>
    <cellStyle name="Currency 2 2 4 2 2 4 4 3" xfId="13212"/>
    <cellStyle name="Currency 2 2 4 2 2 4 5" xfId="13213"/>
    <cellStyle name="Currency 2 2 4 2 2 4 6" xfId="13214"/>
    <cellStyle name="Currency 2 2 4 2 2 5" xfId="13215"/>
    <cellStyle name="Currency 2 2 4 2 2 5 2" xfId="13216"/>
    <cellStyle name="Currency 2 2 4 2 2 5 2 2" xfId="13217"/>
    <cellStyle name="Currency 2 2 4 2 2 5 2 3" xfId="13218"/>
    <cellStyle name="Currency 2 2 4 2 2 5 3" xfId="13219"/>
    <cellStyle name="Currency 2 2 4 2 2 5 3 2" xfId="13220"/>
    <cellStyle name="Currency 2 2 4 2 2 5 3 3" xfId="13221"/>
    <cellStyle name="Currency 2 2 4 2 2 5 4" xfId="13222"/>
    <cellStyle name="Currency 2 2 4 2 2 5 5" xfId="13223"/>
    <cellStyle name="Currency 2 2 4 2 2 6" xfId="13224"/>
    <cellStyle name="Currency 2 2 4 2 2 6 2" xfId="13225"/>
    <cellStyle name="Currency 2 2 4 2 2 6 3" xfId="13226"/>
    <cellStyle name="Currency 2 2 4 2 2 7" xfId="13227"/>
    <cellStyle name="Currency 2 2 4 2 2 7 2" xfId="13228"/>
    <cellStyle name="Currency 2 2 4 2 2 7 3" xfId="13229"/>
    <cellStyle name="Currency 2 2 4 2 2 8" xfId="13230"/>
    <cellStyle name="Currency 2 2 4 2 2 9" xfId="13231"/>
    <cellStyle name="Currency 2 2 4 2 3" xfId="13232"/>
    <cellStyle name="Currency 2 2 4 2 3 2" xfId="13233"/>
    <cellStyle name="Currency 2 2 4 2 3 2 2" xfId="13234"/>
    <cellStyle name="Currency 2 2 4 2 3 2 2 2" xfId="13235"/>
    <cellStyle name="Currency 2 2 4 2 3 2 2 2 2" xfId="13236"/>
    <cellStyle name="Currency 2 2 4 2 3 2 2 2 3" xfId="13237"/>
    <cellStyle name="Currency 2 2 4 2 3 2 2 3" xfId="13238"/>
    <cellStyle name="Currency 2 2 4 2 3 2 2 3 2" xfId="13239"/>
    <cellStyle name="Currency 2 2 4 2 3 2 2 3 3" xfId="13240"/>
    <cellStyle name="Currency 2 2 4 2 3 2 2 4" xfId="13241"/>
    <cellStyle name="Currency 2 2 4 2 3 2 2 5" xfId="13242"/>
    <cellStyle name="Currency 2 2 4 2 3 2 3" xfId="13243"/>
    <cellStyle name="Currency 2 2 4 2 3 2 3 2" xfId="13244"/>
    <cellStyle name="Currency 2 2 4 2 3 2 3 3" xfId="13245"/>
    <cellStyle name="Currency 2 2 4 2 3 2 4" xfId="13246"/>
    <cellStyle name="Currency 2 2 4 2 3 2 4 2" xfId="13247"/>
    <cellStyle name="Currency 2 2 4 2 3 2 4 3" xfId="13248"/>
    <cellStyle name="Currency 2 2 4 2 3 2 5" xfId="13249"/>
    <cellStyle name="Currency 2 2 4 2 3 2 6" xfId="13250"/>
    <cellStyle name="Currency 2 2 4 2 3 3" xfId="13251"/>
    <cellStyle name="Currency 2 2 4 2 3 3 2" xfId="13252"/>
    <cellStyle name="Currency 2 2 4 2 3 3 2 2" xfId="13253"/>
    <cellStyle name="Currency 2 2 4 2 3 3 2 2 2" xfId="13254"/>
    <cellStyle name="Currency 2 2 4 2 3 3 2 2 3" xfId="13255"/>
    <cellStyle name="Currency 2 2 4 2 3 3 2 3" xfId="13256"/>
    <cellStyle name="Currency 2 2 4 2 3 3 2 3 2" xfId="13257"/>
    <cellStyle name="Currency 2 2 4 2 3 3 2 3 3" xfId="13258"/>
    <cellStyle name="Currency 2 2 4 2 3 3 2 4" xfId="13259"/>
    <cellStyle name="Currency 2 2 4 2 3 3 2 5" xfId="13260"/>
    <cellStyle name="Currency 2 2 4 2 3 3 3" xfId="13261"/>
    <cellStyle name="Currency 2 2 4 2 3 3 3 2" xfId="13262"/>
    <cellStyle name="Currency 2 2 4 2 3 3 3 3" xfId="13263"/>
    <cellStyle name="Currency 2 2 4 2 3 3 4" xfId="13264"/>
    <cellStyle name="Currency 2 2 4 2 3 3 4 2" xfId="13265"/>
    <cellStyle name="Currency 2 2 4 2 3 3 4 3" xfId="13266"/>
    <cellStyle name="Currency 2 2 4 2 3 3 5" xfId="13267"/>
    <cellStyle name="Currency 2 2 4 2 3 3 6" xfId="13268"/>
    <cellStyle name="Currency 2 2 4 2 3 4" xfId="13269"/>
    <cellStyle name="Currency 2 2 4 2 3 4 2" xfId="13270"/>
    <cellStyle name="Currency 2 2 4 2 3 4 2 2" xfId="13271"/>
    <cellStyle name="Currency 2 2 4 2 3 4 2 3" xfId="13272"/>
    <cellStyle name="Currency 2 2 4 2 3 4 3" xfId="13273"/>
    <cellStyle name="Currency 2 2 4 2 3 4 3 2" xfId="13274"/>
    <cellStyle name="Currency 2 2 4 2 3 4 3 3" xfId="13275"/>
    <cellStyle name="Currency 2 2 4 2 3 4 4" xfId="13276"/>
    <cellStyle name="Currency 2 2 4 2 3 4 5" xfId="13277"/>
    <cellStyle name="Currency 2 2 4 2 3 5" xfId="13278"/>
    <cellStyle name="Currency 2 2 4 2 3 5 2" xfId="13279"/>
    <cellStyle name="Currency 2 2 4 2 3 5 3" xfId="13280"/>
    <cellStyle name="Currency 2 2 4 2 3 6" xfId="13281"/>
    <cellStyle name="Currency 2 2 4 2 3 6 2" xfId="13282"/>
    <cellStyle name="Currency 2 2 4 2 3 6 3" xfId="13283"/>
    <cellStyle name="Currency 2 2 4 2 3 7" xfId="13284"/>
    <cellStyle name="Currency 2 2 4 2 3 8" xfId="13285"/>
    <cellStyle name="Currency 2 2 4 2 4" xfId="13286"/>
    <cellStyle name="Currency 2 2 4 2 4 2" xfId="13287"/>
    <cellStyle name="Currency 2 2 4 2 4 2 2" xfId="13288"/>
    <cellStyle name="Currency 2 2 4 2 4 2 2 2" xfId="13289"/>
    <cellStyle name="Currency 2 2 4 2 4 2 2 3" xfId="13290"/>
    <cellStyle name="Currency 2 2 4 2 4 2 3" xfId="13291"/>
    <cellStyle name="Currency 2 2 4 2 4 2 3 2" xfId="13292"/>
    <cellStyle name="Currency 2 2 4 2 4 2 3 3" xfId="13293"/>
    <cellStyle name="Currency 2 2 4 2 4 2 4" xfId="13294"/>
    <cellStyle name="Currency 2 2 4 2 4 2 5" xfId="13295"/>
    <cellStyle name="Currency 2 2 4 2 4 3" xfId="13296"/>
    <cellStyle name="Currency 2 2 4 2 4 3 2" xfId="13297"/>
    <cellStyle name="Currency 2 2 4 2 4 3 3" xfId="13298"/>
    <cellStyle name="Currency 2 2 4 2 4 4" xfId="13299"/>
    <cellStyle name="Currency 2 2 4 2 4 4 2" xfId="13300"/>
    <cellStyle name="Currency 2 2 4 2 4 4 3" xfId="13301"/>
    <cellStyle name="Currency 2 2 4 2 4 5" xfId="13302"/>
    <cellStyle name="Currency 2 2 4 2 4 6" xfId="13303"/>
    <cellStyle name="Currency 2 2 4 2 5" xfId="13304"/>
    <cellStyle name="Currency 2 2 4 2 5 2" xfId="13305"/>
    <cellStyle name="Currency 2 2 4 2 5 2 2" xfId="13306"/>
    <cellStyle name="Currency 2 2 4 2 5 2 2 2" xfId="13307"/>
    <cellStyle name="Currency 2 2 4 2 5 2 2 3" xfId="13308"/>
    <cellStyle name="Currency 2 2 4 2 5 2 3" xfId="13309"/>
    <cellStyle name="Currency 2 2 4 2 5 2 3 2" xfId="13310"/>
    <cellStyle name="Currency 2 2 4 2 5 2 3 3" xfId="13311"/>
    <cellStyle name="Currency 2 2 4 2 5 2 4" xfId="13312"/>
    <cellStyle name="Currency 2 2 4 2 5 2 5" xfId="13313"/>
    <cellStyle name="Currency 2 2 4 2 5 3" xfId="13314"/>
    <cellStyle name="Currency 2 2 4 2 5 3 2" xfId="13315"/>
    <cellStyle name="Currency 2 2 4 2 5 3 3" xfId="13316"/>
    <cellStyle name="Currency 2 2 4 2 5 4" xfId="13317"/>
    <cellStyle name="Currency 2 2 4 2 5 4 2" xfId="13318"/>
    <cellStyle name="Currency 2 2 4 2 5 4 3" xfId="13319"/>
    <cellStyle name="Currency 2 2 4 2 5 5" xfId="13320"/>
    <cellStyle name="Currency 2 2 4 2 5 6" xfId="13321"/>
    <cellStyle name="Currency 2 2 4 2 6" xfId="13322"/>
    <cellStyle name="Currency 2 2 4 2 6 2" xfId="13323"/>
    <cellStyle name="Currency 2 2 4 2 6 2 2" xfId="13324"/>
    <cellStyle name="Currency 2 2 4 2 6 2 3" xfId="13325"/>
    <cellStyle name="Currency 2 2 4 2 6 3" xfId="13326"/>
    <cellStyle name="Currency 2 2 4 2 6 3 2" xfId="13327"/>
    <cellStyle name="Currency 2 2 4 2 6 3 3" xfId="13328"/>
    <cellStyle name="Currency 2 2 4 2 6 4" xfId="13329"/>
    <cellStyle name="Currency 2 2 4 2 6 5" xfId="13330"/>
    <cellStyle name="Currency 2 2 4 2 7" xfId="13331"/>
    <cellStyle name="Currency 2 2 4 2 7 2" xfId="13332"/>
    <cellStyle name="Currency 2 2 4 2 7 3" xfId="13333"/>
    <cellStyle name="Currency 2 2 4 2 8" xfId="13334"/>
    <cellStyle name="Currency 2 2 4 2 8 2" xfId="13335"/>
    <cellStyle name="Currency 2 2 4 2 8 3" xfId="13336"/>
    <cellStyle name="Currency 2 2 4 2 9" xfId="13337"/>
    <cellStyle name="Currency 2 2 4 3" xfId="13338"/>
    <cellStyle name="Currency 2 2 4 3 10" xfId="13339"/>
    <cellStyle name="Currency 2 2 4 3 2" xfId="13340"/>
    <cellStyle name="Currency 2 2 4 3 2 2" xfId="13341"/>
    <cellStyle name="Currency 2 2 4 3 2 2 2" xfId="13342"/>
    <cellStyle name="Currency 2 2 4 3 2 2 2 2" xfId="13343"/>
    <cellStyle name="Currency 2 2 4 3 2 2 2 2 2" xfId="13344"/>
    <cellStyle name="Currency 2 2 4 3 2 2 2 2 2 2" xfId="13345"/>
    <cellStyle name="Currency 2 2 4 3 2 2 2 2 2 3" xfId="13346"/>
    <cellStyle name="Currency 2 2 4 3 2 2 2 2 3" xfId="13347"/>
    <cellStyle name="Currency 2 2 4 3 2 2 2 2 3 2" xfId="13348"/>
    <cellStyle name="Currency 2 2 4 3 2 2 2 2 3 3" xfId="13349"/>
    <cellStyle name="Currency 2 2 4 3 2 2 2 2 4" xfId="13350"/>
    <cellStyle name="Currency 2 2 4 3 2 2 2 2 5" xfId="13351"/>
    <cellStyle name="Currency 2 2 4 3 2 2 2 3" xfId="13352"/>
    <cellStyle name="Currency 2 2 4 3 2 2 2 3 2" xfId="13353"/>
    <cellStyle name="Currency 2 2 4 3 2 2 2 3 3" xfId="13354"/>
    <cellStyle name="Currency 2 2 4 3 2 2 2 4" xfId="13355"/>
    <cellStyle name="Currency 2 2 4 3 2 2 2 4 2" xfId="13356"/>
    <cellStyle name="Currency 2 2 4 3 2 2 2 4 3" xfId="13357"/>
    <cellStyle name="Currency 2 2 4 3 2 2 2 5" xfId="13358"/>
    <cellStyle name="Currency 2 2 4 3 2 2 2 6" xfId="13359"/>
    <cellStyle name="Currency 2 2 4 3 2 2 3" xfId="13360"/>
    <cellStyle name="Currency 2 2 4 3 2 2 3 2" xfId="13361"/>
    <cellStyle name="Currency 2 2 4 3 2 2 3 2 2" xfId="13362"/>
    <cellStyle name="Currency 2 2 4 3 2 2 3 2 2 2" xfId="13363"/>
    <cellStyle name="Currency 2 2 4 3 2 2 3 2 2 3" xfId="13364"/>
    <cellStyle name="Currency 2 2 4 3 2 2 3 2 3" xfId="13365"/>
    <cellStyle name="Currency 2 2 4 3 2 2 3 2 3 2" xfId="13366"/>
    <cellStyle name="Currency 2 2 4 3 2 2 3 2 3 3" xfId="13367"/>
    <cellStyle name="Currency 2 2 4 3 2 2 3 2 4" xfId="13368"/>
    <cellStyle name="Currency 2 2 4 3 2 2 3 2 5" xfId="13369"/>
    <cellStyle name="Currency 2 2 4 3 2 2 3 3" xfId="13370"/>
    <cellStyle name="Currency 2 2 4 3 2 2 3 3 2" xfId="13371"/>
    <cellStyle name="Currency 2 2 4 3 2 2 3 3 3" xfId="13372"/>
    <cellStyle name="Currency 2 2 4 3 2 2 3 4" xfId="13373"/>
    <cellStyle name="Currency 2 2 4 3 2 2 3 4 2" xfId="13374"/>
    <cellStyle name="Currency 2 2 4 3 2 2 3 4 3" xfId="13375"/>
    <cellStyle name="Currency 2 2 4 3 2 2 3 5" xfId="13376"/>
    <cellStyle name="Currency 2 2 4 3 2 2 3 6" xfId="13377"/>
    <cellStyle name="Currency 2 2 4 3 2 2 4" xfId="13378"/>
    <cellStyle name="Currency 2 2 4 3 2 2 4 2" xfId="13379"/>
    <cellStyle name="Currency 2 2 4 3 2 2 4 2 2" xfId="13380"/>
    <cellStyle name="Currency 2 2 4 3 2 2 4 2 3" xfId="13381"/>
    <cellStyle name="Currency 2 2 4 3 2 2 4 3" xfId="13382"/>
    <cellStyle name="Currency 2 2 4 3 2 2 4 3 2" xfId="13383"/>
    <cellStyle name="Currency 2 2 4 3 2 2 4 3 3" xfId="13384"/>
    <cellStyle name="Currency 2 2 4 3 2 2 4 4" xfId="13385"/>
    <cellStyle name="Currency 2 2 4 3 2 2 4 5" xfId="13386"/>
    <cellStyle name="Currency 2 2 4 3 2 2 5" xfId="13387"/>
    <cellStyle name="Currency 2 2 4 3 2 2 5 2" xfId="13388"/>
    <cellStyle name="Currency 2 2 4 3 2 2 5 3" xfId="13389"/>
    <cellStyle name="Currency 2 2 4 3 2 2 6" xfId="13390"/>
    <cellStyle name="Currency 2 2 4 3 2 2 6 2" xfId="13391"/>
    <cellStyle name="Currency 2 2 4 3 2 2 6 3" xfId="13392"/>
    <cellStyle name="Currency 2 2 4 3 2 2 7" xfId="13393"/>
    <cellStyle name="Currency 2 2 4 3 2 2 8" xfId="13394"/>
    <cellStyle name="Currency 2 2 4 3 2 3" xfId="13395"/>
    <cellStyle name="Currency 2 2 4 3 2 3 2" xfId="13396"/>
    <cellStyle name="Currency 2 2 4 3 2 3 2 2" xfId="13397"/>
    <cellStyle name="Currency 2 2 4 3 2 3 2 2 2" xfId="13398"/>
    <cellStyle name="Currency 2 2 4 3 2 3 2 2 3" xfId="13399"/>
    <cellStyle name="Currency 2 2 4 3 2 3 2 3" xfId="13400"/>
    <cellStyle name="Currency 2 2 4 3 2 3 2 3 2" xfId="13401"/>
    <cellStyle name="Currency 2 2 4 3 2 3 2 3 3" xfId="13402"/>
    <cellStyle name="Currency 2 2 4 3 2 3 2 4" xfId="13403"/>
    <cellStyle name="Currency 2 2 4 3 2 3 2 5" xfId="13404"/>
    <cellStyle name="Currency 2 2 4 3 2 3 3" xfId="13405"/>
    <cellStyle name="Currency 2 2 4 3 2 3 3 2" xfId="13406"/>
    <cellStyle name="Currency 2 2 4 3 2 3 3 3" xfId="13407"/>
    <cellStyle name="Currency 2 2 4 3 2 3 4" xfId="13408"/>
    <cellStyle name="Currency 2 2 4 3 2 3 4 2" xfId="13409"/>
    <cellStyle name="Currency 2 2 4 3 2 3 4 3" xfId="13410"/>
    <cellStyle name="Currency 2 2 4 3 2 3 5" xfId="13411"/>
    <cellStyle name="Currency 2 2 4 3 2 3 6" xfId="13412"/>
    <cellStyle name="Currency 2 2 4 3 2 4" xfId="13413"/>
    <cellStyle name="Currency 2 2 4 3 2 4 2" xfId="13414"/>
    <cellStyle name="Currency 2 2 4 3 2 4 2 2" xfId="13415"/>
    <cellStyle name="Currency 2 2 4 3 2 4 2 2 2" xfId="13416"/>
    <cellStyle name="Currency 2 2 4 3 2 4 2 2 3" xfId="13417"/>
    <cellStyle name="Currency 2 2 4 3 2 4 2 3" xfId="13418"/>
    <cellStyle name="Currency 2 2 4 3 2 4 2 3 2" xfId="13419"/>
    <cellStyle name="Currency 2 2 4 3 2 4 2 3 3" xfId="13420"/>
    <cellStyle name="Currency 2 2 4 3 2 4 2 4" xfId="13421"/>
    <cellStyle name="Currency 2 2 4 3 2 4 2 5" xfId="13422"/>
    <cellStyle name="Currency 2 2 4 3 2 4 3" xfId="13423"/>
    <cellStyle name="Currency 2 2 4 3 2 4 3 2" xfId="13424"/>
    <cellStyle name="Currency 2 2 4 3 2 4 3 3" xfId="13425"/>
    <cellStyle name="Currency 2 2 4 3 2 4 4" xfId="13426"/>
    <cellStyle name="Currency 2 2 4 3 2 4 4 2" xfId="13427"/>
    <cellStyle name="Currency 2 2 4 3 2 4 4 3" xfId="13428"/>
    <cellStyle name="Currency 2 2 4 3 2 4 5" xfId="13429"/>
    <cellStyle name="Currency 2 2 4 3 2 4 6" xfId="13430"/>
    <cellStyle name="Currency 2 2 4 3 2 5" xfId="13431"/>
    <cellStyle name="Currency 2 2 4 3 2 5 2" xfId="13432"/>
    <cellStyle name="Currency 2 2 4 3 2 5 2 2" xfId="13433"/>
    <cellStyle name="Currency 2 2 4 3 2 5 2 3" xfId="13434"/>
    <cellStyle name="Currency 2 2 4 3 2 5 3" xfId="13435"/>
    <cellStyle name="Currency 2 2 4 3 2 5 3 2" xfId="13436"/>
    <cellStyle name="Currency 2 2 4 3 2 5 3 3" xfId="13437"/>
    <cellStyle name="Currency 2 2 4 3 2 5 4" xfId="13438"/>
    <cellStyle name="Currency 2 2 4 3 2 5 5" xfId="13439"/>
    <cellStyle name="Currency 2 2 4 3 2 6" xfId="13440"/>
    <cellStyle name="Currency 2 2 4 3 2 6 2" xfId="13441"/>
    <cellStyle name="Currency 2 2 4 3 2 6 3" xfId="13442"/>
    <cellStyle name="Currency 2 2 4 3 2 7" xfId="13443"/>
    <cellStyle name="Currency 2 2 4 3 2 7 2" xfId="13444"/>
    <cellStyle name="Currency 2 2 4 3 2 7 3" xfId="13445"/>
    <cellStyle name="Currency 2 2 4 3 2 8" xfId="13446"/>
    <cellStyle name="Currency 2 2 4 3 2 9" xfId="13447"/>
    <cellStyle name="Currency 2 2 4 3 3" xfId="13448"/>
    <cellStyle name="Currency 2 2 4 3 3 2" xfId="13449"/>
    <cellStyle name="Currency 2 2 4 3 3 2 2" xfId="13450"/>
    <cellStyle name="Currency 2 2 4 3 3 2 2 2" xfId="13451"/>
    <cellStyle name="Currency 2 2 4 3 3 2 2 2 2" xfId="13452"/>
    <cellStyle name="Currency 2 2 4 3 3 2 2 2 3" xfId="13453"/>
    <cellStyle name="Currency 2 2 4 3 3 2 2 3" xfId="13454"/>
    <cellStyle name="Currency 2 2 4 3 3 2 2 3 2" xfId="13455"/>
    <cellStyle name="Currency 2 2 4 3 3 2 2 3 3" xfId="13456"/>
    <cellStyle name="Currency 2 2 4 3 3 2 2 4" xfId="13457"/>
    <cellStyle name="Currency 2 2 4 3 3 2 2 5" xfId="13458"/>
    <cellStyle name="Currency 2 2 4 3 3 2 3" xfId="13459"/>
    <cellStyle name="Currency 2 2 4 3 3 2 3 2" xfId="13460"/>
    <cellStyle name="Currency 2 2 4 3 3 2 3 3" xfId="13461"/>
    <cellStyle name="Currency 2 2 4 3 3 2 4" xfId="13462"/>
    <cellStyle name="Currency 2 2 4 3 3 2 4 2" xfId="13463"/>
    <cellStyle name="Currency 2 2 4 3 3 2 4 3" xfId="13464"/>
    <cellStyle name="Currency 2 2 4 3 3 2 5" xfId="13465"/>
    <cellStyle name="Currency 2 2 4 3 3 2 6" xfId="13466"/>
    <cellStyle name="Currency 2 2 4 3 3 3" xfId="13467"/>
    <cellStyle name="Currency 2 2 4 3 3 3 2" xfId="13468"/>
    <cellStyle name="Currency 2 2 4 3 3 3 2 2" xfId="13469"/>
    <cellStyle name="Currency 2 2 4 3 3 3 2 2 2" xfId="13470"/>
    <cellStyle name="Currency 2 2 4 3 3 3 2 2 3" xfId="13471"/>
    <cellStyle name="Currency 2 2 4 3 3 3 2 3" xfId="13472"/>
    <cellStyle name="Currency 2 2 4 3 3 3 2 3 2" xfId="13473"/>
    <cellStyle name="Currency 2 2 4 3 3 3 2 3 3" xfId="13474"/>
    <cellStyle name="Currency 2 2 4 3 3 3 2 4" xfId="13475"/>
    <cellStyle name="Currency 2 2 4 3 3 3 2 5" xfId="13476"/>
    <cellStyle name="Currency 2 2 4 3 3 3 3" xfId="13477"/>
    <cellStyle name="Currency 2 2 4 3 3 3 3 2" xfId="13478"/>
    <cellStyle name="Currency 2 2 4 3 3 3 3 3" xfId="13479"/>
    <cellStyle name="Currency 2 2 4 3 3 3 4" xfId="13480"/>
    <cellStyle name="Currency 2 2 4 3 3 3 4 2" xfId="13481"/>
    <cellStyle name="Currency 2 2 4 3 3 3 4 3" xfId="13482"/>
    <cellStyle name="Currency 2 2 4 3 3 3 5" xfId="13483"/>
    <cellStyle name="Currency 2 2 4 3 3 3 6" xfId="13484"/>
    <cellStyle name="Currency 2 2 4 3 3 4" xfId="13485"/>
    <cellStyle name="Currency 2 2 4 3 3 4 2" xfId="13486"/>
    <cellStyle name="Currency 2 2 4 3 3 4 2 2" xfId="13487"/>
    <cellStyle name="Currency 2 2 4 3 3 4 2 3" xfId="13488"/>
    <cellStyle name="Currency 2 2 4 3 3 4 3" xfId="13489"/>
    <cellStyle name="Currency 2 2 4 3 3 4 3 2" xfId="13490"/>
    <cellStyle name="Currency 2 2 4 3 3 4 3 3" xfId="13491"/>
    <cellStyle name="Currency 2 2 4 3 3 4 4" xfId="13492"/>
    <cellStyle name="Currency 2 2 4 3 3 4 5" xfId="13493"/>
    <cellStyle name="Currency 2 2 4 3 3 5" xfId="13494"/>
    <cellStyle name="Currency 2 2 4 3 3 5 2" xfId="13495"/>
    <cellStyle name="Currency 2 2 4 3 3 5 3" xfId="13496"/>
    <cellStyle name="Currency 2 2 4 3 3 6" xfId="13497"/>
    <cellStyle name="Currency 2 2 4 3 3 6 2" xfId="13498"/>
    <cellStyle name="Currency 2 2 4 3 3 6 3" xfId="13499"/>
    <cellStyle name="Currency 2 2 4 3 3 7" xfId="13500"/>
    <cellStyle name="Currency 2 2 4 3 3 8" xfId="13501"/>
    <cellStyle name="Currency 2 2 4 3 4" xfId="13502"/>
    <cellStyle name="Currency 2 2 4 3 4 2" xfId="13503"/>
    <cellStyle name="Currency 2 2 4 3 4 2 2" xfId="13504"/>
    <cellStyle name="Currency 2 2 4 3 4 2 2 2" xfId="13505"/>
    <cellStyle name="Currency 2 2 4 3 4 2 2 3" xfId="13506"/>
    <cellStyle name="Currency 2 2 4 3 4 2 3" xfId="13507"/>
    <cellStyle name="Currency 2 2 4 3 4 2 3 2" xfId="13508"/>
    <cellStyle name="Currency 2 2 4 3 4 2 3 3" xfId="13509"/>
    <cellStyle name="Currency 2 2 4 3 4 2 4" xfId="13510"/>
    <cellStyle name="Currency 2 2 4 3 4 2 5" xfId="13511"/>
    <cellStyle name="Currency 2 2 4 3 4 3" xfId="13512"/>
    <cellStyle name="Currency 2 2 4 3 4 3 2" xfId="13513"/>
    <cellStyle name="Currency 2 2 4 3 4 3 3" xfId="13514"/>
    <cellStyle name="Currency 2 2 4 3 4 4" xfId="13515"/>
    <cellStyle name="Currency 2 2 4 3 4 4 2" xfId="13516"/>
    <cellStyle name="Currency 2 2 4 3 4 4 3" xfId="13517"/>
    <cellStyle name="Currency 2 2 4 3 4 5" xfId="13518"/>
    <cellStyle name="Currency 2 2 4 3 4 6" xfId="13519"/>
    <cellStyle name="Currency 2 2 4 3 5" xfId="13520"/>
    <cellStyle name="Currency 2 2 4 3 5 2" xfId="13521"/>
    <cellStyle name="Currency 2 2 4 3 5 2 2" xfId="13522"/>
    <cellStyle name="Currency 2 2 4 3 5 2 2 2" xfId="13523"/>
    <cellStyle name="Currency 2 2 4 3 5 2 2 3" xfId="13524"/>
    <cellStyle name="Currency 2 2 4 3 5 2 3" xfId="13525"/>
    <cellStyle name="Currency 2 2 4 3 5 2 3 2" xfId="13526"/>
    <cellStyle name="Currency 2 2 4 3 5 2 3 3" xfId="13527"/>
    <cellStyle name="Currency 2 2 4 3 5 2 4" xfId="13528"/>
    <cellStyle name="Currency 2 2 4 3 5 2 5" xfId="13529"/>
    <cellStyle name="Currency 2 2 4 3 5 3" xfId="13530"/>
    <cellStyle name="Currency 2 2 4 3 5 3 2" xfId="13531"/>
    <cellStyle name="Currency 2 2 4 3 5 3 3" xfId="13532"/>
    <cellStyle name="Currency 2 2 4 3 5 4" xfId="13533"/>
    <cellStyle name="Currency 2 2 4 3 5 4 2" xfId="13534"/>
    <cellStyle name="Currency 2 2 4 3 5 4 3" xfId="13535"/>
    <cellStyle name="Currency 2 2 4 3 5 5" xfId="13536"/>
    <cellStyle name="Currency 2 2 4 3 5 6" xfId="13537"/>
    <cellStyle name="Currency 2 2 4 3 6" xfId="13538"/>
    <cellStyle name="Currency 2 2 4 3 6 2" xfId="13539"/>
    <cellStyle name="Currency 2 2 4 3 6 2 2" xfId="13540"/>
    <cellStyle name="Currency 2 2 4 3 6 2 3" xfId="13541"/>
    <cellStyle name="Currency 2 2 4 3 6 3" xfId="13542"/>
    <cellStyle name="Currency 2 2 4 3 6 3 2" xfId="13543"/>
    <cellStyle name="Currency 2 2 4 3 6 3 3" xfId="13544"/>
    <cellStyle name="Currency 2 2 4 3 6 4" xfId="13545"/>
    <cellStyle name="Currency 2 2 4 3 6 5" xfId="13546"/>
    <cellStyle name="Currency 2 2 4 3 7" xfId="13547"/>
    <cellStyle name="Currency 2 2 4 3 7 2" xfId="13548"/>
    <cellStyle name="Currency 2 2 4 3 7 3" xfId="13549"/>
    <cellStyle name="Currency 2 2 4 3 8" xfId="13550"/>
    <cellStyle name="Currency 2 2 4 3 8 2" xfId="13551"/>
    <cellStyle name="Currency 2 2 4 3 8 3" xfId="13552"/>
    <cellStyle name="Currency 2 2 4 3 9" xfId="13553"/>
    <cellStyle name="Currency 2 2 4 4" xfId="13554"/>
    <cellStyle name="Currency 2 2 4 4 2" xfId="13555"/>
    <cellStyle name="Currency 2 2 4 4 2 2" xfId="13556"/>
    <cellStyle name="Currency 2 2 4 4 2 2 2" xfId="13557"/>
    <cellStyle name="Currency 2 2 4 4 2 2 2 2" xfId="13558"/>
    <cellStyle name="Currency 2 2 4 4 2 2 2 2 2" xfId="13559"/>
    <cellStyle name="Currency 2 2 4 4 2 2 2 2 3" xfId="13560"/>
    <cellStyle name="Currency 2 2 4 4 2 2 2 3" xfId="13561"/>
    <cellStyle name="Currency 2 2 4 4 2 2 2 3 2" xfId="13562"/>
    <cellStyle name="Currency 2 2 4 4 2 2 2 3 3" xfId="13563"/>
    <cellStyle name="Currency 2 2 4 4 2 2 2 4" xfId="13564"/>
    <cellStyle name="Currency 2 2 4 4 2 2 2 5" xfId="13565"/>
    <cellStyle name="Currency 2 2 4 4 2 2 3" xfId="13566"/>
    <cellStyle name="Currency 2 2 4 4 2 2 3 2" xfId="13567"/>
    <cellStyle name="Currency 2 2 4 4 2 2 3 3" xfId="13568"/>
    <cellStyle name="Currency 2 2 4 4 2 2 4" xfId="13569"/>
    <cellStyle name="Currency 2 2 4 4 2 2 4 2" xfId="13570"/>
    <cellStyle name="Currency 2 2 4 4 2 2 4 3" xfId="13571"/>
    <cellStyle name="Currency 2 2 4 4 2 2 5" xfId="13572"/>
    <cellStyle name="Currency 2 2 4 4 2 2 6" xfId="13573"/>
    <cellStyle name="Currency 2 2 4 4 2 3" xfId="13574"/>
    <cellStyle name="Currency 2 2 4 4 2 3 2" xfId="13575"/>
    <cellStyle name="Currency 2 2 4 4 2 3 2 2" xfId="13576"/>
    <cellStyle name="Currency 2 2 4 4 2 3 2 2 2" xfId="13577"/>
    <cellStyle name="Currency 2 2 4 4 2 3 2 2 3" xfId="13578"/>
    <cellStyle name="Currency 2 2 4 4 2 3 2 3" xfId="13579"/>
    <cellStyle name="Currency 2 2 4 4 2 3 2 3 2" xfId="13580"/>
    <cellStyle name="Currency 2 2 4 4 2 3 2 3 3" xfId="13581"/>
    <cellStyle name="Currency 2 2 4 4 2 3 2 4" xfId="13582"/>
    <cellStyle name="Currency 2 2 4 4 2 3 2 5" xfId="13583"/>
    <cellStyle name="Currency 2 2 4 4 2 3 3" xfId="13584"/>
    <cellStyle name="Currency 2 2 4 4 2 3 3 2" xfId="13585"/>
    <cellStyle name="Currency 2 2 4 4 2 3 3 3" xfId="13586"/>
    <cellStyle name="Currency 2 2 4 4 2 3 4" xfId="13587"/>
    <cellStyle name="Currency 2 2 4 4 2 3 4 2" xfId="13588"/>
    <cellStyle name="Currency 2 2 4 4 2 3 4 3" xfId="13589"/>
    <cellStyle name="Currency 2 2 4 4 2 3 5" xfId="13590"/>
    <cellStyle name="Currency 2 2 4 4 2 3 6" xfId="13591"/>
    <cellStyle name="Currency 2 2 4 4 2 4" xfId="13592"/>
    <cellStyle name="Currency 2 2 4 4 2 4 2" xfId="13593"/>
    <cellStyle name="Currency 2 2 4 4 2 4 2 2" xfId="13594"/>
    <cellStyle name="Currency 2 2 4 4 2 4 2 3" xfId="13595"/>
    <cellStyle name="Currency 2 2 4 4 2 4 3" xfId="13596"/>
    <cellStyle name="Currency 2 2 4 4 2 4 3 2" xfId="13597"/>
    <cellStyle name="Currency 2 2 4 4 2 4 3 3" xfId="13598"/>
    <cellStyle name="Currency 2 2 4 4 2 4 4" xfId="13599"/>
    <cellStyle name="Currency 2 2 4 4 2 4 5" xfId="13600"/>
    <cellStyle name="Currency 2 2 4 4 2 5" xfId="13601"/>
    <cellStyle name="Currency 2 2 4 4 2 5 2" xfId="13602"/>
    <cellStyle name="Currency 2 2 4 4 2 5 3" xfId="13603"/>
    <cellStyle name="Currency 2 2 4 4 2 6" xfId="13604"/>
    <cellStyle name="Currency 2 2 4 4 2 6 2" xfId="13605"/>
    <cellStyle name="Currency 2 2 4 4 2 6 3" xfId="13606"/>
    <cellStyle name="Currency 2 2 4 4 2 7" xfId="13607"/>
    <cellStyle name="Currency 2 2 4 4 2 8" xfId="13608"/>
    <cellStyle name="Currency 2 2 4 4 3" xfId="13609"/>
    <cellStyle name="Currency 2 2 4 4 3 2" xfId="13610"/>
    <cellStyle name="Currency 2 2 4 4 3 2 2" xfId="13611"/>
    <cellStyle name="Currency 2 2 4 4 3 2 2 2" xfId="13612"/>
    <cellStyle name="Currency 2 2 4 4 3 2 2 3" xfId="13613"/>
    <cellStyle name="Currency 2 2 4 4 3 2 3" xfId="13614"/>
    <cellStyle name="Currency 2 2 4 4 3 2 3 2" xfId="13615"/>
    <cellStyle name="Currency 2 2 4 4 3 2 3 3" xfId="13616"/>
    <cellStyle name="Currency 2 2 4 4 3 2 4" xfId="13617"/>
    <cellStyle name="Currency 2 2 4 4 3 2 5" xfId="13618"/>
    <cellStyle name="Currency 2 2 4 4 3 3" xfId="13619"/>
    <cellStyle name="Currency 2 2 4 4 3 3 2" xfId="13620"/>
    <cellStyle name="Currency 2 2 4 4 3 3 3" xfId="13621"/>
    <cellStyle name="Currency 2 2 4 4 3 4" xfId="13622"/>
    <cellStyle name="Currency 2 2 4 4 3 4 2" xfId="13623"/>
    <cellStyle name="Currency 2 2 4 4 3 4 3" xfId="13624"/>
    <cellStyle name="Currency 2 2 4 4 3 5" xfId="13625"/>
    <cellStyle name="Currency 2 2 4 4 3 6" xfId="13626"/>
    <cellStyle name="Currency 2 2 4 4 4" xfId="13627"/>
    <cellStyle name="Currency 2 2 4 4 4 2" xfId="13628"/>
    <cellStyle name="Currency 2 2 4 4 4 2 2" xfId="13629"/>
    <cellStyle name="Currency 2 2 4 4 4 2 2 2" xfId="13630"/>
    <cellStyle name="Currency 2 2 4 4 4 2 2 3" xfId="13631"/>
    <cellStyle name="Currency 2 2 4 4 4 2 3" xfId="13632"/>
    <cellStyle name="Currency 2 2 4 4 4 2 3 2" xfId="13633"/>
    <cellStyle name="Currency 2 2 4 4 4 2 3 3" xfId="13634"/>
    <cellStyle name="Currency 2 2 4 4 4 2 4" xfId="13635"/>
    <cellStyle name="Currency 2 2 4 4 4 2 5" xfId="13636"/>
    <cellStyle name="Currency 2 2 4 4 4 3" xfId="13637"/>
    <cellStyle name="Currency 2 2 4 4 4 3 2" xfId="13638"/>
    <cellStyle name="Currency 2 2 4 4 4 3 3" xfId="13639"/>
    <cellStyle name="Currency 2 2 4 4 4 4" xfId="13640"/>
    <cellStyle name="Currency 2 2 4 4 4 4 2" xfId="13641"/>
    <cellStyle name="Currency 2 2 4 4 4 4 3" xfId="13642"/>
    <cellStyle name="Currency 2 2 4 4 4 5" xfId="13643"/>
    <cellStyle name="Currency 2 2 4 4 4 6" xfId="13644"/>
    <cellStyle name="Currency 2 2 4 4 5" xfId="13645"/>
    <cellStyle name="Currency 2 2 4 4 5 2" xfId="13646"/>
    <cellStyle name="Currency 2 2 4 4 5 2 2" xfId="13647"/>
    <cellStyle name="Currency 2 2 4 4 5 2 3" xfId="13648"/>
    <cellStyle name="Currency 2 2 4 4 5 3" xfId="13649"/>
    <cellStyle name="Currency 2 2 4 4 5 3 2" xfId="13650"/>
    <cellStyle name="Currency 2 2 4 4 5 3 3" xfId="13651"/>
    <cellStyle name="Currency 2 2 4 4 5 4" xfId="13652"/>
    <cellStyle name="Currency 2 2 4 4 5 5" xfId="13653"/>
    <cellStyle name="Currency 2 2 4 4 6" xfId="13654"/>
    <cellStyle name="Currency 2 2 4 4 6 2" xfId="13655"/>
    <cellStyle name="Currency 2 2 4 4 6 3" xfId="13656"/>
    <cellStyle name="Currency 2 2 4 4 7" xfId="13657"/>
    <cellStyle name="Currency 2 2 4 4 7 2" xfId="13658"/>
    <cellStyle name="Currency 2 2 4 4 7 3" xfId="13659"/>
    <cellStyle name="Currency 2 2 4 4 8" xfId="13660"/>
    <cellStyle name="Currency 2 2 4 4 9" xfId="13661"/>
    <cellStyle name="Currency 2 2 4 5" xfId="13662"/>
    <cellStyle name="Currency 2 2 4 5 2" xfId="13663"/>
    <cellStyle name="Currency 2 2 4 5 2 2" xfId="13664"/>
    <cellStyle name="Currency 2 2 4 5 2 2 2" xfId="13665"/>
    <cellStyle name="Currency 2 2 4 5 2 2 2 2" xfId="13666"/>
    <cellStyle name="Currency 2 2 4 5 2 2 2 3" xfId="13667"/>
    <cellStyle name="Currency 2 2 4 5 2 2 3" xfId="13668"/>
    <cellStyle name="Currency 2 2 4 5 2 2 3 2" xfId="13669"/>
    <cellStyle name="Currency 2 2 4 5 2 2 3 3" xfId="13670"/>
    <cellStyle name="Currency 2 2 4 5 2 2 4" xfId="13671"/>
    <cellStyle name="Currency 2 2 4 5 2 2 5" xfId="13672"/>
    <cellStyle name="Currency 2 2 4 5 2 3" xfId="13673"/>
    <cellStyle name="Currency 2 2 4 5 2 3 2" xfId="13674"/>
    <cellStyle name="Currency 2 2 4 5 2 3 3" xfId="13675"/>
    <cellStyle name="Currency 2 2 4 5 2 4" xfId="13676"/>
    <cellStyle name="Currency 2 2 4 5 2 4 2" xfId="13677"/>
    <cellStyle name="Currency 2 2 4 5 2 4 3" xfId="13678"/>
    <cellStyle name="Currency 2 2 4 5 2 5" xfId="13679"/>
    <cellStyle name="Currency 2 2 4 5 2 6" xfId="13680"/>
    <cellStyle name="Currency 2 2 4 5 3" xfId="13681"/>
    <cellStyle name="Currency 2 2 4 5 3 2" xfId="13682"/>
    <cellStyle name="Currency 2 2 4 5 3 2 2" xfId="13683"/>
    <cellStyle name="Currency 2 2 4 5 3 2 2 2" xfId="13684"/>
    <cellStyle name="Currency 2 2 4 5 3 2 2 3" xfId="13685"/>
    <cellStyle name="Currency 2 2 4 5 3 2 3" xfId="13686"/>
    <cellStyle name="Currency 2 2 4 5 3 2 3 2" xfId="13687"/>
    <cellStyle name="Currency 2 2 4 5 3 2 3 3" xfId="13688"/>
    <cellStyle name="Currency 2 2 4 5 3 2 4" xfId="13689"/>
    <cellStyle name="Currency 2 2 4 5 3 2 5" xfId="13690"/>
    <cellStyle name="Currency 2 2 4 5 3 3" xfId="13691"/>
    <cellStyle name="Currency 2 2 4 5 3 3 2" xfId="13692"/>
    <cellStyle name="Currency 2 2 4 5 3 3 3" xfId="13693"/>
    <cellStyle name="Currency 2 2 4 5 3 4" xfId="13694"/>
    <cellStyle name="Currency 2 2 4 5 3 4 2" xfId="13695"/>
    <cellStyle name="Currency 2 2 4 5 3 4 3" xfId="13696"/>
    <cellStyle name="Currency 2 2 4 5 3 5" xfId="13697"/>
    <cellStyle name="Currency 2 2 4 5 3 6" xfId="13698"/>
    <cellStyle name="Currency 2 2 4 5 4" xfId="13699"/>
    <cellStyle name="Currency 2 2 4 5 4 2" xfId="13700"/>
    <cellStyle name="Currency 2 2 4 5 4 2 2" xfId="13701"/>
    <cellStyle name="Currency 2 2 4 5 4 2 3" xfId="13702"/>
    <cellStyle name="Currency 2 2 4 5 4 3" xfId="13703"/>
    <cellStyle name="Currency 2 2 4 5 4 3 2" xfId="13704"/>
    <cellStyle name="Currency 2 2 4 5 4 3 3" xfId="13705"/>
    <cellStyle name="Currency 2 2 4 5 4 4" xfId="13706"/>
    <cellStyle name="Currency 2 2 4 5 4 5" xfId="13707"/>
    <cellStyle name="Currency 2 2 4 5 5" xfId="13708"/>
    <cellStyle name="Currency 2 2 4 5 5 2" xfId="13709"/>
    <cellStyle name="Currency 2 2 4 5 5 3" xfId="13710"/>
    <cellStyle name="Currency 2 2 4 5 6" xfId="13711"/>
    <cellStyle name="Currency 2 2 4 5 6 2" xfId="13712"/>
    <cellStyle name="Currency 2 2 4 5 6 3" xfId="13713"/>
    <cellStyle name="Currency 2 2 4 5 7" xfId="13714"/>
    <cellStyle name="Currency 2 2 4 5 8" xfId="13715"/>
    <cellStyle name="Currency 2 2 4 6" xfId="13716"/>
    <cellStyle name="Currency 2 2 4 6 2" xfId="13717"/>
    <cellStyle name="Currency 2 2 4 6 2 2" xfId="13718"/>
    <cellStyle name="Currency 2 2 4 6 2 2 2" xfId="13719"/>
    <cellStyle name="Currency 2 2 4 6 2 2 3" xfId="13720"/>
    <cellStyle name="Currency 2 2 4 6 2 3" xfId="13721"/>
    <cellStyle name="Currency 2 2 4 6 2 3 2" xfId="13722"/>
    <cellStyle name="Currency 2 2 4 6 2 3 3" xfId="13723"/>
    <cellStyle name="Currency 2 2 4 6 2 4" xfId="13724"/>
    <cellStyle name="Currency 2 2 4 6 2 5" xfId="13725"/>
    <cellStyle name="Currency 2 2 4 6 3" xfId="13726"/>
    <cellStyle name="Currency 2 2 4 6 3 2" xfId="13727"/>
    <cellStyle name="Currency 2 2 4 6 3 3" xfId="13728"/>
    <cellStyle name="Currency 2 2 4 6 4" xfId="13729"/>
    <cellStyle name="Currency 2 2 4 6 4 2" xfId="13730"/>
    <cellStyle name="Currency 2 2 4 6 4 3" xfId="13731"/>
    <cellStyle name="Currency 2 2 4 6 5" xfId="13732"/>
    <cellStyle name="Currency 2 2 4 6 6" xfId="13733"/>
    <cellStyle name="Currency 2 2 4 7" xfId="13734"/>
    <cellStyle name="Currency 2 2 4 7 2" xfId="13735"/>
    <cellStyle name="Currency 2 2 4 7 2 2" xfId="13736"/>
    <cellStyle name="Currency 2 2 4 7 2 2 2" xfId="13737"/>
    <cellStyle name="Currency 2 2 4 7 2 2 3" xfId="13738"/>
    <cellStyle name="Currency 2 2 4 7 2 3" xfId="13739"/>
    <cellStyle name="Currency 2 2 4 7 2 3 2" xfId="13740"/>
    <cellStyle name="Currency 2 2 4 7 2 3 3" xfId="13741"/>
    <cellStyle name="Currency 2 2 4 7 2 4" xfId="13742"/>
    <cellStyle name="Currency 2 2 4 7 2 5" xfId="13743"/>
    <cellStyle name="Currency 2 2 4 7 3" xfId="13744"/>
    <cellStyle name="Currency 2 2 4 7 3 2" xfId="13745"/>
    <cellStyle name="Currency 2 2 4 7 3 3" xfId="13746"/>
    <cellStyle name="Currency 2 2 4 7 4" xfId="13747"/>
    <cellStyle name="Currency 2 2 4 7 4 2" xfId="13748"/>
    <cellStyle name="Currency 2 2 4 7 4 3" xfId="13749"/>
    <cellStyle name="Currency 2 2 4 7 5" xfId="13750"/>
    <cellStyle name="Currency 2 2 4 7 6" xfId="13751"/>
    <cellStyle name="Currency 2 2 4 8" xfId="13752"/>
    <cellStyle name="Currency 2 2 4 8 2" xfId="13753"/>
    <cellStyle name="Currency 2 2 4 8 2 2" xfId="13754"/>
    <cellStyle name="Currency 2 2 4 8 2 3" xfId="13755"/>
    <cellStyle name="Currency 2 2 4 8 3" xfId="13756"/>
    <cellStyle name="Currency 2 2 4 8 3 2" xfId="13757"/>
    <cellStyle name="Currency 2 2 4 8 3 3" xfId="13758"/>
    <cellStyle name="Currency 2 2 4 8 4" xfId="13759"/>
    <cellStyle name="Currency 2 2 4 8 5" xfId="13760"/>
    <cellStyle name="Currency 2 2 4 9" xfId="13761"/>
    <cellStyle name="Currency 2 2 4 9 2" xfId="13762"/>
    <cellStyle name="Currency 2 2 4 9 3" xfId="13763"/>
    <cellStyle name="Currency 2 2 5" xfId="13764"/>
    <cellStyle name="Currency 2 2 5 10" xfId="13765"/>
    <cellStyle name="Currency 2 2 5 2" xfId="13766"/>
    <cellStyle name="Currency 2 2 5 2 2" xfId="13767"/>
    <cellStyle name="Currency 2 2 5 2 2 2" xfId="13768"/>
    <cellStyle name="Currency 2 2 5 2 2 2 2" xfId="13769"/>
    <cellStyle name="Currency 2 2 5 2 2 2 2 2" xfId="13770"/>
    <cellStyle name="Currency 2 2 5 2 2 2 2 2 2" xfId="13771"/>
    <cellStyle name="Currency 2 2 5 2 2 2 2 2 3" xfId="13772"/>
    <cellStyle name="Currency 2 2 5 2 2 2 2 3" xfId="13773"/>
    <cellStyle name="Currency 2 2 5 2 2 2 2 3 2" xfId="13774"/>
    <cellStyle name="Currency 2 2 5 2 2 2 2 3 3" xfId="13775"/>
    <cellStyle name="Currency 2 2 5 2 2 2 2 4" xfId="13776"/>
    <cellStyle name="Currency 2 2 5 2 2 2 2 5" xfId="13777"/>
    <cellStyle name="Currency 2 2 5 2 2 2 3" xfId="13778"/>
    <cellStyle name="Currency 2 2 5 2 2 2 3 2" xfId="13779"/>
    <cellStyle name="Currency 2 2 5 2 2 2 3 3" xfId="13780"/>
    <cellStyle name="Currency 2 2 5 2 2 2 4" xfId="13781"/>
    <cellStyle name="Currency 2 2 5 2 2 2 4 2" xfId="13782"/>
    <cellStyle name="Currency 2 2 5 2 2 2 4 3" xfId="13783"/>
    <cellStyle name="Currency 2 2 5 2 2 2 5" xfId="13784"/>
    <cellStyle name="Currency 2 2 5 2 2 2 6" xfId="13785"/>
    <cellStyle name="Currency 2 2 5 2 2 3" xfId="13786"/>
    <cellStyle name="Currency 2 2 5 2 2 3 2" xfId="13787"/>
    <cellStyle name="Currency 2 2 5 2 2 3 2 2" xfId="13788"/>
    <cellStyle name="Currency 2 2 5 2 2 3 2 2 2" xfId="13789"/>
    <cellStyle name="Currency 2 2 5 2 2 3 2 2 3" xfId="13790"/>
    <cellStyle name="Currency 2 2 5 2 2 3 2 3" xfId="13791"/>
    <cellStyle name="Currency 2 2 5 2 2 3 2 3 2" xfId="13792"/>
    <cellStyle name="Currency 2 2 5 2 2 3 2 3 3" xfId="13793"/>
    <cellStyle name="Currency 2 2 5 2 2 3 2 4" xfId="13794"/>
    <cellStyle name="Currency 2 2 5 2 2 3 2 5" xfId="13795"/>
    <cellStyle name="Currency 2 2 5 2 2 3 3" xfId="13796"/>
    <cellStyle name="Currency 2 2 5 2 2 3 3 2" xfId="13797"/>
    <cellStyle name="Currency 2 2 5 2 2 3 3 3" xfId="13798"/>
    <cellStyle name="Currency 2 2 5 2 2 3 4" xfId="13799"/>
    <cellStyle name="Currency 2 2 5 2 2 3 4 2" xfId="13800"/>
    <cellStyle name="Currency 2 2 5 2 2 3 4 3" xfId="13801"/>
    <cellStyle name="Currency 2 2 5 2 2 3 5" xfId="13802"/>
    <cellStyle name="Currency 2 2 5 2 2 3 6" xfId="13803"/>
    <cellStyle name="Currency 2 2 5 2 2 4" xfId="13804"/>
    <cellStyle name="Currency 2 2 5 2 2 4 2" xfId="13805"/>
    <cellStyle name="Currency 2 2 5 2 2 4 2 2" xfId="13806"/>
    <cellStyle name="Currency 2 2 5 2 2 4 2 3" xfId="13807"/>
    <cellStyle name="Currency 2 2 5 2 2 4 3" xfId="13808"/>
    <cellStyle name="Currency 2 2 5 2 2 4 3 2" xfId="13809"/>
    <cellStyle name="Currency 2 2 5 2 2 4 3 3" xfId="13810"/>
    <cellStyle name="Currency 2 2 5 2 2 4 4" xfId="13811"/>
    <cellStyle name="Currency 2 2 5 2 2 4 5" xfId="13812"/>
    <cellStyle name="Currency 2 2 5 2 2 5" xfId="13813"/>
    <cellStyle name="Currency 2 2 5 2 2 5 2" xfId="13814"/>
    <cellStyle name="Currency 2 2 5 2 2 5 3" xfId="13815"/>
    <cellStyle name="Currency 2 2 5 2 2 6" xfId="13816"/>
    <cellStyle name="Currency 2 2 5 2 2 6 2" xfId="13817"/>
    <cellStyle name="Currency 2 2 5 2 2 6 3" xfId="13818"/>
    <cellStyle name="Currency 2 2 5 2 2 7" xfId="13819"/>
    <cellStyle name="Currency 2 2 5 2 2 8" xfId="13820"/>
    <cellStyle name="Currency 2 2 5 2 3" xfId="13821"/>
    <cellStyle name="Currency 2 2 5 2 3 2" xfId="13822"/>
    <cellStyle name="Currency 2 2 5 2 3 2 2" xfId="13823"/>
    <cellStyle name="Currency 2 2 5 2 3 2 2 2" xfId="13824"/>
    <cellStyle name="Currency 2 2 5 2 3 2 2 3" xfId="13825"/>
    <cellStyle name="Currency 2 2 5 2 3 2 3" xfId="13826"/>
    <cellStyle name="Currency 2 2 5 2 3 2 3 2" xfId="13827"/>
    <cellStyle name="Currency 2 2 5 2 3 2 3 3" xfId="13828"/>
    <cellStyle name="Currency 2 2 5 2 3 2 4" xfId="13829"/>
    <cellStyle name="Currency 2 2 5 2 3 2 5" xfId="13830"/>
    <cellStyle name="Currency 2 2 5 2 3 3" xfId="13831"/>
    <cellStyle name="Currency 2 2 5 2 3 3 2" xfId="13832"/>
    <cellStyle name="Currency 2 2 5 2 3 3 3" xfId="13833"/>
    <cellStyle name="Currency 2 2 5 2 3 4" xfId="13834"/>
    <cellStyle name="Currency 2 2 5 2 3 4 2" xfId="13835"/>
    <cellStyle name="Currency 2 2 5 2 3 4 3" xfId="13836"/>
    <cellStyle name="Currency 2 2 5 2 3 5" xfId="13837"/>
    <cellStyle name="Currency 2 2 5 2 3 6" xfId="13838"/>
    <cellStyle name="Currency 2 2 5 2 4" xfId="13839"/>
    <cellStyle name="Currency 2 2 5 2 4 2" xfId="13840"/>
    <cellStyle name="Currency 2 2 5 2 4 2 2" xfId="13841"/>
    <cellStyle name="Currency 2 2 5 2 4 2 2 2" xfId="13842"/>
    <cellStyle name="Currency 2 2 5 2 4 2 2 3" xfId="13843"/>
    <cellStyle name="Currency 2 2 5 2 4 2 3" xfId="13844"/>
    <cellStyle name="Currency 2 2 5 2 4 2 3 2" xfId="13845"/>
    <cellStyle name="Currency 2 2 5 2 4 2 3 3" xfId="13846"/>
    <cellStyle name="Currency 2 2 5 2 4 2 4" xfId="13847"/>
    <cellStyle name="Currency 2 2 5 2 4 2 5" xfId="13848"/>
    <cellStyle name="Currency 2 2 5 2 4 3" xfId="13849"/>
    <cellStyle name="Currency 2 2 5 2 4 3 2" xfId="13850"/>
    <cellStyle name="Currency 2 2 5 2 4 3 3" xfId="13851"/>
    <cellStyle name="Currency 2 2 5 2 4 4" xfId="13852"/>
    <cellStyle name="Currency 2 2 5 2 4 4 2" xfId="13853"/>
    <cellStyle name="Currency 2 2 5 2 4 4 3" xfId="13854"/>
    <cellStyle name="Currency 2 2 5 2 4 5" xfId="13855"/>
    <cellStyle name="Currency 2 2 5 2 4 6" xfId="13856"/>
    <cellStyle name="Currency 2 2 5 2 5" xfId="13857"/>
    <cellStyle name="Currency 2 2 5 2 5 2" xfId="13858"/>
    <cellStyle name="Currency 2 2 5 2 5 2 2" xfId="13859"/>
    <cellStyle name="Currency 2 2 5 2 5 2 3" xfId="13860"/>
    <cellStyle name="Currency 2 2 5 2 5 3" xfId="13861"/>
    <cellStyle name="Currency 2 2 5 2 5 3 2" xfId="13862"/>
    <cellStyle name="Currency 2 2 5 2 5 3 3" xfId="13863"/>
    <cellStyle name="Currency 2 2 5 2 5 4" xfId="13864"/>
    <cellStyle name="Currency 2 2 5 2 5 5" xfId="13865"/>
    <cellStyle name="Currency 2 2 5 2 6" xfId="13866"/>
    <cellStyle name="Currency 2 2 5 2 6 2" xfId="13867"/>
    <cellStyle name="Currency 2 2 5 2 6 3" xfId="13868"/>
    <cellStyle name="Currency 2 2 5 2 7" xfId="13869"/>
    <cellStyle name="Currency 2 2 5 2 7 2" xfId="13870"/>
    <cellStyle name="Currency 2 2 5 2 7 3" xfId="13871"/>
    <cellStyle name="Currency 2 2 5 2 8" xfId="13872"/>
    <cellStyle name="Currency 2 2 5 2 9" xfId="13873"/>
    <cellStyle name="Currency 2 2 5 3" xfId="13874"/>
    <cellStyle name="Currency 2 2 5 3 2" xfId="13875"/>
    <cellStyle name="Currency 2 2 5 3 2 2" xfId="13876"/>
    <cellStyle name="Currency 2 2 5 3 2 2 2" xfId="13877"/>
    <cellStyle name="Currency 2 2 5 3 2 2 2 2" xfId="13878"/>
    <cellStyle name="Currency 2 2 5 3 2 2 2 3" xfId="13879"/>
    <cellStyle name="Currency 2 2 5 3 2 2 3" xfId="13880"/>
    <cellStyle name="Currency 2 2 5 3 2 2 3 2" xfId="13881"/>
    <cellStyle name="Currency 2 2 5 3 2 2 3 3" xfId="13882"/>
    <cellStyle name="Currency 2 2 5 3 2 2 4" xfId="13883"/>
    <cellStyle name="Currency 2 2 5 3 2 2 5" xfId="13884"/>
    <cellStyle name="Currency 2 2 5 3 2 3" xfId="13885"/>
    <cellStyle name="Currency 2 2 5 3 2 3 2" xfId="13886"/>
    <cellStyle name="Currency 2 2 5 3 2 3 3" xfId="13887"/>
    <cellStyle name="Currency 2 2 5 3 2 4" xfId="13888"/>
    <cellStyle name="Currency 2 2 5 3 2 4 2" xfId="13889"/>
    <cellStyle name="Currency 2 2 5 3 2 4 3" xfId="13890"/>
    <cellStyle name="Currency 2 2 5 3 2 5" xfId="13891"/>
    <cellStyle name="Currency 2 2 5 3 2 6" xfId="13892"/>
    <cellStyle name="Currency 2 2 5 3 3" xfId="13893"/>
    <cellStyle name="Currency 2 2 5 3 3 2" xfId="13894"/>
    <cellStyle name="Currency 2 2 5 3 3 2 2" xfId="13895"/>
    <cellStyle name="Currency 2 2 5 3 3 2 2 2" xfId="13896"/>
    <cellStyle name="Currency 2 2 5 3 3 2 2 3" xfId="13897"/>
    <cellStyle name="Currency 2 2 5 3 3 2 3" xfId="13898"/>
    <cellStyle name="Currency 2 2 5 3 3 2 3 2" xfId="13899"/>
    <cellStyle name="Currency 2 2 5 3 3 2 3 3" xfId="13900"/>
    <cellStyle name="Currency 2 2 5 3 3 2 4" xfId="13901"/>
    <cellStyle name="Currency 2 2 5 3 3 2 5" xfId="13902"/>
    <cellStyle name="Currency 2 2 5 3 3 3" xfId="13903"/>
    <cellStyle name="Currency 2 2 5 3 3 3 2" xfId="13904"/>
    <cellStyle name="Currency 2 2 5 3 3 3 3" xfId="13905"/>
    <cellStyle name="Currency 2 2 5 3 3 4" xfId="13906"/>
    <cellStyle name="Currency 2 2 5 3 3 4 2" xfId="13907"/>
    <cellStyle name="Currency 2 2 5 3 3 4 3" xfId="13908"/>
    <cellStyle name="Currency 2 2 5 3 3 5" xfId="13909"/>
    <cellStyle name="Currency 2 2 5 3 3 6" xfId="13910"/>
    <cellStyle name="Currency 2 2 5 3 4" xfId="13911"/>
    <cellStyle name="Currency 2 2 5 3 4 2" xfId="13912"/>
    <cellStyle name="Currency 2 2 5 3 4 2 2" xfId="13913"/>
    <cellStyle name="Currency 2 2 5 3 4 2 3" xfId="13914"/>
    <cellStyle name="Currency 2 2 5 3 4 3" xfId="13915"/>
    <cellStyle name="Currency 2 2 5 3 4 3 2" xfId="13916"/>
    <cellStyle name="Currency 2 2 5 3 4 3 3" xfId="13917"/>
    <cellStyle name="Currency 2 2 5 3 4 4" xfId="13918"/>
    <cellStyle name="Currency 2 2 5 3 4 5" xfId="13919"/>
    <cellStyle name="Currency 2 2 5 3 5" xfId="13920"/>
    <cellStyle name="Currency 2 2 5 3 5 2" xfId="13921"/>
    <cellStyle name="Currency 2 2 5 3 5 3" xfId="13922"/>
    <cellStyle name="Currency 2 2 5 3 6" xfId="13923"/>
    <cellStyle name="Currency 2 2 5 3 6 2" xfId="13924"/>
    <cellStyle name="Currency 2 2 5 3 6 3" xfId="13925"/>
    <cellStyle name="Currency 2 2 5 3 7" xfId="13926"/>
    <cellStyle name="Currency 2 2 5 3 8" xfId="13927"/>
    <cellStyle name="Currency 2 2 5 4" xfId="13928"/>
    <cellStyle name="Currency 2 2 5 4 2" xfId="13929"/>
    <cellStyle name="Currency 2 2 5 4 2 2" xfId="13930"/>
    <cellStyle name="Currency 2 2 5 4 2 2 2" xfId="13931"/>
    <cellStyle name="Currency 2 2 5 4 2 2 3" xfId="13932"/>
    <cellStyle name="Currency 2 2 5 4 2 3" xfId="13933"/>
    <cellStyle name="Currency 2 2 5 4 2 3 2" xfId="13934"/>
    <cellStyle name="Currency 2 2 5 4 2 3 3" xfId="13935"/>
    <cellStyle name="Currency 2 2 5 4 2 4" xfId="13936"/>
    <cellStyle name="Currency 2 2 5 4 2 5" xfId="13937"/>
    <cellStyle name="Currency 2 2 5 4 3" xfId="13938"/>
    <cellStyle name="Currency 2 2 5 4 3 2" xfId="13939"/>
    <cellStyle name="Currency 2 2 5 4 3 3" xfId="13940"/>
    <cellStyle name="Currency 2 2 5 4 4" xfId="13941"/>
    <cellStyle name="Currency 2 2 5 4 4 2" xfId="13942"/>
    <cellStyle name="Currency 2 2 5 4 4 3" xfId="13943"/>
    <cellStyle name="Currency 2 2 5 4 5" xfId="13944"/>
    <cellStyle name="Currency 2 2 5 4 6" xfId="13945"/>
    <cellStyle name="Currency 2 2 5 5" xfId="13946"/>
    <cellStyle name="Currency 2 2 5 5 2" xfId="13947"/>
    <cellStyle name="Currency 2 2 5 5 2 2" xfId="13948"/>
    <cellStyle name="Currency 2 2 5 5 2 2 2" xfId="13949"/>
    <cellStyle name="Currency 2 2 5 5 2 2 3" xfId="13950"/>
    <cellStyle name="Currency 2 2 5 5 2 3" xfId="13951"/>
    <cellStyle name="Currency 2 2 5 5 2 3 2" xfId="13952"/>
    <cellStyle name="Currency 2 2 5 5 2 3 3" xfId="13953"/>
    <cellStyle name="Currency 2 2 5 5 2 4" xfId="13954"/>
    <cellStyle name="Currency 2 2 5 5 2 5" xfId="13955"/>
    <cellStyle name="Currency 2 2 5 5 3" xfId="13956"/>
    <cellStyle name="Currency 2 2 5 5 3 2" xfId="13957"/>
    <cellStyle name="Currency 2 2 5 5 3 3" xfId="13958"/>
    <cellStyle name="Currency 2 2 5 5 4" xfId="13959"/>
    <cellStyle name="Currency 2 2 5 5 4 2" xfId="13960"/>
    <cellStyle name="Currency 2 2 5 5 4 3" xfId="13961"/>
    <cellStyle name="Currency 2 2 5 5 5" xfId="13962"/>
    <cellStyle name="Currency 2 2 5 5 6" xfId="13963"/>
    <cellStyle name="Currency 2 2 5 6" xfId="13964"/>
    <cellStyle name="Currency 2 2 5 6 2" xfId="13965"/>
    <cellStyle name="Currency 2 2 5 6 2 2" xfId="13966"/>
    <cellStyle name="Currency 2 2 5 6 2 3" xfId="13967"/>
    <cellStyle name="Currency 2 2 5 6 3" xfId="13968"/>
    <cellStyle name="Currency 2 2 5 6 3 2" xfId="13969"/>
    <cellStyle name="Currency 2 2 5 6 3 3" xfId="13970"/>
    <cellStyle name="Currency 2 2 5 6 4" xfId="13971"/>
    <cellStyle name="Currency 2 2 5 6 5" xfId="13972"/>
    <cellStyle name="Currency 2 2 5 7" xfId="13973"/>
    <cellStyle name="Currency 2 2 5 7 2" xfId="13974"/>
    <cellStyle name="Currency 2 2 5 7 3" xfId="13975"/>
    <cellStyle name="Currency 2 2 5 8" xfId="13976"/>
    <cellStyle name="Currency 2 2 5 8 2" xfId="13977"/>
    <cellStyle name="Currency 2 2 5 8 3" xfId="13978"/>
    <cellStyle name="Currency 2 2 5 9" xfId="13979"/>
    <cellStyle name="Currency 2 2 6" xfId="13980"/>
    <cellStyle name="Currency 2 2 6 10" xfId="13981"/>
    <cellStyle name="Currency 2 2 6 2" xfId="13982"/>
    <cellStyle name="Currency 2 2 6 2 2" xfId="13983"/>
    <cellStyle name="Currency 2 2 6 2 2 2" xfId="13984"/>
    <cellStyle name="Currency 2 2 6 2 2 2 2" xfId="13985"/>
    <cellStyle name="Currency 2 2 6 2 2 2 2 2" xfId="13986"/>
    <cellStyle name="Currency 2 2 6 2 2 2 2 2 2" xfId="13987"/>
    <cellStyle name="Currency 2 2 6 2 2 2 2 2 3" xfId="13988"/>
    <cellStyle name="Currency 2 2 6 2 2 2 2 3" xfId="13989"/>
    <cellStyle name="Currency 2 2 6 2 2 2 2 3 2" xfId="13990"/>
    <cellStyle name="Currency 2 2 6 2 2 2 2 3 3" xfId="13991"/>
    <cellStyle name="Currency 2 2 6 2 2 2 2 4" xfId="13992"/>
    <cellStyle name="Currency 2 2 6 2 2 2 2 5" xfId="13993"/>
    <cellStyle name="Currency 2 2 6 2 2 2 3" xfId="13994"/>
    <cellStyle name="Currency 2 2 6 2 2 2 3 2" xfId="13995"/>
    <cellStyle name="Currency 2 2 6 2 2 2 3 3" xfId="13996"/>
    <cellStyle name="Currency 2 2 6 2 2 2 4" xfId="13997"/>
    <cellStyle name="Currency 2 2 6 2 2 2 4 2" xfId="13998"/>
    <cellStyle name="Currency 2 2 6 2 2 2 4 3" xfId="13999"/>
    <cellStyle name="Currency 2 2 6 2 2 2 5" xfId="14000"/>
    <cellStyle name="Currency 2 2 6 2 2 2 6" xfId="14001"/>
    <cellStyle name="Currency 2 2 6 2 2 3" xfId="14002"/>
    <cellStyle name="Currency 2 2 6 2 2 3 2" xfId="14003"/>
    <cellStyle name="Currency 2 2 6 2 2 3 2 2" xfId="14004"/>
    <cellStyle name="Currency 2 2 6 2 2 3 2 2 2" xfId="14005"/>
    <cellStyle name="Currency 2 2 6 2 2 3 2 2 3" xfId="14006"/>
    <cellStyle name="Currency 2 2 6 2 2 3 2 3" xfId="14007"/>
    <cellStyle name="Currency 2 2 6 2 2 3 2 3 2" xfId="14008"/>
    <cellStyle name="Currency 2 2 6 2 2 3 2 3 3" xfId="14009"/>
    <cellStyle name="Currency 2 2 6 2 2 3 2 4" xfId="14010"/>
    <cellStyle name="Currency 2 2 6 2 2 3 2 5" xfId="14011"/>
    <cellStyle name="Currency 2 2 6 2 2 3 3" xfId="14012"/>
    <cellStyle name="Currency 2 2 6 2 2 3 3 2" xfId="14013"/>
    <cellStyle name="Currency 2 2 6 2 2 3 3 3" xfId="14014"/>
    <cellStyle name="Currency 2 2 6 2 2 3 4" xfId="14015"/>
    <cellStyle name="Currency 2 2 6 2 2 3 4 2" xfId="14016"/>
    <cellStyle name="Currency 2 2 6 2 2 3 4 3" xfId="14017"/>
    <cellStyle name="Currency 2 2 6 2 2 3 5" xfId="14018"/>
    <cellStyle name="Currency 2 2 6 2 2 3 6" xfId="14019"/>
    <cellStyle name="Currency 2 2 6 2 2 4" xfId="14020"/>
    <cellStyle name="Currency 2 2 6 2 2 4 2" xfId="14021"/>
    <cellStyle name="Currency 2 2 6 2 2 4 2 2" xfId="14022"/>
    <cellStyle name="Currency 2 2 6 2 2 4 2 3" xfId="14023"/>
    <cellStyle name="Currency 2 2 6 2 2 4 3" xfId="14024"/>
    <cellStyle name="Currency 2 2 6 2 2 4 3 2" xfId="14025"/>
    <cellStyle name="Currency 2 2 6 2 2 4 3 3" xfId="14026"/>
    <cellStyle name="Currency 2 2 6 2 2 4 4" xfId="14027"/>
    <cellStyle name="Currency 2 2 6 2 2 4 5" xfId="14028"/>
    <cellStyle name="Currency 2 2 6 2 2 5" xfId="14029"/>
    <cellStyle name="Currency 2 2 6 2 2 5 2" xfId="14030"/>
    <cellStyle name="Currency 2 2 6 2 2 5 3" xfId="14031"/>
    <cellStyle name="Currency 2 2 6 2 2 6" xfId="14032"/>
    <cellStyle name="Currency 2 2 6 2 2 6 2" xfId="14033"/>
    <cellStyle name="Currency 2 2 6 2 2 6 3" xfId="14034"/>
    <cellStyle name="Currency 2 2 6 2 2 7" xfId="14035"/>
    <cellStyle name="Currency 2 2 6 2 2 8" xfId="14036"/>
    <cellStyle name="Currency 2 2 6 2 3" xfId="14037"/>
    <cellStyle name="Currency 2 2 6 2 3 2" xfId="14038"/>
    <cellStyle name="Currency 2 2 6 2 3 2 2" xfId="14039"/>
    <cellStyle name="Currency 2 2 6 2 3 2 2 2" xfId="14040"/>
    <cellStyle name="Currency 2 2 6 2 3 2 2 3" xfId="14041"/>
    <cellStyle name="Currency 2 2 6 2 3 2 3" xfId="14042"/>
    <cellStyle name="Currency 2 2 6 2 3 2 3 2" xfId="14043"/>
    <cellStyle name="Currency 2 2 6 2 3 2 3 3" xfId="14044"/>
    <cellStyle name="Currency 2 2 6 2 3 2 4" xfId="14045"/>
    <cellStyle name="Currency 2 2 6 2 3 2 5" xfId="14046"/>
    <cellStyle name="Currency 2 2 6 2 3 3" xfId="14047"/>
    <cellStyle name="Currency 2 2 6 2 3 3 2" xfId="14048"/>
    <cellStyle name="Currency 2 2 6 2 3 3 3" xfId="14049"/>
    <cellStyle name="Currency 2 2 6 2 3 4" xfId="14050"/>
    <cellStyle name="Currency 2 2 6 2 3 4 2" xfId="14051"/>
    <cellStyle name="Currency 2 2 6 2 3 4 3" xfId="14052"/>
    <cellStyle name="Currency 2 2 6 2 3 5" xfId="14053"/>
    <cellStyle name="Currency 2 2 6 2 3 6" xfId="14054"/>
    <cellStyle name="Currency 2 2 6 2 4" xfId="14055"/>
    <cellStyle name="Currency 2 2 6 2 4 2" xfId="14056"/>
    <cellStyle name="Currency 2 2 6 2 4 2 2" xfId="14057"/>
    <cellStyle name="Currency 2 2 6 2 4 2 2 2" xfId="14058"/>
    <cellStyle name="Currency 2 2 6 2 4 2 2 3" xfId="14059"/>
    <cellStyle name="Currency 2 2 6 2 4 2 3" xfId="14060"/>
    <cellStyle name="Currency 2 2 6 2 4 2 3 2" xfId="14061"/>
    <cellStyle name="Currency 2 2 6 2 4 2 3 3" xfId="14062"/>
    <cellStyle name="Currency 2 2 6 2 4 2 4" xfId="14063"/>
    <cellStyle name="Currency 2 2 6 2 4 2 5" xfId="14064"/>
    <cellStyle name="Currency 2 2 6 2 4 3" xfId="14065"/>
    <cellStyle name="Currency 2 2 6 2 4 3 2" xfId="14066"/>
    <cellStyle name="Currency 2 2 6 2 4 3 3" xfId="14067"/>
    <cellStyle name="Currency 2 2 6 2 4 4" xfId="14068"/>
    <cellStyle name="Currency 2 2 6 2 4 4 2" xfId="14069"/>
    <cellStyle name="Currency 2 2 6 2 4 4 3" xfId="14070"/>
    <cellStyle name="Currency 2 2 6 2 4 5" xfId="14071"/>
    <cellStyle name="Currency 2 2 6 2 4 6" xfId="14072"/>
    <cellStyle name="Currency 2 2 6 2 5" xfId="14073"/>
    <cellStyle name="Currency 2 2 6 2 5 2" xfId="14074"/>
    <cellStyle name="Currency 2 2 6 2 5 2 2" xfId="14075"/>
    <cellStyle name="Currency 2 2 6 2 5 2 3" xfId="14076"/>
    <cellStyle name="Currency 2 2 6 2 5 3" xfId="14077"/>
    <cellStyle name="Currency 2 2 6 2 5 3 2" xfId="14078"/>
    <cellStyle name="Currency 2 2 6 2 5 3 3" xfId="14079"/>
    <cellStyle name="Currency 2 2 6 2 5 4" xfId="14080"/>
    <cellStyle name="Currency 2 2 6 2 5 5" xfId="14081"/>
    <cellStyle name="Currency 2 2 6 2 6" xfId="14082"/>
    <cellStyle name="Currency 2 2 6 2 6 2" xfId="14083"/>
    <cellStyle name="Currency 2 2 6 2 6 3" xfId="14084"/>
    <cellStyle name="Currency 2 2 6 2 7" xfId="14085"/>
    <cellStyle name="Currency 2 2 6 2 7 2" xfId="14086"/>
    <cellStyle name="Currency 2 2 6 2 7 3" xfId="14087"/>
    <cellStyle name="Currency 2 2 6 2 8" xfId="14088"/>
    <cellStyle name="Currency 2 2 6 2 9" xfId="14089"/>
    <cellStyle name="Currency 2 2 6 3" xfId="14090"/>
    <cellStyle name="Currency 2 2 6 3 2" xfId="14091"/>
    <cellStyle name="Currency 2 2 6 3 2 2" xfId="14092"/>
    <cellStyle name="Currency 2 2 6 3 2 2 2" xfId="14093"/>
    <cellStyle name="Currency 2 2 6 3 2 2 2 2" xfId="14094"/>
    <cellStyle name="Currency 2 2 6 3 2 2 2 3" xfId="14095"/>
    <cellStyle name="Currency 2 2 6 3 2 2 3" xfId="14096"/>
    <cellStyle name="Currency 2 2 6 3 2 2 3 2" xfId="14097"/>
    <cellStyle name="Currency 2 2 6 3 2 2 3 3" xfId="14098"/>
    <cellStyle name="Currency 2 2 6 3 2 2 4" xfId="14099"/>
    <cellStyle name="Currency 2 2 6 3 2 2 5" xfId="14100"/>
    <cellStyle name="Currency 2 2 6 3 2 3" xfId="14101"/>
    <cellStyle name="Currency 2 2 6 3 2 3 2" xfId="14102"/>
    <cellStyle name="Currency 2 2 6 3 2 3 3" xfId="14103"/>
    <cellStyle name="Currency 2 2 6 3 2 4" xfId="14104"/>
    <cellStyle name="Currency 2 2 6 3 2 4 2" xfId="14105"/>
    <cellStyle name="Currency 2 2 6 3 2 4 3" xfId="14106"/>
    <cellStyle name="Currency 2 2 6 3 2 5" xfId="14107"/>
    <cellStyle name="Currency 2 2 6 3 2 6" xfId="14108"/>
    <cellStyle name="Currency 2 2 6 3 3" xfId="14109"/>
    <cellStyle name="Currency 2 2 6 3 3 2" xfId="14110"/>
    <cellStyle name="Currency 2 2 6 3 3 2 2" xfId="14111"/>
    <cellStyle name="Currency 2 2 6 3 3 2 2 2" xfId="14112"/>
    <cellStyle name="Currency 2 2 6 3 3 2 2 3" xfId="14113"/>
    <cellStyle name="Currency 2 2 6 3 3 2 3" xfId="14114"/>
    <cellStyle name="Currency 2 2 6 3 3 2 3 2" xfId="14115"/>
    <cellStyle name="Currency 2 2 6 3 3 2 3 3" xfId="14116"/>
    <cellStyle name="Currency 2 2 6 3 3 2 4" xfId="14117"/>
    <cellStyle name="Currency 2 2 6 3 3 2 5" xfId="14118"/>
    <cellStyle name="Currency 2 2 6 3 3 3" xfId="14119"/>
    <cellStyle name="Currency 2 2 6 3 3 3 2" xfId="14120"/>
    <cellStyle name="Currency 2 2 6 3 3 3 3" xfId="14121"/>
    <cellStyle name="Currency 2 2 6 3 3 4" xfId="14122"/>
    <cellStyle name="Currency 2 2 6 3 3 4 2" xfId="14123"/>
    <cellStyle name="Currency 2 2 6 3 3 4 3" xfId="14124"/>
    <cellStyle name="Currency 2 2 6 3 3 5" xfId="14125"/>
    <cellStyle name="Currency 2 2 6 3 3 6" xfId="14126"/>
    <cellStyle name="Currency 2 2 6 3 4" xfId="14127"/>
    <cellStyle name="Currency 2 2 6 3 4 2" xfId="14128"/>
    <cellStyle name="Currency 2 2 6 3 4 2 2" xfId="14129"/>
    <cellStyle name="Currency 2 2 6 3 4 2 3" xfId="14130"/>
    <cellStyle name="Currency 2 2 6 3 4 3" xfId="14131"/>
    <cellStyle name="Currency 2 2 6 3 4 3 2" xfId="14132"/>
    <cellStyle name="Currency 2 2 6 3 4 3 3" xfId="14133"/>
    <cellStyle name="Currency 2 2 6 3 4 4" xfId="14134"/>
    <cellStyle name="Currency 2 2 6 3 4 5" xfId="14135"/>
    <cellStyle name="Currency 2 2 6 3 5" xfId="14136"/>
    <cellStyle name="Currency 2 2 6 3 5 2" xfId="14137"/>
    <cellStyle name="Currency 2 2 6 3 5 3" xfId="14138"/>
    <cellStyle name="Currency 2 2 6 3 6" xfId="14139"/>
    <cellStyle name="Currency 2 2 6 3 6 2" xfId="14140"/>
    <cellStyle name="Currency 2 2 6 3 6 3" xfId="14141"/>
    <cellStyle name="Currency 2 2 6 3 7" xfId="14142"/>
    <cellStyle name="Currency 2 2 6 3 8" xfId="14143"/>
    <cellStyle name="Currency 2 2 6 4" xfId="14144"/>
    <cellStyle name="Currency 2 2 6 4 2" xfId="14145"/>
    <cellStyle name="Currency 2 2 6 4 2 2" xfId="14146"/>
    <cellStyle name="Currency 2 2 6 4 2 2 2" xfId="14147"/>
    <cellStyle name="Currency 2 2 6 4 2 2 3" xfId="14148"/>
    <cellStyle name="Currency 2 2 6 4 2 3" xfId="14149"/>
    <cellStyle name="Currency 2 2 6 4 2 3 2" xfId="14150"/>
    <cellStyle name="Currency 2 2 6 4 2 3 3" xfId="14151"/>
    <cellStyle name="Currency 2 2 6 4 2 4" xfId="14152"/>
    <cellStyle name="Currency 2 2 6 4 2 5" xfId="14153"/>
    <cellStyle name="Currency 2 2 6 4 3" xfId="14154"/>
    <cellStyle name="Currency 2 2 6 4 3 2" xfId="14155"/>
    <cellStyle name="Currency 2 2 6 4 3 3" xfId="14156"/>
    <cellStyle name="Currency 2 2 6 4 4" xfId="14157"/>
    <cellStyle name="Currency 2 2 6 4 4 2" xfId="14158"/>
    <cellStyle name="Currency 2 2 6 4 4 3" xfId="14159"/>
    <cellStyle name="Currency 2 2 6 4 5" xfId="14160"/>
    <cellStyle name="Currency 2 2 6 4 6" xfId="14161"/>
    <cellStyle name="Currency 2 2 6 5" xfId="14162"/>
    <cellStyle name="Currency 2 2 6 5 2" xfId="14163"/>
    <cellStyle name="Currency 2 2 6 5 2 2" xfId="14164"/>
    <cellStyle name="Currency 2 2 6 5 2 2 2" xfId="14165"/>
    <cellStyle name="Currency 2 2 6 5 2 2 3" xfId="14166"/>
    <cellStyle name="Currency 2 2 6 5 2 3" xfId="14167"/>
    <cellStyle name="Currency 2 2 6 5 2 3 2" xfId="14168"/>
    <cellStyle name="Currency 2 2 6 5 2 3 3" xfId="14169"/>
    <cellStyle name="Currency 2 2 6 5 2 4" xfId="14170"/>
    <cellStyle name="Currency 2 2 6 5 2 5" xfId="14171"/>
    <cellStyle name="Currency 2 2 6 5 3" xfId="14172"/>
    <cellStyle name="Currency 2 2 6 5 3 2" xfId="14173"/>
    <cellStyle name="Currency 2 2 6 5 3 3" xfId="14174"/>
    <cellStyle name="Currency 2 2 6 5 4" xfId="14175"/>
    <cellStyle name="Currency 2 2 6 5 4 2" xfId="14176"/>
    <cellStyle name="Currency 2 2 6 5 4 3" xfId="14177"/>
    <cellStyle name="Currency 2 2 6 5 5" xfId="14178"/>
    <cellStyle name="Currency 2 2 6 5 6" xfId="14179"/>
    <cellStyle name="Currency 2 2 6 6" xfId="14180"/>
    <cellStyle name="Currency 2 2 6 6 2" xfId="14181"/>
    <cellStyle name="Currency 2 2 6 6 2 2" xfId="14182"/>
    <cellStyle name="Currency 2 2 6 6 2 3" xfId="14183"/>
    <cellStyle name="Currency 2 2 6 6 3" xfId="14184"/>
    <cellStyle name="Currency 2 2 6 6 3 2" xfId="14185"/>
    <cellStyle name="Currency 2 2 6 6 3 3" xfId="14186"/>
    <cellStyle name="Currency 2 2 6 6 4" xfId="14187"/>
    <cellStyle name="Currency 2 2 6 6 5" xfId="14188"/>
    <cellStyle name="Currency 2 2 6 7" xfId="14189"/>
    <cellStyle name="Currency 2 2 6 7 2" xfId="14190"/>
    <cellStyle name="Currency 2 2 6 7 3" xfId="14191"/>
    <cellStyle name="Currency 2 2 6 8" xfId="14192"/>
    <cellStyle name="Currency 2 2 6 8 2" xfId="14193"/>
    <cellStyle name="Currency 2 2 6 8 3" xfId="14194"/>
    <cellStyle name="Currency 2 2 6 9" xfId="14195"/>
    <cellStyle name="Currency 2 2 7" xfId="14196"/>
    <cellStyle name="Currency 2 2 7 2" xfId="14197"/>
    <cellStyle name="Currency 2 2 7 2 2" xfId="14198"/>
    <cellStyle name="Currency 2 2 7 2 2 2" xfId="14199"/>
    <cellStyle name="Currency 2 2 7 2 2 2 2" xfId="14200"/>
    <cellStyle name="Currency 2 2 7 2 2 2 2 2" xfId="14201"/>
    <cellStyle name="Currency 2 2 7 2 2 2 2 3" xfId="14202"/>
    <cellStyle name="Currency 2 2 7 2 2 2 3" xfId="14203"/>
    <cellStyle name="Currency 2 2 7 2 2 2 3 2" xfId="14204"/>
    <cellStyle name="Currency 2 2 7 2 2 2 3 3" xfId="14205"/>
    <cellStyle name="Currency 2 2 7 2 2 2 4" xfId="14206"/>
    <cellStyle name="Currency 2 2 7 2 2 2 5" xfId="14207"/>
    <cellStyle name="Currency 2 2 7 2 2 3" xfId="14208"/>
    <cellStyle name="Currency 2 2 7 2 2 3 2" xfId="14209"/>
    <cellStyle name="Currency 2 2 7 2 2 3 3" xfId="14210"/>
    <cellStyle name="Currency 2 2 7 2 2 4" xfId="14211"/>
    <cellStyle name="Currency 2 2 7 2 2 4 2" xfId="14212"/>
    <cellStyle name="Currency 2 2 7 2 2 4 3" xfId="14213"/>
    <cellStyle name="Currency 2 2 7 2 2 5" xfId="14214"/>
    <cellStyle name="Currency 2 2 7 2 2 6" xfId="14215"/>
    <cellStyle name="Currency 2 2 7 2 3" xfId="14216"/>
    <cellStyle name="Currency 2 2 7 2 3 2" xfId="14217"/>
    <cellStyle name="Currency 2 2 7 2 3 2 2" xfId="14218"/>
    <cellStyle name="Currency 2 2 7 2 3 2 2 2" xfId="14219"/>
    <cellStyle name="Currency 2 2 7 2 3 2 2 3" xfId="14220"/>
    <cellStyle name="Currency 2 2 7 2 3 2 3" xfId="14221"/>
    <cellStyle name="Currency 2 2 7 2 3 2 3 2" xfId="14222"/>
    <cellStyle name="Currency 2 2 7 2 3 2 3 3" xfId="14223"/>
    <cellStyle name="Currency 2 2 7 2 3 2 4" xfId="14224"/>
    <cellStyle name="Currency 2 2 7 2 3 2 5" xfId="14225"/>
    <cellStyle name="Currency 2 2 7 2 3 3" xfId="14226"/>
    <cellStyle name="Currency 2 2 7 2 3 3 2" xfId="14227"/>
    <cellStyle name="Currency 2 2 7 2 3 3 3" xfId="14228"/>
    <cellStyle name="Currency 2 2 7 2 3 4" xfId="14229"/>
    <cellStyle name="Currency 2 2 7 2 3 4 2" xfId="14230"/>
    <cellStyle name="Currency 2 2 7 2 3 4 3" xfId="14231"/>
    <cellStyle name="Currency 2 2 7 2 3 5" xfId="14232"/>
    <cellStyle name="Currency 2 2 7 2 3 6" xfId="14233"/>
    <cellStyle name="Currency 2 2 7 2 4" xfId="14234"/>
    <cellStyle name="Currency 2 2 7 2 4 2" xfId="14235"/>
    <cellStyle name="Currency 2 2 7 2 4 2 2" xfId="14236"/>
    <cellStyle name="Currency 2 2 7 2 4 2 3" xfId="14237"/>
    <cellStyle name="Currency 2 2 7 2 4 3" xfId="14238"/>
    <cellStyle name="Currency 2 2 7 2 4 3 2" xfId="14239"/>
    <cellStyle name="Currency 2 2 7 2 4 3 3" xfId="14240"/>
    <cellStyle name="Currency 2 2 7 2 4 4" xfId="14241"/>
    <cellStyle name="Currency 2 2 7 2 4 5" xfId="14242"/>
    <cellStyle name="Currency 2 2 7 2 5" xfId="14243"/>
    <cellStyle name="Currency 2 2 7 2 5 2" xfId="14244"/>
    <cellStyle name="Currency 2 2 7 2 5 3" xfId="14245"/>
    <cellStyle name="Currency 2 2 7 2 6" xfId="14246"/>
    <cellStyle name="Currency 2 2 7 2 6 2" xfId="14247"/>
    <cellStyle name="Currency 2 2 7 2 6 3" xfId="14248"/>
    <cellStyle name="Currency 2 2 7 2 7" xfId="14249"/>
    <cellStyle name="Currency 2 2 7 2 8" xfId="14250"/>
    <cellStyle name="Currency 2 2 7 3" xfId="14251"/>
    <cellStyle name="Currency 2 2 7 3 2" xfId="14252"/>
    <cellStyle name="Currency 2 2 7 3 2 2" xfId="14253"/>
    <cellStyle name="Currency 2 2 7 3 2 2 2" xfId="14254"/>
    <cellStyle name="Currency 2 2 7 3 2 2 3" xfId="14255"/>
    <cellStyle name="Currency 2 2 7 3 2 3" xfId="14256"/>
    <cellStyle name="Currency 2 2 7 3 2 3 2" xfId="14257"/>
    <cellStyle name="Currency 2 2 7 3 2 3 3" xfId="14258"/>
    <cellStyle name="Currency 2 2 7 3 2 4" xfId="14259"/>
    <cellStyle name="Currency 2 2 7 3 2 5" xfId="14260"/>
    <cellStyle name="Currency 2 2 7 3 3" xfId="14261"/>
    <cellStyle name="Currency 2 2 7 3 3 2" xfId="14262"/>
    <cellStyle name="Currency 2 2 7 3 3 3" xfId="14263"/>
    <cellStyle name="Currency 2 2 7 3 4" xfId="14264"/>
    <cellStyle name="Currency 2 2 7 3 4 2" xfId="14265"/>
    <cellStyle name="Currency 2 2 7 3 4 3" xfId="14266"/>
    <cellStyle name="Currency 2 2 7 3 5" xfId="14267"/>
    <cellStyle name="Currency 2 2 7 3 6" xfId="14268"/>
    <cellStyle name="Currency 2 2 7 4" xfId="14269"/>
    <cellStyle name="Currency 2 2 7 4 2" xfId="14270"/>
    <cellStyle name="Currency 2 2 7 4 2 2" xfId="14271"/>
    <cellStyle name="Currency 2 2 7 4 2 2 2" xfId="14272"/>
    <cellStyle name="Currency 2 2 7 4 2 2 3" xfId="14273"/>
    <cellStyle name="Currency 2 2 7 4 2 3" xfId="14274"/>
    <cellStyle name="Currency 2 2 7 4 2 3 2" xfId="14275"/>
    <cellStyle name="Currency 2 2 7 4 2 3 3" xfId="14276"/>
    <cellStyle name="Currency 2 2 7 4 2 4" xfId="14277"/>
    <cellStyle name="Currency 2 2 7 4 2 5" xfId="14278"/>
    <cellStyle name="Currency 2 2 7 4 3" xfId="14279"/>
    <cellStyle name="Currency 2 2 7 4 3 2" xfId="14280"/>
    <cellStyle name="Currency 2 2 7 4 3 3" xfId="14281"/>
    <cellStyle name="Currency 2 2 7 4 4" xfId="14282"/>
    <cellStyle name="Currency 2 2 7 4 4 2" xfId="14283"/>
    <cellStyle name="Currency 2 2 7 4 4 3" xfId="14284"/>
    <cellStyle name="Currency 2 2 7 4 5" xfId="14285"/>
    <cellStyle name="Currency 2 2 7 4 6" xfId="14286"/>
    <cellStyle name="Currency 2 2 7 5" xfId="14287"/>
    <cellStyle name="Currency 2 2 7 5 2" xfId="14288"/>
    <cellStyle name="Currency 2 2 7 5 2 2" xfId="14289"/>
    <cellStyle name="Currency 2 2 7 5 2 3" xfId="14290"/>
    <cellStyle name="Currency 2 2 7 5 3" xfId="14291"/>
    <cellStyle name="Currency 2 2 7 5 3 2" xfId="14292"/>
    <cellStyle name="Currency 2 2 7 5 3 3" xfId="14293"/>
    <cellStyle name="Currency 2 2 7 5 4" xfId="14294"/>
    <cellStyle name="Currency 2 2 7 5 5" xfId="14295"/>
    <cellStyle name="Currency 2 2 7 6" xfId="14296"/>
    <cellStyle name="Currency 2 2 7 6 2" xfId="14297"/>
    <cellStyle name="Currency 2 2 7 6 3" xfId="14298"/>
    <cellStyle name="Currency 2 2 7 7" xfId="14299"/>
    <cellStyle name="Currency 2 2 7 7 2" xfId="14300"/>
    <cellStyle name="Currency 2 2 7 7 3" xfId="14301"/>
    <cellStyle name="Currency 2 2 7 8" xfId="14302"/>
    <cellStyle name="Currency 2 2 7 9" xfId="14303"/>
    <cellStyle name="Currency 2 2 8" xfId="14304"/>
    <cellStyle name="Currency 2 2 8 2" xfId="14305"/>
    <cellStyle name="Currency 2 2 8 2 2" xfId="14306"/>
    <cellStyle name="Currency 2 2 8 2 2 2" xfId="14307"/>
    <cellStyle name="Currency 2 2 8 2 2 2 2" xfId="14308"/>
    <cellStyle name="Currency 2 2 8 2 2 2 3" xfId="14309"/>
    <cellStyle name="Currency 2 2 8 2 2 3" xfId="14310"/>
    <cellStyle name="Currency 2 2 8 2 2 3 2" xfId="14311"/>
    <cellStyle name="Currency 2 2 8 2 2 3 3" xfId="14312"/>
    <cellStyle name="Currency 2 2 8 2 2 4" xfId="14313"/>
    <cellStyle name="Currency 2 2 8 2 2 5" xfId="14314"/>
    <cellStyle name="Currency 2 2 8 2 3" xfId="14315"/>
    <cellStyle name="Currency 2 2 8 2 3 2" xfId="14316"/>
    <cellStyle name="Currency 2 2 8 2 3 3" xfId="14317"/>
    <cellStyle name="Currency 2 2 8 2 4" xfId="14318"/>
    <cellStyle name="Currency 2 2 8 2 4 2" xfId="14319"/>
    <cellStyle name="Currency 2 2 8 2 4 3" xfId="14320"/>
    <cellStyle name="Currency 2 2 8 2 5" xfId="14321"/>
    <cellStyle name="Currency 2 2 8 2 6" xfId="14322"/>
    <cellStyle name="Currency 2 2 8 3" xfId="14323"/>
    <cellStyle name="Currency 2 2 8 3 2" xfId="14324"/>
    <cellStyle name="Currency 2 2 8 3 2 2" xfId="14325"/>
    <cellStyle name="Currency 2 2 8 3 2 2 2" xfId="14326"/>
    <cellStyle name="Currency 2 2 8 3 2 2 3" xfId="14327"/>
    <cellStyle name="Currency 2 2 8 3 2 3" xfId="14328"/>
    <cellStyle name="Currency 2 2 8 3 2 3 2" xfId="14329"/>
    <cellStyle name="Currency 2 2 8 3 2 3 3" xfId="14330"/>
    <cellStyle name="Currency 2 2 8 3 2 4" xfId="14331"/>
    <cellStyle name="Currency 2 2 8 3 2 5" xfId="14332"/>
    <cellStyle name="Currency 2 2 8 3 3" xfId="14333"/>
    <cellStyle name="Currency 2 2 8 3 3 2" xfId="14334"/>
    <cellStyle name="Currency 2 2 8 3 3 3" xfId="14335"/>
    <cellStyle name="Currency 2 2 8 3 4" xfId="14336"/>
    <cellStyle name="Currency 2 2 8 3 4 2" xfId="14337"/>
    <cellStyle name="Currency 2 2 8 3 4 3" xfId="14338"/>
    <cellStyle name="Currency 2 2 8 3 5" xfId="14339"/>
    <cellStyle name="Currency 2 2 8 3 6" xfId="14340"/>
    <cellStyle name="Currency 2 2 8 4" xfId="14341"/>
    <cellStyle name="Currency 2 2 8 4 2" xfId="14342"/>
    <cellStyle name="Currency 2 2 8 4 2 2" xfId="14343"/>
    <cellStyle name="Currency 2 2 8 4 2 3" xfId="14344"/>
    <cellStyle name="Currency 2 2 8 4 3" xfId="14345"/>
    <cellStyle name="Currency 2 2 8 4 3 2" xfId="14346"/>
    <cellStyle name="Currency 2 2 8 4 3 3" xfId="14347"/>
    <cellStyle name="Currency 2 2 8 4 4" xfId="14348"/>
    <cellStyle name="Currency 2 2 8 4 5" xfId="14349"/>
    <cellStyle name="Currency 2 2 8 5" xfId="14350"/>
    <cellStyle name="Currency 2 2 8 5 2" xfId="14351"/>
    <cellStyle name="Currency 2 2 8 5 3" xfId="14352"/>
    <cellStyle name="Currency 2 2 8 6" xfId="14353"/>
    <cellStyle name="Currency 2 2 8 6 2" xfId="14354"/>
    <cellStyle name="Currency 2 2 8 6 3" xfId="14355"/>
    <cellStyle name="Currency 2 2 8 7" xfId="14356"/>
    <cellStyle name="Currency 2 2 8 8" xfId="14357"/>
    <cellStyle name="Currency 2 2 9" xfId="14358"/>
    <cellStyle name="Currency 2 2 9 2" xfId="14359"/>
    <cellStyle name="Currency 2 2 9 2 2" xfId="14360"/>
    <cellStyle name="Currency 2 2 9 2 2 2" xfId="14361"/>
    <cellStyle name="Currency 2 2 9 2 2 3" xfId="14362"/>
    <cellStyle name="Currency 2 2 9 2 3" xfId="14363"/>
    <cellStyle name="Currency 2 2 9 2 3 2" xfId="14364"/>
    <cellStyle name="Currency 2 2 9 2 3 3" xfId="14365"/>
    <cellStyle name="Currency 2 2 9 2 4" xfId="14366"/>
    <cellStyle name="Currency 2 2 9 2 5" xfId="14367"/>
    <cellStyle name="Currency 2 2 9 3" xfId="14368"/>
    <cellStyle name="Currency 2 2 9 3 2" xfId="14369"/>
    <cellStyle name="Currency 2 2 9 3 3" xfId="14370"/>
    <cellStyle name="Currency 2 2 9 4" xfId="14371"/>
    <cellStyle name="Currency 2 2 9 4 2" xfId="14372"/>
    <cellStyle name="Currency 2 2 9 4 3" xfId="14373"/>
    <cellStyle name="Currency 2 2 9 5" xfId="14374"/>
    <cellStyle name="Currency 2 2 9 6" xfId="14375"/>
    <cellStyle name="Currency 2 20" xfId="14376"/>
    <cellStyle name="Currency 2 21" xfId="14377"/>
    <cellStyle name="Currency 2 22" xfId="14378"/>
    <cellStyle name="Currency 2 3" xfId="53"/>
    <cellStyle name="Currency 2 3 10" xfId="14379"/>
    <cellStyle name="Currency 2 3 10 2" xfId="14380"/>
    <cellStyle name="Currency 2 3 10 3" xfId="14381"/>
    <cellStyle name="Currency 2 3 11" xfId="14382"/>
    <cellStyle name="Currency 2 3 11 2" xfId="14383"/>
    <cellStyle name="Currency 2 3 11 3" xfId="14384"/>
    <cellStyle name="Currency 2 3 12" xfId="14385"/>
    <cellStyle name="Currency 2 3 13" xfId="14386"/>
    <cellStyle name="Currency 2 3 14" xfId="14387"/>
    <cellStyle name="Currency 2 3 15" xfId="14388"/>
    <cellStyle name="Currency 2 3 2" xfId="14389"/>
    <cellStyle name="Currency 2 3 2 10" xfId="14390"/>
    <cellStyle name="Currency 2 3 2 10 2" xfId="14391"/>
    <cellStyle name="Currency 2 3 2 10 3" xfId="14392"/>
    <cellStyle name="Currency 2 3 2 11" xfId="14393"/>
    <cellStyle name="Currency 2 3 2 12" xfId="14394"/>
    <cellStyle name="Currency 2 3 2 13" xfId="14395"/>
    <cellStyle name="Currency 2 3 2 14" xfId="14396"/>
    <cellStyle name="Currency 2 3 2 2" xfId="14397"/>
    <cellStyle name="Currency 2 3 2 2 10" xfId="14398"/>
    <cellStyle name="Currency 2 3 2 2 2" xfId="14399"/>
    <cellStyle name="Currency 2 3 2 2 2 2" xfId="14400"/>
    <cellStyle name="Currency 2 3 2 2 2 2 2" xfId="14401"/>
    <cellStyle name="Currency 2 3 2 2 2 2 2 2" xfId="14402"/>
    <cellStyle name="Currency 2 3 2 2 2 2 2 2 2" xfId="14403"/>
    <cellStyle name="Currency 2 3 2 2 2 2 2 2 2 2" xfId="14404"/>
    <cellStyle name="Currency 2 3 2 2 2 2 2 2 2 3" xfId="14405"/>
    <cellStyle name="Currency 2 3 2 2 2 2 2 2 3" xfId="14406"/>
    <cellStyle name="Currency 2 3 2 2 2 2 2 2 3 2" xfId="14407"/>
    <cellStyle name="Currency 2 3 2 2 2 2 2 2 3 3" xfId="14408"/>
    <cellStyle name="Currency 2 3 2 2 2 2 2 2 4" xfId="14409"/>
    <cellStyle name="Currency 2 3 2 2 2 2 2 2 5" xfId="14410"/>
    <cellStyle name="Currency 2 3 2 2 2 2 2 3" xfId="14411"/>
    <cellStyle name="Currency 2 3 2 2 2 2 2 3 2" xfId="14412"/>
    <cellStyle name="Currency 2 3 2 2 2 2 2 3 3" xfId="14413"/>
    <cellStyle name="Currency 2 3 2 2 2 2 2 4" xfId="14414"/>
    <cellStyle name="Currency 2 3 2 2 2 2 2 4 2" xfId="14415"/>
    <cellStyle name="Currency 2 3 2 2 2 2 2 4 3" xfId="14416"/>
    <cellStyle name="Currency 2 3 2 2 2 2 2 5" xfId="14417"/>
    <cellStyle name="Currency 2 3 2 2 2 2 2 6" xfId="14418"/>
    <cellStyle name="Currency 2 3 2 2 2 2 3" xfId="14419"/>
    <cellStyle name="Currency 2 3 2 2 2 2 3 2" xfId="14420"/>
    <cellStyle name="Currency 2 3 2 2 2 2 3 2 2" xfId="14421"/>
    <cellStyle name="Currency 2 3 2 2 2 2 3 2 2 2" xfId="14422"/>
    <cellStyle name="Currency 2 3 2 2 2 2 3 2 2 3" xfId="14423"/>
    <cellStyle name="Currency 2 3 2 2 2 2 3 2 3" xfId="14424"/>
    <cellStyle name="Currency 2 3 2 2 2 2 3 2 3 2" xfId="14425"/>
    <cellStyle name="Currency 2 3 2 2 2 2 3 2 3 3" xfId="14426"/>
    <cellStyle name="Currency 2 3 2 2 2 2 3 2 4" xfId="14427"/>
    <cellStyle name="Currency 2 3 2 2 2 2 3 2 5" xfId="14428"/>
    <cellStyle name="Currency 2 3 2 2 2 2 3 3" xfId="14429"/>
    <cellStyle name="Currency 2 3 2 2 2 2 3 3 2" xfId="14430"/>
    <cellStyle name="Currency 2 3 2 2 2 2 3 3 3" xfId="14431"/>
    <cellStyle name="Currency 2 3 2 2 2 2 3 4" xfId="14432"/>
    <cellStyle name="Currency 2 3 2 2 2 2 3 4 2" xfId="14433"/>
    <cellStyle name="Currency 2 3 2 2 2 2 3 4 3" xfId="14434"/>
    <cellStyle name="Currency 2 3 2 2 2 2 3 5" xfId="14435"/>
    <cellStyle name="Currency 2 3 2 2 2 2 3 6" xfId="14436"/>
    <cellStyle name="Currency 2 3 2 2 2 2 4" xfId="14437"/>
    <cellStyle name="Currency 2 3 2 2 2 2 4 2" xfId="14438"/>
    <cellStyle name="Currency 2 3 2 2 2 2 4 2 2" xfId="14439"/>
    <cellStyle name="Currency 2 3 2 2 2 2 4 2 3" xfId="14440"/>
    <cellStyle name="Currency 2 3 2 2 2 2 4 3" xfId="14441"/>
    <cellStyle name="Currency 2 3 2 2 2 2 4 3 2" xfId="14442"/>
    <cellStyle name="Currency 2 3 2 2 2 2 4 3 3" xfId="14443"/>
    <cellStyle name="Currency 2 3 2 2 2 2 4 4" xfId="14444"/>
    <cellStyle name="Currency 2 3 2 2 2 2 4 5" xfId="14445"/>
    <cellStyle name="Currency 2 3 2 2 2 2 5" xfId="14446"/>
    <cellStyle name="Currency 2 3 2 2 2 2 5 2" xfId="14447"/>
    <cellStyle name="Currency 2 3 2 2 2 2 5 3" xfId="14448"/>
    <cellStyle name="Currency 2 3 2 2 2 2 6" xfId="14449"/>
    <cellStyle name="Currency 2 3 2 2 2 2 6 2" xfId="14450"/>
    <cellStyle name="Currency 2 3 2 2 2 2 6 3" xfId="14451"/>
    <cellStyle name="Currency 2 3 2 2 2 2 7" xfId="14452"/>
    <cellStyle name="Currency 2 3 2 2 2 2 8" xfId="14453"/>
    <cellStyle name="Currency 2 3 2 2 2 3" xfId="14454"/>
    <cellStyle name="Currency 2 3 2 2 2 3 2" xfId="14455"/>
    <cellStyle name="Currency 2 3 2 2 2 3 2 2" xfId="14456"/>
    <cellStyle name="Currency 2 3 2 2 2 3 2 2 2" xfId="14457"/>
    <cellStyle name="Currency 2 3 2 2 2 3 2 2 3" xfId="14458"/>
    <cellStyle name="Currency 2 3 2 2 2 3 2 3" xfId="14459"/>
    <cellStyle name="Currency 2 3 2 2 2 3 2 3 2" xfId="14460"/>
    <cellStyle name="Currency 2 3 2 2 2 3 2 3 3" xfId="14461"/>
    <cellStyle name="Currency 2 3 2 2 2 3 2 4" xfId="14462"/>
    <cellStyle name="Currency 2 3 2 2 2 3 2 5" xfId="14463"/>
    <cellStyle name="Currency 2 3 2 2 2 3 3" xfId="14464"/>
    <cellStyle name="Currency 2 3 2 2 2 3 3 2" xfId="14465"/>
    <cellStyle name="Currency 2 3 2 2 2 3 3 3" xfId="14466"/>
    <cellStyle name="Currency 2 3 2 2 2 3 4" xfId="14467"/>
    <cellStyle name="Currency 2 3 2 2 2 3 4 2" xfId="14468"/>
    <cellStyle name="Currency 2 3 2 2 2 3 4 3" xfId="14469"/>
    <cellStyle name="Currency 2 3 2 2 2 3 5" xfId="14470"/>
    <cellStyle name="Currency 2 3 2 2 2 3 6" xfId="14471"/>
    <cellStyle name="Currency 2 3 2 2 2 4" xfId="14472"/>
    <cellStyle name="Currency 2 3 2 2 2 4 2" xfId="14473"/>
    <cellStyle name="Currency 2 3 2 2 2 4 2 2" xfId="14474"/>
    <cellStyle name="Currency 2 3 2 2 2 4 2 2 2" xfId="14475"/>
    <cellStyle name="Currency 2 3 2 2 2 4 2 2 3" xfId="14476"/>
    <cellStyle name="Currency 2 3 2 2 2 4 2 3" xfId="14477"/>
    <cellStyle name="Currency 2 3 2 2 2 4 2 3 2" xfId="14478"/>
    <cellStyle name="Currency 2 3 2 2 2 4 2 3 3" xfId="14479"/>
    <cellStyle name="Currency 2 3 2 2 2 4 2 4" xfId="14480"/>
    <cellStyle name="Currency 2 3 2 2 2 4 2 5" xfId="14481"/>
    <cellStyle name="Currency 2 3 2 2 2 4 3" xfId="14482"/>
    <cellStyle name="Currency 2 3 2 2 2 4 3 2" xfId="14483"/>
    <cellStyle name="Currency 2 3 2 2 2 4 3 3" xfId="14484"/>
    <cellStyle name="Currency 2 3 2 2 2 4 4" xfId="14485"/>
    <cellStyle name="Currency 2 3 2 2 2 4 4 2" xfId="14486"/>
    <cellStyle name="Currency 2 3 2 2 2 4 4 3" xfId="14487"/>
    <cellStyle name="Currency 2 3 2 2 2 4 5" xfId="14488"/>
    <cellStyle name="Currency 2 3 2 2 2 4 6" xfId="14489"/>
    <cellStyle name="Currency 2 3 2 2 2 5" xfId="14490"/>
    <cellStyle name="Currency 2 3 2 2 2 5 2" xfId="14491"/>
    <cellStyle name="Currency 2 3 2 2 2 5 2 2" xfId="14492"/>
    <cellStyle name="Currency 2 3 2 2 2 5 2 3" xfId="14493"/>
    <cellStyle name="Currency 2 3 2 2 2 5 3" xfId="14494"/>
    <cellStyle name="Currency 2 3 2 2 2 5 3 2" xfId="14495"/>
    <cellStyle name="Currency 2 3 2 2 2 5 3 3" xfId="14496"/>
    <cellStyle name="Currency 2 3 2 2 2 5 4" xfId="14497"/>
    <cellStyle name="Currency 2 3 2 2 2 5 5" xfId="14498"/>
    <cellStyle name="Currency 2 3 2 2 2 6" xfId="14499"/>
    <cellStyle name="Currency 2 3 2 2 2 6 2" xfId="14500"/>
    <cellStyle name="Currency 2 3 2 2 2 6 3" xfId="14501"/>
    <cellStyle name="Currency 2 3 2 2 2 7" xfId="14502"/>
    <cellStyle name="Currency 2 3 2 2 2 7 2" xfId="14503"/>
    <cellStyle name="Currency 2 3 2 2 2 7 3" xfId="14504"/>
    <cellStyle name="Currency 2 3 2 2 2 8" xfId="14505"/>
    <cellStyle name="Currency 2 3 2 2 2 9" xfId="14506"/>
    <cellStyle name="Currency 2 3 2 2 3" xfId="14507"/>
    <cellStyle name="Currency 2 3 2 2 3 2" xfId="14508"/>
    <cellStyle name="Currency 2 3 2 2 3 2 2" xfId="14509"/>
    <cellStyle name="Currency 2 3 2 2 3 2 2 2" xfId="14510"/>
    <cellStyle name="Currency 2 3 2 2 3 2 2 2 2" xfId="14511"/>
    <cellStyle name="Currency 2 3 2 2 3 2 2 2 3" xfId="14512"/>
    <cellStyle name="Currency 2 3 2 2 3 2 2 3" xfId="14513"/>
    <cellStyle name="Currency 2 3 2 2 3 2 2 3 2" xfId="14514"/>
    <cellStyle name="Currency 2 3 2 2 3 2 2 3 3" xfId="14515"/>
    <cellStyle name="Currency 2 3 2 2 3 2 2 4" xfId="14516"/>
    <cellStyle name="Currency 2 3 2 2 3 2 2 5" xfId="14517"/>
    <cellStyle name="Currency 2 3 2 2 3 2 3" xfId="14518"/>
    <cellStyle name="Currency 2 3 2 2 3 2 3 2" xfId="14519"/>
    <cellStyle name="Currency 2 3 2 2 3 2 3 3" xfId="14520"/>
    <cellStyle name="Currency 2 3 2 2 3 2 4" xfId="14521"/>
    <cellStyle name="Currency 2 3 2 2 3 2 4 2" xfId="14522"/>
    <cellStyle name="Currency 2 3 2 2 3 2 4 3" xfId="14523"/>
    <cellStyle name="Currency 2 3 2 2 3 2 5" xfId="14524"/>
    <cellStyle name="Currency 2 3 2 2 3 2 6" xfId="14525"/>
    <cellStyle name="Currency 2 3 2 2 3 3" xfId="14526"/>
    <cellStyle name="Currency 2 3 2 2 3 3 2" xfId="14527"/>
    <cellStyle name="Currency 2 3 2 2 3 3 2 2" xfId="14528"/>
    <cellStyle name="Currency 2 3 2 2 3 3 2 2 2" xfId="14529"/>
    <cellStyle name="Currency 2 3 2 2 3 3 2 2 3" xfId="14530"/>
    <cellStyle name="Currency 2 3 2 2 3 3 2 3" xfId="14531"/>
    <cellStyle name="Currency 2 3 2 2 3 3 2 3 2" xfId="14532"/>
    <cellStyle name="Currency 2 3 2 2 3 3 2 3 3" xfId="14533"/>
    <cellStyle name="Currency 2 3 2 2 3 3 2 4" xfId="14534"/>
    <cellStyle name="Currency 2 3 2 2 3 3 2 5" xfId="14535"/>
    <cellStyle name="Currency 2 3 2 2 3 3 3" xfId="14536"/>
    <cellStyle name="Currency 2 3 2 2 3 3 3 2" xfId="14537"/>
    <cellStyle name="Currency 2 3 2 2 3 3 3 3" xfId="14538"/>
    <cellStyle name="Currency 2 3 2 2 3 3 4" xfId="14539"/>
    <cellStyle name="Currency 2 3 2 2 3 3 4 2" xfId="14540"/>
    <cellStyle name="Currency 2 3 2 2 3 3 4 3" xfId="14541"/>
    <cellStyle name="Currency 2 3 2 2 3 3 5" xfId="14542"/>
    <cellStyle name="Currency 2 3 2 2 3 3 6" xfId="14543"/>
    <cellStyle name="Currency 2 3 2 2 3 4" xfId="14544"/>
    <cellStyle name="Currency 2 3 2 2 3 4 2" xfId="14545"/>
    <cellStyle name="Currency 2 3 2 2 3 4 2 2" xfId="14546"/>
    <cellStyle name="Currency 2 3 2 2 3 4 2 3" xfId="14547"/>
    <cellStyle name="Currency 2 3 2 2 3 4 3" xfId="14548"/>
    <cellStyle name="Currency 2 3 2 2 3 4 3 2" xfId="14549"/>
    <cellStyle name="Currency 2 3 2 2 3 4 3 3" xfId="14550"/>
    <cellStyle name="Currency 2 3 2 2 3 4 4" xfId="14551"/>
    <cellStyle name="Currency 2 3 2 2 3 4 5" xfId="14552"/>
    <cellStyle name="Currency 2 3 2 2 3 5" xfId="14553"/>
    <cellStyle name="Currency 2 3 2 2 3 5 2" xfId="14554"/>
    <cellStyle name="Currency 2 3 2 2 3 5 3" xfId="14555"/>
    <cellStyle name="Currency 2 3 2 2 3 6" xfId="14556"/>
    <cellStyle name="Currency 2 3 2 2 3 6 2" xfId="14557"/>
    <cellStyle name="Currency 2 3 2 2 3 6 3" xfId="14558"/>
    <cellStyle name="Currency 2 3 2 2 3 7" xfId="14559"/>
    <cellStyle name="Currency 2 3 2 2 3 8" xfId="14560"/>
    <cellStyle name="Currency 2 3 2 2 4" xfId="14561"/>
    <cellStyle name="Currency 2 3 2 2 4 2" xfId="14562"/>
    <cellStyle name="Currency 2 3 2 2 4 2 2" xfId="14563"/>
    <cellStyle name="Currency 2 3 2 2 4 2 2 2" xfId="14564"/>
    <cellStyle name="Currency 2 3 2 2 4 2 2 3" xfId="14565"/>
    <cellStyle name="Currency 2 3 2 2 4 2 3" xfId="14566"/>
    <cellStyle name="Currency 2 3 2 2 4 2 3 2" xfId="14567"/>
    <cellStyle name="Currency 2 3 2 2 4 2 3 3" xfId="14568"/>
    <cellStyle name="Currency 2 3 2 2 4 2 4" xfId="14569"/>
    <cellStyle name="Currency 2 3 2 2 4 2 5" xfId="14570"/>
    <cellStyle name="Currency 2 3 2 2 4 3" xfId="14571"/>
    <cellStyle name="Currency 2 3 2 2 4 3 2" xfId="14572"/>
    <cellStyle name="Currency 2 3 2 2 4 3 3" xfId="14573"/>
    <cellStyle name="Currency 2 3 2 2 4 4" xfId="14574"/>
    <cellStyle name="Currency 2 3 2 2 4 4 2" xfId="14575"/>
    <cellStyle name="Currency 2 3 2 2 4 4 3" xfId="14576"/>
    <cellStyle name="Currency 2 3 2 2 4 5" xfId="14577"/>
    <cellStyle name="Currency 2 3 2 2 4 6" xfId="14578"/>
    <cellStyle name="Currency 2 3 2 2 5" xfId="14579"/>
    <cellStyle name="Currency 2 3 2 2 5 2" xfId="14580"/>
    <cellStyle name="Currency 2 3 2 2 5 2 2" xfId="14581"/>
    <cellStyle name="Currency 2 3 2 2 5 2 2 2" xfId="14582"/>
    <cellStyle name="Currency 2 3 2 2 5 2 2 3" xfId="14583"/>
    <cellStyle name="Currency 2 3 2 2 5 2 3" xfId="14584"/>
    <cellStyle name="Currency 2 3 2 2 5 2 3 2" xfId="14585"/>
    <cellStyle name="Currency 2 3 2 2 5 2 3 3" xfId="14586"/>
    <cellStyle name="Currency 2 3 2 2 5 2 4" xfId="14587"/>
    <cellStyle name="Currency 2 3 2 2 5 2 5" xfId="14588"/>
    <cellStyle name="Currency 2 3 2 2 5 3" xfId="14589"/>
    <cellStyle name="Currency 2 3 2 2 5 3 2" xfId="14590"/>
    <cellStyle name="Currency 2 3 2 2 5 3 3" xfId="14591"/>
    <cellStyle name="Currency 2 3 2 2 5 4" xfId="14592"/>
    <cellStyle name="Currency 2 3 2 2 5 4 2" xfId="14593"/>
    <cellStyle name="Currency 2 3 2 2 5 4 3" xfId="14594"/>
    <cellStyle name="Currency 2 3 2 2 5 5" xfId="14595"/>
    <cellStyle name="Currency 2 3 2 2 5 6" xfId="14596"/>
    <cellStyle name="Currency 2 3 2 2 6" xfId="14597"/>
    <cellStyle name="Currency 2 3 2 2 6 2" xfId="14598"/>
    <cellStyle name="Currency 2 3 2 2 6 2 2" xfId="14599"/>
    <cellStyle name="Currency 2 3 2 2 6 2 3" xfId="14600"/>
    <cellStyle name="Currency 2 3 2 2 6 3" xfId="14601"/>
    <cellStyle name="Currency 2 3 2 2 6 3 2" xfId="14602"/>
    <cellStyle name="Currency 2 3 2 2 6 3 3" xfId="14603"/>
    <cellStyle name="Currency 2 3 2 2 6 4" xfId="14604"/>
    <cellStyle name="Currency 2 3 2 2 6 5" xfId="14605"/>
    <cellStyle name="Currency 2 3 2 2 7" xfId="14606"/>
    <cellStyle name="Currency 2 3 2 2 7 2" xfId="14607"/>
    <cellStyle name="Currency 2 3 2 2 7 3" xfId="14608"/>
    <cellStyle name="Currency 2 3 2 2 8" xfId="14609"/>
    <cellStyle name="Currency 2 3 2 2 8 2" xfId="14610"/>
    <cellStyle name="Currency 2 3 2 2 8 3" xfId="14611"/>
    <cellStyle name="Currency 2 3 2 2 9" xfId="14612"/>
    <cellStyle name="Currency 2 3 2 3" xfId="14613"/>
    <cellStyle name="Currency 2 3 2 3 10" xfId="14614"/>
    <cellStyle name="Currency 2 3 2 3 2" xfId="14615"/>
    <cellStyle name="Currency 2 3 2 3 2 2" xfId="14616"/>
    <cellStyle name="Currency 2 3 2 3 2 2 2" xfId="14617"/>
    <cellStyle name="Currency 2 3 2 3 2 2 2 2" xfId="14618"/>
    <cellStyle name="Currency 2 3 2 3 2 2 2 2 2" xfId="14619"/>
    <cellStyle name="Currency 2 3 2 3 2 2 2 2 2 2" xfId="14620"/>
    <cellStyle name="Currency 2 3 2 3 2 2 2 2 2 3" xfId="14621"/>
    <cellStyle name="Currency 2 3 2 3 2 2 2 2 3" xfId="14622"/>
    <cellStyle name="Currency 2 3 2 3 2 2 2 2 3 2" xfId="14623"/>
    <cellStyle name="Currency 2 3 2 3 2 2 2 2 3 3" xfId="14624"/>
    <cellStyle name="Currency 2 3 2 3 2 2 2 2 4" xfId="14625"/>
    <cellStyle name="Currency 2 3 2 3 2 2 2 2 5" xfId="14626"/>
    <cellStyle name="Currency 2 3 2 3 2 2 2 3" xfId="14627"/>
    <cellStyle name="Currency 2 3 2 3 2 2 2 3 2" xfId="14628"/>
    <cellStyle name="Currency 2 3 2 3 2 2 2 3 3" xfId="14629"/>
    <cellStyle name="Currency 2 3 2 3 2 2 2 4" xfId="14630"/>
    <cellStyle name="Currency 2 3 2 3 2 2 2 4 2" xfId="14631"/>
    <cellStyle name="Currency 2 3 2 3 2 2 2 4 3" xfId="14632"/>
    <cellStyle name="Currency 2 3 2 3 2 2 2 5" xfId="14633"/>
    <cellStyle name="Currency 2 3 2 3 2 2 2 6" xfId="14634"/>
    <cellStyle name="Currency 2 3 2 3 2 2 3" xfId="14635"/>
    <cellStyle name="Currency 2 3 2 3 2 2 3 2" xfId="14636"/>
    <cellStyle name="Currency 2 3 2 3 2 2 3 2 2" xfId="14637"/>
    <cellStyle name="Currency 2 3 2 3 2 2 3 2 2 2" xfId="14638"/>
    <cellStyle name="Currency 2 3 2 3 2 2 3 2 2 3" xfId="14639"/>
    <cellStyle name="Currency 2 3 2 3 2 2 3 2 3" xfId="14640"/>
    <cellStyle name="Currency 2 3 2 3 2 2 3 2 3 2" xfId="14641"/>
    <cellStyle name="Currency 2 3 2 3 2 2 3 2 3 3" xfId="14642"/>
    <cellStyle name="Currency 2 3 2 3 2 2 3 2 4" xfId="14643"/>
    <cellStyle name="Currency 2 3 2 3 2 2 3 2 5" xfId="14644"/>
    <cellStyle name="Currency 2 3 2 3 2 2 3 3" xfId="14645"/>
    <cellStyle name="Currency 2 3 2 3 2 2 3 3 2" xfId="14646"/>
    <cellStyle name="Currency 2 3 2 3 2 2 3 3 3" xfId="14647"/>
    <cellStyle name="Currency 2 3 2 3 2 2 3 4" xfId="14648"/>
    <cellStyle name="Currency 2 3 2 3 2 2 3 4 2" xfId="14649"/>
    <cellStyle name="Currency 2 3 2 3 2 2 3 4 3" xfId="14650"/>
    <cellStyle name="Currency 2 3 2 3 2 2 3 5" xfId="14651"/>
    <cellStyle name="Currency 2 3 2 3 2 2 3 6" xfId="14652"/>
    <cellStyle name="Currency 2 3 2 3 2 2 4" xfId="14653"/>
    <cellStyle name="Currency 2 3 2 3 2 2 4 2" xfId="14654"/>
    <cellStyle name="Currency 2 3 2 3 2 2 4 2 2" xfId="14655"/>
    <cellStyle name="Currency 2 3 2 3 2 2 4 2 3" xfId="14656"/>
    <cellStyle name="Currency 2 3 2 3 2 2 4 3" xfId="14657"/>
    <cellStyle name="Currency 2 3 2 3 2 2 4 3 2" xfId="14658"/>
    <cellStyle name="Currency 2 3 2 3 2 2 4 3 3" xfId="14659"/>
    <cellStyle name="Currency 2 3 2 3 2 2 4 4" xfId="14660"/>
    <cellStyle name="Currency 2 3 2 3 2 2 4 5" xfId="14661"/>
    <cellStyle name="Currency 2 3 2 3 2 2 5" xfId="14662"/>
    <cellStyle name="Currency 2 3 2 3 2 2 5 2" xfId="14663"/>
    <cellStyle name="Currency 2 3 2 3 2 2 5 3" xfId="14664"/>
    <cellStyle name="Currency 2 3 2 3 2 2 6" xfId="14665"/>
    <cellStyle name="Currency 2 3 2 3 2 2 6 2" xfId="14666"/>
    <cellStyle name="Currency 2 3 2 3 2 2 6 3" xfId="14667"/>
    <cellStyle name="Currency 2 3 2 3 2 2 7" xfId="14668"/>
    <cellStyle name="Currency 2 3 2 3 2 2 8" xfId="14669"/>
    <cellStyle name="Currency 2 3 2 3 2 3" xfId="14670"/>
    <cellStyle name="Currency 2 3 2 3 2 3 2" xfId="14671"/>
    <cellStyle name="Currency 2 3 2 3 2 3 2 2" xfId="14672"/>
    <cellStyle name="Currency 2 3 2 3 2 3 2 2 2" xfId="14673"/>
    <cellStyle name="Currency 2 3 2 3 2 3 2 2 3" xfId="14674"/>
    <cellStyle name="Currency 2 3 2 3 2 3 2 3" xfId="14675"/>
    <cellStyle name="Currency 2 3 2 3 2 3 2 3 2" xfId="14676"/>
    <cellStyle name="Currency 2 3 2 3 2 3 2 3 3" xfId="14677"/>
    <cellStyle name="Currency 2 3 2 3 2 3 2 4" xfId="14678"/>
    <cellStyle name="Currency 2 3 2 3 2 3 2 5" xfId="14679"/>
    <cellStyle name="Currency 2 3 2 3 2 3 3" xfId="14680"/>
    <cellStyle name="Currency 2 3 2 3 2 3 3 2" xfId="14681"/>
    <cellStyle name="Currency 2 3 2 3 2 3 3 3" xfId="14682"/>
    <cellStyle name="Currency 2 3 2 3 2 3 4" xfId="14683"/>
    <cellStyle name="Currency 2 3 2 3 2 3 4 2" xfId="14684"/>
    <cellStyle name="Currency 2 3 2 3 2 3 4 3" xfId="14685"/>
    <cellStyle name="Currency 2 3 2 3 2 3 5" xfId="14686"/>
    <cellStyle name="Currency 2 3 2 3 2 3 6" xfId="14687"/>
    <cellStyle name="Currency 2 3 2 3 2 4" xfId="14688"/>
    <cellStyle name="Currency 2 3 2 3 2 4 2" xfId="14689"/>
    <cellStyle name="Currency 2 3 2 3 2 4 2 2" xfId="14690"/>
    <cellStyle name="Currency 2 3 2 3 2 4 2 2 2" xfId="14691"/>
    <cellStyle name="Currency 2 3 2 3 2 4 2 2 3" xfId="14692"/>
    <cellStyle name="Currency 2 3 2 3 2 4 2 3" xfId="14693"/>
    <cellStyle name="Currency 2 3 2 3 2 4 2 3 2" xfId="14694"/>
    <cellStyle name="Currency 2 3 2 3 2 4 2 3 3" xfId="14695"/>
    <cellStyle name="Currency 2 3 2 3 2 4 2 4" xfId="14696"/>
    <cellStyle name="Currency 2 3 2 3 2 4 2 5" xfId="14697"/>
    <cellStyle name="Currency 2 3 2 3 2 4 3" xfId="14698"/>
    <cellStyle name="Currency 2 3 2 3 2 4 3 2" xfId="14699"/>
    <cellStyle name="Currency 2 3 2 3 2 4 3 3" xfId="14700"/>
    <cellStyle name="Currency 2 3 2 3 2 4 4" xfId="14701"/>
    <cellStyle name="Currency 2 3 2 3 2 4 4 2" xfId="14702"/>
    <cellStyle name="Currency 2 3 2 3 2 4 4 3" xfId="14703"/>
    <cellStyle name="Currency 2 3 2 3 2 4 5" xfId="14704"/>
    <cellStyle name="Currency 2 3 2 3 2 4 6" xfId="14705"/>
    <cellStyle name="Currency 2 3 2 3 2 5" xfId="14706"/>
    <cellStyle name="Currency 2 3 2 3 2 5 2" xfId="14707"/>
    <cellStyle name="Currency 2 3 2 3 2 5 2 2" xfId="14708"/>
    <cellStyle name="Currency 2 3 2 3 2 5 2 3" xfId="14709"/>
    <cellStyle name="Currency 2 3 2 3 2 5 3" xfId="14710"/>
    <cellStyle name="Currency 2 3 2 3 2 5 3 2" xfId="14711"/>
    <cellStyle name="Currency 2 3 2 3 2 5 3 3" xfId="14712"/>
    <cellStyle name="Currency 2 3 2 3 2 5 4" xfId="14713"/>
    <cellStyle name="Currency 2 3 2 3 2 5 5" xfId="14714"/>
    <cellStyle name="Currency 2 3 2 3 2 6" xfId="14715"/>
    <cellStyle name="Currency 2 3 2 3 2 6 2" xfId="14716"/>
    <cellStyle name="Currency 2 3 2 3 2 6 3" xfId="14717"/>
    <cellStyle name="Currency 2 3 2 3 2 7" xfId="14718"/>
    <cellStyle name="Currency 2 3 2 3 2 7 2" xfId="14719"/>
    <cellStyle name="Currency 2 3 2 3 2 7 3" xfId="14720"/>
    <cellStyle name="Currency 2 3 2 3 2 8" xfId="14721"/>
    <cellStyle name="Currency 2 3 2 3 2 9" xfId="14722"/>
    <cellStyle name="Currency 2 3 2 3 3" xfId="14723"/>
    <cellStyle name="Currency 2 3 2 3 3 2" xfId="14724"/>
    <cellStyle name="Currency 2 3 2 3 3 2 2" xfId="14725"/>
    <cellStyle name="Currency 2 3 2 3 3 2 2 2" xfId="14726"/>
    <cellStyle name="Currency 2 3 2 3 3 2 2 2 2" xfId="14727"/>
    <cellStyle name="Currency 2 3 2 3 3 2 2 2 3" xfId="14728"/>
    <cellStyle name="Currency 2 3 2 3 3 2 2 3" xfId="14729"/>
    <cellStyle name="Currency 2 3 2 3 3 2 2 3 2" xfId="14730"/>
    <cellStyle name="Currency 2 3 2 3 3 2 2 3 3" xfId="14731"/>
    <cellStyle name="Currency 2 3 2 3 3 2 2 4" xfId="14732"/>
    <cellStyle name="Currency 2 3 2 3 3 2 2 5" xfId="14733"/>
    <cellStyle name="Currency 2 3 2 3 3 2 3" xfId="14734"/>
    <cellStyle name="Currency 2 3 2 3 3 2 3 2" xfId="14735"/>
    <cellStyle name="Currency 2 3 2 3 3 2 3 3" xfId="14736"/>
    <cellStyle name="Currency 2 3 2 3 3 2 4" xfId="14737"/>
    <cellStyle name="Currency 2 3 2 3 3 2 4 2" xfId="14738"/>
    <cellStyle name="Currency 2 3 2 3 3 2 4 3" xfId="14739"/>
    <cellStyle name="Currency 2 3 2 3 3 2 5" xfId="14740"/>
    <cellStyle name="Currency 2 3 2 3 3 2 6" xfId="14741"/>
    <cellStyle name="Currency 2 3 2 3 3 3" xfId="14742"/>
    <cellStyle name="Currency 2 3 2 3 3 3 2" xfId="14743"/>
    <cellStyle name="Currency 2 3 2 3 3 3 2 2" xfId="14744"/>
    <cellStyle name="Currency 2 3 2 3 3 3 2 2 2" xfId="14745"/>
    <cellStyle name="Currency 2 3 2 3 3 3 2 2 3" xfId="14746"/>
    <cellStyle name="Currency 2 3 2 3 3 3 2 3" xfId="14747"/>
    <cellStyle name="Currency 2 3 2 3 3 3 2 3 2" xfId="14748"/>
    <cellStyle name="Currency 2 3 2 3 3 3 2 3 3" xfId="14749"/>
    <cellStyle name="Currency 2 3 2 3 3 3 2 4" xfId="14750"/>
    <cellStyle name="Currency 2 3 2 3 3 3 2 5" xfId="14751"/>
    <cellStyle name="Currency 2 3 2 3 3 3 3" xfId="14752"/>
    <cellStyle name="Currency 2 3 2 3 3 3 3 2" xfId="14753"/>
    <cellStyle name="Currency 2 3 2 3 3 3 3 3" xfId="14754"/>
    <cellStyle name="Currency 2 3 2 3 3 3 4" xfId="14755"/>
    <cellStyle name="Currency 2 3 2 3 3 3 4 2" xfId="14756"/>
    <cellStyle name="Currency 2 3 2 3 3 3 4 3" xfId="14757"/>
    <cellStyle name="Currency 2 3 2 3 3 3 5" xfId="14758"/>
    <cellStyle name="Currency 2 3 2 3 3 3 6" xfId="14759"/>
    <cellStyle name="Currency 2 3 2 3 3 4" xfId="14760"/>
    <cellStyle name="Currency 2 3 2 3 3 4 2" xfId="14761"/>
    <cellStyle name="Currency 2 3 2 3 3 4 2 2" xfId="14762"/>
    <cellStyle name="Currency 2 3 2 3 3 4 2 3" xfId="14763"/>
    <cellStyle name="Currency 2 3 2 3 3 4 3" xfId="14764"/>
    <cellStyle name="Currency 2 3 2 3 3 4 3 2" xfId="14765"/>
    <cellStyle name="Currency 2 3 2 3 3 4 3 3" xfId="14766"/>
    <cellStyle name="Currency 2 3 2 3 3 4 4" xfId="14767"/>
    <cellStyle name="Currency 2 3 2 3 3 4 5" xfId="14768"/>
    <cellStyle name="Currency 2 3 2 3 3 5" xfId="14769"/>
    <cellStyle name="Currency 2 3 2 3 3 5 2" xfId="14770"/>
    <cellStyle name="Currency 2 3 2 3 3 5 3" xfId="14771"/>
    <cellStyle name="Currency 2 3 2 3 3 6" xfId="14772"/>
    <cellStyle name="Currency 2 3 2 3 3 6 2" xfId="14773"/>
    <cellStyle name="Currency 2 3 2 3 3 6 3" xfId="14774"/>
    <cellStyle name="Currency 2 3 2 3 3 7" xfId="14775"/>
    <cellStyle name="Currency 2 3 2 3 3 8" xfId="14776"/>
    <cellStyle name="Currency 2 3 2 3 4" xfId="14777"/>
    <cellStyle name="Currency 2 3 2 3 4 2" xfId="14778"/>
    <cellStyle name="Currency 2 3 2 3 4 2 2" xfId="14779"/>
    <cellStyle name="Currency 2 3 2 3 4 2 2 2" xfId="14780"/>
    <cellStyle name="Currency 2 3 2 3 4 2 2 3" xfId="14781"/>
    <cellStyle name="Currency 2 3 2 3 4 2 3" xfId="14782"/>
    <cellStyle name="Currency 2 3 2 3 4 2 3 2" xfId="14783"/>
    <cellStyle name="Currency 2 3 2 3 4 2 3 3" xfId="14784"/>
    <cellStyle name="Currency 2 3 2 3 4 2 4" xfId="14785"/>
    <cellStyle name="Currency 2 3 2 3 4 2 5" xfId="14786"/>
    <cellStyle name="Currency 2 3 2 3 4 3" xfId="14787"/>
    <cellStyle name="Currency 2 3 2 3 4 3 2" xfId="14788"/>
    <cellStyle name="Currency 2 3 2 3 4 3 3" xfId="14789"/>
    <cellStyle name="Currency 2 3 2 3 4 4" xfId="14790"/>
    <cellStyle name="Currency 2 3 2 3 4 4 2" xfId="14791"/>
    <cellStyle name="Currency 2 3 2 3 4 4 3" xfId="14792"/>
    <cellStyle name="Currency 2 3 2 3 4 5" xfId="14793"/>
    <cellStyle name="Currency 2 3 2 3 4 6" xfId="14794"/>
    <cellStyle name="Currency 2 3 2 3 5" xfId="14795"/>
    <cellStyle name="Currency 2 3 2 3 5 2" xfId="14796"/>
    <cellStyle name="Currency 2 3 2 3 5 2 2" xfId="14797"/>
    <cellStyle name="Currency 2 3 2 3 5 2 2 2" xfId="14798"/>
    <cellStyle name="Currency 2 3 2 3 5 2 2 3" xfId="14799"/>
    <cellStyle name="Currency 2 3 2 3 5 2 3" xfId="14800"/>
    <cellStyle name="Currency 2 3 2 3 5 2 3 2" xfId="14801"/>
    <cellStyle name="Currency 2 3 2 3 5 2 3 3" xfId="14802"/>
    <cellStyle name="Currency 2 3 2 3 5 2 4" xfId="14803"/>
    <cellStyle name="Currency 2 3 2 3 5 2 5" xfId="14804"/>
    <cellStyle name="Currency 2 3 2 3 5 3" xfId="14805"/>
    <cellStyle name="Currency 2 3 2 3 5 3 2" xfId="14806"/>
    <cellStyle name="Currency 2 3 2 3 5 3 3" xfId="14807"/>
    <cellStyle name="Currency 2 3 2 3 5 4" xfId="14808"/>
    <cellStyle name="Currency 2 3 2 3 5 4 2" xfId="14809"/>
    <cellStyle name="Currency 2 3 2 3 5 4 3" xfId="14810"/>
    <cellStyle name="Currency 2 3 2 3 5 5" xfId="14811"/>
    <cellStyle name="Currency 2 3 2 3 5 6" xfId="14812"/>
    <cellStyle name="Currency 2 3 2 3 6" xfId="14813"/>
    <cellStyle name="Currency 2 3 2 3 6 2" xfId="14814"/>
    <cellStyle name="Currency 2 3 2 3 6 2 2" xfId="14815"/>
    <cellStyle name="Currency 2 3 2 3 6 2 3" xfId="14816"/>
    <cellStyle name="Currency 2 3 2 3 6 3" xfId="14817"/>
    <cellStyle name="Currency 2 3 2 3 6 3 2" xfId="14818"/>
    <cellStyle name="Currency 2 3 2 3 6 3 3" xfId="14819"/>
    <cellStyle name="Currency 2 3 2 3 6 4" xfId="14820"/>
    <cellStyle name="Currency 2 3 2 3 6 5" xfId="14821"/>
    <cellStyle name="Currency 2 3 2 3 7" xfId="14822"/>
    <cellStyle name="Currency 2 3 2 3 7 2" xfId="14823"/>
    <cellStyle name="Currency 2 3 2 3 7 3" xfId="14824"/>
    <cellStyle name="Currency 2 3 2 3 8" xfId="14825"/>
    <cellStyle name="Currency 2 3 2 3 8 2" xfId="14826"/>
    <cellStyle name="Currency 2 3 2 3 8 3" xfId="14827"/>
    <cellStyle name="Currency 2 3 2 3 9" xfId="14828"/>
    <cellStyle name="Currency 2 3 2 4" xfId="14829"/>
    <cellStyle name="Currency 2 3 2 4 2" xfId="14830"/>
    <cellStyle name="Currency 2 3 2 4 2 2" xfId="14831"/>
    <cellStyle name="Currency 2 3 2 4 2 2 2" xfId="14832"/>
    <cellStyle name="Currency 2 3 2 4 2 2 2 2" xfId="14833"/>
    <cellStyle name="Currency 2 3 2 4 2 2 2 2 2" xfId="14834"/>
    <cellStyle name="Currency 2 3 2 4 2 2 2 2 3" xfId="14835"/>
    <cellStyle name="Currency 2 3 2 4 2 2 2 3" xfId="14836"/>
    <cellStyle name="Currency 2 3 2 4 2 2 2 3 2" xfId="14837"/>
    <cellStyle name="Currency 2 3 2 4 2 2 2 3 3" xfId="14838"/>
    <cellStyle name="Currency 2 3 2 4 2 2 2 4" xfId="14839"/>
    <cellStyle name="Currency 2 3 2 4 2 2 2 5" xfId="14840"/>
    <cellStyle name="Currency 2 3 2 4 2 2 3" xfId="14841"/>
    <cellStyle name="Currency 2 3 2 4 2 2 3 2" xfId="14842"/>
    <cellStyle name="Currency 2 3 2 4 2 2 3 3" xfId="14843"/>
    <cellStyle name="Currency 2 3 2 4 2 2 4" xfId="14844"/>
    <cellStyle name="Currency 2 3 2 4 2 2 4 2" xfId="14845"/>
    <cellStyle name="Currency 2 3 2 4 2 2 4 3" xfId="14846"/>
    <cellStyle name="Currency 2 3 2 4 2 2 5" xfId="14847"/>
    <cellStyle name="Currency 2 3 2 4 2 2 6" xfId="14848"/>
    <cellStyle name="Currency 2 3 2 4 2 3" xfId="14849"/>
    <cellStyle name="Currency 2 3 2 4 2 3 2" xfId="14850"/>
    <cellStyle name="Currency 2 3 2 4 2 3 2 2" xfId="14851"/>
    <cellStyle name="Currency 2 3 2 4 2 3 2 2 2" xfId="14852"/>
    <cellStyle name="Currency 2 3 2 4 2 3 2 2 3" xfId="14853"/>
    <cellStyle name="Currency 2 3 2 4 2 3 2 3" xfId="14854"/>
    <cellStyle name="Currency 2 3 2 4 2 3 2 3 2" xfId="14855"/>
    <cellStyle name="Currency 2 3 2 4 2 3 2 3 3" xfId="14856"/>
    <cellStyle name="Currency 2 3 2 4 2 3 2 4" xfId="14857"/>
    <cellStyle name="Currency 2 3 2 4 2 3 2 5" xfId="14858"/>
    <cellStyle name="Currency 2 3 2 4 2 3 3" xfId="14859"/>
    <cellStyle name="Currency 2 3 2 4 2 3 3 2" xfId="14860"/>
    <cellStyle name="Currency 2 3 2 4 2 3 3 3" xfId="14861"/>
    <cellStyle name="Currency 2 3 2 4 2 3 4" xfId="14862"/>
    <cellStyle name="Currency 2 3 2 4 2 3 4 2" xfId="14863"/>
    <cellStyle name="Currency 2 3 2 4 2 3 4 3" xfId="14864"/>
    <cellStyle name="Currency 2 3 2 4 2 3 5" xfId="14865"/>
    <cellStyle name="Currency 2 3 2 4 2 3 6" xfId="14866"/>
    <cellStyle name="Currency 2 3 2 4 2 4" xfId="14867"/>
    <cellStyle name="Currency 2 3 2 4 2 4 2" xfId="14868"/>
    <cellStyle name="Currency 2 3 2 4 2 4 2 2" xfId="14869"/>
    <cellStyle name="Currency 2 3 2 4 2 4 2 3" xfId="14870"/>
    <cellStyle name="Currency 2 3 2 4 2 4 3" xfId="14871"/>
    <cellStyle name="Currency 2 3 2 4 2 4 3 2" xfId="14872"/>
    <cellStyle name="Currency 2 3 2 4 2 4 3 3" xfId="14873"/>
    <cellStyle name="Currency 2 3 2 4 2 4 4" xfId="14874"/>
    <cellStyle name="Currency 2 3 2 4 2 4 5" xfId="14875"/>
    <cellStyle name="Currency 2 3 2 4 2 5" xfId="14876"/>
    <cellStyle name="Currency 2 3 2 4 2 5 2" xfId="14877"/>
    <cellStyle name="Currency 2 3 2 4 2 5 3" xfId="14878"/>
    <cellStyle name="Currency 2 3 2 4 2 6" xfId="14879"/>
    <cellStyle name="Currency 2 3 2 4 2 6 2" xfId="14880"/>
    <cellStyle name="Currency 2 3 2 4 2 6 3" xfId="14881"/>
    <cellStyle name="Currency 2 3 2 4 2 7" xfId="14882"/>
    <cellStyle name="Currency 2 3 2 4 2 8" xfId="14883"/>
    <cellStyle name="Currency 2 3 2 4 3" xfId="14884"/>
    <cellStyle name="Currency 2 3 2 4 3 2" xfId="14885"/>
    <cellStyle name="Currency 2 3 2 4 3 2 2" xfId="14886"/>
    <cellStyle name="Currency 2 3 2 4 3 2 2 2" xfId="14887"/>
    <cellStyle name="Currency 2 3 2 4 3 2 2 3" xfId="14888"/>
    <cellStyle name="Currency 2 3 2 4 3 2 3" xfId="14889"/>
    <cellStyle name="Currency 2 3 2 4 3 2 3 2" xfId="14890"/>
    <cellStyle name="Currency 2 3 2 4 3 2 3 3" xfId="14891"/>
    <cellStyle name="Currency 2 3 2 4 3 2 4" xfId="14892"/>
    <cellStyle name="Currency 2 3 2 4 3 2 5" xfId="14893"/>
    <cellStyle name="Currency 2 3 2 4 3 3" xfId="14894"/>
    <cellStyle name="Currency 2 3 2 4 3 3 2" xfId="14895"/>
    <cellStyle name="Currency 2 3 2 4 3 3 3" xfId="14896"/>
    <cellStyle name="Currency 2 3 2 4 3 4" xfId="14897"/>
    <cellStyle name="Currency 2 3 2 4 3 4 2" xfId="14898"/>
    <cellStyle name="Currency 2 3 2 4 3 4 3" xfId="14899"/>
    <cellStyle name="Currency 2 3 2 4 3 5" xfId="14900"/>
    <cellStyle name="Currency 2 3 2 4 3 6" xfId="14901"/>
    <cellStyle name="Currency 2 3 2 4 4" xfId="14902"/>
    <cellStyle name="Currency 2 3 2 4 4 2" xfId="14903"/>
    <cellStyle name="Currency 2 3 2 4 4 2 2" xfId="14904"/>
    <cellStyle name="Currency 2 3 2 4 4 2 2 2" xfId="14905"/>
    <cellStyle name="Currency 2 3 2 4 4 2 2 3" xfId="14906"/>
    <cellStyle name="Currency 2 3 2 4 4 2 3" xfId="14907"/>
    <cellStyle name="Currency 2 3 2 4 4 2 3 2" xfId="14908"/>
    <cellStyle name="Currency 2 3 2 4 4 2 3 3" xfId="14909"/>
    <cellStyle name="Currency 2 3 2 4 4 2 4" xfId="14910"/>
    <cellStyle name="Currency 2 3 2 4 4 2 5" xfId="14911"/>
    <cellStyle name="Currency 2 3 2 4 4 3" xfId="14912"/>
    <cellStyle name="Currency 2 3 2 4 4 3 2" xfId="14913"/>
    <cellStyle name="Currency 2 3 2 4 4 3 3" xfId="14914"/>
    <cellStyle name="Currency 2 3 2 4 4 4" xfId="14915"/>
    <cellStyle name="Currency 2 3 2 4 4 4 2" xfId="14916"/>
    <cellStyle name="Currency 2 3 2 4 4 4 3" xfId="14917"/>
    <cellStyle name="Currency 2 3 2 4 4 5" xfId="14918"/>
    <cellStyle name="Currency 2 3 2 4 4 6" xfId="14919"/>
    <cellStyle name="Currency 2 3 2 4 5" xfId="14920"/>
    <cellStyle name="Currency 2 3 2 4 5 2" xfId="14921"/>
    <cellStyle name="Currency 2 3 2 4 5 2 2" xfId="14922"/>
    <cellStyle name="Currency 2 3 2 4 5 2 3" xfId="14923"/>
    <cellStyle name="Currency 2 3 2 4 5 3" xfId="14924"/>
    <cellStyle name="Currency 2 3 2 4 5 3 2" xfId="14925"/>
    <cellStyle name="Currency 2 3 2 4 5 3 3" xfId="14926"/>
    <cellStyle name="Currency 2 3 2 4 5 4" xfId="14927"/>
    <cellStyle name="Currency 2 3 2 4 5 5" xfId="14928"/>
    <cellStyle name="Currency 2 3 2 4 6" xfId="14929"/>
    <cellStyle name="Currency 2 3 2 4 6 2" xfId="14930"/>
    <cellStyle name="Currency 2 3 2 4 6 3" xfId="14931"/>
    <cellStyle name="Currency 2 3 2 4 7" xfId="14932"/>
    <cellStyle name="Currency 2 3 2 4 7 2" xfId="14933"/>
    <cellStyle name="Currency 2 3 2 4 7 3" xfId="14934"/>
    <cellStyle name="Currency 2 3 2 4 8" xfId="14935"/>
    <cellStyle name="Currency 2 3 2 4 9" xfId="14936"/>
    <cellStyle name="Currency 2 3 2 5" xfId="14937"/>
    <cellStyle name="Currency 2 3 2 5 2" xfId="14938"/>
    <cellStyle name="Currency 2 3 2 5 2 2" xfId="14939"/>
    <cellStyle name="Currency 2 3 2 5 2 2 2" xfId="14940"/>
    <cellStyle name="Currency 2 3 2 5 2 2 2 2" xfId="14941"/>
    <cellStyle name="Currency 2 3 2 5 2 2 2 3" xfId="14942"/>
    <cellStyle name="Currency 2 3 2 5 2 2 3" xfId="14943"/>
    <cellStyle name="Currency 2 3 2 5 2 2 3 2" xfId="14944"/>
    <cellStyle name="Currency 2 3 2 5 2 2 3 3" xfId="14945"/>
    <cellStyle name="Currency 2 3 2 5 2 2 4" xfId="14946"/>
    <cellStyle name="Currency 2 3 2 5 2 2 5" xfId="14947"/>
    <cellStyle name="Currency 2 3 2 5 2 3" xfId="14948"/>
    <cellStyle name="Currency 2 3 2 5 2 3 2" xfId="14949"/>
    <cellStyle name="Currency 2 3 2 5 2 3 3" xfId="14950"/>
    <cellStyle name="Currency 2 3 2 5 2 4" xfId="14951"/>
    <cellStyle name="Currency 2 3 2 5 2 4 2" xfId="14952"/>
    <cellStyle name="Currency 2 3 2 5 2 4 3" xfId="14953"/>
    <cellStyle name="Currency 2 3 2 5 2 5" xfId="14954"/>
    <cellStyle name="Currency 2 3 2 5 2 6" xfId="14955"/>
    <cellStyle name="Currency 2 3 2 5 3" xfId="14956"/>
    <cellStyle name="Currency 2 3 2 5 3 2" xfId="14957"/>
    <cellStyle name="Currency 2 3 2 5 3 2 2" xfId="14958"/>
    <cellStyle name="Currency 2 3 2 5 3 2 2 2" xfId="14959"/>
    <cellStyle name="Currency 2 3 2 5 3 2 2 3" xfId="14960"/>
    <cellStyle name="Currency 2 3 2 5 3 2 3" xfId="14961"/>
    <cellStyle name="Currency 2 3 2 5 3 2 3 2" xfId="14962"/>
    <cellStyle name="Currency 2 3 2 5 3 2 3 3" xfId="14963"/>
    <cellStyle name="Currency 2 3 2 5 3 2 4" xfId="14964"/>
    <cellStyle name="Currency 2 3 2 5 3 2 5" xfId="14965"/>
    <cellStyle name="Currency 2 3 2 5 3 3" xfId="14966"/>
    <cellStyle name="Currency 2 3 2 5 3 3 2" xfId="14967"/>
    <cellStyle name="Currency 2 3 2 5 3 3 3" xfId="14968"/>
    <cellStyle name="Currency 2 3 2 5 3 4" xfId="14969"/>
    <cellStyle name="Currency 2 3 2 5 3 4 2" xfId="14970"/>
    <cellStyle name="Currency 2 3 2 5 3 4 3" xfId="14971"/>
    <cellStyle name="Currency 2 3 2 5 3 5" xfId="14972"/>
    <cellStyle name="Currency 2 3 2 5 3 6" xfId="14973"/>
    <cellStyle name="Currency 2 3 2 5 4" xfId="14974"/>
    <cellStyle name="Currency 2 3 2 5 4 2" xfId="14975"/>
    <cellStyle name="Currency 2 3 2 5 4 2 2" xfId="14976"/>
    <cellStyle name="Currency 2 3 2 5 4 2 3" xfId="14977"/>
    <cellStyle name="Currency 2 3 2 5 4 3" xfId="14978"/>
    <cellStyle name="Currency 2 3 2 5 4 3 2" xfId="14979"/>
    <cellStyle name="Currency 2 3 2 5 4 3 3" xfId="14980"/>
    <cellStyle name="Currency 2 3 2 5 4 4" xfId="14981"/>
    <cellStyle name="Currency 2 3 2 5 4 5" xfId="14982"/>
    <cellStyle name="Currency 2 3 2 5 5" xfId="14983"/>
    <cellStyle name="Currency 2 3 2 5 5 2" xfId="14984"/>
    <cellStyle name="Currency 2 3 2 5 5 3" xfId="14985"/>
    <cellStyle name="Currency 2 3 2 5 6" xfId="14986"/>
    <cellStyle name="Currency 2 3 2 5 6 2" xfId="14987"/>
    <cellStyle name="Currency 2 3 2 5 6 3" xfId="14988"/>
    <cellStyle name="Currency 2 3 2 5 7" xfId="14989"/>
    <cellStyle name="Currency 2 3 2 5 8" xfId="14990"/>
    <cellStyle name="Currency 2 3 2 6" xfId="14991"/>
    <cellStyle name="Currency 2 3 2 6 2" xfId="14992"/>
    <cellStyle name="Currency 2 3 2 6 2 2" xfId="14993"/>
    <cellStyle name="Currency 2 3 2 6 2 2 2" xfId="14994"/>
    <cellStyle name="Currency 2 3 2 6 2 2 3" xfId="14995"/>
    <cellStyle name="Currency 2 3 2 6 2 3" xfId="14996"/>
    <cellStyle name="Currency 2 3 2 6 2 3 2" xfId="14997"/>
    <cellStyle name="Currency 2 3 2 6 2 3 3" xfId="14998"/>
    <cellStyle name="Currency 2 3 2 6 2 4" xfId="14999"/>
    <cellStyle name="Currency 2 3 2 6 2 5" xfId="15000"/>
    <cellStyle name="Currency 2 3 2 6 3" xfId="15001"/>
    <cellStyle name="Currency 2 3 2 6 3 2" xfId="15002"/>
    <cellStyle name="Currency 2 3 2 6 3 3" xfId="15003"/>
    <cellStyle name="Currency 2 3 2 6 4" xfId="15004"/>
    <cellStyle name="Currency 2 3 2 6 4 2" xfId="15005"/>
    <cellStyle name="Currency 2 3 2 6 4 3" xfId="15006"/>
    <cellStyle name="Currency 2 3 2 6 5" xfId="15007"/>
    <cellStyle name="Currency 2 3 2 6 6" xfId="15008"/>
    <cellStyle name="Currency 2 3 2 7" xfId="15009"/>
    <cellStyle name="Currency 2 3 2 7 2" xfId="15010"/>
    <cellStyle name="Currency 2 3 2 7 2 2" xfId="15011"/>
    <cellStyle name="Currency 2 3 2 7 2 2 2" xfId="15012"/>
    <cellStyle name="Currency 2 3 2 7 2 2 3" xfId="15013"/>
    <cellStyle name="Currency 2 3 2 7 2 3" xfId="15014"/>
    <cellStyle name="Currency 2 3 2 7 2 3 2" xfId="15015"/>
    <cellStyle name="Currency 2 3 2 7 2 3 3" xfId="15016"/>
    <cellStyle name="Currency 2 3 2 7 2 4" xfId="15017"/>
    <cellStyle name="Currency 2 3 2 7 2 5" xfId="15018"/>
    <cellStyle name="Currency 2 3 2 7 3" xfId="15019"/>
    <cellStyle name="Currency 2 3 2 7 3 2" xfId="15020"/>
    <cellStyle name="Currency 2 3 2 7 3 3" xfId="15021"/>
    <cellStyle name="Currency 2 3 2 7 4" xfId="15022"/>
    <cellStyle name="Currency 2 3 2 7 4 2" xfId="15023"/>
    <cellStyle name="Currency 2 3 2 7 4 3" xfId="15024"/>
    <cellStyle name="Currency 2 3 2 7 5" xfId="15025"/>
    <cellStyle name="Currency 2 3 2 7 6" xfId="15026"/>
    <cellStyle name="Currency 2 3 2 8" xfId="15027"/>
    <cellStyle name="Currency 2 3 2 8 2" xfId="15028"/>
    <cellStyle name="Currency 2 3 2 8 2 2" xfId="15029"/>
    <cellStyle name="Currency 2 3 2 8 2 3" xfId="15030"/>
    <cellStyle name="Currency 2 3 2 8 3" xfId="15031"/>
    <cellStyle name="Currency 2 3 2 8 3 2" xfId="15032"/>
    <cellStyle name="Currency 2 3 2 8 3 3" xfId="15033"/>
    <cellStyle name="Currency 2 3 2 8 4" xfId="15034"/>
    <cellStyle name="Currency 2 3 2 8 5" xfId="15035"/>
    <cellStyle name="Currency 2 3 2 9" xfId="15036"/>
    <cellStyle name="Currency 2 3 2 9 2" xfId="15037"/>
    <cellStyle name="Currency 2 3 2 9 3" xfId="15038"/>
    <cellStyle name="Currency 2 3 3" xfId="15039"/>
    <cellStyle name="Currency 2 3 3 10" xfId="15040"/>
    <cellStyle name="Currency 2 3 3 2" xfId="15041"/>
    <cellStyle name="Currency 2 3 3 2 2" xfId="15042"/>
    <cellStyle name="Currency 2 3 3 2 2 2" xfId="15043"/>
    <cellStyle name="Currency 2 3 3 2 2 2 2" xfId="15044"/>
    <cellStyle name="Currency 2 3 3 2 2 2 2 2" xfId="15045"/>
    <cellStyle name="Currency 2 3 3 2 2 2 2 2 2" xfId="15046"/>
    <cellStyle name="Currency 2 3 3 2 2 2 2 2 3" xfId="15047"/>
    <cellStyle name="Currency 2 3 3 2 2 2 2 3" xfId="15048"/>
    <cellStyle name="Currency 2 3 3 2 2 2 2 3 2" xfId="15049"/>
    <cellStyle name="Currency 2 3 3 2 2 2 2 3 3" xfId="15050"/>
    <cellStyle name="Currency 2 3 3 2 2 2 2 4" xfId="15051"/>
    <cellStyle name="Currency 2 3 3 2 2 2 2 5" xfId="15052"/>
    <cellStyle name="Currency 2 3 3 2 2 2 3" xfId="15053"/>
    <cellStyle name="Currency 2 3 3 2 2 2 3 2" xfId="15054"/>
    <cellStyle name="Currency 2 3 3 2 2 2 3 3" xfId="15055"/>
    <cellStyle name="Currency 2 3 3 2 2 2 4" xfId="15056"/>
    <cellStyle name="Currency 2 3 3 2 2 2 4 2" xfId="15057"/>
    <cellStyle name="Currency 2 3 3 2 2 2 4 3" xfId="15058"/>
    <cellStyle name="Currency 2 3 3 2 2 2 5" xfId="15059"/>
    <cellStyle name="Currency 2 3 3 2 2 2 6" xfId="15060"/>
    <cellStyle name="Currency 2 3 3 2 2 3" xfId="15061"/>
    <cellStyle name="Currency 2 3 3 2 2 3 2" xfId="15062"/>
    <cellStyle name="Currency 2 3 3 2 2 3 2 2" xfId="15063"/>
    <cellStyle name="Currency 2 3 3 2 2 3 2 2 2" xfId="15064"/>
    <cellStyle name="Currency 2 3 3 2 2 3 2 2 3" xfId="15065"/>
    <cellStyle name="Currency 2 3 3 2 2 3 2 3" xfId="15066"/>
    <cellStyle name="Currency 2 3 3 2 2 3 2 3 2" xfId="15067"/>
    <cellStyle name="Currency 2 3 3 2 2 3 2 3 3" xfId="15068"/>
    <cellStyle name="Currency 2 3 3 2 2 3 2 4" xfId="15069"/>
    <cellStyle name="Currency 2 3 3 2 2 3 2 5" xfId="15070"/>
    <cellStyle name="Currency 2 3 3 2 2 3 3" xfId="15071"/>
    <cellStyle name="Currency 2 3 3 2 2 3 3 2" xfId="15072"/>
    <cellStyle name="Currency 2 3 3 2 2 3 3 3" xfId="15073"/>
    <cellStyle name="Currency 2 3 3 2 2 3 4" xfId="15074"/>
    <cellStyle name="Currency 2 3 3 2 2 3 4 2" xfId="15075"/>
    <cellStyle name="Currency 2 3 3 2 2 3 4 3" xfId="15076"/>
    <cellStyle name="Currency 2 3 3 2 2 3 5" xfId="15077"/>
    <cellStyle name="Currency 2 3 3 2 2 3 6" xfId="15078"/>
    <cellStyle name="Currency 2 3 3 2 2 4" xfId="15079"/>
    <cellStyle name="Currency 2 3 3 2 2 4 2" xfId="15080"/>
    <cellStyle name="Currency 2 3 3 2 2 4 2 2" xfId="15081"/>
    <cellStyle name="Currency 2 3 3 2 2 4 2 3" xfId="15082"/>
    <cellStyle name="Currency 2 3 3 2 2 4 3" xfId="15083"/>
    <cellStyle name="Currency 2 3 3 2 2 4 3 2" xfId="15084"/>
    <cellStyle name="Currency 2 3 3 2 2 4 3 3" xfId="15085"/>
    <cellStyle name="Currency 2 3 3 2 2 4 4" xfId="15086"/>
    <cellStyle name="Currency 2 3 3 2 2 4 5" xfId="15087"/>
    <cellStyle name="Currency 2 3 3 2 2 5" xfId="15088"/>
    <cellStyle name="Currency 2 3 3 2 2 5 2" xfId="15089"/>
    <cellStyle name="Currency 2 3 3 2 2 5 3" xfId="15090"/>
    <cellStyle name="Currency 2 3 3 2 2 6" xfId="15091"/>
    <cellStyle name="Currency 2 3 3 2 2 6 2" xfId="15092"/>
    <cellStyle name="Currency 2 3 3 2 2 6 3" xfId="15093"/>
    <cellStyle name="Currency 2 3 3 2 2 7" xfId="15094"/>
    <cellStyle name="Currency 2 3 3 2 2 8" xfId="15095"/>
    <cellStyle name="Currency 2 3 3 2 3" xfId="15096"/>
    <cellStyle name="Currency 2 3 3 2 3 2" xfId="15097"/>
    <cellStyle name="Currency 2 3 3 2 3 2 2" xfId="15098"/>
    <cellStyle name="Currency 2 3 3 2 3 2 2 2" xfId="15099"/>
    <cellStyle name="Currency 2 3 3 2 3 2 2 3" xfId="15100"/>
    <cellStyle name="Currency 2 3 3 2 3 2 3" xfId="15101"/>
    <cellStyle name="Currency 2 3 3 2 3 2 3 2" xfId="15102"/>
    <cellStyle name="Currency 2 3 3 2 3 2 3 3" xfId="15103"/>
    <cellStyle name="Currency 2 3 3 2 3 2 4" xfId="15104"/>
    <cellStyle name="Currency 2 3 3 2 3 2 5" xfId="15105"/>
    <cellStyle name="Currency 2 3 3 2 3 3" xfId="15106"/>
    <cellStyle name="Currency 2 3 3 2 3 3 2" xfId="15107"/>
    <cellStyle name="Currency 2 3 3 2 3 3 3" xfId="15108"/>
    <cellStyle name="Currency 2 3 3 2 3 4" xfId="15109"/>
    <cellStyle name="Currency 2 3 3 2 3 4 2" xfId="15110"/>
    <cellStyle name="Currency 2 3 3 2 3 4 3" xfId="15111"/>
    <cellStyle name="Currency 2 3 3 2 3 5" xfId="15112"/>
    <cellStyle name="Currency 2 3 3 2 3 6" xfId="15113"/>
    <cellStyle name="Currency 2 3 3 2 4" xfId="15114"/>
    <cellStyle name="Currency 2 3 3 2 4 2" xfId="15115"/>
    <cellStyle name="Currency 2 3 3 2 4 2 2" xfId="15116"/>
    <cellStyle name="Currency 2 3 3 2 4 2 2 2" xfId="15117"/>
    <cellStyle name="Currency 2 3 3 2 4 2 2 3" xfId="15118"/>
    <cellStyle name="Currency 2 3 3 2 4 2 3" xfId="15119"/>
    <cellStyle name="Currency 2 3 3 2 4 2 3 2" xfId="15120"/>
    <cellStyle name="Currency 2 3 3 2 4 2 3 3" xfId="15121"/>
    <cellStyle name="Currency 2 3 3 2 4 2 4" xfId="15122"/>
    <cellStyle name="Currency 2 3 3 2 4 2 5" xfId="15123"/>
    <cellStyle name="Currency 2 3 3 2 4 3" xfId="15124"/>
    <cellStyle name="Currency 2 3 3 2 4 3 2" xfId="15125"/>
    <cellStyle name="Currency 2 3 3 2 4 3 3" xfId="15126"/>
    <cellStyle name="Currency 2 3 3 2 4 4" xfId="15127"/>
    <cellStyle name="Currency 2 3 3 2 4 4 2" xfId="15128"/>
    <cellStyle name="Currency 2 3 3 2 4 4 3" xfId="15129"/>
    <cellStyle name="Currency 2 3 3 2 4 5" xfId="15130"/>
    <cellStyle name="Currency 2 3 3 2 4 6" xfId="15131"/>
    <cellStyle name="Currency 2 3 3 2 5" xfId="15132"/>
    <cellStyle name="Currency 2 3 3 2 5 2" xfId="15133"/>
    <cellStyle name="Currency 2 3 3 2 5 2 2" xfId="15134"/>
    <cellStyle name="Currency 2 3 3 2 5 2 3" xfId="15135"/>
    <cellStyle name="Currency 2 3 3 2 5 3" xfId="15136"/>
    <cellStyle name="Currency 2 3 3 2 5 3 2" xfId="15137"/>
    <cellStyle name="Currency 2 3 3 2 5 3 3" xfId="15138"/>
    <cellStyle name="Currency 2 3 3 2 5 4" xfId="15139"/>
    <cellStyle name="Currency 2 3 3 2 5 5" xfId="15140"/>
    <cellStyle name="Currency 2 3 3 2 6" xfId="15141"/>
    <cellStyle name="Currency 2 3 3 2 6 2" xfId="15142"/>
    <cellStyle name="Currency 2 3 3 2 6 3" xfId="15143"/>
    <cellStyle name="Currency 2 3 3 2 7" xfId="15144"/>
    <cellStyle name="Currency 2 3 3 2 7 2" xfId="15145"/>
    <cellStyle name="Currency 2 3 3 2 7 3" xfId="15146"/>
    <cellStyle name="Currency 2 3 3 2 8" xfId="15147"/>
    <cellStyle name="Currency 2 3 3 2 9" xfId="15148"/>
    <cellStyle name="Currency 2 3 3 3" xfId="15149"/>
    <cellStyle name="Currency 2 3 3 3 2" xfId="15150"/>
    <cellStyle name="Currency 2 3 3 3 2 2" xfId="15151"/>
    <cellStyle name="Currency 2 3 3 3 2 2 2" xfId="15152"/>
    <cellStyle name="Currency 2 3 3 3 2 2 2 2" xfId="15153"/>
    <cellStyle name="Currency 2 3 3 3 2 2 2 3" xfId="15154"/>
    <cellStyle name="Currency 2 3 3 3 2 2 3" xfId="15155"/>
    <cellStyle name="Currency 2 3 3 3 2 2 3 2" xfId="15156"/>
    <cellStyle name="Currency 2 3 3 3 2 2 3 3" xfId="15157"/>
    <cellStyle name="Currency 2 3 3 3 2 2 4" xfId="15158"/>
    <cellStyle name="Currency 2 3 3 3 2 2 5" xfId="15159"/>
    <cellStyle name="Currency 2 3 3 3 2 3" xfId="15160"/>
    <cellStyle name="Currency 2 3 3 3 2 3 2" xfId="15161"/>
    <cellStyle name="Currency 2 3 3 3 2 3 3" xfId="15162"/>
    <cellStyle name="Currency 2 3 3 3 2 4" xfId="15163"/>
    <cellStyle name="Currency 2 3 3 3 2 4 2" xfId="15164"/>
    <cellStyle name="Currency 2 3 3 3 2 4 3" xfId="15165"/>
    <cellStyle name="Currency 2 3 3 3 2 5" xfId="15166"/>
    <cellStyle name="Currency 2 3 3 3 2 6" xfId="15167"/>
    <cellStyle name="Currency 2 3 3 3 3" xfId="15168"/>
    <cellStyle name="Currency 2 3 3 3 3 2" xfId="15169"/>
    <cellStyle name="Currency 2 3 3 3 3 2 2" xfId="15170"/>
    <cellStyle name="Currency 2 3 3 3 3 2 2 2" xfId="15171"/>
    <cellStyle name="Currency 2 3 3 3 3 2 2 3" xfId="15172"/>
    <cellStyle name="Currency 2 3 3 3 3 2 3" xfId="15173"/>
    <cellStyle name="Currency 2 3 3 3 3 2 3 2" xfId="15174"/>
    <cellStyle name="Currency 2 3 3 3 3 2 3 3" xfId="15175"/>
    <cellStyle name="Currency 2 3 3 3 3 2 4" xfId="15176"/>
    <cellStyle name="Currency 2 3 3 3 3 2 5" xfId="15177"/>
    <cellStyle name="Currency 2 3 3 3 3 3" xfId="15178"/>
    <cellStyle name="Currency 2 3 3 3 3 3 2" xfId="15179"/>
    <cellStyle name="Currency 2 3 3 3 3 3 3" xfId="15180"/>
    <cellStyle name="Currency 2 3 3 3 3 4" xfId="15181"/>
    <cellStyle name="Currency 2 3 3 3 3 4 2" xfId="15182"/>
    <cellStyle name="Currency 2 3 3 3 3 4 3" xfId="15183"/>
    <cellStyle name="Currency 2 3 3 3 3 5" xfId="15184"/>
    <cellStyle name="Currency 2 3 3 3 3 6" xfId="15185"/>
    <cellStyle name="Currency 2 3 3 3 4" xfId="15186"/>
    <cellStyle name="Currency 2 3 3 3 4 2" xfId="15187"/>
    <cellStyle name="Currency 2 3 3 3 4 2 2" xfId="15188"/>
    <cellStyle name="Currency 2 3 3 3 4 2 3" xfId="15189"/>
    <cellStyle name="Currency 2 3 3 3 4 3" xfId="15190"/>
    <cellStyle name="Currency 2 3 3 3 4 3 2" xfId="15191"/>
    <cellStyle name="Currency 2 3 3 3 4 3 3" xfId="15192"/>
    <cellStyle name="Currency 2 3 3 3 4 4" xfId="15193"/>
    <cellStyle name="Currency 2 3 3 3 4 5" xfId="15194"/>
    <cellStyle name="Currency 2 3 3 3 5" xfId="15195"/>
    <cellStyle name="Currency 2 3 3 3 5 2" xfId="15196"/>
    <cellStyle name="Currency 2 3 3 3 5 3" xfId="15197"/>
    <cellStyle name="Currency 2 3 3 3 6" xfId="15198"/>
    <cellStyle name="Currency 2 3 3 3 6 2" xfId="15199"/>
    <cellStyle name="Currency 2 3 3 3 6 3" xfId="15200"/>
    <cellStyle name="Currency 2 3 3 3 7" xfId="15201"/>
    <cellStyle name="Currency 2 3 3 3 8" xfId="15202"/>
    <cellStyle name="Currency 2 3 3 4" xfId="15203"/>
    <cellStyle name="Currency 2 3 3 4 2" xfId="15204"/>
    <cellStyle name="Currency 2 3 3 4 2 2" xfId="15205"/>
    <cellStyle name="Currency 2 3 3 4 2 2 2" xfId="15206"/>
    <cellStyle name="Currency 2 3 3 4 2 2 3" xfId="15207"/>
    <cellStyle name="Currency 2 3 3 4 2 3" xfId="15208"/>
    <cellStyle name="Currency 2 3 3 4 2 3 2" xfId="15209"/>
    <cellStyle name="Currency 2 3 3 4 2 3 3" xfId="15210"/>
    <cellStyle name="Currency 2 3 3 4 2 4" xfId="15211"/>
    <cellStyle name="Currency 2 3 3 4 2 5" xfId="15212"/>
    <cellStyle name="Currency 2 3 3 4 3" xfId="15213"/>
    <cellStyle name="Currency 2 3 3 4 3 2" xfId="15214"/>
    <cellStyle name="Currency 2 3 3 4 3 3" xfId="15215"/>
    <cellStyle name="Currency 2 3 3 4 4" xfId="15216"/>
    <cellStyle name="Currency 2 3 3 4 4 2" xfId="15217"/>
    <cellStyle name="Currency 2 3 3 4 4 3" xfId="15218"/>
    <cellStyle name="Currency 2 3 3 4 5" xfId="15219"/>
    <cellStyle name="Currency 2 3 3 4 6" xfId="15220"/>
    <cellStyle name="Currency 2 3 3 5" xfId="15221"/>
    <cellStyle name="Currency 2 3 3 5 2" xfId="15222"/>
    <cellStyle name="Currency 2 3 3 5 2 2" xfId="15223"/>
    <cellStyle name="Currency 2 3 3 5 2 2 2" xfId="15224"/>
    <cellStyle name="Currency 2 3 3 5 2 2 3" xfId="15225"/>
    <cellStyle name="Currency 2 3 3 5 2 3" xfId="15226"/>
    <cellStyle name="Currency 2 3 3 5 2 3 2" xfId="15227"/>
    <cellStyle name="Currency 2 3 3 5 2 3 3" xfId="15228"/>
    <cellStyle name="Currency 2 3 3 5 2 4" xfId="15229"/>
    <cellStyle name="Currency 2 3 3 5 2 5" xfId="15230"/>
    <cellStyle name="Currency 2 3 3 5 3" xfId="15231"/>
    <cellStyle name="Currency 2 3 3 5 3 2" xfId="15232"/>
    <cellStyle name="Currency 2 3 3 5 3 3" xfId="15233"/>
    <cellStyle name="Currency 2 3 3 5 4" xfId="15234"/>
    <cellStyle name="Currency 2 3 3 5 4 2" xfId="15235"/>
    <cellStyle name="Currency 2 3 3 5 4 3" xfId="15236"/>
    <cellStyle name="Currency 2 3 3 5 5" xfId="15237"/>
    <cellStyle name="Currency 2 3 3 5 6" xfId="15238"/>
    <cellStyle name="Currency 2 3 3 6" xfId="15239"/>
    <cellStyle name="Currency 2 3 3 6 2" xfId="15240"/>
    <cellStyle name="Currency 2 3 3 6 2 2" xfId="15241"/>
    <cellStyle name="Currency 2 3 3 6 2 3" xfId="15242"/>
    <cellStyle name="Currency 2 3 3 6 3" xfId="15243"/>
    <cellStyle name="Currency 2 3 3 6 3 2" xfId="15244"/>
    <cellStyle name="Currency 2 3 3 6 3 3" xfId="15245"/>
    <cellStyle name="Currency 2 3 3 6 4" xfId="15246"/>
    <cellStyle name="Currency 2 3 3 6 5" xfId="15247"/>
    <cellStyle name="Currency 2 3 3 7" xfId="15248"/>
    <cellStyle name="Currency 2 3 3 7 2" xfId="15249"/>
    <cellStyle name="Currency 2 3 3 7 3" xfId="15250"/>
    <cellStyle name="Currency 2 3 3 8" xfId="15251"/>
    <cellStyle name="Currency 2 3 3 8 2" xfId="15252"/>
    <cellStyle name="Currency 2 3 3 8 3" xfId="15253"/>
    <cellStyle name="Currency 2 3 3 9" xfId="15254"/>
    <cellStyle name="Currency 2 3 4" xfId="15255"/>
    <cellStyle name="Currency 2 3 4 10" xfId="15256"/>
    <cellStyle name="Currency 2 3 4 2" xfId="15257"/>
    <cellStyle name="Currency 2 3 4 2 2" xfId="15258"/>
    <cellStyle name="Currency 2 3 4 2 2 2" xfId="15259"/>
    <cellStyle name="Currency 2 3 4 2 2 2 2" xfId="15260"/>
    <cellStyle name="Currency 2 3 4 2 2 2 2 2" xfId="15261"/>
    <cellStyle name="Currency 2 3 4 2 2 2 2 2 2" xfId="15262"/>
    <cellStyle name="Currency 2 3 4 2 2 2 2 2 3" xfId="15263"/>
    <cellStyle name="Currency 2 3 4 2 2 2 2 3" xfId="15264"/>
    <cellStyle name="Currency 2 3 4 2 2 2 2 3 2" xfId="15265"/>
    <cellStyle name="Currency 2 3 4 2 2 2 2 3 3" xfId="15266"/>
    <cellStyle name="Currency 2 3 4 2 2 2 2 4" xfId="15267"/>
    <cellStyle name="Currency 2 3 4 2 2 2 2 5" xfId="15268"/>
    <cellStyle name="Currency 2 3 4 2 2 2 3" xfId="15269"/>
    <cellStyle name="Currency 2 3 4 2 2 2 3 2" xfId="15270"/>
    <cellStyle name="Currency 2 3 4 2 2 2 3 3" xfId="15271"/>
    <cellStyle name="Currency 2 3 4 2 2 2 4" xfId="15272"/>
    <cellStyle name="Currency 2 3 4 2 2 2 4 2" xfId="15273"/>
    <cellStyle name="Currency 2 3 4 2 2 2 4 3" xfId="15274"/>
    <cellStyle name="Currency 2 3 4 2 2 2 5" xfId="15275"/>
    <cellStyle name="Currency 2 3 4 2 2 2 6" xfId="15276"/>
    <cellStyle name="Currency 2 3 4 2 2 3" xfId="15277"/>
    <cellStyle name="Currency 2 3 4 2 2 3 2" xfId="15278"/>
    <cellStyle name="Currency 2 3 4 2 2 3 2 2" xfId="15279"/>
    <cellStyle name="Currency 2 3 4 2 2 3 2 2 2" xfId="15280"/>
    <cellStyle name="Currency 2 3 4 2 2 3 2 2 3" xfId="15281"/>
    <cellStyle name="Currency 2 3 4 2 2 3 2 3" xfId="15282"/>
    <cellStyle name="Currency 2 3 4 2 2 3 2 3 2" xfId="15283"/>
    <cellStyle name="Currency 2 3 4 2 2 3 2 3 3" xfId="15284"/>
    <cellStyle name="Currency 2 3 4 2 2 3 2 4" xfId="15285"/>
    <cellStyle name="Currency 2 3 4 2 2 3 2 5" xfId="15286"/>
    <cellStyle name="Currency 2 3 4 2 2 3 3" xfId="15287"/>
    <cellStyle name="Currency 2 3 4 2 2 3 3 2" xfId="15288"/>
    <cellStyle name="Currency 2 3 4 2 2 3 3 3" xfId="15289"/>
    <cellStyle name="Currency 2 3 4 2 2 3 4" xfId="15290"/>
    <cellStyle name="Currency 2 3 4 2 2 3 4 2" xfId="15291"/>
    <cellStyle name="Currency 2 3 4 2 2 3 4 3" xfId="15292"/>
    <cellStyle name="Currency 2 3 4 2 2 3 5" xfId="15293"/>
    <cellStyle name="Currency 2 3 4 2 2 3 6" xfId="15294"/>
    <cellStyle name="Currency 2 3 4 2 2 4" xfId="15295"/>
    <cellStyle name="Currency 2 3 4 2 2 4 2" xfId="15296"/>
    <cellStyle name="Currency 2 3 4 2 2 4 2 2" xfId="15297"/>
    <cellStyle name="Currency 2 3 4 2 2 4 2 3" xfId="15298"/>
    <cellStyle name="Currency 2 3 4 2 2 4 3" xfId="15299"/>
    <cellStyle name="Currency 2 3 4 2 2 4 3 2" xfId="15300"/>
    <cellStyle name="Currency 2 3 4 2 2 4 3 3" xfId="15301"/>
    <cellStyle name="Currency 2 3 4 2 2 4 4" xfId="15302"/>
    <cellStyle name="Currency 2 3 4 2 2 4 5" xfId="15303"/>
    <cellStyle name="Currency 2 3 4 2 2 5" xfId="15304"/>
    <cellStyle name="Currency 2 3 4 2 2 5 2" xfId="15305"/>
    <cellStyle name="Currency 2 3 4 2 2 5 3" xfId="15306"/>
    <cellStyle name="Currency 2 3 4 2 2 6" xfId="15307"/>
    <cellStyle name="Currency 2 3 4 2 2 6 2" xfId="15308"/>
    <cellStyle name="Currency 2 3 4 2 2 6 3" xfId="15309"/>
    <cellStyle name="Currency 2 3 4 2 2 7" xfId="15310"/>
    <cellStyle name="Currency 2 3 4 2 2 8" xfId="15311"/>
    <cellStyle name="Currency 2 3 4 2 3" xfId="15312"/>
    <cellStyle name="Currency 2 3 4 2 3 2" xfId="15313"/>
    <cellStyle name="Currency 2 3 4 2 3 2 2" xfId="15314"/>
    <cellStyle name="Currency 2 3 4 2 3 2 2 2" xfId="15315"/>
    <cellStyle name="Currency 2 3 4 2 3 2 2 3" xfId="15316"/>
    <cellStyle name="Currency 2 3 4 2 3 2 3" xfId="15317"/>
    <cellStyle name="Currency 2 3 4 2 3 2 3 2" xfId="15318"/>
    <cellStyle name="Currency 2 3 4 2 3 2 3 3" xfId="15319"/>
    <cellStyle name="Currency 2 3 4 2 3 2 4" xfId="15320"/>
    <cellStyle name="Currency 2 3 4 2 3 2 5" xfId="15321"/>
    <cellStyle name="Currency 2 3 4 2 3 3" xfId="15322"/>
    <cellStyle name="Currency 2 3 4 2 3 3 2" xfId="15323"/>
    <cellStyle name="Currency 2 3 4 2 3 3 3" xfId="15324"/>
    <cellStyle name="Currency 2 3 4 2 3 4" xfId="15325"/>
    <cellStyle name="Currency 2 3 4 2 3 4 2" xfId="15326"/>
    <cellStyle name="Currency 2 3 4 2 3 4 3" xfId="15327"/>
    <cellStyle name="Currency 2 3 4 2 3 5" xfId="15328"/>
    <cellStyle name="Currency 2 3 4 2 3 6" xfId="15329"/>
    <cellStyle name="Currency 2 3 4 2 4" xfId="15330"/>
    <cellStyle name="Currency 2 3 4 2 4 2" xfId="15331"/>
    <cellStyle name="Currency 2 3 4 2 4 2 2" xfId="15332"/>
    <cellStyle name="Currency 2 3 4 2 4 2 2 2" xfId="15333"/>
    <cellStyle name="Currency 2 3 4 2 4 2 2 3" xfId="15334"/>
    <cellStyle name="Currency 2 3 4 2 4 2 3" xfId="15335"/>
    <cellStyle name="Currency 2 3 4 2 4 2 3 2" xfId="15336"/>
    <cellStyle name="Currency 2 3 4 2 4 2 3 3" xfId="15337"/>
    <cellStyle name="Currency 2 3 4 2 4 2 4" xfId="15338"/>
    <cellStyle name="Currency 2 3 4 2 4 2 5" xfId="15339"/>
    <cellStyle name="Currency 2 3 4 2 4 3" xfId="15340"/>
    <cellStyle name="Currency 2 3 4 2 4 3 2" xfId="15341"/>
    <cellStyle name="Currency 2 3 4 2 4 3 3" xfId="15342"/>
    <cellStyle name="Currency 2 3 4 2 4 4" xfId="15343"/>
    <cellStyle name="Currency 2 3 4 2 4 4 2" xfId="15344"/>
    <cellStyle name="Currency 2 3 4 2 4 4 3" xfId="15345"/>
    <cellStyle name="Currency 2 3 4 2 4 5" xfId="15346"/>
    <cellStyle name="Currency 2 3 4 2 4 6" xfId="15347"/>
    <cellStyle name="Currency 2 3 4 2 5" xfId="15348"/>
    <cellStyle name="Currency 2 3 4 2 5 2" xfId="15349"/>
    <cellStyle name="Currency 2 3 4 2 5 2 2" xfId="15350"/>
    <cellStyle name="Currency 2 3 4 2 5 2 3" xfId="15351"/>
    <cellStyle name="Currency 2 3 4 2 5 3" xfId="15352"/>
    <cellStyle name="Currency 2 3 4 2 5 3 2" xfId="15353"/>
    <cellStyle name="Currency 2 3 4 2 5 3 3" xfId="15354"/>
    <cellStyle name="Currency 2 3 4 2 5 4" xfId="15355"/>
    <cellStyle name="Currency 2 3 4 2 5 5" xfId="15356"/>
    <cellStyle name="Currency 2 3 4 2 6" xfId="15357"/>
    <cellStyle name="Currency 2 3 4 2 6 2" xfId="15358"/>
    <cellStyle name="Currency 2 3 4 2 6 3" xfId="15359"/>
    <cellStyle name="Currency 2 3 4 2 7" xfId="15360"/>
    <cellStyle name="Currency 2 3 4 2 7 2" xfId="15361"/>
    <cellStyle name="Currency 2 3 4 2 7 3" xfId="15362"/>
    <cellStyle name="Currency 2 3 4 2 8" xfId="15363"/>
    <cellStyle name="Currency 2 3 4 2 9" xfId="15364"/>
    <cellStyle name="Currency 2 3 4 3" xfId="15365"/>
    <cellStyle name="Currency 2 3 4 3 2" xfId="15366"/>
    <cellStyle name="Currency 2 3 4 3 2 2" xfId="15367"/>
    <cellStyle name="Currency 2 3 4 3 2 2 2" xfId="15368"/>
    <cellStyle name="Currency 2 3 4 3 2 2 2 2" xfId="15369"/>
    <cellStyle name="Currency 2 3 4 3 2 2 2 3" xfId="15370"/>
    <cellStyle name="Currency 2 3 4 3 2 2 3" xfId="15371"/>
    <cellStyle name="Currency 2 3 4 3 2 2 3 2" xfId="15372"/>
    <cellStyle name="Currency 2 3 4 3 2 2 3 3" xfId="15373"/>
    <cellStyle name="Currency 2 3 4 3 2 2 4" xfId="15374"/>
    <cellStyle name="Currency 2 3 4 3 2 2 5" xfId="15375"/>
    <cellStyle name="Currency 2 3 4 3 2 3" xfId="15376"/>
    <cellStyle name="Currency 2 3 4 3 2 3 2" xfId="15377"/>
    <cellStyle name="Currency 2 3 4 3 2 3 3" xfId="15378"/>
    <cellStyle name="Currency 2 3 4 3 2 4" xfId="15379"/>
    <cellStyle name="Currency 2 3 4 3 2 4 2" xfId="15380"/>
    <cellStyle name="Currency 2 3 4 3 2 4 3" xfId="15381"/>
    <cellStyle name="Currency 2 3 4 3 2 5" xfId="15382"/>
    <cellStyle name="Currency 2 3 4 3 2 6" xfId="15383"/>
    <cellStyle name="Currency 2 3 4 3 3" xfId="15384"/>
    <cellStyle name="Currency 2 3 4 3 3 2" xfId="15385"/>
    <cellStyle name="Currency 2 3 4 3 3 2 2" xfId="15386"/>
    <cellStyle name="Currency 2 3 4 3 3 2 2 2" xfId="15387"/>
    <cellStyle name="Currency 2 3 4 3 3 2 2 3" xfId="15388"/>
    <cellStyle name="Currency 2 3 4 3 3 2 3" xfId="15389"/>
    <cellStyle name="Currency 2 3 4 3 3 2 3 2" xfId="15390"/>
    <cellStyle name="Currency 2 3 4 3 3 2 3 3" xfId="15391"/>
    <cellStyle name="Currency 2 3 4 3 3 2 4" xfId="15392"/>
    <cellStyle name="Currency 2 3 4 3 3 2 5" xfId="15393"/>
    <cellStyle name="Currency 2 3 4 3 3 3" xfId="15394"/>
    <cellStyle name="Currency 2 3 4 3 3 3 2" xfId="15395"/>
    <cellStyle name="Currency 2 3 4 3 3 3 3" xfId="15396"/>
    <cellStyle name="Currency 2 3 4 3 3 4" xfId="15397"/>
    <cellStyle name="Currency 2 3 4 3 3 4 2" xfId="15398"/>
    <cellStyle name="Currency 2 3 4 3 3 4 3" xfId="15399"/>
    <cellStyle name="Currency 2 3 4 3 3 5" xfId="15400"/>
    <cellStyle name="Currency 2 3 4 3 3 6" xfId="15401"/>
    <cellStyle name="Currency 2 3 4 3 4" xfId="15402"/>
    <cellStyle name="Currency 2 3 4 3 4 2" xfId="15403"/>
    <cellStyle name="Currency 2 3 4 3 4 2 2" xfId="15404"/>
    <cellStyle name="Currency 2 3 4 3 4 2 3" xfId="15405"/>
    <cellStyle name="Currency 2 3 4 3 4 3" xfId="15406"/>
    <cellStyle name="Currency 2 3 4 3 4 3 2" xfId="15407"/>
    <cellStyle name="Currency 2 3 4 3 4 3 3" xfId="15408"/>
    <cellStyle name="Currency 2 3 4 3 4 4" xfId="15409"/>
    <cellStyle name="Currency 2 3 4 3 4 5" xfId="15410"/>
    <cellStyle name="Currency 2 3 4 3 5" xfId="15411"/>
    <cellStyle name="Currency 2 3 4 3 5 2" xfId="15412"/>
    <cellStyle name="Currency 2 3 4 3 5 3" xfId="15413"/>
    <cellStyle name="Currency 2 3 4 3 6" xfId="15414"/>
    <cellStyle name="Currency 2 3 4 3 6 2" xfId="15415"/>
    <cellStyle name="Currency 2 3 4 3 6 3" xfId="15416"/>
    <cellStyle name="Currency 2 3 4 3 7" xfId="15417"/>
    <cellStyle name="Currency 2 3 4 3 8" xfId="15418"/>
    <cellStyle name="Currency 2 3 4 4" xfId="15419"/>
    <cellStyle name="Currency 2 3 4 4 2" xfId="15420"/>
    <cellStyle name="Currency 2 3 4 4 2 2" xfId="15421"/>
    <cellStyle name="Currency 2 3 4 4 2 2 2" xfId="15422"/>
    <cellStyle name="Currency 2 3 4 4 2 2 3" xfId="15423"/>
    <cellStyle name="Currency 2 3 4 4 2 3" xfId="15424"/>
    <cellStyle name="Currency 2 3 4 4 2 3 2" xfId="15425"/>
    <cellStyle name="Currency 2 3 4 4 2 3 3" xfId="15426"/>
    <cellStyle name="Currency 2 3 4 4 2 4" xfId="15427"/>
    <cellStyle name="Currency 2 3 4 4 2 5" xfId="15428"/>
    <cellStyle name="Currency 2 3 4 4 3" xfId="15429"/>
    <cellStyle name="Currency 2 3 4 4 3 2" xfId="15430"/>
    <cellStyle name="Currency 2 3 4 4 3 3" xfId="15431"/>
    <cellStyle name="Currency 2 3 4 4 4" xfId="15432"/>
    <cellStyle name="Currency 2 3 4 4 4 2" xfId="15433"/>
    <cellStyle name="Currency 2 3 4 4 4 3" xfId="15434"/>
    <cellStyle name="Currency 2 3 4 4 5" xfId="15435"/>
    <cellStyle name="Currency 2 3 4 4 6" xfId="15436"/>
    <cellStyle name="Currency 2 3 4 5" xfId="15437"/>
    <cellStyle name="Currency 2 3 4 5 2" xfId="15438"/>
    <cellStyle name="Currency 2 3 4 5 2 2" xfId="15439"/>
    <cellStyle name="Currency 2 3 4 5 2 2 2" xfId="15440"/>
    <cellStyle name="Currency 2 3 4 5 2 2 3" xfId="15441"/>
    <cellStyle name="Currency 2 3 4 5 2 3" xfId="15442"/>
    <cellStyle name="Currency 2 3 4 5 2 3 2" xfId="15443"/>
    <cellStyle name="Currency 2 3 4 5 2 3 3" xfId="15444"/>
    <cellStyle name="Currency 2 3 4 5 2 4" xfId="15445"/>
    <cellStyle name="Currency 2 3 4 5 2 5" xfId="15446"/>
    <cellStyle name="Currency 2 3 4 5 3" xfId="15447"/>
    <cellStyle name="Currency 2 3 4 5 3 2" xfId="15448"/>
    <cellStyle name="Currency 2 3 4 5 3 3" xfId="15449"/>
    <cellStyle name="Currency 2 3 4 5 4" xfId="15450"/>
    <cellStyle name="Currency 2 3 4 5 4 2" xfId="15451"/>
    <cellStyle name="Currency 2 3 4 5 4 3" xfId="15452"/>
    <cellStyle name="Currency 2 3 4 5 5" xfId="15453"/>
    <cellStyle name="Currency 2 3 4 5 6" xfId="15454"/>
    <cellStyle name="Currency 2 3 4 6" xfId="15455"/>
    <cellStyle name="Currency 2 3 4 6 2" xfId="15456"/>
    <cellStyle name="Currency 2 3 4 6 2 2" xfId="15457"/>
    <cellStyle name="Currency 2 3 4 6 2 3" xfId="15458"/>
    <cellStyle name="Currency 2 3 4 6 3" xfId="15459"/>
    <cellStyle name="Currency 2 3 4 6 3 2" xfId="15460"/>
    <cellStyle name="Currency 2 3 4 6 3 3" xfId="15461"/>
    <cellStyle name="Currency 2 3 4 6 4" xfId="15462"/>
    <cellStyle name="Currency 2 3 4 6 5" xfId="15463"/>
    <cellStyle name="Currency 2 3 4 7" xfId="15464"/>
    <cellStyle name="Currency 2 3 4 7 2" xfId="15465"/>
    <cellStyle name="Currency 2 3 4 7 3" xfId="15466"/>
    <cellStyle name="Currency 2 3 4 8" xfId="15467"/>
    <cellStyle name="Currency 2 3 4 8 2" xfId="15468"/>
    <cellStyle name="Currency 2 3 4 8 3" xfId="15469"/>
    <cellStyle name="Currency 2 3 4 9" xfId="15470"/>
    <cellStyle name="Currency 2 3 5" xfId="15471"/>
    <cellStyle name="Currency 2 3 5 2" xfId="15472"/>
    <cellStyle name="Currency 2 3 5 2 2" xfId="15473"/>
    <cellStyle name="Currency 2 3 5 2 2 2" xfId="15474"/>
    <cellStyle name="Currency 2 3 5 2 2 2 2" xfId="15475"/>
    <cellStyle name="Currency 2 3 5 2 2 2 2 2" xfId="15476"/>
    <cellStyle name="Currency 2 3 5 2 2 2 2 3" xfId="15477"/>
    <cellStyle name="Currency 2 3 5 2 2 2 3" xfId="15478"/>
    <cellStyle name="Currency 2 3 5 2 2 2 3 2" xfId="15479"/>
    <cellStyle name="Currency 2 3 5 2 2 2 3 3" xfId="15480"/>
    <cellStyle name="Currency 2 3 5 2 2 2 4" xfId="15481"/>
    <cellStyle name="Currency 2 3 5 2 2 2 5" xfId="15482"/>
    <cellStyle name="Currency 2 3 5 2 2 3" xfId="15483"/>
    <cellStyle name="Currency 2 3 5 2 2 3 2" xfId="15484"/>
    <cellStyle name="Currency 2 3 5 2 2 3 3" xfId="15485"/>
    <cellStyle name="Currency 2 3 5 2 2 4" xfId="15486"/>
    <cellStyle name="Currency 2 3 5 2 2 4 2" xfId="15487"/>
    <cellStyle name="Currency 2 3 5 2 2 4 3" xfId="15488"/>
    <cellStyle name="Currency 2 3 5 2 2 5" xfId="15489"/>
    <cellStyle name="Currency 2 3 5 2 2 6" xfId="15490"/>
    <cellStyle name="Currency 2 3 5 2 3" xfId="15491"/>
    <cellStyle name="Currency 2 3 5 2 3 2" xfId="15492"/>
    <cellStyle name="Currency 2 3 5 2 3 2 2" xfId="15493"/>
    <cellStyle name="Currency 2 3 5 2 3 2 2 2" xfId="15494"/>
    <cellStyle name="Currency 2 3 5 2 3 2 2 3" xfId="15495"/>
    <cellStyle name="Currency 2 3 5 2 3 2 3" xfId="15496"/>
    <cellStyle name="Currency 2 3 5 2 3 2 3 2" xfId="15497"/>
    <cellStyle name="Currency 2 3 5 2 3 2 3 3" xfId="15498"/>
    <cellStyle name="Currency 2 3 5 2 3 2 4" xfId="15499"/>
    <cellStyle name="Currency 2 3 5 2 3 2 5" xfId="15500"/>
    <cellStyle name="Currency 2 3 5 2 3 3" xfId="15501"/>
    <cellStyle name="Currency 2 3 5 2 3 3 2" xfId="15502"/>
    <cellStyle name="Currency 2 3 5 2 3 3 3" xfId="15503"/>
    <cellStyle name="Currency 2 3 5 2 3 4" xfId="15504"/>
    <cellStyle name="Currency 2 3 5 2 3 4 2" xfId="15505"/>
    <cellStyle name="Currency 2 3 5 2 3 4 3" xfId="15506"/>
    <cellStyle name="Currency 2 3 5 2 3 5" xfId="15507"/>
    <cellStyle name="Currency 2 3 5 2 3 6" xfId="15508"/>
    <cellStyle name="Currency 2 3 5 2 4" xfId="15509"/>
    <cellStyle name="Currency 2 3 5 2 4 2" xfId="15510"/>
    <cellStyle name="Currency 2 3 5 2 4 2 2" xfId="15511"/>
    <cellStyle name="Currency 2 3 5 2 4 2 3" xfId="15512"/>
    <cellStyle name="Currency 2 3 5 2 4 3" xfId="15513"/>
    <cellStyle name="Currency 2 3 5 2 4 3 2" xfId="15514"/>
    <cellStyle name="Currency 2 3 5 2 4 3 3" xfId="15515"/>
    <cellStyle name="Currency 2 3 5 2 4 4" xfId="15516"/>
    <cellStyle name="Currency 2 3 5 2 4 5" xfId="15517"/>
    <cellStyle name="Currency 2 3 5 2 5" xfId="15518"/>
    <cellStyle name="Currency 2 3 5 2 5 2" xfId="15519"/>
    <cellStyle name="Currency 2 3 5 2 5 3" xfId="15520"/>
    <cellStyle name="Currency 2 3 5 2 6" xfId="15521"/>
    <cellStyle name="Currency 2 3 5 2 6 2" xfId="15522"/>
    <cellStyle name="Currency 2 3 5 2 6 3" xfId="15523"/>
    <cellStyle name="Currency 2 3 5 2 7" xfId="15524"/>
    <cellStyle name="Currency 2 3 5 2 8" xfId="15525"/>
    <cellStyle name="Currency 2 3 5 3" xfId="15526"/>
    <cellStyle name="Currency 2 3 5 3 2" xfId="15527"/>
    <cellStyle name="Currency 2 3 5 3 2 2" xfId="15528"/>
    <cellStyle name="Currency 2 3 5 3 2 2 2" xfId="15529"/>
    <cellStyle name="Currency 2 3 5 3 2 2 3" xfId="15530"/>
    <cellStyle name="Currency 2 3 5 3 2 3" xfId="15531"/>
    <cellStyle name="Currency 2 3 5 3 2 3 2" xfId="15532"/>
    <cellStyle name="Currency 2 3 5 3 2 3 3" xfId="15533"/>
    <cellStyle name="Currency 2 3 5 3 2 4" xfId="15534"/>
    <cellStyle name="Currency 2 3 5 3 2 5" xfId="15535"/>
    <cellStyle name="Currency 2 3 5 3 3" xfId="15536"/>
    <cellStyle name="Currency 2 3 5 3 3 2" xfId="15537"/>
    <cellStyle name="Currency 2 3 5 3 3 3" xfId="15538"/>
    <cellStyle name="Currency 2 3 5 3 4" xfId="15539"/>
    <cellStyle name="Currency 2 3 5 3 4 2" xfId="15540"/>
    <cellStyle name="Currency 2 3 5 3 4 3" xfId="15541"/>
    <cellStyle name="Currency 2 3 5 3 5" xfId="15542"/>
    <cellStyle name="Currency 2 3 5 3 6" xfId="15543"/>
    <cellStyle name="Currency 2 3 5 4" xfId="15544"/>
    <cellStyle name="Currency 2 3 5 4 2" xfId="15545"/>
    <cellStyle name="Currency 2 3 5 4 2 2" xfId="15546"/>
    <cellStyle name="Currency 2 3 5 4 2 2 2" xfId="15547"/>
    <cellStyle name="Currency 2 3 5 4 2 2 3" xfId="15548"/>
    <cellStyle name="Currency 2 3 5 4 2 3" xfId="15549"/>
    <cellStyle name="Currency 2 3 5 4 2 3 2" xfId="15550"/>
    <cellStyle name="Currency 2 3 5 4 2 3 3" xfId="15551"/>
    <cellStyle name="Currency 2 3 5 4 2 4" xfId="15552"/>
    <cellStyle name="Currency 2 3 5 4 2 5" xfId="15553"/>
    <cellStyle name="Currency 2 3 5 4 3" xfId="15554"/>
    <cellStyle name="Currency 2 3 5 4 3 2" xfId="15555"/>
    <cellStyle name="Currency 2 3 5 4 3 3" xfId="15556"/>
    <cellStyle name="Currency 2 3 5 4 4" xfId="15557"/>
    <cellStyle name="Currency 2 3 5 4 4 2" xfId="15558"/>
    <cellStyle name="Currency 2 3 5 4 4 3" xfId="15559"/>
    <cellStyle name="Currency 2 3 5 4 5" xfId="15560"/>
    <cellStyle name="Currency 2 3 5 4 6" xfId="15561"/>
    <cellStyle name="Currency 2 3 5 5" xfId="15562"/>
    <cellStyle name="Currency 2 3 5 5 2" xfId="15563"/>
    <cellStyle name="Currency 2 3 5 5 2 2" xfId="15564"/>
    <cellStyle name="Currency 2 3 5 5 2 3" xfId="15565"/>
    <cellStyle name="Currency 2 3 5 5 3" xfId="15566"/>
    <cellStyle name="Currency 2 3 5 5 3 2" xfId="15567"/>
    <cellStyle name="Currency 2 3 5 5 3 3" xfId="15568"/>
    <cellStyle name="Currency 2 3 5 5 4" xfId="15569"/>
    <cellStyle name="Currency 2 3 5 5 5" xfId="15570"/>
    <cellStyle name="Currency 2 3 5 6" xfId="15571"/>
    <cellStyle name="Currency 2 3 5 6 2" xfId="15572"/>
    <cellStyle name="Currency 2 3 5 6 3" xfId="15573"/>
    <cellStyle name="Currency 2 3 5 7" xfId="15574"/>
    <cellStyle name="Currency 2 3 5 7 2" xfId="15575"/>
    <cellStyle name="Currency 2 3 5 7 3" xfId="15576"/>
    <cellStyle name="Currency 2 3 5 8" xfId="15577"/>
    <cellStyle name="Currency 2 3 5 9" xfId="15578"/>
    <cellStyle name="Currency 2 3 6" xfId="15579"/>
    <cellStyle name="Currency 2 3 6 2" xfId="15580"/>
    <cellStyle name="Currency 2 3 6 2 2" xfId="15581"/>
    <cellStyle name="Currency 2 3 6 2 2 2" xfId="15582"/>
    <cellStyle name="Currency 2 3 6 2 2 2 2" xfId="15583"/>
    <cellStyle name="Currency 2 3 6 2 2 2 3" xfId="15584"/>
    <cellStyle name="Currency 2 3 6 2 2 3" xfId="15585"/>
    <cellStyle name="Currency 2 3 6 2 2 3 2" xfId="15586"/>
    <cellStyle name="Currency 2 3 6 2 2 3 3" xfId="15587"/>
    <cellStyle name="Currency 2 3 6 2 2 4" xfId="15588"/>
    <cellStyle name="Currency 2 3 6 2 2 5" xfId="15589"/>
    <cellStyle name="Currency 2 3 6 2 3" xfId="15590"/>
    <cellStyle name="Currency 2 3 6 2 3 2" xfId="15591"/>
    <cellStyle name="Currency 2 3 6 2 3 3" xfId="15592"/>
    <cellStyle name="Currency 2 3 6 2 4" xfId="15593"/>
    <cellStyle name="Currency 2 3 6 2 4 2" xfId="15594"/>
    <cellStyle name="Currency 2 3 6 2 4 3" xfId="15595"/>
    <cellStyle name="Currency 2 3 6 2 5" xfId="15596"/>
    <cellStyle name="Currency 2 3 6 2 6" xfId="15597"/>
    <cellStyle name="Currency 2 3 6 3" xfId="15598"/>
    <cellStyle name="Currency 2 3 6 3 2" xfId="15599"/>
    <cellStyle name="Currency 2 3 6 3 2 2" xfId="15600"/>
    <cellStyle name="Currency 2 3 6 3 2 2 2" xfId="15601"/>
    <cellStyle name="Currency 2 3 6 3 2 2 3" xfId="15602"/>
    <cellStyle name="Currency 2 3 6 3 2 3" xfId="15603"/>
    <cellStyle name="Currency 2 3 6 3 2 3 2" xfId="15604"/>
    <cellStyle name="Currency 2 3 6 3 2 3 3" xfId="15605"/>
    <cellStyle name="Currency 2 3 6 3 2 4" xfId="15606"/>
    <cellStyle name="Currency 2 3 6 3 2 5" xfId="15607"/>
    <cellStyle name="Currency 2 3 6 3 3" xfId="15608"/>
    <cellStyle name="Currency 2 3 6 3 3 2" xfId="15609"/>
    <cellStyle name="Currency 2 3 6 3 3 3" xfId="15610"/>
    <cellStyle name="Currency 2 3 6 3 4" xfId="15611"/>
    <cellStyle name="Currency 2 3 6 3 4 2" xfId="15612"/>
    <cellStyle name="Currency 2 3 6 3 4 3" xfId="15613"/>
    <cellStyle name="Currency 2 3 6 3 5" xfId="15614"/>
    <cellStyle name="Currency 2 3 6 3 6" xfId="15615"/>
    <cellStyle name="Currency 2 3 6 4" xfId="15616"/>
    <cellStyle name="Currency 2 3 6 4 2" xfId="15617"/>
    <cellStyle name="Currency 2 3 6 4 2 2" xfId="15618"/>
    <cellStyle name="Currency 2 3 6 4 2 3" xfId="15619"/>
    <cellStyle name="Currency 2 3 6 4 3" xfId="15620"/>
    <cellStyle name="Currency 2 3 6 4 3 2" xfId="15621"/>
    <cellStyle name="Currency 2 3 6 4 3 3" xfId="15622"/>
    <cellStyle name="Currency 2 3 6 4 4" xfId="15623"/>
    <cellStyle name="Currency 2 3 6 4 5" xfId="15624"/>
    <cellStyle name="Currency 2 3 6 5" xfId="15625"/>
    <cellStyle name="Currency 2 3 6 5 2" xfId="15626"/>
    <cellStyle name="Currency 2 3 6 5 3" xfId="15627"/>
    <cellStyle name="Currency 2 3 6 6" xfId="15628"/>
    <cellStyle name="Currency 2 3 6 6 2" xfId="15629"/>
    <cellStyle name="Currency 2 3 6 6 3" xfId="15630"/>
    <cellStyle name="Currency 2 3 6 7" xfId="15631"/>
    <cellStyle name="Currency 2 3 6 8" xfId="15632"/>
    <cellStyle name="Currency 2 3 7" xfId="15633"/>
    <cellStyle name="Currency 2 3 7 2" xfId="15634"/>
    <cellStyle name="Currency 2 3 7 2 2" xfId="15635"/>
    <cellStyle name="Currency 2 3 7 2 2 2" xfId="15636"/>
    <cellStyle name="Currency 2 3 7 2 2 3" xfId="15637"/>
    <cellStyle name="Currency 2 3 7 2 3" xfId="15638"/>
    <cellStyle name="Currency 2 3 7 2 3 2" xfId="15639"/>
    <cellStyle name="Currency 2 3 7 2 3 3" xfId="15640"/>
    <cellStyle name="Currency 2 3 7 2 4" xfId="15641"/>
    <cellStyle name="Currency 2 3 7 2 5" xfId="15642"/>
    <cellStyle name="Currency 2 3 7 3" xfId="15643"/>
    <cellStyle name="Currency 2 3 7 3 2" xfId="15644"/>
    <cellStyle name="Currency 2 3 7 3 3" xfId="15645"/>
    <cellStyle name="Currency 2 3 7 4" xfId="15646"/>
    <cellStyle name="Currency 2 3 7 4 2" xfId="15647"/>
    <cellStyle name="Currency 2 3 7 4 3" xfId="15648"/>
    <cellStyle name="Currency 2 3 7 5" xfId="15649"/>
    <cellStyle name="Currency 2 3 7 6" xfId="15650"/>
    <cellStyle name="Currency 2 3 8" xfId="15651"/>
    <cellStyle name="Currency 2 3 8 2" xfId="15652"/>
    <cellStyle name="Currency 2 3 8 2 2" xfId="15653"/>
    <cellStyle name="Currency 2 3 8 2 2 2" xfId="15654"/>
    <cellStyle name="Currency 2 3 8 2 2 3" xfId="15655"/>
    <cellStyle name="Currency 2 3 8 2 3" xfId="15656"/>
    <cellStyle name="Currency 2 3 8 2 3 2" xfId="15657"/>
    <cellStyle name="Currency 2 3 8 2 3 3" xfId="15658"/>
    <cellStyle name="Currency 2 3 8 2 4" xfId="15659"/>
    <cellStyle name="Currency 2 3 8 2 5" xfId="15660"/>
    <cellStyle name="Currency 2 3 8 3" xfId="15661"/>
    <cellStyle name="Currency 2 3 8 3 2" xfId="15662"/>
    <cellStyle name="Currency 2 3 8 3 3" xfId="15663"/>
    <cellStyle name="Currency 2 3 8 4" xfId="15664"/>
    <cellStyle name="Currency 2 3 8 4 2" xfId="15665"/>
    <cellStyle name="Currency 2 3 8 4 3" xfId="15666"/>
    <cellStyle name="Currency 2 3 8 5" xfId="15667"/>
    <cellStyle name="Currency 2 3 8 6" xfId="15668"/>
    <cellStyle name="Currency 2 3 9" xfId="15669"/>
    <cellStyle name="Currency 2 3 9 2" xfId="15670"/>
    <cellStyle name="Currency 2 3 9 2 2" xfId="15671"/>
    <cellStyle name="Currency 2 3 9 2 3" xfId="15672"/>
    <cellStyle name="Currency 2 3 9 3" xfId="15673"/>
    <cellStyle name="Currency 2 3 9 3 2" xfId="15674"/>
    <cellStyle name="Currency 2 3 9 3 3" xfId="15675"/>
    <cellStyle name="Currency 2 3 9 4" xfId="15676"/>
    <cellStyle name="Currency 2 3 9 5" xfId="15677"/>
    <cellStyle name="Currency 2 4" xfId="15678"/>
    <cellStyle name="Currency 2 4 10" xfId="15679"/>
    <cellStyle name="Currency 2 4 10 2" xfId="15680"/>
    <cellStyle name="Currency 2 4 10 3" xfId="15681"/>
    <cellStyle name="Currency 2 4 11" xfId="15682"/>
    <cellStyle name="Currency 2 4 12" xfId="15683"/>
    <cellStyle name="Currency 2 4 13" xfId="15684"/>
    <cellStyle name="Currency 2 4 14" xfId="15685"/>
    <cellStyle name="Currency 2 4 2" xfId="15686"/>
    <cellStyle name="Currency 2 4 2 10" xfId="15687"/>
    <cellStyle name="Currency 2 4 2 11" xfId="15688"/>
    <cellStyle name="Currency 2 4 2 12" xfId="15689"/>
    <cellStyle name="Currency 2 4 2 2" xfId="15690"/>
    <cellStyle name="Currency 2 4 2 2 2" xfId="15691"/>
    <cellStyle name="Currency 2 4 2 2 2 2" xfId="15692"/>
    <cellStyle name="Currency 2 4 2 2 2 2 2" xfId="15693"/>
    <cellStyle name="Currency 2 4 2 2 2 2 2 2" xfId="15694"/>
    <cellStyle name="Currency 2 4 2 2 2 2 2 2 2" xfId="15695"/>
    <cellStyle name="Currency 2 4 2 2 2 2 2 2 3" xfId="15696"/>
    <cellStyle name="Currency 2 4 2 2 2 2 2 3" xfId="15697"/>
    <cellStyle name="Currency 2 4 2 2 2 2 2 3 2" xfId="15698"/>
    <cellStyle name="Currency 2 4 2 2 2 2 2 3 3" xfId="15699"/>
    <cellStyle name="Currency 2 4 2 2 2 2 2 4" xfId="15700"/>
    <cellStyle name="Currency 2 4 2 2 2 2 2 5" xfId="15701"/>
    <cellStyle name="Currency 2 4 2 2 2 2 3" xfId="15702"/>
    <cellStyle name="Currency 2 4 2 2 2 2 3 2" xfId="15703"/>
    <cellStyle name="Currency 2 4 2 2 2 2 3 3" xfId="15704"/>
    <cellStyle name="Currency 2 4 2 2 2 2 4" xfId="15705"/>
    <cellStyle name="Currency 2 4 2 2 2 2 4 2" xfId="15706"/>
    <cellStyle name="Currency 2 4 2 2 2 2 4 3" xfId="15707"/>
    <cellStyle name="Currency 2 4 2 2 2 2 5" xfId="15708"/>
    <cellStyle name="Currency 2 4 2 2 2 2 6" xfId="15709"/>
    <cellStyle name="Currency 2 4 2 2 2 3" xfId="15710"/>
    <cellStyle name="Currency 2 4 2 2 2 3 2" xfId="15711"/>
    <cellStyle name="Currency 2 4 2 2 2 3 2 2" xfId="15712"/>
    <cellStyle name="Currency 2 4 2 2 2 3 2 2 2" xfId="15713"/>
    <cellStyle name="Currency 2 4 2 2 2 3 2 2 3" xfId="15714"/>
    <cellStyle name="Currency 2 4 2 2 2 3 2 3" xfId="15715"/>
    <cellStyle name="Currency 2 4 2 2 2 3 2 3 2" xfId="15716"/>
    <cellStyle name="Currency 2 4 2 2 2 3 2 3 3" xfId="15717"/>
    <cellStyle name="Currency 2 4 2 2 2 3 2 4" xfId="15718"/>
    <cellStyle name="Currency 2 4 2 2 2 3 2 5" xfId="15719"/>
    <cellStyle name="Currency 2 4 2 2 2 3 3" xfId="15720"/>
    <cellStyle name="Currency 2 4 2 2 2 3 3 2" xfId="15721"/>
    <cellStyle name="Currency 2 4 2 2 2 3 3 3" xfId="15722"/>
    <cellStyle name="Currency 2 4 2 2 2 3 4" xfId="15723"/>
    <cellStyle name="Currency 2 4 2 2 2 3 4 2" xfId="15724"/>
    <cellStyle name="Currency 2 4 2 2 2 3 4 3" xfId="15725"/>
    <cellStyle name="Currency 2 4 2 2 2 3 5" xfId="15726"/>
    <cellStyle name="Currency 2 4 2 2 2 3 6" xfId="15727"/>
    <cellStyle name="Currency 2 4 2 2 2 4" xfId="15728"/>
    <cellStyle name="Currency 2 4 2 2 2 4 2" xfId="15729"/>
    <cellStyle name="Currency 2 4 2 2 2 4 2 2" xfId="15730"/>
    <cellStyle name="Currency 2 4 2 2 2 4 2 3" xfId="15731"/>
    <cellStyle name="Currency 2 4 2 2 2 4 3" xfId="15732"/>
    <cellStyle name="Currency 2 4 2 2 2 4 3 2" xfId="15733"/>
    <cellStyle name="Currency 2 4 2 2 2 4 3 3" xfId="15734"/>
    <cellStyle name="Currency 2 4 2 2 2 4 4" xfId="15735"/>
    <cellStyle name="Currency 2 4 2 2 2 4 5" xfId="15736"/>
    <cellStyle name="Currency 2 4 2 2 2 5" xfId="15737"/>
    <cellStyle name="Currency 2 4 2 2 2 5 2" xfId="15738"/>
    <cellStyle name="Currency 2 4 2 2 2 5 3" xfId="15739"/>
    <cellStyle name="Currency 2 4 2 2 2 6" xfId="15740"/>
    <cellStyle name="Currency 2 4 2 2 2 6 2" xfId="15741"/>
    <cellStyle name="Currency 2 4 2 2 2 6 3" xfId="15742"/>
    <cellStyle name="Currency 2 4 2 2 2 7" xfId="15743"/>
    <cellStyle name="Currency 2 4 2 2 2 8" xfId="15744"/>
    <cellStyle name="Currency 2 4 2 2 3" xfId="15745"/>
    <cellStyle name="Currency 2 4 2 2 3 2" xfId="15746"/>
    <cellStyle name="Currency 2 4 2 2 3 2 2" xfId="15747"/>
    <cellStyle name="Currency 2 4 2 2 3 2 2 2" xfId="15748"/>
    <cellStyle name="Currency 2 4 2 2 3 2 2 3" xfId="15749"/>
    <cellStyle name="Currency 2 4 2 2 3 2 3" xfId="15750"/>
    <cellStyle name="Currency 2 4 2 2 3 2 3 2" xfId="15751"/>
    <cellStyle name="Currency 2 4 2 2 3 2 3 3" xfId="15752"/>
    <cellStyle name="Currency 2 4 2 2 3 2 4" xfId="15753"/>
    <cellStyle name="Currency 2 4 2 2 3 2 5" xfId="15754"/>
    <cellStyle name="Currency 2 4 2 2 3 3" xfId="15755"/>
    <cellStyle name="Currency 2 4 2 2 3 3 2" xfId="15756"/>
    <cellStyle name="Currency 2 4 2 2 3 3 3" xfId="15757"/>
    <cellStyle name="Currency 2 4 2 2 3 4" xfId="15758"/>
    <cellStyle name="Currency 2 4 2 2 3 4 2" xfId="15759"/>
    <cellStyle name="Currency 2 4 2 2 3 4 3" xfId="15760"/>
    <cellStyle name="Currency 2 4 2 2 3 5" xfId="15761"/>
    <cellStyle name="Currency 2 4 2 2 3 6" xfId="15762"/>
    <cellStyle name="Currency 2 4 2 2 4" xfId="15763"/>
    <cellStyle name="Currency 2 4 2 2 4 2" xfId="15764"/>
    <cellStyle name="Currency 2 4 2 2 4 2 2" xfId="15765"/>
    <cellStyle name="Currency 2 4 2 2 4 2 2 2" xfId="15766"/>
    <cellStyle name="Currency 2 4 2 2 4 2 2 3" xfId="15767"/>
    <cellStyle name="Currency 2 4 2 2 4 2 3" xfId="15768"/>
    <cellStyle name="Currency 2 4 2 2 4 2 3 2" xfId="15769"/>
    <cellStyle name="Currency 2 4 2 2 4 2 3 3" xfId="15770"/>
    <cellStyle name="Currency 2 4 2 2 4 2 4" xfId="15771"/>
    <cellStyle name="Currency 2 4 2 2 4 2 5" xfId="15772"/>
    <cellStyle name="Currency 2 4 2 2 4 3" xfId="15773"/>
    <cellStyle name="Currency 2 4 2 2 4 3 2" xfId="15774"/>
    <cellStyle name="Currency 2 4 2 2 4 3 3" xfId="15775"/>
    <cellStyle name="Currency 2 4 2 2 4 4" xfId="15776"/>
    <cellStyle name="Currency 2 4 2 2 4 4 2" xfId="15777"/>
    <cellStyle name="Currency 2 4 2 2 4 4 3" xfId="15778"/>
    <cellStyle name="Currency 2 4 2 2 4 5" xfId="15779"/>
    <cellStyle name="Currency 2 4 2 2 4 6" xfId="15780"/>
    <cellStyle name="Currency 2 4 2 2 5" xfId="15781"/>
    <cellStyle name="Currency 2 4 2 2 5 2" xfId="15782"/>
    <cellStyle name="Currency 2 4 2 2 5 2 2" xfId="15783"/>
    <cellStyle name="Currency 2 4 2 2 5 2 3" xfId="15784"/>
    <cellStyle name="Currency 2 4 2 2 5 3" xfId="15785"/>
    <cellStyle name="Currency 2 4 2 2 5 3 2" xfId="15786"/>
    <cellStyle name="Currency 2 4 2 2 5 3 3" xfId="15787"/>
    <cellStyle name="Currency 2 4 2 2 5 4" xfId="15788"/>
    <cellStyle name="Currency 2 4 2 2 5 5" xfId="15789"/>
    <cellStyle name="Currency 2 4 2 2 6" xfId="15790"/>
    <cellStyle name="Currency 2 4 2 2 6 2" xfId="15791"/>
    <cellStyle name="Currency 2 4 2 2 6 3" xfId="15792"/>
    <cellStyle name="Currency 2 4 2 2 7" xfId="15793"/>
    <cellStyle name="Currency 2 4 2 2 7 2" xfId="15794"/>
    <cellStyle name="Currency 2 4 2 2 7 3" xfId="15795"/>
    <cellStyle name="Currency 2 4 2 2 8" xfId="15796"/>
    <cellStyle name="Currency 2 4 2 2 9" xfId="15797"/>
    <cellStyle name="Currency 2 4 2 3" xfId="15798"/>
    <cellStyle name="Currency 2 4 2 3 2" xfId="15799"/>
    <cellStyle name="Currency 2 4 2 3 2 2" xfId="15800"/>
    <cellStyle name="Currency 2 4 2 3 2 2 2" xfId="15801"/>
    <cellStyle name="Currency 2 4 2 3 2 2 2 2" xfId="15802"/>
    <cellStyle name="Currency 2 4 2 3 2 2 2 3" xfId="15803"/>
    <cellStyle name="Currency 2 4 2 3 2 2 3" xfId="15804"/>
    <cellStyle name="Currency 2 4 2 3 2 2 3 2" xfId="15805"/>
    <cellStyle name="Currency 2 4 2 3 2 2 3 3" xfId="15806"/>
    <cellStyle name="Currency 2 4 2 3 2 2 4" xfId="15807"/>
    <cellStyle name="Currency 2 4 2 3 2 2 5" xfId="15808"/>
    <cellStyle name="Currency 2 4 2 3 2 3" xfId="15809"/>
    <cellStyle name="Currency 2 4 2 3 2 3 2" xfId="15810"/>
    <cellStyle name="Currency 2 4 2 3 2 3 3" xfId="15811"/>
    <cellStyle name="Currency 2 4 2 3 2 4" xfId="15812"/>
    <cellStyle name="Currency 2 4 2 3 2 4 2" xfId="15813"/>
    <cellStyle name="Currency 2 4 2 3 2 4 3" xfId="15814"/>
    <cellStyle name="Currency 2 4 2 3 2 5" xfId="15815"/>
    <cellStyle name="Currency 2 4 2 3 2 6" xfId="15816"/>
    <cellStyle name="Currency 2 4 2 3 3" xfId="15817"/>
    <cellStyle name="Currency 2 4 2 3 3 2" xfId="15818"/>
    <cellStyle name="Currency 2 4 2 3 3 2 2" xfId="15819"/>
    <cellStyle name="Currency 2 4 2 3 3 2 2 2" xfId="15820"/>
    <cellStyle name="Currency 2 4 2 3 3 2 2 3" xfId="15821"/>
    <cellStyle name="Currency 2 4 2 3 3 2 3" xfId="15822"/>
    <cellStyle name="Currency 2 4 2 3 3 2 3 2" xfId="15823"/>
    <cellStyle name="Currency 2 4 2 3 3 2 3 3" xfId="15824"/>
    <cellStyle name="Currency 2 4 2 3 3 2 4" xfId="15825"/>
    <cellStyle name="Currency 2 4 2 3 3 2 5" xfId="15826"/>
    <cellStyle name="Currency 2 4 2 3 3 3" xfId="15827"/>
    <cellStyle name="Currency 2 4 2 3 3 3 2" xfId="15828"/>
    <cellStyle name="Currency 2 4 2 3 3 3 3" xfId="15829"/>
    <cellStyle name="Currency 2 4 2 3 3 4" xfId="15830"/>
    <cellStyle name="Currency 2 4 2 3 3 4 2" xfId="15831"/>
    <cellStyle name="Currency 2 4 2 3 3 4 3" xfId="15832"/>
    <cellStyle name="Currency 2 4 2 3 3 5" xfId="15833"/>
    <cellStyle name="Currency 2 4 2 3 3 6" xfId="15834"/>
    <cellStyle name="Currency 2 4 2 3 4" xfId="15835"/>
    <cellStyle name="Currency 2 4 2 3 4 2" xfId="15836"/>
    <cellStyle name="Currency 2 4 2 3 4 2 2" xfId="15837"/>
    <cellStyle name="Currency 2 4 2 3 4 2 3" xfId="15838"/>
    <cellStyle name="Currency 2 4 2 3 4 3" xfId="15839"/>
    <cellStyle name="Currency 2 4 2 3 4 3 2" xfId="15840"/>
    <cellStyle name="Currency 2 4 2 3 4 3 3" xfId="15841"/>
    <cellStyle name="Currency 2 4 2 3 4 4" xfId="15842"/>
    <cellStyle name="Currency 2 4 2 3 4 5" xfId="15843"/>
    <cellStyle name="Currency 2 4 2 3 5" xfId="15844"/>
    <cellStyle name="Currency 2 4 2 3 5 2" xfId="15845"/>
    <cellStyle name="Currency 2 4 2 3 5 3" xfId="15846"/>
    <cellStyle name="Currency 2 4 2 3 6" xfId="15847"/>
    <cellStyle name="Currency 2 4 2 3 6 2" xfId="15848"/>
    <cellStyle name="Currency 2 4 2 3 6 3" xfId="15849"/>
    <cellStyle name="Currency 2 4 2 3 7" xfId="15850"/>
    <cellStyle name="Currency 2 4 2 3 8" xfId="15851"/>
    <cellStyle name="Currency 2 4 2 4" xfId="15852"/>
    <cellStyle name="Currency 2 4 2 4 2" xfId="15853"/>
    <cellStyle name="Currency 2 4 2 4 2 2" xfId="15854"/>
    <cellStyle name="Currency 2 4 2 4 2 2 2" xfId="15855"/>
    <cellStyle name="Currency 2 4 2 4 2 2 3" xfId="15856"/>
    <cellStyle name="Currency 2 4 2 4 2 3" xfId="15857"/>
    <cellStyle name="Currency 2 4 2 4 2 3 2" xfId="15858"/>
    <cellStyle name="Currency 2 4 2 4 2 3 3" xfId="15859"/>
    <cellStyle name="Currency 2 4 2 4 2 4" xfId="15860"/>
    <cellStyle name="Currency 2 4 2 4 2 5" xfId="15861"/>
    <cellStyle name="Currency 2 4 2 4 3" xfId="15862"/>
    <cellStyle name="Currency 2 4 2 4 3 2" xfId="15863"/>
    <cellStyle name="Currency 2 4 2 4 3 3" xfId="15864"/>
    <cellStyle name="Currency 2 4 2 4 4" xfId="15865"/>
    <cellStyle name="Currency 2 4 2 4 4 2" xfId="15866"/>
    <cellStyle name="Currency 2 4 2 4 4 3" xfId="15867"/>
    <cellStyle name="Currency 2 4 2 4 5" xfId="15868"/>
    <cellStyle name="Currency 2 4 2 4 6" xfId="15869"/>
    <cellStyle name="Currency 2 4 2 5" xfId="15870"/>
    <cellStyle name="Currency 2 4 2 5 2" xfId="15871"/>
    <cellStyle name="Currency 2 4 2 5 2 2" xfId="15872"/>
    <cellStyle name="Currency 2 4 2 5 2 2 2" xfId="15873"/>
    <cellStyle name="Currency 2 4 2 5 2 2 3" xfId="15874"/>
    <cellStyle name="Currency 2 4 2 5 2 3" xfId="15875"/>
    <cellStyle name="Currency 2 4 2 5 2 3 2" xfId="15876"/>
    <cellStyle name="Currency 2 4 2 5 2 3 3" xfId="15877"/>
    <cellStyle name="Currency 2 4 2 5 2 4" xfId="15878"/>
    <cellStyle name="Currency 2 4 2 5 2 5" xfId="15879"/>
    <cellStyle name="Currency 2 4 2 5 3" xfId="15880"/>
    <cellStyle name="Currency 2 4 2 5 3 2" xfId="15881"/>
    <cellStyle name="Currency 2 4 2 5 3 3" xfId="15882"/>
    <cellStyle name="Currency 2 4 2 5 4" xfId="15883"/>
    <cellStyle name="Currency 2 4 2 5 4 2" xfId="15884"/>
    <cellStyle name="Currency 2 4 2 5 4 3" xfId="15885"/>
    <cellStyle name="Currency 2 4 2 5 5" xfId="15886"/>
    <cellStyle name="Currency 2 4 2 5 6" xfId="15887"/>
    <cellStyle name="Currency 2 4 2 6" xfId="15888"/>
    <cellStyle name="Currency 2 4 2 6 2" xfId="15889"/>
    <cellStyle name="Currency 2 4 2 6 2 2" xfId="15890"/>
    <cellStyle name="Currency 2 4 2 6 2 3" xfId="15891"/>
    <cellStyle name="Currency 2 4 2 6 3" xfId="15892"/>
    <cellStyle name="Currency 2 4 2 6 3 2" xfId="15893"/>
    <cellStyle name="Currency 2 4 2 6 3 3" xfId="15894"/>
    <cellStyle name="Currency 2 4 2 6 4" xfId="15895"/>
    <cellStyle name="Currency 2 4 2 6 5" xfId="15896"/>
    <cellStyle name="Currency 2 4 2 7" xfId="15897"/>
    <cellStyle name="Currency 2 4 2 7 2" xfId="15898"/>
    <cellStyle name="Currency 2 4 2 7 3" xfId="15899"/>
    <cellStyle name="Currency 2 4 2 8" xfId="15900"/>
    <cellStyle name="Currency 2 4 2 8 2" xfId="15901"/>
    <cellStyle name="Currency 2 4 2 8 3" xfId="15902"/>
    <cellStyle name="Currency 2 4 2 9" xfId="15903"/>
    <cellStyle name="Currency 2 4 3" xfId="15904"/>
    <cellStyle name="Currency 2 4 3 10" xfId="15905"/>
    <cellStyle name="Currency 2 4 3 2" xfId="15906"/>
    <cellStyle name="Currency 2 4 3 2 2" xfId="15907"/>
    <cellStyle name="Currency 2 4 3 2 2 2" xfId="15908"/>
    <cellStyle name="Currency 2 4 3 2 2 2 2" xfId="15909"/>
    <cellStyle name="Currency 2 4 3 2 2 2 2 2" xfId="15910"/>
    <cellStyle name="Currency 2 4 3 2 2 2 2 2 2" xfId="15911"/>
    <cellStyle name="Currency 2 4 3 2 2 2 2 2 3" xfId="15912"/>
    <cellStyle name="Currency 2 4 3 2 2 2 2 3" xfId="15913"/>
    <cellStyle name="Currency 2 4 3 2 2 2 2 3 2" xfId="15914"/>
    <cellStyle name="Currency 2 4 3 2 2 2 2 3 3" xfId="15915"/>
    <cellStyle name="Currency 2 4 3 2 2 2 2 4" xfId="15916"/>
    <cellStyle name="Currency 2 4 3 2 2 2 2 5" xfId="15917"/>
    <cellStyle name="Currency 2 4 3 2 2 2 3" xfId="15918"/>
    <cellStyle name="Currency 2 4 3 2 2 2 3 2" xfId="15919"/>
    <cellStyle name="Currency 2 4 3 2 2 2 3 3" xfId="15920"/>
    <cellStyle name="Currency 2 4 3 2 2 2 4" xfId="15921"/>
    <cellStyle name="Currency 2 4 3 2 2 2 4 2" xfId="15922"/>
    <cellStyle name="Currency 2 4 3 2 2 2 4 3" xfId="15923"/>
    <cellStyle name="Currency 2 4 3 2 2 2 5" xfId="15924"/>
    <cellStyle name="Currency 2 4 3 2 2 2 6" xfId="15925"/>
    <cellStyle name="Currency 2 4 3 2 2 3" xfId="15926"/>
    <cellStyle name="Currency 2 4 3 2 2 3 2" xfId="15927"/>
    <cellStyle name="Currency 2 4 3 2 2 3 2 2" xfId="15928"/>
    <cellStyle name="Currency 2 4 3 2 2 3 2 2 2" xfId="15929"/>
    <cellStyle name="Currency 2 4 3 2 2 3 2 2 3" xfId="15930"/>
    <cellStyle name="Currency 2 4 3 2 2 3 2 3" xfId="15931"/>
    <cellStyle name="Currency 2 4 3 2 2 3 2 3 2" xfId="15932"/>
    <cellStyle name="Currency 2 4 3 2 2 3 2 3 3" xfId="15933"/>
    <cellStyle name="Currency 2 4 3 2 2 3 2 4" xfId="15934"/>
    <cellStyle name="Currency 2 4 3 2 2 3 2 5" xfId="15935"/>
    <cellStyle name="Currency 2 4 3 2 2 3 3" xfId="15936"/>
    <cellStyle name="Currency 2 4 3 2 2 3 3 2" xfId="15937"/>
    <cellStyle name="Currency 2 4 3 2 2 3 3 3" xfId="15938"/>
    <cellStyle name="Currency 2 4 3 2 2 3 4" xfId="15939"/>
    <cellStyle name="Currency 2 4 3 2 2 3 4 2" xfId="15940"/>
    <cellStyle name="Currency 2 4 3 2 2 3 4 3" xfId="15941"/>
    <cellStyle name="Currency 2 4 3 2 2 3 5" xfId="15942"/>
    <cellStyle name="Currency 2 4 3 2 2 3 6" xfId="15943"/>
    <cellStyle name="Currency 2 4 3 2 2 4" xfId="15944"/>
    <cellStyle name="Currency 2 4 3 2 2 4 2" xfId="15945"/>
    <cellStyle name="Currency 2 4 3 2 2 4 2 2" xfId="15946"/>
    <cellStyle name="Currency 2 4 3 2 2 4 2 3" xfId="15947"/>
    <cellStyle name="Currency 2 4 3 2 2 4 3" xfId="15948"/>
    <cellStyle name="Currency 2 4 3 2 2 4 3 2" xfId="15949"/>
    <cellStyle name="Currency 2 4 3 2 2 4 3 3" xfId="15950"/>
    <cellStyle name="Currency 2 4 3 2 2 4 4" xfId="15951"/>
    <cellStyle name="Currency 2 4 3 2 2 4 5" xfId="15952"/>
    <cellStyle name="Currency 2 4 3 2 2 5" xfId="15953"/>
    <cellStyle name="Currency 2 4 3 2 2 5 2" xfId="15954"/>
    <cellStyle name="Currency 2 4 3 2 2 5 3" xfId="15955"/>
    <cellStyle name="Currency 2 4 3 2 2 6" xfId="15956"/>
    <cellStyle name="Currency 2 4 3 2 2 6 2" xfId="15957"/>
    <cellStyle name="Currency 2 4 3 2 2 6 3" xfId="15958"/>
    <cellStyle name="Currency 2 4 3 2 2 7" xfId="15959"/>
    <cellStyle name="Currency 2 4 3 2 2 8" xfId="15960"/>
    <cellStyle name="Currency 2 4 3 2 3" xfId="15961"/>
    <cellStyle name="Currency 2 4 3 2 3 2" xfId="15962"/>
    <cellStyle name="Currency 2 4 3 2 3 2 2" xfId="15963"/>
    <cellStyle name="Currency 2 4 3 2 3 2 2 2" xfId="15964"/>
    <cellStyle name="Currency 2 4 3 2 3 2 2 3" xfId="15965"/>
    <cellStyle name="Currency 2 4 3 2 3 2 3" xfId="15966"/>
    <cellStyle name="Currency 2 4 3 2 3 2 3 2" xfId="15967"/>
    <cellStyle name="Currency 2 4 3 2 3 2 3 3" xfId="15968"/>
    <cellStyle name="Currency 2 4 3 2 3 2 4" xfId="15969"/>
    <cellStyle name="Currency 2 4 3 2 3 2 5" xfId="15970"/>
    <cellStyle name="Currency 2 4 3 2 3 3" xfId="15971"/>
    <cellStyle name="Currency 2 4 3 2 3 3 2" xfId="15972"/>
    <cellStyle name="Currency 2 4 3 2 3 3 3" xfId="15973"/>
    <cellStyle name="Currency 2 4 3 2 3 4" xfId="15974"/>
    <cellStyle name="Currency 2 4 3 2 3 4 2" xfId="15975"/>
    <cellStyle name="Currency 2 4 3 2 3 4 3" xfId="15976"/>
    <cellStyle name="Currency 2 4 3 2 3 5" xfId="15977"/>
    <cellStyle name="Currency 2 4 3 2 3 6" xfId="15978"/>
    <cellStyle name="Currency 2 4 3 2 4" xfId="15979"/>
    <cellStyle name="Currency 2 4 3 2 4 2" xfId="15980"/>
    <cellStyle name="Currency 2 4 3 2 4 2 2" xfId="15981"/>
    <cellStyle name="Currency 2 4 3 2 4 2 2 2" xfId="15982"/>
    <cellStyle name="Currency 2 4 3 2 4 2 2 3" xfId="15983"/>
    <cellStyle name="Currency 2 4 3 2 4 2 3" xfId="15984"/>
    <cellStyle name="Currency 2 4 3 2 4 2 3 2" xfId="15985"/>
    <cellStyle name="Currency 2 4 3 2 4 2 3 3" xfId="15986"/>
    <cellStyle name="Currency 2 4 3 2 4 2 4" xfId="15987"/>
    <cellStyle name="Currency 2 4 3 2 4 2 5" xfId="15988"/>
    <cellStyle name="Currency 2 4 3 2 4 3" xfId="15989"/>
    <cellStyle name="Currency 2 4 3 2 4 3 2" xfId="15990"/>
    <cellStyle name="Currency 2 4 3 2 4 3 3" xfId="15991"/>
    <cellStyle name="Currency 2 4 3 2 4 4" xfId="15992"/>
    <cellStyle name="Currency 2 4 3 2 4 4 2" xfId="15993"/>
    <cellStyle name="Currency 2 4 3 2 4 4 3" xfId="15994"/>
    <cellStyle name="Currency 2 4 3 2 4 5" xfId="15995"/>
    <cellStyle name="Currency 2 4 3 2 4 6" xfId="15996"/>
    <cellStyle name="Currency 2 4 3 2 5" xfId="15997"/>
    <cellStyle name="Currency 2 4 3 2 5 2" xfId="15998"/>
    <cellStyle name="Currency 2 4 3 2 5 2 2" xfId="15999"/>
    <cellStyle name="Currency 2 4 3 2 5 2 3" xfId="16000"/>
    <cellStyle name="Currency 2 4 3 2 5 3" xfId="16001"/>
    <cellStyle name="Currency 2 4 3 2 5 3 2" xfId="16002"/>
    <cellStyle name="Currency 2 4 3 2 5 3 3" xfId="16003"/>
    <cellStyle name="Currency 2 4 3 2 5 4" xfId="16004"/>
    <cellStyle name="Currency 2 4 3 2 5 5" xfId="16005"/>
    <cellStyle name="Currency 2 4 3 2 6" xfId="16006"/>
    <cellStyle name="Currency 2 4 3 2 6 2" xfId="16007"/>
    <cellStyle name="Currency 2 4 3 2 6 3" xfId="16008"/>
    <cellStyle name="Currency 2 4 3 2 7" xfId="16009"/>
    <cellStyle name="Currency 2 4 3 2 7 2" xfId="16010"/>
    <cellStyle name="Currency 2 4 3 2 7 3" xfId="16011"/>
    <cellStyle name="Currency 2 4 3 2 8" xfId="16012"/>
    <cellStyle name="Currency 2 4 3 2 9" xfId="16013"/>
    <cellStyle name="Currency 2 4 3 3" xfId="16014"/>
    <cellStyle name="Currency 2 4 3 3 2" xfId="16015"/>
    <cellStyle name="Currency 2 4 3 3 2 2" xfId="16016"/>
    <cellStyle name="Currency 2 4 3 3 2 2 2" xfId="16017"/>
    <cellStyle name="Currency 2 4 3 3 2 2 2 2" xfId="16018"/>
    <cellStyle name="Currency 2 4 3 3 2 2 2 3" xfId="16019"/>
    <cellStyle name="Currency 2 4 3 3 2 2 3" xfId="16020"/>
    <cellStyle name="Currency 2 4 3 3 2 2 3 2" xfId="16021"/>
    <cellStyle name="Currency 2 4 3 3 2 2 3 3" xfId="16022"/>
    <cellStyle name="Currency 2 4 3 3 2 2 4" xfId="16023"/>
    <cellStyle name="Currency 2 4 3 3 2 2 5" xfId="16024"/>
    <cellStyle name="Currency 2 4 3 3 2 3" xfId="16025"/>
    <cellStyle name="Currency 2 4 3 3 2 3 2" xfId="16026"/>
    <cellStyle name="Currency 2 4 3 3 2 3 3" xfId="16027"/>
    <cellStyle name="Currency 2 4 3 3 2 4" xfId="16028"/>
    <cellStyle name="Currency 2 4 3 3 2 4 2" xfId="16029"/>
    <cellStyle name="Currency 2 4 3 3 2 4 3" xfId="16030"/>
    <cellStyle name="Currency 2 4 3 3 2 5" xfId="16031"/>
    <cellStyle name="Currency 2 4 3 3 2 6" xfId="16032"/>
    <cellStyle name="Currency 2 4 3 3 3" xfId="16033"/>
    <cellStyle name="Currency 2 4 3 3 3 2" xfId="16034"/>
    <cellStyle name="Currency 2 4 3 3 3 2 2" xfId="16035"/>
    <cellStyle name="Currency 2 4 3 3 3 2 2 2" xfId="16036"/>
    <cellStyle name="Currency 2 4 3 3 3 2 2 3" xfId="16037"/>
    <cellStyle name="Currency 2 4 3 3 3 2 3" xfId="16038"/>
    <cellStyle name="Currency 2 4 3 3 3 2 3 2" xfId="16039"/>
    <cellStyle name="Currency 2 4 3 3 3 2 3 3" xfId="16040"/>
    <cellStyle name="Currency 2 4 3 3 3 2 4" xfId="16041"/>
    <cellStyle name="Currency 2 4 3 3 3 2 5" xfId="16042"/>
    <cellStyle name="Currency 2 4 3 3 3 3" xfId="16043"/>
    <cellStyle name="Currency 2 4 3 3 3 3 2" xfId="16044"/>
    <cellStyle name="Currency 2 4 3 3 3 3 3" xfId="16045"/>
    <cellStyle name="Currency 2 4 3 3 3 4" xfId="16046"/>
    <cellStyle name="Currency 2 4 3 3 3 4 2" xfId="16047"/>
    <cellStyle name="Currency 2 4 3 3 3 4 3" xfId="16048"/>
    <cellStyle name="Currency 2 4 3 3 3 5" xfId="16049"/>
    <cellStyle name="Currency 2 4 3 3 3 6" xfId="16050"/>
    <cellStyle name="Currency 2 4 3 3 4" xfId="16051"/>
    <cellStyle name="Currency 2 4 3 3 4 2" xfId="16052"/>
    <cellStyle name="Currency 2 4 3 3 4 2 2" xfId="16053"/>
    <cellStyle name="Currency 2 4 3 3 4 2 3" xfId="16054"/>
    <cellStyle name="Currency 2 4 3 3 4 3" xfId="16055"/>
    <cellStyle name="Currency 2 4 3 3 4 3 2" xfId="16056"/>
    <cellStyle name="Currency 2 4 3 3 4 3 3" xfId="16057"/>
    <cellStyle name="Currency 2 4 3 3 4 4" xfId="16058"/>
    <cellStyle name="Currency 2 4 3 3 4 5" xfId="16059"/>
    <cellStyle name="Currency 2 4 3 3 5" xfId="16060"/>
    <cellStyle name="Currency 2 4 3 3 5 2" xfId="16061"/>
    <cellStyle name="Currency 2 4 3 3 5 3" xfId="16062"/>
    <cellStyle name="Currency 2 4 3 3 6" xfId="16063"/>
    <cellStyle name="Currency 2 4 3 3 6 2" xfId="16064"/>
    <cellStyle name="Currency 2 4 3 3 6 3" xfId="16065"/>
    <cellStyle name="Currency 2 4 3 3 7" xfId="16066"/>
    <cellStyle name="Currency 2 4 3 3 8" xfId="16067"/>
    <cellStyle name="Currency 2 4 3 4" xfId="16068"/>
    <cellStyle name="Currency 2 4 3 4 2" xfId="16069"/>
    <cellStyle name="Currency 2 4 3 4 2 2" xfId="16070"/>
    <cellStyle name="Currency 2 4 3 4 2 2 2" xfId="16071"/>
    <cellStyle name="Currency 2 4 3 4 2 2 3" xfId="16072"/>
    <cellStyle name="Currency 2 4 3 4 2 3" xfId="16073"/>
    <cellStyle name="Currency 2 4 3 4 2 3 2" xfId="16074"/>
    <cellStyle name="Currency 2 4 3 4 2 3 3" xfId="16075"/>
    <cellStyle name="Currency 2 4 3 4 2 4" xfId="16076"/>
    <cellStyle name="Currency 2 4 3 4 2 5" xfId="16077"/>
    <cellStyle name="Currency 2 4 3 4 3" xfId="16078"/>
    <cellStyle name="Currency 2 4 3 4 3 2" xfId="16079"/>
    <cellStyle name="Currency 2 4 3 4 3 3" xfId="16080"/>
    <cellStyle name="Currency 2 4 3 4 4" xfId="16081"/>
    <cellStyle name="Currency 2 4 3 4 4 2" xfId="16082"/>
    <cellStyle name="Currency 2 4 3 4 4 3" xfId="16083"/>
    <cellStyle name="Currency 2 4 3 4 5" xfId="16084"/>
    <cellStyle name="Currency 2 4 3 4 6" xfId="16085"/>
    <cellStyle name="Currency 2 4 3 5" xfId="16086"/>
    <cellStyle name="Currency 2 4 3 5 2" xfId="16087"/>
    <cellStyle name="Currency 2 4 3 5 2 2" xfId="16088"/>
    <cellStyle name="Currency 2 4 3 5 2 2 2" xfId="16089"/>
    <cellStyle name="Currency 2 4 3 5 2 2 3" xfId="16090"/>
    <cellStyle name="Currency 2 4 3 5 2 3" xfId="16091"/>
    <cellStyle name="Currency 2 4 3 5 2 3 2" xfId="16092"/>
    <cellStyle name="Currency 2 4 3 5 2 3 3" xfId="16093"/>
    <cellStyle name="Currency 2 4 3 5 2 4" xfId="16094"/>
    <cellStyle name="Currency 2 4 3 5 2 5" xfId="16095"/>
    <cellStyle name="Currency 2 4 3 5 3" xfId="16096"/>
    <cellStyle name="Currency 2 4 3 5 3 2" xfId="16097"/>
    <cellStyle name="Currency 2 4 3 5 3 3" xfId="16098"/>
    <cellStyle name="Currency 2 4 3 5 4" xfId="16099"/>
    <cellStyle name="Currency 2 4 3 5 4 2" xfId="16100"/>
    <cellStyle name="Currency 2 4 3 5 4 3" xfId="16101"/>
    <cellStyle name="Currency 2 4 3 5 5" xfId="16102"/>
    <cellStyle name="Currency 2 4 3 5 6" xfId="16103"/>
    <cellStyle name="Currency 2 4 3 6" xfId="16104"/>
    <cellStyle name="Currency 2 4 3 6 2" xfId="16105"/>
    <cellStyle name="Currency 2 4 3 6 2 2" xfId="16106"/>
    <cellStyle name="Currency 2 4 3 6 2 3" xfId="16107"/>
    <cellStyle name="Currency 2 4 3 6 3" xfId="16108"/>
    <cellStyle name="Currency 2 4 3 6 3 2" xfId="16109"/>
    <cellStyle name="Currency 2 4 3 6 3 3" xfId="16110"/>
    <cellStyle name="Currency 2 4 3 6 4" xfId="16111"/>
    <cellStyle name="Currency 2 4 3 6 5" xfId="16112"/>
    <cellStyle name="Currency 2 4 3 7" xfId="16113"/>
    <cellStyle name="Currency 2 4 3 7 2" xfId="16114"/>
    <cellStyle name="Currency 2 4 3 7 3" xfId="16115"/>
    <cellStyle name="Currency 2 4 3 8" xfId="16116"/>
    <cellStyle name="Currency 2 4 3 8 2" xfId="16117"/>
    <cellStyle name="Currency 2 4 3 8 3" xfId="16118"/>
    <cellStyle name="Currency 2 4 3 9" xfId="16119"/>
    <cellStyle name="Currency 2 4 4" xfId="16120"/>
    <cellStyle name="Currency 2 4 4 2" xfId="16121"/>
    <cellStyle name="Currency 2 4 4 2 2" xfId="16122"/>
    <cellStyle name="Currency 2 4 4 2 2 2" xfId="16123"/>
    <cellStyle name="Currency 2 4 4 2 2 2 2" xfId="16124"/>
    <cellStyle name="Currency 2 4 4 2 2 2 2 2" xfId="16125"/>
    <cellStyle name="Currency 2 4 4 2 2 2 2 3" xfId="16126"/>
    <cellStyle name="Currency 2 4 4 2 2 2 3" xfId="16127"/>
    <cellStyle name="Currency 2 4 4 2 2 2 3 2" xfId="16128"/>
    <cellStyle name="Currency 2 4 4 2 2 2 3 3" xfId="16129"/>
    <cellStyle name="Currency 2 4 4 2 2 2 4" xfId="16130"/>
    <cellStyle name="Currency 2 4 4 2 2 2 5" xfId="16131"/>
    <cellStyle name="Currency 2 4 4 2 2 3" xfId="16132"/>
    <cellStyle name="Currency 2 4 4 2 2 3 2" xfId="16133"/>
    <cellStyle name="Currency 2 4 4 2 2 3 3" xfId="16134"/>
    <cellStyle name="Currency 2 4 4 2 2 4" xfId="16135"/>
    <cellStyle name="Currency 2 4 4 2 2 4 2" xfId="16136"/>
    <cellStyle name="Currency 2 4 4 2 2 4 3" xfId="16137"/>
    <cellStyle name="Currency 2 4 4 2 2 5" xfId="16138"/>
    <cellStyle name="Currency 2 4 4 2 2 6" xfId="16139"/>
    <cellStyle name="Currency 2 4 4 2 3" xfId="16140"/>
    <cellStyle name="Currency 2 4 4 2 3 2" xfId="16141"/>
    <cellStyle name="Currency 2 4 4 2 3 2 2" xfId="16142"/>
    <cellStyle name="Currency 2 4 4 2 3 2 2 2" xfId="16143"/>
    <cellStyle name="Currency 2 4 4 2 3 2 2 3" xfId="16144"/>
    <cellStyle name="Currency 2 4 4 2 3 2 3" xfId="16145"/>
    <cellStyle name="Currency 2 4 4 2 3 2 3 2" xfId="16146"/>
    <cellStyle name="Currency 2 4 4 2 3 2 3 3" xfId="16147"/>
    <cellStyle name="Currency 2 4 4 2 3 2 4" xfId="16148"/>
    <cellStyle name="Currency 2 4 4 2 3 2 5" xfId="16149"/>
    <cellStyle name="Currency 2 4 4 2 3 3" xfId="16150"/>
    <cellStyle name="Currency 2 4 4 2 3 3 2" xfId="16151"/>
    <cellStyle name="Currency 2 4 4 2 3 3 3" xfId="16152"/>
    <cellStyle name="Currency 2 4 4 2 3 4" xfId="16153"/>
    <cellStyle name="Currency 2 4 4 2 3 4 2" xfId="16154"/>
    <cellStyle name="Currency 2 4 4 2 3 4 3" xfId="16155"/>
    <cellStyle name="Currency 2 4 4 2 3 5" xfId="16156"/>
    <cellStyle name="Currency 2 4 4 2 3 6" xfId="16157"/>
    <cellStyle name="Currency 2 4 4 2 4" xfId="16158"/>
    <cellStyle name="Currency 2 4 4 2 4 2" xfId="16159"/>
    <cellStyle name="Currency 2 4 4 2 4 2 2" xfId="16160"/>
    <cellStyle name="Currency 2 4 4 2 4 2 3" xfId="16161"/>
    <cellStyle name="Currency 2 4 4 2 4 3" xfId="16162"/>
    <cellStyle name="Currency 2 4 4 2 4 3 2" xfId="16163"/>
    <cellStyle name="Currency 2 4 4 2 4 3 3" xfId="16164"/>
    <cellStyle name="Currency 2 4 4 2 4 4" xfId="16165"/>
    <cellStyle name="Currency 2 4 4 2 4 5" xfId="16166"/>
    <cellStyle name="Currency 2 4 4 2 5" xfId="16167"/>
    <cellStyle name="Currency 2 4 4 2 5 2" xfId="16168"/>
    <cellStyle name="Currency 2 4 4 2 5 3" xfId="16169"/>
    <cellStyle name="Currency 2 4 4 2 6" xfId="16170"/>
    <cellStyle name="Currency 2 4 4 2 6 2" xfId="16171"/>
    <cellStyle name="Currency 2 4 4 2 6 3" xfId="16172"/>
    <cellStyle name="Currency 2 4 4 2 7" xfId="16173"/>
    <cellStyle name="Currency 2 4 4 2 8" xfId="16174"/>
    <cellStyle name="Currency 2 4 4 3" xfId="16175"/>
    <cellStyle name="Currency 2 4 4 3 2" xfId="16176"/>
    <cellStyle name="Currency 2 4 4 3 2 2" xfId="16177"/>
    <cellStyle name="Currency 2 4 4 3 2 2 2" xfId="16178"/>
    <cellStyle name="Currency 2 4 4 3 2 2 3" xfId="16179"/>
    <cellStyle name="Currency 2 4 4 3 2 3" xfId="16180"/>
    <cellStyle name="Currency 2 4 4 3 2 3 2" xfId="16181"/>
    <cellStyle name="Currency 2 4 4 3 2 3 3" xfId="16182"/>
    <cellStyle name="Currency 2 4 4 3 2 4" xfId="16183"/>
    <cellStyle name="Currency 2 4 4 3 2 5" xfId="16184"/>
    <cellStyle name="Currency 2 4 4 3 3" xfId="16185"/>
    <cellStyle name="Currency 2 4 4 3 3 2" xfId="16186"/>
    <cellStyle name="Currency 2 4 4 3 3 3" xfId="16187"/>
    <cellStyle name="Currency 2 4 4 3 4" xfId="16188"/>
    <cellStyle name="Currency 2 4 4 3 4 2" xfId="16189"/>
    <cellStyle name="Currency 2 4 4 3 4 3" xfId="16190"/>
    <cellStyle name="Currency 2 4 4 3 5" xfId="16191"/>
    <cellStyle name="Currency 2 4 4 3 6" xfId="16192"/>
    <cellStyle name="Currency 2 4 4 4" xfId="16193"/>
    <cellStyle name="Currency 2 4 4 4 2" xfId="16194"/>
    <cellStyle name="Currency 2 4 4 4 2 2" xfId="16195"/>
    <cellStyle name="Currency 2 4 4 4 2 2 2" xfId="16196"/>
    <cellStyle name="Currency 2 4 4 4 2 2 3" xfId="16197"/>
    <cellStyle name="Currency 2 4 4 4 2 3" xfId="16198"/>
    <cellStyle name="Currency 2 4 4 4 2 3 2" xfId="16199"/>
    <cellStyle name="Currency 2 4 4 4 2 3 3" xfId="16200"/>
    <cellStyle name="Currency 2 4 4 4 2 4" xfId="16201"/>
    <cellStyle name="Currency 2 4 4 4 2 5" xfId="16202"/>
    <cellStyle name="Currency 2 4 4 4 3" xfId="16203"/>
    <cellStyle name="Currency 2 4 4 4 3 2" xfId="16204"/>
    <cellStyle name="Currency 2 4 4 4 3 3" xfId="16205"/>
    <cellStyle name="Currency 2 4 4 4 4" xfId="16206"/>
    <cellStyle name="Currency 2 4 4 4 4 2" xfId="16207"/>
    <cellStyle name="Currency 2 4 4 4 4 3" xfId="16208"/>
    <cellStyle name="Currency 2 4 4 4 5" xfId="16209"/>
    <cellStyle name="Currency 2 4 4 4 6" xfId="16210"/>
    <cellStyle name="Currency 2 4 4 5" xfId="16211"/>
    <cellStyle name="Currency 2 4 4 5 2" xfId="16212"/>
    <cellStyle name="Currency 2 4 4 5 2 2" xfId="16213"/>
    <cellStyle name="Currency 2 4 4 5 2 3" xfId="16214"/>
    <cellStyle name="Currency 2 4 4 5 3" xfId="16215"/>
    <cellStyle name="Currency 2 4 4 5 3 2" xfId="16216"/>
    <cellStyle name="Currency 2 4 4 5 3 3" xfId="16217"/>
    <cellStyle name="Currency 2 4 4 5 4" xfId="16218"/>
    <cellStyle name="Currency 2 4 4 5 5" xfId="16219"/>
    <cellStyle name="Currency 2 4 4 6" xfId="16220"/>
    <cellStyle name="Currency 2 4 4 6 2" xfId="16221"/>
    <cellStyle name="Currency 2 4 4 6 3" xfId="16222"/>
    <cellStyle name="Currency 2 4 4 7" xfId="16223"/>
    <cellStyle name="Currency 2 4 4 7 2" xfId="16224"/>
    <cellStyle name="Currency 2 4 4 7 3" xfId="16225"/>
    <cellStyle name="Currency 2 4 4 8" xfId="16226"/>
    <cellStyle name="Currency 2 4 4 9" xfId="16227"/>
    <cellStyle name="Currency 2 4 5" xfId="16228"/>
    <cellStyle name="Currency 2 4 5 2" xfId="16229"/>
    <cellStyle name="Currency 2 4 5 2 2" xfId="16230"/>
    <cellStyle name="Currency 2 4 5 2 2 2" xfId="16231"/>
    <cellStyle name="Currency 2 4 5 2 2 2 2" xfId="16232"/>
    <cellStyle name="Currency 2 4 5 2 2 2 3" xfId="16233"/>
    <cellStyle name="Currency 2 4 5 2 2 3" xfId="16234"/>
    <cellStyle name="Currency 2 4 5 2 2 3 2" xfId="16235"/>
    <cellStyle name="Currency 2 4 5 2 2 3 3" xfId="16236"/>
    <cellStyle name="Currency 2 4 5 2 2 4" xfId="16237"/>
    <cellStyle name="Currency 2 4 5 2 2 5" xfId="16238"/>
    <cellStyle name="Currency 2 4 5 2 3" xfId="16239"/>
    <cellStyle name="Currency 2 4 5 2 3 2" xfId="16240"/>
    <cellStyle name="Currency 2 4 5 2 3 3" xfId="16241"/>
    <cellStyle name="Currency 2 4 5 2 4" xfId="16242"/>
    <cellStyle name="Currency 2 4 5 2 4 2" xfId="16243"/>
    <cellStyle name="Currency 2 4 5 2 4 3" xfId="16244"/>
    <cellStyle name="Currency 2 4 5 2 5" xfId="16245"/>
    <cellStyle name="Currency 2 4 5 2 6" xfId="16246"/>
    <cellStyle name="Currency 2 4 5 3" xfId="16247"/>
    <cellStyle name="Currency 2 4 5 3 2" xfId="16248"/>
    <cellStyle name="Currency 2 4 5 3 2 2" xfId="16249"/>
    <cellStyle name="Currency 2 4 5 3 2 2 2" xfId="16250"/>
    <cellStyle name="Currency 2 4 5 3 2 2 3" xfId="16251"/>
    <cellStyle name="Currency 2 4 5 3 2 3" xfId="16252"/>
    <cellStyle name="Currency 2 4 5 3 2 3 2" xfId="16253"/>
    <cellStyle name="Currency 2 4 5 3 2 3 3" xfId="16254"/>
    <cellStyle name="Currency 2 4 5 3 2 4" xfId="16255"/>
    <cellStyle name="Currency 2 4 5 3 2 5" xfId="16256"/>
    <cellStyle name="Currency 2 4 5 3 3" xfId="16257"/>
    <cellStyle name="Currency 2 4 5 3 3 2" xfId="16258"/>
    <cellStyle name="Currency 2 4 5 3 3 3" xfId="16259"/>
    <cellStyle name="Currency 2 4 5 3 4" xfId="16260"/>
    <cellStyle name="Currency 2 4 5 3 4 2" xfId="16261"/>
    <cellStyle name="Currency 2 4 5 3 4 3" xfId="16262"/>
    <cellStyle name="Currency 2 4 5 3 5" xfId="16263"/>
    <cellStyle name="Currency 2 4 5 3 6" xfId="16264"/>
    <cellStyle name="Currency 2 4 5 4" xfId="16265"/>
    <cellStyle name="Currency 2 4 5 4 2" xfId="16266"/>
    <cellStyle name="Currency 2 4 5 4 2 2" xfId="16267"/>
    <cellStyle name="Currency 2 4 5 4 2 3" xfId="16268"/>
    <cellStyle name="Currency 2 4 5 4 3" xfId="16269"/>
    <cellStyle name="Currency 2 4 5 4 3 2" xfId="16270"/>
    <cellStyle name="Currency 2 4 5 4 3 3" xfId="16271"/>
    <cellStyle name="Currency 2 4 5 4 4" xfId="16272"/>
    <cellStyle name="Currency 2 4 5 4 5" xfId="16273"/>
    <cellStyle name="Currency 2 4 5 5" xfId="16274"/>
    <cellStyle name="Currency 2 4 5 5 2" xfId="16275"/>
    <cellStyle name="Currency 2 4 5 5 3" xfId="16276"/>
    <cellStyle name="Currency 2 4 5 6" xfId="16277"/>
    <cellStyle name="Currency 2 4 5 6 2" xfId="16278"/>
    <cellStyle name="Currency 2 4 5 6 3" xfId="16279"/>
    <cellStyle name="Currency 2 4 5 7" xfId="16280"/>
    <cellStyle name="Currency 2 4 5 8" xfId="16281"/>
    <cellStyle name="Currency 2 4 6" xfId="16282"/>
    <cellStyle name="Currency 2 4 6 2" xfId="16283"/>
    <cellStyle name="Currency 2 4 6 2 2" xfId="16284"/>
    <cellStyle name="Currency 2 4 6 2 2 2" xfId="16285"/>
    <cellStyle name="Currency 2 4 6 2 2 3" xfId="16286"/>
    <cellStyle name="Currency 2 4 6 2 3" xfId="16287"/>
    <cellStyle name="Currency 2 4 6 2 3 2" xfId="16288"/>
    <cellStyle name="Currency 2 4 6 2 3 3" xfId="16289"/>
    <cellStyle name="Currency 2 4 6 2 4" xfId="16290"/>
    <cellStyle name="Currency 2 4 6 2 5" xfId="16291"/>
    <cellStyle name="Currency 2 4 6 3" xfId="16292"/>
    <cellStyle name="Currency 2 4 6 3 2" xfId="16293"/>
    <cellStyle name="Currency 2 4 6 3 3" xfId="16294"/>
    <cellStyle name="Currency 2 4 6 4" xfId="16295"/>
    <cellStyle name="Currency 2 4 6 4 2" xfId="16296"/>
    <cellStyle name="Currency 2 4 6 4 3" xfId="16297"/>
    <cellStyle name="Currency 2 4 6 5" xfId="16298"/>
    <cellStyle name="Currency 2 4 6 6" xfId="16299"/>
    <cellStyle name="Currency 2 4 7" xfId="16300"/>
    <cellStyle name="Currency 2 4 7 2" xfId="16301"/>
    <cellStyle name="Currency 2 4 7 2 2" xfId="16302"/>
    <cellStyle name="Currency 2 4 7 2 2 2" xfId="16303"/>
    <cellStyle name="Currency 2 4 7 2 2 3" xfId="16304"/>
    <cellStyle name="Currency 2 4 7 2 3" xfId="16305"/>
    <cellStyle name="Currency 2 4 7 2 3 2" xfId="16306"/>
    <cellStyle name="Currency 2 4 7 2 3 3" xfId="16307"/>
    <cellStyle name="Currency 2 4 7 2 4" xfId="16308"/>
    <cellStyle name="Currency 2 4 7 2 5" xfId="16309"/>
    <cellStyle name="Currency 2 4 7 3" xfId="16310"/>
    <cellStyle name="Currency 2 4 7 3 2" xfId="16311"/>
    <cellStyle name="Currency 2 4 7 3 3" xfId="16312"/>
    <cellStyle name="Currency 2 4 7 4" xfId="16313"/>
    <cellStyle name="Currency 2 4 7 4 2" xfId="16314"/>
    <cellStyle name="Currency 2 4 7 4 3" xfId="16315"/>
    <cellStyle name="Currency 2 4 7 5" xfId="16316"/>
    <cellStyle name="Currency 2 4 7 6" xfId="16317"/>
    <cellStyle name="Currency 2 4 8" xfId="16318"/>
    <cellStyle name="Currency 2 4 8 2" xfId="16319"/>
    <cellStyle name="Currency 2 4 8 2 2" xfId="16320"/>
    <cellStyle name="Currency 2 4 8 2 3" xfId="16321"/>
    <cellStyle name="Currency 2 4 8 3" xfId="16322"/>
    <cellStyle name="Currency 2 4 8 3 2" xfId="16323"/>
    <cellStyle name="Currency 2 4 8 3 3" xfId="16324"/>
    <cellStyle name="Currency 2 4 8 4" xfId="16325"/>
    <cellStyle name="Currency 2 4 8 5" xfId="16326"/>
    <cellStyle name="Currency 2 4 9" xfId="16327"/>
    <cellStyle name="Currency 2 4 9 2" xfId="16328"/>
    <cellStyle name="Currency 2 4 9 3" xfId="16329"/>
    <cellStyle name="Currency 2 5" xfId="16330"/>
    <cellStyle name="Currency 2 5 10" xfId="16331"/>
    <cellStyle name="Currency 2 5 10 2" xfId="16332"/>
    <cellStyle name="Currency 2 5 10 3" xfId="16333"/>
    <cellStyle name="Currency 2 5 11" xfId="16334"/>
    <cellStyle name="Currency 2 5 12" xfId="16335"/>
    <cellStyle name="Currency 2 5 13" xfId="16336"/>
    <cellStyle name="Currency 2 5 14" xfId="16337"/>
    <cellStyle name="Currency 2 5 2" xfId="16338"/>
    <cellStyle name="Currency 2 5 2 10" xfId="16339"/>
    <cellStyle name="Currency 2 5 2 11" xfId="16340"/>
    <cellStyle name="Currency 2 5 2 12" xfId="16341"/>
    <cellStyle name="Currency 2 5 2 2" xfId="16342"/>
    <cellStyle name="Currency 2 5 2 2 2" xfId="16343"/>
    <cellStyle name="Currency 2 5 2 2 2 2" xfId="16344"/>
    <cellStyle name="Currency 2 5 2 2 2 2 2" xfId="16345"/>
    <cellStyle name="Currency 2 5 2 2 2 2 2 2" xfId="16346"/>
    <cellStyle name="Currency 2 5 2 2 2 2 2 2 2" xfId="16347"/>
    <cellStyle name="Currency 2 5 2 2 2 2 2 2 3" xfId="16348"/>
    <cellStyle name="Currency 2 5 2 2 2 2 2 3" xfId="16349"/>
    <cellStyle name="Currency 2 5 2 2 2 2 2 3 2" xfId="16350"/>
    <cellStyle name="Currency 2 5 2 2 2 2 2 3 3" xfId="16351"/>
    <cellStyle name="Currency 2 5 2 2 2 2 2 4" xfId="16352"/>
    <cellStyle name="Currency 2 5 2 2 2 2 2 5" xfId="16353"/>
    <cellStyle name="Currency 2 5 2 2 2 2 3" xfId="16354"/>
    <cellStyle name="Currency 2 5 2 2 2 2 3 2" xfId="16355"/>
    <cellStyle name="Currency 2 5 2 2 2 2 3 3" xfId="16356"/>
    <cellStyle name="Currency 2 5 2 2 2 2 4" xfId="16357"/>
    <cellStyle name="Currency 2 5 2 2 2 2 4 2" xfId="16358"/>
    <cellStyle name="Currency 2 5 2 2 2 2 4 3" xfId="16359"/>
    <cellStyle name="Currency 2 5 2 2 2 2 5" xfId="16360"/>
    <cellStyle name="Currency 2 5 2 2 2 2 6" xfId="16361"/>
    <cellStyle name="Currency 2 5 2 2 2 3" xfId="16362"/>
    <cellStyle name="Currency 2 5 2 2 2 3 2" xfId="16363"/>
    <cellStyle name="Currency 2 5 2 2 2 3 2 2" xfId="16364"/>
    <cellStyle name="Currency 2 5 2 2 2 3 2 2 2" xfId="16365"/>
    <cellStyle name="Currency 2 5 2 2 2 3 2 2 3" xfId="16366"/>
    <cellStyle name="Currency 2 5 2 2 2 3 2 3" xfId="16367"/>
    <cellStyle name="Currency 2 5 2 2 2 3 2 3 2" xfId="16368"/>
    <cellStyle name="Currency 2 5 2 2 2 3 2 3 3" xfId="16369"/>
    <cellStyle name="Currency 2 5 2 2 2 3 2 4" xfId="16370"/>
    <cellStyle name="Currency 2 5 2 2 2 3 2 5" xfId="16371"/>
    <cellStyle name="Currency 2 5 2 2 2 3 3" xfId="16372"/>
    <cellStyle name="Currency 2 5 2 2 2 3 3 2" xfId="16373"/>
    <cellStyle name="Currency 2 5 2 2 2 3 3 3" xfId="16374"/>
    <cellStyle name="Currency 2 5 2 2 2 3 4" xfId="16375"/>
    <cellStyle name="Currency 2 5 2 2 2 3 4 2" xfId="16376"/>
    <cellStyle name="Currency 2 5 2 2 2 3 4 3" xfId="16377"/>
    <cellStyle name="Currency 2 5 2 2 2 3 5" xfId="16378"/>
    <cellStyle name="Currency 2 5 2 2 2 3 6" xfId="16379"/>
    <cellStyle name="Currency 2 5 2 2 2 4" xfId="16380"/>
    <cellStyle name="Currency 2 5 2 2 2 4 2" xfId="16381"/>
    <cellStyle name="Currency 2 5 2 2 2 4 2 2" xfId="16382"/>
    <cellStyle name="Currency 2 5 2 2 2 4 2 3" xfId="16383"/>
    <cellStyle name="Currency 2 5 2 2 2 4 3" xfId="16384"/>
    <cellStyle name="Currency 2 5 2 2 2 4 3 2" xfId="16385"/>
    <cellStyle name="Currency 2 5 2 2 2 4 3 3" xfId="16386"/>
    <cellStyle name="Currency 2 5 2 2 2 4 4" xfId="16387"/>
    <cellStyle name="Currency 2 5 2 2 2 4 5" xfId="16388"/>
    <cellStyle name="Currency 2 5 2 2 2 5" xfId="16389"/>
    <cellStyle name="Currency 2 5 2 2 2 5 2" xfId="16390"/>
    <cellStyle name="Currency 2 5 2 2 2 5 3" xfId="16391"/>
    <cellStyle name="Currency 2 5 2 2 2 6" xfId="16392"/>
    <cellStyle name="Currency 2 5 2 2 2 6 2" xfId="16393"/>
    <cellStyle name="Currency 2 5 2 2 2 6 3" xfId="16394"/>
    <cellStyle name="Currency 2 5 2 2 2 7" xfId="16395"/>
    <cellStyle name="Currency 2 5 2 2 2 8" xfId="16396"/>
    <cellStyle name="Currency 2 5 2 2 3" xfId="16397"/>
    <cellStyle name="Currency 2 5 2 2 3 2" xfId="16398"/>
    <cellStyle name="Currency 2 5 2 2 3 2 2" xfId="16399"/>
    <cellStyle name="Currency 2 5 2 2 3 2 2 2" xfId="16400"/>
    <cellStyle name="Currency 2 5 2 2 3 2 2 3" xfId="16401"/>
    <cellStyle name="Currency 2 5 2 2 3 2 3" xfId="16402"/>
    <cellStyle name="Currency 2 5 2 2 3 2 3 2" xfId="16403"/>
    <cellStyle name="Currency 2 5 2 2 3 2 3 3" xfId="16404"/>
    <cellStyle name="Currency 2 5 2 2 3 2 4" xfId="16405"/>
    <cellStyle name="Currency 2 5 2 2 3 2 5" xfId="16406"/>
    <cellStyle name="Currency 2 5 2 2 3 3" xfId="16407"/>
    <cellStyle name="Currency 2 5 2 2 3 3 2" xfId="16408"/>
    <cellStyle name="Currency 2 5 2 2 3 3 3" xfId="16409"/>
    <cellStyle name="Currency 2 5 2 2 3 4" xfId="16410"/>
    <cellStyle name="Currency 2 5 2 2 3 4 2" xfId="16411"/>
    <cellStyle name="Currency 2 5 2 2 3 4 3" xfId="16412"/>
    <cellStyle name="Currency 2 5 2 2 3 5" xfId="16413"/>
    <cellStyle name="Currency 2 5 2 2 3 6" xfId="16414"/>
    <cellStyle name="Currency 2 5 2 2 4" xfId="16415"/>
    <cellStyle name="Currency 2 5 2 2 4 2" xfId="16416"/>
    <cellStyle name="Currency 2 5 2 2 4 2 2" xfId="16417"/>
    <cellStyle name="Currency 2 5 2 2 4 2 2 2" xfId="16418"/>
    <cellStyle name="Currency 2 5 2 2 4 2 2 3" xfId="16419"/>
    <cellStyle name="Currency 2 5 2 2 4 2 3" xfId="16420"/>
    <cellStyle name="Currency 2 5 2 2 4 2 3 2" xfId="16421"/>
    <cellStyle name="Currency 2 5 2 2 4 2 3 3" xfId="16422"/>
    <cellStyle name="Currency 2 5 2 2 4 2 4" xfId="16423"/>
    <cellStyle name="Currency 2 5 2 2 4 2 5" xfId="16424"/>
    <cellStyle name="Currency 2 5 2 2 4 3" xfId="16425"/>
    <cellStyle name="Currency 2 5 2 2 4 3 2" xfId="16426"/>
    <cellStyle name="Currency 2 5 2 2 4 3 3" xfId="16427"/>
    <cellStyle name="Currency 2 5 2 2 4 4" xfId="16428"/>
    <cellStyle name="Currency 2 5 2 2 4 4 2" xfId="16429"/>
    <cellStyle name="Currency 2 5 2 2 4 4 3" xfId="16430"/>
    <cellStyle name="Currency 2 5 2 2 4 5" xfId="16431"/>
    <cellStyle name="Currency 2 5 2 2 4 6" xfId="16432"/>
    <cellStyle name="Currency 2 5 2 2 5" xfId="16433"/>
    <cellStyle name="Currency 2 5 2 2 5 2" xfId="16434"/>
    <cellStyle name="Currency 2 5 2 2 5 2 2" xfId="16435"/>
    <cellStyle name="Currency 2 5 2 2 5 2 3" xfId="16436"/>
    <cellStyle name="Currency 2 5 2 2 5 3" xfId="16437"/>
    <cellStyle name="Currency 2 5 2 2 5 3 2" xfId="16438"/>
    <cellStyle name="Currency 2 5 2 2 5 3 3" xfId="16439"/>
    <cellStyle name="Currency 2 5 2 2 5 4" xfId="16440"/>
    <cellStyle name="Currency 2 5 2 2 5 5" xfId="16441"/>
    <cellStyle name="Currency 2 5 2 2 6" xfId="16442"/>
    <cellStyle name="Currency 2 5 2 2 6 2" xfId="16443"/>
    <cellStyle name="Currency 2 5 2 2 6 3" xfId="16444"/>
    <cellStyle name="Currency 2 5 2 2 7" xfId="16445"/>
    <cellStyle name="Currency 2 5 2 2 7 2" xfId="16446"/>
    <cellStyle name="Currency 2 5 2 2 7 3" xfId="16447"/>
    <cellStyle name="Currency 2 5 2 2 8" xfId="16448"/>
    <cellStyle name="Currency 2 5 2 2 9" xfId="16449"/>
    <cellStyle name="Currency 2 5 2 3" xfId="16450"/>
    <cellStyle name="Currency 2 5 2 3 2" xfId="16451"/>
    <cellStyle name="Currency 2 5 2 3 2 2" xfId="16452"/>
    <cellStyle name="Currency 2 5 2 3 2 2 2" xfId="16453"/>
    <cellStyle name="Currency 2 5 2 3 2 2 2 2" xfId="16454"/>
    <cellStyle name="Currency 2 5 2 3 2 2 2 3" xfId="16455"/>
    <cellStyle name="Currency 2 5 2 3 2 2 3" xfId="16456"/>
    <cellStyle name="Currency 2 5 2 3 2 2 3 2" xfId="16457"/>
    <cellStyle name="Currency 2 5 2 3 2 2 3 3" xfId="16458"/>
    <cellStyle name="Currency 2 5 2 3 2 2 4" xfId="16459"/>
    <cellStyle name="Currency 2 5 2 3 2 2 5" xfId="16460"/>
    <cellStyle name="Currency 2 5 2 3 2 3" xfId="16461"/>
    <cellStyle name="Currency 2 5 2 3 2 3 2" xfId="16462"/>
    <cellStyle name="Currency 2 5 2 3 2 3 3" xfId="16463"/>
    <cellStyle name="Currency 2 5 2 3 2 4" xfId="16464"/>
    <cellStyle name="Currency 2 5 2 3 2 4 2" xfId="16465"/>
    <cellStyle name="Currency 2 5 2 3 2 4 3" xfId="16466"/>
    <cellStyle name="Currency 2 5 2 3 2 5" xfId="16467"/>
    <cellStyle name="Currency 2 5 2 3 2 6" xfId="16468"/>
    <cellStyle name="Currency 2 5 2 3 3" xfId="16469"/>
    <cellStyle name="Currency 2 5 2 3 3 2" xfId="16470"/>
    <cellStyle name="Currency 2 5 2 3 3 2 2" xfId="16471"/>
    <cellStyle name="Currency 2 5 2 3 3 2 2 2" xfId="16472"/>
    <cellStyle name="Currency 2 5 2 3 3 2 2 3" xfId="16473"/>
    <cellStyle name="Currency 2 5 2 3 3 2 3" xfId="16474"/>
    <cellStyle name="Currency 2 5 2 3 3 2 3 2" xfId="16475"/>
    <cellStyle name="Currency 2 5 2 3 3 2 3 3" xfId="16476"/>
    <cellStyle name="Currency 2 5 2 3 3 2 4" xfId="16477"/>
    <cellStyle name="Currency 2 5 2 3 3 2 5" xfId="16478"/>
    <cellStyle name="Currency 2 5 2 3 3 3" xfId="16479"/>
    <cellStyle name="Currency 2 5 2 3 3 3 2" xfId="16480"/>
    <cellStyle name="Currency 2 5 2 3 3 3 3" xfId="16481"/>
    <cellStyle name="Currency 2 5 2 3 3 4" xfId="16482"/>
    <cellStyle name="Currency 2 5 2 3 3 4 2" xfId="16483"/>
    <cellStyle name="Currency 2 5 2 3 3 4 3" xfId="16484"/>
    <cellStyle name="Currency 2 5 2 3 3 5" xfId="16485"/>
    <cellStyle name="Currency 2 5 2 3 3 6" xfId="16486"/>
    <cellStyle name="Currency 2 5 2 3 4" xfId="16487"/>
    <cellStyle name="Currency 2 5 2 3 4 2" xfId="16488"/>
    <cellStyle name="Currency 2 5 2 3 4 2 2" xfId="16489"/>
    <cellStyle name="Currency 2 5 2 3 4 2 3" xfId="16490"/>
    <cellStyle name="Currency 2 5 2 3 4 3" xfId="16491"/>
    <cellStyle name="Currency 2 5 2 3 4 3 2" xfId="16492"/>
    <cellStyle name="Currency 2 5 2 3 4 3 3" xfId="16493"/>
    <cellStyle name="Currency 2 5 2 3 4 4" xfId="16494"/>
    <cellStyle name="Currency 2 5 2 3 4 5" xfId="16495"/>
    <cellStyle name="Currency 2 5 2 3 5" xfId="16496"/>
    <cellStyle name="Currency 2 5 2 3 5 2" xfId="16497"/>
    <cellStyle name="Currency 2 5 2 3 5 3" xfId="16498"/>
    <cellStyle name="Currency 2 5 2 3 6" xfId="16499"/>
    <cellStyle name="Currency 2 5 2 3 6 2" xfId="16500"/>
    <cellStyle name="Currency 2 5 2 3 6 3" xfId="16501"/>
    <cellStyle name="Currency 2 5 2 3 7" xfId="16502"/>
    <cellStyle name="Currency 2 5 2 3 8" xfId="16503"/>
    <cellStyle name="Currency 2 5 2 4" xfId="16504"/>
    <cellStyle name="Currency 2 5 2 4 2" xfId="16505"/>
    <cellStyle name="Currency 2 5 2 4 2 2" xfId="16506"/>
    <cellStyle name="Currency 2 5 2 4 2 2 2" xfId="16507"/>
    <cellStyle name="Currency 2 5 2 4 2 2 3" xfId="16508"/>
    <cellStyle name="Currency 2 5 2 4 2 3" xfId="16509"/>
    <cellStyle name="Currency 2 5 2 4 2 3 2" xfId="16510"/>
    <cellStyle name="Currency 2 5 2 4 2 3 3" xfId="16511"/>
    <cellStyle name="Currency 2 5 2 4 2 4" xfId="16512"/>
    <cellStyle name="Currency 2 5 2 4 2 5" xfId="16513"/>
    <cellStyle name="Currency 2 5 2 4 3" xfId="16514"/>
    <cellStyle name="Currency 2 5 2 4 3 2" xfId="16515"/>
    <cellStyle name="Currency 2 5 2 4 3 3" xfId="16516"/>
    <cellStyle name="Currency 2 5 2 4 4" xfId="16517"/>
    <cellStyle name="Currency 2 5 2 4 4 2" xfId="16518"/>
    <cellStyle name="Currency 2 5 2 4 4 3" xfId="16519"/>
    <cellStyle name="Currency 2 5 2 4 5" xfId="16520"/>
    <cellStyle name="Currency 2 5 2 4 6" xfId="16521"/>
    <cellStyle name="Currency 2 5 2 5" xfId="16522"/>
    <cellStyle name="Currency 2 5 2 5 2" xfId="16523"/>
    <cellStyle name="Currency 2 5 2 5 2 2" xfId="16524"/>
    <cellStyle name="Currency 2 5 2 5 2 2 2" xfId="16525"/>
    <cellStyle name="Currency 2 5 2 5 2 2 3" xfId="16526"/>
    <cellStyle name="Currency 2 5 2 5 2 3" xfId="16527"/>
    <cellStyle name="Currency 2 5 2 5 2 3 2" xfId="16528"/>
    <cellStyle name="Currency 2 5 2 5 2 3 3" xfId="16529"/>
    <cellStyle name="Currency 2 5 2 5 2 4" xfId="16530"/>
    <cellStyle name="Currency 2 5 2 5 2 5" xfId="16531"/>
    <cellStyle name="Currency 2 5 2 5 3" xfId="16532"/>
    <cellStyle name="Currency 2 5 2 5 3 2" xfId="16533"/>
    <cellStyle name="Currency 2 5 2 5 3 3" xfId="16534"/>
    <cellStyle name="Currency 2 5 2 5 4" xfId="16535"/>
    <cellStyle name="Currency 2 5 2 5 4 2" xfId="16536"/>
    <cellStyle name="Currency 2 5 2 5 4 3" xfId="16537"/>
    <cellStyle name="Currency 2 5 2 5 5" xfId="16538"/>
    <cellStyle name="Currency 2 5 2 5 6" xfId="16539"/>
    <cellStyle name="Currency 2 5 2 6" xfId="16540"/>
    <cellStyle name="Currency 2 5 2 6 2" xfId="16541"/>
    <cellStyle name="Currency 2 5 2 6 2 2" xfId="16542"/>
    <cellStyle name="Currency 2 5 2 6 2 3" xfId="16543"/>
    <cellStyle name="Currency 2 5 2 6 3" xfId="16544"/>
    <cellStyle name="Currency 2 5 2 6 3 2" xfId="16545"/>
    <cellStyle name="Currency 2 5 2 6 3 3" xfId="16546"/>
    <cellStyle name="Currency 2 5 2 6 4" xfId="16547"/>
    <cellStyle name="Currency 2 5 2 6 5" xfId="16548"/>
    <cellStyle name="Currency 2 5 2 7" xfId="16549"/>
    <cellStyle name="Currency 2 5 2 7 2" xfId="16550"/>
    <cellStyle name="Currency 2 5 2 7 3" xfId="16551"/>
    <cellStyle name="Currency 2 5 2 8" xfId="16552"/>
    <cellStyle name="Currency 2 5 2 8 2" xfId="16553"/>
    <cellStyle name="Currency 2 5 2 8 3" xfId="16554"/>
    <cellStyle name="Currency 2 5 2 9" xfId="16555"/>
    <cellStyle name="Currency 2 5 3" xfId="16556"/>
    <cellStyle name="Currency 2 5 3 10" xfId="16557"/>
    <cellStyle name="Currency 2 5 3 2" xfId="16558"/>
    <cellStyle name="Currency 2 5 3 2 2" xfId="16559"/>
    <cellStyle name="Currency 2 5 3 2 2 2" xfId="16560"/>
    <cellStyle name="Currency 2 5 3 2 2 2 2" xfId="16561"/>
    <cellStyle name="Currency 2 5 3 2 2 2 2 2" xfId="16562"/>
    <cellStyle name="Currency 2 5 3 2 2 2 2 2 2" xfId="16563"/>
    <cellStyle name="Currency 2 5 3 2 2 2 2 2 3" xfId="16564"/>
    <cellStyle name="Currency 2 5 3 2 2 2 2 3" xfId="16565"/>
    <cellStyle name="Currency 2 5 3 2 2 2 2 3 2" xfId="16566"/>
    <cellStyle name="Currency 2 5 3 2 2 2 2 3 3" xfId="16567"/>
    <cellStyle name="Currency 2 5 3 2 2 2 2 4" xfId="16568"/>
    <cellStyle name="Currency 2 5 3 2 2 2 2 5" xfId="16569"/>
    <cellStyle name="Currency 2 5 3 2 2 2 3" xfId="16570"/>
    <cellStyle name="Currency 2 5 3 2 2 2 3 2" xfId="16571"/>
    <cellStyle name="Currency 2 5 3 2 2 2 3 3" xfId="16572"/>
    <cellStyle name="Currency 2 5 3 2 2 2 4" xfId="16573"/>
    <cellStyle name="Currency 2 5 3 2 2 2 4 2" xfId="16574"/>
    <cellStyle name="Currency 2 5 3 2 2 2 4 3" xfId="16575"/>
    <cellStyle name="Currency 2 5 3 2 2 2 5" xfId="16576"/>
    <cellStyle name="Currency 2 5 3 2 2 2 6" xfId="16577"/>
    <cellStyle name="Currency 2 5 3 2 2 3" xfId="16578"/>
    <cellStyle name="Currency 2 5 3 2 2 3 2" xfId="16579"/>
    <cellStyle name="Currency 2 5 3 2 2 3 2 2" xfId="16580"/>
    <cellStyle name="Currency 2 5 3 2 2 3 2 2 2" xfId="16581"/>
    <cellStyle name="Currency 2 5 3 2 2 3 2 2 3" xfId="16582"/>
    <cellStyle name="Currency 2 5 3 2 2 3 2 3" xfId="16583"/>
    <cellStyle name="Currency 2 5 3 2 2 3 2 3 2" xfId="16584"/>
    <cellStyle name="Currency 2 5 3 2 2 3 2 3 3" xfId="16585"/>
    <cellStyle name="Currency 2 5 3 2 2 3 2 4" xfId="16586"/>
    <cellStyle name="Currency 2 5 3 2 2 3 2 5" xfId="16587"/>
    <cellStyle name="Currency 2 5 3 2 2 3 3" xfId="16588"/>
    <cellStyle name="Currency 2 5 3 2 2 3 3 2" xfId="16589"/>
    <cellStyle name="Currency 2 5 3 2 2 3 3 3" xfId="16590"/>
    <cellStyle name="Currency 2 5 3 2 2 3 4" xfId="16591"/>
    <cellStyle name="Currency 2 5 3 2 2 3 4 2" xfId="16592"/>
    <cellStyle name="Currency 2 5 3 2 2 3 4 3" xfId="16593"/>
    <cellStyle name="Currency 2 5 3 2 2 3 5" xfId="16594"/>
    <cellStyle name="Currency 2 5 3 2 2 3 6" xfId="16595"/>
    <cellStyle name="Currency 2 5 3 2 2 4" xfId="16596"/>
    <cellStyle name="Currency 2 5 3 2 2 4 2" xfId="16597"/>
    <cellStyle name="Currency 2 5 3 2 2 4 2 2" xfId="16598"/>
    <cellStyle name="Currency 2 5 3 2 2 4 2 3" xfId="16599"/>
    <cellStyle name="Currency 2 5 3 2 2 4 3" xfId="16600"/>
    <cellStyle name="Currency 2 5 3 2 2 4 3 2" xfId="16601"/>
    <cellStyle name="Currency 2 5 3 2 2 4 3 3" xfId="16602"/>
    <cellStyle name="Currency 2 5 3 2 2 4 4" xfId="16603"/>
    <cellStyle name="Currency 2 5 3 2 2 4 5" xfId="16604"/>
    <cellStyle name="Currency 2 5 3 2 2 5" xfId="16605"/>
    <cellStyle name="Currency 2 5 3 2 2 5 2" xfId="16606"/>
    <cellStyle name="Currency 2 5 3 2 2 5 3" xfId="16607"/>
    <cellStyle name="Currency 2 5 3 2 2 6" xfId="16608"/>
    <cellStyle name="Currency 2 5 3 2 2 6 2" xfId="16609"/>
    <cellStyle name="Currency 2 5 3 2 2 6 3" xfId="16610"/>
    <cellStyle name="Currency 2 5 3 2 2 7" xfId="16611"/>
    <cellStyle name="Currency 2 5 3 2 2 8" xfId="16612"/>
    <cellStyle name="Currency 2 5 3 2 3" xfId="16613"/>
    <cellStyle name="Currency 2 5 3 2 3 2" xfId="16614"/>
    <cellStyle name="Currency 2 5 3 2 3 2 2" xfId="16615"/>
    <cellStyle name="Currency 2 5 3 2 3 2 2 2" xfId="16616"/>
    <cellStyle name="Currency 2 5 3 2 3 2 2 3" xfId="16617"/>
    <cellStyle name="Currency 2 5 3 2 3 2 3" xfId="16618"/>
    <cellStyle name="Currency 2 5 3 2 3 2 3 2" xfId="16619"/>
    <cellStyle name="Currency 2 5 3 2 3 2 3 3" xfId="16620"/>
    <cellStyle name="Currency 2 5 3 2 3 2 4" xfId="16621"/>
    <cellStyle name="Currency 2 5 3 2 3 2 5" xfId="16622"/>
    <cellStyle name="Currency 2 5 3 2 3 3" xfId="16623"/>
    <cellStyle name="Currency 2 5 3 2 3 3 2" xfId="16624"/>
    <cellStyle name="Currency 2 5 3 2 3 3 3" xfId="16625"/>
    <cellStyle name="Currency 2 5 3 2 3 4" xfId="16626"/>
    <cellStyle name="Currency 2 5 3 2 3 4 2" xfId="16627"/>
    <cellStyle name="Currency 2 5 3 2 3 4 3" xfId="16628"/>
    <cellStyle name="Currency 2 5 3 2 3 5" xfId="16629"/>
    <cellStyle name="Currency 2 5 3 2 3 6" xfId="16630"/>
    <cellStyle name="Currency 2 5 3 2 4" xfId="16631"/>
    <cellStyle name="Currency 2 5 3 2 4 2" xfId="16632"/>
    <cellStyle name="Currency 2 5 3 2 4 2 2" xfId="16633"/>
    <cellStyle name="Currency 2 5 3 2 4 2 2 2" xfId="16634"/>
    <cellStyle name="Currency 2 5 3 2 4 2 2 3" xfId="16635"/>
    <cellStyle name="Currency 2 5 3 2 4 2 3" xfId="16636"/>
    <cellStyle name="Currency 2 5 3 2 4 2 3 2" xfId="16637"/>
    <cellStyle name="Currency 2 5 3 2 4 2 3 3" xfId="16638"/>
    <cellStyle name="Currency 2 5 3 2 4 2 4" xfId="16639"/>
    <cellStyle name="Currency 2 5 3 2 4 2 5" xfId="16640"/>
    <cellStyle name="Currency 2 5 3 2 4 3" xfId="16641"/>
    <cellStyle name="Currency 2 5 3 2 4 3 2" xfId="16642"/>
    <cellStyle name="Currency 2 5 3 2 4 3 3" xfId="16643"/>
    <cellStyle name="Currency 2 5 3 2 4 4" xfId="16644"/>
    <cellStyle name="Currency 2 5 3 2 4 4 2" xfId="16645"/>
    <cellStyle name="Currency 2 5 3 2 4 4 3" xfId="16646"/>
    <cellStyle name="Currency 2 5 3 2 4 5" xfId="16647"/>
    <cellStyle name="Currency 2 5 3 2 4 6" xfId="16648"/>
    <cellStyle name="Currency 2 5 3 2 5" xfId="16649"/>
    <cellStyle name="Currency 2 5 3 2 5 2" xfId="16650"/>
    <cellStyle name="Currency 2 5 3 2 5 2 2" xfId="16651"/>
    <cellStyle name="Currency 2 5 3 2 5 2 3" xfId="16652"/>
    <cellStyle name="Currency 2 5 3 2 5 3" xfId="16653"/>
    <cellStyle name="Currency 2 5 3 2 5 3 2" xfId="16654"/>
    <cellStyle name="Currency 2 5 3 2 5 3 3" xfId="16655"/>
    <cellStyle name="Currency 2 5 3 2 5 4" xfId="16656"/>
    <cellStyle name="Currency 2 5 3 2 5 5" xfId="16657"/>
    <cellStyle name="Currency 2 5 3 2 6" xfId="16658"/>
    <cellStyle name="Currency 2 5 3 2 6 2" xfId="16659"/>
    <cellStyle name="Currency 2 5 3 2 6 3" xfId="16660"/>
    <cellStyle name="Currency 2 5 3 2 7" xfId="16661"/>
    <cellStyle name="Currency 2 5 3 2 7 2" xfId="16662"/>
    <cellStyle name="Currency 2 5 3 2 7 3" xfId="16663"/>
    <cellStyle name="Currency 2 5 3 2 8" xfId="16664"/>
    <cellStyle name="Currency 2 5 3 2 9" xfId="16665"/>
    <cellStyle name="Currency 2 5 3 3" xfId="16666"/>
    <cellStyle name="Currency 2 5 3 3 2" xfId="16667"/>
    <cellStyle name="Currency 2 5 3 3 2 2" xfId="16668"/>
    <cellStyle name="Currency 2 5 3 3 2 2 2" xfId="16669"/>
    <cellStyle name="Currency 2 5 3 3 2 2 2 2" xfId="16670"/>
    <cellStyle name="Currency 2 5 3 3 2 2 2 3" xfId="16671"/>
    <cellStyle name="Currency 2 5 3 3 2 2 3" xfId="16672"/>
    <cellStyle name="Currency 2 5 3 3 2 2 3 2" xfId="16673"/>
    <cellStyle name="Currency 2 5 3 3 2 2 3 3" xfId="16674"/>
    <cellStyle name="Currency 2 5 3 3 2 2 4" xfId="16675"/>
    <cellStyle name="Currency 2 5 3 3 2 2 5" xfId="16676"/>
    <cellStyle name="Currency 2 5 3 3 2 3" xfId="16677"/>
    <cellStyle name="Currency 2 5 3 3 2 3 2" xfId="16678"/>
    <cellStyle name="Currency 2 5 3 3 2 3 3" xfId="16679"/>
    <cellStyle name="Currency 2 5 3 3 2 4" xfId="16680"/>
    <cellStyle name="Currency 2 5 3 3 2 4 2" xfId="16681"/>
    <cellStyle name="Currency 2 5 3 3 2 4 3" xfId="16682"/>
    <cellStyle name="Currency 2 5 3 3 2 5" xfId="16683"/>
    <cellStyle name="Currency 2 5 3 3 2 6" xfId="16684"/>
    <cellStyle name="Currency 2 5 3 3 3" xfId="16685"/>
    <cellStyle name="Currency 2 5 3 3 3 2" xfId="16686"/>
    <cellStyle name="Currency 2 5 3 3 3 2 2" xfId="16687"/>
    <cellStyle name="Currency 2 5 3 3 3 2 2 2" xfId="16688"/>
    <cellStyle name="Currency 2 5 3 3 3 2 2 3" xfId="16689"/>
    <cellStyle name="Currency 2 5 3 3 3 2 3" xfId="16690"/>
    <cellStyle name="Currency 2 5 3 3 3 2 3 2" xfId="16691"/>
    <cellStyle name="Currency 2 5 3 3 3 2 3 3" xfId="16692"/>
    <cellStyle name="Currency 2 5 3 3 3 2 4" xfId="16693"/>
    <cellStyle name="Currency 2 5 3 3 3 2 5" xfId="16694"/>
    <cellStyle name="Currency 2 5 3 3 3 3" xfId="16695"/>
    <cellStyle name="Currency 2 5 3 3 3 3 2" xfId="16696"/>
    <cellStyle name="Currency 2 5 3 3 3 3 3" xfId="16697"/>
    <cellStyle name="Currency 2 5 3 3 3 4" xfId="16698"/>
    <cellStyle name="Currency 2 5 3 3 3 4 2" xfId="16699"/>
    <cellStyle name="Currency 2 5 3 3 3 4 3" xfId="16700"/>
    <cellStyle name="Currency 2 5 3 3 3 5" xfId="16701"/>
    <cellStyle name="Currency 2 5 3 3 3 6" xfId="16702"/>
    <cellStyle name="Currency 2 5 3 3 4" xfId="16703"/>
    <cellStyle name="Currency 2 5 3 3 4 2" xfId="16704"/>
    <cellStyle name="Currency 2 5 3 3 4 2 2" xfId="16705"/>
    <cellStyle name="Currency 2 5 3 3 4 2 3" xfId="16706"/>
    <cellStyle name="Currency 2 5 3 3 4 3" xfId="16707"/>
    <cellStyle name="Currency 2 5 3 3 4 3 2" xfId="16708"/>
    <cellStyle name="Currency 2 5 3 3 4 3 3" xfId="16709"/>
    <cellStyle name="Currency 2 5 3 3 4 4" xfId="16710"/>
    <cellStyle name="Currency 2 5 3 3 4 5" xfId="16711"/>
    <cellStyle name="Currency 2 5 3 3 5" xfId="16712"/>
    <cellStyle name="Currency 2 5 3 3 5 2" xfId="16713"/>
    <cellStyle name="Currency 2 5 3 3 5 3" xfId="16714"/>
    <cellStyle name="Currency 2 5 3 3 6" xfId="16715"/>
    <cellStyle name="Currency 2 5 3 3 6 2" xfId="16716"/>
    <cellStyle name="Currency 2 5 3 3 6 3" xfId="16717"/>
    <cellStyle name="Currency 2 5 3 3 7" xfId="16718"/>
    <cellStyle name="Currency 2 5 3 3 8" xfId="16719"/>
    <cellStyle name="Currency 2 5 3 4" xfId="16720"/>
    <cellStyle name="Currency 2 5 3 4 2" xfId="16721"/>
    <cellStyle name="Currency 2 5 3 4 2 2" xfId="16722"/>
    <cellStyle name="Currency 2 5 3 4 2 2 2" xfId="16723"/>
    <cellStyle name="Currency 2 5 3 4 2 2 3" xfId="16724"/>
    <cellStyle name="Currency 2 5 3 4 2 3" xfId="16725"/>
    <cellStyle name="Currency 2 5 3 4 2 3 2" xfId="16726"/>
    <cellStyle name="Currency 2 5 3 4 2 3 3" xfId="16727"/>
    <cellStyle name="Currency 2 5 3 4 2 4" xfId="16728"/>
    <cellStyle name="Currency 2 5 3 4 2 5" xfId="16729"/>
    <cellStyle name="Currency 2 5 3 4 3" xfId="16730"/>
    <cellStyle name="Currency 2 5 3 4 3 2" xfId="16731"/>
    <cellStyle name="Currency 2 5 3 4 3 3" xfId="16732"/>
    <cellStyle name="Currency 2 5 3 4 4" xfId="16733"/>
    <cellStyle name="Currency 2 5 3 4 4 2" xfId="16734"/>
    <cellStyle name="Currency 2 5 3 4 4 3" xfId="16735"/>
    <cellStyle name="Currency 2 5 3 4 5" xfId="16736"/>
    <cellStyle name="Currency 2 5 3 4 6" xfId="16737"/>
    <cellStyle name="Currency 2 5 3 5" xfId="16738"/>
    <cellStyle name="Currency 2 5 3 5 2" xfId="16739"/>
    <cellStyle name="Currency 2 5 3 5 2 2" xfId="16740"/>
    <cellStyle name="Currency 2 5 3 5 2 2 2" xfId="16741"/>
    <cellStyle name="Currency 2 5 3 5 2 2 3" xfId="16742"/>
    <cellStyle name="Currency 2 5 3 5 2 3" xfId="16743"/>
    <cellStyle name="Currency 2 5 3 5 2 3 2" xfId="16744"/>
    <cellStyle name="Currency 2 5 3 5 2 3 3" xfId="16745"/>
    <cellStyle name="Currency 2 5 3 5 2 4" xfId="16746"/>
    <cellStyle name="Currency 2 5 3 5 2 5" xfId="16747"/>
    <cellStyle name="Currency 2 5 3 5 3" xfId="16748"/>
    <cellStyle name="Currency 2 5 3 5 3 2" xfId="16749"/>
    <cellStyle name="Currency 2 5 3 5 3 3" xfId="16750"/>
    <cellStyle name="Currency 2 5 3 5 4" xfId="16751"/>
    <cellStyle name="Currency 2 5 3 5 4 2" xfId="16752"/>
    <cellStyle name="Currency 2 5 3 5 4 3" xfId="16753"/>
    <cellStyle name="Currency 2 5 3 5 5" xfId="16754"/>
    <cellStyle name="Currency 2 5 3 5 6" xfId="16755"/>
    <cellStyle name="Currency 2 5 3 6" xfId="16756"/>
    <cellStyle name="Currency 2 5 3 6 2" xfId="16757"/>
    <cellStyle name="Currency 2 5 3 6 2 2" xfId="16758"/>
    <cellStyle name="Currency 2 5 3 6 2 3" xfId="16759"/>
    <cellStyle name="Currency 2 5 3 6 3" xfId="16760"/>
    <cellStyle name="Currency 2 5 3 6 3 2" xfId="16761"/>
    <cellStyle name="Currency 2 5 3 6 3 3" xfId="16762"/>
    <cellStyle name="Currency 2 5 3 6 4" xfId="16763"/>
    <cellStyle name="Currency 2 5 3 6 5" xfId="16764"/>
    <cellStyle name="Currency 2 5 3 7" xfId="16765"/>
    <cellStyle name="Currency 2 5 3 7 2" xfId="16766"/>
    <cellStyle name="Currency 2 5 3 7 3" xfId="16767"/>
    <cellStyle name="Currency 2 5 3 8" xfId="16768"/>
    <cellStyle name="Currency 2 5 3 8 2" xfId="16769"/>
    <cellStyle name="Currency 2 5 3 8 3" xfId="16770"/>
    <cellStyle name="Currency 2 5 3 9" xfId="16771"/>
    <cellStyle name="Currency 2 5 4" xfId="16772"/>
    <cellStyle name="Currency 2 5 4 2" xfId="16773"/>
    <cellStyle name="Currency 2 5 4 2 2" xfId="16774"/>
    <cellStyle name="Currency 2 5 4 2 2 2" xfId="16775"/>
    <cellStyle name="Currency 2 5 4 2 2 2 2" xfId="16776"/>
    <cellStyle name="Currency 2 5 4 2 2 2 2 2" xfId="16777"/>
    <cellStyle name="Currency 2 5 4 2 2 2 2 3" xfId="16778"/>
    <cellStyle name="Currency 2 5 4 2 2 2 3" xfId="16779"/>
    <cellStyle name="Currency 2 5 4 2 2 2 3 2" xfId="16780"/>
    <cellStyle name="Currency 2 5 4 2 2 2 3 3" xfId="16781"/>
    <cellStyle name="Currency 2 5 4 2 2 2 4" xfId="16782"/>
    <cellStyle name="Currency 2 5 4 2 2 2 5" xfId="16783"/>
    <cellStyle name="Currency 2 5 4 2 2 3" xfId="16784"/>
    <cellStyle name="Currency 2 5 4 2 2 3 2" xfId="16785"/>
    <cellStyle name="Currency 2 5 4 2 2 3 3" xfId="16786"/>
    <cellStyle name="Currency 2 5 4 2 2 4" xfId="16787"/>
    <cellStyle name="Currency 2 5 4 2 2 4 2" xfId="16788"/>
    <cellStyle name="Currency 2 5 4 2 2 4 3" xfId="16789"/>
    <cellStyle name="Currency 2 5 4 2 2 5" xfId="16790"/>
    <cellStyle name="Currency 2 5 4 2 2 6" xfId="16791"/>
    <cellStyle name="Currency 2 5 4 2 3" xfId="16792"/>
    <cellStyle name="Currency 2 5 4 2 3 2" xfId="16793"/>
    <cellStyle name="Currency 2 5 4 2 3 2 2" xfId="16794"/>
    <cellStyle name="Currency 2 5 4 2 3 2 2 2" xfId="16795"/>
    <cellStyle name="Currency 2 5 4 2 3 2 2 3" xfId="16796"/>
    <cellStyle name="Currency 2 5 4 2 3 2 3" xfId="16797"/>
    <cellStyle name="Currency 2 5 4 2 3 2 3 2" xfId="16798"/>
    <cellStyle name="Currency 2 5 4 2 3 2 3 3" xfId="16799"/>
    <cellStyle name="Currency 2 5 4 2 3 2 4" xfId="16800"/>
    <cellStyle name="Currency 2 5 4 2 3 2 5" xfId="16801"/>
    <cellStyle name="Currency 2 5 4 2 3 3" xfId="16802"/>
    <cellStyle name="Currency 2 5 4 2 3 3 2" xfId="16803"/>
    <cellStyle name="Currency 2 5 4 2 3 3 3" xfId="16804"/>
    <cellStyle name="Currency 2 5 4 2 3 4" xfId="16805"/>
    <cellStyle name="Currency 2 5 4 2 3 4 2" xfId="16806"/>
    <cellStyle name="Currency 2 5 4 2 3 4 3" xfId="16807"/>
    <cellStyle name="Currency 2 5 4 2 3 5" xfId="16808"/>
    <cellStyle name="Currency 2 5 4 2 3 6" xfId="16809"/>
    <cellStyle name="Currency 2 5 4 2 4" xfId="16810"/>
    <cellStyle name="Currency 2 5 4 2 4 2" xfId="16811"/>
    <cellStyle name="Currency 2 5 4 2 4 2 2" xfId="16812"/>
    <cellStyle name="Currency 2 5 4 2 4 2 3" xfId="16813"/>
    <cellStyle name="Currency 2 5 4 2 4 3" xfId="16814"/>
    <cellStyle name="Currency 2 5 4 2 4 3 2" xfId="16815"/>
    <cellStyle name="Currency 2 5 4 2 4 3 3" xfId="16816"/>
    <cellStyle name="Currency 2 5 4 2 4 4" xfId="16817"/>
    <cellStyle name="Currency 2 5 4 2 4 5" xfId="16818"/>
    <cellStyle name="Currency 2 5 4 2 5" xfId="16819"/>
    <cellStyle name="Currency 2 5 4 2 5 2" xfId="16820"/>
    <cellStyle name="Currency 2 5 4 2 5 3" xfId="16821"/>
    <cellStyle name="Currency 2 5 4 2 6" xfId="16822"/>
    <cellStyle name="Currency 2 5 4 2 6 2" xfId="16823"/>
    <cellStyle name="Currency 2 5 4 2 6 3" xfId="16824"/>
    <cellStyle name="Currency 2 5 4 2 7" xfId="16825"/>
    <cellStyle name="Currency 2 5 4 2 8" xfId="16826"/>
    <cellStyle name="Currency 2 5 4 3" xfId="16827"/>
    <cellStyle name="Currency 2 5 4 3 2" xfId="16828"/>
    <cellStyle name="Currency 2 5 4 3 2 2" xfId="16829"/>
    <cellStyle name="Currency 2 5 4 3 2 2 2" xfId="16830"/>
    <cellStyle name="Currency 2 5 4 3 2 2 3" xfId="16831"/>
    <cellStyle name="Currency 2 5 4 3 2 3" xfId="16832"/>
    <cellStyle name="Currency 2 5 4 3 2 3 2" xfId="16833"/>
    <cellStyle name="Currency 2 5 4 3 2 3 3" xfId="16834"/>
    <cellStyle name="Currency 2 5 4 3 2 4" xfId="16835"/>
    <cellStyle name="Currency 2 5 4 3 2 5" xfId="16836"/>
    <cellStyle name="Currency 2 5 4 3 3" xfId="16837"/>
    <cellStyle name="Currency 2 5 4 3 3 2" xfId="16838"/>
    <cellStyle name="Currency 2 5 4 3 3 3" xfId="16839"/>
    <cellStyle name="Currency 2 5 4 3 4" xfId="16840"/>
    <cellStyle name="Currency 2 5 4 3 4 2" xfId="16841"/>
    <cellStyle name="Currency 2 5 4 3 4 3" xfId="16842"/>
    <cellStyle name="Currency 2 5 4 3 5" xfId="16843"/>
    <cellStyle name="Currency 2 5 4 3 6" xfId="16844"/>
    <cellStyle name="Currency 2 5 4 4" xfId="16845"/>
    <cellStyle name="Currency 2 5 4 4 2" xfId="16846"/>
    <cellStyle name="Currency 2 5 4 4 2 2" xfId="16847"/>
    <cellStyle name="Currency 2 5 4 4 2 2 2" xfId="16848"/>
    <cellStyle name="Currency 2 5 4 4 2 2 3" xfId="16849"/>
    <cellStyle name="Currency 2 5 4 4 2 3" xfId="16850"/>
    <cellStyle name="Currency 2 5 4 4 2 3 2" xfId="16851"/>
    <cellStyle name="Currency 2 5 4 4 2 3 3" xfId="16852"/>
    <cellStyle name="Currency 2 5 4 4 2 4" xfId="16853"/>
    <cellStyle name="Currency 2 5 4 4 2 5" xfId="16854"/>
    <cellStyle name="Currency 2 5 4 4 3" xfId="16855"/>
    <cellStyle name="Currency 2 5 4 4 3 2" xfId="16856"/>
    <cellStyle name="Currency 2 5 4 4 3 3" xfId="16857"/>
    <cellStyle name="Currency 2 5 4 4 4" xfId="16858"/>
    <cellStyle name="Currency 2 5 4 4 4 2" xfId="16859"/>
    <cellStyle name="Currency 2 5 4 4 4 3" xfId="16860"/>
    <cellStyle name="Currency 2 5 4 4 5" xfId="16861"/>
    <cellStyle name="Currency 2 5 4 4 6" xfId="16862"/>
    <cellStyle name="Currency 2 5 4 5" xfId="16863"/>
    <cellStyle name="Currency 2 5 4 5 2" xfId="16864"/>
    <cellStyle name="Currency 2 5 4 5 2 2" xfId="16865"/>
    <cellStyle name="Currency 2 5 4 5 2 3" xfId="16866"/>
    <cellStyle name="Currency 2 5 4 5 3" xfId="16867"/>
    <cellStyle name="Currency 2 5 4 5 3 2" xfId="16868"/>
    <cellStyle name="Currency 2 5 4 5 3 3" xfId="16869"/>
    <cellStyle name="Currency 2 5 4 5 4" xfId="16870"/>
    <cellStyle name="Currency 2 5 4 5 5" xfId="16871"/>
    <cellStyle name="Currency 2 5 4 6" xfId="16872"/>
    <cellStyle name="Currency 2 5 4 6 2" xfId="16873"/>
    <cellStyle name="Currency 2 5 4 6 3" xfId="16874"/>
    <cellStyle name="Currency 2 5 4 7" xfId="16875"/>
    <cellStyle name="Currency 2 5 4 7 2" xfId="16876"/>
    <cellStyle name="Currency 2 5 4 7 3" xfId="16877"/>
    <cellStyle name="Currency 2 5 4 8" xfId="16878"/>
    <cellStyle name="Currency 2 5 4 9" xfId="16879"/>
    <cellStyle name="Currency 2 5 5" xfId="16880"/>
    <cellStyle name="Currency 2 5 5 2" xfId="16881"/>
    <cellStyle name="Currency 2 5 5 2 2" xfId="16882"/>
    <cellStyle name="Currency 2 5 5 2 2 2" xfId="16883"/>
    <cellStyle name="Currency 2 5 5 2 2 2 2" xfId="16884"/>
    <cellStyle name="Currency 2 5 5 2 2 2 3" xfId="16885"/>
    <cellStyle name="Currency 2 5 5 2 2 3" xfId="16886"/>
    <cellStyle name="Currency 2 5 5 2 2 3 2" xfId="16887"/>
    <cellStyle name="Currency 2 5 5 2 2 3 3" xfId="16888"/>
    <cellStyle name="Currency 2 5 5 2 2 4" xfId="16889"/>
    <cellStyle name="Currency 2 5 5 2 2 5" xfId="16890"/>
    <cellStyle name="Currency 2 5 5 2 3" xfId="16891"/>
    <cellStyle name="Currency 2 5 5 2 3 2" xfId="16892"/>
    <cellStyle name="Currency 2 5 5 2 3 3" xfId="16893"/>
    <cellStyle name="Currency 2 5 5 2 4" xfId="16894"/>
    <cellStyle name="Currency 2 5 5 2 4 2" xfId="16895"/>
    <cellStyle name="Currency 2 5 5 2 4 3" xfId="16896"/>
    <cellStyle name="Currency 2 5 5 2 5" xfId="16897"/>
    <cellStyle name="Currency 2 5 5 2 6" xfId="16898"/>
    <cellStyle name="Currency 2 5 5 3" xfId="16899"/>
    <cellStyle name="Currency 2 5 5 3 2" xfId="16900"/>
    <cellStyle name="Currency 2 5 5 3 2 2" xfId="16901"/>
    <cellStyle name="Currency 2 5 5 3 2 2 2" xfId="16902"/>
    <cellStyle name="Currency 2 5 5 3 2 2 3" xfId="16903"/>
    <cellStyle name="Currency 2 5 5 3 2 3" xfId="16904"/>
    <cellStyle name="Currency 2 5 5 3 2 3 2" xfId="16905"/>
    <cellStyle name="Currency 2 5 5 3 2 3 3" xfId="16906"/>
    <cellStyle name="Currency 2 5 5 3 2 4" xfId="16907"/>
    <cellStyle name="Currency 2 5 5 3 2 5" xfId="16908"/>
    <cellStyle name="Currency 2 5 5 3 3" xfId="16909"/>
    <cellStyle name="Currency 2 5 5 3 3 2" xfId="16910"/>
    <cellStyle name="Currency 2 5 5 3 3 3" xfId="16911"/>
    <cellStyle name="Currency 2 5 5 3 4" xfId="16912"/>
    <cellStyle name="Currency 2 5 5 3 4 2" xfId="16913"/>
    <cellStyle name="Currency 2 5 5 3 4 3" xfId="16914"/>
    <cellStyle name="Currency 2 5 5 3 5" xfId="16915"/>
    <cellStyle name="Currency 2 5 5 3 6" xfId="16916"/>
    <cellStyle name="Currency 2 5 5 4" xfId="16917"/>
    <cellStyle name="Currency 2 5 5 4 2" xfId="16918"/>
    <cellStyle name="Currency 2 5 5 4 2 2" xfId="16919"/>
    <cellStyle name="Currency 2 5 5 4 2 3" xfId="16920"/>
    <cellStyle name="Currency 2 5 5 4 3" xfId="16921"/>
    <cellStyle name="Currency 2 5 5 4 3 2" xfId="16922"/>
    <cellStyle name="Currency 2 5 5 4 3 3" xfId="16923"/>
    <cellStyle name="Currency 2 5 5 4 4" xfId="16924"/>
    <cellStyle name="Currency 2 5 5 4 5" xfId="16925"/>
    <cellStyle name="Currency 2 5 5 5" xfId="16926"/>
    <cellStyle name="Currency 2 5 5 5 2" xfId="16927"/>
    <cellStyle name="Currency 2 5 5 5 3" xfId="16928"/>
    <cellStyle name="Currency 2 5 5 6" xfId="16929"/>
    <cellStyle name="Currency 2 5 5 6 2" xfId="16930"/>
    <cellStyle name="Currency 2 5 5 6 3" xfId="16931"/>
    <cellStyle name="Currency 2 5 5 7" xfId="16932"/>
    <cellStyle name="Currency 2 5 5 8" xfId="16933"/>
    <cellStyle name="Currency 2 5 6" xfId="16934"/>
    <cellStyle name="Currency 2 5 6 2" xfId="16935"/>
    <cellStyle name="Currency 2 5 6 2 2" xfId="16936"/>
    <cellStyle name="Currency 2 5 6 2 2 2" xfId="16937"/>
    <cellStyle name="Currency 2 5 6 2 2 3" xfId="16938"/>
    <cellStyle name="Currency 2 5 6 2 3" xfId="16939"/>
    <cellStyle name="Currency 2 5 6 2 3 2" xfId="16940"/>
    <cellStyle name="Currency 2 5 6 2 3 3" xfId="16941"/>
    <cellStyle name="Currency 2 5 6 2 4" xfId="16942"/>
    <cellStyle name="Currency 2 5 6 2 5" xfId="16943"/>
    <cellStyle name="Currency 2 5 6 3" xfId="16944"/>
    <cellStyle name="Currency 2 5 6 3 2" xfId="16945"/>
    <cellStyle name="Currency 2 5 6 3 3" xfId="16946"/>
    <cellStyle name="Currency 2 5 6 4" xfId="16947"/>
    <cellStyle name="Currency 2 5 6 4 2" xfId="16948"/>
    <cellStyle name="Currency 2 5 6 4 3" xfId="16949"/>
    <cellStyle name="Currency 2 5 6 5" xfId="16950"/>
    <cellStyle name="Currency 2 5 6 6" xfId="16951"/>
    <cellStyle name="Currency 2 5 7" xfId="16952"/>
    <cellStyle name="Currency 2 5 7 2" xfId="16953"/>
    <cellStyle name="Currency 2 5 7 2 2" xfId="16954"/>
    <cellStyle name="Currency 2 5 7 2 2 2" xfId="16955"/>
    <cellStyle name="Currency 2 5 7 2 2 3" xfId="16956"/>
    <cellStyle name="Currency 2 5 7 2 3" xfId="16957"/>
    <cellStyle name="Currency 2 5 7 2 3 2" xfId="16958"/>
    <cellStyle name="Currency 2 5 7 2 3 3" xfId="16959"/>
    <cellStyle name="Currency 2 5 7 2 4" xfId="16960"/>
    <cellStyle name="Currency 2 5 7 2 5" xfId="16961"/>
    <cellStyle name="Currency 2 5 7 3" xfId="16962"/>
    <cellStyle name="Currency 2 5 7 3 2" xfId="16963"/>
    <cellStyle name="Currency 2 5 7 3 3" xfId="16964"/>
    <cellStyle name="Currency 2 5 7 4" xfId="16965"/>
    <cellStyle name="Currency 2 5 7 4 2" xfId="16966"/>
    <cellStyle name="Currency 2 5 7 4 3" xfId="16967"/>
    <cellStyle name="Currency 2 5 7 5" xfId="16968"/>
    <cellStyle name="Currency 2 5 7 6" xfId="16969"/>
    <cellStyle name="Currency 2 5 8" xfId="16970"/>
    <cellStyle name="Currency 2 5 8 2" xfId="16971"/>
    <cellStyle name="Currency 2 5 8 2 2" xfId="16972"/>
    <cellStyle name="Currency 2 5 8 2 3" xfId="16973"/>
    <cellStyle name="Currency 2 5 8 3" xfId="16974"/>
    <cellStyle name="Currency 2 5 8 3 2" xfId="16975"/>
    <cellStyle name="Currency 2 5 8 3 3" xfId="16976"/>
    <cellStyle name="Currency 2 5 8 4" xfId="16977"/>
    <cellStyle name="Currency 2 5 8 5" xfId="16978"/>
    <cellStyle name="Currency 2 5 9" xfId="16979"/>
    <cellStyle name="Currency 2 5 9 2" xfId="16980"/>
    <cellStyle name="Currency 2 5 9 3" xfId="16981"/>
    <cellStyle name="Currency 2 6" xfId="16982"/>
    <cellStyle name="Currency 2 6 10" xfId="16983"/>
    <cellStyle name="Currency 2 6 11" xfId="16984"/>
    <cellStyle name="Currency 2 6 12" xfId="16985"/>
    <cellStyle name="Currency 2 6 2" xfId="16986"/>
    <cellStyle name="Currency 2 6 2 2" xfId="16987"/>
    <cellStyle name="Currency 2 6 2 2 2" xfId="16988"/>
    <cellStyle name="Currency 2 6 2 2 2 2" xfId="16989"/>
    <cellStyle name="Currency 2 6 2 2 2 2 2" xfId="16990"/>
    <cellStyle name="Currency 2 6 2 2 2 2 2 2" xfId="16991"/>
    <cellStyle name="Currency 2 6 2 2 2 2 2 3" xfId="16992"/>
    <cellStyle name="Currency 2 6 2 2 2 2 3" xfId="16993"/>
    <cellStyle name="Currency 2 6 2 2 2 2 3 2" xfId="16994"/>
    <cellStyle name="Currency 2 6 2 2 2 2 3 3" xfId="16995"/>
    <cellStyle name="Currency 2 6 2 2 2 2 4" xfId="16996"/>
    <cellStyle name="Currency 2 6 2 2 2 2 5" xfId="16997"/>
    <cellStyle name="Currency 2 6 2 2 2 3" xfId="16998"/>
    <cellStyle name="Currency 2 6 2 2 2 3 2" xfId="16999"/>
    <cellStyle name="Currency 2 6 2 2 2 3 3" xfId="17000"/>
    <cellStyle name="Currency 2 6 2 2 2 4" xfId="17001"/>
    <cellStyle name="Currency 2 6 2 2 2 4 2" xfId="17002"/>
    <cellStyle name="Currency 2 6 2 2 2 4 3" xfId="17003"/>
    <cellStyle name="Currency 2 6 2 2 2 5" xfId="17004"/>
    <cellStyle name="Currency 2 6 2 2 2 6" xfId="17005"/>
    <cellStyle name="Currency 2 6 2 2 3" xfId="17006"/>
    <cellStyle name="Currency 2 6 2 2 3 2" xfId="17007"/>
    <cellStyle name="Currency 2 6 2 2 3 2 2" xfId="17008"/>
    <cellStyle name="Currency 2 6 2 2 3 2 2 2" xfId="17009"/>
    <cellStyle name="Currency 2 6 2 2 3 2 2 3" xfId="17010"/>
    <cellStyle name="Currency 2 6 2 2 3 2 3" xfId="17011"/>
    <cellStyle name="Currency 2 6 2 2 3 2 3 2" xfId="17012"/>
    <cellStyle name="Currency 2 6 2 2 3 2 3 3" xfId="17013"/>
    <cellStyle name="Currency 2 6 2 2 3 2 4" xfId="17014"/>
    <cellStyle name="Currency 2 6 2 2 3 2 5" xfId="17015"/>
    <cellStyle name="Currency 2 6 2 2 3 3" xfId="17016"/>
    <cellStyle name="Currency 2 6 2 2 3 3 2" xfId="17017"/>
    <cellStyle name="Currency 2 6 2 2 3 3 3" xfId="17018"/>
    <cellStyle name="Currency 2 6 2 2 3 4" xfId="17019"/>
    <cellStyle name="Currency 2 6 2 2 3 4 2" xfId="17020"/>
    <cellStyle name="Currency 2 6 2 2 3 4 3" xfId="17021"/>
    <cellStyle name="Currency 2 6 2 2 3 5" xfId="17022"/>
    <cellStyle name="Currency 2 6 2 2 3 6" xfId="17023"/>
    <cellStyle name="Currency 2 6 2 2 4" xfId="17024"/>
    <cellStyle name="Currency 2 6 2 2 4 2" xfId="17025"/>
    <cellStyle name="Currency 2 6 2 2 4 2 2" xfId="17026"/>
    <cellStyle name="Currency 2 6 2 2 4 2 3" xfId="17027"/>
    <cellStyle name="Currency 2 6 2 2 4 3" xfId="17028"/>
    <cellStyle name="Currency 2 6 2 2 4 3 2" xfId="17029"/>
    <cellStyle name="Currency 2 6 2 2 4 3 3" xfId="17030"/>
    <cellStyle name="Currency 2 6 2 2 4 4" xfId="17031"/>
    <cellStyle name="Currency 2 6 2 2 4 5" xfId="17032"/>
    <cellStyle name="Currency 2 6 2 2 5" xfId="17033"/>
    <cellStyle name="Currency 2 6 2 2 5 2" xfId="17034"/>
    <cellStyle name="Currency 2 6 2 2 5 3" xfId="17035"/>
    <cellStyle name="Currency 2 6 2 2 6" xfId="17036"/>
    <cellStyle name="Currency 2 6 2 2 6 2" xfId="17037"/>
    <cellStyle name="Currency 2 6 2 2 6 3" xfId="17038"/>
    <cellStyle name="Currency 2 6 2 2 7" xfId="17039"/>
    <cellStyle name="Currency 2 6 2 2 8" xfId="17040"/>
    <cellStyle name="Currency 2 6 2 3" xfId="17041"/>
    <cellStyle name="Currency 2 6 2 3 2" xfId="17042"/>
    <cellStyle name="Currency 2 6 2 3 2 2" xfId="17043"/>
    <cellStyle name="Currency 2 6 2 3 2 2 2" xfId="17044"/>
    <cellStyle name="Currency 2 6 2 3 2 2 3" xfId="17045"/>
    <cellStyle name="Currency 2 6 2 3 2 3" xfId="17046"/>
    <cellStyle name="Currency 2 6 2 3 2 3 2" xfId="17047"/>
    <cellStyle name="Currency 2 6 2 3 2 3 3" xfId="17048"/>
    <cellStyle name="Currency 2 6 2 3 2 4" xfId="17049"/>
    <cellStyle name="Currency 2 6 2 3 2 5" xfId="17050"/>
    <cellStyle name="Currency 2 6 2 3 3" xfId="17051"/>
    <cellStyle name="Currency 2 6 2 3 3 2" xfId="17052"/>
    <cellStyle name="Currency 2 6 2 3 3 3" xfId="17053"/>
    <cellStyle name="Currency 2 6 2 3 4" xfId="17054"/>
    <cellStyle name="Currency 2 6 2 3 4 2" xfId="17055"/>
    <cellStyle name="Currency 2 6 2 3 4 3" xfId="17056"/>
    <cellStyle name="Currency 2 6 2 3 5" xfId="17057"/>
    <cellStyle name="Currency 2 6 2 3 6" xfId="17058"/>
    <cellStyle name="Currency 2 6 2 4" xfId="17059"/>
    <cellStyle name="Currency 2 6 2 4 2" xfId="17060"/>
    <cellStyle name="Currency 2 6 2 4 2 2" xfId="17061"/>
    <cellStyle name="Currency 2 6 2 4 2 2 2" xfId="17062"/>
    <cellStyle name="Currency 2 6 2 4 2 2 3" xfId="17063"/>
    <cellStyle name="Currency 2 6 2 4 2 3" xfId="17064"/>
    <cellStyle name="Currency 2 6 2 4 2 3 2" xfId="17065"/>
    <cellStyle name="Currency 2 6 2 4 2 3 3" xfId="17066"/>
    <cellStyle name="Currency 2 6 2 4 2 4" xfId="17067"/>
    <cellStyle name="Currency 2 6 2 4 2 5" xfId="17068"/>
    <cellStyle name="Currency 2 6 2 4 3" xfId="17069"/>
    <cellStyle name="Currency 2 6 2 4 3 2" xfId="17070"/>
    <cellStyle name="Currency 2 6 2 4 3 3" xfId="17071"/>
    <cellStyle name="Currency 2 6 2 4 4" xfId="17072"/>
    <cellStyle name="Currency 2 6 2 4 4 2" xfId="17073"/>
    <cellStyle name="Currency 2 6 2 4 4 3" xfId="17074"/>
    <cellStyle name="Currency 2 6 2 4 5" xfId="17075"/>
    <cellStyle name="Currency 2 6 2 4 6" xfId="17076"/>
    <cellStyle name="Currency 2 6 2 5" xfId="17077"/>
    <cellStyle name="Currency 2 6 2 5 2" xfId="17078"/>
    <cellStyle name="Currency 2 6 2 5 2 2" xfId="17079"/>
    <cellStyle name="Currency 2 6 2 5 2 3" xfId="17080"/>
    <cellStyle name="Currency 2 6 2 5 3" xfId="17081"/>
    <cellStyle name="Currency 2 6 2 5 3 2" xfId="17082"/>
    <cellStyle name="Currency 2 6 2 5 3 3" xfId="17083"/>
    <cellStyle name="Currency 2 6 2 5 4" xfId="17084"/>
    <cellStyle name="Currency 2 6 2 5 5" xfId="17085"/>
    <cellStyle name="Currency 2 6 2 6" xfId="17086"/>
    <cellStyle name="Currency 2 6 2 6 2" xfId="17087"/>
    <cellStyle name="Currency 2 6 2 6 3" xfId="17088"/>
    <cellStyle name="Currency 2 6 2 7" xfId="17089"/>
    <cellStyle name="Currency 2 6 2 7 2" xfId="17090"/>
    <cellStyle name="Currency 2 6 2 7 3" xfId="17091"/>
    <cellStyle name="Currency 2 6 2 8" xfId="17092"/>
    <cellStyle name="Currency 2 6 2 9" xfId="17093"/>
    <cellStyle name="Currency 2 6 3" xfId="17094"/>
    <cellStyle name="Currency 2 6 3 2" xfId="17095"/>
    <cellStyle name="Currency 2 6 3 2 2" xfId="17096"/>
    <cellStyle name="Currency 2 6 3 2 2 2" xfId="17097"/>
    <cellStyle name="Currency 2 6 3 2 2 2 2" xfId="17098"/>
    <cellStyle name="Currency 2 6 3 2 2 2 3" xfId="17099"/>
    <cellStyle name="Currency 2 6 3 2 2 3" xfId="17100"/>
    <cellStyle name="Currency 2 6 3 2 2 3 2" xfId="17101"/>
    <cellStyle name="Currency 2 6 3 2 2 3 3" xfId="17102"/>
    <cellStyle name="Currency 2 6 3 2 2 4" xfId="17103"/>
    <cellStyle name="Currency 2 6 3 2 2 5" xfId="17104"/>
    <cellStyle name="Currency 2 6 3 2 3" xfId="17105"/>
    <cellStyle name="Currency 2 6 3 2 3 2" xfId="17106"/>
    <cellStyle name="Currency 2 6 3 2 3 3" xfId="17107"/>
    <cellStyle name="Currency 2 6 3 2 4" xfId="17108"/>
    <cellStyle name="Currency 2 6 3 2 4 2" xfId="17109"/>
    <cellStyle name="Currency 2 6 3 2 4 3" xfId="17110"/>
    <cellStyle name="Currency 2 6 3 2 5" xfId="17111"/>
    <cellStyle name="Currency 2 6 3 2 6" xfId="17112"/>
    <cellStyle name="Currency 2 6 3 3" xfId="17113"/>
    <cellStyle name="Currency 2 6 3 3 2" xfId="17114"/>
    <cellStyle name="Currency 2 6 3 3 2 2" xfId="17115"/>
    <cellStyle name="Currency 2 6 3 3 2 2 2" xfId="17116"/>
    <cellStyle name="Currency 2 6 3 3 2 2 3" xfId="17117"/>
    <cellStyle name="Currency 2 6 3 3 2 3" xfId="17118"/>
    <cellStyle name="Currency 2 6 3 3 2 3 2" xfId="17119"/>
    <cellStyle name="Currency 2 6 3 3 2 3 3" xfId="17120"/>
    <cellStyle name="Currency 2 6 3 3 2 4" xfId="17121"/>
    <cellStyle name="Currency 2 6 3 3 2 5" xfId="17122"/>
    <cellStyle name="Currency 2 6 3 3 3" xfId="17123"/>
    <cellStyle name="Currency 2 6 3 3 3 2" xfId="17124"/>
    <cellStyle name="Currency 2 6 3 3 3 3" xfId="17125"/>
    <cellStyle name="Currency 2 6 3 3 4" xfId="17126"/>
    <cellStyle name="Currency 2 6 3 3 4 2" xfId="17127"/>
    <cellStyle name="Currency 2 6 3 3 4 3" xfId="17128"/>
    <cellStyle name="Currency 2 6 3 3 5" xfId="17129"/>
    <cellStyle name="Currency 2 6 3 3 6" xfId="17130"/>
    <cellStyle name="Currency 2 6 3 4" xfId="17131"/>
    <cellStyle name="Currency 2 6 3 4 2" xfId="17132"/>
    <cellStyle name="Currency 2 6 3 4 2 2" xfId="17133"/>
    <cellStyle name="Currency 2 6 3 4 2 3" xfId="17134"/>
    <cellStyle name="Currency 2 6 3 4 3" xfId="17135"/>
    <cellStyle name="Currency 2 6 3 4 3 2" xfId="17136"/>
    <cellStyle name="Currency 2 6 3 4 3 3" xfId="17137"/>
    <cellStyle name="Currency 2 6 3 4 4" xfId="17138"/>
    <cellStyle name="Currency 2 6 3 4 5" xfId="17139"/>
    <cellStyle name="Currency 2 6 3 5" xfId="17140"/>
    <cellStyle name="Currency 2 6 3 5 2" xfId="17141"/>
    <cellStyle name="Currency 2 6 3 5 3" xfId="17142"/>
    <cellStyle name="Currency 2 6 3 6" xfId="17143"/>
    <cellStyle name="Currency 2 6 3 6 2" xfId="17144"/>
    <cellStyle name="Currency 2 6 3 6 3" xfId="17145"/>
    <cellStyle name="Currency 2 6 3 7" xfId="17146"/>
    <cellStyle name="Currency 2 6 3 8" xfId="17147"/>
    <cellStyle name="Currency 2 6 4" xfId="17148"/>
    <cellStyle name="Currency 2 6 4 2" xfId="17149"/>
    <cellStyle name="Currency 2 6 4 2 2" xfId="17150"/>
    <cellStyle name="Currency 2 6 4 2 2 2" xfId="17151"/>
    <cellStyle name="Currency 2 6 4 2 2 3" xfId="17152"/>
    <cellStyle name="Currency 2 6 4 2 3" xfId="17153"/>
    <cellStyle name="Currency 2 6 4 2 3 2" xfId="17154"/>
    <cellStyle name="Currency 2 6 4 2 3 3" xfId="17155"/>
    <cellStyle name="Currency 2 6 4 2 4" xfId="17156"/>
    <cellStyle name="Currency 2 6 4 2 5" xfId="17157"/>
    <cellStyle name="Currency 2 6 4 3" xfId="17158"/>
    <cellStyle name="Currency 2 6 4 3 2" xfId="17159"/>
    <cellStyle name="Currency 2 6 4 3 3" xfId="17160"/>
    <cellStyle name="Currency 2 6 4 4" xfId="17161"/>
    <cellStyle name="Currency 2 6 4 4 2" xfId="17162"/>
    <cellStyle name="Currency 2 6 4 4 3" xfId="17163"/>
    <cellStyle name="Currency 2 6 4 5" xfId="17164"/>
    <cellStyle name="Currency 2 6 4 6" xfId="17165"/>
    <cellStyle name="Currency 2 6 5" xfId="17166"/>
    <cellStyle name="Currency 2 6 5 2" xfId="17167"/>
    <cellStyle name="Currency 2 6 5 2 2" xfId="17168"/>
    <cellStyle name="Currency 2 6 5 2 2 2" xfId="17169"/>
    <cellStyle name="Currency 2 6 5 2 2 3" xfId="17170"/>
    <cellStyle name="Currency 2 6 5 2 3" xfId="17171"/>
    <cellStyle name="Currency 2 6 5 2 3 2" xfId="17172"/>
    <cellStyle name="Currency 2 6 5 2 3 3" xfId="17173"/>
    <cellStyle name="Currency 2 6 5 2 4" xfId="17174"/>
    <cellStyle name="Currency 2 6 5 2 5" xfId="17175"/>
    <cellStyle name="Currency 2 6 5 3" xfId="17176"/>
    <cellStyle name="Currency 2 6 5 3 2" xfId="17177"/>
    <cellStyle name="Currency 2 6 5 3 3" xfId="17178"/>
    <cellStyle name="Currency 2 6 5 4" xfId="17179"/>
    <cellStyle name="Currency 2 6 5 4 2" xfId="17180"/>
    <cellStyle name="Currency 2 6 5 4 3" xfId="17181"/>
    <cellStyle name="Currency 2 6 5 5" xfId="17182"/>
    <cellStyle name="Currency 2 6 5 6" xfId="17183"/>
    <cellStyle name="Currency 2 6 6" xfId="17184"/>
    <cellStyle name="Currency 2 6 6 2" xfId="17185"/>
    <cellStyle name="Currency 2 6 6 2 2" xfId="17186"/>
    <cellStyle name="Currency 2 6 6 2 3" xfId="17187"/>
    <cellStyle name="Currency 2 6 6 3" xfId="17188"/>
    <cellStyle name="Currency 2 6 6 3 2" xfId="17189"/>
    <cellStyle name="Currency 2 6 6 3 3" xfId="17190"/>
    <cellStyle name="Currency 2 6 6 4" xfId="17191"/>
    <cellStyle name="Currency 2 6 6 5" xfId="17192"/>
    <cellStyle name="Currency 2 6 7" xfId="17193"/>
    <cellStyle name="Currency 2 6 7 2" xfId="17194"/>
    <cellStyle name="Currency 2 6 7 3" xfId="17195"/>
    <cellStyle name="Currency 2 6 8" xfId="17196"/>
    <cellStyle name="Currency 2 6 8 2" xfId="17197"/>
    <cellStyle name="Currency 2 6 8 3" xfId="17198"/>
    <cellStyle name="Currency 2 6 9" xfId="17199"/>
    <cellStyle name="Currency 2 7" xfId="17200"/>
    <cellStyle name="Currency 2 7 10" xfId="17201"/>
    <cellStyle name="Currency 2 7 2" xfId="17202"/>
    <cellStyle name="Currency 2 7 2 2" xfId="17203"/>
    <cellStyle name="Currency 2 7 2 2 2" xfId="17204"/>
    <cellStyle name="Currency 2 7 2 2 2 2" xfId="17205"/>
    <cellStyle name="Currency 2 7 2 2 2 2 2" xfId="17206"/>
    <cellStyle name="Currency 2 7 2 2 2 2 2 2" xfId="17207"/>
    <cellStyle name="Currency 2 7 2 2 2 2 2 3" xfId="17208"/>
    <cellStyle name="Currency 2 7 2 2 2 2 3" xfId="17209"/>
    <cellStyle name="Currency 2 7 2 2 2 2 3 2" xfId="17210"/>
    <cellStyle name="Currency 2 7 2 2 2 2 3 3" xfId="17211"/>
    <cellStyle name="Currency 2 7 2 2 2 2 4" xfId="17212"/>
    <cellStyle name="Currency 2 7 2 2 2 2 5" xfId="17213"/>
    <cellStyle name="Currency 2 7 2 2 2 3" xfId="17214"/>
    <cellStyle name="Currency 2 7 2 2 2 3 2" xfId="17215"/>
    <cellStyle name="Currency 2 7 2 2 2 3 3" xfId="17216"/>
    <cellStyle name="Currency 2 7 2 2 2 4" xfId="17217"/>
    <cellStyle name="Currency 2 7 2 2 2 4 2" xfId="17218"/>
    <cellStyle name="Currency 2 7 2 2 2 4 3" xfId="17219"/>
    <cellStyle name="Currency 2 7 2 2 2 5" xfId="17220"/>
    <cellStyle name="Currency 2 7 2 2 2 6" xfId="17221"/>
    <cellStyle name="Currency 2 7 2 2 3" xfId="17222"/>
    <cellStyle name="Currency 2 7 2 2 3 2" xfId="17223"/>
    <cellStyle name="Currency 2 7 2 2 3 2 2" xfId="17224"/>
    <cellStyle name="Currency 2 7 2 2 3 2 2 2" xfId="17225"/>
    <cellStyle name="Currency 2 7 2 2 3 2 2 3" xfId="17226"/>
    <cellStyle name="Currency 2 7 2 2 3 2 3" xfId="17227"/>
    <cellStyle name="Currency 2 7 2 2 3 2 3 2" xfId="17228"/>
    <cellStyle name="Currency 2 7 2 2 3 2 3 3" xfId="17229"/>
    <cellStyle name="Currency 2 7 2 2 3 2 4" xfId="17230"/>
    <cellStyle name="Currency 2 7 2 2 3 2 5" xfId="17231"/>
    <cellStyle name="Currency 2 7 2 2 3 3" xfId="17232"/>
    <cellStyle name="Currency 2 7 2 2 3 3 2" xfId="17233"/>
    <cellStyle name="Currency 2 7 2 2 3 3 3" xfId="17234"/>
    <cellStyle name="Currency 2 7 2 2 3 4" xfId="17235"/>
    <cellStyle name="Currency 2 7 2 2 3 4 2" xfId="17236"/>
    <cellStyle name="Currency 2 7 2 2 3 4 3" xfId="17237"/>
    <cellStyle name="Currency 2 7 2 2 3 5" xfId="17238"/>
    <cellStyle name="Currency 2 7 2 2 3 6" xfId="17239"/>
    <cellStyle name="Currency 2 7 2 2 4" xfId="17240"/>
    <cellStyle name="Currency 2 7 2 2 4 2" xfId="17241"/>
    <cellStyle name="Currency 2 7 2 2 4 2 2" xfId="17242"/>
    <cellStyle name="Currency 2 7 2 2 4 2 3" xfId="17243"/>
    <cellStyle name="Currency 2 7 2 2 4 3" xfId="17244"/>
    <cellStyle name="Currency 2 7 2 2 4 3 2" xfId="17245"/>
    <cellStyle name="Currency 2 7 2 2 4 3 3" xfId="17246"/>
    <cellStyle name="Currency 2 7 2 2 4 4" xfId="17247"/>
    <cellStyle name="Currency 2 7 2 2 4 5" xfId="17248"/>
    <cellStyle name="Currency 2 7 2 2 5" xfId="17249"/>
    <cellStyle name="Currency 2 7 2 2 5 2" xfId="17250"/>
    <cellStyle name="Currency 2 7 2 2 5 3" xfId="17251"/>
    <cellStyle name="Currency 2 7 2 2 6" xfId="17252"/>
    <cellStyle name="Currency 2 7 2 2 6 2" xfId="17253"/>
    <cellStyle name="Currency 2 7 2 2 6 3" xfId="17254"/>
    <cellStyle name="Currency 2 7 2 2 7" xfId="17255"/>
    <cellStyle name="Currency 2 7 2 2 8" xfId="17256"/>
    <cellStyle name="Currency 2 7 2 3" xfId="17257"/>
    <cellStyle name="Currency 2 7 2 3 2" xfId="17258"/>
    <cellStyle name="Currency 2 7 2 3 2 2" xfId="17259"/>
    <cellStyle name="Currency 2 7 2 3 2 2 2" xfId="17260"/>
    <cellStyle name="Currency 2 7 2 3 2 2 3" xfId="17261"/>
    <cellStyle name="Currency 2 7 2 3 2 3" xfId="17262"/>
    <cellStyle name="Currency 2 7 2 3 2 3 2" xfId="17263"/>
    <cellStyle name="Currency 2 7 2 3 2 3 3" xfId="17264"/>
    <cellStyle name="Currency 2 7 2 3 2 4" xfId="17265"/>
    <cellStyle name="Currency 2 7 2 3 2 5" xfId="17266"/>
    <cellStyle name="Currency 2 7 2 3 3" xfId="17267"/>
    <cellStyle name="Currency 2 7 2 3 3 2" xfId="17268"/>
    <cellStyle name="Currency 2 7 2 3 3 3" xfId="17269"/>
    <cellStyle name="Currency 2 7 2 3 4" xfId="17270"/>
    <cellStyle name="Currency 2 7 2 3 4 2" xfId="17271"/>
    <cellStyle name="Currency 2 7 2 3 4 3" xfId="17272"/>
    <cellStyle name="Currency 2 7 2 3 5" xfId="17273"/>
    <cellStyle name="Currency 2 7 2 3 6" xfId="17274"/>
    <cellStyle name="Currency 2 7 2 4" xfId="17275"/>
    <cellStyle name="Currency 2 7 2 4 2" xfId="17276"/>
    <cellStyle name="Currency 2 7 2 4 2 2" xfId="17277"/>
    <cellStyle name="Currency 2 7 2 4 2 2 2" xfId="17278"/>
    <cellStyle name="Currency 2 7 2 4 2 2 3" xfId="17279"/>
    <cellStyle name="Currency 2 7 2 4 2 3" xfId="17280"/>
    <cellStyle name="Currency 2 7 2 4 2 3 2" xfId="17281"/>
    <cellStyle name="Currency 2 7 2 4 2 3 3" xfId="17282"/>
    <cellStyle name="Currency 2 7 2 4 2 4" xfId="17283"/>
    <cellStyle name="Currency 2 7 2 4 2 5" xfId="17284"/>
    <cellStyle name="Currency 2 7 2 4 3" xfId="17285"/>
    <cellStyle name="Currency 2 7 2 4 3 2" xfId="17286"/>
    <cellStyle name="Currency 2 7 2 4 3 3" xfId="17287"/>
    <cellStyle name="Currency 2 7 2 4 4" xfId="17288"/>
    <cellStyle name="Currency 2 7 2 4 4 2" xfId="17289"/>
    <cellStyle name="Currency 2 7 2 4 4 3" xfId="17290"/>
    <cellStyle name="Currency 2 7 2 4 5" xfId="17291"/>
    <cellStyle name="Currency 2 7 2 4 6" xfId="17292"/>
    <cellStyle name="Currency 2 7 2 5" xfId="17293"/>
    <cellStyle name="Currency 2 7 2 5 2" xfId="17294"/>
    <cellStyle name="Currency 2 7 2 5 2 2" xfId="17295"/>
    <cellStyle name="Currency 2 7 2 5 2 3" xfId="17296"/>
    <cellStyle name="Currency 2 7 2 5 3" xfId="17297"/>
    <cellStyle name="Currency 2 7 2 5 3 2" xfId="17298"/>
    <cellStyle name="Currency 2 7 2 5 3 3" xfId="17299"/>
    <cellStyle name="Currency 2 7 2 5 4" xfId="17300"/>
    <cellStyle name="Currency 2 7 2 5 5" xfId="17301"/>
    <cellStyle name="Currency 2 7 2 6" xfId="17302"/>
    <cellStyle name="Currency 2 7 2 6 2" xfId="17303"/>
    <cellStyle name="Currency 2 7 2 6 3" xfId="17304"/>
    <cellStyle name="Currency 2 7 2 7" xfId="17305"/>
    <cellStyle name="Currency 2 7 2 7 2" xfId="17306"/>
    <cellStyle name="Currency 2 7 2 7 3" xfId="17307"/>
    <cellStyle name="Currency 2 7 2 8" xfId="17308"/>
    <cellStyle name="Currency 2 7 2 9" xfId="17309"/>
    <cellStyle name="Currency 2 7 3" xfId="17310"/>
    <cellStyle name="Currency 2 7 3 2" xfId="17311"/>
    <cellStyle name="Currency 2 7 3 2 2" xfId="17312"/>
    <cellStyle name="Currency 2 7 3 2 2 2" xfId="17313"/>
    <cellStyle name="Currency 2 7 3 2 2 2 2" xfId="17314"/>
    <cellStyle name="Currency 2 7 3 2 2 2 3" xfId="17315"/>
    <cellStyle name="Currency 2 7 3 2 2 3" xfId="17316"/>
    <cellStyle name="Currency 2 7 3 2 2 3 2" xfId="17317"/>
    <cellStyle name="Currency 2 7 3 2 2 3 3" xfId="17318"/>
    <cellStyle name="Currency 2 7 3 2 2 4" xfId="17319"/>
    <cellStyle name="Currency 2 7 3 2 2 5" xfId="17320"/>
    <cellStyle name="Currency 2 7 3 2 3" xfId="17321"/>
    <cellStyle name="Currency 2 7 3 2 3 2" xfId="17322"/>
    <cellStyle name="Currency 2 7 3 2 3 3" xfId="17323"/>
    <cellStyle name="Currency 2 7 3 2 4" xfId="17324"/>
    <cellStyle name="Currency 2 7 3 2 4 2" xfId="17325"/>
    <cellStyle name="Currency 2 7 3 2 4 3" xfId="17326"/>
    <cellStyle name="Currency 2 7 3 2 5" xfId="17327"/>
    <cellStyle name="Currency 2 7 3 2 6" xfId="17328"/>
    <cellStyle name="Currency 2 7 3 3" xfId="17329"/>
    <cellStyle name="Currency 2 7 3 3 2" xfId="17330"/>
    <cellStyle name="Currency 2 7 3 3 2 2" xfId="17331"/>
    <cellStyle name="Currency 2 7 3 3 2 2 2" xfId="17332"/>
    <cellStyle name="Currency 2 7 3 3 2 2 3" xfId="17333"/>
    <cellStyle name="Currency 2 7 3 3 2 3" xfId="17334"/>
    <cellStyle name="Currency 2 7 3 3 2 3 2" xfId="17335"/>
    <cellStyle name="Currency 2 7 3 3 2 3 3" xfId="17336"/>
    <cellStyle name="Currency 2 7 3 3 2 4" xfId="17337"/>
    <cellStyle name="Currency 2 7 3 3 2 5" xfId="17338"/>
    <cellStyle name="Currency 2 7 3 3 3" xfId="17339"/>
    <cellStyle name="Currency 2 7 3 3 3 2" xfId="17340"/>
    <cellStyle name="Currency 2 7 3 3 3 3" xfId="17341"/>
    <cellStyle name="Currency 2 7 3 3 4" xfId="17342"/>
    <cellStyle name="Currency 2 7 3 3 4 2" xfId="17343"/>
    <cellStyle name="Currency 2 7 3 3 4 3" xfId="17344"/>
    <cellStyle name="Currency 2 7 3 3 5" xfId="17345"/>
    <cellStyle name="Currency 2 7 3 3 6" xfId="17346"/>
    <cellStyle name="Currency 2 7 3 4" xfId="17347"/>
    <cellStyle name="Currency 2 7 3 4 2" xfId="17348"/>
    <cellStyle name="Currency 2 7 3 4 2 2" xfId="17349"/>
    <cellStyle name="Currency 2 7 3 4 2 3" xfId="17350"/>
    <cellStyle name="Currency 2 7 3 4 3" xfId="17351"/>
    <cellStyle name="Currency 2 7 3 4 3 2" xfId="17352"/>
    <cellStyle name="Currency 2 7 3 4 3 3" xfId="17353"/>
    <cellStyle name="Currency 2 7 3 4 4" xfId="17354"/>
    <cellStyle name="Currency 2 7 3 4 5" xfId="17355"/>
    <cellStyle name="Currency 2 7 3 5" xfId="17356"/>
    <cellStyle name="Currency 2 7 3 5 2" xfId="17357"/>
    <cellStyle name="Currency 2 7 3 5 3" xfId="17358"/>
    <cellStyle name="Currency 2 7 3 6" xfId="17359"/>
    <cellStyle name="Currency 2 7 3 6 2" xfId="17360"/>
    <cellStyle name="Currency 2 7 3 6 3" xfId="17361"/>
    <cellStyle name="Currency 2 7 3 7" xfId="17362"/>
    <cellStyle name="Currency 2 7 3 8" xfId="17363"/>
    <cellStyle name="Currency 2 7 4" xfId="17364"/>
    <cellStyle name="Currency 2 7 4 2" xfId="17365"/>
    <cellStyle name="Currency 2 7 4 2 2" xfId="17366"/>
    <cellStyle name="Currency 2 7 4 2 2 2" xfId="17367"/>
    <cellStyle name="Currency 2 7 4 2 2 3" xfId="17368"/>
    <cellStyle name="Currency 2 7 4 2 3" xfId="17369"/>
    <cellStyle name="Currency 2 7 4 2 3 2" xfId="17370"/>
    <cellStyle name="Currency 2 7 4 2 3 3" xfId="17371"/>
    <cellStyle name="Currency 2 7 4 2 4" xfId="17372"/>
    <cellStyle name="Currency 2 7 4 2 5" xfId="17373"/>
    <cellStyle name="Currency 2 7 4 3" xfId="17374"/>
    <cellStyle name="Currency 2 7 4 3 2" xfId="17375"/>
    <cellStyle name="Currency 2 7 4 3 3" xfId="17376"/>
    <cellStyle name="Currency 2 7 4 4" xfId="17377"/>
    <cellStyle name="Currency 2 7 4 4 2" xfId="17378"/>
    <cellStyle name="Currency 2 7 4 4 3" xfId="17379"/>
    <cellStyle name="Currency 2 7 4 5" xfId="17380"/>
    <cellStyle name="Currency 2 7 4 6" xfId="17381"/>
    <cellStyle name="Currency 2 7 5" xfId="17382"/>
    <cellStyle name="Currency 2 7 5 2" xfId="17383"/>
    <cellStyle name="Currency 2 7 5 2 2" xfId="17384"/>
    <cellStyle name="Currency 2 7 5 2 2 2" xfId="17385"/>
    <cellStyle name="Currency 2 7 5 2 2 3" xfId="17386"/>
    <cellStyle name="Currency 2 7 5 2 3" xfId="17387"/>
    <cellStyle name="Currency 2 7 5 2 3 2" xfId="17388"/>
    <cellStyle name="Currency 2 7 5 2 3 3" xfId="17389"/>
    <cellStyle name="Currency 2 7 5 2 4" xfId="17390"/>
    <cellStyle name="Currency 2 7 5 2 5" xfId="17391"/>
    <cellStyle name="Currency 2 7 5 3" xfId="17392"/>
    <cellStyle name="Currency 2 7 5 3 2" xfId="17393"/>
    <cellStyle name="Currency 2 7 5 3 3" xfId="17394"/>
    <cellStyle name="Currency 2 7 5 4" xfId="17395"/>
    <cellStyle name="Currency 2 7 5 4 2" xfId="17396"/>
    <cellStyle name="Currency 2 7 5 4 3" xfId="17397"/>
    <cellStyle name="Currency 2 7 5 5" xfId="17398"/>
    <cellStyle name="Currency 2 7 5 6" xfId="17399"/>
    <cellStyle name="Currency 2 7 6" xfId="17400"/>
    <cellStyle name="Currency 2 7 6 2" xfId="17401"/>
    <cellStyle name="Currency 2 7 6 2 2" xfId="17402"/>
    <cellStyle name="Currency 2 7 6 2 3" xfId="17403"/>
    <cellStyle name="Currency 2 7 6 3" xfId="17404"/>
    <cellStyle name="Currency 2 7 6 3 2" xfId="17405"/>
    <cellStyle name="Currency 2 7 6 3 3" xfId="17406"/>
    <cellStyle name="Currency 2 7 6 4" xfId="17407"/>
    <cellStyle name="Currency 2 7 6 5" xfId="17408"/>
    <cellStyle name="Currency 2 7 7" xfId="17409"/>
    <cellStyle name="Currency 2 7 7 2" xfId="17410"/>
    <cellStyle name="Currency 2 7 7 3" xfId="17411"/>
    <cellStyle name="Currency 2 7 8" xfId="17412"/>
    <cellStyle name="Currency 2 7 8 2" xfId="17413"/>
    <cellStyle name="Currency 2 7 8 3" xfId="17414"/>
    <cellStyle name="Currency 2 7 9" xfId="17415"/>
    <cellStyle name="Currency 2 8" xfId="17416"/>
    <cellStyle name="Currency 2 8 10" xfId="17417"/>
    <cellStyle name="Currency 2 8 2" xfId="17418"/>
    <cellStyle name="Currency 2 8 2 2" xfId="17419"/>
    <cellStyle name="Currency 2 8 2 2 2" xfId="17420"/>
    <cellStyle name="Currency 2 8 2 2 2 2" xfId="17421"/>
    <cellStyle name="Currency 2 8 2 2 2 2 2" xfId="17422"/>
    <cellStyle name="Currency 2 8 2 2 2 2 2 2" xfId="17423"/>
    <cellStyle name="Currency 2 8 2 2 2 2 2 3" xfId="17424"/>
    <cellStyle name="Currency 2 8 2 2 2 2 3" xfId="17425"/>
    <cellStyle name="Currency 2 8 2 2 2 2 3 2" xfId="17426"/>
    <cellStyle name="Currency 2 8 2 2 2 2 3 3" xfId="17427"/>
    <cellStyle name="Currency 2 8 2 2 2 2 4" xfId="17428"/>
    <cellStyle name="Currency 2 8 2 2 2 2 5" xfId="17429"/>
    <cellStyle name="Currency 2 8 2 2 2 3" xfId="17430"/>
    <cellStyle name="Currency 2 8 2 2 2 3 2" xfId="17431"/>
    <cellStyle name="Currency 2 8 2 2 2 3 3" xfId="17432"/>
    <cellStyle name="Currency 2 8 2 2 2 4" xfId="17433"/>
    <cellStyle name="Currency 2 8 2 2 2 4 2" xfId="17434"/>
    <cellStyle name="Currency 2 8 2 2 2 4 3" xfId="17435"/>
    <cellStyle name="Currency 2 8 2 2 2 5" xfId="17436"/>
    <cellStyle name="Currency 2 8 2 2 2 6" xfId="17437"/>
    <cellStyle name="Currency 2 8 2 2 3" xfId="17438"/>
    <cellStyle name="Currency 2 8 2 2 3 2" xfId="17439"/>
    <cellStyle name="Currency 2 8 2 2 3 2 2" xfId="17440"/>
    <cellStyle name="Currency 2 8 2 2 3 2 2 2" xfId="17441"/>
    <cellStyle name="Currency 2 8 2 2 3 2 2 3" xfId="17442"/>
    <cellStyle name="Currency 2 8 2 2 3 2 3" xfId="17443"/>
    <cellStyle name="Currency 2 8 2 2 3 2 3 2" xfId="17444"/>
    <cellStyle name="Currency 2 8 2 2 3 2 3 3" xfId="17445"/>
    <cellStyle name="Currency 2 8 2 2 3 2 4" xfId="17446"/>
    <cellStyle name="Currency 2 8 2 2 3 2 5" xfId="17447"/>
    <cellStyle name="Currency 2 8 2 2 3 3" xfId="17448"/>
    <cellStyle name="Currency 2 8 2 2 3 3 2" xfId="17449"/>
    <cellStyle name="Currency 2 8 2 2 3 3 3" xfId="17450"/>
    <cellStyle name="Currency 2 8 2 2 3 4" xfId="17451"/>
    <cellStyle name="Currency 2 8 2 2 3 4 2" xfId="17452"/>
    <cellStyle name="Currency 2 8 2 2 3 4 3" xfId="17453"/>
    <cellStyle name="Currency 2 8 2 2 3 5" xfId="17454"/>
    <cellStyle name="Currency 2 8 2 2 3 6" xfId="17455"/>
    <cellStyle name="Currency 2 8 2 2 4" xfId="17456"/>
    <cellStyle name="Currency 2 8 2 2 4 2" xfId="17457"/>
    <cellStyle name="Currency 2 8 2 2 4 2 2" xfId="17458"/>
    <cellStyle name="Currency 2 8 2 2 4 2 3" xfId="17459"/>
    <cellStyle name="Currency 2 8 2 2 4 3" xfId="17460"/>
    <cellStyle name="Currency 2 8 2 2 4 3 2" xfId="17461"/>
    <cellStyle name="Currency 2 8 2 2 4 3 3" xfId="17462"/>
    <cellStyle name="Currency 2 8 2 2 4 4" xfId="17463"/>
    <cellStyle name="Currency 2 8 2 2 4 5" xfId="17464"/>
    <cellStyle name="Currency 2 8 2 2 5" xfId="17465"/>
    <cellStyle name="Currency 2 8 2 2 5 2" xfId="17466"/>
    <cellStyle name="Currency 2 8 2 2 5 3" xfId="17467"/>
    <cellStyle name="Currency 2 8 2 2 6" xfId="17468"/>
    <cellStyle name="Currency 2 8 2 2 6 2" xfId="17469"/>
    <cellStyle name="Currency 2 8 2 2 6 3" xfId="17470"/>
    <cellStyle name="Currency 2 8 2 2 7" xfId="17471"/>
    <cellStyle name="Currency 2 8 2 2 8" xfId="17472"/>
    <cellStyle name="Currency 2 8 2 3" xfId="17473"/>
    <cellStyle name="Currency 2 8 2 3 2" xfId="17474"/>
    <cellStyle name="Currency 2 8 2 3 2 2" xfId="17475"/>
    <cellStyle name="Currency 2 8 2 3 2 2 2" xfId="17476"/>
    <cellStyle name="Currency 2 8 2 3 2 2 3" xfId="17477"/>
    <cellStyle name="Currency 2 8 2 3 2 3" xfId="17478"/>
    <cellStyle name="Currency 2 8 2 3 2 3 2" xfId="17479"/>
    <cellStyle name="Currency 2 8 2 3 2 3 3" xfId="17480"/>
    <cellStyle name="Currency 2 8 2 3 2 4" xfId="17481"/>
    <cellStyle name="Currency 2 8 2 3 2 5" xfId="17482"/>
    <cellStyle name="Currency 2 8 2 3 3" xfId="17483"/>
    <cellStyle name="Currency 2 8 2 3 3 2" xfId="17484"/>
    <cellStyle name="Currency 2 8 2 3 3 3" xfId="17485"/>
    <cellStyle name="Currency 2 8 2 3 4" xfId="17486"/>
    <cellStyle name="Currency 2 8 2 3 4 2" xfId="17487"/>
    <cellStyle name="Currency 2 8 2 3 4 3" xfId="17488"/>
    <cellStyle name="Currency 2 8 2 3 5" xfId="17489"/>
    <cellStyle name="Currency 2 8 2 3 6" xfId="17490"/>
    <cellStyle name="Currency 2 8 2 4" xfId="17491"/>
    <cellStyle name="Currency 2 8 2 4 2" xfId="17492"/>
    <cellStyle name="Currency 2 8 2 4 2 2" xfId="17493"/>
    <cellStyle name="Currency 2 8 2 4 2 2 2" xfId="17494"/>
    <cellStyle name="Currency 2 8 2 4 2 2 3" xfId="17495"/>
    <cellStyle name="Currency 2 8 2 4 2 3" xfId="17496"/>
    <cellStyle name="Currency 2 8 2 4 2 3 2" xfId="17497"/>
    <cellStyle name="Currency 2 8 2 4 2 3 3" xfId="17498"/>
    <cellStyle name="Currency 2 8 2 4 2 4" xfId="17499"/>
    <cellStyle name="Currency 2 8 2 4 2 5" xfId="17500"/>
    <cellStyle name="Currency 2 8 2 4 3" xfId="17501"/>
    <cellStyle name="Currency 2 8 2 4 3 2" xfId="17502"/>
    <cellStyle name="Currency 2 8 2 4 3 3" xfId="17503"/>
    <cellStyle name="Currency 2 8 2 4 4" xfId="17504"/>
    <cellStyle name="Currency 2 8 2 4 4 2" xfId="17505"/>
    <cellStyle name="Currency 2 8 2 4 4 3" xfId="17506"/>
    <cellStyle name="Currency 2 8 2 4 5" xfId="17507"/>
    <cellStyle name="Currency 2 8 2 4 6" xfId="17508"/>
    <cellStyle name="Currency 2 8 2 5" xfId="17509"/>
    <cellStyle name="Currency 2 8 2 5 2" xfId="17510"/>
    <cellStyle name="Currency 2 8 2 5 2 2" xfId="17511"/>
    <cellStyle name="Currency 2 8 2 5 2 3" xfId="17512"/>
    <cellStyle name="Currency 2 8 2 5 3" xfId="17513"/>
    <cellStyle name="Currency 2 8 2 5 3 2" xfId="17514"/>
    <cellStyle name="Currency 2 8 2 5 3 3" xfId="17515"/>
    <cellStyle name="Currency 2 8 2 5 4" xfId="17516"/>
    <cellStyle name="Currency 2 8 2 5 5" xfId="17517"/>
    <cellStyle name="Currency 2 8 2 6" xfId="17518"/>
    <cellStyle name="Currency 2 8 2 6 2" xfId="17519"/>
    <cellStyle name="Currency 2 8 2 6 3" xfId="17520"/>
    <cellStyle name="Currency 2 8 2 7" xfId="17521"/>
    <cellStyle name="Currency 2 8 2 7 2" xfId="17522"/>
    <cellStyle name="Currency 2 8 2 7 3" xfId="17523"/>
    <cellStyle name="Currency 2 8 2 8" xfId="17524"/>
    <cellStyle name="Currency 2 8 2 9" xfId="17525"/>
    <cellStyle name="Currency 2 8 3" xfId="17526"/>
    <cellStyle name="Currency 2 8 3 2" xfId="17527"/>
    <cellStyle name="Currency 2 8 3 2 2" xfId="17528"/>
    <cellStyle name="Currency 2 8 3 2 2 2" xfId="17529"/>
    <cellStyle name="Currency 2 8 3 2 2 2 2" xfId="17530"/>
    <cellStyle name="Currency 2 8 3 2 2 2 3" xfId="17531"/>
    <cellStyle name="Currency 2 8 3 2 2 3" xfId="17532"/>
    <cellStyle name="Currency 2 8 3 2 2 3 2" xfId="17533"/>
    <cellStyle name="Currency 2 8 3 2 2 3 3" xfId="17534"/>
    <cellStyle name="Currency 2 8 3 2 2 4" xfId="17535"/>
    <cellStyle name="Currency 2 8 3 2 2 5" xfId="17536"/>
    <cellStyle name="Currency 2 8 3 2 3" xfId="17537"/>
    <cellStyle name="Currency 2 8 3 2 3 2" xfId="17538"/>
    <cellStyle name="Currency 2 8 3 2 3 3" xfId="17539"/>
    <cellStyle name="Currency 2 8 3 2 4" xfId="17540"/>
    <cellStyle name="Currency 2 8 3 2 4 2" xfId="17541"/>
    <cellStyle name="Currency 2 8 3 2 4 3" xfId="17542"/>
    <cellStyle name="Currency 2 8 3 2 5" xfId="17543"/>
    <cellStyle name="Currency 2 8 3 2 6" xfId="17544"/>
    <cellStyle name="Currency 2 8 3 3" xfId="17545"/>
    <cellStyle name="Currency 2 8 3 3 2" xfId="17546"/>
    <cellStyle name="Currency 2 8 3 3 2 2" xfId="17547"/>
    <cellStyle name="Currency 2 8 3 3 2 2 2" xfId="17548"/>
    <cellStyle name="Currency 2 8 3 3 2 2 3" xfId="17549"/>
    <cellStyle name="Currency 2 8 3 3 2 3" xfId="17550"/>
    <cellStyle name="Currency 2 8 3 3 2 3 2" xfId="17551"/>
    <cellStyle name="Currency 2 8 3 3 2 3 3" xfId="17552"/>
    <cellStyle name="Currency 2 8 3 3 2 4" xfId="17553"/>
    <cellStyle name="Currency 2 8 3 3 2 5" xfId="17554"/>
    <cellStyle name="Currency 2 8 3 3 3" xfId="17555"/>
    <cellStyle name="Currency 2 8 3 3 3 2" xfId="17556"/>
    <cellStyle name="Currency 2 8 3 3 3 3" xfId="17557"/>
    <cellStyle name="Currency 2 8 3 3 4" xfId="17558"/>
    <cellStyle name="Currency 2 8 3 3 4 2" xfId="17559"/>
    <cellStyle name="Currency 2 8 3 3 4 3" xfId="17560"/>
    <cellStyle name="Currency 2 8 3 3 5" xfId="17561"/>
    <cellStyle name="Currency 2 8 3 3 6" xfId="17562"/>
    <cellStyle name="Currency 2 8 3 4" xfId="17563"/>
    <cellStyle name="Currency 2 8 3 4 2" xfId="17564"/>
    <cellStyle name="Currency 2 8 3 4 2 2" xfId="17565"/>
    <cellStyle name="Currency 2 8 3 4 2 3" xfId="17566"/>
    <cellStyle name="Currency 2 8 3 4 3" xfId="17567"/>
    <cellStyle name="Currency 2 8 3 4 3 2" xfId="17568"/>
    <cellStyle name="Currency 2 8 3 4 3 3" xfId="17569"/>
    <cellStyle name="Currency 2 8 3 4 4" xfId="17570"/>
    <cellStyle name="Currency 2 8 3 4 5" xfId="17571"/>
    <cellStyle name="Currency 2 8 3 5" xfId="17572"/>
    <cellStyle name="Currency 2 8 3 5 2" xfId="17573"/>
    <cellStyle name="Currency 2 8 3 5 3" xfId="17574"/>
    <cellStyle name="Currency 2 8 3 6" xfId="17575"/>
    <cellStyle name="Currency 2 8 3 6 2" xfId="17576"/>
    <cellStyle name="Currency 2 8 3 6 3" xfId="17577"/>
    <cellStyle name="Currency 2 8 3 7" xfId="17578"/>
    <cellStyle name="Currency 2 8 3 8" xfId="17579"/>
    <cellStyle name="Currency 2 8 4" xfId="17580"/>
    <cellStyle name="Currency 2 8 4 2" xfId="17581"/>
    <cellStyle name="Currency 2 8 4 2 2" xfId="17582"/>
    <cellStyle name="Currency 2 8 4 2 2 2" xfId="17583"/>
    <cellStyle name="Currency 2 8 4 2 2 3" xfId="17584"/>
    <cellStyle name="Currency 2 8 4 2 3" xfId="17585"/>
    <cellStyle name="Currency 2 8 4 2 3 2" xfId="17586"/>
    <cellStyle name="Currency 2 8 4 2 3 3" xfId="17587"/>
    <cellStyle name="Currency 2 8 4 2 4" xfId="17588"/>
    <cellStyle name="Currency 2 8 4 2 5" xfId="17589"/>
    <cellStyle name="Currency 2 8 4 3" xfId="17590"/>
    <cellStyle name="Currency 2 8 4 3 2" xfId="17591"/>
    <cellStyle name="Currency 2 8 4 3 3" xfId="17592"/>
    <cellStyle name="Currency 2 8 4 4" xfId="17593"/>
    <cellStyle name="Currency 2 8 4 4 2" xfId="17594"/>
    <cellStyle name="Currency 2 8 4 4 3" xfId="17595"/>
    <cellStyle name="Currency 2 8 4 5" xfId="17596"/>
    <cellStyle name="Currency 2 8 4 6" xfId="17597"/>
    <cellStyle name="Currency 2 8 5" xfId="17598"/>
    <cellStyle name="Currency 2 8 5 2" xfId="17599"/>
    <cellStyle name="Currency 2 8 5 2 2" xfId="17600"/>
    <cellStyle name="Currency 2 8 5 2 2 2" xfId="17601"/>
    <cellStyle name="Currency 2 8 5 2 2 3" xfId="17602"/>
    <cellStyle name="Currency 2 8 5 2 3" xfId="17603"/>
    <cellStyle name="Currency 2 8 5 2 3 2" xfId="17604"/>
    <cellStyle name="Currency 2 8 5 2 3 3" xfId="17605"/>
    <cellStyle name="Currency 2 8 5 2 4" xfId="17606"/>
    <cellStyle name="Currency 2 8 5 2 5" xfId="17607"/>
    <cellStyle name="Currency 2 8 5 3" xfId="17608"/>
    <cellStyle name="Currency 2 8 5 3 2" xfId="17609"/>
    <cellStyle name="Currency 2 8 5 3 3" xfId="17610"/>
    <cellStyle name="Currency 2 8 5 4" xfId="17611"/>
    <cellStyle name="Currency 2 8 5 4 2" xfId="17612"/>
    <cellStyle name="Currency 2 8 5 4 3" xfId="17613"/>
    <cellStyle name="Currency 2 8 5 5" xfId="17614"/>
    <cellStyle name="Currency 2 8 5 6" xfId="17615"/>
    <cellStyle name="Currency 2 8 6" xfId="17616"/>
    <cellStyle name="Currency 2 8 6 2" xfId="17617"/>
    <cellStyle name="Currency 2 8 6 2 2" xfId="17618"/>
    <cellStyle name="Currency 2 8 6 2 3" xfId="17619"/>
    <cellStyle name="Currency 2 8 6 3" xfId="17620"/>
    <cellStyle name="Currency 2 8 6 3 2" xfId="17621"/>
    <cellStyle name="Currency 2 8 6 3 3" xfId="17622"/>
    <cellStyle name="Currency 2 8 6 4" xfId="17623"/>
    <cellStyle name="Currency 2 8 6 5" xfId="17624"/>
    <cellStyle name="Currency 2 8 7" xfId="17625"/>
    <cellStyle name="Currency 2 8 7 2" xfId="17626"/>
    <cellStyle name="Currency 2 8 7 3" xfId="17627"/>
    <cellStyle name="Currency 2 8 8" xfId="17628"/>
    <cellStyle name="Currency 2 8 8 2" xfId="17629"/>
    <cellStyle name="Currency 2 8 8 3" xfId="17630"/>
    <cellStyle name="Currency 2 8 9" xfId="17631"/>
    <cellStyle name="Currency 2 9" xfId="17632"/>
    <cellStyle name="Currency 2 9 10" xfId="17633"/>
    <cellStyle name="Currency 2 9 2" xfId="17634"/>
    <cellStyle name="Currency 2 9 2 2" xfId="17635"/>
    <cellStyle name="Currency 2 9 2 2 2" xfId="17636"/>
    <cellStyle name="Currency 2 9 2 2 2 2" xfId="17637"/>
    <cellStyle name="Currency 2 9 2 2 2 2 2" xfId="17638"/>
    <cellStyle name="Currency 2 9 2 2 2 2 2 2" xfId="17639"/>
    <cellStyle name="Currency 2 9 2 2 2 2 2 3" xfId="17640"/>
    <cellStyle name="Currency 2 9 2 2 2 2 3" xfId="17641"/>
    <cellStyle name="Currency 2 9 2 2 2 2 3 2" xfId="17642"/>
    <cellStyle name="Currency 2 9 2 2 2 2 3 3" xfId="17643"/>
    <cellStyle name="Currency 2 9 2 2 2 2 4" xfId="17644"/>
    <cellStyle name="Currency 2 9 2 2 2 2 5" xfId="17645"/>
    <cellStyle name="Currency 2 9 2 2 2 3" xfId="17646"/>
    <cellStyle name="Currency 2 9 2 2 2 3 2" xfId="17647"/>
    <cellStyle name="Currency 2 9 2 2 2 3 3" xfId="17648"/>
    <cellStyle name="Currency 2 9 2 2 2 4" xfId="17649"/>
    <cellStyle name="Currency 2 9 2 2 2 4 2" xfId="17650"/>
    <cellStyle name="Currency 2 9 2 2 2 4 3" xfId="17651"/>
    <cellStyle name="Currency 2 9 2 2 2 5" xfId="17652"/>
    <cellStyle name="Currency 2 9 2 2 2 6" xfId="17653"/>
    <cellStyle name="Currency 2 9 2 2 3" xfId="17654"/>
    <cellStyle name="Currency 2 9 2 2 3 2" xfId="17655"/>
    <cellStyle name="Currency 2 9 2 2 3 2 2" xfId="17656"/>
    <cellStyle name="Currency 2 9 2 2 3 2 2 2" xfId="17657"/>
    <cellStyle name="Currency 2 9 2 2 3 2 2 3" xfId="17658"/>
    <cellStyle name="Currency 2 9 2 2 3 2 3" xfId="17659"/>
    <cellStyle name="Currency 2 9 2 2 3 2 3 2" xfId="17660"/>
    <cellStyle name="Currency 2 9 2 2 3 2 3 3" xfId="17661"/>
    <cellStyle name="Currency 2 9 2 2 3 2 4" xfId="17662"/>
    <cellStyle name="Currency 2 9 2 2 3 2 5" xfId="17663"/>
    <cellStyle name="Currency 2 9 2 2 3 3" xfId="17664"/>
    <cellStyle name="Currency 2 9 2 2 3 3 2" xfId="17665"/>
    <cellStyle name="Currency 2 9 2 2 3 3 3" xfId="17666"/>
    <cellStyle name="Currency 2 9 2 2 3 4" xfId="17667"/>
    <cellStyle name="Currency 2 9 2 2 3 4 2" xfId="17668"/>
    <cellStyle name="Currency 2 9 2 2 3 4 3" xfId="17669"/>
    <cellStyle name="Currency 2 9 2 2 3 5" xfId="17670"/>
    <cellStyle name="Currency 2 9 2 2 3 6" xfId="17671"/>
    <cellStyle name="Currency 2 9 2 2 4" xfId="17672"/>
    <cellStyle name="Currency 2 9 2 2 4 2" xfId="17673"/>
    <cellStyle name="Currency 2 9 2 2 4 2 2" xfId="17674"/>
    <cellStyle name="Currency 2 9 2 2 4 2 3" xfId="17675"/>
    <cellStyle name="Currency 2 9 2 2 4 3" xfId="17676"/>
    <cellStyle name="Currency 2 9 2 2 4 3 2" xfId="17677"/>
    <cellStyle name="Currency 2 9 2 2 4 3 3" xfId="17678"/>
    <cellStyle name="Currency 2 9 2 2 4 4" xfId="17679"/>
    <cellStyle name="Currency 2 9 2 2 4 5" xfId="17680"/>
    <cellStyle name="Currency 2 9 2 2 5" xfId="17681"/>
    <cellStyle name="Currency 2 9 2 2 5 2" xfId="17682"/>
    <cellStyle name="Currency 2 9 2 2 5 3" xfId="17683"/>
    <cellStyle name="Currency 2 9 2 2 6" xfId="17684"/>
    <cellStyle name="Currency 2 9 2 2 6 2" xfId="17685"/>
    <cellStyle name="Currency 2 9 2 2 6 3" xfId="17686"/>
    <cellStyle name="Currency 2 9 2 2 7" xfId="17687"/>
    <cellStyle name="Currency 2 9 2 2 8" xfId="17688"/>
    <cellStyle name="Currency 2 9 2 3" xfId="17689"/>
    <cellStyle name="Currency 2 9 2 3 2" xfId="17690"/>
    <cellStyle name="Currency 2 9 2 3 2 2" xfId="17691"/>
    <cellStyle name="Currency 2 9 2 3 2 2 2" xfId="17692"/>
    <cellStyle name="Currency 2 9 2 3 2 2 3" xfId="17693"/>
    <cellStyle name="Currency 2 9 2 3 2 3" xfId="17694"/>
    <cellStyle name="Currency 2 9 2 3 2 3 2" xfId="17695"/>
    <cellStyle name="Currency 2 9 2 3 2 3 3" xfId="17696"/>
    <cellStyle name="Currency 2 9 2 3 2 4" xfId="17697"/>
    <cellStyle name="Currency 2 9 2 3 2 5" xfId="17698"/>
    <cellStyle name="Currency 2 9 2 3 3" xfId="17699"/>
    <cellStyle name="Currency 2 9 2 3 3 2" xfId="17700"/>
    <cellStyle name="Currency 2 9 2 3 3 3" xfId="17701"/>
    <cellStyle name="Currency 2 9 2 3 4" xfId="17702"/>
    <cellStyle name="Currency 2 9 2 3 4 2" xfId="17703"/>
    <cellStyle name="Currency 2 9 2 3 4 3" xfId="17704"/>
    <cellStyle name="Currency 2 9 2 3 5" xfId="17705"/>
    <cellStyle name="Currency 2 9 2 3 6" xfId="17706"/>
    <cellStyle name="Currency 2 9 2 4" xfId="17707"/>
    <cellStyle name="Currency 2 9 2 4 2" xfId="17708"/>
    <cellStyle name="Currency 2 9 2 4 2 2" xfId="17709"/>
    <cellStyle name="Currency 2 9 2 4 2 2 2" xfId="17710"/>
    <cellStyle name="Currency 2 9 2 4 2 2 3" xfId="17711"/>
    <cellStyle name="Currency 2 9 2 4 2 3" xfId="17712"/>
    <cellStyle name="Currency 2 9 2 4 2 3 2" xfId="17713"/>
    <cellStyle name="Currency 2 9 2 4 2 3 3" xfId="17714"/>
    <cellStyle name="Currency 2 9 2 4 2 4" xfId="17715"/>
    <cellStyle name="Currency 2 9 2 4 2 5" xfId="17716"/>
    <cellStyle name="Currency 2 9 2 4 3" xfId="17717"/>
    <cellStyle name="Currency 2 9 2 4 3 2" xfId="17718"/>
    <cellStyle name="Currency 2 9 2 4 3 3" xfId="17719"/>
    <cellStyle name="Currency 2 9 2 4 4" xfId="17720"/>
    <cellStyle name="Currency 2 9 2 4 4 2" xfId="17721"/>
    <cellStyle name="Currency 2 9 2 4 4 3" xfId="17722"/>
    <cellStyle name="Currency 2 9 2 4 5" xfId="17723"/>
    <cellStyle name="Currency 2 9 2 4 6" xfId="17724"/>
    <cellStyle name="Currency 2 9 2 5" xfId="17725"/>
    <cellStyle name="Currency 2 9 2 5 2" xfId="17726"/>
    <cellStyle name="Currency 2 9 2 5 2 2" xfId="17727"/>
    <cellStyle name="Currency 2 9 2 5 2 3" xfId="17728"/>
    <cellStyle name="Currency 2 9 2 5 3" xfId="17729"/>
    <cellStyle name="Currency 2 9 2 5 3 2" xfId="17730"/>
    <cellStyle name="Currency 2 9 2 5 3 3" xfId="17731"/>
    <cellStyle name="Currency 2 9 2 5 4" xfId="17732"/>
    <cellStyle name="Currency 2 9 2 5 5" xfId="17733"/>
    <cellStyle name="Currency 2 9 2 6" xfId="17734"/>
    <cellStyle name="Currency 2 9 2 6 2" xfId="17735"/>
    <cellStyle name="Currency 2 9 2 6 3" xfId="17736"/>
    <cellStyle name="Currency 2 9 2 7" xfId="17737"/>
    <cellStyle name="Currency 2 9 2 7 2" xfId="17738"/>
    <cellStyle name="Currency 2 9 2 7 3" xfId="17739"/>
    <cellStyle name="Currency 2 9 2 8" xfId="17740"/>
    <cellStyle name="Currency 2 9 2 9" xfId="17741"/>
    <cellStyle name="Currency 2 9 3" xfId="17742"/>
    <cellStyle name="Currency 2 9 3 2" xfId="17743"/>
    <cellStyle name="Currency 2 9 3 2 2" xfId="17744"/>
    <cellStyle name="Currency 2 9 3 2 2 2" xfId="17745"/>
    <cellStyle name="Currency 2 9 3 2 2 2 2" xfId="17746"/>
    <cellStyle name="Currency 2 9 3 2 2 2 3" xfId="17747"/>
    <cellStyle name="Currency 2 9 3 2 2 3" xfId="17748"/>
    <cellStyle name="Currency 2 9 3 2 2 3 2" xfId="17749"/>
    <cellStyle name="Currency 2 9 3 2 2 3 3" xfId="17750"/>
    <cellStyle name="Currency 2 9 3 2 2 4" xfId="17751"/>
    <cellStyle name="Currency 2 9 3 2 2 5" xfId="17752"/>
    <cellStyle name="Currency 2 9 3 2 3" xfId="17753"/>
    <cellStyle name="Currency 2 9 3 2 3 2" xfId="17754"/>
    <cellStyle name="Currency 2 9 3 2 3 3" xfId="17755"/>
    <cellStyle name="Currency 2 9 3 2 4" xfId="17756"/>
    <cellStyle name="Currency 2 9 3 2 4 2" xfId="17757"/>
    <cellStyle name="Currency 2 9 3 2 4 3" xfId="17758"/>
    <cellStyle name="Currency 2 9 3 2 5" xfId="17759"/>
    <cellStyle name="Currency 2 9 3 2 6" xfId="17760"/>
    <cellStyle name="Currency 2 9 3 3" xfId="17761"/>
    <cellStyle name="Currency 2 9 3 3 2" xfId="17762"/>
    <cellStyle name="Currency 2 9 3 3 2 2" xfId="17763"/>
    <cellStyle name="Currency 2 9 3 3 2 2 2" xfId="17764"/>
    <cellStyle name="Currency 2 9 3 3 2 2 3" xfId="17765"/>
    <cellStyle name="Currency 2 9 3 3 2 3" xfId="17766"/>
    <cellStyle name="Currency 2 9 3 3 2 3 2" xfId="17767"/>
    <cellStyle name="Currency 2 9 3 3 2 3 3" xfId="17768"/>
    <cellStyle name="Currency 2 9 3 3 2 4" xfId="17769"/>
    <cellStyle name="Currency 2 9 3 3 2 5" xfId="17770"/>
    <cellStyle name="Currency 2 9 3 3 3" xfId="17771"/>
    <cellStyle name="Currency 2 9 3 3 3 2" xfId="17772"/>
    <cellStyle name="Currency 2 9 3 3 3 3" xfId="17773"/>
    <cellStyle name="Currency 2 9 3 3 4" xfId="17774"/>
    <cellStyle name="Currency 2 9 3 3 4 2" xfId="17775"/>
    <cellStyle name="Currency 2 9 3 3 4 3" xfId="17776"/>
    <cellStyle name="Currency 2 9 3 3 5" xfId="17777"/>
    <cellStyle name="Currency 2 9 3 3 6" xfId="17778"/>
    <cellStyle name="Currency 2 9 3 4" xfId="17779"/>
    <cellStyle name="Currency 2 9 3 4 2" xfId="17780"/>
    <cellStyle name="Currency 2 9 3 4 2 2" xfId="17781"/>
    <cellStyle name="Currency 2 9 3 4 2 3" xfId="17782"/>
    <cellStyle name="Currency 2 9 3 4 3" xfId="17783"/>
    <cellStyle name="Currency 2 9 3 4 3 2" xfId="17784"/>
    <cellStyle name="Currency 2 9 3 4 3 3" xfId="17785"/>
    <cellStyle name="Currency 2 9 3 4 4" xfId="17786"/>
    <cellStyle name="Currency 2 9 3 4 5" xfId="17787"/>
    <cellStyle name="Currency 2 9 3 5" xfId="17788"/>
    <cellStyle name="Currency 2 9 3 5 2" xfId="17789"/>
    <cellStyle name="Currency 2 9 3 5 3" xfId="17790"/>
    <cellStyle name="Currency 2 9 3 6" xfId="17791"/>
    <cellStyle name="Currency 2 9 3 6 2" xfId="17792"/>
    <cellStyle name="Currency 2 9 3 6 3" xfId="17793"/>
    <cellStyle name="Currency 2 9 3 7" xfId="17794"/>
    <cellStyle name="Currency 2 9 3 8" xfId="17795"/>
    <cellStyle name="Currency 2 9 4" xfId="17796"/>
    <cellStyle name="Currency 2 9 4 2" xfId="17797"/>
    <cellStyle name="Currency 2 9 4 2 2" xfId="17798"/>
    <cellStyle name="Currency 2 9 4 2 2 2" xfId="17799"/>
    <cellStyle name="Currency 2 9 4 2 2 3" xfId="17800"/>
    <cellStyle name="Currency 2 9 4 2 3" xfId="17801"/>
    <cellStyle name="Currency 2 9 4 2 3 2" xfId="17802"/>
    <cellStyle name="Currency 2 9 4 2 3 3" xfId="17803"/>
    <cellStyle name="Currency 2 9 4 2 4" xfId="17804"/>
    <cellStyle name="Currency 2 9 4 2 5" xfId="17805"/>
    <cellStyle name="Currency 2 9 4 3" xfId="17806"/>
    <cellStyle name="Currency 2 9 4 3 2" xfId="17807"/>
    <cellStyle name="Currency 2 9 4 3 3" xfId="17808"/>
    <cellStyle name="Currency 2 9 4 4" xfId="17809"/>
    <cellStyle name="Currency 2 9 4 4 2" xfId="17810"/>
    <cellStyle name="Currency 2 9 4 4 3" xfId="17811"/>
    <cellStyle name="Currency 2 9 4 5" xfId="17812"/>
    <cellStyle name="Currency 2 9 4 6" xfId="17813"/>
    <cellStyle name="Currency 2 9 5" xfId="17814"/>
    <cellStyle name="Currency 2 9 5 2" xfId="17815"/>
    <cellStyle name="Currency 2 9 5 2 2" xfId="17816"/>
    <cellStyle name="Currency 2 9 5 2 2 2" xfId="17817"/>
    <cellStyle name="Currency 2 9 5 2 2 3" xfId="17818"/>
    <cellStyle name="Currency 2 9 5 2 3" xfId="17819"/>
    <cellStyle name="Currency 2 9 5 2 3 2" xfId="17820"/>
    <cellStyle name="Currency 2 9 5 2 3 3" xfId="17821"/>
    <cellStyle name="Currency 2 9 5 2 4" xfId="17822"/>
    <cellStyle name="Currency 2 9 5 2 5" xfId="17823"/>
    <cellStyle name="Currency 2 9 5 3" xfId="17824"/>
    <cellStyle name="Currency 2 9 5 3 2" xfId="17825"/>
    <cellStyle name="Currency 2 9 5 3 3" xfId="17826"/>
    <cellStyle name="Currency 2 9 5 4" xfId="17827"/>
    <cellStyle name="Currency 2 9 5 4 2" xfId="17828"/>
    <cellStyle name="Currency 2 9 5 4 3" xfId="17829"/>
    <cellStyle name="Currency 2 9 5 5" xfId="17830"/>
    <cellStyle name="Currency 2 9 5 6" xfId="17831"/>
    <cellStyle name="Currency 2 9 6" xfId="17832"/>
    <cellStyle name="Currency 2 9 6 2" xfId="17833"/>
    <cellStyle name="Currency 2 9 6 2 2" xfId="17834"/>
    <cellStyle name="Currency 2 9 6 2 3" xfId="17835"/>
    <cellStyle name="Currency 2 9 6 3" xfId="17836"/>
    <cellStyle name="Currency 2 9 6 3 2" xfId="17837"/>
    <cellStyle name="Currency 2 9 6 3 3" xfId="17838"/>
    <cellStyle name="Currency 2 9 6 4" xfId="17839"/>
    <cellStyle name="Currency 2 9 6 5" xfId="17840"/>
    <cellStyle name="Currency 2 9 7" xfId="17841"/>
    <cellStyle name="Currency 2 9 7 2" xfId="17842"/>
    <cellStyle name="Currency 2 9 7 3" xfId="17843"/>
    <cellStyle name="Currency 2 9 8" xfId="17844"/>
    <cellStyle name="Currency 2 9 8 2" xfId="17845"/>
    <cellStyle name="Currency 2 9 8 3" xfId="17846"/>
    <cellStyle name="Currency 2 9 9" xfId="17847"/>
    <cellStyle name="Currency 3" xfId="11"/>
    <cellStyle name="Currency 3 10" xfId="17848"/>
    <cellStyle name="Currency 3 10 2" xfId="17849"/>
    <cellStyle name="Currency 3 10 2 2" xfId="17850"/>
    <cellStyle name="Currency 3 10 2 2 2" xfId="17851"/>
    <cellStyle name="Currency 3 10 2 2 2 2" xfId="17852"/>
    <cellStyle name="Currency 3 10 2 2 2 2 2" xfId="17853"/>
    <cellStyle name="Currency 3 10 2 2 2 2 3" xfId="17854"/>
    <cellStyle name="Currency 3 10 2 2 2 3" xfId="17855"/>
    <cellStyle name="Currency 3 10 2 2 2 3 2" xfId="17856"/>
    <cellStyle name="Currency 3 10 2 2 2 3 3" xfId="17857"/>
    <cellStyle name="Currency 3 10 2 2 2 4" xfId="17858"/>
    <cellStyle name="Currency 3 10 2 2 2 5" xfId="17859"/>
    <cellStyle name="Currency 3 10 2 2 3" xfId="17860"/>
    <cellStyle name="Currency 3 10 2 2 3 2" xfId="17861"/>
    <cellStyle name="Currency 3 10 2 2 3 3" xfId="17862"/>
    <cellStyle name="Currency 3 10 2 2 4" xfId="17863"/>
    <cellStyle name="Currency 3 10 2 2 4 2" xfId="17864"/>
    <cellStyle name="Currency 3 10 2 2 4 3" xfId="17865"/>
    <cellStyle name="Currency 3 10 2 2 5" xfId="17866"/>
    <cellStyle name="Currency 3 10 2 2 6" xfId="17867"/>
    <cellStyle name="Currency 3 10 2 3" xfId="17868"/>
    <cellStyle name="Currency 3 10 2 3 2" xfId="17869"/>
    <cellStyle name="Currency 3 10 2 3 2 2" xfId="17870"/>
    <cellStyle name="Currency 3 10 2 3 2 2 2" xfId="17871"/>
    <cellStyle name="Currency 3 10 2 3 2 2 3" xfId="17872"/>
    <cellStyle name="Currency 3 10 2 3 2 3" xfId="17873"/>
    <cellStyle name="Currency 3 10 2 3 2 3 2" xfId="17874"/>
    <cellStyle name="Currency 3 10 2 3 2 3 3" xfId="17875"/>
    <cellStyle name="Currency 3 10 2 3 2 4" xfId="17876"/>
    <cellStyle name="Currency 3 10 2 3 2 5" xfId="17877"/>
    <cellStyle name="Currency 3 10 2 3 3" xfId="17878"/>
    <cellStyle name="Currency 3 10 2 3 3 2" xfId="17879"/>
    <cellStyle name="Currency 3 10 2 3 3 3" xfId="17880"/>
    <cellStyle name="Currency 3 10 2 3 4" xfId="17881"/>
    <cellStyle name="Currency 3 10 2 3 4 2" xfId="17882"/>
    <cellStyle name="Currency 3 10 2 3 4 3" xfId="17883"/>
    <cellStyle name="Currency 3 10 2 3 5" xfId="17884"/>
    <cellStyle name="Currency 3 10 2 3 6" xfId="17885"/>
    <cellStyle name="Currency 3 10 2 4" xfId="17886"/>
    <cellStyle name="Currency 3 10 2 4 2" xfId="17887"/>
    <cellStyle name="Currency 3 10 2 4 2 2" xfId="17888"/>
    <cellStyle name="Currency 3 10 2 4 2 3" xfId="17889"/>
    <cellStyle name="Currency 3 10 2 4 3" xfId="17890"/>
    <cellStyle name="Currency 3 10 2 4 3 2" xfId="17891"/>
    <cellStyle name="Currency 3 10 2 4 3 3" xfId="17892"/>
    <cellStyle name="Currency 3 10 2 4 4" xfId="17893"/>
    <cellStyle name="Currency 3 10 2 4 5" xfId="17894"/>
    <cellStyle name="Currency 3 10 2 5" xfId="17895"/>
    <cellStyle name="Currency 3 10 2 5 2" xfId="17896"/>
    <cellStyle name="Currency 3 10 2 5 3" xfId="17897"/>
    <cellStyle name="Currency 3 10 2 6" xfId="17898"/>
    <cellStyle name="Currency 3 10 2 6 2" xfId="17899"/>
    <cellStyle name="Currency 3 10 2 6 3" xfId="17900"/>
    <cellStyle name="Currency 3 10 2 7" xfId="17901"/>
    <cellStyle name="Currency 3 10 2 8" xfId="17902"/>
    <cellStyle name="Currency 3 10 3" xfId="17903"/>
    <cellStyle name="Currency 3 10 3 2" xfId="17904"/>
    <cellStyle name="Currency 3 10 3 2 2" xfId="17905"/>
    <cellStyle name="Currency 3 10 3 2 2 2" xfId="17906"/>
    <cellStyle name="Currency 3 10 3 2 2 3" xfId="17907"/>
    <cellStyle name="Currency 3 10 3 2 3" xfId="17908"/>
    <cellStyle name="Currency 3 10 3 2 3 2" xfId="17909"/>
    <cellStyle name="Currency 3 10 3 2 3 3" xfId="17910"/>
    <cellStyle name="Currency 3 10 3 2 4" xfId="17911"/>
    <cellStyle name="Currency 3 10 3 2 5" xfId="17912"/>
    <cellStyle name="Currency 3 10 3 3" xfId="17913"/>
    <cellStyle name="Currency 3 10 3 3 2" xfId="17914"/>
    <cellStyle name="Currency 3 10 3 3 3" xfId="17915"/>
    <cellStyle name="Currency 3 10 3 4" xfId="17916"/>
    <cellStyle name="Currency 3 10 3 4 2" xfId="17917"/>
    <cellStyle name="Currency 3 10 3 4 3" xfId="17918"/>
    <cellStyle name="Currency 3 10 3 5" xfId="17919"/>
    <cellStyle name="Currency 3 10 3 6" xfId="17920"/>
    <cellStyle name="Currency 3 10 4" xfId="17921"/>
    <cellStyle name="Currency 3 10 4 2" xfId="17922"/>
    <cellStyle name="Currency 3 10 4 2 2" xfId="17923"/>
    <cellStyle name="Currency 3 10 4 2 2 2" xfId="17924"/>
    <cellStyle name="Currency 3 10 4 2 2 3" xfId="17925"/>
    <cellStyle name="Currency 3 10 4 2 3" xfId="17926"/>
    <cellStyle name="Currency 3 10 4 2 3 2" xfId="17927"/>
    <cellStyle name="Currency 3 10 4 2 3 3" xfId="17928"/>
    <cellStyle name="Currency 3 10 4 2 4" xfId="17929"/>
    <cellStyle name="Currency 3 10 4 2 5" xfId="17930"/>
    <cellStyle name="Currency 3 10 4 3" xfId="17931"/>
    <cellStyle name="Currency 3 10 4 3 2" xfId="17932"/>
    <cellStyle name="Currency 3 10 4 3 3" xfId="17933"/>
    <cellStyle name="Currency 3 10 4 4" xfId="17934"/>
    <cellStyle name="Currency 3 10 4 4 2" xfId="17935"/>
    <cellStyle name="Currency 3 10 4 4 3" xfId="17936"/>
    <cellStyle name="Currency 3 10 4 5" xfId="17937"/>
    <cellStyle name="Currency 3 10 4 6" xfId="17938"/>
    <cellStyle name="Currency 3 10 5" xfId="17939"/>
    <cellStyle name="Currency 3 10 5 2" xfId="17940"/>
    <cellStyle name="Currency 3 10 5 2 2" xfId="17941"/>
    <cellStyle name="Currency 3 10 5 2 3" xfId="17942"/>
    <cellStyle name="Currency 3 10 5 3" xfId="17943"/>
    <cellStyle name="Currency 3 10 5 3 2" xfId="17944"/>
    <cellStyle name="Currency 3 10 5 3 3" xfId="17945"/>
    <cellStyle name="Currency 3 10 5 4" xfId="17946"/>
    <cellStyle name="Currency 3 10 5 5" xfId="17947"/>
    <cellStyle name="Currency 3 10 6" xfId="17948"/>
    <cellStyle name="Currency 3 10 6 2" xfId="17949"/>
    <cellStyle name="Currency 3 10 6 3" xfId="17950"/>
    <cellStyle name="Currency 3 10 7" xfId="17951"/>
    <cellStyle name="Currency 3 10 7 2" xfId="17952"/>
    <cellStyle name="Currency 3 10 7 3" xfId="17953"/>
    <cellStyle name="Currency 3 10 8" xfId="17954"/>
    <cellStyle name="Currency 3 10 9" xfId="17955"/>
    <cellStyle name="Currency 3 11" xfId="17956"/>
    <cellStyle name="Currency 3 11 2" xfId="17957"/>
    <cellStyle name="Currency 3 11 2 2" xfId="17958"/>
    <cellStyle name="Currency 3 11 2 2 2" xfId="17959"/>
    <cellStyle name="Currency 3 11 2 2 2 2" xfId="17960"/>
    <cellStyle name="Currency 3 11 2 2 2 3" xfId="17961"/>
    <cellStyle name="Currency 3 11 2 2 3" xfId="17962"/>
    <cellStyle name="Currency 3 11 2 2 3 2" xfId="17963"/>
    <cellStyle name="Currency 3 11 2 2 3 3" xfId="17964"/>
    <cellStyle name="Currency 3 11 2 2 4" xfId="17965"/>
    <cellStyle name="Currency 3 11 2 2 5" xfId="17966"/>
    <cellStyle name="Currency 3 11 2 3" xfId="17967"/>
    <cellStyle name="Currency 3 11 2 3 2" xfId="17968"/>
    <cellStyle name="Currency 3 11 2 3 3" xfId="17969"/>
    <cellStyle name="Currency 3 11 2 4" xfId="17970"/>
    <cellStyle name="Currency 3 11 2 4 2" xfId="17971"/>
    <cellStyle name="Currency 3 11 2 4 3" xfId="17972"/>
    <cellStyle name="Currency 3 11 2 5" xfId="17973"/>
    <cellStyle name="Currency 3 11 2 6" xfId="17974"/>
    <cellStyle name="Currency 3 11 3" xfId="17975"/>
    <cellStyle name="Currency 3 11 3 2" xfId="17976"/>
    <cellStyle name="Currency 3 11 3 2 2" xfId="17977"/>
    <cellStyle name="Currency 3 11 3 2 2 2" xfId="17978"/>
    <cellStyle name="Currency 3 11 3 2 2 3" xfId="17979"/>
    <cellStyle name="Currency 3 11 3 2 3" xfId="17980"/>
    <cellStyle name="Currency 3 11 3 2 3 2" xfId="17981"/>
    <cellStyle name="Currency 3 11 3 2 3 3" xfId="17982"/>
    <cellStyle name="Currency 3 11 3 2 4" xfId="17983"/>
    <cellStyle name="Currency 3 11 3 2 5" xfId="17984"/>
    <cellStyle name="Currency 3 11 3 3" xfId="17985"/>
    <cellStyle name="Currency 3 11 3 3 2" xfId="17986"/>
    <cellStyle name="Currency 3 11 3 3 3" xfId="17987"/>
    <cellStyle name="Currency 3 11 3 4" xfId="17988"/>
    <cellStyle name="Currency 3 11 3 4 2" xfId="17989"/>
    <cellStyle name="Currency 3 11 3 4 3" xfId="17990"/>
    <cellStyle name="Currency 3 11 3 5" xfId="17991"/>
    <cellStyle name="Currency 3 11 3 6" xfId="17992"/>
    <cellStyle name="Currency 3 11 4" xfId="17993"/>
    <cellStyle name="Currency 3 11 4 2" xfId="17994"/>
    <cellStyle name="Currency 3 11 4 2 2" xfId="17995"/>
    <cellStyle name="Currency 3 11 4 2 3" xfId="17996"/>
    <cellStyle name="Currency 3 11 4 3" xfId="17997"/>
    <cellStyle name="Currency 3 11 4 3 2" xfId="17998"/>
    <cellStyle name="Currency 3 11 4 3 3" xfId="17999"/>
    <cellStyle name="Currency 3 11 4 4" xfId="18000"/>
    <cellStyle name="Currency 3 11 4 5" xfId="18001"/>
    <cellStyle name="Currency 3 11 5" xfId="18002"/>
    <cellStyle name="Currency 3 11 5 2" xfId="18003"/>
    <cellStyle name="Currency 3 11 5 3" xfId="18004"/>
    <cellStyle name="Currency 3 11 6" xfId="18005"/>
    <cellStyle name="Currency 3 11 6 2" xfId="18006"/>
    <cellStyle name="Currency 3 11 6 3" xfId="18007"/>
    <cellStyle name="Currency 3 11 7" xfId="18008"/>
    <cellStyle name="Currency 3 11 8" xfId="18009"/>
    <cellStyle name="Currency 3 12" xfId="18010"/>
    <cellStyle name="Currency 3 12 2" xfId="18011"/>
    <cellStyle name="Currency 3 12 2 2" xfId="18012"/>
    <cellStyle name="Currency 3 12 2 2 2" xfId="18013"/>
    <cellStyle name="Currency 3 12 2 2 3" xfId="18014"/>
    <cellStyle name="Currency 3 12 2 3" xfId="18015"/>
    <cellStyle name="Currency 3 12 2 3 2" xfId="18016"/>
    <cellStyle name="Currency 3 12 2 3 3" xfId="18017"/>
    <cellStyle name="Currency 3 12 2 4" xfId="18018"/>
    <cellStyle name="Currency 3 12 2 5" xfId="18019"/>
    <cellStyle name="Currency 3 12 3" xfId="18020"/>
    <cellStyle name="Currency 3 12 3 2" xfId="18021"/>
    <cellStyle name="Currency 3 12 3 3" xfId="18022"/>
    <cellStyle name="Currency 3 12 4" xfId="18023"/>
    <cellStyle name="Currency 3 12 4 2" xfId="18024"/>
    <cellStyle name="Currency 3 12 4 3" xfId="18025"/>
    <cellStyle name="Currency 3 12 5" xfId="18026"/>
    <cellStyle name="Currency 3 12 6" xfId="18027"/>
    <cellStyle name="Currency 3 13" xfId="18028"/>
    <cellStyle name="Currency 3 13 2" xfId="18029"/>
    <cellStyle name="Currency 3 13 2 2" xfId="18030"/>
    <cellStyle name="Currency 3 13 2 2 2" xfId="18031"/>
    <cellStyle name="Currency 3 13 2 2 3" xfId="18032"/>
    <cellStyle name="Currency 3 13 2 3" xfId="18033"/>
    <cellStyle name="Currency 3 13 2 3 2" xfId="18034"/>
    <cellStyle name="Currency 3 13 2 3 3" xfId="18035"/>
    <cellStyle name="Currency 3 13 2 4" xfId="18036"/>
    <cellStyle name="Currency 3 13 2 5" xfId="18037"/>
    <cellStyle name="Currency 3 13 3" xfId="18038"/>
    <cellStyle name="Currency 3 13 3 2" xfId="18039"/>
    <cellStyle name="Currency 3 13 3 3" xfId="18040"/>
    <cellStyle name="Currency 3 13 4" xfId="18041"/>
    <cellStyle name="Currency 3 13 4 2" xfId="18042"/>
    <cellStyle name="Currency 3 13 4 3" xfId="18043"/>
    <cellStyle name="Currency 3 13 5" xfId="18044"/>
    <cellStyle name="Currency 3 13 6" xfId="18045"/>
    <cellStyle name="Currency 3 14" xfId="18046"/>
    <cellStyle name="Currency 3 14 2" xfId="18047"/>
    <cellStyle name="Currency 3 14 2 2" xfId="18048"/>
    <cellStyle name="Currency 3 14 2 3" xfId="18049"/>
    <cellStyle name="Currency 3 14 3" xfId="18050"/>
    <cellStyle name="Currency 3 14 3 2" xfId="18051"/>
    <cellStyle name="Currency 3 14 3 3" xfId="18052"/>
    <cellStyle name="Currency 3 14 4" xfId="18053"/>
    <cellStyle name="Currency 3 14 5" xfId="18054"/>
    <cellStyle name="Currency 3 15" xfId="18055"/>
    <cellStyle name="Currency 3 15 2" xfId="18056"/>
    <cellStyle name="Currency 3 15 3" xfId="18057"/>
    <cellStyle name="Currency 3 16" xfId="18058"/>
    <cellStyle name="Currency 3 16 2" xfId="18059"/>
    <cellStyle name="Currency 3 16 3" xfId="18060"/>
    <cellStyle name="Currency 3 17" xfId="18061"/>
    <cellStyle name="Currency 3 18" xfId="18062"/>
    <cellStyle name="Currency 3 19" xfId="18063"/>
    <cellStyle name="Currency 3 2" xfId="54"/>
    <cellStyle name="Currency 3 2 10" xfId="18064"/>
    <cellStyle name="Currency 3 2 10 2" xfId="18065"/>
    <cellStyle name="Currency 3 2 10 2 2" xfId="18066"/>
    <cellStyle name="Currency 3 2 10 2 3" xfId="18067"/>
    <cellStyle name="Currency 3 2 10 3" xfId="18068"/>
    <cellStyle name="Currency 3 2 10 3 2" xfId="18069"/>
    <cellStyle name="Currency 3 2 10 3 3" xfId="18070"/>
    <cellStyle name="Currency 3 2 10 4" xfId="18071"/>
    <cellStyle name="Currency 3 2 10 5" xfId="18072"/>
    <cellStyle name="Currency 3 2 11" xfId="18073"/>
    <cellStyle name="Currency 3 2 11 2" xfId="18074"/>
    <cellStyle name="Currency 3 2 11 3" xfId="18075"/>
    <cellStyle name="Currency 3 2 12" xfId="18076"/>
    <cellStyle name="Currency 3 2 12 2" xfId="18077"/>
    <cellStyle name="Currency 3 2 12 3" xfId="18078"/>
    <cellStyle name="Currency 3 2 13" xfId="18079"/>
    <cellStyle name="Currency 3 2 14" xfId="18080"/>
    <cellStyle name="Currency 3 2 15" xfId="18081"/>
    <cellStyle name="Currency 3 2 16" xfId="18082"/>
    <cellStyle name="Currency 3 2 2" xfId="18083"/>
    <cellStyle name="Currency 3 2 2 10" xfId="18084"/>
    <cellStyle name="Currency 3 2 2 10 2" xfId="18085"/>
    <cellStyle name="Currency 3 2 2 10 3" xfId="18086"/>
    <cellStyle name="Currency 3 2 2 11" xfId="18087"/>
    <cellStyle name="Currency 3 2 2 11 2" xfId="18088"/>
    <cellStyle name="Currency 3 2 2 11 3" xfId="18089"/>
    <cellStyle name="Currency 3 2 2 12" xfId="18090"/>
    <cellStyle name="Currency 3 2 2 13" xfId="18091"/>
    <cellStyle name="Currency 3 2 2 14" xfId="18092"/>
    <cellStyle name="Currency 3 2 2 15" xfId="18093"/>
    <cellStyle name="Currency 3 2 2 2" xfId="18094"/>
    <cellStyle name="Currency 3 2 2 2 10" xfId="18095"/>
    <cellStyle name="Currency 3 2 2 2 10 2" xfId="18096"/>
    <cellStyle name="Currency 3 2 2 2 10 3" xfId="18097"/>
    <cellStyle name="Currency 3 2 2 2 11" xfId="18098"/>
    <cellStyle name="Currency 3 2 2 2 12" xfId="18099"/>
    <cellStyle name="Currency 3 2 2 2 2" xfId="18100"/>
    <cellStyle name="Currency 3 2 2 2 2 10" xfId="18101"/>
    <cellStyle name="Currency 3 2 2 2 2 2" xfId="18102"/>
    <cellStyle name="Currency 3 2 2 2 2 2 2" xfId="18103"/>
    <cellStyle name="Currency 3 2 2 2 2 2 2 2" xfId="18104"/>
    <cellStyle name="Currency 3 2 2 2 2 2 2 2 2" xfId="18105"/>
    <cellStyle name="Currency 3 2 2 2 2 2 2 2 2 2" xfId="18106"/>
    <cellStyle name="Currency 3 2 2 2 2 2 2 2 2 2 2" xfId="18107"/>
    <cellStyle name="Currency 3 2 2 2 2 2 2 2 2 2 3" xfId="18108"/>
    <cellStyle name="Currency 3 2 2 2 2 2 2 2 2 3" xfId="18109"/>
    <cellStyle name="Currency 3 2 2 2 2 2 2 2 2 3 2" xfId="18110"/>
    <cellStyle name="Currency 3 2 2 2 2 2 2 2 2 3 3" xfId="18111"/>
    <cellStyle name="Currency 3 2 2 2 2 2 2 2 2 4" xfId="18112"/>
    <cellStyle name="Currency 3 2 2 2 2 2 2 2 2 5" xfId="18113"/>
    <cellStyle name="Currency 3 2 2 2 2 2 2 2 3" xfId="18114"/>
    <cellStyle name="Currency 3 2 2 2 2 2 2 2 3 2" xfId="18115"/>
    <cellStyle name="Currency 3 2 2 2 2 2 2 2 3 3" xfId="18116"/>
    <cellStyle name="Currency 3 2 2 2 2 2 2 2 4" xfId="18117"/>
    <cellStyle name="Currency 3 2 2 2 2 2 2 2 4 2" xfId="18118"/>
    <cellStyle name="Currency 3 2 2 2 2 2 2 2 4 3" xfId="18119"/>
    <cellStyle name="Currency 3 2 2 2 2 2 2 2 5" xfId="18120"/>
    <cellStyle name="Currency 3 2 2 2 2 2 2 2 6" xfId="18121"/>
    <cellStyle name="Currency 3 2 2 2 2 2 2 3" xfId="18122"/>
    <cellStyle name="Currency 3 2 2 2 2 2 2 3 2" xfId="18123"/>
    <cellStyle name="Currency 3 2 2 2 2 2 2 3 2 2" xfId="18124"/>
    <cellStyle name="Currency 3 2 2 2 2 2 2 3 2 2 2" xfId="18125"/>
    <cellStyle name="Currency 3 2 2 2 2 2 2 3 2 2 3" xfId="18126"/>
    <cellStyle name="Currency 3 2 2 2 2 2 2 3 2 3" xfId="18127"/>
    <cellStyle name="Currency 3 2 2 2 2 2 2 3 2 3 2" xfId="18128"/>
    <cellStyle name="Currency 3 2 2 2 2 2 2 3 2 3 3" xfId="18129"/>
    <cellStyle name="Currency 3 2 2 2 2 2 2 3 2 4" xfId="18130"/>
    <cellStyle name="Currency 3 2 2 2 2 2 2 3 2 5" xfId="18131"/>
    <cellStyle name="Currency 3 2 2 2 2 2 2 3 3" xfId="18132"/>
    <cellStyle name="Currency 3 2 2 2 2 2 2 3 3 2" xfId="18133"/>
    <cellStyle name="Currency 3 2 2 2 2 2 2 3 3 3" xfId="18134"/>
    <cellStyle name="Currency 3 2 2 2 2 2 2 3 4" xfId="18135"/>
    <cellStyle name="Currency 3 2 2 2 2 2 2 3 4 2" xfId="18136"/>
    <cellStyle name="Currency 3 2 2 2 2 2 2 3 4 3" xfId="18137"/>
    <cellStyle name="Currency 3 2 2 2 2 2 2 3 5" xfId="18138"/>
    <cellStyle name="Currency 3 2 2 2 2 2 2 3 6" xfId="18139"/>
    <cellStyle name="Currency 3 2 2 2 2 2 2 4" xfId="18140"/>
    <cellStyle name="Currency 3 2 2 2 2 2 2 4 2" xfId="18141"/>
    <cellStyle name="Currency 3 2 2 2 2 2 2 4 2 2" xfId="18142"/>
    <cellStyle name="Currency 3 2 2 2 2 2 2 4 2 3" xfId="18143"/>
    <cellStyle name="Currency 3 2 2 2 2 2 2 4 3" xfId="18144"/>
    <cellStyle name="Currency 3 2 2 2 2 2 2 4 3 2" xfId="18145"/>
    <cellStyle name="Currency 3 2 2 2 2 2 2 4 3 3" xfId="18146"/>
    <cellStyle name="Currency 3 2 2 2 2 2 2 4 4" xfId="18147"/>
    <cellStyle name="Currency 3 2 2 2 2 2 2 4 5" xfId="18148"/>
    <cellStyle name="Currency 3 2 2 2 2 2 2 5" xfId="18149"/>
    <cellStyle name="Currency 3 2 2 2 2 2 2 5 2" xfId="18150"/>
    <cellStyle name="Currency 3 2 2 2 2 2 2 5 3" xfId="18151"/>
    <cellStyle name="Currency 3 2 2 2 2 2 2 6" xfId="18152"/>
    <cellStyle name="Currency 3 2 2 2 2 2 2 6 2" xfId="18153"/>
    <cellStyle name="Currency 3 2 2 2 2 2 2 6 3" xfId="18154"/>
    <cellStyle name="Currency 3 2 2 2 2 2 2 7" xfId="18155"/>
    <cellStyle name="Currency 3 2 2 2 2 2 2 8" xfId="18156"/>
    <cellStyle name="Currency 3 2 2 2 2 2 3" xfId="18157"/>
    <cellStyle name="Currency 3 2 2 2 2 2 3 2" xfId="18158"/>
    <cellStyle name="Currency 3 2 2 2 2 2 3 2 2" xfId="18159"/>
    <cellStyle name="Currency 3 2 2 2 2 2 3 2 2 2" xfId="18160"/>
    <cellStyle name="Currency 3 2 2 2 2 2 3 2 2 3" xfId="18161"/>
    <cellStyle name="Currency 3 2 2 2 2 2 3 2 3" xfId="18162"/>
    <cellStyle name="Currency 3 2 2 2 2 2 3 2 3 2" xfId="18163"/>
    <cellStyle name="Currency 3 2 2 2 2 2 3 2 3 3" xfId="18164"/>
    <cellStyle name="Currency 3 2 2 2 2 2 3 2 4" xfId="18165"/>
    <cellStyle name="Currency 3 2 2 2 2 2 3 2 5" xfId="18166"/>
    <cellStyle name="Currency 3 2 2 2 2 2 3 3" xfId="18167"/>
    <cellStyle name="Currency 3 2 2 2 2 2 3 3 2" xfId="18168"/>
    <cellStyle name="Currency 3 2 2 2 2 2 3 3 3" xfId="18169"/>
    <cellStyle name="Currency 3 2 2 2 2 2 3 4" xfId="18170"/>
    <cellStyle name="Currency 3 2 2 2 2 2 3 4 2" xfId="18171"/>
    <cellStyle name="Currency 3 2 2 2 2 2 3 4 3" xfId="18172"/>
    <cellStyle name="Currency 3 2 2 2 2 2 3 5" xfId="18173"/>
    <cellStyle name="Currency 3 2 2 2 2 2 3 6" xfId="18174"/>
    <cellStyle name="Currency 3 2 2 2 2 2 4" xfId="18175"/>
    <cellStyle name="Currency 3 2 2 2 2 2 4 2" xfId="18176"/>
    <cellStyle name="Currency 3 2 2 2 2 2 4 2 2" xfId="18177"/>
    <cellStyle name="Currency 3 2 2 2 2 2 4 2 2 2" xfId="18178"/>
    <cellStyle name="Currency 3 2 2 2 2 2 4 2 2 3" xfId="18179"/>
    <cellStyle name="Currency 3 2 2 2 2 2 4 2 3" xfId="18180"/>
    <cellStyle name="Currency 3 2 2 2 2 2 4 2 3 2" xfId="18181"/>
    <cellStyle name="Currency 3 2 2 2 2 2 4 2 3 3" xfId="18182"/>
    <cellStyle name="Currency 3 2 2 2 2 2 4 2 4" xfId="18183"/>
    <cellStyle name="Currency 3 2 2 2 2 2 4 2 5" xfId="18184"/>
    <cellStyle name="Currency 3 2 2 2 2 2 4 3" xfId="18185"/>
    <cellStyle name="Currency 3 2 2 2 2 2 4 3 2" xfId="18186"/>
    <cellStyle name="Currency 3 2 2 2 2 2 4 3 3" xfId="18187"/>
    <cellStyle name="Currency 3 2 2 2 2 2 4 4" xfId="18188"/>
    <cellStyle name="Currency 3 2 2 2 2 2 4 4 2" xfId="18189"/>
    <cellStyle name="Currency 3 2 2 2 2 2 4 4 3" xfId="18190"/>
    <cellStyle name="Currency 3 2 2 2 2 2 4 5" xfId="18191"/>
    <cellStyle name="Currency 3 2 2 2 2 2 4 6" xfId="18192"/>
    <cellStyle name="Currency 3 2 2 2 2 2 5" xfId="18193"/>
    <cellStyle name="Currency 3 2 2 2 2 2 5 2" xfId="18194"/>
    <cellStyle name="Currency 3 2 2 2 2 2 5 2 2" xfId="18195"/>
    <cellStyle name="Currency 3 2 2 2 2 2 5 2 3" xfId="18196"/>
    <cellStyle name="Currency 3 2 2 2 2 2 5 3" xfId="18197"/>
    <cellStyle name="Currency 3 2 2 2 2 2 5 3 2" xfId="18198"/>
    <cellStyle name="Currency 3 2 2 2 2 2 5 3 3" xfId="18199"/>
    <cellStyle name="Currency 3 2 2 2 2 2 5 4" xfId="18200"/>
    <cellStyle name="Currency 3 2 2 2 2 2 5 5" xfId="18201"/>
    <cellStyle name="Currency 3 2 2 2 2 2 6" xfId="18202"/>
    <cellStyle name="Currency 3 2 2 2 2 2 6 2" xfId="18203"/>
    <cellStyle name="Currency 3 2 2 2 2 2 6 3" xfId="18204"/>
    <cellStyle name="Currency 3 2 2 2 2 2 7" xfId="18205"/>
    <cellStyle name="Currency 3 2 2 2 2 2 7 2" xfId="18206"/>
    <cellStyle name="Currency 3 2 2 2 2 2 7 3" xfId="18207"/>
    <cellStyle name="Currency 3 2 2 2 2 2 8" xfId="18208"/>
    <cellStyle name="Currency 3 2 2 2 2 2 9" xfId="18209"/>
    <cellStyle name="Currency 3 2 2 2 2 3" xfId="18210"/>
    <cellStyle name="Currency 3 2 2 2 2 3 2" xfId="18211"/>
    <cellStyle name="Currency 3 2 2 2 2 3 2 2" xfId="18212"/>
    <cellStyle name="Currency 3 2 2 2 2 3 2 2 2" xfId="18213"/>
    <cellStyle name="Currency 3 2 2 2 2 3 2 2 2 2" xfId="18214"/>
    <cellStyle name="Currency 3 2 2 2 2 3 2 2 2 3" xfId="18215"/>
    <cellStyle name="Currency 3 2 2 2 2 3 2 2 3" xfId="18216"/>
    <cellStyle name="Currency 3 2 2 2 2 3 2 2 3 2" xfId="18217"/>
    <cellStyle name="Currency 3 2 2 2 2 3 2 2 3 3" xfId="18218"/>
    <cellStyle name="Currency 3 2 2 2 2 3 2 2 4" xfId="18219"/>
    <cellStyle name="Currency 3 2 2 2 2 3 2 2 5" xfId="18220"/>
    <cellStyle name="Currency 3 2 2 2 2 3 2 3" xfId="18221"/>
    <cellStyle name="Currency 3 2 2 2 2 3 2 3 2" xfId="18222"/>
    <cellStyle name="Currency 3 2 2 2 2 3 2 3 3" xfId="18223"/>
    <cellStyle name="Currency 3 2 2 2 2 3 2 4" xfId="18224"/>
    <cellStyle name="Currency 3 2 2 2 2 3 2 4 2" xfId="18225"/>
    <cellStyle name="Currency 3 2 2 2 2 3 2 4 3" xfId="18226"/>
    <cellStyle name="Currency 3 2 2 2 2 3 2 5" xfId="18227"/>
    <cellStyle name="Currency 3 2 2 2 2 3 2 6" xfId="18228"/>
    <cellStyle name="Currency 3 2 2 2 2 3 3" xfId="18229"/>
    <cellStyle name="Currency 3 2 2 2 2 3 3 2" xfId="18230"/>
    <cellStyle name="Currency 3 2 2 2 2 3 3 2 2" xfId="18231"/>
    <cellStyle name="Currency 3 2 2 2 2 3 3 2 2 2" xfId="18232"/>
    <cellStyle name="Currency 3 2 2 2 2 3 3 2 2 3" xfId="18233"/>
    <cellStyle name="Currency 3 2 2 2 2 3 3 2 3" xfId="18234"/>
    <cellStyle name="Currency 3 2 2 2 2 3 3 2 3 2" xfId="18235"/>
    <cellStyle name="Currency 3 2 2 2 2 3 3 2 3 3" xfId="18236"/>
    <cellStyle name="Currency 3 2 2 2 2 3 3 2 4" xfId="18237"/>
    <cellStyle name="Currency 3 2 2 2 2 3 3 2 5" xfId="18238"/>
    <cellStyle name="Currency 3 2 2 2 2 3 3 3" xfId="18239"/>
    <cellStyle name="Currency 3 2 2 2 2 3 3 3 2" xfId="18240"/>
    <cellStyle name="Currency 3 2 2 2 2 3 3 3 3" xfId="18241"/>
    <cellStyle name="Currency 3 2 2 2 2 3 3 4" xfId="18242"/>
    <cellStyle name="Currency 3 2 2 2 2 3 3 4 2" xfId="18243"/>
    <cellStyle name="Currency 3 2 2 2 2 3 3 4 3" xfId="18244"/>
    <cellStyle name="Currency 3 2 2 2 2 3 3 5" xfId="18245"/>
    <cellStyle name="Currency 3 2 2 2 2 3 3 6" xfId="18246"/>
    <cellStyle name="Currency 3 2 2 2 2 3 4" xfId="18247"/>
    <cellStyle name="Currency 3 2 2 2 2 3 4 2" xfId="18248"/>
    <cellStyle name="Currency 3 2 2 2 2 3 4 2 2" xfId="18249"/>
    <cellStyle name="Currency 3 2 2 2 2 3 4 2 3" xfId="18250"/>
    <cellStyle name="Currency 3 2 2 2 2 3 4 3" xfId="18251"/>
    <cellStyle name="Currency 3 2 2 2 2 3 4 3 2" xfId="18252"/>
    <cellStyle name="Currency 3 2 2 2 2 3 4 3 3" xfId="18253"/>
    <cellStyle name="Currency 3 2 2 2 2 3 4 4" xfId="18254"/>
    <cellStyle name="Currency 3 2 2 2 2 3 4 5" xfId="18255"/>
    <cellStyle name="Currency 3 2 2 2 2 3 5" xfId="18256"/>
    <cellStyle name="Currency 3 2 2 2 2 3 5 2" xfId="18257"/>
    <cellStyle name="Currency 3 2 2 2 2 3 5 3" xfId="18258"/>
    <cellStyle name="Currency 3 2 2 2 2 3 6" xfId="18259"/>
    <cellStyle name="Currency 3 2 2 2 2 3 6 2" xfId="18260"/>
    <cellStyle name="Currency 3 2 2 2 2 3 6 3" xfId="18261"/>
    <cellStyle name="Currency 3 2 2 2 2 3 7" xfId="18262"/>
    <cellStyle name="Currency 3 2 2 2 2 3 8" xfId="18263"/>
    <cellStyle name="Currency 3 2 2 2 2 4" xfId="18264"/>
    <cellStyle name="Currency 3 2 2 2 2 4 2" xfId="18265"/>
    <cellStyle name="Currency 3 2 2 2 2 4 2 2" xfId="18266"/>
    <cellStyle name="Currency 3 2 2 2 2 4 2 2 2" xfId="18267"/>
    <cellStyle name="Currency 3 2 2 2 2 4 2 2 3" xfId="18268"/>
    <cellStyle name="Currency 3 2 2 2 2 4 2 3" xfId="18269"/>
    <cellStyle name="Currency 3 2 2 2 2 4 2 3 2" xfId="18270"/>
    <cellStyle name="Currency 3 2 2 2 2 4 2 3 3" xfId="18271"/>
    <cellStyle name="Currency 3 2 2 2 2 4 2 4" xfId="18272"/>
    <cellStyle name="Currency 3 2 2 2 2 4 2 5" xfId="18273"/>
    <cellStyle name="Currency 3 2 2 2 2 4 3" xfId="18274"/>
    <cellStyle name="Currency 3 2 2 2 2 4 3 2" xfId="18275"/>
    <cellStyle name="Currency 3 2 2 2 2 4 3 3" xfId="18276"/>
    <cellStyle name="Currency 3 2 2 2 2 4 4" xfId="18277"/>
    <cellStyle name="Currency 3 2 2 2 2 4 4 2" xfId="18278"/>
    <cellStyle name="Currency 3 2 2 2 2 4 4 3" xfId="18279"/>
    <cellStyle name="Currency 3 2 2 2 2 4 5" xfId="18280"/>
    <cellStyle name="Currency 3 2 2 2 2 4 6" xfId="18281"/>
    <cellStyle name="Currency 3 2 2 2 2 5" xfId="18282"/>
    <cellStyle name="Currency 3 2 2 2 2 5 2" xfId="18283"/>
    <cellStyle name="Currency 3 2 2 2 2 5 2 2" xfId="18284"/>
    <cellStyle name="Currency 3 2 2 2 2 5 2 2 2" xfId="18285"/>
    <cellStyle name="Currency 3 2 2 2 2 5 2 2 3" xfId="18286"/>
    <cellStyle name="Currency 3 2 2 2 2 5 2 3" xfId="18287"/>
    <cellStyle name="Currency 3 2 2 2 2 5 2 3 2" xfId="18288"/>
    <cellStyle name="Currency 3 2 2 2 2 5 2 3 3" xfId="18289"/>
    <cellStyle name="Currency 3 2 2 2 2 5 2 4" xfId="18290"/>
    <cellStyle name="Currency 3 2 2 2 2 5 2 5" xfId="18291"/>
    <cellStyle name="Currency 3 2 2 2 2 5 3" xfId="18292"/>
    <cellStyle name="Currency 3 2 2 2 2 5 3 2" xfId="18293"/>
    <cellStyle name="Currency 3 2 2 2 2 5 3 3" xfId="18294"/>
    <cellStyle name="Currency 3 2 2 2 2 5 4" xfId="18295"/>
    <cellStyle name="Currency 3 2 2 2 2 5 4 2" xfId="18296"/>
    <cellStyle name="Currency 3 2 2 2 2 5 4 3" xfId="18297"/>
    <cellStyle name="Currency 3 2 2 2 2 5 5" xfId="18298"/>
    <cellStyle name="Currency 3 2 2 2 2 5 6" xfId="18299"/>
    <cellStyle name="Currency 3 2 2 2 2 6" xfId="18300"/>
    <cellStyle name="Currency 3 2 2 2 2 6 2" xfId="18301"/>
    <cellStyle name="Currency 3 2 2 2 2 6 2 2" xfId="18302"/>
    <cellStyle name="Currency 3 2 2 2 2 6 2 3" xfId="18303"/>
    <cellStyle name="Currency 3 2 2 2 2 6 3" xfId="18304"/>
    <cellStyle name="Currency 3 2 2 2 2 6 3 2" xfId="18305"/>
    <cellStyle name="Currency 3 2 2 2 2 6 3 3" xfId="18306"/>
    <cellStyle name="Currency 3 2 2 2 2 6 4" xfId="18307"/>
    <cellStyle name="Currency 3 2 2 2 2 6 5" xfId="18308"/>
    <cellStyle name="Currency 3 2 2 2 2 7" xfId="18309"/>
    <cellStyle name="Currency 3 2 2 2 2 7 2" xfId="18310"/>
    <cellStyle name="Currency 3 2 2 2 2 7 3" xfId="18311"/>
    <cellStyle name="Currency 3 2 2 2 2 8" xfId="18312"/>
    <cellStyle name="Currency 3 2 2 2 2 8 2" xfId="18313"/>
    <cellStyle name="Currency 3 2 2 2 2 8 3" xfId="18314"/>
    <cellStyle name="Currency 3 2 2 2 2 9" xfId="18315"/>
    <cellStyle name="Currency 3 2 2 2 3" xfId="18316"/>
    <cellStyle name="Currency 3 2 2 2 3 10" xfId="18317"/>
    <cellStyle name="Currency 3 2 2 2 3 2" xfId="18318"/>
    <cellStyle name="Currency 3 2 2 2 3 2 2" xfId="18319"/>
    <cellStyle name="Currency 3 2 2 2 3 2 2 2" xfId="18320"/>
    <cellStyle name="Currency 3 2 2 2 3 2 2 2 2" xfId="18321"/>
    <cellStyle name="Currency 3 2 2 2 3 2 2 2 2 2" xfId="18322"/>
    <cellStyle name="Currency 3 2 2 2 3 2 2 2 2 2 2" xfId="18323"/>
    <cellStyle name="Currency 3 2 2 2 3 2 2 2 2 2 3" xfId="18324"/>
    <cellStyle name="Currency 3 2 2 2 3 2 2 2 2 3" xfId="18325"/>
    <cellStyle name="Currency 3 2 2 2 3 2 2 2 2 3 2" xfId="18326"/>
    <cellStyle name="Currency 3 2 2 2 3 2 2 2 2 3 3" xfId="18327"/>
    <cellStyle name="Currency 3 2 2 2 3 2 2 2 2 4" xfId="18328"/>
    <cellStyle name="Currency 3 2 2 2 3 2 2 2 2 5" xfId="18329"/>
    <cellStyle name="Currency 3 2 2 2 3 2 2 2 3" xfId="18330"/>
    <cellStyle name="Currency 3 2 2 2 3 2 2 2 3 2" xfId="18331"/>
    <cellStyle name="Currency 3 2 2 2 3 2 2 2 3 3" xfId="18332"/>
    <cellStyle name="Currency 3 2 2 2 3 2 2 2 4" xfId="18333"/>
    <cellStyle name="Currency 3 2 2 2 3 2 2 2 4 2" xfId="18334"/>
    <cellStyle name="Currency 3 2 2 2 3 2 2 2 4 3" xfId="18335"/>
    <cellStyle name="Currency 3 2 2 2 3 2 2 2 5" xfId="18336"/>
    <cellStyle name="Currency 3 2 2 2 3 2 2 2 6" xfId="18337"/>
    <cellStyle name="Currency 3 2 2 2 3 2 2 3" xfId="18338"/>
    <cellStyle name="Currency 3 2 2 2 3 2 2 3 2" xfId="18339"/>
    <cellStyle name="Currency 3 2 2 2 3 2 2 3 2 2" xfId="18340"/>
    <cellStyle name="Currency 3 2 2 2 3 2 2 3 2 2 2" xfId="18341"/>
    <cellStyle name="Currency 3 2 2 2 3 2 2 3 2 2 3" xfId="18342"/>
    <cellStyle name="Currency 3 2 2 2 3 2 2 3 2 3" xfId="18343"/>
    <cellStyle name="Currency 3 2 2 2 3 2 2 3 2 3 2" xfId="18344"/>
    <cellStyle name="Currency 3 2 2 2 3 2 2 3 2 3 3" xfId="18345"/>
    <cellStyle name="Currency 3 2 2 2 3 2 2 3 2 4" xfId="18346"/>
    <cellStyle name="Currency 3 2 2 2 3 2 2 3 2 5" xfId="18347"/>
    <cellStyle name="Currency 3 2 2 2 3 2 2 3 3" xfId="18348"/>
    <cellStyle name="Currency 3 2 2 2 3 2 2 3 3 2" xfId="18349"/>
    <cellStyle name="Currency 3 2 2 2 3 2 2 3 3 3" xfId="18350"/>
    <cellStyle name="Currency 3 2 2 2 3 2 2 3 4" xfId="18351"/>
    <cellStyle name="Currency 3 2 2 2 3 2 2 3 4 2" xfId="18352"/>
    <cellStyle name="Currency 3 2 2 2 3 2 2 3 4 3" xfId="18353"/>
    <cellStyle name="Currency 3 2 2 2 3 2 2 3 5" xfId="18354"/>
    <cellStyle name="Currency 3 2 2 2 3 2 2 3 6" xfId="18355"/>
    <cellStyle name="Currency 3 2 2 2 3 2 2 4" xfId="18356"/>
    <cellStyle name="Currency 3 2 2 2 3 2 2 4 2" xfId="18357"/>
    <cellStyle name="Currency 3 2 2 2 3 2 2 4 2 2" xfId="18358"/>
    <cellStyle name="Currency 3 2 2 2 3 2 2 4 2 3" xfId="18359"/>
    <cellStyle name="Currency 3 2 2 2 3 2 2 4 3" xfId="18360"/>
    <cellStyle name="Currency 3 2 2 2 3 2 2 4 3 2" xfId="18361"/>
    <cellStyle name="Currency 3 2 2 2 3 2 2 4 3 3" xfId="18362"/>
    <cellStyle name="Currency 3 2 2 2 3 2 2 4 4" xfId="18363"/>
    <cellStyle name="Currency 3 2 2 2 3 2 2 4 5" xfId="18364"/>
    <cellStyle name="Currency 3 2 2 2 3 2 2 5" xfId="18365"/>
    <cellStyle name="Currency 3 2 2 2 3 2 2 5 2" xfId="18366"/>
    <cellStyle name="Currency 3 2 2 2 3 2 2 5 3" xfId="18367"/>
    <cellStyle name="Currency 3 2 2 2 3 2 2 6" xfId="18368"/>
    <cellStyle name="Currency 3 2 2 2 3 2 2 6 2" xfId="18369"/>
    <cellStyle name="Currency 3 2 2 2 3 2 2 6 3" xfId="18370"/>
    <cellStyle name="Currency 3 2 2 2 3 2 2 7" xfId="18371"/>
    <cellStyle name="Currency 3 2 2 2 3 2 2 8" xfId="18372"/>
    <cellStyle name="Currency 3 2 2 2 3 2 3" xfId="18373"/>
    <cellStyle name="Currency 3 2 2 2 3 2 3 2" xfId="18374"/>
    <cellStyle name="Currency 3 2 2 2 3 2 3 2 2" xfId="18375"/>
    <cellStyle name="Currency 3 2 2 2 3 2 3 2 2 2" xfId="18376"/>
    <cellStyle name="Currency 3 2 2 2 3 2 3 2 2 3" xfId="18377"/>
    <cellStyle name="Currency 3 2 2 2 3 2 3 2 3" xfId="18378"/>
    <cellStyle name="Currency 3 2 2 2 3 2 3 2 3 2" xfId="18379"/>
    <cellStyle name="Currency 3 2 2 2 3 2 3 2 3 3" xfId="18380"/>
    <cellStyle name="Currency 3 2 2 2 3 2 3 2 4" xfId="18381"/>
    <cellStyle name="Currency 3 2 2 2 3 2 3 2 5" xfId="18382"/>
    <cellStyle name="Currency 3 2 2 2 3 2 3 3" xfId="18383"/>
    <cellStyle name="Currency 3 2 2 2 3 2 3 3 2" xfId="18384"/>
    <cellStyle name="Currency 3 2 2 2 3 2 3 3 3" xfId="18385"/>
    <cellStyle name="Currency 3 2 2 2 3 2 3 4" xfId="18386"/>
    <cellStyle name="Currency 3 2 2 2 3 2 3 4 2" xfId="18387"/>
    <cellStyle name="Currency 3 2 2 2 3 2 3 4 3" xfId="18388"/>
    <cellStyle name="Currency 3 2 2 2 3 2 3 5" xfId="18389"/>
    <cellStyle name="Currency 3 2 2 2 3 2 3 6" xfId="18390"/>
    <cellStyle name="Currency 3 2 2 2 3 2 4" xfId="18391"/>
    <cellStyle name="Currency 3 2 2 2 3 2 4 2" xfId="18392"/>
    <cellStyle name="Currency 3 2 2 2 3 2 4 2 2" xfId="18393"/>
    <cellStyle name="Currency 3 2 2 2 3 2 4 2 2 2" xfId="18394"/>
    <cellStyle name="Currency 3 2 2 2 3 2 4 2 2 3" xfId="18395"/>
    <cellStyle name="Currency 3 2 2 2 3 2 4 2 3" xfId="18396"/>
    <cellStyle name="Currency 3 2 2 2 3 2 4 2 3 2" xfId="18397"/>
    <cellStyle name="Currency 3 2 2 2 3 2 4 2 3 3" xfId="18398"/>
    <cellStyle name="Currency 3 2 2 2 3 2 4 2 4" xfId="18399"/>
    <cellStyle name="Currency 3 2 2 2 3 2 4 2 5" xfId="18400"/>
    <cellStyle name="Currency 3 2 2 2 3 2 4 3" xfId="18401"/>
    <cellStyle name="Currency 3 2 2 2 3 2 4 3 2" xfId="18402"/>
    <cellStyle name="Currency 3 2 2 2 3 2 4 3 3" xfId="18403"/>
    <cellStyle name="Currency 3 2 2 2 3 2 4 4" xfId="18404"/>
    <cellStyle name="Currency 3 2 2 2 3 2 4 4 2" xfId="18405"/>
    <cellStyle name="Currency 3 2 2 2 3 2 4 4 3" xfId="18406"/>
    <cellStyle name="Currency 3 2 2 2 3 2 4 5" xfId="18407"/>
    <cellStyle name="Currency 3 2 2 2 3 2 4 6" xfId="18408"/>
    <cellStyle name="Currency 3 2 2 2 3 2 5" xfId="18409"/>
    <cellStyle name="Currency 3 2 2 2 3 2 5 2" xfId="18410"/>
    <cellStyle name="Currency 3 2 2 2 3 2 5 2 2" xfId="18411"/>
    <cellStyle name="Currency 3 2 2 2 3 2 5 2 3" xfId="18412"/>
    <cellStyle name="Currency 3 2 2 2 3 2 5 3" xfId="18413"/>
    <cellStyle name="Currency 3 2 2 2 3 2 5 3 2" xfId="18414"/>
    <cellStyle name="Currency 3 2 2 2 3 2 5 3 3" xfId="18415"/>
    <cellStyle name="Currency 3 2 2 2 3 2 5 4" xfId="18416"/>
    <cellStyle name="Currency 3 2 2 2 3 2 5 5" xfId="18417"/>
    <cellStyle name="Currency 3 2 2 2 3 2 6" xfId="18418"/>
    <cellStyle name="Currency 3 2 2 2 3 2 6 2" xfId="18419"/>
    <cellStyle name="Currency 3 2 2 2 3 2 6 3" xfId="18420"/>
    <cellStyle name="Currency 3 2 2 2 3 2 7" xfId="18421"/>
    <cellStyle name="Currency 3 2 2 2 3 2 7 2" xfId="18422"/>
    <cellStyle name="Currency 3 2 2 2 3 2 7 3" xfId="18423"/>
    <cellStyle name="Currency 3 2 2 2 3 2 8" xfId="18424"/>
    <cellStyle name="Currency 3 2 2 2 3 2 9" xfId="18425"/>
    <cellStyle name="Currency 3 2 2 2 3 3" xfId="18426"/>
    <cellStyle name="Currency 3 2 2 2 3 3 2" xfId="18427"/>
    <cellStyle name="Currency 3 2 2 2 3 3 2 2" xfId="18428"/>
    <cellStyle name="Currency 3 2 2 2 3 3 2 2 2" xfId="18429"/>
    <cellStyle name="Currency 3 2 2 2 3 3 2 2 2 2" xfId="18430"/>
    <cellStyle name="Currency 3 2 2 2 3 3 2 2 2 3" xfId="18431"/>
    <cellStyle name="Currency 3 2 2 2 3 3 2 2 3" xfId="18432"/>
    <cellStyle name="Currency 3 2 2 2 3 3 2 2 3 2" xfId="18433"/>
    <cellStyle name="Currency 3 2 2 2 3 3 2 2 3 3" xfId="18434"/>
    <cellStyle name="Currency 3 2 2 2 3 3 2 2 4" xfId="18435"/>
    <cellStyle name="Currency 3 2 2 2 3 3 2 2 5" xfId="18436"/>
    <cellStyle name="Currency 3 2 2 2 3 3 2 3" xfId="18437"/>
    <cellStyle name="Currency 3 2 2 2 3 3 2 3 2" xfId="18438"/>
    <cellStyle name="Currency 3 2 2 2 3 3 2 3 3" xfId="18439"/>
    <cellStyle name="Currency 3 2 2 2 3 3 2 4" xfId="18440"/>
    <cellStyle name="Currency 3 2 2 2 3 3 2 4 2" xfId="18441"/>
    <cellStyle name="Currency 3 2 2 2 3 3 2 4 3" xfId="18442"/>
    <cellStyle name="Currency 3 2 2 2 3 3 2 5" xfId="18443"/>
    <cellStyle name="Currency 3 2 2 2 3 3 2 6" xfId="18444"/>
    <cellStyle name="Currency 3 2 2 2 3 3 3" xfId="18445"/>
    <cellStyle name="Currency 3 2 2 2 3 3 3 2" xfId="18446"/>
    <cellStyle name="Currency 3 2 2 2 3 3 3 2 2" xfId="18447"/>
    <cellStyle name="Currency 3 2 2 2 3 3 3 2 2 2" xfId="18448"/>
    <cellStyle name="Currency 3 2 2 2 3 3 3 2 2 3" xfId="18449"/>
    <cellStyle name="Currency 3 2 2 2 3 3 3 2 3" xfId="18450"/>
    <cellStyle name="Currency 3 2 2 2 3 3 3 2 3 2" xfId="18451"/>
    <cellStyle name="Currency 3 2 2 2 3 3 3 2 3 3" xfId="18452"/>
    <cellStyle name="Currency 3 2 2 2 3 3 3 2 4" xfId="18453"/>
    <cellStyle name="Currency 3 2 2 2 3 3 3 2 5" xfId="18454"/>
    <cellStyle name="Currency 3 2 2 2 3 3 3 3" xfId="18455"/>
    <cellStyle name="Currency 3 2 2 2 3 3 3 3 2" xfId="18456"/>
    <cellStyle name="Currency 3 2 2 2 3 3 3 3 3" xfId="18457"/>
    <cellStyle name="Currency 3 2 2 2 3 3 3 4" xfId="18458"/>
    <cellStyle name="Currency 3 2 2 2 3 3 3 4 2" xfId="18459"/>
    <cellStyle name="Currency 3 2 2 2 3 3 3 4 3" xfId="18460"/>
    <cellStyle name="Currency 3 2 2 2 3 3 3 5" xfId="18461"/>
    <cellStyle name="Currency 3 2 2 2 3 3 3 6" xfId="18462"/>
    <cellStyle name="Currency 3 2 2 2 3 3 4" xfId="18463"/>
    <cellStyle name="Currency 3 2 2 2 3 3 4 2" xfId="18464"/>
    <cellStyle name="Currency 3 2 2 2 3 3 4 2 2" xfId="18465"/>
    <cellStyle name="Currency 3 2 2 2 3 3 4 2 3" xfId="18466"/>
    <cellStyle name="Currency 3 2 2 2 3 3 4 3" xfId="18467"/>
    <cellStyle name="Currency 3 2 2 2 3 3 4 3 2" xfId="18468"/>
    <cellStyle name="Currency 3 2 2 2 3 3 4 3 3" xfId="18469"/>
    <cellStyle name="Currency 3 2 2 2 3 3 4 4" xfId="18470"/>
    <cellStyle name="Currency 3 2 2 2 3 3 4 5" xfId="18471"/>
    <cellStyle name="Currency 3 2 2 2 3 3 5" xfId="18472"/>
    <cellStyle name="Currency 3 2 2 2 3 3 5 2" xfId="18473"/>
    <cellStyle name="Currency 3 2 2 2 3 3 5 3" xfId="18474"/>
    <cellStyle name="Currency 3 2 2 2 3 3 6" xfId="18475"/>
    <cellStyle name="Currency 3 2 2 2 3 3 6 2" xfId="18476"/>
    <cellStyle name="Currency 3 2 2 2 3 3 6 3" xfId="18477"/>
    <cellStyle name="Currency 3 2 2 2 3 3 7" xfId="18478"/>
    <cellStyle name="Currency 3 2 2 2 3 3 8" xfId="18479"/>
    <cellStyle name="Currency 3 2 2 2 3 4" xfId="18480"/>
    <cellStyle name="Currency 3 2 2 2 3 4 2" xfId="18481"/>
    <cellStyle name="Currency 3 2 2 2 3 4 2 2" xfId="18482"/>
    <cellStyle name="Currency 3 2 2 2 3 4 2 2 2" xfId="18483"/>
    <cellStyle name="Currency 3 2 2 2 3 4 2 2 3" xfId="18484"/>
    <cellStyle name="Currency 3 2 2 2 3 4 2 3" xfId="18485"/>
    <cellStyle name="Currency 3 2 2 2 3 4 2 3 2" xfId="18486"/>
    <cellStyle name="Currency 3 2 2 2 3 4 2 3 3" xfId="18487"/>
    <cellStyle name="Currency 3 2 2 2 3 4 2 4" xfId="18488"/>
    <cellStyle name="Currency 3 2 2 2 3 4 2 5" xfId="18489"/>
    <cellStyle name="Currency 3 2 2 2 3 4 3" xfId="18490"/>
    <cellStyle name="Currency 3 2 2 2 3 4 3 2" xfId="18491"/>
    <cellStyle name="Currency 3 2 2 2 3 4 3 3" xfId="18492"/>
    <cellStyle name="Currency 3 2 2 2 3 4 4" xfId="18493"/>
    <cellStyle name="Currency 3 2 2 2 3 4 4 2" xfId="18494"/>
    <cellStyle name="Currency 3 2 2 2 3 4 4 3" xfId="18495"/>
    <cellStyle name="Currency 3 2 2 2 3 4 5" xfId="18496"/>
    <cellStyle name="Currency 3 2 2 2 3 4 6" xfId="18497"/>
    <cellStyle name="Currency 3 2 2 2 3 5" xfId="18498"/>
    <cellStyle name="Currency 3 2 2 2 3 5 2" xfId="18499"/>
    <cellStyle name="Currency 3 2 2 2 3 5 2 2" xfId="18500"/>
    <cellStyle name="Currency 3 2 2 2 3 5 2 2 2" xfId="18501"/>
    <cellStyle name="Currency 3 2 2 2 3 5 2 2 3" xfId="18502"/>
    <cellStyle name="Currency 3 2 2 2 3 5 2 3" xfId="18503"/>
    <cellStyle name="Currency 3 2 2 2 3 5 2 3 2" xfId="18504"/>
    <cellStyle name="Currency 3 2 2 2 3 5 2 3 3" xfId="18505"/>
    <cellStyle name="Currency 3 2 2 2 3 5 2 4" xfId="18506"/>
    <cellStyle name="Currency 3 2 2 2 3 5 2 5" xfId="18507"/>
    <cellStyle name="Currency 3 2 2 2 3 5 3" xfId="18508"/>
    <cellStyle name="Currency 3 2 2 2 3 5 3 2" xfId="18509"/>
    <cellStyle name="Currency 3 2 2 2 3 5 3 3" xfId="18510"/>
    <cellStyle name="Currency 3 2 2 2 3 5 4" xfId="18511"/>
    <cellStyle name="Currency 3 2 2 2 3 5 4 2" xfId="18512"/>
    <cellStyle name="Currency 3 2 2 2 3 5 4 3" xfId="18513"/>
    <cellStyle name="Currency 3 2 2 2 3 5 5" xfId="18514"/>
    <cellStyle name="Currency 3 2 2 2 3 5 6" xfId="18515"/>
    <cellStyle name="Currency 3 2 2 2 3 6" xfId="18516"/>
    <cellStyle name="Currency 3 2 2 2 3 6 2" xfId="18517"/>
    <cellStyle name="Currency 3 2 2 2 3 6 2 2" xfId="18518"/>
    <cellStyle name="Currency 3 2 2 2 3 6 2 3" xfId="18519"/>
    <cellStyle name="Currency 3 2 2 2 3 6 3" xfId="18520"/>
    <cellStyle name="Currency 3 2 2 2 3 6 3 2" xfId="18521"/>
    <cellStyle name="Currency 3 2 2 2 3 6 3 3" xfId="18522"/>
    <cellStyle name="Currency 3 2 2 2 3 6 4" xfId="18523"/>
    <cellStyle name="Currency 3 2 2 2 3 6 5" xfId="18524"/>
    <cellStyle name="Currency 3 2 2 2 3 7" xfId="18525"/>
    <cellStyle name="Currency 3 2 2 2 3 7 2" xfId="18526"/>
    <cellStyle name="Currency 3 2 2 2 3 7 3" xfId="18527"/>
    <cellStyle name="Currency 3 2 2 2 3 8" xfId="18528"/>
    <cellStyle name="Currency 3 2 2 2 3 8 2" xfId="18529"/>
    <cellStyle name="Currency 3 2 2 2 3 8 3" xfId="18530"/>
    <cellStyle name="Currency 3 2 2 2 3 9" xfId="18531"/>
    <cellStyle name="Currency 3 2 2 2 4" xfId="18532"/>
    <cellStyle name="Currency 3 2 2 2 4 2" xfId="18533"/>
    <cellStyle name="Currency 3 2 2 2 4 2 2" xfId="18534"/>
    <cellStyle name="Currency 3 2 2 2 4 2 2 2" xfId="18535"/>
    <cellStyle name="Currency 3 2 2 2 4 2 2 2 2" xfId="18536"/>
    <cellStyle name="Currency 3 2 2 2 4 2 2 2 2 2" xfId="18537"/>
    <cellStyle name="Currency 3 2 2 2 4 2 2 2 2 3" xfId="18538"/>
    <cellStyle name="Currency 3 2 2 2 4 2 2 2 3" xfId="18539"/>
    <cellStyle name="Currency 3 2 2 2 4 2 2 2 3 2" xfId="18540"/>
    <cellStyle name="Currency 3 2 2 2 4 2 2 2 3 3" xfId="18541"/>
    <cellStyle name="Currency 3 2 2 2 4 2 2 2 4" xfId="18542"/>
    <cellStyle name="Currency 3 2 2 2 4 2 2 2 5" xfId="18543"/>
    <cellStyle name="Currency 3 2 2 2 4 2 2 3" xfId="18544"/>
    <cellStyle name="Currency 3 2 2 2 4 2 2 3 2" xfId="18545"/>
    <cellStyle name="Currency 3 2 2 2 4 2 2 3 3" xfId="18546"/>
    <cellStyle name="Currency 3 2 2 2 4 2 2 4" xfId="18547"/>
    <cellStyle name="Currency 3 2 2 2 4 2 2 4 2" xfId="18548"/>
    <cellStyle name="Currency 3 2 2 2 4 2 2 4 3" xfId="18549"/>
    <cellStyle name="Currency 3 2 2 2 4 2 2 5" xfId="18550"/>
    <cellStyle name="Currency 3 2 2 2 4 2 2 6" xfId="18551"/>
    <cellStyle name="Currency 3 2 2 2 4 2 3" xfId="18552"/>
    <cellStyle name="Currency 3 2 2 2 4 2 3 2" xfId="18553"/>
    <cellStyle name="Currency 3 2 2 2 4 2 3 2 2" xfId="18554"/>
    <cellStyle name="Currency 3 2 2 2 4 2 3 2 2 2" xfId="18555"/>
    <cellStyle name="Currency 3 2 2 2 4 2 3 2 2 3" xfId="18556"/>
    <cellStyle name="Currency 3 2 2 2 4 2 3 2 3" xfId="18557"/>
    <cellStyle name="Currency 3 2 2 2 4 2 3 2 3 2" xfId="18558"/>
    <cellStyle name="Currency 3 2 2 2 4 2 3 2 3 3" xfId="18559"/>
    <cellStyle name="Currency 3 2 2 2 4 2 3 2 4" xfId="18560"/>
    <cellStyle name="Currency 3 2 2 2 4 2 3 2 5" xfId="18561"/>
    <cellStyle name="Currency 3 2 2 2 4 2 3 3" xfId="18562"/>
    <cellStyle name="Currency 3 2 2 2 4 2 3 3 2" xfId="18563"/>
    <cellStyle name="Currency 3 2 2 2 4 2 3 3 3" xfId="18564"/>
    <cellStyle name="Currency 3 2 2 2 4 2 3 4" xfId="18565"/>
    <cellStyle name="Currency 3 2 2 2 4 2 3 4 2" xfId="18566"/>
    <cellStyle name="Currency 3 2 2 2 4 2 3 4 3" xfId="18567"/>
    <cellStyle name="Currency 3 2 2 2 4 2 3 5" xfId="18568"/>
    <cellStyle name="Currency 3 2 2 2 4 2 3 6" xfId="18569"/>
    <cellStyle name="Currency 3 2 2 2 4 2 4" xfId="18570"/>
    <cellStyle name="Currency 3 2 2 2 4 2 4 2" xfId="18571"/>
    <cellStyle name="Currency 3 2 2 2 4 2 4 2 2" xfId="18572"/>
    <cellStyle name="Currency 3 2 2 2 4 2 4 2 3" xfId="18573"/>
    <cellStyle name="Currency 3 2 2 2 4 2 4 3" xfId="18574"/>
    <cellStyle name="Currency 3 2 2 2 4 2 4 3 2" xfId="18575"/>
    <cellStyle name="Currency 3 2 2 2 4 2 4 3 3" xfId="18576"/>
    <cellStyle name="Currency 3 2 2 2 4 2 4 4" xfId="18577"/>
    <cellStyle name="Currency 3 2 2 2 4 2 4 5" xfId="18578"/>
    <cellStyle name="Currency 3 2 2 2 4 2 5" xfId="18579"/>
    <cellStyle name="Currency 3 2 2 2 4 2 5 2" xfId="18580"/>
    <cellStyle name="Currency 3 2 2 2 4 2 5 3" xfId="18581"/>
    <cellStyle name="Currency 3 2 2 2 4 2 6" xfId="18582"/>
    <cellStyle name="Currency 3 2 2 2 4 2 6 2" xfId="18583"/>
    <cellStyle name="Currency 3 2 2 2 4 2 6 3" xfId="18584"/>
    <cellStyle name="Currency 3 2 2 2 4 2 7" xfId="18585"/>
    <cellStyle name="Currency 3 2 2 2 4 2 8" xfId="18586"/>
    <cellStyle name="Currency 3 2 2 2 4 3" xfId="18587"/>
    <cellStyle name="Currency 3 2 2 2 4 3 2" xfId="18588"/>
    <cellStyle name="Currency 3 2 2 2 4 3 2 2" xfId="18589"/>
    <cellStyle name="Currency 3 2 2 2 4 3 2 2 2" xfId="18590"/>
    <cellStyle name="Currency 3 2 2 2 4 3 2 2 3" xfId="18591"/>
    <cellStyle name="Currency 3 2 2 2 4 3 2 3" xfId="18592"/>
    <cellStyle name="Currency 3 2 2 2 4 3 2 3 2" xfId="18593"/>
    <cellStyle name="Currency 3 2 2 2 4 3 2 3 3" xfId="18594"/>
    <cellStyle name="Currency 3 2 2 2 4 3 2 4" xfId="18595"/>
    <cellStyle name="Currency 3 2 2 2 4 3 2 5" xfId="18596"/>
    <cellStyle name="Currency 3 2 2 2 4 3 3" xfId="18597"/>
    <cellStyle name="Currency 3 2 2 2 4 3 3 2" xfId="18598"/>
    <cellStyle name="Currency 3 2 2 2 4 3 3 3" xfId="18599"/>
    <cellStyle name="Currency 3 2 2 2 4 3 4" xfId="18600"/>
    <cellStyle name="Currency 3 2 2 2 4 3 4 2" xfId="18601"/>
    <cellStyle name="Currency 3 2 2 2 4 3 4 3" xfId="18602"/>
    <cellStyle name="Currency 3 2 2 2 4 3 5" xfId="18603"/>
    <cellStyle name="Currency 3 2 2 2 4 3 6" xfId="18604"/>
    <cellStyle name="Currency 3 2 2 2 4 4" xfId="18605"/>
    <cellStyle name="Currency 3 2 2 2 4 4 2" xfId="18606"/>
    <cellStyle name="Currency 3 2 2 2 4 4 2 2" xfId="18607"/>
    <cellStyle name="Currency 3 2 2 2 4 4 2 2 2" xfId="18608"/>
    <cellStyle name="Currency 3 2 2 2 4 4 2 2 3" xfId="18609"/>
    <cellStyle name="Currency 3 2 2 2 4 4 2 3" xfId="18610"/>
    <cellStyle name="Currency 3 2 2 2 4 4 2 3 2" xfId="18611"/>
    <cellStyle name="Currency 3 2 2 2 4 4 2 3 3" xfId="18612"/>
    <cellStyle name="Currency 3 2 2 2 4 4 2 4" xfId="18613"/>
    <cellStyle name="Currency 3 2 2 2 4 4 2 5" xfId="18614"/>
    <cellStyle name="Currency 3 2 2 2 4 4 3" xfId="18615"/>
    <cellStyle name="Currency 3 2 2 2 4 4 3 2" xfId="18616"/>
    <cellStyle name="Currency 3 2 2 2 4 4 3 3" xfId="18617"/>
    <cellStyle name="Currency 3 2 2 2 4 4 4" xfId="18618"/>
    <cellStyle name="Currency 3 2 2 2 4 4 4 2" xfId="18619"/>
    <cellStyle name="Currency 3 2 2 2 4 4 4 3" xfId="18620"/>
    <cellStyle name="Currency 3 2 2 2 4 4 5" xfId="18621"/>
    <cellStyle name="Currency 3 2 2 2 4 4 6" xfId="18622"/>
    <cellStyle name="Currency 3 2 2 2 4 5" xfId="18623"/>
    <cellStyle name="Currency 3 2 2 2 4 5 2" xfId="18624"/>
    <cellStyle name="Currency 3 2 2 2 4 5 2 2" xfId="18625"/>
    <cellStyle name="Currency 3 2 2 2 4 5 2 3" xfId="18626"/>
    <cellStyle name="Currency 3 2 2 2 4 5 3" xfId="18627"/>
    <cellStyle name="Currency 3 2 2 2 4 5 3 2" xfId="18628"/>
    <cellStyle name="Currency 3 2 2 2 4 5 3 3" xfId="18629"/>
    <cellStyle name="Currency 3 2 2 2 4 5 4" xfId="18630"/>
    <cellStyle name="Currency 3 2 2 2 4 5 5" xfId="18631"/>
    <cellStyle name="Currency 3 2 2 2 4 6" xfId="18632"/>
    <cellStyle name="Currency 3 2 2 2 4 6 2" xfId="18633"/>
    <cellStyle name="Currency 3 2 2 2 4 6 3" xfId="18634"/>
    <cellStyle name="Currency 3 2 2 2 4 7" xfId="18635"/>
    <cellStyle name="Currency 3 2 2 2 4 7 2" xfId="18636"/>
    <cellStyle name="Currency 3 2 2 2 4 7 3" xfId="18637"/>
    <cellStyle name="Currency 3 2 2 2 4 8" xfId="18638"/>
    <cellStyle name="Currency 3 2 2 2 4 9" xfId="18639"/>
    <cellStyle name="Currency 3 2 2 2 5" xfId="18640"/>
    <cellStyle name="Currency 3 2 2 2 5 2" xfId="18641"/>
    <cellStyle name="Currency 3 2 2 2 5 2 2" xfId="18642"/>
    <cellStyle name="Currency 3 2 2 2 5 2 2 2" xfId="18643"/>
    <cellStyle name="Currency 3 2 2 2 5 2 2 2 2" xfId="18644"/>
    <cellStyle name="Currency 3 2 2 2 5 2 2 2 3" xfId="18645"/>
    <cellStyle name="Currency 3 2 2 2 5 2 2 3" xfId="18646"/>
    <cellStyle name="Currency 3 2 2 2 5 2 2 3 2" xfId="18647"/>
    <cellStyle name="Currency 3 2 2 2 5 2 2 3 3" xfId="18648"/>
    <cellStyle name="Currency 3 2 2 2 5 2 2 4" xfId="18649"/>
    <cellStyle name="Currency 3 2 2 2 5 2 2 5" xfId="18650"/>
    <cellStyle name="Currency 3 2 2 2 5 2 3" xfId="18651"/>
    <cellStyle name="Currency 3 2 2 2 5 2 3 2" xfId="18652"/>
    <cellStyle name="Currency 3 2 2 2 5 2 3 3" xfId="18653"/>
    <cellStyle name="Currency 3 2 2 2 5 2 4" xfId="18654"/>
    <cellStyle name="Currency 3 2 2 2 5 2 4 2" xfId="18655"/>
    <cellStyle name="Currency 3 2 2 2 5 2 4 3" xfId="18656"/>
    <cellStyle name="Currency 3 2 2 2 5 2 5" xfId="18657"/>
    <cellStyle name="Currency 3 2 2 2 5 2 6" xfId="18658"/>
    <cellStyle name="Currency 3 2 2 2 5 3" xfId="18659"/>
    <cellStyle name="Currency 3 2 2 2 5 3 2" xfId="18660"/>
    <cellStyle name="Currency 3 2 2 2 5 3 2 2" xfId="18661"/>
    <cellStyle name="Currency 3 2 2 2 5 3 2 2 2" xfId="18662"/>
    <cellStyle name="Currency 3 2 2 2 5 3 2 2 3" xfId="18663"/>
    <cellStyle name="Currency 3 2 2 2 5 3 2 3" xfId="18664"/>
    <cellStyle name="Currency 3 2 2 2 5 3 2 3 2" xfId="18665"/>
    <cellStyle name="Currency 3 2 2 2 5 3 2 3 3" xfId="18666"/>
    <cellStyle name="Currency 3 2 2 2 5 3 2 4" xfId="18667"/>
    <cellStyle name="Currency 3 2 2 2 5 3 2 5" xfId="18668"/>
    <cellStyle name="Currency 3 2 2 2 5 3 3" xfId="18669"/>
    <cellStyle name="Currency 3 2 2 2 5 3 3 2" xfId="18670"/>
    <cellStyle name="Currency 3 2 2 2 5 3 3 3" xfId="18671"/>
    <cellStyle name="Currency 3 2 2 2 5 3 4" xfId="18672"/>
    <cellStyle name="Currency 3 2 2 2 5 3 4 2" xfId="18673"/>
    <cellStyle name="Currency 3 2 2 2 5 3 4 3" xfId="18674"/>
    <cellStyle name="Currency 3 2 2 2 5 3 5" xfId="18675"/>
    <cellStyle name="Currency 3 2 2 2 5 3 6" xfId="18676"/>
    <cellStyle name="Currency 3 2 2 2 5 4" xfId="18677"/>
    <cellStyle name="Currency 3 2 2 2 5 4 2" xfId="18678"/>
    <cellStyle name="Currency 3 2 2 2 5 4 2 2" xfId="18679"/>
    <cellStyle name="Currency 3 2 2 2 5 4 2 3" xfId="18680"/>
    <cellStyle name="Currency 3 2 2 2 5 4 3" xfId="18681"/>
    <cellStyle name="Currency 3 2 2 2 5 4 3 2" xfId="18682"/>
    <cellStyle name="Currency 3 2 2 2 5 4 3 3" xfId="18683"/>
    <cellStyle name="Currency 3 2 2 2 5 4 4" xfId="18684"/>
    <cellStyle name="Currency 3 2 2 2 5 4 5" xfId="18685"/>
    <cellStyle name="Currency 3 2 2 2 5 5" xfId="18686"/>
    <cellStyle name="Currency 3 2 2 2 5 5 2" xfId="18687"/>
    <cellStyle name="Currency 3 2 2 2 5 5 3" xfId="18688"/>
    <cellStyle name="Currency 3 2 2 2 5 6" xfId="18689"/>
    <cellStyle name="Currency 3 2 2 2 5 6 2" xfId="18690"/>
    <cellStyle name="Currency 3 2 2 2 5 6 3" xfId="18691"/>
    <cellStyle name="Currency 3 2 2 2 5 7" xfId="18692"/>
    <cellStyle name="Currency 3 2 2 2 5 8" xfId="18693"/>
    <cellStyle name="Currency 3 2 2 2 6" xfId="18694"/>
    <cellStyle name="Currency 3 2 2 2 6 2" xfId="18695"/>
    <cellStyle name="Currency 3 2 2 2 6 2 2" xfId="18696"/>
    <cellStyle name="Currency 3 2 2 2 6 2 2 2" xfId="18697"/>
    <cellStyle name="Currency 3 2 2 2 6 2 2 3" xfId="18698"/>
    <cellStyle name="Currency 3 2 2 2 6 2 3" xfId="18699"/>
    <cellStyle name="Currency 3 2 2 2 6 2 3 2" xfId="18700"/>
    <cellStyle name="Currency 3 2 2 2 6 2 3 3" xfId="18701"/>
    <cellStyle name="Currency 3 2 2 2 6 2 4" xfId="18702"/>
    <cellStyle name="Currency 3 2 2 2 6 2 5" xfId="18703"/>
    <cellStyle name="Currency 3 2 2 2 6 3" xfId="18704"/>
    <cellStyle name="Currency 3 2 2 2 6 3 2" xfId="18705"/>
    <cellStyle name="Currency 3 2 2 2 6 3 3" xfId="18706"/>
    <cellStyle name="Currency 3 2 2 2 6 4" xfId="18707"/>
    <cellStyle name="Currency 3 2 2 2 6 4 2" xfId="18708"/>
    <cellStyle name="Currency 3 2 2 2 6 4 3" xfId="18709"/>
    <cellStyle name="Currency 3 2 2 2 6 5" xfId="18710"/>
    <cellStyle name="Currency 3 2 2 2 6 6" xfId="18711"/>
    <cellStyle name="Currency 3 2 2 2 7" xfId="18712"/>
    <cellStyle name="Currency 3 2 2 2 7 2" xfId="18713"/>
    <cellStyle name="Currency 3 2 2 2 7 2 2" xfId="18714"/>
    <cellStyle name="Currency 3 2 2 2 7 2 2 2" xfId="18715"/>
    <cellStyle name="Currency 3 2 2 2 7 2 2 3" xfId="18716"/>
    <cellStyle name="Currency 3 2 2 2 7 2 3" xfId="18717"/>
    <cellStyle name="Currency 3 2 2 2 7 2 3 2" xfId="18718"/>
    <cellStyle name="Currency 3 2 2 2 7 2 3 3" xfId="18719"/>
    <cellStyle name="Currency 3 2 2 2 7 2 4" xfId="18720"/>
    <cellStyle name="Currency 3 2 2 2 7 2 5" xfId="18721"/>
    <cellStyle name="Currency 3 2 2 2 7 3" xfId="18722"/>
    <cellStyle name="Currency 3 2 2 2 7 3 2" xfId="18723"/>
    <cellStyle name="Currency 3 2 2 2 7 3 3" xfId="18724"/>
    <cellStyle name="Currency 3 2 2 2 7 4" xfId="18725"/>
    <cellStyle name="Currency 3 2 2 2 7 4 2" xfId="18726"/>
    <cellStyle name="Currency 3 2 2 2 7 4 3" xfId="18727"/>
    <cellStyle name="Currency 3 2 2 2 7 5" xfId="18728"/>
    <cellStyle name="Currency 3 2 2 2 7 6" xfId="18729"/>
    <cellStyle name="Currency 3 2 2 2 8" xfId="18730"/>
    <cellStyle name="Currency 3 2 2 2 8 2" xfId="18731"/>
    <cellStyle name="Currency 3 2 2 2 8 2 2" xfId="18732"/>
    <cellStyle name="Currency 3 2 2 2 8 2 3" xfId="18733"/>
    <cellStyle name="Currency 3 2 2 2 8 3" xfId="18734"/>
    <cellStyle name="Currency 3 2 2 2 8 3 2" xfId="18735"/>
    <cellStyle name="Currency 3 2 2 2 8 3 3" xfId="18736"/>
    <cellStyle name="Currency 3 2 2 2 8 4" xfId="18737"/>
    <cellStyle name="Currency 3 2 2 2 8 5" xfId="18738"/>
    <cellStyle name="Currency 3 2 2 2 9" xfId="18739"/>
    <cellStyle name="Currency 3 2 2 2 9 2" xfId="18740"/>
    <cellStyle name="Currency 3 2 2 2 9 3" xfId="18741"/>
    <cellStyle name="Currency 3 2 2 3" xfId="18742"/>
    <cellStyle name="Currency 3 2 2 3 10" xfId="18743"/>
    <cellStyle name="Currency 3 2 2 3 2" xfId="18744"/>
    <cellStyle name="Currency 3 2 2 3 2 2" xfId="18745"/>
    <cellStyle name="Currency 3 2 2 3 2 2 2" xfId="18746"/>
    <cellStyle name="Currency 3 2 2 3 2 2 2 2" xfId="18747"/>
    <cellStyle name="Currency 3 2 2 3 2 2 2 2 2" xfId="18748"/>
    <cellStyle name="Currency 3 2 2 3 2 2 2 2 2 2" xfId="18749"/>
    <cellStyle name="Currency 3 2 2 3 2 2 2 2 2 3" xfId="18750"/>
    <cellStyle name="Currency 3 2 2 3 2 2 2 2 3" xfId="18751"/>
    <cellStyle name="Currency 3 2 2 3 2 2 2 2 3 2" xfId="18752"/>
    <cellStyle name="Currency 3 2 2 3 2 2 2 2 3 3" xfId="18753"/>
    <cellStyle name="Currency 3 2 2 3 2 2 2 2 4" xfId="18754"/>
    <cellStyle name="Currency 3 2 2 3 2 2 2 2 5" xfId="18755"/>
    <cellStyle name="Currency 3 2 2 3 2 2 2 3" xfId="18756"/>
    <cellStyle name="Currency 3 2 2 3 2 2 2 3 2" xfId="18757"/>
    <cellStyle name="Currency 3 2 2 3 2 2 2 3 3" xfId="18758"/>
    <cellStyle name="Currency 3 2 2 3 2 2 2 4" xfId="18759"/>
    <cellStyle name="Currency 3 2 2 3 2 2 2 4 2" xfId="18760"/>
    <cellStyle name="Currency 3 2 2 3 2 2 2 4 3" xfId="18761"/>
    <cellStyle name="Currency 3 2 2 3 2 2 2 5" xfId="18762"/>
    <cellStyle name="Currency 3 2 2 3 2 2 2 6" xfId="18763"/>
    <cellStyle name="Currency 3 2 2 3 2 2 3" xfId="18764"/>
    <cellStyle name="Currency 3 2 2 3 2 2 3 2" xfId="18765"/>
    <cellStyle name="Currency 3 2 2 3 2 2 3 2 2" xfId="18766"/>
    <cellStyle name="Currency 3 2 2 3 2 2 3 2 2 2" xfId="18767"/>
    <cellStyle name="Currency 3 2 2 3 2 2 3 2 2 3" xfId="18768"/>
    <cellStyle name="Currency 3 2 2 3 2 2 3 2 3" xfId="18769"/>
    <cellStyle name="Currency 3 2 2 3 2 2 3 2 3 2" xfId="18770"/>
    <cellStyle name="Currency 3 2 2 3 2 2 3 2 3 3" xfId="18771"/>
    <cellStyle name="Currency 3 2 2 3 2 2 3 2 4" xfId="18772"/>
    <cellStyle name="Currency 3 2 2 3 2 2 3 2 5" xfId="18773"/>
    <cellStyle name="Currency 3 2 2 3 2 2 3 3" xfId="18774"/>
    <cellStyle name="Currency 3 2 2 3 2 2 3 3 2" xfId="18775"/>
    <cellStyle name="Currency 3 2 2 3 2 2 3 3 3" xfId="18776"/>
    <cellStyle name="Currency 3 2 2 3 2 2 3 4" xfId="18777"/>
    <cellStyle name="Currency 3 2 2 3 2 2 3 4 2" xfId="18778"/>
    <cellStyle name="Currency 3 2 2 3 2 2 3 4 3" xfId="18779"/>
    <cellStyle name="Currency 3 2 2 3 2 2 3 5" xfId="18780"/>
    <cellStyle name="Currency 3 2 2 3 2 2 3 6" xfId="18781"/>
    <cellStyle name="Currency 3 2 2 3 2 2 4" xfId="18782"/>
    <cellStyle name="Currency 3 2 2 3 2 2 4 2" xfId="18783"/>
    <cellStyle name="Currency 3 2 2 3 2 2 4 2 2" xfId="18784"/>
    <cellStyle name="Currency 3 2 2 3 2 2 4 2 3" xfId="18785"/>
    <cellStyle name="Currency 3 2 2 3 2 2 4 3" xfId="18786"/>
    <cellStyle name="Currency 3 2 2 3 2 2 4 3 2" xfId="18787"/>
    <cellStyle name="Currency 3 2 2 3 2 2 4 3 3" xfId="18788"/>
    <cellStyle name="Currency 3 2 2 3 2 2 4 4" xfId="18789"/>
    <cellStyle name="Currency 3 2 2 3 2 2 4 5" xfId="18790"/>
    <cellStyle name="Currency 3 2 2 3 2 2 5" xfId="18791"/>
    <cellStyle name="Currency 3 2 2 3 2 2 5 2" xfId="18792"/>
    <cellStyle name="Currency 3 2 2 3 2 2 5 3" xfId="18793"/>
    <cellStyle name="Currency 3 2 2 3 2 2 6" xfId="18794"/>
    <cellStyle name="Currency 3 2 2 3 2 2 6 2" xfId="18795"/>
    <cellStyle name="Currency 3 2 2 3 2 2 6 3" xfId="18796"/>
    <cellStyle name="Currency 3 2 2 3 2 2 7" xfId="18797"/>
    <cellStyle name="Currency 3 2 2 3 2 2 8" xfId="18798"/>
    <cellStyle name="Currency 3 2 2 3 2 3" xfId="18799"/>
    <cellStyle name="Currency 3 2 2 3 2 3 2" xfId="18800"/>
    <cellStyle name="Currency 3 2 2 3 2 3 2 2" xfId="18801"/>
    <cellStyle name="Currency 3 2 2 3 2 3 2 2 2" xfId="18802"/>
    <cellStyle name="Currency 3 2 2 3 2 3 2 2 3" xfId="18803"/>
    <cellStyle name="Currency 3 2 2 3 2 3 2 3" xfId="18804"/>
    <cellStyle name="Currency 3 2 2 3 2 3 2 3 2" xfId="18805"/>
    <cellStyle name="Currency 3 2 2 3 2 3 2 3 3" xfId="18806"/>
    <cellStyle name="Currency 3 2 2 3 2 3 2 4" xfId="18807"/>
    <cellStyle name="Currency 3 2 2 3 2 3 2 5" xfId="18808"/>
    <cellStyle name="Currency 3 2 2 3 2 3 3" xfId="18809"/>
    <cellStyle name="Currency 3 2 2 3 2 3 3 2" xfId="18810"/>
    <cellStyle name="Currency 3 2 2 3 2 3 3 3" xfId="18811"/>
    <cellStyle name="Currency 3 2 2 3 2 3 4" xfId="18812"/>
    <cellStyle name="Currency 3 2 2 3 2 3 4 2" xfId="18813"/>
    <cellStyle name="Currency 3 2 2 3 2 3 4 3" xfId="18814"/>
    <cellStyle name="Currency 3 2 2 3 2 3 5" xfId="18815"/>
    <cellStyle name="Currency 3 2 2 3 2 3 6" xfId="18816"/>
    <cellStyle name="Currency 3 2 2 3 2 4" xfId="18817"/>
    <cellStyle name="Currency 3 2 2 3 2 4 2" xfId="18818"/>
    <cellStyle name="Currency 3 2 2 3 2 4 2 2" xfId="18819"/>
    <cellStyle name="Currency 3 2 2 3 2 4 2 2 2" xfId="18820"/>
    <cellStyle name="Currency 3 2 2 3 2 4 2 2 3" xfId="18821"/>
    <cellStyle name="Currency 3 2 2 3 2 4 2 3" xfId="18822"/>
    <cellStyle name="Currency 3 2 2 3 2 4 2 3 2" xfId="18823"/>
    <cellStyle name="Currency 3 2 2 3 2 4 2 3 3" xfId="18824"/>
    <cellStyle name="Currency 3 2 2 3 2 4 2 4" xfId="18825"/>
    <cellStyle name="Currency 3 2 2 3 2 4 2 5" xfId="18826"/>
    <cellStyle name="Currency 3 2 2 3 2 4 3" xfId="18827"/>
    <cellStyle name="Currency 3 2 2 3 2 4 3 2" xfId="18828"/>
    <cellStyle name="Currency 3 2 2 3 2 4 3 3" xfId="18829"/>
    <cellStyle name="Currency 3 2 2 3 2 4 4" xfId="18830"/>
    <cellStyle name="Currency 3 2 2 3 2 4 4 2" xfId="18831"/>
    <cellStyle name="Currency 3 2 2 3 2 4 4 3" xfId="18832"/>
    <cellStyle name="Currency 3 2 2 3 2 4 5" xfId="18833"/>
    <cellStyle name="Currency 3 2 2 3 2 4 6" xfId="18834"/>
    <cellStyle name="Currency 3 2 2 3 2 5" xfId="18835"/>
    <cellStyle name="Currency 3 2 2 3 2 5 2" xfId="18836"/>
    <cellStyle name="Currency 3 2 2 3 2 5 2 2" xfId="18837"/>
    <cellStyle name="Currency 3 2 2 3 2 5 2 3" xfId="18838"/>
    <cellStyle name="Currency 3 2 2 3 2 5 3" xfId="18839"/>
    <cellStyle name="Currency 3 2 2 3 2 5 3 2" xfId="18840"/>
    <cellStyle name="Currency 3 2 2 3 2 5 3 3" xfId="18841"/>
    <cellStyle name="Currency 3 2 2 3 2 5 4" xfId="18842"/>
    <cellStyle name="Currency 3 2 2 3 2 5 5" xfId="18843"/>
    <cellStyle name="Currency 3 2 2 3 2 6" xfId="18844"/>
    <cellStyle name="Currency 3 2 2 3 2 6 2" xfId="18845"/>
    <cellStyle name="Currency 3 2 2 3 2 6 3" xfId="18846"/>
    <cellStyle name="Currency 3 2 2 3 2 7" xfId="18847"/>
    <cellStyle name="Currency 3 2 2 3 2 7 2" xfId="18848"/>
    <cellStyle name="Currency 3 2 2 3 2 7 3" xfId="18849"/>
    <cellStyle name="Currency 3 2 2 3 2 8" xfId="18850"/>
    <cellStyle name="Currency 3 2 2 3 2 9" xfId="18851"/>
    <cellStyle name="Currency 3 2 2 3 3" xfId="18852"/>
    <cellStyle name="Currency 3 2 2 3 3 2" xfId="18853"/>
    <cellStyle name="Currency 3 2 2 3 3 2 2" xfId="18854"/>
    <cellStyle name="Currency 3 2 2 3 3 2 2 2" xfId="18855"/>
    <cellStyle name="Currency 3 2 2 3 3 2 2 2 2" xfId="18856"/>
    <cellStyle name="Currency 3 2 2 3 3 2 2 2 3" xfId="18857"/>
    <cellStyle name="Currency 3 2 2 3 3 2 2 3" xfId="18858"/>
    <cellStyle name="Currency 3 2 2 3 3 2 2 3 2" xfId="18859"/>
    <cellStyle name="Currency 3 2 2 3 3 2 2 3 3" xfId="18860"/>
    <cellStyle name="Currency 3 2 2 3 3 2 2 4" xfId="18861"/>
    <cellStyle name="Currency 3 2 2 3 3 2 2 5" xfId="18862"/>
    <cellStyle name="Currency 3 2 2 3 3 2 3" xfId="18863"/>
    <cellStyle name="Currency 3 2 2 3 3 2 3 2" xfId="18864"/>
    <cellStyle name="Currency 3 2 2 3 3 2 3 3" xfId="18865"/>
    <cellStyle name="Currency 3 2 2 3 3 2 4" xfId="18866"/>
    <cellStyle name="Currency 3 2 2 3 3 2 4 2" xfId="18867"/>
    <cellStyle name="Currency 3 2 2 3 3 2 4 3" xfId="18868"/>
    <cellStyle name="Currency 3 2 2 3 3 2 5" xfId="18869"/>
    <cellStyle name="Currency 3 2 2 3 3 2 6" xfId="18870"/>
    <cellStyle name="Currency 3 2 2 3 3 3" xfId="18871"/>
    <cellStyle name="Currency 3 2 2 3 3 3 2" xfId="18872"/>
    <cellStyle name="Currency 3 2 2 3 3 3 2 2" xfId="18873"/>
    <cellStyle name="Currency 3 2 2 3 3 3 2 2 2" xfId="18874"/>
    <cellStyle name="Currency 3 2 2 3 3 3 2 2 3" xfId="18875"/>
    <cellStyle name="Currency 3 2 2 3 3 3 2 3" xfId="18876"/>
    <cellStyle name="Currency 3 2 2 3 3 3 2 3 2" xfId="18877"/>
    <cellStyle name="Currency 3 2 2 3 3 3 2 3 3" xfId="18878"/>
    <cellStyle name="Currency 3 2 2 3 3 3 2 4" xfId="18879"/>
    <cellStyle name="Currency 3 2 2 3 3 3 2 5" xfId="18880"/>
    <cellStyle name="Currency 3 2 2 3 3 3 3" xfId="18881"/>
    <cellStyle name="Currency 3 2 2 3 3 3 3 2" xfId="18882"/>
    <cellStyle name="Currency 3 2 2 3 3 3 3 3" xfId="18883"/>
    <cellStyle name="Currency 3 2 2 3 3 3 4" xfId="18884"/>
    <cellStyle name="Currency 3 2 2 3 3 3 4 2" xfId="18885"/>
    <cellStyle name="Currency 3 2 2 3 3 3 4 3" xfId="18886"/>
    <cellStyle name="Currency 3 2 2 3 3 3 5" xfId="18887"/>
    <cellStyle name="Currency 3 2 2 3 3 3 6" xfId="18888"/>
    <cellStyle name="Currency 3 2 2 3 3 4" xfId="18889"/>
    <cellStyle name="Currency 3 2 2 3 3 4 2" xfId="18890"/>
    <cellStyle name="Currency 3 2 2 3 3 4 2 2" xfId="18891"/>
    <cellStyle name="Currency 3 2 2 3 3 4 2 3" xfId="18892"/>
    <cellStyle name="Currency 3 2 2 3 3 4 3" xfId="18893"/>
    <cellStyle name="Currency 3 2 2 3 3 4 3 2" xfId="18894"/>
    <cellStyle name="Currency 3 2 2 3 3 4 3 3" xfId="18895"/>
    <cellStyle name="Currency 3 2 2 3 3 4 4" xfId="18896"/>
    <cellStyle name="Currency 3 2 2 3 3 4 5" xfId="18897"/>
    <cellStyle name="Currency 3 2 2 3 3 5" xfId="18898"/>
    <cellStyle name="Currency 3 2 2 3 3 5 2" xfId="18899"/>
    <cellStyle name="Currency 3 2 2 3 3 5 3" xfId="18900"/>
    <cellStyle name="Currency 3 2 2 3 3 6" xfId="18901"/>
    <cellStyle name="Currency 3 2 2 3 3 6 2" xfId="18902"/>
    <cellStyle name="Currency 3 2 2 3 3 6 3" xfId="18903"/>
    <cellStyle name="Currency 3 2 2 3 3 7" xfId="18904"/>
    <cellStyle name="Currency 3 2 2 3 3 8" xfId="18905"/>
    <cellStyle name="Currency 3 2 2 3 4" xfId="18906"/>
    <cellStyle name="Currency 3 2 2 3 4 2" xfId="18907"/>
    <cellStyle name="Currency 3 2 2 3 4 2 2" xfId="18908"/>
    <cellStyle name="Currency 3 2 2 3 4 2 2 2" xfId="18909"/>
    <cellStyle name="Currency 3 2 2 3 4 2 2 3" xfId="18910"/>
    <cellStyle name="Currency 3 2 2 3 4 2 3" xfId="18911"/>
    <cellStyle name="Currency 3 2 2 3 4 2 3 2" xfId="18912"/>
    <cellStyle name="Currency 3 2 2 3 4 2 3 3" xfId="18913"/>
    <cellStyle name="Currency 3 2 2 3 4 2 4" xfId="18914"/>
    <cellStyle name="Currency 3 2 2 3 4 2 5" xfId="18915"/>
    <cellStyle name="Currency 3 2 2 3 4 3" xfId="18916"/>
    <cellStyle name="Currency 3 2 2 3 4 3 2" xfId="18917"/>
    <cellStyle name="Currency 3 2 2 3 4 3 3" xfId="18918"/>
    <cellStyle name="Currency 3 2 2 3 4 4" xfId="18919"/>
    <cellStyle name="Currency 3 2 2 3 4 4 2" xfId="18920"/>
    <cellStyle name="Currency 3 2 2 3 4 4 3" xfId="18921"/>
    <cellStyle name="Currency 3 2 2 3 4 5" xfId="18922"/>
    <cellStyle name="Currency 3 2 2 3 4 6" xfId="18923"/>
    <cellStyle name="Currency 3 2 2 3 5" xfId="18924"/>
    <cellStyle name="Currency 3 2 2 3 5 2" xfId="18925"/>
    <cellStyle name="Currency 3 2 2 3 5 2 2" xfId="18926"/>
    <cellStyle name="Currency 3 2 2 3 5 2 2 2" xfId="18927"/>
    <cellStyle name="Currency 3 2 2 3 5 2 2 3" xfId="18928"/>
    <cellStyle name="Currency 3 2 2 3 5 2 3" xfId="18929"/>
    <cellStyle name="Currency 3 2 2 3 5 2 3 2" xfId="18930"/>
    <cellStyle name="Currency 3 2 2 3 5 2 3 3" xfId="18931"/>
    <cellStyle name="Currency 3 2 2 3 5 2 4" xfId="18932"/>
    <cellStyle name="Currency 3 2 2 3 5 2 5" xfId="18933"/>
    <cellStyle name="Currency 3 2 2 3 5 3" xfId="18934"/>
    <cellStyle name="Currency 3 2 2 3 5 3 2" xfId="18935"/>
    <cellStyle name="Currency 3 2 2 3 5 3 3" xfId="18936"/>
    <cellStyle name="Currency 3 2 2 3 5 4" xfId="18937"/>
    <cellStyle name="Currency 3 2 2 3 5 4 2" xfId="18938"/>
    <cellStyle name="Currency 3 2 2 3 5 4 3" xfId="18939"/>
    <cellStyle name="Currency 3 2 2 3 5 5" xfId="18940"/>
    <cellStyle name="Currency 3 2 2 3 5 6" xfId="18941"/>
    <cellStyle name="Currency 3 2 2 3 6" xfId="18942"/>
    <cellStyle name="Currency 3 2 2 3 6 2" xfId="18943"/>
    <cellStyle name="Currency 3 2 2 3 6 2 2" xfId="18944"/>
    <cellStyle name="Currency 3 2 2 3 6 2 3" xfId="18945"/>
    <cellStyle name="Currency 3 2 2 3 6 3" xfId="18946"/>
    <cellStyle name="Currency 3 2 2 3 6 3 2" xfId="18947"/>
    <cellStyle name="Currency 3 2 2 3 6 3 3" xfId="18948"/>
    <cellStyle name="Currency 3 2 2 3 6 4" xfId="18949"/>
    <cellStyle name="Currency 3 2 2 3 6 5" xfId="18950"/>
    <cellStyle name="Currency 3 2 2 3 7" xfId="18951"/>
    <cellStyle name="Currency 3 2 2 3 7 2" xfId="18952"/>
    <cellStyle name="Currency 3 2 2 3 7 3" xfId="18953"/>
    <cellStyle name="Currency 3 2 2 3 8" xfId="18954"/>
    <cellStyle name="Currency 3 2 2 3 8 2" xfId="18955"/>
    <cellStyle name="Currency 3 2 2 3 8 3" xfId="18956"/>
    <cellStyle name="Currency 3 2 2 3 9" xfId="18957"/>
    <cellStyle name="Currency 3 2 2 4" xfId="18958"/>
    <cellStyle name="Currency 3 2 2 4 10" xfId="18959"/>
    <cellStyle name="Currency 3 2 2 4 2" xfId="18960"/>
    <cellStyle name="Currency 3 2 2 4 2 2" xfId="18961"/>
    <cellStyle name="Currency 3 2 2 4 2 2 2" xfId="18962"/>
    <cellStyle name="Currency 3 2 2 4 2 2 2 2" xfId="18963"/>
    <cellStyle name="Currency 3 2 2 4 2 2 2 2 2" xfId="18964"/>
    <cellStyle name="Currency 3 2 2 4 2 2 2 2 2 2" xfId="18965"/>
    <cellStyle name="Currency 3 2 2 4 2 2 2 2 2 3" xfId="18966"/>
    <cellStyle name="Currency 3 2 2 4 2 2 2 2 3" xfId="18967"/>
    <cellStyle name="Currency 3 2 2 4 2 2 2 2 3 2" xfId="18968"/>
    <cellStyle name="Currency 3 2 2 4 2 2 2 2 3 3" xfId="18969"/>
    <cellStyle name="Currency 3 2 2 4 2 2 2 2 4" xfId="18970"/>
    <cellStyle name="Currency 3 2 2 4 2 2 2 2 5" xfId="18971"/>
    <cellStyle name="Currency 3 2 2 4 2 2 2 3" xfId="18972"/>
    <cellStyle name="Currency 3 2 2 4 2 2 2 3 2" xfId="18973"/>
    <cellStyle name="Currency 3 2 2 4 2 2 2 3 3" xfId="18974"/>
    <cellStyle name="Currency 3 2 2 4 2 2 2 4" xfId="18975"/>
    <cellStyle name="Currency 3 2 2 4 2 2 2 4 2" xfId="18976"/>
    <cellStyle name="Currency 3 2 2 4 2 2 2 4 3" xfId="18977"/>
    <cellStyle name="Currency 3 2 2 4 2 2 2 5" xfId="18978"/>
    <cellStyle name="Currency 3 2 2 4 2 2 2 6" xfId="18979"/>
    <cellStyle name="Currency 3 2 2 4 2 2 3" xfId="18980"/>
    <cellStyle name="Currency 3 2 2 4 2 2 3 2" xfId="18981"/>
    <cellStyle name="Currency 3 2 2 4 2 2 3 2 2" xfId="18982"/>
    <cellStyle name="Currency 3 2 2 4 2 2 3 2 2 2" xfId="18983"/>
    <cellStyle name="Currency 3 2 2 4 2 2 3 2 2 3" xfId="18984"/>
    <cellStyle name="Currency 3 2 2 4 2 2 3 2 3" xfId="18985"/>
    <cellStyle name="Currency 3 2 2 4 2 2 3 2 3 2" xfId="18986"/>
    <cellStyle name="Currency 3 2 2 4 2 2 3 2 3 3" xfId="18987"/>
    <cellStyle name="Currency 3 2 2 4 2 2 3 2 4" xfId="18988"/>
    <cellStyle name="Currency 3 2 2 4 2 2 3 2 5" xfId="18989"/>
    <cellStyle name="Currency 3 2 2 4 2 2 3 3" xfId="18990"/>
    <cellStyle name="Currency 3 2 2 4 2 2 3 3 2" xfId="18991"/>
    <cellStyle name="Currency 3 2 2 4 2 2 3 3 3" xfId="18992"/>
    <cellStyle name="Currency 3 2 2 4 2 2 3 4" xfId="18993"/>
    <cellStyle name="Currency 3 2 2 4 2 2 3 4 2" xfId="18994"/>
    <cellStyle name="Currency 3 2 2 4 2 2 3 4 3" xfId="18995"/>
    <cellStyle name="Currency 3 2 2 4 2 2 3 5" xfId="18996"/>
    <cellStyle name="Currency 3 2 2 4 2 2 3 6" xfId="18997"/>
    <cellStyle name="Currency 3 2 2 4 2 2 4" xfId="18998"/>
    <cellStyle name="Currency 3 2 2 4 2 2 4 2" xfId="18999"/>
    <cellStyle name="Currency 3 2 2 4 2 2 4 2 2" xfId="19000"/>
    <cellStyle name="Currency 3 2 2 4 2 2 4 2 3" xfId="19001"/>
    <cellStyle name="Currency 3 2 2 4 2 2 4 3" xfId="19002"/>
    <cellStyle name="Currency 3 2 2 4 2 2 4 3 2" xfId="19003"/>
    <cellStyle name="Currency 3 2 2 4 2 2 4 3 3" xfId="19004"/>
    <cellStyle name="Currency 3 2 2 4 2 2 4 4" xfId="19005"/>
    <cellStyle name="Currency 3 2 2 4 2 2 4 5" xfId="19006"/>
    <cellStyle name="Currency 3 2 2 4 2 2 5" xfId="19007"/>
    <cellStyle name="Currency 3 2 2 4 2 2 5 2" xfId="19008"/>
    <cellStyle name="Currency 3 2 2 4 2 2 5 3" xfId="19009"/>
    <cellStyle name="Currency 3 2 2 4 2 2 6" xfId="19010"/>
    <cellStyle name="Currency 3 2 2 4 2 2 6 2" xfId="19011"/>
    <cellStyle name="Currency 3 2 2 4 2 2 6 3" xfId="19012"/>
    <cellStyle name="Currency 3 2 2 4 2 2 7" xfId="19013"/>
    <cellStyle name="Currency 3 2 2 4 2 2 8" xfId="19014"/>
    <cellStyle name="Currency 3 2 2 4 2 3" xfId="19015"/>
    <cellStyle name="Currency 3 2 2 4 2 3 2" xfId="19016"/>
    <cellStyle name="Currency 3 2 2 4 2 3 2 2" xfId="19017"/>
    <cellStyle name="Currency 3 2 2 4 2 3 2 2 2" xfId="19018"/>
    <cellStyle name="Currency 3 2 2 4 2 3 2 2 3" xfId="19019"/>
    <cellStyle name="Currency 3 2 2 4 2 3 2 3" xfId="19020"/>
    <cellStyle name="Currency 3 2 2 4 2 3 2 3 2" xfId="19021"/>
    <cellStyle name="Currency 3 2 2 4 2 3 2 3 3" xfId="19022"/>
    <cellStyle name="Currency 3 2 2 4 2 3 2 4" xfId="19023"/>
    <cellStyle name="Currency 3 2 2 4 2 3 2 5" xfId="19024"/>
    <cellStyle name="Currency 3 2 2 4 2 3 3" xfId="19025"/>
    <cellStyle name="Currency 3 2 2 4 2 3 3 2" xfId="19026"/>
    <cellStyle name="Currency 3 2 2 4 2 3 3 3" xfId="19027"/>
    <cellStyle name="Currency 3 2 2 4 2 3 4" xfId="19028"/>
    <cellStyle name="Currency 3 2 2 4 2 3 4 2" xfId="19029"/>
    <cellStyle name="Currency 3 2 2 4 2 3 4 3" xfId="19030"/>
    <cellStyle name="Currency 3 2 2 4 2 3 5" xfId="19031"/>
    <cellStyle name="Currency 3 2 2 4 2 3 6" xfId="19032"/>
    <cellStyle name="Currency 3 2 2 4 2 4" xfId="19033"/>
    <cellStyle name="Currency 3 2 2 4 2 4 2" xfId="19034"/>
    <cellStyle name="Currency 3 2 2 4 2 4 2 2" xfId="19035"/>
    <cellStyle name="Currency 3 2 2 4 2 4 2 2 2" xfId="19036"/>
    <cellStyle name="Currency 3 2 2 4 2 4 2 2 3" xfId="19037"/>
    <cellStyle name="Currency 3 2 2 4 2 4 2 3" xfId="19038"/>
    <cellStyle name="Currency 3 2 2 4 2 4 2 3 2" xfId="19039"/>
    <cellStyle name="Currency 3 2 2 4 2 4 2 3 3" xfId="19040"/>
    <cellStyle name="Currency 3 2 2 4 2 4 2 4" xfId="19041"/>
    <cellStyle name="Currency 3 2 2 4 2 4 2 5" xfId="19042"/>
    <cellStyle name="Currency 3 2 2 4 2 4 3" xfId="19043"/>
    <cellStyle name="Currency 3 2 2 4 2 4 3 2" xfId="19044"/>
    <cellStyle name="Currency 3 2 2 4 2 4 3 3" xfId="19045"/>
    <cellStyle name="Currency 3 2 2 4 2 4 4" xfId="19046"/>
    <cellStyle name="Currency 3 2 2 4 2 4 4 2" xfId="19047"/>
    <cellStyle name="Currency 3 2 2 4 2 4 4 3" xfId="19048"/>
    <cellStyle name="Currency 3 2 2 4 2 4 5" xfId="19049"/>
    <cellStyle name="Currency 3 2 2 4 2 4 6" xfId="19050"/>
    <cellStyle name="Currency 3 2 2 4 2 5" xfId="19051"/>
    <cellStyle name="Currency 3 2 2 4 2 5 2" xfId="19052"/>
    <cellStyle name="Currency 3 2 2 4 2 5 2 2" xfId="19053"/>
    <cellStyle name="Currency 3 2 2 4 2 5 2 3" xfId="19054"/>
    <cellStyle name="Currency 3 2 2 4 2 5 3" xfId="19055"/>
    <cellStyle name="Currency 3 2 2 4 2 5 3 2" xfId="19056"/>
    <cellStyle name="Currency 3 2 2 4 2 5 3 3" xfId="19057"/>
    <cellStyle name="Currency 3 2 2 4 2 5 4" xfId="19058"/>
    <cellStyle name="Currency 3 2 2 4 2 5 5" xfId="19059"/>
    <cellStyle name="Currency 3 2 2 4 2 6" xfId="19060"/>
    <cellStyle name="Currency 3 2 2 4 2 6 2" xfId="19061"/>
    <cellStyle name="Currency 3 2 2 4 2 6 3" xfId="19062"/>
    <cellStyle name="Currency 3 2 2 4 2 7" xfId="19063"/>
    <cellStyle name="Currency 3 2 2 4 2 7 2" xfId="19064"/>
    <cellStyle name="Currency 3 2 2 4 2 7 3" xfId="19065"/>
    <cellStyle name="Currency 3 2 2 4 2 8" xfId="19066"/>
    <cellStyle name="Currency 3 2 2 4 2 9" xfId="19067"/>
    <cellStyle name="Currency 3 2 2 4 3" xfId="19068"/>
    <cellStyle name="Currency 3 2 2 4 3 2" xfId="19069"/>
    <cellStyle name="Currency 3 2 2 4 3 2 2" xfId="19070"/>
    <cellStyle name="Currency 3 2 2 4 3 2 2 2" xfId="19071"/>
    <cellStyle name="Currency 3 2 2 4 3 2 2 2 2" xfId="19072"/>
    <cellStyle name="Currency 3 2 2 4 3 2 2 2 3" xfId="19073"/>
    <cellStyle name="Currency 3 2 2 4 3 2 2 3" xfId="19074"/>
    <cellStyle name="Currency 3 2 2 4 3 2 2 3 2" xfId="19075"/>
    <cellStyle name="Currency 3 2 2 4 3 2 2 3 3" xfId="19076"/>
    <cellStyle name="Currency 3 2 2 4 3 2 2 4" xfId="19077"/>
    <cellStyle name="Currency 3 2 2 4 3 2 2 5" xfId="19078"/>
    <cellStyle name="Currency 3 2 2 4 3 2 3" xfId="19079"/>
    <cellStyle name="Currency 3 2 2 4 3 2 3 2" xfId="19080"/>
    <cellStyle name="Currency 3 2 2 4 3 2 3 3" xfId="19081"/>
    <cellStyle name="Currency 3 2 2 4 3 2 4" xfId="19082"/>
    <cellStyle name="Currency 3 2 2 4 3 2 4 2" xfId="19083"/>
    <cellStyle name="Currency 3 2 2 4 3 2 4 3" xfId="19084"/>
    <cellStyle name="Currency 3 2 2 4 3 2 5" xfId="19085"/>
    <cellStyle name="Currency 3 2 2 4 3 2 6" xfId="19086"/>
    <cellStyle name="Currency 3 2 2 4 3 3" xfId="19087"/>
    <cellStyle name="Currency 3 2 2 4 3 3 2" xfId="19088"/>
    <cellStyle name="Currency 3 2 2 4 3 3 2 2" xfId="19089"/>
    <cellStyle name="Currency 3 2 2 4 3 3 2 2 2" xfId="19090"/>
    <cellStyle name="Currency 3 2 2 4 3 3 2 2 3" xfId="19091"/>
    <cellStyle name="Currency 3 2 2 4 3 3 2 3" xfId="19092"/>
    <cellStyle name="Currency 3 2 2 4 3 3 2 3 2" xfId="19093"/>
    <cellStyle name="Currency 3 2 2 4 3 3 2 3 3" xfId="19094"/>
    <cellStyle name="Currency 3 2 2 4 3 3 2 4" xfId="19095"/>
    <cellStyle name="Currency 3 2 2 4 3 3 2 5" xfId="19096"/>
    <cellStyle name="Currency 3 2 2 4 3 3 3" xfId="19097"/>
    <cellStyle name="Currency 3 2 2 4 3 3 3 2" xfId="19098"/>
    <cellStyle name="Currency 3 2 2 4 3 3 3 3" xfId="19099"/>
    <cellStyle name="Currency 3 2 2 4 3 3 4" xfId="19100"/>
    <cellStyle name="Currency 3 2 2 4 3 3 4 2" xfId="19101"/>
    <cellStyle name="Currency 3 2 2 4 3 3 4 3" xfId="19102"/>
    <cellStyle name="Currency 3 2 2 4 3 3 5" xfId="19103"/>
    <cellStyle name="Currency 3 2 2 4 3 3 6" xfId="19104"/>
    <cellStyle name="Currency 3 2 2 4 3 4" xfId="19105"/>
    <cellStyle name="Currency 3 2 2 4 3 4 2" xfId="19106"/>
    <cellStyle name="Currency 3 2 2 4 3 4 2 2" xfId="19107"/>
    <cellStyle name="Currency 3 2 2 4 3 4 2 3" xfId="19108"/>
    <cellStyle name="Currency 3 2 2 4 3 4 3" xfId="19109"/>
    <cellStyle name="Currency 3 2 2 4 3 4 3 2" xfId="19110"/>
    <cellStyle name="Currency 3 2 2 4 3 4 3 3" xfId="19111"/>
    <cellStyle name="Currency 3 2 2 4 3 4 4" xfId="19112"/>
    <cellStyle name="Currency 3 2 2 4 3 4 5" xfId="19113"/>
    <cellStyle name="Currency 3 2 2 4 3 5" xfId="19114"/>
    <cellStyle name="Currency 3 2 2 4 3 5 2" xfId="19115"/>
    <cellStyle name="Currency 3 2 2 4 3 5 3" xfId="19116"/>
    <cellStyle name="Currency 3 2 2 4 3 6" xfId="19117"/>
    <cellStyle name="Currency 3 2 2 4 3 6 2" xfId="19118"/>
    <cellStyle name="Currency 3 2 2 4 3 6 3" xfId="19119"/>
    <cellStyle name="Currency 3 2 2 4 3 7" xfId="19120"/>
    <cellStyle name="Currency 3 2 2 4 3 8" xfId="19121"/>
    <cellStyle name="Currency 3 2 2 4 4" xfId="19122"/>
    <cellStyle name="Currency 3 2 2 4 4 2" xfId="19123"/>
    <cellStyle name="Currency 3 2 2 4 4 2 2" xfId="19124"/>
    <cellStyle name="Currency 3 2 2 4 4 2 2 2" xfId="19125"/>
    <cellStyle name="Currency 3 2 2 4 4 2 2 3" xfId="19126"/>
    <cellStyle name="Currency 3 2 2 4 4 2 3" xfId="19127"/>
    <cellStyle name="Currency 3 2 2 4 4 2 3 2" xfId="19128"/>
    <cellStyle name="Currency 3 2 2 4 4 2 3 3" xfId="19129"/>
    <cellStyle name="Currency 3 2 2 4 4 2 4" xfId="19130"/>
    <cellStyle name="Currency 3 2 2 4 4 2 5" xfId="19131"/>
    <cellStyle name="Currency 3 2 2 4 4 3" xfId="19132"/>
    <cellStyle name="Currency 3 2 2 4 4 3 2" xfId="19133"/>
    <cellStyle name="Currency 3 2 2 4 4 3 3" xfId="19134"/>
    <cellStyle name="Currency 3 2 2 4 4 4" xfId="19135"/>
    <cellStyle name="Currency 3 2 2 4 4 4 2" xfId="19136"/>
    <cellStyle name="Currency 3 2 2 4 4 4 3" xfId="19137"/>
    <cellStyle name="Currency 3 2 2 4 4 5" xfId="19138"/>
    <cellStyle name="Currency 3 2 2 4 4 6" xfId="19139"/>
    <cellStyle name="Currency 3 2 2 4 5" xfId="19140"/>
    <cellStyle name="Currency 3 2 2 4 5 2" xfId="19141"/>
    <cellStyle name="Currency 3 2 2 4 5 2 2" xfId="19142"/>
    <cellStyle name="Currency 3 2 2 4 5 2 2 2" xfId="19143"/>
    <cellStyle name="Currency 3 2 2 4 5 2 2 3" xfId="19144"/>
    <cellStyle name="Currency 3 2 2 4 5 2 3" xfId="19145"/>
    <cellStyle name="Currency 3 2 2 4 5 2 3 2" xfId="19146"/>
    <cellStyle name="Currency 3 2 2 4 5 2 3 3" xfId="19147"/>
    <cellStyle name="Currency 3 2 2 4 5 2 4" xfId="19148"/>
    <cellStyle name="Currency 3 2 2 4 5 2 5" xfId="19149"/>
    <cellStyle name="Currency 3 2 2 4 5 3" xfId="19150"/>
    <cellStyle name="Currency 3 2 2 4 5 3 2" xfId="19151"/>
    <cellStyle name="Currency 3 2 2 4 5 3 3" xfId="19152"/>
    <cellStyle name="Currency 3 2 2 4 5 4" xfId="19153"/>
    <cellStyle name="Currency 3 2 2 4 5 4 2" xfId="19154"/>
    <cellStyle name="Currency 3 2 2 4 5 4 3" xfId="19155"/>
    <cellStyle name="Currency 3 2 2 4 5 5" xfId="19156"/>
    <cellStyle name="Currency 3 2 2 4 5 6" xfId="19157"/>
    <cellStyle name="Currency 3 2 2 4 6" xfId="19158"/>
    <cellStyle name="Currency 3 2 2 4 6 2" xfId="19159"/>
    <cellStyle name="Currency 3 2 2 4 6 2 2" xfId="19160"/>
    <cellStyle name="Currency 3 2 2 4 6 2 3" xfId="19161"/>
    <cellStyle name="Currency 3 2 2 4 6 3" xfId="19162"/>
    <cellStyle name="Currency 3 2 2 4 6 3 2" xfId="19163"/>
    <cellStyle name="Currency 3 2 2 4 6 3 3" xfId="19164"/>
    <cellStyle name="Currency 3 2 2 4 6 4" xfId="19165"/>
    <cellStyle name="Currency 3 2 2 4 6 5" xfId="19166"/>
    <cellStyle name="Currency 3 2 2 4 7" xfId="19167"/>
    <cellStyle name="Currency 3 2 2 4 7 2" xfId="19168"/>
    <cellStyle name="Currency 3 2 2 4 7 3" xfId="19169"/>
    <cellStyle name="Currency 3 2 2 4 8" xfId="19170"/>
    <cellStyle name="Currency 3 2 2 4 8 2" xfId="19171"/>
    <cellStyle name="Currency 3 2 2 4 8 3" xfId="19172"/>
    <cellStyle name="Currency 3 2 2 4 9" xfId="19173"/>
    <cellStyle name="Currency 3 2 2 5" xfId="19174"/>
    <cellStyle name="Currency 3 2 2 5 2" xfId="19175"/>
    <cellStyle name="Currency 3 2 2 5 2 2" xfId="19176"/>
    <cellStyle name="Currency 3 2 2 5 2 2 2" xfId="19177"/>
    <cellStyle name="Currency 3 2 2 5 2 2 2 2" xfId="19178"/>
    <cellStyle name="Currency 3 2 2 5 2 2 2 2 2" xfId="19179"/>
    <cellStyle name="Currency 3 2 2 5 2 2 2 2 3" xfId="19180"/>
    <cellStyle name="Currency 3 2 2 5 2 2 2 3" xfId="19181"/>
    <cellStyle name="Currency 3 2 2 5 2 2 2 3 2" xfId="19182"/>
    <cellStyle name="Currency 3 2 2 5 2 2 2 3 3" xfId="19183"/>
    <cellStyle name="Currency 3 2 2 5 2 2 2 4" xfId="19184"/>
    <cellStyle name="Currency 3 2 2 5 2 2 2 5" xfId="19185"/>
    <cellStyle name="Currency 3 2 2 5 2 2 3" xfId="19186"/>
    <cellStyle name="Currency 3 2 2 5 2 2 3 2" xfId="19187"/>
    <cellStyle name="Currency 3 2 2 5 2 2 3 3" xfId="19188"/>
    <cellStyle name="Currency 3 2 2 5 2 2 4" xfId="19189"/>
    <cellStyle name="Currency 3 2 2 5 2 2 4 2" xfId="19190"/>
    <cellStyle name="Currency 3 2 2 5 2 2 4 3" xfId="19191"/>
    <cellStyle name="Currency 3 2 2 5 2 2 5" xfId="19192"/>
    <cellStyle name="Currency 3 2 2 5 2 2 6" xfId="19193"/>
    <cellStyle name="Currency 3 2 2 5 2 3" xfId="19194"/>
    <cellStyle name="Currency 3 2 2 5 2 3 2" xfId="19195"/>
    <cellStyle name="Currency 3 2 2 5 2 3 2 2" xfId="19196"/>
    <cellStyle name="Currency 3 2 2 5 2 3 2 2 2" xfId="19197"/>
    <cellStyle name="Currency 3 2 2 5 2 3 2 2 3" xfId="19198"/>
    <cellStyle name="Currency 3 2 2 5 2 3 2 3" xfId="19199"/>
    <cellStyle name="Currency 3 2 2 5 2 3 2 3 2" xfId="19200"/>
    <cellStyle name="Currency 3 2 2 5 2 3 2 3 3" xfId="19201"/>
    <cellStyle name="Currency 3 2 2 5 2 3 2 4" xfId="19202"/>
    <cellStyle name="Currency 3 2 2 5 2 3 2 5" xfId="19203"/>
    <cellStyle name="Currency 3 2 2 5 2 3 3" xfId="19204"/>
    <cellStyle name="Currency 3 2 2 5 2 3 3 2" xfId="19205"/>
    <cellStyle name="Currency 3 2 2 5 2 3 3 3" xfId="19206"/>
    <cellStyle name="Currency 3 2 2 5 2 3 4" xfId="19207"/>
    <cellStyle name="Currency 3 2 2 5 2 3 4 2" xfId="19208"/>
    <cellStyle name="Currency 3 2 2 5 2 3 4 3" xfId="19209"/>
    <cellStyle name="Currency 3 2 2 5 2 3 5" xfId="19210"/>
    <cellStyle name="Currency 3 2 2 5 2 3 6" xfId="19211"/>
    <cellStyle name="Currency 3 2 2 5 2 4" xfId="19212"/>
    <cellStyle name="Currency 3 2 2 5 2 4 2" xfId="19213"/>
    <cellStyle name="Currency 3 2 2 5 2 4 2 2" xfId="19214"/>
    <cellStyle name="Currency 3 2 2 5 2 4 2 3" xfId="19215"/>
    <cellStyle name="Currency 3 2 2 5 2 4 3" xfId="19216"/>
    <cellStyle name="Currency 3 2 2 5 2 4 3 2" xfId="19217"/>
    <cellStyle name="Currency 3 2 2 5 2 4 3 3" xfId="19218"/>
    <cellStyle name="Currency 3 2 2 5 2 4 4" xfId="19219"/>
    <cellStyle name="Currency 3 2 2 5 2 4 5" xfId="19220"/>
    <cellStyle name="Currency 3 2 2 5 2 5" xfId="19221"/>
    <cellStyle name="Currency 3 2 2 5 2 5 2" xfId="19222"/>
    <cellStyle name="Currency 3 2 2 5 2 5 3" xfId="19223"/>
    <cellStyle name="Currency 3 2 2 5 2 6" xfId="19224"/>
    <cellStyle name="Currency 3 2 2 5 2 6 2" xfId="19225"/>
    <cellStyle name="Currency 3 2 2 5 2 6 3" xfId="19226"/>
    <cellStyle name="Currency 3 2 2 5 2 7" xfId="19227"/>
    <cellStyle name="Currency 3 2 2 5 2 8" xfId="19228"/>
    <cellStyle name="Currency 3 2 2 5 3" xfId="19229"/>
    <cellStyle name="Currency 3 2 2 5 3 2" xfId="19230"/>
    <cellStyle name="Currency 3 2 2 5 3 2 2" xfId="19231"/>
    <cellStyle name="Currency 3 2 2 5 3 2 2 2" xfId="19232"/>
    <cellStyle name="Currency 3 2 2 5 3 2 2 3" xfId="19233"/>
    <cellStyle name="Currency 3 2 2 5 3 2 3" xfId="19234"/>
    <cellStyle name="Currency 3 2 2 5 3 2 3 2" xfId="19235"/>
    <cellStyle name="Currency 3 2 2 5 3 2 3 3" xfId="19236"/>
    <cellStyle name="Currency 3 2 2 5 3 2 4" xfId="19237"/>
    <cellStyle name="Currency 3 2 2 5 3 2 5" xfId="19238"/>
    <cellStyle name="Currency 3 2 2 5 3 3" xfId="19239"/>
    <cellStyle name="Currency 3 2 2 5 3 3 2" xfId="19240"/>
    <cellStyle name="Currency 3 2 2 5 3 3 3" xfId="19241"/>
    <cellStyle name="Currency 3 2 2 5 3 4" xfId="19242"/>
    <cellStyle name="Currency 3 2 2 5 3 4 2" xfId="19243"/>
    <cellStyle name="Currency 3 2 2 5 3 4 3" xfId="19244"/>
    <cellStyle name="Currency 3 2 2 5 3 5" xfId="19245"/>
    <cellStyle name="Currency 3 2 2 5 3 6" xfId="19246"/>
    <cellStyle name="Currency 3 2 2 5 4" xfId="19247"/>
    <cellStyle name="Currency 3 2 2 5 4 2" xfId="19248"/>
    <cellStyle name="Currency 3 2 2 5 4 2 2" xfId="19249"/>
    <cellStyle name="Currency 3 2 2 5 4 2 2 2" xfId="19250"/>
    <cellStyle name="Currency 3 2 2 5 4 2 2 3" xfId="19251"/>
    <cellStyle name="Currency 3 2 2 5 4 2 3" xfId="19252"/>
    <cellStyle name="Currency 3 2 2 5 4 2 3 2" xfId="19253"/>
    <cellStyle name="Currency 3 2 2 5 4 2 3 3" xfId="19254"/>
    <cellStyle name="Currency 3 2 2 5 4 2 4" xfId="19255"/>
    <cellStyle name="Currency 3 2 2 5 4 2 5" xfId="19256"/>
    <cellStyle name="Currency 3 2 2 5 4 3" xfId="19257"/>
    <cellStyle name="Currency 3 2 2 5 4 3 2" xfId="19258"/>
    <cellStyle name="Currency 3 2 2 5 4 3 3" xfId="19259"/>
    <cellStyle name="Currency 3 2 2 5 4 4" xfId="19260"/>
    <cellStyle name="Currency 3 2 2 5 4 4 2" xfId="19261"/>
    <cellStyle name="Currency 3 2 2 5 4 4 3" xfId="19262"/>
    <cellStyle name="Currency 3 2 2 5 4 5" xfId="19263"/>
    <cellStyle name="Currency 3 2 2 5 4 6" xfId="19264"/>
    <cellStyle name="Currency 3 2 2 5 5" xfId="19265"/>
    <cellStyle name="Currency 3 2 2 5 5 2" xfId="19266"/>
    <cellStyle name="Currency 3 2 2 5 5 2 2" xfId="19267"/>
    <cellStyle name="Currency 3 2 2 5 5 2 3" xfId="19268"/>
    <cellStyle name="Currency 3 2 2 5 5 3" xfId="19269"/>
    <cellStyle name="Currency 3 2 2 5 5 3 2" xfId="19270"/>
    <cellStyle name="Currency 3 2 2 5 5 3 3" xfId="19271"/>
    <cellStyle name="Currency 3 2 2 5 5 4" xfId="19272"/>
    <cellStyle name="Currency 3 2 2 5 5 5" xfId="19273"/>
    <cellStyle name="Currency 3 2 2 5 6" xfId="19274"/>
    <cellStyle name="Currency 3 2 2 5 6 2" xfId="19275"/>
    <cellStyle name="Currency 3 2 2 5 6 3" xfId="19276"/>
    <cellStyle name="Currency 3 2 2 5 7" xfId="19277"/>
    <cellStyle name="Currency 3 2 2 5 7 2" xfId="19278"/>
    <cellStyle name="Currency 3 2 2 5 7 3" xfId="19279"/>
    <cellStyle name="Currency 3 2 2 5 8" xfId="19280"/>
    <cellStyle name="Currency 3 2 2 5 9" xfId="19281"/>
    <cellStyle name="Currency 3 2 2 6" xfId="19282"/>
    <cellStyle name="Currency 3 2 2 6 2" xfId="19283"/>
    <cellStyle name="Currency 3 2 2 6 2 2" xfId="19284"/>
    <cellStyle name="Currency 3 2 2 6 2 2 2" xfId="19285"/>
    <cellStyle name="Currency 3 2 2 6 2 2 2 2" xfId="19286"/>
    <cellStyle name="Currency 3 2 2 6 2 2 2 3" xfId="19287"/>
    <cellStyle name="Currency 3 2 2 6 2 2 3" xfId="19288"/>
    <cellStyle name="Currency 3 2 2 6 2 2 3 2" xfId="19289"/>
    <cellStyle name="Currency 3 2 2 6 2 2 3 3" xfId="19290"/>
    <cellStyle name="Currency 3 2 2 6 2 2 4" xfId="19291"/>
    <cellStyle name="Currency 3 2 2 6 2 2 5" xfId="19292"/>
    <cellStyle name="Currency 3 2 2 6 2 3" xfId="19293"/>
    <cellStyle name="Currency 3 2 2 6 2 3 2" xfId="19294"/>
    <cellStyle name="Currency 3 2 2 6 2 3 3" xfId="19295"/>
    <cellStyle name="Currency 3 2 2 6 2 4" xfId="19296"/>
    <cellStyle name="Currency 3 2 2 6 2 4 2" xfId="19297"/>
    <cellStyle name="Currency 3 2 2 6 2 4 3" xfId="19298"/>
    <cellStyle name="Currency 3 2 2 6 2 5" xfId="19299"/>
    <cellStyle name="Currency 3 2 2 6 2 6" xfId="19300"/>
    <cellStyle name="Currency 3 2 2 6 3" xfId="19301"/>
    <cellStyle name="Currency 3 2 2 6 3 2" xfId="19302"/>
    <cellStyle name="Currency 3 2 2 6 3 2 2" xfId="19303"/>
    <cellStyle name="Currency 3 2 2 6 3 2 2 2" xfId="19304"/>
    <cellStyle name="Currency 3 2 2 6 3 2 2 3" xfId="19305"/>
    <cellStyle name="Currency 3 2 2 6 3 2 3" xfId="19306"/>
    <cellStyle name="Currency 3 2 2 6 3 2 3 2" xfId="19307"/>
    <cellStyle name="Currency 3 2 2 6 3 2 3 3" xfId="19308"/>
    <cellStyle name="Currency 3 2 2 6 3 2 4" xfId="19309"/>
    <cellStyle name="Currency 3 2 2 6 3 2 5" xfId="19310"/>
    <cellStyle name="Currency 3 2 2 6 3 3" xfId="19311"/>
    <cellStyle name="Currency 3 2 2 6 3 3 2" xfId="19312"/>
    <cellStyle name="Currency 3 2 2 6 3 3 3" xfId="19313"/>
    <cellStyle name="Currency 3 2 2 6 3 4" xfId="19314"/>
    <cellStyle name="Currency 3 2 2 6 3 4 2" xfId="19315"/>
    <cellStyle name="Currency 3 2 2 6 3 4 3" xfId="19316"/>
    <cellStyle name="Currency 3 2 2 6 3 5" xfId="19317"/>
    <cellStyle name="Currency 3 2 2 6 3 6" xfId="19318"/>
    <cellStyle name="Currency 3 2 2 6 4" xfId="19319"/>
    <cellStyle name="Currency 3 2 2 6 4 2" xfId="19320"/>
    <cellStyle name="Currency 3 2 2 6 4 2 2" xfId="19321"/>
    <cellStyle name="Currency 3 2 2 6 4 2 3" xfId="19322"/>
    <cellStyle name="Currency 3 2 2 6 4 3" xfId="19323"/>
    <cellStyle name="Currency 3 2 2 6 4 3 2" xfId="19324"/>
    <cellStyle name="Currency 3 2 2 6 4 3 3" xfId="19325"/>
    <cellStyle name="Currency 3 2 2 6 4 4" xfId="19326"/>
    <cellStyle name="Currency 3 2 2 6 4 5" xfId="19327"/>
    <cellStyle name="Currency 3 2 2 6 5" xfId="19328"/>
    <cellStyle name="Currency 3 2 2 6 5 2" xfId="19329"/>
    <cellStyle name="Currency 3 2 2 6 5 3" xfId="19330"/>
    <cellStyle name="Currency 3 2 2 6 6" xfId="19331"/>
    <cellStyle name="Currency 3 2 2 6 6 2" xfId="19332"/>
    <cellStyle name="Currency 3 2 2 6 6 3" xfId="19333"/>
    <cellStyle name="Currency 3 2 2 6 7" xfId="19334"/>
    <cellStyle name="Currency 3 2 2 6 8" xfId="19335"/>
    <cellStyle name="Currency 3 2 2 7" xfId="19336"/>
    <cellStyle name="Currency 3 2 2 7 2" xfId="19337"/>
    <cellStyle name="Currency 3 2 2 7 2 2" xfId="19338"/>
    <cellStyle name="Currency 3 2 2 7 2 2 2" xfId="19339"/>
    <cellStyle name="Currency 3 2 2 7 2 2 3" xfId="19340"/>
    <cellStyle name="Currency 3 2 2 7 2 3" xfId="19341"/>
    <cellStyle name="Currency 3 2 2 7 2 3 2" xfId="19342"/>
    <cellStyle name="Currency 3 2 2 7 2 3 3" xfId="19343"/>
    <cellStyle name="Currency 3 2 2 7 2 4" xfId="19344"/>
    <cellStyle name="Currency 3 2 2 7 2 5" xfId="19345"/>
    <cellStyle name="Currency 3 2 2 7 3" xfId="19346"/>
    <cellStyle name="Currency 3 2 2 7 3 2" xfId="19347"/>
    <cellStyle name="Currency 3 2 2 7 3 3" xfId="19348"/>
    <cellStyle name="Currency 3 2 2 7 4" xfId="19349"/>
    <cellStyle name="Currency 3 2 2 7 4 2" xfId="19350"/>
    <cellStyle name="Currency 3 2 2 7 4 3" xfId="19351"/>
    <cellStyle name="Currency 3 2 2 7 5" xfId="19352"/>
    <cellStyle name="Currency 3 2 2 7 6" xfId="19353"/>
    <cellStyle name="Currency 3 2 2 8" xfId="19354"/>
    <cellStyle name="Currency 3 2 2 8 2" xfId="19355"/>
    <cellStyle name="Currency 3 2 2 8 2 2" xfId="19356"/>
    <cellStyle name="Currency 3 2 2 8 2 2 2" xfId="19357"/>
    <cellStyle name="Currency 3 2 2 8 2 2 3" xfId="19358"/>
    <cellStyle name="Currency 3 2 2 8 2 3" xfId="19359"/>
    <cellStyle name="Currency 3 2 2 8 2 3 2" xfId="19360"/>
    <cellStyle name="Currency 3 2 2 8 2 3 3" xfId="19361"/>
    <cellStyle name="Currency 3 2 2 8 2 4" xfId="19362"/>
    <cellStyle name="Currency 3 2 2 8 2 5" xfId="19363"/>
    <cellStyle name="Currency 3 2 2 8 3" xfId="19364"/>
    <cellStyle name="Currency 3 2 2 8 3 2" xfId="19365"/>
    <cellStyle name="Currency 3 2 2 8 3 3" xfId="19366"/>
    <cellStyle name="Currency 3 2 2 8 4" xfId="19367"/>
    <cellStyle name="Currency 3 2 2 8 4 2" xfId="19368"/>
    <cellStyle name="Currency 3 2 2 8 4 3" xfId="19369"/>
    <cellStyle name="Currency 3 2 2 8 5" xfId="19370"/>
    <cellStyle name="Currency 3 2 2 8 6" xfId="19371"/>
    <cellStyle name="Currency 3 2 2 9" xfId="19372"/>
    <cellStyle name="Currency 3 2 2 9 2" xfId="19373"/>
    <cellStyle name="Currency 3 2 2 9 2 2" xfId="19374"/>
    <cellStyle name="Currency 3 2 2 9 2 3" xfId="19375"/>
    <cellStyle name="Currency 3 2 2 9 3" xfId="19376"/>
    <cellStyle name="Currency 3 2 2 9 3 2" xfId="19377"/>
    <cellStyle name="Currency 3 2 2 9 3 3" xfId="19378"/>
    <cellStyle name="Currency 3 2 2 9 4" xfId="19379"/>
    <cellStyle name="Currency 3 2 2 9 5" xfId="19380"/>
    <cellStyle name="Currency 3 2 3" xfId="19381"/>
    <cellStyle name="Currency 3 2 3 10" xfId="19382"/>
    <cellStyle name="Currency 3 2 3 10 2" xfId="19383"/>
    <cellStyle name="Currency 3 2 3 10 3" xfId="19384"/>
    <cellStyle name="Currency 3 2 3 11" xfId="19385"/>
    <cellStyle name="Currency 3 2 3 12" xfId="19386"/>
    <cellStyle name="Currency 3 2 3 2" xfId="19387"/>
    <cellStyle name="Currency 3 2 3 2 10" xfId="19388"/>
    <cellStyle name="Currency 3 2 3 2 2" xfId="19389"/>
    <cellStyle name="Currency 3 2 3 2 2 2" xfId="19390"/>
    <cellStyle name="Currency 3 2 3 2 2 2 2" xfId="19391"/>
    <cellStyle name="Currency 3 2 3 2 2 2 2 2" xfId="19392"/>
    <cellStyle name="Currency 3 2 3 2 2 2 2 2 2" xfId="19393"/>
    <cellStyle name="Currency 3 2 3 2 2 2 2 2 2 2" xfId="19394"/>
    <cellStyle name="Currency 3 2 3 2 2 2 2 2 2 3" xfId="19395"/>
    <cellStyle name="Currency 3 2 3 2 2 2 2 2 3" xfId="19396"/>
    <cellStyle name="Currency 3 2 3 2 2 2 2 2 3 2" xfId="19397"/>
    <cellStyle name="Currency 3 2 3 2 2 2 2 2 3 3" xfId="19398"/>
    <cellStyle name="Currency 3 2 3 2 2 2 2 2 4" xfId="19399"/>
    <cellStyle name="Currency 3 2 3 2 2 2 2 2 5" xfId="19400"/>
    <cellStyle name="Currency 3 2 3 2 2 2 2 3" xfId="19401"/>
    <cellStyle name="Currency 3 2 3 2 2 2 2 3 2" xfId="19402"/>
    <cellStyle name="Currency 3 2 3 2 2 2 2 3 3" xfId="19403"/>
    <cellStyle name="Currency 3 2 3 2 2 2 2 4" xfId="19404"/>
    <cellStyle name="Currency 3 2 3 2 2 2 2 4 2" xfId="19405"/>
    <cellStyle name="Currency 3 2 3 2 2 2 2 4 3" xfId="19406"/>
    <cellStyle name="Currency 3 2 3 2 2 2 2 5" xfId="19407"/>
    <cellStyle name="Currency 3 2 3 2 2 2 2 6" xfId="19408"/>
    <cellStyle name="Currency 3 2 3 2 2 2 3" xfId="19409"/>
    <cellStyle name="Currency 3 2 3 2 2 2 3 2" xfId="19410"/>
    <cellStyle name="Currency 3 2 3 2 2 2 3 2 2" xfId="19411"/>
    <cellStyle name="Currency 3 2 3 2 2 2 3 2 2 2" xfId="19412"/>
    <cellStyle name="Currency 3 2 3 2 2 2 3 2 2 3" xfId="19413"/>
    <cellStyle name="Currency 3 2 3 2 2 2 3 2 3" xfId="19414"/>
    <cellStyle name="Currency 3 2 3 2 2 2 3 2 3 2" xfId="19415"/>
    <cellStyle name="Currency 3 2 3 2 2 2 3 2 3 3" xfId="19416"/>
    <cellStyle name="Currency 3 2 3 2 2 2 3 2 4" xfId="19417"/>
    <cellStyle name="Currency 3 2 3 2 2 2 3 2 5" xfId="19418"/>
    <cellStyle name="Currency 3 2 3 2 2 2 3 3" xfId="19419"/>
    <cellStyle name="Currency 3 2 3 2 2 2 3 3 2" xfId="19420"/>
    <cellStyle name="Currency 3 2 3 2 2 2 3 3 3" xfId="19421"/>
    <cellStyle name="Currency 3 2 3 2 2 2 3 4" xfId="19422"/>
    <cellStyle name="Currency 3 2 3 2 2 2 3 4 2" xfId="19423"/>
    <cellStyle name="Currency 3 2 3 2 2 2 3 4 3" xfId="19424"/>
    <cellStyle name="Currency 3 2 3 2 2 2 3 5" xfId="19425"/>
    <cellStyle name="Currency 3 2 3 2 2 2 3 6" xfId="19426"/>
    <cellStyle name="Currency 3 2 3 2 2 2 4" xfId="19427"/>
    <cellStyle name="Currency 3 2 3 2 2 2 4 2" xfId="19428"/>
    <cellStyle name="Currency 3 2 3 2 2 2 4 2 2" xfId="19429"/>
    <cellStyle name="Currency 3 2 3 2 2 2 4 2 3" xfId="19430"/>
    <cellStyle name="Currency 3 2 3 2 2 2 4 3" xfId="19431"/>
    <cellStyle name="Currency 3 2 3 2 2 2 4 3 2" xfId="19432"/>
    <cellStyle name="Currency 3 2 3 2 2 2 4 3 3" xfId="19433"/>
    <cellStyle name="Currency 3 2 3 2 2 2 4 4" xfId="19434"/>
    <cellStyle name="Currency 3 2 3 2 2 2 4 5" xfId="19435"/>
    <cellStyle name="Currency 3 2 3 2 2 2 5" xfId="19436"/>
    <cellStyle name="Currency 3 2 3 2 2 2 5 2" xfId="19437"/>
    <cellStyle name="Currency 3 2 3 2 2 2 5 3" xfId="19438"/>
    <cellStyle name="Currency 3 2 3 2 2 2 6" xfId="19439"/>
    <cellStyle name="Currency 3 2 3 2 2 2 6 2" xfId="19440"/>
    <cellStyle name="Currency 3 2 3 2 2 2 6 3" xfId="19441"/>
    <cellStyle name="Currency 3 2 3 2 2 2 7" xfId="19442"/>
    <cellStyle name="Currency 3 2 3 2 2 2 8" xfId="19443"/>
    <cellStyle name="Currency 3 2 3 2 2 3" xfId="19444"/>
    <cellStyle name="Currency 3 2 3 2 2 3 2" xfId="19445"/>
    <cellStyle name="Currency 3 2 3 2 2 3 2 2" xfId="19446"/>
    <cellStyle name="Currency 3 2 3 2 2 3 2 2 2" xfId="19447"/>
    <cellStyle name="Currency 3 2 3 2 2 3 2 2 3" xfId="19448"/>
    <cellStyle name="Currency 3 2 3 2 2 3 2 3" xfId="19449"/>
    <cellStyle name="Currency 3 2 3 2 2 3 2 3 2" xfId="19450"/>
    <cellStyle name="Currency 3 2 3 2 2 3 2 3 3" xfId="19451"/>
    <cellStyle name="Currency 3 2 3 2 2 3 2 4" xfId="19452"/>
    <cellStyle name="Currency 3 2 3 2 2 3 2 5" xfId="19453"/>
    <cellStyle name="Currency 3 2 3 2 2 3 3" xfId="19454"/>
    <cellStyle name="Currency 3 2 3 2 2 3 3 2" xfId="19455"/>
    <cellStyle name="Currency 3 2 3 2 2 3 3 3" xfId="19456"/>
    <cellStyle name="Currency 3 2 3 2 2 3 4" xfId="19457"/>
    <cellStyle name="Currency 3 2 3 2 2 3 4 2" xfId="19458"/>
    <cellStyle name="Currency 3 2 3 2 2 3 4 3" xfId="19459"/>
    <cellStyle name="Currency 3 2 3 2 2 3 5" xfId="19460"/>
    <cellStyle name="Currency 3 2 3 2 2 3 6" xfId="19461"/>
    <cellStyle name="Currency 3 2 3 2 2 4" xfId="19462"/>
    <cellStyle name="Currency 3 2 3 2 2 4 2" xfId="19463"/>
    <cellStyle name="Currency 3 2 3 2 2 4 2 2" xfId="19464"/>
    <cellStyle name="Currency 3 2 3 2 2 4 2 2 2" xfId="19465"/>
    <cellStyle name="Currency 3 2 3 2 2 4 2 2 3" xfId="19466"/>
    <cellStyle name="Currency 3 2 3 2 2 4 2 3" xfId="19467"/>
    <cellStyle name="Currency 3 2 3 2 2 4 2 3 2" xfId="19468"/>
    <cellStyle name="Currency 3 2 3 2 2 4 2 3 3" xfId="19469"/>
    <cellStyle name="Currency 3 2 3 2 2 4 2 4" xfId="19470"/>
    <cellStyle name="Currency 3 2 3 2 2 4 2 5" xfId="19471"/>
    <cellStyle name="Currency 3 2 3 2 2 4 3" xfId="19472"/>
    <cellStyle name="Currency 3 2 3 2 2 4 3 2" xfId="19473"/>
    <cellStyle name="Currency 3 2 3 2 2 4 3 3" xfId="19474"/>
    <cellStyle name="Currency 3 2 3 2 2 4 4" xfId="19475"/>
    <cellStyle name="Currency 3 2 3 2 2 4 4 2" xfId="19476"/>
    <cellStyle name="Currency 3 2 3 2 2 4 4 3" xfId="19477"/>
    <cellStyle name="Currency 3 2 3 2 2 4 5" xfId="19478"/>
    <cellStyle name="Currency 3 2 3 2 2 4 6" xfId="19479"/>
    <cellStyle name="Currency 3 2 3 2 2 5" xfId="19480"/>
    <cellStyle name="Currency 3 2 3 2 2 5 2" xfId="19481"/>
    <cellStyle name="Currency 3 2 3 2 2 5 2 2" xfId="19482"/>
    <cellStyle name="Currency 3 2 3 2 2 5 2 3" xfId="19483"/>
    <cellStyle name="Currency 3 2 3 2 2 5 3" xfId="19484"/>
    <cellStyle name="Currency 3 2 3 2 2 5 3 2" xfId="19485"/>
    <cellStyle name="Currency 3 2 3 2 2 5 3 3" xfId="19486"/>
    <cellStyle name="Currency 3 2 3 2 2 5 4" xfId="19487"/>
    <cellStyle name="Currency 3 2 3 2 2 5 5" xfId="19488"/>
    <cellStyle name="Currency 3 2 3 2 2 6" xfId="19489"/>
    <cellStyle name="Currency 3 2 3 2 2 6 2" xfId="19490"/>
    <cellStyle name="Currency 3 2 3 2 2 6 3" xfId="19491"/>
    <cellStyle name="Currency 3 2 3 2 2 7" xfId="19492"/>
    <cellStyle name="Currency 3 2 3 2 2 7 2" xfId="19493"/>
    <cellStyle name="Currency 3 2 3 2 2 7 3" xfId="19494"/>
    <cellStyle name="Currency 3 2 3 2 2 8" xfId="19495"/>
    <cellStyle name="Currency 3 2 3 2 2 9" xfId="19496"/>
    <cellStyle name="Currency 3 2 3 2 3" xfId="19497"/>
    <cellStyle name="Currency 3 2 3 2 3 2" xfId="19498"/>
    <cellStyle name="Currency 3 2 3 2 3 2 2" xfId="19499"/>
    <cellStyle name="Currency 3 2 3 2 3 2 2 2" xfId="19500"/>
    <cellStyle name="Currency 3 2 3 2 3 2 2 2 2" xfId="19501"/>
    <cellStyle name="Currency 3 2 3 2 3 2 2 2 3" xfId="19502"/>
    <cellStyle name="Currency 3 2 3 2 3 2 2 3" xfId="19503"/>
    <cellStyle name="Currency 3 2 3 2 3 2 2 3 2" xfId="19504"/>
    <cellStyle name="Currency 3 2 3 2 3 2 2 3 3" xfId="19505"/>
    <cellStyle name="Currency 3 2 3 2 3 2 2 4" xfId="19506"/>
    <cellStyle name="Currency 3 2 3 2 3 2 2 5" xfId="19507"/>
    <cellStyle name="Currency 3 2 3 2 3 2 3" xfId="19508"/>
    <cellStyle name="Currency 3 2 3 2 3 2 3 2" xfId="19509"/>
    <cellStyle name="Currency 3 2 3 2 3 2 3 3" xfId="19510"/>
    <cellStyle name="Currency 3 2 3 2 3 2 4" xfId="19511"/>
    <cellStyle name="Currency 3 2 3 2 3 2 4 2" xfId="19512"/>
    <cellStyle name="Currency 3 2 3 2 3 2 4 3" xfId="19513"/>
    <cellStyle name="Currency 3 2 3 2 3 2 5" xfId="19514"/>
    <cellStyle name="Currency 3 2 3 2 3 2 6" xfId="19515"/>
    <cellStyle name="Currency 3 2 3 2 3 3" xfId="19516"/>
    <cellStyle name="Currency 3 2 3 2 3 3 2" xfId="19517"/>
    <cellStyle name="Currency 3 2 3 2 3 3 2 2" xfId="19518"/>
    <cellStyle name="Currency 3 2 3 2 3 3 2 2 2" xfId="19519"/>
    <cellStyle name="Currency 3 2 3 2 3 3 2 2 3" xfId="19520"/>
    <cellStyle name="Currency 3 2 3 2 3 3 2 3" xfId="19521"/>
    <cellStyle name="Currency 3 2 3 2 3 3 2 3 2" xfId="19522"/>
    <cellStyle name="Currency 3 2 3 2 3 3 2 3 3" xfId="19523"/>
    <cellStyle name="Currency 3 2 3 2 3 3 2 4" xfId="19524"/>
    <cellStyle name="Currency 3 2 3 2 3 3 2 5" xfId="19525"/>
    <cellStyle name="Currency 3 2 3 2 3 3 3" xfId="19526"/>
    <cellStyle name="Currency 3 2 3 2 3 3 3 2" xfId="19527"/>
    <cellStyle name="Currency 3 2 3 2 3 3 3 3" xfId="19528"/>
    <cellStyle name="Currency 3 2 3 2 3 3 4" xfId="19529"/>
    <cellStyle name="Currency 3 2 3 2 3 3 4 2" xfId="19530"/>
    <cellStyle name="Currency 3 2 3 2 3 3 4 3" xfId="19531"/>
    <cellStyle name="Currency 3 2 3 2 3 3 5" xfId="19532"/>
    <cellStyle name="Currency 3 2 3 2 3 3 6" xfId="19533"/>
    <cellStyle name="Currency 3 2 3 2 3 4" xfId="19534"/>
    <cellStyle name="Currency 3 2 3 2 3 4 2" xfId="19535"/>
    <cellStyle name="Currency 3 2 3 2 3 4 2 2" xfId="19536"/>
    <cellStyle name="Currency 3 2 3 2 3 4 2 3" xfId="19537"/>
    <cellStyle name="Currency 3 2 3 2 3 4 3" xfId="19538"/>
    <cellStyle name="Currency 3 2 3 2 3 4 3 2" xfId="19539"/>
    <cellStyle name="Currency 3 2 3 2 3 4 3 3" xfId="19540"/>
    <cellStyle name="Currency 3 2 3 2 3 4 4" xfId="19541"/>
    <cellStyle name="Currency 3 2 3 2 3 4 5" xfId="19542"/>
    <cellStyle name="Currency 3 2 3 2 3 5" xfId="19543"/>
    <cellStyle name="Currency 3 2 3 2 3 5 2" xfId="19544"/>
    <cellStyle name="Currency 3 2 3 2 3 5 3" xfId="19545"/>
    <cellStyle name="Currency 3 2 3 2 3 6" xfId="19546"/>
    <cellStyle name="Currency 3 2 3 2 3 6 2" xfId="19547"/>
    <cellStyle name="Currency 3 2 3 2 3 6 3" xfId="19548"/>
    <cellStyle name="Currency 3 2 3 2 3 7" xfId="19549"/>
    <cellStyle name="Currency 3 2 3 2 3 8" xfId="19550"/>
    <cellStyle name="Currency 3 2 3 2 4" xfId="19551"/>
    <cellStyle name="Currency 3 2 3 2 4 2" xfId="19552"/>
    <cellStyle name="Currency 3 2 3 2 4 2 2" xfId="19553"/>
    <cellStyle name="Currency 3 2 3 2 4 2 2 2" xfId="19554"/>
    <cellStyle name="Currency 3 2 3 2 4 2 2 3" xfId="19555"/>
    <cellStyle name="Currency 3 2 3 2 4 2 3" xfId="19556"/>
    <cellStyle name="Currency 3 2 3 2 4 2 3 2" xfId="19557"/>
    <cellStyle name="Currency 3 2 3 2 4 2 3 3" xfId="19558"/>
    <cellStyle name="Currency 3 2 3 2 4 2 4" xfId="19559"/>
    <cellStyle name="Currency 3 2 3 2 4 2 5" xfId="19560"/>
    <cellStyle name="Currency 3 2 3 2 4 3" xfId="19561"/>
    <cellStyle name="Currency 3 2 3 2 4 3 2" xfId="19562"/>
    <cellStyle name="Currency 3 2 3 2 4 3 3" xfId="19563"/>
    <cellStyle name="Currency 3 2 3 2 4 4" xfId="19564"/>
    <cellStyle name="Currency 3 2 3 2 4 4 2" xfId="19565"/>
    <cellStyle name="Currency 3 2 3 2 4 4 3" xfId="19566"/>
    <cellStyle name="Currency 3 2 3 2 4 5" xfId="19567"/>
    <cellStyle name="Currency 3 2 3 2 4 6" xfId="19568"/>
    <cellStyle name="Currency 3 2 3 2 5" xfId="19569"/>
    <cellStyle name="Currency 3 2 3 2 5 2" xfId="19570"/>
    <cellStyle name="Currency 3 2 3 2 5 2 2" xfId="19571"/>
    <cellStyle name="Currency 3 2 3 2 5 2 2 2" xfId="19572"/>
    <cellStyle name="Currency 3 2 3 2 5 2 2 3" xfId="19573"/>
    <cellStyle name="Currency 3 2 3 2 5 2 3" xfId="19574"/>
    <cellStyle name="Currency 3 2 3 2 5 2 3 2" xfId="19575"/>
    <cellStyle name="Currency 3 2 3 2 5 2 3 3" xfId="19576"/>
    <cellStyle name="Currency 3 2 3 2 5 2 4" xfId="19577"/>
    <cellStyle name="Currency 3 2 3 2 5 2 5" xfId="19578"/>
    <cellStyle name="Currency 3 2 3 2 5 3" xfId="19579"/>
    <cellStyle name="Currency 3 2 3 2 5 3 2" xfId="19580"/>
    <cellStyle name="Currency 3 2 3 2 5 3 3" xfId="19581"/>
    <cellStyle name="Currency 3 2 3 2 5 4" xfId="19582"/>
    <cellStyle name="Currency 3 2 3 2 5 4 2" xfId="19583"/>
    <cellStyle name="Currency 3 2 3 2 5 4 3" xfId="19584"/>
    <cellStyle name="Currency 3 2 3 2 5 5" xfId="19585"/>
    <cellStyle name="Currency 3 2 3 2 5 6" xfId="19586"/>
    <cellStyle name="Currency 3 2 3 2 6" xfId="19587"/>
    <cellStyle name="Currency 3 2 3 2 6 2" xfId="19588"/>
    <cellStyle name="Currency 3 2 3 2 6 2 2" xfId="19589"/>
    <cellStyle name="Currency 3 2 3 2 6 2 3" xfId="19590"/>
    <cellStyle name="Currency 3 2 3 2 6 3" xfId="19591"/>
    <cellStyle name="Currency 3 2 3 2 6 3 2" xfId="19592"/>
    <cellStyle name="Currency 3 2 3 2 6 3 3" xfId="19593"/>
    <cellStyle name="Currency 3 2 3 2 6 4" xfId="19594"/>
    <cellStyle name="Currency 3 2 3 2 6 5" xfId="19595"/>
    <cellStyle name="Currency 3 2 3 2 7" xfId="19596"/>
    <cellStyle name="Currency 3 2 3 2 7 2" xfId="19597"/>
    <cellStyle name="Currency 3 2 3 2 7 3" xfId="19598"/>
    <cellStyle name="Currency 3 2 3 2 8" xfId="19599"/>
    <cellStyle name="Currency 3 2 3 2 8 2" xfId="19600"/>
    <cellStyle name="Currency 3 2 3 2 8 3" xfId="19601"/>
    <cellStyle name="Currency 3 2 3 2 9" xfId="19602"/>
    <cellStyle name="Currency 3 2 3 3" xfId="19603"/>
    <cellStyle name="Currency 3 2 3 3 10" xfId="19604"/>
    <cellStyle name="Currency 3 2 3 3 2" xfId="19605"/>
    <cellStyle name="Currency 3 2 3 3 2 2" xfId="19606"/>
    <cellStyle name="Currency 3 2 3 3 2 2 2" xfId="19607"/>
    <cellStyle name="Currency 3 2 3 3 2 2 2 2" xfId="19608"/>
    <cellStyle name="Currency 3 2 3 3 2 2 2 2 2" xfId="19609"/>
    <cellStyle name="Currency 3 2 3 3 2 2 2 2 2 2" xfId="19610"/>
    <cellStyle name="Currency 3 2 3 3 2 2 2 2 2 3" xfId="19611"/>
    <cellStyle name="Currency 3 2 3 3 2 2 2 2 3" xfId="19612"/>
    <cellStyle name="Currency 3 2 3 3 2 2 2 2 3 2" xfId="19613"/>
    <cellStyle name="Currency 3 2 3 3 2 2 2 2 3 3" xfId="19614"/>
    <cellStyle name="Currency 3 2 3 3 2 2 2 2 4" xfId="19615"/>
    <cellStyle name="Currency 3 2 3 3 2 2 2 2 5" xfId="19616"/>
    <cellStyle name="Currency 3 2 3 3 2 2 2 3" xfId="19617"/>
    <cellStyle name="Currency 3 2 3 3 2 2 2 3 2" xfId="19618"/>
    <cellStyle name="Currency 3 2 3 3 2 2 2 3 3" xfId="19619"/>
    <cellStyle name="Currency 3 2 3 3 2 2 2 4" xfId="19620"/>
    <cellStyle name="Currency 3 2 3 3 2 2 2 4 2" xfId="19621"/>
    <cellStyle name="Currency 3 2 3 3 2 2 2 4 3" xfId="19622"/>
    <cellStyle name="Currency 3 2 3 3 2 2 2 5" xfId="19623"/>
    <cellStyle name="Currency 3 2 3 3 2 2 2 6" xfId="19624"/>
    <cellStyle name="Currency 3 2 3 3 2 2 3" xfId="19625"/>
    <cellStyle name="Currency 3 2 3 3 2 2 3 2" xfId="19626"/>
    <cellStyle name="Currency 3 2 3 3 2 2 3 2 2" xfId="19627"/>
    <cellStyle name="Currency 3 2 3 3 2 2 3 2 2 2" xfId="19628"/>
    <cellStyle name="Currency 3 2 3 3 2 2 3 2 2 3" xfId="19629"/>
    <cellStyle name="Currency 3 2 3 3 2 2 3 2 3" xfId="19630"/>
    <cellStyle name="Currency 3 2 3 3 2 2 3 2 3 2" xfId="19631"/>
    <cellStyle name="Currency 3 2 3 3 2 2 3 2 3 3" xfId="19632"/>
    <cellStyle name="Currency 3 2 3 3 2 2 3 2 4" xfId="19633"/>
    <cellStyle name="Currency 3 2 3 3 2 2 3 2 5" xfId="19634"/>
    <cellStyle name="Currency 3 2 3 3 2 2 3 3" xfId="19635"/>
    <cellStyle name="Currency 3 2 3 3 2 2 3 3 2" xfId="19636"/>
    <cellStyle name="Currency 3 2 3 3 2 2 3 3 3" xfId="19637"/>
    <cellStyle name="Currency 3 2 3 3 2 2 3 4" xfId="19638"/>
    <cellStyle name="Currency 3 2 3 3 2 2 3 4 2" xfId="19639"/>
    <cellStyle name="Currency 3 2 3 3 2 2 3 4 3" xfId="19640"/>
    <cellStyle name="Currency 3 2 3 3 2 2 3 5" xfId="19641"/>
    <cellStyle name="Currency 3 2 3 3 2 2 3 6" xfId="19642"/>
    <cellStyle name="Currency 3 2 3 3 2 2 4" xfId="19643"/>
    <cellStyle name="Currency 3 2 3 3 2 2 4 2" xfId="19644"/>
    <cellStyle name="Currency 3 2 3 3 2 2 4 2 2" xfId="19645"/>
    <cellStyle name="Currency 3 2 3 3 2 2 4 2 3" xfId="19646"/>
    <cellStyle name="Currency 3 2 3 3 2 2 4 3" xfId="19647"/>
    <cellStyle name="Currency 3 2 3 3 2 2 4 3 2" xfId="19648"/>
    <cellStyle name="Currency 3 2 3 3 2 2 4 3 3" xfId="19649"/>
    <cellStyle name="Currency 3 2 3 3 2 2 4 4" xfId="19650"/>
    <cellStyle name="Currency 3 2 3 3 2 2 4 5" xfId="19651"/>
    <cellStyle name="Currency 3 2 3 3 2 2 5" xfId="19652"/>
    <cellStyle name="Currency 3 2 3 3 2 2 5 2" xfId="19653"/>
    <cellStyle name="Currency 3 2 3 3 2 2 5 3" xfId="19654"/>
    <cellStyle name="Currency 3 2 3 3 2 2 6" xfId="19655"/>
    <cellStyle name="Currency 3 2 3 3 2 2 6 2" xfId="19656"/>
    <cellStyle name="Currency 3 2 3 3 2 2 6 3" xfId="19657"/>
    <cellStyle name="Currency 3 2 3 3 2 2 7" xfId="19658"/>
    <cellStyle name="Currency 3 2 3 3 2 2 8" xfId="19659"/>
    <cellStyle name="Currency 3 2 3 3 2 3" xfId="19660"/>
    <cellStyle name="Currency 3 2 3 3 2 3 2" xfId="19661"/>
    <cellStyle name="Currency 3 2 3 3 2 3 2 2" xfId="19662"/>
    <cellStyle name="Currency 3 2 3 3 2 3 2 2 2" xfId="19663"/>
    <cellStyle name="Currency 3 2 3 3 2 3 2 2 3" xfId="19664"/>
    <cellStyle name="Currency 3 2 3 3 2 3 2 3" xfId="19665"/>
    <cellStyle name="Currency 3 2 3 3 2 3 2 3 2" xfId="19666"/>
    <cellStyle name="Currency 3 2 3 3 2 3 2 3 3" xfId="19667"/>
    <cellStyle name="Currency 3 2 3 3 2 3 2 4" xfId="19668"/>
    <cellStyle name="Currency 3 2 3 3 2 3 2 5" xfId="19669"/>
    <cellStyle name="Currency 3 2 3 3 2 3 3" xfId="19670"/>
    <cellStyle name="Currency 3 2 3 3 2 3 3 2" xfId="19671"/>
    <cellStyle name="Currency 3 2 3 3 2 3 3 3" xfId="19672"/>
    <cellStyle name="Currency 3 2 3 3 2 3 4" xfId="19673"/>
    <cellStyle name="Currency 3 2 3 3 2 3 4 2" xfId="19674"/>
    <cellStyle name="Currency 3 2 3 3 2 3 4 3" xfId="19675"/>
    <cellStyle name="Currency 3 2 3 3 2 3 5" xfId="19676"/>
    <cellStyle name="Currency 3 2 3 3 2 3 6" xfId="19677"/>
    <cellStyle name="Currency 3 2 3 3 2 4" xfId="19678"/>
    <cellStyle name="Currency 3 2 3 3 2 4 2" xfId="19679"/>
    <cellStyle name="Currency 3 2 3 3 2 4 2 2" xfId="19680"/>
    <cellStyle name="Currency 3 2 3 3 2 4 2 2 2" xfId="19681"/>
    <cellStyle name="Currency 3 2 3 3 2 4 2 2 3" xfId="19682"/>
    <cellStyle name="Currency 3 2 3 3 2 4 2 3" xfId="19683"/>
    <cellStyle name="Currency 3 2 3 3 2 4 2 3 2" xfId="19684"/>
    <cellStyle name="Currency 3 2 3 3 2 4 2 3 3" xfId="19685"/>
    <cellStyle name="Currency 3 2 3 3 2 4 2 4" xfId="19686"/>
    <cellStyle name="Currency 3 2 3 3 2 4 2 5" xfId="19687"/>
    <cellStyle name="Currency 3 2 3 3 2 4 3" xfId="19688"/>
    <cellStyle name="Currency 3 2 3 3 2 4 3 2" xfId="19689"/>
    <cellStyle name="Currency 3 2 3 3 2 4 3 3" xfId="19690"/>
    <cellStyle name="Currency 3 2 3 3 2 4 4" xfId="19691"/>
    <cellStyle name="Currency 3 2 3 3 2 4 4 2" xfId="19692"/>
    <cellStyle name="Currency 3 2 3 3 2 4 4 3" xfId="19693"/>
    <cellStyle name="Currency 3 2 3 3 2 4 5" xfId="19694"/>
    <cellStyle name="Currency 3 2 3 3 2 4 6" xfId="19695"/>
    <cellStyle name="Currency 3 2 3 3 2 5" xfId="19696"/>
    <cellStyle name="Currency 3 2 3 3 2 5 2" xfId="19697"/>
    <cellStyle name="Currency 3 2 3 3 2 5 2 2" xfId="19698"/>
    <cellStyle name="Currency 3 2 3 3 2 5 2 3" xfId="19699"/>
    <cellStyle name="Currency 3 2 3 3 2 5 3" xfId="19700"/>
    <cellStyle name="Currency 3 2 3 3 2 5 3 2" xfId="19701"/>
    <cellStyle name="Currency 3 2 3 3 2 5 3 3" xfId="19702"/>
    <cellStyle name="Currency 3 2 3 3 2 5 4" xfId="19703"/>
    <cellStyle name="Currency 3 2 3 3 2 5 5" xfId="19704"/>
    <cellStyle name="Currency 3 2 3 3 2 6" xfId="19705"/>
    <cellStyle name="Currency 3 2 3 3 2 6 2" xfId="19706"/>
    <cellStyle name="Currency 3 2 3 3 2 6 3" xfId="19707"/>
    <cellStyle name="Currency 3 2 3 3 2 7" xfId="19708"/>
    <cellStyle name="Currency 3 2 3 3 2 7 2" xfId="19709"/>
    <cellStyle name="Currency 3 2 3 3 2 7 3" xfId="19710"/>
    <cellStyle name="Currency 3 2 3 3 2 8" xfId="19711"/>
    <cellStyle name="Currency 3 2 3 3 2 9" xfId="19712"/>
    <cellStyle name="Currency 3 2 3 3 3" xfId="19713"/>
    <cellStyle name="Currency 3 2 3 3 3 2" xfId="19714"/>
    <cellStyle name="Currency 3 2 3 3 3 2 2" xfId="19715"/>
    <cellStyle name="Currency 3 2 3 3 3 2 2 2" xfId="19716"/>
    <cellStyle name="Currency 3 2 3 3 3 2 2 2 2" xfId="19717"/>
    <cellStyle name="Currency 3 2 3 3 3 2 2 2 3" xfId="19718"/>
    <cellStyle name="Currency 3 2 3 3 3 2 2 3" xfId="19719"/>
    <cellStyle name="Currency 3 2 3 3 3 2 2 3 2" xfId="19720"/>
    <cellStyle name="Currency 3 2 3 3 3 2 2 3 3" xfId="19721"/>
    <cellStyle name="Currency 3 2 3 3 3 2 2 4" xfId="19722"/>
    <cellStyle name="Currency 3 2 3 3 3 2 2 5" xfId="19723"/>
    <cellStyle name="Currency 3 2 3 3 3 2 3" xfId="19724"/>
    <cellStyle name="Currency 3 2 3 3 3 2 3 2" xfId="19725"/>
    <cellStyle name="Currency 3 2 3 3 3 2 3 3" xfId="19726"/>
    <cellStyle name="Currency 3 2 3 3 3 2 4" xfId="19727"/>
    <cellStyle name="Currency 3 2 3 3 3 2 4 2" xfId="19728"/>
    <cellStyle name="Currency 3 2 3 3 3 2 4 3" xfId="19729"/>
    <cellStyle name="Currency 3 2 3 3 3 2 5" xfId="19730"/>
    <cellStyle name="Currency 3 2 3 3 3 2 6" xfId="19731"/>
    <cellStyle name="Currency 3 2 3 3 3 3" xfId="19732"/>
    <cellStyle name="Currency 3 2 3 3 3 3 2" xfId="19733"/>
    <cellStyle name="Currency 3 2 3 3 3 3 2 2" xfId="19734"/>
    <cellStyle name="Currency 3 2 3 3 3 3 2 2 2" xfId="19735"/>
    <cellStyle name="Currency 3 2 3 3 3 3 2 2 3" xfId="19736"/>
    <cellStyle name="Currency 3 2 3 3 3 3 2 3" xfId="19737"/>
    <cellStyle name="Currency 3 2 3 3 3 3 2 3 2" xfId="19738"/>
    <cellStyle name="Currency 3 2 3 3 3 3 2 3 3" xfId="19739"/>
    <cellStyle name="Currency 3 2 3 3 3 3 2 4" xfId="19740"/>
    <cellStyle name="Currency 3 2 3 3 3 3 2 5" xfId="19741"/>
    <cellStyle name="Currency 3 2 3 3 3 3 3" xfId="19742"/>
    <cellStyle name="Currency 3 2 3 3 3 3 3 2" xfId="19743"/>
    <cellStyle name="Currency 3 2 3 3 3 3 3 3" xfId="19744"/>
    <cellStyle name="Currency 3 2 3 3 3 3 4" xfId="19745"/>
    <cellStyle name="Currency 3 2 3 3 3 3 4 2" xfId="19746"/>
    <cellStyle name="Currency 3 2 3 3 3 3 4 3" xfId="19747"/>
    <cellStyle name="Currency 3 2 3 3 3 3 5" xfId="19748"/>
    <cellStyle name="Currency 3 2 3 3 3 3 6" xfId="19749"/>
    <cellStyle name="Currency 3 2 3 3 3 4" xfId="19750"/>
    <cellStyle name="Currency 3 2 3 3 3 4 2" xfId="19751"/>
    <cellStyle name="Currency 3 2 3 3 3 4 2 2" xfId="19752"/>
    <cellStyle name="Currency 3 2 3 3 3 4 2 3" xfId="19753"/>
    <cellStyle name="Currency 3 2 3 3 3 4 3" xfId="19754"/>
    <cellStyle name="Currency 3 2 3 3 3 4 3 2" xfId="19755"/>
    <cellStyle name="Currency 3 2 3 3 3 4 3 3" xfId="19756"/>
    <cellStyle name="Currency 3 2 3 3 3 4 4" xfId="19757"/>
    <cellStyle name="Currency 3 2 3 3 3 4 5" xfId="19758"/>
    <cellStyle name="Currency 3 2 3 3 3 5" xfId="19759"/>
    <cellStyle name="Currency 3 2 3 3 3 5 2" xfId="19760"/>
    <cellStyle name="Currency 3 2 3 3 3 5 3" xfId="19761"/>
    <cellStyle name="Currency 3 2 3 3 3 6" xfId="19762"/>
    <cellStyle name="Currency 3 2 3 3 3 6 2" xfId="19763"/>
    <cellStyle name="Currency 3 2 3 3 3 6 3" xfId="19764"/>
    <cellStyle name="Currency 3 2 3 3 3 7" xfId="19765"/>
    <cellStyle name="Currency 3 2 3 3 3 8" xfId="19766"/>
    <cellStyle name="Currency 3 2 3 3 4" xfId="19767"/>
    <cellStyle name="Currency 3 2 3 3 4 2" xfId="19768"/>
    <cellStyle name="Currency 3 2 3 3 4 2 2" xfId="19769"/>
    <cellStyle name="Currency 3 2 3 3 4 2 2 2" xfId="19770"/>
    <cellStyle name="Currency 3 2 3 3 4 2 2 3" xfId="19771"/>
    <cellStyle name="Currency 3 2 3 3 4 2 3" xfId="19772"/>
    <cellStyle name="Currency 3 2 3 3 4 2 3 2" xfId="19773"/>
    <cellStyle name="Currency 3 2 3 3 4 2 3 3" xfId="19774"/>
    <cellStyle name="Currency 3 2 3 3 4 2 4" xfId="19775"/>
    <cellStyle name="Currency 3 2 3 3 4 2 5" xfId="19776"/>
    <cellStyle name="Currency 3 2 3 3 4 3" xfId="19777"/>
    <cellStyle name="Currency 3 2 3 3 4 3 2" xfId="19778"/>
    <cellStyle name="Currency 3 2 3 3 4 3 3" xfId="19779"/>
    <cellStyle name="Currency 3 2 3 3 4 4" xfId="19780"/>
    <cellStyle name="Currency 3 2 3 3 4 4 2" xfId="19781"/>
    <cellStyle name="Currency 3 2 3 3 4 4 3" xfId="19782"/>
    <cellStyle name="Currency 3 2 3 3 4 5" xfId="19783"/>
    <cellStyle name="Currency 3 2 3 3 4 6" xfId="19784"/>
    <cellStyle name="Currency 3 2 3 3 5" xfId="19785"/>
    <cellStyle name="Currency 3 2 3 3 5 2" xfId="19786"/>
    <cellStyle name="Currency 3 2 3 3 5 2 2" xfId="19787"/>
    <cellStyle name="Currency 3 2 3 3 5 2 2 2" xfId="19788"/>
    <cellStyle name="Currency 3 2 3 3 5 2 2 3" xfId="19789"/>
    <cellStyle name="Currency 3 2 3 3 5 2 3" xfId="19790"/>
    <cellStyle name="Currency 3 2 3 3 5 2 3 2" xfId="19791"/>
    <cellStyle name="Currency 3 2 3 3 5 2 3 3" xfId="19792"/>
    <cellStyle name="Currency 3 2 3 3 5 2 4" xfId="19793"/>
    <cellStyle name="Currency 3 2 3 3 5 2 5" xfId="19794"/>
    <cellStyle name="Currency 3 2 3 3 5 3" xfId="19795"/>
    <cellStyle name="Currency 3 2 3 3 5 3 2" xfId="19796"/>
    <cellStyle name="Currency 3 2 3 3 5 3 3" xfId="19797"/>
    <cellStyle name="Currency 3 2 3 3 5 4" xfId="19798"/>
    <cellStyle name="Currency 3 2 3 3 5 4 2" xfId="19799"/>
    <cellStyle name="Currency 3 2 3 3 5 4 3" xfId="19800"/>
    <cellStyle name="Currency 3 2 3 3 5 5" xfId="19801"/>
    <cellStyle name="Currency 3 2 3 3 5 6" xfId="19802"/>
    <cellStyle name="Currency 3 2 3 3 6" xfId="19803"/>
    <cellStyle name="Currency 3 2 3 3 6 2" xfId="19804"/>
    <cellStyle name="Currency 3 2 3 3 6 2 2" xfId="19805"/>
    <cellStyle name="Currency 3 2 3 3 6 2 3" xfId="19806"/>
    <cellStyle name="Currency 3 2 3 3 6 3" xfId="19807"/>
    <cellStyle name="Currency 3 2 3 3 6 3 2" xfId="19808"/>
    <cellStyle name="Currency 3 2 3 3 6 3 3" xfId="19809"/>
    <cellStyle name="Currency 3 2 3 3 6 4" xfId="19810"/>
    <cellStyle name="Currency 3 2 3 3 6 5" xfId="19811"/>
    <cellStyle name="Currency 3 2 3 3 7" xfId="19812"/>
    <cellStyle name="Currency 3 2 3 3 7 2" xfId="19813"/>
    <cellStyle name="Currency 3 2 3 3 7 3" xfId="19814"/>
    <cellStyle name="Currency 3 2 3 3 8" xfId="19815"/>
    <cellStyle name="Currency 3 2 3 3 8 2" xfId="19816"/>
    <cellStyle name="Currency 3 2 3 3 8 3" xfId="19817"/>
    <cellStyle name="Currency 3 2 3 3 9" xfId="19818"/>
    <cellStyle name="Currency 3 2 3 4" xfId="19819"/>
    <cellStyle name="Currency 3 2 3 4 2" xfId="19820"/>
    <cellStyle name="Currency 3 2 3 4 2 2" xfId="19821"/>
    <cellStyle name="Currency 3 2 3 4 2 2 2" xfId="19822"/>
    <cellStyle name="Currency 3 2 3 4 2 2 2 2" xfId="19823"/>
    <cellStyle name="Currency 3 2 3 4 2 2 2 2 2" xfId="19824"/>
    <cellStyle name="Currency 3 2 3 4 2 2 2 2 3" xfId="19825"/>
    <cellStyle name="Currency 3 2 3 4 2 2 2 3" xfId="19826"/>
    <cellStyle name="Currency 3 2 3 4 2 2 2 3 2" xfId="19827"/>
    <cellStyle name="Currency 3 2 3 4 2 2 2 3 3" xfId="19828"/>
    <cellStyle name="Currency 3 2 3 4 2 2 2 4" xfId="19829"/>
    <cellStyle name="Currency 3 2 3 4 2 2 2 5" xfId="19830"/>
    <cellStyle name="Currency 3 2 3 4 2 2 3" xfId="19831"/>
    <cellStyle name="Currency 3 2 3 4 2 2 3 2" xfId="19832"/>
    <cellStyle name="Currency 3 2 3 4 2 2 3 3" xfId="19833"/>
    <cellStyle name="Currency 3 2 3 4 2 2 4" xfId="19834"/>
    <cellStyle name="Currency 3 2 3 4 2 2 4 2" xfId="19835"/>
    <cellStyle name="Currency 3 2 3 4 2 2 4 3" xfId="19836"/>
    <cellStyle name="Currency 3 2 3 4 2 2 5" xfId="19837"/>
    <cellStyle name="Currency 3 2 3 4 2 2 6" xfId="19838"/>
    <cellStyle name="Currency 3 2 3 4 2 3" xfId="19839"/>
    <cellStyle name="Currency 3 2 3 4 2 3 2" xfId="19840"/>
    <cellStyle name="Currency 3 2 3 4 2 3 2 2" xfId="19841"/>
    <cellStyle name="Currency 3 2 3 4 2 3 2 2 2" xfId="19842"/>
    <cellStyle name="Currency 3 2 3 4 2 3 2 2 3" xfId="19843"/>
    <cellStyle name="Currency 3 2 3 4 2 3 2 3" xfId="19844"/>
    <cellStyle name="Currency 3 2 3 4 2 3 2 3 2" xfId="19845"/>
    <cellStyle name="Currency 3 2 3 4 2 3 2 3 3" xfId="19846"/>
    <cellStyle name="Currency 3 2 3 4 2 3 2 4" xfId="19847"/>
    <cellStyle name="Currency 3 2 3 4 2 3 2 5" xfId="19848"/>
    <cellStyle name="Currency 3 2 3 4 2 3 3" xfId="19849"/>
    <cellStyle name="Currency 3 2 3 4 2 3 3 2" xfId="19850"/>
    <cellStyle name="Currency 3 2 3 4 2 3 3 3" xfId="19851"/>
    <cellStyle name="Currency 3 2 3 4 2 3 4" xfId="19852"/>
    <cellStyle name="Currency 3 2 3 4 2 3 4 2" xfId="19853"/>
    <cellStyle name="Currency 3 2 3 4 2 3 4 3" xfId="19854"/>
    <cellStyle name="Currency 3 2 3 4 2 3 5" xfId="19855"/>
    <cellStyle name="Currency 3 2 3 4 2 3 6" xfId="19856"/>
    <cellStyle name="Currency 3 2 3 4 2 4" xfId="19857"/>
    <cellStyle name="Currency 3 2 3 4 2 4 2" xfId="19858"/>
    <cellStyle name="Currency 3 2 3 4 2 4 2 2" xfId="19859"/>
    <cellStyle name="Currency 3 2 3 4 2 4 2 3" xfId="19860"/>
    <cellStyle name="Currency 3 2 3 4 2 4 3" xfId="19861"/>
    <cellStyle name="Currency 3 2 3 4 2 4 3 2" xfId="19862"/>
    <cellStyle name="Currency 3 2 3 4 2 4 3 3" xfId="19863"/>
    <cellStyle name="Currency 3 2 3 4 2 4 4" xfId="19864"/>
    <cellStyle name="Currency 3 2 3 4 2 4 5" xfId="19865"/>
    <cellStyle name="Currency 3 2 3 4 2 5" xfId="19866"/>
    <cellStyle name="Currency 3 2 3 4 2 5 2" xfId="19867"/>
    <cellStyle name="Currency 3 2 3 4 2 5 3" xfId="19868"/>
    <cellStyle name="Currency 3 2 3 4 2 6" xfId="19869"/>
    <cellStyle name="Currency 3 2 3 4 2 6 2" xfId="19870"/>
    <cellStyle name="Currency 3 2 3 4 2 6 3" xfId="19871"/>
    <cellStyle name="Currency 3 2 3 4 2 7" xfId="19872"/>
    <cellStyle name="Currency 3 2 3 4 2 8" xfId="19873"/>
    <cellStyle name="Currency 3 2 3 4 3" xfId="19874"/>
    <cellStyle name="Currency 3 2 3 4 3 2" xfId="19875"/>
    <cellStyle name="Currency 3 2 3 4 3 2 2" xfId="19876"/>
    <cellStyle name="Currency 3 2 3 4 3 2 2 2" xfId="19877"/>
    <cellStyle name="Currency 3 2 3 4 3 2 2 3" xfId="19878"/>
    <cellStyle name="Currency 3 2 3 4 3 2 3" xfId="19879"/>
    <cellStyle name="Currency 3 2 3 4 3 2 3 2" xfId="19880"/>
    <cellStyle name="Currency 3 2 3 4 3 2 3 3" xfId="19881"/>
    <cellStyle name="Currency 3 2 3 4 3 2 4" xfId="19882"/>
    <cellStyle name="Currency 3 2 3 4 3 2 5" xfId="19883"/>
    <cellStyle name="Currency 3 2 3 4 3 3" xfId="19884"/>
    <cellStyle name="Currency 3 2 3 4 3 3 2" xfId="19885"/>
    <cellStyle name="Currency 3 2 3 4 3 3 3" xfId="19886"/>
    <cellStyle name="Currency 3 2 3 4 3 4" xfId="19887"/>
    <cellStyle name="Currency 3 2 3 4 3 4 2" xfId="19888"/>
    <cellStyle name="Currency 3 2 3 4 3 4 3" xfId="19889"/>
    <cellStyle name="Currency 3 2 3 4 3 5" xfId="19890"/>
    <cellStyle name="Currency 3 2 3 4 3 6" xfId="19891"/>
    <cellStyle name="Currency 3 2 3 4 4" xfId="19892"/>
    <cellStyle name="Currency 3 2 3 4 4 2" xfId="19893"/>
    <cellStyle name="Currency 3 2 3 4 4 2 2" xfId="19894"/>
    <cellStyle name="Currency 3 2 3 4 4 2 2 2" xfId="19895"/>
    <cellStyle name="Currency 3 2 3 4 4 2 2 3" xfId="19896"/>
    <cellStyle name="Currency 3 2 3 4 4 2 3" xfId="19897"/>
    <cellStyle name="Currency 3 2 3 4 4 2 3 2" xfId="19898"/>
    <cellStyle name="Currency 3 2 3 4 4 2 3 3" xfId="19899"/>
    <cellStyle name="Currency 3 2 3 4 4 2 4" xfId="19900"/>
    <cellStyle name="Currency 3 2 3 4 4 2 5" xfId="19901"/>
    <cellStyle name="Currency 3 2 3 4 4 3" xfId="19902"/>
    <cellStyle name="Currency 3 2 3 4 4 3 2" xfId="19903"/>
    <cellStyle name="Currency 3 2 3 4 4 3 3" xfId="19904"/>
    <cellStyle name="Currency 3 2 3 4 4 4" xfId="19905"/>
    <cellStyle name="Currency 3 2 3 4 4 4 2" xfId="19906"/>
    <cellStyle name="Currency 3 2 3 4 4 4 3" xfId="19907"/>
    <cellStyle name="Currency 3 2 3 4 4 5" xfId="19908"/>
    <cellStyle name="Currency 3 2 3 4 4 6" xfId="19909"/>
    <cellStyle name="Currency 3 2 3 4 5" xfId="19910"/>
    <cellStyle name="Currency 3 2 3 4 5 2" xfId="19911"/>
    <cellStyle name="Currency 3 2 3 4 5 2 2" xfId="19912"/>
    <cellStyle name="Currency 3 2 3 4 5 2 3" xfId="19913"/>
    <cellStyle name="Currency 3 2 3 4 5 3" xfId="19914"/>
    <cellStyle name="Currency 3 2 3 4 5 3 2" xfId="19915"/>
    <cellStyle name="Currency 3 2 3 4 5 3 3" xfId="19916"/>
    <cellStyle name="Currency 3 2 3 4 5 4" xfId="19917"/>
    <cellStyle name="Currency 3 2 3 4 5 5" xfId="19918"/>
    <cellStyle name="Currency 3 2 3 4 6" xfId="19919"/>
    <cellStyle name="Currency 3 2 3 4 6 2" xfId="19920"/>
    <cellStyle name="Currency 3 2 3 4 6 3" xfId="19921"/>
    <cellStyle name="Currency 3 2 3 4 7" xfId="19922"/>
    <cellStyle name="Currency 3 2 3 4 7 2" xfId="19923"/>
    <cellStyle name="Currency 3 2 3 4 7 3" xfId="19924"/>
    <cellStyle name="Currency 3 2 3 4 8" xfId="19925"/>
    <cellStyle name="Currency 3 2 3 4 9" xfId="19926"/>
    <cellStyle name="Currency 3 2 3 5" xfId="19927"/>
    <cellStyle name="Currency 3 2 3 5 2" xfId="19928"/>
    <cellStyle name="Currency 3 2 3 5 2 2" xfId="19929"/>
    <cellStyle name="Currency 3 2 3 5 2 2 2" xfId="19930"/>
    <cellStyle name="Currency 3 2 3 5 2 2 2 2" xfId="19931"/>
    <cellStyle name="Currency 3 2 3 5 2 2 2 3" xfId="19932"/>
    <cellStyle name="Currency 3 2 3 5 2 2 3" xfId="19933"/>
    <cellStyle name="Currency 3 2 3 5 2 2 3 2" xfId="19934"/>
    <cellStyle name="Currency 3 2 3 5 2 2 3 3" xfId="19935"/>
    <cellStyle name="Currency 3 2 3 5 2 2 4" xfId="19936"/>
    <cellStyle name="Currency 3 2 3 5 2 2 5" xfId="19937"/>
    <cellStyle name="Currency 3 2 3 5 2 3" xfId="19938"/>
    <cellStyle name="Currency 3 2 3 5 2 3 2" xfId="19939"/>
    <cellStyle name="Currency 3 2 3 5 2 3 3" xfId="19940"/>
    <cellStyle name="Currency 3 2 3 5 2 4" xfId="19941"/>
    <cellStyle name="Currency 3 2 3 5 2 4 2" xfId="19942"/>
    <cellStyle name="Currency 3 2 3 5 2 4 3" xfId="19943"/>
    <cellStyle name="Currency 3 2 3 5 2 5" xfId="19944"/>
    <cellStyle name="Currency 3 2 3 5 2 6" xfId="19945"/>
    <cellStyle name="Currency 3 2 3 5 3" xfId="19946"/>
    <cellStyle name="Currency 3 2 3 5 3 2" xfId="19947"/>
    <cellStyle name="Currency 3 2 3 5 3 2 2" xfId="19948"/>
    <cellStyle name="Currency 3 2 3 5 3 2 2 2" xfId="19949"/>
    <cellStyle name="Currency 3 2 3 5 3 2 2 3" xfId="19950"/>
    <cellStyle name="Currency 3 2 3 5 3 2 3" xfId="19951"/>
    <cellStyle name="Currency 3 2 3 5 3 2 3 2" xfId="19952"/>
    <cellStyle name="Currency 3 2 3 5 3 2 3 3" xfId="19953"/>
    <cellStyle name="Currency 3 2 3 5 3 2 4" xfId="19954"/>
    <cellStyle name="Currency 3 2 3 5 3 2 5" xfId="19955"/>
    <cellStyle name="Currency 3 2 3 5 3 3" xfId="19956"/>
    <cellStyle name="Currency 3 2 3 5 3 3 2" xfId="19957"/>
    <cellStyle name="Currency 3 2 3 5 3 3 3" xfId="19958"/>
    <cellStyle name="Currency 3 2 3 5 3 4" xfId="19959"/>
    <cellStyle name="Currency 3 2 3 5 3 4 2" xfId="19960"/>
    <cellStyle name="Currency 3 2 3 5 3 4 3" xfId="19961"/>
    <cellStyle name="Currency 3 2 3 5 3 5" xfId="19962"/>
    <cellStyle name="Currency 3 2 3 5 3 6" xfId="19963"/>
    <cellStyle name="Currency 3 2 3 5 4" xfId="19964"/>
    <cellStyle name="Currency 3 2 3 5 4 2" xfId="19965"/>
    <cellStyle name="Currency 3 2 3 5 4 2 2" xfId="19966"/>
    <cellStyle name="Currency 3 2 3 5 4 2 3" xfId="19967"/>
    <cellStyle name="Currency 3 2 3 5 4 3" xfId="19968"/>
    <cellStyle name="Currency 3 2 3 5 4 3 2" xfId="19969"/>
    <cellStyle name="Currency 3 2 3 5 4 3 3" xfId="19970"/>
    <cellStyle name="Currency 3 2 3 5 4 4" xfId="19971"/>
    <cellStyle name="Currency 3 2 3 5 4 5" xfId="19972"/>
    <cellStyle name="Currency 3 2 3 5 5" xfId="19973"/>
    <cellStyle name="Currency 3 2 3 5 5 2" xfId="19974"/>
    <cellStyle name="Currency 3 2 3 5 5 3" xfId="19975"/>
    <cellStyle name="Currency 3 2 3 5 6" xfId="19976"/>
    <cellStyle name="Currency 3 2 3 5 6 2" xfId="19977"/>
    <cellStyle name="Currency 3 2 3 5 6 3" xfId="19978"/>
    <cellStyle name="Currency 3 2 3 5 7" xfId="19979"/>
    <cellStyle name="Currency 3 2 3 5 8" xfId="19980"/>
    <cellStyle name="Currency 3 2 3 6" xfId="19981"/>
    <cellStyle name="Currency 3 2 3 6 2" xfId="19982"/>
    <cellStyle name="Currency 3 2 3 6 2 2" xfId="19983"/>
    <cellStyle name="Currency 3 2 3 6 2 2 2" xfId="19984"/>
    <cellStyle name="Currency 3 2 3 6 2 2 3" xfId="19985"/>
    <cellStyle name="Currency 3 2 3 6 2 3" xfId="19986"/>
    <cellStyle name="Currency 3 2 3 6 2 3 2" xfId="19987"/>
    <cellStyle name="Currency 3 2 3 6 2 3 3" xfId="19988"/>
    <cellStyle name="Currency 3 2 3 6 2 4" xfId="19989"/>
    <cellStyle name="Currency 3 2 3 6 2 5" xfId="19990"/>
    <cellStyle name="Currency 3 2 3 6 3" xfId="19991"/>
    <cellStyle name="Currency 3 2 3 6 3 2" xfId="19992"/>
    <cellStyle name="Currency 3 2 3 6 3 3" xfId="19993"/>
    <cellStyle name="Currency 3 2 3 6 4" xfId="19994"/>
    <cellStyle name="Currency 3 2 3 6 4 2" xfId="19995"/>
    <cellStyle name="Currency 3 2 3 6 4 3" xfId="19996"/>
    <cellStyle name="Currency 3 2 3 6 5" xfId="19997"/>
    <cellStyle name="Currency 3 2 3 6 6" xfId="19998"/>
    <cellStyle name="Currency 3 2 3 7" xfId="19999"/>
    <cellStyle name="Currency 3 2 3 7 2" xfId="20000"/>
    <cellStyle name="Currency 3 2 3 7 2 2" xfId="20001"/>
    <cellStyle name="Currency 3 2 3 7 2 2 2" xfId="20002"/>
    <cellStyle name="Currency 3 2 3 7 2 2 3" xfId="20003"/>
    <cellStyle name="Currency 3 2 3 7 2 3" xfId="20004"/>
    <cellStyle name="Currency 3 2 3 7 2 3 2" xfId="20005"/>
    <cellStyle name="Currency 3 2 3 7 2 3 3" xfId="20006"/>
    <cellStyle name="Currency 3 2 3 7 2 4" xfId="20007"/>
    <cellStyle name="Currency 3 2 3 7 2 5" xfId="20008"/>
    <cellStyle name="Currency 3 2 3 7 3" xfId="20009"/>
    <cellStyle name="Currency 3 2 3 7 3 2" xfId="20010"/>
    <cellStyle name="Currency 3 2 3 7 3 3" xfId="20011"/>
    <cellStyle name="Currency 3 2 3 7 4" xfId="20012"/>
    <cellStyle name="Currency 3 2 3 7 4 2" xfId="20013"/>
    <cellStyle name="Currency 3 2 3 7 4 3" xfId="20014"/>
    <cellStyle name="Currency 3 2 3 7 5" xfId="20015"/>
    <cellStyle name="Currency 3 2 3 7 6" xfId="20016"/>
    <cellStyle name="Currency 3 2 3 8" xfId="20017"/>
    <cellStyle name="Currency 3 2 3 8 2" xfId="20018"/>
    <cellStyle name="Currency 3 2 3 8 2 2" xfId="20019"/>
    <cellStyle name="Currency 3 2 3 8 2 3" xfId="20020"/>
    <cellStyle name="Currency 3 2 3 8 3" xfId="20021"/>
    <cellStyle name="Currency 3 2 3 8 3 2" xfId="20022"/>
    <cellStyle name="Currency 3 2 3 8 3 3" xfId="20023"/>
    <cellStyle name="Currency 3 2 3 8 4" xfId="20024"/>
    <cellStyle name="Currency 3 2 3 8 5" xfId="20025"/>
    <cellStyle name="Currency 3 2 3 9" xfId="20026"/>
    <cellStyle name="Currency 3 2 3 9 2" xfId="20027"/>
    <cellStyle name="Currency 3 2 3 9 3" xfId="20028"/>
    <cellStyle name="Currency 3 2 4" xfId="20029"/>
    <cellStyle name="Currency 3 2 4 10" xfId="20030"/>
    <cellStyle name="Currency 3 2 4 2" xfId="20031"/>
    <cellStyle name="Currency 3 2 4 2 2" xfId="20032"/>
    <cellStyle name="Currency 3 2 4 2 2 2" xfId="20033"/>
    <cellStyle name="Currency 3 2 4 2 2 2 2" xfId="20034"/>
    <cellStyle name="Currency 3 2 4 2 2 2 2 2" xfId="20035"/>
    <cellStyle name="Currency 3 2 4 2 2 2 2 2 2" xfId="20036"/>
    <cellStyle name="Currency 3 2 4 2 2 2 2 2 3" xfId="20037"/>
    <cellStyle name="Currency 3 2 4 2 2 2 2 3" xfId="20038"/>
    <cellStyle name="Currency 3 2 4 2 2 2 2 3 2" xfId="20039"/>
    <cellStyle name="Currency 3 2 4 2 2 2 2 3 3" xfId="20040"/>
    <cellStyle name="Currency 3 2 4 2 2 2 2 4" xfId="20041"/>
    <cellStyle name="Currency 3 2 4 2 2 2 2 5" xfId="20042"/>
    <cellStyle name="Currency 3 2 4 2 2 2 3" xfId="20043"/>
    <cellStyle name="Currency 3 2 4 2 2 2 3 2" xfId="20044"/>
    <cellStyle name="Currency 3 2 4 2 2 2 3 3" xfId="20045"/>
    <cellStyle name="Currency 3 2 4 2 2 2 4" xfId="20046"/>
    <cellStyle name="Currency 3 2 4 2 2 2 4 2" xfId="20047"/>
    <cellStyle name="Currency 3 2 4 2 2 2 4 3" xfId="20048"/>
    <cellStyle name="Currency 3 2 4 2 2 2 5" xfId="20049"/>
    <cellStyle name="Currency 3 2 4 2 2 2 6" xfId="20050"/>
    <cellStyle name="Currency 3 2 4 2 2 3" xfId="20051"/>
    <cellStyle name="Currency 3 2 4 2 2 3 2" xfId="20052"/>
    <cellStyle name="Currency 3 2 4 2 2 3 2 2" xfId="20053"/>
    <cellStyle name="Currency 3 2 4 2 2 3 2 2 2" xfId="20054"/>
    <cellStyle name="Currency 3 2 4 2 2 3 2 2 3" xfId="20055"/>
    <cellStyle name="Currency 3 2 4 2 2 3 2 3" xfId="20056"/>
    <cellStyle name="Currency 3 2 4 2 2 3 2 3 2" xfId="20057"/>
    <cellStyle name="Currency 3 2 4 2 2 3 2 3 3" xfId="20058"/>
    <cellStyle name="Currency 3 2 4 2 2 3 2 4" xfId="20059"/>
    <cellStyle name="Currency 3 2 4 2 2 3 2 5" xfId="20060"/>
    <cellStyle name="Currency 3 2 4 2 2 3 3" xfId="20061"/>
    <cellStyle name="Currency 3 2 4 2 2 3 3 2" xfId="20062"/>
    <cellStyle name="Currency 3 2 4 2 2 3 3 3" xfId="20063"/>
    <cellStyle name="Currency 3 2 4 2 2 3 4" xfId="20064"/>
    <cellStyle name="Currency 3 2 4 2 2 3 4 2" xfId="20065"/>
    <cellStyle name="Currency 3 2 4 2 2 3 4 3" xfId="20066"/>
    <cellStyle name="Currency 3 2 4 2 2 3 5" xfId="20067"/>
    <cellStyle name="Currency 3 2 4 2 2 3 6" xfId="20068"/>
    <cellStyle name="Currency 3 2 4 2 2 4" xfId="20069"/>
    <cellStyle name="Currency 3 2 4 2 2 4 2" xfId="20070"/>
    <cellStyle name="Currency 3 2 4 2 2 4 2 2" xfId="20071"/>
    <cellStyle name="Currency 3 2 4 2 2 4 2 3" xfId="20072"/>
    <cellStyle name="Currency 3 2 4 2 2 4 3" xfId="20073"/>
    <cellStyle name="Currency 3 2 4 2 2 4 3 2" xfId="20074"/>
    <cellStyle name="Currency 3 2 4 2 2 4 3 3" xfId="20075"/>
    <cellStyle name="Currency 3 2 4 2 2 4 4" xfId="20076"/>
    <cellStyle name="Currency 3 2 4 2 2 4 5" xfId="20077"/>
    <cellStyle name="Currency 3 2 4 2 2 5" xfId="20078"/>
    <cellStyle name="Currency 3 2 4 2 2 5 2" xfId="20079"/>
    <cellStyle name="Currency 3 2 4 2 2 5 3" xfId="20080"/>
    <cellStyle name="Currency 3 2 4 2 2 6" xfId="20081"/>
    <cellStyle name="Currency 3 2 4 2 2 6 2" xfId="20082"/>
    <cellStyle name="Currency 3 2 4 2 2 6 3" xfId="20083"/>
    <cellStyle name="Currency 3 2 4 2 2 7" xfId="20084"/>
    <cellStyle name="Currency 3 2 4 2 2 8" xfId="20085"/>
    <cellStyle name="Currency 3 2 4 2 3" xfId="20086"/>
    <cellStyle name="Currency 3 2 4 2 3 2" xfId="20087"/>
    <cellStyle name="Currency 3 2 4 2 3 2 2" xfId="20088"/>
    <cellStyle name="Currency 3 2 4 2 3 2 2 2" xfId="20089"/>
    <cellStyle name="Currency 3 2 4 2 3 2 2 3" xfId="20090"/>
    <cellStyle name="Currency 3 2 4 2 3 2 3" xfId="20091"/>
    <cellStyle name="Currency 3 2 4 2 3 2 3 2" xfId="20092"/>
    <cellStyle name="Currency 3 2 4 2 3 2 3 3" xfId="20093"/>
    <cellStyle name="Currency 3 2 4 2 3 2 4" xfId="20094"/>
    <cellStyle name="Currency 3 2 4 2 3 2 5" xfId="20095"/>
    <cellStyle name="Currency 3 2 4 2 3 3" xfId="20096"/>
    <cellStyle name="Currency 3 2 4 2 3 3 2" xfId="20097"/>
    <cellStyle name="Currency 3 2 4 2 3 3 3" xfId="20098"/>
    <cellStyle name="Currency 3 2 4 2 3 4" xfId="20099"/>
    <cellStyle name="Currency 3 2 4 2 3 4 2" xfId="20100"/>
    <cellStyle name="Currency 3 2 4 2 3 4 3" xfId="20101"/>
    <cellStyle name="Currency 3 2 4 2 3 5" xfId="20102"/>
    <cellStyle name="Currency 3 2 4 2 3 6" xfId="20103"/>
    <cellStyle name="Currency 3 2 4 2 4" xfId="20104"/>
    <cellStyle name="Currency 3 2 4 2 4 2" xfId="20105"/>
    <cellStyle name="Currency 3 2 4 2 4 2 2" xfId="20106"/>
    <cellStyle name="Currency 3 2 4 2 4 2 2 2" xfId="20107"/>
    <cellStyle name="Currency 3 2 4 2 4 2 2 3" xfId="20108"/>
    <cellStyle name="Currency 3 2 4 2 4 2 3" xfId="20109"/>
    <cellStyle name="Currency 3 2 4 2 4 2 3 2" xfId="20110"/>
    <cellStyle name="Currency 3 2 4 2 4 2 3 3" xfId="20111"/>
    <cellStyle name="Currency 3 2 4 2 4 2 4" xfId="20112"/>
    <cellStyle name="Currency 3 2 4 2 4 2 5" xfId="20113"/>
    <cellStyle name="Currency 3 2 4 2 4 3" xfId="20114"/>
    <cellStyle name="Currency 3 2 4 2 4 3 2" xfId="20115"/>
    <cellStyle name="Currency 3 2 4 2 4 3 3" xfId="20116"/>
    <cellStyle name="Currency 3 2 4 2 4 4" xfId="20117"/>
    <cellStyle name="Currency 3 2 4 2 4 4 2" xfId="20118"/>
    <cellStyle name="Currency 3 2 4 2 4 4 3" xfId="20119"/>
    <cellStyle name="Currency 3 2 4 2 4 5" xfId="20120"/>
    <cellStyle name="Currency 3 2 4 2 4 6" xfId="20121"/>
    <cellStyle name="Currency 3 2 4 2 5" xfId="20122"/>
    <cellStyle name="Currency 3 2 4 2 5 2" xfId="20123"/>
    <cellStyle name="Currency 3 2 4 2 5 2 2" xfId="20124"/>
    <cellStyle name="Currency 3 2 4 2 5 2 3" xfId="20125"/>
    <cellStyle name="Currency 3 2 4 2 5 3" xfId="20126"/>
    <cellStyle name="Currency 3 2 4 2 5 3 2" xfId="20127"/>
    <cellStyle name="Currency 3 2 4 2 5 3 3" xfId="20128"/>
    <cellStyle name="Currency 3 2 4 2 5 4" xfId="20129"/>
    <cellStyle name="Currency 3 2 4 2 5 5" xfId="20130"/>
    <cellStyle name="Currency 3 2 4 2 6" xfId="20131"/>
    <cellStyle name="Currency 3 2 4 2 6 2" xfId="20132"/>
    <cellStyle name="Currency 3 2 4 2 6 3" xfId="20133"/>
    <cellStyle name="Currency 3 2 4 2 7" xfId="20134"/>
    <cellStyle name="Currency 3 2 4 2 7 2" xfId="20135"/>
    <cellStyle name="Currency 3 2 4 2 7 3" xfId="20136"/>
    <cellStyle name="Currency 3 2 4 2 8" xfId="20137"/>
    <cellStyle name="Currency 3 2 4 2 9" xfId="20138"/>
    <cellStyle name="Currency 3 2 4 3" xfId="20139"/>
    <cellStyle name="Currency 3 2 4 3 2" xfId="20140"/>
    <cellStyle name="Currency 3 2 4 3 2 2" xfId="20141"/>
    <cellStyle name="Currency 3 2 4 3 2 2 2" xfId="20142"/>
    <cellStyle name="Currency 3 2 4 3 2 2 2 2" xfId="20143"/>
    <cellStyle name="Currency 3 2 4 3 2 2 2 3" xfId="20144"/>
    <cellStyle name="Currency 3 2 4 3 2 2 3" xfId="20145"/>
    <cellStyle name="Currency 3 2 4 3 2 2 3 2" xfId="20146"/>
    <cellStyle name="Currency 3 2 4 3 2 2 3 3" xfId="20147"/>
    <cellStyle name="Currency 3 2 4 3 2 2 4" xfId="20148"/>
    <cellStyle name="Currency 3 2 4 3 2 2 5" xfId="20149"/>
    <cellStyle name="Currency 3 2 4 3 2 3" xfId="20150"/>
    <cellStyle name="Currency 3 2 4 3 2 3 2" xfId="20151"/>
    <cellStyle name="Currency 3 2 4 3 2 3 3" xfId="20152"/>
    <cellStyle name="Currency 3 2 4 3 2 4" xfId="20153"/>
    <cellStyle name="Currency 3 2 4 3 2 4 2" xfId="20154"/>
    <cellStyle name="Currency 3 2 4 3 2 4 3" xfId="20155"/>
    <cellStyle name="Currency 3 2 4 3 2 5" xfId="20156"/>
    <cellStyle name="Currency 3 2 4 3 2 6" xfId="20157"/>
    <cellStyle name="Currency 3 2 4 3 3" xfId="20158"/>
    <cellStyle name="Currency 3 2 4 3 3 2" xfId="20159"/>
    <cellStyle name="Currency 3 2 4 3 3 2 2" xfId="20160"/>
    <cellStyle name="Currency 3 2 4 3 3 2 2 2" xfId="20161"/>
    <cellStyle name="Currency 3 2 4 3 3 2 2 3" xfId="20162"/>
    <cellStyle name="Currency 3 2 4 3 3 2 3" xfId="20163"/>
    <cellStyle name="Currency 3 2 4 3 3 2 3 2" xfId="20164"/>
    <cellStyle name="Currency 3 2 4 3 3 2 3 3" xfId="20165"/>
    <cellStyle name="Currency 3 2 4 3 3 2 4" xfId="20166"/>
    <cellStyle name="Currency 3 2 4 3 3 2 5" xfId="20167"/>
    <cellStyle name="Currency 3 2 4 3 3 3" xfId="20168"/>
    <cellStyle name="Currency 3 2 4 3 3 3 2" xfId="20169"/>
    <cellStyle name="Currency 3 2 4 3 3 3 3" xfId="20170"/>
    <cellStyle name="Currency 3 2 4 3 3 4" xfId="20171"/>
    <cellStyle name="Currency 3 2 4 3 3 4 2" xfId="20172"/>
    <cellStyle name="Currency 3 2 4 3 3 4 3" xfId="20173"/>
    <cellStyle name="Currency 3 2 4 3 3 5" xfId="20174"/>
    <cellStyle name="Currency 3 2 4 3 3 6" xfId="20175"/>
    <cellStyle name="Currency 3 2 4 3 4" xfId="20176"/>
    <cellStyle name="Currency 3 2 4 3 4 2" xfId="20177"/>
    <cellStyle name="Currency 3 2 4 3 4 2 2" xfId="20178"/>
    <cellStyle name="Currency 3 2 4 3 4 2 3" xfId="20179"/>
    <cellStyle name="Currency 3 2 4 3 4 3" xfId="20180"/>
    <cellStyle name="Currency 3 2 4 3 4 3 2" xfId="20181"/>
    <cellStyle name="Currency 3 2 4 3 4 3 3" xfId="20182"/>
    <cellStyle name="Currency 3 2 4 3 4 4" xfId="20183"/>
    <cellStyle name="Currency 3 2 4 3 4 5" xfId="20184"/>
    <cellStyle name="Currency 3 2 4 3 5" xfId="20185"/>
    <cellStyle name="Currency 3 2 4 3 5 2" xfId="20186"/>
    <cellStyle name="Currency 3 2 4 3 5 3" xfId="20187"/>
    <cellStyle name="Currency 3 2 4 3 6" xfId="20188"/>
    <cellStyle name="Currency 3 2 4 3 6 2" xfId="20189"/>
    <cellStyle name="Currency 3 2 4 3 6 3" xfId="20190"/>
    <cellStyle name="Currency 3 2 4 3 7" xfId="20191"/>
    <cellStyle name="Currency 3 2 4 3 8" xfId="20192"/>
    <cellStyle name="Currency 3 2 4 4" xfId="20193"/>
    <cellStyle name="Currency 3 2 4 4 2" xfId="20194"/>
    <cellStyle name="Currency 3 2 4 4 2 2" xfId="20195"/>
    <cellStyle name="Currency 3 2 4 4 2 2 2" xfId="20196"/>
    <cellStyle name="Currency 3 2 4 4 2 2 3" xfId="20197"/>
    <cellStyle name="Currency 3 2 4 4 2 3" xfId="20198"/>
    <cellStyle name="Currency 3 2 4 4 2 3 2" xfId="20199"/>
    <cellStyle name="Currency 3 2 4 4 2 3 3" xfId="20200"/>
    <cellStyle name="Currency 3 2 4 4 2 4" xfId="20201"/>
    <cellStyle name="Currency 3 2 4 4 2 5" xfId="20202"/>
    <cellStyle name="Currency 3 2 4 4 3" xfId="20203"/>
    <cellStyle name="Currency 3 2 4 4 3 2" xfId="20204"/>
    <cellStyle name="Currency 3 2 4 4 3 3" xfId="20205"/>
    <cellStyle name="Currency 3 2 4 4 4" xfId="20206"/>
    <cellStyle name="Currency 3 2 4 4 4 2" xfId="20207"/>
    <cellStyle name="Currency 3 2 4 4 4 3" xfId="20208"/>
    <cellStyle name="Currency 3 2 4 4 5" xfId="20209"/>
    <cellStyle name="Currency 3 2 4 4 6" xfId="20210"/>
    <cellStyle name="Currency 3 2 4 5" xfId="20211"/>
    <cellStyle name="Currency 3 2 4 5 2" xfId="20212"/>
    <cellStyle name="Currency 3 2 4 5 2 2" xfId="20213"/>
    <cellStyle name="Currency 3 2 4 5 2 2 2" xfId="20214"/>
    <cellStyle name="Currency 3 2 4 5 2 2 3" xfId="20215"/>
    <cellStyle name="Currency 3 2 4 5 2 3" xfId="20216"/>
    <cellStyle name="Currency 3 2 4 5 2 3 2" xfId="20217"/>
    <cellStyle name="Currency 3 2 4 5 2 3 3" xfId="20218"/>
    <cellStyle name="Currency 3 2 4 5 2 4" xfId="20219"/>
    <cellStyle name="Currency 3 2 4 5 2 5" xfId="20220"/>
    <cellStyle name="Currency 3 2 4 5 3" xfId="20221"/>
    <cellStyle name="Currency 3 2 4 5 3 2" xfId="20222"/>
    <cellStyle name="Currency 3 2 4 5 3 3" xfId="20223"/>
    <cellStyle name="Currency 3 2 4 5 4" xfId="20224"/>
    <cellStyle name="Currency 3 2 4 5 4 2" xfId="20225"/>
    <cellStyle name="Currency 3 2 4 5 4 3" xfId="20226"/>
    <cellStyle name="Currency 3 2 4 5 5" xfId="20227"/>
    <cellStyle name="Currency 3 2 4 5 6" xfId="20228"/>
    <cellStyle name="Currency 3 2 4 6" xfId="20229"/>
    <cellStyle name="Currency 3 2 4 6 2" xfId="20230"/>
    <cellStyle name="Currency 3 2 4 6 2 2" xfId="20231"/>
    <cellStyle name="Currency 3 2 4 6 2 3" xfId="20232"/>
    <cellStyle name="Currency 3 2 4 6 3" xfId="20233"/>
    <cellStyle name="Currency 3 2 4 6 3 2" xfId="20234"/>
    <cellStyle name="Currency 3 2 4 6 3 3" xfId="20235"/>
    <cellStyle name="Currency 3 2 4 6 4" xfId="20236"/>
    <cellStyle name="Currency 3 2 4 6 5" xfId="20237"/>
    <cellStyle name="Currency 3 2 4 7" xfId="20238"/>
    <cellStyle name="Currency 3 2 4 7 2" xfId="20239"/>
    <cellStyle name="Currency 3 2 4 7 3" xfId="20240"/>
    <cellStyle name="Currency 3 2 4 8" xfId="20241"/>
    <cellStyle name="Currency 3 2 4 8 2" xfId="20242"/>
    <cellStyle name="Currency 3 2 4 8 3" xfId="20243"/>
    <cellStyle name="Currency 3 2 4 9" xfId="20244"/>
    <cellStyle name="Currency 3 2 5" xfId="20245"/>
    <cellStyle name="Currency 3 2 5 10" xfId="20246"/>
    <cellStyle name="Currency 3 2 5 2" xfId="20247"/>
    <cellStyle name="Currency 3 2 5 2 2" xfId="20248"/>
    <cellStyle name="Currency 3 2 5 2 2 2" xfId="20249"/>
    <cellStyle name="Currency 3 2 5 2 2 2 2" xfId="20250"/>
    <cellStyle name="Currency 3 2 5 2 2 2 2 2" xfId="20251"/>
    <cellStyle name="Currency 3 2 5 2 2 2 2 2 2" xfId="20252"/>
    <cellStyle name="Currency 3 2 5 2 2 2 2 2 3" xfId="20253"/>
    <cellStyle name="Currency 3 2 5 2 2 2 2 3" xfId="20254"/>
    <cellStyle name="Currency 3 2 5 2 2 2 2 3 2" xfId="20255"/>
    <cellStyle name="Currency 3 2 5 2 2 2 2 3 3" xfId="20256"/>
    <cellStyle name="Currency 3 2 5 2 2 2 2 4" xfId="20257"/>
    <cellStyle name="Currency 3 2 5 2 2 2 2 5" xfId="20258"/>
    <cellStyle name="Currency 3 2 5 2 2 2 3" xfId="20259"/>
    <cellStyle name="Currency 3 2 5 2 2 2 3 2" xfId="20260"/>
    <cellStyle name="Currency 3 2 5 2 2 2 3 3" xfId="20261"/>
    <cellStyle name="Currency 3 2 5 2 2 2 4" xfId="20262"/>
    <cellStyle name="Currency 3 2 5 2 2 2 4 2" xfId="20263"/>
    <cellStyle name="Currency 3 2 5 2 2 2 4 3" xfId="20264"/>
    <cellStyle name="Currency 3 2 5 2 2 2 5" xfId="20265"/>
    <cellStyle name="Currency 3 2 5 2 2 2 6" xfId="20266"/>
    <cellStyle name="Currency 3 2 5 2 2 3" xfId="20267"/>
    <cellStyle name="Currency 3 2 5 2 2 3 2" xfId="20268"/>
    <cellStyle name="Currency 3 2 5 2 2 3 2 2" xfId="20269"/>
    <cellStyle name="Currency 3 2 5 2 2 3 2 2 2" xfId="20270"/>
    <cellStyle name="Currency 3 2 5 2 2 3 2 2 3" xfId="20271"/>
    <cellStyle name="Currency 3 2 5 2 2 3 2 3" xfId="20272"/>
    <cellStyle name="Currency 3 2 5 2 2 3 2 3 2" xfId="20273"/>
    <cellStyle name="Currency 3 2 5 2 2 3 2 3 3" xfId="20274"/>
    <cellStyle name="Currency 3 2 5 2 2 3 2 4" xfId="20275"/>
    <cellStyle name="Currency 3 2 5 2 2 3 2 5" xfId="20276"/>
    <cellStyle name="Currency 3 2 5 2 2 3 3" xfId="20277"/>
    <cellStyle name="Currency 3 2 5 2 2 3 3 2" xfId="20278"/>
    <cellStyle name="Currency 3 2 5 2 2 3 3 3" xfId="20279"/>
    <cellStyle name="Currency 3 2 5 2 2 3 4" xfId="20280"/>
    <cellStyle name="Currency 3 2 5 2 2 3 4 2" xfId="20281"/>
    <cellStyle name="Currency 3 2 5 2 2 3 4 3" xfId="20282"/>
    <cellStyle name="Currency 3 2 5 2 2 3 5" xfId="20283"/>
    <cellStyle name="Currency 3 2 5 2 2 3 6" xfId="20284"/>
    <cellStyle name="Currency 3 2 5 2 2 4" xfId="20285"/>
    <cellStyle name="Currency 3 2 5 2 2 4 2" xfId="20286"/>
    <cellStyle name="Currency 3 2 5 2 2 4 2 2" xfId="20287"/>
    <cellStyle name="Currency 3 2 5 2 2 4 2 3" xfId="20288"/>
    <cellStyle name="Currency 3 2 5 2 2 4 3" xfId="20289"/>
    <cellStyle name="Currency 3 2 5 2 2 4 3 2" xfId="20290"/>
    <cellStyle name="Currency 3 2 5 2 2 4 3 3" xfId="20291"/>
    <cellStyle name="Currency 3 2 5 2 2 4 4" xfId="20292"/>
    <cellStyle name="Currency 3 2 5 2 2 4 5" xfId="20293"/>
    <cellStyle name="Currency 3 2 5 2 2 5" xfId="20294"/>
    <cellStyle name="Currency 3 2 5 2 2 5 2" xfId="20295"/>
    <cellStyle name="Currency 3 2 5 2 2 5 3" xfId="20296"/>
    <cellStyle name="Currency 3 2 5 2 2 6" xfId="20297"/>
    <cellStyle name="Currency 3 2 5 2 2 6 2" xfId="20298"/>
    <cellStyle name="Currency 3 2 5 2 2 6 3" xfId="20299"/>
    <cellStyle name="Currency 3 2 5 2 2 7" xfId="20300"/>
    <cellStyle name="Currency 3 2 5 2 2 8" xfId="20301"/>
    <cellStyle name="Currency 3 2 5 2 3" xfId="20302"/>
    <cellStyle name="Currency 3 2 5 2 3 2" xfId="20303"/>
    <cellStyle name="Currency 3 2 5 2 3 2 2" xfId="20304"/>
    <cellStyle name="Currency 3 2 5 2 3 2 2 2" xfId="20305"/>
    <cellStyle name="Currency 3 2 5 2 3 2 2 3" xfId="20306"/>
    <cellStyle name="Currency 3 2 5 2 3 2 3" xfId="20307"/>
    <cellStyle name="Currency 3 2 5 2 3 2 3 2" xfId="20308"/>
    <cellStyle name="Currency 3 2 5 2 3 2 3 3" xfId="20309"/>
    <cellStyle name="Currency 3 2 5 2 3 2 4" xfId="20310"/>
    <cellStyle name="Currency 3 2 5 2 3 2 5" xfId="20311"/>
    <cellStyle name="Currency 3 2 5 2 3 3" xfId="20312"/>
    <cellStyle name="Currency 3 2 5 2 3 3 2" xfId="20313"/>
    <cellStyle name="Currency 3 2 5 2 3 3 3" xfId="20314"/>
    <cellStyle name="Currency 3 2 5 2 3 4" xfId="20315"/>
    <cellStyle name="Currency 3 2 5 2 3 4 2" xfId="20316"/>
    <cellStyle name="Currency 3 2 5 2 3 4 3" xfId="20317"/>
    <cellStyle name="Currency 3 2 5 2 3 5" xfId="20318"/>
    <cellStyle name="Currency 3 2 5 2 3 6" xfId="20319"/>
    <cellStyle name="Currency 3 2 5 2 4" xfId="20320"/>
    <cellStyle name="Currency 3 2 5 2 4 2" xfId="20321"/>
    <cellStyle name="Currency 3 2 5 2 4 2 2" xfId="20322"/>
    <cellStyle name="Currency 3 2 5 2 4 2 2 2" xfId="20323"/>
    <cellStyle name="Currency 3 2 5 2 4 2 2 3" xfId="20324"/>
    <cellStyle name="Currency 3 2 5 2 4 2 3" xfId="20325"/>
    <cellStyle name="Currency 3 2 5 2 4 2 3 2" xfId="20326"/>
    <cellStyle name="Currency 3 2 5 2 4 2 3 3" xfId="20327"/>
    <cellStyle name="Currency 3 2 5 2 4 2 4" xfId="20328"/>
    <cellStyle name="Currency 3 2 5 2 4 2 5" xfId="20329"/>
    <cellStyle name="Currency 3 2 5 2 4 3" xfId="20330"/>
    <cellStyle name="Currency 3 2 5 2 4 3 2" xfId="20331"/>
    <cellStyle name="Currency 3 2 5 2 4 3 3" xfId="20332"/>
    <cellStyle name="Currency 3 2 5 2 4 4" xfId="20333"/>
    <cellStyle name="Currency 3 2 5 2 4 4 2" xfId="20334"/>
    <cellStyle name="Currency 3 2 5 2 4 4 3" xfId="20335"/>
    <cellStyle name="Currency 3 2 5 2 4 5" xfId="20336"/>
    <cellStyle name="Currency 3 2 5 2 4 6" xfId="20337"/>
    <cellStyle name="Currency 3 2 5 2 5" xfId="20338"/>
    <cellStyle name="Currency 3 2 5 2 5 2" xfId="20339"/>
    <cellStyle name="Currency 3 2 5 2 5 2 2" xfId="20340"/>
    <cellStyle name="Currency 3 2 5 2 5 2 3" xfId="20341"/>
    <cellStyle name="Currency 3 2 5 2 5 3" xfId="20342"/>
    <cellStyle name="Currency 3 2 5 2 5 3 2" xfId="20343"/>
    <cellStyle name="Currency 3 2 5 2 5 3 3" xfId="20344"/>
    <cellStyle name="Currency 3 2 5 2 5 4" xfId="20345"/>
    <cellStyle name="Currency 3 2 5 2 5 5" xfId="20346"/>
    <cellStyle name="Currency 3 2 5 2 6" xfId="20347"/>
    <cellStyle name="Currency 3 2 5 2 6 2" xfId="20348"/>
    <cellStyle name="Currency 3 2 5 2 6 3" xfId="20349"/>
    <cellStyle name="Currency 3 2 5 2 7" xfId="20350"/>
    <cellStyle name="Currency 3 2 5 2 7 2" xfId="20351"/>
    <cellStyle name="Currency 3 2 5 2 7 3" xfId="20352"/>
    <cellStyle name="Currency 3 2 5 2 8" xfId="20353"/>
    <cellStyle name="Currency 3 2 5 2 9" xfId="20354"/>
    <cellStyle name="Currency 3 2 5 3" xfId="20355"/>
    <cellStyle name="Currency 3 2 5 3 2" xfId="20356"/>
    <cellStyle name="Currency 3 2 5 3 2 2" xfId="20357"/>
    <cellStyle name="Currency 3 2 5 3 2 2 2" xfId="20358"/>
    <cellStyle name="Currency 3 2 5 3 2 2 2 2" xfId="20359"/>
    <cellStyle name="Currency 3 2 5 3 2 2 2 3" xfId="20360"/>
    <cellStyle name="Currency 3 2 5 3 2 2 3" xfId="20361"/>
    <cellStyle name="Currency 3 2 5 3 2 2 3 2" xfId="20362"/>
    <cellStyle name="Currency 3 2 5 3 2 2 3 3" xfId="20363"/>
    <cellStyle name="Currency 3 2 5 3 2 2 4" xfId="20364"/>
    <cellStyle name="Currency 3 2 5 3 2 2 5" xfId="20365"/>
    <cellStyle name="Currency 3 2 5 3 2 3" xfId="20366"/>
    <cellStyle name="Currency 3 2 5 3 2 3 2" xfId="20367"/>
    <cellStyle name="Currency 3 2 5 3 2 3 3" xfId="20368"/>
    <cellStyle name="Currency 3 2 5 3 2 4" xfId="20369"/>
    <cellStyle name="Currency 3 2 5 3 2 4 2" xfId="20370"/>
    <cellStyle name="Currency 3 2 5 3 2 4 3" xfId="20371"/>
    <cellStyle name="Currency 3 2 5 3 2 5" xfId="20372"/>
    <cellStyle name="Currency 3 2 5 3 2 6" xfId="20373"/>
    <cellStyle name="Currency 3 2 5 3 3" xfId="20374"/>
    <cellStyle name="Currency 3 2 5 3 3 2" xfId="20375"/>
    <cellStyle name="Currency 3 2 5 3 3 2 2" xfId="20376"/>
    <cellStyle name="Currency 3 2 5 3 3 2 2 2" xfId="20377"/>
    <cellStyle name="Currency 3 2 5 3 3 2 2 3" xfId="20378"/>
    <cellStyle name="Currency 3 2 5 3 3 2 3" xfId="20379"/>
    <cellStyle name="Currency 3 2 5 3 3 2 3 2" xfId="20380"/>
    <cellStyle name="Currency 3 2 5 3 3 2 3 3" xfId="20381"/>
    <cellStyle name="Currency 3 2 5 3 3 2 4" xfId="20382"/>
    <cellStyle name="Currency 3 2 5 3 3 2 5" xfId="20383"/>
    <cellStyle name="Currency 3 2 5 3 3 3" xfId="20384"/>
    <cellStyle name="Currency 3 2 5 3 3 3 2" xfId="20385"/>
    <cellStyle name="Currency 3 2 5 3 3 3 3" xfId="20386"/>
    <cellStyle name="Currency 3 2 5 3 3 4" xfId="20387"/>
    <cellStyle name="Currency 3 2 5 3 3 4 2" xfId="20388"/>
    <cellStyle name="Currency 3 2 5 3 3 4 3" xfId="20389"/>
    <cellStyle name="Currency 3 2 5 3 3 5" xfId="20390"/>
    <cellStyle name="Currency 3 2 5 3 3 6" xfId="20391"/>
    <cellStyle name="Currency 3 2 5 3 4" xfId="20392"/>
    <cellStyle name="Currency 3 2 5 3 4 2" xfId="20393"/>
    <cellStyle name="Currency 3 2 5 3 4 2 2" xfId="20394"/>
    <cellStyle name="Currency 3 2 5 3 4 2 3" xfId="20395"/>
    <cellStyle name="Currency 3 2 5 3 4 3" xfId="20396"/>
    <cellStyle name="Currency 3 2 5 3 4 3 2" xfId="20397"/>
    <cellStyle name="Currency 3 2 5 3 4 3 3" xfId="20398"/>
    <cellStyle name="Currency 3 2 5 3 4 4" xfId="20399"/>
    <cellStyle name="Currency 3 2 5 3 4 5" xfId="20400"/>
    <cellStyle name="Currency 3 2 5 3 5" xfId="20401"/>
    <cellStyle name="Currency 3 2 5 3 5 2" xfId="20402"/>
    <cellStyle name="Currency 3 2 5 3 5 3" xfId="20403"/>
    <cellStyle name="Currency 3 2 5 3 6" xfId="20404"/>
    <cellStyle name="Currency 3 2 5 3 6 2" xfId="20405"/>
    <cellStyle name="Currency 3 2 5 3 6 3" xfId="20406"/>
    <cellStyle name="Currency 3 2 5 3 7" xfId="20407"/>
    <cellStyle name="Currency 3 2 5 3 8" xfId="20408"/>
    <cellStyle name="Currency 3 2 5 4" xfId="20409"/>
    <cellStyle name="Currency 3 2 5 4 2" xfId="20410"/>
    <cellStyle name="Currency 3 2 5 4 2 2" xfId="20411"/>
    <cellStyle name="Currency 3 2 5 4 2 2 2" xfId="20412"/>
    <cellStyle name="Currency 3 2 5 4 2 2 3" xfId="20413"/>
    <cellStyle name="Currency 3 2 5 4 2 3" xfId="20414"/>
    <cellStyle name="Currency 3 2 5 4 2 3 2" xfId="20415"/>
    <cellStyle name="Currency 3 2 5 4 2 3 3" xfId="20416"/>
    <cellStyle name="Currency 3 2 5 4 2 4" xfId="20417"/>
    <cellStyle name="Currency 3 2 5 4 2 5" xfId="20418"/>
    <cellStyle name="Currency 3 2 5 4 3" xfId="20419"/>
    <cellStyle name="Currency 3 2 5 4 3 2" xfId="20420"/>
    <cellStyle name="Currency 3 2 5 4 3 3" xfId="20421"/>
    <cellStyle name="Currency 3 2 5 4 4" xfId="20422"/>
    <cellStyle name="Currency 3 2 5 4 4 2" xfId="20423"/>
    <cellStyle name="Currency 3 2 5 4 4 3" xfId="20424"/>
    <cellStyle name="Currency 3 2 5 4 5" xfId="20425"/>
    <cellStyle name="Currency 3 2 5 4 6" xfId="20426"/>
    <cellStyle name="Currency 3 2 5 5" xfId="20427"/>
    <cellStyle name="Currency 3 2 5 5 2" xfId="20428"/>
    <cellStyle name="Currency 3 2 5 5 2 2" xfId="20429"/>
    <cellStyle name="Currency 3 2 5 5 2 2 2" xfId="20430"/>
    <cellStyle name="Currency 3 2 5 5 2 2 3" xfId="20431"/>
    <cellStyle name="Currency 3 2 5 5 2 3" xfId="20432"/>
    <cellStyle name="Currency 3 2 5 5 2 3 2" xfId="20433"/>
    <cellStyle name="Currency 3 2 5 5 2 3 3" xfId="20434"/>
    <cellStyle name="Currency 3 2 5 5 2 4" xfId="20435"/>
    <cellStyle name="Currency 3 2 5 5 2 5" xfId="20436"/>
    <cellStyle name="Currency 3 2 5 5 3" xfId="20437"/>
    <cellStyle name="Currency 3 2 5 5 3 2" xfId="20438"/>
    <cellStyle name="Currency 3 2 5 5 3 3" xfId="20439"/>
    <cellStyle name="Currency 3 2 5 5 4" xfId="20440"/>
    <cellStyle name="Currency 3 2 5 5 4 2" xfId="20441"/>
    <cellStyle name="Currency 3 2 5 5 4 3" xfId="20442"/>
    <cellStyle name="Currency 3 2 5 5 5" xfId="20443"/>
    <cellStyle name="Currency 3 2 5 5 6" xfId="20444"/>
    <cellStyle name="Currency 3 2 5 6" xfId="20445"/>
    <cellStyle name="Currency 3 2 5 6 2" xfId="20446"/>
    <cellStyle name="Currency 3 2 5 6 2 2" xfId="20447"/>
    <cellStyle name="Currency 3 2 5 6 2 3" xfId="20448"/>
    <cellStyle name="Currency 3 2 5 6 3" xfId="20449"/>
    <cellStyle name="Currency 3 2 5 6 3 2" xfId="20450"/>
    <cellStyle name="Currency 3 2 5 6 3 3" xfId="20451"/>
    <cellStyle name="Currency 3 2 5 6 4" xfId="20452"/>
    <cellStyle name="Currency 3 2 5 6 5" xfId="20453"/>
    <cellStyle name="Currency 3 2 5 7" xfId="20454"/>
    <cellStyle name="Currency 3 2 5 7 2" xfId="20455"/>
    <cellStyle name="Currency 3 2 5 7 3" xfId="20456"/>
    <cellStyle name="Currency 3 2 5 8" xfId="20457"/>
    <cellStyle name="Currency 3 2 5 8 2" xfId="20458"/>
    <cellStyle name="Currency 3 2 5 8 3" xfId="20459"/>
    <cellStyle name="Currency 3 2 5 9" xfId="20460"/>
    <cellStyle name="Currency 3 2 6" xfId="20461"/>
    <cellStyle name="Currency 3 2 6 2" xfId="20462"/>
    <cellStyle name="Currency 3 2 6 2 2" xfId="20463"/>
    <cellStyle name="Currency 3 2 6 2 2 2" xfId="20464"/>
    <cellStyle name="Currency 3 2 6 2 2 2 2" xfId="20465"/>
    <cellStyle name="Currency 3 2 6 2 2 2 2 2" xfId="20466"/>
    <cellStyle name="Currency 3 2 6 2 2 2 2 3" xfId="20467"/>
    <cellStyle name="Currency 3 2 6 2 2 2 3" xfId="20468"/>
    <cellStyle name="Currency 3 2 6 2 2 2 3 2" xfId="20469"/>
    <cellStyle name="Currency 3 2 6 2 2 2 3 3" xfId="20470"/>
    <cellStyle name="Currency 3 2 6 2 2 2 4" xfId="20471"/>
    <cellStyle name="Currency 3 2 6 2 2 2 5" xfId="20472"/>
    <cellStyle name="Currency 3 2 6 2 2 3" xfId="20473"/>
    <cellStyle name="Currency 3 2 6 2 2 3 2" xfId="20474"/>
    <cellStyle name="Currency 3 2 6 2 2 3 3" xfId="20475"/>
    <cellStyle name="Currency 3 2 6 2 2 4" xfId="20476"/>
    <cellStyle name="Currency 3 2 6 2 2 4 2" xfId="20477"/>
    <cellStyle name="Currency 3 2 6 2 2 4 3" xfId="20478"/>
    <cellStyle name="Currency 3 2 6 2 2 5" xfId="20479"/>
    <cellStyle name="Currency 3 2 6 2 2 6" xfId="20480"/>
    <cellStyle name="Currency 3 2 6 2 3" xfId="20481"/>
    <cellStyle name="Currency 3 2 6 2 3 2" xfId="20482"/>
    <cellStyle name="Currency 3 2 6 2 3 2 2" xfId="20483"/>
    <cellStyle name="Currency 3 2 6 2 3 2 2 2" xfId="20484"/>
    <cellStyle name="Currency 3 2 6 2 3 2 2 3" xfId="20485"/>
    <cellStyle name="Currency 3 2 6 2 3 2 3" xfId="20486"/>
    <cellStyle name="Currency 3 2 6 2 3 2 3 2" xfId="20487"/>
    <cellStyle name="Currency 3 2 6 2 3 2 3 3" xfId="20488"/>
    <cellStyle name="Currency 3 2 6 2 3 2 4" xfId="20489"/>
    <cellStyle name="Currency 3 2 6 2 3 2 5" xfId="20490"/>
    <cellStyle name="Currency 3 2 6 2 3 3" xfId="20491"/>
    <cellStyle name="Currency 3 2 6 2 3 3 2" xfId="20492"/>
    <cellStyle name="Currency 3 2 6 2 3 3 3" xfId="20493"/>
    <cellStyle name="Currency 3 2 6 2 3 4" xfId="20494"/>
    <cellStyle name="Currency 3 2 6 2 3 4 2" xfId="20495"/>
    <cellStyle name="Currency 3 2 6 2 3 4 3" xfId="20496"/>
    <cellStyle name="Currency 3 2 6 2 3 5" xfId="20497"/>
    <cellStyle name="Currency 3 2 6 2 3 6" xfId="20498"/>
    <cellStyle name="Currency 3 2 6 2 4" xfId="20499"/>
    <cellStyle name="Currency 3 2 6 2 4 2" xfId="20500"/>
    <cellStyle name="Currency 3 2 6 2 4 2 2" xfId="20501"/>
    <cellStyle name="Currency 3 2 6 2 4 2 3" xfId="20502"/>
    <cellStyle name="Currency 3 2 6 2 4 3" xfId="20503"/>
    <cellStyle name="Currency 3 2 6 2 4 3 2" xfId="20504"/>
    <cellStyle name="Currency 3 2 6 2 4 3 3" xfId="20505"/>
    <cellStyle name="Currency 3 2 6 2 4 4" xfId="20506"/>
    <cellStyle name="Currency 3 2 6 2 4 5" xfId="20507"/>
    <cellStyle name="Currency 3 2 6 2 5" xfId="20508"/>
    <cellStyle name="Currency 3 2 6 2 5 2" xfId="20509"/>
    <cellStyle name="Currency 3 2 6 2 5 3" xfId="20510"/>
    <cellStyle name="Currency 3 2 6 2 6" xfId="20511"/>
    <cellStyle name="Currency 3 2 6 2 6 2" xfId="20512"/>
    <cellStyle name="Currency 3 2 6 2 6 3" xfId="20513"/>
    <cellStyle name="Currency 3 2 6 2 7" xfId="20514"/>
    <cellStyle name="Currency 3 2 6 2 8" xfId="20515"/>
    <cellStyle name="Currency 3 2 6 3" xfId="20516"/>
    <cellStyle name="Currency 3 2 6 3 2" xfId="20517"/>
    <cellStyle name="Currency 3 2 6 3 2 2" xfId="20518"/>
    <cellStyle name="Currency 3 2 6 3 2 2 2" xfId="20519"/>
    <cellStyle name="Currency 3 2 6 3 2 2 3" xfId="20520"/>
    <cellStyle name="Currency 3 2 6 3 2 3" xfId="20521"/>
    <cellStyle name="Currency 3 2 6 3 2 3 2" xfId="20522"/>
    <cellStyle name="Currency 3 2 6 3 2 3 3" xfId="20523"/>
    <cellStyle name="Currency 3 2 6 3 2 4" xfId="20524"/>
    <cellStyle name="Currency 3 2 6 3 2 5" xfId="20525"/>
    <cellStyle name="Currency 3 2 6 3 3" xfId="20526"/>
    <cellStyle name="Currency 3 2 6 3 3 2" xfId="20527"/>
    <cellStyle name="Currency 3 2 6 3 3 3" xfId="20528"/>
    <cellStyle name="Currency 3 2 6 3 4" xfId="20529"/>
    <cellStyle name="Currency 3 2 6 3 4 2" xfId="20530"/>
    <cellStyle name="Currency 3 2 6 3 4 3" xfId="20531"/>
    <cellStyle name="Currency 3 2 6 3 5" xfId="20532"/>
    <cellStyle name="Currency 3 2 6 3 6" xfId="20533"/>
    <cellStyle name="Currency 3 2 6 4" xfId="20534"/>
    <cellStyle name="Currency 3 2 6 4 2" xfId="20535"/>
    <cellStyle name="Currency 3 2 6 4 2 2" xfId="20536"/>
    <cellStyle name="Currency 3 2 6 4 2 2 2" xfId="20537"/>
    <cellStyle name="Currency 3 2 6 4 2 2 3" xfId="20538"/>
    <cellStyle name="Currency 3 2 6 4 2 3" xfId="20539"/>
    <cellStyle name="Currency 3 2 6 4 2 3 2" xfId="20540"/>
    <cellStyle name="Currency 3 2 6 4 2 3 3" xfId="20541"/>
    <cellStyle name="Currency 3 2 6 4 2 4" xfId="20542"/>
    <cellStyle name="Currency 3 2 6 4 2 5" xfId="20543"/>
    <cellStyle name="Currency 3 2 6 4 3" xfId="20544"/>
    <cellStyle name="Currency 3 2 6 4 3 2" xfId="20545"/>
    <cellStyle name="Currency 3 2 6 4 3 3" xfId="20546"/>
    <cellStyle name="Currency 3 2 6 4 4" xfId="20547"/>
    <cellStyle name="Currency 3 2 6 4 4 2" xfId="20548"/>
    <cellStyle name="Currency 3 2 6 4 4 3" xfId="20549"/>
    <cellStyle name="Currency 3 2 6 4 5" xfId="20550"/>
    <cellStyle name="Currency 3 2 6 4 6" xfId="20551"/>
    <cellStyle name="Currency 3 2 6 5" xfId="20552"/>
    <cellStyle name="Currency 3 2 6 5 2" xfId="20553"/>
    <cellStyle name="Currency 3 2 6 5 2 2" xfId="20554"/>
    <cellStyle name="Currency 3 2 6 5 2 3" xfId="20555"/>
    <cellStyle name="Currency 3 2 6 5 3" xfId="20556"/>
    <cellStyle name="Currency 3 2 6 5 3 2" xfId="20557"/>
    <cellStyle name="Currency 3 2 6 5 3 3" xfId="20558"/>
    <cellStyle name="Currency 3 2 6 5 4" xfId="20559"/>
    <cellStyle name="Currency 3 2 6 5 5" xfId="20560"/>
    <cellStyle name="Currency 3 2 6 6" xfId="20561"/>
    <cellStyle name="Currency 3 2 6 6 2" xfId="20562"/>
    <cellStyle name="Currency 3 2 6 6 3" xfId="20563"/>
    <cellStyle name="Currency 3 2 6 7" xfId="20564"/>
    <cellStyle name="Currency 3 2 6 7 2" xfId="20565"/>
    <cellStyle name="Currency 3 2 6 7 3" xfId="20566"/>
    <cellStyle name="Currency 3 2 6 8" xfId="20567"/>
    <cellStyle name="Currency 3 2 6 9" xfId="20568"/>
    <cellStyle name="Currency 3 2 7" xfId="20569"/>
    <cellStyle name="Currency 3 2 7 2" xfId="20570"/>
    <cellStyle name="Currency 3 2 7 2 2" xfId="20571"/>
    <cellStyle name="Currency 3 2 7 2 2 2" xfId="20572"/>
    <cellStyle name="Currency 3 2 7 2 2 2 2" xfId="20573"/>
    <cellStyle name="Currency 3 2 7 2 2 2 3" xfId="20574"/>
    <cellStyle name="Currency 3 2 7 2 2 3" xfId="20575"/>
    <cellStyle name="Currency 3 2 7 2 2 3 2" xfId="20576"/>
    <cellStyle name="Currency 3 2 7 2 2 3 3" xfId="20577"/>
    <cellStyle name="Currency 3 2 7 2 2 4" xfId="20578"/>
    <cellStyle name="Currency 3 2 7 2 2 5" xfId="20579"/>
    <cellStyle name="Currency 3 2 7 2 3" xfId="20580"/>
    <cellStyle name="Currency 3 2 7 2 3 2" xfId="20581"/>
    <cellStyle name="Currency 3 2 7 2 3 3" xfId="20582"/>
    <cellStyle name="Currency 3 2 7 2 4" xfId="20583"/>
    <cellStyle name="Currency 3 2 7 2 4 2" xfId="20584"/>
    <cellStyle name="Currency 3 2 7 2 4 3" xfId="20585"/>
    <cellStyle name="Currency 3 2 7 2 5" xfId="20586"/>
    <cellStyle name="Currency 3 2 7 2 6" xfId="20587"/>
    <cellStyle name="Currency 3 2 7 3" xfId="20588"/>
    <cellStyle name="Currency 3 2 7 3 2" xfId="20589"/>
    <cellStyle name="Currency 3 2 7 3 2 2" xfId="20590"/>
    <cellStyle name="Currency 3 2 7 3 2 2 2" xfId="20591"/>
    <cellStyle name="Currency 3 2 7 3 2 2 3" xfId="20592"/>
    <cellStyle name="Currency 3 2 7 3 2 3" xfId="20593"/>
    <cellStyle name="Currency 3 2 7 3 2 3 2" xfId="20594"/>
    <cellStyle name="Currency 3 2 7 3 2 3 3" xfId="20595"/>
    <cellStyle name="Currency 3 2 7 3 2 4" xfId="20596"/>
    <cellStyle name="Currency 3 2 7 3 2 5" xfId="20597"/>
    <cellStyle name="Currency 3 2 7 3 3" xfId="20598"/>
    <cellStyle name="Currency 3 2 7 3 3 2" xfId="20599"/>
    <cellStyle name="Currency 3 2 7 3 3 3" xfId="20600"/>
    <cellStyle name="Currency 3 2 7 3 4" xfId="20601"/>
    <cellStyle name="Currency 3 2 7 3 4 2" xfId="20602"/>
    <cellStyle name="Currency 3 2 7 3 4 3" xfId="20603"/>
    <cellStyle name="Currency 3 2 7 3 5" xfId="20604"/>
    <cellStyle name="Currency 3 2 7 3 6" xfId="20605"/>
    <cellStyle name="Currency 3 2 7 4" xfId="20606"/>
    <cellStyle name="Currency 3 2 7 4 2" xfId="20607"/>
    <cellStyle name="Currency 3 2 7 4 2 2" xfId="20608"/>
    <cellStyle name="Currency 3 2 7 4 2 3" xfId="20609"/>
    <cellStyle name="Currency 3 2 7 4 3" xfId="20610"/>
    <cellStyle name="Currency 3 2 7 4 3 2" xfId="20611"/>
    <cellStyle name="Currency 3 2 7 4 3 3" xfId="20612"/>
    <cellStyle name="Currency 3 2 7 4 4" xfId="20613"/>
    <cellStyle name="Currency 3 2 7 4 5" xfId="20614"/>
    <cellStyle name="Currency 3 2 7 5" xfId="20615"/>
    <cellStyle name="Currency 3 2 7 5 2" xfId="20616"/>
    <cellStyle name="Currency 3 2 7 5 3" xfId="20617"/>
    <cellStyle name="Currency 3 2 7 6" xfId="20618"/>
    <cellStyle name="Currency 3 2 7 6 2" xfId="20619"/>
    <cellStyle name="Currency 3 2 7 6 3" xfId="20620"/>
    <cellStyle name="Currency 3 2 7 7" xfId="20621"/>
    <cellStyle name="Currency 3 2 7 8" xfId="20622"/>
    <cellStyle name="Currency 3 2 8" xfId="20623"/>
    <cellStyle name="Currency 3 2 8 2" xfId="20624"/>
    <cellStyle name="Currency 3 2 8 2 2" xfId="20625"/>
    <cellStyle name="Currency 3 2 8 2 2 2" xfId="20626"/>
    <cellStyle name="Currency 3 2 8 2 2 3" xfId="20627"/>
    <cellStyle name="Currency 3 2 8 2 3" xfId="20628"/>
    <cellStyle name="Currency 3 2 8 2 3 2" xfId="20629"/>
    <cellStyle name="Currency 3 2 8 2 3 3" xfId="20630"/>
    <cellStyle name="Currency 3 2 8 2 4" xfId="20631"/>
    <cellStyle name="Currency 3 2 8 2 5" xfId="20632"/>
    <cellStyle name="Currency 3 2 8 3" xfId="20633"/>
    <cellStyle name="Currency 3 2 8 3 2" xfId="20634"/>
    <cellStyle name="Currency 3 2 8 3 3" xfId="20635"/>
    <cellStyle name="Currency 3 2 8 4" xfId="20636"/>
    <cellStyle name="Currency 3 2 8 4 2" xfId="20637"/>
    <cellStyle name="Currency 3 2 8 4 3" xfId="20638"/>
    <cellStyle name="Currency 3 2 8 5" xfId="20639"/>
    <cellStyle name="Currency 3 2 8 6" xfId="20640"/>
    <cellStyle name="Currency 3 2 9" xfId="20641"/>
    <cellStyle name="Currency 3 2 9 2" xfId="20642"/>
    <cellStyle name="Currency 3 2 9 2 2" xfId="20643"/>
    <cellStyle name="Currency 3 2 9 2 2 2" xfId="20644"/>
    <cellStyle name="Currency 3 2 9 2 2 3" xfId="20645"/>
    <cellStyle name="Currency 3 2 9 2 3" xfId="20646"/>
    <cellStyle name="Currency 3 2 9 2 3 2" xfId="20647"/>
    <cellStyle name="Currency 3 2 9 2 3 3" xfId="20648"/>
    <cellStyle name="Currency 3 2 9 2 4" xfId="20649"/>
    <cellStyle name="Currency 3 2 9 2 5" xfId="20650"/>
    <cellStyle name="Currency 3 2 9 3" xfId="20651"/>
    <cellStyle name="Currency 3 2 9 3 2" xfId="20652"/>
    <cellStyle name="Currency 3 2 9 3 3" xfId="20653"/>
    <cellStyle name="Currency 3 2 9 4" xfId="20654"/>
    <cellStyle name="Currency 3 2 9 4 2" xfId="20655"/>
    <cellStyle name="Currency 3 2 9 4 3" xfId="20656"/>
    <cellStyle name="Currency 3 2 9 5" xfId="20657"/>
    <cellStyle name="Currency 3 2 9 6" xfId="20658"/>
    <cellStyle name="Currency 3 20" xfId="20659"/>
    <cellStyle name="Currency 3 3" xfId="20660"/>
    <cellStyle name="Currency 3 3 10" xfId="20661"/>
    <cellStyle name="Currency 3 3 10 2" xfId="20662"/>
    <cellStyle name="Currency 3 3 10 3" xfId="20663"/>
    <cellStyle name="Currency 3 3 11" xfId="20664"/>
    <cellStyle name="Currency 3 3 11 2" xfId="20665"/>
    <cellStyle name="Currency 3 3 11 3" xfId="20666"/>
    <cellStyle name="Currency 3 3 12" xfId="20667"/>
    <cellStyle name="Currency 3 3 13" xfId="20668"/>
    <cellStyle name="Currency 3 3 14" xfId="20669"/>
    <cellStyle name="Currency 3 3 15" xfId="20670"/>
    <cellStyle name="Currency 3 3 2" xfId="20671"/>
    <cellStyle name="Currency 3 3 2 10" xfId="20672"/>
    <cellStyle name="Currency 3 3 2 10 2" xfId="20673"/>
    <cellStyle name="Currency 3 3 2 10 3" xfId="20674"/>
    <cellStyle name="Currency 3 3 2 11" xfId="20675"/>
    <cellStyle name="Currency 3 3 2 12" xfId="20676"/>
    <cellStyle name="Currency 3 3 2 13" xfId="20677"/>
    <cellStyle name="Currency 3 3 2 14" xfId="20678"/>
    <cellStyle name="Currency 3 3 2 2" xfId="20679"/>
    <cellStyle name="Currency 3 3 2 2 10" xfId="20680"/>
    <cellStyle name="Currency 3 3 2 2 2" xfId="20681"/>
    <cellStyle name="Currency 3 3 2 2 2 2" xfId="20682"/>
    <cellStyle name="Currency 3 3 2 2 2 2 2" xfId="20683"/>
    <cellStyle name="Currency 3 3 2 2 2 2 2 2" xfId="20684"/>
    <cellStyle name="Currency 3 3 2 2 2 2 2 2 2" xfId="20685"/>
    <cellStyle name="Currency 3 3 2 2 2 2 2 2 2 2" xfId="20686"/>
    <cellStyle name="Currency 3 3 2 2 2 2 2 2 2 3" xfId="20687"/>
    <cellStyle name="Currency 3 3 2 2 2 2 2 2 3" xfId="20688"/>
    <cellStyle name="Currency 3 3 2 2 2 2 2 2 3 2" xfId="20689"/>
    <cellStyle name="Currency 3 3 2 2 2 2 2 2 3 3" xfId="20690"/>
    <cellStyle name="Currency 3 3 2 2 2 2 2 2 4" xfId="20691"/>
    <cellStyle name="Currency 3 3 2 2 2 2 2 2 5" xfId="20692"/>
    <cellStyle name="Currency 3 3 2 2 2 2 2 3" xfId="20693"/>
    <cellStyle name="Currency 3 3 2 2 2 2 2 3 2" xfId="20694"/>
    <cellStyle name="Currency 3 3 2 2 2 2 2 3 3" xfId="20695"/>
    <cellStyle name="Currency 3 3 2 2 2 2 2 4" xfId="20696"/>
    <cellStyle name="Currency 3 3 2 2 2 2 2 4 2" xfId="20697"/>
    <cellStyle name="Currency 3 3 2 2 2 2 2 4 3" xfId="20698"/>
    <cellStyle name="Currency 3 3 2 2 2 2 2 5" xfId="20699"/>
    <cellStyle name="Currency 3 3 2 2 2 2 2 6" xfId="20700"/>
    <cellStyle name="Currency 3 3 2 2 2 2 3" xfId="20701"/>
    <cellStyle name="Currency 3 3 2 2 2 2 3 2" xfId="20702"/>
    <cellStyle name="Currency 3 3 2 2 2 2 3 2 2" xfId="20703"/>
    <cellStyle name="Currency 3 3 2 2 2 2 3 2 2 2" xfId="20704"/>
    <cellStyle name="Currency 3 3 2 2 2 2 3 2 2 3" xfId="20705"/>
    <cellStyle name="Currency 3 3 2 2 2 2 3 2 3" xfId="20706"/>
    <cellStyle name="Currency 3 3 2 2 2 2 3 2 3 2" xfId="20707"/>
    <cellStyle name="Currency 3 3 2 2 2 2 3 2 3 3" xfId="20708"/>
    <cellStyle name="Currency 3 3 2 2 2 2 3 2 4" xfId="20709"/>
    <cellStyle name="Currency 3 3 2 2 2 2 3 2 5" xfId="20710"/>
    <cellStyle name="Currency 3 3 2 2 2 2 3 3" xfId="20711"/>
    <cellStyle name="Currency 3 3 2 2 2 2 3 3 2" xfId="20712"/>
    <cellStyle name="Currency 3 3 2 2 2 2 3 3 3" xfId="20713"/>
    <cellStyle name="Currency 3 3 2 2 2 2 3 4" xfId="20714"/>
    <cellStyle name="Currency 3 3 2 2 2 2 3 4 2" xfId="20715"/>
    <cellStyle name="Currency 3 3 2 2 2 2 3 4 3" xfId="20716"/>
    <cellStyle name="Currency 3 3 2 2 2 2 3 5" xfId="20717"/>
    <cellStyle name="Currency 3 3 2 2 2 2 3 6" xfId="20718"/>
    <cellStyle name="Currency 3 3 2 2 2 2 4" xfId="20719"/>
    <cellStyle name="Currency 3 3 2 2 2 2 4 2" xfId="20720"/>
    <cellStyle name="Currency 3 3 2 2 2 2 4 2 2" xfId="20721"/>
    <cellStyle name="Currency 3 3 2 2 2 2 4 2 3" xfId="20722"/>
    <cellStyle name="Currency 3 3 2 2 2 2 4 3" xfId="20723"/>
    <cellStyle name="Currency 3 3 2 2 2 2 4 3 2" xfId="20724"/>
    <cellStyle name="Currency 3 3 2 2 2 2 4 3 3" xfId="20725"/>
    <cellStyle name="Currency 3 3 2 2 2 2 4 4" xfId="20726"/>
    <cellStyle name="Currency 3 3 2 2 2 2 4 5" xfId="20727"/>
    <cellStyle name="Currency 3 3 2 2 2 2 5" xfId="20728"/>
    <cellStyle name="Currency 3 3 2 2 2 2 5 2" xfId="20729"/>
    <cellStyle name="Currency 3 3 2 2 2 2 5 3" xfId="20730"/>
    <cellStyle name="Currency 3 3 2 2 2 2 6" xfId="20731"/>
    <cellStyle name="Currency 3 3 2 2 2 2 6 2" xfId="20732"/>
    <cellStyle name="Currency 3 3 2 2 2 2 6 3" xfId="20733"/>
    <cellStyle name="Currency 3 3 2 2 2 2 7" xfId="20734"/>
    <cellStyle name="Currency 3 3 2 2 2 2 8" xfId="20735"/>
    <cellStyle name="Currency 3 3 2 2 2 3" xfId="20736"/>
    <cellStyle name="Currency 3 3 2 2 2 3 2" xfId="20737"/>
    <cellStyle name="Currency 3 3 2 2 2 3 2 2" xfId="20738"/>
    <cellStyle name="Currency 3 3 2 2 2 3 2 2 2" xfId="20739"/>
    <cellStyle name="Currency 3 3 2 2 2 3 2 2 3" xfId="20740"/>
    <cellStyle name="Currency 3 3 2 2 2 3 2 3" xfId="20741"/>
    <cellStyle name="Currency 3 3 2 2 2 3 2 3 2" xfId="20742"/>
    <cellStyle name="Currency 3 3 2 2 2 3 2 3 3" xfId="20743"/>
    <cellStyle name="Currency 3 3 2 2 2 3 2 4" xfId="20744"/>
    <cellStyle name="Currency 3 3 2 2 2 3 2 5" xfId="20745"/>
    <cellStyle name="Currency 3 3 2 2 2 3 3" xfId="20746"/>
    <cellStyle name="Currency 3 3 2 2 2 3 3 2" xfId="20747"/>
    <cellStyle name="Currency 3 3 2 2 2 3 3 3" xfId="20748"/>
    <cellStyle name="Currency 3 3 2 2 2 3 4" xfId="20749"/>
    <cellStyle name="Currency 3 3 2 2 2 3 4 2" xfId="20750"/>
    <cellStyle name="Currency 3 3 2 2 2 3 4 3" xfId="20751"/>
    <cellStyle name="Currency 3 3 2 2 2 3 5" xfId="20752"/>
    <cellStyle name="Currency 3 3 2 2 2 3 6" xfId="20753"/>
    <cellStyle name="Currency 3 3 2 2 2 4" xfId="20754"/>
    <cellStyle name="Currency 3 3 2 2 2 4 2" xfId="20755"/>
    <cellStyle name="Currency 3 3 2 2 2 4 2 2" xfId="20756"/>
    <cellStyle name="Currency 3 3 2 2 2 4 2 2 2" xfId="20757"/>
    <cellStyle name="Currency 3 3 2 2 2 4 2 2 3" xfId="20758"/>
    <cellStyle name="Currency 3 3 2 2 2 4 2 3" xfId="20759"/>
    <cellStyle name="Currency 3 3 2 2 2 4 2 3 2" xfId="20760"/>
    <cellStyle name="Currency 3 3 2 2 2 4 2 3 3" xfId="20761"/>
    <cellStyle name="Currency 3 3 2 2 2 4 2 4" xfId="20762"/>
    <cellStyle name="Currency 3 3 2 2 2 4 2 5" xfId="20763"/>
    <cellStyle name="Currency 3 3 2 2 2 4 3" xfId="20764"/>
    <cellStyle name="Currency 3 3 2 2 2 4 3 2" xfId="20765"/>
    <cellStyle name="Currency 3 3 2 2 2 4 3 3" xfId="20766"/>
    <cellStyle name="Currency 3 3 2 2 2 4 4" xfId="20767"/>
    <cellStyle name="Currency 3 3 2 2 2 4 4 2" xfId="20768"/>
    <cellStyle name="Currency 3 3 2 2 2 4 4 3" xfId="20769"/>
    <cellStyle name="Currency 3 3 2 2 2 4 5" xfId="20770"/>
    <cellStyle name="Currency 3 3 2 2 2 4 6" xfId="20771"/>
    <cellStyle name="Currency 3 3 2 2 2 5" xfId="20772"/>
    <cellStyle name="Currency 3 3 2 2 2 5 2" xfId="20773"/>
    <cellStyle name="Currency 3 3 2 2 2 5 2 2" xfId="20774"/>
    <cellStyle name="Currency 3 3 2 2 2 5 2 3" xfId="20775"/>
    <cellStyle name="Currency 3 3 2 2 2 5 3" xfId="20776"/>
    <cellStyle name="Currency 3 3 2 2 2 5 3 2" xfId="20777"/>
    <cellStyle name="Currency 3 3 2 2 2 5 3 3" xfId="20778"/>
    <cellStyle name="Currency 3 3 2 2 2 5 4" xfId="20779"/>
    <cellStyle name="Currency 3 3 2 2 2 5 5" xfId="20780"/>
    <cellStyle name="Currency 3 3 2 2 2 6" xfId="20781"/>
    <cellStyle name="Currency 3 3 2 2 2 6 2" xfId="20782"/>
    <cellStyle name="Currency 3 3 2 2 2 6 3" xfId="20783"/>
    <cellStyle name="Currency 3 3 2 2 2 7" xfId="20784"/>
    <cellStyle name="Currency 3 3 2 2 2 7 2" xfId="20785"/>
    <cellStyle name="Currency 3 3 2 2 2 7 3" xfId="20786"/>
    <cellStyle name="Currency 3 3 2 2 2 8" xfId="20787"/>
    <cellStyle name="Currency 3 3 2 2 2 9" xfId="20788"/>
    <cellStyle name="Currency 3 3 2 2 3" xfId="20789"/>
    <cellStyle name="Currency 3 3 2 2 3 2" xfId="20790"/>
    <cellStyle name="Currency 3 3 2 2 3 2 2" xfId="20791"/>
    <cellStyle name="Currency 3 3 2 2 3 2 2 2" xfId="20792"/>
    <cellStyle name="Currency 3 3 2 2 3 2 2 2 2" xfId="20793"/>
    <cellStyle name="Currency 3 3 2 2 3 2 2 2 3" xfId="20794"/>
    <cellStyle name="Currency 3 3 2 2 3 2 2 3" xfId="20795"/>
    <cellStyle name="Currency 3 3 2 2 3 2 2 3 2" xfId="20796"/>
    <cellStyle name="Currency 3 3 2 2 3 2 2 3 3" xfId="20797"/>
    <cellStyle name="Currency 3 3 2 2 3 2 2 4" xfId="20798"/>
    <cellStyle name="Currency 3 3 2 2 3 2 2 5" xfId="20799"/>
    <cellStyle name="Currency 3 3 2 2 3 2 3" xfId="20800"/>
    <cellStyle name="Currency 3 3 2 2 3 2 3 2" xfId="20801"/>
    <cellStyle name="Currency 3 3 2 2 3 2 3 3" xfId="20802"/>
    <cellStyle name="Currency 3 3 2 2 3 2 4" xfId="20803"/>
    <cellStyle name="Currency 3 3 2 2 3 2 4 2" xfId="20804"/>
    <cellStyle name="Currency 3 3 2 2 3 2 4 3" xfId="20805"/>
    <cellStyle name="Currency 3 3 2 2 3 2 5" xfId="20806"/>
    <cellStyle name="Currency 3 3 2 2 3 2 6" xfId="20807"/>
    <cellStyle name="Currency 3 3 2 2 3 3" xfId="20808"/>
    <cellStyle name="Currency 3 3 2 2 3 3 2" xfId="20809"/>
    <cellStyle name="Currency 3 3 2 2 3 3 2 2" xfId="20810"/>
    <cellStyle name="Currency 3 3 2 2 3 3 2 2 2" xfId="20811"/>
    <cellStyle name="Currency 3 3 2 2 3 3 2 2 3" xfId="20812"/>
    <cellStyle name="Currency 3 3 2 2 3 3 2 3" xfId="20813"/>
    <cellStyle name="Currency 3 3 2 2 3 3 2 3 2" xfId="20814"/>
    <cellStyle name="Currency 3 3 2 2 3 3 2 3 3" xfId="20815"/>
    <cellStyle name="Currency 3 3 2 2 3 3 2 4" xfId="20816"/>
    <cellStyle name="Currency 3 3 2 2 3 3 2 5" xfId="20817"/>
    <cellStyle name="Currency 3 3 2 2 3 3 3" xfId="20818"/>
    <cellStyle name="Currency 3 3 2 2 3 3 3 2" xfId="20819"/>
    <cellStyle name="Currency 3 3 2 2 3 3 3 3" xfId="20820"/>
    <cellStyle name="Currency 3 3 2 2 3 3 4" xfId="20821"/>
    <cellStyle name="Currency 3 3 2 2 3 3 4 2" xfId="20822"/>
    <cellStyle name="Currency 3 3 2 2 3 3 4 3" xfId="20823"/>
    <cellStyle name="Currency 3 3 2 2 3 3 5" xfId="20824"/>
    <cellStyle name="Currency 3 3 2 2 3 3 6" xfId="20825"/>
    <cellStyle name="Currency 3 3 2 2 3 4" xfId="20826"/>
    <cellStyle name="Currency 3 3 2 2 3 4 2" xfId="20827"/>
    <cellStyle name="Currency 3 3 2 2 3 4 2 2" xfId="20828"/>
    <cellStyle name="Currency 3 3 2 2 3 4 2 3" xfId="20829"/>
    <cellStyle name="Currency 3 3 2 2 3 4 3" xfId="20830"/>
    <cellStyle name="Currency 3 3 2 2 3 4 3 2" xfId="20831"/>
    <cellStyle name="Currency 3 3 2 2 3 4 3 3" xfId="20832"/>
    <cellStyle name="Currency 3 3 2 2 3 4 4" xfId="20833"/>
    <cellStyle name="Currency 3 3 2 2 3 4 5" xfId="20834"/>
    <cellStyle name="Currency 3 3 2 2 3 5" xfId="20835"/>
    <cellStyle name="Currency 3 3 2 2 3 5 2" xfId="20836"/>
    <cellStyle name="Currency 3 3 2 2 3 5 3" xfId="20837"/>
    <cellStyle name="Currency 3 3 2 2 3 6" xfId="20838"/>
    <cellStyle name="Currency 3 3 2 2 3 6 2" xfId="20839"/>
    <cellStyle name="Currency 3 3 2 2 3 6 3" xfId="20840"/>
    <cellStyle name="Currency 3 3 2 2 3 7" xfId="20841"/>
    <cellStyle name="Currency 3 3 2 2 3 8" xfId="20842"/>
    <cellStyle name="Currency 3 3 2 2 4" xfId="20843"/>
    <cellStyle name="Currency 3 3 2 2 4 2" xfId="20844"/>
    <cellStyle name="Currency 3 3 2 2 4 2 2" xfId="20845"/>
    <cellStyle name="Currency 3 3 2 2 4 2 2 2" xfId="20846"/>
    <cellStyle name="Currency 3 3 2 2 4 2 2 3" xfId="20847"/>
    <cellStyle name="Currency 3 3 2 2 4 2 3" xfId="20848"/>
    <cellStyle name="Currency 3 3 2 2 4 2 3 2" xfId="20849"/>
    <cellStyle name="Currency 3 3 2 2 4 2 3 3" xfId="20850"/>
    <cellStyle name="Currency 3 3 2 2 4 2 4" xfId="20851"/>
    <cellStyle name="Currency 3 3 2 2 4 2 5" xfId="20852"/>
    <cellStyle name="Currency 3 3 2 2 4 3" xfId="20853"/>
    <cellStyle name="Currency 3 3 2 2 4 3 2" xfId="20854"/>
    <cellStyle name="Currency 3 3 2 2 4 3 3" xfId="20855"/>
    <cellStyle name="Currency 3 3 2 2 4 4" xfId="20856"/>
    <cellStyle name="Currency 3 3 2 2 4 4 2" xfId="20857"/>
    <cellStyle name="Currency 3 3 2 2 4 4 3" xfId="20858"/>
    <cellStyle name="Currency 3 3 2 2 4 5" xfId="20859"/>
    <cellStyle name="Currency 3 3 2 2 4 6" xfId="20860"/>
    <cellStyle name="Currency 3 3 2 2 5" xfId="20861"/>
    <cellStyle name="Currency 3 3 2 2 5 2" xfId="20862"/>
    <cellStyle name="Currency 3 3 2 2 5 2 2" xfId="20863"/>
    <cellStyle name="Currency 3 3 2 2 5 2 2 2" xfId="20864"/>
    <cellStyle name="Currency 3 3 2 2 5 2 2 3" xfId="20865"/>
    <cellStyle name="Currency 3 3 2 2 5 2 3" xfId="20866"/>
    <cellStyle name="Currency 3 3 2 2 5 2 3 2" xfId="20867"/>
    <cellStyle name="Currency 3 3 2 2 5 2 3 3" xfId="20868"/>
    <cellStyle name="Currency 3 3 2 2 5 2 4" xfId="20869"/>
    <cellStyle name="Currency 3 3 2 2 5 2 5" xfId="20870"/>
    <cellStyle name="Currency 3 3 2 2 5 3" xfId="20871"/>
    <cellStyle name="Currency 3 3 2 2 5 3 2" xfId="20872"/>
    <cellStyle name="Currency 3 3 2 2 5 3 3" xfId="20873"/>
    <cellStyle name="Currency 3 3 2 2 5 4" xfId="20874"/>
    <cellStyle name="Currency 3 3 2 2 5 4 2" xfId="20875"/>
    <cellStyle name="Currency 3 3 2 2 5 4 3" xfId="20876"/>
    <cellStyle name="Currency 3 3 2 2 5 5" xfId="20877"/>
    <cellStyle name="Currency 3 3 2 2 5 6" xfId="20878"/>
    <cellStyle name="Currency 3 3 2 2 6" xfId="20879"/>
    <cellStyle name="Currency 3 3 2 2 6 2" xfId="20880"/>
    <cellStyle name="Currency 3 3 2 2 6 2 2" xfId="20881"/>
    <cellStyle name="Currency 3 3 2 2 6 2 3" xfId="20882"/>
    <cellStyle name="Currency 3 3 2 2 6 3" xfId="20883"/>
    <cellStyle name="Currency 3 3 2 2 6 3 2" xfId="20884"/>
    <cellStyle name="Currency 3 3 2 2 6 3 3" xfId="20885"/>
    <cellStyle name="Currency 3 3 2 2 6 4" xfId="20886"/>
    <cellStyle name="Currency 3 3 2 2 6 5" xfId="20887"/>
    <cellStyle name="Currency 3 3 2 2 7" xfId="20888"/>
    <cellStyle name="Currency 3 3 2 2 7 2" xfId="20889"/>
    <cellStyle name="Currency 3 3 2 2 7 3" xfId="20890"/>
    <cellStyle name="Currency 3 3 2 2 8" xfId="20891"/>
    <cellStyle name="Currency 3 3 2 2 8 2" xfId="20892"/>
    <cellStyle name="Currency 3 3 2 2 8 3" xfId="20893"/>
    <cellStyle name="Currency 3 3 2 2 9" xfId="20894"/>
    <cellStyle name="Currency 3 3 2 3" xfId="20895"/>
    <cellStyle name="Currency 3 3 2 3 10" xfId="20896"/>
    <cellStyle name="Currency 3 3 2 3 2" xfId="20897"/>
    <cellStyle name="Currency 3 3 2 3 2 2" xfId="20898"/>
    <cellStyle name="Currency 3 3 2 3 2 2 2" xfId="20899"/>
    <cellStyle name="Currency 3 3 2 3 2 2 2 2" xfId="20900"/>
    <cellStyle name="Currency 3 3 2 3 2 2 2 2 2" xfId="20901"/>
    <cellStyle name="Currency 3 3 2 3 2 2 2 2 2 2" xfId="20902"/>
    <cellStyle name="Currency 3 3 2 3 2 2 2 2 2 3" xfId="20903"/>
    <cellStyle name="Currency 3 3 2 3 2 2 2 2 3" xfId="20904"/>
    <cellStyle name="Currency 3 3 2 3 2 2 2 2 3 2" xfId="20905"/>
    <cellStyle name="Currency 3 3 2 3 2 2 2 2 3 3" xfId="20906"/>
    <cellStyle name="Currency 3 3 2 3 2 2 2 2 4" xfId="20907"/>
    <cellStyle name="Currency 3 3 2 3 2 2 2 2 5" xfId="20908"/>
    <cellStyle name="Currency 3 3 2 3 2 2 2 3" xfId="20909"/>
    <cellStyle name="Currency 3 3 2 3 2 2 2 3 2" xfId="20910"/>
    <cellStyle name="Currency 3 3 2 3 2 2 2 3 3" xfId="20911"/>
    <cellStyle name="Currency 3 3 2 3 2 2 2 4" xfId="20912"/>
    <cellStyle name="Currency 3 3 2 3 2 2 2 4 2" xfId="20913"/>
    <cellStyle name="Currency 3 3 2 3 2 2 2 4 3" xfId="20914"/>
    <cellStyle name="Currency 3 3 2 3 2 2 2 5" xfId="20915"/>
    <cellStyle name="Currency 3 3 2 3 2 2 2 6" xfId="20916"/>
    <cellStyle name="Currency 3 3 2 3 2 2 3" xfId="20917"/>
    <cellStyle name="Currency 3 3 2 3 2 2 3 2" xfId="20918"/>
    <cellStyle name="Currency 3 3 2 3 2 2 3 2 2" xfId="20919"/>
    <cellStyle name="Currency 3 3 2 3 2 2 3 2 2 2" xfId="20920"/>
    <cellStyle name="Currency 3 3 2 3 2 2 3 2 2 3" xfId="20921"/>
    <cellStyle name="Currency 3 3 2 3 2 2 3 2 3" xfId="20922"/>
    <cellStyle name="Currency 3 3 2 3 2 2 3 2 3 2" xfId="20923"/>
    <cellStyle name="Currency 3 3 2 3 2 2 3 2 3 3" xfId="20924"/>
    <cellStyle name="Currency 3 3 2 3 2 2 3 2 4" xfId="20925"/>
    <cellStyle name="Currency 3 3 2 3 2 2 3 2 5" xfId="20926"/>
    <cellStyle name="Currency 3 3 2 3 2 2 3 3" xfId="20927"/>
    <cellStyle name="Currency 3 3 2 3 2 2 3 3 2" xfId="20928"/>
    <cellStyle name="Currency 3 3 2 3 2 2 3 3 3" xfId="20929"/>
    <cellStyle name="Currency 3 3 2 3 2 2 3 4" xfId="20930"/>
    <cellStyle name="Currency 3 3 2 3 2 2 3 4 2" xfId="20931"/>
    <cellStyle name="Currency 3 3 2 3 2 2 3 4 3" xfId="20932"/>
    <cellStyle name="Currency 3 3 2 3 2 2 3 5" xfId="20933"/>
    <cellStyle name="Currency 3 3 2 3 2 2 3 6" xfId="20934"/>
    <cellStyle name="Currency 3 3 2 3 2 2 4" xfId="20935"/>
    <cellStyle name="Currency 3 3 2 3 2 2 4 2" xfId="20936"/>
    <cellStyle name="Currency 3 3 2 3 2 2 4 2 2" xfId="20937"/>
    <cellStyle name="Currency 3 3 2 3 2 2 4 2 3" xfId="20938"/>
    <cellStyle name="Currency 3 3 2 3 2 2 4 3" xfId="20939"/>
    <cellStyle name="Currency 3 3 2 3 2 2 4 3 2" xfId="20940"/>
    <cellStyle name="Currency 3 3 2 3 2 2 4 3 3" xfId="20941"/>
    <cellStyle name="Currency 3 3 2 3 2 2 4 4" xfId="20942"/>
    <cellStyle name="Currency 3 3 2 3 2 2 4 5" xfId="20943"/>
    <cellStyle name="Currency 3 3 2 3 2 2 5" xfId="20944"/>
    <cellStyle name="Currency 3 3 2 3 2 2 5 2" xfId="20945"/>
    <cellStyle name="Currency 3 3 2 3 2 2 5 3" xfId="20946"/>
    <cellStyle name="Currency 3 3 2 3 2 2 6" xfId="20947"/>
    <cellStyle name="Currency 3 3 2 3 2 2 6 2" xfId="20948"/>
    <cellStyle name="Currency 3 3 2 3 2 2 6 3" xfId="20949"/>
    <cellStyle name="Currency 3 3 2 3 2 2 7" xfId="20950"/>
    <cellStyle name="Currency 3 3 2 3 2 2 8" xfId="20951"/>
    <cellStyle name="Currency 3 3 2 3 2 3" xfId="20952"/>
    <cellStyle name="Currency 3 3 2 3 2 3 2" xfId="20953"/>
    <cellStyle name="Currency 3 3 2 3 2 3 2 2" xfId="20954"/>
    <cellStyle name="Currency 3 3 2 3 2 3 2 2 2" xfId="20955"/>
    <cellStyle name="Currency 3 3 2 3 2 3 2 2 3" xfId="20956"/>
    <cellStyle name="Currency 3 3 2 3 2 3 2 3" xfId="20957"/>
    <cellStyle name="Currency 3 3 2 3 2 3 2 3 2" xfId="20958"/>
    <cellStyle name="Currency 3 3 2 3 2 3 2 3 3" xfId="20959"/>
    <cellStyle name="Currency 3 3 2 3 2 3 2 4" xfId="20960"/>
    <cellStyle name="Currency 3 3 2 3 2 3 2 5" xfId="20961"/>
    <cellStyle name="Currency 3 3 2 3 2 3 3" xfId="20962"/>
    <cellStyle name="Currency 3 3 2 3 2 3 3 2" xfId="20963"/>
    <cellStyle name="Currency 3 3 2 3 2 3 3 3" xfId="20964"/>
    <cellStyle name="Currency 3 3 2 3 2 3 4" xfId="20965"/>
    <cellStyle name="Currency 3 3 2 3 2 3 4 2" xfId="20966"/>
    <cellStyle name="Currency 3 3 2 3 2 3 4 3" xfId="20967"/>
    <cellStyle name="Currency 3 3 2 3 2 3 5" xfId="20968"/>
    <cellStyle name="Currency 3 3 2 3 2 3 6" xfId="20969"/>
    <cellStyle name="Currency 3 3 2 3 2 4" xfId="20970"/>
    <cellStyle name="Currency 3 3 2 3 2 4 2" xfId="20971"/>
    <cellStyle name="Currency 3 3 2 3 2 4 2 2" xfId="20972"/>
    <cellStyle name="Currency 3 3 2 3 2 4 2 2 2" xfId="20973"/>
    <cellStyle name="Currency 3 3 2 3 2 4 2 2 3" xfId="20974"/>
    <cellStyle name="Currency 3 3 2 3 2 4 2 3" xfId="20975"/>
    <cellStyle name="Currency 3 3 2 3 2 4 2 3 2" xfId="20976"/>
    <cellStyle name="Currency 3 3 2 3 2 4 2 3 3" xfId="20977"/>
    <cellStyle name="Currency 3 3 2 3 2 4 2 4" xfId="20978"/>
    <cellStyle name="Currency 3 3 2 3 2 4 2 5" xfId="20979"/>
    <cellStyle name="Currency 3 3 2 3 2 4 3" xfId="20980"/>
    <cellStyle name="Currency 3 3 2 3 2 4 3 2" xfId="20981"/>
    <cellStyle name="Currency 3 3 2 3 2 4 3 3" xfId="20982"/>
    <cellStyle name="Currency 3 3 2 3 2 4 4" xfId="20983"/>
    <cellStyle name="Currency 3 3 2 3 2 4 4 2" xfId="20984"/>
    <cellStyle name="Currency 3 3 2 3 2 4 4 3" xfId="20985"/>
    <cellStyle name="Currency 3 3 2 3 2 4 5" xfId="20986"/>
    <cellStyle name="Currency 3 3 2 3 2 4 6" xfId="20987"/>
    <cellStyle name="Currency 3 3 2 3 2 5" xfId="20988"/>
    <cellStyle name="Currency 3 3 2 3 2 5 2" xfId="20989"/>
    <cellStyle name="Currency 3 3 2 3 2 5 2 2" xfId="20990"/>
    <cellStyle name="Currency 3 3 2 3 2 5 2 3" xfId="20991"/>
    <cellStyle name="Currency 3 3 2 3 2 5 3" xfId="20992"/>
    <cellStyle name="Currency 3 3 2 3 2 5 3 2" xfId="20993"/>
    <cellStyle name="Currency 3 3 2 3 2 5 3 3" xfId="20994"/>
    <cellStyle name="Currency 3 3 2 3 2 5 4" xfId="20995"/>
    <cellStyle name="Currency 3 3 2 3 2 5 5" xfId="20996"/>
    <cellStyle name="Currency 3 3 2 3 2 6" xfId="20997"/>
    <cellStyle name="Currency 3 3 2 3 2 6 2" xfId="20998"/>
    <cellStyle name="Currency 3 3 2 3 2 6 3" xfId="20999"/>
    <cellStyle name="Currency 3 3 2 3 2 7" xfId="21000"/>
    <cellStyle name="Currency 3 3 2 3 2 7 2" xfId="21001"/>
    <cellStyle name="Currency 3 3 2 3 2 7 3" xfId="21002"/>
    <cellStyle name="Currency 3 3 2 3 2 8" xfId="21003"/>
    <cellStyle name="Currency 3 3 2 3 2 9" xfId="21004"/>
    <cellStyle name="Currency 3 3 2 3 3" xfId="21005"/>
    <cellStyle name="Currency 3 3 2 3 3 2" xfId="21006"/>
    <cellStyle name="Currency 3 3 2 3 3 2 2" xfId="21007"/>
    <cellStyle name="Currency 3 3 2 3 3 2 2 2" xfId="21008"/>
    <cellStyle name="Currency 3 3 2 3 3 2 2 2 2" xfId="21009"/>
    <cellStyle name="Currency 3 3 2 3 3 2 2 2 3" xfId="21010"/>
    <cellStyle name="Currency 3 3 2 3 3 2 2 3" xfId="21011"/>
    <cellStyle name="Currency 3 3 2 3 3 2 2 3 2" xfId="21012"/>
    <cellStyle name="Currency 3 3 2 3 3 2 2 3 3" xfId="21013"/>
    <cellStyle name="Currency 3 3 2 3 3 2 2 4" xfId="21014"/>
    <cellStyle name="Currency 3 3 2 3 3 2 2 5" xfId="21015"/>
    <cellStyle name="Currency 3 3 2 3 3 2 3" xfId="21016"/>
    <cellStyle name="Currency 3 3 2 3 3 2 3 2" xfId="21017"/>
    <cellStyle name="Currency 3 3 2 3 3 2 3 3" xfId="21018"/>
    <cellStyle name="Currency 3 3 2 3 3 2 4" xfId="21019"/>
    <cellStyle name="Currency 3 3 2 3 3 2 4 2" xfId="21020"/>
    <cellStyle name="Currency 3 3 2 3 3 2 4 3" xfId="21021"/>
    <cellStyle name="Currency 3 3 2 3 3 2 5" xfId="21022"/>
    <cellStyle name="Currency 3 3 2 3 3 2 6" xfId="21023"/>
    <cellStyle name="Currency 3 3 2 3 3 3" xfId="21024"/>
    <cellStyle name="Currency 3 3 2 3 3 3 2" xfId="21025"/>
    <cellStyle name="Currency 3 3 2 3 3 3 2 2" xfId="21026"/>
    <cellStyle name="Currency 3 3 2 3 3 3 2 2 2" xfId="21027"/>
    <cellStyle name="Currency 3 3 2 3 3 3 2 2 3" xfId="21028"/>
    <cellStyle name="Currency 3 3 2 3 3 3 2 3" xfId="21029"/>
    <cellStyle name="Currency 3 3 2 3 3 3 2 3 2" xfId="21030"/>
    <cellStyle name="Currency 3 3 2 3 3 3 2 3 3" xfId="21031"/>
    <cellStyle name="Currency 3 3 2 3 3 3 2 4" xfId="21032"/>
    <cellStyle name="Currency 3 3 2 3 3 3 2 5" xfId="21033"/>
    <cellStyle name="Currency 3 3 2 3 3 3 3" xfId="21034"/>
    <cellStyle name="Currency 3 3 2 3 3 3 3 2" xfId="21035"/>
    <cellStyle name="Currency 3 3 2 3 3 3 3 3" xfId="21036"/>
    <cellStyle name="Currency 3 3 2 3 3 3 4" xfId="21037"/>
    <cellStyle name="Currency 3 3 2 3 3 3 4 2" xfId="21038"/>
    <cellStyle name="Currency 3 3 2 3 3 3 4 3" xfId="21039"/>
    <cellStyle name="Currency 3 3 2 3 3 3 5" xfId="21040"/>
    <cellStyle name="Currency 3 3 2 3 3 3 6" xfId="21041"/>
    <cellStyle name="Currency 3 3 2 3 3 4" xfId="21042"/>
    <cellStyle name="Currency 3 3 2 3 3 4 2" xfId="21043"/>
    <cellStyle name="Currency 3 3 2 3 3 4 2 2" xfId="21044"/>
    <cellStyle name="Currency 3 3 2 3 3 4 2 3" xfId="21045"/>
    <cellStyle name="Currency 3 3 2 3 3 4 3" xfId="21046"/>
    <cellStyle name="Currency 3 3 2 3 3 4 3 2" xfId="21047"/>
    <cellStyle name="Currency 3 3 2 3 3 4 3 3" xfId="21048"/>
    <cellStyle name="Currency 3 3 2 3 3 4 4" xfId="21049"/>
    <cellStyle name="Currency 3 3 2 3 3 4 5" xfId="21050"/>
    <cellStyle name="Currency 3 3 2 3 3 5" xfId="21051"/>
    <cellStyle name="Currency 3 3 2 3 3 5 2" xfId="21052"/>
    <cellStyle name="Currency 3 3 2 3 3 5 3" xfId="21053"/>
    <cellStyle name="Currency 3 3 2 3 3 6" xfId="21054"/>
    <cellStyle name="Currency 3 3 2 3 3 6 2" xfId="21055"/>
    <cellStyle name="Currency 3 3 2 3 3 6 3" xfId="21056"/>
    <cellStyle name="Currency 3 3 2 3 3 7" xfId="21057"/>
    <cellStyle name="Currency 3 3 2 3 3 8" xfId="21058"/>
    <cellStyle name="Currency 3 3 2 3 4" xfId="21059"/>
    <cellStyle name="Currency 3 3 2 3 4 2" xfId="21060"/>
    <cellStyle name="Currency 3 3 2 3 4 2 2" xfId="21061"/>
    <cellStyle name="Currency 3 3 2 3 4 2 2 2" xfId="21062"/>
    <cellStyle name="Currency 3 3 2 3 4 2 2 3" xfId="21063"/>
    <cellStyle name="Currency 3 3 2 3 4 2 3" xfId="21064"/>
    <cellStyle name="Currency 3 3 2 3 4 2 3 2" xfId="21065"/>
    <cellStyle name="Currency 3 3 2 3 4 2 3 3" xfId="21066"/>
    <cellStyle name="Currency 3 3 2 3 4 2 4" xfId="21067"/>
    <cellStyle name="Currency 3 3 2 3 4 2 5" xfId="21068"/>
    <cellStyle name="Currency 3 3 2 3 4 3" xfId="21069"/>
    <cellStyle name="Currency 3 3 2 3 4 3 2" xfId="21070"/>
    <cellStyle name="Currency 3 3 2 3 4 3 3" xfId="21071"/>
    <cellStyle name="Currency 3 3 2 3 4 4" xfId="21072"/>
    <cellStyle name="Currency 3 3 2 3 4 4 2" xfId="21073"/>
    <cellStyle name="Currency 3 3 2 3 4 4 3" xfId="21074"/>
    <cellStyle name="Currency 3 3 2 3 4 5" xfId="21075"/>
    <cellStyle name="Currency 3 3 2 3 4 6" xfId="21076"/>
    <cellStyle name="Currency 3 3 2 3 5" xfId="21077"/>
    <cellStyle name="Currency 3 3 2 3 5 2" xfId="21078"/>
    <cellStyle name="Currency 3 3 2 3 5 2 2" xfId="21079"/>
    <cellStyle name="Currency 3 3 2 3 5 2 2 2" xfId="21080"/>
    <cellStyle name="Currency 3 3 2 3 5 2 2 3" xfId="21081"/>
    <cellStyle name="Currency 3 3 2 3 5 2 3" xfId="21082"/>
    <cellStyle name="Currency 3 3 2 3 5 2 3 2" xfId="21083"/>
    <cellStyle name="Currency 3 3 2 3 5 2 3 3" xfId="21084"/>
    <cellStyle name="Currency 3 3 2 3 5 2 4" xfId="21085"/>
    <cellStyle name="Currency 3 3 2 3 5 2 5" xfId="21086"/>
    <cellStyle name="Currency 3 3 2 3 5 3" xfId="21087"/>
    <cellStyle name="Currency 3 3 2 3 5 3 2" xfId="21088"/>
    <cellStyle name="Currency 3 3 2 3 5 3 3" xfId="21089"/>
    <cellStyle name="Currency 3 3 2 3 5 4" xfId="21090"/>
    <cellStyle name="Currency 3 3 2 3 5 4 2" xfId="21091"/>
    <cellStyle name="Currency 3 3 2 3 5 4 3" xfId="21092"/>
    <cellStyle name="Currency 3 3 2 3 5 5" xfId="21093"/>
    <cellStyle name="Currency 3 3 2 3 5 6" xfId="21094"/>
    <cellStyle name="Currency 3 3 2 3 6" xfId="21095"/>
    <cellStyle name="Currency 3 3 2 3 6 2" xfId="21096"/>
    <cellStyle name="Currency 3 3 2 3 6 2 2" xfId="21097"/>
    <cellStyle name="Currency 3 3 2 3 6 2 3" xfId="21098"/>
    <cellStyle name="Currency 3 3 2 3 6 3" xfId="21099"/>
    <cellStyle name="Currency 3 3 2 3 6 3 2" xfId="21100"/>
    <cellStyle name="Currency 3 3 2 3 6 3 3" xfId="21101"/>
    <cellStyle name="Currency 3 3 2 3 6 4" xfId="21102"/>
    <cellStyle name="Currency 3 3 2 3 6 5" xfId="21103"/>
    <cellStyle name="Currency 3 3 2 3 7" xfId="21104"/>
    <cellStyle name="Currency 3 3 2 3 7 2" xfId="21105"/>
    <cellStyle name="Currency 3 3 2 3 7 3" xfId="21106"/>
    <cellStyle name="Currency 3 3 2 3 8" xfId="21107"/>
    <cellStyle name="Currency 3 3 2 3 8 2" xfId="21108"/>
    <cellStyle name="Currency 3 3 2 3 8 3" xfId="21109"/>
    <cellStyle name="Currency 3 3 2 3 9" xfId="21110"/>
    <cellStyle name="Currency 3 3 2 4" xfId="21111"/>
    <cellStyle name="Currency 3 3 2 4 2" xfId="21112"/>
    <cellStyle name="Currency 3 3 2 4 2 2" xfId="21113"/>
    <cellStyle name="Currency 3 3 2 4 2 2 2" xfId="21114"/>
    <cellStyle name="Currency 3 3 2 4 2 2 2 2" xfId="21115"/>
    <cellStyle name="Currency 3 3 2 4 2 2 2 2 2" xfId="21116"/>
    <cellStyle name="Currency 3 3 2 4 2 2 2 2 3" xfId="21117"/>
    <cellStyle name="Currency 3 3 2 4 2 2 2 3" xfId="21118"/>
    <cellStyle name="Currency 3 3 2 4 2 2 2 3 2" xfId="21119"/>
    <cellStyle name="Currency 3 3 2 4 2 2 2 3 3" xfId="21120"/>
    <cellStyle name="Currency 3 3 2 4 2 2 2 4" xfId="21121"/>
    <cellStyle name="Currency 3 3 2 4 2 2 2 5" xfId="21122"/>
    <cellStyle name="Currency 3 3 2 4 2 2 3" xfId="21123"/>
    <cellStyle name="Currency 3 3 2 4 2 2 3 2" xfId="21124"/>
    <cellStyle name="Currency 3 3 2 4 2 2 3 3" xfId="21125"/>
    <cellStyle name="Currency 3 3 2 4 2 2 4" xfId="21126"/>
    <cellStyle name="Currency 3 3 2 4 2 2 4 2" xfId="21127"/>
    <cellStyle name="Currency 3 3 2 4 2 2 4 3" xfId="21128"/>
    <cellStyle name="Currency 3 3 2 4 2 2 5" xfId="21129"/>
    <cellStyle name="Currency 3 3 2 4 2 2 6" xfId="21130"/>
    <cellStyle name="Currency 3 3 2 4 2 3" xfId="21131"/>
    <cellStyle name="Currency 3 3 2 4 2 3 2" xfId="21132"/>
    <cellStyle name="Currency 3 3 2 4 2 3 2 2" xfId="21133"/>
    <cellStyle name="Currency 3 3 2 4 2 3 2 2 2" xfId="21134"/>
    <cellStyle name="Currency 3 3 2 4 2 3 2 2 3" xfId="21135"/>
    <cellStyle name="Currency 3 3 2 4 2 3 2 3" xfId="21136"/>
    <cellStyle name="Currency 3 3 2 4 2 3 2 3 2" xfId="21137"/>
    <cellStyle name="Currency 3 3 2 4 2 3 2 3 3" xfId="21138"/>
    <cellStyle name="Currency 3 3 2 4 2 3 2 4" xfId="21139"/>
    <cellStyle name="Currency 3 3 2 4 2 3 2 5" xfId="21140"/>
    <cellStyle name="Currency 3 3 2 4 2 3 3" xfId="21141"/>
    <cellStyle name="Currency 3 3 2 4 2 3 3 2" xfId="21142"/>
    <cellStyle name="Currency 3 3 2 4 2 3 3 3" xfId="21143"/>
    <cellStyle name="Currency 3 3 2 4 2 3 4" xfId="21144"/>
    <cellStyle name="Currency 3 3 2 4 2 3 4 2" xfId="21145"/>
    <cellStyle name="Currency 3 3 2 4 2 3 4 3" xfId="21146"/>
    <cellStyle name="Currency 3 3 2 4 2 3 5" xfId="21147"/>
    <cellStyle name="Currency 3 3 2 4 2 3 6" xfId="21148"/>
    <cellStyle name="Currency 3 3 2 4 2 4" xfId="21149"/>
    <cellStyle name="Currency 3 3 2 4 2 4 2" xfId="21150"/>
    <cellStyle name="Currency 3 3 2 4 2 4 2 2" xfId="21151"/>
    <cellStyle name="Currency 3 3 2 4 2 4 2 3" xfId="21152"/>
    <cellStyle name="Currency 3 3 2 4 2 4 3" xfId="21153"/>
    <cellStyle name="Currency 3 3 2 4 2 4 3 2" xfId="21154"/>
    <cellStyle name="Currency 3 3 2 4 2 4 3 3" xfId="21155"/>
    <cellStyle name="Currency 3 3 2 4 2 4 4" xfId="21156"/>
    <cellStyle name="Currency 3 3 2 4 2 4 5" xfId="21157"/>
    <cellStyle name="Currency 3 3 2 4 2 5" xfId="21158"/>
    <cellStyle name="Currency 3 3 2 4 2 5 2" xfId="21159"/>
    <cellStyle name="Currency 3 3 2 4 2 5 3" xfId="21160"/>
    <cellStyle name="Currency 3 3 2 4 2 6" xfId="21161"/>
    <cellStyle name="Currency 3 3 2 4 2 6 2" xfId="21162"/>
    <cellStyle name="Currency 3 3 2 4 2 6 3" xfId="21163"/>
    <cellStyle name="Currency 3 3 2 4 2 7" xfId="21164"/>
    <cellStyle name="Currency 3 3 2 4 2 8" xfId="21165"/>
    <cellStyle name="Currency 3 3 2 4 3" xfId="21166"/>
    <cellStyle name="Currency 3 3 2 4 3 2" xfId="21167"/>
    <cellStyle name="Currency 3 3 2 4 3 2 2" xfId="21168"/>
    <cellStyle name="Currency 3 3 2 4 3 2 2 2" xfId="21169"/>
    <cellStyle name="Currency 3 3 2 4 3 2 2 3" xfId="21170"/>
    <cellStyle name="Currency 3 3 2 4 3 2 3" xfId="21171"/>
    <cellStyle name="Currency 3 3 2 4 3 2 3 2" xfId="21172"/>
    <cellStyle name="Currency 3 3 2 4 3 2 3 3" xfId="21173"/>
    <cellStyle name="Currency 3 3 2 4 3 2 4" xfId="21174"/>
    <cellStyle name="Currency 3 3 2 4 3 2 5" xfId="21175"/>
    <cellStyle name="Currency 3 3 2 4 3 3" xfId="21176"/>
    <cellStyle name="Currency 3 3 2 4 3 3 2" xfId="21177"/>
    <cellStyle name="Currency 3 3 2 4 3 3 3" xfId="21178"/>
    <cellStyle name="Currency 3 3 2 4 3 4" xfId="21179"/>
    <cellStyle name="Currency 3 3 2 4 3 4 2" xfId="21180"/>
    <cellStyle name="Currency 3 3 2 4 3 4 3" xfId="21181"/>
    <cellStyle name="Currency 3 3 2 4 3 5" xfId="21182"/>
    <cellStyle name="Currency 3 3 2 4 3 6" xfId="21183"/>
    <cellStyle name="Currency 3 3 2 4 4" xfId="21184"/>
    <cellStyle name="Currency 3 3 2 4 4 2" xfId="21185"/>
    <cellStyle name="Currency 3 3 2 4 4 2 2" xfId="21186"/>
    <cellStyle name="Currency 3 3 2 4 4 2 2 2" xfId="21187"/>
    <cellStyle name="Currency 3 3 2 4 4 2 2 3" xfId="21188"/>
    <cellStyle name="Currency 3 3 2 4 4 2 3" xfId="21189"/>
    <cellStyle name="Currency 3 3 2 4 4 2 3 2" xfId="21190"/>
    <cellStyle name="Currency 3 3 2 4 4 2 3 3" xfId="21191"/>
    <cellStyle name="Currency 3 3 2 4 4 2 4" xfId="21192"/>
    <cellStyle name="Currency 3 3 2 4 4 2 5" xfId="21193"/>
    <cellStyle name="Currency 3 3 2 4 4 3" xfId="21194"/>
    <cellStyle name="Currency 3 3 2 4 4 3 2" xfId="21195"/>
    <cellStyle name="Currency 3 3 2 4 4 3 3" xfId="21196"/>
    <cellStyle name="Currency 3 3 2 4 4 4" xfId="21197"/>
    <cellStyle name="Currency 3 3 2 4 4 4 2" xfId="21198"/>
    <cellStyle name="Currency 3 3 2 4 4 4 3" xfId="21199"/>
    <cellStyle name="Currency 3 3 2 4 4 5" xfId="21200"/>
    <cellStyle name="Currency 3 3 2 4 4 6" xfId="21201"/>
    <cellStyle name="Currency 3 3 2 4 5" xfId="21202"/>
    <cellStyle name="Currency 3 3 2 4 5 2" xfId="21203"/>
    <cellStyle name="Currency 3 3 2 4 5 2 2" xfId="21204"/>
    <cellStyle name="Currency 3 3 2 4 5 2 3" xfId="21205"/>
    <cellStyle name="Currency 3 3 2 4 5 3" xfId="21206"/>
    <cellStyle name="Currency 3 3 2 4 5 3 2" xfId="21207"/>
    <cellStyle name="Currency 3 3 2 4 5 3 3" xfId="21208"/>
    <cellStyle name="Currency 3 3 2 4 5 4" xfId="21209"/>
    <cellStyle name="Currency 3 3 2 4 5 5" xfId="21210"/>
    <cellStyle name="Currency 3 3 2 4 6" xfId="21211"/>
    <cellStyle name="Currency 3 3 2 4 6 2" xfId="21212"/>
    <cellStyle name="Currency 3 3 2 4 6 3" xfId="21213"/>
    <cellStyle name="Currency 3 3 2 4 7" xfId="21214"/>
    <cellStyle name="Currency 3 3 2 4 7 2" xfId="21215"/>
    <cellStyle name="Currency 3 3 2 4 7 3" xfId="21216"/>
    <cellStyle name="Currency 3 3 2 4 8" xfId="21217"/>
    <cellStyle name="Currency 3 3 2 4 9" xfId="21218"/>
    <cellStyle name="Currency 3 3 2 5" xfId="21219"/>
    <cellStyle name="Currency 3 3 2 5 2" xfId="21220"/>
    <cellStyle name="Currency 3 3 2 5 2 2" xfId="21221"/>
    <cellStyle name="Currency 3 3 2 5 2 2 2" xfId="21222"/>
    <cellStyle name="Currency 3 3 2 5 2 2 2 2" xfId="21223"/>
    <cellStyle name="Currency 3 3 2 5 2 2 2 3" xfId="21224"/>
    <cellStyle name="Currency 3 3 2 5 2 2 3" xfId="21225"/>
    <cellStyle name="Currency 3 3 2 5 2 2 3 2" xfId="21226"/>
    <cellStyle name="Currency 3 3 2 5 2 2 3 3" xfId="21227"/>
    <cellStyle name="Currency 3 3 2 5 2 2 4" xfId="21228"/>
    <cellStyle name="Currency 3 3 2 5 2 2 5" xfId="21229"/>
    <cellStyle name="Currency 3 3 2 5 2 3" xfId="21230"/>
    <cellStyle name="Currency 3 3 2 5 2 3 2" xfId="21231"/>
    <cellStyle name="Currency 3 3 2 5 2 3 3" xfId="21232"/>
    <cellStyle name="Currency 3 3 2 5 2 4" xfId="21233"/>
    <cellStyle name="Currency 3 3 2 5 2 4 2" xfId="21234"/>
    <cellStyle name="Currency 3 3 2 5 2 4 3" xfId="21235"/>
    <cellStyle name="Currency 3 3 2 5 2 5" xfId="21236"/>
    <cellStyle name="Currency 3 3 2 5 2 6" xfId="21237"/>
    <cellStyle name="Currency 3 3 2 5 3" xfId="21238"/>
    <cellStyle name="Currency 3 3 2 5 3 2" xfId="21239"/>
    <cellStyle name="Currency 3 3 2 5 3 2 2" xfId="21240"/>
    <cellStyle name="Currency 3 3 2 5 3 2 2 2" xfId="21241"/>
    <cellStyle name="Currency 3 3 2 5 3 2 2 3" xfId="21242"/>
    <cellStyle name="Currency 3 3 2 5 3 2 3" xfId="21243"/>
    <cellStyle name="Currency 3 3 2 5 3 2 3 2" xfId="21244"/>
    <cellStyle name="Currency 3 3 2 5 3 2 3 3" xfId="21245"/>
    <cellStyle name="Currency 3 3 2 5 3 2 4" xfId="21246"/>
    <cellStyle name="Currency 3 3 2 5 3 2 5" xfId="21247"/>
    <cellStyle name="Currency 3 3 2 5 3 3" xfId="21248"/>
    <cellStyle name="Currency 3 3 2 5 3 3 2" xfId="21249"/>
    <cellStyle name="Currency 3 3 2 5 3 3 3" xfId="21250"/>
    <cellStyle name="Currency 3 3 2 5 3 4" xfId="21251"/>
    <cellStyle name="Currency 3 3 2 5 3 4 2" xfId="21252"/>
    <cellStyle name="Currency 3 3 2 5 3 4 3" xfId="21253"/>
    <cellStyle name="Currency 3 3 2 5 3 5" xfId="21254"/>
    <cellStyle name="Currency 3 3 2 5 3 6" xfId="21255"/>
    <cellStyle name="Currency 3 3 2 5 4" xfId="21256"/>
    <cellStyle name="Currency 3 3 2 5 4 2" xfId="21257"/>
    <cellStyle name="Currency 3 3 2 5 4 2 2" xfId="21258"/>
    <cellStyle name="Currency 3 3 2 5 4 2 3" xfId="21259"/>
    <cellStyle name="Currency 3 3 2 5 4 3" xfId="21260"/>
    <cellStyle name="Currency 3 3 2 5 4 3 2" xfId="21261"/>
    <cellStyle name="Currency 3 3 2 5 4 3 3" xfId="21262"/>
    <cellStyle name="Currency 3 3 2 5 4 4" xfId="21263"/>
    <cellStyle name="Currency 3 3 2 5 4 5" xfId="21264"/>
    <cellStyle name="Currency 3 3 2 5 5" xfId="21265"/>
    <cellStyle name="Currency 3 3 2 5 5 2" xfId="21266"/>
    <cellStyle name="Currency 3 3 2 5 5 3" xfId="21267"/>
    <cellStyle name="Currency 3 3 2 5 6" xfId="21268"/>
    <cellStyle name="Currency 3 3 2 5 6 2" xfId="21269"/>
    <cellStyle name="Currency 3 3 2 5 6 3" xfId="21270"/>
    <cellStyle name="Currency 3 3 2 5 7" xfId="21271"/>
    <cellStyle name="Currency 3 3 2 5 8" xfId="21272"/>
    <cellStyle name="Currency 3 3 2 6" xfId="21273"/>
    <cellStyle name="Currency 3 3 2 6 2" xfId="21274"/>
    <cellStyle name="Currency 3 3 2 6 2 2" xfId="21275"/>
    <cellStyle name="Currency 3 3 2 6 2 2 2" xfId="21276"/>
    <cellStyle name="Currency 3 3 2 6 2 2 3" xfId="21277"/>
    <cellStyle name="Currency 3 3 2 6 2 3" xfId="21278"/>
    <cellStyle name="Currency 3 3 2 6 2 3 2" xfId="21279"/>
    <cellStyle name="Currency 3 3 2 6 2 3 3" xfId="21280"/>
    <cellStyle name="Currency 3 3 2 6 2 4" xfId="21281"/>
    <cellStyle name="Currency 3 3 2 6 2 5" xfId="21282"/>
    <cellStyle name="Currency 3 3 2 6 3" xfId="21283"/>
    <cellStyle name="Currency 3 3 2 6 3 2" xfId="21284"/>
    <cellStyle name="Currency 3 3 2 6 3 3" xfId="21285"/>
    <cellStyle name="Currency 3 3 2 6 4" xfId="21286"/>
    <cellStyle name="Currency 3 3 2 6 4 2" xfId="21287"/>
    <cellStyle name="Currency 3 3 2 6 4 3" xfId="21288"/>
    <cellStyle name="Currency 3 3 2 6 5" xfId="21289"/>
    <cellStyle name="Currency 3 3 2 6 6" xfId="21290"/>
    <cellStyle name="Currency 3 3 2 7" xfId="21291"/>
    <cellStyle name="Currency 3 3 2 7 2" xfId="21292"/>
    <cellStyle name="Currency 3 3 2 7 2 2" xfId="21293"/>
    <cellStyle name="Currency 3 3 2 7 2 2 2" xfId="21294"/>
    <cellStyle name="Currency 3 3 2 7 2 2 3" xfId="21295"/>
    <cellStyle name="Currency 3 3 2 7 2 3" xfId="21296"/>
    <cellStyle name="Currency 3 3 2 7 2 3 2" xfId="21297"/>
    <cellStyle name="Currency 3 3 2 7 2 3 3" xfId="21298"/>
    <cellStyle name="Currency 3 3 2 7 2 4" xfId="21299"/>
    <cellStyle name="Currency 3 3 2 7 2 5" xfId="21300"/>
    <cellStyle name="Currency 3 3 2 7 3" xfId="21301"/>
    <cellStyle name="Currency 3 3 2 7 3 2" xfId="21302"/>
    <cellStyle name="Currency 3 3 2 7 3 3" xfId="21303"/>
    <cellStyle name="Currency 3 3 2 7 4" xfId="21304"/>
    <cellStyle name="Currency 3 3 2 7 4 2" xfId="21305"/>
    <cellStyle name="Currency 3 3 2 7 4 3" xfId="21306"/>
    <cellStyle name="Currency 3 3 2 7 5" xfId="21307"/>
    <cellStyle name="Currency 3 3 2 7 6" xfId="21308"/>
    <cellStyle name="Currency 3 3 2 8" xfId="21309"/>
    <cellStyle name="Currency 3 3 2 8 2" xfId="21310"/>
    <cellStyle name="Currency 3 3 2 8 2 2" xfId="21311"/>
    <cellStyle name="Currency 3 3 2 8 2 3" xfId="21312"/>
    <cellStyle name="Currency 3 3 2 8 3" xfId="21313"/>
    <cellStyle name="Currency 3 3 2 8 3 2" xfId="21314"/>
    <cellStyle name="Currency 3 3 2 8 3 3" xfId="21315"/>
    <cellStyle name="Currency 3 3 2 8 4" xfId="21316"/>
    <cellStyle name="Currency 3 3 2 8 5" xfId="21317"/>
    <cellStyle name="Currency 3 3 2 9" xfId="21318"/>
    <cellStyle name="Currency 3 3 2 9 2" xfId="21319"/>
    <cellStyle name="Currency 3 3 2 9 3" xfId="21320"/>
    <cellStyle name="Currency 3 3 3" xfId="21321"/>
    <cellStyle name="Currency 3 3 3 10" xfId="21322"/>
    <cellStyle name="Currency 3 3 3 2" xfId="21323"/>
    <cellStyle name="Currency 3 3 3 2 2" xfId="21324"/>
    <cellStyle name="Currency 3 3 3 2 2 2" xfId="21325"/>
    <cellStyle name="Currency 3 3 3 2 2 2 2" xfId="21326"/>
    <cellStyle name="Currency 3 3 3 2 2 2 2 2" xfId="21327"/>
    <cellStyle name="Currency 3 3 3 2 2 2 2 2 2" xfId="21328"/>
    <cellStyle name="Currency 3 3 3 2 2 2 2 2 3" xfId="21329"/>
    <cellStyle name="Currency 3 3 3 2 2 2 2 3" xfId="21330"/>
    <cellStyle name="Currency 3 3 3 2 2 2 2 3 2" xfId="21331"/>
    <cellStyle name="Currency 3 3 3 2 2 2 2 3 3" xfId="21332"/>
    <cellStyle name="Currency 3 3 3 2 2 2 2 4" xfId="21333"/>
    <cellStyle name="Currency 3 3 3 2 2 2 2 5" xfId="21334"/>
    <cellStyle name="Currency 3 3 3 2 2 2 3" xfId="21335"/>
    <cellStyle name="Currency 3 3 3 2 2 2 3 2" xfId="21336"/>
    <cellStyle name="Currency 3 3 3 2 2 2 3 3" xfId="21337"/>
    <cellStyle name="Currency 3 3 3 2 2 2 4" xfId="21338"/>
    <cellStyle name="Currency 3 3 3 2 2 2 4 2" xfId="21339"/>
    <cellStyle name="Currency 3 3 3 2 2 2 4 3" xfId="21340"/>
    <cellStyle name="Currency 3 3 3 2 2 2 5" xfId="21341"/>
    <cellStyle name="Currency 3 3 3 2 2 2 6" xfId="21342"/>
    <cellStyle name="Currency 3 3 3 2 2 3" xfId="21343"/>
    <cellStyle name="Currency 3 3 3 2 2 3 2" xfId="21344"/>
    <cellStyle name="Currency 3 3 3 2 2 3 2 2" xfId="21345"/>
    <cellStyle name="Currency 3 3 3 2 2 3 2 2 2" xfId="21346"/>
    <cellStyle name="Currency 3 3 3 2 2 3 2 2 3" xfId="21347"/>
    <cellStyle name="Currency 3 3 3 2 2 3 2 3" xfId="21348"/>
    <cellStyle name="Currency 3 3 3 2 2 3 2 3 2" xfId="21349"/>
    <cellStyle name="Currency 3 3 3 2 2 3 2 3 3" xfId="21350"/>
    <cellStyle name="Currency 3 3 3 2 2 3 2 4" xfId="21351"/>
    <cellStyle name="Currency 3 3 3 2 2 3 2 5" xfId="21352"/>
    <cellStyle name="Currency 3 3 3 2 2 3 3" xfId="21353"/>
    <cellStyle name="Currency 3 3 3 2 2 3 3 2" xfId="21354"/>
    <cellStyle name="Currency 3 3 3 2 2 3 3 3" xfId="21355"/>
    <cellStyle name="Currency 3 3 3 2 2 3 4" xfId="21356"/>
    <cellStyle name="Currency 3 3 3 2 2 3 4 2" xfId="21357"/>
    <cellStyle name="Currency 3 3 3 2 2 3 4 3" xfId="21358"/>
    <cellStyle name="Currency 3 3 3 2 2 3 5" xfId="21359"/>
    <cellStyle name="Currency 3 3 3 2 2 3 6" xfId="21360"/>
    <cellStyle name="Currency 3 3 3 2 2 4" xfId="21361"/>
    <cellStyle name="Currency 3 3 3 2 2 4 2" xfId="21362"/>
    <cellStyle name="Currency 3 3 3 2 2 4 2 2" xfId="21363"/>
    <cellStyle name="Currency 3 3 3 2 2 4 2 3" xfId="21364"/>
    <cellStyle name="Currency 3 3 3 2 2 4 3" xfId="21365"/>
    <cellStyle name="Currency 3 3 3 2 2 4 3 2" xfId="21366"/>
    <cellStyle name="Currency 3 3 3 2 2 4 3 3" xfId="21367"/>
    <cellStyle name="Currency 3 3 3 2 2 4 4" xfId="21368"/>
    <cellStyle name="Currency 3 3 3 2 2 4 5" xfId="21369"/>
    <cellStyle name="Currency 3 3 3 2 2 5" xfId="21370"/>
    <cellStyle name="Currency 3 3 3 2 2 5 2" xfId="21371"/>
    <cellStyle name="Currency 3 3 3 2 2 5 3" xfId="21372"/>
    <cellStyle name="Currency 3 3 3 2 2 6" xfId="21373"/>
    <cellStyle name="Currency 3 3 3 2 2 6 2" xfId="21374"/>
    <cellStyle name="Currency 3 3 3 2 2 6 3" xfId="21375"/>
    <cellStyle name="Currency 3 3 3 2 2 7" xfId="21376"/>
    <cellStyle name="Currency 3 3 3 2 2 8" xfId="21377"/>
    <cellStyle name="Currency 3 3 3 2 3" xfId="21378"/>
    <cellStyle name="Currency 3 3 3 2 3 2" xfId="21379"/>
    <cellStyle name="Currency 3 3 3 2 3 2 2" xfId="21380"/>
    <cellStyle name="Currency 3 3 3 2 3 2 2 2" xfId="21381"/>
    <cellStyle name="Currency 3 3 3 2 3 2 2 3" xfId="21382"/>
    <cellStyle name="Currency 3 3 3 2 3 2 3" xfId="21383"/>
    <cellStyle name="Currency 3 3 3 2 3 2 3 2" xfId="21384"/>
    <cellStyle name="Currency 3 3 3 2 3 2 3 3" xfId="21385"/>
    <cellStyle name="Currency 3 3 3 2 3 2 4" xfId="21386"/>
    <cellStyle name="Currency 3 3 3 2 3 2 5" xfId="21387"/>
    <cellStyle name="Currency 3 3 3 2 3 3" xfId="21388"/>
    <cellStyle name="Currency 3 3 3 2 3 3 2" xfId="21389"/>
    <cellStyle name="Currency 3 3 3 2 3 3 3" xfId="21390"/>
    <cellStyle name="Currency 3 3 3 2 3 4" xfId="21391"/>
    <cellStyle name="Currency 3 3 3 2 3 4 2" xfId="21392"/>
    <cellStyle name="Currency 3 3 3 2 3 4 3" xfId="21393"/>
    <cellStyle name="Currency 3 3 3 2 3 5" xfId="21394"/>
    <cellStyle name="Currency 3 3 3 2 3 6" xfId="21395"/>
    <cellStyle name="Currency 3 3 3 2 4" xfId="21396"/>
    <cellStyle name="Currency 3 3 3 2 4 2" xfId="21397"/>
    <cellStyle name="Currency 3 3 3 2 4 2 2" xfId="21398"/>
    <cellStyle name="Currency 3 3 3 2 4 2 2 2" xfId="21399"/>
    <cellStyle name="Currency 3 3 3 2 4 2 2 3" xfId="21400"/>
    <cellStyle name="Currency 3 3 3 2 4 2 3" xfId="21401"/>
    <cellStyle name="Currency 3 3 3 2 4 2 3 2" xfId="21402"/>
    <cellStyle name="Currency 3 3 3 2 4 2 3 3" xfId="21403"/>
    <cellStyle name="Currency 3 3 3 2 4 2 4" xfId="21404"/>
    <cellStyle name="Currency 3 3 3 2 4 2 5" xfId="21405"/>
    <cellStyle name="Currency 3 3 3 2 4 3" xfId="21406"/>
    <cellStyle name="Currency 3 3 3 2 4 3 2" xfId="21407"/>
    <cellStyle name="Currency 3 3 3 2 4 3 3" xfId="21408"/>
    <cellStyle name="Currency 3 3 3 2 4 4" xfId="21409"/>
    <cellStyle name="Currency 3 3 3 2 4 4 2" xfId="21410"/>
    <cellStyle name="Currency 3 3 3 2 4 4 3" xfId="21411"/>
    <cellStyle name="Currency 3 3 3 2 4 5" xfId="21412"/>
    <cellStyle name="Currency 3 3 3 2 4 6" xfId="21413"/>
    <cellStyle name="Currency 3 3 3 2 5" xfId="21414"/>
    <cellStyle name="Currency 3 3 3 2 5 2" xfId="21415"/>
    <cellStyle name="Currency 3 3 3 2 5 2 2" xfId="21416"/>
    <cellStyle name="Currency 3 3 3 2 5 2 3" xfId="21417"/>
    <cellStyle name="Currency 3 3 3 2 5 3" xfId="21418"/>
    <cellStyle name="Currency 3 3 3 2 5 3 2" xfId="21419"/>
    <cellStyle name="Currency 3 3 3 2 5 3 3" xfId="21420"/>
    <cellStyle name="Currency 3 3 3 2 5 4" xfId="21421"/>
    <cellStyle name="Currency 3 3 3 2 5 5" xfId="21422"/>
    <cellStyle name="Currency 3 3 3 2 6" xfId="21423"/>
    <cellStyle name="Currency 3 3 3 2 6 2" xfId="21424"/>
    <cellStyle name="Currency 3 3 3 2 6 3" xfId="21425"/>
    <cellStyle name="Currency 3 3 3 2 7" xfId="21426"/>
    <cellStyle name="Currency 3 3 3 2 7 2" xfId="21427"/>
    <cellStyle name="Currency 3 3 3 2 7 3" xfId="21428"/>
    <cellStyle name="Currency 3 3 3 2 8" xfId="21429"/>
    <cellStyle name="Currency 3 3 3 2 9" xfId="21430"/>
    <cellStyle name="Currency 3 3 3 3" xfId="21431"/>
    <cellStyle name="Currency 3 3 3 3 2" xfId="21432"/>
    <cellStyle name="Currency 3 3 3 3 2 2" xfId="21433"/>
    <cellStyle name="Currency 3 3 3 3 2 2 2" xfId="21434"/>
    <cellStyle name="Currency 3 3 3 3 2 2 2 2" xfId="21435"/>
    <cellStyle name="Currency 3 3 3 3 2 2 2 3" xfId="21436"/>
    <cellStyle name="Currency 3 3 3 3 2 2 3" xfId="21437"/>
    <cellStyle name="Currency 3 3 3 3 2 2 3 2" xfId="21438"/>
    <cellStyle name="Currency 3 3 3 3 2 2 3 3" xfId="21439"/>
    <cellStyle name="Currency 3 3 3 3 2 2 4" xfId="21440"/>
    <cellStyle name="Currency 3 3 3 3 2 2 5" xfId="21441"/>
    <cellStyle name="Currency 3 3 3 3 2 3" xfId="21442"/>
    <cellStyle name="Currency 3 3 3 3 2 3 2" xfId="21443"/>
    <cellStyle name="Currency 3 3 3 3 2 3 3" xfId="21444"/>
    <cellStyle name="Currency 3 3 3 3 2 4" xfId="21445"/>
    <cellStyle name="Currency 3 3 3 3 2 4 2" xfId="21446"/>
    <cellStyle name="Currency 3 3 3 3 2 4 3" xfId="21447"/>
    <cellStyle name="Currency 3 3 3 3 2 5" xfId="21448"/>
    <cellStyle name="Currency 3 3 3 3 2 6" xfId="21449"/>
    <cellStyle name="Currency 3 3 3 3 3" xfId="21450"/>
    <cellStyle name="Currency 3 3 3 3 3 2" xfId="21451"/>
    <cellStyle name="Currency 3 3 3 3 3 2 2" xfId="21452"/>
    <cellStyle name="Currency 3 3 3 3 3 2 2 2" xfId="21453"/>
    <cellStyle name="Currency 3 3 3 3 3 2 2 3" xfId="21454"/>
    <cellStyle name="Currency 3 3 3 3 3 2 3" xfId="21455"/>
    <cellStyle name="Currency 3 3 3 3 3 2 3 2" xfId="21456"/>
    <cellStyle name="Currency 3 3 3 3 3 2 3 3" xfId="21457"/>
    <cellStyle name="Currency 3 3 3 3 3 2 4" xfId="21458"/>
    <cellStyle name="Currency 3 3 3 3 3 2 5" xfId="21459"/>
    <cellStyle name="Currency 3 3 3 3 3 3" xfId="21460"/>
    <cellStyle name="Currency 3 3 3 3 3 3 2" xfId="21461"/>
    <cellStyle name="Currency 3 3 3 3 3 3 3" xfId="21462"/>
    <cellStyle name="Currency 3 3 3 3 3 4" xfId="21463"/>
    <cellStyle name="Currency 3 3 3 3 3 4 2" xfId="21464"/>
    <cellStyle name="Currency 3 3 3 3 3 4 3" xfId="21465"/>
    <cellStyle name="Currency 3 3 3 3 3 5" xfId="21466"/>
    <cellStyle name="Currency 3 3 3 3 3 6" xfId="21467"/>
    <cellStyle name="Currency 3 3 3 3 4" xfId="21468"/>
    <cellStyle name="Currency 3 3 3 3 4 2" xfId="21469"/>
    <cellStyle name="Currency 3 3 3 3 4 2 2" xfId="21470"/>
    <cellStyle name="Currency 3 3 3 3 4 2 3" xfId="21471"/>
    <cellStyle name="Currency 3 3 3 3 4 3" xfId="21472"/>
    <cellStyle name="Currency 3 3 3 3 4 3 2" xfId="21473"/>
    <cellStyle name="Currency 3 3 3 3 4 3 3" xfId="21474"/>
    <cellStyle name="Currency 3 3 3 3 4 4" xfId="21475"/>
    <cellStyle name="Currency 3 3 3 3 4 5" xfId="21476"/>
    <cellStyle name="Currency 3 3 3 3 5" xfId="21477"/>
    <cellStyle name="Currency 3 3 3 3 5 2" xfId="21478"/>
    <cellStyle name="Currency 3 3 3 3 5 3" xfId="21479"/>
    <cellStyle name="Currency 3 3 3 3 6" xfId="21480"/>
    <cellStyle name="Currency 3 3 3 3 6 2" xfId="21481"/>
    <cellStyle name="Currency 3 3 3 3 6 3" xfId="21482"/>
    <cellStyle name="Currency 3 3 3 3 7" xfId="21483"/>
    <cellStyle name="Currency 3 3 3 3 8" xfId="21484"/>
    <cellStyle name="Currency 3 3 3 4" xfId="21485"/>
    <cellStyle name="Currency 3 3 3 4 2" xfId="21486"/>
    <cellStyle name="Currency 3 3 3 4 2 2" xfId="21487"/>
    <cellStyle name="Currency 3 3 3 4 2 2 2" xfId="21488"/>
    <cellStyle name="Currency 3 3 3 4 2 2 3" xfId="21489"/>
    <cellStyle name="Currency 3 3 3 4 2 3" xfId="21490"/>
    <cellStyle name="Currency 3 3 3 4 2 3 2" xfId="21491"/>
    <cellStyle name="Currency 3 3 3 4 2 3 3" xfId="21492"/>
    <cellStyle name="Currency 3 3 3 4 2 4" xfId="21493"/>
    <cellStyle name="Currency 3 3 3 4 2 5" xfId="21494"/>
    <cellStyle name="Currency 3 3 3 4 3" xfId="21495"/>
    <cellStyle name="Currency 3 3 3 4 3 2" xfId="21496"/>
    <cellStyle name="Currency 3 3 3 4 3 3" xfId="21497"/>
    <cellStyle name="Currency 3 3 3 4 4" xfId="21498"/>
    <cellStyle name="Currency 3 3 3 4 4 2" xfId="21499"/>
    <cellStyle name="Currency 3 3 3 4 4 3" xfId="21500"/>
    <cellStyle name="Currency 3 3 3 4 5" xfId="21501"/>
    <cellStyle name="Currency 3 3 3 4 6" xfId="21502"/>
    <cellStyle name="Currency 3 3 3 5" xfId="21503"/>
    <cellStyle name="Currency 3 3 3 5 2" xfId="21504"/>
    <cellStyle name="Currency 3 3 3 5 2 2" xfId="21505"/>
    <cellStyle name="Currency 3 3 3 5 2 2 2" xfId="21506"/>
    <cellStyle name="Currency 3 3 3 5 2 2 3" xfId="21507"/>
    <cellStyle name="Currency 3 3 3 5 2 3" xfId="21508"/>
    <cellStyle name="Currency 3 3 3 5 2 3 2" xfId="21509"/>
    <cellStyle name="Currency 3 3 3 5 2 3 3" xfId="21510"/>
    <cellStyle name="Currency 3 3 3 5 2 4" xfId="21511"/>
    <cellStyle name="Currency 3 3 3 5 2 5" xfId="21512"/>
    <cellStyle name="Currency 3 3 3 5 3" xfId="21513"/>
    <cellStyle name="Currency 3 3 3 5 3 2" xfId="21514"/>
    <cellStyle name="Currency 3 3 3 5 3 3" xfId="21515"/>
    <cellStyle name="Currency 3 3 3 5 4" xfId="21516"/>
    <cellStyle name="Currency 3 3 3 5 4 2" xfId="21517"/>
    <cellStyle name="Currency 3 3 3 5 4 3" xfId="21518"/>
    <cellStyle name="Currency 3 3 3 5 5" xfId="21519"/>
    <cellStyle name="Currency 3 3 3 5 6" xfId="21520"/>
    <cellStyle name="Currency 3 3 3 6" xfId="21521"/>
    <cellStyle name="Currency 3 3 3 6 2" xfId="21522"/>
    <cellStyle name="Currency 3 3 3 6 2 2" xfId="21523"/>
    <cellStyle name="Currency 3 3 3 6 2 3" xfId="21524"/>
    <cellStyle name="Currency 3 3 3 6 3" xfId="21525"/>
    <cellStyle name="Currency 3 3 3 6 3 2" xfId="21526"/>
    <cellStyle name="Currency 3 3 3 6 3 3" xfId="21527"/>
    <cellStyle name="Currency 3 3 3 6 4" xfId="21528"/>
    <cellStyle name="Currency 3 3 3 6 5" xfId="21529"/>
    <cellStyle name="Currency 3 3 3 7" xfId="21530"/>
    <cellStyle name="Currency 3 3 3 7 2" xfId="21531"/>
    <cellStyle name="Currency 3 3 3 7 3" xfId="21532"/>
    <cellStyle name="Currency 3 3 3 8" xfId="21533"/>
    <cellStyle name="Currency 3 3 3 8 2" xfId="21534"/>
    <cellStyle name="Currency 3 3 3 8 3" xfId="21535"/>
    <cellStyle name="Currency 3 3 3 9" xfId="21536"/>
    <cellStyle name="Currency 3 3 4" xfId="21537"/>
    <cellStyle name="Currency 3 3 4 10" xfId="21538"/>
    <cellStyle name="Currency 3 3 4 2" xfId="21539"/>
    <cellStyle name="Currency 3 3 4 2 2" xfId="21540"/>
    <cellStyle name="Currency 3 3 4 2 2 2" xfId="21541"/>
    <cellStyle name="Currency 3 3 4 2 2 2 2" xfId="21542"/>
    <cellStyle name="Currency 3 3 4 2 2 2 2 2" xfId="21543"/>
    <cellStyle name="Currency 3 3 4 2 2 2 2 2 2" xfId="21544"/>
    <cellStyle name="Currency 3 3 4 2 2 2 2 2 3" xfId="21545"/>
    <cellStyle name="Currency 3 3 4 2 2 2 2 3" xfId="21546"/>
    <cellStyle name="Currency 3 3 4 2 2 2 2 3 2" xfId="21547"/>
    <cellStyle name="Currency 3 3 4 2 2 2 2 3 3" xfId="21548"/>
    <cellStyle name="Currency 3 3 4 2 2 2 2 4" xfId="21549"/>
    <cellStyle name="Currency 3 3 4 2 2 2 2 5" xfId="21550"/>
    <cellStyle name="Currency 3 3 4 2 2 2 3" xfId="21551"/>
    <cellStyle name="Currency 3 3 4 2 2 2 3 2" xfId="21552"/>
    <cellStyle name="Currency 3 3 4 2 2 2 3 3" xfId="21553"/>
    <cellStyle name="Currency 3 3 4 2 2 2 4" xfId="21554"/>
    <cellStyle name="Currency 3 3 4 2 2 2 4 2" xfId="21555"/>
    <cellStyle name="Currency 3 3 4 2 2 2 4 3" xfId="21556"/>
    <cellStyle name="Currency 3 3 4 2 2 2 5" xfId="21557"/>
    <cellStyle name="Currency 3 3 4 2 2 2 6" xfId="21558"/>
    <cellStyle name="Currency 3 3 4 2 2 3" xfId="21559"/>
    <cellStyle name="Currency 3 3 4 2 2 3 2" xfId="21560"/>
    <cellStyle name="Currency 3 3 4 2 2 3 2 2" xfId="21561"/>
    <cellStyle name="Currency 3 3 4 2 2 3 2 2 2" xfId="21562"/>
    <cellStyle name="Currency 3 3 4 2 2 3 2 2 3" xfId="21563"/>
    <cellStyle name="Currency 3 3 4 2 2 3 2 3" xfId="21564"/>
    <cellStyle name="Currency 3 3 4 2 2 3 2 3 2" xfId="21565"/>
    <cellStyle name="Currency 3 3 4 2 2 3 2 3 3" xfId="21566"/>
    <cellStyle name="Currency 3 3 4 2 2 3 2 4" xfId="21567"/>
    <cellStyle name="Currency 3 3 4 2 2 3 2 5" xfId="21568"/>
    <cellStyle name="Currency 3 3 4 2 2 3 3" xfId="21569"/>
    <cellStyle name="Currency 3 3 4 2 2 3 3 2" xfId="21570"/>
    <cellStyle name="Currency 3 3 4 2 2 3 3 3" xfId="21571"/>
    <cellStyle name="Currency 3 3 4 2 2 3 4" xfId="21572"/>
    <cellStyle name="Currency 3 3 4 2 2 3 4 2" xfId="21573"/>
    <cellStyle name="Currency 3 3 4 2 2 3 4 3" xfId="21574"/>
    <cellStyle name="Currency 3 3 4 2 2 3 5" xfId="21575"/>
    <cellStyle name="Currency 3 3 4 2 2 3 6" xfId="21576"/>
    <cellStyle name="Currency 3 3 4 2 2 4" xfId="21577"/>
    <cellStyle name="Currency 3 3 4 2 2 4 2" xfId="21578"/>
    <cellStyle name="Currency 3 3 4 2 2 4 2 2" xfId="21579"/>
    <cellStyle name="Currency 3 3 4 2 2 4 2 3" xfId="21580"/>
    <cellStyle name="Currency 3 3 4 2 2 4 3" xfId="21581"/>
    <cellStyle name="Currency 3 3 4 2 2 4 3 2" xfId="21582"/>
    <cellStyle name="Currency 3 3 4 2 2 4 3 3" xfId="21583"/>
    <cellStyle name="Currency 3 3 4 2 2 4 4" xfId="21584"/>
    <cellStyle name="Currency 3 3 4 2 2 4 5" xfId="21585"/>
    <cellStyle name="Currency 3 3 4 2 2 5" xfId="21586"/>
    <cellStyle name="Currency 3 3 4 2 2 5 2" xfId="21587"/>
    <cellStyle name="Currency 3 3 4 2 2 5 3" xfId="21588"/>
    <cellStyle name="Currency 3 3 4 2 2 6" xfId="21589"/>
    <cellStyle name="Currency 3 3 4 2 2 6 2" xfId="21590"/>
    <cellStyle name="Currency 3 3 4 2 2 6 3" xfId="21591"/>
    <cellStyle name="Currency 3 3 4 2 2 7" xfId="21592"/>
    <cellStyle name="Currency 3 3 4 2 2 8" xfId="21593"/>
    <cellStyle name="Currency 3 3 4 2 3" xfId="21594"/>
    <cellStyle name="Currency 3 3 4 2 3 2" xfId="21595"/>
    <cellStyle name="Currency 3 3 4 2 3 2 2" xfId="21596"/>
    <cellStyle name="Currency 3 3 4 2 3 2 2 2" xfId="21597"/>
    <cellStyle name="Currency 3 3 4 2 3 2 2 3" xfId="21598"/>
    <cellStyle name="Currency 3 3 4 2 3 2 3" xfId="21599"/>
    <cellStyle name="Currency 3 3 4 2 3 2 3 2" xfId="21600"/>
    <cellStyle name="Currency 3 3 4 2 3 2 3 3" xfId="21601"/>
    <cellStyle name="Currency 3 3 4 2 3 2 4" xfId="21602"/>
    <cellStyle name="Currency 3 3 4 2 3 2 5" xfId="21603"/>
    <cellStyle name="Currency 3 3 4 2 3 3" xfId="21604"/>
    <cellStyle name="Currency 3 3 4 2 3 3 2" xfId="21605"/>
    <cellStyle name="Currency 3 3 4 2 3 3 3" xfId="21606"/>
    <cellStyle name="Currency 3 3 4 2 3 4" xfId="21607"/>
    <cellStyle name="Currency 3 3 4 2 3 4 2" xfId="21608"/>
    <cellStyle name="Currency 3 3 4 2 3 4 3" xfId="21609"/>
    <cellStyle name="Currency 3 3 4 2 3 5" xfId="21610"/>
    <cellStyle name="Currency 3 3 4 2 3 6" xfId="21611"/>
    <cellStyle name="Currency 3 3 4 2 4" xfId="21612"/>
    <cellStyle name="Currency 3 3 4 2 4 2" xfId="21613"/>
    <cellStyle name="Currency 3 3 4 2 4 2 2" xfId="21614"/>
    <cellStyle name="Currency 3 3 4 2 4 2 2 2" xfId="21615"/>
    <cellStyle name="Currency 3 3 4 2 4 2 2 3" xfId="21616"/>
    <cellStyle name="Currency 3 3 4 2 4 2 3" xfId="21617"/>
    <cellStyle name="Currency 3 3 4 2 4 2 3 2" xfId="21618"/>
    <cellStyle name="Currency 3 3 4 2 4 2 3 3" xfId="21619"/>
    <cellStyle name="Currency 3 3 4 2 4 2 4" xfId="21620"/>
    <cellStyle name="Currency 3 3 4 2 4 2 5" xfId="21621"/>
    <cellStyle name="Currency 3 3 4 2 4 3" xfId="21622"/>
    <cellStyle name="Currency 3 3 4 2 4 3 2" xfId="21623"/>
    <cellStyle name="Currency 3 3 4 2 4 3 3" xfId="21624"/>
    <cellStyle name="Currency 3 3 4 2 4 4" xfId="21625"/>
    <cellStyle name="Currency 3 3 4 2 4 4 2" xfId="21626"/>
    <cellStyle name="Currency 3 3 4 2 4 4 3" xfId="21627"/>
    <cellStyle name="Currency 3 3 4 2 4 5" xfId="21628"/>
    <cellStyle name="Currency 3 3 4 2 4 6" xfId="21629"/>
    <cellStyle name="Currency 3 3 4 2 5" xfId="21630"/>
    <cellStyle name="Currency 3 3 4 2 5 2" xfId="21631"/>
    <cellStyle name="Currency 3 3 4 2 5 2 2" xfId="21632"/>
    <cellStyle name="Currency 3 3 4 2 5 2 3" xfId="21633"/>
    <cellStyle name="Currency 3 3 4 2 5 3" xfId="21634"/>
    <cellStyle name="Currency 3 3 4 2 5 3 2" xfId="21635"/>
    <cellStyle name="Currency 3 3 4 2 5 3 3" xfId="21636"/>
    <cellStyle name="Currency 3 3 4 2 5 4" xfId="21637"/>
    <cellStyle name="Currency 3 3 4 2 5 5" xfId="21638"/>
    <cellStyle name="Currency 3 3 4 2 6" xfId="21639"/>
    <cellStyle name="Currency 3 3 4 2 6 2" xfId="21640"/>
    <cellStyle name="Currency 3 3 4 2 6 3" xfId="21641"/>
    <cellStyle name="Currency 3 3 4 2 7" xfId="21642"/>
    <cellStyle name="Currency 3 3 4 2 7 2" xfId="21643"/>
    <cellStyle name="Currency 3 3 4 2 7 3" xfId="21644"/>
    <cellStyle name="Currency 3 3 4 2 8" xfId="21645"/>
    <cellStyle name="Currency 3 3 4 2 9" xfId="21646"/>
    <cellStyle name="Currency 3 3 4 3" xfId="21647"/>
    <cellStyle name="Currency 3 3 4 3 2" xfId="21648"/>
    <cellStyle name="Currency 3 3 4 3 2 2" xfId="21649"/>
    <cellStyle name="Currency 3 3 4 3 2 2 2" xfId="21650"/>
    <cellStyle name="Currency 3 3 4 3 2 2 2 2" xfId="21651"/>
    <cellStyle name="Currency 3 3 4 3 2 2 2 3" xfId="21652"/>
    <cellStyle name="Currency 3 3 4 3 2 2 3" xfId="21653"/>
    <cellStyle name="Currency 3 3 4 3 2 2 3 2" xfId="21654"/>
    <cellStyle name="Currency 3 3 4 3 2 2 3 3" xfId="21655"/>
    <cellStyle name="Currency 3 3 4 3 2 2 4" xfId="21656"/>
    <cellStyle name="Currency 3 3 4 3 2 2 5" xfId="21657"/>
    <cellStyle name="Currency 3 3 4 3 2 3" xfId="21658"/>
    <cellStyle name="Currency 3 3 4 3 2 3 2" xfId="21659"/>
    <cellStyle name="Currency 3 3 4 3 2 3 3" xfId="21660"/>
    <cellStyle name="Currency 3 3 4 3 2 4" xfId="21661"/>
    <cellStyle name="Currency 3 3 4 3 2 4 2" xfId="21662"/>
    <cellStyle name="Currency 3 3 4 3 2 4 3" xfId="21663"/>
    <cellStyle name="Currency 3 3 4 3 2 5" xfId="21664"/>
    <cellStyle name="Currency 3 3 4 3 2 6" xfId="21665"/>
    <cellStyle name="Currency 3 3 4 3 3" xfId="21666"/>
    <cellStyle name="Currency 3 3 4 3 3 2" xfId="21667"/>
    <cellStyle name="Currency 3 3 4 3 3 2 2" xfId="21668"/>
    <cellStyle name="Currency 3 3 4 3 3 2 2 2" xfId="21669"/>
    <cellStyle name="Currency 3 3 4 3 3 2 2 3" xfId="21670"/>
    <cellStyle name="Currency 3 3 4 3 3 2 3" xfId="21671"/>
    <cellStyle name="Currency 3 3 4 3 3 2 3 2" xfId="21672"/>
    <cellStyle name="Currency 3 3 4 3 3 2 3 3" xfId="21673"/>
    <cellStyle name="Currency 3 3 4 3 3 2 4" xfId="21674"/>
    <cellStyle name="Currency 3 3 4 3 3 2 5" xfId="21675"/>
    <cellStyle name="Currency 3 3 4 3 3 3" xfId="21676"/>
    <cellStyle name="Currency 3 3 4 3 3 3 2" xfId="21677"/>
    <cellStyle name="Currency 3 3 4 3 3 3 3" xfId="21678"/>
    <cellStyle name="Currency 3 3 4 3 3 4" xfId="21679"/>
    <cellStyle name="Currency 3 3 4 3 3 4 2" xfId="21680"/>
    <cellStyle name="Currency 3 3 4 3 3 4 3" xfId="21681"/>
    <cellStyle name="Currency 3 3 4 3 3 5" xfId="21682"/>
    <cellStyle name="Currency 3 3 4 3 3 6" xfId="21683"/>
    <cellStyle name="Currency 3 3 4 3 4" xfId="21684"/>
    <cellStyle name="Currency 3 3 4 3 4 2" xfId="21685"/>
    <cellStyle name="Currency 3 3 4 3 4 2 2" xfId="21686"/>
    <cellStyle name="Currency 3 3 4 3 4 2 3" xfId="21687"/>
    <cellStyle name="Currency 3 3 4 3 4 3" xfId="21688"/>
    <cellStyle name="Currency 3 3 4 3 4 3 2" xfId="21689"/>
    <cellStyle name="Currency 3 3 4 3 4 3 3" xfId="21690"/>
    <cellStyle name="Currency 3 3 4 3 4 4" xfId="21691"/>
    <cellStyle name="Currency 3 3 4 3 4 5" xfId="21692"/>
    <cellStyle name="Currency 3 3 4 3 5" xfId="21693"/>
    <cellStyle name="Currency 3 3 4 3 5 2" xfId="21694"/>
    <cellStyle name="Currency 3 3 4 3 5 3" xfId="21695"/>
    <cellStyle name="Currency 3 3 4 3 6" xfId="21696"/>
    <cellStyle name="Currency 3 3 4 3 6 2" xfId="21697"/>
    <cellStyle name="Currency 3 3 4 3 6 3" xfId="21698"/>
    <cellStyle name="Currency 3 3 4 3 7" xfId="21699"/>
    <cellStyle name="Currency 3 3 4 3 8" xfId="21700"/>
    <cellStyle name="Currency 3 3 4 4" xfId="21701"/>
    <cellStyle name="Currency 3 3 4 4 2" xfId="21702"/>
    <cellStyle name="Currency 3 3 4 4 2 2" xfId="21703"/>
    <cellStyle name="Currency 3 3 4 4 2 2 2" xfId="21704"/>
    <cellStyle name="Currency 3 3 4 4 2 2 3" xfId="21705"/>
    <cellStyle name="Currency 3 3 4 4 2 3" xfId="21706"/>
    <cellStyle name="Currency 3 3 4 4 2 3 2" xfId="21707"/>
    <cellStyle name="Currency 3 3 4 4 2 3 3" xfId="21708"/>
    <cellStyle name="Currency 3 3 4 4 2 4" xfId="21709"/>
    <cellStyle name="Currency 3 3 4 4 2 5" xfId="21710"/>
    <cellStyle name="Currency 3 3 4 4 3" xfId="21711"/>
    <cellStyle name="Currency 3 3 4 4 3 2" xfId="21712"/>
    <cellStyle name="Currency 3 3 4 4 3 3" xfId="21713"/>
    <cellStyle name="Currency 3 3 4 4 4" xfId="21714"/>
    <cellStyle name="Currency 3 3 4 4 4 2" xfId="21715"/>
    <cellStyle name="Currency 3 3 4 4 4 3" xfId="21716"/>
    <cellStyle name="Currency 3 3 4 4 5" xfId="21717"/>
    <cellStyle name="Currency 3 3 4 4 6" xfId="21718"/>
    <cellStyle name="Currency 3 3 4 5" xfId="21719"/>
    <cellStyle name="Currency 3 3 4 5 2" xfId="21720"/>
    <cellStyle name="Currency 3 3 4 5 2 2" xfId="21721"/>
    <cellStyle name="Currency 3 3 4 5 2 2 2" xfId="21722"/>
    <cellStyle name="Currency 3 3 4 5 2 2 3" xfId="21723"/>
    <cellStyle name="Currency 3 3 4 5 2 3" xfId="21724"/>
    <cellStyle name="Currency 3 3 4 5 2 3 2" xfId="21725"/>
    <cellStyle name="Currency 3 3 4 5 2 3 3" xfId="21726"/>
    <cellStyle name="Currency 3 3 4 5 2 4" xfId="21727"/>
    <cellStyle name="Currency 3 3 4 5 2 5" xfId="21728"/>
    <cellStyle name="Currency 3 3 4 5 3" xfId="21729"/>
    <cellStyle name="Currency 3 3 4 5 3 2" xfId="21730"/>
    <cellStyle name="Currency 3 3 4 5 3 3" xfId="21731"/>
    <cellStyle name="Currency 3 3 4 5 4" xfId="21732"/>
    <cellStyle name="Currency 3 3 4 5 4 2" xfId="21733"/>
    <cellStyle name="Currency 3 3 4 5 4 3" xfId="21734"/>
    <cellStyle name="Currency 3 3 4 5 5" xfId="21735"/>
    <cellStyle name="Currency 3 3 4 5 6" xfId="21736"/>
    <cellStyle name="Currency 3 3 4 6" xfId="21737"/>
    <cellStyle name="Currency 3 3 4 6 2" xfId="21738"/>
    <cellStyle name="Currency 3 3 4 6 2 2" xfId="21739"/>
    <cellStyle name="Currency 3 3 4 6 2 3" xfId="21740"/>
    <cellStyle name="Currency 3 3 4 6 3" xfId="21741"/>
    <cellStyle name="Currency 3 3 4 6 3 2" xfId="21742"/>
    <cellStyle name="Currency 3 3 4 6 3 3" xfId="21743"/>
    <cellStyle name="Currency 3 3 4 6 4" xfId="21744"/>
    <cellStyle name="Currency 3 3 4 6 5" xfId="21745"/>
    <cellStyle name="Currency 3 3 4 7" xfId="21746"/>
    <cellStyle name="Currency 3 3 4 7 2" xfId="21747"/>
    <cellStyle name="Currency 3 3 4 7 3" xfId="21748"/>
    <cellStyle name="Currency 3 3 4 8" xfId="21749"/>
    <cellStyle name="Currency 3 3 4 8 2" xfId="21750"/>
    <cellStyle name="Currency 3 3 4 8 3" xfId="21751"/>
    <cellStyle name="Currency 3 3 4 9" xfId="21752"/>
    <cellStyle name="Currency 3 3 5" xfId="21753"/>
    <cellStyle name="Currency 3 3 5 2" xfId="21754"/>
    <cellStyle name="Currency 3 3 5 2 2" xfId="21755"/>
    <cellStyle name="Currency 3 3 5 2 2 2" xfId="21756"/>
    <cellStyle name="Currency 3 3 5 2 2 2 2" xfId="21757"/>
    <cellStyle name="Currency 3 3 5 2 2 2 2 2" xfId="21758"/>
    <cellStyle name="Currency 3 3 5 2 2 2 2 3" xfId="21759"/>
    <cellStyle name="Currency 3 3 5 2 2 2 3" xfId="21760"/>
    <cellStyle name="Currency 3 3 5 2 2 2 3 2" xfId="21761"/>
    <cellStyle name="Currency 3 3 5 2 2 2 3 3" xfId="21762"/>
    <cellStyle name="Currency 3 3 5 2 2 2 4" xfId="21763"/>
    <cellStyle name="Currency 3 3 5 2 2 2 5" xfId="21764"/>
    <cellStyle name="Currency 3 3 5 2 2 3" xfId="21765"/>
    <cellStyle name="Currency 3 3 5 2 2 3 2" xfId="21766"/>
    <cellStyle name="Currency 3 3 5 2 2 3 3" xfId="21767"/>
    <cellStyle name="Currency 3 3 5 2 2 4" xfId="21768"/>
    <cellStyle name="Currency 3 3 5 2 2 4 2" xfId="21769"/>
    <cellStyle name="Currency 3 3 5 2 2 4 3" xfId="21770"/>
    <cellStyle name="Currency 3 3 5 2 2 5" xfId="21771"/>
    <cellStyle name="Currency 3 3 5 2 2 6" xfId="21772"/>
    <cellStyle name="Currency 3 3 5 2 3" xfId="21773"/>
    <cellStyle name="Currency 3 3 5 2 3 2" xfId="21774"/>
    <cellStyle name="Currency 3 3 5 2 3 2 2" xfId="21775"/>
    <cellStyle name="Currency 3 3 5 2 3 2 2 2" xfId="21776"/>
    <cellStyle name="Currency 3 3 5 2 3 2 2 3" xfId="21777"/>
    <cellStyle name="Currency 3 3 5 2 3 2 3" xfId="21778"/>
    <cellStyle name="Currency 3 3 5 2 3 2 3 2" xfId="21779"/>
    <cellStyle name="Currency 3 3 5 2 3 2 3 3" xfId="21780"/>
    <cellStyle name="Currency 3 3 5 2 3 2 4" xfId="21781"/>
    <cellStyle name="Currency 3 3 5 2 3 2 5" xfId="21782"/>
    <cellStyle name="Currency 3 3 5 2 3 3" xfId="21783"/>
    <cellStyle name="Currency 3 3 5 2 3 3 2" xfId="21784"/>
    <cellStyle name="Currency 3 3 5 2 3 3 3" xfId="21785"/>
    <cellStyle name="Currency 3 3 5 2 3 4" xfId="21786"/>
    <cellStyle name="Currency 3 3 5 2 3 4 2" xfId="21787"/>
    <cellStyle name="Currency 3 3 5 2 3 4 3" xfId="21788"/>
    <cellStyle name="Currency 3 3 5 2 3 5" xfId="21789"/>
    <cellStyle name="Currency 3 3 5 2 3 6" xfId="21790"/>
    <cellStyle name="Currency 3 3 5 2 4" xfId="21791"/>
    <cellStyle name="Currency 3 3 5 2 4 2" xfId="21792"/>
    <cellStyle name="Currency 3 3 5 2 4 2 2" xfId="21793"/>
    <cellStyle name="Currency 3 3 5 2 4 2 3" xfId="21794"/>
    <cellStyle name="Currency 3 3 5 2 4 3" xfId="21795"/>
    <cellStyle name="Currency 3 3 5 2 4 3 2" xfId="21796"/>
    <cellStyle name="Currency 3 3 5 2 4 3 3" xfId="21797"/>
    <cellStyle name="Currency 3 3 5 2 4 4" xfId="21798"/>
    <cellStyle name="Currency 3 3 5 2 4 5" xfId="21799"/>
    <cellStyle name="Currency 3 3 5 2 5" xfId="21800"/>
    <cellStyle name="Currency 3 3 5 2 5 2" xfId="21801"/>
    <cellStyle name="Currency 3 3 5 2 5 3" xfId="21802"/>
    <cellStyle name="Currency 3 3 5 2 6" xfId="21803"/>
    <cellStyle name="Currency 3 3 5 2 6 2" xfId="21804"/>
    <cellStyle name="Currency 3 3 5 2 6 3" xfId="21805"/>
    <cellStyle name="Currency 3 3 5 2 7" xfId="21806"/>
    <cellStyle name="Currency 3 3 5 2 8" xfId="21807"/>
    <cellStyle name="Currency 3 3 5 3" xfId="21808"/>
    <cellStyle name="Currency 3 3 5 3 2" xfId="21809"/>
    <cellStyle name="Currency 3 3 5 3 2 2" xfId="21810"/>
    <cellStyle name="Currency 3 3 5 3 2 2 2" xfId="21811"/>
    <cellStyle name="Currency 3 3 5 3 2 2 3" xfId="21812"/>
    <cellStyle name="Currency 3 3 5 3 2 3" xfId="21813"/>
    <cellStyle name="Currency 3 3 5 3 2 3 2" xfId="21814"/>
    <cellStyle name="Currency 3 3 5 3 2 3 3" xfId="21815"/>
    <cellStyle name="Currency 3 3 5 3 2 4" xfId="21816"/>
    <cellStyle name="Currency 3 3 5 3 2 5" xfId="21817"/>
    <cellStyle name="Currency 3 3 5 3 3" xfId="21818"/>
    <cellStyle name="Currency 3 3 5 3 3 2" xfId="21819"/>
    <cellStyle name="Currency 3 3 5 3 3 3" xfId="21820"/>
    <cellStyle name="Currency 3 3 5 3 4" xfId="21821"/>
    <cellStyle name="Currency 3 3 5 3 4 2" xfId="21822"/>
    <cellStyle name="Currency 3 3 5 3 4 3" xfId="21823"/>
    <cellStyle name="Currency 3 3 5 3 5" xfId="21824"/>
    <cellStyle name="Currency 3 3 5 3 6" xfId="21825"/>
    <cellStyle name="Currency 3 3 5 4" xfId="21826"/>
    <cellStyle name="Currency 3 3 5 4 2" xfId="21827"/>
    <cellStyle name="Currency 3 3 5 4 2 2" xfId="21828"/>
    <cellStyle name="Currency 3 3 5 4 2 2 2" xfId="21829"/>
    <cellStyle name="Currency 3 3 5 4 2 2 3" xfId="21830"/>
    <cellStyle name="Currency 3 3 5 4 2 3" xfId="21831"/>
    <cellStyle name="Currency 3 3 5 4 2 3 2" xfId="21832"/>
    <cellStyle name="Currency 3 3 5 4 2 3 3" xfId="21833"/>
    <cellStyle name="Currency 3 3 5 4 2 4" xfId="21834"/>
    <cellStyle name="Currency 3 3 5 4 2 5" xfId="21835"/>
    <cellStyle name="Currency 3 3 5 4 3" xfId="21836"/>
    <cellStyle name="Currency 3 3 5 4 3 2" xfId="21837"/>
    <cellStyle name="Currency 3 3 5 4 3 3" xfId="21838"/>
    <cellStyle name="Currency 3 3 5 4 4" xfId="21839"/>
    <cellStyle name="Currency 3 3 5 4 4 2" xfId="21840"/>
    <cellStyle name="Currency 3 3 5 4 4 3" xfId="21841"/>
    <cellStyle name="Currency 3 3 5 4 5" xfId="21842"/>
    <cellStyle name="Currency 3 3 5 4 6" xfId="21843"/>
    <cellStyle name="Currency 3 3 5 5" xfId="21844"/>
    <cellStyle name="Currency 3 3 5 5 2" xfId="21845"/>
    <cellStyle name="Currency 3 3 5 5 2 2" xfId="21846"/>
    <cellStyle name="Currency 3 3 5 5 2 3" xfId="21847"/>
    <cellStyle name="Currency 3 3 5 5 3" xfId="21848"/>
    <cellStyle name="Currency 3 3 5 5 3 2" xfId="21849"/>
    <cellStyle name="Currency 3 3 5 5 3 3" xfId="21850"/>
    <cellStyle name="Currency 3 3 5 5 4" xfId="21851"/>
    <cellStyle name="Currency 3 3 5 5 5" xfId="21852"/>
    <cellStyle name="Currency 3 3 5 6" xfId="21853"/>
    <cellStyle name="Currency 3 3 5 6 2" xfId="21854"/>
    <cellStyle name="Currency 3 3 5 6 3" xfId="21855"/>
    <cellStyle name="Currency 3 3 5 7" xfId="21856"/>
    <cellStyle name="Currency 3 3 5 7 2" xfId="21857"/>
    <cellStyle name="Currency 3 3 5 7 3" xfId="21858"/>
    <cellStyle name="Currency 3 3 5 8" xfId="21859"/>
    <cellStyle name="Currency 3 3 5 9" xfId="21860"/>
    <cellStyle name="Currency 3 3 6" xfId="21861"/>
    <cellStyle name="Currency 3 3 6 2" xfId="21862"/>
    <cellStyle name="Currency 3 3 6 2 2" xfId="21863"/>
    <cellStyle name="Currency 3 3 6 2 2 2" xfId="21864"/>
    <cellStyle name="Currency 3 3 6 2 2 2 2" xfId="21865"/>
    <cellStyle name="Currency 3 3 6 2 2 2 3" xfId="21866"/>
    <cellStyle name="Currency 3 3 6 2 2 3" xfId="21867"/>
    <cellStyle name="Currency 3 3 6 2 2 3 2" xfId="21868"/>
    <cellStyle name="Currency 3 3 6 2 2 3 3" xfId="21869"/>
    <cellStyle name="Currency 3 3 6 2 2 4" xfId="21870"/>
    <cellStyle name="Currency 3 3 6 2 2 5" xfId="21871"/>
    <cellStyle name="Currency 3 3 6 2 3" xfId="21872"/>
    <cellStyle name="Currency 3 3 6 2 3 2" xfId="21873"/>
    <cellStyle name="Currency 3 3 6 2 3 3" xfId="21874"/>
    <cellStyle name="Currency 3 3 6 2 4" xfId="21875"/>
    <cellStyle name="Currency 3 3 6 2 4 2" xfId="21876"/>
    <cellStyle name="Currency 3 3 6 2 4 3" xfId="21877"/>
    <cellStyle name="Currency 3 3 6 2 5" xfId="21878"/>
    <cellStyle name="Currency 3 3 6 2 6" xfId="21879"/>
    <cellStyle name="Currency 3 3 6 3" xfId="21880"/>
    <cellStyle name="Currency 3 3 6 3 2" xfId="21881"/>
    <cellStyle name="Currency 3 3 6 3 2 2" xfId="21882"/>
    <cellStyle name="Currency 3 3 6 3 2 2 2" xfId="21883"/>
    <cellStyle name="Currency 3 3 6 3 2 2 3" xfId="21884"/>
    <cellStyle name="Currency 3 3 6 3 2 3" xfId="21885"/>
    <cellStyle name="Currency 3 3 6 3 2 3 2" xfId="21886"/>
    <cellStyle name="Currency 3 3 6 3 2 3 3" xfId="21887"/>
    <cellStyle name="Currency 3 3 6 3 2 4" xfId="21888"/>
    <cellStyle name="Currency 3 3 6 3 2 5" xfId="21889"/>
    <cellStyle name="Currency 3 3 6 3 3" xfId="21890"/>
    <cellStyle name="Currency 3 3 6 3 3 2" xfId="21891"/>
    <cellStyle name="Currency 3 3 6 3 3 3" xfId="21892"/>
    <cellStyle name="Currency 3 3 6 3 4" xfId="21893"/>
    <cellStyle name="Currency 3 3 6 3 4 2" xfId="21894"/>
    <cellStyle name="Currency 3 3 6 3 4 3" xfId="21895"/>
    <cellStyle name="Currency 3 3 6 3 5" xfId="21896"/>
    <cellStyle name="Currency 3 3 6 3 6" xfId="21897"/>
    <cellStyle name="Currency 3 3 6 4" xfId="21898"/>
    <cellStyle name="Currency 3 3 6 4 2" xfId="21899"/>
    <cellStyle name="Currency 3 3 6 4 2 2" xfId="21900"/>
    <cellStyle name="Currency 3 3 6 4 2 3" xfId="21901"/>
    <cellStyle name="Currency 3 3 6 4 3" xfId="21902"/>
    <cellStyle name="Currency 3 3 6 4 3 2" xfId="21903"/>
    <cellStyle name="Currency 3 3 6 4 3 3" xfId="21904"/>
    <cellStyle name="Currency 3 3 6 4 4" xfId="21905"/>
    <cellStyle name="Currency 3 3 6 4 5" xfId="21906"/>
    <cellStyle name="Currency 3 3 6 5" xfId="21907"/>
    <cellStyle name="Currency 3 3 6 5 2" xfId="21908"/>
    <cellStyle name="Currency 3 3 6 5 3" xfId="21909"/>
    <cellStyle name="Currency 3 3 6 6" xfId="21910"/>
    <cellStyle name="Currency 3 3 6 6 2" xfId="21911"/>
    <cellStyle name="Currency 3 3 6 6 3" xfId="21912"/>
    <cellStyle name="Currency 3 3 6 7" xfId="21913"/>
    <cellStyle name="Currency 3 3 6 8" xfId="21914"/>
    <cellStyle name="Currency 3 3 7" xfId="21915"/>
    <cellStyle name="Currency 3 3 7 2" xfId="21916"/>
    <cellStyle name="Currency 3 3 7 2 2" xfId="21917"/>
    <cellStyle name="Currency 3 3 7 2 2 2" xfId="21918"/>
    <cellStyle name="Currency 3 3 7 2 2 3" xfId="21919"/>
    <cellStyle name="Currency 3 3 7 2 3" xfId="21920"/>
    <cellStyle name="Currency 3 3 7 2 3 2" xfId="21921"/>
    <cellStyle name="Currency 3 3 7 2 3 3" xfId="21922"/>
    <cellStyle name="Currency 3 3 7 2 4" xfId="21923"/>
    <cellStyle name="Currency 3 3 7 2 5" xfId="21924"/>
    <cellStyle name="Currency 3 3 7 3" xfId="21925"/>
    <cellStyle name="Currency 3 3 7 3 2" xfId="21926"/>
    <cellStyle name="Currency 3 3 7 3 3" xfId="21927"/>
    <cellStyle name="Currency 3 3 7 4" xfId="21928"/>
    <cellStyle name="Currency 3 3 7 4 2" xfId="21929"/>
    <cellStyle name="Currency 3 3 7 4 3" xfId="21930"/>
    <cellStyle name="Currency 3 3 7 5" xfId="21931"/>
    <cellStyle name="Currency 3 3 7 6" xfId="21932"/>
    <cellStyle name="Currency 3 3 8" xfId="21933"/>
    <cellStyle name="Currency 3 3 8 2" xfId="21934"/>
    <cellStyle name="Currency 3 3 8 2 2" xfId="21935"/>
    <cellStyle name="Currency 3 3 8 2 2 2" xfId="21936"/>
    <cellStyle name="Currency 3 3 8 2 2 3" xfId="21937"/>
    <cellStyle name="Currency 3 3 8 2 3" xfId="21938"/>
    <cellStyle name="Currency 3 3 8 2 3 2" xfId="21939"/>
    <cellStyle name="Currency 3 3 8 2 3 3" xfId="21940"/>
    <cellStyle name="Currency 3 3 8 2 4" xfId="21941"/>
    <cellStyle name="Currency 3 3 8 2 5" xfId="21942"/>
    <cellStyle name="Currency 3 3 8 3" xfId="21943"/>
    <cellStyle name="Currency 3 3 8 3 2" xfId="21944"/>
    <cellStyle name="Currency 3 3 8 3 3" xfId="21945"/>
    <cellStyle name="Currency 3 3 8 4" xfId="21946"/>
    <cellStyle name="Currency 3 3 8 4 2" xfId="21947"/>
    <cellStyle name="Currency 3 3 8 4 3" xfId="21948"/>
    <cellStyle name="Currency 3 3 8 5" xfId="21949"/>
    <cellStyle name="Currency 3 3 8 6" xfId="21950"/>
    <cellStyle name="Currency 3 3 9" xfId="21951"/>
    <cellStyle name="Currency 3 3 9 2" xfId="21952"/>
    <cellStyle name="Currency 3 3 9 2 2" xfId="21953"/>
    <cellStyle name="Currency 3 3 9 2 3" xfId="21954"/>
    <cellStyle name="Currency 3 3 9 3" xfId="21955"/>
    <cellStyle name="Currency 3 3 9 3 2" xfId="21956"/>
    <cellStyle name="Currency 3 3 9 3 3" xfId="21957"/>
    <cellStyle name="Currency 3 3 9 4" xfId="21958"/>
    <cellStyle name="Currency 3 3 9 5" xfId="21959"/>
    <cellStyle name="Currency 3 4" xfId="21960"/>
    <cellStyle name="Currency 3 4 10" xfId="21961"/>
    <cellStyle name="Currency 3 4 10 2" xfId="21962"/>
    <cellStyle name="Currency 3 4 10 3" xfId="21963"/>
    <cellStyle name="Currency 3 4 11" xfId="21964"/>
    <cellStyle name="Currency 3 4 12" xfId="21965"/>
    <cellStyle name="Currency 3 4 13" xfId="21966"/>
    <cellStyle name="Currency 3 4 14" xfId="21967"/>
    <cellStyle name="Currency 3 4 2" xfId="21968"/>
    <cellStyle name="Currency 3 4 2 10" xfId="21969"/>
    <cellStyle name="Currency 3 4 2 11" xfId="21970"/>
    <cellStyle name="Currency 3 4 2 12" xfId="21971"/>
    <cellStyle name="Currency 3 4 2 2" xfId="21972"/>
    <cellStyle name="Currency 3 4 2 2 2" xfId="21973"/>
    <cellStyle name="Currency 3 4 2 2 2 2" xfId="21974"/>
    <cellStyle name="Currency 3 4 2 2 2 2 2" xfId="21975"/>
    <cellStyle name="Currency 3 4 2 2 2 2 2 2" xfId="21976"/>
    <cellStyle name="Currency 3 4 2 2 2 2 2 2 2" xfId="21977"/>
    <cellStyle name="Currency 3 4 2 2 2 2 2 2 3" xfId="21978"/>
    <cellStyle name="Currency 3 4 2 2 2 2 2 3" xfId="21979"/>
    <cellStyle name="Currency 3 4 2 2 2 2 2 3 2" xfId="21980"/>
    <cellStyle name="Currency 3 4 2 2 2 2 2 3 3" xfId="21981"/>
    <cellStyle name="Currency 3 4 2 2 2 2 2 4" xfId="21982"/>
    <cellStyle name="Currency 3 4 2 2 2 2 2 5" xfId="21983"/>
    <cellStyle name="Currency 3 4 2 2 2 2 3" xfId="21984"/>
    <cellStyle name="Currency 3 4 2 2 2 2 3 2" xfId="21985"/>
    <cellStyle name="Currency 3 4 2 2 2 2 3 3" xfId="21986"/>
    <cellStyle name="Currency 3 4 2 2 2 2 4" xfId="21987"/>
    <cellStyle name="Currency 3 4 2 2 2 2 4 2" xfId="21988"/>
    <cellStyle name="Currency 3 4 2 2 2 2 4 3" xfId="21989"/>
    <cellStyle name="Currency 3 4 2 2 2 2 5" xfId="21990"/>
    <cellStyle name="Currency 3 4 2 2 2 2 6" xfId="21991"/>
    <cellStyle name="Currency 3 4 2 2 2 3" xfId="21992"/>
    <cellStyle name="Currency 3 4 2 2 2 3 2" xfId="21993"/>
    <cellStyle name="Currency 3 4 2 2 2 3 2 2" xfId="21994"/>
    <cellStyle name="Currency 3 4 2 2 2 3 2 2 2" xfId="21995"/>
    <cellStyle name="Currency 3 4 2 2 2 3 2 2 3" xfId="21996"/>
    <cellStyle name="Currency 3 4 2 2 2 3 2 3" xfId="21997"/>
    <cellStyle name="Currency 3 4 2 2 2 3 2 3 2" xfId="21998"/>
    <cellStyle name="Currency 3 4 2 2 2 3 2 3 3" xfId="21999"/>
    <cellStyle name="Currency 3 4 2 2 2 3 2 4" xfId="22000"/>
    <cellStyle name="Currency 3 4 2 2 2 3 2 5" xfId="22001"/>
    <cellStyle name="Currency 3 4 2 2 2 3 3" xfId="22002"/>
    <cellStyle name="Currency 3 4 2 2 2 3 3 2" xfId="22003"/>
    <cellStyle name="Currency 3 4 2 2 2 3 3 3" xfId="22004"/>
    <cellStyle name="Currency 3 4 2 2 2 3 4" xfId="22005"/>
    <cellStyle name="Currency 3 4 2 2 2 3 4 2" xfId="22006"/>
    <cellStyle name="Currency 3 4 2 2 2 3 4 3" xfId="22007"/>
    <cellStyle name="Currency 3 4 2 2 2 3 5" xfId="22008"/>
    <cellStyle name="Currency 3 4 2 2 2 3 6" xfId="22009"/>
    <cellStyle name="Currency 3 4 2 2 2 4" xfId="22010"/>
    <cellStyle name="Currency 3 4 2 2 2 4 2" xfId="22011"/>
    <cellStyle name="Currency 3 4 2 2 2 4 2 2" xfId="22012"/>
    <cellStyle name="Currency 3 4 2 2 2 4 2 3" xfId="22013"/>
    <cellStyle name="Currency 3 4 2 2 2 4 3" xfId="22014"/>
    <cellStyle name="Currency 3 4 2 2 2 4 3 2" xfId="22015"/>
    <cellStyle name="Currency 3 4 2 2 2 4 3 3" xfId="22016"/>
    <cellStyle name="Currency 3 4 2 2 2 4 4" xfId="22017"/>
    <cellStyle name="Currency 3 4 2 2 2 4 5" xfId="22018"/>
    <cellStyle name="Currency 3 4 2 2 2 5" xfId="22019"/>
    <cellStyle name="Currency 3 4 2 2 2 5 2" xfId="22020"/>
    <cellStyle name="Currency 3 4 2 2 2 5 3" xfId="22021"/>
    <cellStyle name="Currency 3 4 2 2 2 6" xfId="22022"/>
    <cellStyle name="Currency 3 4 2 2 2 6 2" xfId="22023"/>
    <cellStyle name="Currency 3 4 2 2 2 6 3" xfId="22024"/>
    <cellStyle name="Currency 3 4 2 2 2 7" xfId="22025"/>
    <cellStyle name="Currency 3 4 2 2 2 8" xfId="22026"/>
    <cellStyle name="Currency 3 4 2 2 3" xfId="22027"/>
    <cellStyle name="Currency 3 4 2 2 3 2" xfId="22028"/>
    <cellStyle name="Currency 3 4 2 2 3 2 2" xfId="22029"/>
    <cellStyle name="Currency 3 4 2 2 3 2 2 2" xfId="22030"/>
    <cellStyle name="Currency 3 4 2 2 3 2 2 3" xfId="22031"/>
    <cellStyle name="Currency 3 4 2 2 3 2 3" xfId="22032"/>
    <cellStyle name="Currency 3 4 2 2 3 2 3 2" xfId="22033"/>
    <cellStyle name="Currency 3 4 2 2 3 2 3 3" xfId="22034"/>
    <cellStyle name="Currency 3 4 2 2 3 2 4" xfId="22035"/>
    <cellStyle name="Currency 3 4 2 2 3 2 5" xfId="22036"/>
    <cellStyle name="Currency 3 4 2 2 3 3" xfId="22037"/>
    <cellStyle name="Currency 3 4 2 2 3 3 2" xfId="22038"/>
    <cellStyle name="Currency 3 4 2 2 3 3 3" xfId="22039"/>
    <cellStyle name="Currency 3 4 2 2 3 4" xfId="22040"/>
    <cellStyle name="Currency 3 4 2 2 3 4 2" xfId="22041"/>
    <cellStyle name="Currency 3 4 2 2 3 4 3" xfId="22042"/>
    <cellStyle name="Currency 3 4 2 2 3 5" xfId="22043"/>
    <cellStyle name="Currency 3 4 2 2 3 6" xfId="22044"/>
    <cellStyle name="Currency 3 4 2 2 4" xfId="22045"/>
    <cellStyle name="Currency 3 4 2 2 4 2" xfId="22046"/>
    <cellStyle name="Currency 3 4 2 2 4 2 2" xfId="22047"/>
    <cellStyle name="Currency 3 4 2 2 4 2 2 2" xfId="22048"/>
    <cellStyle name="Currency 3 4 2 2 4 2 2 3" xfId="22049"/>
    <cellStyle name="Currency 3 4 2 2 4 2 3" xfId="22050"/>
    <cellStyle name="Currency 3 4 2 2 4 2 3 2" xfId="22051"/>
    <cellStyle name="Currency 3 4 2 2 4 2 3 3" xfId="22052"/>
    <cellStyle name="Currency 3 4 2 2 4 2 4" xfId="22053"/>
    <cellStyle name="Currency 3 4 2 2 4 2 5" xfId="22054"/>
    <cellStyle name="Currency 3 4 2 2 4 3" xfId="22055"/>
    <cellStyle name="Currency 3 4 2 2 4 3 2" xfId="22056"/>
    <cellStyle name="Currency 3 4 2 2 4 3 3" xfId="22057"/>
    <cellStyle name="Currency 3 4 2 2 4 4" xfId="22058"/>
    <cellStyle name="Currency 3 4 2 2 4 4 2" xfId="22059"/>
    <cellStyle name="Currency 3 4 2 2 4 4 3" xfId="22060"/>
    <cellStyle name="Currency 3 4 2 2 4 5" xfId="22061"/>
    <cellStyle name="Currency 3 4 2 2 4 6" xfId="22062"/>
    <cellStyle name="Currency 3 4 2 2 5" xfId="22063"/>
    <cellStyle name="Currency 3 4 2 2 5 2" xfId="22064"/>
    <cellStyle name="Currency 3 4 2 2 5 2 2" xfId="22065"/>
    <cellStyle name="Currency 3 4 2 2 5 2 3" xfId="22066"/>
    <cellStyle name="Currency 3 4 2 2 5 3" xfId="22067"/>
    <cellStyle name="Currency 3 4 2 2 5 3 2" xfId="22068"/>
    <cellStyle name="Currency 3 4 2 2 5 3 3" xfId="22069"/>
    <cellStyle name="Currency 3 4 2 2 5 4" xfId="22070"/>
    <cellStyle name="Currency 3 4 2 2 5 5" xfId="22071"/>
    <cellStyle name="Currency 3 4 2 2 6" xfId="22072"/>
    <cellStyle name="Currency 3 4 2 2 6 2" xfId="22073"/>
    <cellStyle name="Currency 3 4 2 2 6 3" xfId="22074"/>
    <cellStyle name="Currency 3 4 2 2 7" xfId="22075"/>
    <cellStyle name="Currency 3 4 2 2 7 2" xfId="22076"/>
    <cellStyle name="Currency 3 4 2 2 7 3" xfId="22077"/>
    <cellStyle name="Currency 3 4 2 2 8" xfId="22078"/>
    <cellStyle name="Currency 3 4 2 2 9" xfId="22079"/>
    <cellStyle name="Currency 3 4 2 3" xfId="22080"/>
    <cellStyle name="Currency 3 4 2 3 2" xfId="22081"/>
    <cellStyle name="Currency 3 4 2 3 2 2" xfId="22082"/>
    <cellStyle name="Currency 3 4 2 3 2 2 2" xfId="22083"/>
    <cellStyle name="Currency 3 4 2 3 2 2 2 2" xfId="22084"/>
    <cellStyle name="Currency 3 4 2 3 2 2 2 3" xfId="22085"/>
    <cellStyle name="Currency 3 4 2 3 2 2 3" xfId="22086"/>
    <cellStyle name="Currency 3 4 2 3 2 2 3 2" xfId="22087"/>
    <cellStyle name="Currency 3 4 2 3 2 2 3 3" xfId="22088"/>
    <cellStyle name="Currency 3 4 2 3 2 2 4" xfId="22089"/>
    <cellStyle name="Currency 3 4 2 3 2 2 5" xfId="22090"/>
    <cellStyle name="Currency 3 4 2 3 2 3" xfId="22091"/>
    <cellStyle name="Currency 3 4 2 3 2 3 2" xfId="22092"/>
    <cellStyle name="Currency 3 4 2 3 2 3 3" xfId="22093"/>
    <cellStyle name="Currency 3 4 2 3 2 4" xfId="22094"/>
    <cellStyle name="Currency 3 4 2 3 2 4 2" xfId="22095"/>
    <cellStyle name="Currency 3 4 2 3 2 4 3" xfId="22096"/>
    <cellStyle name="Currency 3 4 2 3 2 5" xfId="22097"/>
    <cellStyle name="Currency 3 4 2 3 2 6" xfId="22098"/>
    <cellStyle name="Currency 3 4 2 3 3" xfId="22099"/>
    <cellStyle name="Currency 3 4 2 3 3 2" xfId="22100"/>
    <cellStyle name="Currency 3 4 2 3 3 2 2" xfId="22101"/>
    <cellStyle name="Currency 3 4 2 3 3 2 2 2" xfId="22102"/>
    <cellStyle name="Currency 3 4 2 3 3 2 2 3" xfId="22103"/>
    <cellStyle name="Currency 3 4 2 3 3 2 3" xfId="22104"/>
    <cellStyle name="Currency 3 4 2 3 3 2 3 2" xfId="22105"/>
    <cellStyle name="Currency 3 4 2 3 3 2 3 3" xfId="22106"/>
    <cellStyle name="Currency 3 4 2 3 3 2 4" xfId="22107"/>
    <cellStyle name="Currency 3 4 2 3 3 2 5" xfId="22108"/>
    <cellStyle name="Currency 3 4 2 3 3 3" xfId="22109"/>
    <cellStyle name="Currency 3 4 2 3 3 3 2" xfId="22110"/>
    <cellStyle name="Currency 3 4 2 3 3 3 3" xfId="22111"/>
    <cellStyle name="Currency 3 4 2 3 3 4" xfId="22112"/>
    <cellStyle name="Currency 3 4 2 3 3 4 2" xfId="22113"/>
    <cellStyle name="Currency 3 4 2 3 3 4 3" xfId="22114"/>
    <cellStyle name="Currency 3 4 2 3 3 5" xfId="22115"/>
    <cellStyle name="Currency 3 4 2 3 3 6" xfId="22116"/>
    <cellStyle name="Currency 3 4 2 3 4" xfId="22117"/>
    <cellStyle name="Currency 3 4 2 3 4 2" xfId="22118"/>
    <cellStyle name="Currency 3 4 2 3 4 2 2" xfId="22119"/>
    <cellStyle name="Currency 3 4 2 3 4 2 3" xfId="22120"/>
    <cellStyle name="Currency 3 4 2 3 4 3" xfId="22121"/>
    <cellStyle name="Currency 3 4 2 3 4 3 2" xfId="22122"/>
    <cellStyle name="Currency 3 4 2 3 4 3 3" xfId="22123"/>
    <cellStyle name="Currency 3 4 2 3 4 4" xfId="22124"/>
    <cellStyle name="Currency 3 4 2 3 4 5" xfId="22125"/>
    <cellStyle name="Currency 3 4 2 3 5" xfId="22126"/>
    <cellStyle name="Currency 3 4 2 3 5 2" xfId="22127"/>
    <cellStyle name="Currency 3 4 2 3 5 3" xfId="22128"/>
    <cellStyle name="Currency 3 4 2 3 6" xfId="22129"/>
    <cellStyle name="Currency 3 4 2 3 6 2" xfId="22130"/>
    <cellStyle name="Currency 3 4 2 3 6 3" xfId="22131"/>
    <cellStyle name="Currency 3 4 2 3 7" xfId="22132"/>
    <cellStyle name="Currency 3 4 2 3 8" xfId="22133"/>
    <cellStyle name="Currency 3 4 2 4" xfId="22134"/>
    <cellStyle name="Currency 3 4 2 4 2" xfId="22135"/>
    <cellStyle name="Currency 3 4 2 4 2 2" xfId="22136"/>
    <cellStyle name="Currency 3 4 2 4 2 2 2" xfId="22137"/>
    <cellStyle name="Currency 3 4 2 4 2 2 3" xfId="22138"/>
    <cellStyle name="Currency 3 4 2 4 2 3" xfId="22139"/>
    <cellStyle name="Currency 3 4 2 4 2 3 2" xfId="22140"/>
    <cellStyle name="Currency 3 4 2 4 2 3 3" xfId="22141"/>
    <cellStyle name="Currency 3 4 2 4 2 4" xfId="22142"/>
    <cellStyle name="Currency 3 4 2 4 2 5" xfId="22143"/>
    <cellStyle name="Currency 3 4 2 4 3" xfId="22144"/>
    <cellStyle name="Currency 3 4 2 4 3 2" xfId="22145"/>
    <cellStyle name="Currency 3 4 2 4 3 3" xfId="22146"/>
    <cellStyle name="Currency 3 4 2 4 4" xfId="22147"/>
    <cellStyle name="Currency 3 4 2 4 4 2" xfId="22148"/>
    <cellStyle name="Currency 3 4 2 4 4 3" xfId="22149"/>
    <cellStyle name="Currency 3 4 2 4 5" xfId="22150"/>
    <cellStyle name="Currency 3 4 2 4 6" xfId="22151"/>
    <cellStyle name="Currency 3 4 2 5" xfId="22152"/>
    <cellStyle name="Currency 3 4 2 5 2" xfId="22153"/>
    <cellStyle name="Currency 3 4 2 5 2 2" xfId="22154"/>
    <cellStyle name="Currency 3 4 2 5 2 2 2" xfId="22155"/>
    <cellStyle name="Currency 3 4 2 5 2 2 3" xfId="22156"/>
    <cellStyle name="Currency 3 4 2 5 2 3" xfId="22157"/>
    <cellStyle name="Currency 3 4 2 5 2 3 2" xfId="22158"/>
    <cellStyle name="Currency 3 4 2 5 2 3 3" xfId="22159"/>
    <cellStyle name="Currency 3 4 2 5 2 4" xfId="22160"/>
    <cellStyle name="Currency 3 4 2 5 2 5" xfId="22161"/>
    <cellStyle name="Currency 3 4 2 5 3" xfId="22162"/>
    <cellStyle name="Currency 3 4 2 5 3 2" xfId="22163"/>
    <cellStyle name="Currency 3 4 2 5 3 3" xfId="22164"/>
    <cellStyle name="Currency 3 4 2 5 4" xfId="22165"/>
    <cellStyle name="Currency 3 4 2 5 4 2" xfId="22166"/>
    <cellStyle name="Currency 3 4 2 5 4 3" xfId="22167"/>
    <cellStyle name="Currency 3 4 2 5 5" xfId="22168"/>
    <cellStyle name="Currency 3 4 2 5 6" xfId="22169"/>
    <cellStyle name="Currency 3 4 2 6" xfId="22170"/>
    <cellStyle name="Currency 3 4 2 6 2" xfId="22171"/>
    <cellStyle name="Currency 3 4 2 6 2 2" xfId="22172"/>
    <cellStyle name="Currency 3 4 2 6 2 3" xfId="22173"/>
    <cellStyle name="Currency 3 4 2 6 3" xfId="22174"/>
    <cellStyle name="Currency 3 4 2 6 3 2" xfId="22175"/>
    <cellStyle name="Currency 3 4 2 6 3 3" xfId="22176"/>
    <cellStyle name="Currency 3 4 2 6 4" xfId="22177"/>
    <cellStyle name="Currency 3 4 2 6 5" xfId="22178"/>
    <cellStyle name="Currency 3 4 2 7" xfId="22179"/>
    <cellStyle name="Currency 3 4 2 7 2" xfId="22180"/>
    <cellStyle name="Currency 3 4 2 7 3" xfId="22181"/>
    <cellStyle name="Currency 3 4 2 8" xfId="22182"/>
    <cellStyle name="Currency 3 4 2 8 2" xfId="22183"/>
    <cellStyle name="Currency 3 4 2 8 3" xfId="22184"/>
    <cellStyle name="Currency 3 4 2 9" xfId="22185"/>
    <cellStyle name="Currency 3 4 3" xfId="22186"/>
    <cellStyle name="Currency 3 4 3 10" xfId="22187"/>
    <cellStyle name="Currency 3 4 3 2" xfId="22188"/>
    <cellStyle name="Currency 3 4 3 2 2" xfId="22189"/>
    <cellStyle name="Currency 3 4 3 2 2 2" xfId="22190"/>
    <cellStyle name="Currency 3 4 3 2 2 2 2" xfId="22191"/>
    <cellStyle name="Currency 3 4 3 2 2 2 2 2" xfId="22192"/>
    <cellStyle name="Currency 3 4 3 2 2 2 2 2 2" xfId="22193"/>
    <cellStyle name="Currency 3 4 3 2 2 2 2 2 3" xfId="22194"/>
    <cellStyle name="Currency 3 4 3 2 2 2 2 3" xfId="22195"/>
    <cellStyle name="Currency 3 4 3 2 2 2 2 3 2" xfId="22196"/>
    <cellStyle name="Currency 3 4 3 2 2 2 2 3 3" xfId="22197"/>
    <cellStyle name="Currency 3 4 3 2 2 2 2 4" xfId="22198"/>
    <cellStyle name="Currency 3 4 3 2 2 2 2 5" xfId="22199"/>
    <cellStyle name="Currency 3 4 3 2 2 2 3" xfId="22200"/>
    <cellStyle name="Currency 3 4 3 2 2 2 3 2" xfId="22201"/>
    <cellStyle name="Currency 3 4 3 2 2 2 3 3" xfId="22202"/>
    <cellStyle name="Currency 3 4 3 2 2 2 4" xfId="22203"/>
    <cellStyle name="Currency 3 4 3 2 2 2 4 2" xfId="22204"/>
    <cellStyle name="Currency 3 4 3 2 2 2 4 3" xfId="22205"/>
    <cellStyle name="Currency 3 4 3 2 2 2 5" xfId="22206"/>
    <cellStyle name="Currency 3 4 3 2 2 2 6" xfId="22207"/>
    <cellStyle name="Currency 3 4 3 2 2 3" xfId="22208"/>
    <cellStyle name="Currency 3 4 3 2 2 3 2" xfId="22209"/>
    <cellStyle name="Currency 3 4 3 2 2 3 2 2" xfId="22210"/>
    <cellStyle name="Currency 3 4 3 2 2 3 2 2 2" xfId="22211"/>
    <cellStyle name="Currency 3 4 3 2 2 3 2 2 3" xfId="22212"/>
    <cellStyle name="Currency 3 4 3 2 2 3 2 3" xfId="22213"/>
    <cellStyle name="Currency 3 4 3 2 2 3 2 3 2" xfId="22214"/>
    <cellStyle name="Currency 3 4 3 2 2 3 2 3 3" xfId="22215"/>
    <cellStyle name="Currency 3 4 3 2 2 3 2 4" xfId="22216"/>
    <cellStyle name="Currency 3 4 3 2 2 3 2 5" xfId="22217"/>
    <cellStyle name="Currency 3 4 3 2 2 3 3" xfId="22218"/>
    <cellStyle name="Currency 3 4 3 2 2 3 3 2" xfId="22219"/>
    <cellStyle name="Currency 3 4 3 2 2 3 3 3" xfId="22220"/>
    <cellStyle name="Currency 3 4 3 2 2 3 4" xfId="22221"/>
    <cellStyle name="Currency 3 4 3 2 2 3 4 2" xfId="22222"/>
    <cellStyle name="Currency 3 4 3 2 2 3 4 3" xfId="22223"/>
    <cellStyle name="Currency 3 4 3 2 2 3 5" xfId="22224"/>
    <cellStyle name="Currency 3 4 3 2 2 3 6" xfId="22225"/>
    <cellStyle name="Currency 3 4 3 2 2 4" xfId="22226"/>
    <cellStyle name="Currency 3 4 3 2 2 4 2" xfId="22227"/>
    <cellStyle name="Currency 3 4 3 2 2 4 2 2" xfId="22228"/>
    <cellStyle name="Currency 3 4 3 2 2 4 2 3" xfId="22229"/>
    <cellStyle name="Currency 3 4 3 2 2 4 3" xfId="22230"/>
    <cellStyle name="Currency 3 4 3 2 2 4 3 2" xfId="22231"/>
    <cellStyle name="Currency 3 4 3 2 2 4 3 3" xfId="22232"/>
    <cellStyle name="Currency 3 4 3 2 2 4 4" xfId="22233"/>
    <cellStyle name="Currency 3 4 3 2 2 4 5" xfId="22234"/>
    <cellStyle name="Currency 3 4 3 2 2 5" xfId="22235"/>
    <cellStyle name="Currency 3 4 3 2 2 5 2" xfId="22236"/>
    <cellStyle name="Currency 3 4 3 2 2 5 3" xfId="22237"/>
    <cellStyle name="Currency 3 4 3 2 2 6" xfId="22238"/>
    <cellStyle name="Currency 3 4 3 2 2 6 2" xfId="22239"/>
    <cellStyle name="Currency 3 4 3 2 2 6 3" xfId="22240"/>
    <cellStyle name="Currency 3 4 3 2 2 7" xfId="22241"/>
    <cellStyle name="Currency 3 4 3 2 2 8" xfId="22242"/>
    <cellStyle name="Currency 3 4 3 2 3" xfId="22243"/>
    <cellStyle name="Currency 3 4 3 2 3 2" xfId="22244"/>
    <cellStyle name="Currency 3 4 3 2 3 2 2" xfId="22245"/>
    <cellStyle name="Currency 3 4 3 2 3 2 2 2" xfId="22246"/>
    <cellStyle name="Currency 3 4 3 2 3 2 2 3" xfId="22247"/>
    <cellStyle name="Currency 3 4 3 2 3 2 3" xfId="22248"/>
    <cellStyle name="Currency 3 4 3 2 3 2 3 2" xfId="22249"/>
    <cellStyle name="Currency 3 4 3 2 3 2 3 3" xfId="22250"/>
    <cellStyle name="Currency 3 4 3 2 3 2 4" xfId="22251"/>
    <cellStyle name="Currency 3 4 3 2 3 2 5" xfId="22252"/>
    <cellStyle name="Currency 3 4 3 2 3 3" xfId="22253"/>
    <cellStyle name="Currency 3 4 3 2 3 3 2" xfId="22254"/>
    <cellStyle name="Currency 3 4 3 2 3 3 3" xfId="22255"/>
    <cellStyle name="Currency 3 4 3 2 3 4" xfId="22256"/>
    <cellStyle name="Currency 3 4 3 2 3 4 2" xfId="22257"/>
    <cellStyle name="Currency 3 4 3 2 3 4 3" xfId="22258"/>
    <cellStyle name="Currency 3 4 3 2 3 5" xfId="22259"/>
    <cellStyle name="Currency 3 4 3 2 3 6" xfId="22260"/>
    <cellStyle name="Currency 3 4 3 2 4" xfId="22261"/>
    <cellStyle name="Currency 3 4 3 2 4 2" xfId="22262"/>
    <cellStyle name="Currency 3 4 3 2 4 2 2" xfId="22263"/>
    <cellStyle name="Currency 3 4 3 2 4 2 2 2" xfId="22264"/>
    <cellStyle name="Currency 3 4 3 2 4 2 2 3" xfId="22265"/>
    <cellStyle name="Currency 3 4 3 2 4 2 3" xfId="22266"/>
    <cellStyle name="Currency 3 4 3 2 4 2 3 2" xfId="22267"/>
    <cellStyle name="Currency 3 4 3 2 4 2 3 3" xfId="22268"/>
    <cellStyle name="Currency 3 4 3 2 4 2 4" xfId="22269"/>
    <cellStyle name="Currency 3 4 3 2 4 2 5" xfId="22270"/>
    <cellStyle name="Currency 3 4 3 2 4 3" xfId="22271"/>
    <cellStyle name="Currency 3 4 3 2 4 3 2" xfId="22272"/>
    <cellStyle name="Currency 3 4 3 2 4 3 3" xfId="22273"/>
    <cellStyle name="Currency 3 4 3 2 4 4" xfId="22274"/>
    <cellStyle name="Currency 3 4 3 2 4 4 2" xfId="22275"/>
    <cellStyle name="Currency 3 4 3 2 4 4 3" xfId="22276"/>
    <cellStyle name="Currency 3 4 3 2 4 5" xfId="22277"/>
    <cellStyle name="Currency 3 4 3 2 4 6" xfId="22278"/>
    <cellStyle name="Currency 3 4 3 2 5" xfId="22279"/>
    <cellStyle name="Currency 3 4 3 2 5 2" xfId="22280"/>
    <cellStyle name="Currency 3 4 3 2 5 2 2" xfId="22281"/>
    <cellStyle name="Currency 3 4 3 2 5 2 3" xfId="22282"/>
    <cellStyle name="Currency 3 4 3 2 5 3" xfId="22283"/>
    <cellStyle name="Currency 3 4 3 2 5 3 2" xfId="22284"/>
    <cellStyle name="Currency 3 4 3 2 5 3 3" xfId="22285"/>
    <cellStyle name="Currency 3 4 3 2 5 4" xfId="22286"/>
    <cellStyle name="Currency 3 4 3 2 5 5" xfId="22287"/>
    <cellStyle name="Currency 3 4 3 2 6" xfId="22288"/>
    <cellStyle name="Currency 3 4 3 2 6 2" xfId="22289"/>
    <cellStyle name="Currency 3 4 3 2 6 3" xfId="22290"/>
    <cellStyle name="Currency 3 4 3 2 7" xfId="22291"/>
    <cellStyle name="Currency 3 4 3 2 7 2" xfId="22292"/>
    <cellStyle name="Currency 3 4 3 2 7 3" xfId="22293"/>
    <cellStyle name="Currency 3 4 3 2 8" xfId="22294"/>
    <cellStyle name="Currency 3 4 3 2 9" xfId="22295"/>
    <cellStyle name="Currency 3 4 3 3" xfId="22296"/>
    <cellStyle name="Currency 3 4 3 3 2" xfId="22297"/>
    <cellStyle name="Currency 3 4 3 3 2 2" xfId="22298"/>
    <cellStyle name="Currency 3 4 3 3 2 2 2" xfId="22299"/>
    <cellStyle name="Currency 3 4 3 3 2 2 2 2" xfId="22300"/>
    <cellStyle name="Currency 3 4 3 3 2 2 2 3" xfId="22301"/>
    <cellStyle name="Currency 3 4 3 3 2 2 3" xfId="22302"/>
    <cellStyle name="Currency 3 4 3 3 2 2 3 2" xfId="22303"/>
    <cellStyle name="Currency 3 4 3 3 2 2 3 3" xfId="22304"/>
    <cellStyle name="Currency 3 4 3 3 2 2 4" xfId="22305"/>
    <cellStyle name="Currency 3 4 3 3 2 2 5" xfId="22306"/>
    <cellStyle name="Currency 3 4 3 3 2 3" xfId="22307"/>
    <cellStyle name="Currency 3 4 3 3 2 3 2" xfId="22308"/>
    <cellStyle name="Currency 3 4 3 3 2 3 3" xfId="22309"/>
    <cellStyle name="Currency 3 4 3 3 2 4" xfId="22310"/>
    <cellStyle name="Currency 3 4 3 3 2 4 2" xfId="22311"/>
    <cellStyle name="Currency 3 4 3 3 2 4 3" xfId="22312"/>
    <cellStyle name="Currency 3 4 3 3 2 5" xfId="22313"/>
    <cellStyle name="Currency 3 4 3 3 2 6" xfId="22314"/>
    <cellStyle name="Currency 3 4 3 3 3" xfId="22315"/>
    <cellStyle name="Currency 3 4 3 3 3 2" xfId="22316"/>
    <cellStyle name="Currency 3 4 3 3 3 2 2" xfId="22317"/>
    <cellStyle name="Currency 3 4 3 3 3 2 2 2" xfId="22318"/>
    <cellStyle name="Currency 3 4 3 3 3 2 2 3" xfId="22319"/>
    <cellStyle name="Currency 3 4 3 3 3 2 3" xfId="22320"/>
    <cellStyle name="Currency 3 4 3 3 3 2 3 2" xfId="22321"/>
    <cellStyle name="Currency 3 4 3 3 3 2 3 3" xfId="22322"/>
    <cellStyle name="Currency 3 4 3 3 3 2 4" xfId="22323"/>
    <cellStyle name="Currency 3 4 3 3 3 2 5" xfId="22324"/>
    <cellStyle name="Currency 3 4 3 3 3 3" xfId="22325"/>
    <cellStyle name="Currency 3 4 3 3 3 3 2" xfId="22326"/>
    <cellStyle name="Currency 3 4 3 3 3 3 3" xfId="22327"/>
    <cellStyle name="Currency 3 4 3 3 3 4" xfId="22328"/>
    <cellStyle name="Currency 3 4 3 3 3 4 2" xfId="22329"/>
    <cellStyle name="Currency 3 4 3 3 3 4 3" xfId="22330"/>
    <cellStyle name="Currency 3 4 3 3 3 5" xfId="22331"/>
    <cellStyle name="Currency 3 4 3 3 3 6" xfId="22332"/>
    <cellStyle name="Currency 3 4 3 3 4" xfId="22333"/>
    <cellStyle name="Currency 3 4 3 3 4 2" xfId="22334"/>
    <cellStyle name="Currency 3 4 3 3 4 2 2" xfId="22335"/>
    <cellStyle name="Currency 3 4 3 3 4 2 3" xfId="22336"/>
    <cellStyle name="Currency 3 4 3 3 4 3" xfId="22337"/>
    <cellStyle name="Currency 3 4 3 3 4 3 2" xfId="22338"/>
    <cellStyle name="Currency 3 4 3 3 4 3 3" xfId="22339"/>
    <cellStyle name="Currency 3 4 3 3 4 4" xfId="22340"/>
    <cellStyle name="Currency 3 4 3 3 4 5" xfId="22341"/>
    <cellStyle name="Currency 3 4 3 3 5" xfId="22342"/>
    <cellStyle name="Currency 3 4 3 3 5 2" xfId="22343"/>
    <cellStyle name="Currency 3 4 3 3 5 3" xfId="22344"/>
    <cellStyle name="Currency 3 4 3 3 6" xfId="22345"/>
    <cellStyle name="Currency 3 4 3 3 6 2" xfId="22346"/>
    <cellStyle name="Currency 3 4 3 3 6 3" xfId="22347"/>
    <cellStyle name="Currency 3 4 3 3 7" xfId="22348"/>
    <cellStyle name="Currency 3 4 3 3 8" xfId="22349"/>
    <cellStyle name="Currency 3 4 3 4" xfId="22350"/>
    <cellStyle name="Currency 3 4 3 4 2" xfId="22351"/>
    <cellStyle name="Currency 3 4 3 4 2 2" xfId="22352"/>
    <cellStyle name="Currency 3 4 3 4 2 2 2" xfId="22353"/>
    <cellStyle name="Currency 3 4 3 4 2 2 3" xfId="22354"/>
    <cellStyle name="Currency 3 4 3 4 2 3" xfId="22355"/>
    <cellStyle name="Currency 3 4 3 4 2 3 2" xfId="22356"/>
    <cellStyle name="Currency 3 4 3 4 2 3 3" xfId="22357"/>
    <cellStyle name="Currency 3 4 3 4 2 4" xfId="22358"/>
    <cellStyle name="Currency 3 4 3 4 2 5" xfId="22359"/>
    <cellStyle name="Currency 3 4 3 4 3" xfId="22360"/>
    <cellStyle name="Currency 3 4 3 4 3 2" xfId="22361"/>
    <cellStyle name="Currency 3 4 3 4 3 3" xfId="22362"/>
    <cellStyle name="Currency 3 4 3 4 4" xfId="22363"/>
    <cellStyle name="Currency 3 4 3 4 4 2" xfId="22364"/>
    <cellStyle name="Currency 3 4 3 4 4 3" xfId="22365"/>
    <cellStyle name="Currency 3 4 3 4 5" xfId="22366"/>
    <cellStyle name="Currency 3 4 3 4 6" xfId="22367"/>
    <cellStyle name="Currency 3 4 3 5" xfId="22368"/>
    <cellStyle name="Currency 3 4 3 5 2" xfId="22369"/>
    <cellStyle name="Currency 3 4 3 5 2 2" xfId="22370"/>
    <cellStyle name="Currency 3 4 3 5 2 2 2" xfId="22371"/>
    <cellStyle name="Currency 3 4 3 5 2 2 3" xfId="22372"/>
    <cellStyle name="Currency 3 4 3 5 2 3" xfId="22373"/>
    <cellStyle name="Currency 3 4 3 5 2 3 2" xfId="22374"/>
    <cellStyle name="Currency 3 4 3 5 2 3 3" xfId="22375"/>
    <cellStyle name="Currency 3 4 3 5 2 4" xfId="22376"/>
    <cellStyle name="Currency 3 4 3 5 2 5" xfId="22377"/>
    <cellStyle name="Currency 3 4 3 5 3" xfId="22378"/>
    <cellStyle name="Currency 3 4 3 5 3 2" xfId="22379"/>
    <cellStyle name="Currency 3 4 3 5 3 3" xfId="22380"/>
    <cellStyle name="Currency 3 4 3 5 4" xfId="22381"/>
    <cellStyle name="Currency 3 4 3 5 4 2" xfId="22382"/>
    <cellStyle name="Currency 3 4 3 5 4 3" xfId="22383"/>
    <cellStyle name="Currency 3 4 3 5 5" xfId="22384"/>
    <cellStyle name="Currency 3 4 3 5 6" xfId="22385"/>
    <cellStyle name="Currency 3 4 3 6" xfId="22386"/>
    <cellStyle name="Currency 3 4 3 6 2" xfId="22387"/>
    <cellStyle name="Currency 3 4 3 6 2 2" xfId="22388"/>
    <cellStyle name="Currency 3 4 3 6 2 3" xfId="22389"/>
    <cellStyle name="Currency 3 4 3 6 3" xfId="22390"/>
    <cellStyle name="Currency 3 4 3 6 3 2" xfId="22391"/>
    <cellStyle name="Currency 3 4 3 6 3 3" xfId="22392"/>
    <cellStyle name="Currency 3 4 3 6 4" xfId="22393"/>
    <cellStyle name="Currency 3 4 3 6 5" xfId="22394"/>
    <cellStyle name="Currency 3 4 3 7" xfId="22395"/>
    <cellStyle name="Currency 3 4 3 7 2" xfId="22396"/>
    <cellStyle name="Currency 3 4 3 7 3" xfId="22397"/>
    <cellStyle name="Currency 3 4 3 8" xfId="22398"/>
    <cellStyle name="Currency 3 4 3 8 2" xfId="22399"/>
    <cellStyle name="Currency 3 4 3 8 3" xfId="22400"/>
    <cellStyle name="Currency 3 4 3 9" xfId="22401"/>
    <cellStyle name="Currency 3 4 4" xfId="22402"/>
    <cellStyle name="Currency 3 4 4 2" xfId="22403"/>
    <cellStyle name="Currency 3 4 4 2 2" xfId="22404"/>
    <cellStyle name="Currency 3 4 4 2 2 2" xfId="22405"/>
    <cellStyle name="Currency 3 4 4 2 2 2 2" xfId="22406"/>
    <cellStyle name="Currency 3 4 4 2 2 2 2 2" xfId="22407"/>
    <cellStyle name="Currency 3 4 4 2 2 2 2 3" xfId="22408"/>
    <cellStyle name="Currency 3 4 4 2 2 2 3" xfId="22409"/>
    <cellStyle name="Currency 3 4 4 2 2 2 3 2" xfId="22410"/>
    <cellStyle name="Currency 3 4 4 2 2 2 3 3" xfId="22411"/>
    <cellStyle name="Currency 3 4 4 2 2 2 4" xfId="22412"/>
    <cellStyle name="Currency 3 4 4 2 2 2 5" xfId="22413"/>
    <cellStyle name="Currency 3 4 4 2 2 3" xfId="22414"/>
    <cellStyle name="Currency 3 4 4 2 2 3 2" xfId="22415"/>
    <cellStyle name="Currency 3 4 4 2 2 3 3" xfId="22416"/>
    <cellStyle name="Currency 3 4 4 2 2 4" xfId="22417"/>
    <cellStyle name="Currency 3 4 4 2 2 4 2" xfId="22418"/>
    <cellStyle name="Currency 3 4 4 2 2 4 3" xfId="22419"/>
    <cellStyle name="Currency 3 4 4 2 2 5" xfId="22420"/>
    <cellStyle name="Currency 3 4 4 2 2 6" xfId="22421"/>
    <cellStyle name="Currency 3 4 4 2 3" xfId="22422"/>
    <cellStyle name="Currency 3 4 4 2 3 2" xfId="22423"/>
    <cellStyle name="Currency 3 4 4 2 3 2 2" xfId="22424"/>
    <cellStyle name="Currency 3 4 4 2 3 2 2 2" xfId="22425"/>
    <cellStyle name="Currency 3 4 4 2 3 2 2 3" xfId="22426"/>
    <cellStyle name="Currency 3 4 4 2 3 2 3" xfId="22427"/>
    <cellStyle name="Currency 3 4 4 2 3 2 3 2" xfId="22428"/>
    <cellStyle name="Currency 3 4 4 2 3 2 3 3" xfId="22429"/>
    <cellStyle name="Currency 3 4 4 2 3 2 4" xfId="22430"/>
    <cellStyle name="Currency 3 4 4 2 3 2 5" xfId="22431"/>
    <cellStyle name="Currency 3 4 4 2 3 3" xfId="22432"/>
    <cellStyle name="Currency 3 4 4 2 3 3 2" xfId="22433"/>
    <cellStyle name="Currency 3 4 4 2 3 3 3" xfId="22434"/>
    <cellStyle name="Currency 3 4 4 2 3 4" xfId="22435"/>
    <cellStyle name="Currency 3 4 4 2 3 4 2" xfId="22436"/>
    <cellStyle name="Currency 3 4 4 2 3 4 3" xfId="22437"/>
    <cellStyle name="Currency 3 4 4 2 3 5" xfId="22438"/>
    <cellStyle name="Currency 3 4 4 2 3 6" xfId="22439"/>
    <cellStyle name="Currency 3 4 4 2 4" xfId="22440"/>
    <cellStyle name="Currency 3 4 4 2 4 2" xfId="22441"/>
    <cellStyle name="Currency 3 4 4 2 4 2 2" xfId="22442"/>
    <cellStyle name="Currency 3 4 4 2 4 2 3" xfId="22443"/>
    <cellStyle name="Currency 3 4 4 2 4 3" xfId="22444"/>
    <cellStyle name="Currency 3 4 4 2 4 3 2" xfId="22445"/>
    <cellStyle name="Currency 3 4 4 2 4 3 3" xfId="22446"/>
    <cellStyle name="Currency 3 4 4 2 4 4" xfId="22447"/>
    <cellStyle name="Currency 3 4 4 2 4 5" xfId="22448"/>
    <cellStyle name="Currency 3 4 4 2 5" xfId="22449"/>
    <cellStyle name="Currency 3 4 4 2 5 2" xfId="22450"/>
    <cellStyle name="Currency 3 4 4 2 5 3" xfId="22451"/>
    <cellStyle name="Currency 3 4 4 2 6" xfId="22452"/>
    <cellStyle name="Currency 3 4 4 2 6 2" xfId="22453"/>
    <cellStyle name="Currency 3 4 4 2 6 3" xfId="22454"/>
    <cellStyle name="Currency 3 4 4 2 7" xfId="22455"/>
    <cellStyle name="Currency 3 4 4 2 8" xfId="22456"/>
    <cellStyle name="Currency 3 4 4 3" xfId="22457"/>
    <cellStyle name="Currency 3 4 4 3 2" xfId="22458"/>
    <cellStyle name="Currency 3 4 4 3 2 2" xfId="22459"/>
    <cellStyle name="Currency 3 4 4 3 2 2 2" xfId="22460"/>
    <cellStyle name="Currency 3 4 4 3 2 2 3" xfId="22461"/>
    <cellStyle name="Currency 3 4 4 3 2 3" xfId="22462"/>
    <cellStyle name="Currency 3 4 4 3 2 3 2" xfId="22463"/>
    <cellStyle name="Currency 3 4 4 3 2 3 3" xfId="22464"/>
    <cellStyle name="Currency 3 4 4 3 2 4" xfId="22465"/>
    <cellStyle name="Currency 3 4 4 3 2 5" xfId="22466"/>
    <cellStyle name="Currency 3 4 4 3 3" xfId="22467"/>
    <cellStyle name="Currency 3 4 4 3 3 2" xfId="22468"/>
    <cellStyle name="Currency 3 4 4 3 3 3" xfId="22469"/>
    <cellStyle name="Currency 3 4 4 3 4" xfId="22470"/>
    <cellStyle name="Currency 3 4 4 3 4 2" xfId="22471"/>
    <cellStyle name="Currency 3 4 4 3 4 3" xfId="22472"/>
    <cellStyle name="Currency 3 4 4 3 5" xfId="22473"/>
    <cellStyle name="Currency 3 4 4 3 6" xfId="22474"/>
    <cellStyle name="Currency 3 4 4 4" xfId="22475"/>
    <cellStyle name="Currency 3 4 4 4 2" xfId="22476"/>
    <cellStyle name="Currency 3 4 4 4 2 2" xfId="22477"/>
    <cellStyle name="Currency 3 4 4 4 2 2 2" xfId="22478"/>
    <cellStyle name="Currency 3 4 4 4 2 2 3" xfId="22479"/>
    <cellStyle name="Currency 3 4 4 4 2 3" xfId="22480"/>
    <cellStyle name="Currency 3 4 4 4 2 3 2" xfId="22481"/>
    <cellStyle name="Currency 3 4 4 4 2 3 3" xfId="22482"/>
    <cellStyle name="Currency 3 4 4 4 2 4" xfId="22483"/>
    <cellStyle name="Currency 3 4 4 4 2 5" xfId="22484"/>
    <cellStyle name="Currency 3 4 4 4 3" xfId="22485"/>
    <cellStyle name="Currency 3 4 4 4 3 2" xfId="22486"/>
    <cellStyle name="Currency 3 4 4 4 3 3" xfId="22487"/>
    <cellStyle name="Currency 3 4 4 4 4" xfId="22488"/>
    <cellStyle name="Currency 3 4 4 4 4 2" xfId="22489"/>
    <cellStyle name="Currency 3 4 4 4 4 3" xfId="22490"/>
    <cellStyle name="Currency 3 4 4 4 5" xfId="22491"/>
    <cellStyle name="Currency 3 4 4 4 6" xfId="22492"/>
    <cellStyle name="Currency 3 4 4 5" xfId="22493"/>
    <cellStyle name="Currency 3 4 4 5 2" xfId="22494"/>
    <cellStyle name="Currency 3 4 4 5 2 2" xfId="22495"/>
    <cellStyle name="Currency 3 4 4 5 2 3" xfId="22496"/>
    <cellStyle name="Currency 3 4 4 5 3" xfId="22497"/>
    <cellStyle name="Currency 3 4 4 5 3 2" xfId="22498"/>
    <cellStyle name="Currency 3 4 4 5 3 3" xfId="22499"/>
    <cellStyle name="Currency 3 4 4 5 4" xfId="22500"/>
    <cellStyle name="Currency 3 4 4 5 5" xfId="22501"/>
    <cellStyle name="Currency 3 4 4 6" xfId="22502"/>
    <cellStyle name="Currency 3 4 4 6 2" xfId="22503"/>
    <cellStyle name="Currency 3 4 4 6 3" xfId="22504"/>
    <cellStyle name="Currency 3 4 4 7" xfId="22505"/>
    <cellStyle name="Currency 3 4 4 7 2" xfId="22506"/>
    <cellStyle name="Currency 3 4 4 7 3" xfId="22507"/>
    <cellStyle name="Currency 3 4 4 8" xfId="22508"/>
    <cellStyle name="Currency 3 4 4 9" xfId="22509"/>
    <cellStyle name="Currency 3 4 5" xfId="22510"/>
    <cellStyle name="Currency 3 4 5 2" xfId="22511"/>
    <cellStyle name="Currency 3 4 5 2 2" xfId="22512"/>
    <cellStyle name="Currency 3 4 5 2 2 2" xfId="22513"/>
    <cellStyle name="Currency 3 4 5 2 2 2 2" xfId="22514"/>
    <cellStyle name="Currency 3 4 5 2 2 2 3" xfId="22515"/>
    <cellStyle name="Currency 3 4 5 2 2 3" xfId="22516"/>
    <cellStyle name="Currency 3 4 5 2 2 3 2" xfId="22517"/>
    <cellStyle name="Currency 3 4 5 2 2 3 3" xfId="22518"/>
    <cellStyle name="Currency 3 4 5 2 2 4" xfId="22519"/>
    <cellStyle name="Currency 3 4 5 2 2 5" xfId="22520"/>
    <cellStyle name="Currency 3 4 5 2 3" xfId="22521"/>
    <cellStyle name="Currency 3 4 5 2 3 2" xfId="22522"/>
    <cellStyle name="Currency 3 4 5 2 3 3" xfId="22523"/>
    <cellStyle name="Currency 3 4 5 2 4" xfId="22524"/>
    <cellStyle name="Currency 3 4 5 2 4 2" xfId="22525"/>
    <cellStyle name="Currency 3 4 5 2 4 3" xfId="22526"/>
    <cellStyle name="Currency 3 4 5 2 5" xfId="22527"/>
    <cellStyle name="Currency 3 4 5 2 6" xfId="22528"/>
    <cellStyle name="Currency 3 4 5 3" xfId="22529"/>
    <cellStyle name="Currency 3 4 5 3 2" xfId="22530"/>
    <cellStyle name="Currency 3 4 5 3 2 2" xfId="22531"/>
    <cellStyle name="Currency 3 4 5 3 2 2 2" xfId="22532"/>
    <cellStyle name="Currency 3 4 5 3 2 2 3" xfId="22533"/>
    <cellStyle name="Currency 3 4 5 3 2 3" xfId="22534"/>
    <cellStyle name="Currency 3 4 5 3 2 3 2" xfId="22535"/>
    <cellStyle name="Currency 3 4 5 3 2 3 3" xfId="22536"/>
    <cellStyle name="Currency 3 4 5 3 2 4" xfId="22537"/>
    <cellStyle name="Currency 3 4 5 3 2 5" xfId="22538"/>
    <cellStyle name="Currency 3 4 5 3 3" xfId="22539"/>
    <cellStyle name="Currency 3 4 5 3 3 2" xfId="22540"/>
    <cellStyle name="Currency 3 4 5 3 3 3" xfId="22541"/>
    <cellStyle name="Currency 3 4 5 3 4" xfId="22542"/>
    <cellStyle name="Currency 3 4 5 3 4 2" xfId="22543"/>
    <cellStyle name="Currency 3 4 5 3 4 3" xfId="22544"/>
    <cellStyle name="Currency 3 4 5 3 5" xfId="22545"/>
    <cellStyle name="Currency 3 4 5 3 6" xfId="22546"/>
    <cellStyle name="Currency 3 4 5 4" xfId="22547"/>
    <cellStyle name="Currency 3 4 5 4 2" xfId="22548"/>
    <cellStyle name="Currency 3 4 5 4 2 2" xfId="22549"/>
    <cellStyle name="Currency 3 4 5 4 2 3" xfId="22550"/>
    <cellStyle name="Currency 3 4 5 4 3" xfId="22551"/>
    <cellStyle name="Currency 3 4 5 4 3 2" xfId="22552"/>
    <cellStyle name="Currency 3 4 5 4 3 3" xfId="22553"/>
    <cellStyle name="Currency 3 4 5 4 4" xfId="22554"/>
    <cellStyle name="Currency 3 4 5 4 5" xfId="22555"/>
    <cellStyle name="Currency 3 4 5 5" xfId="22556"/>
    <cellStyle name="Currency 3 4 5 5 2" xfId="22557"/>
    <cellStyle name="Currency 3 4 5 5 3" xfId="22558"/>
    <cellStyle name="Currency 3 4 5 6" xfId="22559"/>
    <cellStyle name="Currency 3 4 5 6 2" xfId="22560"/>
    <cellStyle name="Currency 3 4 5 6 3" xfId="22561"/>
    <cellStyle name="Currency 3 4 5 7" xfId="22562"/>
    <cellStyle name="Currency 3 4 5 8" xfId="22563"/>
    <cellStyle name="Currency 3 4 6" xfId="22564"/>
    <cellStyle name="Currency 3 4 6 2" xfId="22565"/>
    <cellStyle name="Currency 3 4 6 2 2" xfId="22566"/>
    <cellStyle name="Currency 3 4 6 2 2 2" xfId="22567"/>
    <cellStyle name="Currency 3 4 6 2 2 3" xfId="22568"/>
    <cellStyle name="Currency 3 4 6 2 3" xfId="22569"/>
    <cellStyle name="Currency 3 4 6 2 3 2" xfId="22570"/>
    <cellStyle name="Currency 3 4 6 2 3 3" xfId="22571"/>
    <cellStyle name="Currency 3 4 6 2 4" xfId="22572"/>
    <cellStyle name="Currency 3 4 6 2 5" xfId="22573"/>
    <cellStyle name="Currency 3 4 6 3" xfId="22574"/>
    <cellStyle name="Currency 3 4 6 3 2" xfId="22575"/>
    <cellStyle name="Currency 3 4 6 3 3" xfId="22576"/>
    <cellStyle name="Currency 3 4 6 4" xfId="22577"/>
    <cellStyle name="Currency 3 4 6 4 2" xfId="22578"/>
    <cellStyle name="Currency 3 4 6 4 3" xfId="22579"/>
    <cellStyle name="Currency 3 4 6 5" xfId="22580"/>
    <cellStyle name="Currency 3 4 6 6" xfId="22581"/>
    <cellStyle name="Currency 3 4 7" xfId="22582"/>
    <cellStyle name="Currency 3 4 7 2" xfId="22583"/>
    <cellStyle name="Currency 3 4 7 2 2" xfId="22584"/>
    <cellStyle name="Currency 3 4 7 2 2 2" xfId="22585"/>
    <cellStyle name="Currency 3 4 7 2 2 3" xfId="22586"/>
    <cellStyle name="Currency 3 4 7 2 3" xfId="22587"/>
    <cellStyle name="Currency 3 4 7 2 3 2" xfId="22588"/>
    <cellStyle name="Currency 3 4 7 2 3 3" xfId="22589"/>
    <cellStyle name="Currency 3 4 7 2 4" xfId="22590"/>
    <cellStyle name="Currency 3 4 7 2 5" xfId="22591"/>
    <cellStyle name="Currency 3 4 7 3" xfId="22592"/>
    <cellStyle name="Currency 3 4 7 3 2" xfId="22593"/>
    <cellStyle name="Currency 3 4 7 3 3" xfId="22594"/>
    <cellStyle name="Currency 3 4 7 4" xfId="22595"/>
    <cellStyle name="Currency 3 4 7 4 2" xfId="22596"/>
    <cellStyle name="Currency 3 4 7 4 3" xfId="22597"/>
    <cellStyle name="Currency 3 4 7 5" xfId="22598"/>
    <cellStyle name="Currency 3 4 7 6" xfId="22599"/>
    <cellStyle name="Currency 3 4 8" xfId="22600"/>
    <cellStyle name="Currency 3 4 8 2" xfId="22601"/>
    <cellStyle name="Currency 3 4 8 2 2" xfId="22602"/>
    <cellStyle name="Currency 3 4 8 2 3" xfId="22603"/>
    <cellStyle name="Currency 3 4 8 3" xfId="22604"/>
    <cellStyle name="Currency 3 4 8 3 2" xfId="22605"/>
    <cellStyle name="Currency 3 4 8 3 3" xfId="22606"/>
    <cellStyle name="Currency 3 4 8 4" xfId="22607"/>
    <cellStyle name="Currency 3 4 8 5" xfId="22608"/>
    <cellStyle name="Currency 3 4 9" xfId="22609"/>
    <cellStyle name="Currency 3 4 9 2" xfId="22610"/>
    <cellStyle name="Currency 3 4 9 3" xfId="22611"/>
    <cellStyle name="Currency 3 5" xfId="22612"/>
    <cellStyle name="Currency 3 5 10" xfId="22613"/>
    <cellStyle name="Currency 3 5 10 2" xfId="22614"/>
    <cellStyle name="Currency 3 5 10 3" xfId="22615"/>
    <cellStyle name="Currency 3 5 11" xfId="22616"/>
    <cellStyle name="Currency 3 5 12" xfId="22617"/>
    <cellStyle name="Currency 3 5 13" xfId="22618"/>
    <cellStyle name="Currency 3 5 14" xfId="22619"/>
    <cellStyle name="Currency 3 5 2" xfId="22620"/>
    <cellStyle name="Currency 3 5 2 10" xfId="22621"/>
    <cellStyle name="Currency 3 5 2 2" xfId="22622"/>
    <cellStyle name="Currency 3 5 2 2 2" xfId="22623"/>
    <cellStyle name="Currency 3 5 2 2 2 2" xfId="22624"/>
    <cellStyle name="Currency 3 5 2 2 2 2 2" xfId="22625"/>
    <cellStyle name="Currency 3 5 2 2 2 2 2 2" xfId="22626"/>
    <cellStyle name="Currency 3 5 2 2 2 2 2 2 2" xfId="22627"/>
    <cellStyle name="Currency 3 5 2 2 2 2 2 2 3" xfId="22628"/>
    <cellStyle name="Currency 3 5 2 2 2 2 2 3" xfId="22629"/>
    <cellStyle name="Currency 3 5 2 2 2 2 2 3 2" xfId="22630"/>
    <cellStyle name="Currency 3 5 2 2 2 2 2 3 3" xfId="22631"/>
    <cellStyle name="Currency 3 5 2 2 2 2 2 4" xfId="22632"/>
    <cellStyle name="Currency 3 5 2 2 2 2 2 5" xfId="22633"/>
    <cellStyle name="Currency 3 5 2 2 2 2 3" xfId="22634"/>
    <cellStyle name="Currency 3 5 2 2 2 2 3 2" xfId="22635"/>
    <cellStyle name="Currency 3 5 2 2 2 2 3 3" xfId="22636"/>
    <cellStyle name="Currency 3 5 2 2 2 2 4" xfId="22637"/>
    <cellStyle name="Currency 3 5 2 2 2 2 4 2" xfId="22638"/>
    <cellStyle name="Currency 3 5 2 2 2 2 4 3" xfId="22639"/>
    <cellStyle name="Currency 3 5 2 2 2 2 5" xfId="22640"/>
    <cellStyle name="Currency 3 5 2 2 2 2 6" xfId="22641"/>
    <cellStyle name="Currency 3 5 2 2 2 3" xfId="22642"/>
    <cellStyle name="Currency 3 5 2 2 2 3 2" xfId="22643"/>
    <cellStyle name="Currency 3 5 2 2 2 3 2 2" xfId="22644"/>
    <cellStyle name="Currency 3 5 2 2 2 3 2 2 2" xfId="22645"/>
    <cellStyle name="Currency 3 5 2 2 2 3 2 2 3" xfId="22646"/>
    <cellStyle name="Currency 3 5 2 2 2 3 2 3" xfId="22647"/>
    <cellStyle name="Currency 3 5 2 2 2 3 2 3 2" xfId="22648"/>
    <cellStyle name="Currency 3 5 2 2 2 3 2 3 3" xfId="22649"/>
    <cellStyle name="Currency 3 5 2 2 2 3 2 4" xfId="22650"/>
    <cellStyle name="Currency 3 5 2 2 2 3 2 5" xfId="22651"/>
    <cellStyle name="Currency 3 5 2 2 2 3 3" xfId="22652"/>
    <cellStyle name="Currency 3 5 2 2 2 3 3 2" xfId="22653"/>
    <cellStyle name="Currency 3 5 2 2 2 3 3 3" xfId="22654"/>
    <cellStyle name="Currency 3 5 2 2 2 3 4" xfId="22655"/>
    <cellStyle name="Currency 3 5 2 2 2 3 4 2" xfId="22656"/>
    <cellStyle name="Currency 3 5 2 2 2 3 4 3" xfId="22657"/>
    <cellStyle name="Currency 3 5 2 2 2 3 5" xfId="22658"/>
    <cellStyle name="Currency 3 5 2 2 2 3 6" xfId="22659"/>
    <cellStyle name="Currency 3 5 2 2 2 4" xfId="22660"/>
    <cellStyle name="Currency 3 5 2 2 2 4 2" xfId="22661"/>
    <cellStyle name="Currency 3 5 2 2 2 4 2 2" xfId="22662"/>
    <cellStyle name="Currency 3 5 2 2 2 4 2 3" xfId="22663"/>
    <cellStyle name="Currency 3 5 2 2 2 4 3" xfId="22664"/>
    <cellStyle name="Currency 3 5 2 2 2 4 3 2" xfId="22665"/>
    <cellStyle name="Currency 3 5 2 2 2 4 3 3" xfId="22666"/>
    <cellStyle name="Currency 3 5 2 2 2 4 4" xfId="22667"/>
    <cellStyle name="Currency 3 5 2 2 2 4 5" xfId="22668"/>
    <cellStyle name="Currency 3 5 2 2 2 5" xfId="22669"/>
    <cellStyle name="Currency 3 5 2 2 2 5 2" xfId="22670"/>
    <cellStyle name="Currency 3 5 2 2 2 5 3" xfId="22671"/>
    <cellStyle name="Currency 3 5 2 2 2 6" xfId="22672"/>
    <cellStyle name="Currency 3 5 2 2 2 6 2" xfId="22673"/>
    <cellStyle name="Currency 3 5 2 2 2 6 3" xfId="22674"/>
    <cellStyle name="Currency 3 5 2 2 2 7" xfId="22675"/>
    <cellStyle name="Currency 3 5 2 2 2 8" xfId="22676"/>
    <cellStyle name="Currency 3 5 2 2 3" xfId="22677"/>
    <cellStyle name="Currency 3 5 2 2 3 2" xfId="22678"/>
    <cellStyle name="Currency 3 5 2 2 3 2 2" xfId="22679"/>
    <cellStyle name="Currency 3 5 2 2 3 2 2 2" xfId="22680"/>
    <cellStyle name="Currency 3 5 2 2 3 2 2 3" xfId="22681"/>
    <cellStyle name="Currency 3 5 2 2 3 2 3" xfId="22682"/>
    <cellStyle name="Currency 3 5 2 2 3 2 3 2" xfId="22683"/>
    <cellStyle name="Currency 3 5 2 2 3 2 3 3" xfId="22684"/>
    <cellStyle name="Currency 3 5 2 2 3 2 4" xfId="22685"/>
    <cellStyle name="Currency 3 5 2 2 3 2 5" xfId="22686"/>
    <cellStyle name="Currency 3 5 2 2 3 3" xfId="22687"/>
    <cellStyle name="Currency 3 5 2 2 3 3 2" xfId="22688"/>
    <cellStyle name="Currency 3 5 2 2 3 3 3" xfId="22689"/>
    <cellStyle name="Currency 3 5 2 2 3 4" xfId="22690"/>
    <cellStyle name="Currency 3 5 2 2 3 4 2" xfId="22691"/>
    <cellStyle name="Currency 3 5 2 2 3 4 3" xfId="22692"/>
    <cellStyle name="Currency 3 5 2 2 3 5" xfId="22693"/>
    <cellStyle name="Currency 3 5 2 2 3 6" xfId="22694"/>
    <cellStyle name="Currency 3 5 2 2 4" xfId="22695"/>
    <cellStyle name="Currency 3 5 2 2 4 2" xfId="22696"/>
    <cellStyle name="Currency 3 5 2 2 4 2 2" xfId="22697"/>
    <cellStyle name="Currency 3 5 2 2 4 2 2 2" xfId="22698"/>
    <cellStyle name="Currency 3 5 2 2 4 2 2 3" xfId="22699"/>
    <cellStyle name="Currency 3 5 2 2 4 2 3" xfId="22700"/>
    <cellStyle name="Currency 3 5 2 2 4 2 3 2" xfId="22701"/>
    <cellStyle name="Currency 3 5 2 2 4 2 3 3" xfId="22702"/>
    <cellStyle name="Currency 3 5 2 2 4 2 4" xfId="22703"/>
    <cellStyle name="Currency 3 5 2 2 4 2 5" xfId="22704"/>
    <cellStyle name="Currency 3 5 2 2 4 3" xfId="22705"/>
    <cellStyle name="Currency 3 5 2 2 4 3 2" xfId="22706"/>
    <cellStyle name="Currency 3 5 2 2 4 3 3" xfId="22707"/>
    <cellStyle name="Currency 3 5 2 2 4 4" xfId="22708"/>
    <cellStyle name="Currency 3 5 2 2 4 4 2" xfId="22709"/>
    <cellStyle name="Currency 3 5 2 2 4 4 3" xfId="22710"/>
    <cellStyle name="Currency 3 5 2 2 4 5" xfId="22711"/>
    <cellStyle name="Currency 3 5 2 2 4 6" xfId="22712"/>
    <cellStyle name="Currency 3 5 2 2 5" xfId="22713"/>
    <cellStyle name="Currency 3 5 2 2 5 2" xfId="22714"/>
    <cellStyle name="Currency 3 5 2 2 5 2 2" xfId="22715"/>
    <cellStyle name="Currency 3 5 2 2 5 2 3" xfId="22716"/>
    <cellStyle name="Currency 3 5 2 2 5 3" xfId="22717"/>
    <cellStyle name="Currency 3 5 2 2 5 3 2" xfId="22718"/>
    <cellStyle name="Currency 3 5 2 2 5 3 3" xfId="22719"/>
    <cellStyle name="Currency 3 5 2 2 5 4" xfId="22720"/>
    <cellStyle name="Currency 3 5 2 2 5 5" xfId="22721"/>
    <cellStyle name="Currency 3 5 2 2 6" xfId="22722"/>
    <cellStyle name="Currency 3 5 2 2 6 2" xfId="22723"/>
    <cellStyle name="Currency 3 5 2 2 6 3" xfId="22724"/>
    <cellStyle name="Currency 3 5 2 2 7" xfId="22725"/>
    <cellStyle name="Currency 3 5 2 2 7 2" xfId="22726"/>
    <cellStyle name="Currency 3 5 2 2 7 3" xfId="22727"/>
    <cellStyle name="Currency 3 5 2 2 8" xfId="22728"/>
    <cellStyle name="Currency 3 5 2 2 9" xfId="22729"/>
    <cellStyle name="Currency 3 5 2 3" xfId="22730"/>
    <cellStyle name="Currency 3 5 2 3 2" xfId="22731"/>
    <cellStyle name="Currency 3 5 2 3 2 2" xfId="22732"/>
    <cellStyle name="Currency 3 5 2 3 2 2 2" xfId="22733"/>
    <cellStyle name="Currency 3 5 2 3 2 2 2 2" xfId="22734"/>
    <cellStyle name="Currency 3 5 2 3 2 2 2 3" xfId="22735"/>
    <cellStyle name="Currency 3 5 2 3 2 2 3" xfId="22736"/>
    <cellStyle name="Currency 3 5 2 3 2 2 3 2" xfId="22737"/>
    <cellStyle name="Currency 3 5 2 3 2 2 3 3" xfId="22738"/>
    <cellStyle name="Currency 3 5 2 3 2 2 4" xfId="22739"/>
    <cellStyle name="Currency 3 5 2 3 2 2 5" xfId="22740"/>
    <cellStyle name="Currency 3 5 2 3 2 3" xfId="22741"/>
    <cellStyle name="Currency 3 5 2 3 2 3 2" xfId="22742"/>
    <cellStyle name="Currency 3 5 2 3 2 3 3" xfId="22743"/>
    <cellStyle name="Currency 3 5 2 3 2 4" xfId="22744"/>
    <cellStyle name="Currency 3 5 2 3 2 4 2" xfId="22745"/>
    <cellStyle name="Currency 3 5 2 3 2 4 3" xfId="22746"/>
    <cellStyle name="Currency 3 5 2 3 2 5" xfId="22747"/>
    <cellStyle name="Currency 3 5 2 3 2 6" xfId="22748"/>
    <cellStyle name="Currency 3 5 2 3 3" xfId="22749"/>
    <cellStyle name="Currency 3 5 2 3 3 2" xfId="22750"/>
    <cellStyle name="Currency 3 5 2 3 3 2 2" xfId="22751"/>
    <cellStyle name="Currency 3 5 2 3 3 2 2 2" xfId="22752"/>
    <cellStyle name="Currency 3 5 2 3 3 2 2 3" xfId="22753"/>
    <cellStyle name="Currency 3 5 2 3 3 2 3" xfId="22754"/>
    <cellStyle name="Currency 3 5 2 3 3 2 3 2" xfId="22755"/>
    <cellStyle name="Currency 3 5 2 3 3 2 3 3" xfId="22756"/>
    <cellStyle name="Currency 3 5 2 3 3 2 4" xfId="22757"/>
    <cellStyle name="Currency 3 5 2 3 3 2 5" xfId="22758"/>
    <cellStyle name="Currency 3 5 2 3 3 3" xfId="22759"/>
    <cellStyle name="Currency 3 5 2 3 3 3 2" xfId="22760"/>
    <cellStyle name="Currency 3 5 2 3 3 3 3" xfId="22761"/>
    <cellStyle name="Currency 3 5 2 3 3 4" xfId="22762"/>
    <cellStyle name="Currency 3 5 2 3 3 4 2" xfId="22763"/>
    <cellStyle name="Currency 3 5 2 3 3 4 3" xfId="22764"/>
    <cellStyle name="Currency 3 5 2 3 3 5" xfId="22765"/>
    <cellStyle name="Currency 3 5 2 3 3 6" xfId="22766"/>
    <cellStyle name="Currency 3 5 2 3 4" xfId="22767"/>
    <cellStyle name="Currency 3 5 2 3 4 2" xfId="22768"/>
    <cellStyle name="Currency 3 5 2 3 4 2 2" xfId="22769"/>
    <cellStyle name="Currency 3 5 2 3 4 2 3" xfId="22770"/>
    <cellStyle name="Currency 3 5 2 3 4 3" xfId="22771"/>
    <cellStyle name="Currency 3 5 2 3 4 3 2" xfId="22772"/>
    <cellStyle name="Currency 3 5 2 3 4 3 3" xfId="22773"/>
    <cellStyle name="Currency 3 5 2 3 4 4" xfId="22774"/>
    <cellStyle name="Currency 3 5 2 3 4 5" xfId="22775"/>
    <cellStyle name="Currency 3 5 2 3 5" xfId="22776"/>
    <cellStyle name="Currency 3 5 2 3 5 2" xfId="22777"/>
    <cellStyle name="Currency 3 5 2 3 5 3" xfId="22778"/>
    <cellStyle name="Currency 3 5 2 3 6" xfId="22779"/>
    <cellStyle name="Currency 3 5 2 3 6 2" xfId="22780"/>
    <cellStyle name="Currency 3 5 2 3 6 3" xfId="22781"/>
    <cellStyle name="Currency 3 5 2 3 7" xfId="22782"/>
    <cellStyle name="Currency 3 5 2 3 8" xfId="22783"/>
    <cellStyle name="Currency 3 5 2 4" xfId="22784"/>
    <cellStyle name="Currency 3 5 2 4 2" xfId="22785"/>
    <cellStyle name="Currency 3 5 2 4 2 2" xfId="22786"/>
    <cellStyle name="Currency 3 5 2 4 2 2 2" xfId="22787"/>
    <cellStyle name="Currency 3 5 2 4 2 2 3" xfId="22788"/>
    <cellStyle name="Currency 3 5 2 4 2 3" xfId="22789"/>
    <cellStyle name="Currency 3 5 2 4 2 3 2" xfId="22790"/>
    <cellStyle name="Currency 3 5 2 4 2 3 3" xfId="22791"/>
    <cellStyle name="Currency 3 5 2 4 2 4" xfId="22792"/>
    <cellStyle name="Currency 3 5 2 4 2 5" xfId="22793"/>
    <cellStyle name="Currency 3 5 2 4 3" xfId="22794"/>
    <cellStyle name="Currency 3 5 2 4 3 2" xfId="22795"/>
    <cellStyle name="Currency 3 5 2 4 3 3" xfId="22796"/>
    <cellStyle name="Currency 3 5 2 4 4" xfId="22797"/>
    <cellStyle name="Currency 3 5 2 4 4 2" xfId="22798"/>
    <cellStyle name="Currency 3 5 2 4 4 3" xfId="22799"/>
    <cellStyle name="Currency 3 5 2 4 5" xfId="22800"/>
    <cellStyle name="Currency 3 5 2 4 6" xfId="22801"/>
    <cellStyle name="Currency 3 5 2 5" xfId="22802"/>
    <cellStyle name="Currency 3 5 2 5 2" xfId="22803"/>
    <cellStyle name="Currency 3 5 2 5 2 2" xfId="22804"/>
    <cellStyle name="Currency 3 5 2 5 2 2 2" xfId="22805"/>
    <cellStyle name="Currency 3 5 2 5 2 2 3" xfId="22806"/>
    <cellStyle name="Currency 3 5 2 5 2 3" xfId="22807"/>
    <cellStyle name="Currency 3 5 2 5 2 3 2" xfId="22808"/>
    <cellStyle name="Currency 3 5 2 5 2 3 3" xfId="22809"/>
    <cellStyle name="Currency 3 5 2 5 2 4" xfId="22810"/>
    <cellStyle name="Currency 3 5 2 5 2 5" xfId="22811"/>
    <cellStyle name="Currency 3 5 2 5 3" xfId="22812"/>
    <cellStyle name="Currency 3 5 2 5 3 2" xfId="22813"/>
    <cellStyle name="Currency 3 5 2 5 3 3" xfId="22814"/>
    <cellStyle name="Currency 3 5 2 5 4" xfId="22815"/>
    <cellStyle name="Currency 3 5 2 5 4 2" xfId="22816"/>
    <cellStyle name="Currency 3 5 2 5 4 3" xfId="22817"/>
    <cellStyle name="Currency 3 5 2 5 5" xfId="22818"/>
    <cellStyle name="Currency 3 5 2 5 6" xfId="22819"/>
    <cellStyle name="Currency 3 5 2 6" xfId="22820"/>
    <cellStyle name="Currency 3 5 2 6 2" xfId="22821"/>
    <cellStyle name="Currency 3 5 2 6 2 2" xfId="22822"/>
    <cellStyle name="Currency 3 5 2 6 2 3" xfId="22823"/>
    <cellStyle name="Currency 3 5 2 6 3" xfId="22824"/>
    <cellStyle name="Currency 3 5 2 6 3 2" xfId="22825"/>
    <cellStyle name="Currency 3 5 2 6 3 3" xfId="22826"/>
    <cellStyle name="Currency 3 5 2 6 4" xfId="22827"/>
    <cellStyle name="Currency 3 5 2 6 5" xfId="22828"/>
    <cellStyle name="Currency 3 5 2 7" xfId="22829"/>
    <cellStyle name="Currency 3 5 2 7 2" xfId="22830"/>
    <cellStyle name="Currency 3 5 2 7 3" xfId="22831"/>
    <cellStyle name="Currency 3 5 2 8" xfId="22832"/>
    <cellStyle name="Currency 3 5 2 8 2" xfId="22833"/>
    <cellStyle name="Currency 3 5 2 8 3" xfId="22834"/>
    <cellStyle name="Currency 3 5 2 9" xfId="22835"/>
    <cellStyle name="Currency 3 5 3" xfId="22836"/>
    <cellStyle name="Currency 3 5 3 10" xfId="22837"/>
    <cellStyle name="Currency 3 5 3 2" xfId="22838"/>
    <cellStyle name="Currency 3 5 3 2 2" xfId="22839"/>
    <cellStyle name="Currency 3 5 3 2 2 2" xfId="22840"/>
    <cellStyle name="Currency 3 5 3 2 2 2 2" xfId="22841"/>
    <cellStyle name="Currency 3 5 3 2 2 2 2 2" xfId="22842"/>
    <cellStyle name="Currency 3 5 3 2 2 2 2 2 2" xfId="22843"/>
    <cellStyle name="Currency 3 5 3 2 2 2 2 2 3" xfId="22844"/>
    <cellStyle name="Currency 3 5 3 2 2 2 2 3" xfId="22845"/>
    <cellStyle name="Currency 3 5 3 2 2 2 2 3 2" xfId="22846"/>
    <cellStyle name="Currency 3 5 3 2 2 2 2 3 3" xfId="22847"/>
    <cellStyle name="Currency 3 5 3 2 2 2 2 4" xfId="22848"/>
    <cellStyle name="Currency 3 5 3 2 2 2 2 5" xfId="22849"/>
    <cellStyle name="Currency 3 5 3 2 2 2 3" xfId="22850"/>
    <cellStyle name="Currency 3 5 3 2 2 2 3 2" xfId="22851"/>
    <cellStyle name="Currency 3 5 3 2 2 2 3 3" xfId="22852"/>
    <cellStyle name="Currency 3 5 3 2 2 2 4" xfId="22853"/>
    <cellStyle name="Currency 3 5 3 2 2 2 4 2" xfId="22854"/>
    <cellStyle name="Currency 3 5 3 2 2 2 4 3" xfId="22855"/>
    <cellStyle name="Currency 3 5 3 2 2 2 5" xfId="22856"/>
    <cellStyle name="Currency 3 5 3 2 2 2 6" xfId="22857"/>
    <cellStyle name="Currency 3 5 3 2 2 3" xfId="22858"/>
    <cellStyle name="Currency 3 5 3 2 2 3 2" xfId="22859"/>
    <cellStyle name="Currency 3 5 3 2 2 3 2 2" xfId="22860"/>
    <cellStyle name="Currency 3 5 3 2 2 3 2 2 2" xfId="22861"/>
    <cellStyle name="Currency 3 5 3 2 2 3 2 2 3" xfId="22862"/>
    <cellStyle name="Currency 3 5 3 2 2 3 2 3" xfId="22863"/>
    <cellStyle name="Currency 3 5 3 2 2 3 2 3 2" xfId="22864"/>
    <cellStyle name="Currency 3 5 3 2 2 3 2 3 3" xfId="22865"/>
    <cellStyle name="Currency 3 5 3 2 2 3 2 4" xfId="22866"/>
    <cellStyle name="Currency 3 5 3 2 2 3 2 5" xfId="22867"/>
    <cellStyle name="Currency 3 5 3 2 2 3 3" xfId="22868"/>
    <cellStyle name="Currency 3 5 3 2 2 3 3 2" xfId="22869"/>
    <cellStyle name="Currency 3 5 3 2 2 3 3 3" xfId="22870"/>
    <cellStyle name="Currency 3 5 3 2 2 3 4" xfId="22871"/>
    <cellStyle name="Currency 3 5 3 2 2 3 4 2" xfId="22872"/>
    <cellStyle name="Currency 3 5 3 2 2 3 4 3" xfId="22873"/>
    <cellStyle name="Currency 3 5 3 2 2 3 5" xfId="22874"/>
    <cellStyle name="Currency 3 5 3 2 2 3 6" xfId="22875"/>
    <cellStyle name="Currency 3 5 3 2 2 4" xfId="22876"/>
    <cellStyle name="Currency 3 5 3 2 2 4 2" xfId="22877"/>
    <cellStyle name="Currency 3 5 3 2 2 4 2 2" xfId="22878"/>
    <cellStyle name="Currency 3 5 3 2 2 4 2 3" xfId="22879"/>
    <cellStyle name="Currency 3 5 3 2 2 4 3" xfId="22880"/>
    <cellStyle name="Currency 3 5 3 2 2 4 3 2" xfId="22881"/>
    <cellStyle name="Currency 3 5 3 2 2 4 3 3" xfId="22882"/>
    <cellStyle name="Currency 3 5 3 2 2 4 4" xfId="22883"/>
    <cellStyle name="Currency 3 5 3 2 2 4 5" xfId="22884"/>
    <cellStyle name="Currency 3 5 3 2 2 5" xfId="22885"/>
    <cellStyle name="Currency 3 5 3 2 2 5 2" xfId="22886"/>
    <cellStyle name="Currency 3 5 3 2 2 5 3" xfId="22887"/>
    <cellStyle name="Currency 3 5 3 2 2 6" xfId="22888"/>
    <cellStyle name="Currency 3 5 3 2 2 6 2" xfId="22889"/>
    <cellStyle name="Currency 3 5 3 2 2 6 3" xfId="22890"/>
    <cellStyle name="Currency 3 5 3 2 2 7" xfId="22891"/>
    <cellStyle name="Currency 3 5 3 2 2 8" xfId="22892"/>
    <cellStyle name="Currency 3 5 3 2 3" xfId="22893"/>
    <cellStyle name="Currency 3 5 3 2 3 2" xfId="22894"/>
    <cellStyle name="Currency 3 5 3 2 3 2 2" xfId="22895"/>
    <cellStyle name="Currency 3 5 3 2 3 2 2 2" xfId="22896"/>
    <cellStyle name="Currency 3 5 3 2 3 2 2 3" xfId="22897"/>
    <cellStyle name="Currency 3 5 3 2 3 2 3" xfId="22898"/>
    <cellStyle name="Currency 3 5 3 2 3 2 3 2" xfId="22899"/>
    <cellStyle name="Currency 3 5 3 2 3 2 3 3" xfId="22900"/>
    <cellStyle name="Currency 3 5 3 2 3 2 4" xfId="22901"/>
    <cellStyle name="Currency 3 5 3 2 3 2 5" xfId="22902"/>
    <cellStyle name="Currency 3 5 3 2 3 3" xfId="22903"/>
    <cellStyle name="Currency 3 5 3 2 3 3 2" xfId="22904"/>
    <cellStyle name="Currency 3 5 3 2 3 3 3" xfId="22905"/>
    <cellStyle name="Currency 3 5 3 2 3 4" xfId="22906"/>
    <cellStyle name="Currency 3 5 3 2 3 4 2" xfId="22907"/>
    <cellStyle name="Currency 3 5 3 2 3 4 3" xfId="22908"/>
    <cellStyle name="Currency 3 5 3 2 3 5" xfId="22909"/>
    <cellStyle name="Currency 3 5 3 2 3 6" xfId="22910"/>
    <cellStyle name="Currency 3 5 3 2 4" xfId="22911"/>
    <cellStyle name="Currency 3 5 3 2 4 2" xfId="22912"/>
    <cellStyle name="Currency 3 5 3 2 4 2 2" xfId="22913"/>
    <cellStyle name="Currency 3 5 3 2 4 2 2 2" xfId="22914"/>
    <cellStyle name="Currency 3 5 3 2 4 2 2 3" xfId="22915"/>
    <cellStyle name="Currency 3 5 3 2 4 2 3" xfId="22916"/>
    <cellStyle name="Currency 3 5 3 2 4 2 3 2" xfId="22917"/>
    <cellStyle name="Currency 3 5 3 2 4 2 3 3" xfId="22918"/>
    <cellStyle name="Currency 3 5 3 2 4 2 4" xfId="22919"/>
    <cellStyle name="Currency 3 5 3 2 4 2 5" xfId="22920"/>
    <cellStyle name="Currency 3 5 3 2 4 3" xfId="22921"/>
    <cellStyle name="Currency 3 5 3 2 4 3 2" xfId="22922"/>
    <cellStyle name="Currency 3 5 3 2 4 3 3" xfId="22923"/>
    <cellStyle name="Currency 3 5 3 2 4 4" xfId="22924"/>
    <cellStyle name="Currency 3 5 3 2 4 4 2" xfId="22925"/>
    <cellStyle name="Currency 3 5 3 2 4 4 3" xfId="22926"/>
    <cellStyle name="Currency 3 5 3 2 4 5" xfId="22927"/>
    <cellStyle name="Currency 3 5 3 2 4 6" xfId="22928"/>
    <cellStyle name="Currency 3 5 3 2 5" xfId="22929"/>
    <cellStyle name="Currency 3 5 3 2 5 2" xfId="22930"/>
    <cellStyle name="Currency 3 5 3 2 5 2 2" xfId="22931"/>
    <cellStyle name="Currency 3 5 3 2 5 2 3" xfId="22932"/>
    <cellStyle name="Currency 3 5 3 2 5 3" xfId="22933"/>
    <cellStyle name="Currency 3 5 3 2 5 3 2" xfId="22934"/>
    <cellStyle name="Currency 3 5 3 2 5 3 3" xfId="22935"/>
    <cellStyle name="Currency 3 5 3 2 5 4" xfId="22936"/>
    <cellStyle name="Currency 3 5 3 2 5 5" xfId="22937"/>
    <cellStyle name="Currency 3 5 3 2 6" xfId="22938"/>
    <cellStyle name="Currency 3 5 3 2 6 2" xfId="22939"/>
    <cellStyle name="Currency 3 5 3 2 6 3" xfId="22940"/>
    <cellStyle name="Currency 3 5 3 2 7" xfId="22941"/>
    <cellStyle name="Currency 3 5 3 2 7 2" xfId="22942"/>
    <cellStyle name="Currency 3 5 3 2 7 3" xfId="22943"/>
    <cellStyle name="Currency 3 5 3 2 8" xfId="22944"/>
    <cellStyle name="Currency 3 5 3 2 9" xfId="22945"/>
    <cellStyle name="Currency 3 5 3 3" xfId="22946"/>
    <cellStyle name="Currency 3 5 3 3 2" xfId="22947"/>
    <cellStyle name="Currency 3 5 3 3 2 2" xfId="22948"/>
    <cellStyle name="Currency 3 5 3 3 2 2 2" xfId="22949"/>
    <cellStyle name="Currency 3 5 3 3 2 2 2 2" xfId="22950"/>
    <cellStyle name="Currency 3 5 3 3 2 2 2 3" xfId="22951"/>
    <cellStyle name="Currency 3 5 3 3 2 2 3" xfId="22952"/>
    <cellStyle name="Currency 3 5 3 3 2 2 3 2" xfId="22953"/>
    <cellStyle name="Currency 3 5 3 3 2 2 3 3" xfId="22954"/>
    <cellStyle name="Currency 3 5 3 3 2 2 4" xfId="22955"/>
    <cellStyle name="Currency 3 5 3 3 2 2 5" xfId="22956"/>
    <cellStyle name="Currency 3 5 3 3 2 3" xfId="22957"/>
    <cellStyle name="Currency 3 5 3 3 2 3 2" xfId="22958"/>
    <cellStyle name="Currency 3 5 3 3 2 3 3" xfId="22959"/>
    <cellStyle name="Currency 3 5 3 3 2 4" xfId="22960"/>
    <cellStyle name="Currency 3 5 3 3 2 4 2" xfId="22961"/>
    <cellStyle name="Currency 3 5 3 3 2 4 3" xfId="22962"/>
    <cellStyle name="Currency 3 5 3 3 2 5" xfId="22963"/>
    <cellStyle name="Currency 3 5 3 3 2 6" xfId="22964"/>
    <cellStyle name="Currency 3 5 3 3 3" xfId="22965"/>
    <cellStyle name="Currency 3 5 3 3 3 2" xfId="22966"/>
    <cellStyle name="Currency 3 5 3 3 3 2 2" xfId="22967"/>
    <cellStyle name="Currency 3 5 3 3 3 2 2 2" xfId="22968"/>
    <cellStyle name="Currency 3 5 3 3 3 2 2 3" xfId="22969"/>
    <cellStyle name="Currency 3 5 3 3 3 2 3" xfId="22970"/>
    <cellStyle name="Currency 3 5 3 3 3 2 3 2" xfId="22971"/>
    <cellStyle name="Currency 3 5 3 3 3 2 3 3" xfId="22972"/>
    <cellStyle name="Currency 3 5 3 3 3 2 4" xfId="22973"/>
    <cellStyle name="Currency 3 5 3 3 3 2 5" xfId="22974"/>
    <cellStyle name="Currency 3 5 3 3 3 3" xfId="22975"/>
    <cellStyle name="Currency 3 5 3 3 3 3 2" xfId="22976"/>
    <cellStyle name="Currency 3 5 3 3 3 3 3" xfId="22977"/>
    <cellStyle name="Currency 3 5 3 3 3 4" xfId="22978"/>
    <cellStyle name="Currency 3 5 3 3 3 4 2" xfId="22979"/>
    <cellStyle name="Currency 3 5 3 3 3 4 3" xfId="22980"/>
    <cellStyle name="Currency 3 5 3 3 3 5" xfId="22981"/>
    <cellStyle name="Currency 3 5 3 3 3 6" xfId="22982"/>
    <cellStyle name="Currency 3 5 3 3 4" xfId="22983"/>
    <cellStyle name="Currency 3 5 3 3 4 2" xfId="22984"/>
    <cellStyle name="Currency 3 5 3 3 4 2 2" xfId="22985"/>
    <cellStyle name="Currency 3 5 3 3 4 2 3" xfId="22986"/>
    <cellStyle name="Currency 3 5 3 3 4 3" xfId="22987"/>
    <cellStyle name="Currency 3 5 3 3 4 3 2" xfId="22988"/>
    <cellStyle name="Currency 3 5 3 3 4 3 3" xfId="22989"/>
    <cellStyle name="Currency 3 5 3 3 4 4" xfId="22990"/>
    <cellStyle name="Currency 3 5 3 3 4 5" xfId="22991"/>
    <cellStyle name="Currency 3 5 3 3 5" xfId="22992"/>
    <cellStyle name="Currency 3 5 3 3 5 2" xfId="22993"/>
    <cellStyle name="Currency 3 5 3 3 5 3" xfId="22994"/>
    <cellStyle name="Currency 3 5 3 3 6" xfId="22995"/>
    <cellStyle name="Currency 3 5 3 3 6 2" xfId="22996"/>
    <cellStyle name="Currency 3 5 3 3 6 3" xfId="22997"/>
    <cellStyle name="Currency 3 5 3 3 7" xfId="22998"/>
    <cellStyle name="Currency 3 5 3 3 8" xfId="22999"/>
    <cellStyle name="Currency 3 5 3 4" xfId="23000"/>
    <cellStyle name="Currency 3 5 3 4 2" xfId="23001"/>
    <cellStyle name="Currency 3 5 3 4 2 2" xfId="23002"/>
    <cellStyle name="Currency 3 5 3 4 2 2 2" xfId="23003"/>
    <cellStyle name="Currency 3 5 3 4 2 2 3" xfId="23004"/>
    <cellStyle name="Currency 3 5 3 4 2 3" xfId="23005"/>
    <cellStyle name="Currency 3 5 3 4 2 3 2" xfId="23006"/>
    <cellStyle name="Currency 3 5 3 4 2 3 3" xfId="23007"/>
    <cellStyle name="Currency 3 5 3 4 2 4" xfId="23008"/>
    <cellStyle name="Currency 3 5 3 4 2 5" xfId="23009"/>
    <cellStyle name="Currency 3 5 3 4 3" xfId="23010"/>
    <cellStyle name="Currency 3 5 3 4 3 2" xfId="23011"/>
    <cellStyle name="Currency 3 5 3 4 3 3" xfId="23012"/>
    <cellStyle name="Currency 3 5 3 4 4" xfId="23013"/>
    <cellStyle name="Currency 3 5 3 4 4 2" xfId="23014"/>
    <cellStyle name="Currency 3 5 3 4 4 3" xfId="23015"/>
    <cellStyle name="Currency 3 5 3 4 5" xfId="23016"/>
    <cellStyle name="Currency 3 5 3 4 6" xfId="23017"/>
    <cellStyle name="Currency 3 5 3 5" xfId="23018"/>
    <cellStyle name="Currency 3 5 3 5 2" xfId="23019"/>
    <cellStyle name="Currency 3 5 3 5 2 2" xfId="23020"/>
    <cellStyle name="Currency 3 5 3 5 2 2 2" xfId="23021"/>
    <cellStyle name="Currency 3 5 3 5 2 2 3" xfId="23022"/>
    <cellStyle name="Currency 3 5 3 5 2 3" xfId="23023"/>
    <cellStyle name="Currency 3 5 3 5 2 3 2" xfId="23024"/>
    <cellStyle name="Currency 3 5 3 5 2 3 3" xfId="23025"/>
    <cellStyle name="Currency 3 5 3 5 2 4" xfId="23026"/>
    <cellStyle name="Currency 3 5 3 5 2 5" xfId="23027"/>
    <cellStyle name="Currency 3 5 3 5 3" xfId="23028"/>
    <cellStyle name="Currency 3 5 3 5 3 2" xfId="23029"/>
    <cellStyle name="Currency 3 5 3 5 3 3" xfId="23030"/>
    <cellStyle name="Currency 3 5 3 5 4" xfId="23031"/>
    <cellStyle name="Currency 3 5 3 5 4 2" xfId="23032"/>
    <cellStyle name="Currency 3 5 3 5 4 3" xfId="23033"/>
    <cellStyle name="Currency 3 5 3 5 5" xfId="23034"/>
    <cellStyle name="Currency 3 5 3 5 6" xfId="23035"/>
    <cellStyle name="Currency 3 5 3 6" xfId="23036"/>
    <cellStyle name="Currency 3 5 3 6 2" xfId="23037"/>
    <cellStyle name="Currency 3 5 3 6 2 2" xfId="23038"/>
    <cellStyle name="Currency 3 5 3 6 2 3" xfId="23039"/>
    <cellStyle name="Currency 3 5 3 6 3" xfId="23040"/>
    <cellStyle name="Currency 3 5 3 6 3 2" xfId="23041"/>
    <cellStyle name="Currency 3 5 3 6 3 3" xfId="23042"/>
    <cellStyle name="Currency 3 5 3 6 4" xfId="23043"/>
    <cellStyle name="Currency 3 5 3 6 5" xfId="23044"/>
    <cellStyle name="Currency 3 5 3 7" xfId="23045"/>
    <cellStyle name="Currency 3 5 3 7 2" xfId="23046"/>
    <cellStyle name="Currency 3 5 3 7 3" xfId="23047"/>
    <cellStyle name="Currency 3 5 3 8" xfId="23048"/>
    <cellStyle name="Currency 3 5 3 8 2" xfId="23049"/>
    <cellStyle name="Currency 3 5 3 8 3" xfId="23050"/>
    <cellStyle name="Currency 3 5 3 9" xfId="23051"/>
    <cellStyle name="Currency 3 5 4" xfId="23052"/>
    <cellStyle name="Currency 3 5 4 2" xfId="23053"/>
    <cellStyle name="Currency 3 5 4 2 2" xfId="23054"/>
    <cellStyle name="Currency 3 5 4 2 2 2" xfId="23055"/>
    <cellStyle name="Currency 3 5 4 2 2 2 2" xfId="23056"/>
    <cellStyle name="Currency 3 5 4 2 2 2 2 2" xfId="23057"/>
    <cellStyle name="Currency 3 5 4 2 2 2 2 3" xfId="23058"/>
    <cellStyle name="Currency 3 5 4 2 2 2 3" xfId="23059"/>
    <cellStyle name="Currency 3 5 4 2 2 2 3 2" xfId="23060"/>
    <cellStyle name="Currency 3 5 4 2 2 2 3 3" xfId="23061"/>
    <cellStyle name="Currency 3 5 4 2 2 2 4" xfId="23062"/>
    <cellStyle name="Currency 3 5 4 2 2 2 5" xfId="23063"/>
    <cellStyle name="Currency 3 5 4 2 2 3" xfId="23064"/>
    <cellStyle name="Currency 3 5 4 2 2 3 2" xfId="23065"/>
    <cellStyle name="Currency 3 5 4 2 2 3 3" xfId="23066"/>
    <cellStyle name="Currency 3 5 4 2 2 4" xfId="23067"/>
    <cellStyle name="Currency 3 5 4 2 2 4 2" xfId="23068"/>
    <cellStyle name="Currency 3 5 4 2 2 4 3" xfId="23069"/>
    <cellStyle name="Currency 3 5 4 2 2 5" xfId="23070"/>
    <cellStyle name="Currency 3 5 4 2 2 6" xfId="23071"/>
    <cellStyle name="Currency 3 5 4 2 3" xfId="23072"/>
    <cellStyle name="Currency 3 5 4 2 3 2" xfId="23073"/>
    <cellStyle name="Currency 3 5 4 2 3 2 2" xfId="23074"/>
    <cellStyle name="Currency 3 5 4 2 3 2 2 2" xfId="23075"/>
    <cellStyle name="Currency 3 5 4 2 3 2 2 3" xfId="23076"/>
    <cellStyle name="Currency 3 5 4 2 3 2 3" xfId="23077"/>
    <cellStyle name="Currency 3 5 4 2 3 2 3 2" xfId="23078"/>
    <cellStyle name="Currency 3 5 4 2 3 2 3 3" xfId="23079"/>
    <cellStyle name="Currency 3 5 4 2 3 2 4" xfId="23080"/>
    <cellStyle name="Currency 3 5 4 2 3 2 5" xfId="23081"/>
    <cellStyle name="Currency 3 5 4 2 3 3" xfId="23082"/>
    <cellStyle name="Currency 3 5 4 2 3 3 2" xfId="23083"/>
    <cellStyle name="Currency 3 5 4 2 3 3 3" xfId="23084"/>
    <cellStyle name="Currency 3 5 4 2 3 4" xfId="23085"/>
    <cellStyle name="Currency 3 5 4 2 3 4 2" xfId="23086"/>
    <cellStyle name="Currency 3 5 4 2 3 4 3" xfId="23087"/>
    <cellStyle name="Currency 3 5 4 2 3 5" xfId="23088"/>
    <cellStyle name="Currency 3 5 4 2 3 6" xfId="23089"/>
    <cellStyle name="Currency 3 5 4 2 4" xfId="23090"/>
    <cellStyle name="Currency 3 5 4 2 4 2" xfId="23091"/>
    <cellStyle name="Currency 3 5 4 2 4 2 2" xfId="23092"/>
    <cellStyle name="Currency 3 5 4 2 4 2 3" xfId="23093"/>
    <cellStyle name="Currency 3 5 4 2 4 3" xfId="23094"/>
    <cellStyle name="Currency 3 5 4 2 4 3 2" xfId="23095"/>
    <cellStyle name="Currency 3 5 4 2 4 3 3" xfId="23096"/>
    <cellStyle name="Currency 3 5 4 2 4 4" xfId="23097"/>
    <cellStyle name="Currency 3 5 4 2 4 5" xfId="23098"/>
    <cellStyle name="Currency 3 5 4 2 5" xfId="23099"/>
    <cellStyle name="Currency 3 5 4 2 5 2" xfId="23100"/>
    <cellStyle name="Currency 3 5 4 2 5 3" xfId="23101"/>
    <cellStyle name="Currency 3 5 4 2 6" xfId="23102"/>
    <cellStyle name="Currency 3 5 4 2 6 2" xfId="23103"/>
    <cellStyle name="Currency 3 5 4 2 6 3" xfId="23104"/>
    <cellStyle name="Currency 3 5 4 2 7" xfId="23105"/>
    <cellStyle name="Currency 3 5 4 2 8" xfId="23106"/>
    <cellStyle name="Currency 3 5 4 3" xfId="23107"/>
    <cellStyle name="Currency 3 5 4 3 2" xfId="23108"/>
    <cellStyle name="Currency 3 5 4 3 2 2" xfId="23109"/>
    <cellStyle name="Currency 3 5 4 3 2 2 2" xfId="23110"/>
    <cellStyle name="Currency 3 5 4 3 2 2 3" xfId="23111"/>
    <cellStyle name="Currency 3 5 4 3 2 3" xfId="23112"/>
    <cellStyle name="Currency 3 5 4 3 2 3 2" xfId="23113"/>
    <cellStyle name="Currency 3 5 4 3 2 3 3" xfId="23114"/>
    <cellStyle name="Currency 3 5 4 3 2 4" xfId="23115"/>
    <cellStyle name="Currency 3 5 4 3 2 5" xfId="23116"/>
    <cellStyle name="Currency 3 5 4 3 3" xfId="23117"/>
    <cellStyle name="Currency 3 5 4 3 3 2" xfId="23118"/>
    <cellStyle name="Currency 3 5 4 3 3 3" xfId="23119"/>
    <cellStyle name="Currency 3 5 4 3 4" xfId="23120"/>
    <cellStyle name="Currency 3 5 4 3 4 2" xfId="23121"/>
    <cellStyle name="Currency 3 5 4 3 4 3" xfId="23122"/>
    <cellStyle name="Currency 3 5 4 3 5" xfId="23123"/>
    <cellStyle name="Currency 3 5 4 3 6" xfId="23124"/>
    <cellStyle name="Currency 3 5 4 4" xfId="23125"/>
    <cellStyle name="Currency 3 5 4 4 2" xfId="23126"/>
    <cellStyle name="Currency 3 5 4 4 2 2" xfId="23127"/>
    <cellStyle name="Currency 3 5 4 4 2 2 2" xfId="23128"/>
    <cellStyle name="Currency 3 5 4 4 2 2 3" xfId="23129"/>
    <cellStyle name="Currency 3 5 4 4 2 3" xfId="23130"/>
    <cellStyle name="Currency 3 5 4 4 2 3 2" xfId="23131"/>
    <cellStyle name="Currency 3 5 4 4 2 3 3" xfId="23132"/>
    <cellStyle name="Currency 3 5 4 4 2 4" xfId="23133"/>
    <cellStyle name="Currency 3 5 4 4 2 5" xfId="23134"/>
    <cellStyle name="Currency 3 5 4 4 3" xfId="23135"/>
    <cellStyle name="Currency 3 5 4 4 3 2" xfId="23136"/>
    <cellStyle name="Currency 3 5 4 4 3 3" xfId="23137"/>
    <cellStyle name="Currency 3 5 4 4 4" xfId="23138"/>
    <cellStyle name="Currency 3 5 4 4 4 2" xfId="23139"/>
    <cellStyle name="Currency 3 5 4 4 4 3" xfId="23140"/>
    <cellStyle name="Currency 3 5 4 4 5" xfId="23141"/>
    <cellStyle name="Currency 3 5 4 4 6" xfId="23142"/>
    <cellStyle name="Currency 3 5 4 5" xfId="23143"/>
    <cellStyle name="Currency 3 5 4 5 2" xfId="23144"/>
    <cellStyle name="Currency 3 5 4 5 2 2" xfId="23145"/>
    <cellStyle name="Currency 3 5 4 5 2 3" xfId="23146"/>
    <cellStyle name="Currency 3 5 4 5 3" xfId="23147"/>
    <cellStyle name="Currency 3 5 4 5 3 2" xfId="23148"/>
    <cellStyle name="Currency 3 5 4 5 3 3" xfId="23149"/>
    <cellStyle name="Currency 3 5 4 5 4" xfId="23150"/>
    <cellStyle name="Currency 3 5 4 5 5" xfId="23151"/>
    <cellStyle name="Currency 3 5 4 6" xfId="23152"/>
    <cellStyle name="Currency 3 5 4 6 2" xfId="23153"/>
    <cellStyle name="Currency 3 5 4 6 3" xfId="23154"/>
    <cellStyle name="Currency 3 5 4 7" xfId="23155"/>
    <cellStyle name="Currency 3 5 4 7 2" xfId="23156"/>
    <cellStyle name="Currency 3 5 4 7 3" xfId="23157"/>
    <cellStyle name="Currency 3 5 4 8" xfId="23158"/>
    <cellStyle name="Currency 3 5 4 9" xfId="23159"/>
    <cellStyle name="Currency 3 5 5" xfId="23160"/>
    <cellStyle name="Currency 3 5 5 2" xfId="23161"/>
    <cellStyle name="Currency 3 5 5 2 2" xfId="23162"/>
    <cellStyle name="Currency 3 5 5 2 2 2" xfId="23163"/>
    <cellStyle name="Currency 3 5 5 2 2 2 2" xfId="23164"/>
    <cellStyle name="Currency 3 5 5 2 2 2 3" xfId="23165"/>
    <cellStyle name="Currency 3 5 5 2 2 3" xfId="23166"/>
    <cellStyle name="Currency 3 5 5 2 2 3 2" xfId="23167"/>
    <cellStyle name="Currency 3 5 5 2 2 3 3" xfId="23168"/>
    <cellStyle name="Currency 3 5 5 2 2 4" xfId="23169"/>
    <cellStyle name="Currency 3 5 5 2 2 5" xfId="23170"/>
    <cellStyle name="Currency 3 5 5 2 3" xfId="23171"/>
    <cellStyle name="Currency 3 5 5 2 3 2" xfId="23172"/>
    <cellStyle name="Currency 3 5 5 2 3 3" xfId="23173"/>
    <cellStyle name="Currency 3 5 5 2 4" xfId="23174"/>
    <cellStyle name="Currency 3 5 5 2 4 2" xfId="23175"/>
    <cellStyle name="Currency 3 5 5 2 4 3" xfId="23176"/>
    <cellStyle name="Currency 3 5 5 2 5" xfId="23177"/>
    <cellStyle name="Currency 3 5 5 2 6" xfId="23178"/>
    <cellStyle name="Currency 3 5 5 3" xfId="23179"/>
    <cellStyle name="Currency 3 5 5 3 2" xfId="23180"/>
    <cellStyle name="Currency 3 5 5 3 2 2" xfId="23181"/>
    <cellStyle name="Currency 3 5 5 3 2 2 2" xfId="23182"/>
    <cellStyle name="Currency 3 5 5 3 2 2 3" xfId="23183"/>
    <cellStyle name="Currency 3 5 5 3 2 3" xfId="23184"/>
    <cellStyle name="Currency 3 5 5 3 2 3 2" xfId="23185"/>
    <cellStyle name="Currency 3 5 5 3 2 3 3" xfId="23186"/>
    <cellStyle name="Currency 3 5 5 3 2 4" xfId="23187"/>
    <cellStyle name="Currency 3 5 5 3 2 5" xfId="23188"/>
    <cellStyle name="Currency 3 5 5 3 3" xfId="23189"/>
    <cellStyle name="Currency 3 5 5 3 3 2" xfId="23190"/>
    <cellStyle name="Currency 3 5 5 3 3 3" xfId="23191"/>
    <cellStyle name="Currency 3 5 5 3 4" xfId="23192"/>
    <cellStyle name="Currency 3 5 5 3 4 2" xfId="23193"/>
    <cellStyle name="Currency 3 5 5 3 4 3" xfId="23194"/>
    <cellStyle name="Currency 3 5 5 3 5" xfId="23195"/>
    <cellStyle name="Currency 3 5 5 3 6" xfId="23196"/>
    <cellStyle name="Currency 3 5 5 4" xfId="23197"/>
    <cellStyle name="Currency 3 5 5 4 2" xfId="23198"/>
    <cellStyle name="Currency 3 5 5 4 2 2" xfId="23199"/>
    <cellStyle name="Currency 3 5 5 4 2 3" xfId="23200"/>
    <cellStyle name="Currency 3 5 5 4 3" xfId="23201"/>
    <cellStyle name="Currency 3 5 5 4 3 2" xfId="23202"/>
    <cellStyle name="Currency 3 5 5 4 3 3" xfId="23203"/>
    <cellStyle name="Currency 3 5 5 4 4" xfId="23204"/>
    <cellStyle name="Currency 3 5 5 4 5" xfId="23205"/>
    <cellStyle name="Currency 3 5 5 5" xfId="23206"/>
    <cellStyle name="Currency 3 5 5 5 2" xfId="23207"/>
    <cellStyle name="Currency 3 5 5 5 3" xfId="23208"/>
    <cellStyle name="Currency 3 5 5 6" xfId="23209"/>
    <cellStyle name="Currency 3 5 5 6 2" xfId="23210"/>
    <cellStyle name="Currency 3 5 5 6 3" xfId="23211"/>
    <cellStyle name="Currency 3 5 5 7" xfId="23212"/>
    <cellStyle name="Currency 3 5 5 8" xfId="23213"/>
    <cellStyle name="Currency 3 5 6" xfId="23214"/>
    <cellStyle name="Currency 3 5 6 2" xfId="23215"/>
    <cellStyle name="Currency 3 5 6 2 2" xfId="23216"/>
    <cellStyle name="Currency 3 5 6 2 2 2" xfId="23217"/>
    <cellStyle name="Currency 3 5 6 2 2 3" xfId="23218"/>
    <cellStyle name="Currency 3 5 6 2 3" xfId="23219"/>
    <cellStyle name="Currency 3 5 6 2 3 2" xfId="23220"/>
    <cellStyle name="Currency 3 5 6 2 3 3" xfId="23221"/>
    <cellStyle name="Currency 3 5 6 2 4" xfId="23222"/>
    <cellStyle name="Currency 3 5 6 2 5" xfId="23223"/>
    <cellStyle name="Currency 3 5 6 3" xfId="23224"/>
    <cellStyle name="Currency 3 5 6 3 2" xfId="23225"/>
    <cellStyle name="Currency 3 5 6 3 3" xfId="23226"/>
    <cellStyle name="Currency 3 5 6 4" xfId="23227"/>
    <cellStyle name="Currency 3 5 6 4 2" xfId="23228"/>
    <cellStyle name="Currency 3 5 6 4 3" xfId="23229"/>
    <cellStyle name="Currency 3 5 6 5" xfId="23230"/>
    <cellStyle name="Currency 3 5 6 6" xfId="23231"/>
    <cellStyle name="Currency 3 5 7" xfId="23232"/>
    <cellStyle name="Currency 3 5 7 2" xfId="23233"/>
    <cellStyle name="Currency 3 5 7 2 2" xfId="23234"/>
    <cellStyle name="Currency 3 5 7 2 2 2" xfId="23235"/>
    <cellStyle name="Currency 3 5 7 2 2 3" xfId="23236"/>
    <cellStyle name="Currency 3 5 7 2 3" xfId="23237"/>
    <cellStyle name="Currency 3 5 7 2 3 2" xfId="23238"/>
    <cellStyle name="Currency 3 5 7 2 3 3" xfId="23239"/>
    <cellStyle name="Currency 3 5 7 2 4" xfId="23240"/>
    <cellStyle name="Currency 3 5 7 2 5" xfId="23241"/>
    <cellStyle name="Currency 3 5 7 3" xfId="23242"/>
    <cellStyle name="Currency 3 5 7 3 2" xfId="23243"/>
    <cellStyle name="Currency 3 5 7 3 3" xfId="23244"/>
    <cellStyle name="Currency 3 5 7 4" xfId="23245"/>
    <cellStyle name="Currency 3 5 7 4 2" xfId="23246"/>
    <cellStyle name="Currency 3 5 7 4 3" xfId="23247"/>
    <cellStyle name="Currency 3 5 7 5" xfId="23248"/>
    <cellStyle name="Currency 3 5 7 6" xfId="23249"/>
    <cellStyle name="Currency 3 5 8" xfId="23250"/>
    <cellStyle name="Currency 3 5 8 2" xfId="23251"/>
    <cellStyle name="Currency 3 5 8 2 2" xfId="23252"/>
    <cellStyle name="Currency 3 5 8 2 3" xfId="23253"/>
    <cellStyle name="Currency 3 5 8 3" xfId="23254"/>
    <cellStyle name="Currency 3 5 8 3 2" xfId="23255"/>
    <cellStyle name="Currency 3 5 8 3 3" xfId="23256"/>
    <cellStyle name="Currency 3 5 8 4" xfId="23257"/>
    <cellStyle name="Currency 3 5 8 5" xfId="23258"/>
    <cellStyle name="Currency 3 5 9" xfId="23259"/>
    <cellStyle name="Currency 3 5 9 2" xfId="23260"/>
    <cellStyle name="Currency 3 5 9 3" xfId="23261"/>
    <cellStyle name="Currency 3 6" xfId="23262"/>
    <cellStyle name="Currency 3 6 10" xfId="23263"/>
    <cellStyle name="Currency 3 6 11" xfId="23264"/>
    <cellStyle name="Currency 3 6 12" xfId="23265"/>
    <cellStyle name="Currency 3 6 2" xfId="23266"/>
    <cellStyle name="Currency 3 6 2 2" xfId="23267"/>
    <cellStyle name="Currency 3 6 2 2 2" xfId="23268"/>
    <cellStyle name="Currency 3 6 2 2 2 2" xfId="23269"/>
    <cellStyle name="Currency 3 6 2 2 2 2 2" xfId="23270"/>
    <cellStyle name="Currency 3 6 2 2 2 2 2 2" xfId="23271"/>
    <cellStyle name="Currency 3 6 2 2 2 2 2 3" xfId="23272"/>
    <cellStyle name="Currency 3 6 2 2 2 2 3" xfId="23273"/>
    <cellStyle name="Currency 3 6 2 2 2 2 3 2" xfId="23274"/>
    <cellStyle name="Currency 3 6 2 2 2 2 3 3" xfId="23275"/>
    <cellStyle name="Currency 3 6 2 2 2 2 4" xfId="23276"/>
    <cellStyle name="Currency 3 6 2 2 2 2 5" xfId="23277"/>
    <cellStyle name="Currency 3 6 2 2 2 3" xfId="23278"/>
    <cellStyle name="Currency 3 6 2 2 2 3 2" xfId="23279"/>
    <cellStyle name="Currency 3 6 2 2 2 3 3" xfId="23280"/>
    <cellStyle name="Currency 3 6 2 2 2 4" xfId="23281"/>
    <cellStyle name="Currency 3 6 2 2 2 4 2" xfId="23282"/>
    <cellStyle name="Currency 3 6 2 2 2 4 3" xfId="23283"/>
    <cellStyle name="Currency 3 6 2 2 2 5" xfId="23284"/>
    <cellStyle name="Currency 3 6 2 2 2 6" xfId="23285"/>
    <cellStyle name="Currency 3 6 2 2 3" xfId="23286"/>
    <cellStyle name="Currency 3 6 2 2 3 2" xfId="23287"/>
    <cellStyle name="Currency 3 6 2 2 3 2 2" xfId="23288"/>
    <cellStyle name="Currency 3 6 2 2 3 2 2 2" xfId="23289"/>
    <cellStyle name="Currency 3 6 2 2 3 2 2 3" xfId="23290"/>
    <cellStyle name="Currency 3 6 2 2 3 2 3" xfId="23291"/>
    <cellStyle name="Currency 3 6 2 2 3 2 3 2" xfId="23292"/>
    <cellStyle name="Currency 3 6 2 2 3 2 3 3" xfId="23293"/>
    <cellStyle name="Currency 3 6 2 2 3 2 4" xfId="23294"/>
    <cellStyle name="Currency 3 6 2 2 3 2 5" xfId="23295"/>
    <cellStyle name="Currency 3 6 2 2 3 3" xfId="23296"/>
    <cellStyle name="Currency 3 6 2 2 3 3 2" xfId="23297"/>
    <cellStyle name="Currency 3 6 2 2 3 3 3" xfId="23298"/>
    <cellStyle name="Currency 3 6 2 2 3 4" xfId="23299"/>
    <cellStyle name="Currency 3 6 2 2 3 4 2" xfId="23300"/>
    <cellStyle name="Currency 3 6 2 2 3 4 3" xfId="23301"/>
    <cellStyle name="Currency 3 6 2 2 3 5" xfId="23302"/>
    <cellStyle name="Currency 3 6 2 2 3 6" xfId="23303"/>
    <cellStyle name="Currency 3 6 2 2 4" xfId="23304"/>
    <cellStyle name="Currency 3 6 2 2 4 2" xfId="23305"/>
    <cellStyle name="Currency 3 6 2 2 4 2 2" xfId="23306"/>
    <cellStyle name="Currency 3 6 2 2 4 2 3" xfId="23307"/>
    <cellStyle name="Currency 3 6 2 2 4 3" xfId="23308"/>
    <cellStyle name="Currency 3 6 2 2 4 3 2" xfId="23309"/>
    <cellStyle name="Currency 3 6 2 2 4 3 3" xfId="23310"/>
    <cellStyle name="Currency 3 6 2 2 4 4" xfId="23311"/>
    <cellStyle name="Currency 3 6 2 2 4 5" xfId="23312"/>
    <cellStyle name="Currency 3 6 2 2 5" xfId="23313"/>
    <cellStyle name="Currency 3 6 2 2 5 2" xfId="23314"/>
    <cellStyle name="Currency 3 6 2 2 5 3" xfId="23315"/>
    <cellStyle name="Currency 3 6 2 2 6" xfId="23316"/>
    <cellStyle name="Currency 3 6 2 2 6 2" xfId="23317"/>
    <cellStyle name="Currency 3 6 2 2 6 3" xfId="23318"/>
    <cellStyle name="Currency 3 6 2 2 7" xfId="23319"/>
    <cellStyle name="Currency 3 6 2 2 8" xfId="23320"/>
    <cellStyle name="Currency 3 6 2 3" xfId="23321"/>
    <cellStyle name="Currency 3 6 2 3 2" xfId="23322"/>
    <cellStyle name="Currency 3 6 2 3 2 2" xfId="23323"/>
    <cellStyle name="Currency 3 6 2 3 2 2 2" xfId="23324"/>
    <cellStyle name="Currency 3 6 2 3 2 2 3" xfId="23325"/>
    <cellStyle name="Currency 3 6 2 3 2 3" xfId="23326"/>
    <cellStyle name="Currency 3 6 2 3 2 3 2" xfId="23327"/>
    <cellStyle name="Currency 3 6 2 3 2 3 3" xfId="23328"/>
    <cellStyle name="Currency 3 6 2 3 2 4" xfId="23329"/>
    <cellStyle name="Currency 3 6 2 3 2 5" xfId="23330"/>
    <cellStyle name="Currency 3 6 2 3 3" xfId="23331"/>
    <cellStyle name="Currency 3 6 2 3 3 2" xfId="23332"/>
    <cellStyle name="Currency 3 6 2 3 3 3" xfId="23333"/>
    <cellStyle name="Currency 3 6 2 3 4" xfId="23334"/>
    <cellStyle name="Currency 3 6 2 3 4 2" xfId="23335"/>
    <cellStyle name="Currency 3 6 2 3 4 3" xfId="23336"/>
    <cellStyle name="Currency 3 6 2 3 5" xfId="23337"/>
    <cellStyle name="Currency 3 6 2 3 6" xfId="23338"/>
    <cellStyle name="Currency 3 6 2 4" xfId="23339"/>
    <cellStyle name="Currency 3 6 2 4 2" xfId="23340"/>
    <cellStyle name="Currency 3 6 2 4 2 2" xfId="23341"/>
    <cellStyle name="Currency 3 6 2 4 2 2 2" xfId="23342"/>
    <cellStyle name="Currency 3 6 2 4 2 2 3" xfId="23343"/>
    <cellStyle name="Currency 3 6 2 4 2 3" xfId="23344"/>
    <cellStyle name="Currency 3 6 2 4 2 3 2" xfId="23345"/>
    <cellStyle name="Currency 3 6 2 4 2 3 3" xfId="23346"/>
    <cellStyle name="Currency 3 6 2 4 2 4" xfId="23347"/>
    <cellStyle name="Currency 3 6 2 4 2 5" xfId="23348"/>
    <cellStyle name="Currency 3 6 2 4 3" xfId="23349"/>
    <cellStyle name="Currency 3 6 2 4 3 2" xfId="23350"/>
    <cellStyle name="Currency 3 6 2 4 3 3" xfId="23351"/>
    <cellStyle name="Currency 3 6 2 4 4" xfId="23352"/>
    <cellStyle name="Currency 3 6 2 4 4 2" xfId="23353"/>
    <cellStyle name="Currency 3 6 2 4 4 3" xfId="23354"/>
    <cellStyle name="Currency 3 6 2 4 5" xfId="23355"/>
    <cellStyle name="Currency 3 6 2 4 6" xfId="23356"/>
    <cellStyle name="Currency 3 6 2 5" xfId="23357"/>
    <cellStyle name="Currency 3 6 2 5 2" xfId="23358"/>
    <cellStyle name="Currency 3 6 2 5 2 2" xfId="23359"/>
    <cellStyle name="Currency 3 6 2 5 2 3" xfId="23360"/>
    <cellStyle name="Currency 3 6 2 5 3" xfId="23361"/>
    <cellStyle name="Currency 3 6 2 5 3 2" xfId="23362"/>
    <cellStyle name="Currency 3 6 2 5 3 3" xfId="23363"/>
    <cellStyle name="Currency 3 6 2 5 4" xfId="23364"/>
    <cellStyle name="Currency 3 6 2 5 5" xfId="23365"/>
    <cellStyle name="Currency 3 6 2 6" xfId="23366"/>
    <cellStyle name="Currency 3 6 2 6 2" xfId="23367"/>
    <cellStyle name="Currency 3 6 2 6 3" xfId="23368"/>
    <cellStyle name="Currency 3 6 2 7" xfId="23369"/>
    <cellStyle name="Currency 3 6 2 7 2" xfId="23370"/>
    <cellStyle name="Currency 3 6 2 7 3" xfId="23371"/>
    <cellStyle name="Currency 3 6 2 8" xfId="23372"/>
    <cellStyle name="Currency 3 6 2 9" xfId="23373"/>
    <cellStyle name="Currency 3 6 3" xfId="23374"/>
    <cellStyle name="Currency 3 6 3 2" xfId="23375"/>
    <cellStyle name="Currency 3 6 3 2 2" xfId="23376"/>
    <cellStyle name="Currency 3 6 3 2 2 2" xfId="23377"/>
    <cellStyle name="Currency 3 6 3 2 2 2 2" xfId="23378"/>
    <cellStyle name="Currency 3 6 3 2 2 2 3" xfId="23379"/>
    <cellStyle name="Currency 3 6 3 2 2 3" xfId="23380"/>
    <cellStyle name="Currency 3 6 3 2 2 3 2" xfId="23381"/>
    <cellStyle name="Currency 3 6 3 2 2 3 3" xfId="23382"/>
    <cellStyle name="Currency 3 6 3 2 2 4" xfId="23383"/>
    <cellStyle name="Currency 3 6 3 2 2 5" xfId="23384"/>
    <cellStyle name="Currency 3 6 3 2 3" xfId="23385"/>
    <cellStyle name="Currency 3 6 3 2 3 2" xfId="23386"/>
    <cellStyle name="Currency 3 6 3 2 3 3" xfId="23387"/>
    <cellStyle name="Currency 3 6 3 2 4" xfId="23388"/>
    <cellStyle name="Currency 3 6 3 2 4 2" xfId="23389"/>
    <cellStyle name="Currency 3 6 3 2 4 3" xfId="23390"/>
    <cellStyle name="Currency 3 6 3 2 5" xfId="23391"/>
    <cellStyle name="Currency 3 6 3 2 6" xfId="23392"/>
    <cellStyle name="Currency 3 6 3 3" xfId="23393"/>
    <cellStyle name="Currency 3 6 3 3 2" xfId="23394"/>
    <cellStyle name="Currency 3 6 3 3 2 2" xfId="23395"/>
    <cellStyle name="Currency 3 6 3 3 2 2 2" xfId="23396"/>
    <cellStyle name="Currency 3 6 3 3 2 2 3" xfId="23397"/>
    <cellStyle name="Currency 3 6 3 3 2 3" xfId="23398"/>
    <cellStyle name="Currency 3 6 3 3 2 3 2" xfId="23399"/>
    <cellStyle name="Currency 3 6 3 3 2 3 3" xfId="23400"/>
    <cellStyle name="Currency 3 6 3 3 2 4" xfId="23401"/>
    <cellStyle name="Currency 3 6 3 3 2 5" xfId="23402"/>
    <cellStyle name="Currency 3 6 3 3 3" xfId="23403"/>
    <cellStyle name="Currency 3 6 3 3 3 2" xfId="23404"/>
    <cellStyle name="Currency 3 6 3 3 3 3" xfId="23405"/>
    <cellStyle name="Currency 3 6 3 3 4" xfId="23406"/>
    <cellStyle name="Currency 3 6 3 3 4 2" xfId="23407"/>
    <cellStyle name="Currency 3 6 3 3 4 3" xfId="23408"/>
    <cellStyle name="Currency 3 6 3 3 5" xfId="23409"/>
    <cellStyle name="Currency 3 6 3 3 6" xfId="23410"/>
    <cellStyle name="Currency 3 6 3 4" xfId="23411"/>
    <cellStyle name="Currency 3 6 3 4 2" xfId="23412"/>
    <cellStyle name="Currency 3 6 3 4 2 2" xfId="23413"/>
    <cellStyle name="Currency 3 6 3 4 2 3" xfId="23414"/>
    <cellStyle name="Currency 3 6 3 4 3" xfId="23415"/>
    <cellStyle name="Currency 3 6 3 4 3 2" xfId="23416"/>
    <cellStyle name="Currency 3 6 3 4 3 3" xfId="23417"/>
    <cellStyle name="Currency 3 6 3 4 4" xfId="23418"/>
    <cellStyle name="Currency 3 6 3 4 5" xfId="23419"/>
    <cellStyle name="Currency 3 6 3 5" xfId="23420"/>
    <cellStyle name="Currency 3 6 3 5 2" xfId="23421"/>
    <cellStyle name="Currency 3 6 3 5 3" xfId="23422"/>
    <cellStyle name="Currency 3 6 3 6" xfId="23423"/>
    <cellStyle name="Currency 3 6 3 6 2" xfId="23424"/>
    <cellStyle name="Currency 3 6 3 6 3" xfId="23425"/>
    <cellStyle name="Currency 3 6 3 7" xfId="23426"/>
    <cellStyle name="Currency 3 6 3 8" xfId="23427"/>
    <cellStyle name="Currency 3 6 4" xfId="23428"/>
    <cellStyle name="Currency 3 6 4 2" xfId="23429"/>
    <cellStyle name="Currency 3 6 4 2 2" xfId="23430"/>
    <cellStyle name="Currency 3 6 4 2 2 2" xfId="23431"/>
    <cellStyle name="Currency 3 6 4 2 2 3" xfId="23432"/>
    <cellStyle name="Currency 3 6 4 2 3" xfId="23433"/>
    <cellStyle name="Currency 3 6 4 2 3 2" xfId="23434"/>
    <cellStyle name="Currency 3 6 4 2 3 3" xfId="23435"/>
    <cellStyle name="Currency 3 6 4 2 4" xfId="23436"/>
    <cellStyle name="Currency 3 6 4 2 5" xfId="23437"/>
    <cellStyle name="Currency 3 6 4 3" xfId="23438"/>
    <cellStyle name="Currency 3 6 4 3 2" xfId="23439"/>
    <cellStyle name="Currency 3 6 4 3 3" xfId="23440"/>
    <cellStyle name="Currency 3 6 4 4" xfId="23441"/>
    <cellStyle name="Currency 3 6 4 4 2" xfId="23442"/>
    <cellStyle name="Currency 3 6 4 4 3" xfId="23443"/>
    <cellStyle name="Currency 3 6 4 5" xfId="23444"/>
    <cellStyle name="Currency 3 6 4 6" xfId="23445"/>
    <cellStyle name="Currency 3 6 5" xfId="23446"/>
    <cellStyle name="Currency 3 6 5 2" xfId="23447"/>
    <cellStyle name="Currency 3 6 5 2 2" xfId="23448"/>
    <cellStyle name="Currency 3 6 5 2 2 2" xfId="23449"/>
    <cellStyle name="Currency 3 6 5 2 2 3" xfId="23450"/>
    <cellStyle name="Currency 3 6 5 2 3" xfId="23451"/>
    <cellStyle name="Currency 3 6 5 2 3 2" xfId="23452"/>
    <cellStyle name="Currency 3 6 5 2 3 3" xfId="23453"/>
    <cellStyle name="Currency 3 6 5 2 4" xfId="23454"/>
    <cellStyle name="Currency 3 6 5 2 5" xfId="23455"/>
    <cellStyle name="Currency 3 6 5 3" xfId="23456"/>
    <cellStyle name="Currency 3 6 5 3 2" xfId="23457"/>
    <cellStyle name="Currency 3 6 5 3 3" xfId="23458"/>
    <cellStyle name="Currency 3 6 5 4" xfId="23459"/>
    <cellStyle name="Currency 3 6 5 4 2" xfId="23460"/>
    <cellStyle name="Currency 3 6 5 4 3" xfId="23461"/>
    <cellStyle name="Currency 3 6 5 5" xfId="23462"/>
    <cellStyle name="Currency 3 6 5 6" xfId="23463"/>
    <cellStyle name="Currency 3 6 6" xfId="23464"/>
    <cellStyle name="Currency 3 6 6 2" xfId="23465"/>
    <cellStyle name="Currency 3 6 6 2 2" xfId="23466"/>
    <cellStyle name="Currency 3 6 6 2 3" xfId="23467"/>
    <cellStyle name="Currency 3 6 6 3" xfId="23468"/>
    <cellStyle name="Currency 3 6 6 3 2" xfId="23469"/>
    <cellStyle name="Currency 3 6 6 3 3" xfId="23470"/>
    <cellStyle name="Currency 3 6 6 4" xfId="23471"/>
    <cellStyle name="Currency 3 6 6 5" xfId="23472"/>
    <cellStyle name="Currency 3 6 7" xfId="23473"/>
    <cellStyle name="Currency 3 6 7 2" xfId="23474"/>
    <cellStyle name="Currency 3 6 7 3" xfId="23475"/>
    <cellStyle name="Currency 3 6 8" xfId="23476"/>
    <cellStyle name="Currency 3 6 8 2" xfId="23477"/>
    <cellStyle name="Currency 3 6 8 3" xfId="23478"/>
    <cellStyle name="Currency 3 6 9" xfId="23479"/>
    <cellStyle name="Currency 3 7" xfId="23480"/>
    <cellStyle name="Currency 3 7 10" xfId="23481"/>
    <cellStyle name="Currency 3 7 2" xfId="23482"/>
    <cellStyle name="Currency 3 7 2 2" xfId="23483"/>
    <cellStyle name="Currency 3 7 2 2 2" xfId="23484"/>
    <cellStyle name="Currency 3 7 2 2 2 2" xfId="23485"/>
    <cellStyle name="Currency 3 7 2 2 2 2 2" xfId="23486"/>
    <cellStyle name="Currency 3 7 2 2 2 2 2 2" xfId="23487"/>
    <cellStyle name="Currency 3 7 2 2 2 2 2 3" xfId="23488"/>
    <cellStyle name="Currency 3 7 2 2 2 2 3" xfId="23489"/>
    <cellStyle name="Currency 3 7 2 2 2 2 3 2" xfId="23490"/>
    <cellStyle name="Currency 3 7 2 2 2 2 3 3" xfId="23491"/>
    <cellStyle name="Currency 3 7 2 2 2 2 4" xfId="23492"/>
    <cellStyle name="Currency 3 7 2 2 2 2 5" xfId="23493"/>
    <cellStyle name="Currency 3 7 2 2 2 3" xfId="23494"/>
    <cellStyle name="Currency 3 7 2 2 2 3 2" xfId="23495"/>
    <cellStyle name="Currency 3 7 2 2 2 3 3" xfId="23496"/>
    <cellStyle name="Currency 3 7 2 2 2 4" xfId="23497"/>
    <cellStyle name="Currency 3 7 2 2 2 4 2" xfId="23498"/>
    <cellStyle name="Currency 3 7 2 2 2 4 3" xfId="23499"/>
    <cellStyle name="Currency 3 7 2 2 2 5" xfId="23500"/>
    <cellStyle name="Currency 3 7 2 2 2 6" xfId="23501"/>
    <cellStyle name="Currency 3 7 2 2 3" xfId="23502"/>
    <cellStyle name="Currency 3 7 2 2 3 2" xfId="23503"/>
    <cellStyle name="Currency 3 7 2 2 3 2 2" xfId="23504"/>
    <cellStyle name="Currency 3 7 2 2 3 2 2 2" xfId="23505"/>
    <cellStyle name="Currency 3 7 2 2 3 2 2 3" xfId="23506"/>
    <cellStyle name="Currency 3 7 2 2 3 2 3" xfId="23507"/>
    <cellStyle name="Currency 3 7 2 2 3 2 3 2" xfId="23508"/>
    <cellStyle name="Currency 3 7 2 2 3 2 3 3" xfId="23509"/>
    <cellStyle name="Currency 3 7 2 2 3 2 4" xfId="23510"/>
    <cellStyle name="Currency 3 7 2 2 3 2 5" xfId="23511"/>
    <cellStyle name="Currency 3 7 2 2 3 3" xfId="23512"/>
    <cellStyle name="Currency 3 7 2 2 3 3 2" xfId="23513"/>
    <cellStyle name="Currency 3 7 2 2 3 3 3" xfId="23514"/>
    <cellStyle name="Currency 3 7 2 2 3 4" xfId="23515"/>
    <cellStyle name="Currency 3 7 2 2 3 4 2" xfId="23516"/>
    <cellStyle name="Currency 3 7 2 2 3 4 3" xfId="23517"/>
    <cellStyle name="Currency 3 7 2 2 3 5" xfId="23518"/>
    <cellStyle name="Currency 3 7 2 2 3 6" xfId="23519"/>
    <cellStyle name="Currency 3 7 2 2 4" xfId="23520"/>
    <cellStyle name="Currency 3 7 2 2 4 2" xfId="23521"/>
    <cellStyle name="Currency 3 7 2 2 4 2 2" xfId="23522"/>
    <cellStyle name="Currency 3 7 2 2 4 2 3" xfId="23523"/>
    <cellStyle name="Currency 3 7 2 2 4 3" xfId="23524"/>
    <cellStyle name="Currency 3 7 2 2 4 3 2" xfId="23525"/>
    <cellStyle name="Currency 3 7 2 2 4 3 3" xfId="23526"/>
    <cellStyle name="Currency 3 7 2 2 4 4" xfId="23527"/>
    <cellStyle name="Currency 3 7 2 2 4 5" xfId="23528"/>
    <cellStyle name="Currency 3 7 2 2 5" xfId="23529"/>
    <cellStyle name="Currency 3 7 2 2 5 2" xfId="23530"/>
    <cellStyle name="Currency 3 7 2 2 5 3" xfId="23531"/>
    <cellStyle name="Currency 3 7 2 2 6" xfId="23532"/>
    <cellStyle name="Currency 3 7 2 2 6 2" xfId="23533"/>
    <cellStyle name="Currency 3 7 2 2 6 3" xfId="23534"/>
    <cellStyle name="Currency 3 7 2 2 7" xfId="23535"/>
    <cellStyle name="Currency 3 7 2 2 8" xfId="23536"/>
    <cellStyle name="Currency 3 7 2 3" xfId="23537"/>
    <cellStyle name="Currency 3 7 2 3 2" xfId="23538"/>
    <cellStyle name="Currency 3 7 2 3 2 2" xfId="23539"/>
    <cellStyle name="Currency 3 7 2 3 2 2 2" xfId="23540"/>
    <cellStyle name="Currency 3 7 2 3 2 2 3" xfId="23541"/>
    <cellStyle name="Currency 3 7 2 3 2 3" xfId="23542"/>
    <cellStyle name="Currency 3 7 2 3 2 3 2" xfId="23543"/>
    <cellStyle name="Currency 3 7 2 3 2 3 3" xfId="23544"/>
    <cellStyle name="Currency 3 7 2 3 2 4" xfId="23545"/>
    <cellStyle name="Currency 3 7 2 3 2 5" xfId="23546"/>
    <cellStyle name="Currency 3 7 2 3 3" xfId="23547"/>
    <cellStyle name="Currency 3 7 2 3 3 2" xfId="23548"/>
    <cellStyle name="Currency 3 7 2 3 3 3" xfId="23549"/>
    <cellStyle name="Currency 3 7 2 3 4" xfId="23550"/>
    <cellStyle name="Currency 3 7 2 3 4 2" xfId="23551"/>
    <cellStyle name="Currency 3 7 2 3 4 3" xfId="23552"/>
    <cellStyle name="Currency 3 7 2 3 5" xfId="23553"/>
    <cellStyle name="Currency 3 7 2 3 6" xfId="23554"/>
    <cellStyle name="Currency 3 7 2 4" xfId="23555"/>
    <cellStyle name="Currency 3 7 2 4 2" xfId="23556"/>
    <cellStyle name="Currency 3 7 2 4 2 2" xfId="23557"/>
    <cellStyle name="Currency 3 7 2 4 2 2 2" xfId="23558"/>
    <cellStyle name="Currency 3 7 2 4 2 2 3" xfId="23559"/>
    <cellStyle name="Currency 3 7 2 4 2 3" xfId="23560"/>
    <cellStyle name="Currency 3 7 2 4 2 3 2" xfId="23561"/>
    <cellStyle name="Currency 3 7 2 4 2 3 3" xfId="23562"/>
    <cellStyle name="Currency 3 7 2 4 2 4" xfId="23563"/>
    <cellStyle name="Currency 3 7 2 4 2 5" xfId="23564"/>
    <cellStyle name="Currency 3 7 2 4 3" xfId="23565"/>
    <cellStyle name="Currency 3 7 2 4 3 2" xfId="23566"/>
    <cellStyle name="Currency 3 7 2 4 3 3" xfId="23567"/>
    <cellStyle name="Currency 3 7 2 4 4" xfId="23568"/>
    <cellStyle name="Currency 3 7 2 4 4 2" xfId="23569"/>
    <cellStyle name="Currency 3 7 2 4 4 3" xfId="23570"/>
    <cellStyle name="Currency 3 7 2 4 5" xfId="23571"/>
    <cellStyle name="Currency 3 7 2 4 6" xfId="23572"/>
    <cellStyle name="Currency 3 7 2 5" xfId="23573"/>
    <cellStyle name="Currency 3 7 2 5 2" xfId="23574"/>
    <cellStyle name="Currency 3 7 2 5 2 2" xfId="23575"/>
    <cellStyle name="Currency 3 7 2 5 2 3" xfId="23576"/>
    <cellStyle name="Currency 3 7 2 5 3" xfId="23577"/>
    <cellStyle name="Currency 3 7 2 5 3 2" xfId="23578"/>
    <cellStyle name="Currency 3 7 2 5 3 3" xfId="23579"/>
    <cellStyle name="Currency 3 7 2 5 4" xfId="23580"/>
    <cellStyle name="Currency 3 7 2 5 5" xfId="23581"/>
    <cellStyle name="Currency 3 7 2 6" xfId="23582"/>
    <cellStyle name="Currency 3 7 2 6 2" xfId="23583"/>
    <cellStyle name="Currency 3 7 2 6 3" xfId="23584"/>
    <cellStyle name="Currency 3 7 2 7" xfId="23585"/>
    <cellStyle name="Currency 3 7 2 7 2" xfId="23586"/>
    <cellStyle name="Currency 3 7 2 7 3" xfId="23587"/>
    <cellStyle name="Currency 3 7 2 8" xfId="23588"/>
    <cellStyle name="Currency 3 7 2 9" xfId="23589"/>
    <cellStyle name="Currency 3 7 3" xfId="23590"/>
    <cellStyle name="Currency 3 7 3 2" xfId="23591"/>
    <cellStyle name="Currency 3 7 3 2 2" xfId="23592"/>
    <cellStyle name="Currency 3 7 3 2 2 2" xfId="23593"/>
    <cellStyle name="Currency 3 7 3 2 2 2 2" xfId="23594"/>
    <cellStyle name="Currency 3 7 3 2 2 2 3" xfId="23595"/>
    <cellStyle name="Currency 3 7 3 2 2 3" xfId="23596"/>
    <cellStyle name="Currency 3 7 3 2 2 3 2" xfId="23597"/>
    <cellStyle name="Currency 3 7 3 2 2 3 3" xfId="23598"/>
    <cellStyle name="Currency 3 7 3 2 2 4" xfId="23599"/>
    <cellStyle name="Currency 3 7 3 2 2 5" xfId="23600"/>
    <cellStyle name="Currency 3 7 3 2 3" xfId="23601"/>
    <cellStyle name="Currency 3 7 3 2 3 2" xfId="23602"/>
    <cellStyle name="Currency 3 7 3 2 3 3" xfId="23603"/>
    <cellStyle name="Currency 3 7 3 2 4" xfId="23604"/>
    <cellStyle name="Currency 3 7 3 2 4 2" xfId="23605"/>
    <cellStyle name="Currency 3 7 3 2 4 3" xfId="23606"/>
    <cellStyle name="Currency 3 7 3 2 5" xfId="23607"/>
    <cellStyle name="Currency 3 7 3 2 6" xfId="23608"/>
    <cellStyle name="Currency 3 7 3 3" xfId="23609"/>
    <cellStyle name="Currency 3 7 3 3 2" xfId="23610"/>
    <cellStyle name="Currency 3 7 3 3 2 2" xfId="23611"/>
    <cellStyle name="Currency 3 7 3 3 2 2 2" xfId="23612"/>
    <cellStyle name="Currency 3 7 3 3 2 2 3" xfId="23613"/>
    <cellStyle name="Currency 3 7 3 3 2 3" xfId="23614"/>
    <cellStyle name="Currency 3 7 3 3 2 3 2" xfId="23615"/>
    <cellStyle name="Currency 3 7 3 3 2 3 3" xfId="23616"/>
    <cellStyle name="Currency 3 7 3 3 2 4" xfId="23617"/>
    <cellStyle name="Currency 3 7 3 3 2 5" xfId="23618"/>
    <cellStyle name="Currency 3 7 3 3 3" xfId="23619"/>
    <cellStyle name="Currency 3 7 3 3 3 2" xfId="23620"/>
    <cellStyle name="Currency 3 7 3 3 3 3" xfId="23621"/>
    <cellStyle name="Currency 3 7 3 3 4" xfId="23622"/>
    <cellStyle name="Currency 3 7 3 3 4 2" xfId="23623"/>
    <cellStyle name="Currency 3 7 3 3 4 3" xfId="23624"/>
    <cellStyle name="Currency 3 7 3 3 5" xfId="23625"/>
    <cellStyle name="Currency 3 7 3 3 6" xfId="23626"/>
    <cellStyle name="Currency 3 7 3 4" xfId="23627"/>
    <cellStyle name="Currency 3 7 3 4 2" xfId="23628"/>
    <cellStyle name="Currency 3 7 3 4 2 2" xfId="23629"/>
    <cellStyle name="Currency 3 7 3 4 2 3" xfId="23630"/>
    <cellStyle name="Currency 3 7 3 4 3" xfId="23631"/>
    <cellStyle name="Currency 3 7 3 4 3 2" xfId="23632"/>
    <cellStyle name="Currency 3 7 3 4 3 3" xfId="23633"/>
    <cellStyle name="Currency 3 7 3 4 4" xfId="23634"/>
    <cellStyle name="Currency 3 7 3 4 5" xfId="23635"/>
    <cellStyle name="Currency 3 7 3 5" xfId="23636"/>
    <cellStyle name="Currency 3 7 3 5 2" xfId="23637"/>
    <cellStyle name="Currency 3 7 3 5 3" xfId="23638"/>
    <cellStyle name="Currency 3 7 3 6" xfId="23639"/>
    <cellStyle name="Currency 3 7 3 6 2" xfId="23640"/>
    <cellStyle name="Currency 3 7 3 6 3" xfId="23641"/>
    <cellStyle name="Currency 3 7 3 7" xfId="23642"/>
    <cellStyle name="Currency 3 7 3 8" xfId="23643"/>
    <cellStyle name="Currency 3 7 4" xfId="23644"/>
    <cellStyle name="Currency 3 7 4 2" xfId="23645"/>
    <cellStyle name="Currency 3 7 4 2 2" xfId="23646"/>
    <cellStyle name="Currency 3 7 4 2 2 2" xfId="23647"/>
    <cellStyle name="Currency 3 7 4 2 2 3" xfId="23648"/>
    <cellStyle name="Currency 3 7 4 2 3" xfId="23649"/>
    <cellStyle name="Currency 3 7 4 2 3 2" xfId="23650"/>
    <cellStyle name="Currency 3 7 4 2 3 3" xfId="23651"/>
    <cellStyle name="Currency 3 7 4 2 4" xfId="23652"/>
    <cellStyle name="Currency 3 7 4 2 5" xfId="23653"/>
    <cellStyle name="Currency 3 7 4 3" xfId="23654"/>
    <cellStyle name="Currency 3 7 4 3 2" xfId="23655"/>
    <cellStyle name="Currency 3 7 4 3 3" xfId="23656"/>
    <cellStyle name="Currency 3 7 4 4" xfId="23657"/>
    <cellStyle name="Currency 3 7 4 4 2" xfId="23658"/>
    <cellStyle name="Currency 3 7 4 4 3" xfId="23659"/>
    <cellStyle name="Currency 3 7 4 5" xfId="23660"/>
    <cellStyle name="Currency 3 7 4 6" xfId="23661"/>
    <cellStyle name="Currency 3 7 5" xfId="23662"/>
    <cellStyle name="Currency 3 7 5 2" xfId="23663"/>
    <cellStyle name="Currency 3 7 5 2 2" xfId="23664"/>
    <cellStyle name="Currency 3 7 5 2 2 2" xfId="23665"/>
    <cellStyle name="Currency 3 7 5 2 2 3" xfId="23666"/>
    <cellStyle name="Currency 3 7 5 2 3" xfId="23667"/>
    <cellStyle name="Currency 3 7 5 2 3 2" xfId="23668"/>
    <cellStyle name="Currency 3 7 5 2 3 3" xfId="23669"/>
    <cellStyle name="Currency 3 7 5 2 4" xfId="23670"/>
    <cellStyle name="Currency 3 7 5 2 5" xfId="23671"/>
    <cellStyle name="Currency 3 7 5 3" xfId="23672"/>
    <cellStyle name="Currency 3 7 5 3 2" xfId="23673"/>
    <cellStyle name="Currency 3 7 5 3 3" xfId="23674"/>
    <cellStyle name="Currency 3 7 5 4" xfId="23675"/>
    <cellStyle name="Currency 3 7 5 4 2" xfId="23676"/>
    <cellStyle name="Currency 3 7 5 4 3" xfId="23677"/>
    <cellStyle name="Currency 3 7 5 5" xfId="23678"/>
    <cellStyle name="Currency 3 7 5 6" xfId="23679"/>
    <cellStyle name="Currency 3 7 6" xfId="23680"/>
    <cellStyle name="Currency 3 7 6 2" xfId="23681"/>
    <cellStyle name="Currency 3 7 6 2 2" xfId="23682"/>
    <cellStyle name="Currency 3 7 6 2 3" xfId="23683"/>
    <cellStyle name="Currency 3 7 6 3" xfId="23684"/>
    <cellStyle name="Currency 3 7 6 3 2" xfId="23685"/>
    <cellStyle name="Currency 3 7 6 3 3" xfId="23686"/>
    <cellStyle name="Currency 3 7 6 4" xfId="23687"/>
    <cellStyle name="Currency 3 7 6 5" xfId="23688"/>
    <cellStyle name="Currency 3 7 7" xfId="23689"/>
    <cellStyle name="Currency 3 7 7 2" xfId="23690"/>
    <cellStyle name="Currency 3 7 7 3" xfId="23691"/>
    <cellStyle name="Currency 3 7 8" xfId="23692"/>
    <cellStyle name="Currency 3 7 8 2" xfId="23693"/>
    <cellStyle name="Currency 3 7 8 3" xfId="23694"/>
    <cellStyle name="Currency 3 7 9" xfId="23695"/>
    <cellStyle name="Currency 3 8" xfId="23696"/>
    <cellStyle name="Currency 3 8 10" xfId="23697"/>
    <cellStyle name="Currency 3 8 2" xfId="23698"/>
    <cellStyle name="Currency 3 8 2 2" xfId="23699"/>
    <cellStyle name="Currency 3 8 2 2 2" xfId="23700"/>
    <cellStyle name="Currency 3 8 2 2 2 2" xfId="23701"/>
    <cellStyle name="Currency 3 8 2 2 2 2 2" xfId="23702"/>
    <cellStyle name="Currency 3 8 2 2 2 2 2 2" xfId="23703"/>
    <cellStyle name="Currency 3 8 2 2 2 2 2 3" xfId="23704"/>
    <cellStyle name="Currency 3 8 2 2 2 2 3" xfId="23705"/>
    <cellStyle name="Currency 3 8 2 2 2 2 3 2" xfId="23706"/>
    <cellStyle name="Currency 3 8 2 2 2 2 3 3" xfId="23707"/>
    <cellStyle name="Currency 3 8 2 2 2 2 4" xfId="23708"/>
    <cellStyle name="Currency 3 8 2 2 2 2 5" xfId="23709"/>
    <cellStyle name="Currency 3 8 2 2 2 3" xfId="23710"/>
    <cellStyle name="Currency 3 8 2 2 2 3 2" xfId="23711"/>
    <cellStyle name="Currency 3 8 2 2 2 3 3" xfId="23712"/>
    <cellStyle name="Currency 3 8 2 2 2 4" xfId="23713"/>
    <cellStyle name="Currency 3 8 2 2 2 4 2" xfId="23714"/>
    <cellStyle name="Currency 3 8 2 2 2 4 3" xfId="23715"/>
    <cellStyle name="Currency 3 8 2 2 2 5" xfId="23716"/>
    <cellStyle name="Currency 3 8 2 2 2 6" xfId="23717"/>
    <cellStyle name="Currency 3 8 2 2 3" xfId="23718"/>
    <cellStyle name="Currency 3 8 2 2 3 2" xfId="23719"/>
    <cellStyle name="Currency 3 8 2 2 3 2 2" xfId="23720"/>
    <cellStyle name="Currency 3 8 2 2 3 2 2 2" xfId="23721"/>
    <cellStyle name="Currency 3 8 2 2 3 2 2 3" xfId="23722"/>
    <cellStyle name="Currency 3 8 2 2 3 2 3" xfId="23723"/>
    <cellStyle name="Currency 3 8 2 2 3 2 3 2" xfId="23724"/>
    <cellStyle name="Currency 3 8 2 2 3 2 3 3" xfId="23725"/>
    <cellStyle name="Currency 3 8 2 2 3 2 4" xfId="23726"/>
    <cellStyle name="Currency 3 8 2 2 3 2 5" xfId="23727"/>
    <cellStyle name="Currency 3 8 2 2 3 3" xfId="23728"/>
    <cellStyle name="Currency 3 8 2 2 3 3 2" xfId="23729"/>
    <cellStyle name="Currency 3 8 2 2 3 3 3" xfId="23730"/>
    <cellStyle name="Currency 3 8 2 2 3 4" xfId="23731"/>
    <cellStyle name="Currency 3 8 2 2 3 4 2" xfId="23732"/>
    <cellStyle name="Currency 3 8 2 2 3 4 3" xfId="23733"/>
    <cellStyle name="Currency 3 8 2 2 3 5" xfId="23734"/>
    <cellStyle name="Currency 3 8 2 2 3 6" xfId="23735"/>
    <cellStyle name="Currency 3 8 2 2 4" xfId="23736"/>
    <cellStyle name="Currency 3 8 2 2 4 2" xfId="23737"/>
    <cellStyle name="Currency 3 8 2 2 4 2 2" xfId="23738"/>
    <cellStyle name="Currency 3 8 2 2 4 2 3" xfId="23739"/>
    <cellStyle name="Currency 3 8 2 2 4 3" xfId="23740"/>
    <cellStyle name="Currency 3 8 2 2 4 3 2" xfId="23741"/>
    <cellStyle name="Currency 3 8 2 2 4 3 3" xfId="23742"/>
    <cellStyle name="Currency 3 8 2 2 4 4" xfId="23743"/>
    <cellStyle name="Currency 3 8 2 2 4 5" xfId="23744"/>
    <cellStyle name="Currency 3 8 2 2 5" xfId="23745"/>
    <cellStyle name="Currency 3 8 2 2 5 2" xfId="23746"/>
    <cellStyle name="Currency 3 8 2 2 5 3" xfId="23747"/>
    <cellStyle name="Currency 3 8 2 2 6" xfId="23748"/>
    <cellStyle name="Currency 3 8 2 2 6 2" xfId="23749"/>
    <cellStyle name="Currency 3 8 2 2 6 3" xfId="23750"/>
    <cellStyle name="Currency 3 8 2 2 7" xfId="23751"/>
    <cellStyle name="Currency 3 8 2 2 8" xfId="23752"/>
    <cellStyle name="Currency 3 8 2 3" xfId="23753"/>
    <cellStyle name="Currency 3 8 2 3 2" xfId="23754"/>
    <cellStyle name="Currency 3 8 2 3 2 2" xfId="23755"/>
    <cellStyle name="Currency 3 8 2 3 2 2 2" xfId="23756"/>
    <cellStyle name="Currency 3 8 2 3 2 2 3" xfId="23757"/>
    <cellStyle name="Currency 3 8 2 3 2 3" xfId="23758"/>
    <cellStyle name="Currency 3 8 2 3 2 3 2" xfId="23759"/>
    <cellStyle name="Currency 3 8 2 3 2 3 3" xfId="23760"/>
    <cellStyle name="Currency 3 8 2 3 2 4" xfId="23761"/>
    <cellStyle name="Currency 3 8 2 3 2 5" xfId="23762"/>
    <cellStyle name="Currency 3 8 2 3 3" xfId="23763"/>
    <cellStyle name="Currency 3 8 2 3 3 2" xfId="23764"/>
    <cellStyle name="Currency 3 8 2 3 3 3" xfId="23765"/>
    <cellStyle name="Currency 3 8 2 3 4" xfId="23766"/>
    <cellStyle name="Currency 3 8 2 3 4 2" xfId="23767"/>
    <cellStyle name="Currency 3 8 2 3 4 3" xfId="23768"/>
    <cellStyle name="Currency 3 8 2 3 5" xfId="23769"/>
    <cellStyle name="Currency 3 8 2 3 6" xfId="23770"/>
    <cellStyle name="Currency 3 8 2 4" xfId="23771"/>
    <cellStyle name="Currency 3 8 2 4 2" xfId="23772"/>
    <cellStyle name="Currency 3 8 2 4 2 2" xfId="23773"/>
    <cellStyle name="Currency 3 8 2 4 2 2 2" xfId="23774"/>
    <cellStyle name="Currency 3 8 2 4 2 2 3" xfId="23775"/>
    <cellStyle name="Currency 3 8 2 4 2 3" xfId="23776"/>
    <cellStyle name="Currency 3 8 2 4 2 3 2" xfId="23777"/>
    <cellStyle name="Currency 3 8 2 4 2 3 3" xfId="23778"/>
    <cellStyle name="Currency 3 8 2 4 2 4" xfId="23779"/>
    <cellStyle name="Currency 3 8 2 4 2 5" xfId="23780"/>
    <cellStyle name="Currency 3 8 2 4 3" xfId="23781"/>
    <cellStyle name="Currency 3 8 2 4 3 2" xfId="23782"/>
    <cellStyle name="Currency 3 8 2 4 3 3" xfId="23783"/>
    <cellStyle name="Currency 3 8 2 4 4" xfId="23784"/>
    <cellStyle name="Currency 3 8 2 4 4 2" xfId="23785"/>
    <cellStyle name="Currency 3 8 2 4 4 3" xfId="23786"/>
    <cellStyle name="Currency 3 8 2 4 5" xfId="23787"/>
    <cellStyle name="Currency 3 8 2 4 6" xfId="23788"/>
    <cellStyle name="Currency 3 8 2 5" xfId="23789"/>
    <cellStyle name="Currency 3 8 2 5 2" xfId="23790"/>
    <cellStyle name="Currency 3 8 2 5 2 2" xfId="23791"/>
    <cellStyle name="Currency 3 8 2 5 2 3" xfId="23792"/>
    <cellStyle name="Currency 3 8 2 5 3" xfId="23793"/>
    <cellStyle name="Currency 3 8 2 5 3 2" xfId="23794"/>
    <cellStyle name="Currency 3 8 2 5 3 3" xfId="23795"/>
    <cellStyle name="Currency 3 8 2 5 4" xfId="23796"/>
    <cellStyle name="Currency 3 8 2 5 5" xfId="23797"/>
    <cellStyle name="Currency 3 8 2 6" xfId="23798"/>
    <cellStyle name="Currency 3 8 2 6 2" xfId="23799"/>
    <cellStyle name="Currency 3 8 2 6 3" xfId="23800"/>
    <cellStyle name="Currency 3 8 2 7" xfId="23801"/>
    <cellStyle name="Currency 3 8 2 7 2" xfId="23802"/>
    <cellStyle name="Currency 3 8 2 7 3" xfId="23803"/>
    <cellStyle name="Currency 3 8 2 8" xfId="23804"/>
    <cellStyle name="Currency 3 8 2 9" xfId="23805"/>
    <cellStyle name="Currency 3 8 3" xfId="23806"/>
    <cellStyle name="Currency 3 8 3 2" xfId="23807"/>
    <cellStyle name="Currency 3 8 3 2 2" xfId="23808"/>
    <cellStyle name="Currency 3 8 3 2 2 2" xfId="23809"/>
    <cellStyle name="Currency 3 8 3 2 2 2 2" xfId="23810"/>
    <cellStyle name="Currency 3 8 3 2 2 2 3" xfId="23811"/>
    <cellStyle name="Currency 3 8 3 2 2 3" xfId="23812"/>
    <cellStyle name="Currency 3 8 3 2 2 3 2" xfId="23813"/>
    <cellStyle name="Currency 3 8 3 2 2 3 3" xfId="23814"/>
    <cellStyle name="Currency 3 8 3 2 2 4" xfId="23815"/>
    <cellStyle name="Currency 3 8 3 2 2 5" xfId="23816"/>
    <cellStyle name="Currency 3 8 3 2 3" xfId="23817"/>
    <cellStyle name="Currency 3 8 3 2 3 2" xfId="23818"/>
    <cellStyle name="Currency 3 8 3 2 3 3" xfId="23819"/>
    <cellStyle name="Currency 3 8 3 2 4" xfId="23820"/>
    <cellStyle name="Currency 3 8 3 2 4 2" xfId="23821"/>
    <cellStyle name="Currency 3 8 3 2 4 3" xfId="23822"/>
    <cellStyle name="Currency 3 8 3 2 5" xfId="23823"/>
    <cellStyle name="Currency 3 8 3 2 6" xfId="23824"/>
    <cellStyle name="Currency 3 8 3 3" xfId="23825"/>
    <cellStyle name="Currency 3 8 3 3 2" xfId="23826"/>
    <cellStyle name="Currency 3 8 3 3 2 2" xfId="23827"/>
    <cellStyle name="Currency 3 8 3 3 2 2 2" xfId="23828"/>
    <cellStyle name="Currency 3 8 3 3 2 2 3" xfId="23829"/>
    <cellStyle name="Currency 3 8 3 3 2 3" xfId="23830"/>
    <cellStyle name="Currency 3 8 3 3 2 3 2" xfId="23831"/>
    <cellStyle name="Currency 3 8 3 3 2 3 3" xfId="23832"/>
    <cellStyle name="Currency 3 8 3 3 2 4" xfId="23833"/>
    <cellStyle name="Currency 3 8 3 3 2 5" xfId="23834"/>
    <cellStyle name="Currency 3 8 3 3 3" xfId="23835"/>
    <cellStyle name="Currency 3 8 3 3 3 2" xfId="23836"/>
    <cellStyle name="Currency 3 8 3 3 3 3" xfId="23837"/>
    <cellStyle name="Currency 3 8 3 3 4" xfId="23838"/>
    <cellStyle name="Currency 3 8 3 3 4 2" xfId="23839"/>
    <cellStyle name="Currency 3 8 3 3 4 3" xfId="23840"/>
    <cellStyle name="Currency 3 8 3 3 5" xfId="23841"/>
    <cellStyle name="Currency 3 8 3 3 6" xfId="23842"/>
    <cellStyle name="Currency 3 8 3 4" xfId="23843"/>
    <cellStyle name="Currency 3 8 3 4 2" xfId="23844"/>
    <cellStyle name="Currency 3 8 3 4 2 2" xfId="23845"/>
    <cellStyle name="Currency 3 8 3 4 2 3" xfId="23846"/>
    <cellStyle name="Currency 3 8 3 4 3" xfId="23847"/>
    <cellStyle name="Currency 3 8 3 4 3 2" xfId="23848"/>
    <cellStyle name="Currency 3 8 3 4 3 3" xfId="23849"/>
    <cellStyle name="Currency 3 8 3 4 4" xfId="23850"/>
    <cellStyle name="Currency 3 8 3 4 5" xfId="23851"/>
    <cellStyle name="Currency 3 8 3 5" xfId="23852"/>
    <cellStyle name="Currency 3 8 3 5 2" xfId="23853"/>
    <cellStyle name="Currency 3 8 3 5 3" xfId="23854"/>
    <cellStyle name="Currency 3 8 3 6" xfId="23855"/>
    <cellStyle name="Currency 3 8 3 6 2" xfId="23856"/>
    <cellStyle name="Currency 3 8 3 6 3" xfId="23857"/>
    <cellStyle name="Currency 3 8 3 7" xfId="23858"/>
    <cellStyle name="Currency 3 8 3 8" xfId="23859"/>
    <cellStyle name="Currency 3 8 4" xfId="23860"/>
    <cellStyle name="Currency 3 8 4 2" xfId="23861"/>
    <cellStyle name="Currency 3 8 4 2 2" xfId="23862"/>
    <cellStyle name="Currency 3 8 4 2 2 2" xfId="23863"/>
    <cellStyle name="Currency 3 8 4 2 2 3" xfId="23864"/>
    <cellStyle name="Currency 3 8 4 2 3" xfId="23865"/>
    <cellStyle name="Currency 3 8 4 2 3 2" xfId="23866"/>
    <cellStyle name="Currency 3 8 4 2 3 3" xfId="23867"/>
    <cellStyle name="Currency 3 8 4 2 4" xfId="23868"/>
    <cellStyle name="Currency 3 8 4 2 5" xfId="23869"/>
    <cellStyle name="Currency 3 8 4 3" xfId="23870"/>
    <cellStyle name="Currency 3 8 4 3 2" xfId="23871"/>
    <cellStyle name="Currency 3 8 4 3 3" xfId="23872"/>
    <cellStyle name="Currency 3 8 4 4" xfId="23873"/>
    <cellStyle name="Currency 3 8 4 4 2" xfId="23874"/>
    <cellStyle name="Currency 3 8 4 4 3" xfId="23875"/>
    <cellStyle name="Currency 3 8 4 5" xfId="23876"/>
    <cellStyle name="Currency 3 8 4 6" xfId="23877"/>
    <cellStyle name="Currency 3 8 5" xfId="23878"/>
    <cellStyle name="Currency 3 8 5 2" xfId="23879"/>
    <cellStyle name="Currency 3 8 5 2 2" xfId="23880"/>
    <cellStyle name="Currency 3 8 5 2 2 2" xfId="23881"/>
    <cellStyle name="Currency 3 8 5 2 2 3" xfId="23882"/>
    <cellStyle name="Currency 3 8 5 2 3" xfId="23883"/>
    <cellStyle name="Currency 3 8 5 2 3 2" xfId="23884"/>
    <cellStyle name="Currency 3 8 5 2 3 3" xfId="23885"/>
    <cellStyle name="Currency 3 8 5 2 4" xfId="23886"/>
    <cellStyle name="Currency 3 8 5 2 5" xfId="23887"/>
    <cellStyle name="Currency 3 8 5 3" xfId="23888"/>
    <cellStyle name="Currency 3 8 5 3 2" xfId="23889"/>
    <cellStyle name="Currency 3 8 5 3 3" xfId="23890"/>
    <cellStyle name="Currency 3 8 5 4" xfId="23891"/>
    <cellStyle name="Currency 3 8 5 4 2" xfId="23892"/>
    <cellStyle name="Currency 3 8 5 4 3" xfId="23893"/>
    <cellStyle name="Currency 3 8 5 5" xfId="23894"/>
    <cellStyle name="Currency 3 8 5 6" xfId="23895"/>
    <cellStyle name="Currency 3 8 6" xfId="23896"/>
    <cellStyle name="Currency 3 8 6 2" xfId="23897"/>
    <cellStyle name="Currency 3 8 6 2 2" xfId="23898"/>
    <cellStyle name="Currency 3 8 6 2 3" xfId="23899"/>
    <cellStyle name="Currency 3 8 6 3" xfId="23900"/>
    <cellStyle name="Currency 3 8 6 3 2" xfId="23901"/>
    <cellStyle name="Currency 3 8 6 3 3" xfId="23902"/>
    <cellStyle name="Currency 3 8 6 4" xfId="23903"/>
    <cellStyle name="Currency 3 8 6 5" xfId="23904"/>
    <cellStyle name="Currency 3 8 7" xfId="23905"/>
    <cellStyle name="Currency 3 8 7 2" xfId="23906"/>
    <cellStyle name="Currency 3 8 7 3" xfId="23907"/>
    <cellStyle name="Currency 3 8 8" xfId="23908"/>
    <cellStyle name="Currency 3 8 8 2" xfId="23909"/>
    <cellStyle name="Currency 3 8 8 3" xfId="23910"/>
    <cellStyle name="Currency 3 8 9" xfId="23911"/>
    <cellStyle name="Currency 3 9" xfId="23912"/>
    <cellStyle name="Currency 3 9 10" xfId="23913"/>
    <cellStyle name="Currency 3 9 2" xfId="23914"/>
    <cellStyle name="Currency 3 9 2 2" xfId="23915"/>
    <cellStyle name="Currency 3 9 2 2 2" xfId="23916"/>
    <cellStyle name="Currency 3 9 2 2 2 2" xfId="23917"/>
    <cellStyle name="Currency 3 9 2 2 2 2 2" xfId="23918"/>
    <cellStyle name="Currency 3 9 2 2 2 2 2 2" xfId="23919"/>
    <cellStyle name="Currency 3 9 2 2 2 2 2 3" xfId="23920"/>
    <cellStyle name="Currency 3 9 2 2 2 2 3" xfId="23921"/>
    <cellStyle name="Currency 3 9 2 2 2 2 3 2" xfId="23922"/>
    <cellStyle name="Currency 3 9 2 2 2 2 3 3" xfId="23923"/>
    <cellStyle name="Currency 3 9 2 2 2 2 4" xfId="23924"/>
    <cellStyle name="Currency 3 9 2 2 2 2 5" xfId="23925"/>
    <cellStyle name="Currency 3 9 2 2 2 3" xfId="23926"/>
    <cellStyle name="Currency 3 9 2 2 2 3 2" xfId="23927"/>
    <cellStyle name="Currency 3 9 2 2 2 3 3" xfId="23928"/>
    <cellStyle name="Currency 3 9 2 2 2 4" xfId="23929"/>
    <cellStyle name="Currency 3 9 2 2 2 4 2" xfId="23930"/>
    <cellStyle name="Currency 3 9 2 2 2 4 3" xfId="23931"/>
    <cellStyle name="Currency 3 9 2 2 2 5" xfId="23932"/>
    <cellStyle name="Currency 3 9 2 2 2 6" xfId="23933"/>
    <cellStyle name="Currency 3 9 2 2 3" xfId="23934"/>
    <cellStyle name="Currency 3 9 2 2 3 2" xfId="23935"/>
    <cellStyle name="Currency 3 9 2 2 3 2 2" xfId="23936"/>
    <cellStyle name="Currency 3 9 2 2 3 2 2 2" xfId="23937"/>
    <cellStyle name="Currency 3 9 2 2 3 2 2 3" xfId="23938"/>
    <cellStyle name="Currency 3 9 2 2 3 2 3" xfId="23939"/>
    <cellStyle name="Currency 3 9 2 2 3 2 3 2" xfId="23940"/>
    <cellStyle name="Currency 3 9 2 2 3 2 3 3" xfId="23941"/>
    <cellStyle name="Currency 3 9 2 2 3 2 4" xfId="23942"/>
    <cellStyle name="Currency 3 9 2 2 3 2 5" xfId="23943"/>
    <cellStyle name="Currency 3 9 2 2 3 3" xfId="23944"/>
    <cellStyle name="Currency 3 9 2 2 3 3 2" xfId="23945"/>
    <cellStyle name="Currency 3 9 2 2 3 3 3" xfId="23946"/>
    <cellStyle name="Currency 3 9 2 2 3 4" xfId="23947"/>
    <cellStyle name="Currency 3 9 2 2 3 4 2" xfId="23948"/>
    <cellStyle name="Currency 3 9 2 2 3 4 3" xfId="23949"/>
    <cellStyle name="Currency 3 9 2 2 3 5" xfId="23950"/>
    <cellStyle name="Currency 3 9 2 2 3 6" xfId="23951"/>
    <cellStyle name="Currency 3 9 2 2 4" xfId="23952"/>
    <cellStyle name="Currency 3 9 2 2 4 2" xfId="23953"/>
    <cellStyle name="Currency 3 9 2 2 4 2 2" xfId="23954"/>
    <cellStyle name="Currency 3 9 2 2 4 2 3" xfId="23955"/>
    <cellStyle name="Currency 3 9 2 2 4 3" xfId="23956"/>
    <cellStyle name="Currency 3 9 2 2 4 3 2" xfId="23957"/>
    <cellStyle name="Currency 3 9 2 2 4 3 3" xfId="23958"/>
    <cellStyle name="Currency 3 9 2 2 4 4" xfId="23959"/>
    <cellStyle name="Currency 3 9 2 2 4 5" xfId="23960"/>
    <cellStyle name="Currency 3 9 2 2 5" xfId="23961"/>
    <cellStyle name="Currency 3 9 2 2 5 2" xfId="23962"/>
    <cellStyle name="Currency 3 9 2 2 5 3" xfId="23963"/>
    <cellStyle name="Currency 3 9 2 2 6" xfId="23964"/>
    <cellStyle name="Currency 3 9 2 2 6 2" xfId="23965"/>
    <cellStyle name="Currency 3 9 2 2 6 3" xfId="23966"/>
    <cellStyle name="Currency 3 9 2 2 7" xfId="23967"/>
    <cellStyle name="Currency 3 9 2 2 8" xfId="23968"/>
    <cellStyle name="Currency 3 9 2 3" xfId="23969"/>
    <cellStyle name="Currency 3 9 2 3 2" xfId="23970"/>
    <cellStyle name="Currency 3 9 2 3 2 2" xfId="23971"/>
    <cellStyle name="Currency 3 9 2 3 2 2 2" xfId="23972"/>
    <cellStyle name="Currency 3 9 2 3 2 2 3" xfId="23973"/>
    <cellStyle name="Currency 3 9 2 3 2 3" xfId="23974"/>
    <cellStyle name="Currency 3 9 2 3 2 3 2" xfId="23975"/>
    <cellStyle name="Currency 3 9 2 3 2 3 3" xfId="23976"/>
    <cellStyle name="Currency 3 9 2 3 2 4" xfId="23977"/>
    <cellStyle name="Currency 3 9 2 3 2 5" xfId="23978"/>
    <cellStyle name="Currency 3 9 2 3 3" xfId="23979"/>
    <cellStyle name="Currency 3 9 2 3 3 2" xfId="23980"/>
    <cellStyle name="Currency 3 9 2 3 3 3" xfId="23981"/>
    <cellStyle name="Currency 3 9 2 3 4" xfId="23982"/>
    <cellStyle name="Currency 3 9 2 3 4 2" xfId="23983"/>
    <cellStyle name="Currency 3 9 2 3 4 3" xfId="23984"/>
    <cellStyle name="Currency 3 9 2 3 5" xfId="23985"/>
    <cellStyle name="Currency 3 9 2 3 6" xfId="23986"/>
    <cellStyle name="Currency 3 9 2 4" xfId="23987"/>
    <cellStyle name="Currency 3 9 2 4 2" xfId="23988"/>
    <cellStyle name="Currency 3 9 2 4 2 2" xfId="23989"/>
    <cellStyle name="Currency 3 9 2 4 2 2 2" xfId="23990"/>
    <cellStyle name="Currency 3 9 2 4 2 2 3" xfId="23991"/>
    <cellStyle name="Currency 3 9 2 4 2 3" xfId="23992"/>
    <cellStyle name="Currency 3 9 2 4 2 3 2" xfId="23993"/>
    <cellStyle name="Currency 3 9 2 4 2 3 3" xfId="23994"/>
    <cellStyle name="Currency 3 9 2 4 2 4" xfId="23995"/>
    <cellStyle name="Currency 3 9 2 4 2 5" xfId="23996"/>
    <cellStyle name="Currency 3 9 2 4 3" xfId="23997"/>
    <cellStyle name="Currency 3 9 2 4 3 2" xfId="23998"/>
    <cellStyle name="Currency 3 9 2 4 3 3" xfId="23999"/>
    <cellStyle name="Currency 3 9 2 4 4" xfId="24000"/>
    <cellStyle name="Currency 3 9 2 4 4 2" xfId="24001"/>
    <cellStyle name="Currency 3 9 2 4 4 3" xfId="24002"/>
    <cellStyle name="Currency 3 9 2 4 5" xfId="24003"/>
    <cellStyle name="Currency 3 9 2 4 6" xfId="24004"/>
    <cellStyle name="Currency 3 9 2 5" xfId="24005"/>
    <cellStyle name="Currency 3 9 2 5 2" xfId="24006"/>
    <cellStyle name="Currency 3 9 2 5 2 2" xfId="24007"/>
    <cellStyle name="Currency 3 9 2 5 2 3" xfId="24008"/>
    <cellStyle name="Currency 3 9 2 5 3" xfId="24009"/>
    <cellStyle name="Currency 3 9 2 5 3 2" xfId="24010"/>
    <cellStyle name="Currency 3 9 2 5 3 3" xfId="24011"/>
    <cellStyle name="Currency 3 9 2 5 4" xfId="24012"/>
    <cellStyle name="Currency 3 9 2 5 5" xfId="24013"/>
    <cellStyle name="Currency 3 9 2 6" xfId="24014"/>
    <cellStyle name="Currency 3 9 2 6 2" xfId="24015"/>
    <cellStyle name="Currency 3 9 2 6 3" xfId="24016"/>
    <cellStyle name="Currency 3 9 2 7" xfId="24017"/>
    <cellStyle name="Currency 3 9 2 7 2" xfId="24018"/>
    <cellStyle name="Currency 3 9 2 7 3" xfId="24019"/>
    <cellStyle name="Currency 3 9 2 8" xfId="24020"/>
    <cellStyle name="Currency 3 9 2 9" xfId="24021"/>
    <cellStyle name="Currency 3 9 3" xfId="24022"/>
    <cellStyle name="Currency 3 9 3 2" xfId="24023"/>
    <cellStyle name="Currency 3 9 3 2 2" xfId="24024"/>
    <cellStyle name="Currency 3 9 3 2 2 2" xfId="24025"/>
    <cellStyle name="Currency 3 9 3 2 2 2 2" xfId="24026"/>
    <cellStyle name="Currency 3 9 3 2 2 2 3" xfId="24027"/>
    <cellStyle name="Currency 3 9 3 2 2 3" xfId="24028"/>
    <cellStyle name="Currency 3 9 3 2 2 3 2" xfId="24029"/>
    <cellStyle name="Currency 3 9 3 2 2 3 3" xfId="24030"/>
    <cellStyle name="Currency 3 9 3 2 2 4" xfId="24031"/>
    <cellStyle name="Currency 3 9 3 2 2 5" xfId="24032"/>
    <cellStyle name="Currency 3 9 3 2 3" xfId="24033"/>
    <cellStyle name="Currency 3 9 3 2 3 2" xfId="24034"/>
    <cellStyle name="Currency 3 9 3 2 3 3" xfId="24035"/>
    <cellStyle name="Currency 3 9 3 2 4" xfId="24036"/>
    <cellStyle name="Currency 3 9 3 2 4 2" xfId="24037"/>
    <cellStyle name="Currency 3 9 3 2 4 3" xfId="24038"/>
    <cellStyle name="Currency 3 9 3 2 5" xfId="24039"/>
    <cellStyle name="Currency 3 9 3 2 6" xfId="24040"/>
    <cellStyle name="Currency 3 9 3 3" xfId="24041"/>
    <cellStyle name="Currency 3 9 3 3 2" xfId="24042"/>
    <cellStyle name="Currency 3 9 3 3 2 2" xfId="24043"/>
    <cellStyle name="Currency 3 9 3 3 2 2 2" xfId="24044"/>
    <cellStyle name="Currency 3 9 3 3 2 2 3" xfId="24045"/>
    <cellStyle name="Currency 3 9 3 3 2 3" xfId="24046"/>
    <cellStyle name="Currency 3 9 3 3 2 3 2" xfId="24047"/>
    <cellStyle name="Currency 3 9 3 3 2 3 3" xfId="24048"/>
    <cellStyle name="Currency 3 9 3 3 2 4" xfId="24049"/>
    <cellStyle name="Currency 3 9 3 3 2 5" xfId="24050"/>
    <cellStyle name="Currency 3 9 3 3 3" xfId="24051"/>
    <cellStyle name="Currency 3 9 3 3 3 2" xfId="24052"/>
    <cellStyle name="Currency 3 9 3 3 3 3" xfId="24053"/>
    <cellStyle name="Currency 3 9 3 3 4" xfId="24054"/>
    <cellStyle name="Currency 3 9 3 3 4 2" xfId="24055"/>
    <cellStyle name="Currency 3 9 3 3 4 3" xfId="24056"/>
    <cellStyle name="Currency 3 9 3 3 5" xfId="24057"/>
    <cellStyle name="Currency 3 9 3 3 6" xfId="24058"/>
    <cellStyle name="Currency 3 9 3 4" xfId="24059"/>
    <cellStyle name="Currency 3 9 3 4 2" xfId="24060"/>
    <cellStyle name="Currency 3 9 3 4 2 2" xfId="24061"/>
    <cellStyle name="Currency 3 9 3 4 2 3" xfId="24062"/>
    <cellStyle name="Currency 3 9 3 4 3" xfId="24063"/>
    <cellStyle name="Currency 3 9 3 4 3 2" xfId="24064"/>
    <cellStyle name="Currency 3 9 3 4 3 3" xfId="24065"/>
    <cellStyle name="Currency 3 9 3 4 4" xfId="24066"/>
    <cellStyle name="Currency 3 9 3 4 5" xfId="24067"/>
    <cellStyle name="Currency 3 9 3 5" xfId="24068"/>
    <cellStyle name="Currency 3 9 3 5 2" xfId="24069"/>
    <cellStyle name="Currency 3 9 3 5 3" xfId="24070"/>
    <cellStyle name="Currency 3 9 3 6" xfId="24071"/>
    <cellStyle name="Currency 3 9 3 6 2" xfId="24072"/>
    <cellStyle name="Currency 3 9 3 6 3" xfId="24073"/>
    <cellStyle name="Currency 3 9 3 7" xfId="24074"/>
    <cellStyle name="Currency 3 9 3 8" xfId="24075"/>
    <cellStyle name="Currency 3 9 4" xfId="24076"/>
    <cellStyle name="Currency 3 9 4 2" xfId="24077"/>
    <cellStyle name="Currency 3 9 4 2 2" xfId="24078"/>
    <cellStyle name="Currency 3 9 4 2 2 2" xfId="24079"/>
    <cellStyle name="Currency 3 9 4 2 2 3" xfId="24080"/>
    <cellStyle name="Currency 3 9 4 2 3" xfId="24081"/>
    <cellStyle name="Currency 3 9 4 2 3 2" xfId="24082"/>
    <cellStyle name="Currency 3 9 4 2 3 3" xfId="24083"/>
    <cellStyle name="Currency 3 9 4 2 4" xfId="24084"/>
    <cellStyle name="Currency 3 9 4 2 5" xfId="24085"/>
    <cellStyle name="Currency 3 9 4 3" xfId="24086"/>
    <cellStyle name="Currency 3 9 4 3 2" xfId="24087"/>
    <cellStyle name="Currency 3 9 4 3 3" xfId="24088"/>
    <cellStyle name="Currency 3 9 4 4" xfId="24089"/>
    <cellStyle name="Currency 3 9 4 4 2" xfId="24090"/>
    <cellStyle name="Currency 3 9 4 4 3" xfId="24091"/>
    <cellStyle name="Currency 3 9 4 5" xfId="24092"/>
    <cellStyle name="Currency 3 9 4 6" xfId="24093"/>
    <cellStyle name="Currency 3 9 5" xfId="24094"/>
    <cellStyle name="Currency 3 9 5 2" xfId="24095"/>
    <cellStyle name="Currency 3 9 5 2 2" xfId="24096"/>
    <cellStyle name="Currency 3 9 5 2 2 2" xfId="24097"/>
    <cellStyle name="Currency 3 9 5 2 2 3" xfId="24098"/>
    <cellStyle name="Currency 3 9 5 2 3" xfId="24099"/>
    <cellStyle name="Currency 3 9 5 2 3 2" xfId="24100"/>
    <cellStyle name="Currency 3 9 5 2 3 3" xfId="24101"/>
    <cellStyle name="Currency 3 9 5 2 4" xfId="24102"/>
    <cellStyle name="Currency 3 9 5 2 5" xfId="24103"/>
    <cellStyle name="Currency 3 9 5 3" xfId="24104"/>
    <cellStyle name="Currency 3 9 5 3 2" xfId="24105"/>
    <cellStyle name="Currency 3 9 5 3 3" xfId="24106"/>
    <cellStyle name="Currency 3 9 5 4" xfId="24107"/>
    <cellStyle name="Currency 3 9 5 4 2" xfId="24108"/>
    <cellStyle name="Currency 3 9 5 4 3" xfId="24109"/>
    <cellStyle name="Currency 3 9 5 5" xfId="24110"/>
    <cellStyle name="Currency 3 9 5 6" xfId="24111"/>
    <cellStyle name="Currency 3 9 6" xfId="24112"/>
    <cellStyle name="Currency 3 9 6 2" xfId="24113"/>
    <cellStyle name="Currency 3 9 6 2 2" xfId="24114"/>
    <cellStyle name="Currency 3 9 6 2 3" xfId="24115"/>
    <cellStyle name="Currency 3 9 6 3" xfId="24116"/>
    <cellStyle name="Currency 3 9 6 3 2" xfId="24117"/>
    <cellStyle name="Currency 3 9 6 3 3" xfId="24118"/>
    <cellStyle name="Currency 3 9 6 4" xfId="24119"/>
    <cellStyle name="Currency 3 9 6 5" xfId="24120"/>
    <cellStyle name="Currency 3 9 7" xfId="24121"/>
    <cellStyle name="Currency 3 9 7 2" xfId="24122"/>
    <cellStyle name="Currency 3 9 7 3" xfId="24123"/>
    <cellStyle name="Currency 3 9 8" xfId="24124"/>
    <cellStyle name="Currency 3 9 8 2" xfId="24125"/>
    <cellStyle name="Currency 3 9 8 3" xfId="24126"/>
    <cellStyle name="Currency 3 9 9" xfId="24127"/>
    <cellStyle name="Currency 4" xfId="6"/>
    <cellStyle name="Currency 4 2" xfId="24128"/>
    <cellStyle name="Currency 5" xfId="26"/>
    <cellStyle name="Currency 5 10" xfId="24129"/>
    <cellStyle name="Currency 5 10 2" xfId="24130"/>
    <cellStyle name="Currency 5 10 2 2" xfId="24131"/>
    <cellStyle name="Currency 5 10 2 3" xfId="24132"/>
    <cellStyle name="Currency 5 10 3" xfId="24133"/>
    <cellStyle name="Currency 5 10 3 2" xfId="24134"/>
    <cellStyle name="Currency 5 10 3 3" xfId="24135"/>
    <cellStyle name="Currency 5 10 4" xfId="24136"/>
    <cellStyle name="Currency 5 10 5" xfId="24137"/>
    <cellStyle name="Currency 5 11" xfId="24138"/>
    <cellStyle name="Currency 5 11 2" xfId="24139"/>
    <cellStyle name="Currency 5 11 3" xfId="24140"/>
    <cellStyle name="Currency 5 12" xfId="24141"/>
    <cellStyle name="Currency 5 12 2" xfId="24142"/>
    <cellStyle name="Currency 5 12 3" xfId="24143"/>
    <cellStyle name="Currency 5 13" xfId="24144"/>
    <cellStyle name="Currency 5 14" xfId="24145"/>
    <cellStyle name="Currency 5 15" xfId="24146"/>
    <cellStyle name="Currency 5 2" xfId="24147"/>
    <cellStyle name="Currency 5 2 10" xfId="24148"/>
    <cellStyle name="Currency 5 2 10 2" xfId="24149"/>
    <cellStyle name="Currency 5 2 10 3" xfId="24150"/>
    <cellStyle name="Currency 5 2 11" xfId="24151"/>
    <cellStyle name="Currency 5 2 11 2" xfId="24152"/>
    <cellStyle name="Currency 5 2 11 3" xfId="24153"/>
    <cellStyle name="Currency 5 2 12" xfId="24154"/>
    <cellStyle name="Currency 5 2 13" xfId="24155"/>
    <cellStyle name="Currency 5 2 2" xfId="24156"/>
    <cellStyle name="Currency 5 2 2 10" xfId="24157"/>
    <cellStyle name="Currency 5 2 2 10 2" xfId="24158"/>
    <cellStyle name="Currency 5 2 2 10 3" xfId="24159"/>
    <cellStyle name="Currency 5 2 2 11" xfId="24160"/>
    <cellStyle name="Currency 5 2 2 12" xfId="24161"/>
    <cellStyle name="Currency 5 2 2 2" xfId="24162"/>
    <cellStyle name="Currency 5 2 2 2 10" xfId="24163"/>
    <cellStyle name="Currency 5 2 2 2 2" xfId="24164"/>
    <cellStyle name="Currency 5 2 2 2 2 2" xfId="24165"/>
    <cellStyle name="Currency 5 2 2 2 2 2 2" xfId="24166"/>
    <cellStyle name="Currency 5 2 2 2 2 2 2 2" xfId="24167"/>
    <cellStyle name="Currency 5 2 2 2 2 2 2 2 2" xfId="24168"/>
    <cellStyle name="Currency 5 2 2 2 2 2 2 2 2 2" xfId="24169"/>
    <cellStyle name="Currency 5 2 2 2 2 2 2 2 2 3" xfId="24170"/>
    <cellStyle name="Currency 5 2 2 2 2 2 2 2 3" xfId="24171"/>
    <cellStyle name="Currency 5 2 2 2 2 2 2 2 3 2" xfId="24172"/>
    <cellStyle name="Currency 5 2 2 2 2 2 2 2 3 3" xfId="24173"/>
    <cellStyle name="Currency 5 2 2 2 2 2 2 2 4" xfId="24174"/>
    <cellStyle name="Currency 5 2 2 2 2 2 2 2 5" xfId="24175"/>
    <cellStyle name="Currency 5 2 2 2 2 2 2 3" xfId="24176"/>
    <cellStyle name="Currency 5 2 2 2 2 2 2 3 2" xfId="24177"/>
    <cellStyle name="Currency 5 2 2 2 2 2 2 3 3" xfId="24178"/>
    <cellStyle name="Currency 5 2 2 2 2 2 2 4" xfId="24179"/>
    <cellStyle name="Currency 5 2 2 2 2 2 2 4 2" xfId="24180"/>
    <cellStyle name="Currency 5 2 2 2 2 2 2 4 3" xfId="24181"/>
    <cellStyle name="Currency 5 2 2 2 2 2 2 5" xfId="24182"/>
    <cellStyle name="Currency 5 2 2 2 2 2 2 6" xfId="24183"/>
    <cellStyle name="Currency 5 2 2 2 2 2 3" xfId="24184"/>
    <cellStyle name="Currency 5 2 2 2 2 2 3 2" xfId="24185"/>
    <cellStyle name="Currency 5 2 2 2 2 2 3 2 2" xfId="24186"/>
    <cellStyle name="Currency 5 2 2 2 2 2 3 2 2 2" xfId="24187"/>
    <cellStyle name="Currency 5 2 2 2 2 2 3 2 2 3" xfId="24188"/>
    <cellStyle name="Currency 5 2 2 2 2 2 3 2 3" xfId="24189"/>
    <cellStyle name="Currency 5 2 2 2 2 2 3 2 3 2" xfId="24190"/>
    <cellStyle name="Currency 5 2 2 2 2 2 3 2 3 3" xfId="24191"/>
    <cellStyle name="Currency 5 2 2 2 2 2 3 2 4" xfId="24192"/>
    <cellStyle name="Currency 5 2 2 2 2 2 3 2 5" xfId="24193"/>
    <cellStyle name="Currency 5 2 2 2 2 2 3 3" xfId="24194"/>
    <cellStyle name="Currency 5 2 2 2 2 2 3 3 2" xfId="24195"/>
    <cellStyle name="Currency 5 2 2 2 2 2 3 3 3" xfId="24196"/>
    <cellStyle name="Currency 5 2 2 2 2 2 3 4" xfId="24197"/>
    <cellStyle name="Currency 5 2 2 2 2 2 3 4 2" xfId="24198"/>
    <cellStyle name="Currency 5 2 2 2 2 2 3 4 3" xfId="24199"/>
    <cellStyle name="Currency 5 2 2 2 2 2 3 5" xfId="24200"/>
    <cellStyle name="Currency 5 2 2 2 2 2 3 6" xfId="24201"/>
    <cellStyle name="Currency 5 2 2 2 2 2 4" xfId="24202"/>
    <cellStyle name="Currency 5 2 2 2 2 2 4 2" xfId="24203"/>
    <cellStyle name="Currency 5 2 2 2 2 2 4 2 2" xfId="24204"/>
    <cellStyle name="Currency 5 2 2 2 2 2 4 2 3" xfId="24205"/>
    <cellStyle name="Currency 5 2 2 2 2 2 4 3" xfId="24206"/>
    <cellStyle name="Currency 5 2 2 2 2 2 4 3 2" xfId="24207"/>
    <cellStyle name="Currency 5 2 2 2 2 2 4 3 3" xfId="24208"/>
    <cellStyle name="Currency 5 2 2 2 2 2 4 4" xfId="24209"/>
    <cellStyle name="Currency 5 2 2 2 2 2 4 5" xfId="24210"/>
    <cellStyle name="Currency 5 2 2 2 2 2 5" xfId="24211"/>
    <cellStyle name="Currency 5 2 2 2 2 2 5 2" xfId="24212"/>
    <cellStyle name="Currency 5 2 2 2 2 2 5 3" xfId="24213"/>
    <cellStyle name="Currency 5 2 2 2 2 2 6" xfId="24214"/>
    <cellStyle name="Currency 5 2 2 2 2 2 6 2" xfId="24215"/>
    <cellStyle name="Currency 5 2 2 2 2 2 6 3" xfId="24216"/>
    <cellStyle name="Currency 5 2 2 2 2 2 7" xfId="24217"/>
    <cellStyle name="Currency 5 2 2 2 2 2 8" xfId="24218"/>
    <cellStyle name="Currency 5 2 2 2 2 3" xfId="24219"/>
    <cellStyle name="Currency 5 2 2 2 2 3 2" xfId="24220"/>
    <cellStyle name="Currency 5 2 2 2 2 3 2 2" xfId="24221"/>
    <cellStyle name="Currency 5 2 2 2 2 3 2 2 2" xfId="24222"/>
    <cellStyle name="Currency 5 2 2 2 2 3 2 2 3" xfId="24223"/>
    <cellStyle name="Currency 5 2 2 2 2 3 2 3" xfId="24224"/>
    <cellStyle name="Currency 5 2 2 2 2 3 2 3 2" xfId="24225"/>
    <cellStyle name="Currency 5 2 2 2 2 3 2 3 3" xfId="24226"/>
    <cellStyle name="Currency 5 2 2 2 2 3 2 4" xfId="24227"/>
    <cellStyle name="Currency 5 2 2 2 2 3 2 5" xfId="24228"/>
    <cellStyle name="Currency 5 2 2 2 2 3 3" xfId="24229"/>
    <cellStyle name="Currency 5 2 2 2 2 3 3 2" xfId="24230"/>
    <cellStyle name="Currency 5 2 2 2 2 3 3 3" xfId="24231"/>
    <cellStyle name="Currency 5 2 2 2 2 3 4" xfId="24232"/>
    <cellStyle name="Currency 5 2 2 2 2 3 4 2" xfId="24233"/>
    <cellStyle name="Currency 5 2 2 2 2 3 4 3" xfId="24234"/>
    <cellStyle name="Currency 5 2 2 2 2 3 5" xfId="24235"/>
    <cellStyle name="Currency 5 2 2 2 2 3 6" xfId="24236"/>
    <cellStyle name="Currency 5 2 2 2 2 4" xfId="24237"/>
    <cellStyle name="Currency 5 2 2 2 2 4 2" xfId="24238"/>
    <cellStyle name="Currency 5 2 2 2 2 4 2 2" xfId="24239"/>
    <cellStyle name="Currency 5 2 2 2 2 4 2 2 2" xfId="24240"/>
    <cellStyle name="Currency 5 2 2 2 2 4 2 2 3" xfId="24241"/>
    <cellStyle name="Currency 5 2 2 2 2 4 2 3" xfId="24242"/>
    <cellStyle name="Currency 5 2 2 2 2 4 2 3 2" xfId="24243"/>
    <cellStyle name="Currency 5 2 2 2 2 4 2 3 3" xfId="24244"/>
    <cellStyle name="Currency 5 2 2 2 2 4 2 4" xfId="24245"/>
    <cellStyle name="Currency 5 2 2 2 2 4 2 5" xfId="24246"/>
    <cellStyle name="Currency 5 2 2 2 2 4 3" xfId="24247"/>
    <cellStyle name="Currency 5 2 2 2 2 4 3 2" xfId="24248"/>
    <cellStyle name="Currency 5 2 2 2 2 4 3 3" xfId="24249"/>
    <cellStyle name="Currency 5 2 2 2 2 4 4" xfId="24250"/>
    <cellStyle name="Currency 5 2 2 2 2 4 4 2" xfId="24251"/>
    <cellStyle name="Currency 5 2 2 2 2 4 4 3" xfId="24252"/>
    <cellStyle name="Currency 5 2 2 2 2 4 5" xfId="24253"/>
    <cellStyle name="Currency 5 2 2 2 2 4 6" xfId="24254"/>
    <cellStyle name="Currency 5 2 2 2 2 5" xfId="24255"/>
    <cellStyle name="Currency 5 2 2 2 2 5 2" xfId="24256"/>
    <cellStyle name="Currency 5 2 2 2 2 5 2 2" xfId="24257"/>
    <cellStyle name="Currency 5 2 2 2 2 5 2 3" xfId="24258"/>
    <cellStyle name="Currency 5 2 2 2 2 5 3" xfId="24259"/>
    <cellStyle name="Currency 5 2 2 2 2 5 3 2" xfId="24260"/>
    <cellStyle name="Currency 5 2 2 2 2 5 3 3" xfId="24261"/>
    <cellStyle name="Currency 5 2 2 2 2 5 4" xfId="24262"/>
    <cellStyle name="Currency 5 2 2 2 2 5 5" xfId="24263"/>
    <cellStyle name="Currency 5 2 2 2 2 6" xfId="24264"/>
    <cellStyle name="Currency 5 2 2 2 2 6 2" xfId="24265"/>
    <cellStyle name="Currency 5 2 2 2 2 6 3" xfId="24266"/>
    <cellStyle name="Currency 5 2 2 2 2 7" xfId="24267"/>
    <cellStyle name="Currency 5 2 2 2 2 7 2" xfId="24268"/>
    <cellStyle name="Currency 5 2 2 2 2 7 3" xfId="24269"/>
    <cellStyle name="Currency 5 2 2 2 2 8" xfId="24270"/>
    <cellStyle name="Currency 5 2 2 2 2 9" xfId="24271"/>
    <cellStyle name="Currency 5 2 2 2 3" xfId="24272"/>
    <cellStyle name="Currency 5 2 2 2 3 2" xfId="24273"/>
    <cellStyle name="Currency 5 2 2 2 3 2 2" xfId="24274"/>
    <cellStyle name="Currency 5 2 2 2 3 2 2 2" xfId="24275"/>
    <cellStyle name="Currency 5 2 2 2 3 2 2 2 2" xfId="24276"/>
    <cellStyle name="Currency 5 2 2 2 3 2 2 2 3" xfId="24277"/>
    <cellStyle name="Currency 5 2 2 2 3 2 2 3" xfId="24278"/>
    <cellStyle name="Currency 5 2 2 2 3 2 2 3 2" xfId="24279"/>
    <cellStyle name="Currency 5 2 2 2 3 2 2 3 3" xfId="24280"/>
    <cellStyle name="Currency 5 2 2 2 3 2 2 4" xfId="24281"/>
    <cellStyle name="Currency 5 2 2 2 3 2 2 5" xfId="24282"/>
    <cellStyle name="Currency 5 2 2 2 3 2 3" xfId="24283"/>
    <cellStyle name="Currency 5 2 2 2 3 2 3 2" xfId="24284"/>
    <cellStyle name="Currency 5 2 2 2 3 2 3 3" xfId="24285"/>
    <cellStyle name="Currency 5 2 2 2 3 2 4" xfId="24286"/>
    <cellStyle name="Currency 5 2 2 2 3 2 4 2" xfId="24287"/>
    <cellStyle name="Currency 5 2 2 2 3 2 4 3" xfId="24288"/>
    <cellStyle name="Currency 5 2 2 2 3 2 5" xfId="24289"/>
    <cellStyle name="Currency 5 2 2 2 3 2 6" xfId="24290"/>
    <cellStyle name="Currency 5 2 2 2 3 3" xfId="24291"/>
    <cellStyle name="Currency 5 2 2 2 3 3 2" xfId="24292"/>
    <cellStyle name="Currency 5 2 2 2 3 3 2 2" xfId="24293"/>
    <cellStyle name="Currency 5 2 2 2 3 3 2 2 2" xfId="24294"/>
    <cellStyle name="Currency 5 2 2 2 3 3 2 2 3" xfId="24295"/>
    <cellStyle name="Currency 5 2 2 2 3 3 2 3" xfId="24296"/>
    <cellStyle name="Currency 5 2 2 2 3 3 2 3 2" xfId="24297"/>
    <cellStyle name="Currency 5 2 2 2 3 3 2 3 3" xfId="24298"/>
    <cellStyle name="Currency 5 2 2 2 3 3 2 4" xfId="24299"/>
    <cellStyle name="Currency 5 2 2 2 3 3 2 5" xfId="24300"/>
    <cellStyle name="Currency 5 2 2 2 3 3 3" xfId="24301"/>
    <cellStyle name="Currency 5 2 2 2 3 3 3 2" xfId="24302"/>
    <cellStyle name="Currency 5 2 2 2 3 3 3 3" xfId="24303"/>
    <cellStyle name="Currency 5 2 2 2 3 3 4" xfId="24304"/>
    <cellStyle name="Currency 5 2 2 2 3 3 4 2" xfId="24305"/>
    <cellStyle name="Currency 5 2 2 2 3 3 4 3" xfId="24306"/>
    <cellStyle name="Currency 5 2 2 2 3 3 5" xfId="24307"/>
    <cellStyle name="Currency 5 2 2 2 3 3 6" xfId="24308"/>
    <cellStyle name="Currency 5 2 2 2 3 4" xfId="24309"/>
    <cellStyle name="Currency 5 2 2 2 3 4 2" xfId="24310"/>
    <cellStyle name="Currency 5 2 2 2 3 4 2 2" xfId="24311"/>
    <cellStyle name="Currency 5 2 2 2 3 4 2 3" xfId="24312"/>
    <cellStyle name="Currency 5 2 2 2 3 4 3" xfId="24313"/>
    <cellStyle name="Currency 5 2 2 2 3 4 3 2" xfId="24314"/>
    <cellStyle name="Currency 5 2 2 2 3 4 3 3" xfId="24315"/>
    <cellStyle name="Currency 5 2 2 2 3 4 4" xfId="24316"/>
    <cellStyle name="Currency 5 2 2 2 3 4 5" xfId="24317"/>
    <cellStyle name="Currency 5 2 2 2 3 5" xfId="24318"/>
    <cellStyle name="Currency 5 2 2 2 3 5 2" xfId="24319"/>
    <cellStyle name="Currency 5 2 2 2 3 5 3" xfId="24320"/>
    <cellStyle name="Currency 5 2 2 2 3 6" xfId="24321"/>
    <cellStyle name="Currency 5 2 2 2 3 6 2" xfId="24322"/>
    <cellStyle name="Currency 5 2 2 2 3 6 3" xfId="24323"/>
    <cellStyle name="Currency 5 2 2 2 3 7" xfId="24324"/>
    <cellStyle name="Currency 5 2 2 2 3 8" xfId="24325"/>
    <cellStyle name="Currency 5 2 2 2 4" xfId="24326"/>
    <cellStyle name="Currency 5 2 2 2 4 2" xfId="24327"/>
    <cellStyle name="Currency 5 2 2 2 4 2 2" xfId="24328"/>
    <cellStyle name="Currency 5 2 2 2 4 2 2 2" xfId="24329"/>
    <cellStyle name="Currency 5 2 2 2 4 2 2 3" xfId="24330"/>
    <cellStyle name="Currency 5 2 2 2 4 2 3" xfId="24331"/>
    <cellStyle name="Currency 5 2 2 2 4 2 3 2" xfId="24332"/>
    <cellStyle name="Currency 5 2 2 2 4 2 3 3" xfId="24333"/>
    <cellStyle name="Currency 5 2 2 2 4 2 4" xfId="24334"/>
    <cellStyle name="Currency 5 2 2 2 4 2 5" xfId="24335"/>
    <cellStyle name="Currency 5 2 2 2 4 3" xfId="24336"/>
    <cellStyle name="Currency 5 2 2 2 4 3 2" xfId="24337"/>
    <cellStyle name="Currency 5 2 2 2 4 3 3" xfId="24338"/>
    <cellStyle name="Currency 5 2 2 2 4 4" xfId="24339"/>
    <cellStyle name="Currency 5 2 2 2 4 4 2" xfId="24340"/>
    <cellStyle name="Currency 5 2 2 2 4 4 3" xfId="24341"/>
    <cellStyle name="Currency 5 2 2 2 4 5" xfId="24342"/>
    <cellStyle name="Currency 5 2 2 2 4 6" xfId="24343"/>
    <cellStyle name="Currency 5 2 2 2 5" xfId="24344"/>
    <cellStyle name="Currency 5 2 2 2 5 2" xfId="24345"/>
    <cellStyle name="Currency 5 2 2 2 5 2 2" xfId="24346"/>
    <cellStyle name="Currency 5 2 2 2 5 2 2 2" xfId="24347"/>
    <cellStyle name="Currency 5 2 2 2 5 2 2 3" xfId="24348"/>
    <cellStyle name="Currency 5 2 2 2 5 2 3" xfId="24349"/>
    <cellStyle name="Currency 5 2 2 2 5 2 3 2" xfId="24350"/>
    <cellStyle name="Currency 5 2 2 2 5 2 3 3" xfId="24351"/>
    <cellStyle name="Currency 5 2 2 2 5 2 4" xfId="24352"/>
    <cellStyle name="Currency 5 2 2 2 5 2 5" xfId="24353"/>
    <cellStyle name="Currency 5 2 2 2 5 3" xfId="24354"/>
    <cellStyle name="Currency 5 2 2 2 5 3 2" xfId="24355"/>
    <cellStyle name="Currency 5 2 2 2 5 3 3" xfId="24356"/>
    <cellStyle name="Currency 5 2 2 2 5 4" xfId="24357"/>
    <cellStyle name="Currency 5 2 2 2 5 4 2" xfId="24358"/>
    <cellStyle name="Currency 5 2 2 2 5 4 3" xfId="24359"/>
    <cellStyle name="Currency 5 2 2 2 5 5" xfId="24360"/>
    <cellStyle name="Currency 5 2 2 2 5 6" xfId="24361"/>
    <cellStyle name="Currency 5 2 2 2 6" xfId="24362"/>
    <cellStyle name="Currency 5 2 2 2 6 2" xfId="24363"/>
    <cellStyle name="Currency 5 2 2 2 6 2 2" xfId="24364"/>
    <cellStyle name="Currency 5 2 2 2 6 2 3" xfId="24365"/>
    <cellStyle name="Currency 5 2 2 2 6 3" xfId="24366"/>
    <cellStyle name="Currency 5 2 2 2 6 3 2" xfId="24367"/>
    <cellStyle name="Currency 5 2 2 2 6 3 3" xfId="24368"/>
    <cellStyle name="Currency 5 2 2 2 6 4" xfId="24369"/>
    <cellStyle name="Currency 5 2 2 2 6 5" xfId="24370"/>
    <cellStyle name="Currency 5 2 2 2 7" xfId="24371"/>
    <cellStyle name="Currency 5 2 2 2 7 2" xfId="24372"/>
    <cellStyle name="Currency 5 2 2 2 7 3" xfId="24373"/>
    <cellStyle name="Currency 5 2 2 2 8" xfId="24374"/>
    <cellStyle name="Currency 5 2 2 2 8 2" xfId="24375"/>
    <cellStyle name="Currency 5 2 2 2 8 3" xfId="24376"/>
    <cellStyle name="Currency 5 2 2 2 9" xfId="24377"/>
    <cellStyle name="Currency 5 2 2 3" xfId="24378"/>
    <cellStyle name="Currency 5 2 2 3 10" xfId="24379"/>
    <cellStyle name="Currency 5 2 2 3 2" xfId="24380"/>
    <cellStyle name="Currency 5 2 2 3 2 2" xfId="24381"/>
    <cellStyle name="Currency 5 2 2 3 2 2 2" xfId="24382"/>
    <cellStyle name="Currency 5 2 2 3 2 2 2 2" xfId="24383"/>
    <cellStyle name="Currency 5 2 2 3 2 2 2 2 2" xfId="24384"/>
    <cellStyle name="Currency 5 2 2 3 2 2 2 2 2 2" xfId="24385"/>
    <cellStyle name="Currency 5 2 2 3 2 2 2 2 2 3" xfId="24386"/>
    <cellStyle name="Currency 5 2 2 3 2 2 2 2 3" xfId="24387"/>
    <cellStyle name="Currency 5 2 2 3 2 2 2 2 3 2" xfId="24388"/>
    <cellStyle name="Currency 5 2 2 3 2 2 2 2 3 3" xfId="24389"/>
    <cellStyle name="Currency 5 2 2 3 2 2 2 2 4" xfId="24390"/>
    <cellStyle name="Currency 5 2 2 3 2 2 2 2 5" xfId="24391"/>
    <cellStyle name="Currency 5 2 2 3 2 2 2 3" xfId="24392"/>
    <cellStyle name="Currency 5 2 2 3 2 2 2 3 2" xfId="24393"/>
    <cellStyle name="Currency 5 2 2 3 2 2 2 3 3" xfId="24394"/>
    <cellStyle name="Currency 5 2 2 3 2 2 2 4" xfId="24395"/>
    <cellStyle name="Currency 5 2 2 3 2 2 2 4 2" xfId="24396"/>
    <cellStyle name="Currency 5 2 2 3 2 2 2 4 3" xfId="24397"/>
    <cellStyle name="Currency 5 2 2 3 2 2 2 5" xfId="24398"/>
    <cellStyle name="Currency 5 2 2 3 2 2 2 6" xfId="24399"/>
    <cellStyle name="Currency 5 2 2 3 2 2 3" xfId="24400"/>
    <cellStyle name="Currency 5 2 2 3 2 2 3 2" xfId="24401"/>
    <cellStyle name="Currency 5 2 2 3 2 2 3 2 2" xfId="24402"/>
    <cellStyle name="Currency 5 2 2 3 2 2 3 2 2 2" xfId="24403"/>
    <cellStyle name="Currency 5 2 2 3 2 2 3 2 2 3" xfId="24404"/>
    <cellStyle name="Currency 5 2 2 3 2 2 3 2 3" xfId="24405"/>
    <cellStyle name="Currency 5 2 2 3 2 2 3 2 3 2" xfId="24406"/>
    <cellStyle name="Currency 5 2 2 3 2 2 3 2 3 3" xfId="24407"/>
    <cellStyle name="Currency 5 2 2 3 2 2 3 2 4" xfId="24408"/>
    <cellStyle name="Currency 5 2 2 3 2 2 3 2 5" xfId="24409"/>
    <cellStyle name="Currency 5 2 2 3 2 2 3 3" xfId="24410"/>
    <cellStyle name="Currency 5 2 2 3 2 2 3 3 2" xfId="24411"/>
    <cellStyle name="Currency 5 2 2 3 2 2 3 3 3" xfId="24412"/>
    <cellStyle name="Currency 5 2 2 3 2 2 3 4" xfId="24413"/>
    <cellStyle name="Currency 5 2 2 3 2 2 3 4 2" xfId="24414"/>
    <cellStyle name="Currency 5 2 2 3 2 2 3 4 3" xfId="24415"/>
    <cellStyle name="Currency 5 2 2 3 2 2 3 5" xfId="24416"/>
    <cellStyle name="Currency 5 2 2 3 2 2 3 6" xfId="24417"/>
    <cellStyle name="Currency 5 2 2 3 2 2 4" xfId="24418"/>
    <cellStyle name="Currency 5 2 2 3 2 2 4 2" xfId="24419"/>
    <cellStyle name="Currency 5 2 2 3 2 2 4 2 2" xfId="24420"/>
    <cellStyle name="Currency 5 2 2 3 2 2 4 2 3" xfId="24421"/>
    <cellStyle name="Currency 5 2 2 3 2 2 4 3" xfId="24422"/>
    <cellStyle name="Currency 5 2 2 3 2 2 4 3 2" xfId="24423"/>
    <cellStyle name="Currency 5 2 2 3 2 2 4 3 3" xfId="24424"/>
    <cellStyle name="Currency 5 2 2 3 2 2 4 4" xfId="24425"/>
    <cellStyle name="Currency 5 2 2 3 2 2 4 5" xfId="24426"/>
    <cellStyle name="Currency 5 2 2 3 2 2 5" xfId="24427"/>
    <cellStyle name="Currency 5 2 2 3 2 2 5 2" xfId="24428"/>
    <cellStyle name="Currency 5 2 2 3 2 2 5 3" xfId="24429"/>
    <cellStyle name="Currency 5 2 2 3 2 2 6" xfId="24430"/>
    <cellStyle name="Currency 5 2 2 3 2 2 6 2" xfId="24431"/>
    <cellStyle name="Currency 5 2 2 3 2 2 6 3" xfId="24432"/>
    <cellStyle name="Currency 5 2 2 3 2 2 7" xfId="24433"/>
    <cellStyle name="Currency 5 2 2 3 2 2 8" xfId="24434"/>
    <cellStyle name="Currency 5 2 2 3 2 3" xfId="24435"/>
    <cellStyle name="Currency 5 2 2 3 2 3 2" xfId="24436"/>
    <cellStyle name="Currency 5 2 2 3 2 3 2 2" xfId="24437"/>
    <cellStyle name="Currency 5 2 2 3 2 3 2 2 2" xfId="24438"/>
    <cellStyle name="Currency 5 2 2 3 2 3 2 2 3" xfId="24439"/>
    <cellStyle name="Currency 5 2 2 3 2 3 2 3" xfId="24440"/>
    <cellStyle name="Currency 5 2 2 3 2 3 2 3 2" xfId="24441"/>
    <cellStyle name="Currency 5 2 2 3 2 3 2 3 3" xfId="24442"/>
    <cellStyle name="Currency 5 2 2 3 2 3 2 4" xfId="24443"/>
    <cellStyle name="Currency 5 2 2 3 2 3 2 5" xfId="24444"/>
    <cellStyle name="Currency 5 2 2 3 2 3 3" xfId="24445"/>
    <cellStyle name="Currency 5 2 2 3 2 3 3 2" xfId="24446"/>
    <cellStyle name="Currency 5 2 2 3 2 3 3 3" xfId="24447"/>
    <cellStyle name="Currency 5 2 2 3 2 3 4" xfId="24448"/>
    <cellStyle name="Currency 5 2 2 3 2 3 4 2" xfId="24449"/>
    <cellStyle name="Currency 5 2 2 3 2 3 4 3" xfId="24450"/>
    <cellStyle name="Currency 5 2 2 3 2 3 5" xfId="24451"/>
    <cellStyle name="Currency 5 2 2 3 2 3 6" xfId="24452"/>
    <cellStyle name="Currency 5 2 2 3 2 4" xfId="24453"/>
    <cellStyle name="Currency 5 2 2 3 2 4 2" xfId="24454"/>
    <cellStyle name="Currency 5 2 2 3 2 4 2 2" xfId="24455"/>
    <cellStyle name="Currency 5 2 2 3 2 4 2 2 2" xfId="24456"/>
    <cellStyle name="Currency 5 2 2 3 2 4 2 2 3" xfId="24457"/>
    <cellStyle name="Currency 5 2 2 3 2 4 2 3" xfId="24458"/>
    <cellStyle name="Currency 5 2 2 3 2 4 2 3 2" xfId="24459"/>
    <cellStyle name="Currency 5 2 2 3 2 4 2 3 3" xfId="24460"/>
    <cellStyle name="Currency 5 2 2 3 2 4 2 4" xfId="24461"/>
    <cellStyle name="Currency 5 2 2 3 2 4 2 5" xfId="24462"/>
    <cellStyle name="Currency 5 2 2 3 2 4 3" xfId="24463"/>
    <cellStyle name="Currency 5 2 2 3 2 4 3 2" xfId="24464"/>
    <cellStyle name="Currency 5 2 2 3 2 4 3 3" xfId="24465"/>
    <cellStyle name="Currency 5 2 2 3 2 4 4" xfId="24466"/>
    <cellStyle name="Currency 5 2 2 3 2 4 4 2" xfId="24467"/>
    <cellStyle name="Currency 5 2 2 3 2 4 4 3" xfId="24468"/>
    <cellStyle name="Currency 5 2 2 3 2 4 5" xfId="24469"/>
    <cellStyle name="Currency 5 2 2 3 2 4 6" xfId="24470"/>
    <cellStyle name="Currency 5 2 2 3 2 5" xfId="24471"/>
    <cellStyle name="Currency 5 2 2 3 2 5 2" xfId="24472"/>
    <cellStyle name="Currency 5 2 2 3 2 5 2 2" xfId="24473"/>
    <cellStyle name="Currency 5 2 2 3 2 5 2 3" xfId="24474"/>
    <cellStyle name="Currency 5 2 2 3 2 5 3" xfId="24475"/>
    <cellStyle name="Currency 5 2 2 3 2 5 3 2" xfId="24476"/>
    <cellStyle name="Currency 5 2 2 3 2 5 3 3" xfId="24477"/>
    <cellStyle name="Currency 5 2 2 3 2 5 4" xfId="24478"/>
    <cellStyle name="Currency 5 2 2 3 2 5 5" xfId="24479"/>
    <cellStyle name="Currency 5 2 2 3 2 6" xfId="24480"/>
    <cellStyle name="Currency 5 2 2 3 2 6 2" xfId="24481"/>
    <cellStyle name="Currency 5 2 2 3 2 6 3" xfId="24482"/>
    <cellStyle name="Currency 5 2 2 3 2 7" xfId="24483"/>
    <cellStyle name="Currency 5 2 2 3 2 7 2" xfId="24484"/>
    <cellStyle name="Currency 5 2 2 3 2 7 3" xfId="24485"/>
    <cellStyle name="Currency 5 2 2 3 2 8" xfId="24486"/>
    <cellStyle name="Currency 5 2 2 3 2 9" xfId="24487"/>
    <cellStyle name="Currency 5 2 2 3 3" xfId="24488"/>
    <cellStyle name="Currency 5 2 2 3 3 2" xfId="24489"/>
    <cellStyle name="Currency 5 2 2 3 3 2 2" xfId="24490"/>
    <cellStyle name="Currency 5 2 2 3 3 2 2 2" xfId="24491"/>
    <cellStyle name="Currency 5 2 2 3 3 2 2 2 2" xfId="24492"/>
    <cellStyle name="Currency 5 2 2 3 3 2 2 2 3" xfId="24493"/>
    <cellStyle name="Currency 5 2 2 3 3 2 2 3" xfId="24494"/>
    <cellStyle name="Currency 5 2 2 3 3 2 2 3 2" xfId="24495"/>
    <cellStyle name="Currency 5 2 2 3 3 2 2 3 3" xfId="24496"/>
    <cellStyle name="Currency 5 2 2 3 3 2 2 4" xfId="24497"/>
    <cellStyle name="Currency 5 2 2 3 3 2 2 5" xfId="24498"/>
    <cellStyle name="Currency 5 2 2 3 3 2 3" xfId="24499"/>
    <cellStyle name="Currency 5 2 2 3 3 2 3 2" xfId="24500"/>
    <cellStyle name="Currency 5 2 2 3 3 2 3 3" xfId="24501"/>
    <cellStyle name="Currency 5 2 2 3 3 2 4" xfId="24502"/>
    <cellStyle name="Currency 5 2 2 3 3 2 4 2" xfId="24503"/>
    <cellStyle name="Currency 5 2 2 3 3 2 4 3" xfId="24504"/>
    <cellStyle name="Currency 5 2 2 3 3 2 5" xfId="24505"/>
    <cellStyle name="Currency 5 2 2 3 3 2 6" xfId="24506"/>
    <cellStyle name="Currency 5 2 2 3 3 3" xfId="24507"/>
    <cellStyle name="Currency 5 2 2 3 3 3 2" xfId="24508"/>
    <cellStyle name="Currency 5 2 2 3 3 3 2 2" xfId="24509"/>
    <cellStyle name="Currency 5 2 2 3 3 3 2 2 2" xfId="24510"/>
    <cellStyle name="Currency 5 2 2 3 3 3 2 2 3" xfId="24511"/>
    <cellStyle name="Currency 5 2 2 3 3 3 2 3" xfId="24512"/>
    <cellStyle name="Currency 5 2 2 3 3 3 2 3 2" xfId="24513"/>
    <cellStyle name="Currency 5 2 2 3 3 3 2 3 3" xfId="24514"/>
    <cellStyle name="Currency 5 2 2 3 3 3 2 4" xfId="24515"/>
    <cellStyle name="Currency 5 2 2 3 3 3 2 5" xfId="24516"/>
    <cellStyle name="Currency 5 2 2 3 3 3 3" xfId="24517"/>
    <cellStyle name="Currency 5 2 2 3 3 3 3 2" xfId="24518"/>
    <cellStyle name="Currency 5 2 2 3 3 3 3 3" xfId="24519"/>
    <cellStyle name="Currency 5 2 2 3 3 3 4" xfId="24520"/>
    <cellStyle name="Currency 5 2 2 3 3 3 4 2" xfId="24521"/>
    <cellStyle name="Currency 5 2 2 3 3 3 4 3" xfId="24522"/>
    <cellStyle name="Currency 5 2 2 3 3 3 5" xfId="24523"/>
    <cellStyle name="Currency 5 2 2 3 3 3 6" xfId="24524"/>
    <cellStyle name="Currency 5 2 2 3 3 4" xfId="24525"/>
    <cellStyle name="Currency 5 2 2 3 3 4 2" xfId="24526"/>
    <cellStyle name="Currency 5 2 2 3 3 4 2 2" xfId="24527"/>
    <cellStyle name="Currency 5 2 2 3 3 4 2 3" xfId="24528"/>
    <cellStyle name="Currency 5 2 2 3 3 4 3" xfId="24529"/>
    <cellStyle name="Currency 5 2 2 3 3 4 3 2" xfId="24530"/>
    <cellStyle name="Currency 5 2 2 3 3 4 3 3" xfId="24531"/>
    <cellStyle name="Currency 5 2 2 3 3 4 4" xfId="24532"/>
    <cellStyle name="Currency 5 2 2 3 3 4 5" xfId="24533"/>
    <cellStyle name="Currency 5 2 2 3 3 5" xfId="24534"/>
    <cellStyle name="Currency 5 2 2 3 3 5 2" xfId="24535"/>
    <cellStyle name="Currency 5 2 2 3 3 5 3" xfId="24536"/>
    <cellStyle name="Currency 5 2 2 3 3 6" xfId="24537"/>
    <cellStyle name="Currency 5 2 2 3 3 6 2" xfId="24538"/>
    <cellStyle name="Currency 5 2 2 3 3 6 3" xfId="24539"/>
    <cellStyle name="Currency 5 2 2 3 3 7" xfId="24540"/>
    <cellStyle name="Currency 5 2 2 3 3 8" xfId="24541"/>
    <cellStyle name="Currency 5 2 2 3 4" xfId="24542"/>
    <cellStyle name="Currency 5 2 2 3 4 2" xfId="24543"/>
    <cellStyle name="Currency 5 2 2 3 4 2 2" xfId="24544"/>
    <cellStyle name="Currency 5 2 2 3 4 2 2 2" xfId="24545"/>
    <cellStyle name="Currency 5 2 2 3 4 2 2 3" xfId="24546"/>
    <cellStyle name="Currency 5 2 2 3 4 2 3" xfId="24547"/>
    <cellStyle name="Currency 5 2 2 3 4 2 3 2" xfId="24548"/>
    <cellStyle name="Currency 5 2 2 3 4 2 3 3" xfId="24549"/>
    <cellStyle name="Currency 5 2 2 3 4 2 4" xfId="24550"/>
    <cellStyle name="Currency 5 2 2 3 4 2 5" xfId="24551"/>
    <cellStyle name="Currency 5 2 2 3 4 3" xfId="24552"/>
    <cellStyle name="Currency 5 2 2 3 4 3 2" xfId="24553"/>
    <cellStyle name="Currency 5 2 2 3 4 3 3" xfId="24554"/>
    <cellStyle name="Currency 5 2 2 3 4 4" xfId="24555"/>
    <cellStyle name="Currency 5 2 2 3 4 4 2" xfId="24556"/>
    <cellStyle name="Currency 5 2 2 3 4 4 3" xfId="24557"/>
    <cellStyle name="Currency 5 2 2 3 4 5" xfId="24558"/>
    <cellStyle name="Currency 5 2 2 3 4 6" xfId="24559"/>
    <cellStyle name="Currency 5 2 2 3 5" xfId="24560"/>
    <cellStyle name="Currency 5 2 2 3 5 2" xfId="24561"/>
    <cellStyle name="Currency 5 2 2 3 5 2 2" xfId="24562"/>
    <cellStyle name="Currency 5 2 2 3 5 2 2 2" xfId="24563"/>
    <cellStyle name="Currency 5 2 2 3 5 2 2 3" xfId="24564"/>
    <cellStyle name="Currency 5 2 2 3 5 2 3" xfId="24565"/>
    <cellStyle name="Currency 5 2 2 3 5 2 3 2" xfId="24566"/>
    <cellStyle name="Currency 5 2 2 3 5 2 3 3" xfId="24567"/>
    <cellStyle name="Currency 5 2 2 3 5 2 4" xfId="24568"/>
    <cellStyle name="Currency 5 2 2 3 5 2 5" xfId="24569"/>
    <cellStyle name="Currency 5 2 2 3 5 3" xfId="24570"/>
    <cellStyle name="Currency 5 2 2 3 5 3 2" xfId="24571"/>
    <cellStyle name="Currency 5 2 2 3 5 3 3" xfId="24572"/>
    <cellStyle name="Currency 5 2 2 3 5 4" xfId="24573"/>
    <cellStyle name="Currency 5 2 2 3 5 4 2" xfId="24574"/>
    <cellStyle name="Currency 5 2 2 3 5 4 3" xfId="24575"/>
    <cellStyle name="Currency 5 2 2 3 5 5" xfId="24576"/>
    <cellStyle name="Currency 5 2 2 3 5 6" xfId="24577"/>
    <cellStyle name="Currency 5 2 2 3 6" xfId="24578"/>
    <cellStyle name="Currency 5 2 2 3 6 2" xfId="24579"/>
    <cellStyle name="Currency 5 2 2 3 6 2 2" xfId="24580"/>
    <cellStyle name="Currency 5 2 2 3 6 2 3" xfId="24581"/>
    <cellStyle name="Currency 5 2 2 3 6 3" xfId="24582"/>
    <cellStyle name="Currency 5 2 2 3 6 3 2" xfId="24583"/>
    <cellStyle name="Currency 5 2 2 3 6 3 3" xfId="24584"/>
    <cellStyle name="Currency 5 2 2 3 6 4" xfId="24585"/>
    <cellStyle name="Currency 5 2 2 3 6 5" xfId="24586"/>
    <cellStyle name="Currency 5 2 2 3 7" xfId="24587"/>
    <cellStyle name="Currency 5 2 2 3 7 2" xfId="24588"/>
    <cellStyle name="Currency 5 2 2 3 7 3" xfId="24589"/>
    <cellStyle name="Currency 5 2 2 3 8" xfId="24590"/>
    <cellStyle name="Currency 5 2 2 3 8 2" xfId="24591"/>
    <cellStyle name="Currency 5 2 2 3 8 3" xfId="24592"/>
    <cellStyle name="Currency 5 2 2 3 9" xfId="24593"/>
    <cellStyle name="Currency 5 2 2 4" xfId="24594"/>
    <cellStyle name="Currency 5 2 2 4 2" xfId="24595"/>
    <cellStyle name="Currency 5 2 2 4 2 2" xfId="24596"/>
    <cellStyle name="Currency 5 2 2 4 2 2 2" xfId="24597"/>
    <cellStyle name="Currency 5 2 2 4 2 2 2 2" xfId="24598"/>
    <cellStyle name="Currency 5 2 2 4 2 2 2 2 2" xfId="24599"/>
    <cellStyle name="Currency 5 2 2 4 2 2 2 2 3" xfId="24600"/>
    <cellStyle name="Currency 5 2 2 4 2 2 2 3" xfId="24601"/>
    <cellStyle name="Currency 5 2 2 4 2 2 2 3 2" xfId="24602"/>
    <cellStyle name="Currency 5 2 2 4 2 2 2 3 3" xfId="24603"/>
    <cellStyle name="Currency 5 2 2 4 2 2 2 4" xfId="24604"/>
    <cellStyle name="Currency 5 2 2 4 2 2 2 5" xfId="24605"/>
    <cellStyle name="Currency 5 2 2 4 2 2 3" xfId="24606"/>
    <cellStyle name="Currency 5 2 2 4 2 2 3 2" xfId="24607"/>
    <cellStyle name="Currency 5 2 2 4 2 2 3 3" xfId="24608"/>
    <cellStyle name="Currency 5 2 2 4 2 2 4" xfId="24609"/>
    <cellStyle name="Currency 5 2 2 4 2 2 4 2" xfId="24610"/>
    <cellStyle name="Currency 5 2 2 4 2 2 4 3" xfId="24611"/>
    <cellStyle name="Currency 5 2 2 4 2 2 5" xfId="24612"/>
    <cellStyle name="Currency 5 2 2 4 2 2 6" xfId="24613"/>
    <cellStyle name="Currency 5 2 2 4 2 3" xfId="24614"/>
    <cellStyle name="Currency 5 2 2 4 2 3 2" xfId="24615"/>
    <cellStyle name="Currency 5 2 2 4 2 3 2 2" xfId="24616"/>
    <cellStyle name="Currency 5 2 2 4 2 3 2 2 2" xfId="24617"/>
    <cellStyle name="Currency 5 2 2 4 2 3 2 2 3" xfId="24618"/>
    <cellStyle name="Currency 5 2 2 4 2 3 2 3" xfId="24619"/>
    <cellStyle name="Currency 5 2 2 4 2 3 2 3 2" xfId="24620"/>
    <cellStyle name="Currency 5 2 2 4 2 3 2 3 3" xfId="24621"/>
    <cellStyle name="Currency 5 2 2 4 2 3 2 4" xfId="24622"/>
    <cellStyle name="Currency 5 2 2 4 2 3 2 5" xfId="24623"/>
    <cellStyle name="Currency 5 2 2 4 2 3 3" xfId="24624"/>
    <cellStyle name="Currency 5 2 2 4 2 3 3 2" xfId="24625"/>
    <cellStyle name="Currency 5 2 2 4 2 3 3 3" xfId="24626"/>
    <cellStyle name="Currency 5 2 2 4 2 3 4" xfId="24627"/>
    <cellStyle name="Currency 5 2 2 4 2 3 4 2" xfId="24628"/>
    <cellStyle name="Currency 5 2 2 4 2 3 4 3" xfId="24629"/>
    <cellStyle name="Currency 5 2 2 4 2 3 5" xfId="24630"/>
    <cellStyle name="Currency 5 2 2 4 2 3 6" xfId="24631"/>
    <cellStyle name="Currency 5 2 2 4 2 4" xfId="24632"/>
    <cellStyle name="Currency 5 2 2 4 2 4 2" xfId="24633"/>
    <cellStyle name="Currency 5 2 2 4 2 4 2 2" xfId="24634"/>
    <cellStyle name="Currency 5 2 2 4 2 4 2 3" xfId="24635"/>
    <cellStyle name="Currency 5 2 2 4 2 4 3" xfId="24636"/>
    <cellStyle name="Currency 5 2 2 4 2 4 3 2" xfId="24637"/>
    <cellStyle name="Currency 5 2 2 4 2 4 3 3" xfId="24638"/>
    <cellStyle name="Currency 5 2 2 4 2 4 4" xfId="24639"/>
    <cellStyle name="Currency 5 2 2 4 2 4 5" xfId="24640"/>
    <cellStyle name="Currency 5 2 2 4 2 5" xfId="24641"/>
    <cellStyle name="Currency 5 2 2 4 2 5 2" xfId="24642"/>
    <cellStyle name="Currency 5 2 2 4 2 5 3" xfId="24643"/>
    <cellStyle name="Currency 5 2 2 4 2 6" xfId="24644"/>
    <cellStyle name="Currency 5 2 2 4 2 6 2" xfId="24645"/>
    <cellStyle name="Currency 5 2 2 4 2 6 3" xfId="24646"/>
    <cellStyle name="Currency 5 2 2 4 2 7" xfId="24647"/>
    <cellStyle name="Currency 5 2 2 4 2 8" xfId="24648"/>
    <cellStyle name="Currency 5 2 2 4 3" xfId="24649"/>
    <cellStyle name="Currency 5 2 2 4 3 2" xfId="24650"/>
    <cellStyle name="Currency 5 2 2 4 3 2 2" xfId="24651"/>
    <cellStyle name="Currency 5 2 2 4 3 2 2 2" xfId="24652"/>
    <cellStyle name="Currency 5 2 2 4 3 2 2 3" xfId="24653"/>
    <cellStyle name="Currency 5 2 2 4 3 2 3" xfId="24654"/>
    <cellStyle name="Currency 5 2 2 4 3 2 3 2" xfId="24655"/>
    <cellStyle name="Currency 5 2 2 4 3 2 3 3" xfId="24656"/>
    <cellStyle name="Currency 5 2 2 4 3 2 4" xfId="24657"/>
    <cellStyle name="Currency 5 2 2 4 3 2 5" xfId="24658"/>
    <cellStyle name="Currency 5 2 2 4 3 3" xfId="24659"/>
    <cellStyle name="Currency 5 2 2 4 3 3 2" xfId="24660"/>
    <cellStyle name="Currency 5 2 2 4 3 3 3" xfId="24661"/>
    <cellStyle name="Currency 5 2 2 4 3 4" xfId="24662"/>
    <cellStyle name="Currency 5 2 2 4 3 4 2" xfId="24663"/>
    <cellStyle name="Currency 5 2 2 4 3 4 3" xfId="24664"/>
    <cellStyle name="Currency 5 2 2 4 3 5" xfId="24665"/>
    <cellStyle name="Currency 5 2 2 4 3 6" xfId="24666"/>
    <cellStyle name="Currency 5 2 2 4 4" xfId="24667"/>
    <cellStyle name="Currency 5 2 2 4 4 2" xfId="24668"/>
    <cellStyle name="Currency 5 2 2 4 4 2 2" xfId="24669"/>
    <cellStyle name="Currency 5 2 2 4 4 2 2 2" xfId="24670"/>
    <cellStyle name="Currency 5 2 2 4 4 2 2 3" xfId="24671"/>
    <cellStyle name="Currency 5 2 2 4 4 2 3" xfId="24672"/>
    <cellStyle name="Currency 5 2 2 4 4 2 3 2" xfId="24673"/>
    <cellStyle name="Currency 5 2 2 4 4 2 3 3" xfId="24674"/>
    <cellStyle name="Currency 5 2 2 4 4 2 4" xfId="24675"/>
    <cellStyle name="Currency 5 2 2 4 4 2 5" xfId="24676"/>
    <cellStyle name="Currency 5 2 2 4 4 3" xfId="24677"/>
    <cellStyle name="Currency 5 2 2 4 4 3 2" xfId="24678"/>
    <cellStyle name="Currency 5 2 2 4 4 3 3" xfId="24679"/>
    <cellStyle name="Currency 5 2 2 4 4 4" xfId="24680"/>
    <cellStyle name="Currency 5 2 2 4 4 4 2" xfId="24681"/>
    <cellStyle name="Currency 5 2 2 4 4 4 3" xfId="24682"/>
    <cellStyle name="Currency 5 2 2 4 4 5" xfId="24683"/>
    <cellStyle name="Currency 5 2 2 4 4 6" xfId="24684"/>
    <cellStyle name="Currency 5 2 2 4 5" xfId="24685"/>
    <cellStyle name="Currency 5 2 2 4 5 2" xfId="24686"/>
    <cellStyle name="Currency 5 2 2 4 5 2 2" xfId="24687"/>
    <cellStyle name="Currency 5 2 2 4 5 2 3" xfId="24688"/>
    <cellStyle name="Currency 5 2 2 4 5 3" xfId="24689"/>
    <cellStyle name="Currency 5 2 2 4 5 3 2" xfId="24690"/>
    <cellStyle name="Currency 5 2 2 4 5 3 3" xfId="24691"/>
    <cellStyle name="Currency 5 2 2 4 5 4" xfId="24692"/>
    <cellStyle name="Currency 5 2 2 4 5 5" xfId="24693"/>
    <cellStyle name="Currency 5 2 2 4 6" xfId="24694"/>
    <cellStyle name="Currency 5 2 2 4 6 2" xfId="24695"/>
    <cellStyle name="Currency 5 2 2 4 6 3" xfId="24696"/>
    <cellStyle name="Currency 5 2 2 4 7" xfId="24697"/>
    <cellStyle name="Currency 5 2 2 4 7 2" xfId="24698"/>
    <cellStyle name="Currency 5 2 2 4 7 3" xfId="24699"/>
    <cellStyle name="Currency 5 2 2 4 8" xfId="24700"/>
    <cellStyle name="Currency 5 2 2 4 9" xfId="24701"/>
    <cellStyle name="Currency 5 2 2 5" xfId="24702"/>
    <cellStyle name="Currency 5 2 2 5 2" xfId="24703"/>
    <cellStyle name="Currency 5 2 2 5 2 2" xfId="24704"/>
    <cellStyle name="Currency 5 2 2 5 2 2 2" xfId="24705"/>
    <cellStyle name="Currency 5 2 2 5 2 2 2 2" xfId="24706"/>
    <cellStyle name="Currency 5 2 2 5 2 2 2 3" xfId="24707"/>
    <cellStyle name="Currency 5 2 2 5 2 2 3" xfId="24708"/>
    <cellStyle name="Currency 5 2 2 5 2 2 3 2" xfId="24709"/>
    <cellStyle name="Currency 5 2 2 5 2 2 3 3" xfId="24710"/>
    <cellStyle name="Currency 5 2 2 5 2 2 4" xfId="24711"/>
    <cellStyle name="Currency 5 2 2 5 2 2 5" xfId="24712"/>
    <cellStyle name="Currency 5 2 2 5 2 3" xfId="24713"/>
    <cellStyle name="Currency 5 2 2 5 2 3 2" xfId="24714"/>
    <cellStyle name="Currency 5 2 2 5 2 3 3" xfId="24715"/>
    <cellStyle name="Currency 5 2 2 5 2 4" xfId="24716"/>
    <cellStyle name="Currency 5 2 2 5 2 4 2" xfId="24717"/>
    <cellStyle name="Currency 5 2 2 5 2 4 3" xfId="24718"/>
    <cellStyle name="Currency 5 2 2 5 2 5" xfId="24719"/>
    <cellStyle name="Currency 5 2 2 5 2 6" xfId="24720"/>
    <cellStyle name="Currency 5 2 2 5 3" xfId="24721"/>
    <cellStyle name="Currency 5 2 2 5 3 2" xfId="24722"/>
    <cellStyle name="Currency 5 2 2 5 3 2 2" xfId="24723"/>
    <cellStyle name="Currency 5 2 2 5 3 2 2 2" xfId="24724"/>
    <cellStyle name="Currency 5 2 2 5 3 2 2 3" xfId="24725"/>
    <cellStyle name="Currency 5 2 2 5 3 2 3" xfId="24726"/>
    <cellStyle name="Currency 5 2 2 5 3 2 3 2" xfId="24727"/>
    <cellStyle name="Currency 5 2 2 5 3 2 3 3" xfId="24728"/>
    <cellStyle name="Currency 5 2 2 5 3 2 4" xfId="24729"/>
    <cellStyle name="Currency 5 2 2 5 3 2 5" xfId="24730"/>
    <cellStyle name="Currency 5 2 2 5 3 3" xfId="24731"/>
    <cellStyle name="Currency 5 2 2 5 3 3 2" xfId="24732"/>
    <cellStyle name="Currency 5 2 2 5 3 3 3" xfId="24733"/>
    <cellStyle name="Currency 5 2 2 5 3 4" xfId="24734"/>
    <cellStyle name="Currency 5 2 2 5 3 4 2" xfId="24735"/>
    <cellStyle name="Currency 5 2 2 5 3 4 3" xfId="24736"/>
    <cellStyle name="Currency 5 2 2 5 3 5" xfId="24737"/>
    <cellStyle name="Currency 5 2 2 5 3 6" xfId="24738"/>
    <cellStyle name="Currency 5 2 2 5 4" xfId="24739"/>
    <cellStyle name="Currency 5 2 2 5 4 2" xfId="24740"/>
    <cellStyle name="Currency 5 2 2 5 4 2 2" xfId="24741"/>
    <cellStyle name="Currency 5 2 2 5 4 2 3" xfId="24742"/>
    <cellStyle name="Currency 5 2 2 5 4 3" xfId="24743"/>
    <cellStyle name="Currency 5 2 2 5 4 3 2" xfId="24744"/>
    <cellStyle name="Currency 5 2 2 5 4 3 3" xfId="24745"/>
    <cellStyle name="Currency 5 2 2 5 4 4" xfId="24746"/>
    <cellStyle name="Currency 5 2 2 5 4 5" xfId="24747"/>
    <cellStyle name="Currency 5 2 2 5 5" xfId="24748"/>
    <cellStyle name="Currency 5 2 2 5 5 2" xfId="24749"/>
    <cellStyle name="Currency 5 2 2 5 5 3" xfId="24750"/>
    <cellStyle name="Currency 5 2 2 5 6" xfId="24751"/>
    <cellStyle name="Currency 5 2 2 5 6 2" xfId="24752"/>
    <cellStyle name="Currency 5 2 2 5 6 3" xfId="24753"/>
    <cellStyle name="Currency 5 2 2 5 7" xfId="24754"/>
    <cellStyle name="Currency 5 2 2 5 8" xfId="24755"/>
    <cellStyle name="Currency 5 2 2 6" xfId="24756"/>
    <cellStyle name="Currency 5 2 2 6 2" xfId="24757"/>
    <cellStyle name="Currency 5 2 2 6 2 2" xfId="24758"/>
    <cellStyle name="Currency 5 2 2 6 2 2 2" xfId="24759"/>
    <cellStyle name="Currency 5 2 2 6 2 2 3" xfId="24760"/>
    <cellStyle name="Currency 5 2 2 6 2 3" xfId="24761"/>
    <cellStyle name="Currency 5 2 2 6 2 3 2" xfId="24762"/>
    <cellStyle name="Currency 5 2 2 6 2 3 3" xfId="24763"/>
    <cellStyle name="Currency 5 2 2 6 2 4" xfId="24764"/>
    <cellStyle name="Currency 5 2 2 6 2 5" xfId="24765"/>
    <cellStyle name="Currency 5 2 2 6 3" xfId="24766"/>
    <cellStyle name="Currency 5 2 2 6 3 2" xfId="24767"/>
    <cellStyle name="Currency 5 2 2 6 3 3" xfId="24768"/>
    <cellStyle name="Currency 5 2 2 6 4" xfId="24769"/>
    <cellStyle name="Currency 5 2 2 6 4 2" xfId="24770"/>
    <cellStyle name="Currency 5 2 2 6 4 3" xfId="24771"/>
    <cellStyle name="Currency 5 2 2 6 5" xfId="24772"/>
    <cellStyle name="Currency 5 2 2 6 6" xfId="24773"/>
    <cellStyle name="Currency 5 2 2 7" xfId="24774"/>
    <cellStyle name="Currency 5 2 2 7 2" xfId="24775"/>
    <cellStyle name="Currency 5 2 2 7 2 2" xfId="24776"/>
    <cellStyle name="Currency 5 2 2 7 2 2 2" xfId="24777"/>
    <cellStyle name="Currency 5 2 2 7 2 2 3" xfId="24778"/>
    <cellStyle name="Currency 5 2 2 7 2 3" xfId="24779"/>
    <cellStyle name="Currency 5 2 2 7 2 3 2" xfId="24780"/>
    <cellStyle name="Currency 5 2 2 7 2 3 3" xfId="24781"/>
    <cellStyle name="Currency 5 2 2 7 2 4" xfId="24782"/>
    <cellStyle name="Currency 5 2 2 7 2 5" xfId="24783"/>
    <cellStyle name="Currency 5 2 2 7 3" xfId="24784"/>
    <cellStyle name="Currency 5 2 2 7 3 2" xfId="24785"/>
    <cellStyle name="Currency 5 2 2 7 3 3" xfId="24786"/>
    <cellStyle name="Currency 5 2 2 7 4" xfId="24787"/>
    <cellStyle name="Currency 5 2 2 7 4 2" xfId="24788"/>
    <cellStyle name="Currency 5 2 2 7 4 3" xfId="24789"/>
    <cellStyle name="Currency 5 2 2 7 5" xfId="24790"/>
    <cellStyle name="Currency 5 2 2 7 6" xfId="24791"/>
    <cellStyle name="Currency 5 2 2 8" xfId="24792"/>
    <cellStyle name="Currency 5 2 2 8 2" xfId="24793"/>
    <cellStyle name="Currency 5 2 2 8 2 2" xfId="24794"/>
    <cellStyle name="Currency 5 2 2 8 2 3" xfId="24795"/>
    <cellStyle name="Currency 5 2 2 8 3" xfId="24796"/>
    <cellStyle name="Currency 5 2 2 8 3 2" xfId="24797"/>
    <cellStyle name="Currency 5 2 2 8 3 3" xfId="24798"/>
    <cellStyle name="Currency 5 2 2 8 4" xfId="24799"/>
    <cellStyle name="Currency 5 2 2 8 5" xfId="24800"/>
    <cellStyle name="Currency 5 2 2 9" xfId="24801"/>
    <cellStyle name="Currency 5 2 2 9 2" xfId="24802"/>
    <cellStyle name="Currency 5 2 2 9 3" xfId="24803"/>
    <cellStyle name="Currency 5 2 3" xfId="24804"/>
    <cellStyle name="Currency 5 2 3 10" xfId="24805"/>
    <cellStyle name="Currency 5 2 3 2" xfId="24806"/>
    <cellStyle name="Currency 5 2 3 2 2" xfId="24807"/>
    <cellStyle name="Currency 5 2 3 2 2 2" xfId="24808"/>
    <cellStyle name="Currency 5 2 3 2 2 2 2" xfId="24809"/>
    <cellStyle name="Currency 5 2 3 2 2 2 2 2" xfId="24810"/>
    <cellStyle name="Currency 5 2 3 2 2 2 2 2 2" xfId="24811"/>
    <cellStyle name="Currency 5 2 3 2 2 2 2 2 3" xfId="24812"/>
    <cellStyle name="Currency 5 2 3 2 2 2 2 3" xfId="24813"/>
    <cellStyle name="Currency 5 2 3 2 2 2 2 3 2" xfId="24814"/>
    <cellStyle name="Currency 5 2 3 2 2 2 2 3 3" xfId="24815"/>
    <cellStyle name="Currency 5 2 3 2 2 2 2 4" xfId="24816"/>
    <cellStyle name="Currency 5 2 3 2 2 2 2 5" xfId="24817"/>
    <cellStyle name="Currency 5 2 3 2 2 2 3" xfId="24818"/>
    <cellStyle name="Currency 5 2 3 2 2 2 3 2" xfId="24819"/>
    <cellStyle name="Currency 5 2 3 2 2 2 3 3" xfId="24820"/>
    <cellStyle name="Currency 5 2 3 2 2 2 4" xfId="24821"/>
    <cellStyle name="Currency 5 2 3 2 2 2 4 2" xfId="24822"/>
    <cellStyle name="Currency 5 2 3 2 2 2 4 3" xfId="24823"/>
    <cellStyle name="Currency 5 2 3 2 2 2 5" xfId="24824"/>
    <cellStyle name="Currency 5 2 3 2 2 2 6" xfId="24825"/>
    <cellStyle name="Currency 5 2 3 2 2 3" xfId="24826"/>
    <cellStyle name="Currency 5 2 3 2 2 3 2" xfId="24827"/>
    <cellStyle name="Currency 5 2 3 2 2 3 2 2" xfId="24828"/>
    <cellStyle name="Currency 5 2 3 2 2 3 2 2 2" xfId="24829"/>
    <cellStyle name="Currency 5 2 3 2 2 3 2 2 3" xfId="24830"/>
    <cellStyle name="Currency 5 2 3 2 2 3 2 3" xfId="24831"/>
    <cellStyle name="Currency 5 2 3 2 2 3 2 3 2" xfId="24832"/>
    <cellStyle name="Currency 5 2 3 2 2 3 2 3 3" xfId="24833"/>
    <cellStyle name="Currency 5 2 3 2 2 3 2 4" xfId="24834"/>
    <cellStyle name="Currency 5 2 3 2 2 3 2 5" xfId="24835"/>
    <cellStyle name="Currency 5 2 3 2 2 3 3" xfId="24836"/>
    <cellStyle name="Currency 5 2 3 2 2 3 3 2" xfId="24837"/>
    <cellStyle name="Currency 5 2 3 2 2 3 3 3" xfId="24838"/>
    <cellStyle name="Currency 5 2 3 2 2 3 4" xfId="24839"/>
    <cellStyle name="Currency 5 2 3 2 2 3 4 2" xfId="24840"/>
    <cellStyle name="Currency 5 2 3 2 2 3 4 3" xfId="24841"/>
    <cellStyle name="Currency 5 2 3 2 2 3 5" xfId="24842"/>
    <cellStyle name="Currency 5 2 3 2 2 3 6" xfId="24843"/>
    <cellStyle name="Currency 5 2 3 2 2 4" xfId="24844"/>
    <cellStyle name="Currency 5 2 3 2 2 4 2" xfId="24845"/>
    <cellStyle name="Currency 5 2 3 2 2 4 2 2" xfId="24846"/>
    <cellStyle name="Currency 5 2 3 2 2 4 2 3" xfId="24847"/>
    <cellStyle name="Currency 5 2 3 2 2 4 3" xfId="24848"/>
    <cellStyle name="Currency 5 2 3 2 2 4 3 2" xfId="24849"/>
    <cellStyle name="Currency 5 2 3 2 2 4 3 3" xfId="24850"/>
    <cellStyle name="Currency 5 2 3 2 2 4 4" xfId="24851"/>
    <cellStyle name="Currency 5 2 3 2 2 4 5" xfId="24852"/>
    <cellStyle name="Currency 5 2 3 2 2 5" xfId="24853"/>
    <cellStyle name="Currency 5 2 3 2 2 5 2" xfId="24854"/>
    <cellStyle name="Currency 5 2 3 2 2 5 3" xfId="24855"/>
    <cellStyle name="Currency 5 2 3 2 2 6" xfId="24856"/>
    <cellStyle name="Currency 5 2 3 2 2 6 2" xfId="24857"/>
    <cellStyle name="Currency 5 2 3 2 2 6 3" xfId="24858"/>
    <cellStyle name="Currency 5 2 3 2 2 7" xfId="24859"/>
    <cellStyle name="Currency 5 2 3 2 2 8" xfId="24860"/>
    <cellStyle name="Currency 5 2 3 2 3" xfId="24861"/>
    <cellStyle name="Currency 5 2 3 2 3 2" xfId="24862"/>
    <cellStyle name="Currency 5 2 3 2 3 2 2" xfId="24863"/>
    <cellStyle name="Currency 5 2 3 2 3 2 2 2" xfId="24864"/>
    <cellStyle name="Currency 5 2 3 2 3 2 2 3" xfId="24865"/>
    <cellStyle name="Currency 5 2 3 2 3 2 3" xfId="24866"/>
    <cellStyle name="Currency 5 2 3 2 3 2 3 2" xfId="24867"/>
    <cellStyle name="Currency 5 2 3 2 3 2 3 3" xfId="24868"/>
    <cellStyle name="Currency 5 2 3 2 3 2 4" xfId="24869"/>
    <cellStyle name="Currency 5 2 3 2 3 2 5" xfId="24870"/>
    <cellStyle name="Currency 5 2 3 2 3 3" xfId="24871"/>
    <cellStyle name="Currency 5 2 3 2 3 3 2" xfId="24872"/>
    <cellStyle name="Currency 5 2 3 2 3 3 3" xfId="24873"/>
    <cellStyle name="Currency 5 2 3 2 3 4" xfId="24874"/>
    <cellStyle name="Currency 5 2 3 2 3 4 2" xfId="24875"/>
    <cellStyle name="Currency 5 2 3 2 3 4 3" xfId="24876"/>
    <cellStyle name="Currency 5 2 3 2 3 5" xfId="24877"/>
    <cellStyle name="Currency 5 2 3 2 3 6" xfId="24878"/>
    <cellStyle name="Currency 5 2 3 2 4" xfId="24879"/>
    <cellStyle name="Currency 5 2 3 2 4 2" xfId="24880"/>
    <cellStyle name="Currency 5 2 3 2 4 2 2" xfId="24881"/>
    <cellStyle name="Currency 5 2 3 2 4 2 2 2" xfId="24882"/>
    <cellStyle name="Currency 5 2 3 2 4 2 2 3" xfId="24883"/>
    <cellStyle name="Currency 5 2 3 2 4 2 3" xfId="24884"/>
    <cellStyle name="Currency 5 2 3 2 4 2 3 2" xfId="24885"/>
    <cellStyle name="Currency 5 2 3 2 4 2 3 3" xfId="24886"/>
    <cellStyle name="Currency 5 2 3 2 4 2 4" xfId="24887"/>
    <cellStyle name="Currency 5 2 3 2 4 2 5" xfId="24888"/>
    <cellStyle name="Currency 5 2 3 2 4 3" xfId="24889"/>
    <cellStyle name="Currency 5 2 3 2 4 3 2" xfId="24890"/>
    <cellStyle name="Currency 5 2 3 2 4 3 3" xfId="24891"/>
    <cellStyle name="Currency 5 2 3 2 4 4" xfId="24892"/>
    <cellStyle name="Currency 5 2 3 2 4 4 2" xfId="24893"/>
    <cellStyle name="Currency 5 2 3 2 4 4 3" xfId="24894"/>
    <cellStyle name="Currency 5 2 3 2 4 5" xfId="24895"/>
    <cellStyle name="Currency 5 2 3 2 4 6" xfId="24896"/>
    <cellStyle name="Currency 5 2 3 2 5" xfId="24897"/>
    <cellStyle name="Currency 5 2 3 2 5 2" xfId="24898"/>
    <cellStyle name="Currency 5 2 3 2 5 2 2" xfId="24899"/>
    <cellStyle name="Currency 5 2 3 2 5 2 3" xfId="24900"/>
    <cellStyle name="Currency 5 2 3 2 5 3" xfId="24901"/>
    <cellStyle name="Currency 5 2 3 2 5 3 2" xfId="24902"/>
    <cellStyle name="Currency 5 2 3 2 5 3 3" xfId="24903"/>
    <cellStyle name="Currency 5 2 3 2 5 4" xfId="24904"/>
    <cellStyle name="Currency 5 2 3 2 5 5" xfId="24905"/>
    <cellStyle name="Currency 5 2 3 2 6" xfId="24906"/>
    <cellStyle name="Currency 5 2 3 2 6 2" xfId="24907"/>
    <cellStyle name="Currency 5 2 3 2 6 3" xfId="24908"/>
    <cellStyle name="Currency 5 2 3 2 7" xfId="24909"/>
    <cellStyle name="Currency 5 2 3 2 7 2" xfId="24910"/>
    <cellStyle name="Currency 5 2 3 2 7 3" xfId="24911"/>
    <cellStyle name="Currency 5 2 3 2 8" xfId="24912"/>
    <cellStyle name="Currency 5 2 3 2 9" xfId="24913"/>
    <cellStyle name="Currency 5 2 3 3" xfId="24914"/>
    <cellStyle name="Currency 5 2 3 3 2" xfId="24915"/>
    <cellStyle name="Currency 5 2 3 3 2 2" xfId="24916"/>
    <cellStyle name="Currency 5 2 3 3 2 2 2" xfId="24917"/>
    <cellStyle name="Currency 5 2 3 3 2 2 2 2" xfId="24918"/>
    <cellStyle name="Currency 5 2 3 3 2 2 2 3" xfId="24919"/>
    <cellStyle name="Currency 5 2 3 3 2 2 3" xfId="24920"/>
    <cellStyle name="Currency 5 2 3 3 2 2 3 2" xfId="24921"/>
    <cellStyle name="Currency 5 2 3 3 2 2 3 3" xfId="24922"/>
    <cellStyle name="Currency 5 2 3 3 2 2 4" xfId="24923"/>
    <cellStyle name="Currency 5 2 3 3 2 2 5" xfId="24924"/>
    <cellStyle name="Currency 5 2 3 3 2 3" xfId="24925"/>
    <cellStyle name="Currency 5 2 3 3 2 3 2" xfId="24926"/>
    <cellStyle name="Currency 5 2 3 3 2 3 3" xfId="24927"/>
    <cellStyle name="Currency 5 2 3 3 2 4" xfId="24928"/>
    <cellStyle name="Currency 5 2 3 3 2 4 2" xfId="24929"/>
    <cellStyle name="Currency 5 2 3 3 2 4 3" xfId="24930"/>
    <cellStyle name="Currency 5 2 3 3 2 5" xfId="24931"/>
    <cellStyle name="Currency 5 2 3 3 2 6" xfId="24932"/>
    <cellStyle name="Currency 5 2 3 3 3" xfId="24933"/>
    <cellStyle name="Currency 5 2 3 3 3 2" xfId="24934"/>
    <cellStyle name="Currency 5 2 3 3 3 2 2" xfId="24935"/>
    <cellStyle name="Currency 5 2 3 3 3 2 2 2" xfId="24936"/>
    <cellStyle name="Currency 5 2 3 3 3 2 2 3" xfId="24937"/>
    <cellStyle name="Currency 5 2 3 3 3 2 3" xfId="24938"/>
    <cellStyle name="Currency 5 2 3 3 3 2 3 2" xfId="24939"/>
    <cellStyle name="Currency 5 2 3 3 3 2 3 3" xfId="24940"/>
    <cellStyle name="Currency 5 2 3 3 3 2 4" xfId="24941"/>
    <cellStyle name="Currency 5 2 3 3 3 2 5" xfId="24942"/>
    <cellStyle name="Currency 5 2 3 3 3 3" xfId="24943"/>
    <cellStyle name="Currency 5 2 3 3 3 3 2" xfId="24944"/>
    <cellStyle name="Currency 5 2 3 3 3 3 3" xfId="24945"/>
    <cellStyle name="Currency 5 2 3 3 3 4" xfId="24946"/>
    <cellStyle name="Currency 5 2 3 3 3 4 2" xfId="24947"/>
    <cellStyle name="Currency 5 2 3 3 3 4 3" xfId="24948"/>
    <cellStyle name="Currency 5 2 3 3 3 5" xfId="24949"/>
    <cellStyle name="Currency 5 2 3 3 3 6" xfId="24950"/>
    <cellStyle name="Currency 5 2 3 3 4" xfId="24951"/>
    <cellStyle name="Currency 5 2 3 3 4 2" xfId="24952"/>
    <cellStyle name="Currency 5 2 3 3 4 2 2" xfId="24953"/>
    <cellStyle name="Currency 5 2 3 3 4 2 3" xfId="24954"/>
    <cellStyle name="Currency 5 2 3 3 4 3" xfId="24955"/>
    <cellStyle name="Currency 5 2 3 3 4 3 2" xfId="24956"/>
    <cellStyle name="Currency 5 2 3 3 4 3 3" xfId="24957"/>
    <cellStyle name="Currency 5 2 3 3 4 4" xfId="24958"/>
    <cellStyle name="Currency 5 2 3 3 4 5" xfId="24959"/>
    <cellStyle name="Currency 5 2 3 3 5" xfId="24960"/>
    <cellStyle name="Currency 5 2 3 3 5 2" xfId="24961"/>
    <cellStyle name="Currency 5 2 3 3 5 3" xfId="24962"/>
    <cellStyle name="Currency 5 2 3 3 6" xfId="24963"/>
    <cellStyle name="Currency 5 2 3 3 6 2" xfId="24964"/>
    <cellStyle name="Currency 5 2 3 3 6 3" xfId="24965"/>
    <cellStyle name="Currency 5 2 3 3 7" xfId="24966"/>
    <cellStyle name="Currency 5 2 3 3 8" xfId="24967"/>
    <cellStyle name="Currency 5 2 3 4" xfId="24968"/>
    <cellStyle name="Currency 5 2 3 4 2" xfId="24969"/>
    <cellStyle name="Currency 5 2 3 4 2 2" xfId="24970"/>
    <cellStyle name="Currency 5 2 3 4 2 2 2" xfId="24971"/>
    <cellStyle name="Currency 5 2 3 4 2 2 3" xfId="24972"/>
    <cellStyle name="Currency 5 2 3 4 2 3" xfId="24973"/>
    <cellStyle name="Currency 5 2 3 4 2 3 2" xfId="24974"/>
    <cellStyle name="Currency 5 2 3 4 2 3 3" xfId="24975"/>
    <cellStyle name="Currency 5 2 3 4 2 4" xfId="24976"/>
    <cellStyle name="Currency 5 2 3 4 2 5" xfId="24977"/>
    <cellStyle name="Currency 5 2 3 4 3" xfId="24978"/>
    <cellStyle name="Currency 5 2 3 4 3 2" xfId="24979"/>
    <cellStyle name="Currency 5 2 3 4 3 3" xfId="24980"/>
    <cellStyle name="Currency 5 2 3 4 4" xfId="24981"/>
    <cellStyle name="Currency 5 2 3 4 4 2" xfId="24982"/>
    <cellStyle name="Currency 5 2 3 4 4 3" xfId="24983"/>
    <cellStyle name="Currency 5 2 3 4 5" xfId="24984"/>
    <cellStyle name="Currency 5 2 3 4 6" xfId="24985"/>
    <cellStyle name="Currency 5 2 3 5" xfId="24986"/>
    <cellStyle name="Currency 5 2 3 5 2" xfId="24987"/>
    <cellStyle name="Currency 5 2 3 5 2 2" xfId="24988"/>
    <cellStyle name="Currency 5 2 3 5 2 2 2" xfId="24989"/>
    <cellStyle name="Currency 5 2 3 5 2 2 3" xfId="24990"/>
    <cellStyle name="Currency 5 2 3 5 2 3" xfId="24991"/>
    <cellStyle name="Currency 5 2 3 5 2 3 2" xfId="24992"/>
    <cellStyle name="Currency 5 2 3 5 2 3 3" xfId="24993"/>
    <cellStyle name="Currency 5 2 3 5 2 4" xfId="24994"/>
    <cellStyle name="Currency 5 2 3 5 2 5" xfId="24995"/>
    <cellStyle name="Currency 5 2 3 5 3" xfId="24996"/>
    <cellStyle name="Currency 5 2 3 5 3 2" xfId="24997"/>
    <cellStyle name="Currency 5 2 3 5 3 3" xfId="24998"/>
    <cellStyle name="Currency 5 2 3 5 4" xfId="24999"/>
    <cellStyle name="Currency 5 2 3 5 4 2" xfId="25000"/>
    <cellStyle name="Currency 5 2 3 5 4 3" xfId="25001"/>
    <cellStyle name="Currency 5 2 3 5 5" xfId="25002"/>
    <cellStyle name="Currency 5 2 3 5 6" xfId="25003"/>
    <cellStyle name="Currency 5 2 3 6" xfId="25004"/>
    <cellStyle name="Currency 5 2 3 6 2" xfId="25005"/>
    <cellStyle name="Currency 5 2 3 6 2 2" xfId="25006"/>
    <cellStyle name="Currency 5 2 3 6 2 3" xfId="25007"/>
    <cellStyle name="Currency 5 2 3 6 3" xfId="25008"/>
    <cellStyle name="Currency 5 2 3 6 3 2" xfId="25009"/>
    <cellStyle name="Currency 5 2 3 6 3 3" xfId="25010"/>
    <cellStyle name="Currency 5 2 3 6 4" xfId="25011"/>
    <cellStyle name="Currency 5 2 3 6 5" xfId="25012"/>
    <cellStyle name="Currency 5 2 3 7" xfId="25013"/>
    <cellStyle name="Currency 5 2 3 7 2" xfId="25014"/>
    <cellStyle name="Currency 5 2 3 7 3" xfId="25015"/>
    <cellStyle name="Currency 5 2 3 8" xfId="25016"/>
    <cellStyle name="Currency 5 2 3 8 2" xfId="25017"/>
    <cellStyle name="Currency 5 2 3 8 3" xfId="25018"/>
    <cellStyle name="Currency 5 2 3 9" xfId="25019"/>
    <cellStyle name="Currency 5 2 4" xfId="25020"/>
    <cellStyle name="Currency 5 2 4 10" xfId="25021"/>
    <cellStyle name="Currency 5 2 4 2" xfId="25022"/>
    <cellStyle name="Currency 5 2 4 2 2" xfId="25023"/>
    <cellStyle name="Currency 5 2 4 2 2 2" xfId="25024"/>
    <cellStyle name="Currency 5 2 4 2 2 2 2" xfId="25025"/>
    <cellStyle name="Currency 5 2 4 2 2 2 2 2" xfId="25026"/>
    <cellStyle name="Currency 5 2 4 2 2 2 2 2 2" xfId="25027"/>
    <cellStyle name="Currency 5 2 4 2 2 2 2 2 3" xfId="25028"/>
    <cellStyle name="Currency 5 2 4 2 2 2 2 3" xfId="25029"/>
    <cellStyle name="Currency 5 2 4 2 2 2 2 3 2" xfId="25030"/>
    <cellStyle name="Currency 5 2 4 2 2 2 2 3 3" xfId="25031"/>
    <cellStyle name="Currency 5 2 4 2 2 2 2 4" xfId="25032"/>
    <cellStyle name="Currency 5 2 4 2 2 2 2 5" xfId="25033"/>
    <cellStyle name="Currency 5 2 4 2 2 2 3" xfId="25034"/>
    <cellStyle name="Currency 5 2 4 2 2 2 3 2" xfId="25035"/>
    <cellStyle name="Currency 5 2 4 2 2 2 3 3" xfId="25036"/>
    <cellStyle name="Currency 5 2 4 2 2 2 4" xfId="25037"/>
    <cellStyle name="Currency 5 2 4 2 2 2 4 2" xfId="25038"/>
    <cellStyle name="Currency 5 2 4 2 2 2 4 3" xfId="25039"/>
    <cellStyle name="Currency 5 2 4 2 2 2 5" xfId="25040"/>
    <cellStyle name="Currency 5 2 4 2 2 2 6" xfId="25041"/>
    <cellStyle name="Currency 5 2 4 2 2 3" xfId="25042"/>
    <cellStyle name="Currency 5 2 4 2 2 3 2" xfId="25043"/>
    <cellStyle name="Currency 5 2 4 2 2 3 2 2" xfId="25044"/>
    <cellStyle name="Currency 5 2 4 2 2 3 2 2 2" xfId="25045"/>
    <cellStyle name="Currency 5 2 4 2 2 3 2 2 3" xfId="25046"/>
    <cellStyle name="Currency 5 2 4 2 2 3 2 3" xfId="25047"/>
    <cellStyle name="Currency 5 2 4 2 2 3 2 3 2" xfId="25048"/>
    <cellStyle name="Currency 5 2 4 2 2 3 2 3 3" xfId="25049"/>
    <cellStyle name="Currency 5 2 4 2 2 3 2 4" xfId="25050"/>
    <cellStyle name="Currency 5 2 4 2 2 3 2 5" xfId="25051"/>
    <cellStyle name="Currency 5 2 4 2 2 3 3" xfId="25052"/>
    <cellStyle name="Currency 5 2 4 2 2 3 3 2" xfId="25053"/>
    <cellStyle name="Currency 5 2 4 2 2 3 3 3" xfId="25054"/>
    <cellStyle name="Currency 5 2 4 2 2 3 4" xfId="25055"/>
    <cellStyle name="Currency 5 2 4 2 2 3 4 2" xfId="25056"/>
    <cellStyle name="Currency 5 2 4 2 2 3 4 3" xfId="25057"/>
    <cellStyle name="Currency 5 2 4 2 2 3 5" xfId="25058"/>
    <cellStyle name="Currency 5 2 4 2 2 3 6" xfId="25059"/>
    <cellStyle name="Currency 5 2 4 2 2 4" xfId="25060"/>
    <cellStyle name="Currency 5 2 4 2 2 4 2" xfId="25061"/>
    <cellStyle name="Currency 5 2 4 2 2 4 2 2" xfId="25062"/>
    <cellStyle name="Currency 5 2 4 2 2 4 2 3" xfId="25063"/>
    <cellStyle name="Currency 5 2 4 2 2 4 3" xfId="25064"/>
    <cellStyle name="Currency 5 2 4 2 2 4 3 2" xfId="25065"/>
    <cellStyle name="Currency 5 2 4 2 2 4 3 3" xfId="25066"/>
    <cellStyle name="Currency 5 2 4 2 2 4 4" xfId="25067"/>
    <cellStyle name="Currency 5 2 4 2 2 4 5" xfId="25068"/>
    <cellStyle name="Currency 5 2 4 2 2 5" xfId="25069"/>
    <cellStyle name="Currency 5 2 4 2 2 5 2" xfId="25070"/>
    <cellStyle name="Currency 5 2 4 2 2 5 3" xfId="25071"/>
    <cellStyle name="Currency 5 2 4 2 2 6" xfId="25072"/>
    <cellStyle name="Currency 5 2 4 2 2 6 2" xfId="25073"/>
    <cellStyle name="Currency 5 2 4 2 2 6 3" xfId="25074"/>
    <cellStyle name="Currency 5 2 4 2 2 7" xfId="25075"/>
    <cellStyle name="Currency 5 2 4 2 2 8" xfId="25076"/>
    <cellStyle name="Currency 5 2 4 2 3" xfId="25077"/>
    <cellStyle name="Currency 5 2 4 2 3 2" xfId="25078"/>
    <cellStyle name="Currency 5 2 4 2 3 2 2" xfId="25079"/>
    <cellStyle name="Currency 5 2 4 2 3 2 2 2" xfId="25080"/>
    <cellStyle name="Currency 5 2 4 2 3 2 2 3" xfId="25081"/>
    <cellStyle name="Currency 5 2 4 2 3 2 3" xfId="25082"/>
    <cellStyle name="Currency 5 2 4 2 3 2 3 2" xfId="25083"/>
    <cellStyle name="Currency 5 2 4 2 3 2 3 3" xfId="25084"/>
    <cellStyle name="Currency 5 2 4 2 3 2 4" xfId="25085"/>
    <cellStyle name="Currency 5 2 4 2 3 2 5" xfId="25086"/>
    <cellStyle name="Currency 5 2 4 2 3 3" xfId="25087"/>
    <cellStyle name="Currency 5 2 4 2 3 3 2" xfId="25088"/>
    <cellStyle name="Currency 5 2 4 2 3 3 3" xfId="25089"/>
    <cellStyle name="Currency 5 2 4 2 3 4" xfId="25090"/>
    <cellStyle name="Currency 5 2 4 2 3 4 2" xfId="25091"/>
    <cellStyle name="Currency 5 2 4 2 3 4 3" xfId="25092"/>
    <cellStyle name="Currency 5 2 4 2 3 5" xfId="25093"/>
    <cellStyle name="Currency 5 2 4 2 3 6" xfId="25094"/>
    <cellStyle name="Currency 5 2 4 2 4" xfId="25095"/>
    <cellStyle name="Currency 5 2 4 2 4 2" xfId="25096"/>
    <cellStyle name="Currency 5 2 4 2 4 2 2" xfId="25097"/>
    <cellStyle name="Currency 5 2 4 2 4 2 2 2" xfId="25098"/>
    <cellStyle name="Currency 5 2 4 2 4 2 2 3" xfId="25099"/>
    <cellStyle name="Currency 5 2 4 2 4 2 3" xfId="25100"/>
    <cellStyle name="Currency 5 2 4 2 4 2 3 2" xfId="25101"/>
    <cellStyle name="Currency 5 2 4 2 4 2 3 3" xfId="25102"/>
    <cellStyle name="Currency 5 2 4 2 4 2 4" xfId="25103"/>
    <cellStyle name="Currency 5 2 4 2 4 2 5" xfId="25104"/>
    <cellStyle name="Currency 5 2 4 2 4 3" xfId="25105"/>
    <cellStyle name="Currency 5 2 4 2 4 3 2" xfId="25106"/>
    <cellStyle name="Currency 5 2 4 2 4 3 3" xfId="25107"/>
    <cellStyle name="Currency 5 2 4 2 4 4" xfId="25108"/>
    <cellStyle name="Currency 5 2 4 2 4 4 2" xfId="25109"/>
    <cellStyle name="Currency 5 2 4 2 4 4 3" xfId="25110"/>
    <cellStyle name="Currency 5 2 4 2 4 5" xfId="25111"/>
    <cellStyle name="Currency 5 2 4 2 4 6" xfId="25112"/>
    <cellStyle name="Currency 5 2 4 2 5" xfId="25113"/>
    <cellStyle name="Currency 5 2 4 2 5 2" xfId="25114"/>
    <cellStyle name="Currency 5 2 4 2 5 2 2" xfId="25115"/>
    <cellStyle name="Currency 5 2 4 2 5 2 3" xfId="25116"/>
    <cellStyle name="Currency 5 2 4 2 5 3" xfId="25117"/>
    <cellStyle name="Currency 5 2 4 2 5 3 2" xfId="25118"/>
    <cellStyle name="Currency 5 2 4 2 5 3 3" xfId="25119"/>
    <cellStyle name="Currency 5 2 4 2 5 4" xfId="25120"/>
    <cellStyle name="Currency 5 2 4 2 5 5" xfId="25121"/>
    <cellStyle name="Currency 5 2 4 2 6" xfId="25122"/>
    <cellStyle name="Currency 5 2 4 2 6 2" xfId="25123"/>
    <cellStyle name="Currency 5 2 4 2 6 3" xfId="25124"/>
    <cellStyle name="Currency 5 2 4 2 7" xfId="25125"/>
    <cellStyle name="Currency 5 2 4 2 7 2" xfId="25126"/>
    <cellStyle name="Currency 5 2 4 2 7 3" xfId="25127"/>
    <cellStyle name="Currency 5 2 4 2 8" xfId="25128"/>
    <cellStyle name="Currency 5 2 4 2 9" xfId="25129"/>
    <cellStyle name="Currency 5 2 4 3" xfId="25130"/>
    <cellStyle name="Currency 5 2 4 3 2" xfId="25131"/>
    <cellStyle name="Currency 5 2 4 3 2 2" xfId="25132"/>
    <cellStyle name="Currency 5 2 4 3 2 2 2" xfId="25133"/>
    <cellStyle name="Currency 5 2 4 3 2 2 2 2" xfId="25134"/>
    <cellStyle name="Currency 5 2 4 3 2 2 2 3" xfId="25135"/>
    <cellStyle name="Currency 5 2 4 3 2 2 3" xfId="25136"/>
    <cellStyle name="Currency 5 2 4 3 2 2 3 2" xfId="25137"/>
    <cellStyle name="Currency 5 2 4 3 2 2 3 3" xfId="25138"/>
    <cellStyle name="Currency 5 2 4 3 2 2 4" xfId="25139"/>
    <cellStyle name="Currency 5 2 4 3 2 2 5" xfId="25140"/>
    <cellStyle name="Currency 5 2 4 3 2 3" xfId="25141"/>
    <cellStyle name="Currency 5 2 4 3 2 3 2" xfId="25142"/>
    <cellStyle name="Currency 5 2 4 3 2 3 3" xfId="25143"/>
    <cellStyle name="Currency 5 2 4 3 2 4" xfId="25144"/>
    <cellStyle name="Currency 5 2 4 3 2 4 2" xfId="25145"/>
    <cellStyle name="Currency 5 2 4 3 2 4 3" xfId="25146"/>
    <cellStyle name="Currency 5 2 4 3 2 5" xfId="25147"/>
    <cellStyle name="Currency 5 2 4 3 2 6" xfId="25148"/>
    <cellStyle name="Currency 5 2 4 3 3" xfId="25149"/>
    <cellStyle name="Currency 5 2 4 3 3 2" xfId="25150"/>
    <cellStyle name="Currency 5 2 4 3 3 2 2" xfId="25151"/>
    <cellStyle name="Currency 5 2 4 3 3 2 2 2" xfId="25152"/>
    <cellStyle name="Currency 5 2 4 3 3 2 2 3" xfId="25153"/>
    <cellStyle name="Currency 5 2 4 3 3 2 3" xfId="25154"/>
    <cellStyle name="Currency 5 2 4 3 3 2 3 2" xfId="25155"/>
    <cellStyle name="Currency 5 2 4 3 3 2 3 3" xfId="25156"/>
    <cellStyle name="Currency 5 2 4 3 3 2 4" xfId="25157"/>
    <cellStyle name="Currency 5 2 4 3 3 2 5" xfId="25158"/>
    <cellStyle name="Currency 5 2 4 3 3 3" xfId="25159"/>
    <cellStyle name="Currency 5 2 4 3 3 3 2" xfId="25160"/>
    <cellStyle name="Currency 5 2 4 3 3 3 3" xfId="25161"/>
    <cellStyle name="Currency 5 2 4 3 3 4" xfId="25162"/>
    <cellStyle name="Currency 5 2 4 3 3 4 2" xfId="25163"/>
    <cellStyle name="Currency 5 2 4 3 3 4 3" xfId="25164"/>
    <cellStyle name="Currency 5 2 4 3 3 5" xfId="25165"/>
    <cellStyle name="Currency 5 2 4 3 3 6" xfId="25166"/>
    <cellStyle name="Currency 5 2 4 3 4" xfId="25167"/>
    <cellStyle name="Currency 5 2 4 3 4 2" xfId="25168"/>
    <cellStyle name="Currency 5 2 4 3 4 2 2" xfId="25169"/>
    <cellStyle name="Currency 5 2 4 3 4 2 3" xfId="25170"/>
    <cellStyle name="Currency 5 2 4 3 4 3" xfId="25171"/>
    <cellStyle name="Currency 5 2 4 3 4 3 2" xfId="25172"/>
    <cellStyle name="Currency 5 2 4 3 4 3 3" xfId="25173"/>
    <cellStyle name="Currency 5 2 4 3 4 4" xfId="25174"/>
    <cellStyle name="Currency 5 2 4 3 4 5" xfId="25175"/>
    <cellStyle name="Currency 5 2 4 3 5" xfId="25176"/>
    <cellStyle name="Currency 5 2 4 3 5 2" xfId="25177"/>
    <cellStyle name="Currency 5 2 4 3 5 3" xfId="25178"/>
    <cellStyle name="Currency 5 2 4 3 6" xfId="25179"/>
    <cellStyle name="Currency 5 2 4 3 6 2" xfId="25180"/>
    <cellStyle name="Currency 5 2 4 3 6 3" xfId="25181"/>
    <cellStyle name="Currency 5 2 4 3 7" xfId="25182"/>
    <cellStyle name="Currency 5 2 4 3 8" xfId="25183"/>
    <cellStyle name="Currency 5 2 4 4" xfId="25184"/>
    <cellStyle name="Currency 5 2 4 4 2" xfId="25185"/>
    <cellStyle name="Currency 5 2 4 4 2 2" xfId="25186"/>
    <cellStyle name="Currency 5 2 4 4 2 2 2" xfId="25187"/>
    <cellStyle name="Currency 5 2 4 4 2 2 3" xfId="25188"/>
    <cellStyle name="Currency 5 2 4 4 2 3" xfId="25189"/>
    <cellStyle name="Currency 5 2 4 4 2 3 2" xfId="25190"/>
    <cellStyle name="Currency 5 2 4 4 2 3 3" xfId="25191"/>
    <cellStyle name="Currency 5 2 4 4 2 4" xfId="25192"/>
    <cellStyle name="Currency 5 2 4 4 2 5" xfId="25193"/>
    <cellStyle name="Currency 5 2 4 4 3" xfId="25194"/>
    <cellStyle name="Currency 5 2 4 4 3 2" xfId="25195"/>
    <cellStyle name="Currency 5 2 4 4 3 3" xfId="25196"/>
    <cellStyle name="Currency 5 2 4 4 4" xfId="25197"/>
    <cellStyle name="Currency 5 2 4 4 4 2" xfId="25198"/>
    <cellStyle name="Currency 5 2 4 4 4 3" xfId="25199"/>
    <cellStyle name="Currency 5 2 4 4 5" xfId="25200"/>
    <cellStyle name="Currency 5 2 4 4 6" xfId="25201"/>
    <cellStyle name="Currency 5 2 4 5" xfId="25202"/>
    <cellStyle name="Currency 5 2 4 5 2" xfId="25203"/>
    <cellStyle name="Currency 5 2 4 5 2 2" xfId="25204"/>
    <cellStyle name="Currency 5 2 4 5 2 2 2" xfId="25205"/>
    <cellStyle name="Currency 5 2 4 5 2 2 3" xfId="25206"/>
    <cellStyle name="Currency 5 2 4 5 2 3" xfId="25207"/>
    <cellStyle name="Currency 5 2 4 5 2 3 2" xfId="25208"/>
    <cellStyle name="Currency 5 2 4 5 2 3 3" xfId="25209"/>
    <cellStyle name="Currency 5 2 4 5 2 4" xfId="25210"/>
    <cellStyle name="Currency 5 2 4 5 2 5" xfId="25211"/>
    <cellStyle name="Currency 5 2 4 5 3" xfId="25212"/>
    <cellStyle name="Currency 5 2 4 5 3 2" xfId="25213"/>
    <cellStyle name="Currency 5 2 4 5 3 3" xfId="25214"/>
    <cellStyle name="Currency 5 2 4 5 4" xfId="25215"/>
    <cellStyle name="Currency 5 2 4 5 4 2" xfId="25216"/>
    <cellStyle name="Currency 5 2 4 5 4 3" xfId="25217"/>
    <cellStyle name="Currency 5 2 4 5 5" xfId="25218"/>
    <cellStyle name="Currency 5 2 4 5 6" xfId="25219"/>
    <cellStyle name="Currency 5 2 4 6" xfId="25220"/>
    <cellStyle name="Currency 5 2 4 6 2" xfId="25221"/>
    <cellStyle name="Currency 5 2 4 6 2 2" xfId="25222"/>
    <cellStyle name="Currency 5 2 4 6 2 3" xfId="25223"/>
    <cellStyle name="Currency 5 2 4 6 3" xfId="25224"/>
    <cellStyle name="Currency 5 2 4 6 3 2" xfId="25225"/>
    <cellStyle name="Currency 5 2 4 6 3 3" xfId="25226"/>
    <cellStyle name="Currency 5 2 4 6 4" xfId="25227"/>
    <cellStyle name="Currency 5 2 4 6 5" xfId="25228"/>
    <cellStyle name="Currency 5 2 4 7" xfId="25229"/>
    <cellStyle name="Currency 5 2 4 7 2" xfId="25230"/>
    <cellStyle name="Currency 5 2 4 7 3" xfId="25231"/>
    <cellStyle name="Currency 5 2 4 8" xfId="25232"/>
    <cellStyle name="Currency 5 2 4 8 2" xfId="25233"/>
    <cellStyle name="Currency 5 2 4 8 3" xfId="25234"/>
    <cellStyle name="Currency 5 2 4 9" xfId="25235"/>
    <cellStyle name="Currency 5 2 5" xfId="25236"/>
    <cellStyle name="Currency 5 2 5 2" xfId="25237"/>
    <cellStyle name="Currency 5 2 5 2 2" xfId="25238"/>
    <cellStyle name="Currency 5 2 5 2 2 2" xfId="25239"/>
    <cellStyle name="Currency 5 2 5 2 2 2 2" xfId="25240"/>
    <cellStyle name="Currency 5 2 5 2 2 2 2 2" xfId="25241"/>
    <cellStyle name="Currency 5 2 5 2 2 2 2 3" xfId="25242"/>
    <cellStyle name="Currency 5 2 5 2 2 2 3" xfId="25243"/>
    <cellStyle name="Currency 5 2 5 2 2 2 3 2" xfId="25244"/>
    <cellStyle name="Currency 5 2 5 2 2 2 3 3" xfId="25245"/>
    <cellStyle name="Currency 5 2 5 2 2 2 4" xfId="25246"/>
    <cellStyle name="Currency 5 2 5 2 2 2 5" xfId="25247"/>
    <cellStyle name="Currency 5 2 5 2 2 3" xfId="25248"/>
    <cellStyle name="Currency 5 2 5 2 2 3 2" xfId="25249"/>
    <cellStyle name="Currency 5 2 5 2 2 3 3" xfId="25250"/>
    <cellStyle name="Currency 5 2 5 2 2 4" xfId="25251"/>
    <cellStyle name="Currency 5 2 5 2 2 4 2" xfId="25252"/>
    <cellStyle name="Currency 5 2 5 2 2 4 3" xfId="25253"/>
    <cellStyle name="Currency 5 2 5 2 2 5" xfId="25254"/>
    <cellStyle name="Currency 5 2 5 2 2 6" xfId="25255"/>
    <cellStyle name="Currency 5 2 5 2 3" xfId="25256"/>
    <cellStyle name="Currency 5 2 5 2 3 2" xfId="25257"/>
    <cellStyle name="Currency 5 2 5 2 3 2 2" xfId="25258"/>
    <cellStyle name="Currency 5 2 5 2 3 2 2 2" xfId="25259"/>
    <cellStyle name="Currency 5 2 5 2 3 2 2 3" xfId="25260"/>
    <cellStyle name="Currency 5 2 5 2 3 2 3" xfId="25261"/>
    <cellStyle name="Currency 5 2 5 2 3 2 3 2" xfId="25262"/>
    <cellStyle name="Currency 5 2 5 2 3 2 3 3" xfId="25263"/>
    <cellStyle name="Currency 5 2 5 2 3 2 4" xfId="25264"/>
    <cellStyle name="Currency 5 2 5 2 3 2 5" xfId="25265"/>
    <cellStyle name="Currency 5 2 5 2 3 3" xfId="25266"/>
    <cellStyle name="Currency 5 2 5 2 3 3 2" xfId="25267"/>
    <cellStyle name="Currency 5 2 5 2 3 3 3" xfId="25268"/>
    <cellStyle name="Currency 5 2 5 2 3 4" xfId="25269"/>
    <cellStyle name="Currency 5 2 5 2 3 4 2" xfId="25270"/>
    <cellStyle name="Currency 5 2 5 2 3 4 3" xfId="25271"/>
    <cellStyle name="Currency 5 2 5 2 3 5" xfId="25272"/>
    <cellStyle name="Currency 5 2 5 2 3 6" xfId="25273"/>
    <cellStyle name="Currency 5 2 5 2 4" xfId="25274"/>
    <cellStyle name="Currency 5 2 5 2 4 2" xfId="25275"/>
    <cellStyle name="Currency 5 2 5 2 4 2 2" xfId="25276"/>
    <cellStyle name="Currency 5 2 5 2 4 2 3" xfId="25277"/>
    <cellStyle name="Currency 5 2 5 2 4 3" xfId="25278"/>
    <cellStyle name="Currency 5 2 5 2 4 3 2" xfId="25279"/>
    <cellStyle name="Currency 5 2 5 2 4 3 3" xfId="25280"/>
    <cellStyle name="Currency 5 2 5 2 4 4" xfId="25281"/>
    <cellStyle name="Currency 5 2 5 2 4 5" xfId="25282"/>
    <cellStyle name="Currency 5 2 5 2 5" xfId="25283"/>
    <cellStyle name="Currency 5 2 5 2 5 2" xfId="25284"/>
    <cellStyle name="Currency 5 2 5 2 5 3" xfId="25285"/>
    <cellStyle name="Currency 5 2 5 2 6" xfId="25286"/>
    <cellStyle name="Currency 5 2 5 2 6 2" xfId="25287"/>
    <cellStyle name="Currency 5 2 5 2 6 3" xfId="25288"/>
    <cellStyle name="Currency 5 2 5 2 7" xfId="25289"/>
    <cellStyle name="Currency 5 2 5 2 8" xfId="25290"/>
    <cellStyle name="Currency 5 2 5 3" xfId="25291"/>
    <cellStyle name="Currency 5 2 5 3 2" xfId="25292"/>
    <cellStyle name="Currency 5 2 5 3 2 2" xfId="25293"/>
    <cellStyle name="Currency 5 2 5 3 2 2 2" xfId="25294"/>
    <cellStyle name="Currency 5 2 5 3 2 2 3" xfId="25295"/>
    <cellStyle name="Currency 5 2 5 3 2 3" xfId="25296"/>
    <cellStyle name="Currency 5 2 5 3 2 3 2" xfId="25297"/>
    <cellStyle name="Currency 5 2 5 3 2 3 3" xfId="25298"/>
    <cellStyle name="Currency 5 2 5 3 2 4" xfId="25299"/>
    <cellStyle name="Currency 5 2 5 3 2 5" xfId="25300"/>
    <cellStyle name="Currency 5 2 5 3 3" xfId="25301"/>
    <cellStyle name="Currency 5 2 5 3 3 2" xfId="25302"/>
    <cellStyle name="Currency 5 2 5 3 3 3" xfId="25303"/>
    <cellStyle name="Currency 5 2 5 3 4" xfId="25304"/>
    <cellStyle name="Currency 5 2 5 3 4 2" xfId="25305"/>
    <cellStyle name="Currency 5 2 5 3 4 3" xfId="25306"/>
    <cellStyle name="Currency 5 2 5 3 5" xfId="25307"/>
    <cellStyle name="Currency 5 2 5 3 6" xfId="25308"/>
    <cellStyle name="Currency 5 2 5 4" xfId="25309"/>
    <cellStyle name="Currency 5 2 5 4 2" xfId="25310"/>
    <cellStyle name="Currency 5 2 5 4 2 2" xfId="25311"/>
    <cellStyle name="Currency 5 2 5 4 2 2 2" xfId="25312"/>
    <cellStyle name="Currency 5 2 5 4 2 2 3" xfId="25313"/>
    <cellStyle name="Currency 5 2 5 4 2 3" xfId="25314"/>
    <cellStyle name="Currency 5 2 5 4 2 3 2" xfId="25315"/>
    <cellStyle name="Currency 5 2 5 4 2 3 3" xfId="25316"/>
    <cellStyle name="Currency 5 2 5 4 2 4" xfId="25317"/>
    <cellStyle name="Currency 5 2 5 4 2 5" xfId="25318"/>
    <cellStyle name="Currency 5 2 5 4 3" xfId="25319"/>
    <cellStyle name="Currency 5 2 5 4 3 2" xfId="25320"/>
    <cellStyle name="Currency 5 2 5 4 3 3" xfId="25321"/>
    <cellStyle name="Currency 5 2 5 4 4" xfId="25322"/>
    <cellStyle name="Currency 5 2 5 4 4 2" xfId="25323"/>
    <cellStyle name="Currency 5 2 5 4 4 3" xfId="25324"/>
    <cellStyle name="Currency 5 2 5 4 5" xfId="25325"/>
    <cellStyle name="Currency 5 2 5 4 6" xfId="25326"/>
    <cellStyle name="Currency 5 2 5 5" xfId="25327"/>
    <cellStyle name="Currency 5 2 5 5 2" xfId="25328"/>
    <cellStyle name="Currency 5 2 5 5 2 2" xfId="25329"/>
    <cellStyle name="Currency 5 2 5 5 2 3" xfId="25330"/>
    <cellStyle name="Currency 5 2 5 5 3" xfId="25331"/>
    <cellStyle name="Currency 5 2 5 5 3 2" xfId="25332"/>
    <cellStyle name="Currency 5 2 5 5 3 3" xfId="25333"/>
    <cellStyle name="Currency 5 2 5 5 4" xfId="25334"/>
    <cellStyle name="Currency 5 2 5 5 5" xfId="25335"/>
    <cellStyle name="Currency 5 2 5 6" xfId="25336"/>
    <cellStyle name="Currency 5 2 5 6 2" xfId="25337"/>
    <cellStyle name="Currency 5 2 5 6 3" xfId="25338"/>
    <cellStyle name="Currency 5 2 5 7" xfId="25339"/>
    <cellStyle name="Currency 5 2 5 7 2" xfId="25340"/>
    <cellStyle name="Currency 5 2 5 7 3" xfId="25341"/>
    <cellStyle name="Currency 5 2 5 8" xfId="25342"/>
    <cellStyle name="Currency 5 2 5 9" xfId="25343"/>
    <cellStyle name="Currency 5 2 6" xfId="25344"/>
    <cellStyle name="Currency 5 2 6 2" xfId="25345"/>
    <cellStyle name="Currency 5 2 6 2 2" xfId="25346"/>
    <cellStyle name="Currency 5 2 6 2 2 2" xfId="25347"/>
    <cellStyle name="Currency 5 2 6 2 2 2 2" xfId="25348"/>
    <cellStyle name="Currency 5 2 6 2 2 2 3" xfId="25349"/>
    <cellStyle name="Currency 5 2 6 2 2 3" xfId="25350"/>
    <cellStyle name="Currency 5 2 6 2 2 3 2" xfId="25351"/>
    <cellStyle name="Currency 5 2 6 2 2 3 3" xfId="25352"/>
    <cellStyle name="Currency 5 2 6 2 2 4" xfId="25353"/>
    <cellStyle name="Currency 5 2 6 2 2 5" xfId="25354"/>
    <cellStyle name="Currency 5 2 6 2 3" xfId="25355"/>
    <cellStyle name="Currency 5 2 6 2 3 2" xfId="25356"/>
    <cellStyle name="Currency 5 2 6 2 3 3" xfId="25357"/>
    <cellStyle name="Currency 5 2 6 2 4" xfId="25358"/>
    <cellStyle name="Currency 5 2 6 2 4 2" xfId="25359"/>
    <cellStyle name="Currency 5 2 6 2 4 3" xfId="25360"/>
    <cellStyle name="Currency 5 2 6 2 5" xfId="25361"/>
    <cellStyle name="Currency 5 2 6 2 6" xfId="25362"/>
    <cellStyle name="Currency 5 2 6 3" xfId="25363"/>
    <cellStyle name="Currency 5 2 6 3 2" xfId="25364"/>
    <cellStyle name="Currency 5 2 6 3 2 2" xfId="25365"/>
    <cellStyle name="Currency 5 2 6 3 2 2 2" xfId="25366"/>
    <cellStyle name="Currency 5 2 6 3 2 2 3" xfId="25367"/>
    <cellStyle name="Currency 5 2 6 3 2 3" xfId="25368"/>
    <cellStyle name="Currency 5 2 6 3 2 3 2" xfId="25369"/>
    <cellStyle name="Currency 5 2 6 3 2 3 3" xfId="25370"/>
    <cellStyle name="Currency 5 2 6 3 2 4" xfId="25371"/>
    <cellStyle name="Currency 5 2 6 3 2 5" xfId="25372"/>
    <cellStyle name="Currency 5 2 6 3 3" xfId="25373"/>
    <cellStyle name="Currency 5 2 6 3 3 2" xfId="25374"/>
    <cellStyle name="Currency 5 2 6 3 3 3" xfId="25375"/>
    <cellStyle name="Currency 5 2 6 3 4" xfId="25376"/>
    <cellStyle name="Currency 5 2 6 3 4 2" xfId="25377"/>
    <cellStyle name="Currency 5 2 6 3 4 3" xfId="25378"/>
    <cellStyle name="Currency 5 2 6 3 5" xfId="25379"/>
    <cellStyle name="Currency 5 2 6 3 6" xfId="25380"/>
    <cellStyle name="Currency 5 2 6 4" xfId="25381"/>
    <cellStyle name="Currency 5 2 6 4 2" xfId="25382"/>
    <cellStyle name="Currency 5 2 6 4 2 2" xfId="25383"/>
    <cellStyle name="Currency 5 2 6 4 2 3" xfId="25384"/>
    <cellStyle name="Currency 5 2 6 4 3" xfId="25385"/>
    <cellStyle name="Currency 5 2 6 4 3 2" xfId="25386"/>
    <cellStyle name="Currency 5 2 6 4 3 3" xfId="25387"/>
    <cellStyle name="Currency 5 2 6 4 4" xfId="25388"/>
    <cellStyle name="Currency 5 2 6 4 5" xfId="25389"/>
    <cellStyle name="Currency 5 2 6 5" xfId="25390"/>
    <cellStyle name="Currency 5 2 6 5 2" xfId="25391"/>
    <cellStyle name="Currency 5 2 6 5 3" xfId="25392"/>
    <cellStyle name="Currency 5 2 6 6" xfId="25393"/>
    <cellStyle name="Currency 5 2 6 6 2" xfId="25394"/>
    <cellStyle name="Currency 5 2 6 6 3" xfId="25395"/>
    <cellStyle name="Currency 5 2 6 7" xfId="25396"/>
    <cellStyle name="Currency 5 2 6 8" xfId="25397"/>
    <cellStyle name="Currency 5 2 7" xfId="25398"/>
    <cellStyle name="Currency 5 2 7 2" xfId="25399"/>
    <cellStyle name="Currency 5 2 7 2 2" xfId="25400"/>
    <cellStyle name="Currency 5 2 7 2 2 2" xfId="25401"/>
    <cellStyle name="Currency 5 2 7 2 2 3" xfId="25402"/>
    <cellStyle name="Currency 5 2 7 2 3" xfId="25403"/>
    <cellStyle name="Currency 5 2 7 2 3 2" xfId="25404"/>
    <cellStyle name="Currency 5 2 7 2 3 3" xfId="25405"/>
    <cellStyle name="Currency 5 2 7 2 4" xfId="25406"/>
    <cellStyle name="Currency 5 2 7 2 5" xfId="25407"/>
    <cellStyle name="Currency 5 2 7 3" xfId="25408"/>
    <cellStyle name="Currency 5 2 7 3 2" xfId="25409"/>
    <cellStyle name="Currency 5 2 7 3 3" xfId="25410"/>
    <cellStyle name="Currency 5 2 7 4" xfId="25411"/>
    <cellStyle name="Currency 5 2 7 4 2" xfId="25412"/>
    <cellStyle name="Currency 5 2 7 4 3" xfId="25413"/>
    <cellStyle name="Currency 5 2 7 5" xfId="25414"/>
    <cellStyle name="Currency 5 2 7 6" xfId="25415"/>
    <cellStyle name="Currency 5 2 8" xfId="25416"/>
    <cellStyle name="Currency 5 2 8 2" xfId="25417"/>
    <cellStyle name="Currency 5 2 8 2 2" xfId="25418"/>
    <cellStyle name="Currency 5 2 8 2 2 2" xfId="25419"/>
    <cellStyle name="Currency 5 2 8 2 2 3" xfId="25420"/>
    <cellStyle name="Currency 5 2 8 2 3" xfId="25421"/>
    <cellStyle name="Currency 5 2 8 2 3 2" xfId="25422"/>
    <cellStyle name="Currency 5 2 8 2 3 3" xfId="25423"/>
    <cellStyle name="Currency 5 2 8 2 4" xfId="25424"/>
    <cellStyle name="Currency 5 2 8 2 5" xfId="25425"/>
    <cellStyle name="Currency 5 2 8 3" xfId="25426"/>
    <cellStyle name="Currency 5 2 8 3 2" xfId="25427"/>
    <cellStyle name="Currency 5 2 8 3 3" xfId="25428"/>
    <cellStyle name="Currency 5 2 8 4" xfId="25429"/>
    <cellStyle name="Currency 5 2 8 4 2" xfId="25430"/>
    <cellStyle name="Currency 5 2 8 4 3" xfId="25431"/>
    <cellStyle name="Currency 5 2 8 5" xfId="25432"/>
    <cellStyle name="Currency 5 2 8 6" xfId="25433"/>
    <cellStyle name="Currency 5 2 9" xfId="25434"/>
    <cellStyle name="Currency 5 2 9 2" xfId="25435"/>
    <cellStyle name="Currency 5 2 9 2 2" xfId="25436"/>
    <cellStyle name="Currency 5 2 9 2 3" xfId="25437"/>
    <cellStyle name="Currency 5 2 9 3" xfId="25438"/>
    <cellStyle name="Currency 5 2 9 3 2" xfId="25439"/>
    <cellStyle name="Currency 5 2 9 3 3" xfId="25440"/>
    <cellStyle name="Currency 5 2 9 4" xfId="25441"/>
    <cellStyle name="Currency 5 2 9 5" xfId="25442"/>
    <cellStyle name="Currency 5 3" xfId="25443"/>
    <cellStyle name="Currency 5 3 10" xfId="25444"/>
    <cellStyle name="Currency 5 3 10 2" xfId="25445"/>
    <cellStyle name="Currency 5 3 10 3" xfId="25446"/>
    <cellStyle name="Currency 5 3 11" xfId="25447"/>
    <cellStyle name="Currency 5 3 12" xfId="25448"/>
    <cellStyle name="Currency 5 3 2" xfId="25449"/>
    <cellStyle name="Currency 5 3 2 10" xfId="25450"/>
    <cellStyle name="Currency 5 3 2 2" xfId="25451"/>
    <cellStyle name="Currency 5 3 2 2 2" xfId="25452"/>
    <cellStyle name="Currency 5 3 2 2 2 2" xfId="25453"/>
    <cellStyle name="Currency 5 3 2 2 2 2 2" xfId="25454"/>
    <cellStyle name="Currency 5 3 2 2 2 2 2 2" xfId="25455"/>
    <cellStyle name="Currency 5 3 2 2 2 2 2 2 2" xfId="25456"/>
    <cellStyle name="Currency 5 3 2 2 2 2 2 2 3" xfId="25457"/>
    <cellStyle name="Currency 5 3 2 2 2 2 2 3" xfId="25458"/>
    <cellStyle name="Currency 5 3 2 2 2 2 2 3 2" xfId="25459"/>
    <cellStyle name="Currency 5 3 2 2 2 2 2 3 3" xfId="25460"/>
    <cellStyle name="Currency 5 3 2 2 2 2 2 4" xfId="25461"/>
    <cellStyle name="Currency 5 3 2 2 2 2 2 5" xfId="25462"/>
    <cellStyle name="Currency 5 3 2 2 2 2 3" xfId="25463"/>
    <cellStyle name="Currency 5 3 2 2 2 2 3 2" xfId="25464"/>
    <cellStyle name="Currency 5 3 2 2 2 2 3 3" xfId="25465"/>
    <cellStyle name="Currency 5 3 2 2 2 2 4" xfId="25466"/>
    <cellStyle name="Currency 5 3 2 2 2 2 4 2" xfId="25467"/>
    <cellStyle name="Currency 5 3 2 2 2 2 4 3" xfId="25468"/>
    <cellStyle name="Currency 5 3 2 2 2 2 5" xfId="25469"/>
    <cellStyle name="Currency 5 3 2 2 2 2 6" xfId="25470"/>
    <cellStyle name="Currency 5 3 2 2 2 3" xfId="25471"/>
    <cellStyle name="Currency 5 3 2 2 2 3 2" xfId="25472"/>
    <cellStyle name="Currency 5 3 2 2 2 3 2 2" xfId="25473"/>
    <cellStyle name="Currency 5 3 2 2 2 3 2 2 2" xfId="25474"/>
    <cellStyle name="Currency 5 3 2 2 2 3 2 2 3" xfId="25475"/>
    <cellStyle name="Currency 5 3 2 2 2 3 2 3" xfId="25476"/>
    <cellStyle name="Currency 5 3 2 2 2 3 2 3 2" xfId="25477"/>
    <cellStyle name="Currency 5 3 2 2 2 3 2 3 3" xfId="25478"/>
    <cellStyle name="Currency 5 3 2 2 2 3 2 4" xfId="25479"/>
    <cellStyle name="Currency 5 3 2 2 2 3 2 5" xfId="25480"/>
    <cellStyle name="Currency 5 3 2 2 2 3 3" xfId="25481"/>
    <cellStyle name="Currency 5 3 2 2 2 3 3 2" xfId="25482"/>
    <cellStyle name="Currency 5 3 2 2 2 3 3 3" xfId="25483"/>
    <cellStyle name="Currency 5 3 2 2 2 3 4" xfId="25484"/>
    <cellStyle name="Currency 5 3 2 2 2 3 4 2" xfId="25485"/>
    <cellStyle name="Currency 5 3 2 2 2 3 4 3" xfId="25486"/>
    <cellStyle name="Currency 5 3 2 2 2 3 5" xfId="25487"/>
    <cellStyle name="Currency 5 3 2 2 2 3 6" xfId="25488"/>
    <cellStyle name="Currency 5 3 2 2 2 4" xfId="25489"/>
    <cellStyle name="Currency 5 3 2 2 2 4 2" xfId="25490"/>
    <cellStyle name="Currency 5 3 2 2 2 4 2 2" xfId="25491"/>
    <cellStyle name="Currency 5 3 2 2 2 4 2 3" xfId="25492"/>
    <cellStyle name="Currency 5 3 2 2 2 4 3" xfId="25493"/>
    <cellStyle name="Currency 5 3 2 2 2 4 3 2" xfId="25494"/>
    <cellStyle name="Currency 5 3 2 2 2 4 3 3" xfId="25495"/>
    <cellStyle name="Currency 5 3 2 2 2 4 4" xfId="25496"/>
    <cellStyle name="Currency 5 3 2 2 2 4 5" xfId="25497"/>
    <cellStyle name="Currency 5 3 2 2 2 5" xfId="25498"/>
    <cellStyle name="Currency 5 3 2 2 2 5 2" xfId="25499"/>
    <cellStyle name="Currency 5 3 2 2 2 5 3" xfId="25500"/>
    <cellStyle name="Currency 5 3 2 2 2 6" xfId="25501"/>
    <cellStyle name="Currency 5 3 2 2 2 6 2" xfId="25502"/>
    <cellStyle name="Currency 5 3 2 2 2 6 3" xfId="25503"/>
    <cellStyle name="Currency 5 3 2 2 2 7" xfId="25504"/>
    <cellStyle name="Currency 5 3 2 2 2 8" xfId="25505"/>
    <cellStyle name="Currency 5 3 2 2 3" xfId="25506"/>
    <cellStyle name="Currency 5 3 2 2 3 2" xfId="25507"/>
    <cellStyle name="Currency 5 3 2 2 3 2 2" xfId="25508"/>
    <cellStyle name="Currency 5 3 2 2 3 2 2 2" xfId="25509"/>
    <cellStyle name="Currency 5 3 2 2 3 2 2 3" xfId="25510"/>
    <cellStyle name="Currency 5 3 2 2 3 2 3" xfId="25511"/>
    <cellStyle name="Currency 5 3 2 2 3 2 3 2" xfId="25512"/>
    <cellStyle name="Currency 5 3 2 2 3 2 3 3" xfId="25513"/>
    <cellStyle name="Currency 5 3 2 2 3 2 4" xfId="25514"/>
    <cellStyle name="Currency 5 3 2 2 3 2 5" xfId="25515"/>
    <cellStyle name="Currency 5 3 2 2 3 3" xfId="25516"/>
    <cellStyle name="Currency 5 3 2 2 3 3 2" xfId="25517"/>
    <cellStyle name="Currency 5 3 2 2 3 3 3" xfId="25518"/>
    <cellStyle name="Currency 5 3 2 2 3 4" xfId="25519"/>
    <cellStyle name="Currency 5 3 2 2 3 4 2" xfId="25520"/>
    <cellStyle name="Currency 5 3 2 2 3 4 3" xfId="25521"/>
    <cellStyle name="Currency 5 3 2 2 3 5" xfId="25522"/>
    <cellStyle name="Currency 5 3 2 2 3 6" xfId="25523"/>
    <cellStyle name="Currency 5 3 2 2 4" xfId="25524"/>
    <cellStyle name="Currency 5 3 2 2 4 2" xfId="25525"/>
    <cellStyle name="Currency 5 3 2 2 4 2 2" xfId="25526"/>
    <cellStyle name="Currency 5 3 2 2 4 2 2 2" xfId="25527"/>
    <cellStyle name="Currency 5 3 2 2 4 2 2 3" xfId="25528"/>
    <cellStyle name="Currency 5 3 2 2 4 2 3" xfId="25529"/>
    <cellStyle name="Currency 5 3 2 2 4 2 3 2" xfId="25530"/>
    <cellStyle name="Currency 5 3 2 2 4 2 3 3" xfId="25531"/>
    <cellStyle name="Currency 5 3 2 2 4 2 4" xfId="25532"/>
    <cellStyle name="Currency 5 3 2 2 4 2 5" xfId="25533"/>
    <cellStyle name="Currency 5 3 2 2 4 3" xfId="25534"/>
    <cellStyle name="Currency 5 3 2 2 4 3 2" xfId="25535"/>
    <cellStyle name="Currency 5 3 2 2 4 3 3" xfId="25536"/>
    <cellStyle name="Currency 5 3 2 2 4 4" xfId="25537"/>
    <cellStyle name="Currency 5 3 2 2 4 4 2" xfId="25538"/>
    <cellStyle name="Currency 5 3 2 2 4 4 3" xfId="25539"/>
    <cellStyle name="Currency 5 3 2 2 4 5" xfId="25540"/>
    <cellStyle name="Currency 5 3 2 2 4 6" xfId="25541"/>
    <cellStyle name="Currency 5 3 2 2 5" xfId="25542"/>
    <cellStyle name="Currency 5 3 2 2 5 2" xfId="25543"/>
    <cellStyle name="Currency 5 3 2 2 5 2 2" xfId="25544"/>
    <cellStyle name="Currency 5 3 2 2 5 2 3" xfId="25545"/>
    <cellStyle name="Currency 5 3 2 2 5 3" xfId="25546"/>
    <cellStyle name="Currency 5 3 2 2 5 3 2" xfId="25547"/>
    <cellStyle name="Currency 5 3 2 2 5 3 3" xfId="25548"/>
    <cellStyle name="Currency 5 3 2 2 5 4" xfId="25549"/>
    <cellStyle name="Currency 5 3 2 2 5 5" xfId="25550"/>
    <cellStyle name="Currency 5 3 2 2 6" xfId="25551"/>
    <cellStyle name="Currency 5 3 2 2 6 2" xfId="25552"/>
    <cellStyle name="Currency 5 3 2 2 6 3" xfId="25553"/>
    <cellStyle name="Currency 5 3 2 2 7" xfId="25554"/>
    <cellStyle name="Currency 5 3 2 2 7 2" xfId="25555"/>
    <cellStyle name="Currency 5 3 2 2 7 3" xfId="25556"/>
    <cellStyle name="Currency 5 3 2 2 8" xfId="25557"/>
    <cellStyle name="Currency 5 3 2 2 9" xfId="25558"/>
    <cellStyle name="Currency 5 3 2 3" xfId="25559"/>
    <cellStyle name="Currency 5 3 2 3 2" xfId="25560"/>
    <cellStyle name="Currency 5 3 2 3 2 2" xfId="25561"/>
    <cellStyle name="Currency 5 3 2 3 2 2 2" xfId="25562"/>
    <cellStyle name="Currency 5 3 2 3 2 2 2 2" xfId="25563"/>
    <cellStyle name="Currency 5 3 2 3 2 2 2 3" xfId="25564"/>
    <cellStyle name="Currency 5 3 2 3 2 2 3" xfId="25565"/>
    <cellStyle name="Currency 5 3 2 3 2 2 3 2" xfId="25566"/>
    <cellStyle name="Currency 5 3 2 3 2 2 3 3" xfId="25567"/>
    <cellStyle name="Currency 5 3 2 3 2 2 4" xfId="25568"/>
    <cellStyle name="Currency 5 3 2 3 2 2 5" xfId="25569"/>
    <cellStyle name="Currency 5 3 2 3 2 3" xfId="25570"/>
    <cellStyle name="Currency 5 3 2 3 2 3 2" xfId="25571"/>
    <cellStyle name="Currency 5 3 2 3 2 3 3" xfId="25572"/>
    <cellStyle name="Currency 5 3 2 3 2 4" xfId="25573"/>
    <cellStyle name="Currency 5 3 2 3 2 4 2" xfId="25574"/>
    <cellStyle name="Currency 5 3 2 3 2 4 3" xfId="25575"/>
    <cellStyle name="Currency 5 3 2 3 2 5" xfId="25576"/>
    <cellStyle name="Currency 5 3 2 3 2 6" xfId="25577"/>
    <cellStyle name="Currency 5 3 2 3 3" xfId="25578"/>
    <cellStyle name="Currency 5 3 2 3 3 2" xfId="25579"/>
    <cellStyle name="Currency 5 3 2 3 3 2 2" xfId="25580"/>
    <cellStyle name="Currency 5 3 2 3 3 2 2 2" xfId="25581"/>
    <cellStyle name="Currency 5 3 2 3 3 2 2 3" xfId="25582"/>
    <cellStyle name="Currency 5 3 2 3 3 2 3" xfId="25583"/>
    <cellStyle name="Currency 5 3 2 3 3 2 3 2" xfId="25584"/>
    <cellStyle name="Currency 5 3 2 3 3 2 3 3" xfId="25585"/>
    <cellStyle name="Currency 5 3 2 3 3 2 4" xfId="25586"/>
    <cellStyle name="Currency 5 3 2 3 3 2 5" xfId="25587"/>
    <cellStyle name="Currency 5 3 2 3 3 3" xfId="25588"/>
    <cellStyle name="Currency 5 3 2 3 3 3 2" xfId="25589"/>
    <cellStyle name="Currency 5 3 2 3 3 3 3" xfId="25590"/>
    <cellStyle name="Currency 5 3 2 3 3 4" xfId="25591"/>
    <cellStyle name="Currency 5 3 2 3 3 4 2" xfId="25592"/>
    <cellStyle name="Currency 5 3 2 3 3 4 3" xfId="25593"/>
    <cellStyle name="Currency 5 3 2 3 3 5" xfId="25594"/>
    <cellStyle name="Currency 5 3 2 3 3 6" xfId="25595"/>
    <cellStyle name="Currency 5 3 2 3 4" xfId="25596"/>
    <cellStyle name="Currency 5 3 2 3 4 2" xfId="25597"/>
    <cellStyle name="Currency 5 3 2 3 4 2 2" xfId="25598"/>
    <cellStyle name="Currency 5 3 2 3 4 2 3" xfId="25599"/>
    <cellStyle name="Currency 5 3 2 3 4 3" xfId="25600"/>
    <cellStyle name="Currency 5 3 2 3 4 3 2" xfId="25601"/>
    <cellStyle name="Currency 5 3 2 3 4 3 3" xfId="25602"/>
    <cellStyle name="Currency 5 3 2 3 4 4" xfId="25603"/>
    <cellStyle name="Currency 5 3 2 3 4 5" xfId="25604"/>
    <cellStyle name="Currency 5 3 2 3 5" xfId="25605"/>
    <cellStyle name="Currency 5 3 2 3 5 2" xfId="25606"/>
    <cellStyle name="Currency 5 3 2 3 5 3" xfId="25607"/>
    <cellStyle name="Currency 5 3 2 3 6" xfId="25608"/>
    <cellStyle name="Currency 5 3 2 3 6 2" xfId="25609"/>
    <cellStyle name="Currency 5 3 2 3 6 3" xfId="25610"/>
    <cellStyle name="Currency 5 3 2 3 7" xfId="25611"/>
    <cellStyle name="Currency 5 3 2 3 8" xfId="25612"/>
    <cellStyle name="Currency 5 3 2 4" xfId="25613"/>
    <cellStyle name="Currency 5 3 2 4 2" xfId="25614"/>
    <cellStyle name="Currency 5 3 2 4 2 2" xfId="25615"/>
    <cellStyle name="Currency 5 3 2 4 2 2 2" xfId="25616"/>
    <cellStyle name="Currency 5 3 2 4 2 2 3" xfId="25617"/>
    <cellStyle name="Currency 5 3 2 4 2 3" xfId="25618"/>
    <cellStyle name="Currency 5 3 2 4 2 3 2" xfId="25619"/>
    <cellStyle name="Currency 5 3 2 4 2 3 3" xfId="25620"/>
    <cellStyle name="Currency 5 3 2 4 2 4" xfId="25621"/>
    <cellStyle name="Currency 5 3 2 4 2 5" xfId="25622"/>
    <cellStyle name="Currency 5 3 2 4 3" xfId="25623"/>
    <cellStyle name="Currency 5 3 2 4 3 2" xfId="25624"/>
    <cellStyle name="Currency 5 3 2 4 3 3" xfId="25625"/>
    <cellStyle name="Currency 5 3 2 4 4" xfId="25626"/>
    <cellStyle name="Currency 5 3 2 4 4 2" xfId="25627"/>
    <cellStyle name="Currency 5 3 2 4 4 3" xfId="25628"/>
    <cellStyle name="Currency 5 3 2 4 5" xfId="25629"/>
    <cellStyle name="Currency 5 3 2 4 6" xfId="25630"/>
    <cellStyle name="Currency 5 3 2 5" xfId="25631"/>
    <cellStyle name="Currency 5 3 2 5 2" xfId="25632"/>
    <cellStyle name="Currency 5 3 2 5 2 2" xfId="25633"/>
    <cellStyle name="Currency 5 3 2 5 2 2 2" xfId="25634"/>
    <cellStyle name="Currency 5 3 2 5 2 2 3" xfId="25635"/>
    <cellStyle name="Currency 5 3 2 5 2 3" xfId="25636"/>
    <cellStyle name="Currency 5 3 2 5 2 3 2" xfId="25637"/>
    <cellStyle name="Currency 5 3 2 5 2 3 3" xfId="25638"/>
    <cellStyle name="Currency 5 3 2 5 2 4" xfId="25639"/>
    <cellStyle name="Currency 5 3 2 5 2 5" xfId="25640"/>
    <cellStyle name="Currency 5 3 2 5 3" xfId="25641"/>
    <cellStyle name="Currency 5 3 2 5 3 2" xfId="25642"/>
    <cellStyle name="Currency 5 3 2 5 3 3" xfId="25643"/>
    <cellStyle name="Currency 5 3 2 5 4" xfId="25644"/>
    <cellStyle name="Currency 5 3 2 5 4 2" xfId="25645"/>
    <cellStyle name="Currency 5 3 2 5 4 3" xfId="25646"/>
    <cellStyle name="Currency 5 3 2 5 5" xfId="25647"/>
    <cellStyle name="Currency 5 3 2 5 6" xfId="25648"/>
    <cellStyle name="Currency 5 3 2 6" xfId="25649"/>
    <cellStyle name="Currency 5 3 2 6 2" xfId="25650"/>
    <cellStyle name="Currency 5 3 2 6 2 2" xfId="25651"/>
    <cellStyle name="Currency 5 3 2 6 2 3" xfId="25652"/>
    <cellStyle name="Currency 5 3 2 6 3" xfId="25653"/>
    <cellStyle name="Currency 5 3 2 6 3 2" xfId="25654"/>
    <cellStyle name="Currency 5 3 2 6 3 3" xfId="25655"/>
    <cellStyle name="Currency 5 3 2 6 4" xfId="25656"/>
    <cellStyle name="Currency 5 3 2 6 5" xfId="25657"/>
    <cellStyle name="Currency 5 3 2 7" xfId="25658"/>
    <cellStyle name="Currency 5 3 2 7 2" xfId="25659"/>
    <cellStyle name="Currency 5 3 2 7 3" xfId="25660"/>
    <cellStyle name="Currency 5 3 2 8" xfId="25661"/>
    <cellStyle name="Currency 5 3 2 8 2" xfId="25662"/>
    <cellStyle name="Currency 5 3 2 8 3" xfId="25663"/>
    <cellStyle name="Currency 5 3 2 9" xfId="25664"/>
    <cellStyle name="Currency 5 3 3" xfId="25665"/>
    <cellStyle name="Currency 5 3 3 10" xfId="25666"/>
    <cellStyle name="Currency 5 3 3 2" xfId="25667"/>
    <cellStyle name="Currency 5 3 3 2 2" xfId="25668"/>
    <cellStyle name="Currency 5 3 3 2 2 2" xfId="25669"/>
    <cellStyle name="Currency 5 3 3 2 2 2 2" xfId="25670"/>
    <cellStyle name="Currency 5 3 3 2 2 2 2 2" xfId="25671"/>
    <cellStyle name="Currency 5 3 3 2 2 2 2 2 2" xfId="25672"/>
    <cellStyle name="Currency 5 3 3 2 2 2 2 2 3" xfId="25673"/>
    <cellStyle name="Currency 5 3 3 2 2 2 2 3" xfId="25674"/>
    <cellStyle name="Currency 5 3 3 2 2 2 2 3 2" xfId="25675"/>
    <cellStyle name="Currency 5 3 3 2 2 2 2 3 3" xfId="25676"/>
    <cellStyle name="Currency 5 3 3 2 2 2 2 4" xfId="25677"/>
    <cellStyle name="Currency 5 3 3 2 2 2 2 5" xfId="25678"/>
    <cellStyle name="Currency 5 3 3 2 2 2 3" xfId="25679"/>
    <cellStyle name="Currency 5 3 3 2 2 2 3 2" xfId="25680"/>
    <cellStyle name="Currency 5 3 3 2 2 2 3 3" xfId="25681"/>
    <cellStyle name="Currency 5 3 3 2 2 2 4" xfId="25682"/>
    <cellStyle name="Currency 5 3 3 2 2 2 4 2" xfId="25683"/>
    <cellStyle name="Currency 5 3 3 2 2 2 4 3" xfId="25684"/>
    <cellStyle name="Currency 5 3 3 2 2 2 5" xfId="25685"/>
    <cellStyle name="Currency 5 3 3 2 2 2 6" xfId="25686"/>
    <cellStyle name="Currency 5 3 3 2 2 3" xfId="25687"/>
    <cellStyle name="Currency 5 3 3 2 2 3 2" xfId="25688"/>
    <cellStyle name="Currency 5 3 3 2 2 3 2 2" xfId="25689"/>
    <cellStyle name="Currency 5 3 3 2 2 3 2 2 2" xfId="25690"/>
    <cellStyle name="Currency 5 3 3 2 2 3 2 2 3" xfId="25691"/>
    <cellStyle name="Currency 5 3 3 2 2 3 2 3" xfId="25692"/>
    <cellStyle name="Currency 5 3 3 2 2 3 2 3 2" xfId="25693"/>
    <cellStyle name="Currency 5 3 3 2 2 3 2 3 3" xfId="25694"/>
    <cellStyle name="Currency 5 3 3 2 2 3 2 4" xfId="25695"/>
    <cellStyle name="Currency 5 3 3 2 2 3 2 5" xfId="25696"/>
    <cellStyle name="Currency 5 3 3 2 2 3 3" xfId="25697"/>
    <cellStyle name="Currency 5 3 3 2 2 3 3 2" xfId="25698"/>
    <cellStyle name="Currency 5 3 3 2 2 3 3 3" xfId="25699"/>
    <cellStyle name="Currency 5 3 3 2 2 3 4" xfId="25700"/>
    <cellStyle name="Currency 5 3 3 2 2 3 4 2" xfId="25701"/>
    <cellStyle name="Currency 5 3 3 2 2 3 4 3" xfId="25702"/>
    <cellStyle name="Currency 5 3 3 2 2 3 5" xfId="25703"/>
    <cellStyle name="Currency 5 3 3 2 2 3 6" xfId="25704"/>
    <cellStyle name="Currency 5 3 3 2 2 4" xfId="25705"/>
    <cellStyle name="Currency 5 3 3 2 2 4 2" xfId="25706"/>
    <cellStyle name="Currency 5 3 3 2 2 4 2 2" xfId="25707"/>
    <cellStyle name="Currency 5 3 3 2 2 4 2 3" xfId="25708"/>
    <cellStyle name="Currency 5 3 3 2 2 4 3" xfId="25709"/>
    <cellStyle name="Currency 5 3 3 2 2 4 3 2" xfId="25710"/>
    <cellStyle name="Currency 5 3 3 2 2 4 3 3" xfId="25711"/>
    <cellStyle name="Currency 5 3 3 2 2 4 4" xfId="25712"/>
    <cellStyle name="Currency 5 3 3 2 2 4 5" xfId="25713"/>
    <cellStyle name="Currency 5 3 3 2 2 5" xfId="25714"/>
    <cellStyle name="Currency 5 3 3 2 2 5 2" xfId="25715"/>
    <cellStyle name="Currency 5 3 3 2 2 5 3" xfId="25716"/>
    <cellStyle name="Currency 5 3 3 2 2 6" xfId="25717"/>
    <cellStyle name="Currency 5 3 3 2 2 6 2" xfId="25718"/>
    <cellStyle name="Currency 5 3 3 2 2 6 3" xfId="25719"/>
    <cellStyle name="Currency 5 3 3 2 2 7" xfId="25720"/>
    <cellStyle name="Currency 5 3 3 2 2 8" xfId="25721"/>
    <cellStyle name="Currency 5 3 3 2 3" xfId="25722"/>
    <cellStyle name="Currency 5 3 3 2 3 2" xfId="25723"/>
    <cellStyle name="Currency 5 3 3 2 3 2 2" xfId="25724"/>
    <cellStyle name="Currency 5 3 3 2 3 2 2 2" xfId="25725"/>
    <cellStyle name="Currency 5 3 3 2 3 2 2 3" xfId="25726"/>
    <cellStyle name="Currency 5 3 3 2 3 2 3" xfId="25727"/>
    <cellStyle name="Currency 5 3 3 2 3 2 3 2" xfId="25728"/>
    <cellStyle name="Currency 5 3 3 2 3 2 3 3" xfId="25729"/>
    <cellStyle name="Currency 5 3 3 2 3 2 4" xfId="25730"/>
    <cellStyle name="Currency 5 3 3 2 3 2 5" xfId="25731"/>
    <cellStyle name="Currency 5 3 3 2 3 3" xfId="25732"/>
    <cellStyle name="Currency 5 3 3 2 3 3 2" xfId="25733"/>
    <cellStyle name="Currency 5 3 3 2 3 3 3" xfId="25734"/>
    <cellStyle name="Currency 5 3 3 2 3 4" xfId="25735"/>
    <cellStyle name="Currency 5 3 3 2 3 4 2" xfId="25736"/>
    <cellStyle name="Currency 5 3 3 2 3 4 3" xfId="25737"/>
    <cellStyle name="Currency 5 3 3 2 3 5" xfId="25738"/>
    <cellStyle name="Currency 5 3 3 2 3 6" xfId="25739"/>
    <cellStyle name="Currency 5 3 3 2 4" xfId="25740"/>
    <cellStyle name="Currency 5 3 3 2 4 2" xfId="25741"/>
    <cellStyle name="Currency 5 3 3 2 4 2 2" xfId="25742"/>
    <cellStyle name="Currency 5 3 3 2 4 2 2 2" xfId="25743"/>
    <cellStyle name="Currency 5 3 3 2 4 2 2 3" xfId="25744"/>
    <cellStyle name="Currency 5 3 3 2 4 2 3" xfId="25745"/>
    <cellStyle name="Currency 5 3 3 2 4 2 3 2" xfId="25746"/>
    <cellStyle name="Currency 5 3 3 2 4 2 3 3" xfId="25747"/>
    <cellStyle name="Currency 5 3 3 2 4 2 4" xfId="25748"/>
    <cellStyle name="Currency 5 3 3 2 4 2 5" xfId="25749"/>
    <cellStyle name="Currency 5 3 3 2 4 3" xfId="25750"/>
    <cellStyle name="Currency 5 3 3 2 4 3 2" xfId="25751"/>
    <cellStyle name="Currency 5 3 3 2 4 3 3" xfId="25752"/>
    <cellStyle name="Currency 5 3 3 2 4 4" xfId="25753"/>
    <cellStyle name="Currency 5 3 3 2 4 4 2" xfId="25754"/>
    <cellStyle name="Currency 5 3 3 2 4 4 3" xfId="25755"/>
    <cellStyle name="Currency 5 3 3 2 4 5" xfId="25756"/>
    <cellStyle name="Currency 5 3 3 2 4 6" xfId="25757"/>
    <cellStyle name="Currency 5 3 3 2 5" xfId="25758"/>
    <cellStyle name="Currency 5 3 3 2 5 2" xfId="25759"/>
    <cellStyle name="Currency 5 3 3 2 5 2 2" xfId="25760"/>
    <cellStyle name="Currency 5 3 3 2 5 2 3" xfId="25761"/>
    <cellStyle name="Currency 5 3 3 2 5 3" xfId="25762"/>
    <cellStyle name="Currency 5 3 3 2 5 3 2" xfId="25763"/>
    <cellStyle name="Currency 5 3 3 2 5 3 3" xfId="25764"/>
    <cellStyle name="Currency 5 3 3 2 5 4" xfId="25765"/>
    <cellStyle name="Currency 5 3 3 2 5 5" xfId="25766"/>
    <cellStyle name="Currency 5 3 3 2 6" xfId="25767"/>
    <cellStyle name="Currency 5 3 3 2 6 2" xfId="25768"/>
    <cellStyle name="Currency 5 3 3 2 6 3" xfId="25769"/>
    <cellStyle name="Currency 5 3 3 2 7" xfId="25770"/>
    <cellStyle name="Currency 5 3 3 2 7 2" xfId="25771"/>
    <cellStyle name="Currency 5 3 3 2 7 3" xfId="25772"/>
    <cellStyle name="Currency 5 3 3 2 8" xfId="25773"/>
    <cellStyle name="Currency 5 3 3 2 9" xfId="25774"/>
    <cellStyle name="Currency 5 3 3 3" xfId="25775"/>
    <cellStyle name="Currency 5 3 3 3 2" xfId="25776"/>
    <cellStyle name="Currency 5 3 3 3 2 2" xfId="25777"/>
    <cellStyle name="Currency 5 3 3 3 2 2 2" xfId="25778"/>
    <cellStyle name="Currency 5 3 3 3 2 2 2 2" xfId="25779"/>
    <cellStyle name="Currency 5 3 3 3 2 2 2 3" xfId="25780"/>
    <cellStyle name="Currency 5 3 3 3 2 2 3" xfId="25781"/>
    <cellStyle name="Currency 5 3 3 3 2 2 3 2" xfId="25782"/>
    <cellStyle name="Currency 5 3 3 3 2 2 3 3" xfId="25783"/>
    <cellStyle name="Currency 5 3 3 3 2 2 4" xfId="25784"/>
    <cellStyle name="Currency 5 3 3 3 2 2 5" xfId="25785"/>
    <cellStyle name="Currency 5 3 3 3 2 3" xfId="25786"/>
    <cellStyle name="Currency 5 3 3 3 2 3 2" xfId="25787"/>
    <cellStyle name="Currency 5 3 3 3 2 3 3" xfId="25788"/>
    <cellStyle name="Currency 5 3 3 3 2 4" xfId="25789"/>
    <cellStyle name="Currency 5 3 3 3 2 4 2" xfId="25790"/>
    <cellStyle name="Currency 5 3 3 3 2 4 3" xfId="25791"/>
    <cellStyle name="Currency 5 3 3 3 2 5" xfId="25792"/>
    <cellStyle name="Currency 5 3 3 3 2 6" xfId="25793"/>
    <cellStyle name="Currency 5 3 3 3 3" xfId="25794"/>
    <cellStyle name="Currency 5 3 3 3 3 2" xfId="25795"/>
    <cellStyle name="Currency 5 3 3 3 3 2 2" xfId="25796"/>
    <cellStyle name="Currency 5 3 3 3 3 2 2 2" xfId="25797"/>
    <cellStyle name="Currency 5 3 3 3 3 2 2 3" xfId="25798"/>
    <cellStyle name="Currency 5 3 3 3 3 2 3" xfId="25799"/>
    <cellStyle name="Currency 5 3 3 3 3 2 3 2" xfId="25800"/>
    <cellStyle name="Currency 5 3 3 3 3 2 3 3" xfId="25801"/>
    <cellStyle name="Currency 5 3 3 3 3 2 4" xfId="25802"/>
    <cellStyle name="Currency 5 3 3 3 3 2 5" xfId="25803"/>
    <cellStyle name="Currency 5 3 3 3 3 3" xfId="25804"/>
    <cellStyle name="Currency 5 3 3 3 3 3 2" xfId="25805"/>
    <cellStyle name="Currency 5 3 3 3 3 3 3" xfId="25806"/>
    <cellStyle name="Currency 5 3 3 3 3 4" xfId="25807"/>
    <cellStyle name="Currency 5 3 3 3 3 4 2" xfId="25808"/>
    <cellStyle name="Currency 5 3 3 3 3 4 3" xfId="25809"/>
    <cellStyle name="Currency 5 3 3 3 3 5" xfId="25810"/>
    <cellStyle name="Currency 5 3 3 3 3 6" xfId="25811"/>
    <cellStyle name="Currency 5 3 3 3 4" xfId="25812"/>
    <cellStyle name="Currency 5 3 3 3 4 2" xfId="25813"/>
    <cellStyle name="Currency 5 3 3 3 4 2 2" xfId="25814"/>
    <cellStyle name="Currency 5 3 3 3 4 2 3" xfId="25815"/>
    <cellStyle name="Currency 5 3 3 3 4 3" xfId="25816"/>
    <cellStyle name="Currency 5 3 3 3 4 3 2" xfId="25817"/>
    <cellStyle name="Currency 5 3 3 3 4 3 3" xfId="25818"/>
    <cellStyle name="Currency 5 3 3 3 4 4" xfId="25819"/>
    <cellStyle name="Currency 5 3 3 3 4 5" xfId="25820"/>
    <cellStyle name="Currency 5 3 3 3 5" xfId="25821"/>
    <cellStyle name="Currency 5 3 3 3 5 2" xfId="25822"/>
    <cellStyle name="Currency 5 3 3 3 5 3" xfId="25823"/>
    <cellStyle name="Currency 5 3 3 3 6" xfId="25824"/>
    <cellStyle name="Currency 5 3 3 3 6 2" xfId="25825"/>
    <cellStyle name="Currency 5 3 3 3 6 3" xfId="25826"/>
    <cellStyle name="Currency 5 3 3 3 7" xfId="25827"/>
    <cellStyle name="Currency 5 3 3 3 8" xfId="25828"/>
    <cellStyle name="Currency 5 3 3 4" xfId="25829"/>
    <cellStyle name="Currency 5 3 3 4 2" xfId="25830"/>
    <cellStyle name="Currency 5 3 3 4 2 2" xfId="25831"/>
    <cellStyle name="Currency 5 3 3 4 2 2 2" xfId="25832"/>
    <cellStyle name="Currency 5 3 3 4 2 2 3" xfId="25833"/>
    <cellStyle name="Currency 5 3 3 4 2 3" xfId="25834"/>
    <cellStyle name="Currency 5 3 3 4 2 3 2" xfId="25835"/>
    <cellStyle name="Currency 5 3 3 4 2 3 3" xfId="25836"/>
    <cellStyle name="Currency 5 3 3 4 2 4" xfId="25837"/>
    <cellStyle name="Currency 5 3 3 4 2 5" xfId="25838"/>
    <cellStyle name="Currency 5 3 3 4 3" xfId="25839"/>
    <cellStyle name="Currency 5 3 3 4 3 2" xfId="25840"/>
    <cellStyle name="Currency 5 3 3 4 3 3" xfId="25841"/>
    <cellStyle name="Currency 5 3 3 4 4" xfId="25842"/>
    <cellStyle name="Currency 5 3 3 4 4 2" xfId="25843"/>
    <cellStyle name="Currency 5 3 3 4 4 3" xfId="25844"/>
    <cellStyle name="Currency 5 3 3 4 5" xfId="25845"/>
    <cellStyle name="Currency 5 3 3 4 6" xfId="25846"/>
    <cellStyle name="Currency 5 3 3 5" xfId="25847"/>
    <cellStyle name="Currency 5 3 3 5 2" xfId="25848"/>
    <cellStyle name="Currency 5 3 3 5 2 2" xfId="25849"/>
    <cellStyle name="Currency 5 3 3 5 2 2 2" xfId="25850"/>
    <cellStyle name="Currency 5 3 3 5 2 2 3" xfId="25851"/>
    <cellStyle name="Currency 5 3 3 5 2 3" xfId="25852"/>
    <cellStyle name="Currency 5 3 3 5 2 3 2" xfId="25853"/>
    <cellStyle name="Currency 5 3 3 5 2 3 3" xfId="25854"/>
    <cellStyle name="Currency 5 3 3 5 2 4" xfId="25855"/>
    <cellStyle name="Currency 5 3 3 5 2 5" xfId="25856"/>
    <cellStyle name="Currency 5 3 3 5 3" xfId="25857"/>
    <cellStyle name="Currency 5 3 3 5 3 2" xfId="25858"/>
    <cellStyle name="Currency 5 3 3 5 3 3" xfId="25859"/>
    <cellStyle name="Currency 5 3 3 5 4" xfId="25860"/>
    <cellStyle name="Currency 5 3 3 5 4 2" xfId="25861"/>
    <cellStyle name="Currency 5 3 3 5 4 3" xfId="25862"/>
    <cellStyle name="Currency 5 3 3 5 5" xfId="25863"/>
    <cellStyle name="Currency 5 3 3 5 6" xfId="25864"/>
    <cellStyle name="Currency 5 3 3 6" xfId="25865"/>
    <cellStyle name="Currency 5 3 3 6 2" xfId="25866"/>
    <cellStyle name="Currency 5 3 3 6 2 2" xfId="25867"/>
    <cellStyle name="Currency 5 3 3 6 2 3" xfId="25868"/>
    <cellStyle name="Currency 5 3 3 6 3" xfId="25869"/>
    <cellStyle name="Currency 5 3 3 6 3 2" xfId="25870"/>
    <cellStyle name="Currency 5 3 3 6 3 3" xfId="25871"/>
    <cellStyle name="Currency 5 3 3 6 4" xfId="25872"/>
    <cellStyle name="Currency 5 3 3 6 5" xfId="25873"/>
    <cellStyle name="Currency 5 3 3 7" xfId="25874"/>
    <cellStyle name="Currency 5 3 3 7 2" xfId="25875"/>
    <cellStyle name="Currency 5 3 3 7 3" xfId="25876"/>
    <cellStyle name="Currency 5 3 3 8" xfId="25877"/>
    <cellStyle name="Currency 5 3 3 8 2" xfId="25878"/>
    <cellStyle name="Currency 5 3 3 8 3" xfId="25879"/>
    <cellStyle name="Currency 5 3 3 9" xfId="25880"/>
    <cellStyle name="Currency 5 3 4" xfId="25881"/>
    <cellStyle name="Currency 5 3 4 2" xfId="25882"/>
    <cellStyle name="Currency 5 3 4 2 2" xfId="25883"/>
    <cellStyle name="Currency 5 3 4 2 2 2" xfId="25884"/>
    <cellStyle name="Currency 5 3 4 2 2 2 2" xfId="25885"/>
    <cellStyle name="Currency 5 3 4 2 2 2 2 2" xfId="25886"/>
    <cellStyle name="Currency 5 3 4 2 2 2 2 3" xfId="25887"/>
    <cellStyle name="Currency 5 3 4 2 2 2 3" xfId="25888"/>
    <cellStyle name="Currency 5 3 4 2 2 2 3 2" xfId="25889"/>
    <cellStyle name="Currency 5 3 4 2 2 2 3 3" xfId="25890"/>
    <cellStyle name="Currency 5 3 4 2 2 2 4" xfId="25891"/>
    <cellStyle name="Currency 5 3 4 2 2 2 5" xfId="25892"/>
    <cellStyle name="Currency 5 3 4 2 2 3" xfId="25893"/>
    <cellStyle name="Currency 5 3 4 2 2 3 2" xfId="25894"/>
    <cellStyle name="Currency 5 3 4 2 2 3 3" xfId="25895"/>
    <cellStyle name="Currency 5 3 4 2 2 4" xfId="25896"/>
    <cellStyle name="Currency 5 3 4 2 2 4 2" xfId="25897"/>
    <cellStyle name="Currency 5 3 4 2 2 4 3" xfId="25898"/>
    <cellStyle name="Currency 5 3 4 2 2 5" xfId="25899"/>
    <cellStyle name="Currency 5 3 4 2 2 6" xfId="25900"/>
    <cellStyle name="Currency 5 3 4 2 3" xfId="25901"/>
    <cellStyle name="Currency 5 3 4 2 3 2" xfId="25902"/>
    <cellStyle name="Currency 5 3 4 2 3 2 2" xfId="25903"/>
    <cellStyle name="Currency 5 3 4 2 3 2 2 2" xfId="25904"/>
    <cellStyle name="Currency 5 3 4 2 3 2 2 3" xfId="25905"/>
    <cellStyle name="Currency 5 3 4 2 3 2 3" xfId="25906"/>
    <cellStyle name="Currency 5 3 4 2 3 2 3 2" xfId="25907"/>
    <cellStyle name="Currency 5 3 4 2 3 2 3 3" xfId="25908"/>
    <cellStyle name="Currency 5 3 4 2 3 2 4" xfId="25909"/>
    <cellStyle name="Currency 5 3 4 2 3 2 5" xfId="25910"/>
    <cellStyle name="Currency 5 3 4 2 3 3" xfId="25911"/>
    <cellStyle name="Currency 5 3 4 2 3 3 2" xfId="25912"/>
    <cellStyle name="Currency 5 3 4 2 3 3 3" xfId="25913"/>
    <cellStyle name="Currency 5 3 4 2 3 4" xfId="25914"/>
    <cellStyle name="Currency 5 3 4 2 3 4 2" xfId="25915"/>
    <cellStyle name="Currency 5 3 4 2 3 4 3" xfId="25916"/>
    <cellStyle name="Currency 5 3 4 2 3 5" xfId="25917"/>
    <cellStyle name="Currency 5 3 4 2 3 6" xfId="25918"/>
    <cellStyle name="Currency 5 3 4 2 4" xfId="25919"/>
    <cellStyle name="Currency 5 3 4 2 4 2" xfId="25920"/>
    <cellStyle name="Currency 5 3 4 2 4 2 2" xfId="25921"/>
    <cellStyle name="Currency 5 3 4 2 4 2 3" xfId="25922"/>
    <cellStyle name="Currency 5 3 4 2 4 3" xfId="25923"/>
    <cellStyle name="Currency 5 3 4 2 4 3 2" xfId="25924"/>
    <cellStyle name="Currency 5 3 4 2 4 3 3" xfId="25925"/>
    <cellStyle name="Currency 5 3 4 2 4 4" xfId="25926"/>
    <cellStyle name="Currency 5 3 4 2 4 5" xfId="25927"/>
    <cellStyle name="Currency 5 3 4 2 5" xfId="25928"/>
    <cellStyle name="Currency 5 3 4 2 5 2" xfId="25929"/>
    <cellStyle name="Currency 5 3 4 2 5 3" xfId="25930"/>
    <cellStyle name="Currency 5 3 4 2 6" xfId="25931"/>
    <cellStyle name="Currency 5 3 4 2 6 2" xfId="25932"/>
    <cellStyle name="Currency 5 3 4 2 6 3" xfId="25933"/>
    <cellStyle name="Currency 5 3 4 2 7" xfId="25934"/>
    <cellStyle name="Currency 5 3 4 2 8" xfId="25935"/>
    <cellStyle name="Currency 5 3 4 3" xfId="25936"/>
    <cellStyle name="Currency 5 3 4 3 2" xfId="25937"/>
    <cellStyle name="Currency 5 3 4 3 2 2" xfId="25938"/>
    <cellStyle name="Currency 5 3 4 3 2 2 2" xfId="25939"/>
    <cellStyle name="Currency 5 3 4 3 2 2 3" xfId="25940"/>
    <cellStyle name="Currency 5 3 4 3 2 3" xfId="25941"/>
    <cellStyle name="Currency 5 3 4 3 2 3 2" xfId="25942"/>
    <cellStyle name="Currency 5 3 4 3 2 3 3" xfId="25943"/>
    <cellStyle name="Currency 5 3 4 3 2 4" xfId="25944"/>
    <cellStyle name="Currency 5 3 4 3 2 5" xfId="25945"/>
    <cellStyle name="Currency 5 3 4 3 3" xfId="25946"/>
    <cellStyle name="Currency 5 3 4 3 3 2" xfId="25947"/>
    <cellStyle name="Currency 5 3 4 3 3 3" xfId="25948"/>
    <cellStyle name="Currency 5 3 4 3 4" xfId="25949"/>
    <cellStyle name="Currency 5 3 4 3 4 2" xfId="25950"/>
    <cellStyle name="Currency 5 3 4 3 4 3" xfId="25951"/>
    <cellStyle name="Currency 5 3 4 3 5" xfId="25952"/>
    <cellStyle name="Currency 5 3 4 3 6" xfId="25953"/>
    <cellStyle name="Currency 5 3 4 4" xfId="25954"/>
    <cellStyle name="Currency 5 3 4 4 2" xfId="25955"/>
    <cellStyle name="Currency 5 3 4 4 2 2" xfId="25956"/>
    <cellStyle name="Currency 5 3 4 4 2 2 2" xfId="25957"/>
    <cellStyle name="Currency 5 3 4 4 2 2 3" xfId="25958"/>
    <cellStyle name="Currency 5 3 4 4 2 3" xfId="25959"/>
    <cellStyle name="Currency 5 3 4 4 2 3 2" xfId="25960"/>
    <cellStyle name="Currency 5 3 4 4 2 3 3" xfId="25961"/>
    <cellStyle name="Currency 5 3 4 4 2 4" xfId="25962"/>
    <cellStyle name="Currency 5 3 4 4 2 5" xfId="25963"/>
    <cellStyle name="Currency 5 3 4 4 3" xfId="25964"/>
    <cellStyle name="Currency 5 3 4 4 3 2" xfId="25965"/>
    <cellStyle name="Currency 5 3 4 4 3 3" xfId="25966"/>
    <cellStyle name="Currency 5 3 4 4 4" xfId="25967"/>
    <cellStyle name="Currency 5 3 4 4 4 2" xfId="25968"/>
    <cellStyle name="Currency 5 3 4 4 4 3" xfId="25969"/>
    <cellStyle name="Currency 5 3 4 4 5" xfId="25970"/>
    <cellStyle name="Currency 5 3 4 4 6" xfId="25971"/>
    <cellStyle name="Currency 5 3 4 5" xfId="25972"/>
    <cellStyle name="Currency 5 3 4 5 2" xfId="25973"/>
    <cellStyle name="Currency 5 3 4 5 2 2" xfId="25974"/>
    <cellStyle name="Currency 5 3 4 5 2 3" xfId="25975"/>
    <cellStyle name="Currency 5 3 4 5 3" xfId="25976"/>
    <cellStyle name="Currency 5 3 4 5 3 2" xfId="25977"/>
    <cellStyle name="Currency 5 3 4 5 3 3" xfId="25978"/>
    <cellStyle name="Currency 5 3 4 5 4" xfId="25979"/>
    <cellStyle name="Currency 5 3 4 5 5" xfId="25980"/>
    <cellStyle name="Currency 5 3 4 6" xfId="25981"/>
    <cellStyle name="Currency 5 3 4 6 2" xfId="25982"/>
    <cellStyle name="Currency 5 3 4 6 3" xfId="25983"/>
    <cellStyle name="Currency 5 3 4 7" xfId="25984"/>
    <cellStyle name="Currency 5 3 4 7 2" xfId="25985"/>
    <cellStyle name="Currency 5 3 4 7 3" xfId="25986"/>
    <cellStyle name="Currency 5 3 4 8" xfId="25987"/>
    <cellStyle name="Currency 5 3 4 9" xfId="25988"/>
    <cellStyle name="Currency 5 3 5" xfId="25989"/>
    <cellStyle name="Currency 5 3 5 2" xfId="25990"/>
    <cellStyle name="Currency 5 3 5 2 2" xfId="25991"/>
    <cellStyle name="Currency 5 3 5 2 2 2" xfId="25992"/>
    <cellStyle name="Currency 5 3 5 2 2 2 2" xfId="25993"/>
    <cellStyle name="Currency 5 3 5 2 2 2 3" xfId="25994"/>
    <cellStyle name="Currency 5 3 5 2 2 3" xfId="25995"/>
    <cellStyle name="Currency 5 3 5 2 2 3 2" xfId="25996"/>
    <cellStyle name="Currency 5 3 5 2 2 3 3" xfId="25997"/>
    <cellStyle name="Currency 5 3 5 2 2 4" xfId="25998"/>
    <cellStyle name="Currency 5 3 5 2 2 5" xfId="25999"/>
    <cellStyle name="Currency 5 3 5 2 3" xfId="26000"/>
    <cellStyle name="Currency 5 3 5 2 3 2" xfId="26001"/>
    <cellStyle name="Currency 5 3 5 2 3 3" xfId="26002"/>
    <cellStyle name="Currency 5 3 5 2 4" xfId="26003"/>
    <cellStyle name="Currency 5 3 5 2 4 2" xfId="26004"/>
    <cellStyle name="Currency 5 3 5 2 4 3" xfId="26005"/>
    <cellStyle name="Currency 5 3 5 2 5" xfId="26006"/>
    <cellStyle name="Currency 5 3 5 2 6" xfId="26007"/>
    <cellStyle name="Currency 5 3 5 3" xfId="26008"/>
    <cellStyle name="Currency 5 3 5 3 2" xfId="26009"/>
    <cellStyle name="Currency 5 3 5 3 2 2" xfId="26010"/>
    <cellStyle name="Currency 5 3 5 3 2 2 2" xfId="26011"/>
    <cellStyle name="Currency 5 3 5 3 2 2 3" xfId="26012"/>
    <cellStyle name="Currency 5 3 5 3 2 3" xfId="26013"/>
    <cellStyle name="Currency 5 3 5 3 2 3 2" xfId="26014"/>
    <cellStyle name="Currency 5 3 5 3 2 3 3" xfId="26015"/>
    <cellStyle name="Currency 5 3 5 3 2 4" xfId="26016"/>
    <cellStyle name="Currency 5 3 5 3 2 5" xfId="26017"/>
    <cellStyle name="Currency 5 3 5 3 3" xfId="26018"/>
    <cellStyle name="Currency 5 3 5 3 3 2" xfId="26019"/>
    <cellStyle name="Currency 5 3 5 3 3 3" xfId="26020"/>
    <cellStyle name="Currency 5 3 5 3 4" xfId="26021"/>
    <cellStyle name="Currency 5 3 5 3 4 2" xfId="26022"/>
    <cellStyle name="Currency 5 3 5 3 4 3" xfId="26023"/>
    <cellStyle name="Currency 5 3 5 3 5" xfId="26024"/>
    <cellStyle name="Currency 5 3 5 3 6" xfId="26025"/>
    <cellStyle name="Currency 5 3 5 4" xfId="26026"/>
    <cellStyle name="Currency 5 3 5 4 2" xfId="26027"/>
    <cellStyle name="Currency 5 3 5 4 2 2" xfId="26028"/>
    <cellStyle name="Currency 5 3 5 4 2 3" xfId="26029"/>
    <cellStyle name="Currency 5 3 5 4 3" xfId="26030"/>
    <cellStyle name="Currency 5 3 5 4 3 2" xfId="26031"/>
    <cellStyle name="Currency 5 3 5 4 3 3" xfId="26032"/>
    <cellStyle name="Currency 5 3 5 4 4" xfId="26033"/>
    <cellStyle name="Currency 5 3 5 4 5" xfId="26034"/>
    <cellStyle name="Currency 5 3 5 5" xfId="26035"/>
    <cellStyle name="Currency 5 3 5 5 2" xfId="26036"/>
    <cellStyle name="Currency 5 3 5 5 3" xfId="26037"/>
    <cellStyle name="Currency 5 3 5 6" xfId="26038"/>
    <cellStyle name="Currency 5 3 5 6 2" xfId="26039"/>
    <cellStyle name="Currency 5 3 5 6 3" xfId="26040"/>
    <cellStyle name="Currency 5 3 5 7" xfId="26041"/>
    <cellStyle name="Currency 5 3 5 8" xfId="26042"/>
    <cellStyle name="Currency 5 3 6" xfId="26043"/>
    <cellStyle name="Currency 5 3 6 2" xfId="26044"/>
    <cellStyle name="Currency 5 3 6 2 2" xfId="26045"/>
    <cellStyle name="Currency 5 3 6 2 2 2" xfId="26046"/>
    <cellStyle name="Currency 5 3 6 2 2 3" xfId="26047"/>
    <cellStyle name="Currency 5 3 6 2 3" xfId="26048"/>
    <cellStyle name="Currency 5 3 6 2 3 2" xfId="26049"/>
    <cellStyle name="Currency 5 3 6 2 3 3" xfId="26050"/>
    <cellStyle name="Currency 5 3 6 2 4" xfId="26051"/>
    <cellStyle name="Currency 5 3 6 2 5" xfId="26052"/>
    <cellStyle name="Currency 5 3 6 3" xfId="26053"/>
    <cellStyle name="Currency 5 3 6 3 2" xfId="26054"/>
    <cellStyle name="Currency 5 3 6 3 3" xfId="26055"/>
    <cellStyle name="Currency 5 3 6 4" xfId="26056"/>
    <cellStyle name="Currency 5 3 6 4 2" xfId="26057"/>
    <cellStyle name="Currency 5 3 6 4 3" xfId="26058"/>
    <cellStyle name="Currency 5 3 6 5" xfId="26059"/>
    <cellStyle name="Currency 5 3 6 6" xfId="26060"/>
    <cellStyle name="Currency 5 3 7" xfId="26061"/>
    <cellStyle name="Currency 5 3 7 2" xfId="26062"/>
    <cellStyle name="Currency 5 3 7 2 2" xfId="26063"/>
    <cellStyle name="Currency 5 3 7 2 2 2" xfId="26064"/>
    <cellStyle name="Currency 5 3 7 2 2 3" xfId="26065"/>
    <cellStyle name="Currency 5 3 7 2 3" xfId="26066"/>
    <cellStyle name="Currency 5 3 7 2 3 2" xfId="26067"/>
    <cellStyle name="Currency 5 3 7 2 3 3" xfId="26068"/>
    <cellStyle name="Currency 5 3 7 2 4" xfId="26069"/>
    <cellStyle name="Currency 5 3 7 2 5" xfId="26070"/>
    <cellStyle name="Currency 5 3 7 3" xfId="26071"/>
    <cellStyle name="Currency 5 3 7 3 2" xfId="26072"/>
    <cellStyle name="Currency 5 3 7 3 3" xfId="26073"/>
    <cellStyle name="Currency 5 3 7 4" xfId="26074"/>
    <cellStyle name="Currency 5 3 7 4 2" xfId="26075"/>
    <cellStyle name="Currency 5 3 7 4 3" xfId="26076"/>
    <cellStyle name="Currency 5 3 7 5" xfId="26077"/>
    <cellStyle name="Currency 5 3 7 6" xfId="26078"/>
    <cellStyle name="Currency 5 3 8" xfId="26079"/>
    <cellStyle name="Currency 5 3 8 2" xfId="26080"/>
    <cellStyle name="Currency 5 3 8 2 2" xfId="26081"/>
    <cellStyle name="Currency 5 3 8 2 3" xfId="26082"/>
    <cellStyle name="Currency 5 3 8 3" xfId="26083"/>
    <cellStyle name="Currency 5 3 8 3 2" xfId="26084"/>
    <cellStyle name="Currency 5 3 8 3 3" xfId="26085"/>
    <cellStyle name="Currency 5 3 8 4" xfId="26086"/>
    <cellStyle name="Currency 5 3 8 5" xfId="26087"/>
    <cellStyle name="Currency 5 3 9" xfId="26088"/>
    <cellStyle name="Currency 5 3 9 2" xfId="26089"/>
    <cellStyle name="Currency 5 3 9 3" xfId="26090"/>
    <cellStyle name="Currency 5 4" xfId="26091"/>
    <cellStyle name="Currency 5 4 10" xfId="26092"/>
    <cellStyle name="Currency 5 4 2" xfId="26093"/>
    <cellStyle name="Currency 5 4 2 2" xfId="26094"/>
    <cellStyle name="Currency 5 4 2 2 2" xfId="26095"/>
    <cellStyle name="Currency 5 4 2 2 2 2" xfId="26096"/>
    <cellStyle name="Currency 5 4 2 2 2 2 2" xfId="26097"/>
    <cellStyle name="Currency 5 4 2 2 2 2 2 2" xfId="26098"/>
    <cellStyle name="Currency 5 4 2 2 2 2 2 3" xfId="26099"/>
    <cellStyle name="Currency 5 4 2 2 2 2 3" xfId="26100"/>
    <cellStyle name="Currency 5 4 2 2 2 2 3 2" xfId="26101"/>
    <cellStyle name="Currency 5 4 2 2 2 2 3 3" xfId="26102"/>
    <cellStyle name="Currency 5 4 2 2 2 2 4" xfId="26103"/>
    <cellStyle name="Currency 5 4 2 2 2 2 5" xfId="26104"/>
    <cellStyle name="Currency 5 4 2 2 2 3" xfId="26105"/>
    <cellStyle name="Currency 5 4 2 2 2 3 2" xfId="26106"/>
    <cellStyle name="Currency 5 4 2 2 2 3 3" xfId="26107"/>
    <cellStyle name="Currency 5 4 2 2 2 4" xfId="26108"/>
    <cellStyle name="Currency 5 4 2 2 2 4 2" xfId="26109"/>
    <cellStyle name="Currency 5 4 2 2 2 4 3" xfId="26110"/>
    <cellStyle name="Currency 5 4 2 2 2 5" xfId="26111"/>
    <cellStyle name="Currency 5 4 2 2 2 6" xfId="26112"/>
    <cellStyle name="Currency 5 4 2 2 3" xfId="26113"/>
    <cellStyle name="Currency 5 4 2 2 3 2" xfId="26114"/>
    <cellStyle name="Currency 5 4 2 2 3 2 2" xfId="26115"/>
    <cellStyle name="Currency 5 4 2 2 3 2 2 2" xfId="26116"/>
    <cellStyle name="Currency 5 4 2 2 3 2 2 3" xfId="26117"/>
    <cellStyle name="Currency 5 4 2 2 3 2 3" xfId="26118"/>
    <cellStyle name="Currency 5 4 2 2 3 2 3 2" xfId="26119"/>
    <cellStyle name="Currency 5 4 2 2 3 2 3 3" xfId="26120"/>
    <cellStyle name="Currency 5 4 2 2 3 2 4" xfId="26121"/>
    <cellStyle name="Currency 5 4 2 2 3 2 5" xfId="26122"/>
    <cellStyle name="Currency 5 4 2 2 3 3" xfId="26123"/>
    <cellStyle name="Currency 5 4 2 2 3 3 2" xfId="26124"/>
    <cellStyle name="Currency 5 4 2 2 3 3 3" xfId="26125"/>
    <cellStyle name="Currency 5 4 2 2 3 4" xfId="26126"/>
    <cellStyle name="Currency 5 4 2 2 3 4 2" xfId="26127"/>
    <cellStyle name="Currency 5 4 2 2 3 4 3" xfId="26128"/>
    <cellStyle name="Currency 5 4 2 2 3 5" xfId="26129"/>
    <cellStyle name="Currency 5 4 2 2 3 6" xfId="26130"/>
    <cellStyle name="Currency 5 4 2 2 4" xfId="26131"/>
    <cellStyle name="Currency 5 4 2 2 4 2" xfId="26132"/>
    <cellStyle name="Currency 5 4 2 2 4 2 2" xfId="26133"/>
    <cellStyle name="Currency 5 4 2 2 4 2 3" xfId="26134"/>
    <cellStyle name="Currency 5 4 2 2 4 3" xfId="26135"/>
    <cellStyle name="Currency 5 4 2 2 4 3 2" xfId="26136"/>
    <cellStyle name="Currency 5 4 2 2 4 3 3" xfId="26137"/>
    <cellStyle name="Currency 5 4 2 2 4 4" xfId="26138"/>
    <cellStyle name="Currency 5 4 2 2 4 5" xfId="26139"/>
    <cellStyle name="Currency 5 4 2 2 5" xfId="26140"/>
    <cellStyle name="Currency 5 4 2 2 5 2" xfId="26141"/>
    <cellStyle name="Currency 5 4 2 2 5 3" xfId="26142"/>
    <cellStyle name="Currency 5 4 2 2 6" xfId="26143"/>
    <cellStyle name="Currency 5 4 2 2 6 2" xfId="26144"/>
    <cellStyle name="Currency 5 4 2 2 6 3" xfId="26145"/>
    <cellStyle name="Currency 5 4 2 2 7" xfId="26146"/>
    <cellStyle name="Currency 5 4 2 2 8" xfId="26147"/>
    <cellStyle name="Currency 5 4 2 3" xfId="26148"/>
    <cellStyle name="Currency 5 4 2 3 2" xfId="26149"/>
    <cellStyle name="Currency 5 4 2 3 2 2" xfId="26150"/>
    <cellStyle name="Currency 5 4 2 3 2 2 2" xfId="26151"/>
    <cellStyle name="Currency 5 4 2 3 2 2 3" xfId="26152"/>
    <cellStyle name="Currency 5 4 2 3 2 3" xfId="26153"/>
    <cellStyle name="Currency 5 4 2 3 2 3 2" xfId="26154"/>
    <cellStyle name="Currency 5 4 2 3 2 3 3" xfId="26155"/>
    <cellStyle name="Currency 5 4 2 3 2 4" xfId="26156"/>
    <cellStyle name="Currency 5 4 2 3 2 5" xfId="26157"/>
    <cellStyle name="Currency 5 4 2 3 3" xfId="26158"/>
    <cellStyle name="Currency 5 4 2 3 3 2" xfId="26159"/>
    <cellStyle name="Currency 5 4 2 3 3 3" xfId="26160"/>
    <cellStyle name="Currency 5 4 2 3 4" xfId="26161"/>
    <cellStyle name="Currency 5 4 2 3 4 2" xfId="26162"/>
    <cellStyle name="Currency 5 4 2 3 4 3" xfId="26163"/>
    <cellStyle name="Currency 5 4 2 3 5" xfId="26164"/>
    <cellStyle name="Currency 5 4 2 3 6" xfId="26165"/>
    <cellStyle name="Currency 5 4 2 4" xfId="26166"/>
    <cellStyle name="Currency 5 4 2 4 2" xfId="26167"/>
    <cellStyle name="Currency 5 4 2 4 2 2" xfId="26168"/>
    <cellStyle name="Currency 5 4 2 4 2 2 2" xfId="26169"/>
    <cellStyle name="Currency 5 4 2 4 2 2 3" xfId="26170"/>
    <cellStyle name="Currency 5 4 2 4 2 3" xfId="26171"/>
    <cellStyle name="Currency 5 4 2 4 2 3 2" xfId="26172"/>
    <cellStyle name="Currency 5 4 2 4 2 3 3" xfId="26173"/>
    <cellStyle name="Currency 5 4 2 4 2 4" xfId="26174"/>
    <cellStyle name="Currency 5 4 2 4 2 5" xfId="26175"/>
    <cellStyle name="Currency 5 4 2 4 3" xfId="26176"/>
    <cellStyle name="Currency 5 4 2 4 3 2" xfId="26177"/>
    <cellStyle name="Currency 5 4 2 4 3 3" xfId="26178"/>
    <cellStyle name="Currency 5 4 2 4 4" xfId="26179"/>
    <cellStyle name="Currency 5 4 2 4 4 2" xfId="26180"/>
    <cellStyle name="Currency 5 4 2 4 4 3" xfId="26181"/>
    <cellStyle name="Currency 5 4 2 4 5" xfId="26182"/>
    <cellStyle name="Currency 5 4 2 4 6" xfId="26183"/>
    <cellStyle name="Currency 5 4 2 5" xfId="26184"/>
    <cellStyle name="Currency 5 4 2 5 2" xfId="26185"/>
    <cellStyle name="Currency 5 4 2 5 2 2" xfId="26186"/>
    <cellStyle name="Currency 5 4 2 5 2 3" xfId="26187"/>
    <cellStyle name="Currency 5 4 2 5 3" xfId="26188"/>
    <cellStyle name="Currency 5 4 2 5 3 2" xfId="26189"/>
    <cellStyle name="Currency 5 4 2 5 3 3" xfId="26190"/>
    <cellStyle name="Currency 5 4 2 5 4" xfId="26191"/>
    <cellStyle name="Currency 5 4 2 5 5" xfId="26192"/>
    <cellStyle name="Currency 5 4 2 6" xfId="26193"/>
    <cellStyle name="Currency 5 4 2 6 2" xfId="26194"/>
    <cellStyle name="Currency 5 4 2 6 3" xfId="26195"/>
    <cellStyle name="Currency 5 4 2 7" xfId="26196"/>
    <cellStyle name="Currency 5 4 2 7 2" xfId="26197"/>
    <cellStyle name="Currency 5 4 2 7 3" xfId="26198"/>
    <cellStyle name="Currency 5 4 2 8" xfId="26199"/>
    <cellStyle name="Currency 5 4 2 9" xfId="26200"/>
    <cellStyle name="Currency 5 4 3" xfId="26201"/>
    <cellStyle name="Currency 5 4 3 2" xfId="26202"/>
    <cellStyle name="Currency 5 4 3 2 2" xfId="26203"/>
    <cellStyle name="Currency 5 4 3 2 2 2" xfId="26204"/>
    <cellStyle name="Currency 5 4 3 2 2 2 2" xfId="26205"/>
    <cellStyle name="Currency 5 4 3 2 2 2 3" xfId="26206"/>
    <cellStyle name="Currency 5 4 3 2 2 3" xfId="26207"/>
    <cellStyle name="Currency 5 4 3 2 2 3 2" xfId="26208"/>
    <cellStyle name="Currency 5 4 3 2 2 3 3" xfId="26209"/>
    <cellStyle name="Currency 5 4 3 2 2 4" xfId="26210"/>
    <cellStyle name="Currency 5 4 3 2 2 5" xfId="26211"/>
    <cellStyle name="Currency 5 4 3 2 3" xfId="26212"/>
    <cellStyle name="Currency 5 4 3 2 3 2" xfId="26213"/>
    <cellStyle name="Currency 5 4 3 2 3 3" xfId="26214"/>
    <cellStyle name="Currency 5 4 3 2 4" xfId="26215"/>
    <cellStyle name="Currency 5 4 3 2 4 2" xfId="26216"/>
    <cellStyle name="Currency 5 4 3 2 4 3" xfId="26217"/>
    <cellStyle name="Currency 5 4 3 2 5" xfId="26218"/>
    <cellStyle name="Currency 5 4 3 2 6" xfId="26219"/>
    <cellStyle name="Currency 5 4 3 3" xfId="26220"/>
    <cellStyle name="Currency 5 4 3 3 2" xfId="26221"/>
    <cellStyle name="Currency 5 4 3 3 2 2" xfId="26222"/>
    <cellStyle name="Currency 5 4 3 3 2 2 2" xfId="26223"/>
    <cellStyle name="Currency 5 4 3 3 2 2 3" xfId="26224"/>
    <cellStyle name="Currency 5 4 3 3 2 3" xfId="26225"/>
    <cellStyle name="Currency 5 4 3 3 2 3 2" xfId="26226"/>
    <cellStyle name="Currency 5 4 3 3 2 3 3" xfId="26227"/>
    <cellStyle name="Currency 5 4 3 3 2 4" xfId="26228"/>
    <cellStyle name="Currency 5 4 3 3 2 5" xfId="26229"/>
    <cellStyle name="Currency 5 4 3 3 3" xfId="26230"/>
    <cellStyle name="Currency 5 4 3 3 3 2" xfId="26231"/>
    <cellStyle name="Currency 5 4 3 3 3 3" xfId="26232"/>
    <cellStyle name="Currency 5 4 3 3 4" xfId="26233"/>
    <cellStyle name="Currency 5 4 3 3 4 2" xfId="26234"/>
    <cellStyle name="Currency 5 4 3 3 4 3" xfId="26235"/>
    <cellStyle name="Currency 5 4 3 3 5" xfId="26236"/>
    <cellStyle name="Currency 5 4 3 3 6" xfId="26237"/>
    <cellStyle name="Currency 5 4 3 4" xfId="26238"/>
    <cellStyle name="Currency 5 4 3 4 2" xfId="26239"/>
    <cellStyle name="Currency 5 4 3 4 2 2" xfId="26240"/>
    <cellStyle name="Currency 5 4 3 4 2 3" xfId="26241"/>
    <cellStyle name="Currency 5 4 3 4 3" xfId="26242"/>
    <cellStyle name="Currency 5 4 3 4 3 2" xfId="26243"/>
    <cellStyle name="Currency 5 4 3 4 3 3" xfId="26244"/>
    <cellStyle name="Currency 5 4 3 4 4" xfId="26245"/>
    <cellStyle name="Currency 5 4 3 4 5" xfId="26246"/>
    <cellStyle name="Currency 5 4 3 5" xfId="26247"/>
    <cellStyle name="Currency 5 4 3 5 2" xfId="26248"/>
    <cellStyle name="Currency 5 4 3 5 3" xfId="26249"/>
    <cellStyle name="Currency 5 4 3 6" xfId="26250"/>
    <cellStyle name="Currency 5 4 3 6 2" xfId="26251"/>
    <cellStyle name="Currency 5 4 3 6 3" xfId="26252"/>
    <cellStyle name="Currency 5 4 3 7" xfId="26253"/>
    <cellStyle name="Currency 5 4 3 8" xfId="26254"/>
    <cellStyle name="Currency 5 4 4" xfId="26255"/>
    <cellStyle name="Currency 5 4 4 2" xfId="26256"/>
    <cellStyle name="Currency 5 4 4 2 2" xfId="26257"/>
    <cellStyle name="Currency 5 4 4 2 2 2" xfId="26258"/>
    <cellStyle name="Currency 5 4 4 2 2 3" xfId="26259"/>
    <cellStyle name="Currency 5 4 4 2 3" xfId="26260"/>
    <cellStyle name="Currency 5 4 4 2 3 2" xfId="26261"/>
    <cellStyle name="Currency 5 4 4 2 3 3" xfId="26262"/>
    <cellStyle name="Currency 5 4 4 2 4" xfId="26263"/>
    <cellStyle name="Currency 5 4 4 2 5" xfId="26264"/>
    <cellStyle name="Currency 5 4 4 3" xfId="26265"/>
    <cellStyle name="Currency 5 4 4 3 2" xfId="26266"/>
    <cellStyle name="Currency 5 4 4 3 3" xfId="26267"/>
    <cellStyle name="Currency 5 4 4 4" xfId="26268"/>
    <cellStyle name="Currency 5 4 4 4 2" xfId="26269"/>
    <cellStyle name="Currency 5 4 4 4 3" xfId="26270"/>
    <cellStyle name="Currency 5 4 4 5" xfId="26271"/>
    <cellStyle name="Currency 5 4 4 6" xfId="26272"/>
    <cellStyle name="Currency 5 4 5" xfId="26273"/>
    <cellStyle name="Currency 5 4 5 2" xfId="26274"/>
    <cellStyle name="Currency 5 4 5 2 2" xfId="26275"/>
    <cellStyle name="Currency 5 4 5 2 2 2" xfId="26276"/>
    <cellStyle name="Currency 5 4 5 2 2 3" xfId="26277"/>
    <cellStyle name="Currency 5 4 5 2 3" xfId="26278"/>
    <cellStyle name="Currency 5 4 5 2 3 2" xfId="26279"/>
    <cellStyle name="Currency 5 4 5 2 3 3" xfId="26280"/>
    <cellStyle name="Currency 5 4 5 2 4" xfId="26281"/>
    <cellStyle name="Currency 5 4 5 2 5" xfId="26282"/>
    <cellStyle name="Currency 5 4 5 3" xfId="26283"/>
    <cellStyle name="Currency 5 4 5 3 2" xfId="26284"/>
    <cellStyle name="Currency 5 4 5 3 3" xfId="26285"/>
    <cellStyle name="Currency 5 4 5 4" xfId="26286"/>
    <cellStyle name="Currency 5 4 5 4 2" xfId="26287"/>
    <cellStyle name="Currency 5 4 5 4 3" xfId="26288"/>
    <cellStyle name="Currency 5 4 5 5" xfId="26289"/>
    <cellStyle name="Currency 5 4 5 6" xfId="26290"/>
    <cellStyle name="Currency 5 4 6" xfId="26291"/>
    <cellStyle name="Currency 5 4 6 2" xfId="26292"/>
    <cellStyle name="Currency 5 4 6 2 2" xfId="26293"/>
    <cellStyle name="Currency 5 4 6 2 3" xfId="26294"/>
    <cellStyle name="Currency 5 4 6 3" xfId="26295"/>
    <cellStyle name="Currency 5 4 6 3 2" xfId="26296"/>
    <cellStyle name="Currency 5 4 6 3 3" xfId="26297"/>
    <cellStyle name="Currency 5 4 6 4" xfId="26298"/>
    <cellStyle name="Currency 5 4 6 5" xfId="26299"/>
    <cellStyle name="Currency 5 4 7" xfId="26300"/>
    <cellStyle name="Currency 5 4 7 2" xfId="26301"/>
    <cellStyle name="Currency 5 4 7 3" xfId="26302"/>
    <cellStyle name="Currency 5 4 8" xfId="26303"/>
    <cellStyle name="Currency 5 4 8 2" xfId="26304"/>
    <cellStyle name="Currency 5 4 8 3" xfId="26305"/>
    <cellStyle name="Currency 5 4 9" xfId="26306"/>
    <cellStyle name="Currency 5 5" xfId="26307"/>
    <cellStyle name="Currency 5 5 10" xfId="26308"/>
    <cellStyle name="Currency 5 5 2" xfId="26309"/>
    <cellStyle name="Currency 5 5 2 2" xfId="26310"/>
    <cellStyle name="Currency 5 5 2 2 2" xfId="26311"/>
    <cellStyle name="Currency 5 5 2 2 2 2" xfId="26312"/>
    <cellStyle name="Currency 5 5 2 2 2 2 2" xfId="26313"/>
    <cellStyle name="Currency 5 5 2 2 2 2 2 2" xfId="26314"/>
    <cellStyle name="Currency 5 5 2 2 2 2 2 3" xfId="26315"/>
    <cellStyle name="Currency 5 5 2 2 2 2 3" xfId="26316"/>
    <cellStyle name="Currency 5 5 2 2 2 2 3 2" xfId="26317"/>
    <cellStyle name="Currency 5 5 2 2 2 2 3 3" xfId="26318"/>
    <cellStyle name="Currency 5 5 2 2 2 2 4" xfId="26319"/>
    <cellStyle name="Currency 5 5 2 2 2 2 5" xfId="26320"/>
    <cellStyle name="Currency 5 5 2 2 2 3" xfId="26321"/>
    <cellStyle name="Currency 5 5 2 2 2 3 2" xfId="26322"/>
    <cellStyle name="Currency 5 5 2 2 2 3 3" xfId="26323"/>
    <cellStyle name="Currency 5 5 2 2 2 4" xfId="26324"/>
    <cellStyle name="Currency 5 5 2 2 2 4 2" xfId="26325"/>
    <cellStyle name="Currency 5 5 2 2 2 4 3" xfId="26326"/>
    <cellStyle name="Currency 5 5 2 2 2 5" xfId="26327"/>
    <cellStyle name="Currency 5 5 2 2 2 6" xfId="26328"/>
    <cellStyle name="Currency 5 5 2 2 3" xfId="26329"/>
    <cellStyle name="Currency 5 5 2 2 3 2" xfId="26330"/>
    <cellStyle name="Currency 5 5 2 2 3 2 2" xfId="26331"/>
    <cellStyle name="Currency 5 5 2 2 3 2 2 2" xfId="26332"/>
    <cellStyle name="Currency 5 5 2 2 3 2 2 3" xfId="26333"/>
    <cellStyle name="Currency 5 5 2 2 3 2 3" xfId="26334"/>
    <cellStyle name="Currency 5 5 2 2 3 2 3 2" xfId="26335"/>
    <cellStyle name="Currency 5 5 2 2 3 2 3 3" xfId="26336"/>
    <cellStyle name="Currency 5 5 2 2 3 2 4" xfId="26337"/>
    <cellStyle name="Currency 5 5 2 2 3 2 5" xfId="26338"/>
    <cellStyle name="Currency 5 5 2 2 3 3" xfId="26339"/>
    <cellStyle name="Currency 5 5 2 2 3 3 2" xfId="26340"/>
    <cellStyle name="Currency 5 5 2 2 3 3 3" xfId="26341"/>
    <cellStyle name="Currency 5 5 2 2 3 4" xfId="26342"/>
    <cellStyle name="Currency 5 5 2 2 3 4 2" xfId="26343"/>
    <cellStyle name="Currency 5 5 2 2 3 4 3" xfId="26344"/>
    <cellStyle name="Currency 5 5 2 2 3 5" xfId="26345"/>
    <cellStyle name="Currency 5 5 2 2 3 6" xfId="26346"/>
    <cellStyle name="Currency 5 5 2 2 4" xfId="26347"/>
    <cellStyle name="Currency 5 5 2 2 4 2" xfId="26348"/>
    <cellStyle name="Currency 5 5 2 2 4 2 2" xfId="26349"/>
    <cellStyle name="Currency 5 5 2 2 4 2 3" xfId="26350"/>
    <cellStyle name="Currency 5 5 2 2 4 3" xfId="26351"/>
    <cellStyle name="Currency 5 5 2 2 4 3 2" xfId="26352"/>
    <cellStyle name="Currency 5 5 2 2 4 3 3" xfId="26353"/>
    <cellStyle name="Currency 5 5 2 2 4 4" xfId="26354"/>
    <cellStyle name="Currency 5 5 2 2 4 5" xfId="26355"/>
    <cellStyle name="Currency 5 5 2 2 5" xfId="26356"/>
    <cellStyle name="Currency 5 5 2 2 5 2" xfId="26357"/>
    <cellStyle name="Currency 5 5 2 2 5 3" xfId="26358"/>
    <cellStyle name="Currency 5 5 2 2 6" xfId="26359"/>
    <cellStyle name="Currency 5 5 2 2 6 2" xfId="26360"/>
    <cellStyle name="Currency 5 5 2 2 6 3" xfId="26361"/>
    <cellStyle name="Currency 5 5 2 2 7" xfId="26362"/>
    <cellStyle name="Currency 5 5 2 2 8" xfId="26363"/>
    <cellStyle name="Currency 5 5 2 3" xfId="26364"/>
    <cellStyle name="Currency 5 5 2 3 2" xfId="26365"/>
    <cellStyle name="Currency 5 5 2 3 2 2" xfId="26366"/>
    <cellStyle name="Currency 5 5 2 3 2 2 2" xfId="26367"/>
    <cellStyle name="Currency 5 5 2 3 2 2 3" xfId="26368"/>
    <cellStyle name="Currency 5 5 2 3 2 3" xfId="26369"/>
    <cellStyle name="Currency 5 5 2 3 2 3 2" xfId="26370"/>
    <cellStyle name="Currency 5 5 2 3 2 3 3" xfId="26371"/>
    <cellStyle name="Currency 5 5 2 3 2 4" xfId="26372"/>
    <cellStyle name="Currency 5 5 2 3 2 5" xfId="26373"/>
    <cellStyle name="Currency 5 5 2 3 3" xfId="26374"/>
    <cellStyle name="Currency 5 5 2 3 3 2" xfId="26375"/>
    <cellStyle name="Currency 5 5 2 3 3 3" xfId="26376"/>
    <cellStyle name="Currency 5 5 2 3 4" xfId="26377"/>
    <cellStyle name="Currency 5 5 2 3 4 2" xfId="26378"/>
    <cellStyle name="Currency 5 5 2 3 4 3" xfId="26379"/>
    <cellStyle name="Currency 5 5 2 3 5" xfId="26380"/>
    <cellStyle name="Currency 5 5 2 3 6" xfId="26381"/>
    <cellStyle name="Currency 5 5 2 4" xfId="26382"/>
    <cellStyle name="Currency 5 5 2 4 2" xfId="26383"/>
    <cellStyle name="Currency 5 5 2 4 2 2" xfId="26384"/>
    <cellStyle name="Currency 5 5 2 4 2 2 2" xfId="26385"/>
    <cellStyle name="Currency 5 5 2 4 2 2 3" xfId="26386"/>
    <cellStyle name="Currency 5 5 2 4 2 3" xfId="26387"/>
    <cellStyle name="Currency 5 5 2 4 2 3 2" xfId="26388"/>
    <cellStyle name="Currency 5 5 2 4 2 3 3" xfId="26389"/>
    <cellStyle name="Currency 5 5 2 4 2 4" xfId="26390"/>
    <cellStyle name="Currency 5 5 2 4 2 5" xfId="26391"/>
    <cellStyle name="Currency 5 5 2 4 3" xfId="26392"/>
    <cellStyle name="Currency 5 5 2 4 3 2" xfId="26393"/>
    <cellStyle name="Currency 5 5 2 4 3 3" xfId="26394"/>
    <cellStyle name="Currency 5 5 2 4 4" xfId="26395"/>
    <cellStyle name="Currency 5 5 2 4 4 2" xfId="26396"/>
    <cellStyle name="Currency 5 5 2 4 4 3" xfId="26397"/>
    <cellStyle name="Currency 5 5 2 4 5" xfId="26398"/>
    <cellStyle name="Currency 5 5 2 4 6" xfId="26399"/>
    <cellStyle name="Currency 5 5 2 5" xfId="26400"/>
    <cellStyle name="Currency 5 5 2 5 2" xfId="26401"/>
    <cellStyle name="Currency 5 5 2 5 2 2" xfId="26402"/>
    <cellStyle name="Currency 5 5 2 5 2 3" xfId="26403"/>
    <cellStyle name="Currency 5 5 2 5 3" xfId="26404"/>
    <cellStyle name="Currency 5 5 2 5 3 2" xfId="26405"/>
    <cellStyle name="Currency 5 5 2 5 3 3" xfId="26406"/>
    <cellStyle name="Currency 5 5 2 5 4" xfId="26407"/>
    <cellStyle name="Currency 5 5 2 5 5" xfId="26408"/>
    <cellStyle name="Currency 5 5 2 6" xfId="26409"/>
    <cellStyle name="Currency 5 5 2 6 2" xfId="26410"/>
    <cellStyle name="Currency 5 5 2 6 3" xfId="26411"/>
    <cellStyle name="Currency 5 5 2 7" xfId="26412"/>
    <cellStyle name="Currency 5 5 2 7 2" xfId="26413"/>
    <cellStyle name="Currency 5 5 2 7 3" xfId="26414"/>
    <cellStyle name="Currency 5 5 2 8" xfId="26415"/>
    <cellStyle name="Currency 5 5 2 9" xfId="26416"/>
    <cellStyle name="Currency 5 5 3" xfId="26417"/>
    <cellStyle name="Currency 5 5 3 2" xfId="26418"/>
    <cellStyle name="Currency 5 5 3 2 2" xfId="26419"/>
    <cellStyle name="Currency 5 5 3 2 2 2" xfId="26420"/>
    <cellStyle name="Currency 5 5 3 2 2 2 2" xfId="26421"/>
    <cellStyle name="Currency 5 5 3 2 2 2 3" xfId="26422"/>
    <cellStyle name="Currency 5 5 3 2 2 3" xfId="26423"/>
    <cellStyle name="Currency 5 5 3 2 2 3 2" xfId="26424"/>
    <cellStyle name="Currency 5 5 3 2 2 3 3" xfId="26425"/>
    <cellStyle name="Currency 5 5 3 2 2 4" xfId="26426"/>
    <cellStyle name="Currency 5 5 3 2 2 5" xfId="26427"/>
    <cellStyle name="Currency 5 5 3 2 3" xfId="26428"/>
    <cellStyle name="Currency 5 5 3 2 3 2" xfId="26429"/>
    <cellStyle name="Currency 5 5 3 2 3 3" xfId="26430"/>
    <cellStyle name="Currency 5 5 3 2 4" xfId="26431"/>
    <cellStyle name="Currency 5 5 3 2 4 2" xfId="26432"/>
    <cellStyle name="Currency 5 5 3 2 4 3" xfId="26433"/>
    <cellStyle name="Currency 5 5 3 2 5" xfId="26434"/>
    <cellStyle name="Currency 5 5 3 2 6" xfId="26435"/>
    <cellStyle name="Currency 5 5 3 3" xfId="26436"/>
    <cellStyle name="Currency 5 5 3 3 2" xfId="26437"/>
    <cellStyle name="Currency 5 5 3 3 2 2" xfId="26438"/>
    <cellStyle name="Currency 5 5 3 3 2 2 2" xfId="26439"/>
    <cellStyle name="Currency 5 5 3 3 2 2 3" xfId="26440"/>
    <cellStyle name="Currency 5 5 3 3 2 3" xfId="26441"/>
    <cellStyle name="Currency 5 5 3 3 2 3 2" xfId="26442"/>
    <cellStyle name="Currency 5 5 3 3 2 3 3" xfId="26443"/>
    <cellStyle name="Currency 5 5 3 3 2 4" xfId="26444"/>
    <cellStyle name="Currency 5 5 3 3 2 5" xfId="26445"/>
    <cellStyle name="Currency 5 5 3 3 3" xfId="26446"/>
    <cellStyle name="Currency 5 5 3 3 3 2" xfId="26447"/>
    <cellStyle name="Currency 5 5 3 3 3 3" xfId="26448"/>
    <cellStyle name="Currency 5 5 3 3 4" xfId="26449"/>
    <cellStyle name="Currency 5 5 3 3 4 2" xfId="26450"/>
    <cellStyle name="Currency 5 5 3 3 4 3" xfId="26451"/>
    <cellStyle name="Currency 5 5 3 3 5" xfId="26452"/>
    <cellStyle name="Currency 5 5 3 3 6" xfId="26453"/>
    <cellStyle name="Currency 5 5 3 4" xfId="26454"/>
    <cellStyle name="Currency 5 5 3 4 2" xfId="26455"/>
    <cellStyle name="Currency 5 5 3 4 2 2" xfId="26456"/>
    <cellStyle name="Currency 5 5 3 4 2 3" xfId="26457"/>
    <cellStyle name="Currency 5 5 3 4 3" xfId="26458"/>
    <cellStyle name="Currency 5 5 3 4 3 2" xfId="26459"/>
    <cellStyle name="Currency 5 5 3 4 3 3" xfId="26460"/>
    <cellStyle name="Currency 5 5 3 4 4" xfId="26461"/>
    <cellStyle name="Currency 5 5 3 4 5" xfId="26462"/>
    <cellStyle name="Currency 5 5 3 5" xfId="26463"/>
    <cellStyle name="Currency 5 5 3 5 2" xfId="26464"/>
    <cellStyle name="Currency 5 5 3 5 3" xfId="26465"/>
    <cellStyle name="Currency 5 5 3 6" xfId="26466"/>
    <cellStyle name="Currency 5 5 3 6 2" xfId="26467"/>
    <cellStyle name="Currency 5 5 3 6 3" xfId="26468"/>
    <cellStyle name="Currency 5 5 3 7" xfId="26469"/>
    <cellStyle name="Currency 5 5 3 8" xfId="26470"/>
    <cellStyle name="Currency 5 5 4" xfId="26471"/>
    <cellStyle name="Currency 5 5 4 2" xfId="26472"/>
    <cellStyle name="Currency 5 5 4 2 2" xfId="26473"/>
    <cellStyle name="Currency 5 5 4 2 2 2" xfId="26474"/>
    <cellStyle name="Currency 5 5 4 2 2 3" xfId="26475"/>
    <cellStyle name="Currency 5 5 4 2 3" xfId="26476"/>
    <cellStyle name="Currency 5 5 4 2 3 2" xfId="26477"/>
    <cellStyle name="Currency 5 5 4 2 3 3" xfId="26478"/>
    <cellStyle name="Currency 5 5 4 2 4" xfId="26479"/>
    <cellStyle name="Currency 5 5 4 2 5" xfId="26480"/>
    <cellStyle name="Currency 5 5 4 3" xfId="26481"/>
    <cellStyle name="Currency 5 5 4 3 2" xfId="26482"/>
    <cellStyle name="Currency 5 5 4 3 3" xfId="26483"/>
    <cellStyle name="Currency 5 5 4 4" xfId="26484"/>
    <cellStyle name="Currency 5 5 4 4 2" xfId="26485"/>
    <cellStyle name="Currency 5 5 4 4 3" xfId="26486"/>
    <cellStyle name="Currency 5 5 4 5" xfId="26487"/>
    <cellStyle name="Currency 5 5 4 6" xfId="26488"/>
    <cellStyle name="Currency 5 5 5" xfId="26489"/>
    <cellStyle name="Currency 5 5 5 2" xfId="26490"/>
    <cellStyle name="Currency 5 5 5 2 2" xfId="26491"/>
    <cellStyle name="Currency 5 5 5 2 2 2" xfId="26492"/>
    <cellStyle name="Currency 5 5 5 2 2 3" xfId="26493"/>
    <cellStyle name="Currency 5 5 5 2 3" xfId="26494"/>
    <cellStyle name="Currency 5 5 5 2 3 2" xfId="26495"/>
    <cellStyle name="Currency 5 5 5 2 3 3" xfId="26496"/>
    <cellStyle name="Currency 5 5 5 2 4" xfId="26497"/>
    <cellStyle name="Currency 5 5 5 2 5" xfId="26498"/>
    <cellStyle name="Currency 5 5 5 3" xfId="26499"/>
    <cellStyle name="Currency 5 5 5 3 2" xfId="26500"/>
    <cellStyle name="Currency 5 5 5 3 3" xfId="26501"/>
    <cellStyle name="Currency 5 5 5 4" xfId="26502"/>
    <cellStyle name="Currency 5 5 5 4 2" xfId="26503"/>
    <cellStyle name="Currency 5 5 5 4 3" xfId="26504"/>
    <cellStyle name="Currency 5 5 5 5" xfId="26505"/>
    <cellStyle name="Currency 5 5 5 6" xfId="26506"/>
    <cellStyle name="Currency 5 5 6" xfId="26507"/>
    <cellStyle name="Currency 5 5 6 2" xfId="26508"/>
    <cellStyle name="Currency 5 5 6 2 2" xfId="26509"/>
    <cellStyle name="Currency 5 5 6 2 3" xfId="26510"/>
    <cellStyle name="Currency 5 5 6 3" xfId="26511"/>
    <cellStyle name="Currency 5 5 6 3 2" xfId="26512"/>
    <cellStyle name="Currency 5 5 6 3 3" xfId="26513"/>
    <cellStyle name="Currency 5 5 6 4" xfId="26514"/>
    <cellStyle name="Currency 5 5 6 5" xfId="26515"/>
    <cellStyle name="Currency 5 5 7" xfId="26516"/>
    <cellStyle name="Currency 5 5 7 2" xfId="26517"/>
    <cellStyle name="Currency 5 5 7 3" xfId="26518"/>
    <cellStyle name="Currency 5 5 8" xfId="26519"/>
    <cellStyle name="Currency 5 5 8 2" xfId="26520"/>
    <cellStyle name="Currency 5 5 8 3" xfId="26521"/>
    <cellStyle name="Currency 5 5 9" xfId="26522"/>
    <cellStyle name="Currency 5 6" xfId="26523"/>
    <cellStyle name="Currency 5 6 2" xfId="26524"/>
    <cellStyle name="Currency 5 6 2 2" xfId="26525"/>
    <cellStyle name="Currency 5 6 2 2 2" xfId="26526"/>
    <cellStyle name="Currency 5 6 2 2 2 2" xfId="26527"/>
    <cellStyle name="Currency 5 6 2 2 2 2 2" xfId="26528"/>
    <cellStyle name="Currency 5 6 2 2 2 2 3" xfId="26529"/>
    <cellStyle name="Currency 5 6 2 2 2 3" xfId="26530"/>
    <cellStyle name="Currency 5 6 2 2 2 3 2" xfId="26531"/>
    <cellStyle name="Currency 5 6 2 2 2 3 3" xfId="26532"/>
    <cellStyle name="Currency 5 6 2 2 2 4" xfId="26533"/>
    <cellStyle name="Currency 5 6 2 2 2 5" xfId="26534"/>
    <cellStyle name="Currency 5 6 2 2 3" xfId="26535"/>
    <cellStyle name="Currency 5 6 2 2 3 2" xfId="26536"/>
    <cellStyle name="Currency 5 6 2 2 3 3" xfId="26537"/>
    <cellStyle name="Currency 5 6 2 2 4" xfId="26538"/>
    <cellStyle name="Currency 5 6 2 2 4 2" xfId="26539"/>
    <cellStyle name="Currency 5 6 2 2 4 3" xfId="26540"/>
    <cellStyle name="Currency 5 6 2 2 5" xfId="26541"/>
    <cellStyle name="Currency 5 6 2 2 6" xfId="26542"/>
    <cellStyle name="Currency 5 6 2 3" xfId="26543"/>
    <cellStyle name="Currency 5 6 2 3 2" xfId="26544"/>
    <cellStyle name="Currency 5 6 2 3 2 2" xfId="26545"/>
    <cellStyle name="Currency 5 6 2 3 2 2 2" xfId="26546"/>
    <cellStyle name="Currency 5 6 2 3 2 2 3" xfId="26547"/>
    <cellStyle name="Currency 5 6 2 3 2 3" xfId="26548"/>
    <cellStyle name="Currency 5 6 2 3 2 3 2" xfId="26549"/>
    <cellStyle name="Currency 5 6 2 3 2 3 3" xfId="26550"/>
    <cellStyle name="Currency 5 6 2 3 2 4" xfId="26551"/>
    <cellStyle name="Currency 5 6 2 3 2 5" xfId="26552"/>
    <cellStyle name="Currency 5 6 2 3 3" xfId="26553"/>
    <cellStyle name="Currency 5 6 2 3 3 2" xfId="26554"/>
    <cellStyle name="Currency 5 6 2 3 3 3" xfId="26555"/>
    <cellStyle name="Currency 5 6 2 3 4" xfId="26556"/>
    <cellStyle name="Currency 5 6 2 3 4 2" xfId="26557"/>
    <cellStyle name="Currency 5 6 2 3 4 3" xfId="26558"/>
    <cellStyle name="Currency 5 6 2 3 5" xfId="26559"/>
    <cellStyle name="Currency 5 6 2 3 6" xfId="26560"/>
    <cellStyle name="Currency 5 6 2 4" xfId="26561"/>
    <cellStyle name="Currency 5 6 2 4 2" xfId="26562"/>
    <cellStyle name="Currency 5 6 2 4 2 2" xfId="26563"/>
    <cellStyle name="Currency 5 6 2 4 2 3" xfId="26564"/>
    <cellStyle name="Currency 5 6 2 4 3" xfId="26565"/>
    <cellStyle name="Currency 5 6 2 4 3 2" xfId="26566"/>
    <cellStyle name="Currency 5 6 2 4 3 3" xfId="26567"/>
    <cellStyle name="Currency 5 6 2 4 4" xfId="26568"/>
    <cellStyle name="Currency 5 6 2 4 5" xfId="26569"/>
    <cellStyle name="Currency 5 6 2 5" xfId="26570"/>
    <cellStyle name="Currency 5 6 2 5 2" xfId="26571"/>
    <cellStyle name="Currency 5 6 2 5 3" xfId="26572"/>
    <cellStyle name="Currency 5 6 2 6" xfId="26573"/>
    <cellStyle name="Currency 5 6 2 6 2" xfId="26574"/>
    <cellStyle name="Currency 5 6 2 6 3" xfId="26575"/>
    <cellStyle name="Currency 5 6 2 7" xfId="26576"/>
    <cellStyle name="Currency 5 6 2 8" xfId="26577"/>
    <cellStyle name="Currency 5 6 3" xfId="26578"/>
    <cellStyle name="Currency 5 6 3 2" xfId="26579"/>
    <cellStyle name="Currency 5 6 3 2 2" xfId="26580"/>
    <cellStyle name="Currency 5 6 3 2 2 2" xfId="26581"/>
    <cellStyle name="Currency 5 6 3 2 2 3" xfId="26582"/>
    <cellStyle name="Currency 5 6 3 2 3" xfId="26583"/>
    <cellStyle name="Currency 5 6 3 2 3 2" xfId="26584"/>
    <cellStyle name="Currency 5 6 3 2 3 3" xfId="26585"/>
    <cellStyle name="Currency 5 6 3 2 4" xfId="26586"/>
    <cellStyle name="Currency 5 6 3 2 5" xfId="26587"/>
    <cellStyle name="Currency 5 6 3 3" xfId="26588"/>
    <cellStyle name="Currency 5 6 3 3 2" xfId="26589"/>
    <cellStyle name="Currency 5 6 3 3 3" xfId="26590"/>
    <cellStyle name="Currency 5 6 3 4" xfId="26591"/>
    <cellStyle name="Currency 5 6 3 4 2" xfId="26592"/>
    <cellStyle name="Currency 5 6 3 4 3" xfId="26593"/>
    <cellStyle name="Currency 5 6 3 5" xfId="26594"/>
    <cellStyle name="Currency 5 6 3 6" xfId="26595"/>
    <cellStyle name="Currency 5 6 4" xfId="26596"/>
    <cellStyle name="Currency 5 6 4 2" xfId="26597"/>
    <cellStyle name="Currency 5 6 4 2 2" xfId="26598"/>
    <cellStyle name="Currency 5 6 4 2 2 2" xfId="26599"/>
    <cellStyle name="Currency 5 6 4 2 2 3" xfId="26600"/>
    <cellStyle name="Currency 5 6 4 2 3" xfId="26601"/>
    <cellStyle name="Currency 5 6 4 2 3 2" xfId="26602"/>
    <cellStyle name="Currency 5 6 4 2 3 3" xfId="26603"/>
    <cellStyle name="Currency 5 6 4 2 4" xfId="26604"/>
    <cellStyle name="Currency 5 6 4 2 5" xfId="26605"/>
    <cellStyle name="Currency 5 6 4 3" xfId="26606"/>
    <cellStyle name="Currency 5 6 4 3 2" xfId="26607"/>
    <cellStyle name="Currency 5 6 4 3 3" xfId="26608"/>
    <cellStyle name="Currency 5 6 4 4" xfId="26609"/>
    <cellStyle name="Currency 5 6 4 4 2" xfId="26610"/>
    <cellStyle name="Currency 5 6 4 4 3" xfId="26611"/>
    <cellStyle name="Currency 5 6 4 5" xfId="26612"/>
    <cellStyle name="Currency 5 6 4 6" xfId="26613"/>
    <cellStyle name="Currency 5 6 5" xfId="26614"/>
    <cellStyle name="Currency 5 6 5 2" xfId="26615"/>
    <cellStyle name="Currency 5 6 5 2 2" xfId="26616"/>
    <cellStyle name="Currency 5 6 5 2 3" xfId="26617"/>
    <cellStyle name="Currency 5 6 5 3" xfId="26618"/>
    <cellStyle name="Currency 5 6 5 3 2" xfId="26619"/>
    <cellStyle name="Currency 5 6 5 3 3" xfId="26620"/>
    <cellStyle name="Currency 5 6 5 4" xfId="26621"/>
    <cellStyle name="Currency 5 6 5 5" xfId="26622"/>
    <cellStyle name="Currency 5 6 6" xfId="26623"/>
    <cellStyle name="Currency 5 6 6 2" xfId="26624"/>
    <cellStyle name="Currency 5 6 6 3" xfId="26625"/>
    <cellStyle name="Currency 5 6 7" xfId="26626"/>
    <cellStyle name="Currency 5 6 7 2" xfId="26627"/>
    <cellStyle name="Currency 5 6 7 3" xfId="26628"/>
    <cellStyle name="Currency 5 6 8" xfId="26629"/>
    <cellStyle name="Currency 5 6 9" xfId="26630"/>
    <cellStyle name="Currency 5 7" xfId="26631"/>
    <cellStyle name="Currency 5 7 2" xfId="26632"/>
    <cellStyle name="Currency 5 7 2 2" xfId="26633"/>
    <cellStyle name="Currency 5 7 2 2 2" xfId="26634"/>
    <cellStyle name="Currency 5 7 2 2 2 2" xfId="26635"/>
    <cellStyle name="Currency 5 7 2 2 2 3" xfId="26636"/>
    <cellStyle name="Currency 5 7 2 2 3" xfId="26637"/>
    <cellStyle name="Currency 5 7 2 2 3 2" xfId="26638"/>
    <cellStyle name="Currency 5 7 2 2 3 3" xfId="26639"/>
    <cellStyle name="Currency 5 7 2 2 4" xfId="26640"/>
    <cellStyle name="Currency 5 7 2 2 5" xfId="26641"/>
    <cellStyle name="Currency 5 7 2 3" xfId="26642"/>
    <cellStyle name="Currency 5 7 2 3 2" xfId="26643"/>
    <cellStyle name="Currency 5 7 2 3 3" xfId="26644"/>
    <cellStyle name="Currency 5 7 2 4" xfId="26645"/>
    <cellStyle name="Currency 5 7 2 4 2" xfId="26646"/>
    <cellStyle name="Currency 5 7 2 4 3" xfId="26647"/>
    <cellStyle name="Currency 5 7 2 5" xfId="26648"/>
    <cellStyle name="Currency 5 7 2 6" xfId="26649"/>
    <cellStyle name="Currency 5 7 3" xfId="26650"/>
    <cellStyle name="Currency 5 7 3 2" xfId="26651"/>
    <cellStyle name="Currency 5 7 3 2 2" xfId="26652"/>
    <cellStyle name="Currency 5 7 3 2 2 2" xfId="26653"/>
    <cellStyle name="Currency 5 7 3 2 2 3" xfId="26654"/>
    <cellStyle name="Currency 5 7 3 2 3" xfId="26655"/>
    <cellStyle name="Currency 5 7 3 2 3 2" xfId="26656"/>
    <cellStyle name="Currency 5 7 3 2 3 3" xfId="26657"/>
    <cellStyle name="Currency 5 7 3 2 4" xfId="26658"/>
    <cellStyle name="Currency 5 7 3 2 5" xfId="26659"/>
    <cellStyle name="Currency 5 7 3 3" xfId="26660"/>
    <cellStyle name="Currency 5 7 3 3 2" xfId="26661"/>
    <cellStyle name="Currency 5 7 3 3 3" xfId="26662"/>
    <cellStyle name="Currency 5 7 3 4" xfId="26663"/>
    <cellStyle name="Currency 5 7 3 4 2" xfId="26664"/>
    <cellStyle name="Currency 5 7 3 4 3" xfId="26665"/>
    <cellStyle name="Currency 5 7 3 5" xfId="26666"/>
    <cellStyle name="Currency 5 7 3 6" xfId="26667"/>
    <cellStyle name="Currency 5 7 4" xfId="26668"/>
    <cellStyle name="Currency 5 7 4 2" xfId="26669"/>
    <cellStyle name="Currency 5 7 4 2 2" xfId="26670"/>
    <cellStyle name="Currency 5 7 4 2 3" xfId="26671"/>
    <cellStyle name="Currency 5 7 4 3" xfId="26672"/>
    <cellStyle name="Currency 5 7 4 3 2" xfId="26673"/>
    <cellStyle name="Currency 5 7 4 3 3" xfId="26674"/>
    <cellStyle name="Currency 5 7 4 4" xfId="26675"/>
    <cellStyle name="Currency 5 7 4 5" xfId="26676"/>
    <cellStyle name="Currency 5 7 5" xfId="26677"/>
    <cellStyle name="Currency 5 7 5 2" xfId="26678"/>
    <cellStyle name="Currency 5 7 5 3" xfId="26679"/>
    <cellStyle name="Currency 5 7 6" xfId="26680"/>
    <cellStyle name="Currency 5 7 6 2" xfId="26681"/>
    <cellStyle name="Currency 5 7 6 3" xfId="26682"/>
    <cellStyle name="Currency 5 7 7" xfId="26683"/>
    <cellStyle name="Currency 5 7 8" xfId="26684"/>
    <cellStyle name="Currency 5 8" xfId="26685"/>
    <cellStyle name="Currency 5 8 2" xfId="26686"/>
    <cellStyle name="Currency 5 8 2 2" xfId="26687"/>
    <cellStyle name="Currency 5 8 2 2 2" xfId="26688"/>
    <cellStyle name="Currency 5 8 2 2 3" xfId="26689"/>
    <cellStyle name="Currency 5 8 2 3" xfId="26690"/>
    <cellStyle name="Currency 5 8 2 3 2" xfId="26691"/>
    <cellStyle name="Currency 5 8 2 3 3" xfId="26692"/>
    <cellStyle name="Currency 5 8 2 4" xfId="26693"/>
    <cellStyle name="Currency 5 8 2 5" xfId="26694"/>
    <cellStyle name="Currency 5 8 3" xfId="26695"/>
    <cellStyle name="Currency 5 8 3 2" xfId="26696"/>
    <cellStyle name="Currency 5 8 3 3" xfId="26697"/>
    <cellStyle name="Currency 5 8 4" xfId="26698"/>
    <cellStyle name="Currency 5 8 4 2" xfId="26699"/>
    <cellStyle name="Currency 5 8 4 3" xfId="26700"/>
    <cellStyle name="Currency 5 8 5" xfId="26701"/>
    <cellStyle name="Currency 5 8 6" xfId="26702"/>
    <cellStyle name="Currency 5 9" xfId="26703"/>
    <cellStyle name="Currency 5 9 2" xfId="26704"/>
    <cellStyle name="Currency 5 9 2 2" xfId="26705"/>
    <cellStyle name="Currency 5 9 2 2 2" xfId="26706"/>
    <cellStyle name="Currency 5 9 2 2 3" xfId="26707"/>
    <cellStyle name="Currency 5 9 2 3" xfId="26708"/>
    <cellStyle name="Currency 5 9 2 3 2" xfId="26709"/>
    <cellStyle name="Currency 5 9 2 3 3" xfId="26710"/>
    <cellStyle name="Currency 5 9 2 4" xfId="26711"/>
    <cellStyle name="Currency 5 9 2 5" xfId="26712"/>
    <cellStyle name="Currency 5 9 3" xfId="26713"/>
    <cellStyle name="Currency 5 9 3 2" xfId="26714"/>
    <cellStyle name="Currency 5 9 3 3" xfId="26715"/>
    <cellStyle name="Currency 5 9 4" xfId="26716"/>
    <cellStyle name="Currency 5 9 4 2" xfId="26717"/>
    <cellStyle name="Currency 5 9 4 3" xfId="26718"/>
    <cellStyle name="Currency 5 9 5" xfId="26719"/>
    <cellStyle name="Currency 5 9 6" xfId="26720"/>
    <cellStyle name="Currency 6" xfId="26721"/>
    <cellStyle name="Currency 6 2" xfId="26722"/>
    <cellStyle name="Currency 6 2 2" xfId="26723"/>
    <cellStyle name="Currency 6 2 2 2" xfId="26724"/>
    <cellStyle name="Currency 6 2 2 2 2" xfId="26725"/>
    <cellStyle name="Currency 6 2 2 2 2 2" xfId="26726"/>
    <cellStyle name="Currency 6 2 2 2 2 2 2" xfId="26727"/>
    <cellStyle name="Currency 6 2 2 2 2 2 3" xfId="26728"/>
    <cellStyle name="Currency 6 2 2 2 2 3" xfId="26729"/>
    <cellStyle name="Currency 6 2 2 2 2 3 2" xfId="26730"/>
    <cellStyle name="Currency 6 2 2 2 2 3 3" xfId="26731"/>
    <cellStyle name="Currency 6 2 2 2 2 4" xfId="26732"/>
    <cellStyle name="Currency 6 2 2 2 2 5" xfId="26733"/>
    <cellStyle name="Currency 6 2 2 2 3" xfId="26734"/>
    <cellStyle name="Currency 6 2 2 2 3 2" xfId="26735"/>
    <cellStyle name="Currency 6 2 2 2 3 3" xfId="26736"/>
    <cellStyle name="Currency 6 2 2 2 4" xfId="26737"/>
    <cellStyle name="Currency 6 2 2 2 4 2" xfId="26738"/>
    <cellStyle name="Currency 6 2 2 2 4 3" xfId="26739"/>
    <cellStyle name="Currency 6 2 2 2 5" xfId="26740"/>
    <cellStyle name="Currency 6 2 2 2 6" xfId="26741"/>
    <cellStyle name="Currency 6 2 2 3" xfId="26742"/>
    <cellStyle name="Currency 6 2 2 3 2" xfId="26743"/>
    <cellStyle name="Currency 6 2 2 3 2 2" xfId="26744"/>
    <cellStyle name="Currency 6 2 2 3 2 2 2" xfId="26745"/>
    <cellStyle name="Currency 6 2 2 3 2 2 3" xfId="26746"/>
    <cellStyle name="Currency 6 2 2 3 2 3" xfId="26747"/>
    <cellStyle name="Currency 6 2 2 3 2 3 2" xfId="26748"/>
    <cellStyle name="Currency 6 2 2 3 2 3 3" xfId="26749"/>
    <cellStyle name="Currency 6 2 2 3 2 4" xfId="26750"/>
    <cellStyle name="Currency 6 2 2 3 2 5" xfId="26751"/>
    <cellStyle name="Currency 6 2 2 3 3" xfId="26752"/>
    <cellStyle name="Currency 6 2 2 3 3 2" xfId="26753"/>
    <cellStyle name="Currency 6 2 2 3 3 3" xfId="26754"/>
    <cellStyle name="Currency 6 2 2 3 4" xfId="26755"/>
    <cellStyle name="Currency 6 2 2 3 4 2" xfId="26756"/>
    <cellStyle name="Currency 6 2 2 3 4 3" xfId="26757"/>
    <cellStyle name="Currency 6 2 2 3 5" xfId="26758"/>
    <cellStyle name="Currency 6 2 2 3 6" xfId="26759"/>
    <cellStyle name="Currency 6 2 2 4" xfId="26760"/>
    <cellStyle name="Currency 6 2 2 4 2" xfId="26761"/>
    <cellStyle name="Currency 6 2 2 4 2 2" xfId="26762"/>
    <cellStyle name="Currency 6 2 2 4 2 3" xfId="26763"/>
    <cellStyle name="Currency 6 2 2 4 3" xfId="26764"/>
    <cellStyle name="Currency 6 2 2 4 3 2" xfId="26765"/>
    <cellStyle name="Currency 6 2 2 4 3 3" xfId="26766"/>
    <cellStyle name="Currency 6 2 2 4 4" xfId="26767"/>
    <cellStyle name="Currency 6 2 2 4 5" xfId="26768"/>
    <cellStyle name="Currency 6 2 2 5" xfId="26769"/>
    <cellStyle name="Currency 6 2 2 5 2" xfId="26770"/>
    <cellStyle name="Currency 6 2 2 5 3" xfId="26771"/>
    <cellStyle name="Currency 6 2 2 6" xfId="26772"/>
    <cellStyle name="Currency 6 2 2 6 2" xfId="26773"/>
    <cellStyle name="Currency 6 2 2 6 3" xfId="26774"/>
    <cellStyle name="Currency 6 2 2 7" xfId="26775"/>
    <cellStyle name="Currency 6 2 2 8" xfId="26776"/>
    <cellStyle name="Currency 6 2 3" xfId="26777"/>
    <cellStyle name="Currency 6 2 3 2" xfId="26778"/>
    <cellStyle name="Currency 6 2 3 2 2" xfId="26779"/>
    <cellStyle name="Currency 6 2 3 2 2 2" xfId="26780"/>
    <cellStyle name="Currency 6 2 3 2 2 3" xfId="26781"/>
    <cellStyle name="Currency 6 2 3 2 3" xfId="26782"/>
    <cellStyle name="Currency 6 2 3 2 3 2" xfId="26783"/>
    <cellStyle name="Currency 6 2 3 2 3 3" xfId="26784"/>
    <cellStyle name="Currency 6 2 3 2 4" xfId="26785"/>
    <cellStyle name="Currency 6 2 3 2 5" xfId="26786"/>
    <cellStyle name="Currency 6 2 3 3" xfId="26787"/>
    <cellStyle name="Currency 6 2 3 3 2" xfId="26788"/>
    <cellStyle name="Currency 6 2 3 3 3" xfId="26789"/>
    <cellStyle name="Currency 6 2 3 4" xfId="26790"/>
    <cellStyle name="Currency 6 2 3 4 2" xfId="26791"/>
    <cellStyle name="Currency 6 2 3 4 3" xfId="26792"/>
    <cellStyle name="Currency 6 2 3 5" xfId="26793"/>
    <cellStyle name="Currency 6 2 3 6" xfId="26794"/>
    <cellStyle name="Currency 6 2 4" xfId="26795"/>
    <cellStyle name="Currency 6 2 4 2" xfId="26796"/>
    <cellStyle name="Currency 6 2 4 2 2" xfId="26797"/>
    <cellStyle name="Currency 6 2 4 2 2 2" xfId="26798"/>
    <cellStyle name="Currency 6 2 4 2 2 3" xfId="26799"/>
    <cellStyle name="Currency 6 2 4 2 3" xfId="26800"/>
    <cellStyle name="Currency 6 2 4 2 3 2" xfId="26801"/>
    <cellStyle name="Currency 6 2 4 2 3 3" xfId="26802"/>
    <cellStyle name="Currency 6 2 4 2 4" xfId="26803"/>
    <cellStyle name="Currency 6 2 4 2 5" xfId="26804"/>
    <cellStyle name="Currency 6 2 4 3" xfId="26805"/>
    <cellStyle name="Currency 6 2 4 3 2" xfId="26806"/>
    <cellStyle name="Currency 6 2 4 3 3" xfId="26807"/>
    <cellStyle name="Currency 6 2 4 4" xfId="26808"/>
    <cellStyle name="Currency 6 2 4 4 2" xfId="26809"/>
    <cellStyle name="Currency 6 2 4 4 3" xfId="26810"/>
    <cellStyle name="Currency 6 2 4 5" xfId="26811"/>
    <cellStyle name="Currency 6 2 4 6" xfId="26812"/>
    <cellStyle name="Currency 6 2 5" xfId="26813"/>
    <cellStyle name="Currency 6 2 5 2" xfId="26814"/>
    <cellStyle name="Currency 6 2 5 2 2" xfId="26815"/>
    <cellStyle name="Currency 6 2 5 2 3" xfId="26816"/>
    <cellStyle name="Currency 6 2 5 3" xfId="26817"/>
    <cellStyle name="Currency 6 2 5 3 2" xfId="26818"/>
    <cellStyle name="Currency 6 2 5 3 3" xfId="26819"/>
    <cellStyle name="Currency 6 2 5 4" xfId="26820"/>
    <cellStyle name="Currency 6 2 5 5" xfId="26821"/>
    <cellStyle name="Currency 6 2 6" xfId="26822"/>
    <cellStyle name="Currency 6 2 6 2" xfId="26823"/>
    <cellStyle name="Currency 6 2 6 3" xfId="26824"/>
    <cellStyle name="Currency 6 2 7" xfId="26825"/>
    <cellStyle name="Currency 6 2 7 2" xfId="26826"/>
    <cellStyle name="Currency 6 2 7 3" xfId="26827"/>
    <cellStyle name="Currency 6 2 8" xfId="26828"/>
    <cellStyle name="Currency 6 2 9" xfId="26829"/>
    <cellStyle name="Currency 6 3" xfId="26830"/>
    <cellStyle name="Currency 7" xfId="26831"/>
    <cellStyle name="Currency 8" xfId="26832"/>
    <cellStyle name="Currency 9" xfId="26833"/>
    <cellStyle name="Hyperlink 10" xfId="26834"/>
    <cellStyle name="Hyperlink 11" xfId="26835"/>
    <cellStyle name="Hyperlink 12" xfId="26836"/>
    <cellStyle name="Hyperlink 13" xfId="26837"/>
    <cellStyle name="Hyperlink 14" xfId="26838"/>
    <cellStyle name="Hyperlink 15" xfId="26839"/>
    <cellStyle name="Hyperlink 16" xfId="26840"/>
    <cellStyle name="Hyperlink 17" xfId="26841"/>
    <cellStyle name="Hyperlink 18" xfId="26842"/>
    <cellStyle name="Hyperlink 19" xfId="26843"/>
    <cellStyle name="Hyperlink 2" xfId="26844"/>
    <cellStyle name="Hyperlink 20" xfId="26845"/>
    <cellStyle name="Hyperlink 21" xfId="26846"/>
    <cellStyle name="Hyperlink 22" xfId="26847"/>
    <cellStyle name="Hyperlink 23" xfId="26848"/>
    <cellStyle name="Hyperlink 24" xfId="26849"/>
    <cellStyle name="Hyperlink 25" xfId="26850"/>
    <cellStyle name="Hyperlink 26" xfId="26851"/>
    <cellStyle name="Hyperlink 27" xfId="26852"/>
    <cellStyle name="Hyperlink 28" xfId="26853"/>
    <cellStyle name="Hyperlink 29" xfId="26854"/>
    <cellStyle name="Hyperlink 3" xfId="26855"/>
    <cellStyle name="Hyperlink 30" xfId="26856"/>
    <cellStyle name="Hyperlink 31" xfId="26857"/>
    <cellStyle name="Hyperlink 32" xfId="26858"/>
    <cellStyle name="Hyperlink 33" xfId="26859"/>
    <cellStyle name="Hyperlink 34" xfId="26860"/>
    <cellStyle name="Hyperlink 35" xfId="26861"/>
    <cellStyle name="Hyperlink 36" xfId="26862"/>
    <cellStyle name="Hyperlink 37" xfId="26863"/>
    <cellStyle name="Hyperlink 38" xfId="26864"/>
    <cellStyle name="Hyperlink 39" xfId="26865"/>
    <cellStyle name="Hyperlink 4" xfId="26866"/>
    <cellStyle name="Hyperlink 40" xfId="26867"/>
    <cellStyle name="Hyperlink 41" xfId="26868"/>
    <cellStyle name="Hyperlink 42" xfId="26869"/>
    <cellStyle name="Hyperlink 43" xfId="26870"/>
    <cellStyle name="Hyperlink 44" xfId="26871"/>
    <cellStyle name="Hyperlink 45" xfId="26872"/>
    <cellStyle name="Hyperlink 46" xfId="26873"/>
    <cellStyle name="Hyperlink 47" xfId="26874"/>
    <cellStyle name="Hyperlink 48" xfId="26875"/>
    <cellStyle name="Hyperlink 49" xfId="26876"/>
    <cellStyle name="Hyperlink 5" xfId="26877"/>
    <cellStyle name="Hyperlink 50" xfId="26878"/>
    <cellStyle name="Hyperlink 51" xfId="26879"/>
    <cellStyle name="Hyperlink 6" xfId="26880"/>
    <cellStyle name="Hyperlink 7" xfId="26881"/>
    <cellStyle name="Hyperlink 8" xfId="26882"/>
    <cellStyle name="Hyperlink 9" xfId="26883"/>
    <cellStyle name="Normal" xfId="0" builtinId="0"/>
    <cellStyle name="Normal 10" xfId="12"/>
    <cellStyle name="Normal 10 2" xfId="28"/>
    <cellStyle name="Normal 10 2 2" xfId="26884"/>
    <cellStyle name="Normal 10 2 3" xfId="26885"/>
    <cellStyle name="Normal 10 3" xfId="26886"/>
    <cellStyle name="Normal 11" xfId="29"/>
    <cellStyle name="Normal 11 2" xfId="26887"/>
    <cellStyle name="Normal 11 2 2" xfId="26888"/>
    <cellStyle name="Normal 11 3" xfId="26889"/>
    <cellStyle name="Normal 12" xfId="30"/>
    <cellStyle name="Normal 12 2" xfId="26890"/>
    <cellStyle name="Normal 12 2 2" xfId="26891"/>
    <cellStyle name="Normal 12 3" xfId="26892"/>
    <cellStyle name="Normal 13" xfId="31"/>
    <cellStyle name="Normal 13 2" xfId="26893"/>
    <cellStyle name="Normal 13 2 2" xfId="26894"/>
    <cellStyle name="Normal 13 3" xfId="26895"/>
    <cellStyle name="Normal 14" xfId="26896"/>
    <cellStyle name="Normal 14 2" xfId="26897"/>
    <cellStyle name="Normal 14 2 2" xfId="26898"/>
    <cellStyle name="Normal 14 3" xfId="26899"/>
    <cellStyle name="Normal 15" xfId="32"/>
    <cellStyle name="Normal 15 2" xfId="26900"/>
    <cellStyle name="Normal 15 2 2" xfId="26901"/>
    <cellStyle name="Normal 15 3" xfId="26902"/>
    <cellStyle name="Normal 16" xfId="33"/>
    <cellStyle name="Normal 16 2" xfId="26903"/>
    <cellStyle name="Normal 16 2 2" xfId="26904"/>
    <cellStyle name="Normal 16 3" xfId="26905"/>
    <cellStyle name="Normal 17" xfId="26906"/>
    <cellStyle name="Normal 17 10" xfId="26907"/>
    <cellStyle name="Normal 17 10 2" xfId="26908"/>
    <cellStyle name="Normal 17 10 2 2" xfId="26909"/>
    <cellStyle name="Normal 17 10 2 3" xfId="26910"/>
    <cellStyle name="Normal 17 10 3" xfId="26911"/>
    <cellStyle name="Normal 17 10 3 2" xfId="26912"/>
    <cellStyle name="Normal 17 10 3 3" xfId="26913"/>
    <cellStyle name="Normal 17 10 4" xfId="26914"/>
    <cellStyle name="Normal 17 10 5" xfId="26915"/>
    <cellStyle name="Normal 17 11" xfId="26916"/>
    <cellStyle name="Normal 17 11 2" xfId="26917"/>
    <cellStyle name="Normal 17 11 3" xfId="26918"/>
    <cellStyle name="Normal 17 12" xfId="26919"/>
    <cellStyle name="Normal 17 12 2" xfId="26920"/>
    <cellStyle name="Normal 17 12 3" xfId="26921"/>
    <cellStyle name="Normal 17 13" xfId="26922"/>
    <cellStyle name="Normal 17 14" xfId="26923"/>
    <cellStyle name="Normal 17 15" xfId="26924"/>
    <cellStyle name="Normal 17 2" xfId="26925"/>
    <cellStyle name="Normal 17 2 10" xfId="26926"/>
    <cellStyle name="Normal 17 2 10 2" xfId="26927"/>
    <cellStyle name="Normal 17 2 10 3" xfId="26928"/>
    <cellStyle name="Normal 17 2 11" xfId="26929"/>
    <cellStyle name="Normal 17 2 11 2" xfId="26930"/>
    <cellStyle name="Normal 17 2 11 3" xfId="26931"/>
    <cellStyle name="Normal 17 2 12" xfId="26932"/>
    <cellStyle name="Normal 17 2 13" xfId="26933"/>
    <cellStyle name="Normal 17 2 2" xfId="26934"/>
    <cellStyle name="Normal 17 2 2 10" xfId="26935"/>
    <cellStyle name="Normal 17 2 2 10 2" xfId="26936"/>
    <cellStyle name="Normal 17 2 2 10 3" xfId="26937"/>
    <cellStyle name="Normal 17 2 2 11" xfId="26938"/>
    <cellStyle name="Normal 17 2 2 12" xfId="26939"/>
    <cellStyle name="Normal 17 2 2 2" xfId="26940"/>
    <cellStyle name="Normal 17 2 2 2 10" xfId="26941"/>
    <cellStyle name="Normal 17 2 2 2 2" xfId="26942"/>
    <cellStyle name="Normal 17 2 2 2 2 2" xfId="26943"/>
    <cellStyle name="Normal 17 2 2 2 2 2 2" xfId="26944"/>
    <cellStyle name="Normal 17 2 2 2 2 2 2 2" xfId="26945"/>
    <cellStyle name="Normal 17 2 2 2 2 2 2 2 2" xfId="26946"/>
    <cellStyle name="Normal 17 2 2 2 2 2 2 2 2 2" xfId="26947"/>
    <cellStyle name="Normal 17 2 2 2 2 2 2 2 2 3" xfId="26948"/>
    <cellStyle name="Normal 17 2 2 2 2 2 2 2 3" xfId="26949"/>
    <cellStyle name="Normal 17 2 2 2 2 2 2 2 3 2" xfId="26950"/>
    <cellStyle name="Normal 17 2 2 2 2 2 2 2 3 3" xfId="26951"/>
    <cellStyle name="Normal 17 2 2 2 2 2 2 2 4" xfId="26952"/>
    <cellStyle name="Normal 17 2 2 2 2 2 2 2 5" xfId="26953"/>
    <cellStyle name="Normal 17 2 2 2 2 2 2 3" xfId="26954"/>
    <cellStyle name="Normal 17 2 2 2 2 2 2 3 2" xfId="26955"/>
    <cellStyle name="Normal 17 2 2 2 2 2 2 3 3" xfId="26956"/>
    <cellStyle name="Normal 17 2 2 2 2 2 2 4" xfId="26957"/>
    <cellStyle name="Normal 17 2 2 2 2 2 2 4 2" xfId="26958"/>
    <cellStyle name="Normal 17 2 2 2 2 2 2 4 3" xfId="26959"/>
    <cellStyle name="Normal 17 2 2 2 2 2 2 5" xfId="26960"/>
    <cellStyle name="Normal 17 2 2 2 2 2 2 6" xfId="26961"/>
    <cellStyle name="Normal 17 2 2 2 2 2 3" xfId="26962"/>
    <cellStyle name="Normal 17 2 2 2 2 2 3 2" xfId="26963"/>
    <cellStyle name="Normal 17 2 2 2 2 2 3 2 2" xfId="26964"/>
    <cellStyle name="Normal 17 2 2 2 2 2 3 2 2 2" xfId="26965"/>
    <cellStyle name="Normal 17 2 2 2 2 2 3 2 2 3" xfId="26966"/>
    <cellStyle name="Normal 17 2 2 2 2 2 3 2 3" xfId="26967"/>
    <cellStyle name="Normal 17 2 2 2 2 2 3 2 3 2" xfId="26968"/>
    <cellStyle name="Normal 17 2 2 2 2 2 3 2 3 3" xfId="26969"/>
    <cellStyle name="Normal 17 2 2 2 2 2 3 2 4" xfId="26970"/>
    <cellStyle name="Normal 17 2 2 2 2 2 3 2 5" xfId="26971"/>
    <cellStyle name="Normal 17 2 2 2 2 2 3 3" xfId="26972"/>
    <cellStyle name="Normal 17 2 2 2 2 2 3 3 2" xfId="26973"/>
    <cellStyle name="Normal 17 2 2 2 2 2 3 3 3" xfId="26974"/>
    <cellStyle name="Normal 17 2 2 2 2 2 3 4" xfId="26975"/>
    <cellStyle name="Normal 17 2 2 2 2 2 3 4 2" xfId="26976"/>
    <cellStyle name="Normal 17 2 2 2 2 2 3 4 3" xfId="26977"/>
    <cellStyle name="Normal 17 2 2 2 2 2 3 5" xfId="26978"/>
    <cellStyle name="Normal 17 2 2 2 2 2 3 6" xfId="26979"/>
    <cellStyle name="Normal 17 2 2 2 2 2 4" xfId="26980"/>
    <cellStyle name="Normal 17 2 2 2 2 2 4 2" xfId="26981"/>
    <cellStyle name="Normal 17 2 2 2 2 2 4 2 2" xfId="26982"/>
    <cellStyle name="Normal 17 2 2 2 2 2 4 2 3" xfId="26983"/>
    <cellStyle name="Normal 17 2 2 2 2 2 4 3" xfId="26984"/>
    <cellStyle name="Normal 17 2 2 2 2 2 4 3 2" xfId="26985"/>
    <cellStyle name="Normal 17 2 2 2 2 2 4 3 3" xfId="26986"/>
    <cellStyle name="Normal 17 2 2 2 2 2 4 4" xfId="26987"/>
    <cellStyle name="Normal 17 2 2 2 2 2 4 5" xfId="26988"/>
    <cellStyle name="Normal 17 2 2 2 2 2 5" xfId="26989"/>
    <cellStyle name="Normal 17 2 2 2 2 2 5 2" xfId="26990"/>
    <cellStyle name="Normal 17 2 2 2 2 2 5 3" xfId="26991"/>
    <cellStyle name="Normal 17 2 2 2 2 2 6" xfId="26992"/>
    <cellStyle name="Normal 17 2 2 2 2 2 6 2" xfId="26993"/>
    <cellStyle name="Normal 17 2 2 2 2 2 6 3" xfId="26994"/>
    <cellStyle name="Normal 17 2 2 2 2 2 7" xfId="26995"/>
    <cellStyle name="Normal 17 2 2 2 2 2 8" xfId="26996"/>
    <cellStyle name="Normal 17 2 2 2 2 3" xfId="26997"/>
    <cellStyle name="Normal 17 2 2 2 2 3 2" xfId="26998"/>
    <cellStyle name="Normal 17 2 2 2 2 3 2 2" xfId="26999"/>
    <cellStyle name="Normal 17 2 2 2 2 3 2 2 2" xfId="27000"/>
    <cellStyle name="Normal 17 2 2 2 2 3 2 2 3" xfId="27001"/>
    <cellStyle name="Normal 17 2 2 2 2 3 2 3" xfId="27002"/>
    <cellStyle name="Normal 17 2 2 2 2 3 2 3 2" xfId="27003"/>
    <cellStyle name="Normal 17 2 2 2 2 3 2 3 3" xfId="27004"/>
    <cellStyle name="Normal 17 2 2 2 2 3 2 4" xfId="27005"/>
    <cellStyle name="Normal 17 2 2 2 2 3 2 5" xfId="27006"/>
    <cellStyle name="Normal 17 2 2 2 2 3 3" xfId="27007"/>
    <cellStyle name="Normal 17 2 2 2 2 3 3 2" xfId="27008"/>
    <cellStyle name="Normal 17 2 2 2 2 3 3 3" xfId="27009"/>
    <cellStyle name="Normal 17 2 2 2 2 3 4" xfId="27010"/>
    <cellStyle name="Normal 17 2 2 2 2 3 4 2" xfId="27011"/>
    <cellStyle name="Normal 17 2 2 2 2 3 4 3" xfId="27012"/>
    <cellStyle name="Normal 17 2 2 2 2 3 5" xfId="27013"/>
    <cellStyle name="Normal 17 2 2 2 2 3 6" xfId="27014"/>
    <cellStyle name="Normal 17 2 2 2 2 4" xfId="27015"/>
    <cellStyle name="Normal 17 2 2 2 2 4 2" xfId="27016"/>
    <cellStyle name="Normal 17 2 2 2 2 4 2 2" xfId="27017"/>
    <cellStyle name="Normal 17 2 2 2 2 4 2 2 2" xfId="27018"/>
    <cellStyle name="Normal 17 2 2 2 2 4 2 2 3" xfId="27019"/>
    <cellStyle name="Normal 17 2 2 2 2 4 2 3" xfId="27020"/>
    <cellStyle name="Normal 17 2 2 2 2 4 2 3 2" xfId="27021"/>
    <cellStyle name="Normal 17 2 2 2 2 4 2 3 3" xfId="27022"/>
    <cellStyle name="Normal 17 2 2 2 2 4 2 4" xfId="27023"/>
    <cellStyle name="Normal 17 2 2 2 2 4 2 5" xfId="27024"/>
    <cellStyle name="Normal 17 2 2 2 2 4 3" xfId="27025"/>
    <cellStyle name="Normal 17 2 2 2 2 4 3 2" xfId="27026"/>
    <cellStyle name="Normal 17 2 2 2 2 4 3 3" xfId="27027"/>
    <cellStyle name="Normal 17 2 2 2 2 4 4" xfId="27028"/>
    <cellStyle name="Normal 17 2 2 2 2 4 4 2" xfId="27029"/>
    <cellStyle name="Normal 17 2 2 2 2 4 4 3" xfId="27030"/>
    <cellStyle name="Normal 17 2 2 2 2 4 5" xfId="27031"/>
    <cellStyle name="Normal 17 2 2 2 2 4 6" xfId="27032"/>
    <cellStyle name="Normal 17 2 2 2 2 5" xfId="27033"/>
    <cellStyle name="Normal 17 2 2 2 2 5 2" xfId="27034"/>
    <cellStyle name="Normal 17 2 2 2 2 5 2 2" xfId="27035"/>
    <cellStyle name="Normal 17 2 2 2 2 5 2 3" xfId="27036"/>
    <cellStyle name="Normal 17 2 2 2 2 5 3" xfId="27037"/>
    <cellStyle name="Normal 17 2 2 2 2 5 3 2" xfId="27038"/>
    <cellStyle name="Normal 17 2 2 2 2 5 3 3" xfId="27039"/>
    <cellStyle name="Normal 17 2 2 2 2 5 4" xfId="27040"/>
    <cellStyle name="Normal 17 2 2 2 2 5 5" xfId="27041"/>
    <cellStyle name="Normal 17 2 2 2 2 6" xfId="27042"/>
    <cellStyle name="Normal 17 2 2 2 2 6 2" xfId="27043"/>
    <cellStyle name="Normal 17 2 2 2 2 6 3" xfId="27044"/>
    <cellStyle name="Normal 17 2 2 2 2 7" xfId="27045"/>
    <cellStyle name="Normal 17 2 2 2 2 7 2" xfId="27046"/>
    <cellStyle name="Normal 17 2 2 2 2 7 3" xfId="27047"/>
    <cellStyle name="Normal 17 2 2 2 2 8" xfId="27048"/>
    <cellStyle name="Normal 17 2 2 2 2 9" xfId="27049"/>
    <cellStyle name="Normal 17 2 2 2 3" xfId="27050"/>
    <cellStyle name="Normal 17 2 2 2 3 2" xfId="27051"/>
    <cellStyle name="Normal 17 2 2 2 3 2 2" xfId="27052"/>
    <cellStyle name="Normal 17 2 2 2 3 2 2 2" xfId="27053"/>
    <cellStyle name="Normal 17 2 2 2 3 2 2 2 2" xfId="27054"/>
    <cellStyle name="Normal 17 2 2 2 3 2 2 2 3" xfId="27055"/>
    <cellStyle name="Normal 17 2 2 2 3 2 2 3" xfId="27056"/>
    <cellStyle name="Normal 17 2 2 2 3 2 2 3 2" xfId="27057"/>
    <cellStyle name="Normal 17 2 2 2 3 2 2 3 3" xfId="27058"/>
    <cellStyle name="Normal 17 2 2 2 3 2 2 4" xfId="27059"/>
    <cellStyle name="Normal 17 2 2 2 3 2 2 5" xfId="27060"/>
    <cellStyle name="Normal 17 2 2 2 3 2 3" xfId="27061"/>
    <cellStyle name="Normal 17 2 2 2 3 2 3 2" xfId="27062"/>
    <cellStyle name="Normal 17 2 2 2 3 2 3 3" xfId="27063"/>
    <cellStyle name="Normal 17 2 2 2 3 2 4" xfId="27064"/>
    <cellStyle name="Normal 17 2 2 2 3 2 4 2" xfId="27065"/>
    <cellStyle name="Normal 17 2 2 2 3 2 4 3" xfId="27066"/>
    <cellStyle name="Normal 17 2 2 2 3 2 5" xfId="27067"/>
    <cellStyle name="Normal 17 2 2 2 3 2 6" xfId="27068"/>
    <cellStyle name="Normal 17 2 2 2 3 3" xfId="27069"/>
    <cellStyle name="Normal 17 2 2 2 3 3 2" xfId="27070"/>
    <cellStyle name="Normal 17 2 2 2 3 3 2 2" xfId="27071"/>
    <cellStyle name="Normal 17 2 2 2 3 3 2 2 2" xfId="27072"/>
    <cellStyle name="Normal 17 2 2 2 3 3 2 2 3" xfId="27073"/>
    <cellStyle name="Normal 17 2 2 2 3 3 2 3" xfId="27074"/>
    <cellStyle name="Normal 17 2 2 2 3 3 2 3 2" xfId="27075"/>
    <cellStyle name="Normal 17 2 2 2 3 3 2 3 3" xfId="27076"/>
    <cellStyle name="Normal 17 2 2 2 3 3 2 4" xfId="27077"/>
    <cellStyle name="Normal 17 2 2 2 3 3 2 5" xfId="27078"/>
    <cellStyle name="Normal 17 2 2 2 3 3 3" xfId="27079"/>
    <cellStyle name="Normal 17 2 2 2 3 3 3 2" xfId="27080"/>
    <cellStyle name="Normal 17 2 2 2 3 3 3 3" xfId="27081"/>
    <cellStyle name="Normal 17 2 2 2 3 3 4" xfId="27082"/>
    <cellStyle name="Normal 17 2 2 2 3 3 4 2" xfId="27083"/>
    <cellStyle name="Normal 17 2 2 2 3 3 4 3" xfId="27084"/>
    <cellStyle name="Normal 17 2 2 2 3 3 5" xfId="27085"/>
    <cellStyle name="Normal 17 2 2 2 3 3 6" xfId="27086"/>
    <cellStyle name="Normal 17 2 2 2 3 4" xfId="27087"/>
    <cellStyle name="Normal 17 2 2 2 3 4 2" xfId="27088"/>
    <cellStyle name="Normal 17 2 2 2 3 4 2 2" xfId="27089"/>
    <cellStyle name="Normal 17 2 2 2 3 4 2 3" xfId="27090"/>
    <cellStyle name="Normal 17 2 2 2 3 4 3" xfId="27091"/>
    <cellStyle name="Normal 17 2 2 2 3 4 3 2" xfId="27092"/>
    <cellStyle name="Normal 17 2 2 2 3 4 3 3" xfId="27093"/>
    <cellStyle name="Normal 17 2 2 2 3 4 4" xfId="27094"/>
    <cellStyle name="Normal 17 2 2 2 3 4 5" xfId="27095"/>
    <cellStyle name="Normal 17 2 2 2 3 5" xfId="27096"/>
    <cellStyle name="Normal 17 2 2 2 3 5 2" xfId="27097"/>
    <cellStyle name="Normal 17 2 2 2 3 5 3" xfId="27098"/>
    <cellStyle name="Normal 17 2 2 2 3 6" xfId="27099"/>
    <cellStyle name="Normal 17 2 2 2 3 6 2" xfId="27100"/>
    <cellStyle name="Normal 17 2 2 2 3 6 3" xfId="27101"/>
    <cellStyle name="Normal 17 2 2 2 3 7" xfId="27102"/>
    <cellStyle name="Normal 17 2 2 2 3 8" xfId="27103"/>
    <cellStyle name="Normal 17 2 2 2 4" xfId="27104"/>
    <cellStyle name="Normal 17 2 2 2 4 2" xfId="27105"/>
    <cellStyle name="Normal 17 2 2 2 4 2 2" xfId="27106"/>
    <cellStyle name="Normal 17 2 2 2 4 2 2 2" xfId="27107"/>
    <cellStyle name="Normal 17 2 2 2 4 2 2 3" xfId="27108"/>
    <cellStyle name="Normal 17 2 2 2 4 2 3" xfId="27109"/>
    <cellStyle name="Normal 17 2 2 2 4 2 3 2" xfId="27110"/>
    <cellStyle name="Normal 17 2 2 2 4 2 3 3" xfId="27111"/>
    <cellStyle name="Normal 17 2 2 2 4 2 4" xfId="27112"/>
    <cellStyle name="Normal 17 2 2 2 4 2 5" xfId="27113"/>
    <cellStyle name="Normal 17 2 2 2 4 3" xfId="27114"/>
    <cellStyle name="Normal 17 2 2 2 4 3 2" xfId="27115"/>
    <cellStyle name="Normal 17 2 2 2 4 3 3" xfId="27116"/>
    <cellStyle name="Normal 17 2 2 2 4 4" xfId="27117"/>
    <cellStyle name="Normal 17 2 2 2 4 4 2" xfId="27118"/>
    <cellStyle name="Normal 17 2 2 2 4 4 3" xfId="27119"/>
    <cellStyle name="Normal 17 2 2 2 4 5" xfId="27120"/>
    <cellStyle name="Normal 17 2 2 2 4 6" xfId="27121"/>
    <cellStyle name="Normal 17 2 2 2 5" xfId="27122"/>
    <cellStyle name="Normal 17 2 2 2 5 2" xfId="27123"/>
    <cellStyle name="Normal 17 2 2 2 5 2 2" xfId="27124"/>
    <cellStyle name="Normal 17 2 2 2 5 2 2 2" xfId="27125"/>
    <cellStyle name="Normal 17 2 2 2 5 2 2 3" xfId="27126"/>
    <cellStyle name="Normal 17 2 2 2 5 2 3" xfId="27127"/>
    <cellStyle name="Normal 17 2 2 2 5 2 3 2" xfId="27128"/>
    <cellStyle name="Normal 17 2 2 2 5 2 3 3" xfId="27129"/>
    <cellStyle name="Normal 17 2 2 2 5 2 4" xfId="27130"/>
    <cellStyle name="Normal 17 2 2 2 5 2 5" xfId="27131"/>
    <cellStyle name="Normal 17 2 2 2 5 3" xfId="27132"/>
    <cellStyle name="Normal 17 2 2 2 5 3 2" xfId="27133"/>
    <cellStyle name="Normal 17 2 2 2 5 3 3" xfId="27134"/>
    <cellStyle name="Normal 17 2 2 2 5 4" xfId="27135"/>
    <cellStyle name="Normal 17 2 2 2 5 4 2" xfId="27136"/>
    <cellStyle name="Normal 17 2 2 2 5 4 3" xfId="27137"/>
    <cellStyle name="Normal 17 2 2 2 5 5" xfId="27138"/>
    <cellStyle name="Normal 17 2 2 2 5 6" xfId="27139"/>
    <cellStyle name="Normal 17 2 2 2 6" xfId="27140"/>
    <cellStyle name="Normal 17 2 2 2 6 2" xfId="27141"/>
    <cellStyle name="Normal 17 2 2 2 6 2 2" xfId="27142"/>
    <cellStyle name="Normal 17 2 2 2 6 2 3" xfId="27143"/>
    <cellStyle name="Normal 17 2 2 2 6 3" xfId="27144"/>
    <cellStyle name="Normal 17 2 2 2 6 3 2" xfId="27145"/>
    <cellStyle name="Normal 17 2 2 2 6 3 3" xfId="27146"/>
    <cellStyle name="Normal 17 2 2 2 6 4" xfId="27147"/>
    <cellStyle name="Normal 17 2 2 2 6 5" xfId="27148"/>
    <cellStyle name="Normal 17 2 2 2 7" xfId="27149"/>
    <cellStyle name="Normal 17 2 2 2 7 2" xfId="27150"/>
    <cellStyle name="Normal 17 2 2 2 7 3" xfId="27151"/>
    <cellStyle name="Normal 17 2 2 2 8" xfId="27152"/>
    <cellStyle name="Normal 17 2 2 2 8 2" xfId="27153"/>
    <cellStyle name="Normal 17 2 2 2 8 3" xfId="27154"/>
    <cellStyle name="Normal 17 2 2 2 9" xfId="27155"/>
    <cellStyle name="Normal 17 2 2 3" xfId="27156"/>
    <cellStyle name="Normal 17 2 2 3 10" xfId="27157"/>
    <cellStyle name="Normal 17 2 2 3 2" xfId="27158"/>
    <cellStyle name="Normal 17 2 2 3 2 2" xfId="27159"/>
    <cellStyle name="Normal 17 2 2 3 2 2 2" xfId="27160"/>
    <cellStyle name="Normal 17 2 2 3 2 2 2 2" xfId="27161"/>
    <cellStyle name="Normal 17 2 2 3 2 2 2 2 2" xfId="27162"/>
    <cellStyle name="Normal 17 2 2 3 2 2 2 2 2 2" xfId="27163"/>
    <cellStyle name="Normal 17 2 2 3 2 2 2 2 2 3" xfId="27164"/>
    <cellStyle name="Normal 17 2 2 3 2 2 2 2 3" xfId="27165"/>
    <cellStyle name="Normal 17 2 2 3 2 2 2 2 3 2" xfId="27166"/>
    <cellStyle name="Normal 17 2 2 3 2 2 2 2 3 3" xfId="27167"/>
    <cellStyle name="Normal 17 2 2 3 2 2 2 2 4" xfId="27168"/>
    <cellStyle name="Normal 17 2 2 3 2 2 2 2 5" xfId="27169"/>
    <cellStyle name="Normal 17 2 2 3 2 2 2 3" xfId="27170"/>
    <cellStyle name="Normal 17 2 2 3 2 2 2 3 2" xfId="27171"/>
    <cellStyle name="Normal 17 2 2 3 2 2 2 3 3" xfId="27172"/>
    <cellStyle name="Normal 17 2 2 3 2 2 2 4" xfId="27173"/>
    <cellStyle name="Normal 17 2 2 3 2 2 2 4 2" xfId="27174"/>
    <cellStyle name="Normal 17 2 2 3 2 2 2 4 3" xfId="27175"/>
    <cellStyle name="Normal 17 2 2 3 2 2 2 5" xfId="27176"/>
    <cellStyle name="Normal 17 2 2 3 2 2 2 6" xfId="27177"/>
    <cellStyle name="Normal 17 2 2 3 2 2 3" xfId="27178"/>
    <cellStyle name="Normal 17 2 2 3 2 2 3 2" xfId="27179"/>
    <cellStyle name="Normal 17 2 2 3 2 2 3 2 2" xfId="27180"/>
    <cellStyle name="Normal 17 2 2 3 2 2 3 2 2 2" xfId="27181"/>
    <cellStyle name="Normal 17 2 2 3 2 2 3 2 2 3" xfId="27182"/>
    <cellStyle name="Normal 17 2 2 3 2 2 3 2 3" xfId="27183"/>
    <cellStyle name="Normal 17 2 2 3 2 2 3 2 3 2" xfId="27184"/>
    <cellStyle name="Normal 17 2 2 3 2 2 3 2 3 3" xfId="27185"/>
    <cellStyle name="Normal 17 2 2 3 2 2 3 2 4" xfId="27186"/>
    <cellStyle name="Normal 17 2 2 3 2 2 3 2 5" xfId="27187"/>
    <cellStyle name="Normal 17 2 2 3 2 2 3 3" xfId="27188"/>
    <cellStyle name="Normal 17 2 2 3 2 2 3 3 2" xfId="27189"/>
    <cellStyle name="Normal 17 2 2 3 2 2 3 3 3" xfId="27190"/>
    <cellStyle name="Normal 17 2 2 3 2 2 3 4" xfId="27191"/>
    <cellStyle name="Normal 17 2 2 3 2 2 3 4 2" xfId="27192"/>
    <cellStyle name="Normal 17 2 2 3 2 2 3 4 3" xfId="27193"/>
    <cellStyle name="Normal 17 2 2 3 2 2 3 5" xfId="27194"/>
    <cellStyle name="Normal 17 2 2 3 2 2 3 6" xfId="27195"/>
    <cellStyle name="Normal 17 2 2 3 2 2 4" xfId="27196"/>
    <cellStyle name="Normal 17 2 2 3 2 2 4 2" xfId="27197"/>
    <cellStyle name="Normal 17 2 2 3 2 2 4 2 2" xfId="27198"/>
    <cellStyle name="Normal 17 2 2 3 2 2 4 2 3" xfId="27199"/>
    <cellStyle name="Normal 17 2 2 3 2 2 4 3" xfId="27200"/>
    <cellStyle name="Normal 17 2 2 3 2 2 4 3 2" xfId="27201"/>
    <cellStyle name="Normal 17 2 2 3 2 2 4 3 3" xfId="27202"/>
    <cellStyle name="Normal 17 2 2 3 2 2 4 4" xfId="27203"/>
    <cellStyle name="Normal 17 2 2 3 2 2 4 5" xfId="27204"/>
    <cellStyle name="Normal 17 2 2 3 2 2 5" xfId="27205"/>
    <cellStyle name="Normal 17 2 2 3 2 2 5 2" xfId="27206"/>
    <cellStyle name="Normal 17 2 2 3 2 2 5 3" xfId="27207"/>
    <cellStyle name="Normal 17 2 2 3 2 2 6" xfId="27208"/>
    <cellStyle name="Normal 17 2 2 3 2 2 6 2" xfId="27209"/>
    <cellStyle name="Normal 17 2 2 3 2 2 6 3" xfId="27210"/>
    <cellStyle name="Normal 17 2 2 3 2 2 7" xfId="27211"/>
    <cellStyle name="Normal 17 2 2 3 2 2 8" xfId="27212"/>
    <cellStyle name="Normal 17 2 2 3 2 3" xfId="27213"/>
    <cellStyle name="Normal 17 2 2 3 2 3 2" xfId="27214"/>
    <cellStyle name="Normal 17 2 2 3 2 3 2 2" xfId="27215"/>
    <cellStyle name="Normal 17 2 2 3 2 3 2 2 2" xfId="27216"/>
    <cellStyle name="Normal 17 2 2 3 2 3 2 2 3" xfId="27217"/>
    <cellStyle name="Normal 17 2 2 3 2 3 2 3" xfId="27218"/>
    <cellStyle name="Normal 17 2 2 3 2 3 2 3 2" xfId="27219"/>
    <cellStyle name="Normal 17 2 2 3 2 3 2 3 3" xfId="27220"/>
    <cellStyle name="Normal 17 2 2 3 2 3 2 4" xfId="27221"/>
    <cellStyle name="Normal 17 2 2 3 2 3 2 5" xfId="27222"/>
    <cellStyle name="Normal 17 2 2 3 2 3 3" xfId="27223"/>
    <cellStyle name="Normal 17 2 2 3 2 3 3 2" xfId="27224"/>
    <cellStyle name="Normal 17 2 2 3 2 3 3 3" xfId="27225"/>
    <cellStyle name="Normal 17 2 2 3 2 3 4" xfId="27226"/>
    <cellStyle name="Normal 17 2 2 3 2 3 4 2" xfId="27227"/>
    <cellStyle name="Normal 17 2 2 3 2 3 4 3" xfId="27228"/>
    <cellStyle name="Normal 17 2 2 3 2 3 5" xfId="27229"/>
    <cellStyle name="Normal 17 2 2 3 2 3 6" xfId="27230"/>
    <cellStyle name="Normal 17 2 2 3 2 4" xfId="27231"/>
    <cellStyle name="Normal 17 2 2 3 2 4 2" xfId="27232"/>
    <cellStyle name="Normal 17 2 2 3 2 4 2 2" xfId="27233"/>
    <cellStyle name="Normal 17 2 2 3 2 4 2 2 2" xfId="27234"/>
    <cellStyle name="Normal 17 2 2 3 2 4 2 2 3" xfId="27235"/>
    <cellStyle name="Normal 17 2 2 3 2 4 2 3" xfId="27236"/>
    <cellStyle name="Normal 17 2 2 3 2 4 2 3 2" xfId="27237"/>
    <cellStyle name="Normal 17 2 2 3 2 4 2 3 3" xfId="27238"/>
    <cellStyle name="Normal 17 2 2 3 2 4 2 4" xfId="27239"/>
    <cellStyle name="Normal 17 2 2 3 2 4 2 5" xfId="27240"/>
    <cellStyle name="Normal 17 2 2 3 2 4 3" xfId="27241"/>
    <cellStyle name="Normal 17 2 2 3 2 4 3 2" xfId="27242"/>
    <cellStyle name="Normal 17 2 2 3 2 4 3 3" xfId="27243"/>
    <cellStyle name="Normal 17 2 2 3 2 4 4" xfId="27244"/>
    <cellStyle name="Normal 17 2 2 3 2 4 4 2" xfId="27245"/>
    <cellStyle name="Normal 17 2 2 3 2 4 4 3" xfId="27246"/>
    <cellStyle name="Normal 17 2 2 3 2 4 5" xfId="27247"/>
    <cellStyle name="Normal 17 2 2 3 2 4 6" xfId="27248"/>
    <cellStyle name="Normal 17 2 2 3 2 5" xfId="27249"/>
    <cellStyle name="Normal 17 2 2 3 2 5 2" xfId="27250"/>
    <cellStyle name="Normal 17 2 2 3 2 5 2 2" xfId="27251"/>
    <cellStyle name="Normal 17 2 2 3 2 5 2 3" xfId="27252"/>
    <cellStyle name="Normal 17 2 2 3 2 5 3" xfId="27253"/>
    <cellStyle name="Normal 17 2 2 3 2 5 3 2" xfId="27254"/>
    <cellStyle name="Normal 17 2 2 3 2 5 3 3" xfId="27255"/>
    <cellStyle name="Normal 17 2 2 3 2 5 4" xfId="27256"/>
    <cellStyle name="Normal 17 2 2 3 2 5 5" xfId="27257"/>
    <cellStyle name="Normal 17 2 2 3 2 6" xfId="27258"/>
    <cellStyle name="Normal 17 2 2 3 2 6 2" xfId="27259"/>
    <cellStyle name="Normal 17 2 2 3 2 6 3" xfId="27260"/>
    <cellStyle name="Normal 17 2 2 3 2 7" xfId="27261"/>
    <cellStyle name="Normal 17 2 2 3 2 7 2" xfId="27262"/>
    <cellStyle name="Normal 17 2 2 3 2 7 3" xfId="27263"/>
    <cellStyle name="Normal 17 2 2 3 2 8" xfId="27264"/>
    <cellStyle name="Normal 17 2 2 3 2 9" xfId="27265"/>
    <cellStyle name="Normal 17 2 2 3 3" xfId="27266"/>
    <cellStyle name="Normal 17 2 2 3 3 2" xfId="27267"/>
    <cellStyle name="Normal 17 2 2 3 3 2 2" xfId="27268"/>
    <cellStyle name="Normal 17 2 2 3 3 2 2 2" xfId="27269"/>
    <cellStyle name="Normal 17 2 2 3 3 2 2 2 2" xfId="27270"/>
    <cellStyle name="Normal 17 2 2 3 3 2 2 2 3" xfId="27271"/>
    <cellStyle name="Normal 17 2 2 3 3 2 2 3" xfId="27272"/>
    <cellStyle name="Normal 17 2 2 3 3 2 2 3 2" xfId="27273"/>
    <cellStyle name="Normal 17 2 2 3 3 2 2 3 3" xfId="27274"/>
    <cellStyle name="Normal 17 2 2 3 3 2 2 4" xfId="27275"/>
    <cellStyle name="Normal 17 2 2 3 3 2 2 5" xfId="27276"/>
    <cellStyle name="Normal 17 2 2 3 3 2 3" xfId="27277"/>
    <cellStyle name="Normal 17 2 2 3 3 2 3 2" xfId="27278"/>
    <cellStyle name="Normal 17 2 2 3 3 2 3 3" xfId="27279"/>
    <cellStyle name="Normal 17 2 2 3 3 2 4" xfId="27280"/>
    <cellStyle name="Normal 17 2 2 3 3 2 4 2" xfId="27281"/>
    <cellStyle name="Normal 17 2 2 3 3 2 4 3" xfId="27282"/>
    <cellStyle name="Normal 17 2 2 3 3 2 5" xfId="27283"/>
    <cellStyle name="Normal 17 2 2 3 3 2 6" xfId="27284"/>
    <cellStyle name="Normal 17 2 2 3 3 3" xfId="27285"/>
    <cellStyle name="Normal 17 2 2 3 3 3 2" xfId="27286"/>
    <cellStyle name="Normal 17 2 2 3 3 3 2 2" xfId="27287"/>
    <cellStyle name="Normal 17 2 2 3 3 3 2 2 2" xfId="27288"/>
    <cellStyle name="Normal 17 2 2 3 3 3 2 2 3" xfId="27289"/>
    <cellStyle name="Normal 17 2 2 3 3 3 2 3" xfId="27290"/>
    <cellStyle name="Normal 17 2 2 3 3 3 2 3 2" xfId="27291"/>
    <cellStyle name="Normal 17 2 2 3 3 3 2 3 3" xfId="27292"/>
    <cellStyle name="Normal 17 2 2 3 3 3 2 4" xfId="27293"/>
    <cellStyle name="Normal 17 2 2 3 3 3 2 5" xfId="27294"/>
    <cellStyle name="Normal 17 2 2 3 3 3 3" xfId="27295"/>
    <cellStyle name="Normal 17 2 2 3 3 3 3 2" xfId="27296"/>
    <cellStyle name="Normal 17 2 2 3 3 3 3 3" xfId="27297"/>
    <cellStyle name="Normal 17 2 2 3 3 3 4" xfId="27298"/>
    <cellStyle name="Normal 17 2 2 3 3 3 4 2" xfId="27299"/>
    <cellStyle name="Normal 17 2 2 3 3 3 4 3" xfId="27300"/>
    <cellStyle name="Normal 17 2 2 3 3 3 5" xfId="27301"/>
    <cellStyle name="Normal 17 2 2 3 3 3 6" xfId="27302"/>
    <cellStyle name="Normal 17 2 2 3 3 4" xfId="27303"/>
    <cellStyle name="Normal 17 2 2 3 3 4 2" xfId="27304"/>
    <cellStyle name="Normal 17 2 2 3 3 4 2 2" xfId="27305"/>
    <cellStyle name="Normal 17 2 2 3 3 4 2 3" xfId="27306"/>
    <cellStyle name="Normal 17 2 2 3 3 4 3" xfId="27307"/>
    <cellStyle name="Normal 17 2 2 3 3 4 3 2" xfId="27308"/>
    <cellStyle name="Normal 17 2 2 3 3 4 3 3" xfId="27309"/>
    <cellStyle name="Normal 17 2 2 3 3 4 4" xfId="27310"/>
    <cellStyle name="Normal 17 2 2 3 3 4 5" xfId="27311"/>
    <cellStyle name="Normal 17 2 2 3 3 5" xfId="27312"/>
    <cellStyle name="Normal 17 2 2 3 3 5 2" xfId="27313"/>
    <cellStyle name="Normal 17 2 2 3 3 5 3" xfId="27314"/>
    <cellStyle name="Normal 17 2 2 3 3 6" xfId="27315"/>
    <cellStyle name="Normal 17 2 2 3 3 6 2" xfId="27316"/>
    <cellStyle name="Normal 17 2 2 3 3 6 3" xfId="27317"/>
    <cellStyle name="Normal 17 2 2 3 3 7" xfId="27318"/>
    <cellStyle name="Normal 17 2 2 3 3 8" xfId="27319"/>
    <cellStyle name="Normal 17 2 2 3 4" xfId="27320"/>
    <cellStyle name="Normal 17 2 2 3 4 2" xfId="27321"/>
    <cellStyle name="Normal 17 2 2 3 4 2 2" xfId="27322"/>
    <cellStyle name="Normal 17 2 2 3 4 2 2 2" xfId="27323"/>
    <cellStyle name="Normal 17 2 2 3 4 2 2 3" xfId="27324"/>
    <cellStyle name="Normal 17 2 2 3 4 2 3" xfId="27325"/>
    <cellStyle name="Normal 17 2 2 3 4 2 3 2" xfId="27326"/>
    <cellStyle name="Normal 17 2 2 3 4 2 3 3" xfId="27327"/>
    <cellStyle name="Normal 17 2 2 3 4 2 4" xfId="27328"/>
    <cellStyle name="Normal 17 2 2 3 4 2 5" xfId="27329"/>
    <cellStyle name="Normal 17 2 2 3 4 3" xfId="27330"/>
    <cellStyle name="Normal 17 2 2 3 4 3 2" xfId="27331"/>
    <cellStyle name="Normal 17 2 2 3 4 3 3" xfId="27332"/>
    <cellStyle name="Normal 17 2 2 3 4 4" xfId="27333"/>
    <cellStyle name="Normal 17 2 2 3 4 4 2" xfId="27334"/>
    <cellStyle name="Normal 17 2 2 3 4 4 3" xfId="27335"/>
    <cellStyle name="Normal 17 2 2 3 4 5" xfId="27336"/>
    <cellStyle name="Normal 17 2 2 3 4 6" xfId="27337"/>
    <cellStyle name="Normal 17 2 2 3 5" xfId="27338"/>
    <cellStyle name="Normal 17 2 2 3 5 2" xfId="27339"/>
    <cellStyle name="Normal 17 2 2 3 5 2 2" xfId="27340"/>
    <cellStyle name="Normal 17 2 2 3 5 2 2 2" xfId="27341"/>
    <cellStyle name="Normal 17 2 2 3 5 2 2 3" xfId="27342"/>
    <cellStyle name="Normal 17 2 2 3 5 2 3" xfId="27343"/>
    <cellStyle name="Normal 17 2 2 3 5 2 3 2" xfId="27344"/>
    <cellStyle name="Normal 17 2 2 3 5 2 3 3" xfId="27345"/>
    <cellStyle name="Normal 17 2 2 3 5 2 4" xfId="27346"/>
    <cellStyle name="Normal 17 2 2 3 5 2 5" xfId="27347"/>
    <cellStyle name="Normal 17 2 2 3 5 3" xfId="27348"/>
    <cellStyle name="Normal 17 2 2 3 5 3 2" xfId="27349"/>
    <cellStyle name="Normal 17 2 2 3 5 3 3" xfId="27350"/>
    <cellStyle name="Normal 17 2 2 3 5 4" xfId="27351"/>
    <cellStyle name="Normal 17 2 2 3 5 4 2" xfId="27352"/>
    <cellStyle name="Normal 17 2 2 3 5 4 3" xfId="27353"/>
    <cellStyle name="Normal 17 2 2 3 5 5" xfId="27354"/>
    <cellStyle name="Normal 17 2 2 3 5 6" xfId="27355"/>
    <cellStyle name="Normal 17 2 2 3 6" xfId="27356"/>
    <cellStyle name="Normal 17 2 2 3 6 2" xfId="27357"/>
    <cellStyle name="Normal 17 2 2 3 6 2 2" xfId="27358"/>
    <cellStyle name="Normal 17 2 2 3 6 2 3" xfId="27359"/>
    <cellStyle name="Normal 17 2 2 3 6 3" xfId="27360"/>
    <cellStyle name="Normal 17 2 2 3 6 3 2" xfId="27361"/>
    <cellStyle name="Normal 17 2 2 3 6 3 3" xfId="27362"/>
    <cellStyle name="Normal 17 2 2 3 6 4" xfId="27363"/>
    <cellStyle name="Normal 17 2 2 3 6 5" xfId="27364"/>
    <cellStyle name="Normal 17 2 2 3 7" xfId="27365"/>
    <cellStyle name="Normal 17 2 2 3 7 2" xfId="27366"/>
    <cellStyle name="Normal 17 2 2 3 7 3" xfId="27367"/>
    <cellStyle name="Normal 17 2 2 3 8" xfId="27368"/>
    <cellStyle name="Normal 17 2 2 3 8 2" xfId="27369"/>
    <cellStyle name="Normal 17 2 2 3 8 3" xfId="27370"/>
    <cellStyle name="Normal 17 2 2 3 9" xfId="27371"/>
    <cellStyle name="Normal 17 2 2 4" xfId="27372"/>
    <cellStyle name="Normal 17 2 2 4 2" xfId="27373"/>
    <cellStyle name="Normal 17 2 2 4 2 2" xfId="27374"/>
    <cellStyle name="Normal 17 2 2 4 2 2 2" xfId="27375"/>
    <cellStyle name="Normal 17 2 2 4 2 2 2 2" xfId="27376"/>
    <cellStyle name="Normal 17 2 2 4 2 2 2 2 2" xfId="27377"/>
    <cellStyle name="Normal 17 2 2 4 2 2 2 2 3" xfId="27378"/>
    <cellStyle name="Normal 17 2 2 4 2 2 2 3" xfId="27379"/>
    <cellStyle name="Normal 17 2 2 4 2 2 2 3 2" xfId="27380"/>
    <cellStyle name="Normal 17 2 2 4 2 2 2 3 3" xfId="27381"/>
    <cellStyle name="Normal 17 2 2 4 2 2 2 4" xfId="27382"/>
    <cellStyle name="Normal 17 2 2 4 2 2 2 5" xfId="27383"/>
    <cellStyle name="Normal 17 2 2 4 2 2 3" xfId="27384"/>
    <cellStyle name="Normal 17 2 2 4 2 2 3 2" xfId="27385"/>
    <cellStyle name="Normal 17 2 2 4 2 2 3 3" xfId="27386"/>
    <cellStyle name="Normal 17 2 2 4 2 2 4" xfId="27387"/>
    <cellStyle name="Normal 17 2 2 4 2 2 4 2" xfId="27388"/>
    <cellStyle name="Normal 17 2 2 4 2 2 4 3" xfId="27389"/>
    <cellStyle name="Normal 17 2 2 4 2 2 5" xfId="27390"/>
    <cellStyle name="Normal 17 2 2 4 2 2 6" xfId="27391"/>
    <cellStyle name="Normal 17 2 2 4 2 3" xfId="27392"/>
    <cellStyle name="Normal 17 2 2 4 2 3 2" xfId="27393"/>
    <cellStyle name="Normal 17 2 2 4 2 3 2 2" xfId="27394"/>
    <cellStyle name="Normal 17 2 2 4 2 3 2 2 2" xfId="27395"/>
    <cellStyle name="Normal 17 2 2 4 2 3 2 2 3" xfId="27396"/>
    <cellStyle name="Normal 17 2 2 4 2 3 2 3" xfId="27397"/>
    <cellStyle name="Normal 17 2 2 4 2 3 2 3 2" xfId="27398"/>
    <cellStyle name="Normal 17 2 2 4 2 3 2 3 3" xfId="27399"/>
    <cellStyle name="Normal 17 2 2 4 2 3 2 4" xfId="27400"/>
    <cellStyle name="Normal 17 2 2 4 2 3 2 5" xfId="27401"/>
    <cellStyle name="Normal 17 2 2 4 2 3 3" xfId="27402"/>
    <cellStyle name="Normal 17 2 2 4 2 3 3 2" xfId="27403"/>
    <cellStyle name="Normal 17 2 2 4 2 3 3 3" xfId="27404"/>
    <cellStyle name="Normal 17 2 2 4 2 3 4" xfId="27405"/>
    <cellStyle name="Normal 17 2 2 4 2 3 4 2" xfId="27406"/>
    <cellStyle name="Normal 17 2 2 4 2 3 4 3" xfId="27407"/>
    <cellStyle name="Normal 17 2 2 4 2 3 5" xfId="27408"/>
    <cellStyle name="Normal 17 2 2 4 2 3 6" xfId="27409"/>
    <cellStyle name="Normal 17 2 2 4 2 4" xfId="27410"/>
    <cellStyle name="Normal 17 2 2 4 2 4 2" xfId="27411"/>
    <cellStyle name="Normal 17 2 2 4 2 4 2 2" xfId="27412"/>
    <cellStyle name="Normal 17 2 2 4 2 4 2 3" xfId="27413"/>
    <cellStyle name="Normal 17 2 2 4 2 4 3" xfId="27414"/>
    <cellStyle name="Normal 17 2 2 4 2 4 3 2" xfId="27415"/>
    <cellStyle name="Normal 17 2 2 4 2 4 3 3" xfId="27416"/>
    <cellStyle name="Normal 17 2 2 4 2 4 4" xfId="27417"/>
    <cellStyle name="Normal 17 2 2 4 2 4 5" xfId="27418"/>
    <cellStyle name="Normal 17 2 2 4 2 5" xfId="27419"/>
    <cellStyle name="Normal 17 2 2 4 2 5 2" xfId="27420"/>
    <cellStyle name="Normal 17 2 2 4 2 5 3" xfId="27421"/>
    <cellStyle name="Normal 17 2 2 4 2 6" xfId="27422"/>
    <cellStyle name="Normal 17 2 2 4 2 6 2" xfId="27423"/>
    <cellStyle name="Normal 17 2 2 4 2 6 3" xfId="27424"/>
    <cellStyle name="Normal 17 2 2 4 2 7" xfId="27425"/>
    <cellStyle name="Normal 17 2 2 4 2 8" xfId="27426"/>
    <cellStyle name="Normal 17 2 2 4 3" xfId="27427"/>
    <cellStyle name="Normal 17 2 2 4 3 2" xfId="27428"/>
    <cellStyle name="Normal 17 2 2 4 3 2 2" xfId="27429"/>
    <cellStyle name="Normal 17 2 2 4 3 2 2 2" xfId="27430"/>
    <cellStyle name="Normal 17 2 2 4 3 2 2 3" xfId="27431"/>
    <cellStyle name="Normal 17 2 2 4 3 2 3" xfId="27432"/>
    <cellStyle name="Normal 17 2 2 4 3 2 3 2" xfId="27433"/>
    <cellStyle name="Normal 17 2 2 4 3 2 3 3" xfId="27434"/>
    <cellStyle name="Normal 17 2 2 4 3 2 4" xfId="27435"/>
    <cellStyle name="Normal 17 2 2 4 3 2 5" xfId="27436"/>
    <cellStyle name="Normal 17 2 2 4 3 3" xfId="27437"/>
    <cellStyle name="Normal 17 2 2 4 3 3 2" xfId="27438"/>
    <cellStyle name="Normal 17 2 2 4 3 3 3" xfId="27439"/>
    <cellStyle name="Normal 17 2 2 4 3 4" xfId="27440"/>
    <cellStyle name="Normal 17 2 2 4 3 4 2" xfId="27441"/>
    <cellStyle name="Normal 17 2 2 4 3 4 3" xfId="27442"/>
    <cellStyle name="Normal 17 2 2 4 3 5" xfId="27443"/>
    <cellStyle name="Normal 17 2 2 4 3 6" xfId="27444"/>
    <cellStyle name="Normal 17 2 2 4 4" xfId="27445"/>
    <cellStyle name="Normal 17 2 2 4 4 2" xfId="27446"/>
    <cellStyle name="Normal 17 2 2 4 4 2 2" xfId="27447"/>
    <cellStyle name="Normal 17 2 2 4 4 2 2 2" xfId="27448"/>
    <cellStyle name="Normal 17 2 2 4 4 2 2 3" xfId="27449"/>
    <cellStyle name="Normal 17 2 2 4 4 2 3" xfId="27450"/>
    <cellStyle name="Normal 17 2 2 4 4 2 3 2" xfId="27451"/>
    <cellStyle name="Normal 17 2 2 4 4 2 3 3" xfId="27452"/>
    <cellStyle name="Normal 17 2 2 4 4 2 4" xfId="27453"/>
    <cellStyle name="Normal 17 2 2 4 4 2 5" xfId="27454"/>
    <cellStyle name="Normal 17 2 2 4 4 3" xfId="27455"/>
    <cellStyle name="Normal 17 2 2 4 4 3 2" xfId="27456"/>
    <cellStyle name="Normal 17 2 2 4 4 3 3" xfId="27457"/>
    <cellStyle name="Normal 17 2 2 4 4 4" xfId="27458"/>
    <cellStyle name="Normal 17 2 2 4 4 4 2" xfId="27459"/>
    <cellStyle name="Normal 17 2 2 4 4 4 3" xfId="27460"/>
    <cellStyle name="Normal 17 2 2 4 4 5" xfId="27461"/>
    <cellStyle name="Normal 17 2 2 4 4 6" xfId="27462"/>
    <cellStyle name="Normal 17 2 2 4 5" xfId="27463"/>
    <cellStyle name="Normal 17 2 2 4 5 2" xfId="27464"/>
    <cellStyle name="Normal 17 2 2 4 5 2 2" xfId="27465"/>
    <cellStyle name="Normal 17 2 2 4 5 2 3" xfId="27466"/>
    <cellStyle name="Normal 17 2 2 4 5 3" xfId="27467"/>
    <cellStyle name="Normal 17 2 2 4 5 3 2" xfId="27468"/>
    <cellStyle name="Normal 17 2 2 4 5 3 3" xfId="27469"/>
    <cellStyle name="Normal 17 2 2 4 5 4" xfId="27470"/>
    <cellStyle name="Normal 17 2 2 4 5 5" xfId="27471"/>
    <cellStyle name="Normal 17 2 2 4 6" xfId="27472"/>
    <cellStyle name="Normal 17 2 2 4 6 2" xfId="27473"/>
    <cellStyle name="Normal 17 2 2 4 6 3" xfId="27474"/>
    <cellStyle name="Normal 17 2 2 4 7" xfId="27475"/>
    <cellStyle name="Normal 17 2 2 4 7 2" xfId="27476"/>
    <cellStyle name="Normal 17 2 2 4 7 3" xfId="27477"/>
    <cellStyle name="Normal 17 2 2 4 8" xfId="27478"/>
    <cellStyle name="Normal 17 2 2 4 9" xfId="27479"/>
    <cellStyle name="Normal 17 2 2 5" xfId="27480"/>
    <cellStyle name="Normal 17 2 2 5 2" xfId="27481"/>
    <cellStyle name="Normal 17 2 2 5 2 2" xfId="27482"/>
    <cellStyle name="Normal 17 2 2 5 2 2 2" xfId="27483"/>
    <cellStyle name="Normal 17 2 2 5 2 2 2 2" xfId="27484"/>
    <cellStyle name="Normal 17 2 2 5 2 2 2 3" xfId="27485"/>
    <cellStyle name="Normal 17 2 2 5 2 2 3" xfId="27486"/>
    <cellStyle name="Normal 17 2 2 5 2 2 3 2" xfId="27487"/>
    <cellStyle name="Normal 17 2 2 5 2 2 3 3" xfId="27488"/>
    <cellStyle name="Normal 17 2 2 5 2 2 4" xfId="27489"/>
    <cellStyle name="Normal 17 2 2 5 2 2 5" xfId="27490"/>
    <cellStyle name="Normal 17 2 2 5 2 3" xfId="27491"/>
    <cellStyle name="Normal 17 2 2 5 2 3 2" xfId="27492"/>
    <cellStyle name="Normal 17 2 2 5 2 3 3" xfId="27493"/>
    <cellStyle name="Normal 17 2 2 5 2 4" xfId="27494"/>
    <cellStyle name="Normal 17 2 2 5 2 4 2" xfId="27495"/>
    <cellStyle name="Normal 17 2 2 5 2 4 3" xfId="27496"/>
    <cellStyle name="Normal 17 2 2 5 2 5" xfId="27497"/>
    <cellStyle name="Normal 17 2 2 5 2 6" xfId="27498"/>
    <cellStyle name="Normal 17 2 2 5 3" xfId="27499"/>
    <cellStyle name="Normal 17 2 2 5 3 2" xfId="27500"/>
    <cellStyle name="Normal 17 2 2 5 3 2 2" xfId="27501"/>
    <cellStyle name="Normal 17 2 2 5 3 2 2 2" xfId="27502"/>
    <cellStyle name="Normal 17 2 2 5 3 2 2 3" xfId="27503"/>
    <cellStyle name="Normal 17 2 2 5 3 2 3" xfId="27504"/>
    <cellStyle name="Normal 17 2 2 5 3 2 3 2" xfId="27505"/>
    <cellStyle name="Normal 17 2 2 5 3 2 3 3" xfId="27506"/>
    <cellStyle name="Normal 17 2 2 5 3 2 4" xfId="27507"/>
    <cellStyle name="Normal 17 2 2 5 3 2 5" xfId="27508"/>
    <cellStyle name="Normal 17 2 2 5 3 3" xfId="27509"/>
    <cellStyle name="Normal 17 2 2 5 3 3 2" xfId="27510"/>
    <cellStyle name="Normal 17 2 2 5 3 3 3" xfId="27511"/>
    <cellStyle name="Normal 17 2 2 5 3 4" xfId="27512"/>
    <cellStyle name="Normal 17 2 2 5 3 4 2" xfId="27513"/>
    <cellStyle name="Normal 17 2 2 5 3 4 3" xfId="27514"/>
    <cellStyle name="Normal 17 2 2 5 3 5" xfId="27515"/>
    <cellStyle name="Normal 17 2 2 5 3 6" xfId="27516"/>
    <cellStyle name="Normal 17 2 2 5 4" xfId="27517"/>
    <cellStyle name="Normal 17 2 2 5 4 2" xfId="27518"/>
    <cellStyle name="Normal 17 2 2 5 4 2 2" xfId="27519"/>
    <cellStyle name="Normal 17 2 2 5 4 2 3" xfId="27520"/>
    <cellStyle name="Normal 17 2 2 5 4 3" xfId="27521"/>
    <cellStyle name="Normal 17 2 2 5 4 3 2" xfId="27522"/>
    <cellStyle name="Normal 17 2 2 5 4 3 3" xfId="27523"/>
    <cellStyle name="Normal 17 2 2 5 4 4" xfId="27524"/>
    <cellStyle name="Normal 17 2 2 5 4 5" xfId="27525"/>
    <cellStyle name="Normal 17 2 2 5 5" xfId="27526"/>
    <cellStyle name="Normal 17 2 2 5 5 2" xfId="27527"/>
    <cellStyle name="Normal 17 2 2 5 5 3" xfId="27528"/>
    <cellStyle name="Normal 17 2 2 5 6" xfId="27529"/>
    <cellStyle name="Normal 17 2 2 5 6 2" xfId="27530"/>
    <cellStyle name="Normal 17 2 2 5 6 3" xfId="27531"/>
    <cellStyle name="Normal 17 2 2 5 7" xfId="27532"/>
    <cellStyle name="Normal 17 2 2 5 8" xfId="27533"/>
    <cellStyle name="Normal 17 2 2 6" xfId="27534"/>
    <cellStyle name="Normal 17 2 2 6 2" xfId="27535"/>
    <cellStyle name="Normal 17 2 2 6 2 2" xfId="27536"/>
    <cellStyle name="Normal 17 2 2 6 2 2 2" xfId="27537"/>
    <cellStyle name="Normal 17 2 2 6 2 2 3" xfId="27538"/>
    <cellStyle name="Normal 17 2 2 6 2 3" xfId="27539"/>
    <cellStyle name="Normal 17 2 2 6 2 3 2" xfId="27540"/>
    <cellStyle name="Normal 17 2 2 6 2 3 3" xfId="27541"/>
    <cellStyle name="Normal 17 2 2 6 2 4" xfId="27542"/>
    <cellStyle name="Normal 17 2 2 6 2 5" xfId="27543"/>
    <cellStyle name="Normal 17 2 2 6 3" xfId="27544"/>
    <cellStyle name="Normal 17 2 2 6 3 2" xfId="27545"/>
    <cellStyle name="Normal 17 2 2 6 3 3" xfId="27546"/>
    <cellStyle name="Normal 17 2 2 6 4" xfId="27547"/>
    <cellStyle name="Normal 17 2 2 6 4 2" xfId="27548"/>
    <cellStyle name="Normal 17 2 2 6 4 3" xfId="27549"/>
    <cellStyle name="Normal 17 2 2 6 5" xfId="27550"/>
    <cellStyle name="Normal 17 2 2 6 6" xfId="27551"/>
    <cellStyle name="Normal 17 2 2 7" xfId="27552"/>
    <cellStyle name="Normal 17 2 2 7 2" xfId="27553"/>
    <cellStyle name="Normal 17 2 2 7 2 2" xfId="27554"/>
    <cellStyle name="Normal 17 2 2 7 2 2 2" xfId="27555"/>
    <cellStyle name="Normal 17 2 2 7 2 2 3" xfId="27556"/>
    <cellStyle name="Normal 17 2 2 7 2 3" xfId="27557"/>
    <cellStyle name="Normal 17 2 2 7 2 3 2" xfId="27558"/>
    <cellStyle name="Normal 17 2 2 7 2 3 3" xfId="27559"/>
    <cellStyle name="Normal 17 2 2 7 2 4" xfId="27560"/>
    <cellStyle name="Normal 17 2 2 7 2 5" xfId="27561"/>
    <cellStyle name="Normal 17 2 2 7 3" xfId="27562"/>
    <cellStyle name="Normal 17 2 2 7 3 2" xfId="27563"/>
    <cellStyle name="Normal 17 2 2 7 3 3" xfId="27564"/>
    <cellStyle name="Normal 17 2 2 7 4" xfId="27565"/>
    <cellStyle name="Normal 17 2 2 7 4 2" xfId="27566"/>
    <cellStyle name="Normal 17 2 2 7 4 3" xfId="27567"/>
    <cellStyle name="Normal 17 2 2 7 5" xfId="27568"/>
    <cellStyle name="Normal 17 2 2 7 6" xfId="27569"/>
    <cellStyle name="Normal 17 2 2 8" xfId="27570"/>
    <cellStyle name="Normal 17 2 2 8 2" xfId="27571"/>
    <cellStyle name="Normal 17 2 2 8 2 2" xfId="27572"/>
    <cellStyle name="Normal 17 2 2 8 2 3" xfId="27573"/>
    <cellStyle name="Normal 17 2 2 8 3" xfId="27574"/>
    <cellStyle name="Normal 17 2 2 8 3 2" xfId="27575"/>
    <cellStyle name="Normal 17 2 2 8 3 3" xfId="27576"/>
    <cellStyle name="Normal 17 2 2 8 4" xfId="27577"/>
    <cellStyle name="Normal 17 2 2 8 5" xfId="27578"/>
    <cellStyle name="Normal 17 2 2 9" xfId="27579"/>
    <cellStyle name="Normal 17 2 2 9 2" xfId="27580"/>
    <cellStyle name="Normal 17 2 2 9 3" xfId="27581"/>
    <cellStyle name="Normal 17 2 3" xfId="27582"/>
    <cellStyle name="Normal 17 2 3 10" xfId="27583"/>
    <cellStyle name="Normal 17 2 3 2" xfId="27584"/>
    <cellStyle name="Normal 17 2 3 2 2" xfId="27585"/>
    <cellStyle name="Normal 17 2 3 2 2 2" xfId="27586"/>
    <cellStyle name="Normal 17 2 3 2 2 2 2" xfId="27587"/>
    <cellStyle name="Normal 17 2 3 2 2 2 2 2" xfId="27588"/>
    <cellStyle name="Normal 17 2 3 2 2 2 2 2 2" xfId="27589"/>
    <cellStyle name="Normal 17 2 3 2 2 2 2 2 3" xfId="27590"/>
    <cellStyle name="Normal 17 2 3 2 2 2 2 3" xfId="27591"/>
    <cellStyle name="Normal 17 2 3 2 2 2 2 3 2" xfId="27592"/>
    <cellStyle name="Normal 17 2 3 2 2 2 2 3 3" xfId="27593"/>
    <cellStyle name="Normal 17 2 3 2 2 2 2 4" xfId="27594"/>
    <cellStyle name="Normal 17 2 3 2 2 2 2 5" xfId="27595"/>
    <cellStyle name="Normal 17 2 3 2 2 2 3" xfId="27596"/>
    <cellStyle name="Normal 17 2 3 2 2 2 3 2" xfId="27597"/>
    <cellStyle name="Normal 17 2 3 2 2 2 3 3" xfId="27598"/>
    <cellStyle name="Normal 17 2 3 2 2 2 4" xfId="27599"/>
    <cellStyle name="Normal 17 2 3 2 2 2 4 2" xfId="27600"/>
    <cellStyle name="Normal 17 2 3 2 2 2 4 3" xfId="27601"/>
    <cellStyle name="Normal 17 2 3 2 2 2 5" xfId="27602"/>
    <cellStyle name="Normal 17 2 3 2 2 2 6" xfId="27603"/>
    <cellStyle name="Normal 17 2 3 2 2 3" xfId="27604"/>
    <cellStyle name="Normal 17 2 3 2 2 3 2" xfId="27605"/>
    <cellStyle name="Normal 17 2 3 2 2 3 2 2" xfId="27606"/>
    <cellStyle name="Normal 17 2 3 2 2 3 2 2 2" xfId="27607"/>
    <cellStyle name="Normal 17 2 3 2 2 3 2 2 3" xfId="27608"/>
    <cellStyle name="Normal 17 2 3 2 2 3 2 3" xfId="27609"/>
    <cellStyle name="Normal 17 2 3 2 2 3 2 3 2" xfId="27610"/>
    <cellStyle name="Normal 17 2 3 2 2 3 2 3 3" xfId="27611"/>
    <cellStyle name="Normal 17 2 3 2 2 3 2 4" xfId="27612"/>
    <cellStyle name="Normal 17 2 3 2 2 3 2 5" xfId="27613"/>
    <cellStyle name="Normal 17 2 3 2 2 3 3" xfId="27614"/>
    <cellStyle name="Normal 17 2 3 2 2 3 3 2" xfId="27615"/>
    <cellStyle name="Normal 17 2 3 2 2 3 3 3" xfId="27616"/>
    <cellStyle name="Normal 17 2 3 2 2 3 4" xfId="27617"/>
    <cellStyle name="Normal 17 2 3 2 2 3 4 2" xfId="27618"/>
    <cellStyle name="Normal 17 2 3 2 2 3 4 3" xfId="27619"/>
    <cellStyle name="Normal 17 2 3 2 2 3 5" xfId="27620"/>
    <cellStyle name="Normal 17 2 3 2 2 3 6" xfId="27621"/>
    <cellStyle name="Normal 17 2 3 2 2 4" xfId="27622"/>
    <cellStyle name="Normal 17 2 3 2 2 4 2" xfId="27623"/>
    <cellStyle name="Normal 17 2 3 2 2 4 2 2" xfId="27624"/>
    <cellStyle name="Normal 17 2 3 2 2 4 2 3" xfId="27625"/>
    <cellStyle name="Normal 17 2 3 2 2 4 3" xfId="27626"/>
    <cellStyle name="Normal 17 2 3 2 2 4 3 2" xfId="27627"/>
    <cellStyle name="Normal 17 2 3 2 2 4 3 3" xfId="27628"/>
    <cellStyle name="Normal 17 2 3 2 2 4 4" xfId="27629"/>
    <cellStyle name="Normal 17 2 3 2 2 4 5" xfId="27630"/>
    <cellStyle name="Normal 17 2 3 2 2 5" xfId="27631"/>
    <cellStyle name="Normal 17 2 3 2 2 5 2" xfId="27632"/>
    <cellStyle name="Normal 17 2 3 2 2 5 3" xfId="27633"/>
    <cellStyle name="Normal 17 2 3 2 2 6" xfId="27634"/>
    <cellStyle name="Normal 17 2 3 2 2 6 2" xfId="27635"/>
    <cellStyle name="Normal 17 2 3 2 2 6 3" xfId="27636"/>
    <cellStyle name="Normal 17 2 3 2 2 7" xfId="27637"/>
    <cellStyle name="Normal 17 2 3 2 2 8" xfId="27638"/>
    <cellStyle name="Normal 17 2 3 2 3" xfId="27639"/>
    <cellStyle name="Normal 17 2 3 2 3 2" xfId="27640"/>
    <cellStyle name="Normal 17 2 3 2 3 2 2" xfId="27641"/>
    <cellStyle name="Normal 17 2 3 2 3 2 2 2" xfId="27642"/>
    <cellStyle name="Normal 17 2 3 2 3 2 2 3" xfId="27643"/>
    <cellStyle name="Normal 17 2 3 2 3 2 3" xfId="27644"/>
    <cellStyle name="Normal 17 2 3 2 3 2 3 2" xfId="27645"/>
    <cellStyle name="Normal 17 2 3 2 3 2 3 3" xfId="27646"/>
    <cellStyle name="Normal 17 2 3 2 3 2 4" xfId="27647"/>
    <cellStyle name="Normal 17 2 3 2 3 2 5" xfId="27648"/>
    <cellStyle name="Normal 17 2 3 2 3 3" xfId="27649"/>
    <cellStyle name="Normal 17 2 3 2 3 3 2" xfId="27650"/>
    <cellStyle name="Normal 17 2 3 2 3 3 3" xfId="27651"/>
    <cellStyle name="Normal 17 2 3 2 3 4" xfId="27652"/>
    <cellStyle name="Normal 17 2 3 2 3 4 2" xfId="27653"/>
    <cellStyle name="Normal 17 2 3 2 3 4 3" xfId="27654"/>
    <cellStyle name="Normal 17 2 3 2 3 5" xfId="27655"/>
    <cellStyle name="Normal 17 2 3 2 3 6" xfId="27656"/>
    <cellStyle name="Normal 17 2 3 2 4" xfId="27657"/>
    <cellStyle name="Normal 17 2 3 2 4 2" xfId="27658"/>
    <cellStyle name="Normal 17 2 3 2 4 2 2" xfId="27659"/>
    <cellStyle name="Normal 17 2 3 2 4 2 2 2" xfId="27660"/>
    <cellStyle name="Normal 17 2 3 2 4 2 2 3" xfId="27661"/>
    <cellStyle name="Normal 17 2 3 2 4 2 3" xfId="27662"/>
    <cellStyle name="Normal 17 2 3 2 4 2 3 2" xfId="27663"/>
    <cellStyle name="Normal 17 2 3 2 4 2 3 3" xfId="27664"/>
    <cellStyle name="Normal 17 2 3 2 4 2 4" xfId="27665"/>
    <cellStyle name="Normal 17 2 3 2 4 2 5" xfId="27666"/>
    <cellStyle name="Normal 17 2 3 2 4 3" xfId="27667"/>
    <cellStyle name="Normal 17 2 3 2 4 3 2" xfId="27668"/>
    <cellStyle name="Normal 17 2 3 2 4 3 3" xfId="27669"/>
    <cellStyle name="Normal 17 2 3 2 4 4" xfId="27670"/>
    <cellStyle name="Normal 17 2 3 2 4 4 2" xfId="27671"/>
    <cellStyle name="Normal 17 2 3 2 4 4 3" xfId="27672"/>
    <cellStyle name="Normal 17 2 3 2 4 5" xfId="27673"/>
    <cellStyle name="Normal 17 2 3 2 4 6" xfId="27674"/>
    <cellStyle name="Normal 17 2 3 2 5" xfId="27675"/>
    <cellStyle name="Normal 17 2 3 2 5 2" xfId="27676"/>
    <cellStyle name="Normal 17 2 3 2 5 2 2" xfId="27677"/>
    <cellStyle name="Normal 17 2 3 2 5 2 3" xfId="27678"/>
    <cellStyle name="Normal 17 2 3 2 5 3" xfId="27679"/>
    <cellStyle name="Normal 17 2 3 2 5 3 2" xfId="27680"/>
    <cellStyle name="Normal 17 2 3 2 5 3 3" xfId="27681"/>
    <cellStyle name="Normal 17 2 3 2 5 4" xfId="27682"/>
    <cellStyle name="Normal 17 2 3 2 5 5" xfId="27683"/>
    <cellStyle name="Normal 17 2 3 2 6" xfId="27684"/>
    <cellStyle name="Normal 17 2 3 2 6 2" xfId="27685"/>
    <cellStyle name="Normal 17 2 3 2 6 3" xfId="27686"/>
    <cellStyle name="Normal 17 2 3 2 7" xfId="27687"/>
    <cellStyle name="Normal 17 2 3 2 7 2" xfId="27688"/>
    <cellStyle name="Normal 17 2 3 2 7 3" xfId="27689"/>
    <cellStyle name="Normal 17 2 3 2 8" xfId="27690"/>
    <cellStyle name="Normal 17 2 3 2 9" xfId="27691"/>
    <cellStyle name="Normal 17 2 3 3" xfId="27692"/>
    <cellStyle name="Normal 17 2 3 3 2" xfId="27693"/>
    <cellStyle name="Normal 17 2 3 3 2 2" xfId="27694"/>
    <cellStyle name="Normal 17 2 3 3 2 2 2" xfId="27695"/>
    <cellStyle name="Normal 17 2 3 3 2 2 2 2" xfId="27696"/>
    <cellStyle name="Normal 17 2 3 3 2 2 2 3" xfId="27697"/>
    <cellStyle name="Normal 17 2 3 3 2 2 3" xfId="27698"/>
    <cellStyle name="Normal 17 2 3 3 2 2 3 2" xfId="27699"/>
    <cellStyle name="Normal 17 2 3 3 2 2 3 3" xfId="27700"/>
    <cellStyle name="Normal 17 2 3 3 2 2 4" xfId="27701"/>
    <cellStyle name="Normal 17 2 3 3 2 2 5" xfId="27702"/>
    <cellStyle name="Normal 17 2 3 3 2 3" xfId="27703"/>
    <cellStyle name="Normal 17 2 3 3 2 3 2" xfId="27704"/>
    <cellStyle name="Normal 17 2 3 3 2 3 3" xfId="27705"/>
    <cellStyle name="Normal 17 2 3 3 2 4" xfId="27706"/>
    <cellStyle name="Normal 17 2 3 3 2 4 2" xfId="27707"/>
    <cellStyle name="Normal 17 2 3 3 2 4 3" xfId="27708"/>
    <cellStyle name="Normal 17 2 3 3 2 5" xfId="27709"/>
    <cellStyle name="Normal 17 2 3 3 2 6" xfId="27710"/>
    <cellStyle name="Normal 17 2 3 3 3" xfId="27711"/>
    <cellStyle name="Normal 17 2 3 3 3 2" xfId="27712"/>
    <cellStyle name="Normal 17 2 3 3 3 2 2" xfId="27713"/>
    <cellStyle name="Normal 17 2 3 3 3 2 2 2" xfId="27714"/>
    <cellStyle name="Normal 17 2 3 3 3 2 2 3" xfId="27715"/>
    <cellStyle name="Normal 17 2 3 3 3 2 3" xfId="27716"/>
    <cellStyle name="Normal 17 2 3 3 3 2 3 2" xfId="27717"/>
    <cellStyle name="Normal 17 2 3 3 3 2 3 3" xfId="27718"/>
    <cellStyle name="Normal 17 2 3 3 3 2 4" xfId="27719"/>
    <cellStyle name="Normal 17 2 3 3 3 2 5" xfId="27720"/>
    <cellStyle name="Normal 17 2 3 3 3 3" xfId="27721"/>
    <cellStyle name="Normal 17 2 3 3 3 3 2" xfId="27722"/>
    <cellStyle name="Normal 17 2 3 3 3 3 3" xfId="27723"/>
    <cellStyle name="Normal 17 2 3 3 3 4" xfId="27724"/>
    <cellStyle name="Normal 17 2 3 3 3 4 2" xfId="27725"/>
    <cellStyle name="Normal 17 2 3 3 3 4 3" xfId="27726"/>
    <cellStyle name="Normal 17 2 3 3 3 5" xfId="27727"/>
    <cellStyle name="Normal 17 2 3 3 3 6" xfId="27728"/>
    <cellStyle name="Normal 17 2 3 3 4" xfId="27729"/>
    <cellStyle name="Normal 17 2 3 3 4 2" xfId="27730"/>
    <cellStyle name="Normal 17 2 3 3 4 2 2" xfId="27731"/>
    <cellStyle name="Normal 17 2 3 3 4 2 3" xfId="27732"/>
    <cellStyle name="Normal 17 2 3 3 4 3" xfId="27733"/>
    <cellStyle name="Normal 17 2 3 3 4 3 2" xfId="27734"/>
    <cellStyle name="Normal 17 2 3 3 4 3 3" xfId="27735"/>
    <cellStyle name="Normal 17 2 3 3 4 4" xfId="27736"/>
    <cellStyle name="Normal 17 2 3 3 4 5" xfId="27737"/>
    <cellStyle name="Normal 17 2 3 3 5" xfId="27738"/>
    <cellStyle name="Normal 17 2 3 3 5 2" xfId="27739"/>
    <cellStyle name="Normal 17 2 3 3 5 3" xfId="27740"/>
    <cellStyle name="Normal 17 2 3 3 6" xfId="27741"/>
    <cellStyle name="Normal 17 2 3 3 6 2" xfId="27742"/>
    <cellStyle name="Normal 17 2 3 3 6 3" xfId="27743"/>
    <cellStyle name="Normal 17 2 3 3 7" xfId="27744"/>
    <cellStyle name="Normal 17 2 3 3 8" xfId="27745"/>
    <cellStyle name="Normal 17 2 3 4" xfId="27746"/>
    <cellStyle name="Normal 17 2 3 4 2" xfId="27747"/>
    <cellStyle name="Normal 17 2 3 4 2 2" xfId="27748"/>
    <cellStyle name="Normal 17 2 3 4 2 2 2" xfId="27749"/>
    <cellStyle name="Normal 17 2 3 4 2 2 3" xfId="27750"/>
    <cellStyle name="Normal 17 2 3 4 2 3" xfId="27751"/>
    <cellStyle name="Normal 17 2 3 4 2 3 2" xfId="27752"/>
    <cellStyle name="Normal 17 2 3 4 2 3 3" xfId="27753"/>
    <cellStyle name="Normal 17 2 3 4 2 4" xfId="27754"/>
    <cellStyle name="Normal 17 2 3 4 2 5" xfId="27755"/>
    <cellStyle name="Normal 17 2 3 4 3" xfId="27756"/>
    <cellStyle name="Normal 17 2 3 4 3 2" xfId="27757"/>
    <cellStyle name="Normal 17 2 3 4 3 3" xfId="27758"/>
    <cellStyle name="Normal 17 2 3 4 4" xfId="27759"/>
    <cellStyle name="Normal 17 2 3 4 4 2" xfId="27760"/>
    <cellStyle name="Normal 17 2 3 4 4 3" xfId="27761"/>
    <cellStyle name="Normal 17 2 3 4 5" xfId="27762"/>
    <cellStyle name="Normal 17 2 3 4 6" xfId="27763"/>
    <cellStyle name="Normal 17 2 3 5" xfId="27764"/>
    <cellStyle name="Normal 17 2 3 5 2" xfId="27765"/>
    <cellStyle name="Normal 17 2 3 5 2 2" xfId="27766"/>
    <cellStyle name="Normal 17 2 3 5 2 2 2" xfId="27767"/>
    <cellStyle name="Normal 17 2 3 5 2 2 3" xfId="27768"/>
    <cellStyle name="Normal 17 2 3 5 2 3" xfId="27769"/>
    <cellStyle name="Normal 17 2 3 5 2 3 2" xfId="27770"/>
    <cellStyle name="Normal 17 2 3 5 2 3 3" xfId="27771"/>
    <cellStyle name="Normal 17 2 3 5 2 4" xfId="27772"/>
    <cellStyle name="Normal 17 2 3 5 2 5" xfId="27773"/>
    <cellStyle name="Normal 17 2 3 5 3" xfId="27774"/>
    <cellStyle name="Normal 17 2 3 5 3 2" xfId="27775"/>
    <cellStyle name="Normal 17 2 3 5 3 3" xfId="27776"/>
    <cellStyle name="Normal 17 2 3 5 4" xfId="27777"/>
    <cellStyle name="Normal 17 2 3 5 4 2" xfId="27778"/>
    <cellStyle name="Normal 17 2 3 5 4 3" xfId="27779"/>
    <cellStyle name="Normal 17 2 3 5 5" xfId="27780"/>
    <cellStyle name="Normal 17 2 3 5 6" xfId="27781"/>
    <cellStyle name="Normal 17 2 3 6" xfId="27782"/>
    <cellStyle name="Normal 17 2 3 6 2" xfId="27783"/>
    <cellStyle name="Normal 17 2 3 6 2 2" xfId="27784"/>
    <cellStyle name="Normal 17 2 3 6 2 3" xfId="27785"/>
    <cellStyle name="Normal 17 2 3 6 3" xfId="27786"/>
    <cellStyle name="Normal 17 2 3 6 3 2" xfId="27787"/>
    <cellStyle name="Normal 17 2 3 6 3 3" xfId="27788"/>
    <cellStyle name="Normal 17 2 3 6 4" xfId="27789"/>
    <cellStyle name="Normal 17 2 3 6 5" xfId="27790"/>
    <cellStyle name="Normal 17 2 3 7" xfId="27791"/>
    <cellStyle name="Normal 17 2 3 7 2" xfId="27792"/>
    <cellStyle name="Normal 17 2 3 7 3" xfId="27793"/>
    <cellStyle name="Normal 17 2 3 8" xfId="27794"/>
    <cellStyle name="Normal 17 2 3 8 2" xfId="27795"/>
    <cellStyle name="Normal 17 2 3 8 3" xfId="27796"/>
    <cellStyle name="Normal 17 2 3 9" xfId="27797"/>
    <cellStyle name="Normal 17 2 4" xfId="27798"/>
    <cellStyle name="Normal 17 2 4 10" xfId="27799"/>
    <cellStyle name="Normal 17 2 4 2" xfId="27800"/>
    <cellStyle name="Normal 17 2 4 2 2" xfId="27801"/>
    <cellStyle name="Normal 17 2 4 2 2 2" xfId="27802"/>
    <cellStyle name="Normal 17 2 4 2 2 2 2" xfId="27803"/>
    <cellStyle name="Normal 17 2 4 2 2 2 2 2" xfId="27804"/>
    <cellStyle name="Normal 17 2 4 2 2 2 2 2 2" xfId="27805"/>
    <cellStyle name="Normal 17 2 4 2 2 2 2 2 3" xfId="27806"/>
    <cellStyle name="Normal 17 2 4 2 2 2 2 3" xfId="27807"/>
    <cellStyle name="Normal 17 2 4 2 2 2 2 3 2" xfId="27808"/>
    <cellStyle name="Normal 17 2 4 2 2 2 2 3 3" xfId="27809"/>
    <cellStyle name="Normal 17 2 4 2 2 2 2 4" xfId="27810"/>
    <cellStyle name="Normal 17 2 4 2 2 2 2 5" xfId="27811"/>
    <cellStyle name="Normal 17 2 4 2 2 2 3" xfId="27812"/>
    <cellStyle name="Normal 17 2 4 2 2 2 3 2" xfId="27813"/>
    <cellStyle name="Normal 17 2 4 2 2 2 3 3" xfId="27814"/>
    <cellStyle name="Normal 17 2 4 2 2 2 4" xfId="27815"/>
    <cellStyle name="Normal 17 2 4 2 2 2 4 2" xfId="27816"/>
    <cellStyle name="Normal 17 2 4 2 2 2 4 3" xfId="27817"/>
    <cellStyle name="Normal 17 2 4 2 2 2 5" xfId="27818"/>
    <cellStyle name="Normal 17 2 4 2 2 2 6" xfId="27819"/>
    <cellStyle name="Normal 17 2 4 2 2 3" xfId="27820"/>
    <cellStyle name="Normal 17 2 4 2 2 3 2" xfId="27821"/>
    <cellStyle name="Normal 17 2 4 2 2 3 2 2" xfId="27822"/>
    <cellStyle name="Normal 17 2 4 2 2 3 2 2 2" xfId="27823"/>
    <cellStyle name="Normal 17 2 4 2 2 3 2 2 3" xfId="27824"/>
    <cellStyle name="Normal 17 2 4 2 2 3 2 3" xfId="27825"/>
    <cellStyle name="Normal 17 2 4 2 2 3 2 3 2" xfId="27826"/>
    <cellStyle name="Normal 17 2 4 2 2 3 2 3 3" xfId="27827"/>
    <cellStyle name="Normal 17 2 4 2 2 3 2 4" xfId="27828"/>
    <cellStyle name="Normal 17 2 4 2 2 3 2 5" xfId="27829"/>
    <cellStyle name="Normal 17 2 4 2 2 3 3" xfId="27830"/>
    <cellStyle name="Normal 17 2 4 2 2 3 3 2" xfId="27831"/>
    <cellStyle name="Normal 17 2 4 2 2 3 3 3" xfId="27832"/>
    <cellStyle name="Normal 17 2 4 2 2 3 4" xfId="27833"/>
    <cellStyle name="Normal 17 2 4 2 2 3 4 2" xfId="27834"/>
    <cellStyle name="Normal 17 2 4 2 2 3 4 3" xfId="27835"/>
    <cellStyle name="Normal 17 2 4 2 2 3 5" xfId="27836"/>
    <cellStyle name="Normal 17 2 4 2 2 3 6" xfId="27837"/>
    <cellStyle name="Normal 17 2 4 2 2 4" xfId="27838"/>
    <cellStyle name="Normal 17 2 4 2 2 4 2" xfId="27839"/>
    <cellStyle name="Normal 17 2 4 2 2 4 2 2" xfId="27840"/>
    <cellStyle name="Normal 17 2 4 2 2 4 2 3" xfId="27841"/>
    <cellStyle name="Normal 17 2 4 2 2 4 3" xfId="27842"/>
    <cellStyle name="Normal 17 2 4 2 2 4 3 2" xfId="27843"/>
    <cellStyle name="Normal 17 2 4 2 2 4 3 3" xfId="27844"/>
    <cellStyle name="Normal 17 2 4 2 2 4 4" xfId="27845"/>
    <cellStyle name="Normal 17 2 4 2 2 4 5" xfId="27846"/>
    <cellStyle name="Normal 17 2 4 2 2 5" xfId="27847"/>
    <cellStyle name="Normal 17 2 4 2 2 5 2" xfId="27848"/>
    <cellStyle name="Normal 17 2 4 2 2 5 3" xfId="27849"/>
    <cellStyle name="Normal 17 2 4 2 2 6" xfId="27850"/>
    <cellStyle name="Normal 17 2 4 2 2 6 2" xfId="27851"/>
    <cellStyle name="Normal 17 2 4 2 2 6 3" xfId="27852"/>
    <cellStyle name="Normal 17 2 4 2 2 7" xfId="27853"/>
    <cellStyle name="Normal 17 2 4 2 2 8" xfId="27854"/>
    <cellStyle name="Normal 17 2 4 2 3" xfId="27855"/>
    <cellStyle name="Normal 17 2 4 2 3 2" xfId="27856"/>
    <cellStyle name="Normal 17 2 4 2 3 2 2" xfId="27857"/>
    <cellStyle name="Normal 17 2 4 2 3 2 2 2" xfId="27858"/>
    <cellStyle name="Normal 17 2 4 2 3 2 2 3" xfId="27859"/>
    <cellStyle name="Normal 17 2 4 2 3 2 3" xfId="27860"/>
    <cellStyle name="Normal 17 2 4 2 3 2 3 2" xfId="27861"/>
    <cellStyle name="Normal 17 2 4 2 3 2 3 3" xfId="27862"/>
    <cellStyle name="Normal 17 2 4 2 3 2 4" xfId="27863"/>
    <cellStyle name="Normal 17 2 4 2 3 2 5" xfId="27864"/>
    <cellStyle name="Normal 17 2 4 2 3 3" xfId="27865"/>
    <cellStyle name="Normal 17 2 4 2 3 3 2" xfId="27866"/>
    <cellStyle name="Normal 17 2 4 2 3 3 3" xfId="27867"/>
    <cellStyle name="Normal 17 2 4 2 3 4" xfId="27868"/>
    <cellStyle name="Normal 17 2 4 2 3 4 2" xfId="27869"/>
    <cellStyle name="Normal 17 2 4 2 3 4 3" xfId="27870"/>
    <cellStyle name="Normal 17 2 4 2 3 5" xfId="27871"/>
    <cellStyle name="Normal 17 2 4 2 3 6" xfId="27872"/>
    <cellStyle name="Normal 17 2 4 2 4" xfId="27873"/>
    <cellStyle name="Normal 17 2 4 2 4 2" xfId="27874"/>
    <cellStyle name="Normal 17 2 4 2 4 2 2" xfId="27875"/>
    <cellStyle name="Normal 17 2 4 2 4 2 2 2" xfId="27876"/>
    <cellStyle name="Normal 17 2 4 2 4 2 2 3" xfId="27877"/>
    <cellStyle name="Normal 17 2 4 2 4 2 3" xfId="27878"/>
    <cellStyle name="Normal 17 2 4 2 4 2 3 2" xfId="27879"/>
    <cellStyle name="Normal 17 2 4 2 4 2 3 3" xfId="27880"/>
    <cellStyle name="Normal 17 2 4 2 4 2 4" xfId="27881"/>
    <cellStyle name="Normal 17 2 4 2 4 2 5" xfId="27882"/>
    <cellStyle name="Normal 17 2 4 2 4 3" xfId="27883"/>
    <cellStyle name="Normal 17 2 4 2 4 3 2" xfId="27884"/>
    <cellStyle name="Normal 17 2 4 2 4 3 3" xfId="27885"/>
    <cellStyle name="Normal 17 2 4 2 4 4" xfId="27886"/>
    <cellStyle name="Normal 17 2 4 2 4 4 2" xfId="27887"/>
    <cellStyle name="Normal 17 2 4 2 4 4 3" xfId="27888"/>
    <cellStyle name="Normal 17 2 4 2 4 5" xfId="27889"/>
    <cellStyle name="Normal 17 2 4 2 4 6" xfId="27890"/>
    <cellStyle name="Normal 17 2 4 2 5" xfId="27891"/>
    <cellStyle name="Normal 17 2 4 2 5 2" xfId="27892"/>
    <cellStyle name="Normal 17 2 4 2 5 2 2" xfId="27893"/>
    <cellStyle name="Normal 17 2 4 2 5 2 3" xfId="27894"/>
    <cellStyle name="Normal 17 2 4 2 5 3" xfId="27895"/>
    <cellStyle name="Normal 17 2 4 2 5 3 2" xfId="27896"/>
    <cellStyle name="Normal 17 2 4 2 5 3 3" xfId="27897"/>
    <cellStyle name="Normal 17 2 4 2 5 4" xfId="27898"/>
    <cellStyle name="Normal 17 2 4 2 5 5" xfId="27899"/>
    <cellStyle name="Normal 17 2 4 2 6" xfId="27900"/>
    <cellStyle name="Normal 17 2 4 2 6 2" xfId="27901"/>
    <cellStyle name="Normal 17 2 4 2 6 3" xfId="27902"/>
    <cellStyle name="Normal 17 2 4 2 7" xfId="27903"/>
    <cellStyle name="Normal 17 2 4 2 7 2" xfId="27904"/>
    <cellStyle name="Normal 17 2 4 2 7 3" xfId="27905"/>
    <cellStyle name="Normal 17 2 4 2 8" xfId="27906"/>
    <cellStyle name="Normal 17 2 4 2 9" xfId="27907"/>
    <cellStyle name="Normal 17 2 4 3" xfId="27908"/>
    <cellStyle name="Normal 17 2 4 3 2" xfId="27909"/>
    <cellStyle name="Normal 17 2 4 3 2 2" xfId="27910"/>
    <cellStyle name="Normal 17 2 4 3 2 2 2" xfId="27911"/>
    <cellStyle name="Normal 17 2 4 3 2 2 2 2" xfId="27912"/>
    <cellStyle name="Normal 17 2 4 3 2 2 2 3" xfId="27913"/>
    <cellStyle name="Normal 17 2 4 3 2 2 3" xfId="27914"/>
    <cellStyle name="Normal 17 2 4 3 2 2 3 2" xfId="27915"/>
    <cellStyle name="Normal 17 2 4 3 2 2 3 3" xfId="27916"/>
    <cellStyle name="Normal 17 2 4 3 2 2 4" xfId="27917"/>
    <cellStyle name="Normal 17 2 4 3 2 2 5" xfId="27918"/>
    <cellStyle name="Normal 17 2 4 3 2 3" xfId="27919"/>
    <cellStyle name="Normal 17 2 4 3 2 3 2" xfId="27920"/>
    <cellStyle name="Normal 17 2 4 3 2 3 3" xfId="27921"/>
    <cellStyle name="Normal 17 2 4 3 2 4" xfId="27922"/>
    <cellStyle name="Normal 17 2 4 3 2 4 2" xfId="27923"/>
    <cellStyle name="Normal 17 2 4 3 2 4 3" xfId="27924"/>
    <cellStyle name="Normal 17 2 4 3 2 5" xfId="27925"/>
    <cellStyle name="Normal 17 2 4 3 2 6" xfId="27926"/>
    <cellStyle name="Normal 17 2 4 3 3" xfId="27927"/>
    <cellStyle name="Normal 17 2 4 3 3 2" xfId="27928"/>
    <cellStyle name="Normal 17 2 4 3 3 2 2" xfId="27929"/>
    <cellStyle name="Normal 17 2 4 3 3 2 2 2" xfId="27930"/>
    <cellStyle name="Normal 17 2 4 3 3 2 2 3" xfId="27931"/>
    <cellStyle name="Normal 17 2 4 3 3 2 3" xfId="27932"/>
    <cellStyle name="Normal 17 2 4 3 3 2 3 2" xfId="27933"/>
    <cellStyle name="Normal 17 2 4 3 3 2 3 3" xfId="27934"/>
    <cellStyle name="Normal 17 2 4 3 3 2 4" xfId="27935"/>
    <cellStyle name="Normal 17 2 4 3 3 2 5" xfId="27936"/>
    <cellStyle name="Normal 17 2 4 3 3 3" xfId="27937"/>
    <cellStyle name="Normal 17 2 4 3 3 3 2" xfId="27938"/>
    <cellStyle name="Normal 17 2 4 3 3 3 3" xfId="27939"/>
    <cellStyle name="Normal 17 2 4 3 3 4" xfId="27940"/>
    <cellStyle name="Normal 17 2 4 3 3 4 2" xfId="27941"/>
    <cellStyle name="Normal 17 2 4 3 3 4 3" xfId="27942"/>
    <cellStyle name="Normal 17 2 4 3 3 5" xfId="27943"/>
    <cellStyle name="Normal 17 2 4 3 3 6" xfId="27944"/>
    <cellStyle name="Normal 17 2 4 3 4" xfId="27945"/>
    <cellStyle name="Normal 17 2 4 3 4 2" xfId="27946"/>
    <cellStyle name="Normal 17 2 4 3 4 2 2" xfId="27947"/>
    <cellStyle name="Normal 17 2 4 3 4 2 3" xfId="27948"/>
    <cellStyle name="Normal 17 2 4 3 4 3" xfId="27949"/>
    <cellStyle name="Normal 17 2 4 3 4 3 2" xfId="27950"/>
    <cellStyle name="Normal 17 2 4 3 4 3 3" xfId="27951"/>
    <cellStyle name="Normal 17 2 4 3 4 4" xfId="27952"/>
    <cellStyle name="Normal 17 2 4 3 4 5" xfId="27953"/>
    <cellStyle name="Normal 17 2 4 3 5" xfId="27954"/>
    <cellStyle name="Normal 17 2 4 3 5 2" xfId="27955"/>
    <cellStyle name="Normal 17 2 4 3 5 3" xfId="27956"/>
    <cellStyle name="Normal 17 2 4 3 6" xfId="27957"/>
    <cellStyle name="Normal 17 2 4 3 6 2" xfId="27958"/>
    <cellStyle name="Normal 17 2 4 3 6 3" xfId="27959"/>
    <cellStyle name="Normal 17 2 4 3 7" xfId="27960"/>
    <cellStyle name="Normal 17 2 4 3 8" xfId="27961"/>
    <cellStyle name="Normal 17 2 4 4" xfId="27962"/>
    <cellStyle name="Normal 17 2 4 4 2" xfId="27963"/>
    <cellStyle name="Normal 17 2 4 4 2 2" xfId="27964"/>
    <cellStyle name="Normal 17 2 4 4 2 2 2" xfId="27965"/>
    <cellStyle name="Normal 17 2 4 4 2 2 3" xfId="27966"/>
    <cellStyle name="Normal 17 2 4 4 2 3" xfId="27967"/>
    <cellStyle name="Normal 17 2 4 4 2 3 2" xfId="27968"/>
    <cellStyle name="Normal 17 2 4 4 2 3 3" xfId="27969"/>
    <cellStyle name="Normal 17 2 4 4 2 4" xfId="27970"/>
    <cellStyle name="Normal 17 2 4 4 2 5" xfId="27971"/>
    <cellStyle name="Normal 17 2 4 4 3" xfId="27972"/>
    <cellStyle name="Normal 17 2 4 4 3 2" xfId="27973"/>
    <cellStyle name="Normal 17 2 4 4 3 3" xfId="27974"/>
    <cellStyle name="Normal 17 2 4 4 4" xfId="27975"/>
    <cellStyle name="Normal 17 2 4 4 4 2" xfId="27976"/>
    <cellStyle name="Normal 17 2 4 4 4 3" xfId="27977"/>
    <cellStyle name="Normal 17 2 4 4 5" xfId="27978"/>
    <cellStyle name="Normal 17 2 4 4 6" xfId="27979"/>
    <cellStyle name="Normal 17 2 4 5" xfId="27980"/>
    <cellStyle name="Normal 17 2 4 5 2" xfId="27981"/>
    <cellStyle name="Normal 17 2 4 5 2 2" xfId="27982"/>
    <cellStyle name="Normal 17 2 4 5 2 2 2" xfId="27983"/>
    <cellStyle name="Normal 17 2 4 5 2 2 3" xfId="27984"/>
    <cellStyle name="Normal 17 2 4 5 2 3" xfId="27985"/>
    <cellStyle name="Normal 17 2 4 5 2 3 2" xfId="27986"/>
    <cellStyle name="Normal 17 2 4 5 2 3 3" xfId="27987"/>
    <cellStyle name="Normal 17 2 4 5 2 4" xfId="27988"/>
    <cellStyle name="Normal 17 2 4 5 2 5" xfId="27989"/>
    <cellStyle name="Normal 17 2 4 5 3" xfId="27990"/>
    <cellStyle name="Normal 17 2 4 5 3 2" xfId="27991"/>
    <cellStyle name="Normal 17 2 4 5 3 3" xfId="27992"/>
    <cellStyle name="Normal 17 2 4 5 4" xfId="27993"/>
    <cellStyle name="Normal 17 2 4 5 4 2" xfId="27994"/>
    <cellStyle name="Normal 17 2 4 5 4 3" xfId="27995"/>
    <cellStyle name="Normal 17 2 4 5 5" xfId="27996"/>
    <cellStyle name="Normal 17 2 4 5 6" xfId="27997"/>
    <cellStyle name="Normal 17 2 4 6" xfId="27998"/>
    <cellStyle name="Normal 17 2 4 6 2" xfId="27999"/>
    <cellStyle name="Normal 17 2 4 6 2 2" xfId="28000"/>
    <cellStyle name="Normal 17 2 4 6 2 3" xfId="28001"/>
    <cellStyle name="Normal 17 2 4 6 3" xfId="28002"/>
    <cellStyle name="Normal 17 2 4 6 3 2" xfId="28003"/>
    <cellStyle name="Normal 17 2 4 6 3 3" xfId="28004"/>
    <cellStyle name="Normal 17 2 4 6 4" xfId="28005"/>
    <cellStyle name="Normal 17 2 4 6 5" xfId="28006"/>
    <cellStyle name="Normal 17 2 4 7" xfId="28007"/>
    <cellStyle name="Normal 17 2 4 7 2" xfId="28008"/>
    <cellStyle name="Normal 17 2 4 7 3" xfId="28009"/>
    <cellStyle name="Normal 17 2 4 8" xfId="28010"/>
    <cellStyle name="Normal 17 2 4 8 2" xfId="28011"/>
    <cellStyle name="Normal 17 2 4 8 3" xfId="28012"/>
    <cellStyle name="Normal 17 2 4 9" xfId="28013"/>
    <cellStyle name="Normal 17 2 5" xfId="28014"/>
    <cellStyle name="Normal 17 2 5 2" xfId="28015"/>
    <cellStyle name="Normal 17 2 5 2 2" xfId="28016"/>
    <cellStyle name="Normal 17 2 5 2 2 2" xfId="28017"/>
    <cellStyle name="Normal 17 2 5 2 2 2 2" xfId="28018"/>
    <cellStyle name="Normal 17 2 5 2 2 2 2 2" xfId="28019"/>
    <cellStyle name="Normal 17 2 5 2 2 2 2 3" xfId="28020"/>
    <cellStyle name="Normal 17 2 5 2 2 2 3" xfId="28021"/>
    <cellStyle name="Normal 17 2 5 2 2 2 3 2" xfId="28022"/>
    <cellStyle name="Normal 17 2 5 2 2 2 3 3" xfId="28023"/>
    <cellStyle name="Normal 17 2 5 2 2 2 4" xfId="28024"/>
    <cellStyle name="Normal 17 2 5 2 2 2 5" xfId="28025"/>
    <cellStyle name="Normal 17 2 5 2 2 3" xfId="28026"/>
    <cellStyle name="Normal 17 2 5 2 2 3 2" xfId="28027"/>
    <cellStyle name="Normal 17 2 5 2 2 3 3" xfId="28028"/>
    <cellStyle name="Normal 17 2 5 2 2 4" xfId="28029"/>
    <cellStyle name="Normal 17 2 5 2 2 4 2" xfId="28030"/>
    <cellStyle name="Normal 17 2 5 2 2 4 3" xfId="28031"/>
    <cellStyle name="Normal 17 2 5 2 2 5" xfId="28032"/>
    <cellStyle name="Normal 17 2 5 2 2 6" xfId="28033"/>
    <cellStyle name="Normal 17 2 5 2 3" xfId="28034"/>
    <cellStyle name="Normal 17 2 5 2 3 2" xfId="28035"/>
    <cellStyle name="Normal 17 2 5 2 3 2 2" xfId="28036"/>
    <cellStyle name="Normal 17 2 5 2 3 2 2 2" xfId="28037"/>
    <cellStyle name="Normal 17 2 5 2 3 2 2 3" xfId="28038"/>
    <cellStyle name="Normal 17 2 5 2 3 2 3" xfId="28039"/>
    <cellStyle name="Normal 17 2 5 2 3 2 3 2" xfId="28040"/>
    <cellStyle name="Normal 17 2 5 2 3 2 3 3" xfId="28041"/>
    <cellStyle name="Normal 17 2 5 2 3 2 4" xfId="28042"/>
    <cellStyle name="Normal 17 2 5 2 3 2 5" xfId="28043"/>
    <cellStyle name="Normal 17 2 5 2 3 3" xfId="28044"/>
    <cellStyle name="Normal 17 2 5 2 3 3 2" xfId="28045"/>
    <cellStyle name="Normal 17 2 5 2 3 3 3" xfId="28046"/>
    <cellStyle name="Normal 17 2 5 2 3 4" xfId="28047"/>
    <cellStyle name="Normal 17 2 5 2 3 4 2" xfId="28048"/>
    <cellStyle name="Normal 17 2 5 2 3 4 3" xfId="28049"/>
    <cellStyle name="Normal 17 2 5 2 3 5" xfId="28050"/>
    <cellStyle name="Normal 17 2 5 2 3 6" xfId="28051"/>
    <cellStyle name="Normal 17 2 5 2 4" xfId="28052"/>
    <cellStyle name="Normal 17 2 5 2 4 2" xfId="28053"/>
    <cellStyle name="Normal 17 2 5 2 4 2 2" xfId="28054"/>
    <cellStyle name="Normal 17 2 5 2 4 2 3" xfId="28055"/>
    <cellStyle name="Normal 17 2 5 2 4 3" xfId="28056"/>
    <cellStyle name="Normal 17 2 5 2 4 3 2" xfId="28057"/>
    <cellStyle name="Normal 17 2 5 2 4 3 3" xfId="28058"/>
    <cellStyle name="Normal 17 2 5 2 4 4" xfId="28059"/>
    <cellStyle name="Normal 17 2 5 2 4 5" xfId="28060"/>
    <cellStyle name="Normal 17 2 5 2 5" xfId="28061"/>
    <cellStyle name="Normal 17 2 5 2 5 2" xfId="28062"/>
    <cellStyle name="Normal 17 2 5 2 5 3" xfId="28063"/>
    <cellStyle name="Normal 17 2 5 2 6" xfId="28064"/>
    <cellStyle name="Normal 17 2 5 2 6 2" xfId="28065"/>
    <cellStyle name="Normal 17 2 5 2 6 3" xfId="28066"/>
    <cellStyle name="Normal 17 2 5 2 7" xfId="28067"/>
    <cellStyle name="Normal 17 2 5 2 8" xfId="28068"/>
    <cellStyle name="Normal 17 2 5 3" xfId="28069"/>
    <cellStyle name="Normal 17 2 5 3 2" xfId="28070"/>
    <cellStyle name="Normal 17 2 5 3 2 2" xfId="28071"/>
    <cellStyle name="Normal 17 2 5 3 2 2 2" xfId="28072"/>
    <cellStyle name="Normal 17 2 5 3 2 2 3" xfId="28073"/>
    <cellStyle name="Normal 17 2 5 3 2 3" xfId="28074"/>
    <cellStyle name="Normal 17 2 5 3 2 3 2" xfId="28075"/>
    <cellStyle name="Normal 17 2 5 3 2 3 3" xfId="28076"/>
    <cellStyle name="Normal 17 2 5 3 2 4" xfId="28077"/>
    <cellStyle name="Normal 17 2 5 3 2 5" xfId="28078"/>
    <cellStyle name="Normal 17 2 5 3 3" xfId="28079"/>
    <cellStyle name="Normal 17 2 5 3 3 2" xfId="28080"/>
    <cellStyle name="Normal 17 2 5 3 3 3" xfId="28081"/>
    <cellStyle name="Normal 17 2 5 3 4" xfId="28082"/>
    <cellStyle name="Normal 17 2 5 3 4 2" xfId="28083"/>
    <cellStyle name="Normal 17 2 5 3 4 3" xfId="28084"/>
    <cellStyle name="Normal 17 2 5 3 5" xfId="28085"/>
    <cellStyle name="Normal 17 2 5 3 6" xfId="28086"/>
    <cellStyle name="Normal 17 2 5 4" xfId="28087"/>
    <cellStyle name="Normal 17 2 5 4 2" xfId="28088"/>
    <cellStyle name="Normal 17 2 5 4 2 2" xfId="28089"/>
    <cellStyle name="Normal 17 2 5 4 2 2 2" xfId="28090"/>
    <cellStyle name="Normal 17 2 5 4 2 2 3" xfId="28091"/>
    <cellStyle name="Normal 17 2 5 4 2 3" xfId="28092"/>
    <cellStyle name="Normal 17 2 5 4 2 3 2" xfId="28093"/>
    <cellStyle name="Normal 17 2 5 4 2 3 3" xfId="28094"/>
    <cellStyle name="Normal 17 2 5 4 2 4" xfId="28095"/>
    <cellStyle name="Normal 17 2 5 4 2 5" xfId="28096"/>
    <cellStyle name="Normal 17 2 5 4 3" xfId="28097"/>
    <cellStyle name="Normal 17 2 5 4 3 2" xfId="28098"/>
    <cellStyle name="Normal 17 2 5 4 3 3" xfId="28099"/>
    <cellStyle name="Normal 17 2 5 4 4" xfId="28100"/>
    <cellStyle name="Normal 17 2 5 4 4 2" xfId="28101"/>
    <cellStyle name="Normal 17 2 5 4 4 3" xfId="28102"/>
    <cellStyle name="Normal 17 2 5 4 5" xfId="28103"/>
    <cellStyle name="Normal 17 2 5 4 6" xfId="28104"/>
    <cellStyle name="Normal 17 2 5 5" xfId="28105"/>
    <cellStyle name="Normal 17 2 5 5 2" xfId="28106"/>
    <cellStyle name="Normal 17 2 5 5 2 2" xfId="28107"/>
    <cellStyle name="Normal 17 2 5 5 2 3" xfId="28108"/>
    <cellStyle name="Normal 17 2 5 5 3" xfId="28109"/>
    <cellStyle name="Normal 17 2 5 5 3 2" xfId="28110"/>
    <cellStyle name="Normal 17 2 5 5 3 3" xfId="28111"/>
    <cellStyle name="Normal 17 2 5 5 4" xfId="28112"/>
    <cellStyle name="Normal 17 2 5 5 5" xfId="28113"/>
    <cellStyle name="Normal 17 2 5 6" xfId="28114"/>
    <cellStyle name="Normal 17 2 5 6 2" xfId="28115"/>
    <cellStyle name="Normal 17 2 5 6 3" xfId="28116"/>
    <cellStyle name="Normal 17 2 5 7" xfId="28117"/>
    <cellStyle name="Normal 17 2 5 7 2" xfId="28118"/>
    <cellStyle name="Normal 17 2 5 7 3" xfId="28119"/>
    <cellStyle name="Normal 17 2 5 8" xfId="28120"/>
    <cellStyle name="Normal 17 2 5 9" xfId="28121"/>
    <cellStyle name="Normal 17 2 6" xfId="28122"/>
    <cellStyle name="Normal 17 2 6 2" xfId="28123"/>
    <cellStyle name="Normal 17 2 6 2 2" xfId="28124"/>
    <cellStyle name="Normal 17 2 6 2 2 2" xfId="28125"/>
    <cellStyle name="Normal 17 2 6 2 2 2 2" xfId="28126"/>
    <cellStyle name="Normal 17 2 6 2 2 2 3" xfId="28127"/>
    <cellStyle name="Normal 17 2 6 2 2 3" xfId="28128"/>
    <cellStyle name="Normal 17 2 6 2 2 3 2" xfId="28129"/>
    <cellStyle name="Normal 17 2 6 2 2 3 3" xfId="28130"/>
    <cellStyle name="Normal 17 2 6 2 2 4" xfId="28131"/>
    <cellStyle name="Normal 17 2 6 2 2 5" xfId="28132"/>
    <cellStyle name="Normal 17 2 6 2 3" xfId="28133"/>
    <cellStyle name="Normal 17 2 6 2 3 2" xfId="28134"/>
    <cellStyle name="Normal 17 2 6 2 3 3" xfId="28135"/>
    <cellStyle name="Normal 17 2 6 2 4" xfId="28136"/>
    <cellStyle name="Normal 17 2 6 2 4 2" xfId="28137"/>
    <cellStyle name="Normal 17 2 6 2 4 3" xfId="28138"/>
    <cellStyle name="Normal 17 2 6 2 5" xfId="28139"/>
    <cellStyle name="Normal 17 2 6 2 6" xfId="28140"/>
    <cellStyle name="Normal 17 2 6 3" xfId="28141"/>
    <cellStyle name="Normal 17 2 6 3 2" xfId="28142"/>
    <cellStyle name="Normal 17 2 6 3 2 2" xfId="28143"/>
    <cellStyle name="Normal 17 2 6 3 2 2 2" xfId="28144"/>
    <cellStyle name="Normal 17 2 6 3 2 2 3" xfId="28145"/>
    <cellStyle name="Normal 17 2 6 3 2 3" xfId="28146"/>
    <cellStyle name="Normal 17 2 6 3 2 3 2" xfId="28147"/>
    <cellStyle name="Normal 17 2 6 3 2 3 3" xfId="28148"/>
    <cellStyle name="Normal 17 2 6 3 2 4" xfId="28149"/>
    <cellStyle name="Normal 17 2 6 3 2 5" xfId="28150"/>
    <cellStyle name="Normal 17 2 6 3 3" xfId="28151"/>
    <cellStyle name="Normal 17 2 6 3 3 2" xfId="28152"/>
    <cellStyle name="Normal 17 2 6 3 3 3" xfId="28153"/>
    <cellStyle name="Normal 17 2 6 3 4" xfId="28154"/>
    <cellStyle name="Normal 17 2 6 3 4 2" xfId="28155"/>
    <cellStyle name="Normal 17 2 6 3 4 3" xfId="28156"/>
    <cellStyle name="Normal 17 2 6 3 5" xfId="28157"/>
    <cellStyle name="Normal 17 2 6 3 6" xfId="28158"/>
    <cellStyle name="Normal 17 2 6 4" xfId="28159"/>
    <cellStyle name="Normal 17 2 6 4 2" xfId="28160"/>
    <cellStyle name="Normal 17 2 6 4 2 2" xfId="28161"/>
    <cellStyle name="Normal 17 2 6 4 2 3" xfId="28162"/>
    <cellStyle name="Normal 17 2 6 4 3" xfId="28163"/>
    <cellStyle name="Normal 17 2 6 4 3 2" xfId="28164"/>
    <cellStyle name="Normal 17 2 6 4 3 3" xfId="28165"/>
    <cellStyle name="Normal 17 2 6 4 4" xfId="28166"/>
    <cellStyle name="Normal 17 2 6 4 5" xfId="28167"/>
    <cellStyle name="Normal 17 2 6 5" xfId="28168"/>
    <cellStyle name="Normal 17 2 6 5 2" xfId="28169"/>
    <cellStyle name="Normal 17 2 6 5 3" xfId="28170"/>
    <cellStyle name="Normal 17 2 6 6" xfId="28171"/>
    <cellStyle name="Normal 17 2 6 6 2" xfId="28172"/>
    <cellStyle name="Normal 17 2 6 6 3" xfId="28173"/>
    <cellStyle name="Normal 17 2 6 7" xfId="28174"/>
    <cellStyle name="Normal 17 2 6 8" xfId="28175"/>
    <cellStyle name="Normal 17 2 7" xfId="28176"/>
    <cellStyle name="Normal 17 2 7 2" xfId="28177"/>
    <cellStyle name="Normal 17 2 7 2 2" xfId="28178"/>
    <cellStyle name="Normal 17 2 7 2 2 2" xfId="28179"/>
    <cellStyle name="Normal 17 2 7 2 2 3" xfId="28180"/>
    <cellStyle name="Normal 17 2 7 2 3" xfId="28181"/>
    <cellStyle name="Normal 17 2 7 2 3 2" xfId="28182"/>
    <cellStyle name="Normal 17 2 7 2 3 3" xfId="28183"/>
    <cellStyle name="Normal 17 2 7 2 4" xfId="28184"/>
    <cellStyle name="Normal 17 2 7 2 5" xfId="28185"/>
    <cellStyle name="Normal 17 2 7 3" xfId="28186"/>
    <cellStyle name="Normal 17 2 7 3 2" xfId="28187"/>
    <cellStyle name="Normal 17 2 7 3 3" xfId="28188"/>
    <cellStyle name="Normal 17 2 7 4" xfId="28189"/>
    <cellStyle name="Normal 17 2 7 4 2" xfId="28190"/>
    <cellStyle name="Normal 17 2 7 4 3" xfId="28191"/>
    <cellStyle name="Normal 17 2 7 5" xfId="28192"/>
    <cellStyle name="Normal 17 2 7 6" xfId="28193"/>
    <cellStyle name="Normal 17 2 8" xfId="28194"/>
    <cellStyle name="Normal 17 2 8 2" xfId="28195"/>
    <cellStyle name="Normal 17 2 8 2 2" xfId="28196"/>
    <cellStyle name="Normal 17 2 8 2 2 2" xfId="28197"/>
    <cellStyle name="Normal 17 2 8 2 2 3" xfId="28198"/>
    <cellStyle name="Normal 17 2 8 2 3" xfId="28199"/>
    <cellStyle name="Normal 17 2 8 2 3 2" xfId="28200"/>
    <cellStyle name="Normal 17 2 8 2 3 3" xfId="28201"/>
    <cellStyle name="Normal 17 2 8 2 4" xfId="28202"/>
    <cellStyle name="Normal 17 2 8 2 5" xfId="28203"/>
    <cellStyle name="Normal 17 2 8 3" xfId="28204"/>
    <cellStyle name="Normal 17 2 8 3 2" xfId="28205"/>
    <cellStyle name="Normal 17 2 8 3 3" xfId="28206"/>
    <cellStyle name="Normal 17 2 8 4" xfId="28207"/>
    <cellStyle name="Normal 17 2 8 4 2" xfId="28208"/>
    <cellStyle name="Normal 17 2 8 4 3" xfId="28209"/>
    <cellStyle name="Normal 17 2 8 5" xfId="28210"/>
    <cellStyle name="Normal 17 2 8 6" xfId="28211"/>
    <cellStyle name="Normal 17 2 9" xfId="28212"/>
    <cellStyle name="Normal 17 2 9 2" xfId="28213"/>
    <cellStyle name="Normal 17 2 9 2 2" xfId="28214"/>
    <cellStyle name="Normal 17 2 9 2 3" xfId="28215"/>
    <cellStyle name="Normal 17 2 9 3" xfId="28216"/>
    <cellStyle name="Normal 17 2 9 3 2" xfId="28217"/>
    <cellStyle name="Normal 17 2 9 3 3" xfId="28218"/>
    <cellStyle name="Normal 17 2 9 4" xfId="28219"/>
    <cellStyle name="Normal 17 2 9 5" xfId="28220"/>
    <cellStyle name="Normal 17 3" xfId="28221"/>
    <cellStyle name="Normal 17 3 10" xfId="28222"/>
    <cellStyle name="Normal 17 3 10 2" xfId="28223"/>
    <cellStyle name="Normal 17 3 10 3" xfId="28224"/>
    <cellStyle name="Normal 17 3 11" xfId="28225"/>
    <cellStyle name="Normal 17 3 12" xfId="28226"/>
    <cellStyle name="Normal 17 3 2" xfId="28227"/>
    <cellStyle name="Normal 17 3 2 10" xfId="28228"/>
    <cellStyle name="Normal 17 3 2 2" xfId="28229"/>
    <cellStyle name="Normal 17 3 2 2 2" xfId="28230"/>
    <cellStyle name="Normal 17 3 2 2 2 2" xfId="28231"/>
    <cellStyle name="Normal 17 3 2 2 2 2 2" xfId="28232"/>
    <cellStyle name="Normal 17 3 2 2 2 2 2 2" xfId="28233"/>
    <cellStyle name="Normal 17 3 2 2 2 2 2 2 2" xfId="28234"/>
    <cellStyle name="Normal 17 3 2 2 2 2 2 2 3" xfId="28235"/>
    <cellStyle name="Normal 17 3 2 2 2 2 2 3" xfId="28236"/>
    <cellStyle name="Normal 17 3 2 2 2 2 2 3 2" xfId="28237"/>
    <cellStyle name="Normal 17 3 2 2 2 2 2 3 3" xfId="28238"/>
    <cellStyle name="Normal 17 3 2 2 2 2 2 4" xfId="28239"/>
    <cellStyle name="Normal 17 3 2 2 2 2 2 5" xfId="28240"/>
    <cellStyle name="Normal 17 3 2 2 2 2 3" xfId="28241"/>
    <cellStyle name="Normal 17 3 2 2 2 2 3 2" xfId="28242"/>
    <cellStyle name="Normal 17 3 2 2 2 2 3 3" xfId="28243"/>
    <cellStyle name="Normal 17 3 2 2 2 2 4" xfId="28244"/>
    <cellStyle name="Normal 17 3 2 2 2 2 4 2" xfId="28245"/>
    <cellStyle name="Normal 17 3 2 2 2 2 4 3" xfId="28246"/>
    <cellStyle name="Normal 17 3 2 2 2 2 5" xfId="28247"/>
    <cellStyle name="Normal 17 3 2 2 2 2 6" xfId="28248"/>
    <cellStyle name="Normal 17 3 2 2 2 3" xfId="28249"/>
    <cellStyle name="Normal 17 3 2 2 2 3 2" xfId="28250"/>
    <cellStyle name="Normal 17 3 2 2 2 3 2 2" xfId="28251"/>
    <cellStyle name="Normal 17 3 2 2 2 3 2 2 2" xfId="28252"/>
    <cellStyle name="Normal 17 3 2 2 2 3 2 2 3" xfId="28253"/>
    <cellStyle name="Normal 17 3 2 2 2 3 2 3" xfId="28254"/>
    <cellStyle name="Normal 17 3 2 2 2 3 2 3 2" xfId="28255"/>
    <cellStyle name="Normal 17 3 2 2 2 3 2 3 3" xfId="28256"/>
    <cellStyle name="Normal 17 3 2 2 2 3 2 4" xfId="28257"/>
    <cellStyle name="Normal 17 3 2 2 2 3 2 5" xfId="28258"/>
    <cellStyle name="Normal 17 3 2 2 2 3 3" xfId="28259"/>
    <cellStyle name="Normal 17 3 2 2 2 3 3 2" xfId="28260"/>
    <cellStyle name="Normal 17 3 2 2 2 3 3 3" xfId="28261"/>
    <cellStyle name="Normal 17 3 2 2 2 3 4" xfId="28262"/>
    <cellStyle name="Normal 17 3 2 2 2 3 4 2" xfId="28263"/>
    <cellStyle name="Normal 17 3 2 2 2 3 4 3" xfId="28264"/>
    <cellStyle name="Normal 17 3 2 2 2 3 5" xfId="28265"/>
    <cellStyle name="Normal 17 3 2 2 2 3 6" xfId="28266"/>
    <cellStyle name="Normal 17 3 2 2 2 4" xfId="28267"/>
    <cellStyle name="Normal 17 3 2 2 2 4 2" xfId="28268"/>
    <cellStyle name="Normal 17 3 2 2 2 4 2 2" xfId="28269"/>
    <cellStyle name="Normal 17 3 2 2 2 4 2 3" xfId="28270"/>
    <cellStyle name="Normal 17 3 2 2 2 4 3" xfId="28271"/>
    <cellStyle name="Normal 17 3 2 2 2 4 3 2" xfId="28272"/>
    <cellStyle name="Normal 17 3 2 2 2 4 3 3" xfId="28273"/>
    <cellStyle name="Normal 17 3 2 2 2 4 4" xfId="28274"/>
    <cellStyle name="Normal 17 3 2 2 2 4 5" xfId="28275"/>
    <cellStyle name="Normal 17 3 2 2 2 5" xfId="28276"/>
    <cellStyle name="Normal 17 3 2 2 2 5 2" xfId="28277"/>
    <cellStyle name="Normal 17 3 2 2 2 5 3" xfId="28278"/>
    <cellStyle name="Normal 17 3 2 2 2 6" xfId="28279"/>
    <cellStyle name="Normal 17 3 2 2 2 6 2" xfId="28280"/>
    <cellStyle name="Normal 17 3 2 2 2 6 3" xfId="28281"/>
    <cellStyle name="Normal 17 3 2 2 2 7" xfId="28282"/>
    <cellStyle name="Normal 17 3 2 2 2 8" xfId="28283"/>
    <cellStyle name="Normal 17 3 2 2 3" xfId="28284"/>
    <cellStyle name="Normal 17 3 2 2 3 2" xfId="28285"/>
    <cellStyle name="Normal 17 3 2 2 3 2 2" xfId="28286"/>
    <cellStyle name="Normal 17 3 2 2 3 2 2 2" xfId="28287"/>
    <cellStyle name="Normal 17 3 2 2 3 2 2 3" xfId="28288"/>
    <cellStyle name="Normal 17 3 2 2 3 2 3" xfId="28289"/>
    <cellStyle name="Normal 17 3 2 2 3 2 3 2" xfId="28290"/>
    <cellStyle name="Normal 17 3 2 2 3 2 3 3" xfId="28291"/>
    <cellStyle name="Normal 17 3 2 2 3 2 4" xfId="28292"/>
    <cellStyle name="Normal 17 3 2 2 3 2 5" xfId="28293"/>
    <cellStyle name="Normal 17 3 2 2 3 3" xfId="28294"/>
    <cellStyle name="Normal 17 3 2 2 3 3 2" xfId="28295"/>
    <cellStyle name="Normal 17 3 2 2 3 3 3" xfId="28296"/>
    <cellStyle name="Normal 17 3 2 2 3 4" xfId="28297"/>
    <cellStyle name="Normal 17 3 2 2 3 4 2" xfId="28298"/>
    <cellStyle name="Normal 17 3 2 2 3 4 3" xfId="28299"/>
    <cellStyle name="Normal 17 3 2 2 3 5" xfId="28300"/>
    <cellStyle name="Normal 17 3 2 2 3 6" xfId="28301"/>
    <cellStyle name="Normal 17 3 2 2 4" xfId="28302"/>
    <cellStyle name="Normal 17 3 2 2 4 2" xfId="28303"/>
    <cellStyle name="Normal 17 3 2 2 4 2 2" xfId="28304"/>
    <cellStyle name="Normal 17 3 2 2 4 2 2 2" xfId="28305"/>
    <cellStyle name="Normal 17 3 2 2 4 2 2 3" xfId="28306"/>
    <cellStyle name="Normal 17 3 2 2 4 2 3" xfId="28307"/>
    <cellStyle name="Normal 17 3 2 2 4 2 3 2" xfId="28308"/>
    <cellStyle name="Normal 17 3 2 2 4 2 3 3" xfId="28309"/>
    <cellStyle name="Normal 17 3 2 2 4 2 4" xfId="28310"/>
    <cellStyle name="Normal 17 3 2 2 4 2 5" xfId="28311"/>
    <cellStyle name="Normal 17 3 2 2 4 3" xfId="28312"/>
    <cellStyle name="Normal 17 3 2 2 4 3 2" xfId="28313"/>
    <cellStyle name="Normal 17 3 2 2 4 3 3" xfId="28314"/>
    <cellStyle name="Normal 17 3 2 2 4 4" xfId="28315"/>
    <cellStyle name="Normal 17 3 2 2 4 4 2" xfId="28316"/>
    <cellStyle name="Normal 17 3 2 2 4 4 3" xfId="28317"/>
    <cellStyle name="Normal 17 3 2 2 4 5" xfId="28318"/>
    <cellStyle name="Normal 17 3 2 2 4 6" xfId="28319"/>
    <cellStyle name="Normal 17 3 2 2 5" xfId="28320"/>
    <cellStyle name="Normal 17 3 2 2 5 2" xfId="28321"/>
    <cellStyle name="Normal 17 3 2 2 5 2 2" xfId="28322"/>
    <cellStyle name="Normal 17 3 2 2 5 2 3" xfId="28323"/>
    <cellStyle name="Normal 17 3 2 2 5 3" xfId="28324"/>
    <cellStyle name="Normal 17 3 2 2 5 3 2" xfId="28325"/>
    <cellStyle name="Normal 17 3 2 2 5 3 3" xfId="28326"/>
    <cellStyle name="Normal 17 3 2 2 5 4" xfId="28327"/>
    <cellStyle name="Normal 17 3 2 2 5 5" xfId="28328"/>
    <cellStyle name="Normal 17 3 2 2 6" xfId="28329"/>
    <cellStyle name="Normal 17 3 2 2 6 2" xfId="28330"/>
    <cellStyle name="Normal 17 3 2 2 6 3" xfId="28331"/>
    <cellStyle name="Normal 17 3 2 2 7" xfId="28332"/>
    <cellStyle name="Normal 17 3 2 2 7 2" xfId="28333"/>
    <cellStyle name="Normal 17 3 2 2 7 3" xfId="28334"/>
    <cellStyle name="Normal 17 3 2 2 8" xfId="28335"/>
    <cellStyle name="Normal 17 3 2 2 9" xfId="28336"/>
    <cellStyle name="Normal 17 3 2 3" xfId="28337"/>
    <cellStyle name="Normal 17 3 2 3 2" xfId="28338"/>
    <cellStyle name="Normal 17 3 2 3 2 2" xfId="28339"/>
    <cellStyle name="Normal 17 3 2 3 2 2 2" xfId="28340"/>
    <cellStyle name="Normal 17 3 2 3 2 2 2 2" xfId="28341"/>
    <cellStyle name="Normal 17 3 2 3 2 2 2 3" xfId="28342"/>
    <cellStyle name="Normal 17 3 2 3 2 2 3" xfId="28343"/>
    <cellStyle name="Normal 17 3 2 3 2 2 3 2" xfId="28344"/>
    <cellStyle name="Normal 17 3 2 3 2 2 3 3" xfId="28345"/>
    <cellStyle name="Normal 17 3 2 3 2 2 4" xfId="28346"/>
    <cellStyle name="Normal 17 3 2 3 2 2 5" xfId="28347"/>
    <cellStyle name="Normal 17 3 2 3 2 3" xfId="28348"/>
    <cellStyle name="Normal 17 3 2 3 2 3 2" xfId="28349"/>
    <cellStyle name="Normal 17 3 2 3 2 3 3" xfId="28350"/>
    <cellStyle name="Normal 17 3 2 3 2 4" xfId="28351"/>
    <cellStyle name="Normal 17 3 2 3 2 4 2" xfId="28352"/>
    <cellStyle name="Normal 17 3 2 3 2 4 3" xfId="28353"/>
    <cellStyle name="Normal 17 3 2 3 2 5" xfId="28354"/>
    <cellStyle name="Normal 17 3 2 3 2 6" xfId="28355"/>
    <cellStyle name="Normal 17 3 2 3 3" xfId="28356"/>
    <cellStyle name="Normal 17 3 2 3 3 2" xfId="28357"/>
    <cellStyle name="Normal 17 3 2 3 3 2 2" xfId="28358"/>
    <cellStyle name="Normal 17 3 2 3 3 2 2 2" xfId="28359"/>
    <cellStyle name="Normal 17 3 2 3 3 2 2 3" xfId="28360"/>
    <cellStyle name="Normal 17 3 2 3 3 2 3" xfId="28361"/>
    <cellStyle name="Normal 17 3 2 3 3 2 3 2" xfId="28362"/>
    <cellStyle name="Normal 17 3 2 3 3 2 3 3" xfId="28363"/>
    <cellStyle name="Normal 17 3 2 3 3 2 4" xfId="28364"/>
    <cellStyle name="Normal 17 3 2 3 3 2 5" xfId="28365"/>
    <cellStyle name="Normal 17 3 2 3 3 3" xfId="28366"/>
    <cellStyle name="Normal 17 3 2 3 3 3 2" xfId="28367"/>
    <cellStyle name="Normal 17 3 2 3 3 3 3" xfId="28368"/>
    <cellStyle name="Normal 17 3 2 3 3 4" xfId="28369"/>
    <cellStyle name="Normal 17 3 2 3 3 4 2" xfId="28370"/>
    <cellStyle name="Normal 17 3 2 3 3 4 3" xfId="28371"/>
    <cellStyle name="Normal 17 3 2 3 3 5" xfId="28372"/>
    <cellStyle name="Normal 17 3 2 3 3 6" xfId="28373"/>
    <cellStyle name="Normal 17 3 2 3 4" xfId="28374"/>
    <cellStyle name="Normal 17 3 2 3 4 2" xfId="28375"/>
    <cellStyle name="Normal 17 3 2 3 4 2 2" xfId="28376"/>
    <cellStyle name="Normal 17 3 2 3 4 2 3" xfId="28377"/>
    <cellStyle name="Normal 17 3 2 3 4 3" xfId="28378"/>
    <cellStyle name="Normal 17 3 2 3 4 3 2" xfId="28379"/>
    <cellStyle name="Normal 17 3 2 3 4 3 3" xfId="28380"/>
    <cellStyle name="Normal 17 3 2 3 4 4" xfId="28381"/>
    <cellStyle name="Normal 17 3 2 3 4 5" xfId="28382"/>
    <cellStyle name="Normal 17 3 2 3 5" xfId="28383"/>
    <cellStyle name="Normal 17 3 2 3 5 2" xfId="28384"/>
    <cellStyle name="Normal 17 3 2 3 5 3" xfId="28385"/>
    <cellStyle name="Normal 17 3 2 3 6" xfId="28386"/>
    <cellStyle name="Normal 17 3 2 3 6 2" xfId="28387"/>
    <cellStyle name="Normal 17 3 2 3 6 3" xfId="28388"/>
    <cellStyle name="Normal 17 3 2 3 7" xfId="28389"/>
    <cellStyle name="Normal 17 3 2 3 8" xfId="28390"/>
    <cellStyle name="Normal 17 3 2 4" xfId="28391"/>
    <cellStyle name="Normal 17 3 2 4 2" xfId="28392"/>
    <cellStyle name="Normal 17 3 2 4 2 2" xfId="28393"/>
    <cellStyle name="Normal 17 3 2 4 2 2 2" xfId="28394"/>
    <cellStyle name="Normal 17 3 2 4 2 2 3" xfId="28395"/>
    <cellStyle name="Normal 17 3 2 4 2 3" xfId="28396"/>
    <cellStyle name="Normal 17 3 2 4 2 3 2" xfId="28397"/>
    <cellStyle name="Normal 17 3 2 4 2 3 3" xfId="28398"/>
    <cellStyle name="Normal 17 3 2 4 2 4" xfId="28399"/>
    <cellStyle name="Normal 17 3 2 4 2 5" xfId="28400"/>
    <cellStyle name="Normal 17 3 2 4 3" xfId="28401"/>
    <cellStyle name="Normal 17 3 2 4 3 2" xfId="28402"/>
    <cellStyle name="Normal 17 3 2 4 3 3" xfId="28403"/>
    <cellStyle name="Normal 17 3 2 4 4" xfId="28404"/>
    <cellStyle name="Normal 17 3 2 4 4 2" xfId="28405"/>
    <cellStyle name="Normal 17 3 2 4 4 3" xfId="28406"/>
    <cellStyle name="Normal 17 3 2 4 5" xfId="28407"/>
    <cellStyle name="Normal 17 3 2 4 6" xfId="28408"/>
    <cellStyle name="Normal 17 3 2 5" xfId="28409"/>
    <cellStyle name="Normal 17 3 2 5 2" xfId="28410"/>
    <cellStyle name="Normal 17 3 2 5 2 2" xfId="28411"/>
    <cellStyle name="Normal 17 3 2 5 2 2 2" xfId="28412"/>
    <cellStyle name="Normal 17 3 2 5 2 2 3" xfId="28413"/>
    <cellStyle name="Normal 17 3 2 5 2 3" xfId="28414"/>
    <cellStyle name="Normal 17 3 2 5 2 3 2" xfId="28415"/>
    <cellStyle name="Normal 17 3 2 5 2 3 3" xfId="28416"/>
    <cellStyle name="Normal 17 3 2 5 2 4" xfId="28417"/>
    <cellStyle name="Normal 17 3 2 5 2 5" xfId="28418"/>
    <cellStyle name="Normal 17 3 2 5 3" xfId="28419"/>
    <cellStyle name="Normal 17 3 2 5 3 2" xfId="28420"/>
    <cellStyle name="Normal 17 3 2 5 3 3" xfId="28421"/>
    <cellStyle name="Normal 17 3 2 5 4" xfId="28422"/>
    <cellStyle name="Normal 17 3 2 5 4 2" xfId="28423"/>
    <cellStyle name="Normal 17 3 2 5 4 3" xfId="28424"/>
    <cellStyle name="Normal 17 3 2 5 5" xfId="28425"/>
    <cellStyle name="Normal 17 3 2 5 6" xfId="28426"/>
    <cellStyle name="Normal 17 3 2 6" xfId="28427"/>
    <cellStyle name="Normal 17 3 2 6 2" xfId="28428"/>
    <cellStyle name="Normal 17 3 2 6 2 2" xfId="28429"/>
    <cellStyle name="Normal 17 3 2 6 2 3" xfId="28430"/>
    <cellStyle name="Normal 17 3 2 6 3" xfId="28431"/>
    <cellStyle name="Normal 17 3 2 6 3 2" xfId="28432"/>
    <cellStyle name="Normal 17 3 2 6 3 3" xfId="28433"/>
    <cellStyle name="Normal 17 3 2 6 4" xfId="28434"/>
    <cellStyle name="Normal 17 3 2 6 5" xfId="28435"/>
    <cellStyle name="Normal 17 3 2 7" xfId="28436"/>
    <cellStyle name="Normal 17 3 2 7 2" xfId="28437"/>
    <cellStyle name="Normal 17 3 2 7 3" xfId="28438"/>
    <cellStyle name="Normal 17 3 2 8" xfId="28439"/>
    <cellStyle name="Normal 17 3 2 8 2" xfId="28440"/>
    <cellStyle name="Normal 17 3 2 8 3" xfId="28441"/>
    <cellStyle name="Normal 17 3 2 9" xfId="28442"/>
    <cellStyle name="Normal 17 3 3" xfId="28443"/>
    <cellStyle name="Normal 17 3 3 10" xfId="28444"/>
    <cellStyle name="Normal 17 3 3 2" xfId="28445"/>
    <cellStyle name="Normal 17 3 3 2 2" xfId="28446"/>
    <cellStyle name="Normal 17 3 3 2 2 2" xfId="28447"/>
    <cellStyle name="Normal 17 3 3 2 2 2 2" xfId="28448"/>
    <cellStyle name="Normal 17 3 3 2 2 2 2 2" xfId="28449"/>
    <cellStyle name="Normal 17 3 3 2 2 2 2 2 2" xfId="28450"/>
    <cellStyle name="Normal 17 3 3 2 2 2 2 2 3" xfId="28451"/>
    <cellStyle name="Normal 17 3 3 2 2 2 2 3" xfId="28452"/>
    <cellStyle name="Normal 17 3 3 2 2 2 2 3 2" xfId="28453"/>
    <cellStyle name="Normal 17 3 3 2 2 2 2 3 3" xfId="28454"/>
    <cellStyle name="Normal 17 3 3 2 2 2 2 4" xfId="28455"/>
    <cellStyle name="Normal 17 3 3 2 2 2 2 5" xfId="28456"/>
    <cellStyle name="Normal 17 3 3 2 2 2 3" xfId="28457"/>
    <cellStyle name="Normal 17 3 3 2 2 2 3 2" xfId="28458"/>
    <cellStyle name="Normal 17 3 3 2 2 2 3 3" xfId="28459"/>
    <cellStyle name="Normal 17 3 3 2 2 2 4" xfId="28460"/>
    <cellStyle name="Normal 17 3 3 2 2 2 4 2" xfId="28461"/>
    <cellStyle name="Normal 17 3 3 2 2 2 4 3" xfId="28462"/>
    <cellStyle name="Normal 17 3 3 2 2 2 5" xfId="28463"/>
    <cellStyle name="Normal 17 3 3 2 2 2 6" xfId="28464"/>
    <cellStyle name="Normal 17 3 3 2 2 3" xfId="28465"/>
    <cellStyle name="Normal 17 3 3 2 2 3 2" xfId="28466"/>
    <cellStyle name="Normal 17 3 3 2 2 3 2 2" xfId="28467"/>
    <cellStyle name="Normal 17 3 3 2 2 3 2 2 2" xfId="28468"/>
    <cellStyle name="Normal 17 3 3 2 2 3 2 2 3" xfId="28469"/>
    <cellStyle name="Normal 17 3 3 2 2 3 2 3" xfId="28470"/>
    <cellStyle name="Normal 17 3 3 2 2 3 2 3 2" xfId="28471"/>
    <cellStyle name="Normal 17 3 3 2 2 3 2 3 3" xfId="28472"/>
    <cellStyle name="Normal 17 3 3 2 2 3 2 4" xfId="28473"/>
    <cellStyle name="Normal 17 3 3 2 2 3 2 5" xfId="28474"/>
    <cellStyle name="Normal 17 3 3 2 2 3 3" xfId="28475"/>
    <cellStyle name="Normal 17 3 3 2 2 3 3 2" xfId="28476"/>
    <cellStyle name="Normal 17 3 3 2 2 3 3 3" xfId="28477"/>
    <cellStyle name="Normal 17 3 3 2 2 3 4" xfId="28478"/>
    <cellStyle name="Normal 17 3 3 2 2 3 4 2" xfId="28479"/>
    <cellStyle name="Normal 17 3 3 2 2 3 4 3" xfId="28480"/>
    <cellStyle name="Normal 17 3 3 2 2 3 5" xfId="28481"/>
    <cellStyle name="Normal 17 3 3 2 2 3 6" xfId="28482"/>
    <cellStyle name="Normal 17 3 3 2 2 4" xfId="28483"/>
    <cellStyle name="Normal 17 3 3 2 2 4 2" xfId="28484"/>
    <cellStyle name="Normal 17 3 3 2 2 4 2 2" xfId="28485"/>
    <cellStyle name="Normal 17 3 3 2 2 4 2 3" xfId="28486"/>
    <cellStyle name="Normal 17 3 3 2 2 4 3" xfId="28487"/>
    <cellStyle name="Normal 17 3 3 2 2 4 3 2" xfId="28488"/>
    <cellStyle name="Normal 17 3 3 2 2 4 3 3" xfId="28489"/>
    <cellStyle name="Normal 17 3 3 2 2 4 4" xfId="28490"/>
    <cellStyle name="Normal 17 3 3 2 2 4 5" xfId="28491"/>
    <cellStyle name="Normal 17 3 3 2 2 5" xfId="28492"/>
    <cellStyle name="Normal 17 3 3 2 2 5 2" xfId="28493"/>
    <cellStyle name="Normal 17 3 3 2 2 5 3" xfId="28494"/>
    <cellStyle name="Normal 17 3 3 2 2 6" xfId="28495"/>
    <cellStyle name="Normal 17 3 3 2 2 6 2" xfId="28496"/>
    <cellStyle name="Normal 17 3 3 2 2 6 3" xfId="28497"/>
    <cellStyle name="Normal 17 3 3 2 2 7" xfId="28498"/>
    <cellStyle name="Normal 17 3 3 2 2 8" xfId="28499"/>
    <cellStyle name="Normal 17 3 3 2 3" xfId="28500"/>
    <cellStyle name="Normal 17 3 3 2 3 2" xfId="28501"/>
    <cellStyle name="Normal 17 3 3 2 3 2 2" xfId="28502"/>
    <cellStyle name="Normal 17 3 3 2 3 2 2 2" xfId="28503"/>
    <cellStyle name="Normal 17 3 3 2 3 2 2 3" xfId="28504"/>
    <cellStyle name="Normal 17 3 3 2 3 2 3" xfId="28505"/>
    <cellStyle name="Normal 17 3 3 2 3 2 3 2" xfId="28506"/>
    <cellStyle name="Normal 17 3 3 2 3 2 3 3" xfId="28507"/>
    <cellStyle name="Normal 17 3 3 2 3 2 4" xfId="28508"/>
    <cellStyle name="Normal 17 3 3 2 3 2 5" xfId="28509"/>
    <cellStyle name="Normal 17 3 3 2 3 3" xfId="28510"/>
    <cellStyle name="Normal 17 3 3 2 3 3 2" xfId="28511"/>
    <cellStyle name="Normal 17 3 3 2 3 3 3" xfId="28512"/>
    <cellStyle name="Normal 17 3 3 2 3 4" xfId="28513"/>
    <cellStyle name="Normal 17 3 3 2 3 4 2" xfId="28514"/>
    <cellStyle name="Normal 17 3 3 2 3 4 3" xfId="28515"/>
    <cellStyle name="Normal 17 3 3 2 3 5" xfId="28516"/>
    <cellStyle name="Normal 17 3 3 2 3 6" xfId="28517"/>
    <cellStyle name="Normal 17 3 3 2 4" xfId="28518"/>
    <cellStyle name="Normal 17 3 3 2 4 2" xfId="28519"/>
    <cellStyle name="Normal 17 3 3 2 4 2 2" xfId="28520"/>
    <cellStyle name="Normal 17 3 3 2 4 2 2 2" xfId="28521"/>
    <cellStyle name="Normal 17 3 3 2 4 2 2 3" xfId="28522"/>
    <cellStyle name="Normal 17 3 3 2 4 2 3" xfId="28523"/>
    <cellStyle name="Normal 17 3 3 2 4 2 3 2" xfId="28524"/>
    <cellStyle name="Normal 17 3 3 2 4 2 3 3" xfId="28525"/>
    <cellStyle name="Normal 17 3 3 2 4 2 4" xfId="28526"/>
    <cellStyle name="Normal 17 3 3 2 4 2 5" xfId="28527"/>
    <cellStyle name="Normal 17 3 3 2 4 3" xfId="28528"/>
    <cellStyle name="Normal 17 3 3 2 4 3 2" xfId="28529"/>
    <cellStyle name="Normal 17 3 3 2 4 3 3" xfId="28530"/>
    <cellStyle name="Normal 17 3 3 2 4 4" xfId="28531"/>
    <cellStyle name="Normal 17 3 3 2 4 4 2" xfId="28532"/>
    <cellStyle name="Normal 17 3 3 2 4 4 3" xfId="28533"/>
    <cellStyle name="Normal 17 3 3 2 4 5" xfId="28534"/>
    <cellStyle name="Normal 17 3 3 2 4 6" xfId="28535"/>
    <cellStyle name="Normal 17 3 3 2 5" xfId="28536"/>
    <cellStyle name="Normal 17 3 3 2 5 2" xfId="28537"/>
    <cellStyle name="Normal 17 3 3 2 5 2 2" xfId="28538"/>
    <cellStyle name="Normal 17 3 3 2 5 2 3" xfId="28539"/>
    <cellStyle name="Normal 17 3 3 2 5 3" xfId="28540"/>
    <cellStyle name="Normal 17 3 3 2 5 3 2" xfId="28541"/>
    <cellStyle name="Normal 17 3 3 2 5 3 3" xfId="28542"/>
    <cellStyle name="Normal 17 3 3 2 5 4" xfId="28543"/>
    <cellStyle name="Normal 17 3 3 2 5 5" xfId="28544"/>
    <cellStyle name="Normal 17 3 3 2 6" xfId="28545"/>
    <cellStyle name="Normal 17 3 3 2 6 2" xfId="28546"/>
    <cellStyle name="Normal 17 3 3 2 6 3" xfId="28547"/>
    <cellStyle name="Normal 17 3 3 2 7" xfId="28548"/>
    <cellStyle name="Normal 17 3 3 2 7 2" xfId="28549"/>
    <cellStyle name="Normal 17 3 3 2 7 3" xfId="28550"/>
    <cellStyle name="Normal 17 3 3 2 8" xfId="28551"/>
    <cellStyle name="Normal 17 3 3 2 9" xfId="28552"/>
    <cellStyle name="Normal 17 3 3 3" xfId="28553"/>
    <cellStyle name="Normal 17 3 3 3 2" xfId="28554"/>
    <cellStyle name="Normal 17 3 3 3 2 2" xfId="28555"/>
    <cellStyle name="Normal 17 3 3 3 2 2 2" xfId="28556"/>
    <cellStyle name="Normal 17 3 3 3 2 2 2 2" xfId="28557"/>
    <cellStyle name="Normal 17 3 3 3 2 2 2 3" xfId="28558"/>
    <cellStyle name="Normal 17 3 3 3 2 2 3" xfId="28559"/>
    <cellStyle name="Normal 17 3 3 3 2 2 3 2" xfId="28560"/>
    <cellStyle name="Normal 17 3 3 3 2 2 3 3" xfId="28561"/>
    <cellStyle name="Normal 17 3 3 3 2 2 4" xfId="28562"/>
    <cellStyle name="Normal 17 3 3 3 2 2 5" xfId="28563"/>
    <cellStyle name="Normal 17 3 3 3 2 3" xfId="28564"/>
    <cellStyle name="Normal 17 3 3 3 2 3 2" xfId="28565"/>
    <cellStyle name="Normal 17 3 3 3 2 3 3" xfId="28566"/>
    <cellStyle name="Normal 17 3 3 3 2 4" xfId="28567"/>
    <cellStyle name="Normal 17 3 3 3 2 4 2" xfId="28568"/>
    <cellStyle name="Normal 17 3 3 3 2 4 3" xfId="28569"/>
    <cellStyle name="Normal 17 3 3 3 2 5" xfId="28570"/>
    <cellStyle name="Normal 17 3 3 3 2 6" xfId="28571"/>
    <cellStyle name="Normal 17 3 3 3 3" xfId="28572"/>
    <cellStyle name="Normal 17 3 3 3 3 2" xfId="28573"/>
    <cellStyle name="Normal 17 3 3 3 3 2 2" xfId="28574"/>
    <cellStyle name="Normal 17 3 3 3 3 2 2 2" xfId="28575"/>
    <cellStyle name="Normal 17 3 3 3 3 2 2 3" xfId="28576"/>
    <cellStyle name="Normal 17 3 3 3 3 2 3" xfId="28577"/>
    <cellStyle name="Normal 17 3 3 3 3 2 3 2" xfId="28578"/>
    <cellStyle name="Normal 17 3 3 3 3 2 3 3" xfId="28579"/>
    <cellStyle name="Normal 17 3 3 3 3 2 4" xfId="28580"/>
    <cellStyle name="Normal 17 3 3 3 3 2 5" xfId="28581"/>
    <cellStyle name="Normal 17 3 3 3 3 3" xfId="28582"/>
    <cellStyle name="Normal 17 3 3 3 3 3 2" xfId="28583"/>
    <cellStyle name="Normal 17 3 3 3 3 3 3" xfId="28584"/>
    <cellStyle name="Normal 17 3 3 3 3 4" xfId="28585"/>
    <cellStyle name="Normal 17 3 3 3 3 4 2" xfId="28586"/>
    <cellStyle name="Normal 17 3 3 3 3 4 3" xfId="28587"/>
    <cellStyle name="Normal 17 3 3 3 3 5" xfId="28588"/>
    <cellStyle name="Normal 17 3 3 3 3 6" xfId="28589"/>
    <cellStyle name="Normal 17 3 3 3 4" xfId="28590"/>
    <cellStyle name="Normal 17 3 3 3 4 2" xfId="28591"/>
    <cellStyle name="Normal 17 3 3 3 4 2 2" xfId="28592"/>
    <cellStyle name="Normal 17 3 3 3 4 2 3" xfId="28593"/>
    <cellStyle name="Normal 17 3 3 3 4 3" xfId="28594"/>
    <cellStyle name="Normal 17 3 3 3 4 3 2" xfId="28595"/>
    <cellStyle name="Normal 17 3 3 3 4 3 3" xfId="28596"/>
    <cellStyle name="Normal 17 3 3 3 4 4" xfId="28597"/>
    <cellStyle name="Normal 17 3 3 3 4 5" xfId="28598"/>
    <cellStyle name="Normal 17 3 3 3 5" xfId="28599"/>
    <cellStyle name="Normal 17 3 3 3 5 2" xfId="28600"/>
    <cellStyle name="Normal 17 3 3 3 5 3" xfId="28601"/>
    <cellStyle name="Normal 17 3 3 3 6" xfId="28602"/>
    <cellStyle name="Normal 17 3 3 3 6 2" xfId="28603"/>
    <cellStyle name="Normal 17 3 3 3 6 3" xfId="28604"/>
    <cellStyle name="Normal 17 3 3 3 7" xfId="28605"/>
    <cellStyle name="Normal 17 3 3 3 8" xfId="28606"/>
    <cellStyle name="Normal 17 3 3 4" xfId="28607"/>
    <cellStyle name="Normal 17 3 3 4 2" xfId="28608"/>
    <cellStyle name="Normal 17 3 3 4 2 2" xfId="28609"/>
    <cellStyle name="Normal 17 3 3 4 2 2 2" xfId="28610"/>
    <cellStyle name="Normal 17 3 3 4 2 2 3" xfId="28611"/>
    <cellStyle name="Normal 17 3 3 4 2 3" xfId="28612"/>
    <cellStyle name="Normal 17 3 3 4 2 3 2" xfId="28613"/>
    <cellStyle name="Normal 17 3 3 4 2 3 3" xfId="28614"/>
    <cellStyle name="Normal 17 3 3 4 2 4" xfId="28615"/>
    <cellStyle name="Normal 17 3 3 4 2 5" xfId="28616"/>
    <cellStyle name="Normal 17 3 3 4 3" xfId="28617"/>
    <cellStyle name="Normal 17 3 3 4 3 2" xfId="28618"/>
    <cellStyle name="Normal 17 3 3 4 3 3" xfId="28619"/>
    <cellStyle name="Normal 17 3 3 4 4" xfId="28620"/>
    <cellStyle name="Normal 17 3 3 4 4 2" xfId="28621"/>
    <cellStyle name="Normal 17 3 3 4 4 3" xfId="28622"/>
    <cellStyle name="Normal 17 3 3 4 5" xfId="28623"/>
    <cellStyle name="Normal 17 3 3 4 6" xfId="28624"/>
    <cellStyle name="Normal 17 3 3 5" xfId="28625"/>
    <cellStyle name="Normal 17 3 3 5 2" xfId="28626"/>
    <cellStyle name="Normal 17 3 3 5 2 2" xfId="28627"/>
    <cellStyle name="Normal 17 3 3 5 2 2 2" xfId="28628"/>
    <cellStyle name="Normal 17 3 3 5 2 2 3" xfId="28629"/>
    <cellStyle name="Normal 17 3 3 5 2 3" xfId="28630"/>
    <cellStyle name="Normal 17 3 3 5 2 3 2" xfId="28631"/>
    <cellStyle name="Normal 17 3 3 5 2 3 3" xfId="28632"/>
    <cellStyle name="Normal 17 3 3 5 2 4" xfId="28633"/>
    <cellStyle name="Normal 17 3 3 5 2 5" xfId="28634"/>
    <cellStyle name="Normal 17 3 3 5 3" xfId="28635"/>
    <cellStyle name="Normal 17 3 3 5 3 2" xfId="28636"/>
    <cellStyle name="Normal 17 3 3 5 3 3" xfId="28637"/>
    <cellStyle name="Normal 17 3 3 5 4" xfId="28638"/>
    <cellStyle name="Normal 17 3 3 5 4 2" xfId="28639"/>
    <cellStyle name="Normal 17 3 3 5 4 3" xfId="28640"/>
    <cellStyle name="Normal 17 3 3 5 5" xfId="28641"/>
    <cellStyle name="Normal 17 3 3 5 6" xfId="28642"/>
    <cellStyle name="Normal 17 3 3 6" xfId="28643"/>
    <cellStyle name="Normal 17 3 3 6 2" xfId="28644"/>
    <cellStyle name="Normal 17 3 3 6 2 2" xfId="28645"/>
    <cellStyle name="Normal 17 3 3 6 2 3" xfId="28646"/>
    <cellStyle name="Normal 17 3 3 6 3" xfId="28647"/>
    <cellStyle name="Normal 17 3 3 6 3 2" xfId="28648"/>
    <cellStyle name="Normal 17 3 3 6 3 3" xfId="28649"/>
    <cellStyle name="Normal 17 3 3 6 4" xfId="28650"/>
    <cellStyle name="Normal 17 3 3 6 5" xfId="28651"/>
    <cellStyle name="Normal 17 3 3 7" xfId="28652"/>
    <cellStyle name="Normal 17 3 3 7 2" xfId="28653"/>
    <cellStyle name="Normal 17 3 3 7 3" xfId="28654"/>
    <cellStyle name="Normal 17 3 3 8" xfId="28655"/>
    <cellStyle name="Normal 17 3 3 8 2" xfId="28656"/>
    <cellStyle name="Normal 17 3 3 8 3" xfId="28657"/>
    <cellStyle name="Normal 17 3 3 9" xfId="28658"/>
    <cellStyle name="Normal 17 3 4" xfId="28659"/>
    <cellStyle name="Normal 17 3 4 2" xfId="28660"/>
    <cellStyle name="Normal 17 3 4 2 2" xfId="28661"/>
    <cellStyle name="Normal 17 3 4 2 2 2" xfId="28662"/>
    <cellStyle name="Normal 17 3 4 2 2 2 2" xfId="28663"/>
    <cellStyle name="Normal 17 3 4 2 2 2 2 2" xfId="28664"/>
    <cellStyle name="Normal 17 3 4 2 2 2 2 3" xfId="28665"/>
    <cellStyle name="Normal 17 3 4 2 2 2 3" xfId="28666"/>
    <cellStyle name="Normal 17 3 4 2 2 2 3 2" xfId="28667"/>
    <cellStyle name="Normal 17 3 4 2 2 2 3 3" xfId="28668"/>
    <cellStyle name="Normal 17 3 4 2 2 2 4" xfId="28669"/>
    <cellStyle name="Normal 17 3 4 2 2 2 5" xfId="28670"/>
    <cellStyle name="Normal 17 3 4 2 2 3" xfId="28671"/>
    <cellStyle name="Normal 17 3 4 2 2 3 2" xfId="28672"/>
    <cellStyle name="Normal 17 3 4 2 2 3 3" xfId="28673"/>
    <cellStyle name="Normal 17 3 4 2 2 4" xfId="28674"/>
    <cellStyle name="Normal 17 3 4 2 2 4 2" xfId="28675"/>
    <cellStyle name="Normal 17 3 4 2 2 4 3" xfId="28676"/>
    <cellStyle name="Normal 17 3 4 2 2 5" xfId="28677"/>
    <cellStyle name="Normal 17 3 4 2 2 6" xfId="28678"/>
    <cellStyle name="Normal 17 3 4 2 3" xfId="28679"/>
    <cellStyle name="Normal 17 3 4 2 3 2" xfId="28680"/>
    <cellStyle name="Normal 17 3 4 2 3 2 2" xfId="28681"/>
    <cellStyle name="Normal 17 3 4 2 3 2 2 2" xfId="28682"/>
    <cellStyle name="Normal 17 3 4 2 3 2 2 3" xfId="28683"/>
    <cellStyle name="Normal 17 3 4 2 3 2 3" xfId="28684"/>
    <cellStyle name="Normal 17 3 4 2 3 2 3 2" xfId="28685"/>
    <cellStyle name="Normal 17 3 4 2 3 2 3 3" xfId="28686"/>
    <cellStyle name="Normal 17 3 4 2 3 2 4" xfId="28687"/>
    <cellStyle name="Normal 17 3 4 2 3 2 5" xfId="28688"/>
    <cellStyle name="Normal 17 3 4 2 3 3" xfId="28689"/>
    <cellStyle name="Normal 17 3 4 2 3 3 2" xfId="28690"/>
    <cellStyle name="Normal 17 3 4 2 3 3 3" xfId="28691"/>
    <cellStyle name="Normal 17 3 4 2 3 4" xfId="28692"/>
    <cellStyle name="Normal 17 3 4 2 3 4 2" xfId="28693"/>
    <cellStyle name="Normal 17 3 4 2 3 4 3" xfId="28694"/>
    <cellStyle name="Normal 17 3 4 2 3 5" xfId="28695"/>
    <cellStyle name="Normal 17 3 4 2 3 6" xfId="28696"/>
    <cellStyle name="Normal 17 3 4 2 4" xfId="28697"/>
    <cellStyle name="Normal 17 3 4 2 4 2" xfId="28698"/>
    <cellStyle name="Normal 17 3 4 2 4 2 2" xfId="28699"/>
    <cellStyle name="Normal 17 3 4 2 4 2 3" xfId="28700"/>
    <cellStyle name="Normal 17 3 4 2 4 3" xfId="28701"/>
    <cellStyle name="Normal 17 3 4 2 4 3 2" xfId="28702"/>
    <cellStyle name="Normal 17 3 4 2 4 3 3" xfId="28703"/>
    <cellStyle name="Normal 17 3 4 2 4 4" xfId="28704"/>
    <cellStyle name="Normal 17 3 4 2 4 5" xfId="28705"/>
    <cellStyle name="Normal 17 3 4 2 5" xfId="28706"/>
    <cellStyle name="Normal 17 3 4 2 5 2" xfId="28707"/>
    <cellStyle name="Normal 17 3 4 2 5 3" xfId="28708"/>
    <cellStyle name="Normal 17 3 4 2 6" xfId="28709"/>
    <cellStyle name="Normal 17 3 4 2 6 2" xfId="28710"/>
    <cellStyle name="Normal 17 3 4 2 6 3" xfId="28711"/>
    <cellStyle name="Normal 17 3 4 2 7" xfId="28712"/>
    <cellStyle name="Normal 17 3 4 2 8" xfId="28713"/>
    <cellStyle name="Normal 17 3 4 3" xfId="28714"/>
    <cellStyle name="Normal 17 3 4 3 2" xfId="28715"/>
    <cellStyle name="Normal 17 3 4 3 2 2" xfId="28716"/>
    <cellStyle name="Normal 17 3 4 3 2 2 2" xfId="28717"/>
    <cellStyle name="Normal 17 3 4 3 2 2 3" xfId="28718"/>
    <cellStyle name="Normal 17 3 4 3 2 3" xfId="28719"/>
    <cellStyle name="Normal 17 3 4 3 2 3 2" xfId="28720"/>
    <cellStyle name="Normal 17 3 4 3 2 3 3" xfId="28721"/>
    <cellStyle name="Normal 17 3 4 3 2 4" xfId="28722"/>
    <cellStyle name="Normal 17 3 4 3 2 5" xfId="28723"/>
    <cellStyle name="Normal 17 3 4 3 3" xfId="28724"/>
    <cellStyle name="Normal 17 3 4 3 3 2" xfId="28725"/>
    <cellStyle name="Normal 17 3 4 3 3 3" xfId="28726"/>
    <cellStyle name="Normal 17 3 4 3 4" xfId="28727"/>
    <cellStyle name="Normal 17 3 4 3 4 2" xfId="28728"/>
    <cellStyle name="Normal 17 3 4 3 4 3" xfId="28729"/>
    <cellStyle name="Normal 17 3 4 3 5" xfId="28730"/>
    <cellStyle name="Normal 17 3 4 3 6" xfId="28731"/>
    <cellStyle name="Normal 17 3 4 4" xfId="28732"/>
    <cellStyle name="Normal 17 3 4 4 2" xfId="28733"/>
    <cellStyle name="Normal 17 3 4 4 2 2" xfId="28734"/>
    <cellStyle name="Normal 17 3 4 4 2 2 2" xfId="28735"/>
    <cellStyle name="Normal 17 3 4 4 2 2 3" xfId="28736"/>
    <cellStyle name="Normal 17 3 4 4 2 3" xfId="28737"/>
    <cellStyle name="Normal 17 3 4 4 2 3 2" xfId="28738"/>
    <cellStyle name="Normal 17 3 4 4 2 3 3" xfId="28739"/>
    <cellStyle name="Normal 17 3 4 4 2 4" xfId="28740"/>
    <cellStyle name="Normal 17 3 4 4 2 5" xfId="28741"/>
    <cellStyle name="Normal 17 3 4 4 3" xfId="28742"/>
    <cellStyle name="Normal 17 3 4 4 3 2" xfId="28743"/>
    <cellStyle name="Normal 17 3 4 4 3 3" xfId="28744"/>
    <cellStyle name="Normal 17 3 4 4 4" xfId="28745"/>
    <cellStyle name="Normal 17 3 4 4 4 2" xfId="28746"/>
    <cellStyle name="Normal 17 3 4 4 4 3" xfId="28747"/>
    <cellStyle name="Normal 17 3 4 4 5" xfId="28748"/>
    <cellStyle name="Normal 17 3 4 4 6" xfId="28749"/>
    <cellStyle name="Normal 17 3 4 5" xfId="28750"/>
    <cellStyle name="Normal 17 3 4 5 2" xfId="28751"/>
    <cellStyle name="Normal 17 3 4 5 2 2" xfId="28752"/>
    <cellStyle name="Normal 17 3 4 5 2 3" xfId="28753"/>
    <cellStyle name="Normal 17 3 4 5 3" xfId="28754"/>
    <cellStyle name="Normal 17 3 4 5 3 2" xfId="28755"/>
    <cellStyle name="Normal 17 3 4 5 3 3" xfId="28756"/>
    <cellStyle name="Normal 17 3 4 5 4" xfId="28757"/>
    <cellStyle name="Normal 17 3 4 5 5" xfId="28758"/>
    <cellStyle name="Normal 17 3 4 6" xfId="28759"/>
    <cellStyle name="Normal 17 3 4 6 2" xfId="28760"/>
    <cellStyle name="Normal 17 3 4 6 3" xfId="28761"/>
    <cellStyle name="Normal 17 3 4 7" xfId="28762"/>
    <cellStyle name="Normal 17 3 4 7 2" xfId="28763"/>
    <cellStyle name="Normal 17 3 4 7 3" xfId="28764"/>
    <cellStyle name="Normal 17 3 4 8" xfId="28765"/>
    <cellStyle name="Normal 17 3 4 9" xfId="28766"/>
    <cellStyle name="Normal 17 3 5" xfId="28767"/>
    <cellStyle name="Normal 17 3 5 2" xfId="28768"/>
    <cellStyle name="Normal 17 3 5 2 2" xfId="28769"/>
    <cellStyle name="Normal 17 3 5 2 2 2" xfId="28770"/>
    <cellStyle name="Normal 17 3 5 2 2 2 2" xfId="28771"/>
    <cellStyle name="Normal 17 3 5 2 2 2 3" xfId="28772"/>
    <cellStyle name="Normal 17 3 5 2 2 3" xfId="28773"/>
    <cellStyle name="Normal 17 3 5 2 2 3 2" xfId="28774"/>
    <cellStyle name="Normal 17 3 5 2 2 3 3" xfId="28775"/>
    <cellStyle name="Normal 17 3 5 2 2 4" xfId="28776"/>
    <cellStyle name="Normal 17 3 5 2 2 5" xfId="28777"/>
    <cellStyle name="Normal 17 3 5 2 3" xfId="28778"/>
    <cellStyle name="Normal 17 3 5 2 3 2" xfId="28779"/>
    <cellStyle name="Normal 17 3 5 2 3 3" xfId="28780"/>
    <cellStyle name="Normal 17 3 5 2 4" xfId="28781"/>
    <cellStyle name="Normal 17 3 5 2 4 2" xfId="28782"/>
    <cellStyle name="Normal 17 3 5 2 4 3" xfId="28783"/>
    <cellStyle name="Normal 17 3 5 2 5" xfId="28784"/>
    <cellStyle name="Normal 17 3 5 2 6" xfId="28785"/>
    <cellStyle name="Normal 17 3 5 3" xfId="28786"/>
    <cellStyle name="Normal 17 3 5 3 2" xfId="28787"/>
    <cellStyle name="Normal 17 3 5 3 2 2" xfId="28788"/>
    <cellStyle name="Normal 17 3 5 3 2 2 2" xfId="28789"/>
    <cellStyle name="Normal 17 3 5 3 2 2 3" xfId="28790"/>
    <cellStyle name="Normal 17 3 5 3 2 3" xfId="28791"/>
    <cellStyle name="Normal 17 3 5 3 2 3 2" xfId="28792"/>
    <cellStyle name="Normal 17 3 5 3 2 3 3" xfId="28793"/>
    <cellStyle name="Normal 17 3 5 3 2 4" xfId="28794"/>
    <cellStyle name="Normal 17 3 5 3 2 5" xfId="28795"/>
    <cellStyle name="Normal 17 3 5 3 3" xfId="28796"/>
    <cellStyle name="Normal 17 3 5 3 3 2" xfId="28797"/>
    <cellStyle name="Normal 17 3 5 3 3 3" xfId="28798"/>
    <cellStyle name="Normal 17 3 5 3 4" xfId="28799"/>
    <cellStyle name="Normal 17 3 5 3 4 2" xfId="28800"/>
    <cellStyle name="Normal 17 3 5 3 4 3" xfId="28801"/>
    <cellStyle name="Normal 17 3 5 3 5" xfId="28802"/>
    <cellStyle name="Normal 17 3 5 3 6" xfId="28803"/>
    <cellStyle name="Normal 17 3 5 4" xfId="28804"/>
    <cellStyle name="Normal 17 3 5 4 2" xfId="28805"/>
    <cellStyle name="Normal 17 3 5 4 2 2" xfId="28806"/>
    <cellStyle name="Normal 17 3 5 4 2 3" xfId="28807"/>
    <cellStyle name="Normal 17 3 5 4 3" xfId="28808"/>
    <cellStyle name="Normal 17 3 5 4 3 2" xfId="28809"/>
    <cellStyle name="Normal 17 3 5 4 3 3" xfId="28810"/>
    <cellStyle name="Normal 17 3 5 4 4" xfId="28811"/>
    <cellStyle name="Normal 17 3 5 4 5" xfId="28812"/>
    <cellStyle name="Normal 17 3 5 5" xfId="28813"/>
    <cellStyle name="Normal 17 3 5 5 2" xfId="28814"/>
    <cellStyle name="Normal 17 3 5 5 3" xfId="28815"/>
    <cellStyle name="Normal 17 3 5 6" xfId="28816"/>
    <cellStyle name="Normal 17 3 5 6 2" xfId="28817"/>
    <cellStyle name="Normal 17 3 5 6 3" xfId="28818"/>
    <cellStyle name="Normal 17 3 5 7" xfId="28819"/>
    <cellStyle name="Normal 17 3 5 8" xfId="28820"/>
    <cellStyle name="Normal 17 3 6" xfId="28821"/>
    <cellStyle name="Normal 17 3 6 2" xfId="28822"/>
    <cellStyle name="Normal 17 3 6 2 2" xfId="28823"/>
    <cellStyle name="Normal 17 3 6 2 2 2" xfId="28824"/>
    <cellStyle name="Normal 17 3 6 2 2 3" xfId="28825"/>
    <cellStyle name="Normal 17 3 6 2 3" xfId="28826"/>
    <cellStyle name="Normal 17 3 6 2 3 2" xfId="28827"/>
    <cellStyle name="Normal 17 3 6 2 3 3" xfId="28828"/>
    <cellStyle name="Normal 17 3 6 2 4" xfId="28829"/>
    <cellStyle name="Normal 17 3 6 2 5" xfId="28830"/>
    <cellStyle name="Normal 17 3 6 3" xfId="28831"/>
    <cellStyle name="Normal 17 3 6 3 2" xfId="28832"/>
    <cellStyle name="Normal 17 3 6 3 3" xfId="28833"/>
    <cellStyle name="Normal 17 3 6 4" xfId="28834"/>
    <cellStyle name="Normal 17 3 6 4 2" xfId="28835"/>
    <cellStyle name="Normal 17 3 6 4 3" xfId="28836"/>
    <cellStyle name="Normal 17 3 6 5" xfId="28837"/>
    <cellStyle name="Normal 17 3 6 6" xfId="28838"/>
    <cellStyle name="Normal 17 3 7" xfId="28839"/>
    <cellStyle name="Normal 17 3 7 2" xfId="28840"/>
    <cellStyle name="Normal 17 3 7 2 2" xfId="28841"/>
    <cellStyle name="Normal 17 3 7 2 2 2" xfId="28842"/>
    <cellStyle name="Normal 17 3 7 2 2 3" xfId="28843"/>
    <cellStyle name="Normal 17 3 7 2 3" xfId="28844"/>
    <cellStyle name="Normal 17 3 7 2 3 2" xfId="28845"/>
    <cellStyle name="Normal 17 3 7 2 3 3" xfId="28846"/>
    <cellStyle name="Normal 17 3 7 2 4" xfId="28847"/>
    <cellStyle name="Normal 17 3 7 2 5" xfId="28848"/>
    <cellStyle name="Normal 17 3 7 3" xfId="28849"/>
    <cellStyle name="Normal 17 3 7 3 2" xfId="28850"/>
    <cellStyle name="Normal 17 3 7 3 3" xfId="28851"/>
    <cellStyle name="Normal 17 3 7 4" xfId="28852"/>
    <cellStyle name="Normal 17 3 7 4 2" xfId="28853"/>
    <cellStyle name="Normal 17 3 7 4 3" xfId="28854"/>
    <cellStyle name="Normal 17 3 7 5" xfId="28855"/>
    <cellStyle name="Normal 17 3 7 6" xfId="28856"/>
    <cellStyle name="Normal 17 3 8" xfId="28857"/>
    <cellStyle name="Normal 17 3 8 2" xfId="28858"/>
    <cellStyle name="Normal 17 3 8 2 2" xfId="28859"/>
    <cellStyle name="Normal 17 3 8 2 3" xfId="28860"/>
    <cellStyle name="Normal 17 3 8 3" xfId="28861"/>
    <cellStyle name="Normal 17 3 8 3 2" xfId="28862"/>
    <cellStyle name="Normal 17 3 8 3 3" xfId="28863"/>
    <cellStyle name="Normal 17 3 8 4" xfId="28864"/>
    <cellStyle name="Normal 17 3 8 5" xfId="28865"/>
    <cellStyle name="Normal 17 3 9" xfId="28866"/>
    <cellStyle name="Normal 17 3 9 2" xfId="28867"/>
    <cellStyle name="Normal 17 3 9 3" xfId="28868"/>
    <cellStyle name="Normal 17 4" xfId="28869"/>
    <cellStyle name="Normal 17 4 10" xfId="28870"/>
    <cellStyle name="Normal 17 4 2" xfId="28871"/>
    <cellStyle name="Normal 17 4 2 2" xfId="28872"/>
    <cellStyle name="Normal 17 4 2 2 2" xfId="28873"/>
    <cellStyle name="Normal 17 4 2 2 2 2" xfId="28874"/>
    <cellStyle name="Normal 17 4 2 2 2 2 2" xfId="28875"/>
    <cellStyle name="Normal 17 4 2 2 2 2 2 2" xfId="28876"/>
    <cellStyle name="Normal 17 4 2 2 2 2 2 3" xfId="28877"/>
    <cellStyle name="Normal 17 4 2 2 2 2 3" xfId="28878"/>
    <cellStyle name="Normal 17 4 2 2 2 2 3 2" xfId="28879"/>
    <cellStyle name="Normal 17 4 2 2 2 2 3 3" xfId="28880"/>
    <cellStyle name="Normal 17 4 2 2 2 2 4" xfId="28881"/>
    <cellStyle name="Normal 17 4 2 2 2 2 5" xfId="28882"/>
    <cellStyle name="Normal 17 4 2 2 2 3" xfId="28883"/>
    <cellStyle name="Normal 17 4 2 2 2 3 2" xfId="28884"/>
    <cellStyle name="Normal 17 4 2 2 2 3 3" xfId="28885"/>
    <cellStyle name="Normal 17 4 2 2 2 4" xfId="28886"/>
    <cellStyle name="Normal 17 4 2 2 2 4 2" xfId="28887"/>
    <cellStyle name="Normal 17 4 2 2 2 4 3" xfId="28888"/>
    <cellStyle name="Normal 17 4 2 2 2 5" xfId="28889"/>
    <cellStyle name="Normal 17 4 2 2 2 6" xfId="28890"/>
    <cellStyle name="Normal 17 4 2 2 3" xfId="28891"/>
    <cellStyle name="Normal 17 4 2 2 3 2" xfId="28892"/>
    <cellStyle name="Normal 17 4 2 2 3 2 2" xfId="28893"/>
    <cellStyle name="Normal 17 4 2 2 3 2 2 2" xfId="28894"/>
    <cellStyle name="Normal 17 4 2 2 3 2 2 3" xfId="28895"/>
    <cellStyle name="Normal 17 4 2 2 3 2 3" xfId="28896"/>
    <cellStyle name="Normal 17 4 2 2 3 2 3 2" xfId="28897"/>
    <cellStyle name="Normal 17 4 2 2 3 2 3 3" xfId="28898"/>
    <cellStyle name="Normal 17 4 2 2 3 2 4" xfId="28899"/>
    <cellStyle name="Normal 17 4 2 2 3 2 5" xfId="28900"/>
    <cellStyle name="Normal 17 4 2 2 3 3" xfId="28901"/>
    <cellStyle name="Normal 17 4 2 2 3 3 2" xfId="28902"/>
    <cellStyle name="Normal 17 4 2 2 3 3 3" xfId="28903"/>
    <cellStyle name="Normal 17 4 2 2 3 4" xfId="28904"/>
    <cellStyle name="Normal 17 4 2 2 3 4 2" xfId="28905"/>
    <cellStyle name="Normal 17 4 2 2 3 4 3" xfId="28906"/>
    <cellStyle name="Normal 17 4 2 2 3 5" xfId="28907"/>
    <cellStyle name="Normal 17 4 2 2 3 6" xfId="28908"/>
    <cellStyle name="Normal 17 4 2 2 4" xfId="28909"/>
    <cellStyle name="Normal 17 4 2 2 4 2" xfId="28910"/>
    <cellStyle name="Normal 17 4 2 2 4 2 2" xfId="28911"/>
    <cellStyle name="Normal 17 4 2 2 4 2 3" xfId="28912"/>
    <cellStyle name="Normal 17 4 2 2 4 3" xfId="28913"/>
    <cellStyle name="Normal 17 4 2 2 4 3 2" xfId="28914"/>
    <cellStyle name="Normal 17 4 2 2 4 3 3" xfId="28915"/>
    <cellStyle name="Normal 17 4 2 2 4 4" xfId="28916"/>
    <cellStyle name="Normal 17 4 2 2 4 5" xfId="28917"/>
    <cellStyle name="Normal 17 4 2 2 5" xfId="28918"/>
    <cellStyle name="Normal 17 4 2 2 5 2" xfId="28919"/>
    <cellStyle name="Normal 17 4 2 2 5 3" xfId="28920"/>
    <cellStyle name="Normal 17 4 2 2 6" xfId="28921"/>
    <cellStyle name="Normal 17 4 2 2 6 2" xfId="28922"/>
    <cellStyle name="Normal 17 4 2 2 6 3" xfId="28923"/>
    <cellStyle name="Normal 17 4 2 2 7" xfId="28924"/>
    <cellStyle name="Normal 17 4 2 2 8" xfId="28925"/>
    <cellStyle name="Normal 17 4 2 3" xfId="28926"/>
    <cellStyle name="Normal 17 4 2 3 2" xfId="28927"/>
    <cellStyle name="Normal 17 4 2 3 2 2" xfId="28928"/>
    <cellStyle name="Normal 17 4 2 3 2 2 2" xfId="28929"/>
    <cellStyle name="Normal 17 4 2 3 2 2 3" xfId="28930"/>
    <cellStyle name="Normal 17 4 2 3 2 3" xfId="28931"/>
    <cellStyle name="Normal 17 4 2 3 2 3 2" xfId="28932"/>
    <cellStyle name="Normal 17 4 2 3 2 3 3" xfId="28933"/>
    <cellStyle name="Normal 17 4 2 3 2 4" xfId="28934"/>
    <cellStyle name="Normal 17 4 2 3 2 5" xfId="28935"/>
    <cellStyle name="Normal 17 4 2 3 3" xfId="28936"/>
    <cellStyle name="Normal 17 4 2 3 3 2" xfId="28937"/>
    <cellStyle name="Normal 17 4 2 3 3 3" xfId="28938"/>
    <cellStyle name="Normal 17 4 2 3 4" xfId="28939"/>
    <cellStyle name="Normal 17 4 2 3 4 2" xfId="28940"/>
    <cellStyle name="Normal 17 4 2 3 4 3" xfId="28941"/>
    <cellStyle name="Normal 17 4 2 3 5" xfId="28942"/>
    <cellStyle name="Normal 17 4 2 3 6" xfId="28943"/>
    <cellStyle name="Normal 17 4 2 4" xfId="28944"/>
    <cellStyle name="Normal 17 4 2 4 2" xfId="28945"/>
    <cellStyle name="Normal 17 4 2 4 2 2" xfId="28946"/>
    <cellStyle name="Normal 17 4 2 4 2 2 2" xfId="28947"/>
    <cellStyle name="Normal 17 4 2 4 2 2 3" xfId="28948"/>
    <cellStyle name="Normal 17 4 2 4 2 3" xfId="28949"/>
    <cellStyle name="Normal 17 4 2 4 2 3 2" xfId="28950"/>
    <cellStyle name="Normal 17 4 2 4 2 3 3" xfId="28951"/>
    <cellStyle name="Normal 17 4 2 4 2 4" xfId="28952"/>
    <cellStyle name="Normal 17 4 2 4 2 5" xfId="28953"/>
    <cellStyle name="Normal 17 4 2 4 3" xfId="28954"/>
    <cellStyle name="Normal 17 4 2 4 3 2" xfId="28955"/>
    <cellStyle name="Normal 17 4 2 4 3 3" xfId="28956"/>
    <cellStyle name="Normal 17 4 2 4 4" xfId="28957"/>
    <cellStyle name="Normal 17 4 2 4 4 2" xfId="28958"/>
    <cellStyle name="Normal 17 4 2 4 4 3" xfId="28959"/>
    <cellStyle name="Normal 17 4 2 4 5" xfId="28960"/>
    <cellStyle name="Normal 17 4 2 4 6" xfId="28961"/>
    <cellStyle name="Normal 17 4 2 5" xfId="28962"/>
    <cellStyle name="Normal 17 4 2 5 2" xfId="28963"/>
    <cellStyle name="Normal 17 4 2 5 2 2" xfId="28964"/>
    <cellStyle name="Normal 17 4 2 5 2 3" xfId="28965"/>
    <cellStyle name="Normal 17 4 2 5 3" xfId="28966"/>
    <cellStyle name="Normal 17 4 2 5 3 2" xfId="28967"/>
    <cellStyle name="Normal 17 4 2 5 3 3" xfId="28968"/>
    <cellStyle name="Normal 17 4 2 5 4" xfId="28969"/>
    <cellStyle name="Normal 17 4 2 5 5" xfId="28970"/>
    <cellStyle name="Normal 17 4 2 6" xfId="28971"/>
    <cellStyle name="Normal 17 4 2 6 2" xfId="28972"/>
    <cellStyle name="Normal 17 4 2 6 3" xfId="28973"/>
    <cellStyle name="Normal 17 4 2 7" xfId="28974"/>
    <cellStyle name="Normal 17 4 2 7 2" xfId="28975"/>
    <cellStyle name="Normal 17 4 2 7 3" xfId="28976"/>
    <cellStyle name="Normal 17 4 2 8" xfId="28977"/>
    <cellStyle name="Normal 17 4 2 9" xfId="28978"/>
    <cellStyle name="Normal 17 4 3" xfId="28979"/>
    <cellStyle name="Normal 17 4 3 2" xfId="28980"/>
    <cellStyle name="Normal 17 4 3 2 2" xfId="28981"/>
    <cellStyle name="Normal 17 4 3 2 2 2" xfId="28982"/>
    <cellStyle name="Normal 17 4 3 2 2 2 2" xfId="28983"/>
    <cellStyle name="Normal 17 4 3 2 2 2 3" xfId="28984"/>
    <cellStyle name="Normal 17 4 3 2 2 3" xfId="28985"/>
    <cellStyle name="Normal 17 4 3 2 2 3 2" xfId="28986"/>
    <cellStyle name="Normal 17 4 3 2 2 3 3" xfId="28987"/>
    <cellStyle name="Normal 17 4 3 2 2 4" xfId="28988"/>
    <cellStyle name="Normal 17 4 3 2 2 5" xfId="28989"/>
    <cellStyle name="Normal 17 4 3 2 3" xfId="28990"/>
    <cellStyle name="Normal 17 4 3 2 3 2" xfId="28991"/>
    <cellStyle name="Normal 17 4 3 2 3 3" xfId="28992"/>
    <cellStyle name="Normal 17 4 3 2 4" xfId="28993"/>
    <cellStyle name="Normal 17 4 3 2 4 2" xfId="28994"/>
    <cellStyle name="Normal 17 4 3 2 4 3" xfId="28995"/>
    <cellStyle name="Normal 17 4 3 2 5" xfId="28996"/>
    <cellStyle name="Normal 17 4 3 2 6" xfId="28997"/>
    <cellStyle name="Normal 17 4 3 3" xfId="28998"/>
    <cellStyle name="Normal 17 4 3 3 2" xfId="28999"/>
    <cellStyle name="Normal 17 4 3 3 2 2" xfId="29000"/>
    <cellStyle name="Normal 17 4 3 3 2 2 2" xfId="29001"/>
    <cellStyle name="Normal 17 4 3 3 2 2 3" xfId="29002"/>
    <cellStyle name="Normal 17 4 3 3 2 3" xfId="29003"/>
    <cellStyle name="Normal 17 4 3 3 2 3 2" xfId="29004"/>
    <cellStyle name="Normal 17 4 3 3 2 3 3" xfId="29005"/>
    <cellStyle name="Normal 17 4 3 3 2 4" xfId="29006"/>
    <cellStyle name="Normal 17 4 3 3 2 5" xfId="29007"/>
    <cellStyle name="Normal 17 4 3 3 3" xfId="29008"/>
    <cellStyle name="Normal 17 4 3 3 3 2" xfId="29009"/>
    <cellStyle name="Normal 17 4 3 3 3 3" xfId="29010"/>
    <cellStyle name="Normal 17 4 3 3 4" xfId="29011"/>
    <cellStyle name="Normal 17 4 3 3 4 2" xfId="29012"/>
    <cellStyle name="Normal 17 4 3 3 4 3" xfId="29013"/>
    <cellStyle name="Normal 17 4 3 3 5" xfId="29014"/>
    <cellStyle name="Normal 17 4 3 3 6" xfId="29015"/>
    <cellStyle name="Normal 17 4 3 4" xfId="29016"/>
    <cellStyle name="Normal 17 4 3 4 2" xfId="29017"/>
    <cellStyle name="Normal 17 4 3 4 2 2" xfId="29018"/>
    <cellStyle name="Normal 17 4 3 4 2 3" xfId="29019"/>
    <cellStyle name="Normal 17 4 3 4 3" xfId="29020"/>
    <cellStyle name="Normal 17 4 3 4 3 2" xfId="29021"/>
    <cellStyle name="Normal 17 4 3 4 3 3" xfId="29022"/>
    <cellStyle name="Normal 17 4 3 4 4" xfId="29023"/>
    <cellStyle name="Normal 17 4 3 4 5" xfId="29024"/>
    <cellStyle name="Normal 17 4 3 5" xfId="29025"/>
    <cellStyle name="Normal 17 4 3 5 2" xfId="29026"/>
    <cellStyle name="Normal 17 4 3 5 3" xfId="29027"/>
    <cellStyle name="Normal 17 4 3 6" xfId="29028"/>
    <cellStyle name="Normal 17 4 3 6 2" xfId="29029"/>
    <cellStyle name="Normal 17 4 3 6 3" xfId="29030"/>
    <cellStyle name="Normal 17 4 3 7" xfId="29031"/>
    <cellStyle name="Normal 17 4 3 8" xfId="29032"/>
    <cellStyle name="Normal 17 4 4" xfId="29033"/>
    <cellStyle name="Normal 17 4 4 2" xfId="29034"/>
    <cellStyle name="Normal 17 4 4 2 2" xfId="29035"/>
    <cellStyle name="Normal 17 4 4 2 2 2" xfId="29036"/>
    <cellStyle name="Normal 17 4 4 2 2 3" xfId="29037"/>
    <cellStyle name="Normal 17 4 4 2 3" xfId="29038"/>
    <cellStyle name="Normal 17 4 4 2 3 2" xfId="29039"/>
    <cellStyle name="Normal 17 4 4 2 3 3" xfId="29040"/>
    <cellStyle name="Normal 17 4 4 2 4" xfId="29041"/>
    <cellStyle name="Normal 17 4 4 2 5" xfId="29042"/>
    <cellStyle name="Normal 17 4 4 3" xfId="29043"/>
    <cellStyle name="Normal 17 4 4 3 2" xfId="29044"/>
    <cellStyle name="Normal 17 4 4 3 3" xfId="29045"/>
    <cellStyle name="Normal 17 4 4 4" xfId="29046"/>
    <cellStyle name="Normal 17 4 4 4 2" xfId="29047"/>
    <cellStyle name="Normal 17 4 4 4 3" xfId="29048"/>
    <cellStyle name="Normal 17 4 4 5" xfId="29049"/>
    <cellStyle name="Normal 17 4 4 6" xfId="29050"/>
    <cellStyle name="Normal 17 4 5" xfId="29051"/>
    <cellStyle name="Normal 17 4 5 2" xfId="29052"/>
    <cellStyle name="Normal 17 4 5 2 2" xfId="29053"/>
    <cellStyle name="Normal 17 4 5 2 2 2" xfId="29054"/>
    <cellStyle name="Normal 17 4 5 2 2 3" xfId="29055"/>
    <cellStyle name="Normal 17 4 5 2 3" xfId="29056"/>
    <cellStyle name="Normal 17 4 5 2 3 2" xfId="29057"/>
    <cellStyle name="Normal 17 4 5 2 3 3" xfId="29058"/>
    <cellStyle name="Normal 17 4 5 2 4" xfId="29059"/>
    <cellStyle name="Normal 17 4 5 2 5" xfId="29060"/>
    <cellStyle name="Normal 17 4 5 3" xfId="29061"/>
    <cellStyle name="Normal 17 4 5 3 2" xfId="29062"/>
    <cellStyle name="Normal 17 4 5 3 3" xfId="29063"/>
    <cellStyle name="Normal 17 4 5 4" xfId="29064"/>
    <cellStyle name="Normal 17 4 5 4 2" xfId="29065"/>
    <cellStyle name="Normal 17 4 5 4 3" xfId="29066"/>
    <cellStyle name="Normal 17 4 5 5" xfId="29067"/>
    <cellStyle name="Normal 17 4 5 6" xfId="29068"/>
    <cellStyle name="Normal 17 4 6" xfId="29069"/>
    <cellStyle name="Normal 17 4 6 2" xfId="29070"/>
    <cellStyle name="Normal 17 4 6 2 2" xfId="29071"/>
    <cellStyle name="Normal 17 4 6 2 3" xfId="29072"/>
    <cellStyle name="Normal 17 4 6 3" xfId="29073"/>
    <cellStyle name="Normal 17 4 6 3 2" xfId="29074"/>
    <cellStyle name="Normal 17 4 6 3 3" xfId="29075"/>
    <cellStyle name="Normal 17 4 6 4" xfId="29076"/>
    <cellStyle name="Normal 17 4 6 5" xfId="29077"/>
    <cellStyle name="Normal 17 4 7" xfId="29078"/>
    <cellStyle name="Normal 17 4 7 2" xfId="29079"/>
    <cellStyle name="Normal 17 4 7 3" xfId="29080"/>
    <cellStyle name="Normal 17 4 8" xfId="29081"/>
    <cellStyle name="Normal 17 4 8 2" xfId="29082"/>
    <cellStyle name="Normal 17 4 8 3" xfId="29083"/>
    <cellStyle name="Normal 17 4 9" xfId="29084"/>
    <cellStyle name="Normal 17 5" xfId="29085"/>
    <cellStyle name="Normal 17 5 10" xfId="29086"/>
    <cellStyle name="Normal 17 5 2" xfId="29087"/>
    <cellStyle name="Normal 17 5 2 2" xfId="29088"/>
    <cellStyle name="Normal 17 5 2 2 2" xfId="29089"/>
    <cellStyle name="Normal 17 5 2 2 2 2" xfId="29090"/>
    <cellStyle name="Normal 17 5 2 2 2 2 2" xfId="29091"/>
    <cellStyle name="Normal 17 5 2 2 2 2 2 2" xfId="29092"/>
    <cellStyle name="Normal 17 5 2 2 2 2 2 3" xfId="29093"/>
    <cellStyle name="Normal 17 5 2 2 2 2 3" xfId="29094"/>
    <cellStyle name="Normal 17 5 2 2 2 2 3 2" xfId="29095"/>
    <cellStyle name="Normal 17 5 2 2 2 2 3 3" xfId="29096"/>
    <cellStyle name="Normal 17 5 2 2 2 2 4" xfId="29097"/>
    <cellStyle name="Normal 17 5 2 2 2 2 5" xfId="29098"/>
    <cellStyle name="Normal 17 5 2 2 2 3" xfId="29099"/>
    <cellStyle name="Normal 17 5 2 2 2 3 2" xfId="29100"/>
    <cellStyle name="Normal 17 5 2 2 2 3 3" xfId="29101"/>
    <cellStyle name="Normal 17 5 2 2 2 4" xfId="29102"/>
    <cellStyle name="Normal 17 5 2 2 2 4 2" xfId="29103"/>
    <cellStyle name="Normal 17 5 2 2 2 4 3" xfId="29104"/>
    <cellStyle name="Normal 17 5 2 2 2 5" xfId="29105"/>
    <cellStyle name="Normal 17 5 2 2 2 6" xfId="29106"/>
    <cellStyle name="Normal 17 5 2 2 3" xfId="29107"/>
    <cellStyle name="Normal 17 5 2 2 3 2" xfId="29108"/>
    <cellStyle name="Normal 17 5 2 2 3 2 2" xfId="29109"/>
    <cellStyle name="Normal 17 5 2 2 3 2 2 2" xfId="29110"/>
    <cellStyle name="Normal 17 5 2 2 3 2 2 3" xfId="29111"/>
    <cellStyle name="Normal 17 5 2 2 3 2 3" xfId="29112"/>
    <cellStyle name="Normal 17 5 2 2 3 2 3 2" xfId="29113"/>
    <cellStyle name="Normal 17 5 2 2 3 2 3 3" xfId="29114"/>
    <cellStyle name="Normal 17 5 2 2 3 2 4" xfId="29115"/>
    <cellStyle name="Normal 17 5 2 2 3 2 5" xfId="29116"/>
    <cellStyle name="Normal 17 5 2 2 3 3" xfId="29117"/>
    <cellStyle name="Normal 17 5 2 2 3 3 2" xfId="29118"/>
    <cellStyle name="Normal 17 5 2 2 3 3 3" xfId="29119"/>
    <cellStyle name="Normal 17 5 2 2 3 4" xfId="29120"/>
    <cellStyle name="Normal 17 5 2 2 3 4 2" xfId="29121"/>
    <cellStyle name="Normal 17 5 2 2 3 4 3" xfId="29122"/>
    <cellStyle name="Normal 17 5 2 2 3 5" xfId="29123"/>
    <cellStyle name="Normal 17 5 2 2 3 6" xfId="29124"/>
    <cellStyle name="Normal 17 5 2 2 4" xfId="29125"/>
    <cellStyle name="Normal 17 5 2 2 4 2" xfId="29126"/>
    <cellStyle name="Normal 17 5 2 2 4 2 2" xfId="29127"/>
    <cellStyle name="Normal 17 5 2 2 4 2 3" xfId="29128"/>
    <cellStyle name="Normal 17 5 2 2 4 3" xfId="29129"/>
    <cellStyle name="Normal 17 5 2 2 4 3 2" xfId="29130"/>
    <cellStyle name="Normal 17 5 2 2 4 3 3" xfId="29131"/>
    <cellStyle name="Normal 17 5 2 2 4 4" xfId="29132"/>
    <cellStyle name="Normal 17 5 2 2 4 5" xfId="29133"/>
    <cellStyle name="Normal 17 5 2 2 5" xfId="29134"/>
    <cellStyle name="Normal 17 5 2 2 5 2" xfId="29135"/>
    <cellStyle name="Normal 17 5 2 2 5 3" xfId="29136"/>
    <cellStyle name="Normal 17 5 2 2 6" xfId="29137"/>
    <cellStyle name="Normal 17 5 2 2 6 2" xfId="29138"/>
    <cellStyle name="Normal 17 5 2 2 6 3" xfId="29139"/>
    <cellStyle name="Normal 17 5 2 2 7" xfId="29140"/>
    <cellStyle name="Normal 17 5 2 2 8" xfId="29141"/>
    <cellStyle name="Normal 17 5 2 3" xfId="29142"/>
    <cellStyle name="Normal 17 5 2 3 2" xfId="29143"/>
    <cellStyle name="Normal 17 5 2 3 2 2" xfId="29144"/>
    <cellStyle name="Normal 17 5 2 3 2 2 2" xfId="29145"/>
    <cellStyle name="Normal 17 5 2 3 2 2 3" xfId="29146"/>
    <cellStyle name="Normal 17 5 2 3 2 3" xfId="29147"/>
    <cellStyle name="Normal 17 5 2 3 2 3 2" xfId="29148"/>
    <cellStyle name="Normal 17 5 2 3 2 3 3" xfId="29149"/>
    <cellStyle name="Normal 17 5 2 3 2 4" xfId="29150"/>
    <cellStyle name="Normal 17 5 2 3 2 5" xfId="29151"/>
    <cellStyle name="Normal 17 5 2 3 3" xfId="29152"/>
    <cellStyle name="Normal 17 5 2 3 3 2" xfId="29153"/>
    <cellStyle name="Normal 17 5 2 3 3 3" xfId="29154"/>
    <cellStyle name="Normal 17 5 2 3 4" xfId="29155"/>
    <cellStyle name="Normal 17 5 2 3 4 2" xfId="29156"/>
    <cellStyle name="Normal 17 5 2 3 4 3" xfId="29157"/>
    <cellStyle name="Normal 17 5 2 3 5" xfId="29158"/>
    <cellStyle name="Normal 17 5 2 3 6" xfId="29159"/>
    <cellStyle name="Normal 17 5 2 4" xfId="29160"/>
    <cellStyle name="Normal 17 5 2 4 2" xfId="29161"/>
    <cellStyle name="Normal 17 5 2 4 2 2" xfId="29162"/>
    <cellStyle name="Normal 17 5 2 4 2 2 2" xfId="29163"/>
    <cellStyle name="Normal 17 5 2 4 2 2 3" xfId="29164"/>
    <cellStyle name="Normal 17 5 2 4 2 3" xfId="29165"/>
    <cellStyle name="Normal 17 5 2 4 2 3 2" xfId="29166"/>
    <cellStyle name="Normal 17 5 2 4 2 3 3" xfId="29167"/>
    <cellStyle name="Normal 17 5 2 4 2 4" xfId="29168"/>
    <cellStyle name="Normal 17 5 2 4 2 5" xfId="29169"/>
    <cellStyle name="Normal 17 5 2 4 3" xfId="29170"/>
    <cellStyle name="Normal 17 5 2 4 3 2" xfId="29171"/>
    <cellStyle name="Normal 17 5 2 4 3 3" xfId="29172"/>
    <cellStyle name="Normal 17 5 2 4 4" xfId="29173"/>
    <cellStyle name="Normal 17 5 2 4 4 2" xfId="29174"/>
    <cellStyle name="Normal 17 5 2 4 4 3" xfId="29175"/>
    <cellStyle name="Normal 17 5 2 4 5" xfId="29176"/>
    <cellStyle name="Normal 17 5 2 4 6" xfId="29177"/>
    <cellStyle name="Normal 17 5 2 5" xfId="29178"/>
    <cellStyle name="Normal 17 5 2 5 2" xfId="29179"/>
    <cellStyle name="Normal 17 5 2 5 2 2" xfId="29180"/>
    <cellStyle name="Normal 17 5 2 5 2 3" xfId="29181"/>
    <cellStyle name="Normal 17 5 2 5 3" xfId="29182"/>
    <cellStyle name="Normal 17 5 2 5 3 2" xfId="29183"/>
    <cellStyle name="Normal 17 5 2 5 3 3" xfId="29184"/>
    <cellStyle name="Normal 17 5 2 5 4" xfId="29185"/>
    <cellStyle name="Normal 17 5 2 5 5" xfId="29186"/>
    <cellStyle name="Normal 17 5 2 6" xfId="29187"/>
    <cellStyle name="Normal 17 5 2 6 2" xfId="29188"/>
    <cellStyle name="Normal 17 5 2 6 3" xfId="29189"/>
    <cellStyle name="Normal 17 5 2 7" xfId="29190"/>
    <cellStyle name="Normal 17 5 2 7 2" xfId="29191"/>
    <cellStyle name="Normal 17 5 2 7 3" xfId="29192"/>
    <cellStyle name="Normal 17 5 2 8" xfId="29193"/>
    <cellStyle name="Normal 17 5 2 9" xfId="29194"/>
    <cellStyle name="Normal 17 5 3" xfId="29195"/>
    <cellStyle name="Normal 17 5 3 2" xfId="29196"/>
    <cellStyle name="Normal 17 5 3 2 2" xfId="29197"/>
    <cellStyle name="Normal 17 5 3 2 2 2" xfId="29198"/>
    <cellStyle name="Normal 17 5 3 2 2 2 2" xfId="29199"/>
    <cellStyle name="Normal 17 5 3 2 2 2 3" xfId="29200"/>
    <cellStyle name="Normal 17 5 3 2 2 3" xfId="29201"/>
    <cellStyle name="Normal 17 5 3 2 2 3 2" xfId="29202"/>
    <cellStyle name="Normal 17 5 3 2 2 3 3" xfId="29203"/>
    <cellStyle name="Normal 17 5 3 2 2 4" xfId="29204"/>
    <cellStyle name="Normal 17 5 3 2 2 5" xfId="29205"/>
    <cellStyle name="Normal 17 5 3 2 3" xfId="29206"/>
    <cellStyle name="Normal 17 5 3 2 3 2" xfId="29207"/>
    <cellStyle name="Normal 17 5 3 2 3 3" xfId="29208"/>
    <cellStyle name="Normal 17 5 3 2 4" xfId="29209"/>
    <cellStyle name="Normal 17 5 3 2 4 2" xfId="29210"/>
    <cellStyle name="Normal 17 5 3 2 4 3" xfId="29211"/>
    <cellStyle name="Normal 17 5 3 2 5" xfId="29212"/>
    <cellStyle name="Normal 17 5 3 2 6" xfId="29213"/>
    <cellStyle name="Normal 17 5 3 3" xfId="29214"/>
    <cellStyle name="Normal 17 5 3 3 2" xfId="29215"/>
    <cellStyle name="Normal 17 5 3 3 2 2" xfId="29216"/>
    <cellStyle name="Normal 17 5 3 3 2 2 2" xfId="29217"/>
    <cellStyle name="Normal 17 5 3 3 2 2 3" xfId="29218"/>
    <cellStyle name="Normal 17 5 3 3 2 3" xfId="29219"/>
    <cellStyle name="Normal 17 5 3 3 2 3 2" xfId="29220"/>
    <cellStyle name="Normal 17 5 3 3 2 3 3" xfId="29221"/>
    <cellStyle name="Normal 17 5 3 3 2 4" xfId="29222"/>
    <cellStyle name="Normal 17 5 3 3 2 5" xfId="29223"/>
    <cellStyle name="Normal 17 5 3 3 3" xfId="29224"/>
    <cellStyle name="Normal 17 5 3 3 3 2" xfId="29225"/>
    <cellStyle name="Normal 17 5 3 3 3 3" xfId="29226"/>
    <cellStyle name="Normal 17 5 3 3 4" xfId="29227"/>
    <cellStyle name="Normal 17 5 3 3 4 2" xfId="29228"/>
    <cellStyle name="Normal 17 5 3 3 4 3" xfId="29229"/>
    <cellStyle name="Normal 17 5 3 3 5" xfId="29230"/>
    <cellStyle name="Normal 17 5 3 3 6" xfId="29231"/>
    <cellStyle name="Normal 17 5 3 4" xfId="29232"/>
    <cellStyle name="Normal 17 5 3 4 2" xfId="29233"/>
    <cellStyle name="Normal 17 5 3 4 2 2" xfId="29234"/>
    <cellStyle name="Normal 17 5 3 4 2 3" xfId="29235"/>
    <cellStyle name="Normal 17 5 3 4 3" xfId="29236"/>
    <cellStyle name="Normal 17 5 3 4 3 2" xfId="29237"/>
    <cellStyle name="Normal 17 5 3 4 3 3" xfId="29238"/>
    <cellStyle name="Normal 17 5 3 4 4" xfId="29239"/>
    <cellStyle name="Normal 17 5 3 4 5" xfId="29240"/>
    <cellStyle name="Normal 17 5 3 5" xfId="29241"/>
    <cellStyle name="Normal 17 5 3 5 2" xfId="29242"/>
    <cellStyle name="Normal 17 5 3 5 3" xfId="29243"/>
    <cellStyle name="Normal 17 5 3 6" xfId="29244"/>
    <cellStyle name="Normal 17 5 3 6 2" xfId="29245"/>
    <cellStyle name="Normal 17 5 3 6 3" xfId="29246"/>
    <cellStyle name="Normal 17 5 3 7" xfId="29247"/>
    <cellStyle name="Normal 17 5 3 8" xfId="29248"/>
    <cellStyle name="Normal 17 5 4" xfId="29249"/>
    <cellStyle name="Normal 17 5 4 2" xfId="29250"/>
    <cellStyle name="Normal 17 5 4 2 2" xfId="29251"/>
    <cellStyle name="Normal 17 5 4 2 2 2" xfId="29252"/>
    <cellStyle name="Normal 17 5 4 2 2 3" xfId="29253"/>
    <cellStyle name="Normal 17 5 4 2 3" xfId="29254"/>
    <cellStyle name="Normal 17 5 4 2 3 2" xfId="29255"/>
    <cellStyle name="Normal 17 5 4 2 3 3" xfId="29256"/>
    <cellStyle name="Normal 17 5 4 2 4" xfId="29257"/>
    <cellStyle name="Normal 17 5 4 2 5" xfId="29258"/>
    <cellStyle name="Normal 17 5 4 3" xfId="29259"/>
    <cellStyle name="Normal 17 5 4 3 2" xfId="29260"/>
    <cellStyle name="Normal 17 5 4 3 3" xfId="29261"/>
    <cellStyle name="Normal 17 5 4 4" xfId="29262"/>
    <cellStyle name="Normal 17 5 4 4 2" xfId="29263"/>
    <cellStyle name="Normal 17 5 4 4 3" xfId="29264"/>
    <cellStyle name="Normal 17 5 4 5" xfId="29265"/>
    <cellStyle name="Normal 17 5 4 6" xfId="29266"/>
    <cellStyle name="Normal 17 5 5" xfId="29267"/>
    <cellStyle name="Normal 17 5 5 2" xfId="29268"/>
    <cellStyle name="Normal 17 5 5 2 2" xfId="29269"/>
    <cellStyle name="Normal 17 5 5 2 2 2" xfId="29270"/>
    <cellStyle name="Normal 17 5 5 2 2 3" xfId="29271"/>
    <cellStyle name="Normal 17 5 5 2 3" xfId="29272"/>
    <cellStyle name="Normal 17 5 5 2 3 2" xfId="29273"/>
    <cellStyle name="Normal 17 5 5 2 3 3" xfId="29274"/>
    <cellStyle name="Normal 17 5 5 2 4" xfId="29275"/>
    <cellStyle name="Normal 17 5 5 2 5" xfId="29276"/>
    <cellStyle name="Normal 17 5 5 3" xfId="29277"/>
    <cellStyle name="Normal 17 5 5 3 2" xfId="29278"/>
    <cellStyle name="Normal 17 5 5 3 3" xfId="29279"/>
    <cellStyle name="Normal 17 5 5 4" xfId="29280"/>
    <cellStyle name="Normal 17 5 5 4 2" xfId="29281"/>
    <cellStyle name="Normal 17 5 5 4 3" xfId="29282"/>
    <cellStyle name="Normal 17 5 5 5" xfId="29283"/>
    <cellStyle name="Normal 17 5 5 6" xfId="29284"/>
    <cellStyle name="Normal 17 5 6" xfId="29285"/>
    <cellStyle name="Normal 17 5 6 2" xfId="29286"/>
    <cellStyle name="Normal 17 5 6 2 2" xfId="29287"/>
    <cellStyle name="Normal 17 5 6 2 3" xfId="29288"/>
    <cellStyle name="Normal 17 5 6 3" xfId="29289"/>
    <cellStyle name="Normal 17 5 6 3 2" xfId="29290"/>
    <cellStyle name="Normal 17 5 6 3 3" xfId="29291"/>
    <cellStyle name="Normal 17 5 6 4" xfId="29292"/>
    <cellStyle name="Normal 17 5 6 5" xfId="29293"/>
    <cellStyle name="Normal 17 5 7" xfId="29294"/>
    <cellStyle name="Normal 17 5 7 2" xfId="29295"/>
    <cellStyle name="Normal 17 5 7 3" xfId="29296"/>
    <cellStyle name="Normal 17 5 8" xfId="29297"/>
    <cellStyle name="Normal 17 5 8 2" xfId="29298"/>
    <cellStyle name="Normal 17 5 8 3" xfId="29299"/>
    <cellStyle name="Normal 17 5 9" xfId="29300"/>
    <cellStyle name="Normal 17 6" xfId="29301"/>
    <cellStyle name="Normal 17 6 2" xfId="29302"/>
    <cellStyle name="Normal 17 6 2 2" xfId="29303"/>
    <cellStyle name="Normal 17 6 2 2 2" xfId="29304"/>
    <cellStyle name="Normal 17 6 2 2 2 2" xfId="29305"/>
    <cellStyle name="Normal 17 6 2 2 2 2 2" xfId="29306"/>
    <cellStyle name="Normal 17 6 2 2 2 2 3" xfId="29307"/>
    <cellStyle name="Normal 17 6 2 2 2 3" xfId="29308"/>
    <cellStyle name="Normal 17 6 2 2 2 3 2" xfId="29309"/>
    <cellStyle name="Normal 17 6 2 2 2 3 3" xfId="29310"/>
    <cellStyle name="Normal 17 6 2 2 2 4" xfId="29311"/>
    <cellStyle name="Normal 17 6 2 2 2 5" xfId="29312"/>
    <cellStyle name="Normal 17 6 2 2 3" xfId="29313"/>
    <cellStyle name="Normal 17 6 2 2 3 2" xfId="29314"/>
    <cellStyle name="Normal 17 6 2 2 3 3" xfId="29315"/>
    <cellStyle name="Normal 17 6 2 2 4" xfId="29316"/>
    <cellStyle name="Normal 17 6 2 2 4 2" xfId="29317"/>
    <cellStyle name="Normal 17 6 2 2 4 3" xfId="29318"/>
    <cellStyle name="Normal 17 6 2 2 5" xfId="29319"/>
    <cellStyle name="Normal 17 6 2 2 6" xfId="29320"/>
    <cellStyle name="Normal 17 6 2 3" xfId="29321"/>
    <cellStyle name="Normal 17 6 2 3 2" xfId="29322"/>
    <cellStyle name="Normal 17 6 2 3 2 2" xfId="29323"/>
    <cellStyle name="Normal 17 6 2 3 2 2 2" xfId="29324"/>
    <cellStyle name="Normal 17 6 2 3 2 2 3" xfId="29325"/>
    <cellStyle name="Normal 17 6 2 3 2 3" xfId="29326"/>
    <cellStyle name="Normal 17 6 2 3 2 3 2" xfId="29327"/>
    <cellStyle name="Normal 17 6 2 3 2 3 3" xfId="29328"/>
    <cellStyle name="Normal 17 6 2 3 2 4" xfId="29329"/>
    <cellStyle name="Normal 17 6 2 3 2 5" xfId="29330"/>
    <cellStyle name="Normal 17 6 2 3 3" xfId="29331"/>
    <cellStyle name="Normal 17 6 2 3 3 2" xfId="29332"/>
    <cellStyle name="Normal 17 6 2 3 3 3" xfId="29333"/>
    <cellStyle name="Normal 17 6 2 3 4" xfId="29334"/>
    <cellStyle name="Normal 17 6 2 3 4 2" xfId="29335"/>
    <cellStyle name="Normal 17 6 2 3 4 3" xfId="29336"/>
    <cellStyle name="Normal 17 6 2 3 5" xfId="29337"/>
    <cellStyle name="Normal 17 6 2 3 6" xfId="29338"/>
    <cellStyle name="Normal 17 6 2 4" xfId="29339"/>
    <cellStyle name="Normal 17 6 2 4 2" xfId="29340"/>
    <cellStyle name="Normal 17 6 2 4 2 2" xfId="29341"/>
    <cellStyle name="Normal 17 6 2 4 2 3" xfId="29342"/>
    <cellStyle name="Normal 17 6 2 4 3" xfId="29343"/>
    <cellStyle name="Normal 17 6 2 4 3 2" xfId="29344"/>
    <cellStyle name="Normal 17 6 2 4 3 3" xfId="29345"/>
    <cellStyle name="Normal 17 6 2 4 4" xfId="29346"/>
    <cellStyle name="Normal 17 6 2 4 5" xfId="29347"/>
    <cellStyle name="Normal 17 6 2 5" xfId="29348"/>
    <cellStyle name="Normal 17 6 2 5 2" xfId="29349"/>
    <cellStyle name="Normal 17 6 2 5 3" xfId="29350"/>
    <cellStyle name="Normal 17 6 2 6" xfId="29351"/>
    <cellStyle name="Normal 17 6 2 6 2" xfId="29352"/>
    <cellStyle name="Normal 17 6 2 6 3" xfId="29353"/>
    <cellStyle name="Normal 17 6 2 7" xfId="29354"/>
    <cellStyle name="Normal 17 6 2 8" xfId="29355"/>
    <cellStyle name="Normal 17 6 3" xfId="29356"/>
    <cellStyle name="Normal 17 6 3 2" xfId="29357"/>
    <cellStyle name="Normal 17 6 3 2 2" xfId="29358"/>
    <cellStyle name="Normal 17 6 3 2 2 2" xfId="29359"/>
    <cellStyle name="Normal 17 6 3 2 2 3" xfId="29360"/>
    <cellStyle name="Normal 17 6 3 2 3" xfId="29361"/>
    <cellStyle name="Normal 17 6 3 2 3 2" xfId="29362"/>
    <cellStyle name="Normal 17 6 3 2 3 3" xfId="29363"/>
    <cellStyle name="Normal 17 6 3 2 4" xfId="29364"/>
    <cellStyle name="Normal 17 6 3 2 5" xfId="29365"/>
    <cellStyle name="Normal 17 6 3 3" xfId="29366"/>
    <cellStyle name="Normal 17 6 3 3 2" xfId="29367"/>
    <cellStyle name="Normal 17 6 3 3 3" xfId="29368"/>
    <cellStyle name="Normal 17 6 3 4" xfId="29369"/>
    <cellStyle name="Normal 17 6 3 4 2" xfId="29370"/>
    <cellStyle name="Normal 17 6 3 4 3" xfId="29371"/>
    <cellStyle name="Normal 17 6 3 5" xfId="29372"/>
    <cellStyle name="Normal 17 6 3 6" xfId="29373"/>
    <cellStyle name="Normal 17 6 4" xfId="29374"/>
    <cellStyle name="Normal 17 6 4 2" xfId="29375"/>
    <cellStyle name="Normal 17 6 4 2 2" xfId="29376"/>
    <cellStyle name="Normal 17 6 4 2 2 2" xfId="29377"/>
    <cellStyle name="Normal 17 6 4 2 2 3" xfId="29378"/>
    <cellStyle name="Normal 17 6 4 2 3" xfId="29379"/>
    <cellStyle name="Normal 17 6 4 2 3 2" xfId="29380"/>
    <cellStyle name="Normal 17 6 4 2 3 3" xfId="29381"/>
    <cellStyle name="Normal 17 6 4 2 4" xfId="29382"/>
    <cellStyle name="Normal 17 6 4 2 5" xfId="29383"/>
    <cellStyle name="Normal 17 6 4 3" xfId="29384"/>
    <cellStyle name="Normal 17 6 4 3 2" xfId="29385"/>
    <cellStyle name="Normal 17 6 4 3 3" xfId="29386"/>
    <cellStyle name="Normal 17 6 4 4" xfId="29387"/>
    <cellStyle name="Normal 17 6 4 4 2" xfId="29388"/>
    <cellStyle name="Normal 17 6 4 4 3" xfId="29389"/>
    <cellStyle name="Normal 17 6 4 5" xfId="29390"/>
    <cellStyle name="Normal 17 6 4 6" xfId="29391"/>
    <cellStyle name="Normal 17 6 5" xfId="29392"/>
    <cellStyle name="Normal 17 6 5 2" xfId="29393"/>
    <cellStyle name="Normal 17 6 5 2 2" xfId="29394"/>
    <cellStyle name="Normal 17 6 5 2 3" xfId="29395"/>
    <cellStyle name="Normal 17 6 5 3" xfId="29396"/>
    <cellStyle name="Normal 17 6 5 3 2" xfId="29397"/>
    <cellStyle name="Normal 17 6 5 3 3" xfId="29398"/>
    <cellStyle name="Normal 17 6 5 4" xfId="29399"/>
    <cellStyle name="Normal 17 6 5 5" xfId="29400"/>
    <cellStyle name="Normal 17 6 6" xfId="29401"/>
    <cellStyle name="Normal 17 6 6 2" xfId="29402"/>
    <cellStyle name="Normal 17 6 6 3" xfId="29403"/>
    <cellStyle name="Normal 17 6 7" xfId="29404"/>
    <cellStyle name="Normal 17 6 7 2" xfId="29405"/>
    <cellStyle name="Normal 17 6 7 3" xfId="29406"/>
    <cellStyle name="Normal 17 6 8" xfId="29407"/>
    <cellStyle name="Normal 17 6 9" xfId="29408"/>
    <cellStyle name="Normal 17 7" xfId="29409"/>
    <cellStyle name="Normal 17 7 2" xfId="29410"/>
    <cellStyle name="Normal 17 7 2 2" xfId="29411"/>
    <cellStyle name="Normal 17 7 2 2 2" xfId="29412"/>
    <cellStyle name="Normal 17 7 2 2 2 2" xfId="29413"/>
    <cellStyle name="Normal 17 7 2 2 2 3" xfId="29414"/>
    <cellStyle name="Normal 17 7 2 2 3" xfId="29415"/>
    <cellStyle name="Normal 17 7 2 2 3 2" xfId="29416"/>
    <cellStyle name="Normal 17 7 2 2 3 3" xfId="29417"/>
    <cellStyle name="Normal 17 7 2 2 4" xfId="29418"/>
    <cellStyle name="Normal 17 7 2 2 5" xfId="29419"/>
    <cellStyle name="Normal 17 7 2 3" xfId="29420"/>
    <cellStyle name="Normal 17 7 2 3 2" xfId="29421"/>
    <cellStyle name="Normal 17 7 2 3 3" xfId="29422"/>
    <cellStyle name="Normal 17 7 2 4" xfId="29423"/>
    <cellStyle name="Normal 17 7 2 4 2" xfId="29424"/>
    <cellStyle name="Normal 17 7 2 4 3" xfId="29425"/>
    <cellStyle name="Normal 17 7 2 5" xfId="29426"/>
    <cellStyle name="Normal 17 7 2 6" xfId="29427"/>
    <cellStyle name="Normal 17 7 3" xfId="29428"/>
    <cellStyle name="Normal 17 7 3 2" xfId="29429"/>
    <cellStyle name="Normal 17 7 3 2 2" xfId="29430"/>
    <cellStyle name="Normal 17 7 3 2 2 2" xfId="29431"/>
    <cellStyle name="Normal 17 7 3 2 2 3" xfId="29432"/>
    <cellStyle name="Normal 17 7 3 2 3" xfId="29433"/>
    <cellStyle name="Normal 17 7 3 2 3 2" xfId="29434"/>
    <cellStyle name="Normal 17 7 3 2 3 3" xfId="29435"/>
    <cellStyle name="Normal 17 7 3 2 4" xfId="29436"/>
    <cellStyle name="Normal 17 7 3 2 5" xfId="29437"/>
    <cellStyle name="Normal 17 7 3 3" xfId="29438"/>
    <cellStyle name="Normal 17 7 3 3 2" xfId="29439"/>
    <cellStyle name="Normal 17 7 3 3 3" xfId="29440"/>
    <cellStyle name="Normal 17 7 3 4" xfId="29441"/>
    <cellStyle name="Normal 17 7 3 4 2" xfId="29442"/>
    <cellStyle name="Normal 17 7 3 4 3" xfId="29443"/>
    <cellStyle name="Normal 17 7 3 5" xfId="29444"/>
    <cellStyle name="Normal 17 7 3 6" xfId="29445"/>
    <cellStyle name="Normal 17 7 4" xfId="29446"/>
    <cellStyle name="Normal 17 7 4 2" xfId="29447"/>
    <cellStyle name="Normal 17 7 4 2 2" xfId="29448"/>
    <cellStyle name="Normal 17 7 4 2 3" xfId="29449"/>
    <cellStyle name="Normal 17 7 4 3" xfId="29450"/>
    <cellStyle name="Normal 17 7 4 3 2" xfId="29451"/>
    <cellStyle name="Normal 17 7 4 3 3" xfId="29452"/>
    <cellStyle name="Normal 17 7 4 4" xfId="29453"/>
    <cellStyle name="Normal 17 7 4 5" xfId="29454"/>
    <cellStyle name="Normal 17 7 5" xfId="29455"/>
    <cellStyle name="Normal 17 7 5 2" xfId="29456"/>
    <cellStyle name="Normal 17 7 5 3" xfId="29457"/>
    <cellStyle name="Normal 17 7 6" xfId="29458"/>
    <cellStyle name="Normal 17 7 6 2" xfId="29459"/>
    <cellStyle name="Normal 17 7 6 3" xfId="29460"/>
    <cellStyle name="Normal 17 7 7" xfId="29461"/>
    <cellStyle name="Normal 17 7 8" xfId="29462"/>
    <cellStyle name="Normal 17 8" xfId="29463"/>
    <cellStyle name="Normal 17 8 2" xfId="29464"/>
    <cellStyle name="Normal 17 8 2 2" xfId="29465"/>
    <cellStyle name="Normal 17 8 2 2 2" xfId="29466"/>
    <cellStyle name="Normal 17 8 2 2 3" xfId="29467"/>
    <cellStyle name="Normal 17 8 2 3" xfId="29468"/>
    <cellStyle name="Normal 17 8 2 3 2" xfId="29469"/>
    <cellStyle name="Normal 17 8 2 3 3" xfId="29470"/>
    <cellStyle name="Normal 17 8 2 4" xfId="29471"/>
    <cellStyle name="Normal 17 8 2 5" xfId="29472"/>
    <cellStyle name="Normal 17 8 3" xfId="29473"/>
    <cellStyle name="Normal 17 8 3 2" xfId="29474"/>
    <cellStyle name="Normal 17 8 3 3" xfId="29475"/>
    <cellStyle name="Normal 17 8 4" xfId="29476"/>
    <cellStyle name="Normal 17 8 4 2" xfId="29477"/>
    <cellStyle name="Normal 17 8 4 3" xfId="29478"/>
    <cellStyle name="Normal 17 8 5" xfId="29479"/>
    <cellStyle name="Normal 17 8 6" xfId="29480"/>
    <cellStyle name="Normal 17 9" xfId="29481"/>
    <cellStyle name="Normal 17 9 2" xfId="29482"/>
    <cellStyle name="Normal 17 9 2 2" xfId="29483"/>
    <cellStyle name="Normal 17 9 2 2 2" xfId="29484"/>
    <cellStyle name="Normal 17 9 2 2 3" xfId="29485"/>
    <cellStyle name="Normal 17 9 2 3" xfId="29486"/>
    <cellStyle name="Normal 17 9 2 3 2" xfId="29487"/>
    <cellStyle name="Normal 17 9 2 3 3" xfId="29488"/>
    <cellStyle name="Normal 17 9 2 4" xfId="29489"/>
    <cellStyle name="Normal 17 9 2 5" xfId="29490"/>
    <cellStyle name="Normal 17 9 3" xfId="29491"/>
    <cellStyle name="Normal 17 9 3 2" xfId="29492"/>
    <cellStyle name="Normal 17 9 3 3" xfId="29493"/>
    <cellStyle name="Normal 17 9 4" xfId="29494"/>
    <cellStyle name="Normal 17 9 4 2" xfId="29495"/>
    <cellStyle name="Normal 17 9 4 3" xfId="29496"/>
    <cellStyle name="Normal 17 9 5" xfId="29497"/>
    <cellStyle name="Normal 17 9 6" xfId="29498"/>
    <cellStyle name="Normal 18" xfId="29499"/>
    <cellStyle name="Normal 18 2" xfId="29500"/>
    <cellStyle name="Normal 18 3" xfId="29501"/>
    <cellStyle name="Normal 19" xfId="34"/>
    <cellStyle name="Normal 19 2" xfId="29502"/>
    <cellStyle name="Normal 2" xfId="8"/>
    <cellStyle name="Normal 2 2" xfId="13"/>
    <cellStyle name="Normal 2 2 2" xfId="35"/>
    <cellStyle name="Normal 2 2 2 2" xfId="29503"/>
    <cellStyle name="Normal 2 2 2 3" xfId="29504"/>
    <cellStyle name="Normal 2 3" xfId="29505"/>
    <cellStyle name="Normal 2 3 2" xfId="29506"/>
    <cellStyle name="Normal 2 3 3" xfId="29507"/>
    <cellStyle name="Normal 2 4" xfId="29508"/>
    <cellStyle name="Normal 2 4 2" xfId="29509"/>
    <cellStyle name="Normal 2 4 2 2" xfId="29510"/>
    <cellStyle name="Normal 2 4 3" xfId="29511"/>
    <cellStyle name="Normal 2 5" xfId="29512"/>
    <cellStyle name="Normal 2 5 2" xfId="29513"/>
    <cellStyle name="Normal 2 6" xfId="29514"/>
    <cellStyle name="Normal 2 7" xfId="29515"/>
    <cellStyle name="Normal 2 8" xfId="29516"/>
    <cellStyle name="Normal 2 9" xfId="29517"/>
    <cellStyle name="Normal 20" xfId="36"/>
    <cellStyle name="Normal 20 2" xfId="29518"/>
    <cellStyle name="Normal 21" xfId="37"/>
    <cellStyle name="Normal 21 2" xfId="29519"/>
    <cellStyle name="Normal 22" xfId="29520"/>
    <cellStyle name="Normal 23" xfId="38"/>
    <cellStyle name="Normal 23 2" xfId="29521"/>
    <cellStyle name="Normal 23 2 2" xfId="29522"/>
    <cellStyle name="Normal 23 3" xfId="29523"/>
    <cellStyle name="Normal 24" xfId="39"/>
    <cellStyle name="Normal 24 2" xfId="29524"/>
    <cellStyle name="Normal 24 2 2" xfId="29525"/>
    <cellStyle name="Normal 24 3" xfId="29526"/>
    <cellStyle name="Normal 25" xfId="40"/>
    <cellStyle name="Normal 25 2" xfId="29527"/>
    <cellStyle name="Normal 25 2 2" xfId="29528"/>
    <cellStyle name="Normal 25 3" xfId="29529"/>
    <cellStyle name="Normal 26" xfId="41"/>
    <cellStyle name="Normal 26 2" xfId="29530"/>
    <cellStyle name="Normal 26 2 2" xfId="29531"/>
    <cellStyle name="Normal 26 3" xfId="29532"/>
    <cellStyle name="Normal 27" xfId="42"/>
    <cellStyle name="Normal 27 2" xfId="29533"/>
    <cellStyle name="Normal 27 2 2" xfId="29534"/>
    <cellStyle name="Normal 27 3" xfId="29535"/>
    <cellStyle name="Normal 28" xfId="43"/>
    <cellStyle name="Normal 28 2" xfId="29536"/>
    <cellStyle name="Normal 28 2 2" xfId="29537"/>
    <cellStyle name="Normal 28 3" xfId="29538"/>
    <cellStyle name="Normal 29" xfId="44"/>
    <cellStyle name="Normal 29 2" xfId="29539"/>
    <cellStyle name="Normal 29 2 2" xfId="29540"/>
    <cellStyle name="Normal 29 3" xfId="29541"/>
    <cellStyle name="Normal 3" xfId="14"/>
    <cellStyle name="Normal 3 2" xfId="29542"/>
    <cellStyle name="Normal 3 2 2" xfId="29543"/>
    <cellStyle name="Normal 3 2 3" xfId="29544"/>
    <cellStyle name="Normal 3 2 4" xfId="29545"/>
    <cellStyle name="Normal 3 2 5" xfId="29546"/>
    <cellStyle name="Normal 30" xfId="45"/>
    <cellStyle name="Normal 30 2" xfId="29547"/>
    <cellStyle name="Normal 30 2 2" xfId="29548"/>
    <cellStyle name="Normal 30 3" xfId="29549"/>
    <cellStyle name="Normal 31" xfId="46"/>
    <cellStyle name="Normal 31 2" xfId="29550"/>
    <cellStyle name="Normal 31 2 2" xfId="29551"/>
    <cellStyle name="Normal 31 3" xfId="29552"/>
    <cellStyle name="Normal 32" xfId="29553"/>
    <cellStyle name="Normal 33" xfId="29554"/>
    <cellStyle name="Normal 34" xfId="29555"/>
    <cellStyle name="Normal 35" xfId="29556"/>
    <cellStyle name="Normal 4" xfId="15"/>
    <cellStyle name="Normal 4 10" xfId="29557"/>
    <cellStyle name="Normal 4 10 2" xfId="29558"/>
    <cellStyle name="Normal 4 10 2 2" xfId="29559"/>
    <cellStyle name="Normal 4 10 2 3" xfId="29560"/>
    <cellStyle name="Normal 4 10 3" xfId="29561"/>
    <cellStyle name="Normal 4 10 3 2" xfId="29562"/>
    <cellStyle name="Normal 4 10 3 3" xfId="29563"/>
    <cellStyle name="Normal 4 10 4" xfId="29564"/>
    <cellStyle name="Normal 4 10 5" xfId="29565"/>
    <cellStyle name="Normal 4 11" xfId="29566"/>
    <cellStyle name="Normal 4 12" xfId="29567"/>
    <cellStyle name="Normal 4 13" xfId="29568"/>
    <cellStyle name="Normal 4 14" xfId="29569"/>
    <cellStyle name="Normal 4 15" xfId="29570"/>
    <cellStyle name="Normal 4 2" xfId="55"/>
    <cellStyle name="Normal 4 2 10" xfId="29571"/>
    <cellStyle name="Normal 4 2 10 2" xfId="29572"/>
    <cellStyle name="Normal 4 2 10 2 2" xfId="29573"/>
    <cellStyle name="Normal 4 2 10 2 2 2" xfId="29574"/>
    <cellStyle name="Normal 4 2 10 2 2 3" xfId="29575"/>
    <cellStyle name="Normal 4 2 10 2 3" xfId="29576"/>
    <cellStyle name="Normal 4 2 10 2 3 2" xfId="29577"/>
    <cellStyle name="Normal 4 2 10 2 3 3" xfId="29578"/>
    <cellStyle name="Normal 4 2 10 2 4" xfId="29579"/>
    <cellStyle name="Normal 4 2 10 2 5" xfId="29580"/>
    <cellStyle name="Normal 4 2 10 3" xfId="29581"/>
    <cellStyle name="Normal 4 2 10 3 2" xfId="29582"/>
    <cellStyle name="Normal 4 2 10 3 3" xfId="29583"/>
    <cellStyle name="Normal 4 2 10 4" xfId="29584"/>
    <cellStyle name="Normal 4 2 10 4 2" xfId="29585"/>
    <cellStyle name="Normal 4 2 10 4 3" xfId="29586"/>
    <cellStyle name="Normal 4 2 10 5" xfId="29587"/>
    <cellStyle name="Normal 4 2 10 6" xfId="29588"/>
    <cellStyle name="Normal 4 2 11" xfId="29589"/>
    <cellStyle name="Normal 4 2 11 2" xfId="29590"/>
    <cellStyle name="Normal 4 2 11 2 2" xfId="29591"/>
    <cellStyle name="Normal 4 2 11 2 3" xfId="29592"/>
    <cellStyle name="Normal 4 2 11 3" xfId="29593"/>
    <cellStyle name="Normal 4 2 11 3 2" xfId="29594"/>
    <cellStyle name="Normal 4 2 11 3 3" xfId="29595"/>
    <cellStyle name="Normal 4 2 11 4" xfId="29596"/>
    <cellStyle name="Normal 4 2 11 5" xfId="29597"/>
    <cellStyle name="Normal 4 2 12" xfId="29598"/>
    <cellStyle name="Normal 4 2 12 2" xfId="29599"/>
    <cellStyle name="Normal 4 2 12 3" xfId="29600"/>
    <cellStyle name="Normal 4 2 13" xfId="29601"/>
    <cellStyle name="Normal 4 2 13 2" xfId="29602"/>
    <cellStyle name="Normal 4 2 13 3" xfId="29603"/>
    <cellStyle name="Normal 4 2 14" xfId="29604"/>
    <cellStyle name="Normal 4 2 15" xfId="29605"/>
    <cellStyle name="Normal 4 2 16" xfId="29606"/>
    <cellStyle name="Normal 4 2 17" xfId="29607"/>
    <cellStyle name="Normal 4 2 2" xfId="29608"/>
    <cellStyle name="Normal 4 2 2 10" xfId="29609"/>
    <cellStyle name="Normal 4 2 2 10 2" xfId="29610"/>
    <cellStyle name="Normal 4 2 2 10 3" xfId="29611"/>
    <cellStyle name="Normal 4 2 2 11" xfId="29612"/>
    <cellStyle name="Normal 4 2 2 11 2" xfId="29613"/>
    <cellStyle name="Normal 4 2 2 11 3" xfId="29614"/>
    <cellStyle name="Normal 4 2 2 12" xfId="29615"/>
    <cellStyle name="Normal 4 2 2 13" xfId="29616"/>
    <cellStyle name="Normal 4 2 2 14" xfId="29617"/>
    <cellStyle name="Normal 4 2 2 15" xfId="29618"/>
    <cellStyle name="Normal 4 2 2 2" xfId="29619"/>
    <cellStyle name="Normal 4 2 2 2 10" xfId="29620"/>
    <cellStyle name="Normal 4 2 2 2 10 2" xfId="29621"/>
    <cellStyle name="Normal 4 2 2 2 10 3" xfId="29622"/>
    <cellStyle name="Normal 4 2 2 2 11" xfId="29623"/>
    <cellStyle name="Normal 4 2 2 2 12" xfId="29624"/>
    <cellStyle name="Normal 4 2 2 2 2" xfId="29625"/>
    <cellStyle name="Normal 4 2 2 2 2 10" xfId="29626"/>
    <cellStyle name="Normal 4 2 2 2 2 2" xfId="29627"/>
    <cellStyle name="Normal 4 2 2 2 2 2 2" xfId="29628"/>
    <cellStyle name="Normal 4 2 2 2 2 2 2 2" xfId="29629"/>
    <cellStyle name="Normal 4 2 2 2 2 2 2 2 2" xfId="29630"/>
    <cellStyle name="Normal 4 2 2 2 2 2 2 2 2 2" xfId="29631"/>
    <cellStyle name="Normal 4 2 2 2 2 2 2 2 2 2 2" xfId="29632"/>
    <cellStyle name="Normal 4 2 2 2 2 2 2 2 2 2 3" xfId="29633"/>
    <cellStyle name="Normal 4 2 2 2 2 2 2 2 2 3" xfId="29634"/>
    <cellStyle name="Normal 4 2 2 2 2 2 2 2 2 3 2" xfId="29635"/>
    <cellStyle name="Normal 4 2 2 2 2 2 2 2 2 3 3" xfId="29636"/>
    <cellStyle name="Normal 4 2 2 2 2 2 2 2 2 4" xfId="29637"/>
    <cellStyle name="Normal 4 2 2 2 2 2 2 2 2 5" xfId="29638"/>
    <cellStyle name="Normal 4 2 2 2 2 2 2 2 3" xfId="29639"/>
    <cellStyle name="Normal 4 2 2 2 2 2 2 2 3 2" xfId="29640"/>
    <cellStyle name="Normal 4 2 2 2 2 2 2 2 3 3" xfId="29641"/>
    <cellStyle name="Normal 4 2 2 2 2 2 2 2 4" xfId="29642"/>
    <cellStyle name="Normal 4 2 2 2 2 2 2 2 4 2" xfId="29643"/>
    <cellStyle name="Normal 4 2 2 2 2 2 2 2 4 3" xfId="29644"/>
    <cellStyle name="Normal 4 2 2 2 2 2 2 2 5" xfId="29645"/>
    <cellStyle name="Normal 4 2 2 2 2 2 2 2 6" xfId="29646"/>
    <cellStyle name="Normal 4 2 2 2 2 2 2 3" xfId="29647"/>
    <cellStyle name="Normal 4 2 2 2 2 2 2 3 2" xfId="29648"/>
    <cellStyle name="Normal 4 2 2 2 2 2 2 3 2 2" xfId="29649"/>
    <cellStyle name="Normal 4 2 2 2 2 2 2 3 2 2 2" xfId="29650"/>
    <cellStyle name="Normal 4 2 2 2 2 2 2 3 2 2 3" xfId="29651"/>
    <cellStyle name="Normal 4 2 2 2 2 2 2 3 2 3" xfId="29652"/>
    <cellStyle name="Normal 4 2 2 2 2 2 2 3 2 3 2" xfId="29653"/>
    <cellStyle name="Normal 4 2 2 2 2 2 2 3 2 3 3" xfId="29654"/>
    <cellStyle name="Normal 4 2 2 2 2 2 2 3 2 4" xfId="29655"/>
    <cellStyle name="Normal 4 2 2 2 2 2 2 3 2 5" xfId="29656"/>
    <cellStyle name="Normal 4 2 2 2 2 2 2 3 3" xfId="29657"/>
    <cellStyle name="Normal 4 2 2 2 2 2 2 3 3 2" xfId="29658"/>
    <cellStyle name="Normal 4 2 2 2 2 2 2 3 3 3" xfId="29659"/>
    <cellStyle name="Normal 4 2 2 2 2 2 2 3 4" xfId="29660"/>
    <cellStyle name="Normal 4 2 2 2 2 2 2 3 4 2" xfId="29661"/>
    <cellStyle name="Normal 4 2 2 2 2 2 2 3 4 3" xfId="29662"/>
    <cellStyle name="Normal 4 2 2 2 2 2 2 3 5" xfId="29663"/>
    <cellStyle name="Normal 4 2 2 2 2 2 2 3 6" xfId="29664"/>
    <cellStyle name="Normal 4 2 2 2 2 2 2 4" xfId="29665"/>
    <cellStyle name="Normal 4 2 2 2 2 2 2 4 2" xfId="29666"/>
    <cellStyle name="Normal 4 2 2 2 2 2 2 4 2 2" xfId="29667"/>
    <cellStyle name="Normal 4 2 2 2 2 2 2 4 2 3" xfId="29668"/>
    <cellStyle name="Normal 4 2 2 2 2 2 2 4 3" xfId="29669"/>
    <cellStyle name="Normal 4 2 2 2 2 2 2 4 3 2" xfId="29670"/>
    <cellStyle name="Normal 4 2 2 2 2 2 2 4 3 3" xfId="29671"/>
    <cellStyle name="Normal 4 2 2 2 2 2 2 4 4" xfId="29672"/>
    <cellStyle name="Normal 4 2 2 2 2 2 2 4 5" xfId="29673"/>
    <cellStyle name="Normal 4 2 2 2 2 2 2 5" xfId="29674"/>
    <cellStyle name="Normal 4 2 2 2 2 2 2 5 2" xfId="29675"/>
    <cellStyle name="Normal 4 2 2 2 2 2 2 5 3" xfId="29676"/>
    <cellStyle name="Normal 4 2 2 2 2 2 2 6" xfId="29677"/>
    <cellStyle name="Normal 4 2 2 2 2 2 2 6 2" xfId="29678"/>
    <cellStyle name="Normal 4 2 2 2 2 2 2 6 3" xfId="29679"/>
    <cellStyle name="Normal 4 2 2 2 2 2 2 7" xfId="29680"/>
    <cellStyle name="Normal 4 2 2 2 2 2 2 8" xfId="29681"/>
    <cellStyle name="Normal 4 2 2 2 2 2 3" xfId="29682"/>
    <cellStyle name="Normal 4 2 2 2 2 2 3 2" xfId="29683"/>
    <cellStyle name="Normal 4 2 2 2 2 2 3 2 2" xfId="29684"/>
    <cellStyle name="Normal 4 2 2 2 2 2 3 2 2 2" xfId="29685"/>
    <cellStyle name="Normal 4 2 2 2 2 2 3 2 2 3" xfId="29686"/>
    <cellStyle name="Normal 4 2 2 2 2 2 3 2 3" xfId="29687"/>
    <cellStyle name="Normal 4 2 2 2 2 2 3 2 3 2" xfId="29688"/>
    <cellStyle name="Normal 4 2 2 2 2 2 3 2 3 3" xfId="29689"/>
    <cellStyle name="Normal 4 2 2 2 2 2 3 2 4" xfId="29690"/>
    <cellStyle name="Normal 4 2 2 2 2 2 3 2 5" xfId="29691"/>
    <cellStyle name="Normal 4 2 2 2 2 2 3 3" xfId="29692"/>
    <cellStyle name="Normal 4 2 2 2 2 2 3 3 2" xfId="29693"/>
    <cellStyle name="Normal 4 2 2 2 2 2 3 3 3" xfId="29694"/>
    <cellStyle name="Normal 4 2 2 2 2 2 3 4" xfId="29695"/>
    <cellStyle name="Normal 4 2 2 2 2 2 3 4 2" xfId="29696"/>
    <cellStyle name="Normal 4 2 2 2 2 2 3 4 3" xfId="29697"/>
    <cellStyle name="Normal 4 2 2 2 2 2 3 5" xfId="29698"/>
    <cellStyle name="Normal 4 2 2 2 2 2 3 6" xfId="29699"/>
    <cellStyle name="Normal 4 2 2 2 2 2 4" xfId="29700"/>
    <cellStyle name="Normal 4 2 2 2 2 2 4 2" xfId="29701"/>
    <cellStyle name="Normal 4 2 2 2 2 2 4 2 2" xfId="29702"/>
    <cellStyle name="Normal 4 2 2 2 2 2 4 2 2 2" xfId="29703"/>
    <cellStyle name="Normal 4 2 2 2 2 2 4 2 2 3" xfId="29704"/>
    <cellStyle name="Normal 4 2 2 2 2 2 4 2 3" xfId="29705"/>
    <cellStyle name="Normal 4 2 2 2 2 2 4 2 3 2" xfId="29706"/>
    <cellStyle name="Normal 4 2 2 2 2 2 4 2 3 3" xfId="29707"/>
    <cellStyle name="Normal 4 2 2 2 2 2 4 2 4" xfId="29708"/>
    <cellStyle name="Normal 4 2 2 2 2 2 4 2 5" xfId="29709"/>
    <cellStyle name="Normal 4 2 2 2 2 2 4 3" xfId="29710"/>
    <cellStyle name="Normal 4 2 2 2 2 2 4 3 2" xfId="29711"/>
    <cellStyle name="Normal 4 2 2 2 2 2 4 3 3" xfId="29712"/>
    <cellStyle name="Normal 4 2 2 2 2 2 4 4" xfId="29713"/>
    <cellStyle name="Normal 4 2 2 2 2 2 4 4 2" xfId="29714"/>
    <cellStyle name="Normal 4 2 2 2 2 2 4 4 3" xfId="29715"/>
    <cellStyle name="Normal 4 2 2 2 2 2 4 5" xfId="29716"/>
    <cellStyle name="Normal 4 2 2 2 2 2 4 6" xfId="29717"/>
    <cellStyle name="Normal 4 2 2 2 2 2 5" xfId="29718"/>
    <cellStyle name="Normal 4 2 2 2 2 2 5 2" xfId="29719"/>
    <cellStyle name="Normal 4 2 2 2 2 2 5 2 2" xfId="29720"/>
    <cellStyle name="Normal 4 2 2 2 2 2 5 2 3" xfId="29721"/>
    <cellStyle name="Normal 4 2 2 2 2 2 5 3" xfId="29722"/>
    <cellStyle name="Normal 4 2 2 2 2 2 5 3 2" xfId="29723"/>
    <cellStyle name="Normal 4 2 2 2 2 2 5 3 3" xfId="29724"/>
    <cellStyle name="Normal 4 2 2 2 2 2 5 4" xfId="29725"/>
    <cellStyle name="Normal 4 2 2 2 2 2 5 5" xfId="29726"/>
    <cellStyle name="Normal 4 2 2 2 2 2 6" xfId="29727"/>
    <cellStyle name="Normal 4 2 2 2 2 2 6 2" xfId="29728"/>
    <cellStyle name="Normal 4 2 2 2 2 2 6 3" xfId="29729"/>
    <cellStyle name="Normal 4 2 2 2 2 2 7" xfId="29730"/>
    <cellStyle name="Normal 4 2 2 2 2 2 7 2" xfId="29731"/>
    <cellStyle name="Normal 4 2 2 2 2 2 7 3" xfId="29732"/>
    <cellStyle name="Normal 4 2 2 2 2 2 8" xfId="29733"/>
    <cellStyle name="Normal 4 2 2 2 2 2 9" xfId="29734"/>
    <cellStyle name="Normal 4 2 2 2 2 3" xfId="29735"/>
    <cellStyle name="Normal 4 2 2 2 2 3 2" xfId="29736"/>
    <cellStyle name="Normal 4 2 2 2 2 3 2 2" xfId="29737"/>
    <cellStyle name="Normal 4 2 2 2 2 3 2 2 2" xfId="29738"/>
    <cellStyle name="Normal 4 2 2 2 2 3 2 2 2 2" xfId="29739"/>
    <cellStyle name="Normal 4 2 2 2 2 3 2 2 2 3" xfId="29740"/>
    <cellStyle name="Normal 4 2 2 2 2 3 2 2 3" xfId="29741"/>
    <cellStyle name="Normal 4 2 2 2 2 3 2 2 3 2" xfId="29742"/>
    <cellStyle name="Normal 4 2 2 2 2 3 2 2 3 3" xfId="29743"/>
    <cellStyle name="Normal 4 2 2 2 2 3 2 2 4" xfId="29744"/>
    <cellStyle name="Normal 4 2 2 2 2 3 2 2 5" xfId="29745"/>
    <cellStyle name="Normal 4 2 2 2 2 3 2 3" xfId="29746"/>
    <cellStyle name="Normal 4 2 2 2 2 3 2 3 2" xfId="29747"/>
    <cellStyle name="Normal 4 2 2 2 2 3 2 3 3" xfId="29748"/>
    <cellStyle name="Normal 4 2 2 2 2 3 2 4" xfId="29749"/>
    <cellStyle name="Normal 4 2 2 2 2 3 2 4 2" xfId="29750"/>
    <cellStyle name="Normal 4 2 2 2 2 3 2 4 3" xfId="29751"/>
    <cellStyle name="Normal 4 2 2 2 2 3 2 5" xfId="29752"/>
    <cellStyle name="Normal 4 2 2 2 2 3 2 6" xfId="29753"/>
    <cellStyle name="Normal 4 2 2 2 2 3 3" xfId="29754"/>
    <cellStyle name="Normal 4 2 2 2 2 3 3 2" xfId="29755"/>
    <cellStyle name="Normal 4 2 2 2 2 3 3 2 2" xfId="29756"/>
    <cellStyle name="Normal 4 2 2 2 2 3 3 2 2 2" xfId="29757"/>
    <cellStyle name="Normal 4 2 2 2 2 3 3 2 2 3" xfId="29758"/>
    <cellStyle name="Normal 4 2 2 2 2 3 3 2 3" xfId="29759"/>
    <cellStyle name="Normal 4 2 2 2 2 3 3 2 3 2" xfId="29760"/>
    <cellStyle name="Normal 4 2 2 2 2 3 3 2 3 3" xfId="29761"/>
    <cellStyle name="Normal 4 2 2 2 2 3 3 2 4" xfId="29762"/>
    <cellStyle name="Normal 4 2 2 2 2 3 3 2 5" xfId="29763"/>
    <cellStyle name="Normal 4 2 2 2 2 3 3 3" xfId="29764"/>
    <cellStyle name="Normal 4 2 2 2 2 3 3 3 2" xfId="29765"/>
    <cellStyle name="Normal 4 2 2 2 2 3 3 3 3" xfId="29766"/>
    <cellStyle name="Normal 4 2 2 2 2 3 3 4" xfId="29767"/>
    <cellStyle name="Normal 4 2 2 2 2 3 3 4 2" xfId="29768"/>
    <cellStyle name="Normal 4 2 2 2 2 3 3 4 3" xfId="29769"/>
    <cellStyle name="Normal 4 2 2 2 2 3 3 5" xfId="29770"/>
    <cellStyle name="Normal 4 2 2 2 2 3 3 6" xfId="29771"/>
    <cellStyle name="Normal 4 2 2 2 2 3 4" xfId="29772"/>
    <cellStyle name="Normal 4 2 2 2 2 3 4 2" xfId="29773"/>
    <cellStyle name="Normal 4 2 2 2 2 3 4 2 2" xfId="29774"/>
    <cellStyle name="Normal 4 2 2 2 2 3 4 2 3" xfId="29775"/>
    <cellStyle name="Normal 4 2 2 2 2 3 4 3" xfId="29776"/>
    <cellStyle name="Normal 4 2 2 2 2 3 4 3 2" xfId="29777"/>
    <cellStyle name="Normal 4 2 2 2 2 3 4 3 3" xfId="29778"/>
    <cellStyle name="Normal 4 2 2 2 2 3 4 4" xfId="29779"/>
    <cellStyle name="Normal 4 2 2 2 2 3 4 5" xfId="29780"/>
    <cellStyle name="Normal 4 2 2 2 2 3 5" xfId="29781"/>
    <cellStyle name="Normal 4 2 2 2 2 3 5 2" xfId="29782"/>
    <cellStyle name="Normal 4 2 2 2 2 3 5 3" xfId="29783"/>
    <cellStyle name="Normal 4 2 2 2 2 3 6" xfId="29784"/>
    <cellStyle name="Normal 4 2 2 2 2 3 6 2" xfId="29785"/>
    <cellStyle name="Normal 4 2 2 2 2 3 6 3" xfId="29786"/>
    <cellStyle name="Normal 4 2 2 2 2 3 7" xfId="29787"/>
    <cellStyle name="Normal 4 2 2 2 2 3 8" xfId="29788"/>
    <cellStyle name="Normal 4 2 2 2 2 4" xfId="29789"/>
    <cellStyle name="Normal 4 2 2 2 2 4 2" xfId="29790"/>
    <cellStyle name="Normal 4 2 2 2 2 4 2 2" xfId="29791"/>
    <cellStyle name="Normal 4 2 2 2 2 4 2 2 2" xfId="29792"/>
    <cellStyle name="Normal 4 2 2 2 2 4 2 2 3" xfId="29793"/>
    <cellStyle name="Normal 4 2 2 2 2 4 2 3" xfId="29794"/>
    <cellStyle name="Normal 4 2 2 2 2 4 2 3 2" xfId="29795"/>
    <cellStyle name="Normal 4 2 2 2 2 4 2 3 3" xfId="29796"/>
    <cellStyle name="Normal 4 2 2 2 2 4 2 4" xfId="29797"/>
    <cellStyle name="Normal 4 2 2 2 2 4 2 5" xfId="29798"/>
    <cellStyle name="Normal 4 2 2 2 2 4 3" xfId="29799"/>
    <cellStyle name="Normal 4 2 2 2 2 4 3 2" xfId="29800"/>
    <cellStyle name="Normal 4 2 2 2 2 4 3 3" xfId="29801"/>
    <cellStyle name="Normal 4 2 2 2 2 4 4" xfId="29802"/>
    <cellStyle name="Normal 4 2 2 2 2 4 4 2" xfId="29803"/>
    <cellStyle name="Normal 4 2 2 2 2 4 4 3" xfId="29804"/>
    <cellStyle name="Normal 4 2 2 2 2 4 5" xfId="29805"/>
    <cellStyle name="Normal 4 2 2 2 2 4 6" xfId="29806"/>
    <cellStyle name="Normal 4 2 2 2 2 5" xfId="29807"/>
    <cellStyle name="Normal 4 2 2 2 2 5 2" xfId="29808"/>
    <cellStyle name="Normal 4 2 2 2 2 5 2 2" xfId="29809"/>
    <cellStyle name="Normal 4 2 2 2 2 5 2 2 2" xfId="29810"/>
    <cellStyle name="Normal 4 2 2 2 2 5 2 2 3" xfId="29811"/>
    <cellStyle name="Normal 4 2 2 2 2 5 2 3" xfId="29812"/>
    <cellStyle name="Normal 4 2 2 2 2 5 2 3 2" xfId="29813"/>
    <cellStyle name="Normal 4 2 2 2 2 5 2 3 3" xfId="29814"/>
    <cellStyle name="Normal 4 2 2 2 2 5 2 4" xfId="29815"/>
    <cellStyle name="Normal 4 2 2 2 2 5 2 5" xfId="29816"/>
    <cellStyle name="Normal 4 2 2 2 2 5 3" xfId="29817"/>
    <cellStyle name="Normal 4 2 2 2 2 5 3 2" xfId="29818"/>
    <cellStyle name="Normal 4 2 2 2 2 5 3 3" xfId="29819"/>
    <cellStyle name="Normal 4 2 2 2 2 5 4" xfId="29820"/>
    <cellStyle name="Normal 4 2 2 2 2 5 4 2" xfId="29821"/>
    <cellStyle name="Normal 4 2 2 2 2 5 4 3" xfId="29822"/>
    <cellStyle name="Normal 4 2 2 2 2 5 5" xfId="29823"/>
    <cellStyle name="Normal 4 2 2 2 2 5 6" xfId="29824"/>
    <cellStyle name="Normal 4 2 2 2 2 6" xfId="29825"/>
    <cellStyle name="Normal 4 2 2 2 2 6 2" xfId="29826"/>
    <cellStyle name="Normal 4 2 2 2 2 6 2 2" xfId="29827"/>
    <cellStyle name="Normal 4 2 2 2 2 6 2 3" xfId="29828"/>
    <cellStyle name="Normal 4 2 2 2 2 6 3" xfId="29829"/>
    <cellStyle name="Normal 4 2 2 2 2 6 3 2" xfId="29830"/>
    <cellStyle name="Normal 4 2 2 2 2 6 3 3" xfId="29831"/>
    <cellStyle name="Normal 4 2 2 2 2 6 4" xfId="29832"/>
    <cellStyle name="Normal 4 2 2 2 2 6 5" xfId="29833"/>
    <cellStyle name="Normal 4 2 2 2 2 7" xfId="29834"/>
    <cellStyle name="Normal 4 2 2 2 2 7 2" xfId="29835"/>
    <cellStyle name="Normal 4 2 2 2 2 7 3" xfId="29836"/>
    <cellStyle name="Normal 4 2 2 2 2 8" xfId="29837"/>
    <cellStyle name="Normal 4 2 2 2 2 8 2" xfId="29838"/>
    <cellStyle name="Normal 4 2 2 2 2 8 3" xfId="29839"/>
    <cellStyle name="Normal 4 2 2 2 2 9" xfId="29840"/>
    <cellStyle name="Normal 4 2 2 2 3" xfId="29841"/>
    <cellStyle name="Normal 4 2 2 2 3 10" xfId="29842"/>
    <cellStyle name="Normal 4 2 2 2 3 2" xfId="29843"/>
    <cellStyle name="Normal 4 2 2 2 3 2 2" xfId="29844"/>
    <cellStyle name="Normal 4 2 2 2 3 2 2 2" xfId="29845"/>
    <cellStyle name="Normal 4 2 2 2 3 2 2 2 2" xfId="29846"/>
    <cellStyle name="Normal 4 2 2 2 3 2 2 2 2 2" xfId="29847"/>
    <cellStyle name="Normal 4 2 2 2 3 2 2 2 2 2 2" xfId="29848"/>
    <cellStyle name="Normal 4 2 2 2 3 2 2 2 2 2 3" xfId="29849"/>
    <cellStyle name="Normal 4 2 2 2 3 2 2 2 2 3" xfId="29850"/>
    <cellStyle name="Normal 4 2 2 2 3 2 2 2 2 3 2" xfId="29851"/>
    <cellStyle name="Normal 4 2 2 2 3 2 2 2 2 3 3" xfId="29852"/>
    <cellStyle name="Normal 4 2 2 2 3 2 2 2 2 4" xfId="29853"/>
    <cellStyle name="Normal 4 2 2 2 3 2 2 2 2 5" xfId="29854"/>
    <cellStyle name="Normal 4 2 2 2 3 2 2 2 3" xfId="29855"/>
    <cellStyle name="Normal 4 2 2 2 3 2 2 2 3 2" xfId="29856"/>
    <cellStyle name="Normal 4 2 2 2 3 2 2 2 3 3" xfId="29857"/>
    <cellStyle name="Normal 4 2 2 2 3 2 2 2 4" xfId="29858"/>
    <cellStyle name="Normal 4 2 2 2 3 2 2 2 4 2" xfId="29859"/>
    <cellStyle name="Normal 4 2 2 2 3 2 2 2 4 3" xfId="29860"/>
    <cellStyle name="Normal 4 2 2 2 3 2 2 2 5" xfId="29861"/>
    <cellStyle name="Normal 4 2 2 2 3 2 2 2 6" xfId="29862"/>
    <cellStyle name="Normal 4 2 2 2 3 2 2 3" xfId="29863"/>
    <cellStyle name="Normal 4 2 2 2 3 2 2 3 2" xfId="29864"/>
    <cellStyle name="Normal 4 2 2 2 3 2 2 3 2 2" xfId="29865"/>
    <cellStyle name="Normal 4 2 2 2 3 2 2 3 2 2 2" xfId="29866"/>
    <cellStyle name="Normal 4 2 2 2 3 2 2 3 2 2 3" xfId="29867"/>
    <cellStyle name="Normal 4 2 2 2 3 2 2 3 2 3" xfId="29868"/>
    <cellStyle name="Normal 4 2 2 2 3 2 2 3 2 3 2" xfId="29869"/>
    <cellStyle name="Normal 4 2 2 2 3 2 2 3 2 3 3" xfId="29870"/>
    <cellStyle name="Normal 4 2 2 2 3 2 2 3 2 4" xfId="29871"/>
    <cellStyle name="Normal 4 2 2 2 3 2 2 3 2 5" xfId="29872"/>
    <cellStyle name="Normal 4 2 2 2 3 2 2 3 3" xfId="29873"/>
    <cellStyle name="Normal 4 2 2 2 3 2 2 3 3 2" xfId="29874"/>
    <cellStyle name="Normal 4 2 2 2 3 2 2 3 3 3" xfId="29875"/>
    <cellStyle name="Normal 4 2 2 2 3 2 2 3 4" xfId="29876"/>
    <cellStyle name="Normal 4 2 2 2 3 2 2 3 4 2" xfId="29877"/>
    <cellStyle name="Normal 4 2 2 2 3 2 2 3 4 3" xfId="29878"/>
    <cellStyle name="Normal 4 2 2 2 3 2 2 3 5" xfId="29879"/>
    <cellStyle name="Normal 4 2 2 2 3 2 2 3 6" xfId="29880"/>
    <cellStyle name="Normal 4 2 2 2 3 2 2 4" xfId="29881"/>
    <cellStyle name="Normal 4 2 2 2 3 2 2 4 2" xfId="29882"/>
    <cellStyle name="Normal 4 2 2 2 3 2 2 4 2 2" xfId="29883"/>
    <cellStyle name="Normal 4 2 2 2 3 2 2 4 2 3" xfId="29884"/>
    <cellStyle name="Normal 4 2 2 2 3 2 2 4 3" xfId="29885"/>
    <cellStyle name="Normal 4 2 2 2 3 2 2 4 3 2" xfId="29886"/>
    <cellStyle name="Normal 4 2 2 2 3 2 2 4 3 3" xfId="29887"/>
    <cellStyle name="Normal 4 2 2 2 3 2 2 4 4" xfId="29888"/>
    <cellStyle name="Normal 4 2 2 2 3 2 2 4 5" xfId="29889"/>
    <cellStyle name="Normal 4 2 2 2 3 2 2 5" xfId="29890"/>
    <cellStyle name="Normal 4 2 2 2 3 2 2 5 2" xfId="29891"/>
    <cellStyle name="Normal 4 2 2 2 3 2 2 5 3" xfId="29892"/>
    <cellStyle name="Normal 4 2 2 2 3 2 2 6" xfId="29893"/>
    <cellStyle name="Normal 4 2 2 2 3 2 2 6 2" xfId="29894"/>
    <cellStyle name="Normal 4 2 2 2 3 2 2 6 3" xfId="29895"/>
    <cellStyle name="Normal 4 2 2 2 3 2 2 7" xfId="29896"/>
    <cellStyle name="Normal 4 2 2 2 3 2 2 8" xfId="29897"/>
    <cellStyle name="Normal 4 2 2 2 3 2 3" xfId="29898"/>
    <cellStyle name="Normal 4 2 2 2 3 2 3 2" xfId="29899"/>
    <cellStyle name="Normal 4 2 2 2 3 2 3 2 2" xfId="29900"/>
    <cellStyle name="Normal 4 2 2 2 3 2 3 2 2 2" xfId="29901"/>
    <cellStyle name="Normal 4 2 2 2 3 2 3 2 2 3" xfId="29902"/>
    <cellStyle name="Normal 4 2 2 2 3 2 3 2 3" xfId="29903"/>
    <cellStyle name="Normal 4 2 2 2 3 2 3 2 3 2" xfId="29904"/>
    <cellStyle name="Normal 4 2 2 2 3 2 3 2 3 3" xfId="29905"/>
    <cellStyle name="Normal 4 2 2 2 3 2 3 2 4" xfId="29906"/>
    <cellStyle name="Normal 4 2 2 2 3 2 3 2 5" xfId="29907"/>
    <cellStyle name="Normal 4 2 2 2 3 2 3 3" xfId="29908"/>
    <cellStyle name="Normal 4 2 2 2 3 2 3 3 2" xfId="29909"/>
    <cellStyle name="Normal 4 2 2 2 3 2 3 3 3" xfId="29910"/>
    <cellStyle name="Normal 4 2 2 2 3 2 3 4" xfId="29911"/>
    <cellStyle name="Normal 4 2 2 2 3 2 3 4 2" xfId="29912"/>
    <cellStyle name="Normal 4 2 2 2 3 2 3 4 3" xfId="29913"/>
    <cellStyle name="Normal 4 2 2 2 3 2 3 5" xfId="29914"/>
    <cellStyle name="Normal 4 2 2 2 3 2 3 6" xfId="29915"/>
    <cellStyle name="Normal 4 2 2 2 3 2 4" xfId="29916"/>
    <cellStyle name="Normal 4 2 2 2 3 2 4 2" xfId="29917"/>
    <cellStyle name="Normal 4 2 2 2 3 2 4 2 2" xfId="29918"/>
    <cellStyle name="Normal 4 2 2 2 3 2 4 2 2 2" xfId="29919"/>
    <cellStyle name="Normal 4 2 2 2 3 2 4 2 2 3" xfId="29920"/>
    <cellStyle name="Normal 4 2 2 2 3 2 4 2 3" xfId="29921"/>
    <cellStyle name="Normal 4 2 2 2 3 2 4 2 3 2" xfId="29922"/>
    <cellStyle name="Normal 4 2 2 2 3 2 4 2 3 3" xfId="29923"/>
    <cellStyle name="Normal 4 2 2 2 3 2 4 2 4" xfId="29924"/>
    <cellStyle name="Normal 4 2 2 2 3 2 4 2 5" xfId="29925"/>
    <cellStyle name="Normal 4 2 2 2 3 2 4 3" xfId="29926"/>
    <cellStyle name="Normal 4 2 2 2 3 2 4 3 2" xfId="29927"/>
    <cellStyle name="Normal 4 2 2 2 3 2 4 3 3" xfId="29928"/>
    <cellStyle name="Normal 4 2 2 2 3 2 4 4" xfId="29929"/>
    <cellStyle name="Normal 4 2 2 2 3 2 4 4 2" xfId="29930"/>
    <cellStyle name="Normal 4 2 2 2 3 2 4 4 3" xfId="29931"/>
    <cellStyle name="Normal 4 2 2 2 3 2 4 5" xfId="29932"/>
    <cellStyle name="Normal 4 2 2 2 3 2 4 6" xfId="29933"/>
    <cellStyle name="Normal 4 2 2 2 3 2 5" xfId="29934"/>
    <cellStyle name="Normal 4 2 2 2 3 2 5 2" xfId="29935"/>
    <cellStyle name="Normal 4 2 2 2 3 2 5 2 2" xfId="29936"/>
    <cellStyle name="Normal 4 2 2 2 3 2 5 2 3" xfId="29937"/>
    <cellStyle name="Normal 4 2 2 2 3 2 5 3" xfId="29938"/>
    <cellStyle name="Normal 4 2 2 2 3 2 5 3 2" xfId="29939"/>
    <cellStyle name="Normal 4 2 2 2 3 2 5 3 3" xfId="29940"/>
    <cellStyle name="Normal 4 2 2 2 3 2 5 4" xfId="29941"/>
    <cellStyle name="Normal 4 2 2 2 3 2 5 5" xfId="29942"/>
    <cellStyle name="Normal 4 2 2 2 3 2 6" xfId="29943"/>
    <cellStyle name="Normal 4 2 2 2 3 2 6 2" xfId="29944"/>
    <cellStyle name="Normal 4 2 2 2 3 2 6 3" xfId="29945"/>
    <cellStyle name="Normal 4 2 2 2 3 2 7" xfId="29946"/>
    <cellStyle name="Normal 4 2 2 2 3 2 7 2" xfId="29947"/>
    <cellStyle name="Normal 4 2 2 2 3 2 7 3" xfId="29948"/>
    <cellStyle name="Normal 4 2 2 2 3 2 8" xfId="29949"/>
    <cellStyle name="Normal 4 2 2 2 3 2 9" xfId="29950"/>
    <cellStyle name="Normal 4 2 2 2 3 3" xfId="29951"/>
    <cellStyle name="Normal 4 2 2 2 3 3 2" xfId="29952"/>
    <cellStyle name="Normal 4 2 2 2 3 3 2 2" xfId="29953"/>
    <cellStyle name="Normal 4 2 2 2 3 3 2 2 2" xfId="29954"/>
    <cellStyle name="Normal 4 2 2 2 3 3 2 2 2 2" xfId="29955"/>
    <cellStyle name="Normal 4 2 2 2 3 3 2 2 2 3" xfId="29956"/>
    <cellStyle name="Normal 4 2 2 2 3 3 2 2 3" xfId="29957"/>
    <cellStyle name="Normal 4 2 2 2 3 3 2 2 3 2" xfId="29958"/>
    <cellStyle name="Normal 4 2 2 2 3 3 2 2 3 3" xfId="29959"/>
    <cellStyle name="Normal 4 2 2 2 3 3 2 2 4" xfId="29960"/>
    <cellStyle name="Normal 4 2 2 2 3 3 2 2 5" xfId="29961"/>
    <cellStyle name="Normal 4 2 2 2 3 3 2 3" xfId="29962"/>
    <cellStyle name="Normal 4 2 2 2 3 3 2 3 2" xfId="29963"/>
    <cellStyle name="Normal 4 2 2 2 3 3 2 3 3" xfId="29964"/>
    <cellStyle name="Normal 4 2 2 2 3 3 2 4" xfId="29965"/>
    <cellStyle name="Normal 4 2 2 2 3 3 2 4 2" xfId="29966"/>
    <cellStyle name="Normal 4 2 2 2 3 3 2 4 3" xfId="29967"/>
    <cellStyle name="Normal 4 2 2 2 3 3 2 5" xfId="29968"/>
    <cellStyle name="Normal 4 2 2 2 3 3 2 6" xfId="29969"/>
    <cellStyle name="Normal 4 2 2 2 3 3 3" xfId="29970"/>
    <cellStyle name="Normal 4 2 2 2 3 3 3 2" xfId="29971"/>
    <cellStyle name="Normal 4 2 2 2 3 3 3 2 2" xfId="29972"/>
    <cellStyle name="Normal 4 2 2 2 3 3 3 2 2 2" xfId="29973"/>
    <cellStyle name="Normal 4 2 2 2 3 3 3 2 2 3" xfId="29974"/>
    <cellStyle name="Normal 4 2 2 2 3 3 3 2 3" xfId="29975"/>
    <cellStyle name="Normal 4 2 2 2 3 3 3 2 3 2" xfId="29976"/>
    <cellStyle name="Normal 4 2 2 2 3 3 3 2 3 3" xfId="29977"/>
    <cellStyle name="Normal 4 2 2 2 3 3 3 2 4" xfId="29978"/>
    <cellStyle name="Normal 4 2 2 2 3 3 3 2 5" xfId="29979"/>
    <cellStyle name="Normal 4 2 2 2 3 3 3 3" xfId="29980"/>
    <cellStyle name="Normal 4 2 2 2 3 3 3 3 2" xfId="29981"/>
    <cellStyle name="Normal 4 2 2 2 3 3 3 3 3" xfId="29982"/>
    <cellStyle name="Normal 4 2 2 2 3 3 3 4" xfId="29983"/>
    <cellStyle name="Normal 4 2 2 2 3 3 3 4 2" xfId="29984"/>
    <cellStyle name="Normal 4 2 2 2 3 3 3 4 3" xfId="29985"/>
    <cellStyle name="Normal 4 2 2 2 3 3 3 5" xfId="29986"/>
    <cellStyle name="Normal 4 2 2 2 3 3 3 6" xfId="29987"/>
    <cellStyle name="Normal 4 2 2 2 3 3 4" xfId="29988"/>
    <cellStyle name="Normal 4 2 2 2 3 3 4 2" xfId="29989"/>
    <cellStyle name="Normal 4 2 2 2 3 3 4 2 2" xfId="29990"/>
    <cellStyle name="Normal 4 2 2 2 3 3 4 2 3" xfId="29991"/>
    <cellStyle name="Normal 4 2 2 2 3 3 4 3" xfId="29992"/>
    <cellStyle name="Normal 4 2 2 2 3 3 4 3 2" xfId="29993"/>
    <cellStyle name="Normal 4 2 2 2 3 3 4 3 3" xfId="29994"/>
    <cellStyle name="Normal 4 2 2 2 3 3 4 4" xfId="29995"/>
    <cellStyle name="Normal 4 2 2 2 3 3 4 5" xfId="29996"/>
    <cellStyle name="Normal 4 2 2 2 3 3 5" xfId="29997"/>
    <cellStyle name="Normal 4 2 2 2 3 3 5 2" xfId="29998"/>
    <cellStyle name="Normal 4 2 2 2 3 3 5 3" xfId="29999"/>
    <cellStyle name="Normal 4 2 2 2 3 3 6" xfId="30000"/>
    <cellStyle name="Normal 4 2 2 2 3 3 6 2" xfId="30001"/>
    <cellStyle name="Normal 4 2 2 2 3 3 6 3" xfId="30002"/>
    <cellStyle name="Normal 4 2 2 2 3 3 7" xfId="30003"/>
    <cellStyle name="Normal 4 2 2 2 3 3 8" xfId="30004"/>
    <cellStyle name="Normal 4 2 2 2 3 4" xfId="30005"/>
    <cellStyle name="Normal 4 2 2 2 3 4 2" xfId="30006"/>
    <cellStyle name="Normal 4 2 2 2 3 4 2 2" xfId="30007"/>
    <cellStyle name="Normal 4 2 2 2 3 4 2 2 2" xfId="30008"/>
    <cellStyle name="Normal 4 2 2 2 3 4 2 2 3" xfId="30009"/>
    <cellStyle name="Normal 4 2 2 2 3 4 2 3" xfId="30010"/>
    <cellStyle name="Normal 4 2 2 2 3 4 2 3 2" xfId="30011"/>
    <cellStyle name="Normal 4 2 2 2 3 4 2 3 3" xfId="30012"/>
    <cellStyle name="Normal 4 2 2 2 3 4 2 4" xfId="30013"/>
    <cellStyle name="Normal 4 2 2 2 3 4 2 5" xfId="30014"/>
    <cellStyle name="Normal 4 2 2 2 3 4 3" xfId="30015"/>
    <cellStyle name="Normal 4 2 2 2 3 4 3 2" xfId="30016"/>
    <cellStyle name="Normal 4 2 2 2 3 4 3 3" xfId="30017"/>
    <cellStyle name="Normal 4 2 2 2 3 4 4" xfId="30018"/>
    <cellStyle name="Normal 4 2 2 2 3 4 4 2" xfId="30019"/>
    <cellStyle name="Normal 4 2 2 2 3 4 4 3" xfId="30020"/>
    <cellStyle name="Normal 4 2 2 2 3 4 5" xfId="30021"/>
    <cellStyle name="Normal 4 2 2 2 3 4 6" xfId="30022"/>
    <cellStyle name="Normal 4 2 2 2 3 5" xfId="30023"/>
    <cellStyle name="Normal 4 2 2 2 3 5 2" xfId="30024"/>
    <cellStyle name="Normal 4 2 2 2 3 5 2 2" xfId="30025"/>
    <cellStyle name="Normal 4 2 2 2 3 5 2 2 2" xfId="30026"/>
    <cellStyle name="Normal 4 2 2 2 3 5 2 2 3" xfId="30027"/>
    <cellStyle name="Normal 4 2 2 2 3 5 2 3" xfId="30028"/>
    <cellStyle name="Normal 4 2 2 2 3 5 2 3 2" xfId="30029"/>
    <cellStyle name="Normal 4 2 2 2 3 5 2 3 3" xfId="30030"/>
    <cellStyle name="Normal 4 2 2 2 3 5 2 4" xfId="30031"/>
    <cellStyle name="Normal 4 2 2 2 3 5 2 5" xfId="30032"/>
    <cellStyle name="Normal 4 2 2 2 3 5 3" xfId="30033"/>
    <cellStyle name="Normal 4 2 2 2 3 5 3 2" xfId="30034"/>
    <cellStyle name="Normal 4 2 2 2 3 5 3 3" xfId="30035"/>
    <cellStyle name="Normal 4 2 2 2 3 5 4" xfId="30036"/>
    <cellStyle name="Normal 4 2 2 2 3 5 4 2" xfId="30037"/>
    <cellStyle name="Normal 4 2 2 2 3 5 4 3" xfId="30038"/>
    <cellStyle name="Normal 4 2 2 2 3 5 5" xfId="30039"/>
    <cellStyle name="Normal 4 2 2 2 3 5 6" xfId="30040"/>
    <cellStyle name="Normal 4 2 2 2 3 6" xfId="30041"/>
    <cellStyle name="Normal 4 2 2 2 3 6 2" xfId="30042"/>
    <cellStyle name="Normal 4 2 2 2 3 6 2 2" xfId="30043"/>
    <cellStyle name="Normal 4 2 2 2 3 6 2 3" xfId="30044"/>
    <cellStyle name="Normal 4 2 2 2 3 6 3" xfId="30045"/>
    <cellStyle name="Normal 4 2 2 2 3 6 3 2" xfId="30046"/>
    <cellStyle name="Normal 4 2 2 2 3 6 3 3" xfId="30047"/>
    <cellStyle name="Normal 4 2 2 2 3 6 4" xfId="30048"/>
    <cellStyle name="Normal 4 2 2 2 3 6 5" xfId="30049"/>
    <cellStyle name="Normal 4 2 2 2 3 7" xfId="30050"/>
    <cellStyle name="Normal 4 2 2 2 3 7 2" xfId="30051"/>
    <cellStyle name="Normal 4 2 2 2 3 7 3" xfId="30052"/>
    <cellStyle name="Normal 4 2 2 2 3 8" xfId="30053"/>
    <cellStyle name="Normal 4 2 2 2 3 8 2" xfId="30054"/>
    <cellStyle name="Normal 4 2 2 2 3 8 3" xfId="30055"/>
    <cellStyle name="Normal 4 2 2 2 3 9" xfId="30056"/>
    <cellStyle name="Normal 4 2 2 2 4" xfId="30057"/>
    <cellStyle name="Normal 4 2 2 2 4 2" xfId="30058"/>
    <cellStyle name="Normal 4 2 2 2 4 2 2" xfId="30059"/>
    <cellStyle name="Normal 4 2 2 2 4 2 2 2" xfId="30060"/>
    <cellStyle name="Normal 4 2 2 2 4 2 2 2 2" xfId="30061"/>
    <cellStyle name="Normal 4 2 2 2 4 2 2 2 2 2" xfId="30062"/>
    <cellStyle name="Normal 4 2 2 2 4 2 2 2 2 3" xfId="30063"/>
    <cellStyle name="Normal 4 2 2 2 4 2 2 2 3" xfId="30064"/>
    <cellStyle name="Normal 4 2 2 2 4 2 2 2 3 2" xfId="30065"/>
    <cellStyle name="Normal 4 2 2 2 4 2 2 2 3 3" xfId="30066"/>
    <cellStyle name="Normal 4 2 2 2 4 2 2 2 4" xfId="30067"/>
    <cellStyle name="Normal 4 2 2 2 4 2 2 2 5" xfId="30068"/>
    <cellStyle name="Normal 4 2 2 2 4 2 2 3" xfId="30069"/>
    <cellStyle name="Normal 4 2 2 2 4 2 2 3 2" xfId="30070"/>
    <cellStyle name="Normal 4 2 2 2 4 2 2 3 3" xfId="30071"/>
    <cellStyle name="Normal 4 2 2 2 4 2 2 4" xfId="30072"/>
    <cellStyle name="Normal 4 2 2 2 4 2 2 4 2" xfId="30073"/>
    <cellStyle name="Normal 4 2 2 2 4 2 2 4 3" xfId="30074"/>
    <cellStyle name="Normal 4 2 2 2 4 2 2 5" xfId="30075"/>
    <cellStyle name="Normal 4 2 2 2 4 2 2 6" xfId="30076"/>
    <cellStyle name="Normal 4 2 2 2 4 2 3" xfId="30077"/>
    <cellStyle name="Normal 4 2 2 2 4 2 3 2" xfId="30078"/>
    <cellStyle name="Normal 4 2 2 2 4 2 3 2 2" xfId="30079"/>
    <cellStyle name="Normal 4 2 2 2 4 2 3 2 2 2" xfId="30080"/>
    <cellStyle name="Normal 4 2 2 2 4 2 3 2 2 3" xfId="30081"/>
    <cellStyle name="Normal 4 2 2 2 4 2 3 2 3" xfId="30082"/>
    <cellStyle name="Normal 4 2 2 2 4 2 3 2 3 2" xfId="30083"/>
    <cellStyle name="Normal 4 2 2 2 4 2 3 2 3 3" xfId="30084"/>
    <cellStyle name="Normal 4 2 2 2 4 2 3 2 4" xfId="30085"/>
    <cellStyle name="Normal 4 2 2 2 4 2 3 2 5" xfId="30086"/>
    <cellStyle name="Normal 4 2 2 2 4 2 3 3" xfId="30087"/>
    <cellStyle name="Normal 4 2 2 2 4 2 3 3 2" xfId="30088"/>
    <cellStyle name="Normal 4 2 2 2 4 2 3 3 3" xfId="30089"/>
    <cellStyle name="Normal 4 2 2 2 4 2 3 4" xfId="30090"/>
    <cellStyle name="Normal 4 2 2 2 4 2 3 4 2" xfId="30091"/>
    <cellStyle name="Normal 4 2 2 2 4 2 3 4 3" xfId="30092"/>
    <cellStyle name="Normal 4 2 2 2 4 2 3 5" xfId="30093"/>
    <cellStyle name="Normal 4 2 2 2 4 2 3 6" xfId="30094"/>
    <cellStyle name="Normal 4 2 2 2 4 2 4" xfId="30095"/>
    <cellStyle name="Normal 4 2 2 2 4 2 4 2" xfId="30096"/>
    <cellStyle name="Normal 4 2 2 2 4 2 4 2 2" xfId="30097"/>
    <cellStyle name="Normal 4 2 2 2 4 2 4 2 3" xfId="30098"/>
    <cellStyle name="Normal 4 2 2 2 4 2 4 3" xfId="30099"/>
    <cellStyle name="Normal 4 2 2 2 4 2 4 3 2" xfId="30100"/>
    <cellStyle name="Normal 4 2 2 2 4 2 4 3 3" xfId="30101"/>
    <cellStyle name="Normal 4 2 2 2 4 2 4 4" xfId="30102"/>
    <cellStyle name="Normal 4 2 2 2 4 2 4 5" xfId="30103"/>
    <cellStyle name="Normal 4 2 2 2 4 2 5" xfId="30104"/>
    <cellStyle name="Normal 4 2 2 2 4 2 5 2" xfId="30105"/>
    <cellStyle name="Normal 4 2 2 2 4 2 5 3" xfId="30106"/>
    <cellStyle name="Normal 4 2 2 2 4 2 6" xfId="30107"/>
    <cellStyle name="Normal 4 2 2 2 4 2 6 2" xfId="30108"/>
    <cellStyle name="Normal 4 2 2 2 4 2 6 3" xfId="30109"/>
    <cellStyle name="Normal 4 2 2 2 4 2 7" xfId="30110"/>
    <cellStyle name="Normal 4 2 2 2 4 2 8" xfId="30111"/>
    <cellStyle name="Normal 4 2 2 2 4 3" xfId="30112"/>
    <cellStyle name="Normal 4 2 2 2 4 3 2" xfId="30113"/>
    <cellStyle name="Normal 4 2 2 2 4 3 2 2" xfId="30114"/>
    <cellStyle name="Normal 4 2 2 2 4 3 2 2 2" xfId="30115"/>
    <cellStyle name="Normal 4 2 2 2 4 3 2 2 3" xfId="30116"/>
    <cellStyle name="Normal 4 2 2 2 4 3 2 3" xfId="30117"/>
    <cellStyle name="Normal 4 2 2 2 4 3 2 3 2" xfId="30118"/>
    <cellStyle name="Normal 4 2 2 2 4 3 2 3 3" xfId="30119"/>
    <cellStyle name="Normal 4 2 2 2 4 3 2 4" xfId="30120"/>
    <cellStyle name="Normal 4 2 2 2 4 3 2 5" xfId="30121"/>
    <cellStyle name="Normal 4 2 2 2 4 3 3" xfId="30122"/>
    <cellStyle name="Normal 4 2 2 2 4 3 3 2" xfId="30123"/>
    <cellStyle name="Normal 4 2 2 2 4 3 3 3" xfId="30124"/>
    <cellStyle name="Normal 4 2 2 2 4 3 4" xfId="30125"/>
    <cellStyle name="Normal 4 2 2 2 4 3 4 2" xfId="30126"/>
    <cellStyle name="Normal 4 2 2 2 4 3 4 3" xfId="30127"/>
    <cellStyle name="Normal 4 2 2 2 4 3 5" xfId="30128"/>
    <cellStyle name="Normal 4 2 2 2 4 3 6" xfId="30129"/>
    <cellStyle name="Normal 4 2 2 2 4 4" xfId="30130"/>
    <cellStyle name="Normal 4 2 2 2 4 4 2" xfId="30131"/>
    <cellStyle name="Normal 4 2 2 2 4 4 2 2" xfId="30132"/>
    <cellStyle name="Normal 4 2 2 2 4 4 2 2 2" xfId="30133"/>
    <cellStyle name="Normal 4 2 2 2 4 4 2 2 3" xfId="30134"/>
    <cellStyle name="Normal 4 2 2 2 4 4 2 3" xfId="30135"/>
    <cellStyle name="Normal 4 2 2 2 4 4 2 3 2" xfId="30136"/>
    <cellStyle name="Normal 4 2 2 2 4 4 2 3 3" xfId="30137"/>
    <cellStyle name="Normal 4 2 2 2 4 4 2 4" xfId="30138"/>
    <cellStyle name="Normal 4 2 2 2 4 4 2 5" xfId="30139"/>
    <cellStyle name="Normal 4 2 2 2 4 4 3" xfId="30140"/>
    <cellStyle name="Normal 4 2 2 2 4 4 3 2" xfId="30141"/>
    <cellStyle name="Normal 4 2 2 2 4 4 3 3" xfId="30142"/>
    <cellStyle name="Normal 4 2 2 2 4 4 4" xfId="30143"/>
    <cellStyle name="Normal 4 2 2 2 4 4 4 2" xfId="30144"/>
    <cellStyle name="Normal 4 2 2 2 4 4 4 3" xfId="30145"/>
    <cellStyle name="Normal 4 2 2 2 4 4 5" xfId="30146"/>
    <cellStyle name="Normal 4 2 2 2 4 4 6" xfId="30147"/>
    <cellStyle name="Normal 4 2 2 2 4 5" xfId="30148"/>
    <cellStyle name="Normal 4 2 2 2 4 5 2" xfId="30149"/>
    <cellStyle name="Normal 4 2 2 2 4 5 2 2" xfId="30150"/>
    <cellStyle name="Normal 4 2 2 2 4 5 2 3" xfId="30151"/>
    <cellStyle name="Normal 4 2 2 2 4 5 3" xfId="30152"/>
    <cellStyle name="Normal 4 2 2 2 4 5 3 2" xfId="30153"/>
    <cellStyle name="Normal 4 2 2 2 4 5 3 3" xfId="30154"/>
    <cellStyle name="Normal 4 2 2 2 4 5 4" xfId="30155"/>
    <cellStyle name="Normal 4 2 2 2 4 5 5" xfId="30156"/>
    <cellStyle name="Normal 4 2 2 2 4 6" xfId="30157"/>
    <cellStyle name="Normal 4 2 2 2 4 6 2" xfId="30158"/>
    <cellStyle name="Normal 4 2 2 2 4 6 3" xfId="30159"/>
    <cellStyle name="Normal 4 2 2 2 4 7" xfId="30160"/>
    <cellStyle name="Normal 4 2 2 2 4 7 2" xfId="30161"/>
    <cellStyle name="Normal 4 2 2 2 4 7 3" xfId="30162"/>
    <cellStyle name="Normal 4 2 2 2 4 8" xfId="30163"/>
    <cellStyle name="Normal 4 2 2 2 4 9" xfId="30164"/>
    <cellStyle name="Normal 4 2 2 2 5" xfId="30165"/>
    <cellStyle name="Normal 4 2 2 2 5 2" xfId="30166"/>
    <cellStyle name="Normal 4 2 2 2 5 2 2" xfId="30167"/>
    <cellStyle name="Normal 4 2 2 2 5 2 2 2" xfId="30168"/>
    <cellStyle name="Normal 4 2 2 2 5 2 2 2 2" xfId="30169"/>
    <cellStyle name="Normal 4 2 2 2 5 2 2 2 3" xfId="30170"/>
    <cellStyle name="Normal 4 2 2 2 5 2 2 3" xfId="30171"/>
    <cellStyle name="Normal 4 2 2 2 5 2 2 3 2" xfId="30172"/>
    <cellStyle name="Normal 4 2 2 2 5 2 2 3 3" xfId="30173"/>
    <cellStyle name="Normal 4 2 2 2 5 2 2 4" xfId="30174"/>
    <cellStyle name="Normal 4 2 2 2 5 2 2 5" xfId="30175"/>
    <cellStyle name="Normal 4 2 2 2 5 2 3" xfId="30176"/>
    <cellStyle name="Normal 4 2 2 2 5 2 3 2" xfId="30177"/>
    <cellStyle name="Normal 4 2 2 2 5 2 3 3" xfId="30178"/>
    <cellStyle name="Normal 4 2 2 2 5 2 4" xfId="30179"/>
    <cellStyle name="Normal 4 2 2 2 5 2 4 2" xfId="30180"/>
    <cellStyle name="Normal 4 2 2 2 5 2 4 3" xfId="30181"/>
    <cellStyle name="Normal 4 2 2 2 5 2 5" xfId="30182"/>
    <cellStyle name="Normal 4 2 2 2 5 2 6" xfId="30183"/>
    <cellStyle name="Normal 4 2 2 2 5 3" xfId="30184"/>
    <cellStyle name="Normal 4 2 2 2 5 3 2" xfId="30185"/>
    <cellStyle name="Normal 4 2 2 2 5 3 2 2" xfId="30186"/>
    <cellStyle name="Normal 4 2 2 2 5 3 2 2 2" xfId="30187"/>
    <cellStyle name="Normal 4 2 2 2 5 3 2 2 3" xfId="30188"/>
    <cellStyle name="Normal 4 2 2 2 5 3 2 3" xfId="30189"/>
    <cellStyle name="Normal 4 2 2 2 5 3 2 3 2" xfId="30190"/>
    <cellStyle name="Normal 4 2 2 2 5 3 2 3 3" xfId="30191"/>
    <cellStyle name="Normal 4 2 2 2 5 3 2 4" xfId="30192"/>
    <cellStyle name="Normal 4 2 2 2 5 3 2 5" xfId="30193"/>
    <cellStyle name="Normal 4 2 2 2 5 3 3" xfId="30194"/>
    <cellStyle name="Normal 4 2 2 2 5 3 3 2" xfId="30195"/>
    <cellStyle name="Normal 4 2 2 2 5 3 3 3" xfId="30196"/>
    <cellStyle name="Normal 4 2 2 2 5 3 4" xfId="30197"/>
    <cellStyle name="Normal 4 2 2 2 5 3 4 2" xfId="30198"/>
    <cellStyle name="Normal 4 2 2 2 5 3 4 3" xfId="30199"/>
    <cellStyle name="Normal 4 2 2 2 5 3 5" xfId="30200"/>
    <cellStyle name="Normal 4 2 2 2 5 3 6" xfId="30201"/>
    <cellStyle name="Normal 4 2 2 2 5 4" xfId="30202"/>
    <cellStyle name="Normal 4 2 2 2 5 4 2" xfId="30203"/>
    <cellStyle name="Normal 4 2 2 2 5 4 2 2" xfId="30204"/>
    <cellStyle name="Normal 4 2 2 2 5 4 2 3" xfId="30205"/>
    <cellStyle name="Normal 4 2 2 2 5 4 3" xfId="30206"/>
    <cellStyle name="Normal 4 2 2 2 5 4 3 2" xfId="30207"/>
    <cellStyle name="Normal 4 2 2 2 5 4 3 3" xfId="30208"/>
    <cellStyle name="Normal 4 2 2 2 5 4 4" xfId="30209"/>
    <cellStyle name="Normal 4 2 2 2 5 4 5" xfId="30210"/>
    <cellStyle name="Normal 4 2 2 2 5 5" xfId="30211"/>
    <cellStyle name="Normal 4 2 2 2 5 5 2" xfId="30212"/>
    <cellStyle name="Normal 4 2 2 2 5 5 3" xfId="30213"/>
    <cellStyle name="Normal 4 2 2 2 5 6" xfId="30214"/>
    <cellStyle name="Normal 4 2 2 2 5 6 2" xfId="30215"/>
    <cellStyle name="Normal 4 2 2 2 5 6 3" xfId="30216"/>
    <cellStyle name="Normal 4 2 2 2 5 7" xfId="30217"/>
    <cellStyle name="Normal 4 2 2 2 5 8" xfId="30218"/>
    <cellStyle name="Normal 4 2 2 2 6" xfId="30219"/>
    <cellStyle name="Normal 4 2 2 2 6 2" xfId="30220"/>
    <cellStyle name="Normal 4 2 2 2 6 2 2" xfId="30221"/>
    <cellStyle name="Normal 4 2 2 2 6 2 2 2" xfId="30222"/>
    <cellStyle name="Normal 4 2 2 2 6 2 2 3" xfId="30223"/>
    <cellStyle name="Normal 4 2 2 2 6 2 3" xfId="30224"/>
    <cellStyle name="Normal 4 2 2 2 6 2 3 2" xfId="30225"/>
    <cellStyle name="Normal 4 2 2 2 6 2 3 3" xfId="30226"/>
    <cellStyle name="Normal 4 2 2 2 6 2 4" xfId="30227"/>
    <cellStyle name="Normal 4 2 2 2 6 2 5" xfId="30228"/>
    <cellStyle name="Normal 4 2 2 2 6 3" xfId="30229"/>
    <cellStyle name="Normal 4 2 2 2 6 3 2" xfId="30230"/>
    <cellStyle name="Normal 4 2 2 2 6 3 3" xfId="30231"/>
    <cellStyle name="Normal 4 2 2 2 6 4" xfId="30232"/>
    <cellStyle name="Normal 4 2 2 2 6 4 2" xfId="30233"/>
    <cellStyle name="Normal 4 2 2 2 6 4 3" xfId="30234"/>
    <cellStyle name="Normal 4 2 2 2 6 5" xfId="30235"/>
    <cellStyle name="Normal 4 2 2 2 6 6" xfId="30236"/>
    <cellStyle name="Normal 4 2 2 2 7" xfId="30237"/>
    <cellStyle name="Normal 4 2 2 2 7 2" xfId="30238"/>
    <cellStyle name="Normal 4 2 2 2 7 2 2" xfId="30239"/>
    <cellStyle name="Normal 4 2 2 2 7 2 2 2" xfId="30240"/>
    <cellStyle name="Normal 4 2 2 2 7 2 2 3" xfId="30241"/>
    <cellStyle name="Normal 4 2 2 2 7 2 3" xfId="30242"/>
    <cellStyle name="Normal 4 2 2 2 7 2 3 2" xfId="30243"/>
    <cellStyle name="Normal 4 2 2 2 7 2 3 3" xfId="30244"/>
    <cellStyle name="Normal 4 2 2 2 7 2 4" xfId="30245"/>
    <cellStyle name="Normal 4 2 2 2 7 2 5" xfId="30246"/>
    <cellStyle name="Normal 4 2 2 2 7 3" xfId="30247"/>
    <cellStyle name="Normal 4 2 2 2 7 3 2" xfId="30248"/>
    <cellStyle name="Normal 4 2 2 2 7 3 3" xfId="30249"/>
    <cellStyle name="Normal 4 2 2 2 7 4" xfId="30250"/>
    <cellStyle name="Normal 4 2 2 2 7 4 2" xfId="30251"/>
    <cellStyle name="Normal 4 2 2 2 7 4 3" xfId="30252"/>
    <cellStyle name="Normal 4 2 2 2 7 5" xfId="30253"/>
    <cellStyle name="Normal 4 2 2 2 7 6" xfId="30254"/>
    <cellStyle name="Normal 4 2 2 2 8" xfId="30255"/>
    <cellStyle name="Normal 4 2 2 2 8 2" xfId="30256"/>
    <cellStyle name="Normal 4 2 2 2 8 2 2" xfId="30257"/>
    <cellStyle name="Normal 4 2 2 2 8 2 3" xfId="30258"/>
    <cellStyle name="Normal 4 2 2 2 8 3" xfId="30259"/>
    <cellStyle name="Normal 4 2 2 2 8 3 2" xfId="30260"/>
    <cellStyle name="Normal 4 2 2 2 8 3 3" xfId="30261"/>
    <cellStyle name="Normal 4 2 2 2 8 4" xfId="30262"/>
    <cellStyle name="Normal 4 2 2 2 8 5" xfId="30263"/>
    <cellStyle name="Normal 4 2 2 2 9" xfId="30264"/>
    <cellStyle name="Normal 4 2 2 2 9 2" xfId="30265"/>
    <cellStyle name="Normal 4 2 2 2 9 3" xfId="30266"/>
    <cellStyle name="Normal 4 2 2 3" xfId="30267"/>
    <cellStyle name="Normal 4 2 2 3 10" xfId="30268"/>
    <cellStyle name="Normal 4 2 2 3 2" xfId="30269"/>
    <cellStyle name="Normal 4 2 2 3 2 2" xfId="30270"/>
    <cellStyle name="Normal 4 2 2 3 2 2 2" xfId="30271"/>
    <cellStyle name="Normal 4 2 2 3 2 2 2 2" xfId="30272"/>
    <cellStyle name="Normal 4 2 2 3 2 2 2 2 2" xfId="30273"/>
    <cellStyle name="Normal 4 2 2 3 2 2 2 2 2 2" xfId="30274"/>
    <cellStyle name="Normal 4 2 2 3 2 2 2 2 2 3" xfId="30275"/>
    <cellStyle name="Normal 4 2 2 3 2 2 2 2 3" xfId="30276"/>
    <cellStyle name="Normal 4 2 2 3 2 2 2 2 3 2" xfId="30277"/>
    <cellStyle name="Normal 4 2 2 3 2 2 2 2 3 3" xfId="30278"/>
    <cellStyle name="Normal 4 2 2 3 2 2 2 2 4" xfId="30279"/>
    <cellStyle name="Normal 4 2 2 3 2 2 2 2 5" xfId="30280"/>
    <cellStyle name="Normal 4 2 2 3 2 2 2 3" xfId="30281"/>
    <cellStyle name="Normal 4 2 2 3 2 2 2 3 2" xfId="30282"/>
    <cellStyle name="Normal 4 2 2 3 2 2 2 3 3" xfId="30283"/>
    <cellStyle name="Normal 4 2 2 3 2 2 2 4" xfId="30284"/>
    <cellStyle name="Normal 4 2 2 3 2 2 2 4 2" xfId="30285"/>
    <cellStyle name="Normal 4 2 2 3 2 2 2 4 3" xfId="30286"/>
    <cellStyle name="Normal 4 2 2 3 2 2 2 5" xfId="30287"/>
    <cellStyle name="Normal 4 2 2 3 2 2 2 6" xfId="30288"/>
    <cellStyle name="Normal 4 2 2 3 2 2 3" xfId="30289"/>
    <cellStyle name="Normal 4 2 2 3 2 2 3 2" xfId="30290"/>
    <cellStyle name="Normal 4 2 2 3 2 2 3 2 2" xfId="30291"/>
    <cellStyle name="Normal 4 2 2 3 2 2 3 2 2 2" xfId="30292"/>
    <cellStyle name="Normal 4 2 2 3 2 2 3 2 2 3" xfId="30293"/>
    <cellStyle name="Normal 4 2 2 3 2 2 3 2 3" xfId="30294"/>
    <cellStyle name="Normal 4 2 2 3 2 2 3 2 3 2" xfId="30295"/>
    <cellStyle name="Normal 4 2 2 3 2 2 3 2 3 3" xfId="30296"/>
    <cellStyle name="Normal 4 2 2 3 2 2 3 2 4" xfId="30297"/>
    <cellStyle name="Normal 4 2 2 3 2 2 3 2 5" xfId="30298"/>
    <cellStyle name="Normal 4 2 2 3 2 2 3 3" xfId="30299"/>
    <cellStyle name="Normal 4 2 2 3 2 2 3 3 2" xfId="30300"/>
    <cellStyle name="Normal 4 2 2 3 2 2 3 3 3" xfId="30301"/>
    <cellStyle name="Normal 4 2 2 3 2 2 3 4" xfId="30302"/>
    <cellStyle name="Normal 4 2 2 3 2 2 3 4 2" xfId="30303"/>
    <cellStyle name="Normal 4 2 2 3 2 2 3 4 3" xfId="30304"/>
    <cellStyle name="Normal 4 2 2 3 2 2 3 5" xfId="30305"/>
    <cellStyle name="Normal 4 2 2 3 2 2 3 6" xfId="30306"/>
    <cellStyle name="Normal 4 2 2 3 2 2 4" xfId="30307"/>
    <cellStyle name="Normal 4 2 2 3 2 2 4 2" xfId="30308"/>
    <cellStyle name="Normal 4 2 2 3 2 2 4 2 2" xfId="30309"/>
    <cellStyle name="Normal 4 2 2 3 2 2 4 2 3" xfId="30310"/>
    <cellStyle name="Normal 4 2 2 3 2 2 4 3" xfId="30311"/>
    <cellStyle name="Normal 4 2 2 3 2 2 4 3 2" xfId="30312"/>
    <cellStyle name="Normal 4 2 2 3 2 2 4 3 3" xfId="30313"/>
    <cellStyle name="Normal 4 2 2 3 2 2 4 4" xfId="30314"/>
    <cellStyle name="Normal 4 2 2 3 2 2 4 5" xfId="30315"/>
    <cellStyle name="Normal 4 2 2 3 2 2 5" xfId="30316"/>
    <cellStyle name="Normal 4 2 2 3 2 2 5 2" xfId="30317"/>
    <cellStyle name="Normal 4 2 2 3 2 2 5 3" xfId="30318"/>
    <cellStyle name="Normal 4 2 2 3 2 2 6" xfId="30319"/>
    <cellStyle name="Normal 4 2 2 3 2 2 6 2" xfId="30320"/>
    <cellStyle name="Normal 4 2 2 3 2 2 6 3" xfId="30321"/>
    <cellStyle name="Normal 4 2 2 3 2 2 7" xfId="30322"/>
    <cellStyle name="Normal 4 2 2 3 2 2 8" xfId="30323"/>
    <cellStyle name="Normal 4 2 2 3 2 3" xfId="30324"/>
    <cellStyle name="Normal 4 2 2 3 2 3 2" xfId="30325"/>
    <cellStyle name="Normal 4 2 2 3 2 3 2 2" xfId="30326"/>
    <cellStyle name="Normal 4 2 2 3 2 3 2 2 2" xfId="30327"/>
    <cellStyle name="Normal 4 2 2 3 2 3 2 2 3" xfId="30328"/>
    <cellStyle name="Normal 4 2 2 3 2 3 2 3" xfId="30329"/>
    <cellStyle name="Normal 4 2 2 3 2 3 2 3 2" xfId="30330"/>
    <cellStyle name="Normal 4 2 2 3 2 3 2 3 3" xfId="30331"/>
    <cellStyle name="Normal 4 2 2 3 2 3 2 4" xfId="30332"/>
    <cellStyle name="Normal 4 2 2 3 2 3 2 5" xfId="30333"/>
    <cellStyle name="Normal 4 2 2 3 2 3 3" xfId="30334"/>
    <cellStyle name="Normal 4 2 2 3 2 3 3 2" xfId="30335"/>
    <cellStyle name="Normal 4 2 2 3 2 3 3 3" xfId="30336"/>
    <cellStyle name="Normal 4 2 2 3 2 3 4" xfId="30337"/>
    <cellStyle name="Normal 4 2 2 3 2 3 4 2" xfId="30338"/>
    <cellStyle name="Normal 4 2 2 3 2 3 4 3" xfId="30339"/>
    <cellStyle name="Normal 4 2 2 3 2 3 5" xfId="30340"/>
    <cellStyle name="Normal 4 2 2 3 2 3 6" xfId="30341"/>
    <cellStyle name="Normal 4 2 2 3 2 4" xfId="30342"/>
    <cellStyle name="Normal 4 2 2 3 2 4 2" xfId="30343"/>
    <cellStyle name="Normal 4 2 2 3 2 4 2 2" xfId="30344"/>
    <cellStyle name="Normal 4 2 2 3 2 4 2 2 2" xfId="30345"/>
    <cellStyle name="Normal 4 2 2 3 2 4 2 2 3" xfId="30346"/>
    <cellStyle name="Normal 4 2 2 3 2 4 2 3" xfId="30347"/>
    <cellStyle name="Normal 4 2 2 3 2 4 2 3 2" xfId="30348"/>
    <cellStyle name="Normal 4 2 2 3 2 4 2 3 3" xfId="30349"/>
    <cellStyle name="Normal 4 2 2 3 2 4 2 4" xfId="30350"/>
    <cellStyle name="Normal 4 2 2 3 2 4 2 5" xfId="30351"/>
    <cellStyle name="Normal 4 2 2 3 2 4 3" xfId="30352"/>
    <cellStyle name="Normal 4 2 2 3 2 4 3 2" xfId="30353"/>
    <cellStyle name="Normal 4 2 2 3 2 4 3 3" xfId="30354"/>
    <cellStyle name="Normal 4 2 2 3 2 4 4" xfId="30355"/>
    <cellStyle name="Normal 4 2 2 3 2 4 4 2" xfId="30356"/>
    <cellStyle name="Normal 4 2 2 3 2 4 4 3" xfId="30357"/>
    <cellStyle name="Normal 4 2 2 3 2 4 5" xfId="30358"/>
    <cellStyle name="Normal 4 2 2 3 2 4 6" xfId="30359"/>
    <cellStyle name="Normal 4 2 2 3 2 5" xfId="30360"/>
    <cellStyle name="Normal 4 2 2 3 2 5 2" xfId="30361"/>
    <cellStyle name="Normal 4 2 2 3 2 5 2 2" xfId="30362"/>
    <cellStyle name="Normal 4 2 2 3 2 5 2 3" xfId="30363"/>
    <cellStyle name="Normal 4 2 2 3 2 5 3" xfId="30364"/>
    <cellStyle name="Normal 4 2 2 3 2 5 3 2" xfId="30365"/>
    <cellStyle name="Normal 4 2 2 3 2 5 3 3" xfId="30366"/>
    <cellStyle name="Normal 4 2 2 3 2 5 4" xfId="30367"/>
    <cellStyle name="Normal 4 2 2 3 2 5 5" xfId="30368"/>
    <cellStyle name="Normal 4 2 2 3 2 6" xfId="30369"/>
    <cellStyle name="Normal 4 2 2 3 2 6 2" xfId="30370"/>
    <cellStyle name="Normal 4 2 2 3 2 6 3" xfId="30371"/>
    <cellStyle name="Normal 4 2 2 3 2 7" xfId="30372"/>
    <cellStyle name="Normal 4 2 2 3 2 7 2" xfId="30373"/>
    <cellStyle name="Normal 4 2 2 3 2 7 3" xfId="30374"/>
    <cellStyle name="Normal 4 2 2 3 2 8" xfId="30375"/>
    <cellStyle name="Normal 4 2 2 3 2 9" xfId="30376"/>
    <cellStyle name="Normal 4 2 2 3 3" xfId="30377"/>
    <cellStyle name="Normal 4 2 2 3 3 2" xfId="30378"/>
    <cellStyle name="Normal 4 2 2 3 3 2 2" xfId="30379"/>
    <cellStyle name="Normal 4 2 2 3 3 2 2 2" xfId="30380"/>
    <cellStyle name="Normal 4 2 2 3 3 2 2 2 2" xfId="30381"/>
    <cellStyle name="Normal 4 2 2 3 3 2 2 2 3" xfId="30382"/>
    <cellStyle name="Normal 4 2 2 3 3 2 2 3" xfId="30383"/>
    <cellStyle name="Normal 4 2 2 3 3 2 2 3 2" xfId="30384"/>
    <cellStyle name="Normal 4 2 2 3 3 2 2 3 3" xfId="30385"/>
    <cellStyle name="Normal 4 2 2 3 3 2 2 4" xfId="30386"/>
    <cellStyle name="Normal 4 2 2 3 3 2 2 5" xfId="30387"/>
    <cellStyle name="Normal 4 2 2 3 3 2 3" xfId="30388"/>
    <cellStyle name="Normal 4 2 2 3 3 2 3 2" xfId="30389"/>
    <cellStyle name="Normal 4 2 2 3 3 2 3 3" xfId="30390"/>
    <cellStyle name="Normal 4 2 2 3 3 2 4" xfId="30391"/>
    <cellStyle name="Normal 4 2 2 3 3 2 4 2" xfId="30392"/>
    <cellStyle name="Normal 4 2 2 3 3 2 4 3" xfId="30393"/>
    <cellStyle name="Normal 4 2 2 3 3 2 5" xfId="30394"/>
    <cellStyle name="Normal 4 2 2 3 3 2 6" xfId="30395"/>
    <cellStyle name="Normal 4 2 2 3 3 3" xfId="30396"/>
    <cellStyle name="Normal 4 2 2 3 3 3 2" xfId="30397"/>
    <cellStyle name="Normal 4 2 2 3 3 3 2 2" xfId="30398"/>
    <cellStyle name="Normal 4 2 2 3 3 3 2 2 2" xfId="30399"/>
    <cellStyle name="Normal 4 2 2 3 3 3 2 2 3" xfId="30400"/>
    <cellStyle name="Normal 4 2 2 3 3 3 2 3" xfId="30401"/>
    <cellStyle name="Normal 4 2 2 3 3 3 2 3 2" xfId="30402"/>
    <cellStyle name="Normal 4 2 2 3 3 3 2 3 3" xfId="30403"/>
    <cellStyle name="Normal 4 2 2 3 3 3 2 4" xfId="30404"/>
    <cellStyle name="Normal 4 2 2 3 3 3 2 5" xfId="30405"/>
    <cellStyle name="Normal 4 2 2 3 3 3 3" xfId="30406"/>
    <cellStyle name="Normal 4 2 2 3 3 3 3 2" xfId="30407"/>
    <cellStyle name="Normal 4 2 2 3 3 3 3 3" xfId="30408"/>
    <cellStyle name="Normal 4 2 2 3 3 3 4" xfId="30409"/>
    <cellStyle name="Normal 4 2 2 3 3 3 4 2" xfId="30410"/>
    <cellStyle name="Normal 4 2 2 3 3 3 4 3" xfId="30411"/>
    <cellStyle name="Normal 4 2 2 3 3 3 5" xfId="30412"/>
    <cellStyle name="Normal 4 2 2 3 3 3 6" xfId="30413"/>
    <cellStyle name="Normal 4 2 2 3 3 4" xfId="30414"/>
    <cellStyle name="Normal 4 2 2 3 3 4 2" xfId="30415"/>
    <cellStyle name="Normal 4 2 2 3 3 4 2 2" xfId="30416"/>
    <cellStyle name="Normal 4 2 2 3 3 4 2 3" xfId="30417"/>
    <cellStyle name="Normal 4 2 2 3 3 4 3" xfId="30418"/>
    <cellStyle name="Normal 4 2 2 3 3 4 3 2" xfId="30419"/>
    <cellStyle name="Normal 4 2 2 3 3 4 3 3" xfId="30420"/>
    <cellStyle name="Normal 4 2 2 3 3 4 4" xfId="30421"/>
    <cellStyle name="Normal 4 2 2 3 3 4 5" xfId="30422"/>
    <cellStyle name="Normal 4 2 2 3 3 5" xfId="30423"/>
    <cellStyle name="Normal 4 2 2 3 3 5 2" xfId="30424"/>
    <cellStyle name="Normal 4 2 2 3 3 5 3" xfId="30425"/>
    <cellStyle name="Normal 4 2 2 3 3 6" xfId="30426"/>
    <cellStyle name="Normal 4 2 2 3 3 6 2" xfId="30427"/>
    <cellStyle name="Normal 4 2 2 3 3 6 3" xfId="30428"/>
    <cellStyle name="Normal 4 2 2 3 3 7" xfId="30429"/>
    <cellStyle name="Normal 4 2 2 3 3 8" xfId="30430"/>
    <cellStyle name="Normal 4 2 2 3 4" xfId="30431"/>
    <cellStyle name="Normal 4 2 2 3 4 2" xfId="30432"/>
    <cellStyle name="Normal 4 2 2 3 4 2 2" xfId="30433"/>
    <cellStyle name="Normal 4 2 2 3 4 2 2 2" xfId="30434"/>
    <cellStyle name="Normal 4 2 2 3 4 2 2 3" xfId="30435"/>
    <cellStyle name="Normal 4 2 2 3 4 2 3" xfId="30436"/>
    <cellStyle name="Normal 4 2 2 3 4 2 3 2" xfId="30437"/>
    <cellStyle name="Normal 4 2 2 3 4 2 3 3" xfId="30438"/>
    <cellStyle name="Normal 4 2 2 3 4 2 4" xfId="30439"/>
    <cellStyle name="Normal 4 2 2 3 4 2 5" xfId="30440"/>
    <cellStyle name="Normal 4 2 2 3 4 3" xfId="30441"/>
    <cellStyle name="Normal 4 2 2 3 4 3 2" xfId="30442"/>
    <cellStyle name="Normal 4 2 2 3 4 3 3" xfId="30443"/>
    <cellStyle name="Normal 4 2 2 3 4 4" xfId="30444"/>
    <cellStyle name="Normal 4 2 2 3 4 4 2" xfId="30445"/>
    <cellStyle name="Normal 4 2 2 3 4 4 3" xfId="30446"/>
    <cellStyle name="Normal 4 2 2 3 4 5" xfId="30447"/>
    <cellStyle name="Normal 4 2 2 3 4 6" xfId="30448"/>
    <cellStyle name="Normal 4 2 2 3 5" xfId="30449"/>
    <cellStyle name="Normal 4 2 2 3 5 2" xfId="30450"/>
    <cellStyle name="Normal 4 2 2 3 5 2 2" xfId="30451"/>
    <cellStyle name="Normal 4 2 2 3 5 2 2 2" xfId="30452"/>
    <cellStyle name="Normal 4 2 2 3 5 2 2 3" xfId="30453"/>
    <cellStyle name="Normal 4 2 2 3 5 2 3" xfId="30454"/>
    <cellStyle name="Normal 4 2 2 3 5 2 3 2" xfId="30455"/>
    <cellStyle name="Normal 4 2 2 3 5 2 3 3" xfId="30456"/>
    <cellStyle name="Normal 4 2 2 3 5 2 4" xfId="30457"/>
    <cellStyle name="Normal 4 2 2 3 5 2 5" xfId="30458"/>
    <cellStyle name="Normal 4 2 2 3 5 3" xfId="30459"/>
    <cellStyle name="Normal 4 2 2 3 5 3 2" xfId="30460"/>
    <cellStyle name="Normal 4 2 2 3 5 3 3" xfId="30461"/>
    <cellStyle name="Normal 4 2 2 3 5 4" xfId="30462"/>
    <cellStyle name="Normal 4 2 2 3 5 4 2" xfId="30463"/>
    <cellStyle name="Normal 4 2 2 3 5 4 3" xfId="30464"/>
    <cellStyle name="Normal 4 2 2 3 5 5" xfId="30465"/>
    <cellStyle name="Normal 4 2 2 3 5 6" xfId="30466"/>
    <cellStyle name="Normal 4 2 2 3 6" xfId="30467"/>
    <cellStyle name="Normal 4 2 2 3 6 2" xfId="30468"/>
    <cellStyle name="Normal 4 2 2 3 6 2 2" xfId="30469"/>
    <cellStyle name="Normal 4 2 2 3 6 2 3" xfId="30470"/>
    <cellStyle name="Normal 4 2 2 3 6 3" xfId="30471"/>
    <cellStyle name="Normal 4 2 2 3 6 3 2" xfId="30472"/>
    <cellStyle name="Normal 4 2 2 3 6 3 3" xfId="30473"/>
    <cellStyle name="Normal 4 2 2 3 6 4" xfId="30474"/>
    <cellStyle name="Normal 4 2 2 3 6 5" xfId="30475"/>
    <cellStyle name="Normal 4 2 2 3 7" xfId="30476"/>
    <cellStyle name="Normal 4 2 2 3 7 2" xfId="30477"/>
    <cellStyle name="Normal 4 2 2 3 7 3" xfId="30478"/>
    <cellStyle name="Normal 4 2 2 3 8" xfId="30479"/>
    <cellStyle name="Normal 4 2 2 3 8 2" xfId="30480"/>
    <cellStyle name="Normal 4 2 2 3 8 3" xfId="30481"/>
    <cellStyle name="Normal 4 2 2 3 9" xfId="30482"/>
    <cellStyle name="Normal 4 2 2 4" xfId="30483"/>
    <cellStyle name="Normal 4 2 2 4 10" xfId="30484"/>
    <cellStyle name="Normal 4 2 2 4 2" xfId="30485"/>
    <cellStyle name="Normal 4 2 2 4 2 2" xfId="30486"/>
    <cellStyle name="Normal 4 2 2 4 2 2 2" xfId="30487"/>
    <cellStyle name="Normal 4 2 2 4 2 2 2 2" xfId="30488"/>
    <cellStyle name="Normal 4 2 2 4 2 2 2 2 2" xfId="30489"/>
    <cellStyle name="Normal 4 2 2 4 2 2 2 2 2 2" xfId="30490"/>
    <cellStyle name="Normal 4 2 2 4 2 2 2 2 2 3" xfId="30491"/>
    <cellStyle name="Normal 4 2 2 4 2 2 2 2 3" xfId="30492"/>
    <cellStyle name="Normal 4 2 2 4 2 2 2 2 3 2" xfId="30493"/>
    <cellStyle name="Normal 4 2 2 4 2 2 2 2 3 3" xfId="30494"/>
    <cellStyle name="Normal 4 2 2 4 2 2 2 2 4" xfId="30495"/>
    <cellStyle name="Normal 4 2 2 4 2 2 2 2 5" xfId="30496"/>
    <cellStyle name="Normal 4 2 2 4 2 2 2 3" xfId="30497"/>
    <cellStyle name="Normal 4 2 2 4 2 2 2 3 2" xfId="30498"/>
    <cellStyle name="Normal 4 2 2 4 2 2 2 3 3" xfId="30499"/>
    <cellStyle name="Normal 4 2 2 4 2 2 2 4" xfId="30500"/>
    <cellStyle name="Normal 4 2 2 4 2 2 2 4 2" xfId="30501"/>
    <cellStyle name="Normal 4 2 2 4 2 2 2 4 3" xfId="30502"/>
    <cellStyle name="Normal 4 2 2 4 2 2 2 5" xfId="30503"/>
    <cellStyle name="Normal 4 2 2 4 2 2 2 6" xfId="30504"/>
    <cellStyle name="Normal 4 2 2 4 2 2 3" xfId="30505"/>
    <cellStyle name="Normal 4 2 2 4 2 2 3 2" xfId="30506"/>
    <cellStyle name="Normal 4 2 2 4 2 2 3 2 2" xfId="30507"/>
    <cellStyle name="Normal 4 2 2 4 2 2 3 2 2 2" xfId="30508"/>
    <cellStyle name="Normal 4 2 2 4 2 2 3 2 2 3" xfId="30509"/>
    <cellStyle name="Normal 4 2 2 4 2 2 3 2 3" xfId="30510"/>
    <cellStyle name="Normal 4 2 2 4 2 2 3 2 3 2" xfId="30511"/>
    <cellStyle name="Normal 4 2 2 4 2 2 3 2 3 3" xfId="30512"/>
    <cellStyle name="Normal 4 2 2 4 2 2 3 2 4" xfId="30513"/>
    <cellStyle name="Normal 4 2 2 4 2 2 3 2 5" xfId="30514"/>
    <cellStyle name="Normal 4 2 2 4 2 2 3 3" xfId="30515"/>
    <cellStyle name="Normal 4 2 2 4 2 2 3 3 2" xfId="30516"/>
    <cellStyle name="Normal 4 2 2 4 2 2 3 3 3" xfId="30517"/>
    <cellStyle name="Normal 4 2 2 4 2 2 3 4" xfId="30518"/>
    <cellStyle name="Normal 4 2 2 4 2 2 3 4 2" xfId="30519"/>
    <cellStyle name="Normal 4 2 2 4 2 2 3 4 3" xfId="30520"/>
    <cellStyle name="Normal 4 2 2 4 2 2 3 5" xfId="30521"/>
    <cellStyle name="Normal 4 2 2 4 2 2 3 6" xfId="30522"/>
    <cellStyle name="Normal 4 2 2 4 2 2 4" xfId="30523"/>
    <cellStyle name="Normal 4 2 2 4 2 2 4 2" xfId="30524"/>
    <cellStyle name="Normal 4 2 2 4 2 2 4 2 2" xfId="30525"/>
    <cellStyle name="Normal 4 2 2 4 2 2 4 2 3" xfId="30526"/>
    <cellStyle name="Normal 4 2 2 4 2 2 4 3" xfId="30527"/>
    <cellStyle name="Normal 4 2 2 4 2 2 4 3 2" xfId="30528"/>
    <cellStyle name="Normal 4 2 2 4 2 2 4 3 3" xfId="30529"/>
    <cellStyle name="Normal 4 2 2 4 2 2 4 4" xfId="30530"/>
    <cellStyle name="Normal 4 2 2 4 2 2 4 5" xfId="30531"/>
    <cellStyle name="Normal 4 2 2 4 2 2 5" xfId="30532"/>
    <cellStyle name="Normal 4 2 2 4 2 2 5 2" xfId="30533"/>
    <cellStyle name="Normal 4 2 2 4 2 2 5 3" xfId="30534"/>
    <cellStyle name="Normal 4 2 2 4 2 2 6" xfId="30535"/>
    <cellStyle name="Normal 4 2 2 4 2 2 6 2" xfId="30536"/>
    <cellStyle name="Normal 4 2 2 4 2 2 6 3" xfId="30537"/>
    <cellStyle name="Normal 4 2 2 4 2 2 7" xfId="30538"/>
    <cellStyle name="Normal 4 2 2 4 2 2 8" xfId="30539"/>
    <cellStyle name="Normal 4 2 2 4 2 3" xfId="30540"/>
    <cellStyle name="Normal 4 2 2 4 2 3 2" xfId="30541"/>
    <cellStyle name="Normal 4 2 2 4 2 3 2 2" xfId="30542"/>
    <cellStyle name="Normal 4 2 2 4 2 3 2 2 2" xfId="30543"/>
    <cellStyle name="Normal 4 2 2 4 2 3 2 2 3" xfId="30544"/>
    <cellStyle name="Normal 4 2 2 4 2 3 2 3" xfId="30545"/>
    <cellStyle name="Normal 4 2 2 4 2 3 2 3 2" xfId="30546"/>
    <cellStyle name="Normal 4 2 2 4 2 3 2 3 3" xfId="30547"/>
    <cellStyle name="Normal 4 2 2 4 2 3 2 4" xfId="30548"/>
    <cellStyle name="Normal 4 2 2 4 2 3 2 5" xfId="30549"/>
    <cellStyle name="Normal 4 2 2 4 2 3 3" xfId="30550"/>
    <cellStyle name="Normal 4 2 2 4 2 3 3 2" xfId="30551"/>
    <cellStyle name="Normal 4 2 2 4 2 3 3 3" xfId="30552"/>
    <cellStyle name="Normal 4 2 2 4 2 3 4" xfId="30553"/>
    <cellStyle name="Normal 4 2 2 4 2 3 4 2" xfId="30554"/>
    <cellStyle name="Normal 4 2 2 4 2 3 4 3" xfId="30555"/>
    <cellStyle name="Normal 4 2 2 4 2 3 5" xfId="30556"/>
    <cellStyle name="Normal 4 2 2 4 2 3 6" xfId="30557"/>
    <cellStyle name="Normal 4 2 2 4 2 4" xfId="30558"/>
    <cellStyle name="Normal 4 2 2 4 2 4 2" xfId="30559"/>
    <cellStyle name="Normal 4 2 2 4 2 4 2 2" xfId="30560"/>
    <cellStyle name="Normal 4 2 2 4 2 4 2 2 2" xfId="30561"/>
    <cellStyle name="Normal 4 2 2 4 2 4 2 2 3" xfId="30562"/>
    <cellStyle name="Normal 4 2 2 4 2 4 2 3" xfId="30563"/>
    <cellStyle name="Normal 4 2 2 4 2 4 2 3 2" xfId="30564"/>
    <cellStyle name="Normal 4 2 2 4 2 4 2 3 3" xfId="30565"/>
    <cellStyle name="Normal 4 2 2 4 2 4 2 4" xfId="30566"/>
    <cellStyle name="Normal 4 2 2 4 2 4 2 5" xfId="30567"/>
    <cellStyle name="Normal 4 2 2 4 2 4 3" xfId="30568"/>
    <cellStyle name="Normal 4 2 2 4 2 4 3 2" xfId="30569"/>
    <cellStyle name="Normal 4 2 2 4 2 4 3 3" xfId="30570"/>
    <cellStyle name="Normal 4 2 2 4 2 4 4" xfId="30571"/>
    <cellStyle name="Normal 4 2 2 4 2 4 4 2" xfId="30572"/>
    <cellStyle name="Normal 4 2 2 4 2 4 4 3" xfId="30573"/>
    <cellStyle name="Normal 4 2 2 4 2 4 5" xfId="30574"/>
    <cellStyle name="Normal 4 2 2 4 2 4 6" xfId="30575"/>
    <cellStyle name="Normal 4 2 2 4 2 5" xfId="30576"/>
    <cellStyle name="Normal 4 2 2 4 2 5 2" xfId="30577"/>
    <cellStyle name="Normal 4 2 2 4 2 5 2 2" xfId="30578"/>
    <cellStyle name="Normal 4 2 2 4 2 5 2 3" xfId="30579"/>
    <cellStyle name="Normal 4 2 2 4 2 5 3" xfId="30580"/>
    <cellStyle name="Normal 4 2 2 4 2 5 3 2" xfId="30581"/>
    <cellStyle name="Normal 4 2 2 4 2 5 3 3" xfId="30582"/>
    <cellStyle name="Normal 4 2 2 4 2 5 4" xfId="30583"/>
    <cellStyle name="Normal 4 2 2 4 2 5 5" xfId="30584"/>
    <cellStyle name="Normal 4 2 2 4 2 6" xfId="30585"/>
    <cellStyle name="Normal 4 2 2 4 2 6 2" xfId="30586"/>
    <cellStyle name="Normal 4 2 2 4 2 6 3" xfId="30587"/>
    <cellStyle name="Normal 4 2 2 4 2 7" xfId="30588"/>
    <cellStyle name="Normal 4 2 2 4 2 7 2" xfId="30589"/>
    <cellStyle name="Normal 4 2 2 4 2 7 3" xfId="30590"/>
    <cellStyle name="Normal 4 2 2 4 2 8" xfId="30591"/>
    <cellStyle name="Normal 4 2 2 4 2 9" xfId="30592"/>
    <cellStyle name="Normal 4 2 2 4 3" xfId="30593"/>
    <cellStyle name="Normal 4 2 2 4 3 2" xfId="30594"/>
    <cellStyle name="Normal 4 2 2 4 3 2 2" xfId="30595"/>
    <cellStyle name="Normal 4 2 2 4 3 2 2 2" xfId="30596"/>
    <cellStyle name="Normal 4 2 2 4 3 2 2 2 2" xfId="30597"/>
    <cellStyle name="Normal 4 2 2 4 3 2 2 2 3" xfId="30598"/>
    <cellStyle name="Normal 4 2 2 4 3 2 2 3" xfId="30599"/>
    <cellStyle name="Normal 4 2 2 4 3 2 2 3 2" xfId="30600"/>
    <cellStyle name="Normal 4 2 2 4 3 2 2 3 3" xfId="30601"/>
    <cellStyle name="Normal 4 2 2 4 3 2 2 4" xfId="30602"/>
    <cellStyle name="Normal 4 2 2 4 3 2 2 5" xfId="30603"/>
    <cellStyle name="Normal 4 2 2 4 3 2 3" xfId="30604"/>
    <cellStyle name="Normal 4 2 2 4 3 2 3 2" xfId="30605"/>
    <cellStyle name="Normal 4 2 2 4 3 2 3 3" xfId="30606"/>
    <cellStyle name="Normal 4 2 2 4 3 2 4" xfId="30607"/>
    <cellStyle name="Normal 4 2 2 4 3 2 4 2" xfId="30608"/>
    <cellStyle name="Normal 4 2 2 4 3 2 4 3" xfId="30609"/>
    <cellStyle name="Normal 4 2 2 4 3 2 5" xfId="30610"/>
    <cellStyle name="Normal 4 2 2 4 3 2 6" xfId="30611"/>
    <cellStyle name="Normal 4 2 2 4 3 3" xfId="30612"/>
    <cellStyle name="Normal 4 2 2 4 3 3 2" xfId="30613"/>
    <cellStyle name="Normal 4 2 2 4 3 3 2 2" xfId="30614"/>
    <cellStyle name="Normal 4 2 2 4 3 3 2 2 2" xfId="30615"/>
    <cellStyle name="Normal 4 2 2 4 3 3 2 2 3" xfId="30616"/>
    <cellStyle name="Normal 4 2 2 4 3 3 2 3" xfId="30617"/>
    <cellStyle name="Normal 4 2 2 4 3 3 2 3 2" xfId="30618"/>
    <cellStyle name="Normal 4 2 2 4 3 3 2 3 3" xfId="30619"/>
    <cellStyle name="Normal 4 2 2 4 3 3 2 4" xfId="30620"/>
    <cellStyle name="Normal 4 2 2 4 3 3 2 5" xfId="30621"/>
    <cellStyle name="Normal 4 2 2 4 3 3 3" xfId="30622"/>
    <cellStyle name="Normal 4 2 2 4 3 3 3 2" xfId="30623"/>
    <cellStyle name="Normal 4 2 2 4 3 3 3 3" xfId="30624"/>
    <cellStyle name="Normal 4 2 2 4 3 3 4" xfId="30625"/>
    <cellStyle name="Normal 4 2 2 4 3 3 4 2" xfId="30626"/>
    <cellStyle name="Normal 4 2 2 4 3 3 4 3" xfId="30627"/>
    <cellStyle name="Normal 4 2 2 4 3 3 5" xfId="30628"/>
    <cellStyle name="Normal 4 2 2 4 3 3 6" xfId="30629"/>
    <cellStyle name="Normal 4 2 2 4 3 4" xfId="30630"/>
    <cellStyle name="Normal 4 2 2 4 3 4 2" xfId="30631"/>
    <cellStyle name="Normal 4 2 2 4 3 4 2 2" xfId="30632"/>
    <cellStyle name="Normal 4 2 2 4 3 4 2 3" xfId="30633"/>
    <cellStyle name="Normal 4 2 2 4 3 4 3" xfId="30634"/>
    <cellStyle name="Normal 4 2 2 4 3 4 3 2" xfId="30635"/>
    <cellStyle name="Normal 4 2 2 4 3 4 3 3" xfId="30636"/>
    <cellStyle name="Normal 4 2 2 4 3 4 4" xfId="30637"/>
    <cellStyle name="Normal 4 2 2 4 3 4 5" xfId="30638"/>
    <cellStyle name="Normal 4 2 2 4 3 5" xfId="30639"/>
    <cellStyle name="Normal 4 2 2 4 3 5 2" xfId="30640"/>
    <cellStyle name="Normal 4 2 2 4 3 5 3" xfId="30641"/>
    <cellStyle name="Normal 4 2 2 4 3 6" xfId="30642"/>
    <cellStyle name="Normal 4 2 2 4 3 6 2" xfId="30643"/>
    <cellStyle name="Normal 4 2 2 4 3 6 3" xfId="30644"/>
    <cellStyle name="Normal 4 2 2 4 3 7" xfId="30645"/>
    <cellStyle name="Normal 4 2 2 4 3 8" xfId="30646"/>
    <cellStyle name="Normal 4 2 2 4 4" xfId="30647"/>
    <cellStyle name="Normal 4 2 2 4 4 2" xfId="30648"/>
    <cellStyle name="Normal 4 2 2 4 4 2 2" xfId="30649"/>
    <cellStyle name="Normal 4 2 2 4 4 2 2 2" xfId="30650"/>
    <cellStyle name="Normal 4 2 2 4 4 2 2 3" xfId="30651"/>
    <cellStyle name="Normal 4 2 2 4 4 2 3" xfId="30652"/>
    <cellStyle name="Normal 4 2 2 4 4 2 3 2" xfId="30653"/>
    <cellStyle name="Normal 4 2 2 4 4 2 3 3" xfId="30654"/>
    <cellStyle name="Normal 4 2 2 4 4 2 4" xfId="30655"/>
    <cellStyle name="Normal 4 2 2 4 4 2 5" xfId="30656"/>
    <cellStyle name="Normal 4 2 2 4 4 3" xfId="30657"/>
    <cellStyle name="Normal 4 2 2 4 4 3 2" xfId="30658"/>
    <cellStyle name="Normal 4 2 2 4 4 3 3" xfId="30659"/>
    <cellStyle name="Normal 4 2 2 4 4 4" xfId="30660"/>
    <cellStyle name="Normal 4 2 2 4 4 4 2" xfId="30661"/>
    <cellStyle name="Normal 4 2 2 4 4 4 3" xfId="30662"/>
    <cellStyle name="Normal 4 2 2 4 4 5" xfId="30663"/>
    <cellStyle name="Normal 4 2 2 4 4 6" xfId="30664"/>
    <cellStyle name="Normal 4 2 2 4 5" xfId="30665"/>
    <cellStyle name="Normal 4 2 2 4 5 2" xfId="30666"/>
    <cellStyle name="Normal 4 2 2 4 5 2 2" xfId="30667"/>
    <cellStyle name="Normal 4 2 2 4 5 2 2 2" xfId="30668"/>
    <cellStyle name="Normal 4 2 2 4 5 2 2 3" xfId="30669"/>
    <cellStyle name="Normal 4 2 2 4 5 2 3" xfId="30670"/>
    <cellStyle name="Normal 4 2 2 4 5 2 3 2" xfId="30671"/>
    <cellStyle name="Normal 4 2 2 4 5 2 3 3" xfId="30672"/>
    <cellStyle name="Normal 4 2 2 4 5 2 4" xfId="30673"/>
    <cellStyle name="Normal 4 2 2 4 5 2 5" xfId="30674"/>
    <cellStyle name="Normal 4 2 2 4 5 3" xfId="30675"/>
    <cellStyle name="Normal 4 2 2 4 5 3 2" xfId="30676"/>
    <cellStyle name="Normal 4 2 2 4 5 3 3" xfId="30677"/>
    <cellStyle name="Normal 4 2 2 4 5 4" xfId="30678"/>
    <cellStyle name="Normal 4 2 2 4 5 4 2" xfId="30679"/>
    <cellStyle name="Normal 4 2 2 4 5 4 3" xfId="30680"/>
    <cellStyle name="Normal 4 2 2 4 5 5" xfId="30681"/>
    <cellStyle name="Normal 4 2 2 4 5 6" xfId="30682"/>
    <cellStyle name="Normal 4 2 2 4 6" xfId="30683"/>
    <cellStyle name="Normal 4 2 2 4 6 2" xfId="30684"/>
    <cellStyle name="Normal 4 2 2 4 6 2 2" xfId="30685"/>
    <cellStyle name="Normal 4 2 2 4 6 2 3" xfId="30686"/>
    <cellStyle name="Normal 4 2 2 4 6 3" xfId="30687"/>
    <cellStyle name="Normal 4 2 2 4 6 3 2" xfId="30688"/>
    <cellStyle name="Normal 4 2 2 4 6 3 3" xfId="30689"/>
    <cellStyle name="Normal 4 2 2 4 6 4" xfId="30690"/>
    <cellStyle name="Normal 4 2 2 4 6 5" xfId="30691"/>
    <cellStyle name="Normal 4 2 2 4 7" xfId="30692"/>
    <cellStyle name="Normal 4 2 2 4 7 2" xfId="30693"/>
    <cellStyle name="Normal 4 2 2 4 7 3" xfId="30694"/>
    <cellStyle name="Normal 4 2 2 4 8" xfId="30695"/>
    <cellStyle name="Normal 4 2 2 4 8 2" xfId="30696"/>
    <cellStyle name="Normal 4 2 2 4 8 3" xfId="30697"/>
    <cellStyle name="Normal 4 2 2 4 9" xfId="30698"/>
    <cellStyle name="Normal 4 2 2 5" xfId="30699"/>
    <cellStyle name="Normal 4 2 2 5 2" xfId="30700"/>
    <cellStyle name="Normal 4 2 2 5 2 2" xfId="30701"/>
    <cellStyle name="Normal 4 2 2 5 2 2 2" xfId="30702"/>
    <cellStyle name="Normal 4 2 2 5 2 2 2 2" xfId="30703"/>
    <cellStyle name="Normal 4 2 2 5 2 2 2 2 2" xfId="30704"/>
    <cellStyle name="Normal 4 2 2 5 2 2 2 2 3" xfId="30705"/>
    <cellStyle name="Normal 4 2 2 5 2 2 2 3" xfId="30706"/>
    <cellStyle name="Normal 4 2 2 5 2 2 2 3 2" xfId="30707"/>
    <cellStyle name="Normal 4 2 2 5 2 2 2 3 3" xfId="30708"/>
    <cellStyle name="Normal 4 2 2 5 2 2 2 4" xfId="30709"/>
    <cellStyle name="Normal 4 2 2 5 2 2 2 5" xfId="30710"/>
    <cellStyle name="Normal 4 2 2 5 2 2 3" xfId="30711"/>
    <cellStyle name="Normal 4 2 2 5 2 2 3 2" xfId="30712"/>
    <cellStyle name="Normal 4 2 2 5 2 2 3 3" xfId="30713"/>
    <cellStyle name="Normal 4 2 2 5 2 2 4" xfId="30714"/>
    <cellStyle name="Normal 4 2 2 5 2 2 4 2" xfId="30715"/>
    <cellStyle name="Normal 4 2 2 5 2 2 4 3" xfId="30716"/>
    <cellStyle name="Normal 4 2 2 5 2 2 5" xfId="30717"/>
    <cellStyle name="Normal 4 2 2 5 2 2 6" xfId="30718"/>
    <cellStyle name="Normal 4 2 2 5 2 3" xfId="30719"/>
    <cellStyle name="Normal 4 2 2 5 2 3 2" xfId="30720"/>
    <cellStyle name="Normal 4 2 2 5 2 3 2 2" xfId="30721"/>
    <cellStyle name="Normal 4 2 2 5 2 3 2 2 2" xfId="30722"/>
    <cellStyle name="Normal 4 2 2 5 2 3 2 2 3" xfId="30723"/>
    <cellStyle name="Normal 4 2 2 5 2 3 2 3" xfId="30724"/>
    <cellStyle name="Normal 4 2 2 5 2 3 2 3 2" xfId="30725"/>
    <cellStyle name="Normal 4 2 2 5 2 3 2 3 3" xfId="30726"/>
    <cellStyle name="Normal 4 2 2 5 2 3 2 4" xfId="30727"/>
    <cellStyle name="Normal 4 2 2 5 2 3 2 5" xfId="30728"/>
    <cellStyle name="Normal 4 2 2 5 2 3 3" xfId="30729"/>
    <cellStyle name="Normal 4 2 2 5 2 3 3 2" xfId="30730"/>
    <cellStyle name="Normal 4 2 2 5 2 3 3 3" xfId="30731"/>
    <cellStyle name="Normal 4 2 2 5 2 3 4" xfId="30732"/>
    <cellStyle name="Normal 4 2 2 5 2 3 4 2" xfId="30733"/>
    <cellStyle name="Normal 4 2 2 5 2 3 4 3" xfId="30734"/>
    <cellStyle name="Normal 4 2 2 5 2 3 5" xfId="30735"/>
    <cellStyle name="Normal 4 2 2 5 2 3 6" xfId="30736"/>
    <cellStyle name="Normal 4 2 2 5 2 4" xfId="30737"/>
    <cellStyle name="Normal 4 2 2 5 2 4 2" xfId="30738"/>
    <cellStyle name="Normal 4 2 2 5 2 4 2 2" xfId="30739"/>
    <cellStyle name="Normal 4 2 2 5 2 4 2 3" xfId="30740"/>
    <cellStyle name="Normal 4 2 2 5 2 4 3" xfId="30741"/>
    <cellStyle name="Normal 4 2 2 5 2 4 3 2" xfId="30742"/>
    <cellStyle name="Normal 4 2 2 5 2 4 3 3" xfId="30743"/>
    <cellStyle name="Normal 4 2 2 5 2 4 4" xfId="30744"/>
    <cellStyle name="Normal 4 2 2 5 2 4 5" xfId="30745"/>
    <cellStyle name="Normal 4 2 2 5 2 5" xfId="30746"/>
    <cellStyle name="Normal 4 2 2 5 2 5 2" xfId="30747"/>
    <cellStyle name="Normal 4 2 2 5 2 5 3" xfId="30748"/>
    <cellStyle name="Normal 4 2 2 5 2 6" xfId="30749"/>
    <cellStyle name="Normal 4 2 2 5 2 6 2" xfId="30750"/>
    <cellStyle name="Normal 4 2 2 5 2 6 3" xfId="30751"/>
    <cellStyle name="Normal 4 2 2 5 2 7" xfId="30752"/>
    <cellStyle name="Normal 4 2 2 5 2 8" xfId="30753"/>
    <cellStyle name="Normal 4 2 2 5 3" xfId="30754"/>
    <cellStyle name="Normal 4 2 2 5 3 2" xfId="30755"/>
    <cellStyle name="Normal 4 2 2 5 3 2 2" xfId="30756"/>
    <cellStyle name="Normal 4 2 2 5 3 2 2 2" xfId="30757"/>
    <cellStyle name="Normal 4 2 2 5 3 2 2 3" xfId="30758"/>
    <cellStyle name="Normal 4 2 2 5 3 2 3" xfId="30759"/>
    <cellStyle name="Normal 4 2 2 5 3 2 3 2" xfId="30760"/>
    <cellStyle name="Normal 4 2 2 5 3 2 3 3" xfId="30761"/>
    <cellStyle name="Normal 4 2 2 5 3 2 4" xfId="30762"/>
    <cellStyle name="Normal 4 2 2 5 3 2 5" xfId="30763"/>
    <cellStyle name="Normal 4 2 2 5 3 3" xfId="30764"/>
    <cellStyle name="Normal 4 2 2 5 3 3 2" xfId="30765"/>
    <cellStyle name="Normal 4 2 2 5 3 3 3" xfId="30766"/>
    <cellStyle name="Normal 4 2 2 5 3 4" xfId="30767"/>
    <cellStyle name="Normal 4 2 2 5 3 4 2" xfId="30768"/>
    <cellStyle name="Normal 4 2 2 5 3 4 3" xfId="30769"/>
    <cellStyle name="Normal 4 2 2 5 3 5" xfId="30770"/>
    <cellStyle name="Normal 4 2 2 5 3 6" xfId="30771"/>
    <cellStyle name="Normal 4 2 2 5 4" xfId="30772"/>
    <cellStyle name="Normal 4 2 2 5 4 2" xfId="30773"/>
    <cellStyle name="Normal 4 2 2 5 4 2 2" xfId="30774"/>
    <cellStyle name="Normal 4 2 2 5 4 2 2 2" xfId="30775"/>
    <cellStyle name="Normal 4 2 2 5 4 2 2 3" xfId="30776"/>
    <cellStyle name="Normal 4 2 2 5 4 2 3" xfId="30777"/>
    <cellStyle name="Normal 4 2 2 5 4 2 3 2" xfId="30778"/>
    <cellStyle name="Normal 4 2 2 5 4 2 3 3" xfId="30779"/>
    <cellStyle name="Normal 4 2 2 5 4 2 4" xfId="30780"/>
    <cellStyle name="Normal 4 2 2 5 4 2 5" xfId="30781"/>
    <cellStyle name="Normal 4 2 2 5 4 3" xfId="30782"/>
    <cellStyle name="Normal 4 2 2 5 4 3 2" xfId="30783"/>
    <cellStyle name="Normal 4 2 2 5 4 3 3" xfId="30784"/>
    <cellStyle name="Normal 4 2 2 5 4 4" xfId="30785"/>
    <cellStyle name="Normal 4 2 2 5 4 4 2" xfId="30786"/>
    <cellStyle name="Normal 4 2 2 5 4 4 3" xfId="30787"/>
    <cellStyle name="Normal 4 2 2 5 4 5" xfId="30788"/>
    <cellStyle name="Normal 4 2 2 5 4 6" xfId="30789"/>
    <cellStyle name="Normal 4 2 2 5 5" xfId="30790"/>
    <cellStyle name="Normal 4 2 2 5 5 2" xfId="30791"/>
    <cellStyle name="Normal 4 2 2 5 5 2 2" xfId="30792"/>
    <cellStyle name="Normal 4 2 2 5 5 2 3" xfId="30793"/>
    <cellStyle name="Normal 4 2 2 5 5 3" xfId="30794"/>
    <cellStyle name="Normal 4 2 2 5 5 3 2" xfId="30795"/>
    <cellStyle name="Normal 4 2 2 5 5 3 3" xfId="30796"/>
    <cellStyle name="Normal 4 2 2 5 5 4" xfId="30797"/>
    <cellStyle name="Normal 4 2 2 5 5 5" xfId="30798"/>
    <cellStyle name="Normal 4 2 2 5 6" xfId="30799"/>
    <cellStyle name="Normal 4 2 2 5 6 2" xfId="30800"/>
    <cellStyle name="Normal 4 2 2 5 6 3" xfId="30801"/>
    <cellStyle name="Normal 4 2 2 5 7" xfId="30802"/>
    <cellStyle name="Normal 4 2 2 5 7 2" xfId="30803"/>
    <cellStyle name="Normal 4 2 2 5 7 3" xfId="30804"/>
    <cellStyle name="Normal 4 2 2 5 8" xfId="30805"/>
    <cellStyle name="Normal 4 2 2 5 9" xfId="30806"/>
    <cellStyle name="Normal 4 2 2 6" xfId="30807"/>
    <cellStyle name="Normal 4 2 2 6 2" xfId="30808"/>
    <cellStyle name="Normal 4 2 2 6 2 2" xfId="30809"/>
    <cellStyle name="Normal 4 2 2 6 2 2 2" xfId="30810"/>
    <cellStyle name="Normal 4 2 2 6 2 2 2 2" xfId="30811"/>
    <cellStyle name="Normal 4 2 2 6 2 2 2 3" xfId="30812"/>
    <cellStyle name="Normal 4 2 2 6 2 2 3" xfId="30813"/>
    <cellStyle name="Normal 4 2 2 6 2 2 3 2" xfId="30814"/>
    <cellStyle name="Normal 4 2 2 6 2 2 3 3" xfId="30815"/>
    <cellStyle name="Normal 4 2 2 6 2 2 4" xfId="30816"/>
    <cellStyle name="Normal 4 2 2 6 2 2 5" xfId="30817"/>
    <cellStyle name="Normal 4 2 2 6 2 3" xfId="30818"/>
    <cellStyle name="Normal 4 2 2 6 2 3 2" xfId="30819"/>
    <cellStyle name="Normal 4 2 2 6 2 3 3" xfId="30820"/>
    <cellStyle name="Normal 4 2 2 6 2 4" xfId="30821"/>
    <cellStyle name="Normal 4 2 2 6 2 4 2" xfId="30822"/>
    <cellStyle name="Normal 4 2 2 6 2 4 3" xfId="30823"/>
    <cellStyle name="Normal 4 2 2 6 2 5" xfId="30824"/>
    <cellStyle name="Normal 4 2 2 6 2 6" xfId="30825"/>
    <cellStyle name="Normal 4 2 2 6 3" xfId="30826"/>
    <cellStyle name="Normal 4 2 2 6 3 2" xfId="30827"/>
    <cellStyle name="Normal 4 2 2 6 3 2 2" xfId="30828"/>
    <cellStyle name="Normal 4 2 2 6 3 2 2 2" xfId="30829"/>
    <cellStyle name="Normal 4 2 2 6 3 2 2 3" xfId="30830"/>
    <cellStyle name="Normal 4 2 2 6 3 2 3" xfId="30831"/>
    <cellStyle name="Normal 4 2 2 6 3 2 3 2" xfId="30832"/>
    <cellStyle name="Normal 4 2 2 6 3 2 3 3" xfId="30833"/>
    <cellStyle name="Normal 4 2 2 6 3 2 4" xfId="30834"/>
    <cellStyle name="Normal 4 2 2 6 3 2 5" xfId="30835"/>
    <cellStyle name="Normal 4 2 2 6 3 3" xfId="30836"/>
    <cellStyle name="Normal 4 2 2 6 3 3 2" xfId="30837"/>
    <cellStyle name="Normal 4 2 2 6 3 3 3" xfId="30838"/>
    <cellStyle name="Normal 4 2 2 6 3 4" xfId="30839"/>
    <cellStyle name="Normal 4 2 2 6 3 4 2" xfId="30840"/>
    <cellStyle name="Normal 4 2 2 6 3 4 3" xfId="30841"/>
    <cellStyle name="Normal 4 2 2 6 3 5" xfId="30842"/>
    <cellStyle name="Normal 4 2 2 6 3 6" xfId="30843"/>
    <cellStyle name="Normal 4 2 2 6 4" xfId="30844"/>
    <cellStyle name="Normal 4 2 2 6 4 2" xfId="30845"/>
    <cellStyle name="Normal 4 2 2 6 4 2 2" xfId="30846"/>
    <cellStyle name="Normal 4 2 2 6 4 2 3" xfId="30847"/>
    <cellStyle name="Normal 4 2 2 6 4 3" xfId="30848"/>
    <cellStyle name="Normal 4 2 2 6 4 3 2" xfId="30849"/>
    <cellStyle name="Normal 4 2 2 6 4 3 3" xfId="30850"/>
    <cellStyle name="Normal 4 2 2 6 4 4" xfId="30851"/>
    <cellStyle name="Normal 4 2 2 6 4 5" xfId="30852"/>
    <cellStyle name="Normal 4 2 2 6 5" xfId="30853"/>
    <cellStyle name="Normal 4 2 2 6 5 2" xfId="30854"/>
    <cellStyle name="Normal 4 2 2 6 5 3" xfId="30855"/>
    <cellStyle name="Normal 4 2 2 6 6" xfId="30856"/>
    <cellStyle name="Normal 4 2 2 6 6 2" xfId="30857"/>
    <cellStyle name="Normal 4 2 2 6 6 3" xfId="30858"/>
    <cellStyle name="Normal 4 2 2 6 7" xfId="30859"/>
    <cellStyle name="Normal 4 2 2 6 8" xfId="30860"/>
    <cellStyle name="Normal 4 2 2 7" xfId="30861"/>
    <cellStyle name="Normal 4 2 2 7 2" xfId="30862"/>
    <cellStyle name="Normal 4 2 2 7 2 2" xfId="30863"/>
    <cellStyle name="Normal 4 2 2 7 2 2 2" xfId="30864"/>
    <cellStyle name="Normal 4 2 2 7 2 2 3" xfId="30865"/>
    <cellStyle name="Normal 4 2 2 7 2 3" xfId="30866"/>
    <cellStyle name="Normal 4 2 2 7 2 3 2" xfId="30867"/>
    <cellStyle name="Normal 4 2 2 7 2 3 3" xfId="30868"/>
    <cellStyle name="Normal 4 2 2 7 2 4" xfId="30869"/>
    <cellStyle name="Normal 4 2 2 7 2 5" xfId="30870"/>
    <cellStyle name="Normal 4 2 2 7 3" xfId="30871"/>
    <cellStyle name="Normal 4 2 2 7 3 2" xfId="30872"/>
    <cellStyle name="Normal 4 2 2 7 3 3" xfId="30873"/>
    <cellStyle name="Normal 4 2 2 7 4" xfId="30874"/>
    <cellStyle name="Normal 4 2 2 7 4 2" xfId="30875"/>
    <cellStyle name="Normal 4 2 2 7 4 3" xfId="30876"/>
    <cellStyle name="Normal 4 2 2 7 5" xfId="30877"/>
    <cellStyle name="Normal 4 2 2 7 6" xfId="30878"/>
    <cellStyle name="Normal 4 2 2 8" xfId="30879"/>
    <cellStyle name="Normal 4 2 2 8 2" xfId="30880"/>
    <cellStyle name="Normal 4 2 2 8 2 2" xfId="30881"/>
    <cellStyle name="Normal 4 2 2 8 2 2 2" xfId="30882"/>
    <cellStyle name="Normal 4 2 2 8 2 2 3" xfId="30883"/>
    <cellStyle name="Normal 4 2 2 8 2 3" xfId="30884"/>
    <cellStyle name="Normal 4 2 2 8 2 3 2" xfId="30885"/>
    <cellStyle name="Normal 4 2 2 8 2 3 3" xfId="30886"/>
    <cellStyle name="Normal 4 2 2 8 2 4" xfId="30887"/>
    <cellStyle name="Normal 4 2 2 8 2 5" xfId="30888"/>
    <cellStyle name="Normal 4 2 2 8 3" xfId="30889"/>
    <cellStyle name="Normal 4 2 2 8 3 2" xfId="30890"/>
    <cellStyle name="Normal 4 2 2 8 3 3" xfId="30891"/>
    <cellStyle name="Normal 4 2 2 8 4" xfId="30892"/>
    <cellStyle name="Normal 4 2 2 8 4 2" xfId="30893"/>
    <cellStyle name="Normal 4 2 2 8 4 3" xfId="30894"/>
    <cellStyle name="Normal 4 2 2 8 5" xfId="30895"/>
    <cellStyle name="Normal 4 2 2 8 6" xfId="30896"/>
    <cellStyle name="Normal 4 2 2 9" xfId="30897"/>
    <cellStyle name="Normal 4 2 2 9 2" xfId="30898"/>
    <cellStyle name="Normal 4 2 2 9 2 2" xfId="30899"/>
    <cellStyle name="Normal 4 2 2 9 2 3" xfId="30900"/>
    <cellStyle name="Normal 4 2 2 9 3" xfId="30901"/>
    <cellStyle name="Normal 4 2 2 9 3 2" xfId="30902"/>
    <cellStyle name="Normal 4 2 2 9 3 3" xfId="30903"/>
    <cellStyle name="Normal 4 2 2 9 4" xfId="30904"/>
    <cellStyle name="Normal 4 2 2 9 5" xfId="30905"/>
    <cellStyle name="Normal 4 2 3" xfId="30906"/>
    <cellStyle name="Normal 4 2 3 10" xfId="30907"/>
    <cellStyle name="Normal 4 2 3 10 2" xfId="30908"/>
    <cellStyle name="Normal 4 2 3 10 3" xfId="30909"/>
    <cellStyle name="Normal 4 2 3 11" xfId="30910"/>
    <cellStyle name="Normal 4 2 3 12" xfId="30911"/>
    <cellStyle name="Normal 4 2 3 2" xfId="30912"/>
    <cellStyle name="Normal 4 2 3 2 10" xfId="30913"/>
    <cellStyle name="Normal 4 2 3 2 2" xfId="30914"/>
    <cellStyle name="Normal 4 2 3 2 2 2" xfId="30915"/>
    <cellStyle name="Normal 4 2 3 2 2 2 2" xfId="30916"/>
    <cellStyle name="Normal 4 2 3 2 2 2 2 2" xfId="30917"/>
    <cellStyle name="Normal 4 2 3 2 2 2 2 2 2" xfId="30918"/>
    <cellStyle name="Normal 4 2 3 2 2 2 2 2 2 2" xfId="30919"/>
    <cellStyle name="Normal 4 2 3 2 2 2 2 2 2 3" xfId="30920"/>
    <cellStyle name="Normal 4 2 3 2 2 2 2 2 3" xfId="30921"/>
    <cellStyle name="Normal 4 2 3 2 2 2 2 2 3 2" xfId="30922"/>
    <cellStyle name="Normal 4 2 3 2 2 2 2 2 3 3" xfId="30923"/>
    <cellStyle name="Normal 4 2 3 2 2 2 2 2 4" xfId="30924"/>
    <cellStyle name="Normal 4 2 3 2 2 2 2 2 5" xfId="30925"/>
    <cellStyle name="Normal 4 2 3 2 2 2 2 3" xfId="30926"/>
    <cellStyle name="Normal 4 2 3 2 2 2 2 3 2" xfId="30927"/>
    <cellStyle name="Normal 4 2 3 2 2 2 2 3 3" xfId="30928"/>
    <cellStyle name="Normal 4 2 3 2 2 2 2 4" xfId="30929"/>
    <cellStyle name="Normal 4 2 3 2 2 2 2 4 2" xfId="30930"/>
    <cellStyle name="Normal 4 2 3 2 2 2 2 4 3" xfId="30931"/>
    <cellStyle name="Normal 4 2 3 2 2 2 2 5" xfId="30932"/>
    <cellStyle name="Normal 4 2 3 2 2 2 2 6" xfId="30933"/>
    <cellStyle name="Normal 4 2 3 2 2 2 3" xfId="30934"/>
    <cellStyle name="Normal 4 2 3 2 2 2 3 2" xfId="30935"/>
    <cellStyle name="Normal 4 2 3 2 2 2 3 2 2" xfId="30936"/>
    <cellStyle name="Normal 4 2 3 2 2 2 3 2 2 2" xfId="30937"/>
    <cellStyle name="Normal 4 2 3 2 2 2 3 2 2 3" xfId="30938"/>
    <cellStyle name="Normal 4 2 3 2 2 2 3 2 3" xfId="30939"/>
    <cellStyle name="Normal 4 2 3 2 2 2 3 2 3 2" xfId="30940"/>
    <cellStyle name="Normal 4 2 3 2 2 2 3 2 3 3" xfId="30941"/>
    <cellStyle name="Normal 4 2 3 2 2 2 3 2 4" xfId="30942"/>
    <cellStyle name="Normal 4 2 3 2 2 2 3 2 5" xfId="30943"/>
    <cellStyle name="Normal 4 2 3 2 2 2 3 3" xfId="30944"/>
    <cellStyle name="Normal 4 2 3 2 2 2 3 3 2" xfId="30945"/>
    <cellStyle name="Normal 4 2 3 2 2 2 3 3 3" xfId="30946"/>
    <cellStyle name="Normal 4 2 3 2 2 2 3 4" xfId="30947"/>
    <cellStyle name="Normal 4 2 3 2 2 2 3 4 2" xfId="30948"/>
    <cellStyle name="Normal 4 2 3 2 2 2 3 4 3" xfId="30949"/>
    <cellStyle name="Normal 4 2 3 2 2 2 3 5" xfId="30950"/>
    <cellStyle name="Normal 4 2 3 2 2 2 3 6" xfId="30951"/>
    <cellStyle name="Normal 4 2 3 2 2 2 4" xfId="30952"/>
    <cellStyle name="Normal 4 2 3 2 2 2 4 2" xfId="30953"/>
    <cellStyle name="Normal 4 2 3 2 2 2 4 2 2" xfId="30954"/>
    <cellStyle name="Normal 4 2 3 2 2 2 4 2 3" xfId="30955"/>
    <cellStyle name="Normal 4 2 3 2 2 2 4 3" xfId="30956"/>
    <cellStyle name="Normal 4 2 3 2 2 2 4 3 2" xfId="30957"/>
    <cellStyle name="Normal 4 2 3 2 2 2 4 3 3" xfId="30958"/>
    <cellStyle name="Normal 4 2 3 2 2 2 4 4" xfId="30959"/>
    <cellStyle name="Normal 4 2 3 2 2 2 4 5" xfId="30960"/>
    <cellStyle name="Normal 4 2 3 2 2 2 5" xfId="30961"/>
    <cellStyle name="Normal 4 2 3 2 2 2 5 2" xfId="30962"/>
    <cellStyle name="Normal 4 2 3 2 2 2 5 3" xfId="30963"/>
    <cellStyle name="Normal 4 2 3 2 2 2 6" xfId="30964"/>
    <cellStyle name="Normal 4 2 3 2 2 2 6 2" xfId="30965"/>
    <cellStyle name="Normal 4 2 3 2 2 2 6 3" xfId="30966"/>
    <cellStyle name="Normal 4 2 3 2 2 2 7" xfId="30967"/>
    <cellStyle name="Normal 4 2 3 2 2 2 8" xfId="30968"/>
    <cellStyle name="Normal 4 2 3 2 2 3" xfId="30969"/>
    <cellStyle name="Normal 4 2 3 2 2 3 2" xfId="30970"/>
    <cellStyle name="Normal 4 2 3 2 2 3 2 2" xfId="30971"/>
    <cellStyle name="Normal 4 2 3 2 2 3 2 2 2" xfId="30972"/>
    <cellStyle name="Normal 4 2 3 2 2 3 2 2 3" xfId="30973"/>
    <cellStyle name="Normal 4 2 3 2 2 3 2 3" xfId="30974"/>
    <cellStyle name="Normal 4 2 3 2 2 3 2 3 2" xfId="30975"/>
    <cellStyle name="Normal 4 2 3 2 2 3 2 3 3" xfId="30976"/>
    <cellStyle name="Normal 4 2 3 2 2 3 2 4" xfId="30977"/>
    <cellStyle name="Normal 4 2 3 2 2 3 2 5" xfId="30978"/>
    <cellStyle name="Normal 4 2 3 2 2 3 3" xfId="30979"/>
    <cellStyle name="Normal 4 2 3 2 2 3 3 2" xfId="30980"/>
    <cellStyle name="Normal 4 2 3 2 2 3 3 3" xfId="30981"/>
    <cellStyle name="Normal 4 2 3 2 2 3 4" xfId="30982"/>
    <cellStyle name="Normal 4 2 3 2 2 3 4 2" xfId="30983"/>
    <cellStyle name="Normal 4 2 3 2 2 3 4 3" xfId="30984"/>
    <cellStyle name="Normal 4 2 3 2 2 3 5" xfId="30985"/>
    <cellStyle name="Normal 4 2 3 2 2 3 6" xfId="30986"/>
    <cellStyle name="Normal 4 2 3 2 2 4" xfId="30987"/>
    <cellStyle name="Normal 4 2 3 2 2 4 2" xfId="30988"/>
    <cellStyle name="Normal 4 2 3 2 2 4 2 2" xfId="30989"/>
    <cellStyle name="Normal 4 2 3 2 2 4 2 2 2" xfId="30990"/>
    <cellStyle name="Normal 4 2 3 2 2 4 2 2 3" xfId="30991"/>
    <cellStyle name="Normal 4 2 3 2 2 4 2 3" xfId="30992"/>
    <cellStyle name="Normal 4 2 3 2 2 4 2 3 2" xfId="30993"/>
    <cellStyle name="Normal 4 2 3 2 2 4 2 3 3" xfId="30994"/>
    <cellStyle name="Normal 4 2 3 2 2 4 2 4" xfId="30995"/>
    <cellStyle name="Normal 4 2 3 2 2 4 2 5" xfId="30996"/>
    <cellStyle name="Normal 4 2 3 2 2 4 3" xfId="30997"/>
    <cellStyle name="Normal 4 2 3 2 2 4 3 2" xfId="30998"/>
    <cellStyle name="Normal 4 2 3 2 2 4 3 3" xfId="30999"/>
    <cellStyle name="Normal 4 2 3 2 2 4 4" xfId="31000"/>
    <cellStyle name="Normal 4 2 3 2 2 4 4 2" xfId="31001"/>
    <cellStyle name="Normal 4 2 3 2 2 4 4 3" xfId="31002"/>
    <cellStyle name="Normal 4 2 3 2 2 4 5" xfId="31003"/>
    <cellStyle name="Normal 4 2 3 2 2 4 6" xfId="31004"/>
    <cellStyle name="Normal 4 2 3 2 2 5" xfId="31005"/>
    <cellStyle name="Normal 4 2 3 2 2 5 2" xfId="31006"/>
    <cellStyle name="Normal 4 2 3 2 2 5 2 2" xfId="31007"/>
    <cellStyle name="Normal 4 2 3 2 2 5 2 3" xfId="31008"/>
    <cellStyle name="Normal 4 2 3 2 2 5 3" xfId="31009"/>
    <cellStyle name="Normal 4 2 3 2 2 5 3 2" xfId="31010"/>
    <cellStyle name="Normal 4 2 3 2 2 5 3 3" xfId="31011"/>
    <cellStyle name="Normal 4 2 3 2 2 5 4" xfId="31012"/>
    <cellStyle name="Normal 4 2 3 2 2 5 5" xfId="31013"/>
    <cellStyle name="Normal 4 2 3 2 2 6" xfId="31014"/>
    <cellStyle name="Normal 4 2 3 2 2 6 2" xfId="31015"/>
    <cellStyle name="Normal 4 2 3 2 2 6 3" xfId="31016"/>
    <cellStyle name="Normal 4 2 3 2 2 7" xfId="31017"/>
    <cellStyle name="Normal 4 2 3 2 2 7 2" xfId="31018"/>
    <cellStyle name="Normal 4 2 3 2 2 7 3" xfId="31019"/>
    <cellStyle name="Normal 4 2 3 2 2 8" xfId="31020"/>
    <cellStyle name="Normal 4 2 3 2 2 9" xfId="31021"/>
    <cellStyle name="Normal 4 2 3 2 3" xfId="31022"/>
    <cellStyle name="Normal 4 2 3 2 3 2" xfId="31023"/>
    <cellStyle name="Normal 4 2 3 2 3 2 2" xfId="31024"/>
    <cellStyle name="Normal 4 2 3 2 3 2 2 2" xfId="31025"/>
    <cellStyle name="Normal 4 2 3 2 3 2 2 2 2" xfId="31026"/>
    <cellStyle name="Normal 4 2 3 2 3 2 2 2 3" xfId="31027"/>
    <cellStyle name="Normal 4 2 3 2 3 2 2 3" xfId="31028"/>
    <cellStyle name="Normal 4 2 3 2 3 2 2 3 2" xfId="31029"/>
    <cellStyle name="Normal 4 2 3 2 3 2 2 3 3" xfId="31030"/>
    <cellStyle name="Normal 4 2 3 2 3 2 2 4" xfId="31031"/>
    <cellStyle name="Normal 4 2 3 2 3 2 2 5" xfId="31032"/>
    <cellStyle name="Normal 4 2 3 2 3 2 3" xfId="31033"/>
    <cellStyle name="Normal 4 2 3 2 3 2 3 2" xfId="31034"/>
    <cellStyle name="Normal 4 2 3 2 3 2 3 3" xfId="31035"/>
    <cellStyle name="Normal 4 2 3 2 3 2 4" xfId="31036"/>
    <cellStyle name="Normal 4 2 3 2 3 2 4 2" xfId="31037"/>
    <cellStyle name="Normal 4 2 3 2 3 2 4 3" xfId="31038"/>
    <cellStyle name="Normal 4 2 3 2 3 2 5" xfId="31039"/>
    <cellStyle name="Normal 4 2 3 2 3 2 6" xfId="31040"/>
    <cellStyle name="Normal 4 2 3 2 3 3" xfId="31041"/>
    <cellStyle name="Normal 4 2 3 2 3 3 2" xfId="31042"/>
    <cellStyle name="Normal 4 2 3 2 3 3 2 2" xfId="31043"/>
    <cellStyle name="Normal 4 2 3 2 3 3 2 2 2" xfId="31044"/>
    <cellStyle name="Normal 4 2 3 2 3 3 2 2 3" xfId="31045"/>
    <cellStyle name="Normal 4 2 3 2 3 3 2 3" xfId="31046"/>
    <cellStyle name="Normal 4 2 3 2 3 3 2 3 2" xfId="31047"/>
    <cellStyle name="Normal 4 2 3 2 3 3 2 3 3" xfId="31048"/>
    <cellStyle name="Normal 4 2 3 2 3 3 2 4" xfId="31049"/>
    <cellStyle name="Normal 4 2 3 2 3 3 2 5" xfId="31050"/>
    <cellStyle name="Normal 4 2 3 2 3 3 3" xfId="31051"/>
    <cellStyle name="Normal 4 2 3 2 3 3 3 2" xfId="31052"/>
    <cellStyle name="Normal 4 2 3 2 3 3 3 3" xfId="31053"/>
    <cellStyle name="Normal 4 2 3 2 3 3 4" xfId="31054"/>
    <cellStyle name="Normal 4 2 3 2 3 3 4 2" xfId="31055"/>
    <cellStyle name="Normal 4 2 3 2 3 3 4 3" xfId="31056"/>
    <cellStyle name="Normal 4 2 3 2 3 3 5" xfId="31057"/>
    <cellStyle name="Normal 4 2 3 2 3 3 6" xfId="31058"/>
    <cellStyle name="Normal 4 2 3 2 3 4" xfId="31059"/>
    <cellStyle name="Normal 4 2 3 2 3 4 2" xfId="31060"/>
    <cellStyle name="Normal 4 2 3 2 3 4 2 2" xfId="31061"/>
    <cellStyle name="Normal 4 2 3 2 3 4 2 3" xfId="31062"/>
    <cellStyle name="Normal 4 2 3 2 3 4 3" xfId="31063"/>
    <cellStyle name="Normal 4 2 3 2 3 4 3 2" xfId="31064"/>
    <cellStyle name="Normal 4 2 3 2 3 4 3 3" xfId="31065"/>
    <cellStyle name="Normal 4 2 3 2 3 4 4" xfId="31066"/>
    <cellStyle name="Normal 4 2 3 2 3 4 5" xfId="31067"/>
    <cellStyle name="Normal 4 2 3 2 3 5" xfId="31068"/>
    <cellStyle name="Normal 4 2 3 2 3 5 2" xfId="31069"/>
    <cellStyle name="Normal 4 2 3 2 3 5 3" xfId="31070"/>
    <cellStyle name="Normal 4 2 3 2 3 6" xfId="31071"/>
    <cellStyle name="Normal 4 2 3 2 3 6 2" xfId="31072"/>
    <cellStyle name="Normal 4 2 3 2 3 6 3" xfId="31073"/>
    <cellStyle name="Normal 4 2 3 2 3 7" xfId="31074"/>
    <cellStyle name="Normal 4 2 3 2 3 8" xfId="31075"/>
    <cellStyle name="Normal 4 2 3 2 4" xfId="31076"/>
    <cellStyle name="Normal 4 2 3 2 4 2" xfId="31077"/>
    <cellStyle name="Normal 4 2 3 2 4 2 2" xfId="31078"/>
    <cellStyle name="Normal 4 2 3 2 4 2 2 2" xfId="31079"/>
    <cellStyle name="Normal 4 2 3 2 4 2 2 3" xfId="31080"/>
    <cellStyle name="Normal 4 2 3 2 4 2 3" xfId="31081"/>
    <cellStyle name="Normal 4 2 3 2 4 2 3 2" xfId="31082"/>
    <cellStyle name="Normal 4 2 3 2 4 2 3 3" xfId="31083"/>
    <cellStyle name="Normal 4 2 3 2 4 2 4" xfId="31084"/>
    <cellStyle name="Normal 4 2 3 2 4 2 5" xfId="31085"/>
    <cellStyle name="Normal 4 2 3 2 4 3" xfId="31086"/>
    <cellStyle name="Normal 4 2 3 2 4 3 2" xfId="31087"/>
    <cellStyle name="Normal 4 2 3 2 4 3 3" xfId="31088"/>
    <cellStyle name="Normal 4 2 3 2 4 4" xfId="31089"/>
    <cellStyle name="Normal 4 2 3 2 4 4 2" xfId="31090"/>
    <cellStyle name="Normal 4 2 3 2 4 4 3" xfId="31091"/>
    <cellStyle name="Normal 4 2 3 2 4 5" xfId="31092"/>
    <cellStyle name="Normal 4 2 3 2 4 6" xfId="31093"/>
    <cellStyle name="Normal 4 2 3 2 5" xfId="31094"/>
    <cellStyle name="Normal 4 2 3 2 5 2" xfId="31095"/>
    <cellStyle name="Normal 4 2 3 2 5 2 2" xfId="31096"/>
    <cellStyle name="Normal 4 2 3 2 5 2 2 2" xfId="31097"/>
    <cellStyle name="Normal 4 2 3 2 5 2 2 3" xfId="31098"/>
    <cellStyle name="Normal 4 2 3 2 5 2 3" xfId="31099"/>
    <cellStyle name="Normal 4 2 3 2 5 2 3 2" xfId="31100"/>
    <cellStyle name="Normal 4 2 3 2 5 2 3 3" xfId="31101"/>
    <cellStyle name="Normal 4 2 3 2 5 2 4" xfId="31102"/>
    <cellStyle name="Normal 4 2 3 2 5 2 5" xfId="31103"/>
    <cellStyle name="Normal 4 2 3 2 5 3" xfId="31104"/>
    <cellStyle name="Normal 4 2 3 2 5 3 2" xfId="31105"/>
    <cellStyle name="Normal 4 2 3 2 5 3 3" xfId="31106"/>
    <cellStyle name="Normal 4 2 3 2 5 4" xfId="31107"/>
    <cellStyle name="Normal 4 2 3 2 5 4 2" xfId="31108"/>
    <cellStyle name="Normal 4 2 3 2 5 4 3" xfId="31109"/>
    <cellStyle name="Normal 4 2 3 2 5 5" xfId="31110"/>
    <cellStyle name="Normal 4 2 3 2 5 6" xfId="31111"/>
    <cellStyle name="Normal 4 2 3 2 6" xfId="31112"/>
    <cellStyle name="Normal 4 2 3 2 6 2" xfId="31113"/>
    <cellStyle name="Normal 4 2 3 2 6 2 2" xfId="31114"/>
    <cellStyle name="Normal 4 2 3 2 6 2 3" xfId="31115"/>
    <cellStyle name="Normal 4 2 3 2 6 3" xfId="31116"/>
    <cellStyle name="Normal 4 2 3 2 6 3 2" xfId="31117"/>
    <cellStyle name="Normal 4 2 3 2 6 3 3" xfId="31118"/>
    <cellStyle name="Normal 4 2 3 2 6 4" xfId="31119"/>
    <cellStyle name="Normal 4 2 3 2 6 5" xfId="31120"/>
    <cellStyle name="Normal 4 2 3 2 7" xfId="31121"/>
    <cellStyle name="Normal 4 2 3 2 7 2" xfId="31122"/>
    <cellStyle name="Normal 4 2 3 2 7 3" xfId="31123"/>
    <cellStyle name="Normal 4 2 3 2 8" xfId="31124"/>
    <cellStyle name="Normal 4 2 3 2 8 2" xfId="31125"/>
    <cellStyle name="Normal 4 2 3 2 8 3" xfId="31126"/>
    <cellStyle name="Normal 4 2 3 2 9" xfId="31127"/>
    <cellStyle name="Normal 4 2 3 3" xfId="31128"/>
    <cellStyle name="Normal 4 2 3 3 10" xfId="31129"/>
    <cellStyle name="Normal 4 2 3 3 2" xfId="31130"/>
    <cellStyle name="Normal 4 2 3 3 2 2" xfId="31131"/>
    <cellStyle name="Normal 4 2 3 3 2 2 2" xfId="31132"/>
    <cellStyle name="Normal 4 2 3 3 2 2 2 2" xfId="31133"/>
    <cellStyle name="Normal 4 2 3 3 2 2 2 2 2" xfId="31134"/>
    <cellStyle name="Normal 4 2 3 3 2 2 2 2 2 2" xfId="31135"/>
    <cellStyle name="Normal 4 2 3 3 2 2 2 2 2 3" xfId="31136"/>
    <cellStyle name="Normal 4 2 3 3 2 2 2 2 3" xfId="31137"/>
    <cellStyle name="Normal 4 2 3 3 2 2 2 2 3 2" xfId="31138"/>
    <cellStyle name="Normal 4 2 3 3 2 2 2 2 3 3" xfId="31139"/>
    <cellStyle name="Normal 4 2 3 3 2 2 2 2 4" xfId="31140"/>
    <cellStyle name="Normal 4 2 3 3 2 2 2 2 5" xfId="31141"/>
    <cellStyle name="Normal 4 2 3 3 2 2 2 3" xfId="31142"/>
    <cellStyle name="Normal 4 2 3 3 2 2 2 3 2" xfId="31143"/>
    <cellStyle name="Normal 4 2 3 3 2 2 2 3 3" xfId="31144"/>
    <cellStyle name="Normal 4 2 3 3 2 2 2 4" xfId="31145"/>
    <cellStyle name="Normal 4 2 3 3 2 2 2 4 2" xfId="31146"/>
    <cellStyle name="Normal 4 2 3 3 2 2 2 4 3" xfId="31147"/>
    <cellStyle name="Normal 4 2 3 3 2 2 2 5" xfId="31148"/>
    <cellStyle name="Normal 4 2 3 3 2 2 2 6" xfId="31149"/>
    <cellStyle name="Normal 4 2 3 3 2 2 3" xfId="31150"/>
    <cellStyle name="Normal 4 2 3 3 2 2 3 2" xfId="31151"/>
    <cellStyle name="Normal 4 2 3 3 2 2 3 2 2" xfId="31152"/>
    <cellStyle name="Normal 4 2 3 3 2 2 3 2 2 2" xfId="31153"/>
    <cellStyle name="Normal 4 2 3 3 2 2 3 2 2 3" xfId="31154"/>
    <cellStyle name="Normal 4 2 3 3 2 2 3 2 3" xfId="31155"/>
    <cellStyle name="Normal 4 2 3 3 2 2 3 2 3 2" xfId="31156"/>
    <cellStyle name="Normal 4 2 3 3 2 2 3 2 3 3" xfId="31157"/>
    <cellStyle name="Normal 4 2 3 3 2 2 3 2 4" xfId="31158"/>
    <cellStyle name="Normal 4 2 3 3 2 2 3 2 5" xfId="31159"/>
    <cellStyle name="Normal 4 2 3 3 2 2 3 3" xfId="31160"/>
    <cellStyle name="Normal 4 2 3 3 2 2 3 3 2" xfId="31161"/>
    <cellStyle name="Normal 4 2 3 3 2 2 3 3 3" xfId="31162"/>
    <cellStyle name="Normal 4 2 3 3 2 2 3 4" xfId="31163"/>
    <cellStyle name="Normal 4 2 3 3 2 2 3 4 2" xfId="31164"/>
    <cellStyle name="Normal 4 2 3 3 2 2 3 4 3" xfId="31165"/>
    <cellStyle name="Normal 4 2 3 3 2 2 3 5" xfId="31166"/>
    <cellStyle name="Normal 4 2 3 3 2 2 3 6" xfId="31167"/>
    <cellStyle name="Normal 4 2 3 3 2 2 4" xfId="31168"/>
    <cellStyle name="Normal 4 2 3 3 2 2 4 2" xfId="31169"/>
    <cellStyle name="Normal 4 2 3 3 2 2 4 2 2" xfId="31170"/>
    <cellStyle name="Normal 4 2 3 3 2 2 4 2 3" xfId="31171"/>
    <cellStyle name="Normal 4 2 3 3 2 2 4 3" xfId="31172"/>
    <cellStyle name="Normal 4 2 3 3 2 2 4 3 2" xfId="31173"/>
    <cellStyle name="Normal 4 2 3 3 2 2 4 3 3" xfId="31174"/>
    <cellStyle name="Normal 4 2 3 3 2 2 4 4" xfId="31175"/>
    <cellStyle name="Normal 4 2 3 3 2 2 4 5" xfId="31176"/>
    <cellStyle name="Normal 4 2 3 3 2 2 5" xfId="31177"/>
    <cellStyle name="Normal 4 2 3 3 2 2 5 2" xfId="31178"/>
    <cellStyle name="Normal 4 2 3 3 2 2 5 3" xfId="31179"/>
    <cellStyle name="Normal 4 2 3 3 2 2 6" xfId="31180"/>
    <cellStyle name="Normal 4 2 3 3 2 2 6 2" xfId="31181"/>
    <cellStyle name="Normal 4 2 3 3 2 2 6 3" xfId="31182"/>
    <cellStyle name="Normal 4 2 3 3 2 2 7" xfId="31183"/>
    <cellStyle name="Normal 4 2 3 3 2 2 8" xfId="31184"/>
    <cellStyle name="Normal 4 2 3 3 2 3" xfId="31185"/>
    <cellStyle name="Normal 4 2 3 3 2 3 2" xfId="31186"/>
    <cellStyle name="Normal 4 2 3 3 2 3 2 2" xfId="31187"/>
    <cellStyle name="Normal 4 2 3 3 2 3 2 2 2" xfId="31188"/>
    <cellStyle name="Normal 4 2 3 3 2 3 2 2 3" xfId="31189"/>
    <cellStyle name="Normal 4 2 3 3 2 3 2 3" xfId="31190"/>
    <cellStyle name="Normal 4 2 3 3 2 3 2 3 2" xfId="31191"/>
    <cellStyle name="Normal 4 2 3 3 2 3 2 3 3" xfId="31192"/>
    <cellStyle name="Normal 4 2 3 3 2 3 2 4" xfId="31193"/>
    <cellStyle name="Normal 4 2 3 3 2 3 2 5" xfId="31194"/>
    <cellStyle name="Normal 4 2 3 3 2 3 3" xfId="31195"/>
    <cellStyle name="Normal 4 2 3 3 2 3 3 2" xfId="31196"/>
    <cellStyle name="Normal 4 2 3 3 2 3 3 3" xfId="31197"/>
    <cellStyle name="Normal 4 2 3 3 2 3 4" xfId="31198"/>
    <cellStyle name="Normal 4 2 3 3 2 3 4 2" xfId="31199"/>
    <cellStyle name="Normal 4 2 3 3 2 3 4 3" xfId="31200"/>
    <cellStyle name="Normal 4 2 3 3 2 3 5" xfId="31201"/>
    <cellStyle name="Normal 4 2 3 3 2 3 6" xfId="31202"/>
    <cellStyle name="Normal 4 2 3 3 2 4" xfId="31203"/>
    <cellStyle name="Normal 4 2 3 3 2 4 2" xfId="31204"/>
    <cellStyle name="Normal 4 2 3 3 2 4 2 2" xfId="31205"/>
    <cellStyle name="Normal 4 2 3 3 2 4 2 2 2" xfId="31206"/>
    <cellStyle name="Normal 4 2 3 3 2 4 2 2 3" xfId="31207"/>
    <cellStyle name="Normal 4 2 3 3 2 4 2 3" xfId="31208"/>
    <cellStyle name="Normal 4 2 3 3 2 4 2 3 2" xfId="31209"/>
    <cellStyle name="Normal 4 2 3 3 2 4 2 3 3" xfId="31210"/>
    <cellStyle name="Normal 4 2 3 3 2 4 2 4" xfId="31211"/>
    <cellStyle name="Normal 4 2 3 3 2 4 2 5" xfId="31212"/>
    <cellStyle name="Normal 4 2 3 3 2 4 3" xfId="31213"/>
    <cellStyle name="Normal 4 2 3 3 2 4 3 2" xfId="31214"/>
    <cellStyle name="Normal 4 2 3 3 2 4 3 3" xfId="31215"/>
    <cellStyle name="Normal 4 2 3 3 2 4 4" xfId="31216"/>
    <cellStyle name="Normal 4 2 3 3 2 4 4 2" xfId="31217"/>
    <cellStyle name="Normal 4 2 3 3 2 4 4 3" xfId="31218"/>
    <cellStyle name="Normal 4 2 3 3 2 4 5" xfId="31219"/>
    <cellStyle name="Normal 4 2 3 3 2 4 6" xfId="31220"/>
    <cellStyle name="Normal 4 2 3 3 2 5" xfId="31221"/>
    <cellStyle name="Normal 4 2 3 3 2 5 2" xfId="31222"/>
    <cellStyle name="Normal 4 2 3 3 2 5 2 2" xfId="31223"/>
    <cellStyle name="Normal 4 2 3 3 2 5 2 3" xfId="31224"/>
    <cellStyle name="Normal 4 2 3 3 2 5 3" xfId="31225"/>
    <cellStyle name="Normal 4 2 3 3 2 5 3 2" xfId="31226"/>
    <cellStyle name="Normal 4 2 3 3 2 5 3 3" xfId="31227"/>
    <cellStyle name="Normal 4 2 3 3 2 5 4" xfId="31228"/>
    <cellStyle name="Normal 4 2 3 3 2 5 5" xfId="31229"/>
    <cellStyle name="Normal 4 2 3 3 2 6" xfId="31230"/>
    <cellStyle name="Normal 4 2 3 3 2 6 2" xfId="31231"/>
    <cellStyle name="Normal 4 2 3 3 2 6 3" xfId="31232"/>
    <cellStyle name="Normal 4 2 3 3 2 7" xfId="31233"/>
    <cellStyle name="Normal 4 2 3 3 2 7 2" xfId="31234"/>
    <cellStyle name="Normal 4 2 3 3 2 7 3" xfId="31235"/>
    <cellStyle name="Normal 4 2 3 3 2 8" xfId="31236"/>
    <cellStyle name="Normal 4 2 3 3 2 9" xfId="31237"/>
    <cellStyle name="Normal 4 2 3 3 3" xfId="31238"/>
    <cellStyle name="Normal 4 2 3 3 3 2" xfId="31239"/>
    <cellStyle name="Normal 4 2 3 3 3 2 2" xfId="31240"/>
    <cellStyle name="Normal 4 2 3 3 3 2 2 2" xfId="31241"/>
    <cellStyle name="Normal 4 2 3 3 3 2 2 2 2" xfId="31242"/>
    <cellStyle name="Normal 4 2 3 3 3 2 2 2 3" xfId="31243"/>
    <cellStyle name="Normal 4 2 3 3 3 2 2 3" xfId="31244"/>
    <cellStyle name="Normal 4 2 3 3 3 2 2 3 2" xfId="31245"/>
    <cellStyle name="Normal 4 2 3 3 3 2 2 3 3" xfId="31246"/>
    <cellStyle name="Normal 4 2 3 3 3 2 2 4" xfId="31247"/>
    <cellStyle name="Normal 4 2 3 3 3 2 2 5" xfId="31248"/>
    <cellStyle name="Normal 4 2 3 3 3 2 3" xfId="31249"/>
    <cellStyle name="Normal 4 2 3 3 3 2 3 2" xfId="31250"/>
    <cellStyle name="Normal 4 2 3 3 3 2 3 3" xfId="31251"/>
    <cellStyle name="Normal 4 2 3 3 3 2 4" xfId="31252"/>
    <cellStyle name="Normal 4 2 3 3 3 2 4 2" xfId="31253"/>
    <cellStyle name="Normal 4 2 3 3 3 2 4 3" xfId="31254"/>
    <cellStyle name="Normal 4 2 3 3 3 2 5" xfId="31255"/>
    <cellStyle name="Normal 4 2 3 3 3 2 6" xfId="31256"/>
    <cellStyle name="Normal 4 2 3 3 3 3" xfId="31257"/>
    <cellStyle name="Normal 4 2 3 3 3 3 2" xfId="31258"/>
    <cellStyle name="Normal 4 2 3 3 3 3 2 2" xfId="31259"/>
    <cellStyle name="Normal 4 2 3 3 3 3 2 2 2" xfId="31260"/>
    <cellStyle name="Normal 4 2 3 3 3 3 2 2 3" xfId="31261"/>
    <cellStyle name="Normal 4 2 3 3 3 3 2 3" xfId="31262"/>
    <cellStyle name="Normal 4 2 3 3 3 3 2 3 2" xfId="31263"/>
    <cellStyle name="Normal 4 2 3 3 3 3 2 3 3" xfId="31264"/>
    <cellStyle name="Normal 4 2 3 3 3 3 2 4" xfId="31265"/>
    <cellStyle name="Normal 4 2 3 3 3 3 2 5" xfId="31266"/>
    <cellStyle name="Normal 4 2 3 3 3 3 3" xfId="31267"/>
    <cellStyle name="Normal 4 2 3 3 3 3 3 2" xfId="31268"/>
    <cellStyle name="Normal 4 2 3 3 3 3 3 3" xfId="31269"/>
    <cellStyle name="Normal 4 2 3 3 3 3 4" xfId="31270"/>
    <cellStyle name="Normal 4 2 3 3 3 3 4 2" xfId="31271"/>
    <cellStyle name="Normal 4 2 3 3 3 3 4 3" xfId="31272"/>
    <cellStyle name="Normal 4 2 3 3 3 3 5" xfId="31273"/>
    <cellStyle name="Normal 4 2 3 3 3 3 6" xfId="31274"/>
    <cellStyle name="Normal 4 2 3 3 3 4" xfId="31275"/>
    <cellStyle name="Normal 4 2 3 3 3 4 2" xfId="31276"/>
    <cellStyle name="Normal 4 2 3 3 3 4 2 2" xfId="31277"/>
    <cellStyle name="Normal 4 2 3 3 3 4 2 3" xfId="31278"/>
    <cellStyle name="Normal 4 2 3 3 3 4 3" xfId="31279"/>
    <cellStyle name="Normal 4 2 3 3 3 4 3 2" xfId="31280"/>
    <cellStyle name="Normal 4 2 3 3 3 4 3 3" xfId="31281"/>
    <cellStyle name="Normal 4 2 3 3 3 4 4" xfId="31282"/>
    <cellStyle name="Normal 4 2 3 3 3 4 5" xfId="31283"/>
    <cellStyle name="Normal 4 2 3 3 3 5" xfId="31284"/>
    <cellStyle name="Normal 4 2 3 3 3 5 2" xfId="31285"/>
    <cellStyle name="Normal 4 2 3 3 3 5 3" xfId="31286"/>
    <cellStyle name="Normal 4 2 3 3 3 6" xfId="31287"/>
    <cellStyle name="Normal 4 2 3 3 3 6 2" xfId="31288"/>
    <cellStyle name="Normal 4 2 3 3 3 6 3" xfId="31289"/>
    <cellStyle name="Normal 4 2 3 3 3 7" xfId="31290"/>
    <cellStyle name="Normal 4 2 3 3 3 8" xfId="31291"/>
    <cellStyle name="Normal 4 2 3 3 4" xfId="31292"/>
    <cellStyle name="Normal 4 2 3 3 4 2" xfId="31293"/>
    <cellStyle name="Normal 4 2 3 3 4 2 2" xfId="31294"/>
    <cellStyle name="Normal 4 2 3 3 4 2 2 2" xfId="31295"/>
    <cellStyle name="Normal 4 2 3 3 4 2 2 3" xfId="31296"/>
    <cellStyle name="Normal 4 2 3 3 4 2 3" xfId="31297"/>
    <cellStyle name="Normal 4 2 3 3 4 2 3 2" xfId="31298"/>
    <cellStyle name="Normal 4 2 3 3 4 2 3 3" xfId="31299"/>
    <cellStyle name="Normal 4 2 3 3 4 2 4" xfId="31300"/>
    <cellStyle name="Normal 4 2 3 3 4 2 5" xfId="31301"/>
    <cellStyle name="Normal 4 2 3 3 4 3" xfId="31302"/>
    <cellStyle name="Normal 4 2 3 3 4 3 2" xfId="31303"/>
    <cellStyle name="Normal 4 2 3 3 4 3 3" xfId="31304"/>
    <cellStyle name="Normal 4 2 3 3 4 4" xfId="31305"/>
    <cellStyle name="Normal 4 2 3 3 4 4 2" xfId="31306"/>
    <cellStyle name="Normal 4 2 3 3 4 4 3" xfId="31307"/>
    <cellStyle name="Normal 4 2 3 3 4 5" xfId="31308"/>
    <cellStyle name="Normal 4 2 3 3 4 6" xfId="31309"/>
    <cellStyle name="Normal 4 2 3 3 5" xfId="31310"/>
    <cellStyle name="Normal 4 2 3 3 5 2" xfId="31311"/>
    <cellStyle name="Normal 4 2 3 3 5 2 2" xfId="31312"/>
    <cellStyle name="Normal 4 2 3 3 5 2 2 2" xfId="31313"/>
    <cellStyle name="Normal 4 2 3 3 5 2 2 3" xfId="31314"/>
    <cellStyle name="Normal 4 2 3 3 5 2 3" xfId="31315"/>
    <cellStyle name="Normal 4 2 3 3 5 2 3 2" xfId="31316"/>
    <cellStyle name="Normal 4 2 3 3 5 2 3 3" xfId="31317"/>
    <cellStyle name="Normal 4 2 3 3 5 2 4" xfId="31318"/>
    <cellStyle name="Normal 4 2 3 3 5 2 5" xfId="31319"/>
    <cellStyle name="Normal 4 2 3 3 5 3" xfId="31320"/>
    <cellStyle name="Normal 4 2 3 3 5 3 2" xfId="31321"/>
    <cellStyle name="Normal 4 2 3 3 5 3 3" xfId="31322"/>
    <cellStyle name="Normal 4 2 3 3 5 4" xfId="31323"/>
    <cellStyle name="Normal 4 2 3 3 5 4 2" xfId="31324"/>
    <cellStyle name="Normal 4 2 3 3 5 4 3" xfId="31325"/>
    <cellStyle name="Normal 4 2 3 3 5 5" xfId="31326"/>
    <cellStyle name="Normal 4 2 3 3 5 6" xfId="31327"/>
    <cellStyle name="Normal 4 2 3 3 6" xfId="31328"/>
    <cellStyle name="Normal 4 2 3 3 6 2" xfId="31329"/>
    <cellStyle name="Normal 4 2 3 3 6 2 2" xfId="31330"/>
    <cellStyle name="Normal 4 2 3 3 6 2 3" xfId="31331"/>
    <cellStyle name="Normal 4 2 3 3 6 3" xfId="31332"/>
    <cellStyle name="Normal 4 2 3 3 6 3 2" xfId="31333"/>
    <cellStyle name="Normal 4 2 3 3 6 3 3" xfId="31334"/>
    <cellStyle name="Normal 4 2 3 3 6 4" xfId="31335"/>
    <cellStyle name="Normal 4 2 3 3 6 5" xfId="31336"/>
    <cellStyle name="Normal 4 2 3 3 7" xfId="31337"/>
    <cellStyle name="Normal 4 2 3 3 7 2" xfId="31338"/>
    <cellStyle name="Normal 4 2 3 3 7 3" xfId="31339"/>
    <cellStyle name="Normal 4 2 3 3 8" xfId="31340"/>
    <cellStyle name="Normal 4 2 3 3 8 2" xfId="31341"/>
    <cellStyle name="Normal 4 2 3 3 8 3" xfId="31342"/>
    <cellStyle name="Normal 4 2 3 3 9" xfId="31343"/>
    <cellStyle name="Normal 4 2 3 4" xfId="31344"/>
    <cellStyle name="Normal 4 2 3 4 2" xfId="31345"/>
    <cellStyle name="Normal 4 2 3 4 2 2" xfId="31346"/>
    <cellStyle name="Normal 4 2 3 4 2 2 2" xfId="31347"/>
    <cellStyle name="Normal 4 2 3 4 2 2 2 2" xfId="31348"/>
    <cellStyle name="Normal 4 2 3 4 2 2 2 2 2" xfId="31349"/>
    <cellStyle name="Normal 4 2 3 4 2 2 2 2 3" xfId="31350"/>
    <cellStyle name="Normal 4 2 3 4 2 2 2 3" xfId="31351"/>
    <cellStyle name="Normal 4 2 3 4 2 2 2 3 2" xfId="31352"/>
    <cellStyle name="Normal 4 2 3 4 2 2 2 3 3" xfId="31353"/>
    <cellStyle name="Normal 4 2 3 4 2 2 2 4" xfId="31354"/>
    <cellStyle name="Normal 4 2 3 4 2 2 2 5" xfId="31355"/>
    <cellStyle name="Normal 4 2 3 4 2 2 3" xfId="31356"/>
    <cellStyle name="Normal 4 2 3 4 2 2 3 2" xfId="31357"/>
    <cellStyle name="Normal 4 2 3 4 2 2 3 3" xfId="31358"/>
    <cellStyle name="Normal 4 2 3 4 2 2 4" xfId="31359"/>
    <cellStyle name="Normal 4 2 3 4 2 2 4 2" xfId="31360"/>
    <cellStyle name="Normal 4 2 3 4 2 2 4 3" xfId="31361"/>
    <cellStyle name="Normal 4 2 3 4 2 2 5" xfId="31362"/>
    <cellStyle name="Normal 4 2 3 4 2 2 6" xfId="31363"/>
    <cellStyle name="Normal 4 2 3 4 2 3" xfId="31364"/>
    <cellStyle name="Normal 4 2 3 4 2 3 2" xfId="31365"/>
    <cellStyle name="Normal 4 2 3 4 2 3 2 2" xfId="31366"/>
    <cellStyle name="Normal 4 2 3 4 2 3 2 2 2" xfId="31367"/>
    <cellStyle name="Normal 4 2 3 4 2 3 2 2 3" xfId="31368"/>
    <cellStyle name="Normal 4 2 3 4 2 3 2 3" xfId="31369"/>
    <cellStyle name="Normal 4 2 3 4 2 3 2 3 2" xfId="31370"/>
    <cellStyle name="Normal 4 2 3 4 2 3 2 3 3" xfId="31371"/>
    <cellStyle name="Normal 4 2 3 4 2 3 2 4" xfId="31372"/>
    <cellStyle name="Normal 4 2 3 4 2 3 2 5" xfId="31373"/>
    <cellStyle name="Normal 4 2 3 4 2 3 3" xfId="31374"/>
    <cellStyle name="Normal 4 2 3 4 2 3 3 2" xfId="31375"/>
    <cellStyle name="Normal 4 2 3 4 2 3 3 3" xfId="31376"/>
    <cellStyle name="Normal 4 2 3 4 2 3 4" xfId="31377"/>
    <cellStyle name="Normal 4 2 3 4 2 3 4 2" xfId="31378"/>
    <cellStyle name="Normal 4 2 3 4 2 3 4 3" xfId="31379"/>
    <cellStyle name="Normal 4 2 3 4 2 3 5" xfId="31380"/>
    <cellStyle name="Normal 4 2 3 4 2 3 6" xfId="31381"/>
    <cellStyle name="Normal 4 2 3 4 2 4" xfId="31382"/>
    <cellStyle name="Normal 4 2 3 4 2 4 2" xfId="31383"/>
    <cellStyle name="Normal 4 2 3 4 2 4 2 2" xfId="31384"/>
    <cellStyle name="Normal 4 2 3 4 2 4 2 3" xfId="31385"/>
    <cellStyle name="Normal 4 2 3 4 2 4 3" xfId="31386"/>
    <cellStyle name="Normal 4 2 3 4 2 4 3 2" xfId="31387"/>
    <cellStyle name="Normal 4 2 3 4 2 4 3 3" xfId="31388"/>
    <cellStyle name="Normal 4 2 3 4 2 4 4" xfId="31389"/>
    <cellStyle name="Normal 4 2 3 4 2 4 5" xfId="31390"/>
    <cellStyle name="Normal 4 2 3 4 2 5" xfId="31391"/>
    <cellStyle name="Normal 4 2 3 4 2 5 2" xfId="31392"/>
    <cellStyle name="Normal 4 2 3 4 2 5 3" xfId="31393"/>
    <cellStyle name="Normal 4 2 3 4 2 6" xfId="31394"/>
    <cellStyle name="Normal 4 2 3 4 2 6 2" xfId="31395"/>
    <cellStyle name="Normal 4 2 3 4 2 6 3" xfId="31396"/>
    <cellStyle name="Normal 4 2 3 4 2 7" xfId="31397"/>
    <cellStyle name="Normal 4 2 3 4 2 8" xfId="31398"/>
    <cellStyle name="Normal 4 2 3 4 3" xfId="31399"/>
    <cellStyle name="Normal 4 2 3 4 3 2" xfId="31400"/>
    <cellStyle name="Normal 4 2 3 4 3 2 2" xfId="31401"/>
    <cellStyle name="Normal 4 2 3 4 3 2 2 2" xfId="31402"/>
    <cellStyle name="Normal 4 2 3 4 3 2 2 3" xfId="31403"/>
    <cellStyle name="Normal 4 2 3 4 3 2 3" xfId="31404"/>
    <cellStyle name="Normal 4 2 3 4 3 2 3 2" xfId="31405"/>
    <cellStyle name="Normal 4 2 3 4 3 2 3 3" xfId="31406"/>
    <cellStyle name="Normal 4 2 3 4 3 2 4" xfId="31407"/>
    <cellStyle name="Normal 4 2 3 4 3 2 5" xfId="31408"/>
    <cellStyle name="Normal 4 2 3 4 3 3" xfId="31409"/>
    <cellStyle name="Normal 4 2 3 4 3 3 2" xfId="31410"/>
    <cellStyle name="Normal 4 2 3 4 3 3 3" xfId="31411"/>
    <cellStyle name="Normal 4 2 3 4 3 4" xfId="31412"/>
    <cellStyle name="Normal 4 2 3 4 3 4 2" xfId="31413"/>
    <cellStyle name="Normal 4 2 3 4 3 4 3" xfId="31414"/>
    <cellStyle name="Normal 4 2 3 4 3 5" xfId="31415"/>
    <cellStyle name="Normal 4 2 3 4 3 6" xfId="31416"/>
    <cellStyle name="Normal 4 2 3 4 4" xfId="31417"/>
    <cellStyle name="Normal 4 2 3 4 4 2" xfId="31418"/>
    <cellStyle name="Normal 4 2 3 4 4 2 2" xfId="31419"/>
    <cellStyle name="Normal 4 2 3 4 4 2 2 2" xfId="31420"/>
    <cellStyle name="Normal 4 2 3 4 4 2 2 3" xfId="31421"/>
    <cellStyle name="Normal 4 2 3 4 4 2 3" xfId="31422"/>
    <cellStyle name="Normal 4 2 3 4 4 2 3 2" xfId="31423"/>
    <cellStyle name="Normal 4 2 3 4 4 2 3 3" xfId="31424"/>
    <cellStyle name="Normal 4 2 3 4 4 2 4" xfId="31425"/>
    <cellStyle name="Normal 4 2 3 4 4 2 5" xfId="31426"/>
    <cellStyle name="Normal 4 2 3 4 4 3" xfId="31427"/>
    <cellStyle name="Normal 4 2 3 4 4 3 2" xfId="31428"/>
    <cellStyle name="Normal 4 2 3 4 4 3 3" xfId="31429"/>
    <cellStyle name="Normal 4 2 3 4 4 4" xfId="31430"/>
    <cellStyle name="Normal 4 2 3 4 4 4 2" xfId="31431"/>
    <cellStyle name="Normal 4 2 3 4 4 4 3" xfId="31432"/>
    <cellStyle name="Normal 4 2 3 4 4 5" xfId="31433"/>
    <cellStyle name="Normal 4 2 3 4 4 6" xfId="31434"/>
    <cellStyle name="Normal 4 2 3 4 5" xfId="31435"/>
    <cellStyle name="Normal 4 2 3 4 5 2" xfId="31436"/>
    <cellStyle name="Normal 4 2 3 4 5 2 2" xfId="31437"/>
    <cellStyle name="Normal 4 2 3 4 5 2 3" xfId="31438"/>
    <cellStyle name="Normal 4 2 3 4 5 3" xfId="31439"/>
    <cellStyle name="Normal 4 2 3 4 5 3 2" xfId="31440"/>
    <cellStyle name="Normal 4 2 3 4 5 3 3" xfId="31441"/>
    <cellStyle name="Normal 4 2 3 4 5 4" xfId="31442"/>
    <cellStyle name="Normal 4 2 3 4 5 5" xfId="31443"/>
    <cellStyle name="Normal 4 2 3 4 6" xfId="31444"/>
    <cellStyle name="Normal 4 2 3 4 6 2" xfId="31445"/>
    <cellStyle name="Normal 4 2 3 4 6 3" xfId="31446"/>
    <cellStyle name="Normal 4 2 3 4 7" xfId="31447"/>
    <cellStyle name="Normal 4 2 3 4 7 2" xfId="31448"/>
    <cellStyle name="Normal 4 2 3 4 7 3" xfId="31449"/>
    <cellStyle name="Normal 4 2 3 4 8" xfId="31450"/>
    <cellStyle name="Normal 4 2 3 4 9" xfId="31451"/>
    <cellStyle name="Normal 4 2 3 5" xfId="31452"/>
    <cellStyle name="Normal 4 2 3 5 2" xfId="31453"/>
    <cellStyle name="Normal 4 2 3 5 2 2" xfId="31454"/>
    <cellStyle name="Normal 4 2 3 5 2 2 2" xfId="31455"/>
    <cellStyle name="Normal 4 2 3 5 2 2 2 2" xfId="31456"/>
    <cellStyle name="Normal 4 2 3 5 2 2 2 3" xfId="31457"/>
    <cellStyle name="Normal 4 2 3 5 2 2 3" xfId="31458"/>
    <cellStyle name="Normal 4 2 3 5 2 2 3 2" xfId="31459"/>
    <cellStyle name="Normal 4 2 3 5 2 2 3 3" xfId="31460"/>
    <cellStyle name="Normal 4 2 3 5 2 2 4" xfId="31461"/>
    <cellStyle name="Normal 4 2 3 5 2 2 5" xfId="31462"/>
    <cellStyle name="Normal 4 2 3 5 2 3" xfId="31463"/>
    <cellStyle name="Normal 4 2 3 5 2 3 2" xfId="31464"/>
    <cellStyle name="Normal 4 2 3 5 2 3 3" xfId="31465"/>
    <cellStyle name="Normal 4 2 3 5 2 4" xfId="31466"/>
    <cellStyle name="Normal 4 2 3 5 2 4 2" xfId="31467"/>
    <cellStyle name="Normal 4 2 3 5 2 4 3" xfId="31468"/>
    <cellStyle name="Normal 4 2 3 5 2 5" xfId="31469"/>
    <cellStyle name="Normal 4 2 3 5 2 6" xfId="31470"/>
    <cellStyle name="Normal 4 2 3 5 3" xfId="31471"/>
    <cellStyle name="Normal 4 2 3 5 3 2" xfId="31472"/>
    <cellStyle name="Normal 4 2 3 5 3 2 2" xfId="31473"/>
    <cellStyle name="Normal 4 2 3 5 3 2 2 2" xfId="31474"/>
    <cellStyle name="Normal 4 2 3 5 3 2 2 3" xfId="31475"/>
    <cellStyle name="Normal 4 2 3 5 3 2 3" xfId="31476"/>
    <cellStyle name="Normal 4 2 3 5 3 2 3 2" xfId="31477"/>
    <cellStyle name="Normal 4 2 3 5 3 2 3 3" xfId="31478"/>
    <cellStyle name="Normal 4 2 3 5 3 2 4" xfId="31479"/>
    <cellStyle name="Normal 4 2 3 5 3 2 5" xfId="31480"/>
    <cellStyle name="Normal 4 2 3 5 3 3" xfId="31481"/>
    <cellStyle name="Normal 4 2 3 5 3 3 2" xfId="31482"/>
    <cellStyle name="Normal 4 2 3 5 3 3 3" xfId="31483"/>
    <cellStyle name="Normal 4 2 3 5 3 4" xfId="31484"/>
    <cellStyle name="Normal 4 2 3 5 3 4 2" xfId="31485"/>
    <cellStyle name="Normal 4 2 3 5 3 4 3" xfId="31486"/>
    <cellStyle name="Normal 4 2 3 5 3 5" xfId="31487"/>
    <cellStyle name="Normal 4 2 3 5 3 6" xfId="31488"/>
    <cellStyle name="Normal 4 2 3 5 4" xfId="31489"/>
    <cellStyle name="Normal 4 2 3 5 4 2" xfId="31490"/>
    <cellStyle name="Normal 4 2 3 5 4 2 2" xfId="31491"/>
    <cellStyle name="Normal 4 2 3 5 4 2 3" xfId="31492"/>
    <cellStyle name="Normal 4 2 3 5 4 3" xfId="31493"/>
    <cellStyle name="Normal 4 2 3 5 4 3 2" xfId="31494"/>
    <cellStyle name="Normal 4 2 3 5 4 3 3" xfId="31495"/>
    <cellStyle name="Normal 4 2 3 5 4 4" xfId="31496"/>
    <cellStyle name="Normal 4 2 3 5 4 5" xfId="31497"/>
    <cellStyle name="Normal 4 2 3 5 5" xfId="31498"/>
    <cellStyle name="Normal 4 2 3 5 5 2" xfId="31499"/>
    <cellStyle name="Normal 4 2 3 5 5 3" xfId="31500"/>
    <cellStyle name="Normal 4 2 3 5 6" xfId="31501"/>
    <cellStyle name="Normal 4 2 3 5 6 2" xfId="31502"/>
    <cellStyle name="Normal 4 2 3 5 6 3" xfId="31503"/>
    <cellStyle name="Normal 4 2 3 5 7" xfId="31504"/>
    <cellStyle name="Normal 4 2 3 5 8" xfId="31505"/>
    <cellStyle name="Normal 4 2 3 6" xfId="31506"/>
    <cellStyle name="Normal 4 2 3 6 2" xfId="31507"/>
    <cellStyle name="Normal 4 2 3 6 2 2" xfId="31508"/>
    <cellStyle name="Normal 4 2 3 6 2 2 2" xfId="31509"/>
    <cellStyle name="Normal 4 2 3 6 2 2 3" xfId="31510"/>
    <cellStyle name="Normal 4 2 3 6 2 3" xfId="31511"/>
    <cellStyle name="Normal 4 2 3 6 2 3 2" xfId="31512"/>
    <cellStyle name="Normal 4 2 3 6 2 3 3" xfId="31513"/>
    <cellStyle name="Normal 4 2 3 6 2 4" xfId="31514"/>
    <cellStyle name="Normal 4 2 3 6 2 5" xfId="31515"/>
    <cellStyle name="Normal 4 2 3 6 3" xfId="31516"/>
    <cellStyle name="Normal 4 2 3 6 3 2" xfId="31517"/>
    <cellStyle name="Normal 4 2 3 6 3 3" xfId="31518"/>
    <cellStyle name="Normal 4 2 3 6 4" xfId="31519"/>
    <cellStyle name="Normal 4 2 3 6 4 2" xfId="31520"/>
    <cellStyle name="Normal 4 2 3 6 4 3" xfId="31521"/>
    <cellStyle name="Normal 4 2 3 6 5" xfId="31522"/>
    <cellStyle name="Normal 4 2 3 6 6" xfId="31523"/>
    <cellStyle name="Normal 4 2 3 7" xfId="31524"/>
    <cellStyle name="Normal 4 2 3 7 2" xfId="31525"/>
    <cellStyle name="Normal 4 2 3 7 2 2" xfId="31526"/>
    <cellStyle name="Normal 4 2 3 7 2 2 2" xfId="31527"/>
    <cellStyle name="Normal 4 2 3 7 2 2 3" xfId="31528"/>
    <cellStyle name="Normal 4 2 3 7 2 3" xfId="31529"/>
    <cellStyle name="Normal 4 2 3 7 2 3 2" xfId="31530"/>
    <cellStyle name="Normal 4 2 3 7 2 3 3" xfId="31531"/>
    <cellStyle name="Normal 4 2 3 7 2 4" xfId="31532"/>
    <cellStyle name="Normal 4 2 3 7 2 5" xfId="31533"/>
    <cellStyle name="Normal 4 2 3 7 3" xfId="31534"/>
    <cellStyle name="Normal 4 2 3 7 3 2" xfId="31535"/>
    <cellStyle name="Normal 4 2 3 7 3 3" xfId="31536"/>
    <cellStyle name="Normal 4 2 3 7 4" xfId="31537"/>
    <cellStyle name="Normal 4 2 3 7 4 2" xfId="31538"/>
    <cellStyle name="Normal 4 2 3 7 4 3" xfId="31539"/>
    <cellStyle name="Normal 4 2 3 7 5" xfId="31540"/>
    <cellStyle name="Normal 4 2 3 7 6" xfId="31541"/>
    <cellStyle name="Normal 4 2 3 8" xfId="31542"/>
    <cellStyle name="Normal 4 2 3 8 2" xfId="31543"/>
    <cellStyle name="Normal 4 2 3 8 2 2" xfId="31544"/>
    <cellStyle name="Normal 4 2 3 8 2 3" xfId="31545"/>
    <cellStyle name="Normal 4 2 3 8 3" xfId="31546"/>
    <cellStyle name="Normal 4 2 3 8 3 2" xfId="31547"/>
    <cellStyle name="Normal 4 2 3 8 3 3" xfId="31548"/>
    <cellStyle name="Normal 4 2 3 8 4" xfId="31549"/>
    <cellStyle name="Normal 4 2 3 8 5" xfId="31550"/>
    <cellStyle name="Normal 4 2 3 9" xfId="31551"/>
    <cellStyle name="Normal 4 2 3 9 2" xfId="31552"/>
    <cellStyle name="Normal 4 2 3 9 3" xfId="31553"/>
    <cellStyle name="Normal 4 2 4" xfId="31554"/>
    <cellStyle name="Normal 4 2 4 10" xfId="31555"/>
    <cellStyle name="Normal 4 2 4 2" xfId="31556"/>
    <cellStyle name="Normal 4 2 4 2 2" xfId="31557"/>
    <cellStyle name="Normal 4 2 4 2 2 2" xfId="31558"/>
    <cellStyle name="Normal 4 2 4 2 2 2 2" xfId="31559"/>
    <cellStyle name="Normal 4 2 4 2 2 2 2 2" xfId="31560"/>
    <cellStyle name="Normal 4 2 4 2 2 2 2 2 2" xfId="31561"/>
    <cellStyle name="Normal 4 2 4 2 2 2 2 2 3" xfId="31562"/>
    <cellStyle name="Normal 4 2 4 2 2 2 2 3" xfId="31563"/>
    <cellStyle name="Normal 4 2 4 2 2 2 2 3 2" xfId="31564"/>
    <cellStyle name="Normal 4 2 4 2 2 2 2 3 3" xfId="31565"/>
    <cellStyle name="Normal 4 2 4 2 2 2 2 4" xfId="31566"/>
    <cellStyle name="Normal 4 2 4 2 2 2 2 5" xfId="31567"/>
    <cellStyle name="Normal 4 2 4 2 2 2 3" xfId="31568"/>
    <cellStyle name="Normal 4 2 4 2 2 2 3 2" xfId="31569"/>
    <cellStyle name="Normal 4 2 4 2 2 2 3 3" xfId="31570"/>
    <cellStyle name="Normal 4 2 4 2 2 2 4" xfId="31571"/>
    <cellStyle name="Normal 4 2 4 2 2 2 4 2" xfId="31572"/>
    <cellStyle name="Normal 4 2 4 2 2 2 4 3" xfId="31573"/>
    <cellStyle name="Normal 4 2 4 2 2 2 5" xfId="31574"/>
    <cellStyle name="Normal 4 2 4 2 2 2 6" xfId="31575"/>
    <cellStyle name="Normal 4 2 4 2 2 3" xfId="31576"/>
    <cellStyle name="Normal 4 2 4 2 2 3 2" xfId="31577"/>
    <cellStyle name="Normal 4 2 4 2 2 3 2 2" xfId="31578"/>
    <cellStyle name="Normal 4 2 4 2 2 3 2 2 2" xfId="31579"/>
    <cellStyle name="Normal 4 2 4 2 2 3 2 2 3" xfId="31580"/>
    <cellStyle name="Normal 4 2 4 2 2 3 2 3" xfId="31581"/>
    <cellStyle name="Normal 4 2 4 2 2 3 2 3 2" xfId="31582"/>
    <cellStyle name="Normal 4 2 4 2 2 3 2 3 3" xfId="31583"/>
    <cellStyle name="Normal 4 2 4 2 2 3 2 4" xfId="31584"/>
    <cellStyle name="Normal 4 2 4 2 2 3 2 5" xfId="31585"/>
    <cellStyle name="Normal 4 2 4 2 2 3 3" xfId="31586"/>
    <cellStyle name="Normal 4 2 4 2 2 3 3 2" xfId="31587"/>
    <cellStyle name="Normal 4 2 4 2 2 3 3 3" xfId="31588"/>
    <cellStyle name="Normal 4 2 4 2 2 3 4" xfId="31589"/>
    <cellStyle name="Normal 4 2 4 2 2 3 4 2" xfId="31590"/>
    <cellStyle name="Normal 4 2 4 2 2 3 4 3" xfId="31591"/>
    <cellStyle name="Normal 4 2 4 2 2 3 5" xfId="31592"/>
    <cellStyle name="Normal 4 2 4 2 2 3 6" xfId="31593"/>
    <cellStyle name="Normal 4 2 4 2 2 4" xfId="31594"/>
    <cellStyle name="Normal 4 2 4 2 2 4 2" xfId="31595"/>
    <cellStyle name="Normal 4 2 4 2 2 4 2 2" xfId="31596"/>
    <cellStyle name="Normal 4 2 4 2 2 4 2 3" xfId="31597"/>
    <cellStyle name="Normal 4 2 4 2 2 4 3" xfId="31598"/>
    <cellStyle name="Normal 4 2 4 2 2 4 3 2" xfId="31599"/>
    <cellStyle name="Normal 4 2 4 2 2 4 3 3" xfId="31600"/>
    <cellStyle name="Normal 4 2 4 2 2 4 4" xfId="31601"/>
    <cellStyle name="Normal 4 2 4 2 2 4 5" xfId="31602"/>
    <cellStyle name="Normal 4 2 4 2 2 5" xfId="31603"/>
    <cellStyle name="Normal 4 2 4 2 2 5 2" xfId="31604"/>
    <cellStyle name="Normal 4 2 4 2 2 5 3" xfId="31605"/>
    <cellStyle name="Normal 4 2 4 2 2 6" xfId="31606"/>
    <cellStyle name="Normal 4 2 4 2 2 6 2" xfId="31607"/>
    <cellStyle name="Normal 4 2 4 2 2 6 3" xfId="31608"/>
    <cellStyle name="Normal 4 2 4 2 2 7" xfId="31609"/>
    <cellStyle name="Normal 4 2 4 2 2 8" xfId="31610"/>
    <cellStyle name="Normal 4 2 4 2 3" xfId="31611"/>
    <cellStyle name="Normal 4 2 4 2 3 2" xfId="31612"/>
    <cellStyle name="Normal 4 2 4 2 3 2 2" xfId="31613"/>
    <cellStyle name="Normal 4 2 4 2 3 2 2 2" xfId="31614"/>
    <cellStyle name="Normal 4 2 4 2 3 2 2 3" xfId="31615"/>
    <cellStyle name="Normal 4 2 4 2 3 2 3" xfId="31616"/>
    <cellStyle name="Normal 4 2 4 2 3 2 3 2" xfId="31617"/>
    <cellStyle name="Normal 4 2 4 2 3 2 3 3" xfId="31618"/>
    <cellStyle name="Normal 4 2 4 2 3 2 4" xfId="31619"/>
    <cellStyle name="Normal 4 2 4 2 3 2 5" xfId="31620"/>
    <cellStyle name="Normal 4 2 4 2 3 3" xfId="31621"/>
    <cellStyle name="Normal 4 2 4 2 3 3 2" xfId="31622"/>
    <cellStyle name="Normal 4 2 4 2 3 3 3" xfId="31623"/>
    <cellStyle name="Normal 4 2 4 2 3 4" xfId="31624"/>
    <cellStyle name="Normal 4 2 4 2 3 4 2" xfId="31625"/>
    <cellStyle name="Normal 4 2 4 2 3 4 3" xfId="31626"/>
    <cellStyle name="Normal 4 2 4 2 3 5" xfId="31627"/>
    <cellStyle name="Normal 4 2 4 2 3 6" xfId="31628"/>
    <cellStyle name="Normal 4 2 4 2 4" xfId="31629"/>
    <cellStyle name="Normal 4 2 4 2 4 2" xfId="31630"/>
    <cellStyle name="Normal 4 2 4 2 4 2 2" xfId="31631"/>
    <cellStyle name="Normal 4 2 4 2 4 2 2 2" xfId="31632"/>
    <cellStyle name="Normal 4 2 4 2 4 2 2 3" xfId="31633"/>
    <cellStyle name="Normal 4 2 4 2 4 2 3" xfId="31634"/>
    <cellStyle name="Normal 4 2 4 2 4 2 3 2" xfId="31635"/>
    <cellStyle name="Normal 4 2 4 2 4 2 3 3" xfId="31636"/>
    <cellStyle name="Normal 4 2 4 2 4 2 4" xfId="31637"/>
    <cellStyle name="Normal 4 2 4 2 4 2 5" xfId="31638"/>
    <cellStyle name="Normal 4 2 4 2 4 3" xfId="31639"/>
    <cellStyle name="Normal 4 2 4 2 4 3 2" xfId="31640"/>
    <cellStyle name="Normal 4 2 4 2 4 3 3" xfId="31641"/>
    <cellStyle name="Normal 4 2 4 2 4 4" xfId="31642"/>
    <cellStyle name="Normal 4 2 4 2 4 4 2" xfId="31643"/>
    <cellStyle name="Normal 4 2 4 2 4 4 3" xfId="31644"/>
    <cellStyle name="Normal 4 2 4 2 4 5" xfId="31645"/>
    <cellStyle name="Normal 4 2 4 2 4 6" xfId="31646"/>
    <cellStyle name="Normal 4 2 4 2 5" xfId="31647"/>
    <cellStyle name="Normal 4 2 4 2 5 2" xfId="31648"/>
    <cellStyle name="Normal 4 2 4 2 5 2 2" xfId="31649"/>
    <cellStyle name="Normal 4 2 4 2 5 2 3" xfId="31650"/>
    <cellStyle name="Normal 4 2 4 2 5 3" xfId="31651"/>
    <cellStyle name="Normal 4 2 4 2 5 3 2" xfId="31652"/>
    <cellStyle name="Normal 4 2 4 2 5 3 3" xfId="31653"/>
    <cellStyle name="Normal 4 2 4 2 5 4" xfId="31654"/>
    <cellStyle name="Normal 4 2 4 2 5 5" xfId="31655"/>
    <cellStyle name="Normal 4 2 4 2 6" xfId="31656"/>
    <cellStyle name="Normal 4 2 4 2 6 2" xfId="31657"/>
    <cellStyle name="Normal 4 2 4 2 6 3" xfId="31658"/>
    <cellStyle name="Normal 4 2 4 2 7" xfId="31659"/>
    <cellStyle name="Normal 4 2 4 2 7 2" xfId="31660"/>
    <cellStyle name="Normal 4 2 4 2 7 3" xfId="31661"/>
    <cellStyle name="Normal 4 2 4 2 8" xfId="31662"/>
    <cellStyle name="Normal 4 2 4 2 9" xfId="31663"/>
    <cellStyle name="Normal 4 2 4 3" xfId="31664"/>
    <cellStyle name="Normal 4 2 4 3 2" xfId="31665"/>
    <cellStyle name="Normal 4 2 4 3 2 2" xfId="31666"/>
    <cellStyle name="Normal 4 2 4 3 2 2 2" xfId="31667"/>
    <cellStyle name="Normal 4 2 4 3 2 2 2 2" xfId="31668"/>
    <cellStyle name="Normal 4 2 4 3 2 2 2 3" xfId="31669"/>
    <cellStyle name="Normal 4 2 4 3 2 2 3" xfId="31670"/>
    <cellStyle name="Normal 4 2 4 3 2 2 3 2" xfId="31671"/>
    <cellStyle name="Normal 4 2 4 3 2 2 3 3" xfId="31672"/>
    <cellStyle name="Normal 4 2 4 3 2 2 4" xfId="31673"/>
    <cellStyle name="Normal 4 2 4 3 2 2 5" xfId="31674"/>
    <cellStyle name="Normal 4 2 4 3 2 3" xfId="31675"/>
    <cellStyle name="Normal 4 2 4 3 2 3 2" xfId="31676"/>
    <cellStyle name="Normal 4 2 4 3 2 3 3" xfId="31677"/>
    <cellStyle name="Normal 4 2 4 3 2 4" xfId="31678"/>
    <cellStyle name="Normal 4 2 4 3 2 4 2" xfId="31679"/>
    <cellStyle name="Normal 4 2 4 3 2 4 3" xfId="31680"/>
    <cellStyle name="Normal 4 2 4 3 2 5" xfId="31681"/>
    <cellStyle name="Normal 4 2 4 3 2 6" xfId="31682"/>
    <cellStyle name="Normal 4 2 4 3 3" xfId="31683"/>
    <cellStyle name="Normal 4 2 4 3 3 2" xfId="31684"/>
    <cellStyle name="Normal 4 2 4 3 3 2 2" xfId="31685"/>
    <cellStyle name="Normal 4 2 4 3 3 2 2 2" xfId="31686"/>
    <cellStyle name="Normal 4 2 4 3 3 2 2 3" xfId="31687"/>
    <cellStyle name="Normal 4 2 4 3 3 2 3" xfId="31688"/>
    <cellStyle name="Normal 4 2 4 3 3 2 3 2" xfId="31689"/>
    <cellStyle name="Normal 4 2 4 3 3 2 3 3" xfId="31690"/>
    <cellStyle name="Normal 4 2 4 3 3 2 4" xfId="31691"/>
    <cellStyle name="Normal 4 2 4 3 3 2 5" xfId="31692"/>
    <cellStyle name="Normal 4 2 4 3 3 3" xfId="31693"/>
    <cellStyle name="Normal 4 2 4 3 3 3 2" xfId="31694"/>
    <cellStyle name="Normal 4 2 4 3 3 3 3" xfId="31695"/>
    <cellStyle name="Normal 4 2 4 3 3 4" xfId="31696"/>
    <cellStyle name="Normal 4 2 4 3 3 4 2" xfId="31697"/>
    <cellStyle name="Normal 4 2 4 3 3 4 3" xfId="31698"/>
    <cellStyle name="Normal 4 2 4 3 3 5" xfId="31699"/>
    <cellStyle name="Normal 4 2 4 3 3 6" xfId="31700"/>
    <cellStyle name="Normal 4 2 4 3 4" xfId="31701"/>
    <cellStyle name="Normal 4 2 4 3 4 2" xfId="31702"/>
    <cellStyle name="Normal 4 2 4 3 4 2 2" xfId="31703"/>
    <cellStyle name="Normal 4 2 4 3 4 2 3" xfId="31704"/>
    <cellStyle name="Normal 4 2 4 3 4 3" xfId="31705"/>
    <cellStyle name="Normal 4 2 4 3 4 3 2" xfId="31706"/>
    <cellStyle name="Normal 4 2 4 3 4 3 3" xfId="31707"/>
    <cellStyle name="Normal 4 2 4 3 4 4" xfId="31708"/>
    <cellStyle name="Normal 4 2 4 3 4 5" xfId="31709"/>
    <cellStyle name="Normal 4 2 4 3 5" xfId="31710"/>
    <cellStyle name="Normal 4 2 4 3 5 2" xfId="31711"/>
    <cellStyle name="Normal 4 2 4 3 5 3" xfId="31712"/>
    <cellStyle name="Normal 4 2 4 3 6" xfId="31713"/>
    <cellStyle name="Normal 4 2 4 3 6 2" xfId="31714"/>
    <cellStyle name="Normal 4 2 4 3 6 3" xfId="31715"/>
    <cellStyle name="Normal 4 2 4 3 7" xfId="31716"/>
    <cellStyle name="Normal 4 2 4 3 8" xfId="31717"/>
    <cellStyle name="Normal 4 2 4 4" xfId="31718"/>
    <cellStyle name="Normal 4 2 4 4 2" xfId="31719"/>
    <cellStyle name="Normal 4 2 4 4 2 2" xfId="31720"/>
    <cellStyle name="Normal 4 2 4 4 2 2 2" xfId="31721"/>
    <cellStyle name="Normal 4 2 4 4 2 2 3" xfId="31722"/>
    <cellStyle name="Normal 4 2 4 4 2 3" xfId="31723"/>
    <cellStyle name="Normal 4 2 4 4 2 3 2" xfId="31724"/>
    <cellStyle name="Normal 4 2 4 4 2 3 3" xfId="31725"/>
    <cellStyle name="Normal 4 2 4 4 2 4" xfId="31726"/>
    <cellStyle name="Normal 4 2 4 4 2 5" xfId="31727"/>
    <cellStyle name="Normal 4 2 4 4 3" xfId="31728"/>
    <cellStyle name="Normal 4 2 4 4 3 2" xfId="31729"/>
    <cellStyle name="Normal 4 2 4 4 3 3" xfId="31730"/>
    <cellStyle name="Normal 4 2 4 4 4" xfId="31731"/>
    <cellStyle name="Normal 4 2 4 4 4 2" xfId="31732"/>
    <cellStyle name="Normal 4 2 4 4 4 3" xfId="31733"/>
    <cellStyle name="Normal 4 2 4 4 5" xfId="31734"/>
    <cellStyle name="Normal 4 2 4 4 6" xfId="31735"/>
    <cellStyle name="Normal 4 2 4 5" xfId="31736"/>
    <cellStyle name="Normal 4 2 4 5 2" xfId="31737"/>
    <cellStyle name="Normal 4 2 4 5 2 2" xfId="31738"/>
    <cellStyle name="Normal 4 2 4 5 2 2 2" xfId="31739"/>
    <cellStyle name="Normal 4 2 4 5 2 2 3" xfId="31740"/>
    <cellStyle name="Normal 4 2 4 5 2 3" xfId="31741"/>
    <cellStyle name="Normal 4 2 4 5 2 3 2" xfId="31742"/>
    <cellStyle name="Normal 4 2 4 5 2 3 3" xfId="31743"/>
    <cellStyle name="Normal 4 2 4 5 2 4" xfId="31744"/>
    <cellStyle name="Normal 4 2 4 5 2 5" xfId="31745"/>
    <cellStyle name="Normal 4 2 4 5 3" xfId="31746"/>
    <cellStyle name="Normal 4 2 4 5 3 2" xfId="31747"/>
    <cellStyle name="Normal 4 2 4 5 3 3" xfId="31748"/>
    <cellStyle name="Normal 4 2 4 5 4" xfId="31749"/>
    <cellStyle name="Normal 4 2 4 5 4 2" xfId="31750"/>
    <cellStyle name="Normal 4 2 4 5 4 3" xfId="31751"/>
    <cellStyle name="Normal 4 2 4 5 5" xfId="31752"/>
    <cellStyle name="Normal 4 2 4 5 6" xfId="31753"/>
    <cellStyle name="Normal 4 2 4 6" xfId="31754"/>
    <cellStyle name="Normal 4 2 4 6 2" xfId="31755"/>
    <cellStyle name="Normal 4 2 4 6 2 2" xfId="31756"/>
    <cellStyle name="Normal 4 2 4 6 2 3" xfId="31757"/>
    <cellStyle name="Normal 4 2 4 6 3" xfId="31758"/>
    <cellStyle name="Normal 4 2 4 6 3 2" xfId="31759"/>
    <cellStyle name="Normal 4 2 4 6 3 3" xfId="31760"/>
    <cellStyle name="Normal 4 2 4 6 4" xfId="31761"/>
    <cellStyle name="Normal 4 2 4 6 5" xfId="31762"/>
    <cellStyle name="Normal 4 2 4 7" xfId="31763"/>
    <cellStyle name="Normal 4 2 4 7 2" xfId="31764"/>
    <cellStyle name="Normal 4 2 4 7 3" xfId="31765"/>
    <cellStyle name="Normal 4 2 4 8" xfId="31766"/>
    <cellStyle name="Normal 4 2 4 8 2" xfId="31767"/>
    <cellStyle name="Normal 4 2 4 8 3" xfId="31768"/>
    <cellStyle name="Normal 4 2 4 9" xfId="31769"/>
    <cellStyle name="Normal 4 2 5" xfId="31770"/>
    <cellStyle name="Normal 4 2 5 10" xfId="31771"/>
    <cellStyle name="Normal 4 2 5 2" xfId="31772"/>
    <cellStyle name="Normal 4 2 5 2 2" xfId="31773"/>
    <cellStyle name="Normal 4 2 5 2 2 2" xfId="31774"/>
    <cellStyle name="Normal 4 2 5 2 2 2 2" xfId="31775"/>
    <cellStyle name="Normal 4 2 5 2 2 2 2 2" xfId="31776"/>
    <cellStyle name="Normal 4 2 5 2 2 2 2 2 2" xfId="31777"/>
    <cellStyle name="Normal 4 2 5 2 2 2 2 2 3" xfId="31778"/>
    <cellStyle name="Normal 4 2 5 2 2 2 2 3" xfId="31779"/>
    <cellStyle name="Normal 4 2 5 2 2 2 2 3 2" xfId="31780"/>
    <cellStyle name="Normal 4 2 5 2 2 2 2 3 3" xfId="31781"/>
    <cellStyle name="Normal 4 2 5 2 2 2 2 4" xfId="31782"/>
    <cellStyle name="Normal 4 2 5 2 2 2 2 5" xfId="31783"/>
    <cellStyle name="Normal 4 2 5 2 2 2 3" xfId="31784"/>
    <cellStyle name="Normal 4 2 5 2 2 2 3 2" xfId="31785"/>
    <cellStyle name="Normal 4 2 5 2 2 2 3 3" xfId="31786"/>
    <cellStyle name="Normal 4 2 5 2 2 2 4" xfId="31787"/>
    <cellStyle name="Normal 4 2 5 2 2 2 4 2" xfId="31788"/>
    <cellStyle name="Normal 4 2 5 2 2 2 4 3" xfId="31789"/>
    <cellStyle name="Normal 4 2 5 2 2 2 5" xfId="31790"/>
    <cellStyle name="Normal 4 2 5 2 2 2 6" xfId="31791"/>
    <cellStyle name="Normal 4 2 5 2 2 3" xfId="31792"/>
    <cellStyle name="Normal 4 2 5 2 2 3 2" xfId="31793"/>
    <cellStyle name="Normal 4 2 5 2 2 3 2 2" xfId="31794"/>
    <cellStyle name="Normal 4 2 5 2 2 3 2 2 2" xfId="31795"/>
    <cellStyle name="Normal 4 2 5 2 2 3 2 2 3" xfId="31796"/>
    <cellStyle name="Normal 4 2 5 2 2 3 2 3" xfId="31797"/>
    <cellStyle name="Normal 4 2 5 2 2 3 2 3 2" xfId="31798"/>
    <cellStyle name="Normal 4 2 5 2 2 3 2 3 3" xfId="31799"/>
    <cellStyle name="Normal 4 2 5 2 2 3 2 4" xfId="31800"/>
    <cellStyle name="Normal 4 2 5 2 2 3 2 5" xfId="31801"/>
    <cellStyle name="Normal 4 2 5 2 2 3 3" xfId="31802"/>
    <cellStyle name="Normal 4 2 5 2 2 3 3 2" xfId="31803"/>
    <cellStyle name="Normal 4 2 5 2 2 3 3 3" xfId="31804"/>
    <cellStyle name="Normal 4 2 5 2 2 3 4" xfId="31805"/>
    <cellStyle name="Normal 4 2 5 2 2 3 4 2" xfId="31806"/>
    <cellStyle name="Normal 4 2 5 2 2 3 4 3" xfId="31807"/>
    <cellStyle name="Normal 4 2 5 2 2 3 5" xfId="31808"/>
    <cellStyle name="Normal 4 2 5 2 2 3 6" xfId="31809"/>
    <cellStyle name="Normal 4 2 5 2 2 4" xfId="31810"/>
    <cellStyle name="Normal 4 2 5 2 2 4 2" xfId="31811"/>
    <cellStyle name="Normal 4 2 5 2 2 4 2 2" xfId="31812"/>
    <cellStyle name="Normal 4 2 5 2 2 4 2 3" xfId="31813"/>
    <cellStyle name="Normal 4 2 5 2 2 4 3" xfId="31814"/>
    <cellStyle name="Normal 4 2 5 2 2 4 3 2" xfId="31815"/>
    <cellStyle name="Normal 4 2 5 2 2 4 3 3" xfId="31816"/>
    <cellStyle name="Normal 4 2 5 2 2 4 4" xfId="31817"/>
    <cellStyle name="Normal 4 2 5 2 2 4 5" xfId="31818"/>
    <cellStyle name="Normal 4 2 5 2 2 5" xfId="31819"/>
    <cellStyle name="Normal 4 2 5 2 2 5 2" xfId="31820"/>
    <cellStyle name="Normal 4 2 5 2 2 5 3" xfId="31821"/>
    <cellStyle name="Normal 4 2 5 2 2 6" xfId="31822"/>
    <cellStyle name="Normal 4 2 5 2 2 6 2" xfId="31823"/>
    <cellStyle name="Normal 4 2 5 2 2 6 3" xfId="31824"/>
    <cellStyle name="Normal 4 2 5 2 2 7" xfId="31825"/>
    <cellStyle name="Normal 4 2 5 2 2 8" xfId="31826"/>
    <cellStyle name="Normal 4 2 5 2 3" xfId="31827"/>
    <cellStyle name="Normal 4 2 5 2 3 2" xfId="31828"/>
    <cellStyle name="Normal 4 2 5 2 3 2 2" xfId="31829"/>
    <cellStyle name="Normal 4 2 5 2 3 2 2 2" xfId="31830"/>
    <cellStyle name="Normal 4 2 5 2 3 2 2 3" xfId="31831"/>
    <cellStyle name="Normal 4 2 5 2 3 2 3" xfId="31832"/>
    <cellStyle name="Normal 4 2 5 2 3 2 3 2" xfId="31833"/>
    <cellStyle name="Normal 4 2 5 2 3 2 3 3" xfId="31834"/>
    <cellStyle name="Normal 4 2 5 2 3 2 4" xfId="31835"/>
    <cellStyle name="Normal 4 2 5 2 3 2 5" xfId="31836"/>
    <cellStyle name="Normal 4 2 5 2 3 3" xfId="31837"/>
    <cellStyle name="Normal 4 2 5 2 3 3 2" xfId="31838"/>
    <cellStyle name="Normal 4 2 5 2 3 3 3" xfId="31839"/>
    <cellStyle name="Normal 4 2 5 2 3 4" xfId="31840"/>
    <cellStyle name="Normal 4 2 5 2 3 4 2" xfId="31841"/>
    <cellStyle name="Normal 4 2 5 2 3 4 3" xfId="31842"/>
    <cellStyle name="Normal 4 2 5 2 3 5" xfId="31843"/>
    <cellStyle name="Normal 4 2 5 2 3 6" xfId="31844"/>
    <cellStyle name="Normal 4 2 5 2 4" xfId="31845"/>
    <cellStyle name="Normal 4 2 5 2 4 2" xfId="31846"/>
    <cellStyle name="Normal 4 2 5 2 4 2 2" xfId="31847"/>
    <cellStyle name="Normal 4 2 5 2 4 2 2 2" xfId="31848"/>
    <cellStyle name="Normal 4 2 5 2 4 2 2 3" xfId="31849"/>
    <cellStyle name="Normal 4 2 5 2 4 2 3" xfId="31850"/>
    <cellStyle name="Normal 4 2 5 2 4 2 3 2" xfId="31851"/>
    <cellStyle name="Normal 4 2 5 2 4 2 3 3" xfId="31852"/>
    <cellStyle name="Normal 4 2 5 2 4 2 4" xfId="31853"/>
    <cellStyle name="Normal 4 2 5 2 4 2 5" xfId="31854"/>
    <cellStyle name="Normal 4 2 5 2 4 3" xfId="31855"/>
    <cellStyle name="Normal 4 2 5 2 4 3 2" xfId="31856"/>
    <cellStyle name="Normal 4 2 5 2 4 3 3" xfId="31857"/>
    <cellStyle name="Normal 4 2 5 2 4 4" xfId="31858"/>
    <cellStyle name="Normal 4 2 5 2 4 4 2" xfId="31859"/>
    <cellStyle name="Normal 4 2 5 2 4 4 3" xfId="31860"/>
    <cellStyle name="Normal 4 2 5 2 4 5" xfId="31861"/>
    <cellStyle name="Normal 4 2 5 2 4 6" xfId="31862"/>
    <cellStyle name="Normal 4 2 5 2 5" xfId="31863"/>
    <cellStyle name="Normal 4 2 5 2 5 2" xfId="31864"/>
    <cellStyle name="Normal 4 2 5 2 5 2 2" xfId="31865"/>
    <cellStyle name="Normal 4 2 5 2 5 2 3" xfId="31866"/>
    <cellStyle name="Normal 4 2 5 2 5 3" xfId="31867"/>
    <cellStyle name="Normal 4 2 5 2 5 3 2" xfId="31868"/>
    <cellStyle name="Normal 4 2 5 2 5 3 3" xfId="31869"/>
    <cellStyle name="Normal 4 2 5 2 5 4" xfId="31870"/>
    <cellStyle name="Normal 4 2 5 2 5 5" xfId="31871"/>
    <cellStyle name="Normal 4 2 5 2 6" xfId="31872"/>
    <cellStyle name="Normal 4 2 5 2 6 2" xfId="31873"/>
    <cellStyle name="Normal 4 2 5 2 6 3" xfId="31874"/>
    <cellStyle name="Normal 4 2 5 2 7" xfId="31875"/>
    <cellStyle name="Normal 4 2 5 2 7 2" xfId="31876"/>
    <cellStyle name="Normal 4 2 5 2 7 3" xfId="31877"/>
    <cellStyle name="Normal 4 2 5 2 8" xfId="31878"/>
    <cellStyle name="Normal 4 2 5 2 9" xfId="31879"/>
    <cellStyle name="Normal 4 2 5 3" xfId="31880"/>
    <cellStyle name="Normal 4 2 5 3 2" xfId="31881"/>
    <cellStyle name="Normal 4 2 5 3 2 2" xfId="31882"/>
    <cellStyle name="Normal 4 2 5 3 2 2 2" xfId="31883"/>
    <cellStyle name="Normal 4 2 5 3 2 2 2 2" xfId="31884"/>
    <cellStyle name="Normal 4 2 5 3 2 2 2 3" xfId="31885"/>
    <cellStyle name="Normal 4 2 5 3 2 2 3" xfId="31886"/>
    <cellStyle name="Normal 4 2 5 3 2 2 3 2" xfId="31887"/>
    <cellStyle name="Normal 4 2 5 3 2 2 3 3" xfId="31888"/>
    <cellStyle name="Normal 4 2 5 3 2 2 4" xfId="31889"/>
    <cellStyle name="Normal 4 2 5 3 2 2 5" xfId="31890"/>
    <cellStyle name="Normal 4 2 5 3 2 3" xfId="31891"/>
    <cellStyle name="Normal 4 2 5 3 2 3 2" xfId="31892"/>
    <cellStyle name="Normal 4 2 5 3 2 3 3" xfId="31893"/>
    <cellStyle name="Normal 4 2 5 3 2 4" xfId="31894"/>
    <cellStyle name="Normal 4 2 5 3 2 4 2" xfId="31895"/>
    <cellStyle name="Normal 4 2 5 3 2 4 3" xfId="31896"/>
    <cellStyle name="Normal 4 2 5 3 2 5" xfId="31897"/>
    <cellStyle name="Normal 4 2 5 3 2 6" xfId="31898"/>
    <cellStyle name="Normal 4 2 5 3 3" xfId="31899"/>
    <cellStyle name="Normal 4 2 5 3 3 2" xfId="31900"/>
    <cellStyle name="Normal 4 2 5 3 3 2 2" xfId="31901"/>
    <cellStyle name="Normal 4 2 5 3 3 2 2 2" xfId="31902"/>
    <cellStyle name="Normal 4 2 5 3 3 2 2 3" xfId="31903"/>
    <cellStyle name="Normal 4 2 5 3 3 2 3" xfId="31904"/>
    <cellStyle name="Normal 4 2 5 3 3 2 3 2" xfId="31905"/>
    <cellStyle name="Normal 4 2 5 3 3 2 3 3" xfId="31906"/>
    <cellStyle name="Normal 4 2 5 3 3 2 4" xfId="31907"/>
    <cellStyle name="Normal 4 2 5 3 3 2 5" xfId="31908"/>
    <cellStyle name="Normal 4 2 5 3 3 3" xfId="31909"/>
    <cellStyle name="Normal 4 2 5 3 3 3 2" xfId="31910"/>
    <cellStyle name="Normal 4 2 5 3 3 3 3" xfId="31911"/>
    <cellStyle name="Normal 4 2 5 3 3 4" xfId="31912"/>
    <cellStyle name="Normal 4 2 5 3 3 4 2" xfId="31913"/>
    <cellStyle name="Normal 4 2 5 3 3 4 3" xfId="31914"/>
    <cellStyle name="Normal 4 2 5 3 3 5" xfId="31915"/>
    <cellStyle name="Normal 4 2 5 3 3 6" xfId="31916"/>
    <cellStyle name="Normal 4 2 5 3 4" xfId="31917"/>
    <cellStyle name="Normal 4 2 5 3 4 2" xfId="31918"/>
    <cellStyle name="Normal 4 2 5 3 4 2 2" xfId="31919"/>
    <cellStyle name="Normal 4 2 5 3 4 2 3" xfId="31920"/>
    <cellStyle name="Normal 4 2 5 3 4 3" xfId="31921"/>
    <cellStyle name="Normal 4 2 5 3 4 3 2" xfId="31922"/>
    <cellStyle name="Normal 4 2 5 3 4 3 3" xfId="31923"/>
    <cellStyle name="Normal 4 2 5 3 4 4" xfId="31924"/>
    <cellStyle name="Normal 4 2 5 3 4 5" xfId="31925"/>
    <cellStyle name="Normal 4 2 5 3 5" xfId="31926"/>
    <cellStyle name="Normal 4 2 5 3 5 2" xfId="31927"/>
    <cellStyle name="Normal 4 2 5 3 5 3" xfId="31928"/>
    <cellStyle name="Normal 4 2 5 3 6" xfId="31929"/>
    <cellStyle name="Normal 4 2 5 3 6 2" xfId="31930"/>
    <cellStyle name="Normal 4 2 5 3 6 3" xfId="31931"/>
    <cellStyle name="Normal 4 2 5 3 7" xfId="31932"/>
    <cellStyle name="Normal 4 2 5 3 8" xfId="31933"/>
    <cellStyle name="Normal 4 2 5 4" xfId="31934"/>
    <cellStyle name="Normal 4 2 5 4 2" xfId="31935"/>
    <cellStyle name="Normal 4 2 5 4 2 2" xfId="31936"/>
    <cellStyle name="Normal 4 2 5 4 2 2 2" xfId="31937"/>
    <cellStyle name="Normal 4 2 5 4 2 2 3" xfId="31938"/>
    <cellStyle name="Normal 4 2 5 4 2 3" xfId="31939"/>
    <cellStyle name="Normal 4 2 5 4 2 3 2" xfId="31940"/>
    <cellStyle name="Normal 4 2 5 4 2 3 3" xfId="31941"/>
    <cellStyle name="Normal 4 2 5 4 2 4" xfId="31942"/>
    <cellStyle name="Normal 4 2 5 4 2 5" xfId="31943"/>
    <cellStyle name="Normal 4 2 5 4 3" xfId="31944"/>
    <cellStyle name="Normal 4 2 5 4 3 2" xfId="31945"/>
    <cellStyle name="Normal 4 2 5 4 3 3" xfId="31946"/>
    <cellStyle name="Normal 4 2 5 4 4" xfId="31947"/>
    <cellStyle name="Normal 4 2 5 4 4 2" xfId="31948"/>
    <cellStyle name="Normal 4 2 5 4 4 3" xfId="31949"/>
    <cellStyle name="Normal 4 2 5 4 5" xfId="31950"/>
    <cellStyle name="Normal 4 2 5 4 6" xfId="31951"/>
    <cellStyle name="Normal 4 2 5 5" xfId="31952"/>
    <cellStyle name="Normal 4 2 5 5 2" xfId="31953"/>
    <cellStyle name="Normal 4 2 5 5 2 2" xfId="31954"/>
    <cellStyle name="Normal 4 2 5 5 2 2 2" xfId="31955"/>
    <cellStyle name="Normal 4 2 5 5 2 2 3" xfId="31956"/>
    <cellStyle name="Normal 4 2 5 5 2 3" xfId="31957"/>
    <cellStyle name="Normal 4 2 5 5 2 3 2" xfId="31958"/>
    <cellStyle name="Normal 4 2 5 5 2 3 3" xfId="31959"/>
    <cellStyle name="Normal 4 2 5 5 2 4" xfId="31960"/>
    <cellStyle name="Normal 4 2 5 5 2 5" xfId="31961"/>
    <cellStyle name="Normal 4 2 5 5 3" xfId="31962"/>
    <cellStyle name="Normal 4 2 5 5 3 2" xfId="31963"/>
    <cellStyle name="Normal 4 2 5 5 3 3" xfId="31964"/>
    <cellStyle name="Normal 4 2 5 5 4" xfId="31965"/>
    <cellStyle name="Normal 4 2 5 5 4 2" xfId="31966"/>
    <cellStyle name="Normal 4 2 5 5 4 3" xfId="31967"/>
    <cellStyle name="Normal 4 2 5 5 5" xfId="31968"/>
    <cellStyle name="Normal 4 2 5 5 6" xfId="31969"/>
    <cellStyle name="Normal 4 2 5 6" xfId="31970"/>
    <cellStyle name="Normal 4 2 5 6 2" xfId="31971"/>
    <cellStyle name="Normal 4 2 5 6 2 2" xfId="31972"/>
    <cellStyle name="Normal 4 2 5 6 2 3" xfId="31973"/>
    <cellStyle name="Normal 4 2 5 6 3" xfId="31974"/>
    <cellStyle name="Normal 4 2 5 6 3 2" xfId="31975"/>
    <cellStyle name="Normal 4 2 5 6 3 3" xfId="31976"/>
    <cellStyle name="Normal 4 2 5 6 4" xfId="31977"/>
    <cellStyle name="Normal 4 2 5 6 5" xfId="31978"/>
    <cellStyle name="Normal 4 2 5 7" xfId="31979"/>
    <cellStyle name="Normal 4 2 5 7 2" xfId="31980"/>
    <cellStyle name="Normal 4 2 5 7 3" xfId="31981"/>
    <cellStyle name="Normal 4 2 5 8" xfId="31982"/>
    <cellStyle name="Normal 4 2 5 8 2" xfId="31983"/>
    <cellStyle name="Normal 4 2 5 8 3" xfId="31984"/>
    <cellStyle name="Normal 4 2 5 9" xfId="31985"/>
    <cellStyle name="Normal 4 2 6" xfId="31986"/>
    <cellStyle name="Normal 4 2 6 10" xfId="31987"/>
    <cellStyle name="Normal 4 2 6 2" xfId="31988"/>
    <cellStyle name="Normal 4 2 6 2 2" xfId="31989"/>
    <cellStyle name="Normal 4 2 6 2 2 2" xfId="31990"/>
    <cellStyle name="Normal 4 2 6 2 2 2 2" xfId="31991"/>
    <cellStyle name="Normal 4 2 6 2 2 2 2 2" xfId="31992"/>
    <cellStyle name="Normal 4 2 6 2 2 2 2 2 2" xfId="31993"/>
    <cellStyle name="Normal 4 2 6 2 2 2 2 2 3" xfId="31994"/>
    <cellStyle name="Normal 4 2 6 2 2 2 2 3" xfId="31995"/>
    <cellStyle name="Normal 4 2 6 2 2 2 2 3 2" xfId="31996"/>
    <cellStyle name="Normal 4 2 6 2 2 2 2 3 3" xfId="31997"/>
    <cellStyle name="Normal 4 2 6 2 2 2 2 4" xfId="31998"/>
    <cellStyle name="Normal 4 2 6 2 2 2 2 5" xfId="31999"/>
    <cellStyle name="Normal 4 2 6 2 2 2 3" xfId="32000"/>
    <cellStyle name="Normal 4 2 6 2 2 2 3 2" xfId="32001"/>
    <cellStyle name="Normal 4 2 6 2 2 2 3 3" xfId="32002"/>
    <cellStyle name="Normal 4 2 6 2 2 2 4" xfId="32003"/>
    <cellStyle name="Normal 4 2 6 2 2 2 4 2" xfId="32004"/>
    <cellStyle name="Normal 4 2 6 2 2 2 4 3" xfId="32005"/>
    <cellStyle name="Normal 4 2 6 2 2 2 5" xfId="32006"/>
    <cellStyle name="Normal 4 2 6 2 2 2 6" xfId="32007"/>
    <cellStyle name="Normal 4 2 6 2 2 3" xfId="32008"/>
    <cellStyle name="Normal 4 2 6 2 2 3 2" xfId="32009"/>
    <cellStyle name="Normal 4 2 6 2 2 3 2 2" xfId="32010"/>
    <cellStyle name="Normal 4 2 6 2 2 3 2 2 2" xfId="32011"/>
    <cellStyle name="Normal 4 2 6 2 2 3 2 2 3" xfId="32012"/>
    <cellStyle name="Normal 4 2 6 2 2 3 2 3" xfId="32013"/>
    <cellStyle name="Normal 4 2 6 2 2 3 2 3 2" xfId="32014"/>
    <cellStyle name="Normal 4 2 6 2 2 3 2 3 3" xfId="32015"/>
    <cellStyle name="Normal 4 2 6 2 2 3 2 4" xfId="32016"/>
    <cellStyle name="Normal 4 2 6 2 2 3 2 5" xfId="32017"/>
    <cellStyle name="Normal 4 2 6 2 2 3 3" xfId="32018"/>
    <cellStyle name="Normal 4 2 6 2 2 3 3 2" xfId="32019"/>
    <cellStyle name="Normal 4 2 6 2 2 3 3 3" xfId="32020"/>
    <cellStyle name="Normal 4 2 6 2 2 3 4" xfId="32021"/>
    <cellStyle name="Normal 4 2 6 2 2 3 4 2" xfId="32022"/>
    <cellStyle name="Normal 4 2 6 2 2 3 4 3" xfId="32023"/>
    <cellStyle name="Normal 4 2 6 2 2 3 5" xfId="32024"/>
    <cellStyle name="Normal 4 2 6 2 2 3 6" xfId="32025"/>
    <cellStyle name="Normal 4 2 6 2 2 4" xfId="32026"/>
    <cellStyle name="Normal 4 2 6 2 2 4 2" xfId="32027"/>
    <cellStyle name="Normal 4 2 6 2 2 4 2 2" xfId="32028"/>
    <cellStyle name="Normal 4 2 6 2 2 4 2 3" xfId="32029"/>
    <cellStyle name="Normal 4 2 6 2 2 4 3" xfId="32030"/>
    <cellStyle name="Normal 4 2 6 2 2 4 3 2" xfId="32031"/>
    <cellStyle name="Normal 4 2 6 2 2 4 3 3" xfId="32032"/>
    <cellStyle name="Normal 4 2 6 2 2 4 4" xfId="32033"/>
    <cellStyle name="Normal 4 2 6 2 2 4 5" xfId="32034"/>
    <cellStyle name="Normal 4 2 6 2 2 5" xfId="32035"/>
    <cellStyle name="Normal 4 2 6 2 2 5 2" xfId="32036"/>
    <cellStyle name="Normal 4 2 6 2 2 5 3" xfId="32037"/>
    <cellStyle name="Normal 4 2 6 2 2 6" xfId="32038"/>
    <cellStyle name="Normal 4 2 6 2 2 6 2" xfId="32039"/>
    <cellStyle name="Normal 4 2 6 2 2 6 3" xfId="32040"/>
    <cellStyle name="Normal 4 2 6 2 2 7" xfId="32041"/>
    <cellStyle name="Normal 4 2 6 2 2 8" xfId="32042"/>
    <cellStyle name="Normal 4 2 6 2 3" xfId="32043"/>
    <cellStyle name="Normal 4 2 6 2 3 2" xfId="32044"/>
    <cellStyle name="Normal 4 2 6 2 3 2 2" xfId="32045"/>
    <cellStyle name="Normal 4 2 6 2 3 2 2 2" xfId="32046"/>
    <cellStyle name="Normal 4 2 6 2 3 2 2 3" xfId="32047"/>
    <cellStyle name="Normal 4 2 6 2 3 2 3" xfId="32048"/>
    <cellStyle name="Normal 4 2 6 2 3 2 3 2" xfId="32049"/>
    <cellStyle name="Normal 4 2 6 2 3 2 3 3" xfId="32050"/>
    <cellStyle name="Normal 4 2 6 2 3 2 4" xfId="32051"/>
    <cellStyle name="Normal 4 2 6 2 3 2 5" xfId="32052"/>
    <cellStyle name="Normal 4 2 6 2 3 3" xfId="32053"/>
    <cellStyle name="Normal 4 2 6 2 3 3 2" xfId="32054"/>
    <cellStyle name="Normal 4 2 6 2 3 3 3" xfId="32055"/>
    <cellStyle name="Normal 4 2 6 2 3 4" xfId="32056"/>
    <cellStyle name="Normal 4 2 6 2 3 4 2" xfId="32057"/>
    <cellStyle name="Normal 4 2 6 2 3 4 3" xfId="32058"/>
    <cellStyle name="Normal 4 2 6 2 3 5" xfId="32059"/>
    <cellStyle name="Normal 4 2 6 2 3 6" xfId="32060"/>
    <cellStyle name="Normal 4 2 6 2 4" xfId="32061"/>
    <cellStyle name="Normal 4 2 6 2 4 2" xfId="32062"/>
    <cellStyle name="Normal 4 2 6 2 4 2 2" xfId="32063"/>
    <cellStyle name="Normal 4 2 6 2 4 2 2 2" xfId="32064"/>
    <cellStyle name="Normal 4 2 6 2 4 2 2 3" xfId="32065"/>
    <cellStyle name="Normal 4 2 6 2 4 2 3" xfId="32066"/>
    <cellStyle name="Normal 4 2 6 2 4 2 3 2" xfId="32067"/>
    <cellStyle name="Normal 4 2 6 2 4 2 3 3" xfId="32068"/>
    <cellStyle name="Normal 4 2 6 2 4 2 4" xfId="32069"/>
    <cellStyle name="Normal 4 2 6 2 4 2 5" xfId="32070"/>
    <cellStyle name="Normal 4 2 6 2 4 3" xfId="32071"/>
    <cellStyle name="Normal 4 2 6 2 4 3 2" xfId="32072"/>
    <cellStyle name="Normal 4 2 6 2 4 3 3" xfId="32073"/>
    <cellStyle name="Normal 4 2 6 2 4 4" xfId="32074"/>
    <cellStyle name="Normal 4 2 6 2 4 4 2" xfId="32075"/>
    <cellStyle name="Normal 4 2 6 2 4 4 3" xfId="32076"/>
    <cellStyle name="Normal 4 2 6 2 4 5" xfId="32077"/>
    <cellStyle name="Normal 4 2 6 2 4 6" xfId="32078"/>
    <cellStyle name="Normal 4 2 6 2 5" xfId="32079"/>
    <cellStyle name="Normal 4 2 6 2 5 2" xfId="32080"/>
    <cellStyle name="Normal 4 2 6 2 5 2 2" xfId="32081"/>
    <cellStyle name="Normal 4 2 6 2 5 2 3" xfId="32082"/>
    <cellStyle name="Normal 4 2 6 2 5 3" xfId="32083"/>
    <cellStyle name="Normal 4 2 6 2 5 3 2" xfId="32084"/>
    <cellStyle name="Normal 4 2 6 2 5 3 3" xfId="32085"/>
    <cellStyle name="Normal 4 2 6 2 5 4" xfId="32086"/>
    <cellStyle name="Normal 4 2 6 2 5 5" xfId="32087"/>
    <cellStyle name="Normal 4 2 6 2 6" xfId="32088"/>
    <cellStyle name="Normal 4 2 6 2 6 2" xfId="32089"/>
    <cellStyle name="Normal 4 2 6 2 6 3" xfId="32090"/>
    <cellStyle name="Normal 4 2 6 2 7" xfId="32091"/>
    <cellStyle name="Normal 4 2 6 2 7 2" xfId="32092"/>
    <cellStyle name="Normal 4 2 6 2 7 3" xfId="32093"/>
    <cellStyle name="Normal 4 2 6 2 8" xfId="32094"/>
    <cellStyle name="Normal 4 2 6 2 9" xfId="32095"/>
    <cellStyle name="Normal 4 2 6 3" xfId="32096"/>
    <cellStyle name="Normal 4 2 6 3 2" xfId="32097"/>
    <cellStyle name="Normal 4 2 6 3 2 2" xfId="32098"/>
    <cellStyle name="Normal 4 2 6 3 2 2 2" xfId="32099"/>
    <cellStyle name="Normal 4 2 6 3 2 2 2 2" xfId="32100"/>
    <cellStyle name="Normal 4 2 6 3 2 2 2 3" xfId="32101"/>
    <cellStyle name="Normal 4 2 6 3 2 2 3" xfId="32102"/>
    <cellStyle name="Normal 4 2 6 3 2 2 3 2" xfId="32103"/>
    <cellStyle name="Normal 4 2 6 3 2 2 3 3" xfId="32104"/>
    <cellStyle name="Normal 4 2 6 3 2 2 4" xfId="32105"/>
    <cellStyle name="Normal 4 2 6 3 2 2 5" xfId="32106"/>
    <cellStyle name="Normal 4 2 6 3 2 3" xfId="32107"/>
    <cellStyle name="Normal 4 2 6 3 2 3 2" xfId="32108"/>
    <cellStyle name="Normal 4 2 6 3 2 3 3" xfId="32109"/>
    <cellStyle name="Normal 4 2 6 3 2 4" xfId="32110"/>
    <cellStyle name="Normal 4 2 6 3 2 4 2" xfId="32111"/>
    <cellStyle name="Normal 4 2 6 3 2 4 3" xfId="32112"/>
    <cellStyle name="Normal 4 2 6 3 2 5" xfId="32113"/>
    <cellStyle name="Normal 4 2 6 3 2 6" xfId="32114"/>
    <cellStyle name="Normal 4 2 6 3 3" xfId="32115"/>
    <cellStyle name="Normal 4 2 6 3 3 2" xfId="32116"/>
    <cellStyle name="Normal 4 2 6 3 3 2 2" xfId="32117"/>
    <cellStyle name="Normal 4 2 6 3 3 2 2 2" xfId="32118"/>
    <cellStyle name="Normal 4 2 6 3 3 2 2 3" xfId="32119"/>
    <cellStyle name="Normal 4 2 6 3 3 2 3" xfId="32120"/>
    <cellStyle name="Normal 4 2 6 3 3 2 3 2" xfId="32121"/>
    <cellStyle name="Normal 4 2 6 3 3 2 3 3" xfId="32122"/>
    <cellStyle name="Normal 4 2 6 3 3 2 4" xfId="32123"/>
    <cellStyle name="Normal 4 2 6 3 3 2 5" xfId="32124"/>
    <cellStyle name="Normal 4 2 6 3 3 3" xfId="32125"/>
    <cellStyle name="Normal 4 2 6 3 3 3 2" xfId="32126"/>
    <cellStyle name="Normal 4 2 6 3 3 3 3" xfId="32127"/>
    <cellStyle name="Normal 4 2 6 3 3 4" xfId="32128"/>
    <cellStyle name="Normal 4 2 6 3 3 4 2" xfId="32129"/>
    <cellStyle name="Normal 4 2 6 3 3 4 3" xfId="32130"/>
    <cellStyle name="Normal 4 2 6 3 3 5" xfId="32131"/>
    <cellStyle name="Normal 4 2 6 3 3 6" xfId="32132"/>
    <cellStyle name="Normal 4 2 6 3 4" xfId="32133"/>
    <cellStyle name="Normal 4 2 6 3 4 2" xfId="32134"/>
    <cellStyle name="Normal 4 2 6 3 4 2 2" xfId="32135"/>
    <cellStyle name="Normal 4 2 6 3 4 2 3" xfId="32136"/>
    <cellStyle name="Normal 4 2 6 3 4 3" xfId="32137"/>
    <cellStyle name="Normal 4 2 6 3 4 3 2" xfId="32138"/>
    <cellStyle name="Normal 4 2 6 3 4 3 3" xfId="32139"/>
    <cellStyle name="Normal 4 2 6 3 4 4" xfId="32140"/>
    <cellStyle name="Normal 4 2 6 3 4 5" xfId="32141"/>
    <cellStyle name="Normal 4 2 6 3 5" xfId="32142"/>
    <cellStyle name="Normal 4 2 6 3 5 2" xfId="32143"/>
    <cellStyle name="Normal 4 2 6 3 5 3" xfId="32144"/>
    <cellStyle name="Normal 4 2 6 3 6" xfId="32145"/>
    <cellStyle name="Normal 4 2 6 3 6 2" xfId="32146"/>
    <cellStyle name="Normal 4 2 6 3 6 3" xfId="32147"/>
    <cellStyle name="Normal 4 2 6 3 7" xfId="32148"/>
    <cellStyle name="Normal 4 2 6 3 8" xfId="32149"/>
    <cellStyle name="Normal 4 2 6 4" xfId="32150"/>
    <cellStyle name="Normal 4 2 6 4 2" xfId="32151"/>
    <cellStyle name="Normal 4 2 6 4 2 2" xfId="32152"/>
    <cellStyle name="Normal 4 2 6 4 2 2 2" xfId="32153"/>
    <cellStyle name="Normal 4 2 6 4 2 2 3" xfId="32154"/>
    <cellStyle name="Normal 4 2 6 4 2 3" xfId="32155"/>
    <cellStyle name="Normal 4 2 6 4 2 3 2" xfId="32156"/>
    <cellStyle name="Normal 4 2 6 4 2 3 3" xfId="32157"/>
    <cellStyle name="Normal 4 2 6 4 2 4" xfId="32158"/>
    <cellStyle name="Normal 4 2 6 4 2 5" xfId="32159"/>
    <cellStyle name="Normal 4 2 6 4 3" xfId="32160"/>
    <cellStyle name="Normal 4 2 6 4 3 2" xfId="32161"/>
    <cellStyle name="Normal 4 2 6 4 3 3" xfId="32162"/>
    <cellStyle name="Normal 4 2 6 4 4" xfId="32163"/>
    <cellStyle name="Normal 4 2 6 4 4 2" xfId="32164"/>
    <cellStyle name="Normal 4 2 6 4 4 3" xfId="32165"/>
    <cellStyle name="Normal 4 2 6 4 5" xfId="32166"/>
    <cellStyle name="Normal 4 2 6 4 6" xfId="32167"/>
    <cellStyle name="Normal 4 2 6 5" xfId="32168"/>
    <cellStyle name="Normal 4 2 6 5 2" xfId="32169"/>
    <cellStyle name="Normal 4 2 6 5 2 2" xfId="32170"/>
    <cellStyle name="Normal 4 2 6 5 2 2 2" xfId="32171"/>
    <cellStyle name="Normal 4 2 6 5 2 2 3" xfId="32172"/>
    <cellStyle name="Normal 4 2 6 5 2 3" xfId="32173"/>
    <cellStyle name="Normal 4 2 6 5 2 3 2" xfId="32174"/>
    <cellStyle name="Normal 4 2 6 5 2 3 3" xfId="32175"/>
    <cellStyle name="Normal 4 2 6 5 2 4" xfId="32176"/>
    <cellStyle name="Normal 4 2 6 5 2 5" xfId="32177"/>
    <cellStyle name="Normal 4 2 6 5 3" xfId="32178"/>
    <cellStyle name="Normal 4 2 6 5 3 2" xfId="32179"/>
    <cellStyle name="Normal 4 2 6 5 3 3" xfId="32180"/>
    <cellStyle name="Normal 4 2 6 5 4" xfId="32181"/>
    <cellStyle name="Normal 4 2 6 5 4 2" xfId="32182"/>
    <cellStyle name="Normal 4 2 6 5 4 3" xfId="32183"/>
    <cellStyle name="Normal 4 2 6 5 5" xfId="32184"/>
    <cellStyle name="Normal 4 2 6 5 6" xfId="32185"/>
    <cellStyle name="Normal 4 2 6 6" xfId="32186"/>
    <cellStyle name="Normal 4 2 6 6 2" xfId="32187"/>
    <cellStyle name="Normal 4 2 6 6 2 2" xfId="32188"/>
    <cellStyle name="Normal 4 2 6 6 2 3" xfId="32189"/>
    <cellStyle name="Normal 4 2 6 6 3" xfId="32190"/>
    <cellStyle name="Normal 4 2 6 6 3 2" xfId="32191"/>
    <cellStyle name="Normal 4 2 6 6 3 3" xfId="32192"/>
    <cellStyle name="Normal 4 2 6 6 4" xfId="32193"/>
    <cellStyle name="Normal 4 2 6 6 5" xfId="32194"/>
    <cellStyle name="Normal 4 2 6 7" xfId="32195"/>
    <cellStyle name="Normal 4 2 6 7 2" xfId="32196"/>
    <cellStyle name="Normal 4 2 6 7 3" xfId="32197"/>
    <cellStyle name="Normal 4 2 6 8" xfId="32198"/>
    <cellStyle name="Normal 4 2 6 8 2" xfId="32199"/>
    <cellStyle name="Normal 4 2 6 8 3" xfId="32200"/>
    <cellStyle name="Normal 4 2 6 9" xfId="32201"/>
    <cellStyle name="Normal 4 2 7" xfId="32202"/>
    <cellStyle name="Normal 4 2 7 2" xfId="32203"/>
    <cellStyle name="Normal 4 2 7 2 2" xfId="32204"/>
    <cellStyle name="Normal 4 2 7 2 2 2" xfId="32205"/>
    <cellStyle name="Normal 4 2 7 2 2 2 2" xfId="32206"/>
    <cellStyle name="Normal 4 2 7 2 2 2 2 2" xfId="32207"/>
    <cellStyle name="Normal 4 2 7 2 2 2 2 3" xfId="32208"/>
    <cellStyle name="Normal 4 2 7 2 2 2 3" xfId="32209"/>
    <cellStyle name="Normal 4 2 7 2 2 2 3 2" xfId="32210"/>
    <cellStyle name="Normal 4 2 7 2 2 2 3 3" xfId="32211"/>
    <cellStyle name="Normal 4 2 7 2 2 2 4" xfId="32212"/>
    <cellStyle name="Normal 4 2 7 2 2 2 5" xfId="32213"/>
    <cellStyle name="Normal 4 2 7 2 2 3" xfId="32214"/>
    <cellStyle name="Normal 4 2 7 2 2 3 2" xfId="32215"/>
    <cellStyle name="Normal 4 2 7 2 2 3 3" xfId="32216"/>
    <cellStyle name="Normal 4 2 7 2 2 4" xfId="32217"/>
    <cellStyle name="Normal 4 2 7 2 2 4 2" xfId="32218"/>
    <cellStyle name="Normal 4 2 7 2 2 4 3" xfId="32219"/>
    <cellStyle name="Normal 4 2 7 2 2 5" xfId="32220"/>
    <cellStyle name="Normal 4 2 7 2 2 6" xfId="32221"/>
    <cellStyle name="Normal 4 2 7 2 3" xfId="32222"/>
    <cellStyle name="Normal 4 2 7 2 3 2" xfId="32223"/>
    <cellStyle name="Normal 4 2 7 2 3 2 2" xfId="32224"/>
    <cellStyle name="Normal 4 2 7 2 3 2 2 2" xfId="32225"/>
    <cellStyle name="Normal 4 2 7 2 3 2 2 3" xfId="32226"/>
    <cellStyle name="Normal 4 2 7 2 3 2 3" xfId="32227"/>
    <cellStyle name="Normal 4 2 7 2 3 2 3 2" xfId="32228"/>
    <cellStyle name="Normal 4 2 7 2 3 2 3 3" xfId="32229"/>
    <cellStyle name="Normal 4 2 7 2 3 2 4" xfId="32230"/>
    <cellStyle name="Normal 4 2 7 2 3 2 5" xfId="32231"/>
    <cellStyle name="Normal 4 2 7 2 3 3" xfId="32232"/>
    <cellStyle name="Normal 4 2 7 2 3 3 2" xfId="32233"/>
    <cellStyle name="Normal 4 2 7 2 3 3 3" xfId="32234"/>
    <cellStyle name="Normal 4 2 7 2 3 4" xfId="32235"/>
    <cellStyle name="Normal 4 2 7 2 3 4 2" xfId="32236"/>
    <cellStyle name="Normal 4 2 7 2 3 4 3" xfId="32237"/>
    <cellStyle name="Normal 4 2 7 2 3 5" xfId="32238"/>
    <cellStyle name="Normal 4 2 7 2 3 6" xfId="32239"/>
    <cellStyle name="Normal 4 2 7 2 4" xfId="32240"/>
    <cellStyle name="Normal 4 2 7 2 4 2" xfId="32241"/>
    <cellStyle name="Normal 4 2 7 2 4 2 2" xfId="32242"/>
    <cellStyle name="Normal 4 2 7 2 4 2 3" xfId="32243"/>
    <cellStyle name="Normal 4 2 7 2 4 3" xfId="32244"/>
    <cellStyle name="Normal 4 2 7 2 4 3 2" xfId="32245"/>
    <cellStyle name="Normal 4 2 7 2 4 3 3" xfId="32246"/>
    <cellStyle name="Normal 4 2 7 2 4 4" xfId="32247"/>
    <cellStyle name="Normal 4 2 7 2 4 5" xfId="32248"/>
    <cellStyle name="Normal 4 2 7 2 5" xfId="32249"/>
    <cellStyle name="Normal 4 2 7 2 5 2" xfId="32250"/>
    <cellStyle name="Normal 4 2 7 2 5 3" xfId="32251"/>
    <cellStyle name="Normal 4 2 7 2 6" xfId="32252"/>
    <cellStyle name="Normal 4 2 7 2 6 2" xfId="32253"/>
    <cellStyle name="Normal 4 2 7 2 6 3" xfId="32254"/>
    <cellStyle name="Normal 4 2 7 2 7" xfId="32255"/>
    <cellStyle name="Normal 4 2 7 2 8" xfId="32256"/>
    <cellStyle name="Normal 4 2 7 3" xfId="32257"/>
    <cellStyle name="Normal 4 2 7 3 2" xfId="32258"/>
    <cellStyle name="Normal 4 2 7 3 2 2" xfId="32259"/>
    <cellStyle name="Normal 4 2 7 3 2 2 2" xfId="32260"/>
    <cellStyle name="Normal 4 2 7 3 2 2 3" xfId="32261"/>
    <cellStyle name="Normal 4 2 7 3 2 3" xfId="32262"/>
    <cellStyle name="Normal 4 2 7 3 2 3 2" xfId="32263"/>
    <cellStyle name="Normal 4 2 7 3 2 3 3" xfId="32264"/>
    <cellStyle name="Normal 4 2 7 3 2 4" xfId="32265"/>
    <cellStyle name="Normal 4 2 7 3 2 5" xfId="32266"/>
    <cellStyle name="Normal 4 2 7 3 3" xfId="32267"/>
    <cellStyle name="Normal 4 2 7 3 3 2" xfId="32268"/>
    <cellStyle name="Normal 4 2 7 3 3 3" xfId="32269"/>
    <cellStyle name="Normal 4 2 7 3 4" xfId="32270"/>
    <cellStyle name="Normal 4 2 7 3 4 2" xfId="32271"/>
    <cellStyle name="Normal 4 2 7 3 4 3" xfId="32272"/>
    <cellStyle name="Normal 4 2 7 3 5" xfId="32273"/>
    <cellStyle name="Normal 4 2 7 3 6" xfId="32274"/>
    <cellStyle name="Normal 4 2 7 4" xfId="32275"/>
    <cellStyle name="Normal 4 2 7 4 2" xfId="32276"/>
    <cellStyle name="Normal 4 2 7 4 2 2" xfId="32277"/>
    <cellStyle name="Normal 4 2 7 4 2 2 2" xfId="32278"/>
    <cellStyle name="Normal 4 2 7 4 2 2 3" xfId="32279"/>
    <cellStyle name="Normal 4 2 7 4 2 3" xfId="32280"/>
    <cellStyle name="Normal 4 2 7 4 2 3 2" xfId="32281"/>
    <cellStyle name="Normal 4 2 7 4 2 3 3" xfId="32282"/>
    <cellStyle name="Normal 4 2 7 4 2 4" xfId="32283"/>
    <cellStyle name="Normal 4 2 7 4 2 5" xfId="32284"/>
    <cellStyle name="Normal 4 2 7 4 3" xfId="32285"/>
    <cellStyle name="Normal 4 2 7 4 3 2" xfId="32286"/>
    <cellStyle name="Normal 4 2 7 4 3 3" xfId="32287"/>
    <cellStyle name="Normal 4 2 7 4 4" xfId="32288"/>
    <cellStyle name="Normal 4 2 7 4 4 2" xfId="32289"/>
    <cellStyle name="Normal 4 2 7 4 4 3" xfId="32290"/>
    <cellStyle name="Normal 4 2 7 4 5" xfId="32291"/>
    <cellStyle name="Normal 4 2 7 4 6" xfId="32292"/>
    <cellStyle name="Normal 4 2 7 5" xfId="32293"/>
    <cellStyle name="Normal 4 2 7 5 2" xfId="32294"/>
    <cellStyle name="Normal 4 2 7 5 2 2" xfId="32295"/>
    <cellStyle name="Normal 4 2 7 5 2 3" xfId="32296"/>
    <cellStyle name="Normal 4 2 7 5 3" xfId="32297"/>
    <cellStyle name="Normal 4 2 7 5 3 2" xfId="32298"/>
    <cellStyle name="Normal 4 2 7 5 3 3" xfId="32299"/>
    <cellStyle name="Normal 4 2 7 5 4" xfId="32300"/>
    <cellStyle name="Normal 4 2 7 5 5" xfId="32301"/>
    <cellStyle name="Normal 4 2 7 6" xfId="32302"/>
    <cellStyle name="Normal 4 2 7 6 2" xfId="32303"/>
    <cellStyle name="Normal 4 2 7 6 3" xfId="32304"/>
    <cellStyle name="Normal 4 2 7 7" xfId="32305"/>
    <cellStyle name="Normal 4 2 7 7 2" xfId="32306"/>
    <cellStyle name="Normal 4 2 7 7 3" xfId="32307"/>
    <cellStyle name="Normal 4 2 7 8" xfId="32308"/>
    <cellStyle name="Normal 4 2 7 9" xfId="32309"/>
    <cellStyle name="Normal 4 2 8" xfId="32310"/>
    <cellStyle name="Normal 4 2 8 2" xfId="32311"/>
    <cellStyle name="Normal 4 2 8 2 2" xfId="32312"/>
    <cellStyle name="Normal 4 2 8 2 2 2" xfId="32313"/>
    <cellStyle name="Normal 4 2 8 2 2 2 2" xfId="32314"/>
    <cellStyle name="Normal 4 2 8 2 2 2 3" xfId="32315"/>
    <cellStyle name="Normal 4 2 8 2 2 3" xfId="32316"/>
    <cellStyle name="Normal 4 2 8 2 2 3 2" xfId="32317"/>
    <cellStyle name="Normal 4 2 8 2 2 3 3" xfId="32318"/>
    <cellStyle name="Normal 4 2 8 2 2 4" xfId="32319"/>
    <cellStyle name="Normal 4 2 8 2 2 5" xfId="32320"/>
    <cellStyle name="Normal 4 2 8 2 3" xfId="32321"/>
    <cellStyle name="Normal 4 2 8 2 3 2" xfId="32322"/>
    <cellStyle name="Normal 4 2 8 2 3 3" xfId="32323"/>
    <cellStyle name="Normal 4 2 8 2 4" xfId="32324"/>
    <cellStyle name="Normal 4 2 8 2 4 2" xfId="32325"/>
    <cellStyle name="Normal 4 2 8 2 4 3" xfId="32326"/>
    <cellStyle name="Normal 4 2 8 2 5" xfId="32327"/>
    <cellStyle name="Normal 4 2 8 2 6" xfId="32328"/>
    <cellStyle name="Normal 4 2 8 3" xfId="32329"/>
    <cellStyle name="Normal 4 2 8 3 2" xfId="32330"/>
    <cellStyle name="Normal 4 2 8 3 2 2" xfId="32331"/>
    <cellStyle name="Normal 4 2 8 3 2 2 2" xfId="32332"/>
    <cellStyle name="Normal 4 2 8 3 2 2 3" xfId="32333"/>
    <cellStyle name="Normal 4 2 8 3 2 3" xfId="32334"/>
    <cellStyle name="Normal 4 2 8 3 2 3 2" xfId="32335"/>
    <cellStyle name="Normal 4 2 8 3 2 3 3" xfId="32336"/>
    <cellStyle name="Normal 4 2 8 3 2 4" xfId="32337"/>
    <cellStyle name="Normal 4 2 8 3 2 5" xfId="32338"/>
    <cellStyle name="Normal 4 2 8 3 3" xfId="32339"/>
    <cellStyle name="Normal 4 2 8 3 3 2" xfId="32340"/>
    <cellStyle name="Normal 4 2 8 3 3 3" xfId="32341"/>
    <cellStyle name="Normal 4 2 8 3 4" xfId="32342"/>
    <cellStyle name="Normal 4 2 8 3 4 2" xfId="32343"/>
    <cellStyle name="Normal 4 2 8 3 4 3" xfId="32344"/>
    <cellStyle name="Normal 4 2 8 3 5" xfId="32345"/>
    <cellStyle name="Normal 4 2 8 3 6" xfId="32346"/>
    <cellStyle name="Normal 4 2 8 4" xfId="32347"/>
    <cellStyle name="Normal 4 2 8 4 2" xfId="32348"/>
    <cellStyle name="Normal 4 2 8 4 2 2" xfId="32349"/>
    <cellStyle name="Normal 4 2 8 4 2 3" xfId="32350"/>
    <cellStyle name="Normal 4 2 8 4 3" xfId="32351"/>
    <cellStyle name="Normal 4 2 8 4 3 2" xfId="32352"/>
    <cellStyle name="Normal 4 2 8 4 3 3" xfId="32353"/>
    <cellStyle name="Normal 4 2 8 4 4" xfId="32354"/>
    <cellStyle name="Normal 4 2 8 4 5" xfId="32355"/>
    <cellStyle name="Normal 4 2 8 5" xfId="32356"/>
    <cellStyle name="Normal 4 2 8 5 2" xfId="32357"/>
    <cellStyle name="Normal 4 2 8 5 3" xfId="32358"/>
    <cellStyle name="Normal 4 2 8 6" xfId="32359"/>
    <cellStyle name="Normal 4 2 8 6 2" xfId="32360"/>
    <cellStyle name="Normal 4 2 8 6 3" xfId="32361"/>
    <cellStyle name="Normal 4 2 8 7" xfId="32362"/>
    <cellStyle name="Normal 4 2 8 8" xfId="32363"/>
    <cellStyle name="Normal 4 2 9" xfId="32364"/>
    <cellStyle name="Normal 4 2 9 2" xfId="32365"/>
    <cellStyle name="Normal 4 2 9 2 2" xfId="32366"/>
    <cellStyle name="Normal 4 2 9 2 2 2" xfId="32367"/>
    <cellStyle name="Normal 4 2 9 2 2 3" xfId="32368"/>
    <cellStyle name="Normal 4 2 9 2 3" xfId="32369"/>
    <cellStyle name="Normal 4 2 9 2 3 2" xfId="32370"/>
    <cellStyle name="Normal 4 2 9 2 3 3" xfId="32371"/>
    <cellStyle name="Normal 4 2 9 2 4" xfId="32372"/>
    <cellStyle name="Normal 4 2 9 2 5" xfId="32373"/>
    <cellStyle name="Normal 4 2 9 3" xfId="32374"/>
    <cellStyle name="Normal 4 2 9 3 2" xfId="32375"/>
    <cellStyle name="Normal 4 2 9 3 3" xfId="32376"/>
    <cellStyle name="Normal 4 2 9 4" xfId="32377"/>
    <cellStyle name="Normal 4 2 9 4 2" xfId="32378"/>
    <cellStyle name="Normal 4 2 9 4 3" xfId="32379"/>
    <cellStyle name="Normal 4 2 9 5" xfId="32380"/>
    <cellStyle name="Normal 4 2 9 6" xfId="32381"/>
    <cellStyle name="Normal 4 3" xfId="32382"/>
    <cellStyle name="Normal 4 3 10" xfId="32383"/>
    <cellStyle name="Normal 4 3 10 2" xfId="32384"/>
    <cellStyle name="Normal 4 3 10 3" xfId="32385"/>
    <cellStyle name="Normal 4 3 11" xfId="32386"/>
    <cellStyle name="Normal 4 3 11 2" xfId="32387"/>
    <cellStyle name="Normal 4 3 11 3" xfId="32388"/>
    <cellStyle name="Normal 4 3 12" xfId="32389"/>
    <cellStyle name="Normal 4 3 13" xfId="32390"/>
    <cellStyle name="Normal 4 3 14" xfId="32391"/>
    <cellStyle name="Normal 4 3 15" xfId="32392"/>
    <cellStyle name="Normal 4 3 2" xfId="32393"/>
    <cellStyle name="Normal 4 3 2 10" xfId="32394"/>
    <cellStyle name="Normal 4 3 2 10 2" xfId="32395"/>
    <cellStyle name="Normal 4 3 2 10 3" xfId="32396"/>
    <cellStyle name="Normal 4 3 2 11" xfId="32397"/>
    <cellStyle name="Normal 4 3 2 12" xfId="32398"/>
    <cellStyle name="Normal 4 3 2 13" xfId="32399"/>
    <cellStyle name="Normal 4 3 2 14" xfId="32400"/>
    <cellStyle name="Normal 4 3 2 2" xfId="32401"/>
    <cellStyle name="Normal 4 3 2 2 10" xfId="32402"/>
    <cellStyle name="Normal 4 3 2 2 2" xfId="32403"/>
    <cellStyle name="Normal 4 3 2 2 2 2" xfId="32404"/>
    <cellStyle name="Normal 4 3 2 2 2 2 2" xfId="32405"/>
    <cellStyle name="Normal 4 3 2 2 2 2 2 2" xfId="32406"/>
    <cellStyle name="Normal 4 3 2 2 2 2 2 2 2" xfId="32407"/>
    <cellStyle name="Normal 4 3 2 2 2 2 2 2 2 2" xfId="32408"/>
    <cellStyle name="Normal 4 3 2 2 2 2 2 2 2 3" xfId="32409"/>
    <cellStyle name="Normal 4 3 2 2 2 2 2 2 3" xfId="32410"/>
    <cellStyle name="Normal 4 3 2 2 2 2 2 2 3 2" xfId="32411"/>
    <cellStyle name="Normal 4 3 2 2 2 2 2 2 3 3" xfId="32412"/>
    <cellStyle name="Normal 4 3 2 2 2 2 2 2 4" xfId="32413"/>
    <cellStyle name="Normal 4 3 2 2 2 2 2 2 5" xfId="32414"/>
    <cellStyle name="Normal 4 3 2 2 2 2 2 3" xfId="32415"/>
    <cellStyle name="Normal 4 3 2 2 2 2 2 3 2" xfId="32416"/>
    <cellStyle name="Normal 4 3 2 2 2 2 2 3 3" xfId="32417"/>
    <cellStyle name="Normal 4 3 2 2 2 2 2 4" xfId="32418"/>
    <cellStyle name="Normal 4 3 2 2 2 2 2 4 2" xfId="32419"/>
    <cellStyle name="Normal 4 3 2 2 2 2 2 4 3" xfId="32420"/>
    <cellStyle name="Normal 4 3 2 2 2 2 2 5" xfId="32421"/>
    <cellStyle name="Normal 4 3 2 2 2 2 2 6" xfId="32422"/>
    <cellStyle name="Normal 4 3 2 2 2 2 3" xfId="32423"/>
    <cellStyle name="Normal 4 3 2 2 2 2 3 2" xfId="32424"/>
    <cellStyle name="Normal 4 3 2 2 2 2 3 2 2" xfId="32425"/>
    <cellStyle name="Normal 4 3 2 2 2 2 3 2 2 2" xfId="32426"/>
    <cellStyle name="Normal 4 3 2 2 2 2 3 2 2 3" xfId="32427"/>
    <cellStyle name="Normal 4 3 2 2 2 2 3 2 3" xfId="32428"/>
    <cellStyle name="Normal 4 3 2 2 2 2 3 2 3 2" xfId="32429"/>
    <cellStyle name="Normal 4 3 2 2 2 2 3 2 3 3" xfId="32430"/>
    <cellStyle name="Normal 4 3 2 2 2 2 3 2 4" xfId="32431"/>
    <cellStyle name="Normal 4 3 2 2 2 2 3 2 5" xfId="32432"/>
    <cellStyle name="Normal 4 3 2 2 2 2 3 3" xfId="32433"/>
    <cellStyle name="Normal 4 3 2 2 2 2 3 3 2" xfId="32434"/>
    <cellStyle name="Normal 4 3 2 2 2 2 3 3 3" xfId="32435"/>
    <cellStyle name="Normal 4 3 2 2 2 2 3 4" xfId="32436"/>
    <cellStyle name="Normal 4 3 2 2 2 2 3 4 2" xfId="32437"/>
    <cellStyle name="Normal 4 3 2 2 2 2 3 4 3" xfId="32438"/>
    <cellStyle name="Normal 4 3 2 2 2 2 3 5" xfId="32439"/>
    <cellStyle name="Normal 4 3 2 2 2 2 3 6" xfId="32440"/>
    <cellStyle name="Normal 4 3 2 2 2 2 4" xfId="32441"/>
    <cellStyle name="Normal 4 3 2 2 2 2 4 2" xfId="32442"/>
    <cellStyle name="Normal 4 3 2 2 2 2 4 2 2" xfId="32443"/>
    <cellStyle name="Normal 4 3 2 2 2 2 4 2 3" xfId="32444"/>
    <cellStyle name="Normal 4 3 2 2 2 2 4 3" xfId="32445"/>
    <cellStyle name="Normal 4 3 2 2 2 2 4 3 2" xfId="32446"/>
    <cellStyle name="Normal 4 3 2 2 2 2 4 3 3" xfId="32447"/>
    <cellStyle name="Normal 4 3 2 2 2 2 4 4" xfId="32448"/>
    <cellStyle name="Normal 4 3 2 2 2 2 4 5" xfId="32449"/>
    <cellStyle name="Normal 4 3 2 2 2 2 5" xfId="32450"/>
    <cellStyle name="Normal 4 3 2 2 2 2 5 2" xfId="32451"/>
    <cellStyle name="Normal 4 3 2 2 2 2 5 3" xfId="32452"/>
    <cellStyle name="Normal 4 3 2 2 2 2 6" xfId="32453"/>
    <cellStyle name="Normal 4 3 2 2 2 2 6 2" xfId="32454"/>
    <cellStyle name="Normal 4 3 2 2 2 2 6 3" xfId="32455"/>
    <cellStyle name="Normal 4 3 2 2 2 2 7" xfId="32456"/>
    <cellStyle name="Normal 4 3 2 2 2 2 8" xfId="32457"/>
    <cellStyle name="Normal 4 3 2 2 2 3" xfId="32458"/>
    <cellStyle name="Normal 4 3 2 2 2 3 2" xfId="32459"/>
    <cellStyle name="Normal 4 3 2 2 2 3 2 2" xfId="32460"/>
    <cellStyle name="Normal 4 3 2 2 2 3 2 2 2" xfId="32461"/>
    <cellStyle name="Normal 4 3 2 2 2 3 2 2 3" xfId="32462"/>
    <cellStyle name="Normal 4 3 2 2 2 3 2 3" xfId="32463"/>
    <cellStyle name="Normal 4 3 2 2 2 3 2 3 2" xfId="32464"/>
    <cellStyle name="Normal 4 3 2 2 2 3 2 3 3" xfId="32465"/>
    <cellStyle name="Normal 4 3 2 2 2 3 2 4" xfId="32466"/>
    <cellStyle name="Normal 4 3 2 2 2 3 2 5" xfId="32467"/>
    <cellStyle name="Normal 4 3 2 2 2 3 3" xfId="32468"/>
    <cellStyle name="Normal 4 3 2 2 2 3 3 2" xfId="32469"/>
    <cellStyle name="Normal 4 3 2 2 2 3 3 3" xfId="32470"/>
    <cellStyle name="Normal 4 3 2 2 2 3 4" xfId="32471"/>
    <cellStyle name="Normal 4 3 2 2 2 3 4 2" xfId="32472"/>
    <cellStyle name="Normal 4 3 2 2 2 3 4 3" xfId="32473"/>
    <cellStyle name="Normal 4 3 2 2 2 3 5" xfId="32474"/>
    <cellStyle name="Normal 4 3 2 2 2 3 6" xfId="32475"/>
    <cellStyle name="Normal 4 3 2 2 2 4" xfId="32476"/>
    <cellStyle name="Normal 4 3 2 2 2 4 2" xfId="32477"/>
    <cellStyle name="Normal 4 3 2 2 2 4 2 2" xfId="32478"/>
    <cellStyle name="Normal 4 3 2 2 2 4 2 2 2" xfId="32479"/>
    <cellStyle name="Normal 4 3 2 2 2 4 2 2 3" xfId="32480"/>
    <cellStyle name="Normal 4 3 2 2 2 4 2 3" xfId="32481"/>
    <cellStyle name="Normal 4 3 2 2 2 4 2 3 2" xfId="32482"/>
    <cellStyle name="Normal 4 3 2 2 2 4 2 3 3" xfId="32483"/>
    <cellStyle name="Normal 4 3 2 2 2 4 2 4" xfId="32484"/>
    <cellStyle name="Normal 4 3 2 2 2 4 2 5" xfId="32485"/>
    <cellStyle name="Normal 4 3 2 2 2 4 3" xfId="32486"/>
    <cellStyle name="Normal 4 3 2 2 2 4 3 2" xfId="32487"/>
    <cellStyle name="Normal 4 3 2 2 2 4 3 3" xfId="32488"/>
    <cellStyle name="Normal 4 3 2 2 2 4 4" xfId="32489"/>
    <cellStyle name="Normal 4 3 2 2 2 4 4 2" xfId="32490"/>
    <cellStyle name="Normal 4 3 2 2 2 4 4 3" xfId="32491"/>
    <cellStyle name="Normal 4 3 2 2 2 4 5" xfId="32492"/>
    <cellStyle name="Normal 4 3 2 2 2 4 6" xfId="32493"/>
    <cellStyle name="Normal 4 3 2 2 2 5" xfId="32494"/>
    <cellStyle name="Normal 4 3 2 2 2 5 2" xfId="32495"/>
    <cellStyle name="Normal 4 3 2 2 2 5 2 2" xfId="32496"/>
    <cellStyle name="Normal 4 3 2 2 2 5 2 3" xfId="32497"/>
    <cellStyle name="Normal 4 3 2 2 2 5 3" xfId="32498"/>
    <cellStyle name="Normal 4 3 2 2 2 5 3 2" xfId="32499"/>
    <cellStyle name="Normal 4 3 2 2 2 5 3 3" xfId="32500"/>
    <cellStyle name="Normal 4 3 2 2 2 5 4" xfId="32501"/>
    <cellStyle name="Normal 4 3 2 2 2 5 5" xfId="32502"/>
    <cellStyle name="Normal 4 3 2 2 2 6" xfId="32503"/>
    <cellStyle name="Normal 4 3 2 2 2 6 2" xfId="32504"/>
    <cellStyle name="Normal 4 3 2 2 2 6 3" xfId="32505"/>
    <cellStyle name="Normal 4 3 2 2 2 7" xfId="32506"/>
    <cellStyle name="Normal 4 3 2 2 2 7 2" xfId="32507"/>
    <cellStyle name="Normal 4 3 2 2 2 7 3" xfId="32508"/>
    <cellStyle name="Normal 4 3 2 2 2 8" xfId="32509"/>
    <cellStyle name="Normal 4 3 2 2 2 9" xfId="32510"/>
    <cellStyle name="Normal 4 3 2 2 3" xfId="32511"/>
    <cellStyle name="Normal 4 3 2 2 3 2" xfId="32512"/>
    <cellStyle name="Normal 4 3 2 2 3 2 2" xfId="32513"/>
    <cellStyle name="Normal 4 3 2 2 3 2 2 2" xfId="32514"/>
    <cellStyle name="Normal 4 3 2 2 3 2 2 2 2" xfId="32515"/>
    <cellStyle name="Normal 4 3 2 2 3 2 2 2 3" xfId="32516"/>
    <cellStyle name="Normal 4 3 2 2 3 2 2 3" xfId="32517"/>
    <cellStyle name="Normal 4 3 2 2 3 2 2 3 2" xfId="32518"/>
    <cellStyle name="Normal 4 3 2 2 3 2 2 3 3" xfId="32519"/>
    <cellStyle name="Normal 4 3 2 2 3 2 2 4" xfId="32520"/>
    <cellStyle name="Normal 4 3 2 2 3 2 2 5" xfId="32521"/>
    <cellStyle name="Normal 4 3 2 2 3 2 3" xfId="32522"/>
    <cellStyle name="Normal 4 3 2 2 3 2 3 2" xfId="32523"/>
    <cellStyle name="Normal 4 3 2 2 3 2 3 3" xfId="32524"/>
    <cellStyle name="Normal 4 3 2 2 3 2 4" xfId="32525"/>
    <cellStyle name="Normal 4 3 2 2 3 2 4 2" xfId="32526"/>
    <cellStyle name="Normal 4 3 2 2 3 2 4 3" xfId="32527"/>
    <cellStyle name="Normal 4 3 2 2 3 2 5" xfId="32528"/>
    <cellStyle name="Normal 4 3 2 2 3 2 6" xfId="32529"/>
    <cellStyle name="Normal 4 3 2 2 3 3" xfId="32530"/>
    <cellStyle name="Normal 4 3 2 2 3 3 2" xfId="32531"/>
    <cellStyle name="Normal 4 3 2 2 3 3 2 2" xfId="32532"/>
    <cellStyle name="Normal 4 3 2 2 3 3 2 2 2" xfId="32533"/>
    <cellStyle name="Normal 4 3 2 2 3 3 2 2 3" xfId="32534"/>
    <cellStyle name="Normal 4 3 2 2 3 3 2 3" xfId="32535"/>
    <cellStyle name="Normal 4 3 2 2 3 3 2 3 2" xfId="32536"/>
    <cellStyle name="Normal 4 3 2 2 3 3 2 3 3" xfId="32537"/>
    <cellStyle name="Normal 4 3 2 2 3 3 2 4" xfId="32538"/>
    <cellStyle name="Normal 4 3 2 2 3 3 2 5" xfId="32539"/>
    <cellStyle name="Normal 4 3 2 2 3 3 3" xfId="32540"/>
    <cellStyle name="Normal 4 3 2 2 3 3 3 2" xfId="32541"/>
    <cellStyle name="Normal 4 3 2 2 3 3 3 3" xfId="32542"/>
    <cellStyle name="Normal 4 3 2 2 3 3 4" xfId="32543"/>
    <cellStyle name="Normal 4 3 2 2 3 3 4 2" xfId="32544"/>
    <cellStyle name="Normal 4 3 2 2 3 3 4 3" xfId="32545"/>
    <cellStyle name="Normal 4 3 2 2 3 3 5" xfId="32546"/>
    <cellStyle name="Normal 4 3 2 2 3 3 6" xfId="32547"/>
    <cellStyle name="Normal 4 3 2 2 3 4" xfId="32548"/>
    <cellStyle name="Normal 4 3 2 2 3 4 2" xfId="32549"/>
    <cellStyle name="Normal 4 3 2 2 3 4 2 2" xfId="32550"/>
    <cellStyle name="Normal 4 3 2 2 3 4 2 3" xfId="32551"/>
    <cellStyle name="Normal 4 3 2 2 3 4 3" xfId="32552"/>
    <cellStyle name="Normal 4 3 2 2 3 4 3 2" xfId="32553"/>
    <cellStyle name="Normal 4 3 2 2 3 4 3 3" xfId="32554"/>
    <cellStyle name="Normal 4 3 2 2 3 4 4" xfId="32555"/>
    <cellStyle name="Normal 4 3 2 2 3 4 5" xfId="32556"/>
    <cellStyle name="Normal 4 3 2 2 3 5" xfId="32557"/>
    <cellStyle name="Normal 4 3 2 2 3 5 2" xfId="32558"/>
    <cellStyle name="Normal 4 3 2 2 3 5 3" xfId="32559"/>
    <cellStyle name="Normal 4 3 2 2 3 6" xfId="32560"/>
    <cellStyle name="Normal 4 3 2 2 3 6 2" xfId="32561"/>
    <cellStyle name="Normal 4 3 2 2 3 6 3" xfId="32562"/>
    <cellStyle name="Normal 4 3 2 2 3 7" xfId="32563"/>
    <cellStyle name="Normal 4 3 2 2 3 8" xfId="32564"/>
    <cellStyle name="Normal 4 3 2 2 4" xfId="32565"/>
    <cellStyle name="Normal 4 3 2 2 4 2" xfId="32566"/>
    <cellStyle name="Normal 4 3 2 2 4 2 2" xfId="32567"/>
    <cellStyle name="Normal 4 3 2 2 4 2 2 2" xfId="32568"/>
    <cellStyle name="Normal 4 3 2 2 4 2 2 3" xfId="32569"/>
    <cellStyle name="Normal 4 3 2 2 4 2 3" xfId="32570"/>
    <cellStyle name="Normal 4 3 2 2 4 2 3 2" xfId="32571"/>
    <cellStyle name="Normal 4 3 2 2 4 2 3 3" xfId="32572"/>
    <cellStyle name="Normal 4 3 2 2 4 2 4" xfId="32573"/>
    <cellStyle name="Normal 4 3 2 2 4 2 5" xfId="32574"/>
    <cellStyle name="Normal 4 3 2 2 4 3" xfId="32575"/>
    <cellStyle name="Normal 4 3 2 2 4 3 2" xfId="32576"/>
    <cellStyle name="Normal 4 3 2 2 4 3 3" xfId="32577"/>
    <cellStyle name="Normal 4 3 2 2 4 4" xfId="32578"/>
    <cellStyle name="Normal 4 3 2 2 4 4 2" xfId="32579"/>
    <cellStyle name="Normal 4 3 2 2 4 4 3" xfId="32580"/>
    <cellStyle name="Normal 4 3 2 2 4 5" xfId="32581"/>
    <cellStyle name="Normal 4 3 2 2 4 6" xfId="32582"/>
    <cellStyle name="Normal 4 3 2 2 5" xfId="32583"/>
    <cellStyle name="Normal 4 3 2 2 5 2" xfId="32584"/>
    <cellStyle name="Normal 4 3 2 2 5 2 2" xfId="32585"/>
    <cellStyle name="Normal 4 3 2 2 5 2 2 2" xfId="32586"/>
    <cellStyle name="Normal 4 3 2 2 5 2 2 3" xfId="32587"/>
    <cellStyle name="Normal 4 3 2 2 5 2 3" xfId="32588"/>
    <cellStyle name="Normal 4 3 2 2 5 2 3 2" xfId="32589"/>
    <cellStyle name="Normal 4 3 2 2 5 2 3 3" xfId="32590"/>
    <cellStyle name="Normal 4 3 2 2 5 2 4" xfId="32591"/>
    <cellStyle name="Normal 4 3 2 2 5 2 5" xfId="32592"/>
    <cellStyle name="Normal 4 3 2 2 5 3" xfId="32593"/>
    <cellStyle name="Normal 4 3 2 2 5 3 2" xfId="32594"/>
    <cellStyle name="Normal 4 3 2 2 5 3 3" xfId="32595"/>
    <cellStyle name="Normal 4 3 2 2 5 4" xfId="32596"/>
    <cellStyle name="Normal 4 3 2 2 5 4 2" xfId="32597"/>
    <cellStyle name="Normal 4 3 2 2 5 4 3" xfId="32598"/>
    <cellStyle name="Normal 4 3 2 2 5 5" xfId="32599"/>
    <cellStyle name="Normal 4 3 2 2 5 6" xfId="32600"/>
    <cellStyle name="Normal 4 3 2 2 6" xfId="32601"/>
    <cellStyle name="Normal 4 3 2 2 6 2" xfId="32602"/>
    <cellStyle name="Normal 4 3 2 2 6 2 2" xfId="32603"/>
    <cellStyle name="Normal 4 3 2 2 6 2 3" xfId="32604"/>
    <cellStyle name="Normal 4 3 2 2 6 3" xfId="32605"/>
    <cellStyle name="Normal 4 3 2 2 6 3 2" xfId="32606"/>
    <cellStyle name="Normal 4 3 2 2 6 3 3" xfId="32607"/>
    <cellStyle name="Normal 4 3 2 2 6 4" xfId="32608"/>
    <cellStyle name="Normal 4 3 2 2 6 5" xfId="32609"/>
    <cellStyle name="Normal 4 3 2 2 7" xfId="32610"/>
    <cellStyle name="Normal 4 3 2 2 7 2" xfId="32611"/>
    <cellStyle name="Normal 4 3 2 2 7 3" xfId="32612"/>
    <cellStyle name="Normal 4 3 2 2 8" xfId="32613"/>
    <cellStyle name="Normal 4 3 2 2 8 2" xfId="32614"/>
    <cellStyle name="Normal 4 3 2 2 8 3" xfId="32615"/>
    <cellStyle name="Normal 4 3 2 2 9" xfId="32616"/>
    <cellStyle name="Normal 4 3 2 3" xfId="32617"/>
    <cellStyle name="Normal 4 3 2 3 10" xfId="32618"/>
    <cellStyle name="Normal 4 3 2 3 2" xfId="32619"/>
    <cellStyle name="Normal 4 3 2 3 2 2" xfId="32620"/>
    <cellStyle name="Normal 4 3 2 3 2 2 2" xfId="32621"/>
    <cellStyle name="Normal 4 3 2 3 2 2 2 2" xfId="32622"/>
    <cellStyle name="Normal 4 3 2 3 2 2 2 2 2" xfId="32623"/>
    <cellStyle name="Normal 4 3 2 3 2 2 2 2 2 2" xfId="32624"/>
    <cellStyle name="Normal 4 3 2 3 2 2 2 2 2 3" xfId="32625"/>
    <cellStyle name="Normal 4 3 2 3 2 2 2 2 3" xfId="32626"/>
    <cellStyle name="Normal 4 3 2 3 2 2 2 2 3 2" xfId="32627"/>
    <cellStyle name="Normal 4 3 2 3 2 2 2 2 3 3" xfId="32628"/>
    <cellStyle name="Normal 4 3 2 3 2 2 2 2 4" xfId="32629"/>
    <cellStyle name="Normal 4 3 2 3 2 2 2 2 5" xfId="32630"/>
    <cellStyle name="Normal 4 3 2 3 2 2 2 3" xfId="32631"/>
    <cellStyle name="Normal 4 3 2 3 2 2 2 3 2" xfId="32632"/>
    <cellStyle name="Normal 4 3 2 3 2 2 2 3 3" xfId="32633"/>
    <cellStyle name="Normal 4 3 2 3 2 2 2 4" xfId="32634"/>
    <cellStyle name="Normal 4 3 2 3 2 2 2 4 2" xfId="32635"/>
    <cellStyle name="Normal 4 3 2 3 2 2 2 4 3" xfId="32636"/>
    <cellStyle name="Normal 4 3 2 3 2 2 2 5" xfId="32637"/>
    <cellStyle name="Normal 4 3 2 3 2 2 2 6" xfId="32638"/>
    <cellStyle name="Normal 4 3 2 3 2 2 3" xfId="32639"/>
    <cellStyle name="Normal 4 3 2 3 2 2 3 2" xfId="32640"/>
    <cellStyle name="Normal 4 3 2 3 2 2 3 2 2" xfId="32641"/>
    <cellStyle name="Normal 4 3 2 3 2 2 3 2 2 2" xfId="32642"/>
    <cellStyle name="Normal 4 3 2 3 2 2 3 2 2 3" xfId="32643"/>
    <cellStyle name="Normal 4 3 2 3 2 2 3 2 3" xfId="32644"/>
    <cellStyle name="Normal 4 3 2 3 2 2 3 2 3 2" xfId="32645"/>
    <cellStyle name="Normal 4 3 2 3 2 2 3 2 3 3" xfId="32646"/>
    <cellStyle name="Normal 4 3 2 3 2 2 3 2 4" xfId="32647"/>
    <cellStyle name="Normal 4 3 2 3 2 2 3 2 5" xfId="32648"/>
    <cellStyle name="Normal 4 3 2 3 2 2 3 3" xfId="32649"/>
    <cellStyle name="Normal 4 3 2 3 2 2 3 3 2" xfId="32650"/>
    <cellStyle name="Normal 4 3 2 3 2 2 3 3 3" xfId="32651"/>
    <cellStyle name="Normal 4 3 2 3 2 2 3 4" xfId="32652"/>
    <cellStyle name="Normal 4 3 2 3 2 2 3 4 2" xfId="32653"/>
    <cellStyle name="Normal 4 3 2 3 2 2 3 4 3" xfId="32654"/>
    <cellStyle name="Normal 4 3 2 3 2 2 3 5" xfId="32655"/>
    <cellStyle name="Normal 4 3 2 3 2 2 3 6" xfId="32656"/>
    <cellStyle name="Normal 4 3 2 3 2 2 4" xfId="32657"/>
    <cellStyle name="Normal 4 3 2 3 2 2 4 2" xfId="32658"/>
    <cellStyle name="Normal 4 3 2 3 2 2 4 2 2" xfId="32659"/>
    <cellStyle name="Normal 4 3 2 3 2 2 4 2 3" xfId="32660"/>
    <cellStyle name="Normal 4 3 2 3 2 2 4 3" xfId="32661"/>
    <cellStyle name="Normal 4 3 2 3 2 2 4 3 2" xfId="32662"/>
    <cellStyle name="Normal 4 3 2 3 2 2 4 3 3" xfId="32663"/>
    <cellStyle name="Normal 4 3 2 3 2 2 4 4" xfId="32664"/>
    <cellStyle name="Normal 4 3 2 3 2 2 4 5" xfId="32665"/>
    <cellStyle name="Normal 4 3 2 3 2 2 5" xfId="32666"/>
    <cellStyle name="Normal 4 3 2 3 2 2 5 2" xfId="32667"/>
    <cellStyle name="Normal 4 3 2 3 2 2 5 3" xfId="32668"/>
    <cellStyle name="Normal 4 3 2 3 2 2 6" xfId="32669"/>
    <cellStyle name="Normal 4 3 2 3 2 2 6 2" xfId="32670"/>
    <cellStyle name="Normal 4 3 2 3 2 2 6 3" xfId="32671"/>
    <cellStyle name="Normal 4 3 2 3 2 2 7" xfId="32672"/>
    <cellStyle name="Normal 4 3 2 3 2 2 8" xfId="32673"/>
    <cellStyle name="Normal 4 3 2 3 2 3" xfId="32674"/>
    <cellStyle name="Normal 4 3 2 3 2 3 2" xfId="32675"/>
    <cellStyle name="Normal 4 3 2 3 2 3 2 2" xfId="32676"/>
    <cellStyle name="Normal 4 3 2 3 2 3 2 2 2" xfId="32677"/>
    <cellStyle name="Normal 4 3 2 3 2 3 2 2 3" xfId="32678"/>
    <cellStyle name="Normal 4 3 2 3 2 3 2 3" xfId="32679"/>
    <cellStyle name="Normal 4 3 2 3 2 3 2 3 2" xfId="32680"/>
    <cellStyle name="Normal 4 3 2 3 2 3 2 3 3" xfId="32681"/>
    <cellStyle name="Normal 4 3 2 3 2 3 2 4" xfId="32682"/>
    <cellStyle name="Normal 4 3 2 3 2 3 2 5" xfId="32683"/>
    <cellStyle name="Normal 4 3 2 3 2 3 3" xfId="32684"/>
    <cellStyle name="Normal 4 3 2 3 2 3 3 2" xfId="32685"/>
    <cellStyle name="Normal 4 3 2 3 2 3 3 3" xfId="32686"/>
    <cellStyle name="Normal 4 3 2 3 2 3 4" xfId="32687"/>
    <cellStyle name="Normal 4 3 2 3 2 3 4 2" xfId="32688"/>
    <cellStyle name="Normal 4 3 2 3 2 3 4 3" xfId="32689"/>
    <cellStyle name="Normal 4 3 2 3 2 3 5" xfId="32690"/>
    <cellStyle name="Normal 4 3 2 3 2 3 6" xfId="32691"/>
    <cellStyle name="Normal 4 3 2 3 2 4" xfId="32692"/>
    <cellStyle name="Normal 4 3 2 3 2 4 2" xfId="32693"/>
    <cellStyle name="Normal 4 3 2 3 2 4 2 2" xfId="32694"/>
    <cellStyle name="Normal 4 3 2 3 2 4 2 2 2" xfId="32695"/>
    <cellStyle name="Normal 4 3 2 3 2 4 2 2 3" xfId="32696"/>
    <cellStyle name="Normal 4 3 2 3 2 4 2 3" xfId="32697"/>
    <cellStyle name="Normal 4 3 2 3 2 4 2 3 2" xfId="32698"/>
    <cellStyle name="Normal 4 3 2 3 2 4 2 3 3" xfId="32699"/>
    <cellStyle name="Normal 4 3 2 3 2 4 2 4" xfId="32700"/>
    <cellStyle name="Normal 4 3 2 3 2 4 2 5" xfId="32701"/>
    <cellStyle name="Normal 4 3 2 3 2 4 3" xfId="32702"/>
    <cellStyle name="Normal 4 3 2 3 2 4 3 2" xfId="32703"/>
    <cellStyle name="Normal 4 3 2 3 2 4 3 3" xfId="32704"/>
    <cellStyle name="Normal 4 3 2 3 2 4 4" xfId="32705"/>
    <cellStyle name="Normal 4 3 2 3 2 4 4 2" xfId="32706"/>
    <cellStyle name="Normal 4 3 2 3 2 4 4 3" xfId="32707"/>
    <cellStyle name="Normal 4 3 2 3 2 4 5" xfId="32708"/>
    <cellStyle name="Normal 4 3 2 3 2 4 6" xfId="32709"/>
    <cellStyle name="Normal 4 3 2 3 2 5" xfId="32710"/>
    <cellStyle name="Normal 4 3 2 3 2 5 2" xfId="32711"/>
    <cellStyle name="Normal 4 3 2 3 2 5 2 2" xfId="32712"/>
    <cellStyle name="Normal 4 3 2 3 2 5 2 3" xfId="32713"/>
    <cellStyle name="Normal 4 3 2 3 2 5 3" xfId="32714"/>
    <cellStyle name="Normal 4 3 2 3 2 5 3 2" xfId="32715"/>
    <cellStyle name="Normal 4 3 2 3 2 5 3 3" xfId="32716"/>
    <cellStyle name="Normal 4 3 2 3 2 5 4" xfId="32717"/>
    <cellStyle name="Normal 4 3 2 3 2 5 5" xfId="32718"/>
    <cellStyle name="Normal 4 3 2 3 2 6" xfId="32719"/>
    <cellStyle name="Normal 4 3 2 3 2 6 2" xfId="32720"/>
    <cellStyle name="Normal 4 3 2 3 2 6 3" xfId="32721"/>
    <cellStyle name="Normal 4 3 2 3 2 7" xfId="32722"/>
    <cellStyle name="Normal 4 3 2 3 2 7 2" xfId="32723"/>
    <cellStyle name="Normal 4 3 2 3 2 7 3" xfId="32724"/>
    <cellStyle name="Normal 4 3 2 3 2 8" xfId="32725"/>
    <cellStyle name="Normal 4 3 2 3 2 9" xfId="32726"/>
    <cellStyle name="Normal 4 3 2 3 3" xfId="32727"/>
    <cellStyle name="Normal 4 3 2 3 3 2" xfId="32728"/>
    <cellStyle name="Normal 4 3 2 3 3 2 2" xfId="32729"/>
    <cellStyle name="Normal 4 3 2 3 3 2 2 2" xfId="32730"/>
    <cellStyle name="Normal 4 3 2 3 3 2 2 2 2" xfId="32731"/>
    <cellStyle name="Normal 4 3 2 3 3 2 2 2 3" xfId="32732"/>
    <cellStyle name="Normal 4 3 2 3 3 2 2 3" xfId="32733"/>
    <cellStyle name="Normal 4 3 2 3 3 2 2 3 2" xfId="32734"/>
    <cellStyle name="Normal 4 3 2 3 3 2 2 3 3" xfId="32735"/>
    <cellStyle name="Normal 4 3 2 3 3 2 2 4" xfId="32736"/>
    <cellStyle name="Normal 4 3 2 3 3 2 2 5" xfId="32737"/>
    <cellStyle name="Normal 4 3 2 3 3 2 3" xfId="32738"/>
    <cellStyle name="Normal 4 3 2 3 3 2 3 2" xfId="32739"/>
    <cellStyle name="Normal 4 3 2 3 3 2 3 3" xfId="32740"/>
    <cellStyle name="Normal 4 3 2 3 3 2 4" xfId="32741"/>
    <cellStyle name="Normal 4 3 2 3 3 2 4 2" xfId="32742"/>
    <cellStyle name="Normal 4 3 2 3 3 2 4 3" xfId="32743"/>
    <cellStyle name="Normal 4 3 2 3 3 2 5" xfId="32744"/>
    <cellStyle name="Normal 4 3 2 3 3 2 6" xfId="32745"/>
    <cellStyle name="Normal 4 3 2 3 3 3" xfId="32746"/>
    <cellStyle name="Normal 4 3 2 3 3 3 2" xfId="32747"/>
    <cellStyle name="Normal 4 3 2 3 3 3 2 2" xfId="32748"/>
    <cellStyle name="Normal 4 3 2 3 3 3 2 2 2" xfId="32749"/>
    <cellStyle name="Normal 4 3 2 3 3 3 2 2 3" xfId="32750"/>
    <cellStyle name="Normal 4 3 2 3 3 3 2 3" xfId="32751"/>
    <cellStyle name="Normal 4 3 2 3 3 3 2 3 2" xfId="32752"/>
    <cellStyle name="Normal 4 3 2 3 3 3 2 3 3" xfId="32753"/>
    <cellStyle name="Normal 4 3 2 3 3 3 2 4" xfId="32754"/>
    <cellStyle name="Normal 4 3 2 3 3 3 2 5" xfId="32755"/>
    <cellStyle name="Normal 4 3 2 3 3 3 3" xfId="32756"/>
    <cellStyle name="Normal 4 3 2 3 3 3 3 2" xfId="32757"/>
    <cellStyle name="Normal 4 3 2 3 3 3 3 3" xfId="32758"/>
    <cellStyle name="Normal 4 3 2 3 3 3 4" xfId="32759"/>
    <cellStyle name="Normal 4 3 2 3 3 3 4 2" xfId="32760"/>
    <cellStyle name="Normal 4 3 2 3 3 3 4 3" xfId="32761"/>
    <cellStyle name="Normal 4 3 2 3 3 3 5" xfId="32762"/>
    <cellStyle name="Normal 4 3 2 3 3 3 6" xfId="32763"/>
    <cellStyle name="Normal 4 3 2 3 3 4" xfId="32764"/>
    <cellStyle name="Normal 4 3 2 3 3 4 2" xfId="32765"/>
    <cellStyle name="Normal 4 3 2 3 3 4 2 2" xfId="32766"/>
    <cellStyle name="Normal 4 3 2 3 3 4 2 3" xfId="32767"/>
    <cellStyle name="Normal 4 3 2 3 3 4 3" xfId="32768"/>
    <cellStyle name="Normal 4 3 2 3 3 4 3 2" xfId="32769"/>
    <cellStyle name="Normal 4 3 2 3 3 4 3 3" xfId="32770"/>
    <cellStyle name="Normal 4 3 2 3 3 4 4" xfId="32771"/>
    <cellStyle name="Normal 4 3 2 3 3 4 5" xfId="32772"/>
    <cellStyle name="Normal 4 3 2 3 3 5" xfId="32773"/>
    <cellStyle name="Normal 4 3 2 3 3 5 2" xfId="32774"/>
    <cellStyle name="Normal 4 3 2 3 3 5 3" xfId="32775"/>
    <cellStyle name="Normal 4 3 2 3 3 6" xfId="32776"/>
    <cellStyle name="Normal 4 3 2 3 3 6 2" xfId="32777"/>
    <cellStyle name="Normal 4 3 2 3 3 6 3" xfId="32778"/>
    <cellStyle name="Normal 4 3 2 3 3 7" xfId="32779"/>
    <cellStyle name="Normal 4 3 2 3 3 8" xfId="32780"/>
    <cellStyle name="Normal 4 3 2 3 4" xfId="32781"/>
    <cellStyle name="Normal 4 3 2 3 4 2" xfId="32782"/>
    <cellStyle name="Normal 4 3 2 3 4 2 2" xfId="32783"/>
    <cellStyle name="Normal 4 3 2 3 4 2 2 2" xfId="32784"/>
    <cellStyle name="Normal 4 3 2 3 4 2 2 3" xfId="32785"/>
    <cellStyle name="Normal 4 3 2 3 4 2 3" xfId="32786"/>
    <cellStyle name="Normal 4 3 2 3 4 2 3 2" xfId="32787"/>
    <cellStyle name="Normal 4 3 2 3 4 2 3 3" xfId="32788"/>
    <cellStyle name="Normal 4 3 2 3 4 2 4" xfId="32789"/>
    <cellStyle name="Normal 4 3 2 3 4 2 5" xfId="32790"/>
    <cellStyle name="Normal 4 3 2 3 4 3" xfId="32791"/>
    <cellStyle name="Normal 4 3 2 3 4 3 2" xfId="32792"/>
    <cellStyle name="Normal 4 3 2 3 4 3 3" xfId="32793"/>
    <cellStyle name="Normal 4 3 2 3 4 4" xfId="32794"/>
    <cellStyle name="Normal 4 3 2 3 4 4 2" xfId="32795"/>
    <cellStyle name="Normal 4 3 2 3 4 4 3" xfId="32796"/>
    <cellStyle name="Normal 4 3 2 3 4 5" xfId="32797"/>
    <cellStyle name="Normal 4 3 2 3 4 6" xfId="32798"/>
    <cellStyle name="Normal 4 3 2 3 5" xfId="32799"/>
    <cellStyle name="Normal 4 3 2 3 5 2" xfId="32800"/>
    <cellStyle name="Normal 4 3 2 3 5 2 2" xfId="32801"/>
    <cellStyle name="Normal 4 3 2 3 5 2 2 2" xfId="32802"/>
    <cellStyle name="Normal 4 3 2 3 5 2 2 3" xfId="32803"/>
    <cellStyle name="Normal 4 3 2 3 5 2 3" xfId="32804"/>
    <cellStyle name="Normal 4 3 2 3 5 2 3 2" xfId="32805"/>
    <cellStyle name="Normal 4 3 2 3 5 2 3 3" xfId="32806"/>
    <cellStyle name="Normal 4 3 2 3 5 2 4" xfId="32807"/>
    <cellStyle name="Normal 4 3 2 3 5 2 5" xfId="32808"/>
    <cellStyle name="Normal 4 3 2 3 5 3" xfId="32809"/>
    <cellStyle name="Normal 4 3 2 3 5 3 2" xfId="32810"/>
    <cellStyle name="Normal 4 3 2 3 5 3 3" xfId="32811"/>
    <cellStyle name="Normal 4 3 2 3 5 4" xfId="32812"/>
    <cellStyle name="Normal 4 3 2 3 5 4 2" xfId="32813"/>
    <cellStyle name="Normal 4 3 2 3 5 4 3" xfId="32814"/>
    <cellStyle name="Normal 4 3 2 3 5 5" xfId="32815"/>
    <cellStyle name="Normal 4 3 2 3 5 6" xfId="32816"/>
    <cellStyle name="Normal 4 3 2 3 6" xfId="32817"/>
    <cellStyle name="Normal 4 3 2 3 6 2" xfId="32818"/>
    <cellStyle name="Normal 4 3 2 3 6 2 2" xfId="32819"/>
    <cellStyle name="Normal 4 3 2 3 6 2 3" xfId="32820"/>
    <cellStyle name="Normal 4 3 2 3 6 3" xfId="32821"/>
    <cellStyle name="Normal 4 3 2 3 6 3 2" xfId="32822"/>
    <cellStyle name="Normal 4 3 2 3 6 3 3" xfId="32823"/>
    <cellStyle name="Normal 4 3 2 3 6 4" xfId="32824"/>
    <cellStyle name="Normal 4 3 2 3 6 5" xfId="32825"/>
    <cellStyle name="Normal 4 3 2 3 7" xfId="32826"/>
    <cellStyle name="Normal 4 3 2 3 7 2" xfId="32827"/>
    <cellStyle name="Normal 4 3 2 3 7 3" xfId="32828"/>
    <cellStyle name="Normal 4 3 2 3 8" xfId="32829"/>
    <cellStyle name="Normal 4 3 2 3 8 2" xfId="32830"/>
    <cellStyle name="Normal 4 3 2 3 8 3" xfId="32831"/>
    <cellStyle name="Normal 4 3 2 3 9" xfId="32832"/>
    <cellStyle name="Normal 4 3 2 4" xfId="32833"/>
    <cellStyle name="Normal 4 3 2 4 2" xfId="32834"/>
    <cellStyle name="Normal 4 3 2 4 2 2" xfId="32835"/>
    <cellStyle name="Normal 4 3 2 4 2 2 2" xfId="32836"/>
    <cellStyle name="Normal 4 3 2 4 2 2 2 2" xfId="32837"/>
    <cellStyle name="Normal 4 3 2 4 2 2 2 2 2" xfId="32838"/>
    <cellStyle name="Normal 4 3 2 4 2 2 2 2 3" xfId="32839"/>
    <cellStyle name="Normal 4 3 2 4 2 2 2 3" xfId="32840"/>
    <cellStyle name="Normal 4 3 2 4 2 2 2 3 2" xfId="32841"/>
    <cellStyle name="Normal 4 3 2 4 2 2 2 3 3" xfId="32842"/>
    <cellStyle name="Normal 4 3 2 4 2 2 2 4" xfId="32843"/>
    <cellStyle name="Normal 4 3 2 4 2 2 2 5" xfId="32844"/>
    <cellStyle name="Normal 4 3 2 4 2 2 3" xfId="32845"/>
    <cellStyle name="Normal 4 3 2 4 2 2 3 2" xfId="32846"/>
    <cellStyle name="Normal 4 3 2 4 2 2 3 3" xfId="32847"/>
    <cellStyle name="Normal 4 3 2 4 2 2 4" xfId="32848"/>
    <cellStyle name="Normal 4 3 2 4 2 2 4 2" xfId="32849"/>
    <cellStyle name="Normal 4 3 2 4 2 2 4 3" xfId="32850"/>
    <cellStyle name="Normal 4 3 2 4 2 2 5" xfId="32851"/>
    <cellStyle name="Normal 4 3 2 4 2 2 6" xfId="32852"/>
    <cellStyle name="Normal 4 3 2 4 2 3" xfId="32853"/>
    <cellStyle name="Normal 4 3 2 4 2 3 2" xfId="32854"/>
    <cellStyle name="Normal 4 3 2 4 2 3 2 2" xfId="32855"/>
    <cellStyle name="Normal 4 3 2 4 2 3 2 2 2" xfId="32856"/>
    <cellStyle name="Normal 4 3 2 4 2 3 2 2 3" xfId="32857"/>
    <cellStyle name="Normal 4 3 2 4 2 3 2 3" xfId="32858"/>
    <cellStyle name="Normal 4 3 2 4 2 3 2 3 2" xfId="32859"/>
    <cellStyle name="Normal 4 3 2 4 2 3 2 3 3" xfId="32860"/>
    <cellStyle name="Normal 4 3 2 4 2 3 2 4" xfId="32861"/>
    <cellStyle name="Normal 4 3 2 4 2 3 2 5" xfId="32862"/>
    <cellStyle name="Normal 4 3 2 4 2 3 3" xfId="32863"/>
    <cellStyle name="Normal 4 3 2 4 2 3 3 2" xfId="32864"/>
    <cellStyle name="Normal 4 3 2 4 2 3 3 3" xfId="32865"/>
    <cellStyle name="Normal 4 3 2 4 2 3 4" xfId="32866"/>
    <cellStyle name="Normal 4 3 2 4 2 3 4 2" xfId="32867"/>
    <cellStyle name="Normal 4 3 2 4 2 3 4 3" xfId="32868"/>
    <cellStyle name="Normal 4 3 2 4 2 3 5" xfId="32869"/>
    <cellStyle name="Normal 4 3 2 4 2 3 6" xfId="32870"/>
    <cellStyle name="Normal 4 3 2 4 2 4" xfId="32871"/>
    <cellStyle name="Normal 4 3 2 4 2 4 2" xfId="32872"/>
    <cellStyle name="Normal 4 3 2 4 2 4 2 2" xfId="32873"/>
    <cellStyle name="Normal 4 3 2 4 2 4 2 3" xfId="32874"/>
    <cellStyle name="Normal 4 3 2 4 2 4 3" xfId="32875"/>
    <cellStyle name="Normal 4 3 2 4 2 4 3 2" xfId="32876"/>
    <cellStyle name="Normal 4 3 2 4 2 4 3 3" xfId="32877"/>
    <cellStyle name="Normal 4 3 2 4 2 4 4" xfId="32878"/>
    <cellStyle name="Normal 4 3 2 4 2 4 5" xfId="32879"/>
    <cellStyle name="Normal 4 3 2 4 2 5" xfId="32880"/>
    <cellStyle name="Normal 4 3 2 4 2 5 2" xfId="32881"/>
    <cellStyle name="Normal 4 3 2 4 2 5 3" xfId="32882"/>
    <cellStyle name="Normal 4 3 2 4 2 6" xfId="32883"/>
    <cellStyle name="Normal 4 3 2 4 2 6 2" xfId="32884"/>
    <cellStyle name="Normal 4 3 2 4 2 6 3" xfId="32885"/>
    <cellStyle name="Normal 4 3 2 4 2 7" xfId="32886"/>
    <cellStyle name="Normal 4 3 2 4 2 8" xfId="32887"/>
    <cellStyle name="Normal 4 3 2 4 3" xfId="32888"/>
    <cellStyle name="Normal 4 3 2 4 3 2" xfId="32889"/>
    <cellStyle name="Normal 4 3 2 4 3 2 2" xfId="32890"/>
    <cellStyle name="Normal 4 3 2 4 3 2 2 2" xfId="32891"/>
    <cellStyle name="Normal 4 3 2 4 3 2 2 3" xfId="32892"/>
    <cellStyle name="Normal 4 3 2 4 3 2 3" xfId="32893"/>
    <cellStyle name="Normal 4 3 2 4 3 2 3 2" xfId="32894"/>
    <cellStyle name="Normal 4 3 2 4 3 2 3 3" xfId="32895"/>
    <cellStyle name="Normal 4 3 2 4 3 2 4" xfId="32896"/>
    <cellStyle name="Normal 4 3 2 4 3 2 5" xfId="32897"/>
    <cellStyle name="Normal 4 3 2 4 3 3" xfId="32898"/>
    <cellStyle name="Normal 4 3 2 4 3 3 2" xfId="32899"/>
    <cellStyle name="Normal 4 3 2 4 3 3 3" xfId="32900"/>
    <cellStyle name="Normal 4 3 2 4 3 4" xfId="32901"/>
    <cellStyle name="Normal 4 3 2 4 3 4 2" xfId="32902"/>
    <cellStyle name="Normal 4 3 2 4 3 4 3" xfId="32903"/>
    <cellStyle name="Normal 4 3 2 4 3 5" xfId="32904"/>
    <cellStyle name="Normal 4 3 2 4 3 6" xfId="32905"/>
    <cellStyle name="Normal 4 3 2 4 4" xfId="32906"/>
    <cellStyle name="Normal 4 3 2 4 4 2" xfId="32907"/>
    <cellStyle name="Normal 4 3 2 4 4 2 2" xfId="32908"/>
    <cellStyle name="Normal 4 3 2 4 4 2 2 2" xfId="32909"/>
    <cellStyle name="Normal 4 3 2 4 4 2 2 3" xfId="32910"/>
    <cellStyle name="Normal 4 3 2 4 4 2 3" xfId="32911"/>
    <cellStyle name="Normal 4 3 2 4 4 2 3 2" xfId="32912"/>
    <cellStyle name="Normal 4 3 2 4 4 2 3 3" xfId="32913"/>
    <cellStyle name="Normal 4 3 2 4 4 2 4" xfId="32914"/>
    <cellStyle name="Normal 4 3 2 4 4 2 5" xfId="32915"/>
    <cellStyle name="Normal 4 3 2 4 4 3" xfId="32916"/>
    <cellStyle name="Normal 4 3 2 4 4 3 2" xfId="32917"/>
    <cellStyle name="Normal 4 3 2 4 4 3 3" xfId="32918"/>
    <cellStyle name="Normal 4 3 2 4 4 4" xfId="32919"/>
    <cellStyle name="Normal 4 3 2 4 4 4 2" xfId="32920"/>
    <cellStyle name="Normal 4 3 2 4 4 4 3" xfId="32921"/>
    <cellStyle name="Normal 4 3 2 4 4 5" xfId="32922"/>
    <cellStyle name="Normal 4 3 2 4 4 6" xfId="32923"/>
    <cellStyle name="Normal 4 3 2 4 5" xfId="32924"/>
    <cellStyle name="Normal 4 3 2 4 5 2" xfId="32925"/>
    <cellStyle name="Normal 4 3 2 4 5 2 2" xfId="32926"/>
    <cellStyle name="Normal 4 3 2 4 5 2 3" xfId="32927"/>
    <cellStyle name="Normal 4 3 2 4 5 3" xfId="32928"/>
    <cellStyle name="Normal 4 3 2 4 5 3 2" xfId="32929"/>
    <cellStyle name="Normal 4 3 2 4 5 3 3" xfId="32930"/>
    <cellStyle name="Normal 4 3 2 4 5 4" xfId="32931"/>
    <cellStyle name="Normal 4 3 2 4 5 5" xfId="32932"/>
    <cellStyle name="Normal 4 3 2 4 6" xfId="32933"/>
    <cellStyle name="Normal 4 3 2 4 6 2" xfId="32934"/>
    <cellStyle name="Normal 4 3 2 4 6 3" xfId="32935"/>
    <cellStyle name="Normal 4 3 2 4 7" xfId="32936"/>
    <cellStyle name="Normal 4 3 2 4 7 2" xfId="32937"/>
    <cellStyle name="Normal 4 3 2 4 7 3" xfId="32938"/>
    <cellStyle name="Normal 4 3 2 4 8" xfId="32939"/>
    <cellStyle name="Normal 4 3 2 4 9" xfId="32940"/>
    <cellStyle name="Normal 4 3 2 5" xfId="32941"/>
    <cellStyle name="Normal 4 3 2 5 2" xfId="32942"/>
    <cellStyle name="Normal 4 3 2 5 2 2" xfId="32943"/>
    <cellStyle name="Normal 4 3 2 5 2 2 2" xfId="32944"/>
    <cellStyle name="Normal 4 3 2 5 2 2 2 2" xfId="32945"/>
    <cellStyle name="Normal 4 3 2 5 2 2 2 3" xfId="32946"/>
    <cellStyle name="Normal 4 3 2 5 2 2 3" xfId="32947"/>
    <cellStyle name="Normal 4 3 2 5 2 2 3 2" xfId="32948"/>
    <cellStyle name="Normal 4 3 2 5 2 2 3 3" xfId="32949"/>
    <cellStyle name="Normal 4 3 2 5 2 2 4" xfId="32950"/>
    <cellStyle name="Normal 4 3 2 5 2 2 5" xfId="32951"/>
    <cellStyle name="Normal 4 3 2 5 2 3" xfId="32952"/>
    <cellStyle name="Normal 4 3 2 5 2 3 2" xfId="32953"/>
    <cellStyle name="Normal 4 3 2 5 2 3 3" xfId="32954"/>
    <cellStyle name="Normal 4 3 2 5 2 4" xfId="32955"/>
    <cellStyle name="Normal 4 3 2 5 2 4 2" xfId="32956"/>
    <cellStyle name="Normal 4 3 2 5 2 4 3" xfId="32957"/>
    <cellStyle name="Normal 4 3 2 5 2 5" xfId="32958"/>
    <cellStyle name="Normal 4 3 2 5 2 6" xfId="32959"/>
    <cellStyle name="Normal 4 3 2 5 3" xfId="32960"/>
    <cellStyle name="Normal 4 3 2 5 3 2" xfId="32961"/>
    <cellStyle name="Normal 4 3 2 5 3 2 2" xfId="32962"/>
    <cellStyle name="Normal 4 3 2 5 3 2 2 2" xfId="32963"/>
    <cellStyle name="Normal 4 3 2 5 3 2 2 3" xfId="32964"/>
    <cellStyle name="Normal 4 3 2 5 3 2 3" xfId="32965"/>
    <cellStyle name="Normal 4 3 2 5 3 2 3 2" xfId="32966"/>
    <cellStyle name="Normal 4 3 2 5 3 2 3 3" xfId="32967"/>
    <cellStyle name="Normal 4 3 2 5 3 2 4" xfId="32968"/>
    <cellStyle name="Normal 4 3 2 5 3 2 5" xfId="32969"/>
    <cellStyle name="Normal 4 3 2 5 3 3" xfId="32970"/>
    <cellStyle name="Normal 4 3 2 5 3 3 2" xfId="32971"/>
    <cellStyle name="Normal 4 3 2 5 3 3 3" xfId="32972"/>
    <cellStyle name="Normal 4 3 2 5 3 4" xfId="32973"/>
    <cellStyle name="Normal 4 3 2 5 3 4 2" xfId="32974"/>
    <cellStyle name="Normal 4 3 2 5 3 4 3" xfId="32975"/>
    <cellStyle name="Normal 4 3 2 5 3 5" xfId="32976"/>
    <cellStyle name="Normal 4 3 2 5 3 6" xfId="32977"/>
    <cellStyle name="Normal 4 3 2 5 4" xfId="32978"/>
    <cellStyle name="Normal 4 3 2 5 4 2" xfId="32979"/>
    <cellStyle name="Normal 4 3 2 5 4 2 2" xfId="32980"/>
    <cellStyle name="Normal 4 3 2 5 4 2 3" xfId="32981"/>
    <cellStyle name="Normal 4 3 2 5 4 3" xfId="32982"/>
    <cellStyle name="Normal 4 3 2 5 4 3 2" xfId="32983"/>
    <cellStyle name="Normal 4 3 2 5 4 3 3" xfId="32984"/>
    <cellStyle name="Normal 4 3 2 5 4 4" xfId="32985"/>
    <cellStyle name="Normal 4 3 2 5 4 5" xfId="32986"/>
    <cellStyle name="Normal 4 3 2 5 5" xfId="32987"/>
    <cellStyle name="Normal 4 3 2 5 5 2" xfId="32988"/>
    <cellStyle name="Normal 4 3 2 5 5 3" xfId="32989"/>
    <cellStyle name="Normal 4 3 2 5 6" xfId="32990"/>
    <cellStyle name="Normal 4 3 2 5 6 2" xfId="32991"/>
    <cellStyle name="Normal 4 3 2 5 6 3" xfId="32992"/>
    <cellStyle name="Normal 4 3 2 5 7" xfId="32993"/>
    <cellStyle name="Normal 4 3 2 5 8" xfId="32994"/>
    <cellStyle name="Normal 4 3 2 6" xfId="32995"/>
    <cellStyle name="Normal 4 3 2 6 2" xfId="32996"/>
    <cellStyle name="Normal 4 3 2 6 2 2" xfId="32997"/>
    <cellStyle name="Normal 4 3 2 6 2 2 2" xfId="32998"/>
    <cellStyle name="Normal 4 3 2 6 2 2 3" xfId="32999"/>
    <cellStyle name="Normal 4 3 2 6 2 3" xfId="33000"/>
    <cellStyle name="Normal 4 3 2 6 2 3 2" xfId="33001"/>
    <cellStyle name="Normal 4 3 2 6 2 3 3" xfId="33002"/>
    <cellStyle name="Normal 4 3 2 6 2 4" xfId="33003"/>
    <cellStyle name="Normal 4 3 2 6 2 5" xfId="33004"/>
    <cellStyle name="Normal 4 3 2 6 3" xfId="33005"/>
    <cellStyle name="Normal 4 3 2 6 3 2" xfId="33006"/>
    <cellStyle name="Normal 4 3 2 6 3 3" xfId="33007"/>
    <cellStyle name="Normal 4 3 2 6 4" xfId="33008"/>
    <cellStyle name="Normal 4 3 2 6 4 2" xfId="33009"/>
    <cellStyle name="Normal 4 3 2 6 4 3" xfId="33010"/>
    <cellStyle name="Normal 4 3 2 6 5" xfId="33011"/>
    <cellStyle name="Normal 4 3 2 6 6" xfId="33012"/>
    <cellStyle name="Normal 4 3 2 7" xfId="33013"/>
    <cellStyle name="Normal 4 3 2 7 2" xfId="33014"/>
    <cellStyle name="Normal 4 3 2 7 2 2" xfId="33015"/>
    <cellStyle name="Normal 4 3 2 7 2 2 2" xfId="33016"/>
    <cellStyle name="Normal 4 3 2 7 2 2 3" xfId="33017"/>
    <cellStyle name="Normal 4 3 2 7 2 3" xfId="33018"/>
    <cellStyle name="Normal 4 3 2 7 2 3 2" xfId="33019"/>
    <cellStyle name="Normal 4 3 2 7 2 3 3" xfId="33020"/>
    <cellStyle name="Normal 4 3 2 7 2 4" xfId="33021"/>
    <cellStyle name="Normal 4 3 2 7 2 5" xfId="33022"/>
    <cellStyle name="Normal 4 3 2 7 3" xfId="33023"/>
    <cellStyle name="Normal 4 3 2 7 3 2" xfId="33024"/>
    <cellStyle name="Normal 4 3 2 7 3 3" xfId="33025"/>
    <cellStyle name="Normal 4 3 2 7 4" xfId="33026"/>
    <cellStyle name="Normal 4 3 2 7 4 2" xfId="33027"/>
    <cellStyle name="Normal 4 3 2 7 4 3" xfId="33028"/>
    <cellStyle name="Normal 4 3 2 7 5" xfId="33029"/>
    <cellStyle name="Normal 4 3 2 7 6" xfId="33030"/>
    <cellStyle name="Normal 4 3 2 8" xfId="33031"/>
    <cellStyle name="Normal 4 3 2 8 2" xfId="33032"/>
    <cellStyle name="Normal 4 3 2 8 2 2" xfId="33033"/>
    <cellStyle name="Normal 4 3 2 8 2 3" xfId="33034"/>
    <cellStyle name="Normal 4 3 2 8 3" xfId="33035"/>
    <cellStyle name="Normal 4 3 2 8 3 2" xfId="33036"/>
    <cellStyle name="Normal 4 3 2 8 3 3" xfId="33037"/>
    <cellStyle name="Normal 4 3 2 8 4" xfId="33038"/>
    <cellStyle name="Normal 4 3 2 8 5" xfId="33039"/>
    <cellStyle name="Normal 4 3 2 9" xfId="33040"/>
    <cellStyle name="Normal 4 3 2 9 2" xfId="33041"/>
    <cellStyle name="Normal 4 3 2 9 3" xfId="33042"/>
    <cellStyle name="Normal 4 3 3" xfId="33043"/>
    <cellStyle name="Normal 4 3 3 10" xfId="33044"/>
    <cellStyle name="Normal 4 3 3 2" xfId="33045"/>
    <cellStyle name="Normal 4 3 3 2 2" xfId="33046"/>
    <cellStyle name="Normal 4 3 3 2 2 2" xfId="33047"/>
    <cellStyle name="Normal 4 3 3 2 2 2 2" xfId="33048"/>
    <cellStyle name="Normal 4 3 3 2 2 2 2 2" xfId="33049"/>
    <cellStyle name="Normal 4 3 3 2 2 2 2 2 2" xfId="33050"/>
    <cellStyle name="Normal 4 3 3 2 2 2 2 2 3" xfId="33051"/>
    <cellStyle name="Normal 4 3 3 2 2 2 2 3" xfId="33052"/>
    <cellStyle name="Normal 4 3 3 2 2 2 2 3 2" xfId="33053"/>
    <cellStyle name="Normal 4 3 3 2 2 2 2 3 3" xfId="33054"/>
    <cellStyle name="Normal 4 3 3 2 2 2 2 4" xfId="33055"/>
    <cellStyle name="Normal 4 3 3 2 2 2 2 5" xfId="33056"/>
    <cellStyle name="Normal 4 3 3 2 2 2 3" xfId="33057"/>
    <cellStyle name="Normal 4 3 3 2 2 2 3 2" xfId="33058"/>
    <cellStyle name="Normal 4 3 3 2 2 2 3 3" xfId="33059"/>
    <cellStyle name="Normal 4 3 3 2 2 2 4" xfId="33060"/>
    <cellStyle name="Normal 4 3 3 2 2 2 4 2" xfId="33061"/>
    <cellStyle name="Normal 4 3 3 2 2 2 4 3" xfId="33062"/>
    <cellStyle name="Normal 4 3 3 2 2 2 5" xfId="33063"/>
    <cellStyle name="Normal 4 3 3 2 2 2 6" xfId="33064"/>
    <cellStyle name="Normal 4 3 3 2 2 3" xfId="33065"/>
    <cellStyle name="Normal 4 3 3 2 2 3 2" xfId="33066"/>
    <cellStyle name="Normal 4 3 3 2 2 3 2 2" xfId="33067"/>
    <cellStyle name="Normal 4 3 3 2 2 3 2 2 2" xfId="33068"/>
    <cellStyle name="Normal 4 3 3 2 2 3 2 2 3" xfId="33069"/>
    <cellStyle name="Normal 4 3 3 2 2 3 2 3" xfId="33070"/>
    <cellStyle name="Normal 4 3 3 2 2 3 2 3 2" xfId="33071"/>
    <cellStyle name="Normal 4 3 3 2 2 3 2 3 3" xfId="33072"/>
    <cellStyle name="Normal 4 3 3 2 2 3 2 4" xfId="33073"/>
    <cellStyle name="Normal 4 3 3 2 2 3 2 5" xfId="33074"/>
    <cellStyle name="Normal 4 3 3 2 2 3 3" xfId="33075"/>
    <cellStyle name="Normal 4 3 3 2 2 3 3 2" xfId="33076"/>
    <cellStyle name="Normal 4 3 3 2 2 3 3 3" xfId="33077"/>
    <cellStyle name="Normal 4 3 3 2 2 3 4" xfId="33078"/>
    <cellStyle name="Normal 4 3 3 2 2 3 4 2" xfId="33079"/>
    <cellStyle name="Normal 4 3 3 2 2 3 4 3" xfId="33080"/>
    <cellStyle name="Normal 4 3 3 2 2 3 5" xfId="33081"/>
    <cellStyle name="Normal 4 3 3 2 2 3 6" xfId="33082"/>
    <cellStyle name="Normal 4 3 3 2 2 4" xfId="33083"/>
    <cellStyle name="Normal 4 3 3 2 2 4 2" xfId="33084"/>
    <cellStyle name="Normal 4 3 3 2 2 4 2 2" xfId="33085"/>
    <cellStyle name="Normal 4 3 3 2 2 4 2 3" xfId="33086"/>
    <cellStyle name="Normal 4 3 3 2 2 4 3" xfId="33087"/>
    <cellStyle name="Normal 4 3 3 2 2 4 3 2" xfId="33088"/>
    <cellStyle name="Normal 4 3 3 2 2 4 3 3" xfId="33089"/>
    <cellStyle name="Normal 4 3 3 2 2 4 4" xfId="33090"/>
    <cellStyle name="Normal 4 3 3 2 2 4 5" xfId="33091"/>
    <cellStyle name="Normal 4 3 3 2 2 5" xfId="33092"/>
    <cellStyle name="Normal 4 3 3 2 2 5 2" xfId="33093"/>
    <cellStyle name="Normal 4 3 3 2 2 5 3" xfId="33094"/>
    <cellStyle name="Normal 4 3 3 2 2 6" xfId="33095"/>
    <cellStyle name="Normal 4 3 3 2 2 6 2" xfId="33096"/>
    <cellStyle name="Normal 4 3 3 2 2 6 3" xfId="33097"/>
    <cellStyle name="Normal 4 3 3 2 2 7" xfId="33098"/>
    <cellStyle name="Normal 4 3 3 2 2 8" xfId="33099"/>
    <cellStyle name="Normal 4 3 3 2 3" xfId="33100"/>
    <cellStyle name="Normal 4 3 3 2 3 2" xfId="33101"/>
    <cellStyle name="Normal 4 3 3 2 3 2 2" xfId="33102"/>
    <cellStyle name="Normal 4 3 3 2 3 2 2 2" xfId="33103"/>
    <cellStyle name="Normal 4 3 3 2 3 2 2 3" xfId="33104"/>
    <cellStyle name="Normal 4 3 3 2 3 2 3" xfId="33105"/>
    <cellStyle name="Normal 4 3 3 2 3 2 3 2" xfId="33106"/>
    <cellStyle name="Normal 4 3 3 2 3 2 3 3" xfId="33107"/>
    <cellStyle name="Normal 4 3 3 2 3 2 4" xfId="33108"/>
    <cellStyle name="Normal 4 3 3 2 3 2 5" xfId="33109"/>
    <cellStyle name="Normal 4 3 3 2 3 3" xfId="33110"/>
    <cellStyle name="Normal 4 3 3 2 3 3 2" xfId="33111"/>
    <cellStyle name="Normal 4 3 3 2 3 3 3" xfId="33112"/>
    <cellStyle name="Normal 4 3 3 2 3 4" xfId="33113"/>
    <cellStyle name="Normal 4 3 3 2 3 4 2" xfId="33114"/>
    <cellStyle name="Normal 4 3 3 2 3 4 3" xfId="33115"/>
    <cellStyle name="Normal 4 3 3 2 3 5" xfId="33116"/>
    <cellStyle name="Normal 4 3 3 2 3 6" xfId="33117"/>
    <cellStyle name="Normal 4 3 3 2 4" xfId="33118"/>
    <cellStyle name="Normal 4 3 3 2 4 2" xfId="33119"/>
    <cellStyle name="Normal 4 3 3 2 4 2 2" xfId="33120"/>
    <cellStyle name="Normal 4 3 3 2 4 2 2 2" xfId="33121"/>
    <cellStyle name="Normal 4 3 3 2 4 2 2 3" xfId="33122"/>
    <cellStyle name="Normal 4 3 3 2 4 2 3" xfId="33123"/>
    <cellStyle name="Normal 4 3 3 2 4 2 3 2" xfId="33124"/>
    <cellStyle name="Normal 4 3 3 2 4 2 3 3" xfId="33125"/>
    <cellStyle name="Normal 4 3 3 2 4 2 4" xfId="33126"/>
    <cellStyle name="Normal 4 3 3 2 4 2 5" xfId="33127"/>
    <cellStyle name="Normal 4 3 3 2 4 3" xfId="33128"/>
    <cellStyle name="Normal 4 3 3 2 4 3 2" xfId="33129"/>
    <cellStyle name="Normal 4 3 3 2 4 3 3" xfId="33130"/>
    <cellStyle name="Normal 4 3 3 2 4 4" xfId="33131"/>
    <cellStyle name="Normal 4 3 3 2 4 4 2" xfId="33132"/>
    <cellStyle name="Normal 4 3 3 2 4 4 3" xfId="33133"/>
    <cellStyle name="Normal 4 3 3 2 4 5" xfId="33134"/>
    <cellStyle name="Normal 4 3 3 2 4 6" xfId="33135"/>
    <cellStyle name="Normal 4 3 3 2 5" xfId="33136"/>
    <cellStyle name="Normal 4 3 3 2 5 2" xfId="33137"/>
    <cellStyle name="Normal 4 3 3 2 5 2 2" xfId="33138"/>
    <cellStyle name="Normal 4 3 3 2 5 2 3" xfId="33139"/>
    <cellStyle name="Normal 4 3 3 2 5 3" xfId="33140"/>
    <cellStyle name="Normal 4 3 3 2 5 3 2" xfId="33141"/>
    <cellStyle name="Normal 4 3 3 2 5 3 3" xfId="33142"/>
    <cellStyle name="Normal 4 3 3 2 5 4" xfId="33143"/>
    <cellStyle name="Normal 4 3 3 2 5 5" xfId="33144"/>
    <cellStyle name="Normal 4 3 3 2 6" xfId="33145"/>
    <cellStyle name="Normal 4 3 3 2 6 2" xfId="33146"/>
    <cellStyle name="Normal 4 3 3 2 6 3" xfId="33147"/>
    <cellStyle name="Normal 4 3 3 2 7" xfId="33148"/>
    <cellStyle name="Normal 4 3 3 2 7 2" xfId="33149"/>
    <cellStyle name="Normal 4 3 3 2 7 3" xfId="33150"/>
    <cellStyle name="Normal 4 3 3 2 8" xfId="33151"/>
    <cellStyle name="Normal 4 3 3 2 9" xfId="33152"/>
    <cellStyle name="Normal 4 3 3 3" xfId="33153"/>
    <cellStyle name="Normal 4 3 3 3 2" xfId="33154"/>
    <cellStyle name="Normal 4 3 3 3 2 2" xfId="33155"/>
    <cellStyle name="Normal 4 3 3 3 2 2 2" xfId="33156"/>
    <cellStyle name="Normal 4 3 3 3 2 2 2 2" xfId="33157"/>
    <cellStyle name="Normal 4 3 3 3 2 2 2 3" xfId="33158"/>
    <cellStyle name="Normal 4 3 3 3 2 2 3" xfId="33159"/>
    <cellStyle name="Normal 4 3 3 3 2 2 3 2" xfId="33160"/>
    <cellStyle name="Normal 4 3 3 3 2 2 3 3" xfId="33161"/>
    <cellStyle name="Normal 4 3 3 3 2 2 4" xfId="33162"/>
    <cellStyle name="Normal 4 3 3 3 2 2 5" xfId="33163"/>
    <cellStyle name="Normal 4 3 3 3 2 3" xfId="33164"/>
    <cellStyle name="Normal 4 3 3 3 2 3 2" xfId="33165"/>
    <cellStyle name="Normal 4 3 3 3 2 3 3" xfId="33166"/>
    <cellStyle name="Normal 4 3 3 3 2 4" xfId="33167"/>
    <cellStyle name="Normal 4 3 3 3 2 4 2" xfId="33168"/>
    <cellStyle name="Normal 4 3 3 3 2 4 3" xfId="33169"/>
    <cellStyle name="Normal 4 3 3 3 2 5" xfId="33170"/>
    <cellStyle name="Normal 4 3 3 3 2 6" xfId="33171"/>
    <cellStyle name="Normal 4 3 3 3 3" xfId="33172"/>
    <cellStyle name="Normal 4 3 3 3 3 2" xfId="33173"/>
    <cellStyle name="Normal 4 3 3 3 3 2 2" xfId="33174"/>
    <cellStyle name="Normal 4 3 3 3 3 2 2 2" xfId="33175"/>
    <cellStyle name="Normal 4 3 3 3 3 2 2 3" xfId="33176"/>
    <cellStyle name="Normal 4 3 3 3 3 2 3" xfId="33177"/>
    <cellStyle name="Normal 4 3 3 3 3 2 3 2" xfId="33178"/>
    <cellStyle name="Normal 4 3 3 3 3 2 3 3" xfId="33179"/>
    <cellStyle name="Normal 4 3 3 3 3 2 4" xfId="33180"/>
    <cellStyle name="Normal 4 3 3 3 3 2 5" xfId="33181"/>
    <cellStyle name="Normal 4 3 3 3 3 3" xfId="33182"/>
    <cellStyle name="Normal 4 3 3 3 3 3 2" xfId="33183"/>
    <cellStyle name="Normal 4 3 3 3 3 3 3" xfId="33184"/>
    <cellStyle name="Normal 4 3 3 3 3 4" xfId="33185"/>
    <cellStyle name="Normal 4 3 3 3 3 4 2" xfId="33186"/>
    <cellStyle name="Normal 4 3 3 3 3 4 3" xfId="33187"/>
    <cellStyle name="Normal 4 3 3 3 3 5" xfId="33188"/>
    <cellStyle name="Normal 4 3 3 3 3 6" xfId="33189"/>
    <cellStyle name="Normal 4 3 3 3 4" xfId="33190"/>
    <cellStyle name="Normal 4 3 3 3 4 2" xfId="33191"/>
    <cellStyle name="Normal 4 3 3 3 4 2 2" xfId="33192"/>
    <cellStyle name="Normal 4 3 3 3 4 2 3" xfId="33193"/>
    <cellStyle name="Normal 4 3 3 3 4 3" xfId="33194"/>
    <cellStyle name="Normal 4 3 3 3 4 3 2" xfId="33195"/>
    <cellStyle name="Normal 4 3 3 3 4 3 3" xfId="33196"/>
    <cellStyle name="Normal 4 3 3 3 4 4" xfId="33197"/>
    <cellStyle name="Normal 4 3 3 3 4 5" xfId="33198"/>
    <cellStyle name="Normal 4 3 3 3 5" xfId="33199"/>
    <cellStyle name="Normal 4 3 3 3 5 2" xfId="33200"/>
    <cellStyle name="Normal 4 3 3 3 5 3" xfId="33201"/>
    <cellStyle name="Normal 4 3 3 3 6" xfId="33202"/>
    <cellStyle name="Normal 4 3 3 3 6 2" xfId="33203"/>
    <cellStyle name="Normal 4 3 3 3 6 3" xfId="33204"/>
    <cellStyle name="Normal 4 3 3 3 7" xfId="33205"/>
    <cellStyle name="Normal 4 3 3 3 8" xfId="33206"/>
    <cellStyle name="Normal 4 3 3 4" xfId="33207"/>
    <cellStyle name="Normal 4 3 3 4 2" xfId="33208"/>
    <cellStyle name="Normal 4 3 3 4 2 2" xfId="33209"/>
    <cellStyle name="Normal 4 3 3 4 2 2 2" xfId="33210"/>
    <cellStyle name="Normal 4 3 3 4 2 2 3" xfId="33211"/>
    <cellStyle name="Normal 4 3 3 4 2 3" xfId="33212"/>
    <cellStyle name="Normal 4 3 3 4 2 3 2" xfId="33213"/>
    <cellStyle name="Normal 4 3 3 4 2 3 3" xfId="33214"/>
    <cellStyle name="Normal 4 3 3 4 2 4" xfId="33215"/>
    <cellStyle name="Normal 4 3 3 4 2 5" xfId="33216"/>
    <cellStyle name="Normal 4 3 3 4 3" xfId="33217"/>
    <cellStyle name="Normal 4 3 3 4 3 2" xfId="33218"/>
    <cellStyle name="Normal 4 3 3 4 3 3" xfId="33219"/>
    <cellStyle name="Normal 4 3 3 4 4" xfId="33220"/>
    <cellStyle name="Normal 4 3 3 4 4 2" xfId="33221"/>
    <cellStyle name="Normal 4 3 3 4 4 3" xfId="33222"/>
    <cellStyle name="Normal 4 3 3 4 5" xfId="33223"/>
    <cellStyle name="Normal 4 3 3 4 6" xfId="33224"/>
    <cellStyle name="Normal 4 3 3 5" xfId="33225"/>
    <cellStyle name="Normal 4 3 3 5 2" xfId="33226"/>
    <cellStyle name="Normal 4 3 3 5 2 2" xfId="33227"/>
    <cellStyle name="Normal 4 3 3 5 2 2 2" xfId="33228"/>
    <cellStyle name="Normal 4 3 3 5 2 2 3" xfId="33229"/>
    <cellStyle name="Normal 4 3 3 5 2 3" xfId="33230"/>
    <cellStyle name="Normal 4 3 3 5 2 3 2" xfId="33231"/>
    <cellStyle name="Normal 4 3 3 5 2 3 3" xfId="33232"/>
    <cellStyle name="Normal 4 3 3 5 2 4" xfId="33233"/>
    <cellStyle name="Normal 4 3 3 5 2 5" xfId="33234"/>
    <cellStyle name="Normal 4 3 3 5 3" xfId="33235"/>
    <cellStyle name="Normal 4 3 3 5 3 2" xfId="33236"/>
    <cellStyle name="Normal 4 3 3 5 3 3" xfId="33237"/>
    <cellStyle name="Normal 4 3 3 5 4" xfId="33238"/>
    <cellStyle name="Normal 4 3 3 5 4 2" xfId="33239"/>
    <cellStyle name="Normal 4 3 3 5 4 3" xfId="33240"/>
    <cellStyle name="Normal 4 3 3 5 5" xfId="33241"/>
    <cellStyle name="Normal 4 3 3 5 6" xfId="33242"/>
    <cellStyle name="Normal 4 3 3 6" xfId="33243"/>
    <cellStyle name="Normal 4 3 3 6 2" xfId="33244"/>
    <cellStyle name="Normal 4 3 3 6 2 2" xfId="33245"/>
    <cellStyle name="Normal 4 3 3 6 2 3" xfId="33246"/>
    <cellStyle name="Normal 4 3 3 6 3" xfId="33247"/>
    <cellStyle name="Normal 4 3 3 6 3 2" xfId="33248"/>
    <cellStyle name="Normal 4 3 3 6 3 3" xfId="33249"/>
    <cellStyle name="Normal 4 3 3 6 4" xfId="33250"/>
    <cellStyle name="Normal 4 3 3 6 5" xfId="33251"/>
    <cellStyle name="Normal 4 3 3 7" xfId="33252"/>
    <cellStyle name="Normal 4 3 3 7 2" xfId="33253"/>
    <cellStyle name="Normal 4 3 3 7 3" xfId="33254"/>
    <cellStyle name="Normal 4 3 3 8" xfId="33255"/>
    <cellStyle name="Normal 4 3 3 8 2" xfId="33256"/>
    <cellStyle name="Normal 4 3 3 8 3" xfId="33257"/>
    <cellStyle name="Normal 4 3 3 9" xfId="33258"/>
    <cellStyle name="Normal 4 3 4" xfId="33259"/>
    <cellStyle name="Normal 4 3 4 10" xfId="33260"/>
    <cellStyle name="Normal 4 3 4 2" xfId="33261"/>
    <cellStyle name="Normal 4 3 4 2 2" xfId="33262"/>
    <cellStyle name="Normal 4 3 4 2 2 2" xfId="33263"/>
    <cellStyle name="Normal 4 3 4 2 2 2 2" xfId="33264"/>
    <cellStyle name="Normal 4 3 4 2 2 2 2 2" xfId="33265"/>
    <cellStyle name="Normal 4 3 4 2 2 2 2 2 2" xfId="33266"/>
    <cellStyle name="Normal 4 3 4 2 2 2 2 2 3" xfId="33267"/>
    <cellStyle name="Normal 4 3 4 2 2 2 2 3" xfId="33268"/>
    <cellStyle name="Normal 4 3 4 2 2 2 2 3 2" xfId="33269"/>
    <cellStyle name="Normal 4 3 4 2 2 2 2 3 3" xfId="33270"/>
    <cellStyle name="Normal 4 3 4 2 2 2 2 4" xfId="33271"/>
    <cellStyle name="Normal 4 3 4 2 2 2 2 5" xfId="33272"/>
    <cellStyle name="Normal 4 3 4 2 2 2 3" xfId="33273"/>
    <cellStyle name="Normal 4 3 4 2 2 2 3 2" xfId="33274"/>
    <cellStyle name="Normal 4 3 4 2 2 2 3 3" xfId="33275"/>
    <cellStyle name="Normal 4 3 4 2 2 2 4" xfId="33276"/>
    <cellStyle name="Normal 4 3 4 2 2 2 4 2" xfId="33277"/>
    <cellStyle name="Normal 4 3 4 2 2 2 4 3" xfId="33278"/>
    <cellStyle name="Normal 4 3 4 2 2 2 5" xfId="33279"/>
    <cellStyle name="Normal 4 3 4 2 2 2 6" xfId="33280"/>
    <cellStyle name="Normal 4 3 4 2 2 3" xfId="33281"/>
    <cellStyle name="Normal 4 3 4 2 2 3 2" xfId="33282"/>
    <cellStyle name="Normal 4 3 4 2 2 3 2 2" xfId="33283"/>
    <cellStyle name="Normal 4 3 4 2 2 3 2 2 2" xfId="33284"/>
    <cellStyle name="Normal 4 3 4 2 2 3 2 2 3" xfId="33285"/>
    <cellStyle name="Normal 4 3 4 2 2 3 2 3" xfId="33286"/>
    <cellStyle name="Normal 4 3 4 2 2 3 2 3 2" xfId="33287"/>
    <cellStyle name="Normal 4 3 4 2 2 3 2 3 3" xfId="33288"/>
    <cellStyle name="Normal 4 3 4 2 2 3 2 4" xfId="33289"/>
    <cellStyle name="Normal 4 3 4 2 2 3 2 5" xfId="33290"/>
    <cellStyle name="Normal 4 3 4 2 2 3 3" xfId="33291"/>
    <cellStyle name="Normal 4 3 4 2 2 3 3 2" xfId="33292"/>
    <cellStyle name="Normal 4 3 4 2 2 3 3 3" xfId="33293"/>
    <cellStyle name="Normal 4 3 4 2 2 3 4" xfId="33294"/>
    <cellStyle name="Normal 4 3 4 2 2 3 4 2" xfId="33295"/>
    <cellStyle name="Normal 4 3 4 2 2 3 4 3" xfId="33296"/>
    <cellStyle name="Normal 4 3 4 2 2 3 5" xfId="33297"/>
    <cellStyle name="Normal 4 3 4 2 2 3 6" xfId="33298"/>
    <cellStyle name="Normal 4 3 4 2 2 4" xfId="33299"/>
    <cellStyle name="Normal 4 3 4 2 2 4 2" xfId="33300"/>
    <cellStyle name="Normal 4 3 4 2 2 4 2 2" xfId="33301"/>
    <cellStyle name="Normal 4 3 4 2 2 4 2 3" xfId="33302"/>
    <cellStyle name="Normal 4 3 4 2 2 4 3" xfId="33303"/>
    <cellStyle name="Normal 4 3 4 2 2 4 3 2" xfId="33304"/>
    <cellStyle name="Normal 4 3 4 2 2 4 3 3" xfId="33305"/>
    <cellStyle name="Normal 4 3 4 2 2 4 4" xfId="33306"/>
    <cellStyle name="Normal 4 3 4 2 2 4 5" xfId="33307"/>
    <cellStyle name="Normal 4 3 4 2 2 5" xfId="33308"/>
    <cellStyle name="Normal 4 3 4 2 2 5 2" xfId="33309"/>
    <cellStyle name="Normal 4 3 4 2 2 5 3" xfId="33310"/>
    <cellStyle name="Normal 4 3 4 2 2 6" xfId="33311"/>
    <cellStyle name="Normal 4 3 4 2 2 6 2" xfId="33312"/>
    <cellStyle name="Normal 4 3 4 2 2 6 3" xfId="33313"/>
    <cellStyle name="Normal 4 3 4 2 2 7" xfId="33314"/>
    <cellStyle name="Normal 4 3 4 2 2 8" xfId="33315"/>
    <cellStyle name="Normal 4 3 4 2 3" xfId="33316"/>
    <cellStyle name="Normal 4 3 4 2 3 2" xfId="33317"/>
    <cellStyle name="Normal 4 3 4 2 3 2 2" xfId="33318"/>
    <cellStyle name="Normal 4 3 4 2 3 2 2 2" xfId="33319"/>
    <cellStyle name="Normal 4 3 4 2 3 2 2 3" xfId="33320"/>
    <cellStyle name="Normal 4 3 4 2 3 2 3" xfId="33321"/>
    <cellStyle name="Normal 4 3 4 2 3 2 3 2" xfId="33322"/>
    <cellStyle name="Normal 4 3 4 2 3 2 3 3" xfId="33323"/>
    <cellStyle name="Normal 4 3 4 2 3 2 4" xfId="33324"/>
    <cellStyle name="Normal 4 3 4 2 3 2 5" xfId="33325"/>
    <cellStyle name="Normal 4 3 4 2 3 3" xfId="33326"/>
    <cellStyle name="Normal 4 3 4 2 3 3 2" xfId="33327"/>
    <cellStyle name="Normal 4 3 4 2 3 3 3" xfId="33328"/>
    <cellStyle name="Normal 4 3 4 2 3 4" xfId="33329"/>
    <cellStyle name="Normal 4 3 4 2 3 4 2" xfId="33330"/>
    <cellStyle name="Normal 4 3 4 2 3 4 3" xfId="33331"/>
    <cellStyle name="Normal 4 3 4 2 3 5" xfId="33332"/>
    <cellStyle name="Normal 4 3 4 2 3 6" xfId="33333"/>
    <cellStyle name="Normal 4 3 4 2 4" xfId="33334"/>
    <cellStyle name="Normal 4 3 4 2 4 2" xfId="33335"/>
    <cellStyle name="Normal 4 3 4 2 4 2 2" xfId="33336"/>
    <cellStyle name="Normal 4 3 4 2 4 2 2 2" xfId="33337"/>
    <cellStyle name="Normal 4 3 4 2 4 2 2 3" xfId="33338"/>
    <cellStyle name="Normal 4 3 4 2 4 2 3" xfId="33339"/>
    <cellStyle name="Normal 4 3 4 2 4 2 3 2" xfId="33340"/>
    <cellStyle name="Normal 4 3 4 2 4 2 3 3" xfId="33341"/>
    <cellStyle name="Normal 4 3 4 2 4 2 4" xfId="33342"/>
    <cellStyle name="Normal 4 3 4 2 4 2 5" xfId="33343"/>
    <cellStyle name="Normal 4 3 4 2 4 3" xfId="33344"/>
    <cellStyle name="Normal 4 3 4 2 4 3 2" xfId="33345"/>
    <cellStyle name="Normal 4 3 4 2 4 3 3" xfId="33346"/>
    <cellStyle name="Normal 4 3 4 2 4 4" xfId="33347"/>
    <cellStyle name="Normal 4 3 4 2 4 4 2" xfId="33348"/>
    <cellStyle name="Normal 4 3 4 2 4 4 3" xfId="33349"/>
    <cellStyle name="Normal 4 3 4 2 4 5" xfId="33350"/>
    <cellStyle name="Normal 4 3 4 2 4 6" xfId="33351"/>
    <cellStyle name="Normal 4 3 4 2 5" xfId="33352"/>
    <cellStyle name="Normal 4 3 4 2 5 2" xfId="33353"/>
    <cellStyle name="Normal 4 3 4 2 5 2 2" xfId="33354"/>
    <cellStyle name="Normal 4 3 4 2 5 2 3" xfId="33355"/>
    <cellStyle name="Normal 4 3 4 2 5 3" xfId="33356"/>
    <cellStyle name="Normal 4 3 4 2 5 3 2" xfId="33357"/>
    <cellStyle name="Normal 4 3 4 2 5 3 3" xfId="33358"/>
    <cellStyle name="Normal 4 3 4 2 5 4" xfId="33359"/>
    <cellStyle name="Normal 4 3 4 2 5 5" xfId="33360"/>
    <cellStyle name="Normal 4 3 4 2 6" xfId="33361"/>
    <cellStyle name="Normal 4 3 4 2 6 2" xfId="33362"/>
    <cellStyle name="Normal 4 3 4 2 6 3" xfId="33363"/>
    <cellStyle name="Normal 4 3 4 2 7" xfId="33364"/>
    <cellStyle name="Normal 4 3 4 2 7 2" xfId="33365"/>
    <cellStyle name="Normal 4 3 4 2 7 3" xfId="33366"/>
    <cellStyle name="Normal 4 3 4 2 8" xfId="33367"/>
    <cellStyle name="Normal 4 3 4 2 9" xfId="33368"/>
    <cellStyle name="Normal 4 3 4 3" xfId="33369"/>
    <cellStyle name="Normal 4 3 4 3 2" xfId="33370"/>
    <cellStyle name="Normal 4 3 4 3 2 2" xfId="33371"/>
    <cellStyle name="Normal 4 3 4 3 2 2 2" xfId="33372"/>
    <cellStyle name="Normal 4 3 4 3 2 2 2 2" xfId="33373"/>
    <cellStyle name="Normal 4 3 4 3 2 2 2 3" xfId="33374"/>
    <cellStyle name="Normal 4 3 4 3 2 2 3" xfId="33375"/>
    <cellStyle name="Normal 4 3 4 3 2 2 3 2" xfId="33376"/>
    <cellStyle name="Normal 4 3 4 3 2 2 3 3" xfId="33377"/>
    <cellStyle name="Normal 4 3 4 3 2 2 4" xfId="33378"/>
    <cellStyle name="Normal 4 3 4 3 2 2 5" xfId="33379"/>
    <cellStyle name="Normal 4 3 4 3 2 3" xfId="33380"/>
    <cellStyle name="Normal 4 3 4 3 2 3 2" xfId="33381"/>
    <cellStyle name="Normal 4 3 4 3 2 3 3" xfId="33382"/>
    <cellStyle name="Normal 4 3 4 3 2 4" xfId="33383"/>
    <cellStyle name="Normal 4 3 4 3 2 4 2" xfId="33384"/>
    <cellStyle name="Normal 4 3 4 3 2 4 3" xfId="33385"/>
    <cellStyle name="Normal 4 3 4 3 2 5" xfId="33386"/>
    <cellStyle name="Normal 4 3 4 3 2 6" xfId="33387"/>
    <cellStyle name="Normal 4 3 4 3 3" xfId="33388"/>
    <cellStyle name="Normal 4 3 4 3 3 2" xfId="33389"/>
    <cellStyle name="Normal 4 3 4 3 3 2 2" xfId="33390"/>
    <cellStyle name="Normal 4 3 4 3 3 2 2 2" xfId="33391"/>
    <cellStyle name="Normal 4 3 4 3 3 2 2 3" xfId="33392"/>
    <cellStyle name="Normal 4 3 4 3 3 2 3" xfId="33393"/>
    <cellStyle name="Normal 4 3 4 3 3 2 3 2" xfId="33394"/>
    <cellStyle name="Normal 4 3 4 3 3 2 3 3" xfId="33395"/>
    <cellStyle name="Normal 4 3 4 3 3 2 4" xfId="33396"/>
    <cellStyle name="Normal 4 3 4 3 3 2 5" xfId="33397"/>
    <cellStyle name="Normal 4 3 4 3 3 3" xfId="33398"/>
    <cellStyle name="Normal 4 3 4 3 3 3 2" xfId="33399"/>
    <cellStyle name="Normal 4 3 4 3 3 3 3" xfId="33400"/>
    <cellStyle name="Normal 4 3 4 3 3 4" xfId="33401"/>
    <cellStyle name="Normal 4 3 4 3 3 4 2" xfId="33402"/>
    <cellStyle name="Normal 4 3 4 3 3 4 3" xfId="33403"/>
    <cellStyle name="Normal 4 3 4 3 3 5" xfId="33404"/>
    <cellStyle name="Normal 4 3 4 3 3 6" xfId="33405"/>
    <cellStyle name="Normal 4 3 4 3 4" xfId="33406"/>
    <cellStyle name="Normal 4 3 4 3 4 2" xfId="33407"/>
    <cellStyle name="Normal 4 3 4 3 4 2 2" xfId="33408"/>
    <cellStyle name="Normal 4 3 4 3 4 2 3" xfId="33409"/>
    <cellStyle name="Normal 4 3 4 3 4 3" xfId="33410"/>
    <cellStyle name="Normal 4 3 4 3 4 3 2" xfId="33411"/>
    <cellStyle name="Normal 4 3 4 3 4 3 3" xfId="33412"/>
    <cellStyle name="Normal 4 3 4 3 4 4" xfId="33413"/>
    <cellStyle name="Normal 4 3 4 3 4 5" xfId="33414"/>
    <cellStyle name="Normal 4 3 4 3 5" xfId="33415"/>
    <cellStyle name="Normal 4 3 4 3 5 2" xfId="33416"/>
    <cellStyle name="Normal 4 3 4 3 5 3" xfId="33417"/>
    <cellStyle name="Normal 4 3 4 3 6" xfId="33418"/>
    <cellStyle name="Normal 4 3 4 3 6 2" xfId="33419"/>
    <cellStyle name="Normal 4 3 4 3 6 3" xfId="33420"/>
    <cellStyle name="Normal 4 3 4 3 7" xfId="33421"/>
    <cellStyle name="Normal 4 3 4 3 8" xfId="33422"/>
    <cellStyle name="Normal 4 3 4 4" xfId="33423"/>
    <cellStyle name="Normal 4 3 4 4 2" xfId="33424"/>
    <cellStyle name="Normal 4 3 4 4 2 2" xfId="33425"/>
    <cellStyle name="Normal 4 3 4 4 2 2 2" xfId="33426"/>
    <cellStyle name="Normal 4 3 4 4 2 2 3" xfId="33427"/>
    <cellStyle name="Normal 4 3 4 4 2 3" xfId="33428"/>
    <cellStyle name="Normal 4 3 4 4 2 3 2" xfId="33429"/>
    <cellStyle name="Normal 4 3 4 4 2 3 3" xfId="33430"/>
    <cellStyle name="Normal 4 3 4 4 2 4" xfId="33431"/>
    <cellStyle name="Normal 4 3 4 4 2 5" xfId="33432"/>
    <cellStyle name="Normal 4 3 4 4 3" xfId="33433"/>
    <cellStyle name="Normal 4 3 4 4 3 2" xfId="33434"/>
    <cellStyle name="Normal 4 3 4 4 3 3" xfId="33435"/>
    <cellStyle name="Normal 4 3 4 4 4" xfId="33436"/>
    <cellStyle name="Normal 4 3 4 4 4 2" xfId="33437"/>
    <cellStyle name="Normal 4 3 4 4 4 3" xfId="33438"/>
    <cellStyle name="Normal 4 3 4 4 5" xfId="33439"/>
    <cellStyle name="Normal 4 3 4 4 6" xfId="33440"/>
    <cellStyle name="Normal 4 3 4 5" xfId="33441"/>
    <cellStyle name="Normal 4 3 4 5 2" xfId="33442"/>
    <cellStyle name="Normal 4 3 4 5 2 2" xfId="33443"/>
    <cellStyle name="Normal 4 3 4 5 2 2 2" xfId="33444"/>
    <cellStyle name="Normal 4 3 4 5 2 2 3" xfId="33445"/>
    <cellStyle name="Normal 4 3 4 5 2 3" xfId="33446"/>
    <cellStyle name="Normal 4 3 4 5 2 3 2" xfId="33447"/>
    <cellStyle name="Normal 4 3 4 5 2 3 3" xfId="33448"/>
    <cellStyle name="Normal 4 3 4 5 2 4" xfId="33449"/>
    <cellStyle name="Normal 4 3 4 5 2 5" xfId="33450"/>
    <cellStyle name="Normal 4 3 4 5 3" xfId="33451"/>
    <cellStyle name="Normal 4 3 4 5 3 2" xfId="33452"/>
    <cellStyle name="Normal 4 3 4 5 3 3" xfId="33453"/>
    <cellStyle name="Normal 4 3 4 5 4" xfId="33454"/>
    <cellStyle name="Normal 4 3 4 5 4 2" xfId="33455"/>
    <cellStyle name="Normal 4 3 4 5 4 3" xfId="33456"/>
    <cellStyle name="Normal 4 3 4 5 5" xfId="33457"/>
    <cellStyle name="Normal 4 3 4 5 6" xfId="33458"/>
    <cellStyle name="Normal 4 3 4 6" xfId="33459"/>
    <cellStyle name="Normal 4 3 4 6 2" xfId="33460"/>
    <cellStyle name="Normal 4 3 4 6 2 2" xfId="33461"/>
    <cellStyle name="Normal 4 3 4 6 2 3" xfId="33462"/>
    <cellStyle name="Normal 4 3 4 6 3" xfId="33463"/>
    <cellStyle name="Normal 4 3 4 6 3 2" xfId="33464"/>
    <cellStyle name="Normal 4 3 4 6 3 3" xfId="33465"/>
    <cellStyle name="Normal 4 3 4 6 4" xfId="33466"/>
    <cellStyle name="Normal 4 3 4 6 5" xfId="33467"/>
    <cellStyle name="Normal 4 3 4 7" xfId="33468"/>
    <cellStyle name="Normal 4 3 4 7 2" xfId="33469"/>
    <cellStyle name="Normal 4 3 4 7 3" xfId="33470"/>
    <cellStyle name="Normal 4 3 4 8" xfId="33471"/>
    <cellStyle name="Normal 4 3 4 8 2" xfId="33472"/>
    <cellStyle name="Normal 4 3 4 8 3" xfId="33473"/>
    <cellStyle name="Normal 4 3 4 9" xfId="33474"/>
    <cellStyle name="Normal 4 3 5" xfId="33475"/>
    <cellStyle name="Normal 4 3 5 2" xfId="33476"/>
    <cellStyle name="Normal 4 3 5 2 2" xfId="33477"/>
    <cellStyle name="Normal 4 3 5 2 2 2" xfId="33478"/>
    <cellStyle name="Normal 4 3 5 2 2 2 2" xfId="33479"/>
    <cellStyle name="Normal 4 3 5 2 2 2 2 2" xfId="33480"/>
    <cellStyle name="Normal 4 3 5 2 2 2 2 3" xfId="33481"/>
    <cellStyle name="Normal 4 3 5 2 2 2 3" xfId="33482"/>
    <cellStyle name="Normal 4 3 5 2 2 2 3 2" xfId="33483"/>
    <cellStyle name="Normal 4 3 5 2 2 2 3 3" xfId="33484"/>
    <cellStyle name="Normal 4 3 5 2 2 2 4" xfId="33485"/>
    <cellStyle name="Normal 4 3 5 2 2 2 5" xfId="33486"/>
    <cellStyle name="Normal 4 3 5 2 2 3" xfId="33487"/>
    <cellStyle name="Normal 4 3 5 2 2 3 2" xfId="33488"/>
    <cellStyle name="Normal 4 3 5 2 2 3 3" xfId="33489"/>
    <cellStyle name="Normal 4 3 5 2 2 4" xfId="33490"/>
    <cellStyle name="Normal 4 3 5 2 2 4 2" xfId="33491"/>
    <cellStyle name="Normal 4 3 5 2 2 4 3" xfId="33492"/>
    <cellStyle name="Normal 4 3 5 2 2 5" xfId="33493"/>
    <cellStyle name="Normal 4 3 5 2 2 6" xfId="33494"/>
    <cellStyle name="Normal 4 3 5 2 3" xfId="33495"/>
    <cellStyle name="Normal 4 3 5 2 3 2" xfId="33496"/>
    <cellStyle name="Normal 4 3 5 2 3 2 2" xfId="33497"/>
    <cellStyle name="Normal 4 3 5 2 3 2 2 2" xfId="33498"/>
    <cellStyle name="Normal 4 3 5 2 3 2 2 3" xfId="33499"/>
    <cellStyle name="Normal 4 3 5 2 3 2 3" xfId="33500"/>
    <cellStyle name="Normal 4 3 5 2 3 2 3 2" xfId="33501"/>
    <cellStyle name="Normal 4 3 5 2 3 2 3 3" xfId="33502"/>
    <cellStyle name="Normal 4 3 5 2 3 2 4" xfId="33503"/>
    <cellStyle name="Normal 4 3 5 2 3 2 5" xfId="33504"/>
    <cellStyle name="Normal 4 3 5 2 3 3" xfId="33505"/>
    <cellStyle name="Normal 4 3 5 2 3 3 2" xfId="33506"/>
    <cellStyle name="Normal 4 3 5 2 3 3 3" xfId="33507"/>
    <cellStyle name="Normal 4 3 5 2 3 4" xfId="33508"/>
    <cellStyle name="Normal 4 3 5 2 3 4 2" xfId="33509"/>
    <cellStyle name="Normal 4 3 5 2 3 4 3" xfId="33510"/>
    <cellStyle name="Normal 4 3 5 2 3 5" xfId="33511"/>
    <cellStyle name="Normal 4 3 5 2 3 6" xfId="33512"/>
    <cellStyle name="Normal 4 3 5 2 4" xfId="33513"/>
    <cellStyle name="Normal 4 3 5 2 4 2" xfId="33514"/>
    <cellStyle name="Normal 4 3 5 2 4 2 2" xfId="33515"/>
    <cellStyle name="Normal 4 3 5 2 4 2 3" xfId="33516"/>
    <cellStyle name="Normal 4 3 5 2 4 3" xfId="33517"/>
    <cellStyle name="Normal 4 3 5 2 4 3 2" xfId="33518"/>
    <cellStyle name="Normal 4 3 5 2 4 3 3" xfId="33519"/>
    <cellStyle name="Normal 4 3 5 2 4 4" xfId="33520"/>
    <cellStyle name="Normal 4 3 5 2 4 5" xfId="33521"/>
    <cellStyle name="Normal 4 3 5 2 5" xfId="33522"/>
    <cellStyle name="Normal 4 3 5 2 5 2" xfId="33523"/>
    <cellStyle name="Normal 4 3 5 2 5 3" xfId="33524"/>
    <cellStyle name="Normal 4 3 5 2 6" xfId="33525"/>
    <cellStyle name="Normal 4 3 5 2 6 2" xfId="33526"/>
    <cellStyle name="Normal 4 3 5 2 6 3" xfId="33527"/>
    <cellStyle name="Normal 4 3 5 2 7" xfId="33528"/>
    <cellStyle name="Normal 4 3 5 2 8" xfId="33529"/>
    <cellStyle name="Normal 4 3 5 3" xfId="33530"/>
    <cellStyle name="Normal 4 3 5 3 2" xfId="33531"/>
    <cellStyle name="Normal 4 3 5 3 2 2" xfId="33532"/>
    <cellStyle name="Normal 4 3 5 3 2 2 2" xfId="33533"/>
    <cellStyle name="Normal 4 3 5 3 2 2 3" xfId="33534"/>
    <cellStyle name="Normal 4 3 5 3 2 3" xfId="33535"/>
    <cellStyle name="Normal 4 3 5 3 2 3 2" xfId="33536"/>
    <cellStyle name="Normal 4 3 5 3 2 3 3" xfId="33537"/>
    <cellStyle name="Normal 4 3 5 3 2 4" xfId="33538"/>
    <cellStyle name="Normal 4 3 5 3 2 5" xfId="33539"/>
    <cellStyle name="Normal 4 3 5 3 3" xfId="33540"/>
    <cellStyle name="Normal 4 3 5 3 3 2" xfId="33541"/>
    <cellStyle name="Normal 4 3 5 3 3 3" xfId="33542"/>
    <cellStyle name="Normal 4 3 5 3 4" xfId="33543"/>
    <cellStyle name="Normal 4 3 5 3 4 2" xfId="33544"/>
    <cellStyle name="Normal 4 3 5 3 4 3" xfId="33545"/>
    <cellStyle name="Normal 4 3 5 3 5" xfId="33546"/>
    <cellStyle name="Normal 4 3 5 3 6" xfId="33547"/>
    <cellStyle name="Normal 4 3 5 4" xfId="33548"/>
    <cellStyle name="Normal 4 3 5 4 2" xfId="33549"/>
    <cellStyle name="Normal 4 3 5 4 2 2" xfId="33550"/>
    <cellStyle name="Normal 4 3 5 4 2 2 2" xfId="33551"/>
    <cellStyle name="Normal 4 3 5 4 2 2 3" xfId="33552"/>
    <cellStyle name="Normal 4 3 5 4 2 3" xfId="33553"/>
    <cellStyle name="Normal 4 3 5 4 2 3 2" xfId="33554"/>
    <cellStyle name="Normal 4 3 5 4 2 3 3" xfId="33555"/>
    <cellStyle name="Normal 4 3 5 4 2 4" xfId="33556"/>
    <cellStyle name="Normal 4 3 5 4 2 5" xfId="33557"/>
    <cellStyle name="Normal 4 3 5 4 3" xfId="33558"/>
    <cellStyle name="Normal 4 3 5 4 3 2" xfId="33559"/>
    <cellStyle name="Normal 4 3 5 4 3 3" xfId="33560"/>
    <cellStyle name="Normal 4 3 5 4 4" xfId="33561"/>
    <cellStyle name="Normal 4 3 5 4 4 2" xfId="33562"/>
    <cellStyle name="Normal 4 3 5 4 4 3" xfId="33563"/>
    <cellStyle name="Normal 4 3 5 4 5" xfId="33564"/>
    <cellStyle name="Normal 4 3 5 4 6" xfId="33565"/>
    <cellStyle name="Normal 4 3 5 5" xfId="33566"/>
    <cellStyle name="Normal 4 3 5 5 2" xfId="33567"/>
    <cellStyle name="Normal 4 3 5 5 2 2" xfId="33568"/>
    <cellStyle name="Normal 4 3 5 5 2 3" xfId="33569"/>
    <cellStyle name="Normal 4 3 5 5 3" xfId="33570"/>
    <cellStyle name="Normal 4 3 5 5 3 2" xfId="33571"/>
    <cellStyle name="Normal 4 3 5 5 3 3" xfId="33572"/>
    <cellStyle name="Normal 4 3 5 5 4" xfId="33573"/>
    <cellStyle name="Normal 4 3 5 5 5" xfId="33574"/>
    <cellStyle name="Normal 4 3 5 6" xfId="33575"/>
    <cellStyle name="Normal 4 3 5 6 2" xfId="33576"/>
    <cellStyle name="Normal 4 3 5 6 3" xfId="33577"/>
    <cellStyle name="Normal 4 3 5 7" xfId="33578"/>
    <cellStyle name="Normal 4 3 5 7 2" xfId="33579"/>
    <cellStyle name="Normal 4 3 5 7 3" xfId="33580"/>
    <cellStyle name="Normal 4 3 5 8" xfId="33581"/>
    <cellStyle name="Normal 4 3 5 9" xfId="33582"/>
    <cellStyle name="Normal 4 3 6" xfId="33583"/>
    <cellStyle name="Normal 4 3 6 2" xfId="33584"/>
    <cellStyle name="Normal 4 3 6 2 2" xfId="33585"/>
    <cellStyle name="Normal 4 3 6 2 2 2" xfId="33586"/>
    <cellStyle name="Normal 4 3 6 2 2 2 2" xfId="33587"/>
    <cellStyle name="Normal 4 3 6 2 2 2 3" xfId="33588"/>
    <cellStyle name="Normal 4 3 6 2 2 3" xfId="33589"/>
    <cellStyle name="Normal 4 3 6 2 2 3 2" xfId="33590"/>
    <cellStyle name="Normal 4 3 6 2 2 3 3" xfId="33591"/>
    <cellStyle name="Normal 4 3 6 2 2 4" xfId="33592"/>
    <cellStyle name="Normal 4 3 6 2 2 5" xfId="33593"/>
    <cellStyle name="Normal 4 3 6 2 3" xfId="33594"/>
    <cellStyle name="Normal 4 3 6 2 3 2" xfId="33595"/>
    <cellStyle name="Normal 4 3 6 2 3 3" xfId="33596"/>
    <cellStyle name="Normal 4 3 6 2 4" xfId="33597"/>
    <cellStyle name="Normal 4 3 6 2 4 2" xfId="33598"/>
    <cellStyle name="Normal 4 3 6 2 4 3" xfId="33599"/>
    <cellStyle name="Normal 4 3 6 2 5" xfId="33600"/>
    <cellStyle name="Normal 4 3 6 2 6" xfId="33601"/>
    <cellStyle name="Normal 4 3 6 3" xfId="33602"/>
    <cellStyle name="Normal 4 3 6 3 2" xfId="33603"/>
    <cellStyle name="Normal 4 3 6 3 2 2" xfId="33604"/>
    <cellStyle name="Normal 4 3 6 3 2 2 2" xfId="33605"/>
    <cellStyle name="Normal 4 3 6 3 2 2 3" xfId="33606"/>
    <cellStyle name="Normal 4 3 6 3 2 3" xfId="33607"/>
    <cellStyle name="Normal 4 3 6 3 2 3 2" xfId="33608"/>
    <cellStyle name="Normal 4 3 6 3 2 3 3" xfId="33609"/>
    <cellStyle name="Normal 4 3 6 3 2 4" xfId="33610"/>
    <cellStyle name="Normal 4 3 6 3 2 5" xfId="33611"/>
    <cellStyle name="Normal 4 3 6 3 3" xfId="33612"/>
    <cellStyle name="Normal 4 3 6 3 3 2" xfId="33613"/>
    <cellStyle name="Normal 4 3 6 3 3 3" xfId="33614"/>
    <cellStyle name="Normal 4 3 6 3 4" xfId="33615"/>
    <cellStyle name="Normal 4 3 6 3 4 2" xfId="33616"/>
    <cellStyle name="Normal 4 3 6 3 4 3" xfId="33617"/>
    <cellStyle name="Normal 4 3 6 3 5" xfId="33618"/>
    <cellStyle name="Normal 4 3 6 3 6" xfId="33619"/>
    <cellStyle name="Normal 4 3 6 4" xfId="33620"/>
    <cellStyle name="Normal 4 3 6 4 2" xfId="33621"/>
    <cellStyle name="Normal 4 3 6 4 2 2" xfId="33622"/>
    <cellStyle name="Normal 4 3 6 4 2 3" xfId="33623"/>
    <cellStyle name="Normal 4 3 6 4 3" xfId="33624"/>
    <cellStyle name="Normal 4 3 6 4 3 2" xfId="33625"/>
    <cellStyle name="Normal 4 3 6 4 3 3" xfId="33626"/>
    <cellStyle name="Normal 4 3 6 4 4" xfId="33627"/>
    <cellStyle name="Normal 4 3 6 4 5" xfId="33628"/>
    <cellStyle name="Normal 4 3 6 5" xfId="33629"/>
    <cellStyle name="Normal 4 3 6 5 2" xfId="33630"/>
    <cellStyle name="Normal 4 3 6 5 3" xfId="33631"/>
    <cellStyle name="Normal 4 3 6 6" xfId="33632"/>
    <cellStyle name="Normal 4 3 6 6 2" xfId="33633"/>
    <cellStyle name="Normal 4 3 6 6 3" xfId="33634"/>
    <cellStyle name="Normal 4 3 6 7" xfId="33635"/>
    <cellStyle name="Normal 4 3 6 8" xfId="33636"/>
    <cellStyle name="Normal 4 3 7" xfId="33637"/>
    <cellStyle name="Normal 4 3 7 2" xfId="33638"/>
    <cellStyle name="Normal 4 3 7 2 2" xfId="33639"/>
    <cellStyle name="Normal 4 3 7 2 2 2" xfId="33640"/>
    <cellStyle name="Normal 4 3 7 2 2 3" xfId="33641"/>
    <cellStyle name="Normal 4 3 7 2 3" xfId="33642"/>
    <cellStyle name="Normal 4 3 7 2 3 2" xfId="33643"/>
    <cellStyle name="Normal 4 3 7 2 3 3" xfId="33644"/>
    <cellStyle name="Normal 4 3 7 2 4" xfId="33645"/>
    <cellStyle name="Normal 4 3 7 2 5" xfId="33646"/>
    <cellStyle name="Normal 4 3 7 3" xfId="33647"/>
    <cellStyle name="Normal 4 3 7 3 2" xfId="33648"/>
    <cellStyle name="Normal 4 3 7 3 3" xfId="33649"/>
    <cellStyle name="Normal 4 3 7 4" xfId="33650"/>
    <cellStyle name="Normal 4 3 7 4 2" xfId="33651"/>
    <cellStyle name="Normal 4 3 7 4 3" xfId="33652"/>
    <cellStyle name="Normal 4 3 7 5" xfId="33653"/>
    <cellStyle name="Normal 4 3 7 6" xfId="33654"/>
    <cellStyle name="Normal 4 3 8" xfId="33655"/>
    <cellStyle name="Normal 4 3 8 2" xfId="33656"/>
    <cellStyle name="Normal 4 3 8 2 2" xfId="33657"/>
    <cellStyle name="Normal 4 3 8 2 2 2" xfId="33658"/>
    <cellStyle name="Normal 4 3 8 2 2 3" xfId="33659"/>
    <cellStyle name="Normal 4 3 8 2 3" xfId="33660"/>
    <cellStyle name="Normal 4 3 8 2 3 2" xfId="33661"/>
    <cellStyle name="Normal 4 3 8 2 3 3" xfId="33662"/>
    <cellStyle name="Normal 4 3 8 2 4" xfId="33663"/>
    <cellStyle name="Normal 4 3 8 2 5" xfId="33664"/>
    <cellStyle name="Normal 4 3 8 3" xfId="33665"/>
    <cellStyle name="Normal 4 3 8 3 2" xfId="33666"/>
    <cellStyle name="Normal 4 3 8 3 3" xfId="33667"/>
    <cellStyle name="Normal 4 3 8 4" xfId="33668"/>
    <cellStyle name="Normal 4 3 8 4 2" xfId="33669"/>
    <cellStyle name="Normal 4 3 8 4 3" xfId="33670"/>
    <cellStyle name="Normal 4 3 8 5" xfId="33671"/>
    <cellStyle name="Normal 4 3 8 6" xfId="33672"/>
    <cellStyle name="Normal 4 3 9" xfId="33673"/>
    <cellStyle name="Normal 4 3 9 2" xfId="33674"/>
    <cellStyle name="Normal 4 3 9 2 2" xfId="33675"/>
    <cellStyle name="Normal 4 3 9 2 3" xfId="33676"/>
    <cellStyle name="Normal 4 3 9 3" xfId="33677"/>
    <cellStyle name="Normal 4 3 9 3 2" xfId="33678"/>
    <cellStyle name="Normal 4 3 9 3 3" xfId="33679"/>
    <cellStyle name="Normal 4 3 9 4" xfId="33680"/>
    <cellStyle name="Normal 4 3 9 5" xfId="33681"/>
    <cellStyle name="Normal 4 4" xfId="33682"/>
    <cellStyle name="Normal 4 4 10" xfId="33683"/>
    <cellStyle name="Normal 4 4 10 2" xfId="33684"/>
    <cellStyle name="Normal 4 4 10 3" xfId="33685"/>
    <cellStyle name="Normal 4 4 11" xfId="33686"/>
    <cellStyle name="Normal 4 4 12" xfId="33687"/>
    <cellStyle name="Normal 4 4 13" xfId="33688"/>
    <cellStyle name="Normal 4 4 14" xfId="33689"/>
    <cellStyle name="Normal 4 4 2" xfId="33690"/>
    <cellStyle name="Normal 4 4 2 10" xfId="33691"/>
    <cellStyle name="Normal 4 4 2 11" xfId="33692"/>
    <cellStyle name="Normal 4 4 2 12" xfId="33693"/>
    <cellStyle name="Normal 4 4 2 2" xfId="33694"/>
    <cellStyle name="Normal 4 4 2 2 2" xfId="33695"/>
    <cellStyle name="Normal 4 4 2 2 2 2" xfId="33696"/>
    <cellStyle name="Normal 4 4 2 2 2 2 2" xfId="33697"/>
    <cellStyle name="Normal 4 4 2 2 2 2 2 2" xfId="33698"/>
    <cellStyle name="Normal 4 4 2 2 2 2 2 2 2" xfId="33699"/>
    <cellStyle name="Normal 4 4 2 2 2 2 2 2 3" xfId="33700"/>
    <cellStyle name="Normal 4 4 2 2 2 2 2 3" xfId="33701"/>
    <cellStyle name="Normal 4 4 2 2 2 2 2 3 2" xfId="33702"/>
    <cellStyle name="Normal 4 4 2 2 2 2 2 3 3" xfId="33703"/>
    <cellStyle name="Normal 4 4 2 2 2 2 2 4" xfId="33704"/>
    <cellStyle name="Normal 4 4 2 2 2 2 2 5" xfId="33705"/>
    <cellStyle name="Normal 4 4 2 2 2 2 3" xfId="33706"/>
    <cellStyle name="Normal 4 4 2 2 2 2 3 2" xfId="33707"/>
    <cellStyle name="Normal 4 4 2 2 2 2 3 3" xfId="33708"/>
    <cellStyle name="Normal 4 4 2 2 2 2 4" xfId="33709"/>
    <cellStyle name="Normal 4 4 2 2 2 2 4 2" xfId="33710"/>
    <cellStyle name="Normal 4 4 2 2 2 2 4 3" xfId="33711"/>
    <cellStyle name="Normal 4 4 2 2 2 2 5" xfId="33712"/>
    <cellStyle name="Normal 4 4 2 2 2 2 6" xfId="33713"/>
    <cellStyle name="Normal 4 4 2 2 2 3" xfId="33714"/>
    <cellStyle name="Normal 4 4 2 2 2 3 2" xfId="33715"/>
    <cellStyle name="Normal 4 4 2 2 2 3 2 2" xfId="33716"/>
    <cellStyle name="Normal 4 4 2 2 2 3 2 2 2" xfId="33717"/>
    <cellStyle name="Normal 4 4 2 2 2 3 2 2 3" xfId="33718"/>
    <cellStyle name="Normal 4 4 2 2 2 3 2 3" xfId="33719"/>
    <cellStyle name="Normal 4 4 2 2 2 3 2 3 2" xfId="33720"/>
    <cellStyle name="Normal 4 4 2 2 2 3 2 3 3" xfId="33721"/>
    <cellStyle name="Normal 4 4 2 2 2 3 2 4" xfId="33722"/>
    <cellStyle name="Normal 4 4 2 2 2 3 2 5" xfId="33723"/>
    <cellStyle name="Normal 4 4 2 2 2 3 3" xfId="33724"/>
    <cellStyle name="Normal 4 4 2 2 2 3 3 2" xfId="33725"/>
    <cellStyle name="Normal 4 4 2 2 2 3 3 3" xfId="33726"/>
    <cellStyle name="Normal 4 4 2 2 2 3 4" xfId="33727"/>
    <cellStyle name="Normal 4 4 2 2 2 3 4 2" xfId="33728"/>
    <cellStyle name="Normal 4 4 2 2 2 3 4 3" xfId="33729"/>
    <cellStyle name="Normal 4 4 2 2 2 3 5" xfId="33730"/>
    <cellStyle name="Normal 4 4 2 2 2 3 6" xfId="33731"/>
    <cellStyle name="Normal 4 4 2 2 2 4" xfId="33732"/>
    <cellStyle name="Normal 4 4 2 2 2 4 2" xfId="33733"/>
    <cellStyle name="Normal 4 4 2 2 2 4 2 2" xfId="33734"/>
    <cellStyle name="Normal 4 4 2 2 2 4 2 3" xfId="33735"/>
    <cellStyle name="Normal 4 4 2 2 2 4 3" xfId="33736"/>
    <cellStyle name="Normal 4 4 2 2 2 4 3 2" xfId="33737"/>
    <cellStyle name="Normal 4 4 2 2 2 4 3 3" xfId="33738"/>
    <cellStyle name="Normal 4 4 2 2 2 4 4" xfId="33739"/>
    <cellStyle name="Normal 4 4 2 2 2 4 5" xfId="33740"/>
    <cellStyle name="Normal 4 4 2 2 2 5" xfId="33741"/>
    <cellStyle name="Normal 4 4 2 2 2 5 2" xfId="33742"/>
    <cellStyle name="Normal 4 4 2 2 2 5 3" xfId="33743"/>
    <cellStyle name="Normal 4 4 2 2 2 6" xfId="33744"/>
    <cellStyle name="Normal 4 4 2 2 2 6 2" xfId="33745"/>
    <cellStyle name="Normal 4 4 2 2 2 6 3" xfId="33746"/>
    <cellStyle name="Normal 4 4 2 2 2 7" xfId="33747"/>
    <cellStyle name="Normal 4 4 2 2 2 8" xfId="33748"/>
    <cellStyle name="Normal 4 4 2 2 3" xfId="33749"/>
    <cellStyle name="Normal 4 4 2 2 3 2" xfId="33750"/>
    <cellStyle name="Normal 4 4 2 2 3 2 2" xfId="33751"/>
    <cellStyle name="Normal 4 4 2 2 3 2 2 2" xfId="33752"/>
    <cellStyle name="Normal 4 4 2 2 3 2 2 3" xfId="33753"/>
    <cellStyle name="Normal 4 4 2 2 3 2 3" xfId="33754"/>
    <cellStyle name="Normal 4 4 2 2 3 2 3 2" xfId="33755"/>
    <cellStyle name="Normal 4 4 2 2 3 2 3 3" xfId="33756"/>
    <cellStyle name="Normal 4 4 2 2 3 2 4" xfId="33757"/>
    <cellStyle name="Normal 4 4 2 2 3 2 5" xfId="33758"/>
    <cellStyle name="Normal 4 4 2 2 3 3" xfId="33759"/>
    <cellStyle name="Normal 4 4 2 2 3 3 2" xfId="33760"/>
    <cellStyle name="Normal 4 4 2 2 3 3 3" xfId="33761"/>
    <cellStyle name="Normal 4 4 2 2 3 4" xfId="33762"/>
    <cellStyle name="Normal 4 4 2 2 3 4 2" xfId="33763"/>
    <cellStyle name="Normal 4 4 2 2 3 4 3" xfId="33764"/>
    <cellStyle name="Normal 4 4 2 2 3 5" xfId="33765"/>
    <cellStyle name="Normal 4 4 2 2 3 6" xfId="33766"/>
    <cellStyle name="Normal 4 4 2 2 4" xfId="33767"/>
    <cellStyle name="Normal 4 4 2 2 4 2" xfId="33768"/>
    <cellStyle name="Normal 4 4 2 2 4 2 2" xfId="33769"/>
    <cellStyle name="Normal 4 4 2 2 4 2 2 2" xfId="33770"/>
    <cellStyle name="Normal 4 4 2 2 4 2 2 3" xfId="33771"/>
    <cellStyle name="Normal 4 4 2 2 4 2 3" xfId="33772"/>
    <cellStyle name="Normal 4 4 2 2 4 2 3 2" xfId="33773"/>
    <cellStyle name="Normal 4 4 2 2 4 2 3 3" xfId="33774"/>
    <cellStyle name="Normal 4 4 2 2 4 2 4" xfId="33775"/>
    <cellStyle name="Normal 4 4 2 2 4 2 5" xfId="33776"/>
    <cellStyle name="Normal 4 4 2 2 4 3" xfId="33777"/>
    <cellStyle name="Normal 4 4 2 2 4 3 2" xfId="33778"/>
    <cellStyle name="Normal 4 4 2 2 4 3 3" xfId="33779"/>
    <cellStyle name="Normal 4 4 2 2 4 4" xfId="33780"/>
    <cellStyle name="Normal 4 4 2 2 4 4 2" xfId="33781"/>
    <cellStyle name="Normal 4 4 2 2 4 4 3" xfId="33782"/>
    <cellStyle name="Normal 4 4 2 2 4 5" xfId="33783"/>
    <cellStyle name="Normal 4 4 2 2 4 6" xfId="33784"/>
    <cellStyle name="Normal 4 4 2 2 5" xfId="33785"/>
    <cellStyle name="Normal 4 4 2 2 5 2" xfId="33786"/>
    <cellStyle name="Normal 4 4 2 2 5 2 2" xfId="33787"/>
    <cellStyle name="Normal 4 4 2 2 5 2 3" xfId="33788"/>
    <cellStyle name="Normal 4 4 2 2 5 3" xfId="33789"/>
    <cellStyle name="Normal 4 4 2 2 5 3 2" xfId="33790"/>
    <cellStyle name="Normal 4 4 2 2 5 3 3" xfId="33791"/>
    <cellStyle name="Normal 4 4 2 2 5 4" xfId="33792"/>
    <cellStyle name="Normal 4 4 2 2 5 5" xfId="33793"/>
    <cellStyle name="Normal 4 4 2 2 6" xfId="33794"/>
    <cellStyle name="Normal 4 4 2 2 6 2" xfId="33795"/>
    <cellStyle name="Normal 4 4 2 2 6 3" xfId="33796"/>
    <cellStyle name="Normal 4 4 2 2 7" xfId="33797"/>
    <cellStyle name="Normal 4 4 2 2 7 2" xfId="33798"/>
    <cellStyle name="Normal 4 4 2 2 7 3" xfId="33799"/>
    <cellStyle name="Normal 4 4 2 2 8" xfId="33800"/>
    <cellStyle name="Normal 4 4 2 2 9" xfId="33801"/>
    <cellStyle name="Normal 4 4 2 3" xfId="33802"/>
    <cellStyle name="Normal 4 4 2 3 2" xfId="33803"/>
    <cellStyle name="Normal 4 4 2 3 2 2" xfId="33804"/>
    <cellStyle name="Normal 4 4 2 3 2 2 2" xfId="33805"/>
    <cellStyle name="Normal 4 4 2 3 2 2 2 2" xfId="33806"/>
    <cellStyle name="Normal 4 4 2 3 2 2 2 3" xfId="33807"/>
    <cellStyle name="Normal 4 4 2 3 2 2 3" xfId="33808"/>
    <cellStyle name="Normal 4 4 2 3 2 2 3 2" xfId="33809"/>
    <cellStyle name="Normal 4 4 2 3 2 2 3 3" xfId="33810"/>
    <cellStyle name="Normal 4 4 2 3 2 2 4" xfId="33811"/>
    <cellStyle name="Normal 4 4 2 3 2 2 5" xfId="33812"/>
    <cellStyle name="Normal 4 4 2 3 2 3" xfId="33813"/>
    <cellStyle name="Normal 4 4 2 3 2 3 2" xfId="33814"/>
    <cellStyle name="Normal 4 4 2 3 2 3 3" xfId="33815"/>
    <cellStyle name="Normal 4 4 2 3 2 4" xfId="33816"/>
    <cellStyle name="Normal 4 4 2 3 2 4 2" xfId="33817"/>
    <cellStyle name="Normal 4 4 2 3 2 4 3" xfId="33818"/>
    <cellStyle name="Normal 4 4 2 3 2 5" xfId="33819"/>
    <cellStyle name="Normal 4 4 2 3 2 6" xfId="33820"/>
    <cellStyle name="Normal 4 4 2 3 3" xfId="33821"/>
    <cellStyle name="Normal 4 4 2 3 3 2" xfId="33822"/>
    <cellStyle name="Normal 4 4 2 3 3 2 2" xfId="33823"/>
    <cellStyle name="Normal 4 4 2 3 3 2 2 2" xfId="33824"/>
    <cellStyle name="Normal 4 4 2 3 3 2 2 3" xfId="33825"/>
    <cellStyle name="Normal 4 4 2 3 3 2 3" xfId="33826"/>
    <cellStyle name="Normal 4 4 2 3 3 2 3 2" xfId="33827"/>
    <cellStyle name="Normal 4 4 2 3 3 2 3 3" xfId="33828"/>
    <cellStyle name="Normal 4 4 2 3 3 2 4" xfId="33829"/>
    <cellStyle name="Normal 4 4 2 3 3 2 5" xfId="33830"/>
    <cellStyle name="Normal 4 4 2 3 3 3" xfId="33831"/>
    <cellStyle name="Normal 4 4 2 3 3 3 2" xfId="33832"/>
    <cellStyle name="Normal 4 4 2 3 3 3 3" xfId="33833"/>
    <cellStyle name="Normal 4 4 2 3 3 4" xfId="33834"/>
    <cellStyle name="Normal 4 4 2 3 3 4 2" xfId="33835"/>
    <cellStyle name="Normal 4 4 2 3 3 4 3" xfId="33836"/>
    <cellStyle name="Normal 4 4 2 3 3 5" xfId="33837"/>
    <cellStyle name="Normal 4 4 2 3 3 6" xfId="33838"/>
    <cellStyle name="Normal 4 4 2 3 4" xfId="33839"/>
    <cellStyle name="Normal 4 4 2 3 4 2" xfId="33840"/>
    <cellStyle name="Normal 4 4 2 3 4 2 2" xfId="33841"/>
    <cellStyle name="Normal 4 4 2 3 4 2 3" xfId="33842"/>
    <cellStyle name="Normal 4 4 2 3 4 3" xfId="33843"/>
    <cellStyle name="Normal 4 4 2 3 4 3 2" xfId="33844"/>
    <cellStyle name="Normal 4 4 2 3 4 3 3" xfId="33845"/>
    <cellStyle name="Normal 4 4 2 3 4 4" xfId="33846"/>
    <cellStyle name="Normal 4 4 2 3 4 5" xfId="33847"/>
    <cellStyle name="Normal 4 4 2 3 5" xfId="33848"/>
    <cellStyle name="Normal 4 4 2 3 5 2" xfId="33849"/>
    <cellStyle name="Normal 4 4 2 3 5 3" xfId="33850"/>
    <cellStyle name="Normal 4 4 2 3 6" xfId="33851"/>
    <cellStyle name="Normal 4 4 2 3 6 2" xfId="33852"/>
    <cellStyle name="Normal 4 4 2 3 6 3" xfId="33853"/>
    <cellStyle name="Normal 4 4 2 3 7" xfId="33854"/>
    <cellStyle name="Normal 4 4 2 3 8" xfId="33855"/>
    <cellStyle name="Normal 4 4 2 4" xfId="33856"/>
    <cellStyle name="Normal 4 4 2 4 2" xfId="33857"/>
    <cellStyle name="Normal 4 4 2 4 2 2" xfId="33858"/>
    <cellStyle name="Normal 4 4 2 4 2 2 2" xfId="33859"/>
    <cellStyle name="Normal 4 4 2 4 2 2 3" xfId="33860"/>
    <cellStyle name="Normal 4 4 2 4 2 3" xfId="33861"/>
    <cellStyle name="Normal 4 4 2 4 2 3 2" xfId="33862"/>
    <cellStyle name="Normal 4 4 2 4 2 3 3" xfId="33863"/>
    <cellStyle name="Normal 4 4 2 4 2 4" xfId="33864"/>
    <cellStyle name="Normal 4 4 2 4 2 5" xfId="33865"/>
    <cellStyle name="Normal 4 4 2 4 3" xfId="33866"/>
    <cellStyle name="Normal 4 4 2 4 3 2" xfId="33867"/>
    <cellStyle name="Normal 4 4 2 4 3 3" xfId="33868"/>
    <cellStyle name="Normal 4 4 2 4 4" xfId="33869"/>
    <cellStyle name="Normal 4 4 2 4 4 2" xfId="33870"/>
    <cellStyle name="Normal 4 4 2 4 4 3" xfId="33871"/>
    <cellStyle name="Normal 4 4 2 4 5" xfId="33872"/>
    <cellStyle name="Normal 4 4 2 4 6" xfId="33873"/>
    <cellStyle name="Normal 4 4 2 5" xfId="33874"/>
    <cellStyle name="Normal 4 4 2 5 2" xfId="33875"/>
    <cellStyle name="Normal 4 4 2 5 2 2" xfId="33876"/>
    <cellStyle name="Normal 4 4 2 5 2 2 2" xfId="33877"/>
    <cellStyle name="Normal 4 4 2 5 2 2 3" xfId="33878"/>
    <cellStyle name="Normal 4 4 2 5 2 3" xfId="33879"/>
    <cellStyle name="Normal 4 4 2 5 2 3 2" xfId="33880"/>
    <cellStyle name="Normal 4 4 2 5 2 3 3" xfId="33881"/>
    <cellStyle name="Normal 4 4 2 5 2 4" xfId="33882"/>
    <cellStyle name="Normal 4 4 2 5 2 5" xfId="33883"/>
    <cellStyle name="Normal 4 4 2 5 3" xfId="33884"/>
    <cellStyle name="Normal 4 4 2 5 3 2" xfId="33885"/>
    <cellStyle name="Normal 4 4 2 5 3 3" xfId="33886"/>
    <cellStyle name="Normal 4 4 2 5 4" xfId="33887"/>
    <cellStyle name="Normal 4 4 2 5 4 2" xfId="33888"/>
    <cellStyle name="Normal 4 4 2 5 4 3" xfId="33889"/>
    <cellStyle name="Normal 4 4 2 5 5" xfId="33890"/>
    <cellStyle name="Normal 4 4 2 5 6" xfId="33891"/>
    <cellStyle name="Normal 4 4 2 6" xfId="33892"/>
    <cellStyle name="Normal 4 4 2 6 2" xfId="33893"/>
    <cellStyle name="Normal 4 4 2 6 2 2" xfId="33894"/>
    <cellStyle name="Normal 4 4 2 6 2 3" xfId="33895"/>
    <cellStyle name="Normal 4 4 2 6 3" xfId="33896"/>
    <cellStyle name="Normal 4 4 2 6 3 2" xfId="33897"/>
    <cellStyle name="Normal 4 4 2 6 3 3" xfId="33898"/>
    <cellStyle name="Normal 4 4 2 6 4" xfId="33899"/>
    <cellStyle name="Normal 4 4 2 6 5" xfId="33900"/>
    <cellStyle name="Normal 4 4 2 7" xfId="33901"/>
    <cellStyle name="Normal 4 4 2 7 2" xfId="33902"/>
    <cellStyle name="Normal 4 4 2 7 3" xfId="33903"/>
    <cellStyle name="Normal 4 4 2 8" xfId="33904"/>
    <cellStyle name="Normal 4 4 2 8 2" xfId="33905"/>
    <cellStyle name="Normal 4 4 2 8 3" xfId="33906"/>
    <cellStyle name="Normal 4 4 2 9" xfId="33907"/>
    <cellStyle name="Normal 4 4 3" xfId="33908"/>
    <cellStyle name="Normal 4 4 3 10" xfId="33909"/>
    <cellStyle name="Normal 4 4 3 2" xfId="33910"/>
    <cellStyle name="Normal 4 4 3 2 2" xfId="33911"/>
    <cellStyle name="Normal 4 4 3 2 2 2" xfId="33912"/>
    <cellStyle name="Normal 4 4 3 2 2 2 2" xfId="33913"/>
    <cellStyle name="Normal 4 4 3 2 2 2 2 2" xfId="33914"/>
    <cellStyle name="Normal 4 4 3 2 2 2 2 2 2" xfId="33915"/>
    <cellStyle name="Normal 4 4 3 2 2 2 2 2 3" xfId="33916"/>
    <cellStyle name="Normal 4 4 3 2 2 2 2 3" xfId="33917"/>
    <cellStyle name="Normal 4 4 3 2 2 2 2 3 2" xfId="33918"/>
    <cellStyle name="Normal 4 4 3 2 2 2 2 3 3" xfId="33919"/>
    <cellStyle name="Normal 4 4 3 2 2 2 2 4" xfId="33920"/>
    <cellStyle name="Normal 4 4 3 2 2 2 2 5" xfId="33921"/>
    <cellStyle name="Normal 4 4 3 2 2 2 3" xfId="33922"/>
    <cellStyle name="Normal 4 4 3 2 2 2 3 2" xfId="33923"/>
    <cellStyle name="Normal 4 4 3 2 2 2 3 3" xfId="33924"/>
    <cellStyle name="Normal 4 4 3 2 2 2 4" xfId="33925"/>
    <cellStyle name="Normal 4 4 3 2 2 2 4 2" xfId="33926"/>
    <cellStyle name="Normal 4 4 3 2 2 2 4 3" xfId="33927"/>
    <cellStyle name="Normal 4 4 3 2 2 2 5" xfId="33928"/>
    <cellStyle name="Normal 4 4 3 2 2 2 6" xfId="33929"/>
    <cellStyle name="Normal 4 4 3 2 2 3" xfId="33930"/>
    <cellStyle name="Normal 4 4 3 2 2 3 2" xfId="33931"/>
    <cellStyle name="Normal 4 4 3 2 2 3 2 2" xfId="33932"/>
    <cellStyle name="Normal 4 4 3 2 2 3 2 2 2" xfId="33933"/>
    <cellStyle name="Normal 4 4 3 2 2 3 2 2 3" xfId="33934"/>
    <cellStyle name="Normal 4 4 3 2 2 3 2 3" xfId="33935"/>
    <cellStyle name="Normal 4 4 3 2 2 3 2 3 2" xfId="33936"/>
    <cellStyle name="Normal 4 4 3 2 2 3 2 3 3" xfId="33937"/>
    <cellStyle name="Normal 4 4 3 2 2 3 2 4" xfId="33938"/>
    <cellStyle name="Normal 4 4 3 2 2 3 2 5" xfId="33939"/>
    <cellStyle name="Normal 4 4 3 2 2 3 3" xfId="33940"/>
    <cellStyle name="Normal 4 4 3 2 2 3 3 2" xfId="33941"/>
    <cellStyle name="Normal 4 4 3 2 2 3 3 3" xfId="33942"/>
    <cellStyle name="Normal 4 4 3 2 2 3 4" xfId="33943"/>
    <cellStyle name="Normal 4 4 3 2 2 3 4 2" xfId="33944"/>
    <cellStyle name="Normal 4 4 3 2 2 3 4 3" xfId="33945"/>
    <cellStyle name="Normal 4 4 3 2 2 3 5" xfId="33946"/>
    <cellStyle name="Normal 4 4 3 2 2 3 6" xfId="33947"/>
    <cellStyle name="Normal 4 4 3 2 2 4" xfId="33948"/>
    <cellStyle name="Normal 4 4 3 2 2 4 2" xfId="33949"/>
    <cellStyle name="Normal 4 4 3 2 2 4 2 2" xfId="33950"/>
    <cellStyle name="Normal 4 4 3 2 2 4 2 3" xfId="33951"/>
    <cellStyle name="Normal 4 4 3 2 2 4 3" xfId="33952"/>
    <cellStyle name="Normal 4 4 3 2 2 4 3 2" xfId="33953"/>
    <cellStyle name="Normal 4 4 3 2 2 4 3 3" xfId="33954"/>
    <cellStyle name="Normal 4 4 3 2 2 4 4" xfId="33955"/>
    <cellStyle name="Normal 4 4 3 2 2 4 5" xfId="33956"/>
    <cellStyle name="Normal 4 4 3 2 2 5" xfId="33957"/>
    <cellStyle name="Normal 4 4 3 2 2 5 2" xfId="33958"/>
    <cellStyle name="Normal 4 4 3 2 2 5 3" xfId="33959"/>
    <cellStyle name="Normal 4 4 3 2 2 6" xfId="33960"/>
    <cellStyle name="Normal 4 4 3 2 2 6 2" xfId="33961"/>
    <cellStyle name="Normal 4 4 3 2 2 6 3" xfId="33962"/>
    <cellStyle name="Normal 4 4 3 2 2 7" xfId="33963"/>
    <cellStyle name="Normal 4 4 3 2 2 8" xfId="33964"/>
    <cellStyle name="Normal 4 4 3 2 3" xfId="33965"/>
    <cellStyle name="Normal 4 4 3 2 3 2" xfId="33966"/>
    <cellStyle name="Normal 4 4 3 2 3 2 2" xfId="33967"/>
    <cellStyle name="Normal 4 4 3 2 3 2 2 2" xfId="33968"/>
    <cellStyle name="Normal 4 4 3 2 3 2 2 3" xfId="33969"/>
    <cellStyle name="Normal 4 4 3 2 3 2 3" xfId="33970"/>
    <cellStyle name="Normal 4 4 3 2 3 2 3 2" xfId="33971"/>
    <cellStyle name="Normal 4 4 3 2 3 2 3 3" xfId="33972"/>
    <cellStyle name="Normal 4 4 3 2 3 2 4" xfId="33973"/>
    <cellStyle name="Normal 4 4 3 2 3 2 5" xfId="33974"/>
    <cellStyle name="Normal 4 4 3 2 3 3" xfId="33975"/>
    <cellStyle name="Normal 4 4 3 2 3 3 2" xfId="33976"/>
    <cellStyle name="Normal 4 4 3 2 3 3 3" xfId="33977"/>
    <cellStyle name="Normal 4 4 3 2 3 4" xfId="33978"/>
    <cellStyle name="Normal 4 4 3 2 3 4 2" xfId="33979"/>
    <cellStyle name="Normal 4 4 3 2 3 4 3" xfId="33980"/>
    <cellStyle name="Normal 4 4 3 2 3 5" xfId="33981"/>
    <cellStyle name="Normal 4 4 3 2 3 6" xfId="33982"/>
    <cellStyle name="Normal 4 4 3 2 4" xfId="33983"/>
    <cellStyle name="Normal 4 4 3 2 4 2" xfId="33984"/>
    <cellStyle name="Normal 4 4 3 2 4 2 2" xfId="33985"/>
    <cellStyle name="Normal 4 4 3 2 4 2 2 2" xfId="33986"/>
    <cellStyle name="Normal 4 4 3 2 4 2 2 3" xfId="33987"/>
    <cellStyle name="Normal 4 4 3 2 4 2 3" xfId="33988"/>
    <cellStyle name="Normal 4 4 3 2 4 2 3 2" xfId="33989"/>
    <cellStyle name="Normal 4 4 3 2 4 2 3 3" xfId="33990"/>
    <cellStyle name="Normal 4 4 3 2 4 2 4" xfId="33991"/>
    <cellStyle name="Normal 4 4 3 2 4 2 5" xfId="33992"/>
    <cellStyle name="Normal 4 4 3 2 4 3" xfId="33993"/>
    <cellStyle name="Normal 4 4 3 2 4 3 2" xfId="33994"/>
    <cellStyle name="Normal 4 4 3 2 4 3 3" xfId="33995"/>
    <cellStyle name="Normal 4 4 3 2 4 4" xfId="33996"/>
    <cellStyle name="Normal 4 4 3 2 4 4 2" xfId="33997"/>
    <cellStyle name="Normal 4 4 3 2 4 4 3" xfId="33998"/>
    <cellStyle name="Normal 4 4 3 2 4 5" xfId="33999"/>
    <cellStyle name="Normal 4 4 3 2 4 6" xfId="34000"/>
    <cellStyle name="Normal 4 4 3 2 5" xfId="34001"/>
    <cellStyle name="Normal 4 4 3 2 5 2" xfId="34002"/>
    <cellStyle name="Normal 4 4 3 2 5 2 2" xfId="34003"/>
    <cellStyle name="Normal 4 4 3 2 5 2 3" xfId="34004"/>
    <cellStyle name="Normal 4 4 3 2 5 3" xfId="34005"/>
    <cellStyle name="Normal 4 4 3 2 5 3 2" xfId="34006"/>
    <cellStyle name="Normal 4 4 3 2 5 3 3" xfId="34007"/>
    <cellStyle name="Normal 4 4 3 2 5 4" xfId="34008"/>
    <cellStyle name="Normal 4 4 3 2 5 5" xfId="34009"/>
    <cellStyle name="Normal 4 4 3 2 6" xfId="34010"/>
    <cellStyle name="Normal 4 4 3 2 6 2" xfId="34011"/>
    <cellStyle name="Normal 4 4 3 2 6 3" xfId="34012"/>
    <cellStyle name="Normal 4 4 3 2 7" xfId="34013"/>
    <cellStyle name="Normal 4 4 3 2 7 2" xfId="34014"/>
    <cellStyle name="Normal 4 4 3 2 7 3" xfId="34015"/>
    <cellStyle name="Normal 4 4 3 2 8" xfId="34016"/>
    <cellStyle name="Normal 4 4 3 2 9" xfId="34017"/>
    <cellStyle name="Normal 4 4 3 3" xfId="34018"/>
    <cellStyle name="Normal 4 4 3 3 2" xfId="34019"/>
    <cellStyle name="Normal 4 4 3 3 2 2" xfId="34020"/>
    <cellStyle name="Normal 4 4 3 3 2 2 2" xfId="34021"/>
    <cellStyle name="Normal 4 4 3 3 2 2 2 2" xfId="34022"/>
    <cellStyle name="Normal 4 4 3 3 2 2 2 3" xfId="34023"/>
    <cellStyle name="Normal 4 4 3 3 2 2 3" xfId="34024"/>
    <cellStyle name="Normal 4 4 3 3 2 2 3 2" xfId="34025"/>
    <cellStyle name="Normal 4 4 3 3 2 2 3 3" xfId="34026"/>
    <cellStyle name="Normal 4 4 3 3 2 2 4" xfId="34027"/>
    <cellStyle name="Normal 4 4 3 3 2 2 5" xfId="34028"/>
    <cellStyle name="Normal 4 4 3 3 2 3" xfId="34029"/>
    <cellStyle name="Normal 4 4 3 3 2 3 2" xfId="34030"/>
    <cellStyle name="Normal 4 4 3 3 2 3 3" xfId="34031"/>
    <cellStyle name="Normal 4 4 3 3 2 4" xfId="34032"/>
    <cellStyle name="Normal 4 4 3 3 2 4 2" xfId="34033"/>
    <cellStyle name="Normal 4 4 3 3 2 4 3" xfId="34034"/>
    <cellStyle name="Normal 4 4 3 3 2 5" xfId="34035"/>
    <cellStyle name="Normal 4 4 3 3 2 6" xfId="34036"/>
    <cellStyle name="Normal 4 4 3 3 3" xfId="34037"/>
    <cellStyle name="Normal 4 4 3 3 3 2" xfId="34038"/>
    <cellStyle name="Normal 4 4 3 3 3 2 2" xfId="34039"/>
    <cellStyle name="Normal 4 4 3 3 3 2 2 2" xfId="34040"/>
    <cellStyle name="Normal 4 4 3 3 3 2 2 3" xfId="34041"/>
    <cellStyle name="Normal 4 4 3 3 3 2 3" xfId="34042"/>
    <cellStyle name="Normal 4 4 3 3 3 2 3 2" xfId="34043"/>
    <cellStyle name="Normal 4 4 3 3 3 2 3 3" xfId="34044"/>
    <cellStyle name="Normal 4 4 3 3 3 2 4" xfId="34045"/>
    <cellStyle name="Normal 4 4 3 3 3 2 5" xfId="34046"/>
    <cellStyle name="Normal 4 4 3 3 3 3" xfId="34047"/>
    <cellStyle name="Normal 4 4 3 3 3 3 2" xfId="34048"/>
    <cellStyle name="Normal 4 4 3 3 3 3 3" xfId="34049"/>
    <cellStyle name="Normal 4 4 3 3 3 4" xfId="34050"/>
    <cellStyle name="Normal 4 4 3 3 3 4 2" xfId="34051"/>
    <cellStyle name="Normal 4 4 3 3 3 4 3" xfId="34052"/>
    <cellStyle name="Normal 4 4 3 3 3 5" xfId="34053"/>
    <cellStyle name="Normal 4 4 3 3 3 6" xfId="34054"/>
    <cellStyle name="Normal 4 4 3 3 4" xfId="34055"/>
    <cellStyle name="Normal 4 4 3 3 4 2" xfId="34056"/>
    <cellStyle name="Normal 4 4 3 3 4 2 2" xfId="34057"/>
    <cellStyle name="Normal 4 4 3 3 4 2 3" xfId="34058"/>
    <cellStyle name="Normal 4 4 3 3 4 3" xfId="34059"/>
    <cellStyle name="Normal 4 4 3 3 4 3 2" xfId="34060"/>
    <cellStyle name="Normal 4 4 3 3 4 3 3" xfId="34061"/>
    <cellStyle name="Normal 4 4 3 3 4 4" xfId="34062"/>
    <cellStyle name="Normal 4 4 3 3 4 5" xfId="34063"/>
    <cellStyle name="Normal 4 4 3 3 5" xfId="34064"/>
    <cellStyle name="Normal 4 4 3 3 5 2" xfId="34065"/>
    <cellStyle name="Normal 4 4 3 3 5 3" xfId="34066"/>
    <cellStyle name="Normal 4 4 3 3 6" xfId="34067"/>
    <cellStyle name="Normal 4 4 3 3 6 2" xfId="34068"/>
    <cellStyle name="Normal 4 4 3 3 6 3" xfId="34069"/>
    <cellStyle name="Normal 4 4 3 3 7" xfId="34070"/>
    <cellStyle name="Normal 4 4 3 3 8" xfId="34071"/>
    <cellStyle name="Normal 4 4 3 4" xfId="34072"/>
    <cellStyle name="Normal 4 4 3 4 2" xfId="34073"/>
    <cellStyle name="Normal 4 4 3 4 2 2" xfId="34074"/>
    <cellStyle name="Normal 4 4 3 4 2 2 2" xfId="34075"/>
    <cellStyle name="Normal 4 4 3 4 2 2 3" xfId="34076"/>
    <cellStyle name="Normal 4 4 3 4 2 3" xfId="34077"/>
    <cellStyle name="Normal 4 4 3 4 2 3 2" xfId="34078"/>
    <cellStyle name="Normal 4 4 3 4 2 3 3" xfId="34079"/>
    <cellStyle name="Normal 4 4 3 4 2 4" xfId="34080"/>
    <cellStyle name="Normal 4 4 3 4 2 5" xfId="34081"/>
    <cellStyle name="Normal 4 4 3 4 3" xfId="34082"/>
    <cellStyle name="Normal 4 4 3 4 3 2" xfId="34083"/>
    <cellStyle name="Normal 4 4 3 4 3 3" xfId="34084"/>
    <cellStyle name="Normal 4 4 3 4 4" xfId="34085"/>
    <cellStyle name="Normal 4 4 3 4 4 2" xfId="34086"/>
    <cellStyle name="Normal 4 4 3 4 4 3" xfId="34087"/>
    <cellStyle name="Normal 4 4 3 4 5" xfId="34088"/>
    <cellStyle name="Normal 4 4 3 4 6" xfId="34089"/>
    <cellStyle name="Normal 4 4 3 5" xfId="34090"/>
    <cellStyle name="Normal 4 4 3 5 2" xfId="34091"/>
    <cellStyle name="Normal 4 4 3 5 2 2" xfId="34092"/>
    <cellStyle name="Normal 4 4 3 5 2 2 2" xfId="34093"/>
    <cellStyle name="Normal 4 4 3 5 2 2 3" xfId="34094"/>
    <cellStyle name="Normal 4 4 3 5 2 3" xfId="34095"/>
    <cellStyle name="Normal 4 4 3 5 2 3 2" xfId="34096"/>
    <cellStyle name="Normal 4 4 3 5 2 3 3" xfId="34097"/>
    <cellStyle name="Normal 4 4 3 5 2 4" xfId="34098"/>
    <cellStyle name="Normal 4 4 3 5 2 5" xfId="34099"/>
    <cellStyle name="Normal 4 4 3 5 3" xfId="34100"/>
    <cellStyle name="Normal 4 4 3 5 3 2" xfId="34101"/>
    <cellStyle name="Normal 4 4 3 5 3 3" xfId="34102"/>
    <cellStyle name="Normal 4 4 3 5 4" xfId="34103"/>
    <cellStyle name="Normal 4 4 3 5 4 2" xfId="34104"/>
    <cellStyle name="Normal 4 4 3 5 4 3" xfId="34105"/>
    <cellStyle name="Normal 4 4 3 5 5" xfId="34106"/>
    <cellStyle name="Normal 4 4 3 5 6" xfId="34107"/>
    <cellStyle name="Normal 4 4 3 6" xfId="34108"/>
    <cellStyle name="Normal 4 4 3 6 2" xfId="34109"/>
    <cellStyle name="Normal 4 4 3 6 2 2" xfId="34110"/>
    <cellStyle name="Normal 4 4 3 6 2 3" xfId="34111"/>
    <cellStyle name="Normal 4 4 3 6 3" xfId="34112"/>
    <cellStyle name="Normal 4 4 3 6 3 2" xfId="34113"/>
    <cellStyle name="Normal 4 4 3 6 3 3" xfId="34114"/>
    <cellStyle name="Normal 4 4 3 6 4" xfId="34115"/>
    <cellStyle name="Normal 4 4 3 6 5" xfId="34116"/>
    <cellStyle name="Normal 4 4 3 7" xfId="34117"/>
    <cellStyle name="Normal 4 4 3 7 2" xfId="34118"/>
    <cellStyle name="Normal 4 4 3 7 3" xfId="34119"/>
    <cellStyle name="Normal 4 4 3 8" xfId="34120"/>
    <cellStyle name="Normal 4 4 3 8 2" xfId="34121"/>
    <cellStyle name="Normal 4 4 3 8 3" xfId="34122"/>
    <cellStyle name="Normal 4 4 3 9" xfId="34123"/>
    <cellStyle name="Normal 4 4 4" xfId="34124"/>
    <cellStyle name="Normal 4 4 4 2" xfId="34125"/>
    <cellStyle name="Normal 4 4 4 2 2" xfId="34126"/>
    <cellStyle name="Normal 4 4 4 2 2 2" xfId="34127"/>
    <cellStyle name="Normal 4 4 4 2 2 2 2" xfId="34128"/>
    <cellStyle name="Normal 4 4 4 2 2 2 2 2" xfId="34129"/>
    <cellStyle name="Normal 4 4 4 2 2 2 2 3" xfId="34130"/>
    <cellStyle name="Normal 4 4 4 2 2 2 3" xfId="34131"/>
    <cellStyle name="Normal 4 4 4 2 2 2 3 2" xfId="34132"/>
    <cellStyle name="Normal 4 4 4 2 2 2 3 3" xfId="34133"/>
    <cellStyle name="Normal 4 4 4 2 2 2 4" xfId="34134"/>
    <cellStyle name="Normal 4 4 4 2 2 2 5" xfId="34135"/>
    <cellStyle name="Normal 4 4 4 2 2 3" xfId="34136"/>
    <cellStyle name="Normal 4 4 4 2 2 3 2" xfId="34137"/>
    <cellStyle name="Normal 4 4 4 2 2 3 3" xfId="34138"/>
    <cellStyle name="Normal 4 4 4 2 2 4" xfId="34139"/>
    <cellStyle name="Normal 4 4 4 2 2 4 2" xfId="34140"/>
    <cellStyle name="Normal 4 4 4 2 2 4 3" xfId="34141"/>
    <cellStyle name="Normal 4 4 4 2 2 5" xfId="34142"/>
    <cellStyle name="Normal 4 4 4 2 2 6" xfId="34143"/>
    <cellStyle name="Normal 4 4 4 2 3" xfId="34144"/>
    <cellStyle name="Normal 4 4 4 2 3 2" xfId="34145"/>
    <cellStyle name="Normal 4 4 4 2 3 2 2" xfId="34146"/>
    <cellStyle name="Normal 4 4 4 2 3 2 2 2" xfId="34147"/>
    <cellStyle name="Normal 4 4 4 2 3 2 2 3" xfId="34148"/>
    <cellStyle name="Normal 4 4 4 2 3 2 3" xfId="34149"/>
    <cellStyle name="Normal 4 4 4 2 3 2 3 2" xfId="34150"/>
    <cellStyle name="Normal 4 4 4 2 3 2 3 3" xfId="34151"/>
    <cellStyle name="Normal 4 4 4 2 3 2 4" xfId="34152"/>
    <cellStyle name="Normal 4 4 4 2 3 2 5" xfId="34153"/>
    <cellStyle name="Normal 4 4 4 2 3 3" xfId="34154"/>
    <cellStyle name="Normal 4 4 4 2 3 3 2" xfId="34155"/>
    <cellStyle name="Normal 4 4 4 2 3 3 3" xfId="34156"/>
    <cellStyle name="Normal 4 4 4 2 3 4" xfId="34157"/>
    <cellStyle name="Normal 4 4 4 2 3 4 2" xfId="34158"/>
    <cellStyle name="Normal 4 4 4 2 3 4 3" xfId="34159"/>
    <cellStyle name="Normal 4 4 4 2 3 5" xfId="34160"/>
    <cellStyle name="Normal 4 4 4 2 3 6" xfId="34161"/>
    <cellStyle name="Normal 4 4 4 2 4" xfId="34162"/>
    <cellStyle name="Normal 4 4 4 2 4 2" xfId="34163"/>
    <cellStyle name="Normal 4 4 4 2 4 2 2" xfId="34164"/>
    <cellStyle name="Normal 4 4 4 2 4 2 3" xfId="34165"/>
    <cellStyle name="Normal 4 4 4 2 4 3" xfId="34166"/>
    <cellStyle name="Normal 4 4 4 2 4 3 2" xfId="34167"/>
    <cellStyle name="Normal 4 4 4 2 4 3 3" xfId="34168"/>
    <cellStyle name="Normal 4 4 4 2 4 4" xfId="34169"/>
    <cellStyle name="Normal 4 4 4 2 4 5" xfId="34170"/>
    <cellStyle name="Normal 4 4 4 2 5" xfId="34171"/>
    <cellStyle name="Normal 4 4 4 2 5 2" xfId="34172"/>
    <cellStyle name="Normal 4 4 4 2 5 3" xfId="34173"/>
    <cellStyle name="Normal 4 4 4 2 6" xfId="34174"/>
    <cellStyle name="Normal 4 4 4 2 6 2" xfId="34175"/>
    <cellStyle name="Normal 4 4 4 2 6 3" xfId="34176"/>
    <cellStyle name="Normal 4 4 4 2 7" xfId="34177"/>
    <cellStyle name="Normal 4 4 4 2 8" xfId="34178"/>
    <cellStyle name="Normal 4 4 4 3" xfId="34179"/>
    <cellStyle name="Normal 4 4 4 3 2" xfId="34180"/>
    <cellStyle name="Normal 4 4 4 3 2 2" xfId="34181"/>
    <cellStyle name="Normal 4 4 4 3 2 2 2" xfId="34182"/>
    <cellStyle name="Normal 4 4 4 3 2 2 3" xfId="34183"/>
    <cellStyle name="Normal 4 4 4 3 2 3" xfId="34184"/>
    <cellStyle name="Normal 4 4 4 3 2 3 2" xfId="34185"/>
    <cellStyle name="Normal 4 4 4 3 2 3 3" xfId="34186"/>
    <cellStyle name="Normal 4 4 4 3 2 4" xfId="34187"/>
    <cellStyle name="Normal 4 4 4 3 2 5" xfId="34188"/>
    <cellStyle name="Normal 4 4 4 3 3" xfId="34189"/>
    <cellStyle name="Normal 4 4 4 3 3 2" xfId="34190"/>
    <cellStyle name="Normal 4 4 4 3 3 3" xfId="34191"/>
    <cellStyle name="Normal 4 4 4 3 4" xfId="34192"/>
    <cellStyle name="Normal 4 4 4 3 4 2" xfId="34193"/>
    <cellStyle name="Normal 4 4 4 3 4 3" xfId="34194"/>
    <cellStyle name="Normal 4 4 4 3 5" xfId="34195"/>
    <cellStyle name="Normal 4 4 4 3 6" xfId="34196"/>
    <cellStyle name="Normal 4 4 4 4" xfId="34197"/>
    <cellStyle name="Normal 4 4 4 4 2" xfId="34198"/>
    <cellStyle name="Normal 4 4 4 4 2 2" xfId="34199"/>
    <cellStyle name="Normal 4 4 4 4 2 2 2" xfId="34200"/>
    <cellStyle name="Normal 4 4 4 4 2 2 3" xfId="34201"/>
    <cellStyle name="Normal 4 4 4 4 2 3" xfId="34202"/>
    <cellStyle name="Normal 4 4 4 4 2 3 2" xfId="34203"/>
    <cellStyle name="Normal 4 4 4 4 2 3 3" xfId="34204"/>
    <cellStyle name="Normal 4 4 4 4 2 4" xfId="34205"/>
    <cellStyle name="Normal 4 4 4 4 2 5" xfId="34206"/>
    <cellStyle name="Normal 4 4 4 4 3" xfId="34207"/>
    <cellStyle name="Normal 4 4 4 4 3 2" xfId="34208"/>
    <cellStyle name="Normal 4 4 4 4 3 3" xfId="34209"/>
    <cellStyle name="Normal 4 4 4 4 4" xfId="34210"/>
    <cellStyle name="Normal 4 4 4 4 4 2" xfId="34211"/>
    <cellStyle name="Normal 4 4 4 4 4 3" xfId="34212"/>
    <cellStyle name="Normal 4 4 4 4 5" xfId="34213"/>
    <cellStyle name="Normal 4 4 4 4 6" xfId="34214"/>
    <cellStyle name="Normal 4 4 4 5" xfId="34215"/>
    <cellStyle name="Normal 4 4 4 5 2" xfId="34216"/>
    <cellStyle name="Normal 4 4 4 5 2 2" xfId="34217"/>
    <cellStyle name="Normal 4 4 4 5 2 3" xfId="34218"/>
    <cellStyle name="Normal 4 4 4 5 3" xfId="34219"/>
    <cellStyle name="Normal 4 4 4 5 3 2" xfId="34220"/>
    <cellStyle name="Normal 4 4 4 5 3 3" xfId="34221"/>
    <cellStyle name="Normal 4 4 4 5 4" xfId="34222"/>
    <cellStyle name="Normal 4 4 4 5 5" xfId="34223"/>
    <cellStyle name="Normal 4 4 4 6" xfId="34224"/>
    <cellStyle name="Normal 4 4 4 6 2" xfId="34225"/>
    <cellStyle name="Normal 4 4 4 6 3" xfId="34226"/>
    <cellStyle name="Normal 4 4 4 7" xfId="34227"/>
    <cellStyle name="Normal 4 4 4 7 2" xfId="34228"/>
    <cellStyle name="Normal 4 4 4 7 3" xfId="34229"/>
    <cellStyle name="Normal 4 4 4 8" xfId="34230"/>
    <cellStyle name="Normal 4 4 4 9" xfId="34231"/>
    <cellStyle name="Normal 4 4 5" xfId="34232"/>
    <cellStyle name="Normal 4 4 5 2" xfId="34233"/>
    <cellStyle name="Normal 4 4 5 2 2" xfId="34234"/>
    <cellStyle name="Normal 4 4 5 2 2 2" xfId="34235"/>
    <cellStyle name="Normal 4 4 5 2 2 2 2" xfId="34236"/>
    <cellStyle name="Normal 4 4 5 2 2 2 3" xfId="34237"/>
    <cellStyle name="Normal 4 4 5 2 2 3" xfId="34238"/>
    <cellStyle name="Normal 4 4 5 2 2 3 2" xfId="34239"/>
    <cellStyle name="Normal 4 4 5 2 2 3 3" xfId="34240"/>
    <cellStyle name="Normal 4 4 5 2 2 4" xfId="34241"/>
    <cellStyle name="Normal 4 4 5 2 2 5" xfId="34242"/>
    <cellStyle name="Normal 4 4 5 2 3" xfId="34243"/>
    <cellStyle name="Normal 4 4 5 2 3 2" xfId="34244"/>
    <cellStyle name="Normal 4 4 5 2 3 3" xfId="34245"/>
    <cellStyle name="Normal 4 4 5 2 4" xfId="34246"/>
    <cellStyle name="Normal 4 4 5 2 4 2" xfId="34247"/>
    <cellStyle name="Normal 4 4 5 2 4 3" xfId="34248"/>
    <cellStyle name="Normal 4 4 5 2 5" xfId="34249"/>
    <cellStyle name="Normal 4 4 5 2 6" xfId="34250"/>
    <cellStyle name="Normal 4 4 5 3" xfId="34251"/>
    <cellStyle name="Normal 4 4 5 3 2" xfId="34252"/>
    <cellStyle name="Normal 4 4 5 3 2 2" xfId="34253"/>
    <cellStyle name="Normal 4 4 5 3 2 2 2" xfId="34254"/>
    <cellStyle name="Normal 4 4 5 3 2 2 3" xfId="34255"/>
    <cellStyle name="Normal 4 4 5 3 2 3" xfId="34256"/>
    <cellStyle name="Normal 4 4 5 3 2 3 2" xfId="34257"/>
    <cellStyle name="Normal 4 4 5 3 2 3 3" xfId="34258"/>
    <cellStyle name="Normal 4 4 5 3 2 4" xfId="34259"/>
    <cellStyle name="Normal 4 4 5 3 2 5" xfId="34260"/>
    <cellStyle name="Normal 4 4 5 3 3" xfId="34261"/>
    <cellStyle name="Normal 4 4 5 3 3 2" xfId="34262"/>
    <cellStyle name="Normal 4 4 5 3 3 3" xfId="34263"/>
    <cellStyle name="Normal 4 4 5 3 4" xfId="34264"/>
    <cellStyle name="Normal 4 4 5 3 4 2" xfId="34265"/>
    <cellStyle name="Normal 4 4 5 3 4 3" xfId="34266"/>
    <cellStyle name="Normal 4 4 5 3 5" xfId="34267"/>
    <cellStyle name="Normal 4 4 5 3 6" xfId="34268"/>
    <cellStyle name="Normal 4 4 5 4" xfId="34269"/>
    <cellStyle name="Normal 4 4 5 4 2" xfId="34270"/>
    <cellStyle name="Normal 4 4 5 4 2 2" xfId="34271"/>
    <cellStyle name="Normal 4 4 5 4 2 3" xfId="34272"/>
    <cellStyle name="Normal 4 4 5 4 3" xfId="34273"/>
    <cellStyle name="Normal 4 4 5 4 3 2" xfId="34274"/>
    <cellStyle name="Normal 4 4 5 4 3 3" xfId="34275"/>
    <cellStyle name="Normal 4 4 5 4 4" xfId="34276"/>
    <cellStyle name="Normal 4 4 5 4 5" xfId="34277"/>
    <cellStyle name="Normal 4 4 5 5" xfId="34278"/>
    <cellStyle name="Normal 4 4 5 5 2" xfId="34279"/>
    <cellStyle name="Normal 4 4 5 5 3" xfId="34280"/>
    <cellStyle name="Normal 4 4 5 6" xfId="34281"/>
    <cellStyle name="Normal 4 4 5 6 2" xfId="34282"/>
    <cellStyle name="Normal 4 4 5 6 3" xfId="34283"/>
    <cellStyle name="Normal 4 4 5 7" xfId="34284"/>
    <cellStyle name="Normal 4 4 5 8" xfId="34285"/>
    <cellStyle name="Normal 4 4 6" xfId="34286"/>
    <cellStyle name="Normal 4 4 6 2" xfId="34287"/>
    <cellStyle name="Normal 4 4 6 2 2" xfId="34288"/>
    <cellStyle name="Normal 4 4 6 2 2 2" xfId="34289"/>
    <cellStyle name="Normal 4 4 6 2 2 3" xfId="34290"/>
    <cellStyle name="Normal 4 4 6 2 3" xfId="34291"/>
    <cellStyle name="Normal 4 4 6 2 3 2" xfId="34292"/>
    <cellStyle name="Normal 4 4 6 2 3 3" xfId="34293"/>
    <cellStyle name="Normal 4 4 6 2 4" xfId="34294"/>
    <cellStyle name="Normal 4 4 6 2 5" xfId="34295"/>
    <cellStyle name="Normal 4 4 6 3" xfId="34296"/>
    <cellStyle name="Normal 4 4 6 3 2" xfId="34297"/>
    <cellStyle name="Normal 4 4 6 3 3" xfId="34298"/>
    <cellStyle name="Normal 4 4 6 4" xfId="34299"/>
    <cellStyle name="Normal 4 4 6 4 2" xfId="34300"/>
    <cellStyle name="Normal 4 4 6 4 3" xfId="34301"/>
    <cellStyle name="Normal 4 4 6 5" xfId="34302"/>
    <cellStyle name="Normal 4 4 6 6" xfId="34303"/>
    <cellStyle name="Normal 4 4 7" xfId="34304"/>
    <cellStyle name="Normal 4 4 7 2" xfId="34305"/>
    <cellStyle name="Normal 4 4 7 2 2" xfId="34306"/>
    <cellStyle name="Normal 4 4 7 2 2 2" xfId="34307"/>
    <cellStyle name="Normal 4 4 7 2 2 3" xfId="34308"/>
    <cellStyle name="Normal 4 4 7 2 3" xfId="34309"/>
    <cellStyle name="Normal 4 4 7 2 3 2" xfId="34310"/>
    <cellStyle name="Normal 4 4 7 2 3 3" xfId="34311"/>
    <cellStyle name="Normal 4 4 7 2 4" xfId="34312"/>
    <cellStyle name="Normal 4 4 7 2 5" xfId="34313"/>
    <cellStyle name="Normal 4 4 7 3" xfId="34314"/>
    <cellStyle name="Normal 4 4 7 3 2" xfId="34315"/>
    <cellStyle name="Normal 4 4 7 3 3" xfId="34316"/>
    <cellStyle name="Normal 4 4 7 4" xfId="34317"/>
    <cellStyle name="Normal 4 4 7 4 2" xfId="34318"/>
    <cellStyle name="Normal 4 4 7 4 3" xfId="34319"/>
    <cellStyle name="Normal 4 4 7 5" xfId="34320"/>
    <cellStyle name="Normal 4 4 7 6" xfId="34321"/>
    <cellStyle name="Normal 4 4 8" xfId="34322"/>
    <cellStyle name="Normal 4 4 8 2" xfId="34323"/>
    <cellStyle name="Normal 4 4 8 2 2" xfId="34324"/>
    <cellStyle name="Normal 4 4 8 2 3" xfId="34325"/>
    <cellStyle name="Normal 4 4 8 3" xfId="34326"/>
    <cellStyle name="Normal 4 4 8 3 2" xfId="34327"/>
    <cellStyle name="Normal 4 4 8 3 3" xfId="34328"/>
    <cellStyle name="Normal 4 4 8 4" xfId="34329"/>
    <cellStyle name="Normal 4 4 8 5" xfId="34330"/>
    <cellStyle name="Normal 4 4 9" xfId="34331"/>
    <cellStyle name="Normal 4 4 9 2" xfId="34332"/>
    <cellStyle name="Normal 4 4 9 3" xfId="34333"/>
    <cellStyle name="Normal 4 5" xfId="34334"/>
    <cellStyle name="Normal 4 5 10" xfId="34335"/>
    <cellStyle name="Normal 4 5 10 2" xfId="34336"/>
    <cellStyle name="Normal 4 5 10 3" xfId="34337"/>
    <cellStyle name="Normal 4 5 11" xfId="34338"/>
    <cellStyle name="Normal 4 5 12" xfId="34339"/>
    <cellStyle name="Normal 4 5 13" xfId="34340"/>
    <cellStyle name="Normal 4 5 14" xfId="34341"/>
    <cellStyle name="Normal 4 5 2" xfId="34342"/>
    <cellStyle name="Normal 4 5 2 10" xfId="34343"/>
    <cellStyle name="Normal 4 5 2 2" xfId="34344"/>
    <cellStyle name="Normal 4 5 2 2 2" xfId="34345"/>
    <cellStyle name="Normal 4 5 2 2 2 2" xfId="34346"/>
    <cellStyle name="Normal 4 5 2 2 2 2 2" xfId="34347"/>
    <cellStyle name="Normal 4 5 2 2 2 2 2 2" xfId="34348"/>
    <cellStyle name="Normal 4 5 2 2 2 2 2 2 2" xfId="34349"/>
    <cellStyle name="Normal 4 5 2 2 2 2 2 2 3" xfId="34350"/>
    <cellStyle name="Normal 4 5 2 2 2 2 2 3" xfId="34351"/>
    <cellStyle name="Normal 4 5 2 2 2 2 2 3 2" xfId="34352"/>
    <cellStyle name="Normal 4 5 2 2 2 2 2 3 3" xfId="34353"/>
    <cellStyle name="Normal 4 5 2 2 2 2 2 4" xfId="34354"/>
    <cellStyle name="Normal 4 5 2 2 2 2 2 5" xfId="34355"/>
    <cellStyle name="Normal 4 5 2 2 2 2 3" xfId="34356"/>
    <cellStyle name="Normal 4 5 2 2 2 2 3 2" xfId="34357"/>
    <cellStyle name="Normal 4 5 2 2 2 2 3 3" xfId="34358"/>
    <cellStyle name="Normal 4 5 2 2 2 2 4" xfId="34359"/>
    <cellStyle name="Normal 4 5 2 2 2 2 4 2" xfId="34360"/>
    <cellStyle name="Normal 4 5 2 2 2 2 4 3" xfId="34361"/>
    <cellStyle name="Normal 4 5 2 2 2 2 5" xfId="34362"/>
    <cellStyle name="Normal 4 5 2 2 2 2 6" xfId="34363"/>
    <cellStyle name="Normal 4 5 2 2 2 3" xfId="34364"/>
    <cellStyle name="Normal 4 5 2 2 2 3 2" xfId="34365"/>
    <cellStyle name="Normal 4 5 2 2 2 3 2 2" xfId="34366"/>
    <cellStyle name="Normal 4 5 2 2 2 3 2 2 2" xfId="34367"/>
    <cellStyle name="Normal 4 5 2 2 2 3 2 2 3" xfId="34368"/>
    <cellStyle name="Normal 4 5 2 2 2 3 2 3" xfId="34369"/>
    <cellStyle name="Normal 4 5 2 2 2 3 2 3 2" xfId="34370"/>
    <cellStyle name="Normal 4 5 2 2 2 3 2 3 3" xfId="34371"/>
    <cellStyle name="Normal 4 5 2 2 2 3 2 4" xfId="34372"/>
    <cellStyle name="Normal 4 5 2 2 2 3 2 5" xfId="34373"/>
    <cellStyle name="Normal 4 5 2 2 2 3 3" xfId="34374"/>
    <cellStyle name="Normal 4 5 2 2 2 3 3 2" xfId="34375"/>
    <cellStyle name="Normal 4 5 2 2 2 3 3 3" xfId="34376"/>
    <cellStyle name="Normal 4 5 2 2 2 3 4" xfId="34377"/>
    <cellStyle name="Normal 4 5 2 2 2 3 4 2" xfId="34378"/>
    <cellStyle name="Normal 4 5 2 2 2 3 4 3" xfId="34379"/>
    <cellStyle name="Normal 4 5 2 2 2 3 5" xfId="34380"/>
    <cellStyle name="Normal 4 5 2 2 2 3 6" xfId="34381"/>
    <cellStyle name="Normal 4 5 2 2 2 4" xfId="34382"/>
    <cellStyle name="Normal 4 5 2 2 2 4 2" xfId="34383"/>
    <cellStyle name="Normal 4 5 2 2 2 4 2 2" xfId="34384"/>
    <cellStyle name="Normal 4 5 2 2 2 4 2 3" xfId="34385"/>
    <cellStyle name="Normal 4 5 2 2 2 4 3" xfId="34386"/>
    <cellStyle name="Normal 4 5 2 2 2 4 3 2" xfId="34387"/>
    <cellStyle name="Normal 4 5 2 2 2 4 3 3" xfId="34388"/>
    <cellStyle name="Normal 4 5 2 2 2 4 4" xfId="34389"/>
    <cellStyle name="Normal 4 5 2 2 2 4 5" xfId="34390"/>
    <cellStyle name="Normal 4 5 2 2 2 5" xfId="34391"/>
    <cellStyle name="Normal 4 5 2 2 2 5 2" xfId="34392"/>
    <cellStyle name="Normal 4 5 2 2 2 5 3" xfId="34393"/>
    <cellStyle name="Normal 4 5 2 2 2 6" xfId="34394"/>
    <cellStyle name="Normal 4 5 2 2 2 6 2" xfId="34395"/>
    <cellStyle name="Normal 4 5 2 2 2 6 3" xfId="34396"/>
    <cellStyle name="Normal 4 5 2 2 2 7" xfId="34397"/>
    <cellStyle name="Normal 4 5 2 2 2 8" xfId="34398"/>
    <cellStyle name="Normal 4 5 2 2 3" xfId="34399"/>
    <cellStyle name="Normal 4 5 2 2 3 2" xfId="34400"/>
    <cellStyle name="Normal 4 5 2 2 3 2 2" xfId="34401"/>
    <cellStyle name="Normal 4 5 2 2 3 2 2 2" xfId="34402"/>
    <cellStyle name="Normal 4 5 2 2 3 2 2 3" xfId="34403"/>
    <cellStyle name="Normal 4 5 2 2 3 2 3" xfId="34404"/>
    <cellStyle name="Normal 4 5 2 2 3 2 3 2" xfId="34405"/>
    <cellStyle name="Normal 4 5 2 2 3 2 3 3" xfId="34406"/>
    <cellStyle name="Normal 4 5 2 2 3 2 4" xfId="34407"/>
    <cellStyle name="Normal 4 5 2 2 3 2 5" xfId="34408"/>
    <cellStyle name="Normal 4 5 2 2 3 3" xfId="34409"/>
    <cellStyle name="Normal 4 5 2 2 3 3 2" xfId="34410"/>
    <cellStyle name="Normal 4 5 2 2 3 3 3" xfId="34411"/>
    <cellStyle name="Normal 4 5 2 2 3 4" xfId="34412"/>
    <cellStyle name="Normal 4 5 2 2 3 4 2" xfId="34413"/>
    <cellStyle name="Normal 4 5 2 2 3 4 3" xfId="34414"/>
    <cellStyle name="Normal 4 5 2 2 3 5" xfId="34415"/>
    <cellStyle name="Normal 4 5 2 2 3 6" xfId="34416"/>
    <cellStyle name="Normal 4 5 2 2 4" xfId="34417"/>
    <cellStyle name="Normal 4 5 2 2 4 2" xfId="34418"/>
    <cellStyle name="Normal 4 5 2 2 4 2 2" xfId="34419"/>
    <cellStyle name="Normal 4 5 2 2 4 2 2 2" xfId="34420"/>
    <cellStyle name="Normal 4 5 2 2 4 2 2 3" xfId="34421"/>
    <cellStyle name="Normal 4 5 2 2 4 2 3" xfId="34422"/>
    <cellStyle name="Normal 4 5 2 2 4 2 3 2" xfId="34423"/>
    <cellStyle name="Normal 4 5 2 2 4 2 3 3" xfId="34424"/>
    <cellStyle name="Normal 4 5 2 2 4 2 4" xfId="34425"/>
    <cellStyle name="Normal 4 5 2 2 4 2 5" xfId="34426"/>
    <cellStyle name="Normal 4 5 2 2 4 3" xfId="34427"/>
    <cellStyle name="Normal 4 5 2 2 4 3 2" xfId="34428"/>
    <cellStyle name="Normal 4 5 2 2 4 3 3" xfId="34429"/>
    <cellStyle name="Normal 4 5 2 2 4 4" xfId="34430"/>
    <cellStyle name="Normal 4 5 2 2 4 4 2" xfId="34431"/>
    <cellStyle name="Normal 4 5 2 2 4 4 3" xfId="34432"/>
    <cellStyle name="Normal 4 5 2 2 4 5" xfId="34433"/>
    <cellStyle name="Normal 4 5 2 2 4 6" xfId="34434"/>
    <cellStyle name="Normal 4 5 2 2 5" xfId="34435"/>
    <cellStyle name="Normal 4 5 2 2 5 2" xfId="34436"/>
    <cellStyle name="Normal 4 5 2 2 5 2 2" xfId="34437"/>
    <cellStyle name="Normal 4 5 2 2 5 2 3" xfId="34438"/>
    <cellStyle name="Normal 4 5 2 2 5 3" xfId="34439"/>
    <cellStyle name="Normal 4 5 2 2 5 3 2" xfId="34440"/>
    <cellStyle name="Normal 4 5 2 2 5 3 3" xfId="34441"/>
    <cellStyle name="Normal 4 5 2 2 5 4" xfId="34442"/>
    <cellStyle name="Normal 4 5 2 2 5 5" xfId="34443"/>
    <cellStyle name="Normal 4 5 2 2 6" xfId="34444"/>
    <cellStyle name="Normal 4 5 2 2 6 2" xfId="34445"/>
    <cellStyle name="Normal 4 5 2 2 6 3" xfId="34446"/>
    <cellStyle name="Normal 4 5 2 2 7" xfId="34447"/>
    <cellStyle name="Normal 4 5 2 2 7 2" xfId="34448"/>
    <cellStyle name="Normal 4 5 2 2 7 3" xfId="34449"/>
    <cellStyle name="Normal 4 5 2 2 8" xfId="34450"/>
    <cellStyle name="Normal 4 5 2 2 9" xfId="34451"/>
    <cellStyle name="Normal 4 5 2 3" xfId="34452"/>
    <cellStyle name="Normal 4 5 2 3 2" xfId="34453"/>
    <cellStyle name="Normal 4 5 2 3 2 2" xfId="34454"/>
    <cellStyle name="Normal 4 5 2 3 2 2 2" xfId="34455"/>
    <cellStyle name="Normal 4 5 2 3 2 2 2 2" xfId="34456"/>
    <cellStyle name="Normal 4 5 2 3 2 2 2 3" xfId="34457"/>
    <cellStyle name="Normal 4 5 2 3 2 2 3" xfId="34458"/>
    <cellStyle name="Normal 4 5 2 3 2 2 3 2" xfId="34459"/>
    <cellStyle name="Normal 4 5 2 3 2 2 3 3" xfId="34460"/>
    <cellStyle name="Normal 4 5 2 3 2 2 4" xfId="34461"/>
    <cellStyle name="Normal 4 5 2 3 2 2 5" xfId="34462"/>
    <cellStyle name="Normal 4 5 2 3 2 3" xfId="34463"/>
    <cellStyle name="Normal 4 5 2 3 2 3 2" xfId="34464"/>
    <cellStyle name="Normal 4 5 2 3 2 3 3" xfId="34465"/>
    <cellStyle name="Normal 4 5 2 3 2 4" xfId="34466"/>
    <cellStyle name="Normal 4 5 2 3 2 4 2" xfId="34467"/>
    <cellStyle name="Normal 4 5 2 3 2 4 3" xfId="34468"/>
    <cellStyle name="Normal 4 5 2 3 2 5" xfId="34469"/>
    <cellStyle name="Normal 4 5 2 3 2 6" xfId="34470"/>
    <cellStyle name="Normal 4 5 2 3 3" xfId="34471"/>
    <cellStyle name="Normal 4 5 2 3 3 2" xfId="34472"/>
    <cellStyle name="Normal 4 5 2 3 3 2 2" xfId="34473"/>
    <cellStyle name="Normal 4 5 2 3 3 2 2 2" xfId="34474"/>
    <cellStyle name="Normal 4 5 2 3 3 2 2 3" xfId="34475"/>
    <cellStyle name="Normal 4 5 2 3 3 2 3" xfId="34476"/>
    <cellStyle name="Normal 4 5 2 3 3 2 3 2" xfId="34477"/>
    <cellStyle name="Normal 4 5 2 3 3 2 3 3" xfId="34478"/>
    <cellStyle name="Normal 4 5 2 3 3 2 4" xfId="34479"/>
    <cellStyle name="Normal 4 5 2 3 3 2 5" xfId="34480"/>
    <cellStyle name="Normal 4 5 2 3 3 3" xfId="34481"/>
    <cellStyle name="Normal 4 5 2 3 3 3 2" xfId="34482"/>
    <cellStyle name="Normal 4 5 2 3 3 3 3" xfId="34483"/>
    <cellStyle name="Normal 4 5 2 3 3 4" xfId="34484"/>
    <cellStyle name="Normal 4 5 2 3 3 4 2" xfId="34485"/>
    <cellStyle name="Normal 4 5 2 3 3 4 3" xfId="34486"/>
    <cellStyle name="Normal 4 5 2 3 3 5" xfId="34487"/>
    <cellStyle name="Normal 4 5 2 3 3 6" xfId="34488"/>
    <cellStyle name="Normal 4 5 2 3 4" xfId="34489"/>
    <cellStyle name="Normal 4 5 2 3 4 2" xfId="34490"/>
    <cellStyle name="Normal 4 5 2 3 4 2 2" xfId="34491"/>
    <cellStyle name="Normal 4 5 2 3 4 2 3" xfId="34492"/>
    <cellStyle name="Normal 4 5 2 3 4 3" xfId="34493"/>
    <cellStyle name="Normal 4 5 2 3 4 3 2" xfId="34494"/>
    <cellStyle name="Normal 4 5 2 3 4 3 3" xfId="34495"/>
    <cellStyle name="Normal 4 5 2 3 4 4" xfId="34496"/>
    <cellStyle name="Normal 4 5 2 3 4 5" xfId="34497"/>
    <cellStyle name="Normal 4 5 2 3 5" xfId="34498"/>
    <cellStyle name="Normal 4 5 2 3 5 2" xfId="34499"/>
    <cellStyle name="Normal 4 5 2 3 5 3" xfId="34500"/>
    <cellStyle name="Normal 4 5 2 3 6" xfId="34501"/>
    <cellStyle name="Normal 4 5 2 3 6 2" xfId="34502"/>
    <cellStyle name="Normal 4 5 2 3 6 3" xfId="34503"/>
    <cellStyle name="Normal 4 5 2 3 7" xfId="34504"/>
    <cellStyle name="Normal 4 5 2 3 8" xfId="34505"/>
    <cellStyle name="Normal 4 5 2 4" xfId="34506"/>
    <cellStyle name="Normal 4 5 2 4 2" xfId="34507"/>
    <cellStyle name="Normal 4 5 2 4 2 2" xfId="34508"/>
    <cellStyle name="Normal 4 5 2 4 2 2 2" xfId="34509"/>
    <cellStyle name="Normal 4 5 2 4 2 2 3" xfId="34510"/>
    <cellStyle name="Normal 4 5 2 4 2 3" xfId="34511"/>
    <cellStyle name="Normal 4 5 2 4 2 3 2" xfId="34512"/>
    <cellStyle name="Normal 4 5 2 4 2 3 3" xfId="34513"/>
    <cellStyle name="Normal 4 5 2 4 2 4" xfId="34514"/>
    <cellStyle name="Normal 4 5 2 4 2 5" xfId="34515"/>
    <cellStyle name="Normal 4 5 2 4 3" xfId="34516"/>
    <cellStyle name="Normal 4 5 2 4 3 2" xfId="34517"/>
    <cellStyle name="Normal 4 5 2 4 3 3" xfId="34518"/>
    <cellStyle name="Normal 4 5 2 4 4" xfId="34519"/>
    <cellStyle name="Normal 4 5 2 4 4 2" xfId="34520"/>
    <cellStyle name="Normal 4 5 2 4 4 3" xfId="34521"/>
    <cellStyle name="Normal 4 5 2 4 5" xfId="34522"/>
    <cellStyle name="Normal 4 5 2 4 6" xfId="34523"/>
    <cellStyle name="Normal 4 5 2 5" xfId="34524"/>
    <cellStyle name="Normal 4 5 2 5 2" xfId="34525"/>
    <cellStyle name="Normal 4 5 2 5 2 2" xfId="34526"/>
    <cellStyle name="Normal 4 5 2 5 2 2 2" xfId="34527"/>
    <cellStyle name="Normal 4 5 2 5 2 2 3" xfId="34528"/>
    <cellStyle name="Normal 4 5 2 5 2 3" xfId="34529"/>
    <cellStyle name="Normal 4 5 2 5 2 3 2" xfId="34530"/>
    <cellStyle name="Normal 4 5 2 5 2 3 3" xfId="34531"/>
    <cellStyle name="Normal 4 5 2 5 2 4" xfId="34532"/>
    <cellStyle name="Normal 4 5 2 5 2 5" xfId="34533"/>
    <cellStyle name="Normal 4 5 2 5 3" xfId="34534"/>
    <cellStyle name="Normal 4 5 2 5 3 2" xfId="34535"/>
    <cellStyle name="Normal 4 5 2 5 3 3" xfId="34536"/>
    <cellStyle name="Normal 4 5 2 5 4" xfId="34537"/>
    <cellStyle name="Normal 4 5 2 5 4 2" xfId="34538"/>
    <cellStyle name="Normal 4 5 2 5 4 3" xfId="34539"/>
    <cellStyle name="Normal 4 5 2 5 5" xfId="34540"/>
    <cellStyle name="Normal 4 5 2 5 6" xfId="34541"/>
    <cellStyle name="Normal 4 5 2 6" xfId="34542"/>
    <cellStyle name="Normal 4 5 2 6 2" xfId="34543"/>
    <cellStyle name="Normal 4 5 2 6 2 2" xfId="34544"/>
    <cellStyle name="Normal 4 5 2 6 2 3" xfId="34545"/>
    <cellStyle name="Normal 4 5 2 6 3" xfId="34546"/>
    <cellStyle name="Normal 4 5 2 6 3 2" xfId="34547"/>
    <cellStyle name="Normal 4 5 2 6 3 3" xfId="34548"/>
    <cellStyle name="Normal 4 5 2 6 4" xfId="34549"/>
    <cellStyle name="Normal 4 5 2 6 5" xfId="34550"/>
    <cellStyle name="Normal 4 5 2 7" xfId="34551"/>
    <cellStyle name="Normal 4 5 2 7 2" xfId="34552"/>
    <cellStyle name="Normal 4 5 2 7 3" xfId="34553"/>
    <cellStyle name="Normal 4 5 2 8" xfId="34554"/>
    <cellStyle name="Normal 4 5 2 8 2" xfId="34555"/>
    <cellStyle name="Normal 4 5 2 8 3" xfId="34556"/>
    <cellStyle name="Normal 4 5 2 9" xfId="34557"/>
    <cellStyle name="Normal 4 5 3" xfId="34558"/>
    <cellStyle name="Normal 4 5 3 10" xfId="34559"/>
    <cellStyle name="Normal 4 5 3 2" xfId="34560"/>
    <cellStyle name="Normal 4 5 3 2 2" xfId="34561"/>
    <cellStyle name="Normal 4 5 3 2 2 2" xfId="34562"/>
    <cellStyle name="Normal 4 5 3 2 2 2 2" xfId="34563"/>
    <cellStyle name="Normal 4 5 3 2 2 2 2 2" xfId="34564"/>
    <cellStyle name="Normal 4 5 3 2 2 2 2 2 2" xfId="34565"/>
    <cellStyle name="Normal 4 5 3 2 2 2 2 2 3" xfId="34566"/>
    <cellStyle name="Normal 4 5 3 2 2 2 2 3" xfId="34567"/>
    <cellStyle name="Normal 4 5 3 2 2 2 2 3 2" xfId="34568"/>
    <cellStyle name="Normal 4 5 3 2 2 2 2 3 3" xfId="34569"/>
    <cellStyle name="Normal 4 5 3 2 2 2 2 4" xfId="34570"/>
    <cellStyle name="Normal 4 5 3 2 2 2 2 5" xfId="34571"/>
    <cellStyle name="Normal 4 5 3 2 2 2 3" xfId="34572"/>
    <cellStyle name="Normal 4 5 3 2 2 2 3 2" xfId="34573"/>
    <cellStyle name="Normal 4 5 3 2 2 2 3 3" xfId="34574"/>
    <cellStyle name="Normal 4 5 3 2 2 2 4" xfId="34575"/>
    <cellStyle name="Normal 4 5 3 2 2 2 4 2" xfId="34576"/>
    <cellStyle name="Normal 4 5 3 2 2 2 4 3" xfId="34577"/>
    <cellStyle name="Normal 4 5 3 2 2 2 5" xfId="34578"/>
    <cellStyle name="Normal 4 5 3 2 2 2 6" xfId="34579"/>
    <cellStyle name="Normal 4 5 3 2 2 3" xfId="34580"/>
    <cellStyle name="Normal 4 5 3 2 2 3 2" xfId="34581"/>
    <cellStyle name="Normal 4 5 3 2 2 3 2 2" xfId="34582"/>
    <cellStyle name="Normal 4 5 3 2 2 3 2 2 2" xfId="34583"/>
    <cellStyle name="Normal 4 5 3 2 2 3 2 2 3" xfId="34584"/>
    <cellStyle name="Normal 4 5 3 2 2 3 2 3" xfId="34585"/>
    <cellStyle name="Normal 4 5 3 2 2 3 2 3 2" xfId="34586"/>
    <cellStyle name="Normal 4 5 3 2 2 3 2 3 3" xfId="34587"/>
    <cellStyle name="Normal 4 5 3 2 2 3 2 4" xfId="34588"/>
    <cellStyle name="Normal 4 5 3 2 2 3 2 5" xfId="34589"/>
    <cellStyle name="Normal 4 5 3 2 2 3 3" xfId="34590"/>
    <cellStyle name="Normal 4 5 3 2 2 3 3 2" xfId="34591"/>
    <cellStyle name="Normal 4 5 3 2 2 3 3 3" xfId="34592"/>
    <cellStyle name="Normal 4 5 3 2 2 3 4" xfId="34593"/>
    <cellStyle name="Normal 4 5 3 2 2 3 4 2" xfId="34594"/>
    <cellStyle name="Normal 4 5 3 2 2 3 4 3" xfId="34595"/>
    <cellStyle name="Normal 4 5 3 2 2 3 5" xfId="34596"/>
    <cellStyle name="Normal 4 5 3 2 2 3 6" xfId="34597"/>
    <cellStyle name="Normal 4 5 3 2 2 4" xfId="34598"/>
    <cellStyle name="Normal 4 5 3 2 2 4 2" xfId="34599"/>
    <cellStyle name="Normal 4 5 3 2 2 4 2 2" xfId="34600"/>
    <cellStyle name="Normal 4 5 3 2 2 4 2 3" xfId="34601"/>
    <cellStyle name="Normal 4 5 3 2 2 4 3" xfId="34602"/>
    <cellStyle name="Normal 4 5 3 2 2 4 3 2" xfId="34603"/>
    <cellStyle name="Normal 4 5 3 2 2 4 3 3" xfId="34604"/>
    <cellStyle name="Normal 4 5 3 2 2 4 4" xfId="34605"/>
    <cellStyle name="Normal 4 5 3 2 2 4 5" xfId="34606"/>
    <cellStyle name="Normal 4 5 3 2 2 5" xfId="34607"/>
    <cellStyle name="Normal 4 5 3 2 2 5 2" xfId="34608"/>
    <cellStyle name="Normal 4 5 3 2 2 5 3" xfId="34609"/>
    <cellStyle name="Normal 4 5 3 2 2 6" xfId="34610"/>
    <cellStyle name="Normal 4 5 3 2 2 6 2" xfId="34611"/>
    <cellStyle name="Normal 4 5 3 2 2 6 3" xfId="34612"/>
    <cellStyle name="Normal 4 5 3 2 2 7" xfId="34613"/>
    <cellStyle name="Normal 4 5 3 2 2 8" xfId="34614"/>
    <cellStyle name="Normal 4 5 3 2 3" xfId="34615"/>
    <cellStyle name="Normal 4 5 3 2 3 2" xfId="34616"/>
    <cellStyle name="Normal 4 5 3 2 3 2 2" xfId="34617"/>
    <cellStyle name="Normal 4 5 3 2 3 2 2 2" xfId="34618"/>
    <cellStyle name="Normal 4 5 3 2 3 2 2 3" xfId="34619"/>
    <cellStyle name="Normal 4 5 3 2 3 2 3" xfId="34620"/>
    <cellStyle name="Normal 4 5 3 2 3 2 3 2" xfId="34621"/>
    <cellStyle name="Normal 4 5 3 2 3 2 3 3" xfId="34622"/>
    <cellStyle name="Normal 4 5 3 2 3 2 4" xfId="34623"/>
    <cellStyle name="Normal 4 5 3 2 3 2 5" xfId="34624"/>
    <cellStyle name="Normal 4 5 3 2 3 3" xfId="34625"/>
    <cellStyle name="Normal 4 5 3 2 3 3 2" xfId="34626"/>
    <cellStyle name="Normal 4 5 3 2 3 3 3" xfId="34627"/>
    <cellStyle name="Normal 4 5 3 2 3 4" xfId="34628"/>
    <cellStyle name="Normal 4 5 3 2 3 4 2" xfId="34629"/>
    <cellStyle name="Normal 4 5 3 2 3 4 3" xfId="34630"/>
    <cellStyle name="Normal 4 5 3 2 3 5" xfId="34631"/>
    <cellStyle name="Normal 4 5 3 2 3 6" xfId="34632"/>
    <cellStyle name="Normal 4 5 3 2 4" xfId="34633"/>
    <cellStyle name="Normal 4 5 3 2 4 2" xfId="34634"/>
    <cellStyle name="Normal 4 5 3 2 4 2 2" xfId="34635"/>
    <cellStyle name="Normal 4 5 3 2 4 2 2 2" xfId="34636"/>
    <cellStyle name="Normal 4 5 3 2 4 2 2 3" xfId="34637"/>
    <cellStyle name="Normal 4 5 3 2 4 2 3" xfId="34638"/>
    <cellStyle name="Normal 4 5 3 2 4 2 3 2" xfId="34639"/>
    <cellStyle name="Normal 4 5 3 2 4 2 3 3" xfId="34640"/>
    <cellStyle name="Normal 4 5 3 2 4 2 4" xfId="34641"/>
    <cellStyle name="Normal 4 5 3 2 4 2 5" xfId="34642"/>
    <cellStyle name="Normal 4 5 3 2 4 3" xfId="34643"/>
    <cellStyle name="Normal 4 5 3 2 4 3 2" xfId="34644"/>
    <cellStyle name="Normal 4 5 3 2 4 3 3" xfId="34645"/>
    <cellStyle name="Normal 4 5 3 2 4 4" xfId="34646"/>
    <cellStyle name="Normal 4 5 3 2 4 4 2" xfId="34647"/>
    <cellStyle name="Normal 4 5 3 2 4 4 3" xfId="34648"/>
    <cellStyle name="Normal 4 5 3 2 4 5" xfId="34649"/>
    <cellStyle name="Normal 4 5 3 2 4 6" xfId="34650"/>
    <cellStyle name="Normal 4 5 3 2 5" xfId="34651"/>
    <cellStyle name="Normal 4 5 3 2 5 2" xfId="34652"/>
    <cellStyle name="Normal 4 5 3 2 5 2 2" xfId="34653"/>
    <cellStyle name="Normal 4 5 3 2 5 2 3" xfId="34654"/>
    <cellStyle name="Normal 4 5 3 2 5 3" xfId="34655"/>
    <cellStyle name="Normal 4 5 3 2 5 3 2" xfId="34656"/>
    <cellStyle name="Normal 4 5 3 2 5 3 3" xfId="34657"/>
    <cellStyle name="Normal 4 5 3 2 5 4" xfId="34658"/>
    <cellStyle name="Normal 4 5 3 2 5 5" xfId="34659"/>
    <cellStyle name="Normal 4 5 3 2 6" xfId="34660"/>
    <cellStyle name="Normal 4 5 3 2 6 2" xfId="34661"/>
    <cellStyle name="Normal 4 5 3 2 6 3" xfId="34662"/>
    <cellStyle name="Normal 4 5 3 2 7" xfId="34663"/>
    <cellStyle name="Normal 4 5 3 2 7 2" xfId="34664"/>
    <cellStyle name="Normal 4 5 3 2 7 3" xfId="34665"/>
    <cellStyle name="Normal 4 5 3 2 8" xfId="34666"/>
    <cellStyle name="Normal 4 5 3 2 9" xfId="34667"/>
    <cellStyle name="Normal 4 5 3 3" xfId="34668"/>
    <cellStyle name="Normal 4 5 3 3 2" xfId="34669"/>
    <cellStyle name="Normal 4 5 3 3 2 2" xfId="34670"/>
    <cellStyle name="Normal 4 5 3 3 2 2 2" xfId="34671"/>
    <cellStyle name="Normal 4 5 3 3 2 2 2 2" xfId="34672"/>
    <cellStyle name="Normal 4 5 3 3 2 2 2 3" xfId="34673"/>
    <cellStyle name="Normal 4 5 3 3 2 2 3" xfId="34674"/>
    <cellStyle name="Normal 4 5 3 3 2 2 3 2" xfId="34675"/>
    <cellStyle name="Normal 4 5 3 3 2 2 3 3" xfId="34676"/>
    <cellStyle name="Normal 4 5 3 3 2 2 4" xfId="34677"/>
    <cellStyle name="Normal 4 5 3 3 2 2 5" xfId="34678"/>
    <cellStyle name="Normal 4 5 3 3 2 3" xfId="34679"/>
    <cellStyle name="Normal 4 5 3 3 2 3 2" xfId="34680"/>
    <cellStyle name="Normal 4 5 3 3 2 3 3" xfId="34681"/>
    <cellStyle name="Normal 4 5 3 3 2 4" xfId="34682"/>
    <cellStyle name="Normal 4 5 3 3 2 4 2" xfId="34683"/>
    <cellStyle name="Normal 4 5 3 3 2 4 3" xfId="34684"/>
    <cellStyle name="Normal 4 5 3 3 2 5" xfId="34685"/>
    <cellStyle name="Normal 4 5 3 3 2 6" xfId="34686"/>
    <cellStyle name="Normal 4 5 3 3 3" xfId="34687"/>
    <cellStyle name="Normal 4 5 3 3 3 2" xfId="34688"/>
    <cellStyle name="Normal 4 5 3 3 3 2 2" xfId="34689"/>
    <cellStyle name="Normal 4 5 3 3 3 2 2 2" xfId="34690"/>
    <cellStyle name="Normal 4 5 3 3 3 2 2 3" xfId="34691"/>
    <cellStyle name="Normal 4 5 3 3 3 2 3" xfId="34692"/>
    <cellStyle name="Normal 4 5 3 3 3 2 3 2" xfId="34693"/>
    <cellStyle name="Normal 4 5 3 3 3 2 3 3" xfId="34694"/>
    <cellStyle name="Normal 4 5 3 3 3 2 4" xfId="34695"/>
    <cellStyle name="Normal 4 5 3 3 3 2 5" xfId="34696"/>
    <cellStyle name="Normal 4 5 3 3 3 3" xfId="34697"/>
    <cellStyle name="Normal 4 5 3 3 3 3 2" xfId="34698"/>
    <cellStyle name="Normal 4 5 3 3 3 3 3" xfId="34699"/>
    <cellStyle name="Normal 4 5 3 3 3 4" xfId="34700"/>
    <cellStyle name="Normal 4 5 3 3 3 4 2" xfId="34701"/>
    <cellStyle name="Normal 4 5 3 3 3 4 3" xfId="34702"/>
    <cellStyle name="Normal 4 5 3 3 3 5" xfId="34703"/>
    <cellStyle name="Normal 4 5 3 3 3 6" xfId="34704"/>
    <cellStyle name="Normal 4 5 3 3 4" xfId="34705"/>
    <cellStyle name="Normal 4 5 3 3 4 2" xfId="34706"/>
    <cellStyle name="Normal 4 5 3 3 4 2 2" xfId="34707"/>
    <cellStyle name="Normal 4 5 3 3 4 2 3" xfId="34708"/>
    <cellStyle name="Normal 4 5 3 3 4 3" xfId="34709"/>
    <cellStyle name="Normal 4 5 3 3 4 3 2" xfId="34710"/>
    <cellStyle name="Normal 4 5 3 3 4 3 3" xfId="34711"/>
    <cellStyle name="Normal 4 5 3 3 4 4" xfId="34712"/>
    <cellStyle name="Normal 4 5 3 3 4 5" xfId="34713"/>
    <cellStyle name="Normal 4 5 3 3 5" xfId="34714"/>
    <cellStyle name="Normal 4 5 3 3 5 2" xfId="34715"/>
    <cellStyle name="Normal 4 5 3 3 5 3" xfId="34716"/>
    <cellStyle name="Normal 4 5 3 3 6" xfId="34717"/>
    <cellStyle name="Normal 4 5 3 3 6 2" xfId="34718"/>
    <cellStyle name="Normal 4 5 3 3 6 3" xfId="34719"/>
    <cellStyle name="Normal 4 5 3 3 7" xfId="34720"/>
    <cellStyle name="Normal 4 5 3 3 8" xfId="34721"/>
    <cellStyle name="Normal 4 5 3 4" xfId="34722"/>
    <cellStyle name="Normal 4 5 3 4 2" xfId="34723"/>
    <cellStyle name="Normal 4 5 3 4 2 2" xfId="34724"/>
    <cellStyle name="Normal 4 5 3 4 2 2 2" xfId="34725"/>
    <cellStyle name="Normal 4 5 3 4 2 2 3" xfId="34726"/>
    <cellStyle name="Normal 4 5 3 4 2 3" xfId="34727"/>
    <cellStyle name="Normal 4 5 3 4 2 3 2" xfId="34728"/>
    <cellStyle name="Normal 4 5 3 4 2 3 3" xfId="34729"/>
    <cellStyle name="Normal 4 5 3 4 2 4" xfId="34730"/>
    <cellStyle name="Normal 4 5 3 4 2 5" xfId="34731"/>
    <cellStyle name="Normal 4 5 3 4 3" xfId="34732"/>
    <cellStyle name="Normal 4 5 3 4 3 2" xfId="34733"/>
    <cellStyle name="Normal 4 5 3 4 3 3" xfId="34734"/>
    <cellStyle name="Normal 4 5 3 4 4" xfId="34735"/>
    <cellStyle name="Normal 4 5 3 4 4 2" xfId="34736"/>
    <cellStyle name="Normal 4 5 3 4 4 3" xfId="34737"/>
    <cellStyle name="Normal 4 5 3 4 5" xfId="34738"/>
    <cellStyle name="Normal 4 5 3 4 6" xfId="34739"/>
    <cellStyle name="Normal 4 5 3 5" xfId="34740"/>
    <cellStyle name="Normal 4 5 3 5 2" xfId="34741"/>
    <cellStyle name="Normal 4 5 3 5 2 2" xfId="34742"/>
    <cellStyle name="Normal 4 5 3 5 2 2 2" xfId="34743"/>
    <cellStyle name="Normal 4 5 3 5 2 2 3" xfId="34744"/>
    <cellStyle name="Normal 4 5 3 5 2 3" xfId="34745"/>
    <cellStyle name="Normal 4 5 3 5 2 3 2" xfId="34746"/>
    <cellStyle name="Normal 4 5 3 5 2 3 3" xfId="34747"/>
    <cellStyle name="Normal 4 5 3 5 2 4" xfId="34748"/>
    <cellStyle name="Normal 4 5 3 5 2 5" xfId="34749"/>
    <cellStyle name="Normal 4 5 3 5 3" xfId="34750"/>
    <cellStyle name="Normal 4 5 3 5 3 2" xfId="34751"/>
    <cellStyle name="Normal 4 5 3 5 3 3" xfId="34752"/>
    <cellStyle name="Normal 4 5 3 5 4" xfId="34753"/>
    <cellStyle name="Normal 4 5 3 5 4 2" xfId="34754"/>
    <cellStyle name="Normal 4 5 3 5 4 3" xfId="34755"/>
    <cellStyle name="Normal 4 5 3 5 5" xfId="34756"/>
    <cellStyle name="Normal 4 5 3 5 6" xfId="34757"/>
    <cellStyle name="Normal 4 5 3 6" xfId="34758"/>
    <cellStyle name="Normal 4 5 3 6 2" xfId="34759"/>
    <cellStyle name="Normal 4 5 3 6 2 2" xfId="34760"/>
    <cellStyle name="Normal 4 5 3 6 2 3" xfId="34761"/>
    <cellStyle name="Normal 4 5 3 6 3" xfId="34762"/>
    <cellStyle name="Normal 4 5 3 6 3 2" xfId="34763"/>
    <cellStyle name="Normal 4 5 3 6 3 3" xfId="34764"/>
    <cellStyle name="Normal 4 5 3 6 4" xfId="34765"/>
    <cellStyle name="Normal 4 5 3 6 5" xfId="34766"/>
    <cellStyle name="Normal 4 5 3 7" xfId="34767"/>
    <cellStyle name="Normal 4 5 3 7 2" xfId="34768"/>
    <cellStyle name="Normal 4 5 3 7 3" xfId="34769"/>
    <cellStyle name="Normal 4 5 3 8" xfId="34770"/>
    <cellStyle name="Normal 4 5 3 8 2" xfId="34771"/>
    <cellStyle name="Normal 4 5 3 8 3" xfId="34772"/>
    <cellStyle name="Normal 4 5 3 9" xfId="34773"/>
    <cellStyle name="Normal 4 5 4" xfId="34774"/>
    <cellStyle name="Normal 4 5 4 2" xfId="34775"/>
    <cellStyle name="Normal 4 5 4 2 2" xfId="34776"/>
    <cellStyle name="Normal 4 5 4 2 2 2" xfId="34777"/>
    <cellStyle name="Normal 4 5 4 2 2 2 2" xfId="34778"/>
    <cellStyle name="Normal 4 5 4 2 2 2 2 2" xfId="34779"/>
    <cellStyle name="Normal 4 5 4 2 2 2 2 3" xfId="34780"/>
    <cellStyle name="Normal 4 5 4 2 2 2 3" xfId="34781"/>
    <cellStyle name="Normal 4 5 4 2 2 2 3 2" xfId="34782"/>
    <cellStyle name="Normal 4 5 4 2 2 2 3 3" xfId="34783"/>
    <cellStyle name="Normal 4 5 4 2 2 2 4" xfId="34784"/>
    <cellStyle name="Normal 4 5 4 2 2 2 5" xfId="34785"/>
    <cellStyle name="Normal 4 5 4 2 2 3" xfId="34786"/>
    <cellStyle name="Normal 4 5 4 2 2 3 2" xfId="34787"/>
    <cellStyle name="Normal 4 5 4 2 2 3 3" xfId="34788"/>
    <cellStyle name="Normal 4 5 4 2 2 4" xfId="34789"/>
    <cellStyle name="Normal 4 5 4 2 2 4 2" xfId="34790"/>
    <cellStyle name="Normal 4 5 4 2 2 4 3" xfId="34791"/>
    <cellStyle name="Normal 4 5 4 2 2 5" xfId="34792"/>
    <cellStyle name="Normal 4 5 4 2 2 6" xfId="34793"/>
    <cellStyle name="Normal 4 5 4 2 3" xfId="34794"/>
    <cellStyle name="Normal 4 5 4 2 3 2" xfId="34795"/>
    <cellStyle name="Normal 4 5 4 2 3 2 2" xfId="34796"/>
    <cellStyle name="Normal 4 5 4 2 3 2 2 2" xfId="34797"/>
    <cellStyle name="Normal 4 5 4 2 3 2 2 3" xfId="34798"/>
    <cellStyle name="Normal 4 5 4 2 3 2 3" xfId="34799"/>
    <cellStyle name="Normal 4 5 4 2 3 2 3 2" xfId="34800"/>
    <cellStyle name="Normal 4 5 4 2 3 2 3 3" xfId="34801"/>
    <cellStyle name="Normal 4 5 4 2 3 2 4" xfId="34802"/>
    <cellStyle name="Normal 4 5 4 2 3 2 5" xfId="34803"/>
    <cellStyle name="Normal 4 5 4 2 3 3" xfId="34804"/>
    <cellStyle name="Normal 4 5 4 2 3 3 2" xfId="34805"/>
    <cellStyle name="Normal 4 5 4 2 3 3 3" xfId="34806"/>
    <cellStyle name="Normal 4 5 4 2 3 4" xfId="34807"/>
    <cellStyle name="Normal 4 5 4 2 3 4 2" xfId="34808"/>
    <cellStyle name="Normal 4 5 4 2 3 4 3" xfId="34809"/>
    <cellStyle name="Normal 4 5 4 2 3 5" xfId="34810"/>
    <cellStyle name="Normal 4 5 4 2 3 6" xfId="34811"/>
    <cellStyle name="Normal 4 5 4 2 4" xfId="34812"/>
    <cellStyle name="Normal 4 5 4 2 4 2" xfId="34813"/>
    <cellStyle name="Normal 4 5 4 2 4 2 2" xfId="34814"/>
    <cellStyle name="Normal 4 5 4 2 4 2 3" xfId="34815"/>
    <cellStyle name="Normal 4 5 4 2 4 3" xfId="34816"/>
    <cellStyle name="Normal 4 5 4 2 4 3 2" xfId="34817"/>
    <cellStyle name="Normal 4 5 4 2 4 3 3" xfId="34818"/>
    <cellStyle name="Normal 4 5 4 2 4 4" xfId="34819"/>
    <cellStyle name="Normal 4 5 4 2 4 5" xfId="34820"/>
    <cellStyle name="Normal 4 5 4 2 5" xfId="34821"/>
    <cellStyle name="Normal 4 5 4 2 5 2" xfId="34822"/>
    <cellStyle name="Normal 4 5 4 2 5 3" xfId="34823"/>
    <cellStyle name="Normal 4 5 4 2 6" xfId="34824"/>
    <cellStyle name="Normal 4 5 4 2 6 2" xfId="34825"/>
    <cellStyle name="Normal 4 5 4 2 6 3" xfId="34826"/>
    <cellStyle name="Normal 4 5 4 2 7" xfId="34827"/>
    <cellStyle name="Normal 4 5 4 2 8" xfId="34828"/>
    <cellStyle name="Normal 4 5 4 3" xfId="34829"/>
    <cellStyle name="Normal 4 5 4 3 2" xfId="34830"/>
    <cellStyle name="Normal 4 5 4 3 2 2" xfId="34831"/>
    <cellStyle name="Normal 4 5 4 3 2 2 2" xfId="34832"/>
    <cellStyle name="Normal 4 5 4 3 2 2 3" xfId="34833"/>
    <cellStyle name="Normal 4 5 4 3 2 3" xfId="34834"/>
    <cellStyle name="Normal 4 5 4 3 2 3 2" xfId="34835"/>
    <cellStyle name="Normal 4 5 4 3 2 3 3" xfId="34836"/>
    <cellStyle name="Normal 4 5 4 3 2 4" xfId="34837"/>
    <cellStyle name="Normal 4 5 4 3 2 5" xfId="34838"/>
    <cellStyle name="Normal 4 5 4 3 3" xfId="34839"/>
    <cellStyle name="Normal 4 5 4 3 3 2" xfId="34840"/>
    <cellStyle name="Normal 4 5 4 3 3 3" xfId="34841"/>
    <cellStyle name="Normal 4 5 4 3 4" xfId="34842"/>
    <cellStyle name="Normal 4 5 4 3 4 2" xfId="34843"/>
    <cellStyle name="Normal 4 5 4 3 4 3" xfId="34844"/>
    <cellStyle name="Normal 4 5 4 3 5" xfId="34845"/>
    <cellStyle name="Normal 4 5 4 3 6" xfId="34846"/>
    <cellStyle name="Normal 4 5 4 4" xfId="34847"/>
    <cellStyle name="Normal 4 5 4 4 2" xfId="34848"/>
    <cellStyle name="Normal 4 5 4 4 2 2" xfId="34849"/>
    <cellStyle name="Normal 4 5 4 4 2 2 2" xfId="34850"/>
    <cellStyle name="Normal 4 5 4 4 2 2 3" xfId="34851"/>
    <cellStyle name="Normal 4 5 4 4 2 3" xfId="34852"/>
    <cellStyle name="Normal 4 5 4 4 2 3 2" xfId="34853"/>
    <cellStyle name="Normal 4 5 4 4 2 3 3" xfId="34854"/>
    <cellStyle name="Normal 4 5 4 4 2 4" xfId="34855"/>
    <cellStyle name="Normal 4 5 4 4 2 5" xfId="34856"/>
    <cellStyle name="Normal 4 5 4 4 3" xfId="34857"/>
    <cellStyle name="Normal 4 5 4 4 3 2" xfId="34858"/>
    <cellStyle name="Normal 4 5 4 4 3 3" xfId="34859"/>
    <cellStyle name="Normal 4 5 4 4 4" xfId="34860"/>
    <cellStyle name="Normal 4 5 4 4 4 2" xfId="34861"/>
    <cellStyle name="Normal 4 5 4 4 4 3" xfId="34862"/>
    <cellStyle name="Normal 4 5 4 4 5" xfId="34863"/>
    <cellStyle name="Normal 4 5 4 4 6" xfId="34864"/>
    <cellStyle name="Normal 4 5 4 5" xfId="34865"/>
    <cellStyle name="Normal 4 5 4 5 2" xfId="34866"/>
    <cellStyle name="Normal 4 5 4 5 2 2" xfId="34867"/>
    <cellStyle name="Normal 4 5 4 5 2 3" xfId="34868"/>
    <cellStyle name="Normal 4 5 4 5 3" xfId="34869"/>
    <cellStyle name="Normal 4 5 4 5 3 2" xfId="34870"/>
    <cellStyle name="Normal 4 5 4 5 3 3" xfId="34871"/>
    <cellStyle name="Normal 4 5 4 5 4" xfId="34872"/>
    <cellStyle name="Normal 4 5 4 5 5" xfId="34873"/>
    <cellStyle name="Normal 4 5 4 6" xfId="34874"/>
    <cellStyle name="Normal 4 5 4 6 2" xfId="34875"/>
    <cellStyle name="Normal 4 5 4 6 3" xfId="34876"/>
    <cellStyle name="Normal 4 5 4 7" xfId="34877"/>
    <cellStyle name="Normal 4 5 4 7 2" xfId="34878"/>
    <cellStyle name="Normal 4 5 4 7 3" xfId="34879"/>
    <cellStyle name="Normal 4 5 4 8" xfId="34880"/>
    <cellStyle name="Normal 4 5 4 9" xfId="34881"/>
    <cellStyle name="Normal 4 5 5" xfId="34882"/>
    <cellStyle name="Normal 4 5 5 2" xfId="34883"/>
    <cellStyle name="Normal 4 5 5 2 2" xfId="34884"/>
    <cellStyle name="Normal 4 5 5 2 2 2" xfId="34885"/>
    <cellStyle name="Normal 4 5 5 2 2 2 2" xfId="34886"/>
    <cellStyle name="Normal 4 5 5 2 2 2 3" xfId="34887"/>
    <cellStyle name="Normal 4 5 5 2 2 3" xfId="34888"/>
    <cellStyle name="Normal 4 5 5 2 2 3 2" xfId="34889"/>
    <cellStyle name="Normal 4 5 5 2 2 3 3" xfId="34890"/>
    <cellStyle name="Normal 4 5 5 2 2 4" xfId="34891"/>
    <cellStyle name="Normal 4 5 5 2 2 5" xfId="34892"/>
    <cellStyle name="Normal 4 5 5 2 3" xfId="34893"/>
    <cellStyle name="Normal 4 5 5 2 3 2" xfId="34894"/>
    <cellStyle name="Normal 4 5 5 2 3 3" xfId="34895"/>
    <cellStyle name="Normal 4 5 5 2 4" xfId="34896"/>
    <cellStyle name="Normal 4 5 5 2 4 2" xfId="34897"/>
    <cellStyle name="Normal 4 5 5 2 4 3" xfId="34898"/>
    <cellStyle name="Normal 4 5 5 2 5" xfId="34899"/>
    <cellStyle name="Normal 4 5 5 2 6" xfId="34900"/>
    <cellStyle name="Normal 4 5 5 3" xfId="34901"/>
    <cellStyle name="Normal 4 5 5 3 2" xfId="34902"/>
    <cellStyle name="Normal 4 5 5 3 2 2" xfId="34903"/>
    <cellStyle name="Normal 4 5 5 3 2 2 2" xfId="34904"/>
    <cellStyle name="Normal 4 5 5 3 2 2 3" xfId="34905"/>
    <cellStyle name="Normal 4 5 5 3 2 3" xfId="34906"/>
    <cellStyle name="Normal 4 5 5 3 2 3 2" xfId="34907"/>
    <cellStyle name="Normal 4 5 5 3 2 3 3" xfId="34908"/>
    <cellStyle name="Normal 4 5 5 3 2 4" xfId="34909"/>
    <cellStyle name="Normal 4 5 5 3 2 5" xfId="34910"/>
    <cellStyle name="Normal 4 5 5 3 3" xfId="34911"/>
    <cellStyle name="Normal 4 5 5 3 3 2" xfId="34912"/>
    <cellStyle name="Normal 4 5 5 3 3 3" xfId="34913"/>
    <cellStyle name="Normal 4 5 5 3 4" xfId="34914"/>
    <cellStyle name="Normal 4 5 5 3 4 2" xfId="34915"/>
    <cellStyle name="Normal 4 5 5 3 4 3" xfId="34916"/>
    <cellStyle name="Normal 4 5 5 3 5" xfId="34917"/>
    <cellStyle name="Normal 4 5 5 3 6" xfId="34918"/>
    <cellStyle name="Normal 4 5 5 4" xfId="34919"/>
    <cellStyle name="Normal 4 5 5 4 2" xfId="34920"/>
    <cellStyle name="Normal 4 5 5 4 2 2" xfId="34921"/>
    <cellStyle name="Normal 4 5 5 4 2 3" xfId="34922"/>
    <cellStyle name="Normal 4 5 5 4 3" xfId="34923"/>
    <cellStyle name="Normal 4 5 5 4 3 2" xfId="34924"/>
    <cellStyle name="Normal 4 5 5 4 3 3" xfId="34925"/>
    <cellStyle name="Normal 4 5 5 4 4" xfId="34926"/>
    <cellStyle name="Normal 4 5 5 4 5" xfId="34927"/>
    <cellStyle name="Normal 4 5 5 5" xfId="34928"/>
    <cellStyle name="Normal 4 5 5 5 2" xfId="34929"/>
    <cellStyle name="Normal 4 5 5 5 3" xfId="34930"/>
    <cellStyle name="Normal 4 5 5 6" xfId="34931"/>
    <cellStyle name="Normal 4 5 5 6 2" xfId="34932"/>
    <cellStyle name="Normal 4 5 5 6 3" xfId="34933"/>
    <cellStyle name="Normal 4 5 5 7" xfId="34934"/>
    <cellStyle name="Normal 4 5 5 8" xfId="34935"/>
    <cellStyle name="Normal 4 5 6" xfId="34936"/>
    <cellStyle name="Normal 4 5 6 2" xfId="34937"/>
    <cellStyle name="Normal 4 5 6 2 2" xfId="34938"/>
    <cellStyle name="Normal 4 5 6 2 2 2" xfId="34939"/>
    <cellStyle name="Normal 4 5 6 2 2 3" xfId="34940"/>
    <cellStyle name="Normal 4 5 6 2 3" xfId="34941"/>
    <cellStyle name="Normal 4 5 6 2 3 2" xfId="34942"/>
    <cellStyle name="Normal 4 5 6 2 3 3" xfId="34943"/>
    <cellStyle name="Normal 4 5 6 2 4" xfId="34944"/>
    <cellStyle name="Normal 4 5 6 2 5" xfId="34945"/>
    <cellStyle name="Normal 4 5 6 3" xfId="34946"/>
    <cellStyle name="Normal 4 5 6 3 2" xfId="34947"/>
    <cellStyle name="Normal 4 5 6 3 3" xfId="34948"/>
    <cellStyle name="Normal 4 5 6 4" xfId="34949"/>
    <cellStyle name="Normal 4 5 6 4 2" xfId="34950"/>
    <cellStyle name="Normal 4 5 6 4 3" xfId="34951"/>
    <cellStyle name="Normal 4 5 6 5" xfId="34952"/>
    <cellStyle name="Normal 4 5 6 6" xfId="34953"/>
    <cellStyle name="Normal 4 5 7" xfId="34954"/>
    <cellStyle name="Normal 4 5 7 2" xfId="34955"/>
    <cellStyle name="Normal 4 5 7 2 2" xfId="34956"/>
    <cellStyle name="Normal 4 5 7 2 2 2" xfId="34957"/>
    <cellStyle name="Normal 4 5 7 2 2 3" xfId="34958"/>
    <cellStyle name="Normal 4 5 7 2 3" xfId="34959"/>
    <cellStyle name="Normal 4 5 7 2 3 2" xfId="34960"/>
    <cellStyle name="Normal 4 5 7 2 3 3" xfId="34961"/>
    <cellStyle name="Normal 4 5 7 2 4" xfId="34962"/>
    <cellStyle name="Normal 4 5 7 2 5" xfId="34963"/>
    <cellStyle name="Normal 4 5 7 3" xfId="34964"/>
    <cellStyle name="Normal 4 5 7 3 2" xfId="34965"/>
    <cellStyle name="Normal 4 5 7 3 3" xfId="34966"/>
    <cellStyle name="Normal 4 5 7 4" xfId="34967"/>
    <cellStyle name="Normal 4 5 7 4 2" xfId="34968"/>
    <cellStyle name="Normal 4 5 7 4 3" xfId="34969"/>
    <cellStyle name="Normal 4 5 7 5" xfId="34970"/>
    <cellStyle name="Normal 4 5 7 6" xfId="34971"/>
    <cellStyle name="Normal 4 5 8" xfId="34972"/>
    <cellStyle name="Normal 4 5 8 2" xfId="34973"/>
    <cellStyle name="Normal 4 5 8 2 2" xfId="34974"/>
    <cellStyle name="Normal 4 5 8 2 3" xfId="34975"/>
    <cellStyle name="Normal 4 5 8 3" xfId="34976"/>
    <cellStyle name="Normal 4 5 8 3 2" xfId="34977"/>
    <cellStyle name="Normal 4 5 8 3 3" xfId="34978"/>
    <cellStyle name="Normal 4 5 8 4" xfId="34979"/>
    <cellStyle name="Normal 4 5 8 5" xfId="34980"/>
    <cellStyle name="Normal 4 5 9" xfId="34981"/>
    <cellStyle name="Normal 4 5 9 2" xfId="34982"/>
    <cellStyle name="Normal 4 5 9 3" xfId="34983"/>
    <cellStyle name="Normal 4 6" xfId="34984"/>
    <cellStyle name="Normal 4 6 10" xfId="34985"/>
    <cellStyle name="Normal 4 6 11" xfId="34986"/>
    <cellStyle name="Normal 4 6 12" xfId="34987"/>
    <cellStyle name="Normal 4 6 2" xfId="34988"/>
    <cellStyle name="Normal 4 6 2 2" xfId="34989"/>
    <cellStyle name="Normal 4 6 2 2 2" xfId="34990"/>
    <cellStyle name="Normal 4 6 2 2 2 2" xfId="34991"/>
    <cellStyle name="Normal 4 6 2 2 2 2 2" xfId="34992"/>
    <cellStyle name="Normal 4 6 2 2 2 2 2 2" xfId="34993"/>
    <cellStyle name="Normal 4 6 2 2 2 2 2 3" xfId="34994"/>
    <cellStyle name="Normal 4 6 2 2 2 2 3" xfId="34995"/>
    <cellStyle name="Normal 4 6 2 2 2 2 3 2" xfId="34996"/>
    <cellStyle name="Normal 4 6 2 2 2 2 3 3" xfId="34997"/>
    <cellStyle name="Normal 4 6 2 2 2 2 4" xfId="34998"/>
    <cellStyle name="Normal 4 6 2 2 2 2 5" xfId="34999"/>
    <cellStyle name="Normal 4 6 2 2 2 3" xfId="35000"/>
    <cellStyle name="Normal 4 6 2 2 2 3 2" xfId="35001"/>
    <cellStyle name="Normal 4 6 2 2 2 3 3" xfId="35002"/>
    <cellStyle name="Normal 4 6 2 2 2 4" xfId="35003"/>
    <cellStyle name="Normal 4 6 2 2 2 4 2" xfId="35004"/>
    <cellStyle name="Normal 4 6 2 2 2 4 3" xfId="35005"/>
    <cellStyle name="Normal 4 6 2 2 2 5" xfId="35006"/>
    <cellStyle name="Normal 4 6 2 2 2 6" xfId="35007"/>
    <cellStyle name="Normal 4 6 2 2 3" xfId="35008"/>
    <cellStyle name="Normal 4 6 2 2 3 2" xfId="35009"/>
    <cellStyle name="Normal 4 6 2 2 3 2 2" xfId="35010"/>
    <cellStyle name="Normal 4 6 2 2 3 2 2 2" xfId="35011"/>
    <cellStyle name="Normal 4 6 2 2 3 2 2 3" xfId="35012"/>
    <cellStyle name="Normal 4 6 2 2 3 2 3" xfId="35013"/>
    <cellStyle name="Normal 4 6 2 2 3 2 3 2" xfId="35014"/>
    <cellStyle name="Normal 4 6 2 2 3 2 3 3" xfId="35015"/>
    <cellStyle name="Normal 4 6 2 2 3 2 4" xfId="35016"/>
    <cellStyle name="Normal 4 6 2 2 3 2 5" xfId="35017"/>
    <cellStyle name="Normal 4 6 2 2 3 3" xfId="35018"/>
    <cellStyle name="Normal 4 6 2 2 3 3 2" xfId="35019"/>
    <cellStyle name="Normal 4 6 2 2 3 3 3" xfId="35020"/>
    <cellStyle name="Normal 4 6 2 2 3 4" xfId="35021"/>
    <cellStyle name="Normal 4 6 2 2 3 4 2" xfId="35022"/>
    <cellStyle name="Normal 4 6 2 2 3 4 3" xfId="35023"/>
    <cellStyle name="Normal 4 6 2 2 3 5" xfId="35024"/>
    <cellStyle name="Normal 4 6 2 2 3 6" xfId="35025"/>
    <cellStyle name="Normal 4 6 2 2 4" xfId="35026"/>
    <cellStyle name="Normal 4 6 2 2 4 2" xfId="35027"/>
    <cellStyle name="Normal 4 6 2 2 4 2 2" xfId="35028"/>
    <cellStyle name="Normal 4 6 2 2 4 2 3" xfId="35029"/>
    <cellStyle name="Normal 4 6 2 2 4 3" xfId="35030"/>
    <cellStyle name="Normal 4 6 2 2 4 3 2" xfId="35031"/>
    <cellStyle name="Normal 4 6 2 2 4 3 3" xfId="35032"/>
    <cellStyle name="Normal 4 6 2 2 4 4" xfId="35033"/>
    <cellStyle name="Normal 4 6 2 2 4 5" xfId="35034"/>
    <cellStyle name="Normal 4 6 2 2 5" xfId="35035"/>
    <cellStyle name="Normal 4 6 2 2 5 2" xfId="35036"/>
    <cellStyle name="Normal 4 6 2 2 5 3" xfId="35037"/>
    <cellStyle name="Normal 4 6 2 2 6" xfId="35038"/>
    <cellStyle name="Normal 4 6 2 2 6 2" xfId="35039"/>
    <cellStyle name="Normal 4 6 2 2 6 3" xfId="35040"/>
    <cellStyle name="Normal 4 6 2 2 7" xfId="35041"/>
    <cellStyle name="Normal 4 6 2 2 8" xfId="35042"/>
    <cellStyle name="Normal 4 6 2 3" xfId="35043"/>
    <cellStyle name="Normal 4 6 2 3 2" xfId="35044"/>
    <cellStyle name="Normal 4 6 2 3 2 2" xfId="35045"/>
    <cellStyle name="Normal 4 6 2 3 2 2 2" xfId="35046"/>
    <cellStyle name="Normal 4 6 2 3 2 2 3" xfId="35047"/>
    <cellStyle name="Normal 4 6 2 3 2 3" xfId="35048"/>
    <cellStyle name="Normal 4 6 2 3 2 3 2" xfId="35049"/>
    <cellStyle name="Normal 4 6 2 3 2 3 3" xfId="35050"/>
    <cellStyle name="Normal 4 6 2 3 2 4" xfId="35051"/>
    <cellStyle name="Normal 4 6 2 3 2 5" xfId="35052"/>
    <cellStyle name="Normal 4 6 2 3 3" xfId="35053"/>
    <cellStyle name="Normal 4 6 2 3 3 2" xfId="35054"/>
    <cellStyle name="Normal 4 6 2 3 3 3" xfId="35055"/>
    <cellStyle name="Normal 4 6 2 3 4" xfId="35056"/>
    <cellStyle name="Normal 4 6 2 3 4 2" xfId="35057"/>
    <cellStyle name="Normal 4 6 2 3 4 3" xfId="35058"/>
    <cellStyle name="Normal 4 6 2 3 5" xfId="35059"/>
    <cellStyle name="Normal 4 6 2 3 6" xfId="35060"/>
    <cellStyle name="Normal 4 6 2 4" xfId="35061"/>
    <cellStyle name="Normal 4 6 2 4 2" xfId="35062"/>
    <cellStyle name="Normal 4 6 2 4 2 2" xfId="35063"/>
    <cellStyle name="Normal 4 6 2 4 2 2 2" xfId="35064"/>
    <cellStyle name="Normal 4 6 2 4 2 2 3" xfId="35065"/>
    <cellStyle name="Normal 4 6 2 4 2 3" xfId="35066"/>
    <cellStyle name="Normal 4 6 2 4 2 3 2" xfId="35067"/>
    <cellStyle name="Normal 4 6 2 4 2 3 3" xfId="35068"/>
    <cellStyle name="Normal 4 6 2 4 2 4" xfId="35069"/>
    <cellStyle name="Normal 4 6 2 4 2 5" xfId="35070"/>
    <cellStyle name="Normal 4 6 2 4 3" xfId="35071"/>
    <cellStyle name="Normal 4 6 2 4 3 2" xfId="35072"/>
    <cellStyle name="Normal 4 6 2 4 3 3" xfId="35073"/>
    <cellStyle name="Normal 4 6 2 4 4" xfId="35074"/>
    <cellStyle name="Normal 4 6 2 4 4 2" xfId="35075"/>
    <cellStyle name="Normal 4 6 2 4 4 3" xfId="35076"/>
    <cellStyle name="Normal 4 6 2 4 5" xfId="35077"/>
    <cellStyle name="Normal 4 6 2 4 6" xfId="35078"/>
    <cellStyle name="Normal 4 6 2 5" xfId="35079"/>
    <cellStyle name="Normal 4 6 2 5 2" xfId="35080"/>
    <cellStyle name="Normal 4 6 2 5 2 2" xfId="35081"/>
    <cellStyle name="Normal 4 6 2 5 2 3" xfId="35082"/>
    <cellStyle name="Normal 4 6 2 5 3" xfId="35083"/>
    <cellStyle name="Normal 4 6 2 5 3 2" xfId="35084"/>
    <cellStyle name="Normal 4 6 2 5 3 3" xfId="35085"/>
    <cellStyle name="Normal 4 6 2 5 4" xfId="35086"/>
    <cellStyle name="Normal 4 6 2 5 5" xfId="35087"/>
    <cellStyle name="Normal 4 6 2 6" xfId="35088"/>
    <cellStyle name="Normal 4 6 2 6 2" xfId="35089"/>
    <cellStyle name="Normal 4 6 2 6 3" xfId="35090"/>
    <cellStyle name="Normal 4 6 2 7" xfId="35091"/>
    <cellStyle name="Normal 4 6 2 7 2" xfId="35092"/>
    <cellStyle name="Normal 4 6 2 7 3" xfId="35093"/>
    <cellStyle name="Normal 4 6 2 8" xfId="35094"/>
    <cellStyle name="Normal 4 6 2 9" xfId="35095"/>
    <cellStyle name="Normal 4 6 3" xfId="35096"/>
    <cellStyle name="Normal 4 6 3 2" xfId="35097"/>
    <cellStyle name="Normal 4 6 3 2 2" xfId="35098"/>
    <cellStyle name="Normal 4 6 3 2 2 2" xfId="35099"/>
    <cellStyle name="Normal 4 6 3 2 2 2 2" xfId="35100"/>
    <cellStyle name="Normal 4 6 3 2 2 2 3" xfId="35101"/>
    <cellStyle name="Normal 4 6 3 2 2 3" xfId="35102"/>
    <cellStyle name="Normal 4 6 3 2 2 3 2" xfId="35103"/>
    <cellStyle name="Normal 4 6 3 2 2 3 3" xfId="35104"/>
    <cellStyle name="Normal 4 6 3 2 2 4" xfId="35105"/>
    <cellStyle name="Normal 4 6 3 2 2 5" xfId="35106"/>
    <cellStyle name="Normal 4 6 3 2 3" xfId="35107"/>
    <cellStyle name="Normal 4 6 3 2 3 2" xfId="35108"/>
    <cellStyle name="Normal 4 6 3 2 3 3" xfId="35109"/>
    <cellStyle name="Normal 4 6 3 2 4" xfId="35110"/>
    <cellStyle name="Normal 4 6 3 2 4 2" xfId="35111"/>
    <cellStyle name="Normal 4 6 3 2 4 3" xfId="35112"/>
    <cellStyle name="Normal 4 6 3 2 5" xfId="35113"/>
    <cellStyle name="Normal 4 6 3 2 6" xfId="35114"/>
    <cellStyle name="Normal 4 6 3 3" xfId="35115"/>
    <cellStyle name="Normal 4 6 3 3 2" xfId="35116"/>
    <cellStyle name="Normal 4 6 3 3 2 2" xfId="35117"/>
    <cellStyle name="Normal 4 6 3 3 2 2 2" xfId="35118"/>
    <cellStyle name="Normal 4 6 3 3 2 2 3" xfId="35119"/>
    <cellStyle name="Normal 4 6 3 3 2 3" xfId="35120"/>
    <cellStyle name="Normal 4 6 3 3 2 3 2" xfId="35121"/>
    <cellStyle name="Normal 4 6 3 3 2 3 3" xfId="35122"/>
    <cellStyle name="Normal 4 6 3 3 2 4" xfId="35123"/>
    <cellStyle name="Normal 4 6 3 3 2 5" xfId="35124"/>
    <cellStyle name="Normal 4 6 3 3 3" xfId="35125"/>
    <cellStyle name="Normal 4 6 3 3 3 2" xfId="35126"/>
    <cellStyle name="Normal 4 6 3 3 3 3" xfId="35127"/>
    <cellStyle name="Normal 4 6 3 3 4" xfId="35128"/>
    <cellStyle name="Normal 4 6 3 3 4 2" xfId="35129"/>
    <cellStyle name="Normal 4 6 3 3 4 3" xfId="35130"/>
    <cellStyle name="Normal 4 6 3 3 5" xfId="35131"/>
    <cellStyle name="Normal 4 6 3 3 6" xfId="35132"/>
    <cellStyle name="Normal 4 6 3 4" xfId="35133"/>
    <cellStyle name="Normal 4 6 3 4 2" xfId="35134"/>
    <cellStyle name="Normal 4 6 3 4 2 2" xfId="35135"/>
    <cellStyle name="Normal 4 6 3 4 2 3" xfId="35136"/>
    <cellStyle name="Normal 4 6 3 4 3" xfId="35137"/>
    <cellStyle name="Normal 4 6 3 4 3 2" xfId="35138"/>
    <cellStyle name="Normal 4 6 3 4 3 3" xfId="35139"/>
    <cellStyle name="Normal 4 6 3 4 4" xfId="35140"/>
    <cellStyle name="Normal 4 6 3 4 5" xfId="35141"/>
    <cellStyle name="Normal 4 6 3 5" xfId="35142"/>
    <cellStyle name="Normal 4 6 3 5 2" xfId="35143"/>
    <cellStyle name="Normal 4 6 3 5 3" xfId="35144"/>
    <cellStyle name="Normal 4 6 3 6" xfId="35145"/>
    <cellStyle name="Normal 4 6 3 6 2" xfId="35146"/>
    <cellStyle name="Normal 4 6 3 6 3" xfId="35147"/>
    <cellStyle name="Normal 4 6 3 7" xfId="35148"/>
    <cellStyle name="Normal 4 6 3 8" xfId="35149"/>
    <cellStyle name="Normal 4 6 4" xfId="35150"/>
    <cellStyle name="Normal 4 6 4 2" xfId="35151"/>
    <cellStyle name="Normal 4 6 4 2 2" xfId="35152"/>
    <cellStyle name="Normal 4 6 4 2 2 2" xfId="35153"/>
    <cellStyle name="Normal 4 6 4 2 2 3" xfId="35154"/>
    <cellStyle name="Normal 4 6 4 2 3" xfId="35155"/>
    <cellStyle name="Normal 4 6 4 2 3 2" xfId="35156"/>
    <cellStyle name="Normal 4 6 4 2 3 3" xfId="35157"/>
    <cellStyle name="Normal 4 6 4 2 4" xfId="35158"/>
    <cellStyle name="Normal 4 6 4 2 5" xfId="35159"/>
    <cellStyle name="Normal 4 6 4 3" xfId="35160"/>
    <cellStyle name="Normal 4 6 4 3 2" xfId="35161"/>
    <cellStyle name="Normal 4 6 4 3 3" xfId="35162"/>
    <cellStyle name="Normal 4 6 4 4" xfId="35163"/>
    <cellStyle name="Normal 4 6 4 4 2" xfId="35164"/>
    <cellStyle name="Normal 4 6 4 4 3" xfId="35165"/>
    <cellStyle name="Normal 4 6 4 5" xfId="35166"/>
    <cellStyle name="Normal 4 6 4 6" xfId="35167"/>
    <cellStyle name="Normal 4 6 5" xfId="35168"/>
    <cellStyle name="Normal 4 6 5 2" xfId="35169"/>
    <cellStyle name="Normal 4 6 5 2 2" xfId="35170"/>
    <cellStyle name="Normal 4 6 5 2 2 2" xfId="35171"/>
    <cellStyle name="Normal 4 6 5 2 2 3" xfId="35172"/>
    <cellStyle name="Normal 4 6 5 2 3" xfId="35173"/>
    <cellStyle name="Normal 4 6 5 2 3 2" xfId="35174"/>
    <cellStyle name="Normal 4 6 5 2 3 3" xfId="35175"/>
    <cellStyle name="Normal 4 6 5 2 4" xfId="35176"/>
    <cellStyle name="Normal 4 6 5 2 5" xfId="35177"/>
    <cellStyle name="Normal 4 6 5 3" xfId="35178"/>
    <cellStyle name="Normal 4 6 5 3 2" xfId="35179"/>
    <cellStyle name="Normal 4 6 5 3 3" xfId="35180"/>
    <cellStyle name="Normal 4 6 5 4" xfId="35181"/>
    <cellStyle name="Normal 4 6 5 4 2" xfId="35182"/>
    <cellStyle name="Normal 4 6 5 4 3" xfId="35183"/>
    <cellStyle name="Normal 4 6 5 5" xfId="35184"/>
    <cellStyle name="Normal 4 6 5 6" xfId="35185"/>
    <cellStyle name="Normal 4 6 6" xfId="35186"/>
    <cellStyle name="Normal 4 6 6 2" xfId="35187"/>
    <cellStyle name="Normal 4 6 6 2 2" xfId="35188"/>
    <cellStyle name="Normal 4 6 6 2 3" xfId="35189"/>
    <cellStyle name="Normal 4 6 6 3" xfId="35190"/>
    <cellStyle name="Normal 4 6 6 3 2" xfId="35191"/>
    <cellStyle name="Normal 4 6 6 3 3" xfId="35192"/>
    <cellStyle name="Normal 4 6 6 4" xfId="35193"/>
    <cellStyle name="Normal 4 6 6 5" xfId="35194"/>
    <cellStyle name="Normal 4 6 7" xfId="35195"/>
    <cellStyle name="Normal 4 6 7 2" xfId="35196"/>
    <cellStyle name="Normal 4 6 7 3" xfId="35197"/>
    <cellStyle name="Normal 4 6 8" xfId="35198"/>
    <cellStyle name="Normal 4 6 8 2" xfId="35199"/>
    <cellStyle name="Normal 4 6 8 3" xfId="35200"/>
    <cellStyle name="Normal 4 6 9" xfId="35201"/>
    <cellStyle name="Normal 4 7" xfId="35202"/>
    <cellStyle name="Normal 4 7 10" xfId="35203"/>
    <cellStyle name="Normal 4 7 2" xfId="35204"/>
    <cellStyle name="Normal 4 7 2 2" xfId="35205"/>
    <cellStyle name="Normal 4 7 2 2 2" xfId="35206"/>
    <cellStyle name="Normal 4 7 2 2 2 2" xfId="35207"/>
    <cellStyle name="Normal 4 7 2 2 2 2 2" xfId="35208"/>
    <cellStyle name="Normal 4 7 2 2 2 2 2 2" xfId="35209"/>
    <cellStyle name="Normal 4 7 2 2 2 2 2 3" xfId="35210"/>
    <cellStyle name="Normal 4 7 2 2 2 2 3" xfId="35211"/>
    <cellStyle name="Normal 4 7 2 2 2 2 3 2" xfId="35212"/>
    <cellStyle name="Normal 4 7 2 2 2 2 3 3" xfId="35213"/>
    <cellStyle name="Normal 4 7 2 2 2 2 4" xfId="35214"/>
    <cellStyle name="Normal 4 7 2 2 2 2 5" xfId="35215"/>
    <cellStyle name="Normal 4 7 2 2 2 3" xfId="35216"/>
    <cellStyle name="Normal 4 7 2 2 2 3 2" xfId="35217"/>
    <cellStyle name="Normal 4 7 2 2 2 3 3" xfId="35218"/>
    <cellStyle name="Normal 4 7 2 2 2 4" xfId="35219"/>
    <cellStyle name="Normal 4 7 2 2 2 4 2" xfId="35220"/>
    <cellStyle name="Normal 4 7 2 2 2 4 3" xfId="35221"/>
    <cellStyle name="Normal 4 7 2 2 2 5" xfId="35222"/>
    <cellStyle name="Normal 4 7 2 2 2 6" xfId="35223"/>
    <cellStyle name="Normal 4 7 2 2 3" xfId="35224"/>
    <cellStyle name="Normal 4 7 2 2 3 2" xfId="35225"/>
    <cellStyle name="Normal 4 7 2 2 3 2 2" xfId="35226"/>
    <cellStyle name="Normal 4 7 2 2 3 2 2 2" xfId="35227"/>
    <cellStyle name="Normal 4 7 2 2 3 2 2 3" xfId="35228"/>
    <cellStyle name="Normal 4 7 2 2 3 2 3" xfId="35229"/>
    <cellStyle name="Normal 4 7 2 2 3 2 3 2" xfId="35230"/>
    <cellStyle name="Normal 4 7 2 2 3 2 3 3" xfId="35231"/>
    <cellStyle name="Normal 4 7 2 2 3 2 4" xfId="35232"/>
    <cellStyle name="Normal 4 7 2 2 3 2 5" xfId="35233"/>
    <cellStyle name="Normal 4 7 2 2 3 3" xfId="35234"/>
    <cellStyle name="Normal 4 7 2 2 3 3 2" xfId="35235"/>
    <cellStyle name="Normal 4 7 2 2 3 3 3" xfId="35236"/>
    <cellStyle name="Normal 4 7 2 2 3 4" xfId="35237"/>
    <cellStyle name="Normal 4 7 2 2 3 4 2" xfId="35238"/>
    <cellStyle name="Normal 4 7 2 2 3 4 3" xfId="35239"/>
    <cellStyle name="Normal 4 7 2 2 3 5" xfId="35240"/>
    <cellStyle name="Normal 4 7 2 2 3 6" xfId="35241"/>
    <cellStyle name="Normal 4 7 2 2 4" xfId="35242"/>
    <cellStyle name="Normal 4 7 2 2 4 2" xfId="35243"/>
    <cellStyle name="Normal 4 7 2 2 4 2 2" xfId="35244"/>
    <cellStyle name="Normal 4 7 2 2 4 2 3" xfId="35245"/>
    <cellStyle name="Normal 4 7 2 2 4 3" xfId="35246"/>
    <cellStyle name="Normal 4 7 2 2 4 3 2" xfId="35247"/>
    <cellStyle name="Normal 4 7 2 2 4 3 3" xfId="35248"/>
    <cellStyle name="Normal 4 7 2 2 4 4" xfId="35249"/>
    <cellStyle name="Normal 4 7 2 2 4 5" xfId="35250"/>
    <cellStyle name="Normal 4 7 2 2 5" xfId="35251"/>
    <cellStyle name="Normal 4 7 2 2 5 2" xfId="35252"/>
    <cellStyle name="Normal 4 7 2 2 5 3" xfId="35253"/>
    <cellStyle name="Normal 4 7 2 2 6" xfId="35254"/>
    <cellStyle name="Normal 4 7 2 2 6 2" xfId="35255"/>
    <cellStyle name="Normal 4 7 2 2 6 3" xfId="35256"/>
    <cellStyle name="Normal 4 7 2 2 7" xfId="35257"/>
    <cellStyle name="Normal 4 7 2 2 8" xfId="35258"/>
    <cellStyle name="Normal 4 7 2 3" xfId="35259"/>
    <cellStyle name="Normal 4 7 2 3 2" xfId="35260"/>
    <cellStyle name="Normal 4 7 2 3 2 2" xfId="35261"/>
    <cellStyle name="Normal 4 7 2 3 2 2 2" xfId="35262"/>
    <cellStyle name="Normal 4 7 2 3 2 2 3" xfId="35263"/>
    <cellStyle name="Normal 4 7 2 3 2 3" xfId="35264"/>
    <cellStyle name="Normal 4 7 2 3 2 3 2" xfId="35265"/>
    <cellStyle name="Normal 4 7 2 3 2 3 3" xfId="35266"/>
    <cellStyle name="Normal 4 7 2 3 2 4" xfId="35267"/>
    <cellStyle name="Normal 4 7 2 3 2 5" xfId="35268"/>
    <cellStyle name="Normal 4 7 2 3 3" xfId="35269"/>
    <cellStyle name="Normal 4 7 2 3 3 2" xfId="35270"/>
    <cellStyle name="Normal 4 7 2 3 3 3" xfId="35271"/>
    <cellStyle name="Normal 4 7 2 3 4" xfId="35272"/>
    <cellStyle name="Normal 4 7 2 3 4 2" xfId="35273"/>
    <cellStyle name="Normal 4 7 2 3 4 3" xfId="35274"/>
    <cellStyle name="Normal 4 7 2 3 5" xfId="35275"/>
    <cellStyle name="Normal 4 7 2 3 6" xfId="35276"/>
    <cellStyle name="Normal 4 7 2 4" xfId="35277"/>
    <cellStyle name="Normal 4 7 2 4 2" xfId="35278"/>
    <cellStyle name="Normal 4 7 2 4 2 2" xfId="35279"/>
    <cellStyle name="Normal 4 7 2 4 2 2 2" xfId="35280"/>
    <cellStyle name="Normal 4 7 2 4 2 2 3" xfId="35281"/>
    <cellStyle name="Normal 4 7 2 4 2 3" xfId="35282"/>
    <cellStyle name="Normal 4 7 2 4 2 3 2" xfId="35283"/>
    <cellStyle name="Normal 4 7 2 4 2 3 3" xfId="35284"/>
    <cellStyle name="Normal 4 7 2 4 2 4" xfId="35285"/>
    <cellStyle name="Normal 4 7 2 4 2 5" xfId="35286"/>
    <cellStyle name="Normal 4 7 2 4 3" xfId="35287"/>
    <cellStyle name="Normal 4 7 2 4 3 2" xfId="35288"/>
    <cellStyle name="Normal 4 7 2 4 3 3" xfId="35289"/>
    <cellStyle name="Normal 4 7 2 4 4" xfId="35290"/>
    <cellStyle name="Normal 4 7 2 4 4 2" xfId="35291"/>
    <cellStyle name="Normal 4 7 2 4 4 3" xfId="35292"/>
    <cellStyle name="Normal 4 7 2 4 5" xfId="35293"/>
    <cellStyle name="Normal 4 7 2 4 6" xfId="35294"/>
    <cellStyle name="Normal 4 7 2 5" xfId="35295"/>
    <cellStyle name="Normal 4 7 2 5 2" xfId="35296"/>
    <cellStyle name="Normal 4 7 2 5 2 2" xfId="35297"/>
    <cellStyle name="Normal 4 7 2 5 2 3" xfId="35298"/>
    <cellStyle name="Normal 4 7 2 5 3" xfId="35299"/>
    <cellStyle name="Normal 4 7 2 5 3 2" xfId="35300"/>
    <cellStyle name="Normal 4 7 2 5 3 3" xfId="35301"/>
    <cellStyle name="Normal 4 7 2 5 4" xfId="35302"/>
    <cellStyle name="Normal 4 7 2 5 5" xfId="35303"/>
    <cellStyle name="Normal 4 7 2 6" xfId="35304"/>
    <cellStyle name="Normal 4 7 2 6 2" xfId="35305"/>
    <cellStyle name="Normal 4 7 2 6 3" xfId="35306"/>
    <cellStyle name="Normal 4 7 2 7" xfId="35307"/>
    <cellStyle name="Normal 4 7 2 7 2" xfId="35308"/>
    <cellStyle name="Normal 4 7 2 7 3" xfId="35309"/>
    <cellStyle name="Normal 4 7 2 8" xfId="35310"/>
    <cellStyle name="Normal 4 7 2 9" xfId="35311"/>
    <cellStyle name="Normal 4 7 3" xfId="35312"/>
    <cellStyle name="Normal 4 7 3 2" xfId="35313"/>
    <cellStyle name="Normal 4 7 3 2 2" xfId="35314"/>
    <cellStyle name="Normal 4 7 3 2 2 2" xfId="35315"/>
    <cellStyle name="Normal 4 7 3 2 2 2 2" xfId="35316"/>
    <cellStyle name="Normal 4 7 3 2 2 2 3" xfId="35317"/>
    <cellStyle name="Normal 4 7 3 2 2 3" xfId="35318"/>
    <cellStyle name="Normal 4 7 3 2 2 3 2" xfId="35319"/>
    <cellStyle name="Normal 4 7 3 2 2 3 3" xfId="35320"/>
    <cellStyle name="Normal 4 7 3 2 2 4" xfId="35321"/>
    <cellStyle name="Normal 4 7 3 2 2 5" xfId="35322"/>
    <cellStyle name="Normal 4 7 3 2 3" xfId="35323"/>
    <cellStyle name="Normal 4 7 3 2 3 2" xfId="35324"/>
    <cellStyle name="Normal 4 7 3 2 3 3" xfId="35325"/>
    <cellStyle name="Normal 4 7 3 2 4" xfId="35326"/>
    <cellStyle name="Normal 4 7 3 2 4 2" xfId="35327"/>
    <cellStyle name="Normal 4 7 3 2 4 3" xfId="35328"/>
    <cellStyle name="Normal 4 7 3 2 5" xfId="35329"/>
    <cellStyle name="Normal 4 7 3 2 6" xfId="35330"/>
    <cellStyle name="Normal 4 7 3 3" xfId="35331"/>
    <cellStyle name="Normal 4 7 3 3 2" xfId="35332"/>
    <cellStyle name="Normal 4 7 3 3 2 2" xfId="35333"/>
    <cellStyle name="Normal 4 7 3 3 2 2 2" xfId="35334"/>
    <cellStyle name="Normal 4 7 3 3 2 2 3" xfId="35335"/>
    <cellStyle name="Normal 4 7 3 3 2 3" xfId="35336"/>
    <cellStyle name="Normal 4 7 3 3 2 3 2" xfId="35337"/>
    <cellStyle name="Normal 4 7 3 3 2 3 3" xfId="35338"/>
    <cellStyle name="Normal 4 7 3 3 2 4" xfId="35339"/>
    <cellStyle name="Normal 4 7 3 3 2 5" xfId="35340"/>
    <cellStyle name="Normal 4 7 3 3 3" xfId="35341"/>
    <cellStyle name="Normal 4 7 3 3 3 2" xfId="35342"/>
    <cellStyle name="Normal 4 7 3 3 3 3" xfId="35343"/>
    <cellStyle name="Normal 4 7 3 3 4" xfId="35344"/>
    <cellStyle name="Normal 4 7 3 3 4 2" xfId="35345"/>
    <cellStyle name="Normal 4 7 3 3 4 3" xfId="35346"/>
    <cellStyle name="Normal 4 7 3 3 5" xfId="35347"/>
    <cellStyle name="Normal 4 7 3 3 6" xfId="35348"/>
    <cellStyle name="Normal 4 7 3 4" xfId="35349"/>
    <cellStyle name="Normal 4 7 3 4 2" xfId="35350"/>
    <cellStyle name="Normal 4 7 3 4 2 2" xfId="35351"/>
    <cellStyle name="Normal 4 7 3 4 2 3" xfId="35352"/>
    <cellStyle name="Normal 4 7 3 4 3" xfId="35353"/>
    <cellStyle name="Normal 4 7 3 4 3 2" xfId="35354"/>
    <cellStyle name="Normal 4 7 3 4 3 3" xfId="35355"/>
    <cellStyle name="Normal 4 7 3 4 4" xfId="35356"/>
    <cellStyle name="Normal 4 7 3 4 5" xfId="35357"/>
    <cellStyle name="Normal 4 7 3 5" xfId="35358"/>
    <cellStyle name="Normal 4 7 3 5 2" xfId="35359"/>
    <cellStyle name="Normal 4 7 3 5 3" xfId="35360"/>
    <cellStyle name="Normal 4 7 3 6" xfId="35361"/>
    <cellStyle name="Normal 4 7 3 6 2" xfId="35362"/>
    <cellStyle name="Normal 4 7 3 6 3" xfId="35363"/>
    <cellStyle name="Normal 4 7 3 7" xfId="35364"/>
    <cellStyle name="Normal 4 7 3 8" xfId="35365"/>
    <cellStyle name="Normal 4 7 4" xfId="35366"/>
    <cellStyle name="Normal 4 7 4 2" xfId="35367"/>
    <cellStyle name="Normal 4 7 4 2 2" xfId="35368"/>
    <cellStyle name="Normal 4 7 4 2 2 2" xfId="35369"/>
    <cellStyle name="Normal 4 7 4 2 2 3" xfId="35370"/>
    <cellStyle name="Normal 4 7 4 2 3" xfId="35371"/>
    <cellStyle name="Normal 4 7 4 2 3 2" xfId="35372"/>
    <cellStyle name="Normal 4 7 4 2 3 3" xfId="35373"/>
    <cellStyle name="Normal 4 7 4 2 4" xfId="35374"/>
    <cellStyle name="Normal 4 7 4 2 5" xfId="35375"/>
    <cellStyle name="Normal 4 7 4 3" xfId="35376"/>
    <cellStyle name="Normal 4 7 4 3 2" xfId="35377"/>
    <cellStyle name="Normal 4 7 4 3 3" xfId="35378"/>
    <cellStyle name="Normal 4 7 4 4" xfId="35379"/>
    <cellStyle name="Normal 4 7 4 4 2" xfId="35380"/>
    <cellStyle name="Normal 4 7 4 4 3" xfId="35381"/>
    <cellStyle name="Normal 4 7 4 5" xfId="35382"/>
    <cellStyle name="Normal 4 7 4 6" xfId="35383"/>
    <cellStyle name="Normal 4 7 5" xfId="35384"/>
    <cellStyle name="Normal 4 7 5 2" xfId="35385"/>
    <cellStyle name="Normal 4 7 5 2 2" xfId="35386"/>
    <cellStyle name="Normal 4 7 5 2 2 2" xfId="35387"/>
    <cellStyle name="Normal 4 7 5 2 2 3" xfId="35388"/>
    <cellStyle name="Normal 4 7 5 2 3" xfId="35389"/>
    <cellStyle name="Normal 4 7 5 2 3 2" xfId="35390"/>
    <cellStyle name="Normal 4 7 5 2 3 3" xfId="35391"/>
    <cellStyle name="Normal 4 7 5 2 4" xfId="35392"/>
    <cellStyle name="Normal 4 7 5 2 5" xfId="35393"/>
    <cellStyle name="Normal 4 7 5 3" xfId="35394"/>
    <cellStyle name="Normal 4 7 5 3 2" xfId="35395"/>
    <cellStyle name="Normal 4 7 5 3 3" xfId="35396"/>
    <cellStyle name="Normal 4 7 5 4" xfId="35397"/>
    <cellStyle name="Normal 4 7 5 4 2" xfId="35398"/>
    <cellStyle name="Normal 4 7 5 4 3" xfId="35399"/>
    <cellStyle name="Normal 4 7 5 5" xfId="35400"/>
    <cellStyle name="Normal 4 7 5 6" xfId="35401"/>
    <cellStyle name="Normal 4 7 6" xfId="35402"/>
    <cellStyle name="Normal 4 7 6 2" xfId="35403"/>
    <cellStyle name="Normal 4 7 6 2 2" xfId="35404"/>
    <cellStyle name="Normal 4 7 6 2 3" xfId="35405"/>
    <cellStyle name="Normal 4 7 6 3" xfId="35406"/>
    <cellStyle name="Normal 4 7 6 3 2" xfId="35407"/>
    <cellStyle name="Normal 4 7 6 3 3" xfId="35408"/>
    <cellStyle name="Normal 4 7 6 4" xfId="35409"/>
    <cellStyle name="Normal 4 7 6 5" xfId="35410"/>
    <cellStyle name="Normal 4 7 7" xfId="35411"/>
    <cellStyle name="Normal 4 7 7 2" xfId="35412"/>
    <cellStyle name="Normal 4 7 7 3" xfId="35413"/>
    <cellStyle name="Normal 4 7 8" xfId="35414"/>
    <cellStyle name="Normal 4 7 8 2" xfId="35415"/>
    <cellStyle name="Normal 4 7 8 3" xfId="35416"/>
    <cellStyle name="Normal 4 7 9" xfId="35417"/>
    <cellStyle name="Normal 4 8" xfId="35418"/>
    <cellStyle name="Normal 4 8 10" xfId="35419"/>
    <cellStyle name="Normal 4 8 2" xfId="35420"/>
    <cellStyle name="Normal 4 8 2 2" xfId="35421"/>
    <cellStyle name="Normal 4 8 2 2 2" xfId="35422"/>
    <cellStyle name="Normal 4 8 2 2 2 2" xfId="35423"/>
    <cellStyle name="Normal 4 8 2 2 2 2 2" xfId="35424"/>
    <cellStyle name="Normal 4 8 2 2 2 2 2 2" xfId="35425"/>
    <cellStyle name="Normal 4 8 2 2 2 2 2 3" xfId="35426"/>
    <cellStyle name="Normal 4 8 2 2 2 2 3" xfId="35427"/>
    <cellStyle name="Normal 4 8 2 2 2 2 3 2" xfId="35428"/>
    <cellStyle name="Normal 4 8 2 2 2 2 3 3" xfId="35429"/>
    <cellStyle name="Normal 4 8 2 2 2 2 4" xfId="35430"/>
    <cellStyle name="Normal 4 8 2 2 2 2 5" xfId="35431"/>
    <cellStyle name="Normal 4 8 2 2 2 3" xfId="35432"/>
    <cellStyle name="Normal 4 8 2 2 2 3 2" xfId="35433"/>
    <cellStyle name="Normal 4 8 2 2 2 3 3" xfId="35434"/>
    <cellStyle name="Normal 4 8 2 2 2 4" xfId="35435"/>
    <cellStyle name="Normal 4 8 2 2 2 4 2" xfId="35436"/>
    <cellStyle name="Normal 4 8 2 2 2 4 3" xfId="35437"/>
    <cellStyle name="Normal 4 8 2 2 2 5" xfId="35438"/>
    <cellStyle name="Normal 4 8 2 2 2 6" xfId="35439"/>
    <cellStyle name="Normal 4 8 2 2 3" xfId="35440"/>
    <cellStyle name="Normal 4 8 2 2 3 2" xfId="35441"/>
    <cellStyle name="Normal 4 8 2 2 3 2 2" xfId="35442"/>
    <cellStyle name="Normal 4 8 2 2 3 2 2 2" xfId="35443"/>
    <cellStyle name="Normal 4 8 2 2 3 2 2 3" xfId="35444"/>
    <cellStyle name="Normal 4 8 2 2 3 2 3" xfId="35445"/>
    <cellStyle name="Normal 4 8 2 2 3 2 3 2" xfId="35446"/>
    <cellStyle name="Normal 4 8 2 2 3 2 3 3" xfId="35447"/>
    <cellStyle name="Normal 4 8 2 2 3 2 4" xfId="35448"/>
    <cellStyle name="Normal 4 8 2 2 3 2 5" xfId="35449"/>
    <cellStyle name="Normal 4 8 2 2 3 3" xfId="35450"/>
    <cellStyle name="Normal 4 8 2 2 3 3 2" xfId="35451"/>
    <cellStyle name="Normal 4 8 2 2 3 3 3" xfId="35452"/>
    <cellStyle name="Normal 4 8 2 2 3 4" xfId="35453"/>
    <cellStyle name="Normal 4 8 2 2 3 4 2" xfId="35454"/>
    <cellStyle name="Normal 4 8 2 2 3 4 3" xfId="35455"/>
    <cellStyle name="Normal 4 8 2 2 3 5" xfId="35456"/>
    <cellStyle name="Normal 4 8 2 2 3 6" xfId="35457"/>
    <cellStyle name="Normal 4 8 2 2 4" xfId="35458"/>
    <cellStyle name="Normal 4 8 2 2 4 2" xfId="35459"/>
    <cellStyle name="Normal 4 8 2 2 4 2 2" xfId="35460"/>
    <cellStyle name="Normal 4 8 2 2 4 2 3" xfId="35461"/>
    <cellStyle name="Normal 4 8 2 2 4 3" xfId="35462"/>
    <cellStyle name="Normal 4 8 2 2 4 3 2" xfId="35463"/>
    <cellStyle name="Normal 4 8 2 2 4 3 3" xfId="35464"/>
    <cellStyle name="Normal 4 8 2 2 4 4" xfId="35465"/>
    <cellStyle name="Normal 4 8 2 2 4 5" xfId="35466"/>
    <cellStyle name="Normal 4 8 2 2 5" xfId="35467"/>
    <cellStyle name="Normal 4 8 2 2 5 2" xfId="35468"/>
    <cellStyle name="Normal 4 8 2 2 5 3" xfId="35469"/>
    <cellStyle name="Normal 4 8 2 2 6" xfId="35470"/>
    <cellStyle name="Normal 4 8 2 2 6 2" xfId="35471"/>
    <cellStyle name="Normal 4 8 2 2 6 3" xfId="35472"/>
    <cellStyle name="Normal 4 8 2 2 7" xfId="35473"/>
    <cellStyle name="Normal 4 8 2 2 8" xfId="35474"/>
    <cellStyle name="Normal 4 8 2 3" xfId="35475"/>
    <cellStyle name="Normal 4 8 2 3 2" xfId="35476"/>
    <cellStyle name="Normal 4 8 2 3 2 2" xfId="35477"/>
    <cellStyle name="Normal 4 8 2 3 2 2 2" xfId="35478"/>
    <cellStyle name="Normal 4 8 2 3 2 2 3" xfId="35479"/>
    <cellStyle name="Normal 4 8 2 3 2 3" xfId="35480"/>
    <cellStyle name="Normal 4 8 2 3 2 3 2" xfId="35481"/>
    <cellStyle name="Normal 4 8 2 3 2 3 3" xfId="35482"/>
    <cellStyle name="Normal 4 8 2 3 2 4" xfId="35483"/>
    <cellStyle name="Normal 4 8 2 3 2 5" xfId="35484"/>
    <cellStyle name="Normal 4 8 2 3 3" xfId="35485"/>
    <cellStyle name="Normal 4 8 2 3 3 2" xfId="35486"/>
    <cellStyle name="Normal 4 8 2 3 3 3" xfId="35487"/>
    <cellStyle name="Normal 4 8 2 3 4" xfId="35488"/>
    <cellStyle name="Normal 4 8 2 3 4 2" xfId="35489"/>
    <cellStyle name="Normal 4 8 2 3 4 3" xfId="35490"/>
    <cellStyle name="Normal 4 8 2 3 5" xfId="35491"/>
    <cellStyle name="Normal 4 8 2 3 6" xfId="35492"/>
    <cellStyle name="Normal 4 8 2 4" xfId="35493"/>
    <cellStyle name="Normal 4 8 2 4 2" xfId="35494"/>
    <cellStyle name="Normal 4 8 2 4 2 2" xfId="35495"/>
    <cellStyle name="Normal 4 8 2 4 2 2 2" xfId="35496"/>
    <cellStyle name="Normal 4 8 2 4 2 2 3" xfId="35497"/>
    <cellStyle name="Normal 4 8 2 4 2 3" xfId="35498"/>
    <cellStyle name="Normal 4 8 2 4 2 3 2" xfId="35499"/>
    <cellStyle name="Normal 4 8 2 4 2 3 3" xfId="35500"/>
    <cellStyle name="Normal 4 8 2 4 2 4" xfId="35501"/>
    <cellStyle name="Normal 4 8 2 4 2 5" xfId="35502"/>
    <cellStyle name="Normal 4 8 2 4 3" xfId="35503"/>
    <cellStyle name="Normal 4 8 2 4 3 2" xfId="35504"/>
    <cellStyle name="Normal 4 8 2 4 3 3" xfId="35505"/>
    <cellStyle name="Normal 4 8 2 4 4" xfId="35506"/>
    <cellStyle name="Normal 4 8 2 4 4 2" xfId="35507"/>
    <cellStyle name="Normal 4 8 2 4 4 3" xfId="35508"/>
    <cellStyle name="Normal 4 8 2 4 5" xfId="35509"/>
    <cellStyle name="Normal 4 8 2 4 6" xfId="35510"/>
    <cellStyle name="Normal 4 8 2 5" xfId="35511"/>
    <cellStyle name="Normal 4 8 2 5 2" xfId="35512"/>
    <cellStyle name="Normal 4 8 2 5 2 2" xfId="35513"/>
    <cellStyle name="Normal 4 8 2 5 2 3" xfId="35514"/>
    <cellStyle name="Normal 4 8 2 5 3" xfId="35515"/>
    <cellStyle name="Normal 4 8 2 5 3 2" xfId="35516"/>
    <cellStyle name="Normal 4 8 2 5 3 3" xfId="35517"/>
    <cellStyle name="Normal 4 8 2 5 4" xfId="35518"/>
    <cellStyle name="Normal 4 8 2 5 5" xfId="35519"/>
    <cellStyle name="Normal 4 8 2 6" xfId="35520"/>
    <cellStyle name="Normal 4 8 2 6 2" xfId="35521"/>
    <cellStyle name="Normal 4 8 2 6 3" xfId="35522"/>
    <cellStyle name="Normal 4 8 2 7" xfId="35523"/>
    <cellStyle name="Normal 4 8 2 7 2" xfId="35524"/>
    <cellStyle name="Normal 4 8 2 7 3" xfId="35525"/>
    <cellStyle name="Normal 4 8 2 8" xfId="35526"/>
    <cellStyle name="Normal 4 8 2 9" xfId="35527"/>
    <cellStyle name="Normal 4 8 3" xfId="35528"/>
    <cellStyle name="Normal 4 8 3 2" xfId="35529"/>
    <cellStyle name="Normal 4 8 3 2 2" xfId="35530"/>
    <cellStyle name="Normal 4 8 3 2 2 2" xfId="35531"/>
    <cellStyle name="Normal 4 8 3 2 2 2 2" xfId="35532"/>
    <cellStyle name="Normal 4 8 3 2 2 2 3" xfId="35533"/>
    <cellStyle name="Normal 4 8 3 2 2 3" xfId="35534"/>
    <cellStyle name="Normal 4 8 3 2 2 3 2" xfId="35535"/>
    <cellStyle name="Normal 4 8 3 2 2 3 3" xfId="35536"/>
    <cellStyle name="Normal 4 8 3 2 2 4" xfId="35537"/>
    <cellStyle name="Normal 4 8 3 2 2 5" xfId="35538"/>
    <cellStyle name="Normal 4 8 3 2 3" xfId="35539"/>
    <cellStyle name="Normal 4 8 3 2 3 2" xfId="35540"/>
    <cellStyle name="Normal 4 8 3 2 3 3" xfId="35541"/>
    <cellStyle name="Normal 4 8 3 2 4" xfId="35542"/>
    <cellStyle name="Normal 4 8 3 2 4 2" xfId="35543"/>
    <cellStyle name="Normal 4 8 3 2 4 3" xfId="35544"/>
    <cellStyle name="Normal 4 8 3 2 5" xfId="35545"/>
    <cellStyle name="Normal 4 8 3 2 6" xfId="35546"/>
    <cellStyle name="Normal 4 8 3 3" xfId="35547"/>
    <cellStyle name="Normal 4 8 3 3 2" xfId="35548"/>
    <cellStyle name="Normal 4 8 3 3 2 2" xfId="35549"/>
    <cellStyle name="Normal 4 8 3 3 2 2 2" xfId="35550"/>
    <cellStyle name="Normal 4 8 3 3 2 2 3" xfId="35551"/>
    <cellStyle name="Normal 4 8 3 3 2 3" xfId="35552"/>
    <cellStyle name="Normal 4 8 3 3 2 3 2" xfId="35553"/>
    <cellStyle name="Normal 4 8 3 3 2 3 3" xfId="35554"/>
    <cellStyle name="Normal 4 8 3 3 2 4" xfId="35555"/>
    <cellStyle name="Normal 4 8 3 3 2 5" xfId="35556"/>
    <cellStyle name="Normal 4 8 3 3 3" xfId="35557"/>
    <cellStyle name="Normal 4 8 3 3 3 2" xfId="35558"/>
    <cellStyle name="Normal 4 8 3 3 3 3" xfId="35559"/>
    <cellStyle name="Normal 4 8 3 3 4" xfId="35560"/>
    <cellStyle name="Normal 4 8 3 3 4 2" xfId="35561"/>
    <cellStyle name="Normal 4 8 3 3 4 3" xfId="35562"/>
    <cellStyle name="Normal 4 8 3 3 5" xfId="35563"/>
    <cellStyle name="Normal 4 8 3 3 6" xfId="35564"/>
    <cellStyle name="Normal 4 8 3 4" xfId="35565"/>
    <cellStyle name="Normal 4 8 3 4 2" xfId="35566"/>
    <cellStyle name="Normal 4 8 3 4 2 2" xfId="35567"/>
    <cellStyle name="Normal 4 8 3 4 2 3" xfId="35568"/>
    <cellStyle name="Normal 4 8 3 4 3" xfId="35569"/>
    <cellStyle name="Normal 4 8 3 4 3 2" xfId="35570"/>
    <cellStyle name="Normal 4 8 3 4 3 3" xfId="35571"/>
    <cellStyle name="Normal 4 8 3 4 4" xfId="35572"/>
    <cellStyle name="Normal 4 8 3 4 5" xfId="35573"/>
    <cellStyle name="Normal 4 8 3 5" xfId="35574"/>
    <cellStyle name="Normal 4 8 3 5 2" xfId="35575"/>
    <cellStyle name="Normal 4 8 3 5 3" xfId="35576"/>
    <cellStyle name="Normal 4 8 3 6" xfId="35577"/>
    <cellStyle name="Normal 4 8 3 6 2" xfId="35578"/>
    <cellStyle name="Normal 4 8 3 6 3" xfId="35579"/>
    <cellStyle name="Normal 4 8 3 7" xfId="35580"/>
    <cellStyle name="Normal 4 8 3 8" xfId="35581"/>
    <cellStyle name="Normal 4 8 4" xfId="35582"/>
    <cellStyle name="Normal 4 8 4 2" xfId="35583"/>
    <cellStyle name="Normal 4 8 4 2 2" xfId="35584"/>
    <cellStyle name="Normal 4 8 4 2 2 2" xfId="35585"/>
    <cellStyle name="Normal 4 8 4 2 2 3" xfId="35586"/>
    <cellStyle name="Normal 4 8 4 2 3" xfId="35587"/>
    <cellStyle name="Normal 4 8 4 2 3 2" xfId="35588"/>
    <cellStyle name="Normal 4 8 4 2 3 3" xfId="35589"/>
    <cellStyle name="Normal 4 8 4 2 4" xfId="35590"/>
    <cellStyle name="Normal 4 8 4 2 5" xfId="35591"/>
    <cellStyle name="Normal 4 8 4 3" xfId="35592"/>
    <cellStyle name="Normal 4 8 4 3 2" xfId="35593"/>
    <cellStyle name="Normal 4 8 4 3 3" xfId="35594"/>
    <cellStyle name="Normal 4 8 4 4" xfId="35595"/>
    <cellStyle name="Normal 4 8 4 4 2" xfId="35596"/>
    <cellStyle name="Normal 4 8 4 4 3" xfId="35597"/>
    <cellStyle name="Normal 4 8 4 5" xfId="35598"/>
    <cellStyle name="Normal 4 8 4 6" xfId="35599"/>
    <cellStyle name="Normal 4 8 5" xfId="35600"/>
    <cellStyle name="Normal 4 8 5 2" xfId="35601"/>
    <cellStyle name="Normal 4 8 5 2 2" xfId="35602"/>
    <cellStyle name="Normal 4 8 5 2 2 2" xfId="35603"/>
    <cellStyle name="Normal 4 8 5 2 2 3" xfId="35604"/>
    <cellStyle name="Normal 4 8 5 2 3" xfId="35605"/>
    <cellStyle name="Normal 4 8 5 2 3 2" xfId="35606"/>
    <cellStyle name="Normal 4 8 5 2 3 3" xfId="35607"/>
    <cellStyle name="Normal 4 8 5 2 4" xfId="35608"/>
    <cellStyle name="Normal 4 8 5 2 5" xfId="35609"/>
    <cellStyle name="Normal 4 8 5 3" xfId="35610"/>
    <cellStyle name="Normal 4 8 5 3 2" xfId="35611"/>
    <cellStyle name="Normal 4 8 5 3 3" xfId="35612"/>
    <cellStyle name="Normal 4 8 5 4" xfId="35613"/>
    <cellStyle name="Normal 4 8 5 4 2" xfId="35614"/>
    <cellStyle name="Normal 4 8 5 4 3" xfId="35615"/>
    <cellStyle name="Normal 4 8 5 5" xfId="35616"/>
    <cellStyle name="Normal 4 8 5 6" xfId="35617"/>
    <cellStyle name="Normal 4 8 6" xfId="35618"/>
    <cellStyle name="Normal 4 8 6 2" xfId="35619"/>
    <cellStyle name="Normal 4 8 6 2 2" xfId="35620"/>
    <cellStyle name="Normal 4 8 6 2 3" xfId="35621"/>
    <cellStyle name="Normal 4 8 6 3" xfId="35622"/>
    <cellStyle name="Normal 4 8 6 3 2" xfId="35623"/>
    <cellStyle name="Normal 4 8 6 3 3" xfId="35624"/>
    <cellStyle name="Normal 4 8 6 4" xfId="35625"/>
    <cellStyle name="Normal 4 8 6 5" xfId="35626"/>
    <cellStyle name="Normal 4 8 7" xfId="35627"/>
    <cellStyle name="Normal 4 8 7 2" xfId="35628"/>
    <cellStyle name="Normal 4 8 7 3" xfId="35629"/>
    <cellStyle name="Normal 4 8 8" xfId="35630"/>
    <cellStyle name="Normal 4 8 8 2" xfId="35631"/>
    <cellStyle name="Normal 4 8 8 3" xfId="35632"/>
    <cellStyle name="Normal 4 8 9" xfId="35633"/>
    <cellStyle name="Normal 4 9" xfId="35634"/>
    <cellStyle name="Normal 4 9 10" xfId="35635"/>
    <cellStyle name="Normal 4 9 2" xfId="35636"/>
    <cellStyle name="Normal 4 9 2 2" xfId="35637"/>
    <cellStyle name="Normal 4 9 2 2 2" xfId="35638"/>
    <cellStyle name="Normal 4 9 2 2 2 2" xfId="35639"/>
    <cellStyle name="Normal 4 9 2 2 2 2 2" xfId="35640"/>
    <cellStyle name="Normal 4 9 2 2 2 2 2 2" xfId="35641"/>
    <cellStyle name="Normal 4 9 2 2 2 2 2 3" xfId="35642"/>
    <cellStyle name="Normal 4 9 2 2 2 2 3" xfId="35643"/>
    <cellStyle name="Normal 4 9 2 2 2 2 3 2" xfId="35644"/>
    <cellStyle name="Normal 4 9 2 2 2 2 3 3" xfId="35645"/>
    <cellStyle name="Normal 4 9 2 2 2 2 4" xfId="35646"/>
    <cellStyle name="Normal 4 9 2 2 2 2 5" xfId="35647"/>
    <cellStyle name="Normal 4 9 2 2 2 3" xfId="35648"/>
    <cellStyle name="Normal 4 9 2 2 2 3 2" xfId="35649"/>
    <cellStyle name="Normal 4 9 2 2 2 3 3" xfId="35650"/>
    <cellStyle name="Normal 4 9 2 2 2 4" xfId="35651"/>
    <cellStyle name="Normal 4 9 2 2 2 4 2" xfId="35652"/>
    <cellStyle name="Normal 4 9 2 2 2 4 3" xfId="35653"/>
    <cellStyle name="Normal 4 9 2 2 2 5" xfId="35654"/>
    <cellStyle name="Normal 4 9 2 2 2 6" xfId="35655"/>
    <cellStyle name="Normal 4 9 2 2 3" xfId="35656"/>
    <cellStyle name="Normal 4 9 2 2 3 2" xfId="35657"/>
    <cellStyle name="Normal 4 9 2 2 3 2 2" xfId="35658"/>
    <cellStyle name="Normal 4 9 2 2 3 2 2 2" xfId="35659"/>
    <cellStyle name="Normal 4 9 2 2 3 2 2 3" xfId="35660"/>
    <cellStyle name="Normal 4 9 2 2 3 2 3" xfId="35661"/>
    <cellStyle name="Normal 4 9 2 2 3 2 3 2" xfId="35662"/>
    <cellStyle name="Normal 4 9 2 2 3 2 3 3" xfId="35663"/>
    <cellStyle name="Normal 4 9 2 2 3 2 4" xfId="35664"/>
    <cellStyle name="Normal 4 9 2 2 3 2 5" xfId="35665"/>
    <cellStyle name="Normal 4 9 2 2 3 3" xfId="35666"/>
    <cellStyle name="Normal 4 9 2 2 3 3 2" xfId="35667"/>
    <cellStyle name="Normal 4 9 2 2 3 3 3" xfId="35668"/>
    <cellStyle name="Normal 4 9 2 2 3 4" xfId="35669"/>
    <cellStyle name="Normal 4 9 2 2 3 4 2" xfId="35670"/>
    <cellStyle name="Normal 4 9 2 2 3 4 3" xfId="35671"/>
    <cellStyle name="Normal 4 9 2 2 3 5" xfId="35672"/>
    <cellStyle name="Normal 4 9 2 2 3 6" xfId="35673"/>
    <cellStyle name="Normal 4 9 2 2 4" xfId="35674"/>
    <cellStyle name="Normal 4 9 2 2 4 2" xfId="35675"/>
    <cellStyle name="Normal 4 9 2 2 4 2 2" xfId="35676"/>
    <cellStyle name="Normal 4 9 2 2 4 2 3" xfId="35677"/>
    <cellStyle name="Normal 4 9 2 2 4 3" xfId="35678"/>
    <cellStyle name="Normal 4 9 2 2 4 3 2" xfId="35679"/>
    <cellStyle name="Normal 4 9 2 2 4 3 3" xfId="35680"/>
    <cellStyle name="Normal 4 9 2 2 4 4" xfId="35681"/>
    <cellStyle name="Normal 4 9 2 2 4 5" xfId="35682"/>
    <cellStyle name="Normal 4 9 2 2 5" xfId="35683"/>
    <cellStyle name="Normal 4 9 2 2 5 2" xfId="35684"/>
    <cellStyle name="Normal 4 9 2 2 5 3" xfId="35685"/>
    <cellStyle name="Normal 4 9 2 2 6" xfId="35686"/>
    <cellStyle name="Normal 4 9 2 2 6 2" xfId="35687"/>
    <cellStyle name="Normal 4 9 2 2 6 3" xfId="35688"/>
    <cellStyle name="Normal 4 9 2 2 7" xfId="35689"/>
    <cellStyle name="Normal 4 9 2 2 8" xfId="35690"/>
    <cellStyle name="Normal 4 9 2 3" xfId="35691"/>
    <cellStyle name="Normal 4 9 2 3 2" xfId="35692"/>
    <cellStyle name="Normal 4 9 2 3 2 2" xfId="35693"/>
    <cellStyle name="Normal 4 9 2 3 2 2 2" xfId="35694"/>
    <cellStyle name="Normal 4 9 2 3 2 2 3" xfId="35695"/>
    <cellStyle name="Normal 4 9 2 3 2 3" xfId="35696"/>
    <cellStyle name="Normal 4 9 2 3 2 3 2" xfId="35697"/>
    <cellStyle name="Normal 4 9 2 3 2 3 3" xfId="35698"/>
    <cellStyle name="Normal 4 9 2 3 2 4" xfId="35699"/>
    <cellStyle name="Normal 4 9 2 3 2 5" xfId="35700"/>
    <cellStyle name="Normal 4 9 2 3 3" xfId="35701"/>
    <cellStyle name="Normal 4 9 2 3 3 2" xfId="35702"/>
    <cellStyle name="Normal 4 9 2 3 3 3" xfId="35703"/>
    <cellStyle name="Normal 4 9 2 3 4" xfId="35704"/>
    <cellStyle name="Normal 4 9 2 3 4 2" xfId="35705"/>
    <cellStyle name="Normal 4 9 2 3 4 3" xfId="35706"/>
    <cellStyle name="Normal 4 9 2 3 5" xfId="35707"/>
    <cellStyle name="Normal 4 9 2 3 6" xfId="35708"/>
    <cellStyle name="Normal 4 9 2 4" xfId="35709"/>
    <cellStyle name="Normal 4 9 2 4 2" xfId="35710"/>
    <cellStyle name="Normal 4 9 2 4 2 2" xfId="35711"/>
    <cellStyle name="Normal 4 9 2 4 2 2 2" xfId="35712"/>
    <cellStyle name="Normal 4 9 2 4 2 2 3" xfId="35713"/>
    <cellStyle name="Normal 4 9 2 4 2 3" xfId="35714"/>
    <cellStyle name="Normal 4 9 2 4 2 3 2" xfId="35715"/>
    <cellStyle name="Normal 4 9 2 4 2 3 3" xfId="35716"/>
    <cellStyle name="Normal 4 9 2 4 2 4" xfId="35717"/>
    <cellStyle name="Normal 4 9 2 4 2 5" xfId="35718"/>
    <cellStyle name="Normal 4 9 2 4 3" xfId="35719"/>
    <cellStyle name="Normal 4 9 2 4 3 2" xfId="35720"/>
    <cellStyle name="Normal 4 9 2 4 3 3" xfId="35721"/>
    <cellStyle name="Normal 4 9 2 4 4" xfId="35722"/>
    <cellStyle name="Normal 4 9 2 4 4 2" xfId="35723"/>
    <cellStyle name="Normal 4 9 2 4 4 3" xfId="35724"/>
    <cellStyle name="Normal 4 9 2 4 5" xfId="35725"/>
    <cellStyle name="Normal 4 9 2 4 6" xfId="35726"/>
    <cellStyle name="Normal 4 9 2 5" xfId="35727"/>
    <cellStyle name="Normal 4 9 2 5 2" xfId="35728"/>
    <cellStyle name="Normal 4 9 2 5 2 2" xfId="35729"/>
    <cellStyle name="Normal 4 9 2 5 2 3" xfId="35730"/>
    <cellStyle name="Normal 4 9 2 5 3" xfId="35731"/>
    <cellStyle name="Normal 4 9 2 5 3 2" xfId="35732"/>
    <cellStyle name="Normal 4 9 2 5 3 3" xfId="35733"/>
    <cellStyle name="Normal 4 9 2 5 4" xfId="35734"/>
    <cellStyle name="Normal 4 9 2 5 5" xfId="35735"/>
    <cellStyle name="Normal 4 9 2 6" xfId="35736"/>
    <cellStyle name="Normal 4 9 2 6 2" xfId="35737"/>
    <cellStyle name="Normal 4 9 2 6 3" xfId="35738"/>
    <cellStyle name="Normal 4 9 2 7" xfId="35739"/>
    <cellStyle name="Normal 4 9 2 7 2" xfId="35740"/>
    <cellStyle name="Normal 4 9 2 7 3" xfId="35741"/>
    <cellStyle name="Normal 4 9 2 8" xfId="35742"/>
    <cellStyle name="Normal 4 9 2 9" xfId="35743"/>
    <cellStyle name="Normal 4 9 3" xfId="35744"/>
    <cellStyle name="Normal 4 9 3 2" xfId="35745"/>
    <cellStyle name="Normal 4 9 3 2 2" xfId="35746"/>
    <cellStyle name="Normal 4 9 3 2 2 2" xfId="35747"/>
    <cellStyle name="Normal 4 9 3 2 2 2 2" xfId="35748"/>
    <cellStyle name="Normal 4 9 3 2 2 2 3" xfId="35749"/>
    <cellStyle name="Normal 4 9 3 2 2 3" xfId="35750"/>
    <cellStyle name="Normal 4 9 3 2 2 3 2" xfId="35751"/>
    <cellStyle name="Normal 4 9 3 2 2 3 3" xfId="35752"/>
    <cellStyle name="Normal 4 9 3 2 2 4" xfId="35753"/>
    <cellStyle name="Normal 4 9 3 2 2 5" xfId="35754"/>
    <cellStyle name="Normal 4 9 3 2 3" xfId="35755"/>
    <cellStyle name="Normal 4 9 3 2 3 2" xfId="35756"/>
    <cellStyle name="Normal 4 9 3 2 3 3" xfId="35757"/>
    <cellStyle name="Normal 4 9 3 2 4" xfId="35758"/>
    <cellStyle name="Normal 4 9 3 2 4 2" xfId="35759"/>
    <cellStyle name="Normal 4 9 3 2 4 3" xfId="35760"/>
    <cellStyle name="Normal 4 9 3 2 5" xfId="35761"/>
    <cellStyle name="Normal 4 9 3 2 6" xfId="35762"/>
    <cellStyle name="Normal 4 9 3 3" xfId="35763"/>
    <cellStyle name="Normal 4 9 3 3 2" xfId="35764"/>
    <cellStyle name="Normal 4 9 3 3 2 2" xfId="35765"/>
    <cellStyle name="Normal 4 9 3 3 2 2 2" xfId="35766"/>
    <cellStyle name="Normal 4 9 3 3 2 2 3" xfId="35767"/>
    <cellStyle name="Normal 4 9 3 3 2 3" xfId="35768"/>
    <cellStyle name="Normal 4 9 3 3 2 3 2" xfId="35769"/>
    <cellStyle name="Normal 4 9 3 3 2 3 3" xfId="35770"/>
    <cellStyle name="Normal 4 9 3 3 2 4" xfId="35771"/>
    <cellStyle name="Normal 4 9 3 3 2 5" xfId="35772"/>
    <cellStyle name="Normal 4 9 3 3 3" xfId="35773"/>
    <cellStyle name="Normal 4 9 3 3 3 2" xfId="35774"/>
    <cellStyle name="Normal 4 9 3 3 3 3" xfId="35775"/>
    <cellStyle name="Normal 4 9 3 3 4" xfId="35776"/>
    <cellStyle name="Normal 4 9 3 3 4 2" xfId="35777"/>
    <cellStyle name="Normal 4 9 3 3 4 3" xfId="35778"/>
    <cellStyle name="Normal 4 9 3 3 5" xfId="35779"/>
    <cellStyle name="Normal 4 9 3 3 6" xfId="35780"/>
    <cellStyle name="Normal 4 9 3 4" xfId="35781"/>
    <cellStyle name="Normal 4 9 3 4 2" xfId="35782"/>
    <cellStyle name="Normal 4 9 3 4 2 2" xfId="35783"/>
    <cellStyle name="Normal 4 9 3 4 2 3" xfId="35784"/>
    <cellStyle name="Normal 4 9 3 4 3" xfId="35785"/>
    <cellStyle name="Normal 4 9 3 4 3 2" xfId="35786"/>
    <cellStyle name="Normal 4 9 3 4 3 3" xfId="35787"/>
    <cellStyle name="Normal 4 9 3 4 4" xfId="35788"/>
    <cellStyle name="Normal 4 9 3 4 5" xfId="35789"/>
    <cellStyle name="Normal 4 9 3 5" xfId="35790"/>
    <cellStyle name="Normal 4 9 3 5 2" xfId="35791"/>
    <cellStyle name="Normal 4 9 3 5 3" xfId="35792"/>
    <cellStyle name="Normal 4 9 3 6" xfId="35793"/>
    <cellStyle name="Normal 4 9 3 6 2" xfId="35794"/>
    <cellStyle name="Normal 4 9 3 6 3" xfId="35795"/>
    <cellStyle name="Normal 4 9 3 7" xfId="35796"/>
    <cellStyle name="Normal 4 9 3 8" xfId="35797"/>
    <cellStyle name="Normal 4 9 4" xfId="35798"/>
    <cellStyle name="Normal 4 9 4 2" xfId="35799"/>
    <cellStyle name="Normal 4 9 4 2 2" xfId="35800"/>
    <cellStyle name="Normal 4 9 4 2 2 2" xfId="35801"/>
    <cellStyle name="Normal 4 9 4 2 2 3" xfId="35802"/>
    <cellStyle name="Normal 4 9 4 2 3" xfId="35803"/>
    <cellStyle name="Normal 4 9 4 2 3 2" xfId="35804"/>
    <cellStyle name="Normal 4 9 4 2 3 3" xfId="35805"/>
    <cellStyle name="Normal 4 9 4 2 4" xfId="35806"/>
    <cellStyle name="Normal 4 9 4 2 5" xfId="35807"/>
    <cellStyle name="Normal 4 9 4 3" xfId="35808"/>
    <cellStyle name="Normal 4 9 4 3 2" xfId="35809"/>
    <cellStyle name="Normal 4 9 4 3 3" xfId="35810"/>
    <cellStyle name="Normal 4 9 4 4" xfId="35811"/>
    <cellStyle name="Normal 4 9 4 4 2" xfId="35812"/>
    <cellStyle name="Normal 4 9 4 4 3" xfId="35813"/>
    <cellStyle name="Normal 4 9 4 5" xfId="35814"/>
    <cellStyle name="Normal 4 9 4 6" xfId="35815"/>
    <cellStyle name="Normal 4 9 5" xfId="35816"/>
    <cellStyle name="Normal 4 9 5 2" xfId="35817"/>
    <cellStyle name="Normal 4 9 5 2 2" xfId="35818"/>
    <cellStyle name="Normal 4 9 5 2 2 2" xfId="35819"/>
    <cellStyle name="Normal 4 9 5 2 2 3" xfId="35820"/>
    <cellStyle name="Normal 4 9 5 2 3" xfId="35821"/>
    <cellStyle name="Normal 4 9 5 2 3 2" xfId="35822"/>
    <cellStyle name="Normal 4 9 5 2 3 3" xfId="35823"/>
    <cellStyle name="Normal 4 9 5 2 4" xfId="35824"/>
    <cellStyle name="Normal 4 9 5 2 5" xfId="35825"/>
    <cellStyle name="Normal 4 9 5 3" xfId="35826"/>
    <cellStyle name="Normal 4 9 5 3 2" xfId="35827"/>
    <cellStyle name="Normal 4 9 5 3 3" xfId="35828"/>
    <cellStyle name="Normal 4 9 5 4" xfId="35829"/>
    <cellStyle name="Normal 4 9 5 4 2" xfId="35830"/>
    <cellStyle name="Normal 4 9 5 4 3" xfId="35831"/>
    <cellStyle name="Normal 4 9 5 5" xfId="35832"/>
    <cellStyle name="Normal 4 9 5 6" xfId="35833"/>
    <cellStyle name="Normal 4 9 6" xfId="35834"/>
    <cellStyle name="Normal 4 9 6 2" xfId="35835"/>
    <cellStyle name="Normal 4 9 6 2 2" xfId="35836"/>
    <cellStyle name="Normal 4 9 6 2 3" xfId="35837"/>
    <cellStyle name="Normal 4 9 6 3" xfId="35838"/>
    <cellStyle name="Normal 4 9 6 3 2" xfId="35839"/>
    <cellStyle name="Normal 4 9 6 3 3" xfId="35840"/>
    <cellStyle name="Normal 4 9 6 4" xfId="35841"/>
    <cellStyle name="Normal 4 9 6 5" xfId="35842"/>
    <cellStyle name="Normal 4 9 7" xfId="35843"/>
    <cellStyle name="Normal 4 9 7 2" xfId="35844"/>
    <cellStyle name="Normal 4 9 7 3" xfId="35845"/>
    <cellStyle name="Normal 4 9 8" xfId="35846"/>
    <cellStyle name="Normal 4 9 8 2" xfId="35847"/>
    <cellStyle name="Normal 4 9 8 3" xfId="35848"/>
    <cellStyle name="Normal 4 9 9" xfId="35849"/>
    <cellStyle name="Normal 5" xfId="16"/>
    <cellStyle name="Normal 5 10" xfId="35850"/>
    <cellStyle name="Normal 5 10 2" xfId="35851"/>
    <cellStyle name="Normal 5 10 2 2" xfId="35852"/>
    <cellStyle name="Normal 5 10 2 3" xfId="35853"/>
    <cellStyle name="Normal 5 10 3" xfId="35854"/>
    <cellStyle name="Normal 5 10 3 2" xfId="35855"/>
    <cellStyle name="Normal 5 10 3 3" xfId="35856"/>
    <cellStyle name="Normal 5 10 4" xfId="35857"/>
    <cellStyle name="Normal 5 10 5" xfId="35858"/>
    <cellStyle name="Normal 5 11" xfId="35859"/>
    <cellStyle name="Normal 5 12" xfId="35860"/>
    <cellStyle name="Normal 5 13" xfId="35861"/>
    <cellStyle name="Normal 5 14" xfId="35862"/>
    <cellStyle name="Normal 5 2" xfId="47"/>
    <cellStyle name="Normal 5 2 10" xfId="35863"/>
    <cellStyle name="Normal 5 2 10 2" xfId="35864"/>
    <cellStyle name="Normal 5 2 10 2 2" xfId="35865"/>
    <cellStyle name="Normal 5 2 10 2 2 2" xfId="35866"/>
    <cellStyle name="Normal 5 2 10 2 2 3" xfId="35867"/>
    <cellStyle name="Normal 5 2 10 2 3" xfId="35868"/>
    <cellStyle name="Normal 5 2 10 2 3 2" xfId="35869"/>
    <cellStyle name="Normal 5 2 10 2 3 3" xfId="35870"/>
    <cellStyle name="Normal 5 2 10 2 4" xfId="35871"/>
    <cellStyle name="Normal 5 2 10 2 5" xfId="35872"/>
    <cellStyle name="Normal 5 2 10 3" xfId="35873"/>
    <cellStyle name="Normal 5 2 10 3 2" xfId="35874"/>
    <cellStyle name="Normal 5 2 10 3 3" xfId="35875"/>
    <cellStyle name="Normal 5 2 10 4" xfId="35876"/>
    <cellStyle name="Normal 5 2 10 4 2" xfId="35877"/>
    <cellStyle name="Normal 5 2 10 4 3" xfId="35878"/>
    <cellStyle name="Normal 5 2 10 5" xfId="35879"/>
    <cellStyle name="Normal 5 2 10 6" xfId="35880"/>
    <cellStyle name="Normal 5 2 11" xfId="35881"/>
    <cellStyle name="Normal 5 2 11 2" xfId="35882"/>
    <cellStyle name="Normal 5 2 11 2 2" xfId="35883"/>
    <cellStyle name="Normal 5 2 11 2 3" xfId="35884"/>
    <cellStyle name="Normal 5 2 11 3" xfId="35885"/>
    <cellStyle name="Normal 5 2 11 3 2" xfId="35886"/>
    <cellStyle name="Normal 5 2 11 3 3" xfId="35887"/>
    <cellStyle name="Normal 5 2 11 4" xfId="35888"/>
    <cellStyle name="Normal 5 2 11 5" xfId="35889"/>
    <cellStyle name="Normal 5 2 12" xfId="35890"/>
    <cellStyle name="Normal 5 2 12 2" xfId="35891"/>
    <cellStyle name="Normal 5 2 12 3" xfId="35892"/>
    <cellStyle name="Normal 5 2 13" xfId="35893"/>
    <cellStyle name="Normal 5 2 13 2" xfId="35894"/>
    <cellStyle name="Normal 5 2 13 3" xfId="35895"/>
    <cellStyle name="Normal 5 2 14" xfId="35896"/>
    <cellStyle name="Normal 5 2 15" xfId="35897"/>
    <cellStyle name="Normal 5 2 2" xfId="35898"/>
    <cellStyle name="Normal 5 2 2 10" xfId="35899"/>
    <cellStyle name="Normal 5 2 2 10 2" xfId="35900"/>
    <cellStyle name="Normal 5 2 2 10 3" xfId="35901"/>
    <cellStyle name="Normal 5 2 2 11" xfId="35902"/>
    <cellStyle name="Normal 5 2 2 11 2" xfId="35903"/>
    <cellStyle name="Normal 5 2 2 11 3" xfId="35904"/>
    <cellStyle name="Normal 5 2 2 12" xfId="35905"/>
    <cellStyle name="Normal 5 2 2 13" xfId="35906"/>
    <cellStyle name="Normal 5 2 2 14" xfId="35907"/>
    <cellStyle name="Normal 5 2 2 15" xfId="35908"/>
    <cellStyle name="Normal 5 2 2 2" xfId="35909"/>
    <cellStyle name="Normal 5 2 2 2 10" xfId="35910"/>
    <cellStyle name="Normal 5 2 2 2 10 2" xfId="35911"/>
    <cellStyle name="Normal 5 2 2 2 10 3" xfId="35912"/>
    <cellStyle name="Normal 5 2 2 2 11" xfId="35913"/>
    <cellStyle name="Normal 5 2 2 2 12" xfId="35914"/>
    <cellStyle name="Normal 5 2 2 2 2" xfId="35915"/>
    <cellStyle name="Normal 5 2 2 2 2 10" xfId="35916"/>
    <cellStyle name="Normal 5 2 2 2 2 2" xfId="35917"/>
    <cellStyle name="Normal 5 2 2 2 2 2 2" xfId="35918"/>
    <cellStyle name="Normal 5 2 2 2 2 2 2 2" xfId="35919"/>
    <cellStyle name="Normal 5 2 2 2 2 2 2 2 2" xfId="35920"/>
    <cellStyle name="Normal 5 2 2 2 2 2 2 2 2 2" xfId="35921"/>
    <cellStyle name="Normal 5 2 2 2 2 2 2 2 2 2 2" xfId="35922"/>
    <cellStyle name="Normal 5 2 2 2 2 2 2 2 2 2 3" xfId="35923"/>
    <cellStyle name="Normal 5 2 2 2 2 2 2 2 2 3" xfId="35924"/>
    <cellStyle name="Normal 5 2 2 2 2 2 2 2 2 3 2" xfId="35925"/>
    <cellStyle name="Normal 5 2 2 2 2 2 2 2 2 3 3" xfId="35926"/>
    <cellStyle name="Normal 5 2 2 2 2 2 2 2 2 4" xfId="35927"/>
    <cellStyle name="Normal 5 2 2 2 2 2 2 2 2 5" xfId="35928"/>
    <cellStyle name="Normal 5 2 2 2 2 2 2 2 3" xfId="35929"/>
    <cellStyle name="Normal 5 2 2 2 2 2 2 2 3 2" xfId="35930"/>
    <cellStyle name="Normal 5 2 2 2 2 2 2 2 3 3" xfId="35931"/>
    <cellStyle name="Normal 5 2 2 2 2 2 2 2 4" xfId="35932"/>
    <cellStyle name="Normal 5 2 2 2 2 2 2 2 4 2" xfId="35933"/>
    <cellStyle name="Normal 5 2 2 2 2 2 2 2 4 3" xfId="35934"/>
    <cellStyle name="Normal 5 2 2 2 2 2 2 2 5" xfId="35935"/>
    <cellStyle name="Normal 5 2 2 2 2 2 2 2 6" xfId="35936"/>
    <cellStyle name="Normal 5 2 2 2 2 2 2 3" xfId="35937"/>
    <cellStyle name="Normal 5 2 2 2 2 2 2 3 2" xfId="35938"/>
    <cellStyle name="Normal 5 2 2 2 2 2 2 3 2 2" xfId="35939"/>
    <cellStyle name="Normal 5 2 2 2 2 2 2 3 2 2 2" xfId="35940"/>
    <cellStyle name="Normal 5 2 2 2 2 2 2 3 2 2 3" xfId="35941"/>
    <cellStyle name="Normal 5 2 2 2 2 2 2 3 2 3" xfId="35942"/>
    <cellStyle name="Normal 5 2 2 2 2 2 2 3 2 3 2" xfId="35943"/>
    <cellStyle name="Normal 5 2 2 2 2 2 2 3 2 3 3" xfId="35944"/>
    <cellStyle name="Normal 5 2 2 2 2 2 2 3 2 4" xfId="35945"/>
    <cellStyle name="Normal 5 2 2 2 2 2 2 3 2 5" xfId="35946"/>
    <cellStyle name="Normal 5 2 2 2 2 2 2 3 3" xfId="35947"/>
    <cellStyle name="Normal 5 2 2 2 2 2 2 3 3 2" xfId="35948"/>
    <cellStyle name="Normal 5 2 2 2 2 2 2 3 3 3" xfId="35949"/>
    <cellStyle name="Normal 5 2 2 2 2 2 2 3 4" xfId="35950"/>
    <cellStyle name="Normal 5 2 2 2 2 2 2 3 4 2" xfId="35951"/>
    <cellStyle name="Normal 5 2 2 2 2 2 2 3 4 3" xfId="35952"/>
    <cellStyle name="Normal 5 2 2 2 2 2 2 3 5" xfId="35953"/>
    <cellStyle name="Normal 5 2 2 2 2 2 2 3 6" xfId="35954"/>
    <cellStyle name="Normal 5 2 2 2 2 2 2 4" xfId="35955"/>
    <cellStyle name="Normal 5 2 2 2 2 2 2 4 2" xfId="35956"/>
    <cellStyle name="Normal 5 2 2 2 2 2 2 4 2 2" xfId="35957"/>
    <cellStyle name="Normal 5 2 2 2 2 2 2 4 2 3" xfId="35958"/>
    <cellStyle name="Normal 5 2 2 2 2 2 2 4 3" xfId="35959"/>
    <cellStyle name="Normal 5 2 2 2 2 2 2 4 3 2" xfId="35960"/>
    <cellStyle name="Normal 5 2 2 2 2 2 2 4 3 3" xfId="35961"/>
    <cellStyle name="Normal 5 2 2 2 2 2 2 4 4" xfId="35962"/>
    <cellStyle name="Normal 5 2 2 2 2 2 2 4 5" xfId="35963"/>
    <cellStyle name="Normal 5 2 2 2 2 2 2 5" xfId="35964"/>
    <cellStyle name="Normal 5 2 2 2 2 2 2 5 2" xfId="35965"/>
    <cellStyle name="Normal 5 2 2 2 2 2 2 5 3" xfId="35966"/>
    <cellStyle name="Normal 5 2 2 2 2 2 2 6" xfId="35967"/>
    <cellStyle name="Normal 5 2 2 2 2 2 2 6 2" xfId="35968"/>
    <cellStyle name="Normal 5 2 2 2 2 2 2 6 3" xfId="35969"/>
    <cellStyle name="Normal 5 2 2 2 2 2 2 7" xfId="35970"/>
    <cellStyle name="Normal 5 2 2 2 2 2 2 8" xfId="35971"/>
    <cellStyle name="Normal 5 2 2 2 2 2 3" xfId="35972"/>
    <cellStyle name="Normal 5 2 2 2 2 2 3 2" xfId="35973"/>
    <cellStyle name="Normal 5 2 2 2 2 2 3 2 2" xfId="35974"/>
    <cellStyle name="Normal 5 2 2 2 2 2 3 2 2 2" xfId="35975"/>
    <cellStyle name="Normal 5 2 2 2 2 2 3 2 2 3" xfId="35976"/>
    <cellStyle name="Normal 5 2 2 2 2 2 3 2 3" xfId="35977"/>
    <cellStyle name="Normal 5 2 2 2 2 2 3 2 3 2" xfId="35978"/>
    <cellStyle name="Normal 5 2 2 2 2 2 3 2 3 3" xfId="35979"/>
    <cellStyle name="Normal 5 2 2 2 2 2 3 2 4" xfId="35980"/>
    <cellStyle name="Normal 5 2 2 2 2 2 3 2 5" xfId="35981"/>
    <cellStyle name="Normal 5 2 2 2 2 2 3 3" xfId="35982"/>
    <cellStyle name="Normal 5 2 2 2 2 2 3 3 2" xfId="35983"/>
    <cellStyle name="Normal 5 2 2 2 2 2 3 3 3" xfId="35984"/>
    <cellStyle name="Normal 5 2 2 2 2 2 3 4" xfId="35985"/>
    <cellStyle name="Normal 5 2 2 2 2 2 3 4 2" xfId="35986"/>
    <cellStyle name="Normal 5 2 2 2 2 2 3 4 3" xfId="35987"/>
    <cellStyle name="Normal 5 2 2 2 2 2 3 5" xfId="35988"/>
    <cellStyle name="Normal 5 2 2 2 2 2 3 6" xfId="35989"/>
    <cellStyle name="Normal 5 2 2 2 2 2 4" xfId="35990"/>
    <cellStyle name="Normal 5 2 2 2 2 2 4 2" xfId="35991"/>
    <cellStyle name="Normal 5 2 2 2 2 2 4 2 2" xfId="35992"/>
    <cellStyle name="Normal 5 2 2 2 2 2 4 2 2 2" xfId="35993"/>
    <cellStyle name="Normal 5 2 2 2 2 2 4 2 2 3" xfId="35994"/>
    <cellStyle name="Normal 5 2 2 2 2 2 4 2 3" xfId="35995"/>
    <cellStyle name="Normal 5 2 2 2 2 2 4 2 3 2" xfId="35996"/>
    <cellStyle name="Normal 5 2 2 2 2 2 4 2 3 3" xfId="35997"/>
    <cellStyle name="Normal 5 2 2 2 2 2 4 2 4" xfId="35998"/>
    <cellStyle name="Normal 5 2 2 2 2 2 4 2 5" xfId="35999"/>
    <cellStyle name="Normal 5 2 2 2 2 2 4 3" xfId="36000"/>
    <cellStyle name="Normal 5 2 2 2 2 2 4 3 2" xfId="36001"/>
    <cellStyle name="Normal 5 2 2 2 2 2 4 3 3" xfId="36002"/>
    <cellStyle name="Normal 5 2 2 2 2 2 4 4" xfId="36003"/>
    <cellStyle name="Normal 5 2 2 2 2 2 4 4 2" xfId="36004"/>
    <cellStyle name="Normal 5 2 2 2 2 2 4 4 3" xfId="36005"/>
    <cellStyle name="Normal 5 2 2 2 2 2 4 5" xfId="36006"/>
    <cellStyle name="Normal 5 2 2 2 2 2 4 6" xfId="36007"/>
    <cellStyle name="Normal 5 2 2 2 2 2 5" xfId="36008"/>
    <cellStyle name="Normal 5 2 2 2 2 2 5 2" xfId="36009"/>
    <cellStyle name="Normal 5 2 2 2 2 2 5 2 2" xfId="36010"/>
    <cellStyle name="Normal 5 2 2 2 2 2 5 2 3" xfId="36011"/>
    <cellStyle name="Normal 5 2 2 2 2 2 5 3" xfId="36012"/>
    <cellStyle name="Normal 5 2 2 2 2 2 5 3 2" xfId="36013"/>
    <cellStyle name="Normal 5 2 2 2 2 2 5 3 3" xfId="36014"/>
    <cellStyle name="Normal 5 2 2 2 2 2 5 4" xfId="36015"/>
    <cellStyle name="Normal 5 2 2 2 2 2 5 5" xfId="36016"/>
    <cellStyle name="Normal 5 2 2 2 2 2 6" xfId="36017"/>
    <cellStyle name="Normal 5 2 2 2 2 2 6 2" xfId="36018"/>
    <cellStyle name="Normal 5 2 2 2 2 2 6 3" xfId="36019"/>
    <cellStyle name="Normal 5 2 2 2 2 2 7" xfId="36020"/>
    <cellStyle name="Normal 5 2 2 2 2 2 7 2" xfId="36021"/>
    <cellStyle name="Normal 5 2 2 2 2 2 7 3" xfId="36022"/>
    <cellStyle name="Normal 5 2 2 2 2 2 8" xfId="36023"/>
    <cellStyle name="Normal 5 2 2 2 2 2 9" xfId="36024"/>
    <cellStyle name="Normal 5 2 2 2 2 3" xfId="36025"/>
    <cellStyle name="Normal 5 2 2 2 2 3 2" xfId="36026"/>
    <cellStyle name="Normal 5 2 2 2 2 3 2 2" xfId="36027"/>
    <cellStyle name="Normal 5 2 2 2 2 3 2 2 2" xfId="36028"/>
    <cellStyle name="Normal 5 2 2 2 2 3 2 2 2 2" xfId="36029"/>
    <cellStyle name="Normal 5 2 2 2 2 3 2 2 2 3" xfId="36030"/>
    <cellStyle name="Normal 5 2 2 2 2 3 2 2 3" xfId="36031"/>
    <cellStyle name="Normal 5 2 2 2 2 3 2 2 3 2" xfId="36032"/>
    <cellStyle name="Normal 5 2 2 2 2 3 2 2 3 3" xfId="36033"/>
    <cellStyle name="Normal 5 2 2 2 2 3 2 2 4" xfId="36034"/>
    <cellStyle name="Normal 5 2 2 2 2 3 2 2 5" xfId="36035"/>
    <cellStyle name="Normal 5 2 2 2 2 3 2 3" xfId="36036"/>
    <cellStyle name="Normal 5 2 2 2 2 3 2 3 2" xfId="36037"/>
    <cellStyle name="Normal 5 2 2 2 2 3 2 3 3" xfId="36038"/>
    <cellStyle name="Normal 5 2 2 2 2 3 2 4" xfId="36039"/>
    <cellStyle name="Normal 5 2 2 2 2 3 2 4 2" xfId="36040"/>
    <cellStyle name="Normal 5 2 2 2 2 3 2 4 3" xfId="36041"/>
    <cellStyle name="Normal 5 2 2 2 2 3 2 5" xfId="36042"/>
    <cellStyle name="Normal 5 2 2 2 2 3 2 6" xfId="36043"/>
    <cellStyle name="Normal 5 2 2 2 2 3 3" xfId="36044"/>
    <cellStyle name="Normal 5 2 2 2 2 3 3 2" xfId="36045"/>
    <cellStyle name="Normal 5 2 2 2 2 3 3 2 2" xfId="36046"/>
    <cellStyle name="Normal 5 2 2 2 2 3 3 2 2 2" xfId="36047"/>
    <cellStyle name="Normal 5 2 2 2 2 3 3 2 2 3" xfId="36048"/>
    <cellStyle name="Normal 5 2 2 2 2 3 3 2 3" xfId="36049"/>
    <cellStyle name="Normal 5 2 2 2 2 3 3 2 3 2" xfId="36050"/>
    <cellStyle name="Normal 5 2 2 2 2 3 3 2 3 3" xfId="36051"/>
    <cellStyle name="Normal 5 2 2 2 2 3 3 2 4" xfId="36052"/>
    <cellStyle name="Normal 5 2 2 2 2 3 3 2 5" xfId="36053"/>
    <cellStyle name="Normal 5 2 2 2 2 3 3 3" xfId="36054"/>
    <cellStyle name="Normal 5 2 2 2 2 3 3 3 2" xfId="36055"/>
    <cellStyle name="Normal 5 2 2 2 2 3 3 3 3" xfId="36056"/>
    <cellStyle name="Normal 5 2 2 2 2 3 3 4" xfId="36057"/>
    <cellStyle name="Normal 5 2 2 2 2 3 3 4 2" xfId="36058"/>
    <cellStyle name="Normal 5 2 2 2 2 3 3 4 3" xfId="36059"/>
    <cellStyle name="Normal 5 2 2 2 2 3 3 5" xfId="36060"/>
    <cellStyle name="Normal 5 2 2 2 2 3 3 6" xfId="36061"/>
    <cellStyle name="Normal 5 2 2 2 2 3 4" xfId="36062"/>
    <cellStyle name="Normal 5 2 2 2 2 3 4 2" xfId="36063"/>
    <cellStyle name="Normal 5 2 2 2 2 3 4 2 2" xfId="36064"/>
    <cellStyle name="Normal 5 2 2 2 2 3 4 2 3" xfId="36065"/>
    <cellStyle name="Normal 5 2 2 2 2 3 4 3" xfId="36066"/>
    <cellStyle name="Normal 5 2 2 2 2 3 4 3 2" xfId="36067"/>
    <cellStyle name="Normal 5 2 2 2 2 3 4 3 3" xfId="36068"/>
    <cellStyle name="Normal 5 2 2 2 2 3 4 4" xfId="36069"/>
    <cellStyle name="Normal 5 2 2 2 2 3 4 5" xfId="36070"/>
    <cellStyle name="Normal 5 2 2 2 2 3 5" xfId="36071"/>
    <cellStyle name="Normal 5 2 2 2 2 3 5 2" xfId="36072"/>
    <cellStyle name="Normal 5 2 2 2 2 3 5 3" xfId="36073"/>
    <cellStyle name="Normal 5 2 2 2 2 3 6" xfId="36074"/>
    <cellStyle name="Normal 5 2 2 2 2 3 6 2" xfId="36075"/>
    <cellStyle name="Normal 5 2 2 2 2 3 6 3" xfId="36076"/>
    <cellStyle name="Normal 5 2 2 2 2 3 7" xfId="36077"/>
    <cellStyle name="Normal 5 2 2 2 2 3 8" xfId="36078"/>
    <cellStyle name="Normal 5 2 2 2 2 4" xfId="36079"/>
    <cellStyle name="Normal 5 2 2 2 2 4 2" xfId="36080"/>
    <cellStyle name="Normal 5 2 2 2 2 4 2 2" xfId="36081"/>
    <cellStyle name="Normal 5 2 2 2 2 4 2 2 2" xfId="36082"/>
    <cellStyle name="Normal 5 2 2 2 2 4 2 2 3" xfId="36083"/>
    <cellStyle name="Normal 5 2 2 2 2 4 2 3" xfId="36084"/>
    <cellStyle name="Normal 5 2 2 2 2 4 2 3 2" xfId="36085"/>
    <cellStyle name="Normal 5 2 2 2 2 4 2 3 3" xfId="36086"/>
    <cellStyle name="Normal 5 2 2 2 2 4 2 4" xfId="36087"/>
    <cellStyle name="Normal 5 2 2 2 2 4 2 5" xfId="36088"/>
    <cellStyle name="Normal 5 2 2 2 2 4 3" xfId="36089"/>
    <cellStyle name="Normal 5 2 2 2 2 4 3 2" xfId="36090"/>
    <cellStyle name="Normal 5 2 2 2 2 4 3 3" xfId="36091"/>
    <cellStyle name="Normal 5 2 2 2 2 4 4" xfId="36092"/>
    <cellStyle name="Normal 5 2 2 2 2 4 4 2" xfId="36093"/>
    <cellStyle name="Normal 5 2 2 2 2 4 4 3" xfId="36094"/>
    <cellStyle name="Normal 5 2 2 2 2 4 5" xfId="36095"/>
    <cellStyle name="Normal 5 2 2 2 2 4 6" xfId="36096"/>
    <cellStyle name="Normal 5 2 2 2 2 5" xfId="36097"/>
    <cellStyle name="Normal 5 2 2 2 2 5 2" xfId="36098"/>
    <cellStyle name="Normal 5 2 2 2 2 5 2 2" xfId="36099"/>
    <cellStyle name="Normal 5 2 2 2 2 5 2 2 2" xfId="36100"/>
    <cellStyle name="Normal 5 2 2 2 2 5 2 2 3" xfId="36101"/>
    <cellStyle name="Normal 5 2 2 2 2 5 2 3" xfId="36102"/>
    <cellStyle name="Normal 5 2 2 2 2 5 2 3 2" xfId="36103"/>
    <cellStyle name="Normal 5 2 2 2 2 5 2 3 3" xfId="36104"/>
    <cellStyle name="Normal 5 2 2 2 2 5 2 4" xfId="36105"/>
    <cellStyle name="Normal 5 2 2 2 2 5 2 5" xfId="36106"/>
    <cellStyle name="Normal 5 2 2 2 2 5 3" xfId="36107"/>
    <cellStyle name="Normal 5 2 2 2 2 5 3 2" xfId="36108"/>
    <cellStyle name="Normal 5 2 2 2 2 5 3 3" xfId="36109"/>
    <cellStyle name="Normal 5 2 2 2 2 5 4" xfId="36110"/>
    <cellStyle name="Normal 5 2 2 2 2 5 4 2" xfId="36111"/>
    <cellStyle name="Normal 5 2 2 2 2 5 4 3" xfId="36112"/>
    <cellStyle name="Normal 5 2 2 2 2 5 5" xfId="36113"/>
    <cellStyle name="Normal 5 2 2 2 2 5 6" xfId="36114"/>
    <cellStyle name="Normal 5 2 2 2 2 6" xfId="36115"/>
    <cellStyle name="Normal 5 2 2 2 2 6 2" xfId="36116"/>
    <cellStyle name="Normal 5 2 2 2 2 6 2 2" xfId="36117"/>
    <cellStyle name="Normal 5 2 2 2 2 6 2 3" xfId="36118"/>
    <cellStyle name="Normal 5 2 2 2 2 6 3" xfId="36119"/>
    <cellStyle name="Normal 5 2 2 2 2 6 3 2" xfId="36120"/>
    <cellStyle name="Normal 5 2 2 2 2 6 3 3" xfId="36121"/>
    <cellStyle name="Normal 5 2 2 2 2 6 4" xfId="36122"/>
    <cellStyle name="Normal 5 2 2 2 2 6 5" xfId="36123"/>
    <cellStyle name="Normal 5 2 2 2 2 7" xfId="36124"/>
    <cellStyle name="Normal 5 2 2 2 2 7 2" xfId="36125"/>
    <cellStyle name="Normal 5 2 2 2 2 7 3" xfId="36126"/>
    <cellStyle name="Normal 5 2 2 2 2 8" xfId="36127"/>
    <cellStyle name="Normal 5 2 2 2 2 8 2" xfId="36128"/>
    <cellStyle name="Normal 5 2 2 2 2 8 3" xfId="36129"/>
    <cellStyle name="Normal 5 2 2 2 2 9" xfId="36130"/>
    <cellStyle name="Normal 5 2 2 2 3" xfId="36131"/>
    <cellStyle name="Normal 5 2 2 2 3 10" xfId="36132"/>
    <cellStyle name="Normal 5 2 2 2 3 2" xfId="36133"/>
    <cellStyle name="Normal 5 2 2 2 3 2 2" xfId="36134"/>
    <cellStyle name="Normal 5 2 2 2 3 2 2 2" xfId="36135"/>
    <cellStyle name="Normal 5 2 2 2 3 2 2 2 2" xfId="36136"/>
    <cellStyle name="Normal 5 2 2 2 3 2 2 2 2 2" xfId="36137"/>
    <cellStyle name="Normal 5 2 2 2 3 2 2 2 2 2 2" xfId="36138"/>
    <cellStyle name="Normal 5 2 2 2 3 2 2 2 2 2 3" xfId="36139"/>
    <cellStyle name="Normal 5 2 2 2 3 2 2 2 2 3" xfId="36140"/>
    <cellStyle name="Normal 5 2 2 2 3 2 2 2 2 3 2" xfId="36141"/>
    <cellStyle name="Normal 5 2 2 2 3 2 2 2 2 3 3" xfId="36142"/>
    <cellStyle name="Normal 5 2 2 2 3 2 2 2 2 4" xfId="36143"/>
    <cellStyle name="Normal 5 2 2 2 3 2 2 2 2 5" xfId="36144"/>
    <cellStyle name="Normal 5 2 2 2 3 2 2 2 3" xfId="36145"/>
    <cellStyle name="Normal 5 2 2 2 3 2 2 2 3 2" xfId="36146"/>
    <cellStyle name="Normal 5 2 2 2 3 2 2 2 3 3" xfId="36147"/>
    <cellStyle name="Normal 5 2 2 2 3 2 2 2 4" xfId="36148"/>
    <cellStyle name="Normal 5 2 2 2 3 2 2 2 4 2" xfId="36149"/>
    <cellStyle name="Normal 5 2 2 2 3 2 2 2 4 3" xfId="36150"/>
    <cellStyle name="Normal 5 2 2 2 3 2 2 2 5" xfId="36151"/>
    <cellStyle name="Normal 5 2 2 2 3 2 2 2 6" xfId="36152"/>
    <cellStyle name="Normal 5 2 2 2 3 2 2 3" xfId="36153"/>
    <cellStyle name="Normal 5 2 2 2 3 2 2 3 2" xfId="36154"/>
    <cellStyle name="Normal 5 2 2 2 3 2 2 3 2 2" xfId="36155"/>
    <cellStyle name="Normal 5 2 2 2 3 2 2 3 2 2 2" xfId="36156"/>
    <cellStyle name="Normal 5 2 2 2 3 2 2 3 2 2 3" xfId="36157"/>
    <cellStyle name="Normal 5 2 2 2 3 2 2 3 2 3" xfId="36158"/>
    <cellStyle name="Normal 5 2 2 2 3 2 2 3 2 3 2" xfId="36159"/>
    <cellStyle name="Normal 5 2 2 2 3 2 2 3 2 3 3" xfId="36160"/>
    <cellStyle name="Normal 5 2 2 2 3 2 2 3 2 4" xfId="36161"/>
    <cellStyle name="Normal 5 2 2 2 3 2 2 3 2 5" xfId="36162"/>
    <cellStyle name="Normal 5 2 2 2 3 2 2 3 3" xfId="36163"/>
    <cellStyle name="Normal 5 2 2 2 3 2 2 3 3 2" xfId="36164"/>
    <cellStyle name="Normal 5 2 2 2 3 2 2 3 3 3" xfId="36165"/>
    <cellStyle name="Normal 5 2 2 2 3 2 2 3 4" xfId="36166"/>
    <cellStyle name="Normal 5 2 2 2 3 2 2 3 4 2" xfId="36167"/>
    <cellStyle name="Normal 5 2 2 2 3 2 2 3 4 3" xfId="36168"/>
    <cellStyle name="Normal 5 2 2 2 3 2 2 3 5" xfId="36169"/>
    <cellStyle name="Normal 5 2 2 2 3 2 2 3 6" xfId="36170"/>
    <cellStyle name="Normal 5 2 2 2 3 2 2 4" xfId="36171"/>
    <cellStyle name="Normal 5 2 2 2 3 2 2 4 2" xfId="36172"/>
    <cellStyle name="Normal 5 2 2 2 3 2 2 4 2 2" xfId="36173"/>
    <cellStyle name="Normal 5 2 2 2 3 2 2 4 2 3" xfId="36174"/>
    <cellStyle name="Normal 5 2 2 2 3 2 2 4 3" xfId="36175"/>
    <cellStyle name="Normal 5 2 2 2 3 2 2 4 3 2" xfId="36176"/>
    <cellStyle name="Normal 5 2 2 2 3 2 2 4 3 3" xfId="36177"/>
    <cellStyle name="Normal 5 2 2 2 3 2 2 4 4" xfId="36178"/>
    <cellStyle name="Normal 5 2 2 2 3 2 2 4 5" xfId="36179"/>
    <cellStyle name="Normal 5 2 2 2 3 2 2 5" xfId="36180"/>
    <cellStyle name="Normal 5 2 2 2 3 2 2 5 2" xfId="36181"/>
    <cellStyle name="Normal 5 2 2 2 3 2 2 5 3" xfId="36182"/>
    <cellStyle name="Normal 5 2 2 2 3 2 2 6" xfId="36183"/>
    <cellStyle name="Normal 5 2 2 2 3 2 2 6 2" xfId="36184"/>
    <cellStyle name="Normal 5 2 2 2 3 2 2 6 3" xfId="36185"/>
    <cellStyle name="Normal 5 2 2 2 3 2 2 7" xfId="36186"/>
    <cellStyle name="Normal 5 2 2 2 3 2 2 8" xfId="36187"/>
    <cellStyle name="Normal 5 2 2 2 3 2 3" xfId="36188"/>
    <cellStyle name="Normal 5 2 2 2 3 2 3 2" xfId="36189"/>
    <cellStyle name="Normal 5 2 2 2 3 2 3 2 2" xfId="36190"/>
    <cellStyle name="Normal 5 2 2 2 3 2 3 2 2 2" xfId="36191"/>
    <cellStyle name="Normal 5 2 2 2 3 2 3 2 2 3" xfId="36192"/>
    <cellStyle name="Normal 5 2 2 2 3 2 3 2 3" xfId="36193"/>
    <cellStyle name="Normal 5 2 2 2 3 2 3 2 3 2" xfId="36194"/>
    <cellStyle name="Normal 5 2 2 2 3 2 3 2 3 3" xfId="36195"/>
    <cellStyle name="Normal 5 2 2 2 3 2 3 2 4" xfId="36196"/>
    <cellStyle name="Normal 5 2 2 2 3 2 3 2 5" xfId="36197"/>
    <cellStyle name="Normal 5 2 2 2 3 2 3 3" xfId="36198"/>
    <cellStyle name="Normal 5 2 2 2 3 2 3 3 2" xfId="36199"/>
    <cellStyle name="Normal 5 2 2 2 3 2 3 3 3" xfId="36200"/>
    <cellStyle name="Normal 5 2 2 2 3 2 3 4" xfId="36201"/>
    <cellStyle name="Normal 5 2 2 2 3 2 3 4 2" xfId="36202"/>
    <cellStyle name="Normal 5 2 2 2 3 2 3 4 3" xfId="36203"/>
    <cellStyle name="Normal 5 2 2 2 3 2 3 5" xfId="36204"/>
    <cellStyle name="Normal 5 2 2 2 3 2 3 6" xfId="36205"/>
    <cellStyle name="Normal 5 2 2 2 3 2 4" xfId="36206"/>
    <cellStyle name="Normal 5 2 2 2 3 2 4 2" xfId="36207"/>
    <cellStyle name="Normal 5 2 2 2 3 2 4 2 2" xfId="36208"/>
    <cellStyle name="Normal 5 2 2 2 3 2 4 2 2 2" xfId="36209"/>
    <cellStyle name="Normal 5 2 2 2 3 2 4 2 2 3" xfId="36210"/>
    <cellStyle name="Normal 5 2 2 2 3 2 4 2 3" xfId="36211"/>
    <cellStyle name="Normal 5 2 2 2 3 2 4 2 3 2" xfId="36212"/>
    <cellStyle name="Normal 5 2 2 2 3 2 4 2 3 3" xfId="36213"/>
    <cellStyle name="Normal 5 2 2 2 3 2 4 2 4" xfId="36214"/>
    <cellStyle name="Normal 5 2 2 2 3 2 4 2 5" xfId="36215"/>
    <cellStyle name="Normal 5 2 2 2 3 2 4 3" xfId="36216"/>
    <cellStyle name="Normal 5 2 2 2 3 2 4 3 2" xfId="36217"/>
    <cellStyle name="Normal 5 2 2 2 3 2 4 3 3" xfId="36218"/>
    <cellStyle name="Normal 5 2 2 2 3 2 4 4" xfId="36219"/>
    <cellStyle name="Normal 5 2 2 2 3 2 4 4 2" xfId="36220"/>
    <cellStyle name="Normal 5 2 2 2 3 2 4 4 3" xfId="36221"/>
    <cellStyle name="Normal 5 2 2 2 3 2 4 5" xfId="36222"/>
    <cellStyle name="Normal 5 2 2 2 3 2 4 6" xfId="36223"/>
    <cellStyle name="Normal 5 2 2 2 3 2 5" xfId="36224"/>
    <cellStyle name="Normal 5 2 2 2 3 2 5 2" xfId="36225"/>
    <cellStyle name="Normal 5 2 2 2 3 2 5 2 2" xfId="36226"/>
    <cellStyle name="Normal 5 2 2 2 3 2 5 2 3" xfId="36227"/>
    <cellStyle name="Normal 5 2 2 2 3 2 5 3" xfId="36228"/>
    <cellStyle name="Normal 5 2 2 2 3 2 5 3 2" xfId="36229"/>
    <cellStyle name="Normal 5 2 2 2 3 2 5 3 3" xfId="36230"/>
    <cellStyle name="Normal 5 2 2 2 3 2 5 4" xfId="36231"/>
    <cellStyle name="Normal 5 2 2 2 3 2 5 5" xfId="36232"/>
    <cellStyle name="Normal 5 2 2 2 3 2 6" xfId="36233"/>
    <cellStyle name="Normal 5 2 2 2 3 2 6 2" xfId="36234"/>
    <cellStyle name="Normal 5 2 2 2 3 2 6 3" xfId="36235"/>
    <cellStyle name="Normal 5 2 2 2 3 2 7" xfId="36236"/>
    <cellStyle name="Normal 5 2 2 2 3 2 7 2" xfId="36237"/>
    <cellStyle name="Normal 5 2 2 2 3 2 7 3" xfId="36238"/>
    <cellStyle name="Normal 5 2 2 2 3 2 8" xfId="36239"/>
    <cellStyle name="Normal 5 2 2 2 3 2 9" xfId="36240"/>
    <cellStyle name="Normal 5 2 2 2 3 3" xfId="36241"/>
    <cellStyle name="Normal 5 2 2 2 3 3 2" xfId="36242"/>
    <cellStyle name="Normal 5 2 2 2 3 3 2 2" xfId="36243"/>
    <cellStyle name="Normal 5 2 2 2 3 3 2 2 2" xfId="36244"/>
    <cellStyle name="Normal 5 2 2 2 3 3 2 2 2 2" xfId="36245"/>
    <cellStyle name="Normal 5 2 2 2 3 3 2 2 2 3" xfId="36246"/>
    <cellStyle name="Normal 5 2 2 2 3 3 2 2 3" xfId="36247"/>
    <cellStyle name="Normal 5 2 2 2 3 3 2 2 3 2" xfId="36248"/>
    <cellStyle name="Normal 5 2 2 2 3 3 2 2 3 3" xfId="36249"/>
    <cellStyle name="Normal 5 2 2 2 3 3 2 2 4" xfId="36250"/>
    <cellStyle name="Normal 5 2 2 2 3 3 2 2 5" xfId="36251"/>
    <cellStyle name="Normal 5 2 2 2 3 3 2 3" xfId="36252"/>
    <cellStyle name="Normal 5 2 2 2 3 3 2 3 2" xfId="36253"/>
    <cellStyle name="Normal 5 2 2 2 3 3 2 3 3" xfId="36254"/>
    <cellStyle name="Normal 5 2 2 2 3 3 2 4" xfId="36255"/>
    <cellStyle name="Normal 5 2 2 2 3 3 2 4 2" xfId="36256"/>
    <cellStyle name="Normal 5 2 2 2 3 3 2 4 3" xfId="36257"/>
    <cellStyle name="Normal 5 2 2 2 3 3 2 5" xfId="36258"/>
    <cellStyle name="Normal 5 2 2 2 3 3 2 6" xfId="36259"/>
    <cellStyle name="Normal 5 2 2 2 3 3 3" xfId="36260"/>
    <cellStyle name="Normal 5 2 2 2 3 3 3 2" xfId="36261"/>
    <cellStyle name="Normal 5 2 2 2 3 3 3 2 2" xfId="36262"/>
    <cellStyle name="Normal 5 2 2 2 3 3 3 2 2 2" xfId="36263"/>
    <cellStyle name="Normal 5 2 2 2 3 3 3 2 2 3" xfId="36264"/>
    <cellStyle name="Normal 5 2 2 2 3 3 3 2 3" xfId="36265"/>
    <cellStyle name="Normal 5 2 2 2 3 3 3 2 3 2" xfId="36266"/>
    <cellStyle name="Normal 5 2 2 2 3 3 3 2 3 3" xfId="36267"/>
    <cellStyle name="Normal 5 2 2 2 3 3 3 2 4" xfId="36268"/>
    <cellStyle name="Normal 5 2 2 2 3 3 3 2 5" xfId="36269"/>
    <cellStyle name="Normal 5 2 2 2 3 3 3 3" xfId="36270"/>
    <cellStyle name="Normal 5 2 2 2 3 3 3 3 2" xfId="36271"/>
    <cellStyle name="Normal 5 2 2 2 3 3 3 3 3" xfId="36272"/>
    <cellStyle name="Normal 5 2 2 2 3 3 3 4" xfId="36273"/>
    <cellStyle name="Normal 5 2 2 2 3 3 3 4 2" xfId="36274"/>
    <cellStyle name="Normal 5 2 2 2 3 3 3 4 3" xfId="36275"/>
    <cellStyle name="Normal 5 2 2 2 3 3 3 5" xfId="36276"/>
    <cellStyle name="Normal 5 2 2 2 3 3 3 6" xfId="36277"/>
    <cellStyle name="Normal 5 2 2 2 3 3 4" xfId="36278"/>
    <cellStyle name="Normal 5 2 2 2 3 3 4 2" xfId="36279"/>
    <cellStyle name="Normal 5 2 2 2 3 3 4 2 2" xfId="36280"/>
    <cellStyle name="Normal 5 2 2 2 3 3 4 2 3" xfId="36281"/>
    <cellStyle name="Normal 5 2 2 2 3 3 4 3" xfId="36282"/>
    <cellStyle name="Normal 5 2 2 2 3 3 4 3 2" xfId="36283"/>
    <cellStyle name="Normal 5 2 2 2 3 3 4 3 3" xfId="36284"/>
    <cellStyle name="Normal 5 2 2 2 3 3 4 4" xfId="36285"/>
    <cellStyle name="Normal 5 2 2 2 3 3 4 5" xfId="36286"/>
    <cellStyle name="Normal 5 2 2 2 3 3 5" xfId="36287"/>
    <cellStyle name="Normal 5 2 2 2 3 3 5 2" xfId="36288"/>
    <cellStyle name="Normal 5 2 2 2 3 3 5 3" xfId="36289"/>
    <cellStyle name="Normal 5 2 2 2 3 3 6" xfId="36290"/>
    <cellStyle name="Normal 5 2 2 2 3 3 6 2" xfId="36291"/>
    <cellStyle name="Normal 5 2 2 2 3 3 6 3" xfId="36292"/>
    <cellStyle name="Normal 5 2 2 2 3 3 7" xfId="36293"/>
    <cellStyle name="Normal 5 2 2 2 3 3 8" xfId="36294"/>
    <cellStyle name="Normal 5 2 2 2 3 4" xfId="36295"/>
    <cellStyle name="Normal 5 2 2 2 3 4 2" xfId="36296"/>
    <cellStyle name="Normal 5 2 2 2 3 4 2 2" xfId="36297"/>
    <cellStyle name="Normal 5 2 2 2 3 4 2 2 2" xfId="36298"/>
    <cellStyle name="Normal 5 2 2 2 3 4 2 2 3" xfId="36299"/>
    <cellStyle name="Normal 5 2 2 2 3 4 2 3" xfId="36300"/>
    <cellStyle name="Normal 5 2 2 2 3 4 2 3 2" xfId="36301"/>
    <cellStyle name="Normal 5 2 2 2 3 4 2 3 3" xfId="36302"/>
    <cellStyle name="Normal 5 2 2 2 3 4 2 4" xfId="36303"/>
    <cellStyle name="Normal 5 2 2 2 3 4 2 5" xfId="36304"/>
    <cellStyle name="Normal 5 2 2 2 3 4 3" xfId="36305"/>
    <cellStyle name="Normal 5 2 2 2 3 4 3 2" xfId="36306"/>
    <cellStyle name="Normal 5 2 2 2 3 4 3 3" xfId="36307"/>
    <cellStyle name="Normal 5 2 2 2 3 4 4" xfId="36308"/>
    <cellStyle name="Normal 5 2 2 2 3 4 4 2" xfId="36309"/>
    <cellStyle name="Normal 5 2 2 2 3 4 4 3" xfId="36310"/>
    <cellStyle name="Normal 5 2 2 2 3 4 5" xfId="36311"/>
    <cellStyle name="Normal 5 2 2 2 3 4 6" xfId="36312"/>
    <cellStyle name="Normal 5 2 2 2 3 5" xfId="36313"/>
    <cellStyle name="Normal 5 2 2 2 3 5 2" xfId="36314"/>
    <cellStyle name="Normal 5 2 2 2 3 5 2 2" xfId="36315"/>
    <cellStyle name="Normal 5 2 2 2 3 5 2 2 2" xfId="36316"/>
    <cellStyle name="Normal 5 2 2 2 3 5 2 2 3" xfId="36317"/>
    <cellStyle name="Normal 5 2 2 2 3 5 2 3" xfId="36318"/>
    <cellStyle name="Normal 5 2 2 2 3 5 2 3 2" xfId="36319"/>
    <cellStyle name="Normal 5 2 2 2 3 5 2 3 3" xfId="36320"/>
    <cellStyle name="Normal 5 2 2 2 3 5 2 4" xfId="36321"/>
    <cellStyle name="Normal 5 2 2 2 3 5 2 5" xfId="36322"/>
    <cellStyle name="Normal 5 2 2 2 3 5 3" xfId="36323"/>
    <cellStyle name="Normal 5 2 2 2 3 5 3 2" xfId="36324"/>
    <cellStyle name="Normal 5 2 2 2 3 5 3 3" xfId="36325"/>
    <cellStyle name="Normal 5 2 2 2 3 5 4" xfId="36326"/>
    <cellStyle name="Normal 5 2 2 2 3 5 4 2" xfId="36327"/>
    <cellStyle name="Normal 5 2 2 2 3 5 4 3" xfId="36328"/>
    <cellStyle name="Normal 5 2 2 2 3 5 5" xfId="36329"/>
    <cellStyle name="Normal 5 2 2 2 3 5 6" xfId="36330"/>
    <cellStyle name="Normal 5 2 2 2 3 6" xfId="36331"/>
    <cellStyle name="Normal 5 2 2 2 3 6 2" xfId="36332"/>
    <cellStyle name="Normal 5 2 2 2 3 6 2 2" xfId="36333"/>
    <cellStyle name="Normal 5 2 2 2 3 6 2 3" xfId="36334"/>
    <cellStyle name="Normal 5 2 2 2 3 6 3" xfId="36335"/>
    <cellStyle name="Normal 5 2 2 2 3 6 3 2" xfId="36336"/>
    <cellStyle name="Normal 5 2 2 2 3 6 3 3" xfId="36337"/>
    <cellStyle name="Normal 5 2 2 2 3 6 4" xfId="36338"/>
    <cellStyle name="Normal 5 2 2 2 3 6 5" xfId="36339"/>
    <cellStyle name="Normal 5 2 2 2 3 7" xfId="36340"/>
    <cellStyle name="Normal 5 2 2 2 3 7 2" xfId="36341"/>
    <cellStyle name="Normal 5 2 2 2 3 7 3" xfId="36342"/>
    <cellStyle name="Normal 5 2 2 2 3 8" xfId="36343"/>
    <cellStyle name="Normal 5 2 2 2 3 8 2" xfId="36344"/>
    <cellStyle name="Normal 5 2 2 2 3 8 3" xfId="36345"/>
    <cellStyle name="Normal 5 2 2 2 3 9" xfId="36346"/>
    <cellStyle name="Normal 5 2 2 2 4" xfId="36347"/>
    <cellStyle name="Normal 5 2 2 2 4 2" xfId="36348"/>
    <cellStyle name="Normal 5 2 2 2 4 2 2" xfId="36349"/>
    <cellStyle name="Normal 5 2 2 2 4 2 2 2" xfId="36350"/>
    <cellStyle name="Normal 5 2 2 2 4 2 2 2 2" xfId="36351"/>
    <cellStyle name="Normal 5 2 2 2 4 2 2 2 2 2" xfId="36352"/>
    <cellStyle name="Normal 5 2 2 2 4 2 2 2 2 3" xfId="36353"/>
    <cellStyle name="Normal 5 2 2 2 4 2 2 2 3" xfId="36354"/>
    <cellStyle name="Normal 5 2 2 2 4 2 2 2 3 2" xfId="36355"/>
    <cellStyle name="Normal 5 2 2 2 4 2 2 2 3 3" xfId="36356"/>
    <cellStyle name="Normal 5 2 2 2 4 2 2 2 4" xfId="36357"/>
    <cellStyle name="Normal 5 2 2 2 4 2 2 2 5" xfId="36358"/>
    <cellStyle name="Normal 5 2 2 2 4 2 2 3" xfId="36359"/>
    <cellStyle name="Normal 5 2 2 2 4 2 2 3 2" xfId="36360"/>
    <cellStyle name="Normal 5 2 2 2 4 2 2 3 3" xfId="36361"/>
    <cellStyle name="Normal 5 2 2 2 4 2 2 4" xfId="36362"/>
    <cellStyle name="Normal 5 2 2 2 4 2 2 4 2" xfId="36363"/>
    <cellStyle name="Normal 5 2 2 2 4 2 2 4 3" xfId="36364"/>
    <cellStyle name="Normal 5 2 2 2 4 2 2 5" xfId="36365"/>
    <cellStyle name="Normal 5 2 2 2 4 2 2 6" xfId="36366"/>
    <cellStyle name="Normal 5 2 2 2 4 2 3" xfId="36367"/>
    <cellStyle name="Normal 5 2 2 2 4 2 3 2" xfId="36368"/>
    <cellStyle name="Normal 5 2 2 2 4 2 3 2 2" xfId="36369"/>
    <cellStyle name="Normal 5 2 2 2 4 2 3 2 2 2" xfId="36370"/>
    <cellStyle name="Normal 5 2 2 2 4 2 3 2 2 3" xfId="36371"/>
    <cellStyle name="Normal 5 2 2 2 4 2 3 2 3" xfId="36372"/>
    <cellStyle name="Normal 5 2 2 2 4 2 3 2 3 2" xfId="36373"/>
    <cellStyle name="Normal 5 2 2 2 4 2 3 2 3 3" xfId="36374"/>
    <cellStyle name="Normal 5 2 2 2 4 2 3 2 4" xfId="36375"/>
    <cellStyle name="Normal 5 2 2 2 4 2 3 2 5" xfId="36376"/>
    <cellStyle name="Normal 5 2 2 2 4 2 3 3" xfId="36377"/>
    <cellStyle name="Normal 5 2 2 2 4 2 3 3 2" xfId="36378"/>
    <cellStyle name="Normal 5 2 2 2 4 2 3 3 3" xfId="36379"/>
    <cellStyle name="Normal 5 2 2 2 4 2 3 4" xfId="36380"/>
    <cellStyle name="Normal 5 2 2 2 4 2 3 4 2" xfId="36381"/>
    <cellStyle name="Normal 5 2 2 2 4 2 3 4 3" xfId="36382"/>
    <cellStyle name="Normal 5 2 2 2 4 2 3 5" xfId="36383"/>
    <cellStyle name="Normal 5 2 2 2 4 2 3 6" xfId="36384"/>
    <cellStyle name="Normal 5 2 2 2 4 2 4" xfId="36385"/>
    <cellStyle name="Normal 5 2 2 2 4 2 4 2" xfId="36386"/>
    <cellStyle name="Normal 5 2 2 2 4 2 4 2 2" xfId="36387"/>
    <cellStyle name="Normal 5 2 2 2 4 2 4 2 3" xfId="36388"/>
    <cellStyle name="Normal 5 2 2 2 4 2 4 3" xfId="36389"/>
    <cellStyle name="Normal 5 2 2 2 4 2 4 3 2" xfId="36390"/>
    <cellStyle name="Normal 5 2 2 2 4 2 4 3 3" xfId="36391"/>
    <cellStyle name="Normal 5 2 2 2 4 2 4 4" xfId="36392"/>
    <cellStyle name="Normal 5 2 2 2 4 2 4 5" xfId="36393"/>
    <cellStyle name="Normal 5 2 2 2 4 2 5" xfId="36394"/>
    <cellStyle name="Normal 5 2 2 2 4 2 5 2" xfId="36395"/>
    <cellStyle name="Normal 5 2 2 2 4 2 5 3" xfId="36396"/>
    <cellStyle name="Normal 5 2 2 2 4 2 6" xfId="36397"/>
    <cellStyle name="Normal 5 2 2 2 4 2 6 2" xfId="36398"/>
    <cellStyle name="Normal 5 2 2 2 4 2 6 3" xfId="36399"/>
    <cellStyle name="Normal 5 2 2 2 4 2 7" xfId="36400"/>
    <cellStyle name="Normal 5 2 2 2 4 2 8" xfId="36401"/>
    <cellStyle name="Normal 5 2 2 2 4 3" xfId="36402"/>
    <cellStyle name="Normal 5 2 2 2 4 3 2" xfId="36403"/>
    <cellStyle name="Normal 5 2 2 2 4 3 2 2" xfId="36404"/>
    <cellStyle name="Normal 5 2 2 2 4 3 2 2 2" xfId="36405"/>
    <cellStyle name="Normal 5 2 2 2 4 3 2 2 3" xfId="36406"/>
    <cellStyle name="Normal 5 2 2 2 4 3 2 3" xfId="36407"/>
    <cellStyle name="Normal 5 2 2 2 4 3 2 3 2" xfId="36408"/>
    <cellStyle name="Normal 5 2 2 2 4 3 2 3 3" xfId="36409"/>
    <cellStyle name="Normal 5 2 2 2 4 3 2 4" xfId="36410"/>
    <cellStyle name="Normal 5 2 2 2 4 3 2 5" xfId="36411"/>
    <cellStyle name="Normal 5 2 2 2 4 3 3" xfId="36412"/>
    <cellStyle name="Normal 5 2 2 2 4 3 3 2" xfId="36413"/>
    <cellStyle name="Normal 5 2 2 2 4 3 3 3" xfId="36414"/>
    <cellStyle name="Normal 5 2 2 2 4 3 4" xfId="36415"/>
    <cellStyle name="Normal 5 2 2 2 4 3 4 2" xfId="36416"/>
    <cellStyle name="Normal 5 2 2 2 4 3 4 3" xfId="36417"/>
    <cellStyle name="Normal 5 2 2 2 4 3 5" xfId="36418"/>
    <cellStyle name="Normal 5 2 2 2 4 3 6" xfId="36419"/>
    <cellStyle name="Normal 5 2 2 2 4 4" xfId="36420"/>
    <cellStyle name="Normal 5 2 2 2 4 4 2" xfId="36421"/>
    <cellStyle name="Normal 5 2 2 2 4 4 2 2" xfId="36422"/>
    <cellStyle name="Normal 5 2 2 2 4 4 2 2 2" xfId="36423"/>
    <cellStyle name="Normal 5 2 2 2 4 4 2 2 3" xfId="36424"/>
    <cellStyle name="Normal 5 2 2 2 4 4 2 3" xfId="36425"/>
    <cellStyle name="Normal 5 2 2 2 4 4 2 3 2" xfId="36426"/>
    <cellStyle name="Normal 5 2 2 2 4 4 2 3 3" xfId="36427"/>
    <cellStyle name="Normal 5 2 2 2 4 4 2 4" xfId="36428"/>
    <cellStyle name="Normal 5 2 2 2 4 4 2 5" xfId="36429"/>
    <cellStyle name="Normal 5 2 2 2 4 4 3" xfId="36430"/>
    <cellStyle name="Normal 5 2 2 2 4 4 3 2" xfId="36431"/>
    <cellStyle name="Normal 5 2 2 2 4 4 3 3" xfId="36432"/>
    <cellStyle name="Normal 5 2 2 2 4 4 4" xfId="36433"/>
    <cellStyle name="Normal 5 2 2 2 4 4 4 2" xfId="36434"/>
    <cellStyle name="Normal 5 2 2 2 4 4 4 3" xfId="36435"/>
    <cellStyle name="Normal 5 2 2 2 4 4 5" xfId="36436"/>
    <cellStyle name="Normal 5 2 2 2 4 4 6" xfId="36437"/>
    <cellStyle name="Normal 5 2 2 2 4 5" xfId="36438"/>
    <cellStyle name="Normal 5 2 2 2 4 5 2" xfId="36439"/>
    <cellStyle name="Normal 5 2 2 2 4 5 2 2" xfId="36440"/>
    <cellStyle name="Normal 5 2 2 2 4 5 2 3" xfId="36441"/>
    <cellStyle name="Normal 5 2 2 2 4 5 3" xfId="36442"/>
    <cellStyle name="Normal 5 2 2 2 4 5 3 2" xfId="36443"/>
    <cellStyle name="Normal 5 2 2 2 4 5 3 3" xfId="36444"/>
    <cellStyle name="Normal 5 2 2 2 4 5 4" xfId="36445"/>
    <cellStyle name="Normal 5 2 2 2 4 5 5" xfId="36446"/>
    <cellStyle name="Normal 5 2 2 2 4 6" xfId="36447"/>
    <cellStyle name="Normal 5 2 2 2 4 6 2" xfId="36448"/>
    <cellStyle name="Normal 5 2 2 2 4 6 3" xfId="36449"/>
    <cellStyle name="Normal 5 2 2 2 4 7" xfId="36450"/>
    <cellStyle name="Normal 5 2 2 2 4 7 2" xfId="36451"/>
    <cellStyle name="Normal 5 2 2 2 4 7 3" xfId="36452"/>
    <cellStyle name="Normal 5 2 2 2 4 8" xfId="36453"/>
    <cellStyle name="Normal 5 2 2 2 4 9" xfId="36454"/>
    <cellStyle name="Normal 5 2 2 2 5" xfId="36455"/>
    <cellStyle name="Normal 5 2 2 2 5 2" xfId="36456"/>
    <cellStyle name="Normal 5 2 2 2 5 2 2" xfId="36457"/>
    <cellStyle name="Normal 5 2 2 2 5 2 2 2" xfId="36458"/>
    <cellStyle name="Normal 5 2 2 2 5 2 2 2 2" xfId="36459"/>
    <cellStyle name="Normal 5 2 2 2 5 2 2 2 3" xfId="36460"/>
    <cellStyle name="Normal 5 2 2 2 5 2 2 3" xfId="36461"/>
    <cellStyle name="Normal 5 2 2 2 5 2 2 3 2" xfId="36462"/>
    <cellStyle name="Normal 5 2 2 2 5 2 2 3 3" xfId="36463"/>
    <cellStyle name="Normal 5 2 2 2 5 2 2 4" xfId="36464"/>
    <cellStyle name="Normal 5 2 2 2 5 2 2 5" xfId="36465"/>
    <cellStyle name="Normal 5 2 2 2 5 2 3" xfId="36466"/>
    <cellStyle name="Normal 5 2 2 2 5 2 3 2" xfId="36467"/>
    <cellStyle name="Normal 5 2 2 2 5 2 3 3" xfId="36468"/>
    <cellStyle name="Normal 5 2 2 2 5 2 4" xfId="36469"/>
    <cellStyle name="Normal 5 2 2 2 5 2 4 2" xfId="36470"/>
    <cellStyle name="Normal 5 2 2 2 5 2 4 3" xfId="36471"/>
    <cellStyle name="Normal 5 2 2 2 5 2 5" xfId="36472"/>
    <cellStyle name="Normal 5 2 2 2 5 2 6" xfId="36473"/>
    <cellStyle name="Normal 5 2 2 2 5 3" xfId="36474"/>
    <cellStyle name="Normal 5 2 2 2 5 3 2" xfId="36475"/>
    <cellStyle name="Normal 5 2 2 2 5 3 2 2" xfId="36476"/>
    <cellStyle name="Normal 5 2 2 2 5 3 2 2 2" xfId="36477"/>
    <cellStyle name="Normal 5 2 2 2 5 3 2 2 3" xfId="36478"/>
    <cellStyle name="Normal 5 2 2 2 5 3 2 3" xfId="36479"/>
    <cellStyle name="Normal 5 2 2 2 5 3 2 3 2" xfId="36480"/>
    <cellStyle name="Normal 5 2 2 2 5 3 2 3 3" xfId="36481"/>
    <cellStyle name="Normal 5 2 2 2 5 3 2 4" xfId="36482"/>
    <cellStyle name="Normal 5 2 2 2 5 3 2 5" xfId="36483"/>
    <cellStyle name="Normal 5 2 2 2 5 3 3" xfId="36484"/>
    <cellStyle name="Normal 5 2 2 2 5 3 3 2" xfId="36485"/>
    <cellStyle name="Normal 5 2 2 2 5 3 3 3" xfId="36486"/>
    <cellStyle name="Normal 5 2 2 2 5 3 4" xfId="36487"/>
    <cellStyle name="Normal 5 2 2 2 5 3 4 2" xfId="36488"/>
    <cellStyle name="Normal 5 2 2 2 5 3 4 3" xfId="36489"/>
    <cellStyle name="Normal 5 2 2 2 5 3 5" xfId="36490"/>
    <cellStyle name="Normal 5 2 2 2 5 3 6" xfId="36491"/>
    <cellStyle name="Normal 5 2 2 2 5 4" xfId="36492"/>
    <cellStyle name="Normal 5 2 2 2 5 4 2" xfId="36493"/>
    <cellStyle name="Normal 5 2 2 2 5 4 2 2" xfId="36494"/>
    <cellStyle name="Normal 5 2 2 2 5 4 2 3" xfId="36495"/>
    <cellStyle name="Normal 5 2 2 2 5 4 3" xfId="36496"/>
    <cellStyle name="Normal 5 2 2 2 5 4 3 2" xfId="36497"/>
    <cellStyle name="Normal 5 2 2 2 5 4 3 3" xfId="36498"/>
    <cellStyle name="Normal 5 2 2 2 5 4 4" xfId="36499"/>
    <cellStyle name="Normal 5 2 2 2 5 4 5" xfId="36500"/>
    <cellStyle name="Normal 5 2 2 2 5 5" xfId="36501"/>
    <cellStyle name="Normal 5 2 2 2 5 5 2" xfId="36502"/>
    <cellStyle name="Normal 5 2 2 2 5 5 3" xfId="36503"/>
    <cellStyle name="Normal 5 2 2 2 5 6" xfId="36504"/>
    <cellStyle name="Normal 5 2 2 2 5 6 2" xfId="36505"/>
    <cellStyle name="Normal 5 2 2 2 5 6 3" xfId="36506"/>
    <cellStyle name="Normal 5 2 2 2 5 7" xfId="36507"/>
    <cellStyle name="Normal 5 2 2 2 5 8" xfId="36508"/>
    <cellStyle name="Normal 5 2 2 2 6" xfId="36509"/>
    <cellStyle name="Normal 5 2 2 2 6 2" xfId="36510"/>
    <cellStyle name="Normal 5 2 2 2 6 2 2" xfId="36511"/>
    <cellStyle name="Normal 5 2 2 2 6 2 2 2" xfId="36512"/>
    <cellStyle name="Normal 5 2 2 2 6 2 2 3" xfId="36513"/>
    <cellStyle name="Normal 5 2 2 2 6 2 3" xfId="36514"/>
    <cellStyle name="Normal 5 2 2 2 6 2 3 2" xfId="36515"/>
    <cellStyle name="Normal 5 2 2 2 6 2 3 3" xfId="36516"/>
    <cellStyle name="Normal 5 2 2 2 6 2 4" xfId="36517"/>
    <cellStyle name="Normal 5 2 2 2 6 2 5" xfId="36518"/>
    <cellStyle name="Normal 5 2 2 2 6 3" xfId="36519"/>
    <cellStyle name="Normal 5 2 2 2 6 3 2" xfId="36520"/>
    <cellStyle name="Normal 5 2 2 2 6 3 3" xfId="36521"/>
    <cellStyle name="Normal 5 2 2 2 6 4" xfId="36522"/>
    <cellStyle name="Normal 5 2 2 2 6 4 2" xfId="36523"/>
    <cellStyle name="Normal 5 2 2 2 6 4 3" xfId="36524"/>
    <cellStyle name="Normal 5 2 2 2 6 5" xfId="36525"/>
    <cellStyle name="Normal 5 2 2 2 6 6" xfId="36526"/>
    <cellStyle name="Normal 5 2 2 2 7" xfId="36527"/>
    <cellStyle name="Normal 5 2 2 2 7 2" xfId="36528"/>
    <cellStyle name="Normal 5 2 2 2 7 2 2" xfId="36529"/>
    <cellStyle name="Normal 5 2 2 2 7 2 2 2" xfId="36530"/>
    <cellStyle name="Normal 5 2 2 2 7 2 2 3" xfId="36531"/>
    <cellStyle name="Normal 5 2 2 2 7 2 3" xfId="36532"/>
    <cellStyle name="Normal 5 2 2 2 7 2 3 2" xfId="36533"/>
    <cellStyle name="Normal 5 2 2 2 7 2 3 3" xfId="36534"/>
    <cellStyle name="Normal 5 2 2 2 7 2 4" xfId="36535"/>
    <cellStyle name="Normal 5 2 2 2 7 2 5" xfId="36536"/>
    <cellStyle name="Normal 5 2 2 2 7 3" xfId="36537"/>
    <cellStyle name="Normal 5 2 2 2 7 3 2" xfId="36538"/>
    <cellStyle name="Normal 5 2 2 2 7 3 3" xfId="36539"/>
    <cellStyle name="Normal 5 2 2 2 7 4" xfId="36540"/>
    <cellStyle name="Normal 5 2 2 2 7 4 2" xfId="36541"/>
    <cellStyle name="Normal 5 2 2 2 7 4 3" xfId="36542"/>
    <cellStyle name="Normal 5 2 2 2 7 5" xfId="36543"/>
    <cellStyle name="Normal 5 2 2 2 7 6" xfId="36544"/>
    <cellStyle name="Normal 5 2 2 2 8" xfId="36545"/>
    <cellStyle name="Normal 5 2 2 2 8 2" xfId="36546"/>
    <cellStyle name="Normal 5 2 2 2 8 2 2" xfId="36547"/>
    <cellStyle name="Normal 5 2 2 2 8 2 3" xfId="36548"/>
    <cellStyle name="Normal 5 2 2 2 8 3" xfId="36549"/>
    <cellStyle name="Normal 5 2 2 2 8 3 2" xfId="36550"/>
    <cellStyle name="Normal 5 2 2 2 8 3 3" xfId="36551"/>
    <cellStyle name="Normal 5 2 2 2 8 4" xfId="36552"/>
    <cellStyle name="Normal 5 2 2 2 8 5" xfId="36553"/>
    <cellStyle name="Normal 5 2 2 2 9" xfId="36554"/>
    <cellStyle name="Normal 5 2 2 2 9 2" xfId="36555"/>
    <cellStyle name="Normal 5 2 2 2 9 3" xfId="36556"/>
    <cellStyle name="Normal 5 2 2 3" xfId="36557"/>
    <cellStyle name="Normal 5 2 2 3 10" xfId="36558"/>
    <cellStyle name="Normal 5 2 2 3 2" xfId="36559"/>
    <cellStyle name="Normal 5 2 2 3 2 2" xfId="36560"/>
    <cellStyle name="Normal 5 2 2 3 2 2 2" xfId="36561"/>
    <cellStyle name="Normal 5 2 2 3 2 2 2 2" xfId="36562"/>
    <cellStyle name="Normal 5 2 2 3 2 2 2 2 2" xfId="36563"/>
    <cellStyle name="Normal 5 2 2 3 2 2 2 2 2 2" xfId="36564"/>
    <cellStyle name="Normal 5 2 2 3 2 2 2 2 2 3" xfId="36565"/>
    <cellStyle name="Normal 5 2 2 3 2 2 2 2 3" xfId="36566"/>
    <cellStyle name="Normal 5 2 2 3 2 2 2 2 3 2" xfId="36567"/>
    <cellStyle name="Normal 5 2 2 3 2 2 2 2 3 3" xfId="36568"/>
    <cellStyle name="Normal 5 2 2 3 2 2 2 2 4" xfId="36569"/>
    <cellStyle name="Normal 5 2 2 3 2 2 2 2 5" xfId="36570"/>
    <cellStyle name="Normal 5 2 2 3 2 2 2 3" xfId="36571"/>
    <cellStyle name="Normal 5 2 2 3 2 2 2 3 2" xfId="36572"/>
    <cellStyle name="Normal 5 2 2 3 2 2 2 3 3" xfId="36573"/>
    <cellStyle name="Normal 5 2 2 3 2 2 2 4" xfId="36574"/>
    <cellStyle name="Normal 5 2 2 3 2 2 2 4 2" xfId="36575"/>
    <cellStyle name="Normal 5 2 2 3 2 2 2 4 3" xfId="36576"/>
    <cellStyle name="Normal 5 2 2 3 2 2 2 5" xfId="36577"/>
    <cellStyle name="Normal 5 2 2 3 2 2 2 6" xfId="36578"/>
    <cellStyle name="Normal 5 2 2 3 2 2 3" xfId="36579"/>
    <cellStyle name="Normal 5 2 2 3 2 2 3 2" xfId="36580"/>
    <cellStyle name="Normal 5 2 2 3 2 2 3 2 2" xfId="36581"/>
    <cellStyle name="Normal 5 2 2 3 2 2 3 2 2 2" xfId="36582"/>
    <cellStyle name="Normal 5 2 2 3 2 2 3 2 2 3" xfId="36583"/>
    <cellStyle name="Normal 5 2 2 3 2 2 3 2 3" xfId="36584"/>
    <cellStyle name="Normal 5 2 2 3 2 2 3 2 3 2" xfId="36585"/>
    <cellStyle name="Normal 5 2 2 3 2 2 3 2 3 3" xfId="36586"/>
    <cellStyle name="Normal 5 2 2 3 2 2 3 2 4" xfId="36587"/>
    <cellStyle name="Normal 5 2 2 3 2 2 3 2 5" xfId="36588"/>
    <cellStyle name="Normal 5 2 2 3 2 2 3 3" xfId="36589"/>
    <cellStyle name="Normal 5 2 2 3 2 2 3 3 2" xfId="36590"/>
    <cellStyle name="Normal 5 2 2 3 2 2 3 3 3" xfId="36591"/>
    <cellStyle name="Normal 5 2 2 3 2 2 3 4" xfId="36592"/>
    <cellStyle name="Normal 5 2 2 3 2 2 3 4 2" xfId="36593"/>
    <cellStyle name="Normal 5 2 2 3 2 2 3 4 3" xfId="36594"/>
    <cellStyle name="Normal 5 2 2 3 2 2 3 5" xfId="36595"/>
    <cellStyle name="Normal 5 2 2 3 2 2 3 6" xfId="36596"/>
    <cellStyle name="Normal 5 2 2 3 2 2 4" xfId="36597"/>
    <cellStyle name="Normal 5 2 2 3 2 2 4 2" xfId="36598"/>
    <cellStyle name="Normal 5 2 2 3 2 2 4 2 2" xfId="36599"/>
    <cellStyle name="Normal 5 2 2 3 2 2 4 2 3" xfId="36600"/>
    <cellStyle name="Normal 5 2 2 3 2 2 4 3" xfId="36601"/>
    <cellStyle name="Normal 5 2 2 3 2 2 4 3 2" xfId="36602"/>
    <cellStyle name="Normal 5 2 2 3 2 2 4 3 3" xfId="36603"/>
    <cellStyle name="Normal 5 2 2 3 2 2 4 4" xfId="36604"/>
    <cellStyle name="Normal 5 2 2 3 2 2 4 5" xfId="36605"/>
    <cellStyle name="Normal 5 2 2 3 2 2 5" xfId="36606"/>
    <cellStyle name="Normal 5 2 2 3 2 2 5 2" xfId="36607"/>
    <cellStyle name="Normal 5 2 2 3 2 2 5 3" xfId="36608"/>
    <cellStyle name="Normal 5 2 2 3 2 2 6" xfId="36609"/>
    <cellStyle name="Normal 5 2 2 3 2 2 6 2" xfId="36610"/>
    <cellStyle name="Normal 5 2 2 3 2 2 6 3" xfId="36611"/>
    <cellStyle name="Normal 5 2 2 3 2 2 7" xfId="36612"/>
    <cellStyle name="Normal 5 2 2 3 2 2 8" xfId="36613"/>
    <cellStyle name="Normal 5 2 2 3 2 3" xfId="36614"/>
    <cellStyle name="Normal 5 2 2 3 2 3 2" xfId="36615"/>
    <cellStyle name="Normal 5 2 2 3 2 3 2 2" xfId="36616"/>
    <cellStyle name="Normal 5 2 2 3 2 3 2 2 2" xfId="36617"/>
    <cellStyle name="Normal 5 2 2 3 2 3 2 2 3" xfId="36618"/>
    <cellStyle name="Normal 5 2 2 3 2 3 2 3" xfId="36619"/>
    <cellStyle name="Normal 5 2 2 3 2 3 2 3 2" xfId="36620"/>
    <cellStyle name="Normal 5 2 2 3 2 3 2 3 3" xfId="36621"/>
    <cellStyle name="Normal 5 2 2 3 2 3 2 4" xfId="36622"/>
    <cellStyle name="Normal 5 2 2 3 2 3 2 5" xfId="36623"/>
    <cellStyle name="Normal 5 2 2 3 2 3 3" xfId="36624"/>
    <cellStyle name="Normal 5 2 2 3 2 3 3 2" xfId="36625"/>
    <cellStyle name="Normal 5 2 2 3 2 3 3 3" xfId="36626"/>
    <cellStyle name="Normal 5 2 2 3 2 3 4" xfId="36627"/>
    <cellStyle name="Normal 5 2 2 3 2 3 4 2" xfId="36628"/>
    <cellStyle name="Normal 5 2 2 3 2 3 4 3" xfId="36629"/>
    <cellStyle name="Normal 5 2 2 3 2 3 5" xfId="36630"/>
    <cellStyle name="Normal 5 2 2 3 2 3 6" xfId="36631"/>
    <cellStyle name="Normal 5 2 2 3 2 4" xfId="36632"/>
    <cellStyle name="Normal 5 2 2 3 2 4 2" xfId="36633"/>
    <cellStyle name="Normal 5 2 2 3 2 4 2 2" xfId="36634"/>
    <cellStyle name="Normal 5 2 2 3 2 4 2 2 2" xfId="36635"/>
    <cellStyle name="Normal 5 2 2 3 2 4 2 2 3" xfId="36636"/>
    <cellStyle name="Normal 5 2 2 3 2 4 2 3" xfId="36637"/>
    <cellStyle name="Normal 5 2 2 3 2 4 2 3 2" xfId="36638"/>
    <cellStyle name="Normal 5 2 2 3 2 4 2 3 3" xfId="36639"/>
    <cellStyle name="Normal 5 2 2 3 2 4 2 4" xfId="36640"/>
    <cellStyle name="Normal 5 2 2 3 2 4 2 5" xfId="36641"/>
    <cellStyle name="Normal 5 2 2 3 2 4 3" xfId="36642"/>
    <cellStyle name="Normal 5 2 2 3 2 4 3 2" xfId="36643"/>
    <cellStyle name="Normal 5 2 2 3 2 4 3 3" xfId="36644"/>
    <cellStyle name="Normal 5 2 2 3 2 4 4" xfId="36645"/>
    <cellStyle name="Normal 5 2 2 3 2 4 4 2" xfId="36646"/>
    <cellStyle name="Normal 5 2 2 3 2 4 4 3" xfId="36647"/>
    <cellStyle name="Normal 5 2 2 3 2 4 5" xfId="36648"/>
    <cellStyle name="Normal 5 2 2 3 2 4 6" xfId="36649"/>
    <cellStyle name="Normal 5 2 2 3 2 5" xfId="36650"/>
    <cellStyle name="Normal 5 2 2 3 2 5 2" xfId="36651"/>
    <cellStyle name="Normal 5 2 2 3 2 5 2 2" xfId="36652"/>
    <cellStyle name="Normal 5 2 2 3 2 5 2 3" xfId="36653"/>
    <cellStyle name="Normal 5 2 2 3 2 5 3" xfId="36654"/>
    <cellStyle name="Normal 5 2 2 3 2 5 3 2" xfId="36655"/>
    <cellStyle name="Normal 5 2 2 3 2 5 3 3" xfId="36656"/>
    <cellStyle name="Normal 5 2 2 3 2 5 4" xfId="36657"/>
    <cellStyle name="Normal 5 2 2 3 2 5 5" xfId="36658"/>
    <cellStyle name="Normal 5 2 2 3 2 6" xfId="36659"/>
    <cellStyle name="Normal 5 2 2 3 2 6 2" xfId="36660"/>
    <cellStyle name="Normal 5 2 2 3 2 6 3" xfId="36661"/>
    <cellStyle name="Normal 5 2 2 3 2 7" xfId="36662"/>
    <cellStyle name="Normal 5 2 2 3 2 7 2" xfId="36663"/>
    <cellStyle name="Normal 5 2 2 3 2 7 3" xfId="36664"/>
    <cellStyle name="Normal 5 2 2 3 2 8" xfId="36665"/>
    <cellStyle name="Normal 5 2 2 3 2 9" xfId="36666"/>
    <cellStyle name="Normal 5 2 2 3 3" xfId="36667"/>
    <cellStyle name="Normal 5 2 2 3 3 2" xfId="36668"/>
    <cellStyle name="Normal 5 2 2 3 3 2 2" xfId="36669"/>
    <cellStyle name="Normal 5 2 2 3 3 2 2 2" xfId="36670"/>
    <cellStyle name="Normal 5 2 2 3 3 2 2 2 2" xfId="36671"/>
    <cellStyle name="Normal 5 2 2 3 3 2 2 2 3" xfId="36672"/>
    <cellStyle name="Normal 5 2 2 3 3 2 2 3" xfId="36673"/>
    <cellStyle name="Normal 5 2 2 3 3 2 2 3 2" xfId="36674"/>
    <cellStyle name="Normal 5 2 2 3 3 2 2 3 3" xfId="36675"/>
    <cellStyle name="Normal 5 2 2 3 3 2 2 4" xfId="36676"/>
    <cellStyle name="Normal 5 2 2 3 3 2 2 5" xfId="36677"/>
    <cellStyle name="Normal 5 2 2 3 3 2 3" xfId="36678"/>
    <cellStyle name="Normal 5 2 2 3 3 2 3 2" xfId="36679"/>
    <cellStyle name="Normal 5 2 2 3 3 2 3 3" xfId="36680"/>
    <cellStyle name="Normal 5 2 2 3 3 2 4" xfId="36681"/>
    <cellStyle name="Normal 5 2 2 3 3 2 4 2" xfId="36682"/>
    <cellStyle name="Normal 5 2 2 3 3 2 4 3" xfId="36683"/>
    <cellStyle name="Normal 5 2 2 3 3 2 5" xfId="36684"/>
    <cellStyle name="Normal 5 2 2 3 3 2 6" xfId="36685"/>
    <cellStyle name="Normal 5 2 2 3 3 3" xfId="36686"/>
    <cellStyle name="Normal 5 2 2 3 3 3 2" xfId="36687"/>
    <cellStyle name="Normal 5 2 2 3 3 3 2 2" xfId="36688"/>
    <cellStyle name="Normal 5 2 2 3 3 3 2 2 2" xfId="36689"/>
    <cellStyle name="Normal 5 2 2 3 3 3 2 2 3" xfId="36690"/>
    <cellStyle name="Normal 5 2 2 3 3 3 2 3" xfId="36691"/>
    <cellStyle name="Normal 5 2 2 3 3 3 2 3 2" xfId="36692"/>
    <cellStyle name="Normal 5 2 2 3 3 3 2 3 3" xfId="36693"/>
    <cellStyle name="Normal 5 2 2 3 3 3 2 4" xfId="36694"/>
    <cellStyle name="Normal 5 2 2 3 3 3 2 5" xfId="36695"/>
    <cellStyle name="Normal 5 2 2 3 3 3 3" xfId="36696"/>
    <cellStyle name="Normal 5 2 2 3 3 3 3 2" xfId="36697"/>
    <cellStyle name="Normal 5 2 2 3 3 3 3 3" xfId="36698"/>
    <cellStyle name="Normal 5 2 2 3 3 3 4" xfId="36699"/>
    <cellStyle name="Normal 5 2 2 3 3 3 4 2" xfId="36700"/>
    <cellStyle name="Normal 5 2 2 3 3 3 4 3" xfId="36701"/>
    <cellStyle name="Normal 5 2 2 3 3 3 5" xfId="36702"/>
    <cellStyle name="Normal 5 2 2 3 3 3 6" xfId="36703"/>
    <cellStyle name="Normal 5 2 2 3 3 4" xfId="36704"/>
    <cellStyle name="Normal 5 2 2 3 3 4 2" xfId="36705"/>
    <cellStyle name="Normal 5 2 2 3 3 4 2 2" xfId="36706"/>
    <cellStyle name="Normal 5 2 2 3 3 4 2 3" xfId="36707"/>
    <cellStyle name="Normal 5 2 2 3 3 4 3" xfId="36708"/>
    <cellStyle name="Normal 5 2 2 3 3 4 3 2" xfId="36709"/>
    <cellStyle name="Normal 5 2 2 3 3 4 3 3" xfId="36710"/>
    <cellStyle name="Normal 5 2 2 3 3 4 4" xfId="36711"/>
    <cellStyle name="Normal 5 2 2 3 3 4 5" xfId="36712"/>
    <cellStyle name="Normal 5 2 2 3 3 5" xfId="36713"/>
    <cellStyle name="Normal 5 2 2 3 3 5 2" xfId="36714"/>
    <cellStyle name="Normal 5 2 2 3 3 5 3" xfId="36715"/>
    <cellStyle name="Normal 5 2 2 3 3 6" xfId="36716"/>
    <cellStyle name="Normal 5 2 2 3 3 6 2" xfId="36717"/>
    <cellStyle name="Normal 5 2 2 3 3 6 3" xfId="36718"/>
    <cellStyle name="Normal 5 2 2 3 3 7" xfId="36719"/>
    <cellStyle name="Normal 5 2 2 3 3 8" xfId="36720"/>
    <cellStyle name="Normal 5 2 2 3 4" xfId="36721"/>
    <cellStyle name="Normal 5 2 2 3 4 2" xfId="36722"/>
    <cellStyle name="Normal 5 2 2 3 4 2 2" xfId="36723"/>
    <cellStyle name="Normal 5 2 2 3 4 2 2 2" xfId="36724"/>
    <cellStyle name="Normal 5 2 2 3 4 2 2 3" xfId="36725"/>
    <cellStyle name="Normal 5 2 2 3 4 2 3" xfId="36726"/>
    <cellStyle name="Normal 5 2 2 3 4 2 3 2" xfId="36727"/>
    <cellStyle name="Normal 5 2 2 3 4 2 3 3" xfId="36728"/>
    <cellStyle name="Normal 5 2 2 3 4 2 4" xfId="36729"/>
    <cellStyle name="Normal 5 2 2 3 4 2 5" xfId="36730"/>
    <cellStyle name="Normal 5 2 2 3 4 3" xfId="36731"/>
    <cellStyle name="Normal 5 2 2 3 4 3 2" xfId="36732"/>
    <cellStyle name="Normal 5 2 2 3 4 3 3" xfId="36733"/>
    <cellStyle name="Normal 5 2 2 3 4 4" xfId="36734"/>
    <cellStyle name="Normal 5 2 2 3 4 4 2" xfId="36735"/>
    <cellStyle name="Normal 5 2 2 3 4 4 3" xfId="36736"/>
    <cellStyle name="Normal 5 2 2 3 4 5" xfId="36737"/>
    <cellStyle name="Normal 5 2 2 3 4 6" xfId="36738"/>
    <cellStyle name="Normal 5 2 2 3 5" xfId="36739"/>
    <cellStyle name="Normal 5 2 2 3 5 2" xfId="36740"/>
    <cellStyle name="Normal 5 2 2 3 5 2 2" xfId="36741"/>
    <cellStyle name="Normal 5 2 2 3 5 2 2 2" xfId="36742"/>
    <cellStyle name="Normal 5 2 2 3 5 2 2 3" xfId="36743"/>
    <cellStyle name="Normal 5 2 2 3 5 2 3" xfId="36744"/>
    <cellStyle name="Normal 5 2 2 3 5 2 3 2" xfId="36745"/>
    <cellStyle name="Normal 5 2 2 3 5 2 3 3" xfId="36746"/>
    <cellStyle name="Normal 5 2 2 3 5 2 4" xfId="36747"/>
    <cellStyle name="Normal 5 2 2 3 5 2 5" xfId="36748"/>
    <cellStyle name="Normal 5 2 2 3 5 3" xfId="36749"/>
    <cellStyle name="Normal 5 2 2 3 5 3 2" xfId="36750"/>
    <cellStyle name="Normal 5 2 2 3 5 3 3" xfId="36751"/>
    <cellStyle name="Normal 5 2 2 3 5 4" xfId="36752"/>
    <cellStyle name="Normal 5 2 2 3 5 4 2" xfId="36753"/>
    <cellStyle name="Normal 5 2 2 3 5 4 3" xfId="36754"/>
    <cellStyle name="Normal 5 2 2 3 5 5" xfId="36755"/>
    <cellStyle name="Normal 5 2 2 3 5 6" xfId="36756"/>
    <cellStyle name="Normal 5 2 2 3 6" xfId="36757"/>
    <cellStyle name="Normal 5 2 2 3 6 2" xfId="36758"/>
    <cellStyle name="Normal 5 2 2 3 6 2 2" xfId="36759"/>
    <cellStyle name="Normal 5 2 2 3 6 2 3" xfId="36760"/>
    <cellStyle name="Normal 5 2 2 3 6 3" xfId="36761"/>
    <cellStyle name="Normal 5 2 2 3 6 3 2" xfId="36762"/>
    <cellStyle name="Normal 5 2 2 3 6 3 3" xfId="36763"/>
    <cellStyle name="Normal 5 2 2 3 6 4" xfId="36764"/>
    <cellStyle name="Normal 5 2 2 3 6 5" xfId="36765"/>
    <cellStyle name="Normal 5 2 2 3 7" xfId="36766"/>
    <cellStyle name="Normal 5 2 2 3 7 2" xfId="36767"/>
    <cellStyle name="Normal 5 2 2 3 7 3" xfId="36768"/>
    <cellStyle name="Normal 5 2 2 3 8" xfId="36769"/>
    <cellStyle name="Normal 5 2 2 3 8 2" xfId="36770"/>
    <cellStyle name="Normal 5 2 2 3 8 3" xfId="36771"/>
    <cellStyle name="Normal 5 2 2 3 9" xfId="36772"/>
    <cellStyle name="Normal 5 2 2 4" xfId="36773"/>
    <cellStyle name="Normal 5 2 2 4 10" xfId="36774"/>
    <cellStyle name="Normal 5 2 2 4 2" xfId="36775"/>
    <cellStyle name="Normal 5 2 2 4 2 2" xfId="36776"/>
    <cellStyle name="Normal 5 2 2 4 2 2 2" xfId="36777"/>
    <cellStyle name="Normal 5 2 2 4 2 2 2 2" xfId="36778"/>
    <cellStyle name="Normal 5 2 2 4 2 2 2 2 2" xfId="36779"/>
    <cellStyle name="Normal 5 2 2 4 2 2 2 2 2 2" xfId="36780"/>
    <cellStyle name="Normal 5 2 2 4 2 2 2 2 2 3" xfId="36781"/>
    <cellStyle name="Normal 5 2 2 4 2 2 2 2 3" xfId="36782"/>
    <cellStyle name="Normal 5 2 2 4 2 2 2 2 3 2" xfId="36783"/>
    <cellStyle name="Normal 5 2 2 4 2 2 2 2 3 3" xfId="36784"/>
    <cellStyle name="Normal 5 2 2 4 2 2 2 2 4" xfId="36785"/>
    <cellStyle name="Normal 5 2 2 4 2 2 2 2 5" xfId="36786"/>
    <cellStyle name="Normal 5 2 2 4 2 2 2 3" xfId="36787"/>
    <cellStyle name="Normal 5 2 2 4 2 2 2 3 2" xfId="36788"/>
    <cellStyle name="Normal 5 2 2 4 2 2 2 3 3" xfId="36789"/>
    <cellStyle name="Normal 5 2 2 4 2 2 2 4" xfId="36790"/>
    <cellStyle name="Normal 5 2 2 4 2 2 2 4 2" xfId="36791"/>
    <cellStyle name="Normal 5 2 2 4 2 2 2 4 3" xfId="36792"/>
    <cellStyle name="Normal 5 2 2 4 2 2 2 5" xfId="36793"/>
    <cellStyle name="Normal 5 2 2 4 2 2 2 6" xfId="36794"/>
    <cellStyle name="Normal 5 2 2 4 2 2 3" xfId="36795"/>
    <cellStyle name="Normal 5 2 2 4 2 2 3 2" xfId="36796"/>
    <cellStyle name="Normal 5 2 2 4 2 2 3 2 2" xfId="36797"/>
    <cellStyle name="Normal 5 2 2 4 2 2 3 2 2 2" xfId="36798"/>
    <cellStyle name="Normal 5 2 2 4 2 2 3 2 2 3" xfId="36799"/>
    <cellStyle name="Normal 5 2 2 4 2 2 3 2 3" xfId="36800"/>
    <cellStyle name="Normal 5 2 2 4 2 2 3 2 3 2" xfId="36801"/>
    <cellStyle name="Normal 5 2 2 4 2 2 3 2 3 3" xfId="36802"/>
    <cellStyle name="Normal 5 2 2 4 2 2 3 2 4" xfId="36803"/>
    <cellStyle name="Normal 5 2 2 4 2 2 3 2 5" xfId="36804"/>
    <cellStyle name="Normal 5 2 2 4 2 2 3 3" xfId="36805"/>
    <cellStyle name="Normal 5 2 2 4 2 2 3 3 2" xfId="36806"/>
    <cellStyle name="Normal 5 2 2 4 2 2 3 3 3" xfId="36807"/>
    <cellStyle name="Normal 5 2 2 4 2 2 3 4" xfId="36808"/>
    <cellStyle name="Normal 5 2 2 4 2 2 3 4 2" xfId="36809"/>
    <cellStyle name="Normal 5 2 2 4 2 2 3 4 3" xfId="36810"/>
    <cellStyle name="Normal 5 2 2 4 2 2 3 5" xfId="36811"/>
    <cellStyle name="Normal 5 2 2 4 2 2 3 6" xfId="36812"/>
    <cellStyle name="Normal 5 2 2 4 2 2 4" xfId="36813"/>
    <cellStyle name="Normal 5 2 2 4 2 2 4 2" xfId="36814"/>
    <cellStyle name="Normal 5 2 2 4 2 2 4 2 2" xfId="36815"/>
    <cellStyle name="Normal 5 2 2 4 2 2 4 2 3" xfId="36816"/>
    <cellStyle name="Normal 5 2 2 4 2 2 4 3" xfId="36817"/>
    <cellStyle name="Normal 5 2 2 4 2 2 4 3 2" xfId="36818"/>
    <cellStyle name="Normal 5 2 2 4 2 2 4 3 3" xfId="36819"/>
    <cellStyle name="Normal 5 2 2 4 2 2 4 4" xfId="36820"/>
    <cellStyle name="Normal 5 2 2 4 2 2 4 5" xfId="36821"/>
    <cellStyle name="Normal 5 2 2 4 2 2 5" xfId="36822"/>
    <cellStyle name="Normal 5 2 2 4 2 2 5 2" xfId="36823"/>
    <cellStyle name="Normal 5 2 2 4 2 2 5 3" xfId="36824"/>
    <cellStyle name="Normal 5 2 2 4 2 2 6" xfId="36825"/>
    <cellStyle name="Normal 5 2 2 4 2 2 6 2" xfId="36826"/>
    <cellStyle name="Normal 5 2 2 4 2 2 6 3" xfId="36827"/>
    <cellStyle name="Normal 5 2 2 4 2 2 7" xfId="36828"/>
    <cellStyle name="Normal 5 2 2 4 2 2 8" xfId="36829"/>
    <cellStyle name="Normal 5 2 2 4 2 3" xfId="36830"/>
    <cellStyle name="Normal 5 2 2 4 2 3 2" xfId="36831"/>
    <cellStyle name="Normal 5 2 2 4 2 3 2 2" xfId="36832"/>
    <cellStyle name="Normal 5 2 2 4 2 3 2 2 2" xfId="36833"/>
    <cellStyle name="Normal 5 2 2 4 2 3 2 2 3" xfId="36834"/>
    <cellStyle name="Normal 5 2 2 4 2 3 2 3" xfId="36835"/>
    <cellStyle name="Normal 5 2 2 4 2 3 2 3 2" xfId="36836"/>
    <cellStyle name="Normal 5 2 2 4 2 3 2 3 3" xfId="36837"/>
    <cellStyle name="Normal 5 2 2 4 2 3 2 4" xfId="36838"/>
    <cellStyle name="Normal 5 2 2 4 2 3 2 5" xfId="36839"/>
    <cellStyle name="Normal 5 2 2 4 2 3 3" xfId="36840"/>
    <cellStyle name="Normal 5 2 2 4 2 3 3 2" xfId="36841"/>
    <cellStyle name="Normal 5 2 2 4 2 3 3 3" xfId="36842"/>
    <cellStyle name="Normal 5 2 2 4 2 3 4" xfId="36843"/>
    <cellStyle name="Normal 5 2 2 4 2 3 4 2" xfId="36844"/>
    <cellStyle name="Normal 5 2 2 4 2 3 4 3" xfId="36845"/>
    <cellStyle name="Normal 5 2 2 4 2 3 5" xfId="36846"/>
    <cellStyle name="Normal 5 2 2 4 2 3 6" xfId="36847"/>
    <cellStyle name="Normal 5 2 2 4 2 4" xfId="36848"/>
    <cellStyle name="Normal 5 2 2 4 2 4 2" xfId="36849"/>
    <cellStyle name="Normal 5 2 2 4 2 4 2 2" xfId="36850"/>
    <cellStyle name="Normal 5 2 2 4 2 4 2 2 2" xfId="36851"/>
    <cellStyle name="Normal 5 2 2 4 2 4 2 2 3" xfId="36852"/>
    <cellStyle name="Normal 5 2 2 4 2 4 2 3" xfId="36853"/>
    <cellStyle name="Normal 5 2 2 4 2 4 2 3 2" xfId="36854"/>
    <cellStyle name="Normal 5 2 2 4 2 4 2 3 3" xfId="36855"/>
    <cellStyle name="Normal 5 2 2 4 2 4 2 4" xfId="36856"/>
    <cellStyle name="Normal 5 2 2 4 2 4 2 5" xfId="36857"/>
    <cellStyle name="Normal 5 2 2 4 2 4 3" xfId="36858"/>
    <cellStyle name="Normal 5 2 2 4 2 4 3 2" xfId="36859"/>
    <cellStyle name="Normal 5 2 2 4 2 4 3 3" xfId="36860"/>
    <cellStyle name="Normal 5 2 2 4 2 4 4" xfId="36861"/>
    <cellStyle name="Normal 5 2 2 4 2 4 4 2" xfId="36862"/>
    <cellStyle name="Normal 5 2 2 4 2 4 4 3" xfId="36863"/>
    <cellStyle name="Normal 5 2 2 4 2 4 5" xfId="36864"/>
    <cellStyle name="Normal 5 2 2 4 2 4 6" xfId="36865"/>
    <cellStyle name="Normal 5 2 2 4 2 5" xfId="36866"/>
    <cellStyle name="Normal 5 2 2 4 2 5 2" xfId="36867"/>
    <cellStyle name="Normal 5 2 2 4 2 5 2 2" xfId="36868"/>
    <cellStyle name="Normal 5 2 2 4 2 5 2 3" xfId="36869"/>
    <cellStyle name="Normal 5 2 2 4 2 5 3" xfId="36870"/>
    <cellStyle name="Normal 5 2 2 4 2 5 3 2" xfId="36871"/>
    <cellStyle name="Normal 5 2 2 4 2 5 3 3" xfId="36872"/>
    <cellStyle name="Normal 5 2 2 4 2 5 4" xfId="36873"/>
    <cellStyle name="Normal 5 2 2 4 2 5 5" xfId="36874"/>
    <cellStyle name="Normal 5 2 2 4 2 6" xfId="36875"/>
    <cellStyle name="Normal 5 2 2 4 2 6 2" xfId="36876"/>
    <cellStyle name="Normal 5 2 2 4 2 6 3" xfId="36877"/>
    <cellStyle name="Normal 5 2 2 4 2 7" xfId="36878"/>
    <cellStyle name="Normal 5 2 2 4 2 7 2" xfId="36879"/>
    <cellStyle name="Normal 5 2 2 4 2 7 3" xfId="36880"/>
    <cellStyle name="Normal 5 2 2 4 2 8" xfId="36881"/>
    <cellStyle name="Normal 5 2 2 4 2 9" xfId="36882"/>
    <cellStyle name="Normal 5 2 2 4 3" xfId="36883"/>
    <cellStyle name="Normal 5 2 2 4 3 2" xfId="36884"/>
    <cellStyle name="Normal 5 2 2 4 3 2 2" xfId="36885"/>
    <cellStyle name="Normal 5 2 2 4 3 2 2 2" xfId="36886"/>
    <cellStyle name="Normal 5 2 2 4 3 2 2 2 2" xfId="36887"/>
    <cellStyle name="Normal 5 2 2 4 3 2 2 2 3" xfId="36888"/>
    <cellStyle name="Normal 5 2 2 4 3 2 2 3" xfId="36889"/>
    <cellStyle name="Normal 5 2 2 4 3 2 2 3 2" xfId="36890"/>
    <cellStyle name="Normal 5 2 2 4 3 2 2 3 3" xfId="36891"/>
    <cellStyle name="Normal 5 2 2 4 3 2 2 4" xfId="36892"/>
    <cellStyle name="Normal 5 2 2 4 3 2 2 5" xfId="36893"/>
    <cellStyle name="Normal 5 2 2 4 3 2 3" xfId="36894"/>
    <cellStyle name="Normal 5 2 2 4 3 2 3 2" xfId="36895"/>
    <cellStyle name="Normal 5 2 2 4 3 2 3 3" xfId="36896"/>
    <cellStyle name="Normal 5 2 2 4 3 2 4" xfId="36897"/>
    <cellStyle name="Normal 5 2 2 4 3 2 4 2" xfId="36898"/>
    <cellStyle name="Normal 5 2 2 4 3 2 4 3" xfId="36899"/>
    <cellStyle name="Normal 5 2 2 4 3 2 5" xfId="36900"/>
    <cellStyle name="Normal 5 2 2 4 3 2 6" xfId="36901"/>
    <cellStyle name="Normal 5 2 2 4 3 3" xfId="36902"/>
    <cellStyle name="Normal 5 2 2 4 3 3 2" xfId="36903"/>
    <cellStyle name="Normal 5 2 2 4 3 3 2 2" xfId="36904"/>
    <cellStyle name="Normal 5 2 2 4 3 3 2 2 2" xfId="36905"/>
    <cellStyle name="Normal 5 2 2 4 3 3 2 2 3" xfId="36906"/>
    <cellStyle name="Normal 5 2 2 4 3 3 2 3" xfId="36907"/>
    <cellStyle name="Normal 5 2 2 4 3 3 2 3 2" xfId="36908"/>
    <cellStyle name="Normal 5 2 2 4 3 3 2 3 3" xfId="36909"/>
    <cellStyle name="Normal 5 2 2 4 3 3 2 4" xfId="36910"/>
    <cellStyle name="Normal 5 2 2 4 3 3 2 5" xfId="36911"/>
    <cellStyle name="Normal 5 2 2 4 3 3 3" xfId="36912"/>
    <cellStyle name="Normal 5 2 2 4 3 3 3 2" xfId="36913"/>
    <cellStyle name="Normal 5 2 2 4 3 3 3 3" xfId="36914"/>
    <cellStyle name="Normal 5 2 2 4 3 3 4" xfId="36915"/>
    <cellStyle name="Normal 5 2 2 4 3 3 4 2" xfId="36916"/>
    <cellStyle name="Normal 5 2 2 4 3 3 4 3" xfId="36917"/>
    <cellStyle name="Normal 5 2 2 4 3 3 5" xfId="36918"/>
    <cellStyle name="Normal 5 2 2 4 3 3 6" xfId="36919"/>
    <cellStyle name="Normal 5 2 2 4 3 4" xfId="36920"/>
    <cellStyle name="Normal 5 2 2 4 3 4 2" xfId="36921"/>
    <cellStyle name="Normal 5 2 2 4 3 4 2 2" xfId="36922"/>
    <cellStyle name="Normal 5 2 2 4 3 4 2 3" xfId="36923"/>
    <cellStyle name="Normal 5 2 2 4 3 4 3" xfId="36924"/>
    <cellStyle name="Normal 5 2 2 4 3 4 3 2" xfId="36925"/>
    <cellStyle name="Normal 5 2 2 4 3 4 3 3" xfId="36926"/>
    <cellStyle name="Normal 5 2 2 4 3 4 4" xfId="36927"/>
    <cellStyle name="Normal 5 2 2 4 3 4 5" xfId="36928"/>
    <cellStyle name="Normal 5 2 2 4 3 5" xfId="36929"/>
    <cellStyle name="Normal 5 2 2 4 3 5 2" xfId="36930"/>
    <cellStyle name="Normal 5 2 2 4 3 5 3" xfId="36931"/>
    <cellStyle name="Normal 5 2 2 4 3 6" xfId="36932"/>
    <cellStyle name="Normal 5 2 2 4 3 6 2" xfId="36933"/>
    <cellStyle name="Normal 5 2 2 4 3 6 3" xfId="36934"/>
    <cellStyle name="Normal 5 2 2 4 3 7" xfId="36935"/>
    <cellStyle name="Normal 5 2 2 4 3 8" xfId="36936"/>
    <cellStyle name="Normal 5 2 2 4 4" xfId="36937"/>
    <cellStyle name="Normal 5 2 2 4 4 2" xfId="36938"/>
    <cellStyle name="Normal 5 2 2 4 4 2 2" xfId="36939"/>
    <cellStyle name="Normal 5 2 2 4 4 2 2 2" xfId="36940"/>
    <cellStyle name="Normal 5 2 2 4 4 2 2 3" xfId="36941"/>
    <cellStyle name="Normal 5 2 2 4 4 2 3" xfId="36942"/>
    <cellStyle name="Normal 5 2 2 4 4 2 3 2" xfId="36943"/>
    <cellStyle name="Normal 5 2 2 4 4 2 3 3" xfId="36944"/>
    <cellStyle name="Normal 5 2 2 4 4 2 4" xfId="36945"/>
    <cellStyle name="Normal 5 2 2 4 4 2 5" xfId="36946"/>
    <cellStyle name="Normal 5 2 2 4 4 3" xfId="36947"/>
    <cellStyle name="Normal 5 2 2 4 4 3 2" xfId="36948"/>
    <cellStyle name="Normal 5 2 2 4 4 3 3" xfId="36949"/>
    <cellStyle name="Normal 5 2 2 4 4 4" xfId="36950"/>
    <cellStyle name="Normal 5 2 2 4 4 4 2" xfId="36951"/>
    <cellStyle name="Normal 5 2 2 4 4 4 3" xfId="36952"/>
    <cellStyle name="Normal 5 2 2 4 4 5" xfId="36953"/>
    <cellStyle name="Normal 5 2 2 4 4 6" xfId="36954"/>
    <cellStyle name="Normal 5 2 2 4 5" xfId="36955"/>
    <cellStyle name="Normal 5 2 2 4 5 2" xfId="36956"/>
    <cellStyle name="Normal 5 2 2 4 5 2 2" xfId="36957"/>
    <cellStyle name="Normal 5 2 2 4 5 2 2 2" xfId="36958"/>
    <cellStyle name="Normal 5 2 2 4 5 2 2 3" xfId="36959"/>
    <cellStyle name="Normal 5 2 2 4 5 2 3" xfId="36960"/>
    <cellStyle name="Normal 5 2 2 4 5 2 3 2" xfId="36961"/>
    <cellStyle name="Normal 5 2 2 4 5 2 3 3" xfId="36962"/>
    <cellStyle name="Normal 5 2 2 4 5 2 4" xfId="36963"/>
    <cellStyle name="Normal 5 2 2 4 5 2 5" xfId="36964"/>
    <cellStyle name="Normal 5 2 2 4 5 3" xfId="36965"/>
    <cellStyle name="Normal 5 2 2 4 5 3 2" xfId="36966"/>
    <cellStyle name="Normal 5 2 2 4 5 3 3" xfId="36967"/>
    <cellStyle name="Normal 5 2 2 4 5 4" xfId="36968"/>
    <cellStyle name="Normal 5 2 2 4 5 4 2" xfId="36969"/>
    <cellStyle name="Normal 5 2 2 4 5 4 3" xfId="36970"/>
    <cellStyle name="Normal 5 2 2 4 5 5" xfId="36971"/>
    <cellStyle name="Normal 5 2 2 4 5 6" xfId="36972"/>
    <cellStyle name="Normal 5 2 2 4 6" xfId="36973"/>
    <cellStyle name="Normal 5 2 2 4 6 2" xfId="36974"/>
    <cellStyle name="Normal 5 2 2 4 6 2 2" xfId="36975"/>
    <cellStyle name="Normal 5 2 2 4 6 2 3" xfId="36976"/>
    <cellStyle name="Normal 5 2 2 4 6 3" xfId="36977"/>
    <cellStyle name="Normal 5 2 2 4 6 3 2" xfId="36978"/>
    <cellStyle name="Normal 5 2 2 4 6 3 3" xfId="36979"/>
    <cellStyle name="Normal 5 2 2 4 6 4" xfId="36980"/>
    <cellStyle name="Normal 5 2 2 4 6 5" xfId="36981"/>
    <cellStyle name="Normal 5 2 2 4 7" xfId="36982"/>
    <cellStyle name="Normal 5 2 2 4 7 2" xfId="36983"/>
    <cellStyle name="Normal 5 2 2 4 7 3" xfId="36984"/>
    <cellStyle name="Normal 5 2 2 4 8" xfId="36985"/>
    <cellStyle name="Normal 5 2 2 4 8 2" xfId="36986"/>
    <cellStyle name="Normal 5 2 2 4 8 3" xfId="36987"/>
    <cellStyle name="Normal 5 2 2 4 9" xfId="36988"/>
    <cellStyle name="Normal 5 2 2 5" xfId="36989"/>
    <cellStyle name="Normal 5 2 2 5 2" xfId="36990"/>
    <cellStyle name="Normal 5 2 2 5 2 2" xfId="36991"/>
    <cellStyle name="Normal 5 2 2 5 2 2 2" xfId="36992"/>
    <cellStyle name="Normal 5 2 2 5 2 2 2 2" xfId="36993"/>
    <cellStyle name="Normal 5 2 2 5 2 2 2 2 2" xfId="36994"/>
    <cellStyle name="Normal 5 2 2 5 2 2 2 2 3" xfId="36995"/>
    <cellStyle name="Normal 5 2 2 5 2 2 2 3" xfId="36996"/>
    <cellStyle name="Normal 5 2 2 5 2 2 2 3 2" xfId="36997"/>
    <cellStyle name="Normal 5 2 2 5 2 2 2 3 3" xfId="36998"/>
    <cellStyle name="Normal 5 2 2 5 2 2 2 4" xfId="36999"/>
    <cellStyle name="Normal 5 2 2 5 2 2 2 5" xfId="37000"/>
    <cellStyle name="Normal 5 2 2 5 2 2 3" xfId="37001"/>
    <cellStyle name="Normal 5 2 2 5 2 2 3 2" xfId="37002"/>
    <cellStyle name="Normal 5 2 2 5 2 2 3 3" xfId="37003"/>
    <cellStyle name="Normal 5 2 2 5 2 2 4" xfId="37004"/>
    <cellStyle name="Normal 5 2 2 5 2 2 4 2" xfId="37005"/>
    <cellStyle name="Normal 5 2 2 5 2 2 4 3" xfId="37006"/>
    <cellStyle name="Normal 5 2 2 5 2 2 5" xfId="37007"/>
    <cellStyle name="Normal 5 2 2 5 2 2 6" xfId="37008"/>
    <cellStyle name="Normal 5 2 2 5 2 3" xfId="37009"/>
    <cellStyle name="Normal 5 2 2 5 2 3 2" xfId="37010"/>
    <cellStyle name="Normal 5 2 2 5 2 3 2 2" xfId="37011"/>
    <cellStyle name="Normal 5 2 2 5 2 3 2 2 2" xfId="37012"/>
    <cellStyle name="Normal 5 2 2 5 2 3 2 2 3" xfId="37013"/>
    <cellStyle name="Normal 5 2 2 5 2 3 2 3" xfId="37014"/>
    <cellStyle name="Normal 5 2 2 5 2 3 2 3 2" xfId="37015"/>
    <cellStyle name="Normal 5 2 2 5 2 3 2 3 3" xfId="37016"/>
    <cellStyle name="Normal 5 2 2 5 2 3 2 4" xfId="37017"/>
    <cellStyle name="Normal 5 2 2 5 2 3 2 5" xfId="37018"/>
    <cellStyle name="Normal 5 2 2 5 2 3 3" xfId="37019"/>
    <cellStyle name="Normal 5 2 2 5 2 3 3 2" xfId="37020"/>
    <cellStyle name="Normal 5 2 2 5 2 3 3 3" xfId="37021"/>
    <cellStyle name="Normal 5 2 2 5 2 3 4" xfId="37022"/>
    <cellStyle name="Normal 5 2 2 5 2 3 4 2" xfId="37023"/>
    <cellStyle name="Normal 5 2 2 5 2 3 4 3" xfId="37024"/>
    <cellStyle name="Normal 5 2 2 5 2 3 5" xfId="37025"/>
    <cellStyle name="Normal 5 2 2 5 2 3 6" xfId="37026"/>
    <cellStyle name="Normal 5 2 2 5 2 4" xfId="37027"/>
    <cellStyle name="Normal 5 2 2 5 2 4 2" xfId="37028"/>
    <cellStyle name="Normal 5 2 2 5 2 4 2 2" xfId="37029"/>
    <cellStyle name="Normal 5 2 2 5 2 4 2 3" xfId="37030"/>
    <cellStyle name="Normal 5 2 2 5 2 4 3" xfId="37031"/>
    <cellStyle name="Normal 5 2 2 5 2 4 3 2" xfId="37032"/>
    <cellStyle name="Normal 5 2 2 5 2 4 3 3" xfId="37033"/>
    <cellStyle name="Normal 5 2 2 5 2 4 4" xfId="37034"/>
    <cellStyle name="Normal 5 2 2 5 2 4 5" xfId="37035"/>
    <cellStyle name="Normal 5 2 2 5 2 5" xfId="37036"/>
    <cellStyle name="Normal 5 2 2 5 2 5 2" xfId="37037"/>
    <cellStyle name="Normal 5 2 2 5 2 5 3" xfId="37038"/>
    <cellStyle name="Normal 5 2 2 5 2 6" xfId="37039"/>
    <cellStyle name="Normal 5 2 2 5 2 6 2" xfId="37040"/>
    <cellStyle name="Normal 5 2 2 5 2 6 3" xfId="37041"/>
    <cellStyle name="Normal 5 2 2 5 2 7" xfId="37042"/>
    <cellStyle name="Normal 5 2 2 5 2 8" xfId="37043"/>
    <cellStyle name="Normal 5 2 2 5 3" xfId="37044"/>
    <cellStyle name="Normal 5 2 2 5 3 2" xfId="37045"/>
    <cellStyle name="Normal 5 2 2 5 3 2 2" xfId="37046"/>
    <cellStyle name="Normal 5 2 2 5 3 2 2 2" xfId="37047"/>
    <cellStyle name="Normal 5 2 2 5 3 2 2 3" xfId="37048"/>
    <cellStyle name="Normal 5 2 2 5 3 2 3" xfId="37049"/>
    <cellStyle name="Normal 5 2 2 5 3 2 3 2" xfId="37050"/>
    <cellStyle name="Normal 5 2 2 5 3 2 3 3" xfId="37051"/>
    <cellStyle name="Normal 5 2 2 5 3 2 4" xfId="37052"/>
    <cellStyle name="Normal 5 2 2 5 3 2 5" xfId="37053"/>
    <cellStyle name="Normal 5 2 2 5 3 3" xfId="37054"/>
    <cellStyle name="Normal 5 2 2 5 3 3 2" xfId="37055"/>
    <cellStyle name="Normal 5 2 2 5 3 3 3" xfId="37056"/>
    <cellStyle name="Normal 5 2 2 5 3 4" xfId="37057"/>
    <cellStyle name="Normal 5 2 2 5 3 4 2" xfId="37058"/>
    <cellStyle name="Normal 5 2 2 5 3 4 3" xfId="37059"/>
    <cellStyle name="Normal 5 2 2 5 3 5" xfId="37060"/>
    <cellStyle name="Normal 5 2 2 5 3 6" xfId="37061"/>
    <cellStyle name="Normal 5 2 2 5 4" xfId="37062"/>
    <cellStyle name="Normal 5 2 2 5 4 2" xfId="37063"/>
    <cellStyle name="Normal 5 2 2 5 4 2 2" xfId="37064"/>
    <cellStyle name="Normal 5 2 2 5 4 2 2 2" xfId="37065"/>
    <cellStyle name="Normal 5 2 2 5 4 2 2 3" xfId="37066"/>
    <cellStyle name="Normal 5 2 2 5 4 2 3" xfId="37067"/>
    <cellStyle name="Normal 5 2 2 5 4 2 3 2" xfId="37068"/>
    <cellStyle name="Normal 5 2 2 5 4 2 3 3" xfId="37069"/>
    <cellStyle name="Normal 5 2 2 5 4 2 4" xfId="37070"/>
    <cellStyle name="Normal 5 2 2 5 4 2 5" xfId="37071"/>
    <cellStyle name="Normal 5 2 2 5 4 3" xfId="37072"/>
    <cellStyle name="Normal 5 2 2 5 4 3 2" xfId="37073"/>
    <cellStyle name="Normal 5 2 2 5 4 3 3" xfId="37074"/>
    <cellStyle name="Normal 5 2 2 5 4 4" xfId="37075"/>
    <cellStyle name="Normal 5 2 2 5 4 4 2" xfId="37076"/>
    <cellStyle name="Normal 5 2 2 5 4 4 3" xfId="37077"/>
    <cellStyle name="Normal 5 2 2 5 4 5" xfId="37078"/>
    <cellStyle name="Normal 5 2 2 5 4 6" xfId="37079"/>
    <cellStyle name="Normal 5 2 2 5 5" xfId="37080"/>
    <cellStyle name="Normal 5 2 2 5 5 2" xfId="37081"/>
    <cellStyle name="Normal 5 2 2 5 5 2 2" xfId="37082"/>
    <cellStyle name="Normal 5 2 2 5 5 2 3" xfId="37083"/>
    <cellStyle name="Normal 5 2 2 5 5 3" xfId="37084"/>
    <cellStyle name="Normal 5 2 2 5 5 3 2" xfId="37085"/>
    <cellStyle name="Normal 5 2 2 5 5 3 3" xfId="37086"/>
    <cellStyle name="Normal 5 2 2 5 5 4" xfId="37087"/>
    <cellStyle name="Normal 5 2 2 5 5 5" xfId="37088"/>
    <cellStyle name="Normal 5 2 2 5 6" xfId="37089"/>
    <cellStyle name="Normal 5 2 2 5 6 2" xfId="37090"/>
    <cellStyle name="Normal 5 2 2 5 6 3" xfId="37091"/>
    <cellStyle name="Normal 5 2 2 5 7" xfId="37092"/>
    <cellStyle name="Normal 5 2 2 5 7 2" xfId="37093"/>
    <cellStyle name="Normal 5 2 2 5 7 3" xfId="37094"/>
    <cellStyle name="Normal 5 2 2 5 8" xfId="37095"/>
    <cellStyle name="Normal 5 2 2 5 9" xfId="37096"/>
    <cellStyle name="Normal 5 2 2 6" xfId="37097"/>
    <cellStyle name="Normal 5 2 2 6 2" xfId="37098"/>
    <cellStyle name="Normal 5 2 2 6 2 2" xfId="37099"/>
    <cellStyle name="Normal 5 2 2 6 2 2 2" xfId="37100"/>
    <cellStyle name="Normal 5 2 2 6 2 2 2 2" xfId="37101"/>
    <cellStyle name="Normal 5 2 2 6 2 2 2 3" xfId="37102"/>
    <cellStyle name="Normal 5 2 2 6 2 2 3" xfId="37103"/>
    <cellStyle name="Normal 5 2 2 6 2 2 3 2" xfId="37104"/>
    <cellStyle name="Normal 5 2 2 6 2 2 3 3" xfId="37105"/>
    <cellStyle name="Normal 5 2 2 6 2 2 4" xfId="37106"/>
    <cellStyle name="Normal 5 2 2 6 2 2 5" xfId="37107"/>
    <cellStyle name="Normal 5 2 2 6 2 3" xfId="37108"/>
    <cellStyle name="Normal 5 2 2 6 2 3 2" xfId="37109"/>
    <cellStyle name="Normal 5 2 2 6 2 3 3" xfId="37110"/>
    <cellStyle name="Normal 5 2 2 6 2 4" xfId="37111"/>
    <cellStyle name="Normal 5 2 2 6 2 4 2" xfId="37112"/>
    <cellStyle name="Normal 5 2 2 6 2 4 3" xfId="37113"/>
    <cellStyle name="Normal 5 2 2 6 2 5" xfId="37114"/>
    <cellStyle name="Normal 5 2 2 6 2 6" xfId="37115"/>
    <cellStyle name="Normal 5 2 2 6 3" xfId="37116"/>
    <cellStyle name="Normal 5 2 2 6 3 2" xfId="37117"/>
    <cellStyle name="Normal 5 2 2 6 3 2 2" xfId="37118"/>
    <cellStyle name="Normal 5 2 2 6 3 2 2 2" xfId="37119"/>
    <cellStyle name="Normal 5 2 2 6 3 2 2 3" xfId="37120"/>
    <cellStyle name="Normal 5 2 2 6 3 2 3" xfId="37121"/>
    <cellStyle name="Normal 5 2 2 6 3 2 3 2" xfId="37122"/>
    <cellStyle name="Normal 5 2 2 6 3 2 3 3" xfId="37123"/>
    <cellStyle name="Normal 5 2 2 6 3 2 4" xfId="37124"/>
    <cellStyle name="Normal 5 2 2 6 3 2 5" xfId="37125"/>
    <cellStyle name="Normal 5 2 2 6 3 3" xfId="37126"/>
    <cellStyle name="Normal 5 2 2 6 3 3 2" xfId="37127"/>
    <cellStyle name="Normal 5 2 2 6 3 3 3" xfId="37128"/>
    <cellStyle name="Normal 5 2 2 6 3 4" xfId="37129"/>
    <cellStyle name="Normal 5 2 2 6 3 4 2" xfId="37130"/>
    <cellStyle name="Normal 5 2 2 6 3 4 3" xfId="37131"/>
    <cellStyle name="Normal 5 2 2 6 3 5" xfId="37132"/>
    <cellStyle name="Normal 5 2 2 6 3 6" xfId="37133"/>
    <cellStyle name="Normal 5 2 2 6 4" xfId="37134"/>
    <cellStyle name="Normal 5 2 2 6 4 2" xfId="37135"/>
    <cellStyle name="Normal 5 2 2 6 4 2 2" xfId="37136"/>
    <cellStyle name="Normal 5 2 2 6 4 2 3" xfId="37137"/>
    <cellStyle name="Normal 5 2 2 6 4 3" xfId="37138"/>
    <cellStyle name="Normal 5 2 2 6 4 3 2" xfId="37139"/>
    <cellStyle name="Normal 5 2 2 6 4 3 3" xfId="37140"/>
    <cellStyle name="Normal 5 2 2 6 4 4" xfId="37141"/>
    <cellStyle name="Normal 5 2 2 6 4 5" xfId="37142"/>
    <cellStyle name="Normal 5 2 2 6 5" xfId="37143"/>
    <cellStyle name="Normal 5 2 2 6 5 2" xfId="37144"/>
    <cellStyle name="Normal 5 2 2 6 5 3" xfId="37145"/>
    <cellStyle name="Normal 5 2 2 6 6" xfId="37146"/>
    <cellStyle name="Normal 5 2 2 6 6 2" xfId="37147"/>
    <cellStyle name="Normal 5 2 2 6 6 3" xfId="37148"/>
    <cellStyle name="Normal 5 2 2 6 7" xfId="37149"/>
    <cellStyle name="Normal 5 2 2 6 8" xfId="37150"/>
    <cellStyle name="Normal 5 2 2 7" xfId="37151"/>
    <cellStyle name="Normal 5 2 2 7 2" xfId="37152"/>
    <cellStyle name="Normal 5 2 2 7 2 2" xfId="37153"/>
    <cellStyle name="Normal 5 2 2 7 2 2 2" xfId="37154"/>
    <cellStyle name="Normal 5 2 2 7 2 2 3" xfId="37155"/>
    <cellStyle name="Normal 5 2 2 7 2 3" xfId="37156"/>
    <cellStyle name="Normal 5 2 2 7 2 3 2" xfId="37157"/>
    <cellStyle name="Normal 5 2 2 7 2 3 3" xfId="37158"/>
    <cellStyle name="Normal 5 2 2 7 2 4" xfId="37159"/>
    <cellStyle name="Normal 5 2 2 7 2 5" xfId="37160"/>
    <cellStyle name="Normal 5 2 2 7 3" xfId="37161"/>
    <cellStyle name="Normal 5 2 2 7 3 2" xfId="37162"/>
    <cellStyle name="Normal 5 2 2 7 3 3" xfId="37163"/>
    <cellStyle name="Normal 5 2 2 7 4" xfId="37164"/>
    <cellStyle name="Normal 5 2 2 7 4 2" xfId="37165"/>
    <cellStyle name="Normal 5 2 2 7 4 3" xfId="37166"/>
    <cellStyle name="Normal 5 2 2 7 5" xfId="37167"/>
    <cellStyle name="Normal 5 2 2 7 6" xfId="37168"/>
    <cellStyle name="Normal 5 2 2 8" xfId="37169"/>
    <cellStyle name="Normal 5 2 2 8 2" xfId="37170"/>
    <cellStyle name="Normal 5 2 2 8 2 2" xfId="37171"/>
    <cellStyle name="Normal 5 2 2 8 2 2 2" xfId="37172"/>
    <cellStyle name="Normal 5 2 2 8 2 2 3" xfId="37173"/>
    <cellStyle name="Normal 5 2 2 8 2 3" xfId="37174"/>
    <cellStyle name="Normal 5 2 2 8 2 3 2" xfId="37175"/>
    <cellStyle name="Normal 5 2 2 8 2 3 3" xfId="37176"/>
    <cellStyle name="Normal 5 2 2 8 2 4" xfId="37177"/>
    <cellStyle name="Normal 5 2 2 8 2 5" xfId="37178"/>
    <cellStyle name="Normal 5 2 2 8 3" xfId="37179"/>
    <cellStyle name="Normal 5 2 2 8 3 2" xfId="37180"/>
    <cellStyle name="Normal 5 2 2 8 3 3" xfId="37181"/>
    <cellStyle name="Normal 5 2 2 8 4" xfId="37182"/>
    <cellStyle name="Normal 5 2 2 8 4 2" xfId="37183"/>
    <cellStyle name="Normal 5 2 2 8 4 3" xfId="37184"/>
    <cellStyle name="Normal 5 2 2 8 5" xfId="37185"/>
    <cellStyle name="Normal 5 2 2 8 6" xfId="37186"/>
    <cellStyle name="Normal 5 2 2 9" xfId="37187"/>
    <cellStyle name="Normal 5 2 2 9 2" xfId="37188"/>
    <cellStyle name="Normal 5 2 2 9 2 2" xfId="37189"/>
    <cellStyle name="Normal 5 2 2 9 2 3" xfId="37190"/>
    <cellStyle name="Normal 5 2 2 9 3" xfId="37191"/>
    <cellStyle name="Normal 5 2 2 9 3 2" xfId="37192"/>
    <cellStyle name="Normal 5 2 2 9 3 3" xfId="37193"/>
    <cellStyle name="Normal 5 2 2 9 4" xfId="37194"/>
    <cellStyle name="Normal 5 2 2 9 5" xfId="37195"/>
    <cellStyle name="Normal 5 2 3" xfId="37196"/>
    <cellStyle name="Normal 5 2 3 10" xfId="37197"/>
    <cellStyle name="Normal 5 2 3 10 2" xfId="37198"/>
    <cellStyle name="Normal 5 2 3 10 3" xfId="37199"/>
    <cellStyle name="Normal 5 2 3 11" xfId="37200"/>
    <cellStyle name="Normal 5 2 3 12" xfId="37201"/>
    <cellStyle name="Normal 5 2 3 2" xfId="37202"/>
    <cellStyle name="Normal 5 2 3 2 10" xfId="37203"/>
    <cellStyle name="Normal 5 2 3 2 2" xfId="37204"/>
    <cellStyle name="Normal 5 2 3 2 2 2" xfId="37205"/>
    <cellStyle name="Normal 5 2 3 2 2 2 2" xfId="37206"/>
    <cellStyle name="Normal 5 2 3 2 2 2 2 2" xfId="37207"/>
    <cellStyle name="Normal 5 2 3 2 2 2 2 2 2" xfId="37208"/>
    <cellStyle name="Normal 5 2 3 2 2 2 2 2 2 2" xfId="37209"/>
    <cellStyle name="Normal 5 2 3 2 2 2 2 2 2 3" xfId="37210"/>
    <cellStyle name="Normal 5 2 3 2 2 2 2 2 3" xfId="37211"/>
    <cellStyle name="Normal 5 2 3 2 2 2 2 2 3 2" xfId="37212"/>
    <cellStyle name="Normal 5 2 3 2 2 2 2 2 3 3" xfId="37213"/>
    <cellStyle name="Normal 5 2 3 2 2 2 2 2 4" xfId="37214"/>
    <cellStyle name="Normal 5 2 3 2 2 2 2 2 5" xfId="37215"/>
    <cellStyle name="Normal 5 2 3 2 2 2 2 3" xfId="37216"/>
    <cellStyle name="Normal 5 2 3 2 2 2 2 3 2" xfId="37217"/>
    <cellStyle name="Normal 5 2 3 2 2 2 2 3 3" xfId="37218"/>
    <cellStyle name="Normal 5 2 3 2 2 2 2 4" xfId="37219"/>
    <cellStyle name="Normal 5 2 3 2 2 2 2 4 2" xfId="37220"/>
    <cellStyle name="Normal 5 2 3 2 2 2 2 4 3" xfId="37221"/>
    <cellStyle name="Normal 5 2 3 2 2 2 2 5" xfId="37222"/>
    <cellStyle name="Normal 5 2 3 2 2 2 2 6" xfId="37223"/>
    <cellStyle name="Normal 5 2 3 2 2 2 3" xfId="37224"/>
    <cellStyle name="Normal 5 2 3 2 2 2 3 2" xfId="37225"/>
    <cellStyle name="Normal 5 2 3 2 2 2 3 2 2" xfId="37226"/>
    <cellStyle name="Normal 5 2 3 2 2 2 3 2 2 2" xfId="37227"/>
    <cellStyle name="Normal 5 2 3 2 2 2 3 2 2 3" xfId="37228"/>
    <cellStyle name="Normal 5 2 3 2 2 2 3 2 3" xfId="37229"/>
    <cellStyle name="Normal 5 2 3 2 2 2 3 2 3 2" xfId="37230"/>
    <cellStyle name="Normal 5 2 3 2 2 2 3 2 3 3" xfId="37231"/>
    <cellStyle name="Normal 5 2 3 2 2 2 3 2 4" xfId="37232"/>
    <cellStyle name="Normal 5 2 3 2 2 2 3 2 5" xfId="37233"/>
    <cellStyle name="Normal 5 2 3 2 2 2 3 3" xfId="37234"/>
    <cellStyle name="Normal 5 2 3 2 2 2 3 3 2" xfId="37235"/>
    <cellStyle name="Normal 5 2 3 2 2 2 3 3 3" xfId="37236"/>
    <cellStyle name="Normal 5 2 3 2 2 2 3 4" xfId="37237"/>
    <cellStyle name="Normal 5 2 3 2 2 2 3 4 2" xfId="37238"/>
    <cellStyle name="Normal 5 2 3 2 2 2 3 4 3" xfId="37239"/>
    <cellStyle name="Normal 5 2 3 2 2 2 3 5" xfId="37240"/>
    <cellStyle name="Normal 5 2 3 2 2 2 3 6" xfId="37241"/>
    <cellStyle name="Normal 5 2 3 2 2 2 4" xfId="37242"/>
    <cellStyle name="Normal 5 2 3 2 2 2 4 2" xfId="37243"/>
    <cellStyle name="Normal 5 2 3 2 2 2 4 2 2" xfId="37244"/>
    <cellStyle name="Normal 5 2 3 2 2 2 4 2 3" xfId="37245"/>
    <cellStyle name="Normal 5 2 3 2 2 2 4 3" xfId="37246"/>
    <cellStyle name="Normal 5 2 3 2 2 2 4 3 2" xfId="37247"/>
    <cellStyle name="Normal 5 2 3 2 2 2 4 3 3" xfId="37248"/>
    <cellStyle name="Normal 5 2 3 2 2 2 4 4" xfId="37249"/>
    <cellStyle name="Normal 5 2 3 2 2 2 4 5" xfId="37250"/>
    <cellStyle name="Normal 5 2 3 2 2 2 5" xfId="37251"/>
    <cellStyle name="Normal 5 2 3 2 2 2 5 2" xfId="37252"/>
    <cellStyle name="Normal 5 2 3 2 2 2 5 3" xfId="37253"/>
    <cellStyle name="Normal 5 2 3 2 2 2 6" xfId="37254"/>
    <cellStyle name="Normal 5 2 3 2 2 2 6 2" xfId="37255"/>
    <cellStyle name="Normal 5 2 3 2 2 2 6 3" xfId="37256"/>
    <cellStyle name="Normal 5 2 3 2 2 2 7" xfId="37257"/>
    <cellStyle name="Normal 5 2 3 2 2 2 8" xfId="37258"/>
    <cellStyle name="Normal 5 2 3 2 2 3" xfId="37259"/>
    <cellStyle name="Normal 5 2 3 2 2 3 2" xfId="37260"/>
    <cellStyle name="Normal 5 2 3 2 2 3 2 2" xfId="37261"/>
    <cellStyle name="Normal 5 2 3 2 2 3 2 2 2" xfId="37262"/>
    <cellStyle name="Normal 5 2 3 2 2 3 2 2 3" xfId="37263"/>
    <cellStyle name="Normal 5 2 3 2 2 3 2 3" xfId="37264"/>
    <cellStyle name="Normal 5 2 3 2 2 3 2 3 2" xfId="37265"/>
    <cellStyle name="Normal 5 2 3 2 2 3 2 3 3" xfId="37266"/>
    <cellStyle name="Normal 5 2 3 2 2 3 2 4" xfId="37267"/>
    <cellStyle name="Normal 5 2 3 2 2 3 2 5" xfId="37268"/>
    <cellStyle name="Normal 5 2 3 2 2 3 3" xfId="37269"/>
    <cellStyle name="Normal 5 2 3 2 2 3 3 2" xfId="37270"/>
    <cellStyle name="Normal 5 2 3 2 2 3 3 3" xfId="37271"/>
    <cellStyle name="Normal 5 2 3 2 2 3 4" xfId="37272"/>
    <cellStyle name="Normal 5 2 3 2 2 3 4 2" xfId="37273"/>
    <cellStyle name="Normal 5 2 3 2 2 3 4 3" xfId="37274"/>
    <cellStyle name="Normal 5 2 3 2 2 3 5" xfId="37275"/>
    <cellStyle name="Normal 5 2 3 2 2 3 6" xfId="37276"/>
    <cellStyle name="Normal 5 2 3 2 2 4" xfId="37277"/>
    <cellStyle name="Normal 5 2 3 2 2 4 2" xfId="37278"/>
    <cellStyle name="Normal 5 2 3 2 2 4 2 2" xfId="37279"/>
    <cellStyle name="Normal 5 2 3 2 2 4 2 2 2" xfId="37280"/>
    <cellStyle name="Normal 5 2 3 2 2 4 2 2 3" xfId="37281"/>
    <cellStyle name="Normal 5 2 3 2 2 4 2 3" xfId="37282"/>
    <cellStyle name="Normal 5 2 3 2 2 4 2 3 2" xfId="37283"/>
    <cellStyle name="Normal 5 2 3 2 2 4 2 3 3" xfId="37284"/>
    <cellStyle name="Normal 5 2 3 2 2 4 2 4" xfId="37285"/>
    <cellStyle name="Normal 5 2 3 2 2 4 2 5" xfId="37286"/>
    <cellStyle name="Normal 5 2 3 2 2 4 3" xfId="37287"/>
    <cellStyle name="Normal 5 2 3 2 2 4 3 2" xfId="37288"/>
    <cellStyle name="Normal 5 2 3 2 2 4 3 3" xfId="37289"/>
    <cellStyle name="Normal 5 2 3 2 2 4 4" xfId="37290"/>
    <cellStyle name="Normal 5 2 3 2 2 4 4 2" xfId="37291"/>
    <cellStyle name="Normal 5 2 3 2 2 4 4 3" xfId="37292"/>
    <cellStyle name="Normal 5 2 3 2 2 4 5" xfId="37293"/>
    <cellStyle name="Normal 5 2 3 2 2 4 6" xfId="37294"/>
    <cellStyle name="Normal 5 2 3 2 2 5" xfId="37295"/>
    <cellStyle name="Normal 5 2 3 2 2 5 2" xfId="37296"/>
    <cellStyle name="Normal 5 2 3 2 2 5 2 2" xfId="37297"/>
    <cellStyle name="Normal 5 2 3 2 2 5 2 3" xfId="37298"/>
    <cellStyle name="Normal 5 2 3 2 2 5 3" xfId="37299"/>
    <cellStyle name="Normal 5 2 3 2 2 5 3 2" xfId="37300"/>
    <cellStyle name="Normal 5 2 3 2 2 5 3 3" xfId="37301"/>
    <cellStyle name="Normal 5 2 3 2 2 5 4" xfId="37302"/>
    <cellStyle name="Normal 5 2 3 2 2 5 5" xfId="37303"/>
    <cellStyle name="Normal 5 2 3 2 2 6" xfId="37304"/>
    <cellStyle name="Normal 5 2 3 2 2 6 2" xfId="37305"/>
    <cellStyle name="Normal 5 2 3 2 2 6 3" xfId="37306"/>
    <cellStyle name="Normal 5 2 3 2 2 7" xfId="37307"/>
    <cellStyle name="Normal 5 2 3 2 2 7 2" xfId="37308"/>
    <cellStyle name="Normal 5 2 3 2 2 7 3" xfId="37309"/>
    <cellStyle name="Normal 5 2 3 2 2 8" xfId="37310"/>
    <cellStyle name="Normal 5 2 3 2 2 9" xfId="37311"/>
    <cellStyle name="Normal 5 2 3 2 3" xfId="37312"/>
    <cellStyle name="Normal 5 2 3 2 3 2" xfId="37313"/>
    <cellStyle name="Normal 5 2 3 2 3 2 2" xfId="37314"/>
    <cellStyle name="Normal 5 2 3 2 3 2 2 2" xfId="37315"/>
    <cellStyle name="Normal 5 2 3 2 3 2 2 2 2" xfId="37316"/>
    <cellStyle name="Normal 5 2 3 2 3 2 2 2 3" xfId="37317"/>
    <cellStyle name="Normal 5 2 3 2 3 2 2 3" xfId="37318"/>
    <cellStyle name="Normal 5 2 3 2 3 2 2 3 2" xfId="37319"/>
    <cellStyle name="Normal 5 2 3 2 3 2 2 3 3" xfId="37320"/>
    <cellStyle name="Normal 5 2 3 2 3 2 2 4" xfId="37321"/>
    <cellStyle name="Normal 5 2 3 2 3 2 2 5" xfId="37322"/>
    <cellStyle name="Normal 5 2 3 2 3 2 3" xfId="37323"/>
    <cellStyle name="Normal 5 2 3 2 3 2 3 2" xfId="37324"/>
    <cellStyle name="Normal 5 2 3 2 3 2 3 3" xfId="37325"/>
    <cellStyle name="Normal 5 2 3 2 3 2 4" xfId="37326"/>
    <cellStyle name="Normal 5 2 3 2 3 2 4 2" xfId="37327"/>
    <cellStyle name="Normal 5 2 3 2 3 2 4 3" xfId="37328"/>
    <cellStyle name="Normal 5 2 3 2 3 2 5" xfId="37329"/>
    <cellStyle name="Normal 5 2 3 2 3 2 6" xfId="37330"/>
    <cellStyle name="Normal 5 2 3 2 3 3" xfId="37331"/>
    <cellStyle name="Normal 5 2 3 2 3 3 2" xfId="37332"/>
    <cellStyle name="Normal 5 2 3 2 3 3 2 2" xfId="37333"/>
    <cellStyle name="Normal 5 2 3 2 3 3 2 2 2" xfId="37334"/>
    <cellStyle name="Normal 5 2 3 2 3 3 2 2 3" xfId="37335"/>
    <cellStyle name="Normal 5 2 3 2 3 3 2 3" xfId="37336"/>
    <cellStyle name="Normal 5 2 3 2 3 3 2 3 2" xfId="37337"/>
    <cellStyle name="Normal 5 2 3 2 3 3 2 3 3" xfId="37338"/>
    <cellStyle name="Normal 5 2 3 2 3 3 2 4" xfId="37339"/>
    <cellStyle name="Normal 5 2 3 2 3 3 2 5" xfId="37340"/>
    <cellStyle name="Normal 5 2 3 2 3 3 3" xfId="37341"/>
    <cellStyle name="Normal 5 2 3 2 3 3 3 2" xfId="37342"/>
    <cellStyle name="Normal 5 2 3 2 3 3 3 3" xfId="37343"/>
    <cellStyle name="Normal 5 2 3 2 3 3 4" xfId="37344"/>
    <cellStyle name="Normal 5 2 3 2 3 3 4 2" xfId="37345"/>
    <cellStyle name="Normal 5 2 3 2 3 3 4 3" xfId="37346"/>
    <cellStyle name="Normal 5 2 3 2 3 3 5" xfId="37347"/>
    <cellStyle name="Normal 5 2 3 2 3 3 6" xfId="37348"/>
    <cellStyle name="Normal 5 2 3 2 3 4" xfId="37349"/>
    <cellStyle name="Normal 5 2 3 2 3 4 2" xfId="37350"/>
    <cellStyle name="Normal 5 2 3 2 3 4 2 2" xfId="37351"/>
    <cellStyle name="Normal 5 2 3 2 3 4 2 3" xfId="37352"/>
    <cellStyle name="Normal 5 2 3 2 3 4 3" xfId="37353"/>
    <cellStyle name="Normal 5 2 3 2 3 4 3 2" xfId="37354"/>
    <cellStyle name="Normal 5 2 3 2 3 4 3 3" xfId="37355"/>
    <cellStyle name="Normal 5 2 3 2 3 4 4" xfId="37356"/>
    <cellStyle name="Normal 5 2 3 2 3 4 5" xfId="37357"/>
    <cellStyle name="Normal 5 2 3 2 3 5" xfId="37358"/>
    <cellStyle name="Normal 5 2 3 2 3 5 2" xfId="37359"/>
    <cellStyle name="Normal 5 2 3 2 3 5 3" xfId="37360"/>
    <cellStyle name="Normal 5 2 3 2 3 6" xfId="37361"/>
    <cellStyle name="Normal 5 2 3 2 3 6 2" xfId="37362"/>
    <cellStyle name="Normal 5 2 3 2 3 6 3" xfId="37363"/>
    <cellStyle name="Normal 5 2 3 2 3 7" xfId="37364"/>
    <cellStyle name="Normal 5 2 3 2 3 8" xfId="37365"/>
    <cellStyle name="Normal 5 2 3 2 4" xfId="37366"/>
    <cellStyle name="Normal 5 2 3 2 4 2" xfId="37367"/>
    <cellStyle name="Normal 5 2 3 2 4 2 2" xfId="37368"/>
    <cellStyle name="Normal 5 2 3 2 4 2 2 2" xfId="37369"/>
    <cellStyle name="Normal 5 2 3 2 4 2 2 3" xfId="37370"/>
    <cellStyle name="Normal 5 2 3 2 4 2 3" xfId="37371"/>
    <cellStyle name="Normal 5 2 3 2 4 2 3 2" xfId="37372"/>
    <cellStyle name="Normal 5 2 3 2 4 2 3 3" xfId="37373"/>
    <cellStyle name="Normal 5 2 3 2 4 2 4" xfId="37374"/>
    <cellStyle name="Normal 5 2 3 2 4 2 5" xfId="37375"/>
    <cellStyle name="Normal 5 2 3 2 4 3" xfId="37376"/>
    <cellStyle name="Normal 5 2 3 2 4 3 2" xfId="37377"/>
    <cellStyle name="Normal 5 2 3 2 4 3 3" xfId="37378"/>
    <cellStyle name="Normal 5 2 3 2 4 4" xfId="37379"/>
    <cellStyle name="Normal 5 2 3 2 4 4 2" xfId="37380"/>
    <cellStyle name="Normal 5 2 3 2 4 4 3" xfId="37381"/>
    <cellStyle name="Normal 5 2 3 2 4 5" xfId="37382"/>
    <cellStyle name="Normal 5 2 3 2 4 6" xfId="37383"/>
    <cellStyle name="Normal 5 2 3 2 5" xfId="37384"/>
    <cellStyle name="Normal 5 2 3 2 5 2" xfId="37385"/>
    <cellStyle name="Normal 5 2 3 2 5 2 2" xfId="37386"/>
    <cellStyle name="Normal 5 2 3 2 5 2 2 2" xfId="37387"/>
    <cellStyle name="Normal 5 2 3 2 5 2 2 3" xfId="37388"/>
    <cellStyle name="Normal 5 2 3 2 5 2 3" xfId="37389"/>
    <cellStyle name="Normal 5 2 3 2 5 2 3 2" xfId="37390"/>
    <cellStyle name="Normal 5 2 3 2 5 2 3 3" xfId="37391"/>
    <cellStyle name="Normal 5 2 3 2 5 2 4" xfId="37392"/>
    <cellStyle name="Normal 5 2 3 2 5 2 5" xfId="37393"/>
    <cellStyle name="Normal 5 2 3 2 5 3" xfId="37394"/>
    <cellStyle name="Normal 5 2 3 2 5 3 2" xfId="37395"/>
    <cellStyle name="Normal 5 2 3 2 5 3 3" xfId="37396"/>
    <cellStyle name="Normal 5 2 3 2 5 4" xfId="37397"/>
    <cellStyle name="Normal 5 2 3 2 5 4 2" xfId="37398"/>
    <cellStyle name="Normal 5 2 3 2 5 4 3" xfId="37399"/>
    <cellStyle name="Normal 5 2 3 2 5 5" xfId="37400"/>
    <cellStyle name="Normal 5 2 3 2 5 6" xfId="37401"/>
    <cellStyle name="Normal 5 2 3 2 6" xfId="37402"/>
    <cellStyle name="Normal 5 2 3 2 6 2" xfId="37403"/>
    <cellStyle name="Normal 5 2 3 2 6 2 2" xfId="37404"/>
    <cellStyle name="Normal 5 2 3 2 6 2 3" xfId="37405"/>
    <cellStyle name="Normal 5 2 3 2 6 3" xfId="37406"/>
    <cellStyle name="Normal 5 2 3 2 6 3 2" xfId="37407"/>
    <cellStyle name="Normal 5 2 3 2 6 3 3" xfId="37408"/>
    <cellStyle name="Normal 5 2 3 2 6 4" xfId="37409"/>
    <cellStyle name="Normal 5 2 3 2 6 5" xfId="37410"/>
    <cellStyle name="Normal 5 2 3 2 7" xfId="37411"/>
    <cellStyle name="Normal 5 2 3 2 7 2" xfId="37412"/>
    <cellStyle name="Normal 5 2 3 2 7 3" xfId="37413"/>
    <cellStyle name="Normal 5 2 3 2 8" xfId="37414"/>
    <cellStyle name="Normal 5 2 3 2 8 2" xfId="37415"/>
    <cellStyle name="Normal 5 2 3 2 8 3" xfId="37416"/>
    <cellStyle name="Normal 5 2 3 2 9" xfId="37417"/>
    <cellStyle name="Normal 5 2 3 3" xfId="37418"/>
    <cellStyle name="Normal 5 2 3 3 10" xfId="37419"/>
    <cellStyle name="Normal 5 2 3 3 2" xfId="37420"/>
    <cellStyle name="Normal 5 2 3 3 2 2" xfId="37421"/>
    <cellStyle name="Normal 5 2 3 3 2 2 2" xfId="37422"/>
    <cellStyle name="Normal 5 2 3 3 2 2 2 2" xfId="37423"/>
    <cellStyle name="Normal 5 2 3 3 2 2 2 2 2" xfId="37424"/>
    <cellStyle name="Normal 5 2 3 3 2 2 2 2 2 2" xfId="37425"/>
    <cellStyle name="Normal 5 2 3 3 2 2 2 2 2 3" xfId="37426"/>
    <cellStyle name="Normal 5 2 3 3 2 2 2 2 3" xfId="37427"/>
    <cellStyle name="Normal 5 2 3 3 2 2 2 2 3 2" xfId="37428"/>
    <cellStyle name="Normal 5 2 3 3 2 2 2 2 3 3" xfId="37429"/>
    <cellStyle name="Normal 5 2 3 3 2 2 2 2 4" xfId="37430"/>
    <cellStyle name="Normal 5 2 3 3 2 2 2 2 5" xfId="37431"/>
    <cellStyle name="Normal 5 2 3 3 2 2 2 3" xfId="37432"/>
    <cellStyle name="Normal 5 2 3 3 2 2 2 3 2" xfId="37433"/>
    <cellStyle name="Normal 5 2 3 3 2 2 2 3 3" xfId="37434"/>
    <cellStyle name="Normal 5 2 3 3 2 2 2 4" xfId="37435"/>
    <cellStyle name="Normal 5 2 3 3 2 2 2 4 2" xfId="37436"/>
    <cellStyle name="Normal 5 2 3 3 2 2 2 4 3" xfId="37437"/>
    <cellStyle name="Normal 5 2 3 3 2 2 2 5" xfId="37438"/>
    <cellStyle name="Normal 5 2 3 3 2 2 2 6" xfId="37439"/>
    <cellStyle name="Normal 5 2 3 3 2 2 3" xfId="37440"/>
    <cellStyle name="Normal 5 2 3 3 2 2 3 2" xfId="37441"/>
    <cellStyle name="Normal 5 2 3 3 2 2 3 2 2" xfId="37442"/>
    <cellStyle name="Normal 5 2 3 3 2 2 3 2 2 2" xfId="37443"/>
    <cellStyle name="Normal 5 2 3 3 2 2 3 2 2 3" xfId="37444"/>
    <cellStyle name="Normal 5 2 3 3 2 2 3 2 3" xfId="37445"/>
    <cellStyle name="Normal 5 2 3 3 2 2 3 2 3 2" xfId="37446"/>
    <cellStyle name="Normal 5 2 3 3 2 2 3 2 3 3" xfId="37447"/>
    <cellStyle name="Normal 5 2 3 3 2 2 3 2 4" xfId="37448"/>
    <cellStyle name="Normal 5 2 3 3 2 2 3 2 5" xfId="37449"/>
    <cellStyle name="Normal 5 2 3 3 2 2 3 3" xfId="37450"/>
    <cellStyle name="Normal 5 2 3 3 2 2 3 3 2" xfId="37451"/>
    <cellStyle name="Normal 5 2 3 3 2 2 3 3 3" xfId="37452"/>
    <cellStyle name="Normal 5 2 3 3 2 2 3 4" xfId="37453"/>
    <cellStyle name="Normal 5 2 3 3 2 2 3 4 2" xfId="37454"/>
    <cellStyle name="Normal 5 2 3 3 2 2 3 4 3" xfId="37455"/>
    <cellStyle name="Normal 5 2 3 3 2 2 3 5" xfId="37456"/>
    <cellStyle name="Normal 5 2 3 3 2 2 3 6" xfId="37457"/>
    <cellStyle name="Normal 5 2 3 3 2 2 4" xfId="37458"/>
    <cellStyle name="Normal 5 2 3 3 2 2 4 2" xfId="37459"/>
    <cellStyle name="Normal 5 2 3 3 2 2 4 2 2" xfId="37460"/>
    <cellStyle name="Normal 5 2 3 3 2 2 4 2 3" xfId="37461"/>
    <cellStyle name="Normal 5 2 3 3 2 2 4 3" xfId="37462"/>
    <cellStyle name="Normal 5 2 3 3 2 2 4 3 2" xfId="37463"/>
    <cellStyle name="Normal 5 2 3 3 2 2 4 3 3" xfId="37464"/>
    <cellStyle name="Normal 5 2 3 3 2 2 4 4" xfId="37465"/>
    <cellStyle name="Normal 5 2 3 3 2 2 4 5" xfId="37466"/>
    <cellStyle name="Normal 5 2 3 3 2 2 5" xfId="37467"/>
    <cellStyle name="Normal 5 2 3 3 2 2 5 2" xfId="37468"/>
    <cellStyle name="Normal 5 2 3 3 2 2 5 3" xfId="37469"/>
    <cellStyle name="Normal 5 2 3 3 2 2 6" xfId="37470"/>
    <cellStyle name="Normal 5 2 3 3 2 2 6 2" xfId="37471"/>
    <cellStyle name="Normal 5 2 3 3 2 2 6 3" xfId="37472"/>
    <cellStyle name="Normal 5 2 3 3 2 2 7" xfId="37473"/>
    <cellStyle name="Normal 5 2 3 3 2 2 8" xfId="37474"/>
    <cellStyle name="Normal 5 2 3 3 2 3" xfId="37475"/>
    <cellStyle name="Normal 5 2 3 3 2 3 2" xfId="37476"/>
    <cellStyle name="Normal 5 2 3 3 2 3 2 2" xfId="37477"/>
    <cellStyle name="Normal 5 2 3 3 2 3 2 2 2" xfId="37478"/>
    <cellStyle name="Normal 5 2 3 3 2 3 2 2 3" xfId="37479"/>
    <cellStyle name="Normal 5 2 3 3 2 3 2 3" xfId="37480"/>
    <cellStyle name="Normal 5 2 3 3 2 3 2 3 2" xfId="37481"/>
    <cellStyle name="Normal 5 2 3 3 2 3 2 3 3" xfId="37482"/>
    <cellStyle name="Normal 5 2 3 3 2 3 2 4" xfId="37483"/>
    <cellStyle name="Normal 5 2 3 3 2 3 2 5" xfId="37484"/>
    <cellStyle name="Normal 5 2 3 3 2 3 3" xfId="37485"/>
    <cellStyle name="Normal 5 2 3 3 2 3 3 2" xfId="37486"/>
    <cellStyle name="Normal 5 2 3 3 2 3 3 3" xfId="37487"/>
    <cellStyle name="Normal 5 2 3 3 2 3 4" xfId="37488"/>
    <cellStyle name="Normal 5 2 3 3 2 3 4 2" xfId="37489"/>
    <cellStyle name="Normal 5 2 3 3 2 3 4 3" xfId="37490"/>
    <cellStyle name="Normal 5 2 3 3 2 3 5" xfId="37491"/>
    <cellStyle name="Normal 5 2 3 3 2 3 6" xfId="37492"/>
    <cellStyle name="Normal 5 2 3 3 2 4" xfId="37493"/>
    <cellStyle name="Normal 5 2 3 3 2 4 2" xfId="37494"/>
    <cellStyle name="Normal 5 2 3 3 2 4 2 2" xfId="37495"/>
    <cellStyle name="Normal 5 2 3 3 2 4 2 2 2" xfId="37496"/>
    <cellStyle name="Normal 5 2 3 3 2 4 2 2 3" xfId="37497"/>
    <cellStyle name="Normal 5 2 3 3 2 4 2 3" xfId="37498"/>
    <cellStyle name="Normal 5 2 3 3 2 4 2 3 2" xfId="37499"/>
    <cellStyle name="Normal 5 2 3 3 2 4 2 3 3" xfId="37500"/>
    <cellStyle name="Normal 5 2 3 3 2 4 2 4" xfId="37501"/>
    <cellStyle name="Normal 5 2 3 3 2 4 2 5" xfId="37502"/>
    <cellStyle name="Normal 5 2 3 3 2 4 3" xfId="37503"/>
    <cellStyle name="Normal 5 2 3 3 2 4 3 2" xfId="37504"/>
    <cellStyle name="Normal 5 2 3 3 2 4 3 3" xfId="37505"/>
    <cellStyle name="Normal 5 2 3 3 2 4 4" xfId="37506"/>
    <cellStyle name="Normal 5 2 3 3 2 4 4 2" xfId="37507"/>
    <cellStyle name="Normal 5 2 3 3 2 4 4 3" xfId="37508"/>
    <cellStyle name="Normal 5 2 3 3 2 4 5" xfId="37509"/>
    <cellStyle name="Normal 5 2 3 3 2 4 6" xfId="37510"/>
    <cellStyle name="Normal 5 2 3 3 2 5" xfId="37511"/>
    <cellStyle name="Normal 5 2 3 3 2 5 2" xfId="37512"/>
    <cellStyle name="Normal 5 2 3 3 2 5 2 2" xfId="37513"/>
    <cellStyle name="Normal 5 2 3 3 2 5 2 3" xfId="37514"/>
    <cellStyle name="Normal 5 2 3 3 2 5 3" xfId="37515"/>
    <cellStyle name="Normal 5 2 3 3 2 5 3 2" xfId="37516"/>
    <cellStyle name="Normal 5 2 3 3 2 5 3 3" xfId="37517"/>
    <cellStyle name="Normal 5 2 3 3 2 5 4" xfId="37518"/>
    <cellStyle name="Normal 5 2 3 3 2 5 5" xfId="37519"/>
    <cellStyle name="Normal 5 2 3 3 2 6" xfId="37520"/>
    <cellStyle name="Normal 5 2 3 3 2 6 2" xfId="37521"/>
    <cellStyle name="Normal 5 2 3 3 2 6 3" xfId="37522"/>
    <cellStyle name="Normal 5 2 3 3 2 7" xfId="37523"/>
    <cellStyle name="Normal 5 2 3 3 2 7 2" xfId="37524"/>
    <cellStyle name="Normal 5 2 3 3 2 7 3" xfId="37525"/>
    <cellStyle name="Normal 5 2 3 3 2 8" xfId="37526"/>
    <cellStyle name="Normal 5 2 3 3 2 9" xfId="37527"/>
    <cellStyle name="Normal 5 2 3 3 3" xfId="37528"/>
    <cellStyle name="Normal 5 2 3 3 3 2" xfId="37529"/>
    <cellStyle name="Normal 5 2 3 3 3 2 2" xfId="37530"/>
    <cellStyle name="Normal 5 2 3 3 3 2 2 2" xfId="37531"/>
    <cellStyle name="Normal 5 2 3 3 3 2 2 2 2" xfId="37532"/>
    <cellStyle name="Normal 5 2 3 3 3 2 2 2 3" xfId="37533"/>
    <cellStyle name="Normal 5 2 3 3 3 2 2 3" xfId="37534"/>
    <cellStyle name="Normal 5 2 3 3 3 2 2 3 2" xfId="37535"/>
    <cellStyle name="Normal 5 2 3 3 3 2 2 3 3" xfId="37536"/>
    <cellStyle name="Normal 5 2 3 3 3 2 2 4" xfId="37537"/>
    <cellStyle name="Normal 5 2 3 3 3 2 2 5" xfId="37538"/>
    <cellStyle name="Normal 5 2 3 3 3 2 3" xfId="37539"/>
    <cellStyle name="Normal 5 2 3 3 3 2 3 2" xfId="37540"/>
    <cellStyle name="Normal 5 2 3 3 3 2 3 3" xfId="37541"/>
    <cellStyle name="Normal 5 2 3 3 3 2 4" xfId="37542"/>
    <cellStyle name="Normal 5 2 3 3 3 2 4 2" xfId="37543"/>
    <cellStyle name="Normal 5 2 3 3 3 2 4 3" xfId="37544"/>
    <cellStyle name="Normal 5 2 3 3 3 2 5" xfId="37545"/>
    <cellStyle name="Normal 5 2 3 3 3 2 6" xfId="37546"/>
    <cellStyle name="Normal 5 2 3 3 3 3" xfId="37547"/>
    <cellStyle name="Normal 5 2 3 3 3 3 2" xfId="37548"/>
    <cellStyle name="Normal 5 2 3 3 3 3 2 2" xfId="37549"/>
    <cellStyle name="Normal 5 2 3 3 3 3 2 2 2" xfId="37550"/>
    <cellStyle name="Normal 5 2 3 3 3 3 2 2 3" xfId="37551"/>
    <cellStyle name="Normal 5 2 3 3 3 3 2 3" xfId="37552"/>
    <cellStyle name="Normal 5 2 3 3 3 3 2 3 2" xfId="37553"/>
    <cellStyle name="Normal 5 2 3 3 3 3 2 3 3" xfId="37554"/>
    <cellStyle name="Normal 5 2 3 3 3 3 2 4" xfId="37555"/>
    <cellStyle name="Normal 5 2 3 3 3 3 2 5" xfId="37556"/>
    <cellStyle name="Normal 5 2 3 3 3 3 3" xfId="37557"/>
    <cellStyle name="Normal 5 2 3 3 3 3 3 2" xfId="37558"/>
    <cellStyle name="Normal 5 2 3 3 3 3 3 3" xfId="37559"/>
    <cellStyle name="Normal 5 2 3 3 3 3 4" xfId="37560"/>
    <cellStyle name="Normal 5 2 3 3 3 3 4 2" xfId="37561"/>
    <cellStyle name="Normal 5 2 3 3 3 3 4 3" xfId="37562"/>
    <cellStyle name="Normal 5 2 3 3 3 3 5" xfId="37563"/>
    <cellStyle name="Normal 5 2 3 3 3 3 6" xfId="37564"/>
    <cellStyle name="Normal 5 2 3 3 3 4" xfId="37565"/>
    <cellStyle name="Normal 5 2 3 3 3 4 2" xfId="37566"/>
    <cellStyle name="Normal 5 2 3 3 3 4 2 2" xfId="37567"/>
    <cellStyle name="Normal 5 2 3 3 3 4 2 3" xfId="37568"/>
    <cellStyle name="Normal 5 2 3 3 3 4 3" xfId="37569"/>
    <cellStyle name="Normal 5 2 3 3 3 4 3 2" xfId="37570"/>
    <cellStyle name="Normal 5 2 3 3 3 4 3 3" xfId="37571"/>
    <cellStyle name="Normal 5 2 3 3 3 4 4" xfId="37572"/>
    <cellStyle name="Normal 5 2 3 3 3 4 5" xfId="37573"/>
    <cellStyle name="Normal 5 2 3 3 3 5" xfId="37574"/>
    <cellStyle name="Normal 5 2 3 3 3 5 2" xfId="37575"/>
    <cellStyle name="Normal 5 2 3 3 3 5 3" xfId="37576"/>
    <cellStyle name="Normal 5 2 3 3 3 6" xfId="37577"/>
    <cellStyle name="Normal 5 2 3 3 3 6 2" xfId="37578"/>
    <cellStyle name="Normal 5 2 3 3 3 6 3" xfId="37579"/>
    <cellStyle name="Normal 5 2 3 3 3 7" xfId="37580"/>
    <cellStyle name="Normal 5 2 3 3 3 8" xfId="37581"/>
    <cellStyle name="Normal 5 2 3 3 4" xfId="37582"/>
    <cellStyle name="Normal 5 2 3 3 4 2" xfId="37583"/>
    <cellStyle name="Normal 5 2 3 3 4 2 2" xfId="37584"/>
    <cellStyle name="Normal 5 2 3 3 4 2 2 2" xfId="37585"/>
    <cellStyle name="Normal 5 2 3 3 4 2 2 3" xfId="37586"/>
    <cellStyle name="Normal 5 2 3 3 4 2 3" xfId="37587"/>
    <cellStyle name="Normal 5 2 3 3 4 2 3 2" xfId="37588"/>
    <cellStyle name="Normal 5 2 3 3 4 2 3 3" xfId="37589"/>
    <cellStyle name="Normal 5 2 3 3 4 2 4" xfId="37590"/>
    <cellStyle name="Normal 5 2 3 3 4 2 5" xfId="37591"/>
    <cellStyle name="Normal 5 2 3 3 4 3" xfId="37592"/>
    <cellStyle name="Normal 5 2 3 3 4 3 2" xfId="37593"/>
    <cellStyle name="Normal 5 2 3 3 4 3 3" xfId="37594"/>
    <cellStyle name="Normal 5 2 3 3 4 4" xfId="37595"/>
    <cellStyle name="Normal 5 2 3 3 4 4 2" xfId="37596"/>
    <cellStyle name="Normal 5 2 3 3 4 4 3" xfId="37597"/>
    <cellStyle name="Normal 5 2 3 3 4 5" xfId="37598"/>
    <cellStyle name="Normal 5 2 3 3 4 6" xfId="37599"/>
    <cellStyle name="Normal 5 2 3 3 5" xfId="37600"/>
    <cellStyle name="Normal 5 2 3 3 5 2" xfId="37601"/>
    <cellStyle name="Normal 5 2 3 3 5 2 2" xfId="37602"/>
    <cellStyle name="Normal 5 2 3 3 5 2 2 2" xfId="37603"/>
    <cellStyle name="Normal 5 2 3 3 5 2 2 3" xfId="37604"/>
    <cellStyle name="Normal 5 2 3 3 5 2 3" xfId="37605"/>
    <cellStyle name="Normal 5 2 3 3 5 2 3 2" xfId="37606"/>
    <cellStyle name="Normal 5 2 3 3 5 2 3 3" xfId="37607"/>
    <cellStyle name="Normal 5 2 3 3 5 2 4" xfId="37608"/>
    <cellStyle name="Normal 5 2 3 3 5 2 5" xfId="37609"/>
    <cellStyle name="Normal 5 2 3 3 5 3" xfId="37610"/>
    <cellStyle name="Normal 5 2 3 3 5 3 2" xfId="37611"/>
    <cellStyle name="Normal 5 2 3 3 5 3 3" xfId="37612"/>
    <cellStyle name="Normal 5 2 3 3 5 4" xfId="37613"/>
    <cellStyle name="Normal 5 2 3 3 5 4 2" xfId="37614"/>
    <cellStyle name="Normal 5 2 3 3 5 4 3" xfId="37615"/>
    <cellStyle name="Normal 5 2 3 3 5 5" xfId="37616"/>
    <cellStyle name="Normal 5 2 3 3 5 6" xfId="37617"/>
    <cellStyle name="Normal 5 2 3 3 6" xfId="37618"/>
    <cellStyle name="Normal 5 2 3 3 6 2" xfId="37619"/>
    <cellStyle name="Normal 5 2 3 3 6 2 2" xfId="37620"/>
    <cellStyle name="Normal 5 2 3 3 6 2 3" xfId="37621"/>
    <cellStyle name="Normal 5 2 3 3 6 3" xfId="37622"/>
    <cellStyle name="Normal 5 2 3 3 6 3 2" xfId="37623"/>
    <cellStyle name="Normal 5 2 3 3 6 3 3" xfId="37624"/>
    <cellStyle name="Normal 5 2 3 3 6 4" xfId="37625"/>
    <cellStyle name="Normal 5 2 3 3 6 5" xfId="37626"/>
    <cellStyle name="Normal 5 2 3 3 7" xfId="37627"/>
    <cellStyle name="Normal 5 2 3 3 7 2" xfId="37628"/>
    <cellStyle name="Normal 5 2 3 3 7 3" xfId="37629"/>
    <cellStyle name="Normal 5 2 3 3 8" xfId="37630"/>
    <cellStyle name="Normal 5 2 3 3 8 2" xfId="37631"/>
    <cellStyle name="Normal 5 2 3 3 8 3" xfId="37632"/>
    <cellStyle name="Normal 5 2 3 3 9" xfId="37633"/>
    <cellStyle name="Normal 5 2 3 4" xfId="37634"/>
    <cellStyle name="Normal 5 2 3 4 2" xfId="37635"/>
    <cellStyle name="Normal 5 2 3 4 2 2" xfId="37636"/>
    <cellStyle name="Normal 5 2 3 4 2 2 2" xfId="37637"/>
    <cellStyle name="Normal 5 2 3 4 2 2 2 2" xfId="37638"/>
    <cellStyle name="Normal 5 2 3 4 2 2 2 2 2" xfId="37639"/>
    <cellStyle name="Normal 5 2 3 4 2 2 2 2 3" xfId="37640"/>
    <cellStyle name="Normal 5 2 3 4 2 2 2 3" xfId="37641"/>
    <cellStyle name="Normal 5 2 3 4 2 2 2 3 2" xfId="37642"/>
    <cellStyle name="Normal 5 2 3 4 2 2 2 3 3" xfId="37643"/>
    <cellStyle name="Normal 5 2 3 4 2 2 2 4" xfId="37644"/>
    <cellStyle name="Normal 5 2 3 4 2 2 2 5" xfId="37645"/>
    <cellStyle name="Normal 5 2 3 4 2 2 3" xfId="37646"/>
    <cellStyle name="Normal 5 2 3 4 2 2 3 2" xfId="37647"/>
    <cellStyle name="Normal 5 2 3 4 2 2 3 3" xfId="37648"/>
    <cellStyle name="Normal 5 2 3 4 2 2 4" xfId="37649"/>
    <cellStyle name="Normal 5 2 3 4 2 2 4 2" xfId="37650"/>
    <cellStyle name="Normal 5 2 3 4 2 2 4 3" xfId="37651"/>
    <cellStyle name="Normal 5 2 3 4 2 2 5" xfId="37652"/>
    <cellStyle name="Normal 5 2 3 4 2 2 6" xfId="37653"/>
    <cellStyle name="Normal 5 2 3 4 2 3" xfId="37654"/>
    <cellStyle name="Normal 5 2 3 4 2 3 2" xfId="37655"/>
    <cellStyle name="Normal 5 2 3 4 2 3 2 2" xfId="37656"/>
    <cellStyle name="Normal 5 2 3 4 2 3 2 2 2" xfId="37657"/>
    <cellStyle name="Normal 5 2 3 4 2 3 2 2 3" xfId="37658"/>
    <cellStyle name="Normal 5 2 3 4 2 3 2 3" xfId="37659"/>
    <cellStyle name="Normal 5 2 3 4 2 3 2 3 2" xfId="37660"/>
    <cellStyle name="Normal 5 2 3 4 2 3 2 3 3" xfId="37661"/>
    <cellStyle name="Normal 5 2 3 4 2 3 2 4" xfId="37662"/>
    <cellStyle name="Normal 5 2 3 4 2 3 2 5" xfId="37663"/>
    <cellStyle name="Normal 5 2 3 4 2 3 3" xfId="37664"/>
    <cellStyle name="Normal 5 2 3 4 2 3 3 2" xfId="37665"/>
    <cellStyle name="Normal 5 2 3 4 2 3 3 3" xfId="37666"/>
    <cellStyle name="Normal 5 2 3 4 2 3 4" xfId="37667"/>
    <cellStyle name="Normal 5 2 3 4 2 3 4 2" xfId="37668"/>
    <cellStyle name="Normal 5 2 3 4 2 3 4 3" xfId="37669"/>
    <cellStyle name="Normal 5 2 3 4 2 3 5" xfId="37670"/>
    <cellStyle name="Normal 5 2 3 4 2 3 6" xfId="37671"/>
    <cellStyle name="Normal 5 2 3 4 2 4" xfId="37672"/>
    <cellStyle name="Normal 5 2 3 4 2 4 2" xfId="37673"/>
    <cellStyle name="Normal 5 2 3 4 2 4 2 2" xfId="37674"/>
    <cellStyle name="Normal 5 2 3 4 2 4 2 3" xfId="37675"/>
    <cellStyle name="Normal 5 2 3 4 2 4 3" xfId="37676"/>
    <cellStyle name="Normal 5 2 3 4 2 4 3 2" xfId="37677"/>
    <cellStyle name="Normal 5 2 3 4 2 4 3 3" xfId="37678"/>
    <cellStyle name="Normal 5 2 3 4 2 4 4" xfId="37679"/>
    <cellStyle name="Normal 5 2 3 4 2 4 5" xfId="37680"/>
    <cellStyle name="Normal 5 2 3 4 2 5" xfId="37681"/>
    <cellStyle name="Normal 5 2 3 4 2 5 2" xfId="37682"/>
    <cellStyle name="Normal 5 2 3 4 2 5 3" xfId="37683"/>
    <cellStyle name="Normal 5 2 3 4 2 6" xfId="37684"/>
    <cellStyle name="Normal 5 2 3 4 2 6 2" xfId="37685"/>
    <cellStyle name="Normal 5 2 3 4 2 6 3" xfId="37686"/>
    <cellStyle name="Normal 5 2 3 4 2 7" xfId="37687"/>
    <cellStyle name="Normal 5 2 3 4 2 8" xfId="37688"/>
    <cellStyle name="Normal 5 2 3 4 3" xfId="37689"/>
    <cellStyle name="Normal 5 2 3 4 3 2" xfId="37690"/>
    <cellStyle name="Normal 5 2 3 4 3 2 2" xfId="37691"/>
    <cellStyle name="Normal 5 2 3 4 3 2 2 2" xfId="37692"/>
    <cellStyle name="Normal 5 2 3 4 3 2 2 3" xfId="37693"/>
    <cellStyle name="Normal 5 2 3 4 3 2 3" xfId="37694"/>
    <cellStyle name="Normal 5 2 3 4 3 2 3 2" xfId="37695"/>
    <cellStyle name="Normal 5 2 3 4 3 2 3 3" xfId="37696"/>
    <cellStyle name="Normal 5 2 3 4 3 2 4" xfId="37697"/>
    <cellStyle name="Normal 5 2 3 4 3 2 5" xfId="37698"/>
    <cellStyle name="Normal 5 2 3 4 3 3" xfId="37699"/>
    <cellStyle name="Normal 5 2 3 4 3 3 2" xfId="37700"/>
    <cellStyle name="Normal 5 2 3 4 3 3 3" xfId="37701"/>
    <cellStyle name="Normal 5 2 3 4 3 4" xfId="37702"/>
    <cellStyle name="Normal 5 2 3 4 3 4 2" xfId="37703"/>
    <cellStyle name="Normal 5 2 3 4 3 4 3" xfId="37704"/>
    <cellStyle name="Normal 5 2 3 4 3 5" xfId="37705"/>
    <cellStyle name="Normal 5 2 3 4 3 6" xfId="37706"/>
    <cellStyle name="Normal 5 2 3 4 4" xfId="37707"/>
    <cellStyle name="Normal 5 2 3 4 4 2" xfId="37708"/>
    <cellStyle name="Normal 5 2 3 4 4 2 2" xfId="37709"/>
    <cellStyle name="Normal 5 2 3 4 4 2 2 2" xfId="37710"/>
    <cellStyle name="Normal 5 2 3 4 4 2 2 3" xfId="37711"/>
    <cellStyle name="Normal 5 2 3 4 4 2 3" xfId="37712"/>
    <cellStyle name="Normal 5 2 3 4 4 2 3 2" xfId="37713"/>
    <cellStyle name="Normal 5 2 3 4 4 2 3 3" xfId="37714"/>
    <cellStyle name="Normal 5 2 3 4 4 2 4" xfId="37715"/>
    <cellStyle name="Normal 5 2 3 4 4 2 5" xfId="37716"/>
    <cellStyle name="Normal 5 2 3 4 4 3" xfId="37717"/>
    <cellStyle name="Normal 5 2 3 4 4 3 2" xfId="37718"/>
    <cellStyle name="Normal 5 2 3 4 4 3 3" xfId="37719"/>
    <cellStyle name="Normal 5 2 3 4 4 4" xfId="37720"/>
    <cellStyle name="Normal 5 2 3 4 4 4 2" xfId="37721"/>
    <cellStyle name="Normal 5 2 3 4 4 4 3" xfId="37722"/>
    <cellStyle name="Normal 5 2 3 4 4 5" xfId="37723"/>
    <cellStyle name="Normal 5 2 3 4 4 6" xfId="37724"/>
    <cellStyle name="Normal 5 2 3 4 5" xfId="37725"/>
    <cellStyle name="Normal 5 2 3 4 5 2" xfId="37726"/>
    <cellStyle name="Normal 5 2 3 4 5 2 2" xfId="37727"/>
    <cellStyle name="Normal 5 2 3 4 5 2 3" xfId="37728"/>
    <cellStyle name="Normal 5 2 3 4 5 3" xfId="37729"/>
    <cellStyle name="Normal 5 2 3 4 5 3 2" xfId="37730"/>
    <cellStyle name="Normal 5 2 3 4 5 3 3" xfId="37731"/>
    <cellStyle name="Normal 5 2 3 4 5 4" xfId="37732"/>
    <cellStyle name="Normal 5 2 3 4 5 5" xfId="37733"/>
    <cellStyle name="Normal 5 2 3 4 6" xfId="37734"/>
    <cellStyle name="Normal 5 2 3 4 6 2" xfId="37735"/>
    <cellStyle name="Normal 5 2 3 4 6 3" xfId="37736"/>
    <cellStyle name="Normal 5 2 3 4 7" xfId="37737"/>
    <cellStyle name="Normal 5 2 3 4 7 2" xfId="37738"/>
    <cellStyle name="Normal 5 2 3 4 7 3" xfId="37739"/>
    <cellStyle name="Normal 5 2 3 4 8" xfId="37740"/>
    <cellStyle name="Normal 5 2 3 4 9" xfId="37741"/>
    <cellStyle name="Normal 5 2 3 5" xfId="37742"/>
    <cellStyle name="Normal 5 2 3 5 2" xfId="37743"/>
    <cellStyle name="Normal 5 2 3 5 2 2" xfId="37744"/>
    <cellStyle name="Normal 5 2 3 5 2 2 2" xfId="37745"/>
    <cellStyle name="Normal 5 2 3 5 2 2 2 2" xfId="37746"/>
    <cellStyle name="Normal 5 2 3 5 2 2 2 3" xfId="37747"/>
    <cellStyle name="Normal 5 2 3 5 2 2 3" xfId="37748"/>
    <cellStyle name="Normal 5 2 3 5 2 2 3 2" xfId="37749"/>
    <cellStyle name="Normal 5 2 3 5 2 2 3 3" xfId="37750"/>
    <cellStyle name="Normal 5 2 3 5 2 2 4" xfId="37751"/>
    <cellStyle name="Normal 5 2 3 5 2 2 5" xfId="37752"/>
    <cellStyle name="Normal 5 2 3 5 2 3" xfId="37753"/>
    <cellStyle name="Normal 5 2 3 5 2 3 2" xfId="37754"/>
    <cellStyle name="Normal 5 2 3 5 2 3 3" xfId="37755"/>
    <cellStyle name="Normal 5 2 3 5 2 4" xfId="37756"/>
    <cellStyle name="Normal 5 2 3 5 2 4 2" xfId="37757"/>
    <cellStyle name="Normal 5 2 3 5 2 4 3" xfId="37758"/>
    <cellStyle name="Normal 5 2 3 5 2 5" xfId="37759"/>
    <cellStyle name="Normal 5 2 3 5 2 6" xfId="37760"/>
    <cellStyle name="Normal 5 2 3 5 3" xfId="37761"/>
    <cellStyle name="Normal 5 2 3 5 3 2" xfId="37762"/>
    <cellStyle name="Normal 5 2 3 5 3 2 2" xfId="37763"/>
    <cellStyle name="Normal 5 2 3 5 3 2 2 2" xfId="37764"/>
    <cellStyle name="Normal 5 2 3 5 3 2 2 3" xfId="37765"/>
    <cellStyle name="Normal 5 2 3 5 3 2 3" xfId="37766"/>
    <cellStyle name="Normal 5 2 3 5 3 2 3 2" xfId="37767"/>
    <cellStyle name="Normal 5 2 3 5 3 2 3 3" xfId="37768"/>
    <cellStyle name="Normal 5 2 3 5 3 2 4" xfId="37769"/>
    <cellStyle name="Normal 5 2 3 5 3 2 5" xfId="37770"/>
    <cellStyle name="Normal 5 2 3 5 3 3" xfId="37771"/>
    <cellStyle name="Normal 5 2 3 5 3 3 2" xfId="37772"/>
    <cellStyle name="Normal 5 2 3 5 3 3 3" xfId="37773"/>
    <cellStyle name="Normal 5 2 3 5 3 4" xfId="37774"/>
    <cellStyle name="Normal 5 2 3 5 3 4 2" xfId="37775"/>
    <cellStyle name="Normal 5 2 3 5 3 4 3" xfId="37776"/>
    <cellStyle name="Normal 5 2 3 5 3 5" xfId="37777"/>
    <cellStyle name="Normal 5 2 3 5 3 6" xfId="37778"/>
    <cellStyle name="Normal 5 2 3 5 4" xfId="37779"/>
    <cellStyle name="Normal 5 2 3 5 4 2" xfId="37780"/>
    <cellStyle name="Normal 5 2 3 5 4 2 2" xfId="37781"/>
    <cellStyle name="Normal 5 2 3 5 4 2 3" xfId="37782"/>
    <cellStyle name="Normal 5 2 3 5 4 3" xfId="37783"/>
    <cellStyle name="Normal 5 2 3 5 4 3 2" xfId="37784"/>
    <cellStyle name="Normal 5 2 3 5 4 3 3" xfId="37785"/>
    <cellStyle name="Normal 5 2 3 5 4 4" xfId="37786"/>
    <cellStyle name="Normal 5 2 3 5 4 5" xfId="37787"/>
    <cellStyle name="Normal 5 2 3 5 5" xfId="37788"/>
    <cellStyle name="Normal 5 2 3 5 5 2" xfId="37789"/>
    <cellStyle name="Normal 5 2 3 5 5 3" xfId="37790"/>
    <cellStyle name="Normal 5 2 3 5 6" xfId="37791"/>
    <cellStyle name="Normal 5 2 3 5 6 2" xfId="37792"/>
    <cellStyle name="Normal 5 2 3 5 6 3" xfId="37793"/>
    <cellStyle name="Normal 5 2 3 5 7" xfId="37794"/>
    <cellStyle name="Normal 5 2 3 5 8" xfId="37795"/>
    <cellStyle name="Normal 5 2 3 6" xfId="37796"/>
    <cellStyle name="Normal 5 2 3 6 2" xfId="37797"/>
    <cellStyle name="Normal 5 2 3 6 2 2" xfId="37798"/>
    <cellStyle name="Normal 5 2 3 6 2 2 2" xfId="37799"/>
    <cellStyle name="Normal 5 2 3 6 2 2 3" xfId="37800"/>
    <cellStyle name="Normal 5 2 3 6 2 3" xfId="37801"/>
    <cellStyle name="Normal 5 2 3 6 2 3 2" xfId="37802"/>
    <cellStyle name="Normal 5 2 3 6 2 3 3" xfId="37803"/>
    <cellStyle name="Normal 5 2 3 6 2 4" xfId="37804"/>
    <cellStyle name="Normal 5 2 3 6 2 5" xfId="37805"/>
    <cellStyle name="Normal 5 2 3 6 3" xfId="37806"/>
    <cellStyle name="Normal 5 2 3 6 3 2" xfId="37807"/>
    <cellStyle name="Normal 5 2 3 6 3 3" xfId="37808"/>
    <cellStyle name="Normal 5 2 3 6 4" xfId="37809"/>
    <cellStyle name="Normal 5 2 3 6 4 2" xfId="37810"/>
    <cellStyle name="Normal 5 2 3 6 4 3" xfId="37811"/>
    <cellStyle name="Normal 5 2 3 6 5" xfId="37812"/>
    <cellStyle name="Normal 5 2 3 6 6" xfId="37813"/>
    <cellStyle name="Normal 5 2 3 7" xfId="37814"/>
    <cellStyle name="Normal 5 2 3 7 2" xfId="37815"/>
    <cellStyle name="Normal 5 2 3 7 2 2" xfId="37816"/>
    <cellStyle name="Normal 5 2 3 7 2 2 2" xfId="37817"/>
    <cellStyle name="Normal 5 2 3 7 2 2 3" xfId="37818"/>
    <cellStyle name="Normal 5 2 3 7 2 3" xfId="37819"/>
    <cellStyle name="Normal 5 2 3 7 2 3 2" xfId="37820"/>
    <cellStyle name="Normal 5 2 3 7 2 3 3" xfId="37821"/>
    <cellStyle name="Normal 5 2 3 7 2 4" xfId="37822"/>
    <cellStyle name="Normal 5 2 3 7 2 5" xfId="37823"/>
    <cellStyle name="Normal 5 2 3 7 3" xfId="37824"/>
    <cellStyle name="Normal 5 2 3 7 3 2" xfId="37825"/>
    <cellStyle name="Normal 5 2 3 7 3 3" xfId="37826"/>
    <cellStyle name="Normal 5 2 3 7 4" xfId="37827"/>
    <cellStyle name="Normal 5 2 3 7 4 2" xfId="37828"/>
    <cellStyle name="Normal 5 2 3 7 4 3" xfId="37829"/>
    <cellStyle name="Normal 5 2 3 7 5" xfId="37830"/>
    <cellStyle name="Normal 5 2 3 7 6" xfId="37831"/>
    <cellStyle name="Normal 5 2 3 8" xfId="37832"/>
    <cellStyle name="Normal 5 2 3 8 2" xfId="37833"/>
    <cellStyle name="Normal 5 2 3 8 2 2" xfId="37834"/>
    <cellStyle name="Normal 5 2 3 8 2 3" xfId="37835"/>
    <cellStyle name="Normal 5 2 3 8 3" xfId="37836"/>
    <cellStyle name="Normal 5 2 3 8 3 2" xfId="37837"/>
    <cellStyle name="Normal 5 2 3 8 3 3" xfId="37838"/>
    <cellStyle name="Normal 5 2 3 8 4" xfId="37839"/>
    <cellStyle name="Normal 5 2 3 8 5" xfId="37840"/>
    <cellStyle name="Normal 5 2 3 9" xfId="37841"/>
    <cellStyle name="Normal 5 2 3 9 2" xfId="37842"/>
    <cellStyle name="Normal 5 2 3 9 3" xfId="37843"/>
    <cellStyle name="Normal 5 2 4" xfId="37844"/>
    <cellStyle name="Normal 5 2 4 10" xfId="37845"/>
    <cellStyle name="Normal 5 2 4 2" xfId="37846"/>
    <cellStyle name="Normal 5 2 4 2 2" xfId="37847"/>
    <cellStyle name="Normal 5 2 4 2 2 2" xfId="37848"/>
    <cellStyle name="Normal 5 2 4 2 2 2 2" xfId="37849"/>
    <cellStyle name="Normal 5 2 4 2 2 2 2 2" xfId="37850"/>
    <cellStyle name="Normal 5 2 4 2 2 2 2 2 2" xfId="37851"/>
    <cellStyle name="Normal 5 2 4 2 2 2 2 2 3" xfId="37852"/>
    <cellStyle name="Normal 5 2 4 2 2 2 2 3" xfId="37853"/>
    <cellStyle name="Normal 5 2 4 2 2 2 2 3 2" xfId="37854"/>
    <cellStyle name="Normal 5 2 4 2 2 2 2 3 3" xfId="37855"/>
    <cellStyle name="Normal 5 2 4 2 2 2 2 4" xfId="37856"/>
    <cellStyle name="Normal 5 2 4 2 2 2 2 5" xfId="37857"/>
    <cellStyle name="Normal 5 2 4 2 2 2 3" xfId="37858"/>
    <cellStyle name="Normal 5 2 4 2 2 2 3 2" xfId="37859"/>
    <cellStyle name="Normal 5 2 4 2 2 2 3 3" xfId="37860"/>
    <cellStyle name="Normal 5 2 4 2 2 2 4" xfId="37861"/>
    <cellStyle name="Normal 5 2 4 2 2 2 4 2" xfId="37862"/>
    <cellStyle name="Normal 5 2 4 2 2 2 4 3" xfId="37863"/>
    <cellStyle name="Normal 5 2 4 2 2 2 5" xfId="37864"/>
    <cellStyle name="Normal 5 2 4 2 2 2 6" xfId="37865"/>
    <cellStyle name="Normal 5 2 4 2 2 3" xfId="37866"/>
    <cellStyle name="Normal 5 2 4 2 2 3 2" xfId="37867"/>
    <cellStyle name="Normal 5 2 4 2 2 3 2 2" xfId="37868"/>
    <cellStyle name="Normal 5 2 4 2 2 3 2 2 2" xfId="37869"/>
    <cellStyle name="Normal 5 2 4 2 2 3 2 2 3" xfId="37870"/>
    <cellStyle name="Normal 5 2 4 2 2 3 2 3" xfId="37871"/>
    <cellStyle name="Normal 5 2 4 2 2 3 2 3 2" xfId="37872"/>
    <cellStyle name="Normal 5 2 4 2 2 3 2 3 3" xfId="37873"/>
    <cellStyle name="Normal 5 2 4 2 2 3 2 4" xfId="37874"/>
    <cellStyle name="Normal 5 2 4 2 2 3 2 5" xfId="37875"/>
    <cellStyle name="Normal 5 2 4 2 2 3 3" xfId="37876"/>
    <cellStyle name="Normal 5 2 4 2 2 3 3 2" xfId="37877"/>
    <cellStyle name="Normal 5 2 4 2 2 3 3 3" xfId="37878"/>
    <cellStyle name="Normal 5 2 4 2 2 3 4" xfId="37879"/>
    <cellStyle name="Normal 5 2 4 2 2 3 4 2" xfId="37880"/>
    <cellStyle name="Normal 5 2 4 2 2 3 4 3" xfId="37881"/>
    <cellStyle name="Normal 5 2 4 2 2 3 5" xfId="37882"/>
    <cellStyle name="Normal 5 2 4 2 2 3 6" xfId="37883"/>
    <cellStyle name="Normal 5 2 4 2 2 4" xfId="37884"/>
    <cellStyle name="Normal 5 2 4 2 2 4 2" xfId="37885"/>
    <cellStyle name="Normal 5 2 4 2 2 4 2 2" xfId="37886"/>
    <cellStyle name="Normal 5 2 4 2 2 4 2 3" xfId="37887"/>
    <cellStyle name="Normal 5 2 4 2 2 4 3" xfId="37888"/>
    <cellStyle name="Normal 5 2 4 2 2 4 3 2" xfId="37889"/>
    <cellStyle name="Normal 5 2 4 2 2 4 3 3" xfId="37890"/>
    <cellStyle name="Normal 5 2 4 2 2 4 4" xfId="37891"/>
    <cellStyle name="Normal 5 2 4 2 2 4 5" xfId="37892"/>
    <cellStyle name="Normal 5 2 4 2 2 5" xfId="37893"/>
    <cellStyle name="Normal 5 2 4 2 2 5 2" xfId="37894"/>
    <cellStyle name="Normal 5 2 4 2 2 5 3" xfId="37895"/>
    <cellStyle name="Normal 5 2 4 2 2 6" xfId="37896"/>
    <cellStyle name="Normal 5 2 4 2 2 6 2" xfId="37897"/>
    <cellStyle name="Normal 5 2 4 2 2 6 3" xfId="37898"/>
    <cellStyle name="Normal 5 2 4 2 2 7" xfId="37899"/>
    <cellStyle name="Normal 5 2 4 2 2 8" xfId="37900"/>
    <cellStyle name="Normal 5 2 4 2 3" xfId="37901"/>
    <cellStyle name="Normal 5 2 4 2 3 2" xfId="37902"/>
    <cellStyle name="Normal 5 2 4 2 3 2 2" xfId="37903"/>
    <cellStyle name="Normal 5 2 4 2 3 2 2 2" xfId="37904"/>
    <cellStyle name="Normal 5 2 4 2 3 2 2 3" xfId="37905"/>
    <cellStyle name="Normal 5 2 4 2 3 2 3" xfId="37906"/>
    <cellStyle name="Normal 5 2 4 2 3 2 3 2" xfId="37907"/>
    <cellStyle name="Normal 5 2 4 2 3 2 3 3" xfId="37908"/>
    <cellStyle name="Normal 5 2 4 2 3 2 4" xfId="37909"/>
    <cellStyle name="Normal 5 2 4 2 3 2 5" xfId="37910"/>
    <cellStyle name="Normal 5 2 4 2 3 3" xfId="37911"/>
    <cellStyle name="Normal 5 2 4 2 3 3 2" xfId="37912"/>
    <cellStyle name="Normal 5 2 4 2 3 3 3" xfId="37913"/>
    <cellStyle name="Normal 5 2 4 2 3 4" xfId="37914"/>
    <cellStyle name="Normal 5 2 4 2 3 4 2" xfId="37915"/>
    <cellStyle name="Normal 5 2 4 2 3 4 3" xfId="37916"/>
    <cellStyle name="Normal 5 2 4 2 3 5" xfId="37917"/>
    <cellStyle name="Normal 5 2 4 2 3 6" xfId="37918"/>
    <cellStyle name="Normal 5 2 4 2 4" xfId="37919"/>
    <cellStyle name="Normal 5 2 4 2 4 2" xfId="37920"/>
    <cellStyle name="Normal 5 2 4 2 4 2 2" xfId="37921"/>
    <cellStyle name="Normal 5 2 4 2 4 2 2 2" xfId="37922"/>
    <cellStyle name="Normal 5 2 4 2 4 2 2 3" xfId="37923"/>
    <cellStyle name="Normal 5 2 4 2 4 2 3" xfId="37924"/>
    <cellStyle name="Normal 5 2 4 2 4 2 3 2" xfId="37925"/>
    <cellStyle name="Normal 5 2 4 2 4 2 3 3" xfId="37926"/>
    <cellStyle name="Normal 5 2 4 2 4 2 4" xfId="37927"/>
    <cellStyle name="Normal 5 2 4 2 4 2 5" xfId="37928"/>
    <cellStyle name="Normal 5 2 4 2 4 3" xfId="37929"/>
    <cellStyle name="Normal 5 2 4 2 4 3 2" xfId="37930"/>
    <cellStyle name="Normal 5 2 4 2 4 3 3" xfId="37931"/>
    <cellStyle name="Normal 5 2 4 2 4 4" xfId="37932"/>
    <cellStyle name="Normal 5 2 4 2 4 4 2" xfId="37933"/>
    <cellStyle name="Normal 5 2 4 2 4 4 3" xfId="37934"/>
    <cellStyle name="Normal 5 2 4 2 4 5" xfId="37935"/>
    <cellStyle name="Normal 5 2 4 2 4 6" xfId="37936"/>
    <cellStyle name="Normal 5 2 4 2 5" xfId="37937"/>
    <cellStyle name="Normal 5 2 4 2 5 2" xfId="37938"/>
    <cellStyle name="Normal 5 2 4 2 5 2 2" xfId="37939"/>
    <cellStyle name="Normal 5 2 4 2 5 2 3" xfId="37940"/>
    <cellStyle name="Normal 5 2 4 2 5 3" xfId="37941"/>
    <cellStyle name="Normal 5 2 4 2 5 3 2" xfId="37942"/>
    <cellStyle name="Normal 5 2 4 2 5 3 3" xfId="37943"/>
    <cellStyle name="Normal 5 2 4 2 5 4" xfId="37944"/>
    <cellStyle name="Normal 5 2 4 2 5 5" xfId="37945"/>
    <cellStyle name="Normal 5 2 4 2 6" xfId="37946"/>
    <cellStyle name="Normal 5 2 4 2 6 2" xfId="37947"/>
    <cellStyle name="Normal 5 2 4 2 6 3" xfId="37948"/>
    <cellStyle name="Normal 5 2 4 2 7" xfId="37949"/>
    <cellStyle name="Normal 5 2 4 2 7 2" xfId="37950"/>
    <cellStyle name="Normal 5 2 4 2 7 3" xfId="37951"/>
    <cellStyle name="Normal 5 2 4 2 8" xfId="37952"/>
    <cellStyle name="Normal 5 2 4 2 9" xfId="37953"/>
    <cellStyle name="Normal 5 2 4 3" xfId="37954"/>
    <cellStyle name="Normal 5 2 4 3 2" xfId="37955"/>
    <cellStyle name="Normal 5 2 4 3 2 2" xfId="37956"/>
    <cellStyle name="Normal 5 2 4 3 2 2 2" xfId="37957"/>
    <cellStyle name="Normal 5 2 4 3 2 2 2 2" xfId="37958"/>
    <cellStyle name="Normal 5 2 4 3 2 2 2 3" xfId="37959"/>
    <cellStyle name="Normal 5 2 4 3 2 2 3" xfId="37960"/>
    <cellStyle name="Normal 5 2 4 3 2 2 3 2" xfId="37961"/>
    <cellStyle name="Normal 5 2 4 3 2 2 3 3" xfId="37962"/>
    <cellStyle name="Normal 5 2 4 3 2 2 4" xfId="37963"/>
    <cellStyle name="Normal 5 2 4 3 2 2 5" xfId="37964"/>
    <cellStyle name="Normal 5 2 4 3 2 3" xfId="37965"/>
    <cellStyle name="Normal 5 2 4 3 2 3 2" xfId="37966"/>
    <cellStyle name="Normal 5 2 4 3 2 3 3" xfId="37967"/>
    <cellStyle name="Normal 5 2 4 3 2 4" xfId="37968"/>
    <cellStyle name="Normal 5 2 4 3 2 4 2" xfId="37969"/>
    <cellStyle name="Normal 5 2 4 3 2 4 3" xfId="37970"/>
    <cellStyle name="Normal 5 2 4 3 2 5" xfId="37971"/>
    <cellStyle name="Normal 5 2 4 3 2 6" xfId="37972"/>
    <cellStyle name="Normal 5 2 4 3 3" xfId="37973"/>
    <cellStyle name="Normal 5 2 4 3 3 2" xfId="37974"/>
    <cellStyle name="Normal 5 2 4 3 3 2 2" xfId="37975"/>
    <cellStyle name="Normal 5 2 4 3 3 2 2 2" xfId="37976"/>
    <cellStyle name="Normal 5 2 4 3 3 2 2 3" xfId="37977"/>
    <cellStyle name="Normal 5 2 4 3 3 2 3" xfId="37978"/>
    <cellStyle name="Normal 5 2 4 3 3 2 3 2" xfId="37979"/>
    <cellStyle name="Normal 5 2 4 3 3 2 3 3" xfId="37980"/>
    <cellStyle name="Normal 5 2 4 3 3 2 4" xfId="37981"/>
    <cellStyle name="Normal 5 2 4 3 3 2 5" xfId="37982"/>
    <cellStyle name="Normal 5 2 4 3 3 3" xfId="37983"/>
    <cellStyle name="Normal 5 2 4 3 3 3 2" xfId="37984"/>
    <cellStyle name="Normal 5 2 4 3 3 3 3" xfId="37985"/>
    <cellStyle name="Normal 5 2 4 3 3 4" xfId="37986"/>
    <cellStyle name="Normal 5 2 4 3 3 4 2" xfId="37987"/>
    <cellStyle name="Normal 5 2 4 3 3 4 3" xfId="37988"/>
    <cellStyle name="Normal 5 2 4 3 3 5" xfId="37989"/>
    <cellStyle name="Normal 5 2 4 3 3 6" xfId="37990"/>
    <cellStyle name="Normal 5 2 4 3 4" xfId="37991"/>
    <cellStyle name="Normal 5 2 4 3 4 2" xfId="37992"/>
    <cellStyle name="Normal 5 2 4 3 4 2 2" xfId="37993"/>
    <cellStyle name="Normal 5 2 4 3 4 2 3" xfId="37994"/>
    <cellStyle name="Normal 5 2 4 3 4 3" xfId="37995"/>
    <cellStyle name="Normal 5 2 4 3 4 3 2" xfId="37996"/>
    <cellStyle name="Normal 5 2 4 3 4 3 3" xfId="37997"/>
    <cellStyle name="Normal 5 2 4 3 4 4" xfId="37998"/>
    <cellStyle name="Normal 5 2 4 3 4 5" xfId="37999"/>
    <cellStyle name="Normal 5 2 4 3 5" xfId="38000"/>
    <cellStyle name="Normal 5 2 4 3 5 2" xfId="38001"/>
    <cellStyle name="Normal 5 2 4 3 5 3" xfId="38002"/>
    <cellStyle name="Normal 5 2 4 3 6" xfId="38003"/>
    <cellStyle name="Normal 5 2 4 3 6 2" xfId="38004"/>
    <cellStyle name="Normal 5 2 4 3 6 3" xfId="38005"/>
    <cellStyle name="Normal 5 2 4 3 7" xfId="38006"/>
    <cellStyle name="Normal 5 2 4 3 8" xfId="38007"/>
    <cellStyle name="Normal 5 2 4 4" xfId="38008"/>
    <cellStyle name="Normal 5 2 4 4 2" xfId="38009"/>
    <cellStyle name="Normal 5 2 4 4 2 2" xfId="38010"/>
    <cellStyle name="Normal 5 2 4 4 2 2 2" xfId="38011"/>
    <cellStyle name="Normal 5 2 4 4 2 2 3" xfId="38012"/>
    <cellStyle name="Normal 5 2 4 4 2 3" xfId="38013"/>
    <cellStyle name="Normal 5 2 4 4 2 3 2" xfId="38014"/>
    <cellStyle name="Normal 5 2 4 4 2 3 3" xfId="38015"/>
    <cellStyle name="Normal 5 2 4 4 2 4" xfId="38016"/>
    <cellStyle name="Normal 5 2 4 4 2 5" xfId="38017"/>
    <cellStyle name="Normal 5 2 4 4 3" xfId="38018"/>
    <cellStyle name="Normal 5 2 4 4 3 2" xfId="38019"/>
    <cellStyle name="Normal 5 2 4 4 3 3" xfId="38020"/>
    <cellStyle name="Normal 5 2 4 4 4" xfId="38021"/>
    <cellStyle name="Normal 5 2 4 4 4 2" xfId="38022"/>
    <cellStyle name="Normal 5 2 4 4 4 3" xfId="38023"/>
    <cellStyle name="Normal 5 2 4 4 5" xfId="38024"/>
    <cellStyle name="Normal 5 2 4 4 6" xfId="38025"/>
    <cellStyle name="Normal 5 2 4 5" xfId="38026"/>
    <cellStyle name="Normal 5 2 4 5 2" xfId="38027"/>
    <cellStyle name="Normal 5 2 4 5 2 2" xfId="38028"/>
    <cellStyle name="Normal 5 2 4 5 2 2 2" xfId="38029"/>
    <cellStyle name="Normal 5 2 4 5 2 2 3" xfId="38030"/>
    <cellStyle name="Normal 5 2 4 5 2 3" xfId="38031"/>
    <cellStyle name="Normal 5 2 4 5 2 3 2" xfId="38032"/>
    <cellStyle name="Normal 5 2 4 5 2 3 3" xfId="38033"/>
    <cellStyle name="Normal 5 2 4 5 2 4" xfId="38034"/>
    <cellStyle name="Normal 5 2 4 5 2 5" xfId="38035"/>
    <cellStyle name="Normal 5 2 4 5 3" xfId="38036"/>
    <cellStyle name="Normal 5 2 4 5 3 2" xfId="38037"/>
    <cellStyle name="Normal 5 2 4 5 3 3" xfId="38038"/>
    <cellStyle name="Normal 5 2 4 5 4" xfId="38039"/>
    <cellStyle name="Normal 5 2 4 5 4 2" xfId="38040"/>
    <cellStyle name="Normal 5 2 4 5 4 3" xfId="38041"/>
    <cellStyle name="Normal 5 2 4 5 5" xfId="38042"/>
    <cellStyle name="Normal 5 2 4 5 6" xfId="38043"/>
    <cellStyle name="Normal 5 2 4 6" xfId="38044"/>
    <cellStyle name="Normal 5 2 4 6 2" xfId="38045"/>
    <cellStyle name="Normal 5 2 4 6 2 2" xfId="38046"/>
    <cellStyle name="Normal 5 2 4 6 2 3" xfId="38047"/>
    <cellStyle name="Normal 5 2 4 6 3" xfId="38048"/>
    <cellStyle name="Normal 5 2 4 6 3 2" xfId="38049"/>
    <cellStyle name="Normal 5 2 4 6 3 3" xfId="38050"/>
    <cellStyle name="Normal 5 2 4 6 4" xfId="38051"/>
    <cellStyle name="Normal 5 2 4 6 5" xfId="38052"/>
    <cellStyle name="Normal 5 2 4 7" xfId="38053"/>
    <cellStyle name="Normal 5 2 4 7 2" xfId="38054"/>
    <cellStyle name="Normal 5 2 4 7 3" xfId="38055"/>
    <cellStyle name="Normal 5 2 4 8" xfId="38056"/>
    <cellStyle name="Normal 5 2 4 8 2" xfId="38057"/>
    <cellStyle name="Normal 5 2 4 8 3" xfId="38058"/>
    <cellStyle name="Normal 5 2 4 9" xfId="38059"/>
    <cellStyle name="Normal 5 2 5" xfId="38060"/>
    <cellStyle name="Normal 5 2 5 10" xfId="38061"/>
    <cellStyle name="Normal 5 2 5 2" xfId="38062"/>
    <cellStyle name="Normal 5 2 5 2 2" xfId="38063"/>
    <cellStyle name="Normal 5 2 5 2 2 2" xfId="38064"/>
    <cellStyle name="Normal 5 2 5 2 2 2 2" xfId="38065"/>
    <cellStyle name="Normal 5 2 5 2 2 2 2 2" xfId="38066"/>
    <cellStyle name="Normal 5 2 5 2 2 2 2 2 2" xfId="38067"/>
    <cellStyle name="Normal 5 2 5 2 2 2 2 2 3" xfId="38068"/>
    <cellStyle name="Normal 5 2 5 2 2 2 2 3" xfId="38069"/>
    <cellStyle name="Normal 5 2 5 2 2 2 2 3 2" xfId="38070"/>
    <cellStyle name="Normal 5 2 5 2 2 2 2 3 3" xfId="38071"/>
    <cellStyle name="Normal 5 2 5 2 2 2 2 4" xfId="38072"/>
    <cellStyle name="Normal 5 2 5 2 2 2 2 5" xfId="38073"/>
    <cellStyle name="Normal 5 2 5 2 2 2 3" xfId="38074"/>
    <cellStyle name="Normal 5 2 5 2 2 2 3 2" xfId="38075"/>
    <cellStyle name="Normal 5 2 5 2 2 2 3 3" xfId="38076"/>
    <cellStyle name="Normal 5 2 5 2 2 2 4" xfId="38077"/>
    <cellStyle name="Normal 5 2 5 2 2 2 4 2" xfId="38078"/>
    <cellStyle name="Normal 5 2 5 2 2 2 4 3" xfId="38079"/>
    <cellStyle name="Normal 5 2 5 2 2 2 5" xfId="38080"/>
    <cellStyle name="Normal 5 2 5 2 2 2 6" xfId="38081"/>
    <cellStyle name="Normal 5 2 5 2 2 3" xfId="38082"/>
    <cellStyle name="Normal 5 2 5 2 2 3 2" xfId="38083"/>
    <cellStyle name="Normal 5 2 5 2 2 3 2 2" xfId="38084"/>
    <cellStyle name="Normal 5 2 5 2 2 3 2 2 2" xfId="38085"/>
    <cellStyle name="Normal 5 2 5 2 2 3 2 2 3" xfId="38086"/>
    <cellStyle name="Normal 5 2 5 2 2 3 2 3" xfId="38087"/>
    <cellStyle name="Normal 5 2 5 2 2 3 2 3 2" xfId="38088"/>
    <cellStyle name="Normal 5 2 5 2 2 3 2 3 3" xfId="38089"/>
    <cellStyle name="Normal 5 2 5 2 2 3 2 4" xfId="38090"/>
    <cellStyle name="Normal 5 2 5 2 2 3 2 5" xfId="38091"/>
    <cellStyle name="Normal 5 2 5 2 2 3 3" xfId="38092"/>
    <cellStyle name="Normal 5 2 5 2 2 3 3 2" xfId="38093"/>
    <cellStyle name="Normal 5 2 5 2 2 3 3 3" xfId="38094"/>
    <cellStyle name="Normal 5 2 5 2 2 3 4" xfId="38095"/>
    <cellStyle name="Normal 5 2 5 2 2 3 4 2" xfId="38096"/>
    <cellStyle name="Normal 5 2 5 2 2 3 4 3" xfId="38097"/>
    <cellStyle name="Normal 5 2 5 2 2 3 5" xfId="38098"/>
    <cellStyle name="Normal 5 2 5 2 2 3 6" xfId="38099"/>
    <cellStyle name="Normal 5 2 5 2 2 4" xfId="38100"/>
    <cellStyle name="Normal 5 2 5 2 2 4 2" xfId="38101"/>
    <cellStyle name="Normal 5 2 5 2 2 4 2 2" xfId="38102"/>
    <cellStyle name="Normal 5 2 5 2 2 4 2 3" xfId="38103"/>
    <cellStyle name="Normal 5 2 5 2 2 4 3" xfId="38104"/>
    <cellStyle name="Normal 5 2 5 2 2 4 3 2" xfId="38105"/>
    <cellStyle name="Normal 5 2 5 2 2 4 3 3" xfId="38106"/>
    <cellStyle name="Normal 5 2 5 2 2 4 4" xfId="38107"/>
    <cellStyle name="Normal 5 2 5 2 2 4 5" xfId="38108"/>
    <cellStyle name="Normal 5 2 5 2 2 5" xfId="38109"/>
    <cellStyle name="Normal 5 2 5 2 2 5 2" xfId="38110"/>
    <cellStyle name="Normal 5 2 5 2 2 5 3" xfId="38111"/>
    <cellStyle name="Normal 5 2 5 2 2 6" xfId="38112"/>
    <cellStyle name="Normal 5 2 5 2 2 6 2" xfId="38113"/>
    <cellStyle name="Normal 5 2 5 2 2 6 3" xfId="38114"/>
    <cellStyle name="Normal 5 2 5 2 2 7" xfId="38115"/>
    <cellStyle name="Normal 5 2 5 2 2 8" xfId="38116"/>
    <cellStyle name="Normal 5 2 5 2 3" xfId="38117"/>
    <cellStyle name="Normal 5 2 5 2 3 2" xfId="38118"/>
    <cellStyle name="Normal 5 2 5 2 3 2 2" xfId="38119"/>
    <cellStyle name="Normal 5 2 5 2 3 2 2 2" xfId="38120"/>
    <cellStyle name="Normal 5 2 5 2 3 2 2 3" xfId="38121"/>
    <cellStyle name="Normal 5 2 5 2 3 2 3" xfId="38122"/>
    <cellStyle name="Normal 5 2 5 2 3 2 3 2" xfId="38123"/>
    <cellStyle name="Normal 5 2 5 2 3 2 3 3" xfId="38124"/>
    <cellStyle name="Normal 5 2 5 2 3 2 4" xfId="38125"/>
    <cellStyle name="Normal 5 2 5 2 3 2 5" xfId="38126"/>
    <cellStyle name="Normal 5 2 5 2 3 3" xfId="38127"/>
    <cellStyle name="Normal 5 2 5 2 3 3 2" xfId="38128"/>
    <cellStyle name="Normal 5 2 5 2 3 3 3" xfId="38129"/>
    <cellStyle name="Normal 5 2 5 2 3 4" xfId="38130"/>
    <cellStyle name="Normal 5 2 5 2 3 4 2" xfId="38131"/>
    <cellStyle name="Normal 5 2 5 2 3 4 3" xfId="38132"/>
    <cellStyle name="Normal 5 2 5 2 3 5" xfId="38133"/>
    <cellStyle name="Normal 5 2 5 2 3 6" xfId="38134"/>
    <cellStyle name="Normal 5 2 5 2 4" xfId="38135"/>
    <cellStyle name="Normal 5 2 5 2 4 2" xfId="38136"/>
    <cellStyle name="Normal 5 2 5 2 4 2 2" xfId="38137"/>
    <cellStyle name="Normal 5 2 5 2 4 2 2 2" xfId="38138"/>
    <cellStyle name="Normal 5 2 5 2 4 2 2 3" xfId="38139"/>
    <cellStyle name="Normal 5 2 5 2 4 2 3" xfId="38140"/>
    <cellStyle name="Normal 5 2 5 2 4 2 3 2" xfId="38141"/>
    <cellStyle name="Normal 5 2 5 2 4 2 3 3" xfId="38142"/>
    <cellStyle name="Normal 5 2 5 2 4 2 4" xfId="38143"/>
    <cellStyle name="Normal 5 2 5 2 4 2 5" xfId="38144"/>
    <cellStyle name="Normal 5 2 5 2 4 3" xfId="38145"/>
    <cellStyle name="Normal 5 2 5 2 4 3 2" xfId="38146"/>
    <cellStyle name="Normal 5 2 5 2 4 3 3" xfId="38147"/>
    <cellStyle name="Normal 5 2 5 2 4 4" xfId="38148"/>
    <cellStyle name="Normal 5 2 5 2 4 4 2" xfId="38149"/>
    <cellStyle name="Normal 5 2 5 2 4 4 3" xfId="38150"/>
    <cellStyle name="Normal 5 2 5 2 4 5" xfId="38151"/>
    <cellStyle name="Normal 5 2 5 2 4 6" xfId="38152"/>
    <cellStyle name="Normal 5 2 5 2 5" xfId="38153"/>
    <cellStyle name="Normal 5 2 5 2 5 2" xfId="38154"/>
    <cellStyle name="Normal 5 2 5 2 5 2 2" xfId="38155"/>
    <cellStyle name="Normal 5 2 5 2 5 2 3" xfId="38156"/>
    <cellStyle name="Normal 5 2 5 2 5 3" xfId="38157"/>
    <cellStyle name="Normal 5 2 5 2 5 3 2" xfId="38158"/>
    <cellStyle name="Normal 5 2 5 2 5 3 3" xfId="38159"/>
    <cellStyle name="Normal 5 2 5 2 5 4" xfId="38160"/>
    <cellStyle name="Normal 5 2 5 2 5 5" xfId="38161"/>
    <cellStyle name="Normal 5 2 5 2 6" xfId="38162"/>
    <cellStyle name="Normal 5 2 5 2 6 2" xfId="38163"/>
    <cellStyle name="Normal 5 2 5 2 6 3" xfId="38164"/>
    <cellStyle name="Normal 5 2 5 2 7" xfId="38165"/>
    <cellStyle name="Normal 5 2 5 2 7 2" xfId="38166"/>
    <cellStyle name="Normal 5 2 5 2 7 3" xfId="38167"/>
    <cellStyle name="Normal 5 2 5 2 8" xfId="38168"/>
    <cellStyle name="Normal 5 2 5 2 9" xfId="38169"/>
    <cellStyle name="Normal 5 2 5 3" xfId="38170"/>
    <cellStyle name="Normal 5 2 5 3 2" xfId="38171"/>
    <cellStyle name="Normal 5 2 5 3 2 2" xfId="38172"/>
    <cellStyle name="Normal 5 2 5 3 2 2 2" xfId="38173"/>
    <cellStyle name="Normal 5 2 5 3 2 2 2 2" xfId="38174"/>
    <cellStyle name="Normal 5 2 5 3 2 2 2 3" xfId="38175"/>
    <cellStyle name="Normal 5 2 5 3 2 2 3" xfId="38176"/>
    <cellStyle name="Normal 5 2 5 3 2 2 3 2" xfId="38177"/>
    <cellStyle name="Normal 5 2 5 3 2 2 3 3" xfId="38178"/>
    <cellStyle name="Normal 5 2 5 3 2 2 4" xfId="38179"/>
    <cellStyle name="Normal 5 2 5 3 2 2 5" xfId="38180"/>
    <cellStyle name="Normal 5 2 5 3 2 3" xfId="38181"/>
    <cellStyle name="Normal 5 2 5 3 2 3 2" xfId="38182"/>
    <cellStyle name="Normal 5 2 5 3 2 3 3" xfId="38183"/>
    <cellStyle name="Normal 5 2 5 3 2 4" xfId="38184"/>
    <cellStyle name="Normal 5 2 5 3 2 4 2" xfId="38185"/>
    <cellStyle name="Normal 5 2 5 3 2 4 3" xfId="38186"/>
    <cellStyle name="Normal 5 2 5 3 2 5" xfId="38187"/>
    <cellStyle name="Normal 5 2 5 3 2 6" xfId="38188"/>
    <cellStyle name="Normal 5 2 5 3 3" xfId="38189"/>
    <cellStyle name="Normal 5 2 5 3 3 2" xfId="38190"/>
    <cellStyle name="Normal 5 2 5 3 3 2 2" xfId="38191"/>
    <cellStyle name="Normal 5 2 5 3 3 2 2 2" xfId="38192"/>
    <cellStyle name="Normal 5 2 5 3 3 2 2 3" xfId="38193"/>
    <cellStyle name="Normal 5 2 5 3 3 2 3" xfId="38194"/>
    <cellStyle name="Normal 5 2 5 3 3 2 3 2" xfId="38195"/>
    <cellStyle name="Normal 5 2 5 3 3 2 3 3" xfId="38196"/>
    <cellStyle name="Normal 5 2 5 3 3 2 4" xfId="38197"/>
    <cellStyle name="Normal 5 2 5 3 3 2 5" xfId="38198"/>
    <cellStyle name="Normal 5 2 5 3 3 3" xfId="38199"/>
    <cellStyle name="Normal 5 2 5 3 3 3 2" xfId="38200"/>
    <cellStyle name="Normal 5 2 5 3 3 3 3" xfId="38201"/>
    <cellStyle name="Normal 5 2 5 3 3 4" xfId="38202"/>
    <cellStyle name="Normal 5 2 5 3 3 4 2" xfId="38203"/>
    <cellStyle name="Normal 5 2 5 3 3 4 3" xfId="38204"/>
    <cellStyle name="Normal 5 2 5 3 3 5" xfId="38205"/>
    <cellStyle name="Normal 5 2 5 3 3 6" xfId="38206"/>
    <cellStyle name="Normal 5 2 5 3 4" xfId="38207"/>
    <cellStyle name="Normal 5 2 5 3 4 2" xfId="38208"/>
    <cellStyle name="Normal 5 2 5 3 4 2 2" xfId="38209"/>
    <cellStyle name="Normal 5 2 5 3 4 2 3" xfId="38210"/>
    <cellStyle name="Normal 5 2 5 3 4 3" xfId="38211"/>
    <cellStyle name="Normal 5 2 5 3 4 3 2" xfId="38212"/>
    <cellStyle name="Normal 5 2 5 3 4 3 3" xfId="38213"/>
    <cellStyle name="Normal 5 2 5 3 4 4" xfId="38214"/>
    <cellStyle name="Normal 5 2 5 3 4 5" xfId="38215"/>
    <cellStyle name="Normal 5 2 5 3 5" xfId="38216"/>
    <cellStyle name="Normal 5 2 5 3 5 2" xfId="38217"/>
    <cellStyle name="Normal 5 2 5 3 5 3" xfId="38218"/>
    <cellStyle name="Normal 5 2 5 3 6" xfId="38219"/>
    <cellStyle name="Normal 5 2 5 3 6 2" xfId="38220"/>
    <cellStyle name="Normal 5 2 5 3 6 3" xfId="38221"/>
    <cellStyle name="Normal 5 2 5 3 7" xfId="38222"/>
    <cellStyle name="Normal 5 2 5 3 8" xfId="38223"/>
    <cellStyle name="Normal 5 2 5 4" xfId="38224"/>
    <cellStyle name="Normal 5 2 5 4 2" xfId="38225"/>
    <cellStyle name="Normal 5 2 5 4 2 2" xfId="38226"/>
    <cellStyle name="Normal 5 2 5 4 2 2 2" xfId="38227"/>
    <cellStyle name="Normal 5 2 5 4 2 2 3" xfId="38228"/>
    <cellStyle name="Normal 5 2 5 4 2 3" xfId="38229"/>
    <cellStyle name="Normal 5 2 5 4 2 3 2" xfId="38230"/>
    <cellStyle name="Normal 5 2 5 4 2 3 3" xfId="38231"/>
    <cellStyle name="Normal 5 2 5 4 2 4" xfId="38232"/>
    <cellStyle name="Normal 5 2 5 4 2 5" xfId="38233"/>
    <cellStyle name="Normal 5 2 5 4 3" xfId="38234"/>
    <cellStyle name="Normal 5 2 5 4 3 2" xfId="38235"/>
    <cellStyle name="Normal 5 2 5 4 3 3" xfId="38236"/>
    <cellStyle name="Normal 5 2 5 4 4" xfId="38237"/>
    <cellStyle name="Normal 5 2 5 4 4 2" xfId="38238"/>
    <cellStyle name="Normal 5 2 5 4 4 3" xfId="38239"/>
    <cellStyle name="Normal 5 2 5 4 5" xfId="38240"/>
    <cellStyle name="Normal 5 2 5 4 6" xfId="38241"/>
    <cellStyle name="Normal 5 2 5 5" xfId="38242"/>
    <cellStyle name="Normal 5 2 5 5 2" xfId="38243"/>
    <cellStyle name="Normal 5 2 5 5 2 2" xfId="38244"/>
    <cellStyle name="Normal 5 2 5 5 2 2 2" xfId="38245"/>
    <cellStyle name="Normal 5 2 5 5 2 2 3" xfId="38246"/>
    <cellStyle name="Normal 5 2 5 5 2 3" xfId="38247"/>
    <cellStyle name="Normal 5 2 5 5 2 3 2" xfId="38248"/>
    <cellStyle name="Normal 5 2 5 5 2 3 3" xfId="38249"/>
    <cellStyle name="Normal 5 2 5 5 2 4" xfId="38250"/>
    <cellStyle name="Normal 5 2 5 5 2 5" xfId="38251"/>
    <cellStyle name="Normal 5 2 5 5 3" xfId="38252"/>
    <cellStyle name="Normal 5 2 5 5 3 2" xfId="38253"/>
    <cellStyle name="Normal 5 2 5 5 3 3" xfId="38254"/>
    <cellStyle name="Normal 5 2 5 5 4" xfId="38255"/>
    <cellStyle name="Normal 5 2 5 5 4 2" xfId="38256"/>
    <cellStyle name="Normal 5 2 5 5 4 3" xfId="38257"/>
    <cellStyle name="Normal 5 2 5 5 5" xfId="38258"/>
    <cellStyle name="Normal 5 2 5 5 6" xfId="38259"/>
    <cellStyle name="Normal 5 2 5 6" xfId="38260"/>
    <cellStyle name="Normal 5 2 5 6 2" xfId="38261"/>
    <cellStyle name="Normal 5 2 5 6 2 2" xfId="38262"/>
    <cellStyle name="Normal 5 2 5 6 2 3" xfId="38263"/>
    <cellStyle name="Normal 5 2 5 6 3" xfId="38264"/>
    <cellStyle name="Normal 5 2 5 6 3 2" xfId="38265"/>
    <cellStyle name="Normal 5 2 5 6 3 3" xfId="38266"/>
    <cellStyle name="Normal 5 2 5 6 4" xfId="38267"/>
    <cellStyle name="Normal 5 2 5 6 5" xfId="38268"/>
    <cellStyle name="Normal 5 2 5 7" xfId="38269"/>
    <cellStyle name="Normal 5 2 5 7 2" xfId="38270"/>
    <cellStyle name="Normal 5 2 5 7 3" xfId="38271"/>
    <cellStyle name="Normal 5 2 5 8" xfId="38272"/>
    <cellStyle name="Normal 5 2 5 8 2" xfId="38273"/>
    <cellStyle name="Normal 5 2 5 8 3" xfId="38274"/>
    <cellStyle name="Normal 5 2 5 9" xfId="38275"/>
    <cellStyle name="Normal 5 2 6" xfId="38276"/>
    <cellStyle name="Normal 5 2 6 10" xfId="38277"/>
    <cellStyle name="Normal 5 2 6 2" xfId="38278"/>
    <cellStyle name="Normal 5 2 6 2 2" xfId="38279"/>
    <cellStyle name="Normal 5 2 6 2 2 2" xfId="38280"/>
    <cellStyle name="Normal 5 2 6 2 2 2 2" xfId="38281"/>
    <cellStyle name="Normal 5 2 6 2 2 2 2 2" xfId="38282"/>
    <cellStyle name="Normal 5 2 6 2 2 2 2 2 2" xfId="38283"/>
    <cellStyle name="Normal 5 2 6 2 2 2 2 2 3" xfId="38284"/>
    <cellStyle name="Normal 5 2 6 2 2 2 2 3" xfId="38285"/>
    <cellStyle name="Normal 5 2 6 2 2 2 2 3 2" xfId="38286"/>
    <cellStyle name="Normal 5 2 6 2 2 2 2 3 3" xfId="38287"/>
    <cellStyle name="Normal 5 2 6 2 2 2 2 4" xfId="38288"/>
    <cellStyle name="Normal 5 2 6 2 2 2 2 5" xfId="38289"/>
    <cellStyle name="Normal 5 2 6 2 2 2 3" xfId="38290"/>
    <cellStyle name="Normal 5 2 6 2 2 2 3 2" xfId="38291"/>
    <cellStyle name="Normal 5 2 6 2 2 2 3 3" xfId="38292"/>
    <cellStyle name="Normal 5 2 6 2 2 2 4" xfId="38293"/>
    <cellStyle name="Normal 5 2 6 2 2 2 4 2" xfId="38294"/>
    <cellStyle name="Normal 5 2 6 2 2 2 4 3" xfId="38295"/>
    <cellStyle name="Normal 5 2 6 2 2 2 5" xfId="38296"/>
    <cellStyle name="Normal 5 2 6 2 2 2 6" xfId="38297"/>
    <cellStyle name="Normal 5 2 6 2 2 3" xfId="38298"/>
    <cellStyle name="Normal 5 2 6 2 2 3 2" xfId="38299"/>
    <cellStyle name="Normal 5 2 6 2 2 3 2 2" xfId="38300"/>
    <cellStyle name="Normal 5 2 6 2 2 3 2 2 2" xfId="38301"/>
    <cellStyle name="Normal 5 2 6 2 2 3 2 2 3" xfId="38302"/>
    <cellStyle name="Normal 5 2 6 2 2 3 2 3" xfId="38303"/>
    <cellStyle name="Normal 5 2 6 2 2 3 2 3 2" xfId="38304"/>
    <cellStyle name="Normal 5 2 6 2 2 3 2 3 3" xfId="38305"/>
    <cellStyle name="Normal 5 2 6 2 2 3 2 4" xfId="38306"/>
    <cellStyle name="Normal 5 2 6 2 2 3 2 5" xfId="38307"/>
    <cellStyle name="Normal 5 2 6 2 2 3 3" xfId="38308"/>
    <cellStyle name="Normal 5 2 6 2 2 3 3 2" xfId="38309"/>
    <cellStyle name="Normal 5 2 6 2 2 3 3 3" xfId="38310"/>
    <cellStyle name="Normal 5 2 6 2 2 3 4" xfId="38311"/>
    <cellStyle name="Normal 5 2 6 2 2 3 4 2" xfId="38312"/>
    <cellStyle name="Normal 5 2 6 2 2 3 4 3" xfId="38313"/>
    <cellStyle name="Normal 5 2 6 2 2 3 5" xfId="38314"/>
    <cellStyle name="Normal 5 2 6 2 2 3 6" xfId="38315"/>
    <cellStyle name="Normal 5 2 6 2 2 4" xfId="38316"/>
    <cellStyle name="Normal 5 2 6 2 2 4 2" xfId="38317"/>
    <cellStyle name="Normal 5 2 6 2 2 4 2 2" xfId="38318"/>
    <cellStyle name="Normal 5 2 6 2 2 4 2 3" xfId="38319"/>
    <cellStyle name="Normal 5 2 6 2 2 4 3" xfId="38320"/>
    <cellStyle name="Normal 5 2 6 2 2 4 3 2" xfId="38321"/>
    <cellStyle name="Normal 5 2 6 2 2 4 3 3" xfId="38322"/>
    <cellStyle name="Normal 5 2 6 2 2 4 4" xfId="38323"/>
    <cellStyle name="Normal 5 2 6 2 2 4 5" xfId="38324"/>
    <cellStyle name="Normal 5 2 6 2 2 5" xfId="38325"/>
    <cellStyle name="Normal 5 2 6 2 2 5 2" xfId="38326"/>
    <cellStyle name="Normal 5 2 6 2 2 5 3" xfId="38327"/>
    <cellStyle name="Normal 5 2 6 2 2 6" xfId="38328"/>
    <cellStyle name="Normal 5 2 6 2 2 6 2" xfId="38329"/>
    <cellStyle name="Normal 5 2 6 2 2 6 3" xfId="38330"/>
    <cellStyle name="Normal 5 2 6 2 2 7" xfId="38331"/>
    <cellStyle name="Normal 5 2 6 2 2 8" xfId="38332"/>
    <cellStyle name="Normal 5 2 6 2 3" xfId="38333"/>
    <cellStyle name="Normal 5 2 6 2 3 2" xfId="38334"/>
    <cellStyle name="Normal 5 2 6 2 3 2 2" xfId="38335"/>
    <cellStyle name="Normal 5 2 6 2 3 2 2 2" xfId="38336"/>
    <cellStyle name="Normal 5 2 6 2 3 2 2 3" xfId="38337"/>
    <cellStyle name="Normal 5 2 6 2 3 2 3" xfId="38338"/>
    <cellStyle name="Normal 5 2 6 2 3 2 3 2" xfId="38339"/>
    <cellStyle name="Normal 5 2 6 2 3 2 3 3" xfId="38340"/>
    <cellStyle name="Normal 5 2 6 2 3 2 4" xfId="38341"/>
    <cellStyle name="Normal 5 2 6 2 3 2 5" xfId="38342"/>
    <cellStyle name="Normal 5 2 6 2 3 3" xfId="38343"/>
    <cellStyle name="Normal 5 2 6 2 3 3 2" xfId="38344"/>
    <cellStyle name="Normal 5 2 6 2 3 3 3" xfId="38345"/>
    <cellStyle name="Normal 5 2 6 2 3 4" xfId="38346"/>
    <cellStyle name="Normal 5 2 6 2 3 4 2" xfId="38347"/>
    <cellStyle name="Normal 5 2 6 2 3 4 3" xfId="38348"/>
    <cellStyle name="Normal 5 2 6 2 3 5" xfId="38349"/>
    <cellStyle name="Normal 5 2 6 2 3 6" xfId="38350"/>
    <cellStyle name="Normal 5 2 6 2 4" xfId="38351"/>
    <cellStyle name="Normal 5 2 6 2 4 2" xfId="38352"/>
    <cellStyle name="Normal 5 2 6 2 4 2 2" xfId="38353"/>
    <cellStyle name="Normal 5 2 6 2 4 2 2 2" xfId="38354"/>
    <cellStyle name="Normal 5 2 6 2 4 2 2 3" xfId="38355"/>
    <cellStyle name="Normal 5 2 6 2 4 2 3" xfId="38356"/>
    <cellStyle name="Normal 5 2 6 2 4 2 3 2" xfId="38357"/>
    <cellStyle name="Normal 5 2 6 2 4 2 3 3" xfId="38358"/>
    <cellStyle name="Normal 5 2 6 2 4 2 4" xfId="38359"/>
    <cellStyle name="Normal 5 2 6 2 4 2 5" xfId="38360"/>
    <cellStyle name="Normal 5 2 6 2 4 3" xfId="38361"/>
    <cellStyle name="Normal 5 2 6 2 4 3 2" xfId="38362"/>
    <cellStyle name="Normal 5 2 6 2 4 3 3" xfId="38363"/>
    <cellStyle name="Normal 5 2 6 2 4 4" xfId="38364"/>
    <cellStyle name="Normal 5 2 6 2 4 4 2" xfId="38365"/>
    <cellStyle name="Normal 5 2 6 2 4 4 3" xfId="38366"/>
    <cellStyle name="Normal 5 2 6 2 4 5" xfId="38367"/>
    <cellStyle name="Normal 5 2 6 2 4 6" xfId="38368"/>
    <cellStyle name="Normal 5 2 6 2 5" xfId="38369"/>
    <cellStyle name="Normal 5 2 6 2 5 2" xfId="38370"/>
    <cellStyle name="Normal 5 2 6 2 5 2 2" xfId="38371"/>
    <cellStyle name="Normal 5 2 6 2 5 2 3" xfId="38372"/>
    <cellStyle name="Normal 5 2 6 2 5 3" xfId="38373"/>
    <cellStyle name="Normal 5 2 6 2 5 3 2" xfId="38374"/>
    <cellStyle name="Normal 5 2 6 2 5 3 3" xfId="38375"/>
    <cellStyle name="Normal 5 2 6 2 5 4" xfId="38376"/>
    <cellStyle name="Normal 5 2 6 2 5 5" xfId="38377"/>
    <cellStyle name="Normal 5 2 6 2 6" xfId="38378"/>
    <cellStyle name="Normal 5 2 6 2 6 2" xfId="38379"/>
    <cellStyle name="Normal 5 2 6 2 6 3" xfId="38380"/>
    <cellStyle name="Normal 5 2 6 2 7" xfId="38381"/>
    <cellStyle name="Normal 5 2 6 2 7 2" xfId="38382"/>
    <cellStyle name="Normal 5 2 6 2 7 3" xfId="38383"/>
    <cellStyle name="Normal 5 2 6 2 8" xfId="38384"/>
    <cellStyle name="Normal 5 2 6 2 9" xfId="38385"/>
    <cellStyle name="Normal 5 2 6 3" xfId="38386"/>
    <cellStyle name="Normal 5 2 6 3 2" xfId="38387"/>
    <cellStyle name="Normal 5 2 6 3 2 2" xfId="38388"/>
    <cellStyle name="Normal 5 2 6 3 2 2 2" xfId="38389"/>
    <cellStyle name="Normal 5 2 6 3 2 2 2 2" xfId="38390"/>
    <cellStyle name="Normal 5 2 6 3 2 2 2 3" xfId="38391"/>
    <cellStyle name="Normal 5 2 6 3 2 2 3" xfId="38392"/>
    <cellStyle name="Normal 5 2 6 3 2 2 3 2" xfId="38393"/>
    <cellStyle name="Normal 5 2 6 3 2 2 3 3" xfId="38394"/>
    <cellStyle name="Normal 5 2 6 3 2 2 4" xfId="38395"/>
    <cellStyle name="Normal 5 2 6 3 2 2 5" xfId="38396"/>
    <cellStyle name="Normal 5 2 6 3 2 3" xfId="38397"/>
    <cellStyle name="Normal 5 2 6 3 2 3 2" xfId="38398"/>
    <cellStyle name="Normal 5 2 6 3 2 3 3" xfId="38399"/>
    <cellStyle name="Normal 5 2 6 3 2 4" xfId="38400"/>
    <cellStyle name="Normal 5 2 6 3 2 4 2" xfId="38401"/>
    <cellStyle name="Normal 5 2 6 3 2 4 3" xfId="38402"/>
    <cellStyle name="Normal 5 2 6 3 2 5" xfId="38403"/>
    <cellStyle name="Normal 5 2 6 3 2 6" xfId="38404"/>
    <cellStyle name="Normal 5 2 6 3 3" xfId="38405"/>
    <cellStyle name="Normal 5 2 6 3 3 2" xfId="38406"/>
    <cellStyle name="Normal 5 2 6 3 3 2 2" xfId="38407"/>
    <cellStyle name="Normal 5 2 6 3 3 2 2 2" xfId="38408"/>
    <cellStyle name="Normal 5 2 6 3 3 2 2 3" xfId="38409"/>
    <cellStyle name="Normal 5 2 6 3 3 2 3" xfId="38410"/>
    <cellStyle name="Normal 5 2 6 3 3 2 3 2" xfId="38411"/>
    <cellStyle name="Normal 5 2 6 3 3 2 3 3" xfId="38412"/>
    <cellStyle name="Normal 5 2 6 3 3 2 4" xfId="38413"/>
    <cellStyle name="Normal 5 2 6 3 3 2 5" xfId="38414"/>
    <cellStyle name="Normal 5 2 6 3 3 3" xfId="38415"/>
    <cellStyle name="Normal 5 2 6 3 3 3 2" xfId="38416"/>
    <cellStyle name="Normal 5 2 6 3 3 3 3" xfId="38417"/>
    <cellStyle name="Normal 5 2 6 3 3 4" xfId="38418"/>
    <cellStyle name="Normal 5 2 6 3 3 4 2" xfId="38419"/>
    <cellStyle name="Normal 5 2 6 3 3 4 3" xfId="38420"/>
    <cellStyle name="Normal 5 2 6 3 3 5" xfId="38421"/>
    <cellStyle name="Normal 5 2 6 3 3 6" xfId="38422"/>
    <cellStyle name="Normal 5 2 6 3 4" xfId="38423"/>
    <cellStyle name="Normal 5 2 6 3 4 2" xfId="38424"/>
    <cellStyle name="Normal 5 2 6 3 4 2 2" xfId="38425"/>
    <cellStyle name="Normal 5 2 6 3 4 2 3" xfId="38426"/>
    <cellStyle name="Normal 5 2 6 3 4 3" xfId="38427"/>
    <cellStyle name="Normal 5 2 6 3 4 3 2" xfId="38428"/>
    <cellStyle name="Normal 5 2 6 3 4 3 3" xfId="38429"/>
    <cellStyle name="Normal 5 2 6 3 4 4" xfId="38430"/>
    <cellStyle name="Normal 5 2 6 3 4 5" xfId="38431"/>
    <cellStyle name="Normal 5 2 6 3 5" xfId="38432"/>
    <cellStyle name="Normal 5 2 6 3 5 2" xfId="38433"/>
    <cellStyle name="Normal 5 2 6 3 5 3" xfId="38434"/>
    <cellStyle name="Normal 5 2 6 3 6" xfId="38435"/>
    <cellStyle name="Normal 5 2 6 3 6 2" xfId="38436"/>
    <cellStyle name="Normal 5 2 6 3 6 3" xfId="38437"/>
    <cellStyle name="Normal 5 2 6 3 7" xfId="38438"/>
    <cellStyle name="Normal 5 2 6 3 8" xfId="38439"/>
    <cellStyle name="Normal 5 2 6 4" xfId="38440"/>
    <cellStyle name="Normal 5 2 6 4 2" xfId="38441"/>
    <cellStyle name="Normal 5 2 6 4 2 2" xfId="38442"/>
    <cellStyle name="Normal 5 2 6 4 2 2 2" xfId="38443"/>
    <cellStyle name="Normal 5 2 6 4 2 2 3" xfId="38444"/>
    <cellStyle name="Normal 5 2 6 4 2 3" xfId="38445"/>
    <cellStyle name="Normal 5 2 6 4 2 3 2" xfId="38446"/>
    <cellStyle name="Normal 5 2 6 4 2 3 3" xfId="38447"/>
    <cellStyle name="Normal 5 2 6 4 2 4" xfId="38448"/>
    <cellStyle name="Normal 5 2 6 4 2 5" xfId="38449"/>
    <cellStyle name="Normal 5 2 6 4 3" xfId="38450"/>
    <cellStyle name="Normal 5 2 6 4 3 2" xfId="38451"/>
    <cellStyle name="Normal 5 2 6 4 3 3" xfId="38452"/>
    <cellStyle name="Normal 5 2 6 4 4" xfId="38453"/>
    <cellStyle name="Normal 5 2 6 4 4 2" xfId="38454"/>
    <cellStyle name="Normal 5 2 6 4 4 3" xfId="38455"/>
    <cellStyle name="Normal 5 2 6 4 5" xfId="38456"/>
    <cellStyle name="Normal 5 2 6 4 6" xfId="38457"/>
    <cellStyle name="Normal 5 2 6 5" xfId="38458"/>
    <cellStyle name="Normal 5 2 6 5 2" xfId="38459"/>
    <cellStyle name="Normal 5 2 6 5 2 2" xfId="38460"/>
    <cellStyle name="Normal 5 2 6 5 2 2 2" xfId="38461"/>
    <cellStyle name="Normal 5 2 6 5 2 2 3" xfId="38462"/>
    <cellStyle name="Normal 5 2 6 5 2 3" xfId="38463"/>
    <cellStyle name="Normal 5 2 6 5 2 3 2" xfId="38464"/>
    <cellStyle name="Normal 5 2 6 5 2 3 3" xfId="38465"/>
    <cellStyle name="Normal 5 2 6 5 2 4" xfId="38466"/>
    <cellStyle name="Normal 5 2 6 5 2 5" xfId="38467"/>
    <cellStyle name="Normal 5 2 6 5 3" xfId="38468"/>
    <cellStyle name="Normal 5 2 6 5 3 2" xfId="38469"/>
    <cellStyle name="Normal 5 2 6 5 3 3" xfId="38470"/>
    <cellStyle name="Normal 5 2 6 5 4" xfId="38471"/>
    <cellStyle name="Normal 5 2 6 5 4 2" xfId="38472"/>
    <cellStyle name="Normal 5 2 6 5 4 3" xfId="38473"/>
    <cellStyle name="Normal 5 2 6 5 5" xfId="38474"/>
    <cellStyle name="Normal 5 2 6 5 6" xfId="38475"/>
    <cellStyle name="Normal 5 2 6 6" xfId="38476"/>
    <cellStyle name="Normal 5 2 6 6 2" xfId="38477"/>
    <cellStyle name="Normal 5 2 6 6 2 2" xfId="38478"/>
    <cellStyle name="Normal 5 2 6 6 2 3" xfId="38479"/>
    <cellStyle name="Normal 5 2 6 6 3" xfId="38480"/>
    <cellStyle name="Normal 5 2 6 6 3 2" xfId="38481"/>
    <cellStyle name="Normal 5 2 6 6 3 3" xfId="38482"/>
    <cellStyle name="Normal 5 2 6 6 4" xfId="38483"/>
    <cellStyle name="Normal 5 2 6 6 5" xfId="38484"/>
    <cellStyle name="Normal 5 2 6 7" xfId="38485"/>
    <cellStyle name="Normal 5 2 6 7 2" xfId="38486"/>
    <cellStyle name="Normal 5 2 6 7 3" xfId="38487"/>
    <cellStyle name="Normal 5 2 6 8" xfId="38488"/>
    <cellStyle name="Normal 5 2 6 8 2" xfId="38489"/>
    <cellStyle name="Normal 5 2 6 8 3" xfId="38490"/>
    <cellStyle name="Normal 5 2 6 9" xfId="38491"/>
    <cellStyle name="Normal 5 2 7" xfId="38492"/>
    <cellStyle name="Normal 5 2 7 2" xfId="38493"/>
    <cellStyle name="Normal 5 2 7 2 2" xfId="38494"/>
    <cellStyle name="Normal 5 2 7 2 2 2" xfId="38495"/>
    <cellStyle name="Normal 5 2 7 2 2 2 2" xfId="38496"/>
    <cellStyle name="Normal 5 2 7 2 2 2 2 2" xfId="38497"/>
    <cellStyle name="Normal 5 2 7 2 2 2 2 3" xfId="38498"/>
    <cellStyle name="Normal 5 2 7 2 2 2 3" xfId="38499"/>
    <cellStyle name="Normal 5 2 7 2 2 2 3 2" xfId="38500"/>
    <cellStyle name="Normal 5 2 7 2 2 2 3 3" xfId="38501"/>
    <cellStyle name="Normal 5 2 7 2 2 2 4" xfId="38502"/>
    <cellStyle name="Normal 5 2 7 2 2 2 5" xfId="38503"/>
    <cellStyle name="Normal 5 2 7 2 2 3" xfId="38504"/>
    <cellStyle name="Normal 5 2 7 2 2 3 2" xfId="38505"/>
    <cellStyle name="Normal 5 2 7 2 2 3 3" xfId="38506"/>
    <cellStyle name="Normal 5 2 7 2 2 4" xfId="38507"/>
    <cellStyle name="Normal 5 2 7 2 2 4 2" xfId="38508"/>
    <cellStyle name="Normal 5 2 7 2 2 4 3" xfId="38509"/>
    <cellStyle name="Normal 5 2 7 2 2 5" xfId="38510"/>
    <cellStyle name="Normal 5 2 7 2 2 6" xfId="38511"/>
    <cellStyle name="Normal 5 2 7 2 3" xfId="38512"/>
    <cellStyle name="Normal 5 2 7 2 3 2" xfId="38513"/>
    <cellStyle name="Normal 5 2 7 2 3 2 2" xfId="38514"/>
    <cellStyle name="Normal 5 2 7 2 3 2 2 2" xfId="38515"/>
    <cellStyle name="Normal 5 2 7 2 3 2 2 3" xfId="38516"/>
    <cellStyle name="Normal 5 2 7 2 3 2 3" xfId="38517"/>
    <cellStyle name="Normal 5 2 7 2 3 2 3 2" xfId="38518"/>
    <cellStyle name="Normal 5 2 7 2 3 2 3 3" xfId="38519"/>
    <cellStyle name="Normal 5 2 7 2 3 2 4" xfId="38520"/>
    <cellStyle name="Normal 5 2 7 2 3 2 5" xfId="38521"/>
    <cellStyle name="Normal 5 2 7 2 3 3" xfId="38522"/>
    <cellStyle name="Normal 5 2 7 2 3 3 2" xfId="38523"/>
    <cellStyle name="Normal 5 2 7 2 3 3 3" xfId="38524"/>
    <cellStyle name="Normal 5 2 7 2 3 4" xfId="38525"/>
    <cellStyle name="Normal 5 2 7 2 3 4 2" xfId="38526"/>
    <cellStyle name="Normal 5 2 7 2 3 4 3" xfId="38527"/>
    <cellStyle name="Normal 5 2 7 2 3 5" xfId="38528"/>
    <cellStyle name="Normal 5 2 7 2 3 6" xfId="38529"/>
    <cellStyle name="Normal 5 2 7 2 4" xfId="38530"/>
    <cellStyle name="Normal 5 2 7 2 4 2" xfId="38531"/>
    <cellStyle name="Normal 5 2 7 2 4 2 2" xfId="38532"/>
    <cellStyle name="Normal 5 2 7 2 4 2 3" xfId="38533"/>
    <cellStyle name="Normal 5 2 7 2 4 3" xfId="38534"/>
    <cellStyle name="Normal 5 2 7 2 4 3 2" xfId="38535"/>
    <cellStyle name="Normal 5 2 7 2 4 3 3" xfId="38536"/>
    <cellStyle name="Normal 5 2 7 2 4 4" xfId="38537"/>
    <cellStyle name="Normal 5 2 7 2 4 5" xfId="38538"/>
    <cellStyle name="Normal 5 2 7 2 5" xfId="38539"/>
    <cellStyle name="Normal 5 2 7 2 5 2" xfId="38540"/>
    <cellStyle name="Normal 5 2 7 2 5 3" xfId="38541"/>
    <cellStyle name="Normal 5 2 7 2 6" xfId="38542"/>
    <cellStyle name="Normal 5 2 7 2 6 2" xfId="38543"/>
    <cellStyle name="Normal 5 2 7 2 6 3" xfId="38544"/>
    <cellStyle name="Normal 5 2 7 2 7" xfId="38545"/>
    <cellStyle name="Normal 5 2 7 2 8" xfId="38546"/>
    <cellStyle name="Normal 5 2 7 3" xfId="38547"/>
    <cellStyle name="Normal 5 2 7 3 2" xfId="38548"/>
    <cellStyle name="Normal 5 2 7 3 2 2" xfId="38549"/>
    <cellStyle name="Normal 5 2 7 3 2 2 2" xfId="38550"/>
    <cellStyle name="Normal 5 2 7 3 2 2 3" xfId="38551"/>
    <cellStyle name="Normal 5 2 7 3 2 3" xfId="38552"/>
    <cellStyle name="Normal 5 2 7 3 2 3 2" xfId="38553"/>
    <cellStyle name="Normal 5 2 7 3 2 3 3" xfId="38554"/>
    <cellStyle name="Normal 5 2 7 3 2 4" xfId="38555"/>
    <cellStyle name="Normal 5 2 7 3 2 5" xfId="38556"/>
    <cellStyle name="Normal 5 2 7 3 3" xfId="38557"/>
    <cellStyle name="Normal 5 2 7 3 3 2" xfId="38558"/>
    <cellStyle name="Normal 5 2 7 3 3 3" xfId="38559"/>
    <cellStyle name="Normal 5 2 7 3 4" xfId="38560"/>
    <cellStyle name="Normal 5 2 7 3 4 2" xfId="38561"/>
    <cellStyle name="Normal 5 2 7 3 4 3" xfId="38562"/>
    <cellStyle name="Normal 5 2 7 3 5" xfId="38563"/>
    <cellStyle name="Normal 5 2 7 3 6" xfId="38564"/>
    <cellStyle name="Normal 5 2 7 4" xfId="38565"/>
    <cellStyle name="Normal 5 2 7 4 2" xfId="38566"/>
    <cellStyle name="Normal 5 2 7 4 2 2" xfId="38567"/>
    <cellStyle name="Normal 5 2 7 4 2 2 2" xfId="38568"/>
    <cellStyle name="Normal 5 2 7 4 2 2 3" xfId="38569"/>
    <cellStyle name="Normal 5 2 7 4 2 3" xfId="38570"/>
    <cellStyle name="Normal 5 2 7 4 2 3 2" xfId="38571"/>
    <cellStyle name="Normal 5 2 7 4 2 3 3" xfId="38572"/>
    <cellStyle name="Normal 5 2 7 4 2 4" xfId="38573"/>
    <cellStyle name="Normal 5 2 7 4 2 5" xfId="38574"/>
    <cellStyle name="Normal 5 2 7 4 3" xfId="38575"/>
    <cellStyle name="Normal 5 2 7 4 3 2" xfId="38576"/>
    <cellStyle name="Normal 5 2 7 4 3 3" xfId="38577"/>
    <cellStyle name="Normal 5 2 7 4 4" xfId="38578"/>
    <cellStyle name="Normal 5 2 7 4 4 2" xfId="38579"/>
    <cellStyle name="Normal 5 2 7 4 4 3" xfId="38580"/>
    <cellStyle name="Normal 5 2 7 4 5" xfId="38581"/>
    <cellStyle name="Normal 5 2 7 4 6" xfId="38582"/>
    <cellStyle name="Normal 5 2 7 5" xfId="38583"/>
    <cellStyle name="Normal 5 2 7 5 2" xfId="38584"/>
    <cellStyle name="Normal 5 2 7 5 2 2" xfId="38585"/>
    <cellStyle name="Normal 5 2 7 5 2 3" xfId="38586"/>
    <cellStyle name="Normal 5 2 7 5 3" xfId="38587"/>
    <cellStyle name="Normal 5 2 7 5 3 2" xfId="38588"/>
    <cellStyle name="Normal 5 2 7 5 3 3" xfId="38589"/>
    <cellStyle name="Normal 5 2 7 5 4" xfId="38590"/>
    <cellStyle name="Normal 5 2 7 5 5" xfId="38591"/>
    <cellStyle name="Normal 5 2 7 6" xfId="38592"/>
    <cellStyle name="Normal 5 2 7 6 2" xfId="38593"/>
    <cellStyle name="Normal 5 2 7 6 3" xfId="38594"/>
    <cellStyle name="Normal 5 2 7 7" xfId="38595"/>
    <cellStyle name="Normal 5 2 7 7 2" xfId="38596"/>
    <cellStyle name="Normal 5 2 7 7 3" xfId="38597"/>
    <cellStyle name="Normal 5 2 7 8" xfId="38598"/>
    <cellStyle name="Normal 5 2 7 9" xfId="38599"/>
    <cellStyle name="Normal 5 2 8" xfId="38600"/>
    <cellStyle name="Normal 5 2 8 2" xfId="38601"/>
    <cellStyle name="Normal 5 2 8 2 2" xfId="38602"/>
    <cellStyle name="Normal 5 2 8 2 2 2" xfId="38603"/>
    <cellStyle name="Normal 5 2 8 2 2 2 2" xfId="38604"/>
    <cellStyle name="Normal 5 2 8 2 2 2 3" xfId="38605"/>
    <cellStyle name="Normal 5 2 8 2 2 3" xfId="38606"/>
    <cellStyle name="Normal 5 2 8 2 2 3 2" xfId="38607"/>
    <cellStyle name="Normal 5 2 8 2 2 3 3" xfId="38608"/>
    <cellStyle name="Normal 5 2 8 2 2 4" xfId="38609"/>
    <cellStyle name="Normal 5 2 8 2 2 5" xfId="38610"/>
    <cellStyle name="Normal 5 2 8 2 3" xfId="38611"/>
    <cellStyle name="Normal 5 2 8 2 3 2" xfId="38612"/>
    <cellStyle name="Normal 5 2 8 2 3 3" xfId="38613"/>
    <cellStyle name="Normal 5 2 8 2 4" xfId="38614"/>
    <cellStyle name="Normal 5 2 8 2 4 2" xfId="38615"/>
    <cellStyle name="Normal 5 2 8 2 4 3" xfId="38616"/>
    <cellStyle name="Normal 5 2 8 2 5" xfId="38617"/>
    <cellStyle name="Normal 5 2 8 2 6" xfId="38618"/>
    <cellStyle name="Normal 5 2 8 3" xfId="38619"/>
    <cellStyle name="Normal 5 2 8 3 2" xfId="38620"/>
    <cellStyle name="Normal 5 2 8 3 2 2" xfId="38621"/>
    <cellStyle name="Normal 5 2 8 3 2 2 2" xfId="38622"/>
    <cellStyle name="Normal 5 2 8 3 2 2 3" xfId="38623"/>
    <cellStyle name="Normal 5 2 8 3 2 3" xfId="38624"/>
    <cellStyle name="Normal 5 2 8 3 2 3 2" xfId="38625"/>
    <cellStyle name="Normal 5 2 8 3 2 3 3" xfId="38626"/>
    <cellStyle name="Normal 5 2 8 3 2 4" xfId="38627"/>
    <cellStyle name="Normal 5 2 8 3 2 5" xfId="38628"/>
    <cellStyle name="Normal 5 2 8 3 3" xfId="38629"/>
    <cellStyle name="Normal 5 2 8 3 3 2" xfId="38630"/>
    <cellStyle name="Normal 5 2 8 3 3 3" xfId="38631"/>
    <cellStyle name="Normal 5 2 8 3 4" xfId="38632"/>
    <cellStyle name="Normal 5 2 8 3 4 2" xfId="38633"/>
    <cellStyle name="Normal 5 2 8 3 4 3" xfId="38634"/>
    <cellStyle name="Normal 5 2 8 3 5" xfId="38635"/>
    <cellStyle name="Normal 5 2 8 3 6" xfId="38636"/>
    <cellStyle name="Normal 5 2 8 4" xfId="38637"/>
    <cellStyle name="Normal 5 2 8 4 2" xfId="38638"/>
    <cellStyle name="Normal 5 2 8 4 2 2" xfId="38639"/>
    <cellStyle name="Normal 5 2 8 4 2 3" xfId="38640"/>
    <cellStyle name="Normal 5 2 8 4 3" xfId="38641"/>
    <cellStyle name="Normal 5 2 8 4 3 2" xfId="38642"/>
    <cellStyle name="Normal 5 2 8 4 3 3" xfId="38643"/>
    <cellStyle name="Normal 5 2 8 4 4" xfId="38644"/>
    <cellStyle name="Normal 5 2 8 4 5" xfId="38645"/>
    <cellStyle name="Normal 5 2 8 5" xfId="38646"/>
    <cellStyle name="Normal 5 2 8 5 2" xfId="38647"/>
    <cellStyle name="Normal 5 2 8 5 3" xfId="38648"/>
    <cellStyle name="Normal 5 2 8 6" xfId="38649"/>
    <cellStyle name="Normal 5 2 8 6 2" xfId="38650"/>
    <cellStyle name="Normal 5 2 8 6 3" xfId="38651"/>
    <cellStyle name="Normal 5 2 8 7" xfId="38652"/>
    <cellStyle name="Normal 5 2 8 8" xfId="38653"/>
    <cellStyle name="Normal 5 2 9" xfId="38654"/>
    <cellStyle name="Normal 5 2 9 2" xfId="38655"/>
    <cellStyle name="Normal 5 2 9 2 2" xfId="38656"/>
    <cellStyle name="Normal 5 2 9 2 2 2" xfId="38657"/>
    <cellStyle name="Normal 5 2 9 2 2 3" xfId="38658"/>
    <cellStyle name="Normal 5 2 9 2 3" xfId="38659"/>
    <cellStyle name="Normal 5 2 9 2 3 2" xfId="38660"/>
    <cellStyle name="Normal 5 2 9 2 3 3" xfId="38661"/>
    <cellStyle name="Normal 5 2 9 2 4" xfId="38662"/>
    <cellStyle name="Normal 5 2 9 2 5" xfId="38663"/>
    <cellStyle name="Normal 5 2 9 3" xfId="38664"/>
    <cellStyle name="Normal 5 2 9 3 2" xfId="38665"/>
    <cellStyle name="Normal 5 2 9 3 3" xfId="38666"/>
    <cellStyle name="Normal 5 2 9 4" xfId="38667"/>
    <cellStyle name="Normal 5 2 9 4 2" xfId="38668"/>
    <cellStyle name="Normal 5 2 9 4 3" xfId="38669"/>
    <cellStyle name="Normal 5 2 9 5" xfId="38670"/>
    <cellStyle name="Normal 5 2 9 6" xfId="38671"/>
    <cellStyle name="Normal 5 3" xfId="56"/>
    <cellStyle name="Normal 5 3 10" xfId="38672"/>
    <cellStyle name="Normal 5 3 10 2" xfId="38673"/>
    <cellStyle name="Normal 5 3 10 3" xfId="38674"/>
    <cellStyle name="Normal 5 3 11" xfId="38675"/>
    <cellStyle name="Normal 5 3 11 2" xfId="38676"/>
    <cellStyle name="Normal 5 3 11 3" xfId="38677"/>
    <cellStyle name="Normal 5 3 12" xfId="38678"/>
    <cellStyle name="Normal 5 3 13" xfId="38679"/>
    <cellStyle name="Normal 5 3 14" xfId="38680"/>
    <cellStyle name="Normal 5 3 15" xfId="38681"/>
    <cellStyle name="Normal 5 3 2" xfId="38682"/>
    <cellStyle name="Normal 5 3 2 10" xfId="38683"/>
    <cellStyle name="Normal 5 3 2 10 2" xfId="38684"/>
    <cellStyle name="Normal 5 3 2 10 3" xfId="38685"/>
    <cellStyle name="Normal 5 3 2 11" xfId="38686"/>
    <cellStyle name="Normal 5 3 2 12" xfId="38687"/>
    <cellStyle name="Normal 5 3 2 13" xfId="38688"/>
    <cellStyle name="Normal 5 3 2 14" xfId="38689"/>
    <cellStyle name="Normal 5 3 2 2" xfId="38690"/>
    <cellStyle name="Normal 5 3 2 2 10" xfId="38691"/>
    <cellStyle name="Normal 5 3 2 2 2" xfId="38692"/>
    <cellStyle name="Normal 5 3 2 2 2 2" xfId="38693"/>
    <cellStyle name="Normal 5 3 2 2 2 2 2" xfId="38694"/>
    <cellStyle name="Normal 5 3 2 2 2 2 2 2" xfId="38695"/>
    <cellStyle name="Normal 5 3 2 2 2 2 2 2 2" xfId="38696"/>
    <cellStyle name="Normal 5 3 2 2 2 2 2 2 2 2" xfId="38697"/>
    <cellStyle name="Normal 5 3 2 2 2 2 2 2 2 3" xfId="38698"/>
    <cellStyle name="Normal 5 3 2 2 2 2 2 2 3" xfId="38699"/>
    <cellStyle name="Normal 5 3 2 2 2 2 2 2 3 2" xfId="38700"/>
    <cellStyle name="Normal 5 3 2 2 2 2 2 2 3 3" xfId="38701"/>
    <cellStyle name="Normal 5 3 2 2 2 2 2 2 4" xfId="38702"/>
    <cellStyle name="Normal 5 3 2 2 2 2 2 2 5" xfId="38703"/>
    <cellStyle name="Normal 5 3 2 2 2 2 2 3" xfId="38704"/>
    <cellStyle name="Normal 5 3 2 2 2 2 2 3 2" xfId="38705"/>
    <cellStyle name="Normal 5 3 2 2 2 2 2 3 3" xfId="38706"/>
    <cellStyle name="Normal 5 3 2 2 2 2 2 4" xfId="38707"/>
    <cellStyle name="Normal 5 3 2 2 2 2 2 4 2" xfId="38708"/>
    <cellStyle name="Normal 5 3 2 2 2 2 2 4 3" xfId="38709"/>
    <cellStyle name="Normal 5 3 2 2 2 2 2 5" xfId="38710"/>
    <cellStyle name="Normal 5 3 2 2 2 2 2 6" xfId="38711"/>
    <cellStyle name="Normal 5 3 2 2 2 2 3" xfId="38712"/>
    <cellStyle name="Normal 5 3 2 2 2 2 3 2" xfId="38713"/>
    <cellStyle name="Normal 5 3 2 2 2 2 3 2 2" xfId="38714"/>
    <cellStyle name="Normal 5 3 2 2 2 2 3 2 2 2" xfId="38715"/>
    <cellStyle name="Normal 5 3 2 2 2 2 3 2 2 3" xfId="38716"/>
    <cellStyle name="Normal 5 3 2 2 2 2 3 2 3" xfId="38717"/>
    <cellStyle name="Normal 5 3 2 2 2 2 3 2 3 2" xfId="38718"/>
    <cellStyle name="Normal 5 3 2 2 2 2 3 2 3 3" xfId="38719"/>
    <cellStyle name="Normal 5 3 2 2 2 2 3 2 4" xfId="38720"/>
    <cellStyle name="Normal 5 3 2 2 2 2 3 2 5" xfId="38721"/>
    <cellStyle name="Normal 5 3 2 2 2 2 3 3" xfId="38722"/>
    <cellStyle name="Normal 5 3 2 2 2 2 3 3 2" xfId="38723"/>
    <cellStyle name="Normal 5 3 2 2 2 2 3 3 3" xfId="38724"/>
    <cellStyle name="Normal 5 3 2 2 2 2 3 4" xfId="38725"/>
    <cellStyle name="Normal 5 3 2 2 2 2 3 4 2" xfId="38726"/>
    <cellStyle name="Normal 5 3 2 2 2 2 3 4 3" xfId="38727"/>
    <cellStyle name="Normal 5 3 2 2 2 2 3 5" xfId="38728"/>
    <cellStyle name="Normal 5 3 2 2 2 2 3 6" xfId="38729"/>
    <cellStyle name="Normal 5 3 2 2 2 2 4" xfId="38730"/>
    <cellStyle name="Normal 5 3 2 2 2 2 4 2" xfId="38731"/>
    <cellStyle name="Normal 5 3 2 2 2 2 4 2 2" xfId="38732"/>
    <cellStyle name="Normal 5 3 2 2 2 2 4 2 3" xfId="38733"/>
    <cellStyle name="Normal 5 3 2 2 2 2 4 3" xfId="38734"/>
    <cellStyle name="Normal 5 3 2 2 2 2 4 3 2" xfId="38735"/>
    <cellStyle name="Normal 5 3 2 2 2 2 4 3 3" xfId="38736"/>
    <cellStyle name="Normal 5 3 2 2 2 2 4 4" xfId="38737"/>
    <cellStyle name="Normal 5 3 2 2 2 2 4 5" xfId="38738"/>
    <cellStyle name="Normal 5 3 2 2 2 2 5" xfId="38739"/>
    <cellStyle name="Normal 5 3 2 2 2 2 5 2" xfId="38740"/>
    <cellStyle name="Normal 5 3 2 2 2 2 5 3" xfId="38741"/>
    <cellStyle name="Normal 5 3 2 2 2 2 6" xfId="38742"/>
    <cellStyle name="Normal 5 3 2 2 2 2 6 2" xfId="38743"/>
    <cellStyle name="Normal 5 3 2 2 2 2 6 3" xfId="38744"/>
    <cellStyle name="Normal 5 3 2 2 2 2 7" xfId="38745"/>
    <cellStyle name="Normal 5 3 2 2 2 2 8" xfId="38746"/>
    <cellStyle name="Normal 5 3 2 2 2 3" xfId="38747"/>
    <cellStyle name="Normal 5 3 2 2 2 3 2" xfId="38748"/>
    <cellStyle name="Normal 5 3 2 2 2 3 2 2" xfId="38749"/>
    <cellStyle name="Normal 5 3 2 2 2 3 2 2 2" xfId="38750"/>
    <cellStyle name="Normal 5 3 2 2 2 3 2 2 3" xfId="38751"/>
    <cellStyle name="Normal 5 3 2 2 2 3 2 3" xfId="38752"/>
    <cellStyle name="Normal 5 3 2 2 2 3 2 3 2" xfId="38753"/>
    <cellStyle name="Normal 5 3 2 2 2 3 2 3 3" xfId="38754"/>
    <cellStyle name="Normal 5 3 2 2 2 3 2 4" xfId="38755"/>
    <cellStyle name="Normal 5 3 2 2 2 3 2 5" xfId="38756"/>
    <cellStyle name="Normal 5 3 2 2 2 3 3" xfId="38757"/>
    <cellStyle name="Normal 5 3 2 2 2 3 3 2" xfId="38758"/>
    <cellStyle name="Normal 5 3 2 2 2 3 3 3" xfId="38759"/>
    <cellStyle name="Normal 5 3 2 2 2 3 4" xfId="38760"/>
    <cellStyle name="Normal 5 3 2 2 2 3 4 2" xfId="38761"/>
    <cellStyle name="Normal 5 3 2 2 2 3 4 3" xfId="38762"/>
    <cellStyle name="Normal 5 3 2 2 2 3 5" xfId="38763"/>
    <cellStyle name="Normal 5 3 2 2 2 3 6" xfId="38764"/>
    <cellStyle name="Normal 5 3 2 2 2 4" xfId="38765"/>
    <cellStyle name="Normal 5 3 2 2 2 4 2" xfId="38766"/>
    <cellStyle name="Normal 5 3 2 2 2 4 2 2" xfId="38767"/>
    <cellStyle name="Normal 5 3 2 2 2 4 2 2 2" xfId="38768"/>
    <cellStyle name="Normal 5 3 2 2 2 4 2 2 3" xfId="38769"/>
    <cellStyle name="Normal 5 3 2 2 2 4 2 3" xfId="38770"/>
    <cellStyle name="Normal 5 3 2 2 2 4 2 3 2" xfId="38771"/>
    <cellStyle name="Normal 5 3 2 2 2 4 2 3 3" xfId="38772"/>
    <cellStyle name="Normal 5 3 2 2 2 4 2 4" xfId="38773"/>
    <cellStyle name="Normal 5 3 2 2 2 4 2 5" xfId="38774"/>
    <cellStyle name="Normal 5 3 2 2 2 4 3" xfId="38775"/>
    <cellStyle name="Normal 5 3 2 2 2 4 3 2" xfId="38776"/>
    <cellStyle name="Normal 5 3 2 2 2 4 3 3" xfId="38777"/>
    <cellStyle name="Normal 5 3 2 2 2 4 4" xfId="38778"/>
    <cellStyle name="Normal 5 3 2 2 2 4 4 2" xfId="38779"/>
    <cellStyle name="Normal 5 3 2 2 2 4 4 3" xfId="38780"/>
    <cellStyle name="Normal 5 3 2 2 2 4 5" xfId="38781"/>
    <cellStyle name="Normal 5 3 2 2 2 4 6" xfId="38782"/>
    <cellStyle name="Normal 5 3 2 2 2 5" xfId="38783"/>
    <cellStyle name="Normal 5 3 2 2 2 5 2" xfId="38784"/>
    <cellStyle name="Normal 5 3 2 2 2 5 2 2" xfId="38785"/>
    <cellStyle name="Normal 5 3 2 2 2 5 2 3" xfId="38786"/>
    <cellStyle name="Normal 5 3 2 2 2 5 3" xfId="38787"/>
    <cellStyle name="Normal 5 3 2 2 2 5 3 2" xfId="38788"/>
    <cellStyle name="Normal 5 3 2 2 2 5 3 3" xfId="38789"/>
    <cellStyle name="Normal 5 3 2 2 2 5 4" xfId="38790"/>
    <cellStyle name="Normal 5 3 2 2 2 5 5" xfId="38791"/>
    <cellStyle name="Normal 5 3 2 2 2 6" xfId="38792"/>
    <cellStyle name="Normal 5 3 2 2 2 6 2" xfId="38793"/>
    <cellStyle name="Normal 5 3 2 2 2 6 3" xfId="38794"/>
    <cellStyle name="Normal 5 3 2 2 2 7" xfId="38795"/>
    <cellStyle name="Normal 5 3 2 2 2 7 2" xfId="38796"/>
    <cellStyle name="Normal 5 3 2 2 2 7 3" xfId="38797"/>
    <cellStyle name="Normal 5 3 2 2 2 8" xfId="38798"/>
    <cellStyle name="Normal 5 3 2 2 2 9" xfId="38799"/>
    <cellStyle name="Normal 5 3 2 2 3" xfId="38800"/>
    <cellStyle name="Normal 5 3 2 2 3 2" xfId="38801"/>
    <cellStyle name="Normal 5 3 2 2 3 2 2" xfId="38802"/>
    <cellStyle name="Normal 5 3 2 2 3 2 2 2" xfId="38803"/>
    <cellStyle name="Normal 5 3 2 2 3 2 2 2 2" xfId="38804"/>
    <cellStyle name="Normal 5 3 2 2 3 2 2 2 3" xfId="38805"/>
    <cellStyle name="Normal 5 3 2 2 3 2 2 3" xfId="38806"/>
    <cellStyle name="Normal 5 3 2 2 3 2 2 3 2" xfId="38807"/>
    <cellStyle name="Normal 5 3 2 2 3 2 2 3 3" xfId="38808"/>
    <cellStyle name="Normal 5 3 2 2 3 2 2 4" xfId="38809"/>
    <cellStyle name="Normal 5 3 2 2 3 2 2 5" xfId="38810"/>
    <cellStyle name="Normal 5 3 2 2 3 2 3" xfId="38811"/>
    <cellStyle name="Normal 5 3 2 2 3 2 3 2" xfId="38812"/>
    <cellStyle name="Normal 5 3 2 2 3 2 3 3" xfId="38813"/>
    <cellStyle name="Normal 5 3 2 2 3 2 4" xfId="38814"/>
    <cellStyle name="Normal 5 3 2 2 3 2 4 2" xfId="38815"/>
    <cellStyle name="Normal 5 3 2 2 3 2 4 3" xfId="38816"/>
    <cellStyle name="Normal 5 3 2 2 3 2 5" xfId="38817"/>
    <cellStyle name="Normal 5 3 2 2 3 2 6" xfId="38818"/>
    <cellStyle name="Normal 5 3 2 2 3 3" xfId="38819"/>
    <cellStyle name="Normal 5 3 2 2 3 3 2" xfId="38820"/>
    <cellStyle name="Normal 5 3 2 2 3 3 2 2" xfId="38821"/>
    <cellStyle name="Normal 5 3 2 2 3 3 2 2 2" xfId="38822"/>
    <cellStyle name="Normal 5 3 2 2 3 3 2 2 3" xfId="38823"/>
    <cellStyle name="Normal 5 3 2 2 3 3 2 3" xfId="38824"/>
    <cellStyle name="Normal 5 3 2 2 3 3 2 3 2" xfId="38825"/>
    <cellStyle name="Normal 5 3 2 2 3 3 2 3 3" xfId="38826"/>
    <cellStyle name="Normal 5 3 2 2 3 3 2 4" xfId="38827"/>
    <cellStyle name="Normal 5 3 2 2 3 3 2 5" xfId="38828"/>
    <cellStyle name="Normal 5 3 2 2 3 3 3" xfId="38829"/>
    <cellStyle name="Normal 5 3 2 2 3 3 3 2" xfId="38830"/>
    <cellStyle name="Normal 5 3 2 2 3 3 3 3" xfId="38831"/>
    <cellStyle name="Normal 5 3 2 2 3 3 4" xfId="38832"/>
    <cellStyle name="Normal 5 3 2 2 3 3 4 2" xfId="38833"/>
    <cellStyle name="Normal 5 3 2 2 3 3 4 3" xfId="38834"/>
    <cellStyle name="Normal 5 3 2 2 3 3 5" xfId="38835"/>
    <cellStyle name="Normal 5 3 2 2 3 3 6" xfId="38836"/>
    <cellStyle name="Normal 5 3 2 2 3 4" xfId="38837"/>
    <cellStyle name="Normal 5 3 2 2 3 4 2" xfId="38838"/>
    <cellStyle name="Normal 5 3 2 2 3 4 2 2" xfId="38839"/>
    <cellStyle name="Normal 5 3 2 2 3 4 2 3" xfId="38840"/>
    <cellStyle name="Normal 5 3 2 2 3 4 3" xfId="38841"/>
    <cellStyle name="Normal 5 3 2 2 3 4 3 2" xfId="38842"/>
    <cellStyle name="Normal 5 3 2 2 3 4 3 3" xfId="38843"/>
    <cellStyle name="Normal 5 3 2 2 3 4 4" xfId="38844"/>
    <cellStyle name="Normal 5 3 2 2 3 4 5" xfId="38845"/>
    <cellStyle name="Normal 5 3 2 2 3 5" xfId="38846"/>
    <cellStyle name="Normal 5 3 2 2 3 5 2" xfId="38847"/>
    <cellStyle name="Normal 5 3 2 2 3 5 3" xfId="38848"/>
    <cellStyle name="Normal 5 3 2 2 3 6" xfId="38849"/>
    <cellStyle name="Normal 5 3 2 2 3 6 2" xfId="38850"/>
    <cellStyle name="Normal 5 3 2 2 3 6 3" xfId="38851"/>
    <cellStyle name="Normal 5 3 2 2 3 7" xfId="38852"/>
    <cellStyle name="Normal 5 3 2 2 3 8" xfId="38853"/>
    <cellStyle name="Normal 5 3 2 2 4" xfId="38854"/>
    <cellStyle name="Normal 5 3 2 2 4 2" xfId="38855"/>
    <cellStyle name="Normal 5 3 2 2 4 2 2" xfId="38856"/>
    <cellStyle name="Normal 5 3 2 2 4 2 2 2" xfId="38857"/>
    <cellStyle name="Normal 5 3 2 2 4 2 2 3" xfId="38858"/>
    <cellStyle name="Normal 5 3 2 2 4 2 3" xfId="38859"/>
    <cellStyle name="Normal 5 3 2 2 4 2 3 2" xfId="38860"/>
    <cellStyle name="Normal 5 3 2 2 4 2 3 3" xfId="38861"/>
    <cellStyle name="Normal 5 3 2 2 4 2 4" xfId="38862"/>
    <cellStyle name="Normal 5 3 2 2 4 2 5" xfId="38863"/>
    <cellStyle name="Normal 5 3 2 2 4 3" xfId="38864"/>
    <cellStyle name="Normal 5 3 2 2 4 3 2" xfId="38865"/>
    <cellStyle name="Normal 5 3 2 2 4 3 3" xfId="38866"/>
    <cellStyle name="Normal 5 3 2 2 4 4" xfId="38867"/>
    <cellStyle name="Normal 5 3 2 2 4 4 2" xfId="38868"/>
    <cellStyle name="Normal 5 3 2 2 4 4 3" xfId="38869"/>
    <cellStyle name="Normal 5 3 2 2 4 5" xfId="38870"/>
    <cellStyle name="Normal 5 3 2 2 4 6" xfId="38871"/>
    <cellStyle name="Normal 5 3 2 2 5" xfId="38872"/>
    <cellStyle name="Normal 5 3 2 2 5 2" xfId="38873"/>
    <cellStyle name="Normal 5 3 2 2 5 2 2" xfId="38874"/>
    <cellStyle name="Normal 5 3 2 2 5 2 2 2" xfId="38875"/>
    <cellStyle name="Normal 5 3 2 2 5 2 2 3" xfId="38876"/>
    <cellStyle name="Normal 5 3 2 2 5 2 3" xfId="38877"/>
    <cellStyle name="Normal 5 3 2 2 5 2 3 2" xfId="38878"/>
    <cellStyle name="Normal 5 3 2 2 5 2 3 3" xfId="38879"/>
    <cellStyle name="Normal 5 3 2 2 5 2 4" xfId="38880"/>
    <cellStyle name="Normal 5 3 2 2 5 2 5" xfId="38881"/>
    <cellStyle name="Normal 5 3 2 2 5 3" xfId="38882"/>
    <cellStyle name="Normal 5 3 2 2 5 3 2" xfId="38883"/>
    <cellStyle name="Normal 5 3 2 2 5 3 3" xfId="38884"/>
    <cellStyle name="Normal 5 3 2 2 5 4" xfId="38885"/>
    <cellStyle name="Normal 5 3 2 2 5 4 2" xfId="38886"/>
    <cellStyle name="Normal 5 3 2 2 5 4 3" xfId="38887"/>
    <cellStyle name="Normal 5 3 2 2 5 5" xfId="38888"/>
    <cellStyle name="Normal 5 3 2 2 5 6" xfId="38889"/>
    <cellStyle name="Normal 5 3 2 2 6" xfId="38890"/>
    <cellStyle name="Normal 5 3 2 2 6 2" xfId="38891"/>
    <cellStyle name="Normal 5 3 2 2 6 2 2" xfId="38892"/>
    <cellStyle name="Normal 5 3 2 2 6 2 3" xfId="38893"/>
    <cellStyle name="Normal 5 3 2 2 6 3" xfId="38894"/>
    <cellStyle name="Normal 5 3 2 2 6 3 2" xfId="38895"/>
    <cellStyle name="Normal 5 3 2 2 6 3 3" xfId="38896"/>
    <cellStyle name="Normal 5 3 2 2 6 4" xfId="38897"/>
    <cellStyle name="Normal 5 3 2 2 6 5" xfId="38898"/>
    <cellStyle name="Normal 5 3 2 2 7" xfId="38899"/>
    <cellStyle name="Normal 5 3 2 2 7 2" xfId="38900"/>
    <cellStyle name="Normal 5 3 2 2 7 3" xfId="38901"/>
    <cellStyle name="Normal 5 3 2 2 8" xfId="38902"/>
    <cellStyle name="Normal 5 3 2 2 8 2" xfId="38903"/>
    <cellStyle name="Normal 5 3 2 2 8 3" xfId="38904"/>
    <cellStyle name="Normal 5 3 2 2 9" xfId="38905"/>
    <cellStyle name="Normal 5 3 2 3" xfId="38906"/>
    <cellStyle name="Normal 5 3 2 3 10" xfId="38907"/>
    <cellStyle name="Normal 5 3 2 3 2" xfId="38908"/>
    <cellStyle name="Normal 5 3 2 3 2 2" xfId="38909"/>
    <cellStyle name="Normal 5 3 2 3 2 2 2" xfId="38910"/>
    <cellStyle name="Normal 5 3 2 3 2 2 2 2" xfId="38911"/>
    <cellStyle name="Normal 5 3 2 3 2 2 2 2 2" xfId="38912"/>
    <cellStyle name="Normal 5 3 2 3 2 2 2 2 2 2" xfId="38913"/>
    <cellStyle name="Normal 5 3 2 3 2 2 2 2 2 3" xfId="38914"/>
    <cellStyle name="Normal 5 3 2 3 2 2 2 2 3" xfId="38915"/>
    <cellStyle name="Normal 5 3 2 3 2 2 2 2 3 2" xfId="38916"/>
    <cellStyle name="Normal 5 3 2 3 2 2 2 2 3 3" xfId="38917"/>
    <cellStyle name="Normal 5 3 2 3 2 2 2 2 4" xfId="38918"/>
    <cellStyle name="Normal 5 3 2 3 2 2 2 2 5" xfId="38919"/>
    <cellStyle name="Normal 5 3 2 3 2 2 2 3" xfId="38920"/>
    <cellStyle name="Normal 5 3 2 3 2 2 2 3 2" xfId="38921"/>
    <cellStyle name="Normal 5 3 2 3 2 2 2 3 3" xfId="38922"/>
    <cellStyle name="Normal 5 3 2 3 2 2 2 4" xfId="38923"/>
    <cellStyle name="Normal 5 3 2 3 2 2 2 4 2" xfId="38924"/>
    <cellStyle name="Normal 5 3 2 3 2 2 2 4 3" xfId="38925"/>
    <cellStyle name="Normal 5 3 2 3 2 2 2 5" xfId="38926"/>
    <cellStyle name="Normal 5 3 2 3 2 2 2 6" xfId="38927"/>
    <cellStyle name="Normal 5 3 2 3 2 2 3" xfId="38928"/>
    <cellStyle name="Normal 5 3 2 3 2 2 3 2" xfId="38929"/>
    <cellStyle name="Normal 5 3 2 3 2 2 3 2 2" xfId="38930"/>
    <cellStyle name="Normal 5 3 2 3 2 2 3 2 2 2" xfId="38931"/>
    <cellStyle name="Normal 5 3 2 3 2 2 3 2 2 3" xfId="38932"/>
    <cellStyle name="Normal 5 3 2 3 2 2 3 2 3" xfId="38933"/>
    <cellStyle name="Normal 5 3 2 3 2 2 3 2 3 2" xfId="38934"/>
    <cellStyle name="Normal 5 3 2 3 2 2 3 2 3 3" xfId="38935"/>
    <cellStyle name="Normal 5 3 2 3 2 2 3 2 4" xfId="38936"/>
    <cellStyle name="Normal 5 3 2 3 2 2 3 2 5" xfId="38937"/>
    <cellStyle name="Normal 5 3 2 3 2 2 3 3" xfId="38938"/>
    <cellStyle name="Normal 5 3 2 3 2 2 3 3 2" xfId="38939"/>
    <cellStyle name="Normal 5 3 2 3 2 2 3 3 3" xfId="38940"/>
    <cellStyle name="Normal 5 3 2 3 2 2 3 4" xfId="38941"/>
    <cellStyle name="Normal 5 3 2 3 2 2 3 4 2" xfId="38942"/>
    <cellStyle name="Normal 5 3 2 3 2 2 3 4 3" xfId="38943"/>
    <cellStyle name="Normal 5 3 2 3 2 2 3 5" xfId="38944"/>
    <cellStyle name="Normal 5 3 2 3 2 2 3 6" xfId="38945"/>
    <cellStyle name="Normal 5 3 2 3 2 2 4" xfId="38946"/>
    <cellStyle name="Normal 5 3 2 3 2 2 4 2" xfId="38947"/>
    <cellStyle name="Normal 5 3 2 3 2 2 4 2 2" xfId="38948"/>
    <cellStyle name="Normal 5 3 2 3 2 2 4 2 3" xfId="38949"/>
    <cellStyle name="Normal 5 3 2 3 2 2 4 3" xfId="38950"/>
    <cellStyle name="Normal 5 3 2 3 2 2 4 3 2" xfId="38951"/>
    <cellStyle name="Normal 5 3 2 3 2 2 4 3 3" xfId="38952"/>
    <cellStyle name="Normal 5 3 2 3 2 2 4 4" xfId="38953"/>
    <cellStyle name="Normal 5 3 2 3 2 2 4 5" xfId="38954"/>
    <cellStyle name="Normal 5 3 2 3 2 2 5" xfId="38955"/>
    <cellStyle name="Normal 5 3 2 3 2 2 5 2" xfId="38956"/>
    <cellStyle name="Normal 5 3 2 3 2 2 5 3" xfId="38957"/>
    <cellStyle name="Normal 5 3 2 3 2 2 6" xfId="38958"/>
    <cellStyle name="Normal 5 3 2 3 2 2 6 2" xfId="38959"/>
    <cellStyle name="Normal 5 3 2 3 2 2 6 3" xfId="38960"/>
    <cellStyle name="Normal 5 3 2 3 2 2 7" xfId="38961"/>
    <cellStyle name="Normal 5 3 2 3 2 2 8" xfId="38962"/>
    <cellStyle name="Normal 5 3 2 3 2 3" xfId="38963"/>
    <cellStyle name="Normal 5 3 2 3 2 3 2" xfId="38964"/>
    <cellStyle name="Normal 5 3 2 3 2 3 2 2" xfId="38965"/>
    <cellStyle name="Normal 5 3 2 3 2 3 2 2 2" xfId="38966"/>
    <cellStyle name="Normal 5 3 2 3 2 3 2 2 3" xfId="38967"/>
    <cellStyle name="Normal 5 3 2 3 2 3 2 3" xfId="38968"/>
    <cellStyle name="Normal 5 3 2 3 2 3 2 3 2" xfId="38969"/>
    <cellStyle name="Normal 5 3 2 3 2 3 2 3 3" xfId="38970"/>
    <cellStyle name="Normal 5 3 2 3 2 3 2 4" xfId="38971"/>
    <cellStyle name="Normal 5 3 2 3 2 3 2 5" xfId="38972"/>
    <cellStyle name="Normal 5 3 2 3 2 3 3" xfId="38973"/>
    <cellStyle name="Normal 5 3 2 3 2 3 3 2" xfId="38974"/>
    <cellStyle name="Normal 5 3 2 3 2 3 3 3" xfId="38975"/>
    <cellStyle name="Normal 5 3 2 3 2 3 4" xfId="38976"/>
    <cellStyle name="Normal 5 3 2 3 2 3 4 2" xfId="38977"/>
    <cellStyle name="Normal 5 3 2 3 2 3 4 3" xfId="38978"/>
    <cellStyle name="Normal 5 3 2 3 2 3 5" xfId="38979"/>
    <cellStyle name="Normal 5 3 2 3 2 3 6" xfId="38980"/>
    <cellStyle name="Normal 5 3 2 3 2 4" xfId="38981"/>
    <cellStyle name="Normal 5 3 2 3 2 4 2" xfId="38982"/>
    <cellStyle name="Normal 5 3 2 3 2 4 2 2" xfId="38983"/>
    <cellStyle name="Normal 5 3 2 3 2 4 2 2 2" xfId="38984"/>
    <cellStyle name="Normal 5 3 2 3 2 4 2 2 3" xfId="38985"/>
    <cellStyle name="Normal 5 3 2 3 2 4 2 3" xfId="38986"/>
    <cellStyle name="Normal 5 3 2 3 2 4 2 3 2" xfId="38987"/>
    <cellStyle name="Normal 5 3 2 3 2 4 2 3 3" xfId="38988"/>
    <cellStyle name="Normal 5 3 2 3 2 4 2 4" xfId="38989"/>
    <cellStyle name="Normal 5 3 2 3 2 4 2 5" xfId="38990"/>
    <cellStyle name="Normal 5 3 2 3 2 4 3" xfId="38991"/>
    <cellStyle name="Normal 5 3 2 3 2 4 3 2" xfId="38992"/>
    <cellStyle name="Normal 5 3 2 3 2 4 3 3" xfId="38993"/>
    <cellStyle name="Normal 5 3 2 3 2 4 4" xfId="38994"/>
    <cellStyle name="Normal 5 3 2 3 2 4 4 2" xfId="38995"/>
    <cellStyle name="Normal 5 3 2 3 2 4 4 3" xfId="38996"/>
    <cellStyle name="Normal 5 3 2 3 2 4 5" xfId="38997"/>
    <cellStyle name="Normal 5 3 2 3 2 4 6" xfId="38998"/>
    <cellStyle name="Normal 5 3 2 3 2 5" xfId="38999"/>
    <cellStyle name="Normal 5 3 2 3 2 5 2" xfId="39000"/>
    <cellStyle name="Normal 5 3 2 3 2 5 2 2" xfId="39001"/>
    <cellStyle name="Normal 5 3 2 3 2 5 2 3" xfId="39002"/>
    <cellStyle name="Normal 5 3 2 3 2 5 3" xfId="39003"/>
    <cellStyle name="Normal 5 3 2 3 2 5 3 2" xfId="39004"/>
    <cellStyle name="Normal 5 3 2 3 2 5 3 3" xfId="39005"/>
    <cellStyle name="Normal 5 3 2 3 2 5 4" xfId="39006"/>
    <cellStyle name="Normal 5 3 2 3 2 5 5" xfId="39007"/>
    <cellStyle name="Normal 5 3 2 3 2 6" xfId="39008"/>
    <cellStyle name="Normal 5 3 2 3 2 6 2" xfId="39009"/>
    <cellStyle name="Normal 5 3 2 3 2 6 3" xfId="39010"/>
    <cellStyle name="Normal 5 3 2 3 2 7" xfId="39011"/>
    <cellStyle name="Normal 5 3 2 3 2 7 2" xfId="39012"/>
    <cellStyle name="Normal 5 3 2 3 2 7 3" xfId="39013"/>
    <cellStyle name="Normal 5 3 2 3 2 8" xfId="39014"/>
    <cellStyle name="Normal 5 3 2 3 2 9" xfId="39015"/>
    <cellStyle name="Normal 5 3 2 3 3" xfId="39016"/>
    <cellStyle name="Normal 5 3 2 3 3 2" xfId="39017"/>
    <cellStyle name="Normal 5 3 2 3 3 2 2" xfId="39018"/>
    <cellStyle name="Normal 5 3 2 3 3 2 2 2" xfId="39019"/>
    <cellStyle name="Normal 5 3 2 3 3 2 2 2 2" xfId="39020"/>
    <cellStyle name="Normal 5 3 2 3 3 2 2 2 3" xfId="39021"/>
    <cellStyle name="Normal 5 3 2 3 3 2 2 3" xfId="39022"/>
    <cellStyle name="Normal 5 3 2 3 3 2 2 3 2" xfId="39023"/>
    <cellStyle name="Normal 5 3 2 3 3 2 2 3 3" xfId="39024"/>
    <cellStyle name="Normal 5 3 2 3 3 2 2 4" xfId="39025"/>
    <cellStyle name="Normal 5 3 2 3 3 2 2 5" xfId="39026"/>
    <cellStyle name="Normal 5 3 2 3 3 2 3" xfId="39027"/>
    <cellStyle name="Normal 5 3 2 3 3 2 3 2" xfId="39028"/>
    <cellStyle name="Normal 5 3 2 3 3 2 3 3" xfId="39029"/>
    <cellStyle name="Normal 5 3 2 3 3 2 4" xfId="39030"/>
    <cellStyle name="Normal 5 3 2 3 3 2 4 2" xfId="39031"/>
    <cellStyle name="Normal 5 3 2 3 3 2 4 3" xfId="39032"/>
    <cellStyle name="Normal 5 3 2 3 3 2 5" xfId="39033"/>
    <cellStyle name="Normal 5 3 2 3 3 2 6" xfId="39034"/>
    <cellStyle name="Normal 5 3 2 3 3 3" xfId="39035"/>
    <cellStyle name="Normal 5 3 2 3 3 3 2" xfId="39036"/>
    <cellStyle name="Normal 5 3 2 3 3 3 2 2" xfId="39037"/>
    <cellStyle name="Normal 5 3 2 3 3 3 2 2 2" xfId="39038"/>
    <cellStyle name="Normal 5 3 2 3 3 3 2 2 3" xfId="39039"/>
    <cellStyle name="Normal 5 3 2 3 3 3 2 3" xfId="39040"/>
    <cellStyle name="Normal 5 3 2 3 3 3 2 3 2" xfId="39041"/>
    <cellStyle name="Normal 5 3 2 3 3 3 2 3 3" xfId="39042"/>
    <cellStyle name="Normal 5 3 2 3 3 3 2 4" xfId="39043"/>
    <cellStyle name="Normal 5 3 2 3 3 3 2 5" xfId="39044"/>
    <cellStyle name="Normal 5 3 2 3 3 3 3" xfId="39045"/>
    <cellStyle name="Normal 5 3 2 3 3 3 3 2" xfId="39046"/>
    <cellStyle name="Normal 5 3 2 3 3 3 3 3" xfId="39047"/>
    <cellStyle name="Normal 5 3 2 3 3 3 4" xfId="39048"/>
    <cellStyle name="Normal 5 3 2 3 3 3 4 2" xfId="39049"/>
    <cellStyle name="Normal 5 3 2 3 3 3 4 3" xfId="39050"/>
    <cellStyle name="Normal 5 3 2 3 3 3 5" xfId="39051"/>
    <cellStyle name="Normal 5 3 2 3 3 3 6" xfId="39052"/>
    <cellStyle name="Normal 5 3 2 3 3 4" xfId="39053"/>
    <cellStyle name="Normal 5 3 2 3 3 4 2" xfId="39054"/>
    <cellStyle name="Normal 5 3 2 3 3 4 2 2" xfId="39055"/>
    <cellStyle name="Normal 5 3 2 3 3 4 2 3" xfId="39056"/>
    <cellStyle name="Normal 5 3 2 3 3 4 3" xfId="39057"/>
    <cellStyle name="Normal 5 3 2 3 3 4 3 2" xfId="39058"/>
    <cellStyle name="Normal 5 3 2 3 3 4 3 3" xfId="39059"/>
    <cellStyle name="Normal 5 3 2 3 3 4 4" xfId="39060"/>
    <cellStyle name="Normal 5 3 2 3 3 4 5" xfId="39061"/>
    <cellStyle name="Normal 5 3 2 3 3 5" xfId="39062"/>
    <cellStyle name="Normal 5 3 2 3 3 5 2" xfId="39063"/>
    <cellStyle name="Normal 5 3 2 3 3 5 3" xfId="39064"/>
    <cellStyle name="Normal 5 3 2 3 3 6" xfId="39065"/>
    <cellStyle name="Normal 5 3 2 3 3 6 2" xfId="39066"/>
    <cellStyle name="Normal 5 3 2 3 3 6 3" xfId="39067"/>
    <cellStyle name="Normal 5 3 2 3 3 7" xfId="39068"/>
    <cellStyle name="Normal 5 3 2 3 3 8" xfId="39069"/>
    <cellStyle name="Normal 5 3 2 3 4" xfId="39070"/>
    <cellStyle name="Normal 5 3 2 3 4 2" xfId="39071"/>
    <cellStyle name="Normal 5 3 2 3 4 2 2" xfId="39072"/>
    <cellStyle name="Normal 5 3 2 3 4 2 2 2" xfId="39073"/>
    <cellStyle name="Normal 5 3 2 3 4 2 2 3" xfId="39074"/>
    <cellStyle name="Normal 5 3 2 3 4 2 3" xfId="39075"/>
    <cellStyle name="Normal 5 3 2 3 4 2 3 2" xfId="39076"/>
    <cellStyle name="Normal 5 3 2 3 4 2 3 3" xfId="39077"/>
    <cellStyle name="Normal 5 3 2 3 4 2 4" xfId="39078"/>
    <cellStyle name="Normal 5 3 2 3 4 2 5" xfId="39079"/>
    <cellStyle name="Normal 5 3 2 3 4 3" xfId="39080"/>
    <cellStyle name="Normal 5 3 2 3 4 3 2" xfId="39081"/>
    <cellStyle name="Normal 5 3 2 3 4 3 3" xfId="39082"/>
    <cellStyle name="Normal 5 3 2 3 4 4" xfId="39083"/>
    <cellStyle name="Normal 5 3 2 3 4 4 2" xfId="39084"/>
    <cellStyle name="Normal 5 3 2 3 4 4 3" xfId="39085"/>
    <cellStyle name="Normal 5 3 2 3 4 5" xfId="39086"/>
    <cellStyle name="Normal 5 3 2 3 4 6" xfId="39087"/>
    <cellStyle name="Normal 5 3 2 3 5" xfId="39088"/>
    <cellStyle name="Normal 5 3 2 3 5 2" xfId="39089"/>
    <cellStyle name="Normal 5 3 2 3 5 2 2" xfId="39090"/>
    <cellStyle name="Normal 5 3 2 3 5 2 2 2" xfId="39091"/>
    <cellStyle name="Normal 5 3 2 3 5 2 2 3" xfId="39092"/>
    <cellStyle name="Normal 5 3 2 3 5 2 3" xfId="39093"/>
    <cellStyle name="Normal 5 3 2 3 5 2 3 2" xfId="39094"/>
    <cellStyle name="Normal 5 3 2 3 5 2 3 3" xfId="39095"/>
    <cellStyle name="Normal 5 3 2 3 5 2 4" xfId="39096"/>
    <cellStyle name="Normal 5 3 2 3 5 2 5" xfId="39097"/>
    <cellStyle name="Normal 5 3 2 3 5 3" xfId="39098"/>
    <cellStyle name="Normal 5 3 2 3 5 3 2" xfId="39099"/>
    <cellStyle name="Normal 5 3 2 3 5 3 3" xfId="39100"/>
    <cellStyle name="Normal 5 3 2 3 5 4" xfId="39101"/>
    <cellStyle name="Normal 5 3 2 3 5 4 2" xfId="39102"/>
    <cellStyle name="Normal 5 3 2 3 5 4 3" xfId="39103"/>
    <cellStyle name="Normal 5 3 2 3 5 5" xfId="39104"/>
    <cellStyle name="Normal 5 3 2 3 5 6" xfId="39105"/>
    <cellStyle name="Normal 5 3 2 3 6" xfId="39106"/>
    <cellStyle name="Normal 5 3 2 3 6 2" xfId="39107"/>
    <cellStyle name="Normal 5 3 2 3 6 2 2" xfId="39108"/>
    <cellStyle name="Normal 5 3 2 3 6 2 3" xfId="39109"/>
    <cellStyle name="Normal 5 3 2 3 6 3" xfId="39110"/>
    <cellStyle name="Normal 5 3 2 3 6 3 2" xfId="39111"/>
    <cellStyle name="Normal 5 3 2 3 6 3 3" xfId="39112"/>
    <cellStyle name="Normal 5 3 2 3 6 4" xfId="39113"/>
    <cellStyle name="Normal 5 3 2 3 6 5" xfId="39114"/>
    <cellStyle name="Normal 5 3 2 3 7" xfId="39115"/>
    <cellStyle name="Normal 5 3 2 3 7 2" xfId="39116"/>
    <cellStyle name="Normal 5 3 2 3 7 3" xfId="39117"/>
    <cellStyle name="Normal 5 3 2 3 8" xfId="39118"/>
    <cellStyle name="Normal 5 3 2 3 8 2" xfId="39119"/>
    <cellStyle name="Normal 5 3 2 3 8 3" xfId="39120"/>
    <cellStyle name="Normal 5 3 2 3 9" xfId="39121"/>
    <cellStyle name="Normal 5 3 2 4" xfId="39122"/>
    <cellStyle name="Normal 5 3 2 4 2" xfId="39123"/>
    <cellStyle name="Normal 5 3 2 4 2 2" xfId="39124"/>
    <cellStyle name="Normal 5 3 2 4 2 2 2" xfId="39125"/>
    <cellStyle name="Normal 5 3 2 4 2 2 2 2" xfId="39126"/>
    <cellStyle name="Normal 5 3 2 4 2 2 2 2 2" xfId="39127"/>
    <cellStyle name="Normal 5 3 2 4 2 2 2 2 3" xfId="39128"/>
    <cellStyle name="Normal 5 3 2 4 2 2 2 3" xfId="39129"/>
    <cellStyle name="Normal 5 3 2 4 2 2 2 3 2" xfId="39130"/>
    <cellStyle name="Normal 5 3 2 4 2 2 2 3 3" xfId="39131"/>
    <cellStyle name="Normal 5 3 2 4 2 2 2 4" xfId="39132"/>
    <cellStyle name="Normal 5 3 2 4 2 2 2 5" xfId="39133"/>
    <cellStyle name="Normal 5 3 2 4 2 2 3" xfId="39134"/>
    <cellStyle name="Normal 5 3 2 4 2 2 3 2" xfId="39135"/>
    <cellStyle name="Normal 5 3 2 4 2 2 3 3" xfId="39136"/>
    <cellStyle name="Normal 5 3 2 4 2 2 4" xfId="39137"/>
    <cellStyle name="Normal 5 3 2 4 2 2 4 2" xfId="39138"/>
    <cellStyle name="Normal 5 3 2 4 2 2 4 3" xfId="39139"/>
    <cellStyle name="Normal 5 3 2 4 2 2 5" xfId="39140"/>
    <cellStyle name="Normal 5 3 2 4 2 2 6" xfId="39141"/>
    <cellStyle name="Normal 5 3 2 4 2 3" xfId="39142"/>
    <cellStyle name="Normal 5 3 2 4 2 3 2" xfId="39143"/>
    <cellStyle name="Normal 5 3 2 4 2 3 2 2" xfId="39144"/>
    <cellStyle name="Normal 5 3 2 4 2 3 2 2 2" xfId="39145"/>
    <cellStyle name="Normal 5 3 2 4 2 3 2 2 3" xfId="39146"/>
    <cellStyle name="Normal 5 3 2 4 2 3 2 3" xfId="39147"/>
    <cellStyle name="Normal 5 3 2 4 2 3 2 3 2" xfId="39148"/>
    <cellStyle name="Normal 5 3 2 4 2 3 2 3 3" xfId="39149"/>
    <cellStyle name="Normal 5 3 2 4 2 3 2 4" xfId="39150"/>
    <cellStyle name="Normal 5 3 2 4 2 3 2 5" xfId="39151"/>
    <cellStyle name="Normal 5 3 2 4 2 3 3" xfId="39152"/>
    <cellStyle name="Normal 5 3 2 4 2 3 3 2" xfId="39153"/>
    <cellStyle name="Normal 5 3 2 4 2 3 3 3" xfId="39154"/>
    <cellStyle name="Normal 5 3 2 4 2 3 4" xfId="39155"/>
    <cellStyle name="Normal 5 3 2 4 2 3 4 2" xfId="39156"/>
    <cellStyle name="Normal 5 3 2 4 2 3 4 3" xfId="39157"/>
    <cellStyle name="Normal 5 3 2 4 2 3 5" xfId="39158"/>
    <cellStyle name="Normal 5 3 2 4 2 3 6" xfId="39159"/>
    <cellStyle name="Normal 5 3 2 4 2 4" xfId="39160"/>
    <cellStyle name="Normal 5 3 2 4 2 4 2" xfId="39161"/>
    <cellStyle name="Normal 5 3 2 4 2 4 2 2" xfId="39162"/>
    <cellStyle name="Normal 5 3 2 4 2 4 2 3" xfId="39163"/>
    <cellStyle name="Normal 5 3 2 4 2 4 3" xfId="39164"/>
    <cellStyle name="Normal 5 3 2 4 2 4 3 2" xfId="39165"/>
    <cellStyle name="Normal 5 3 2 4 2 4 3 3" xfId="39166"/>
    <cellStyle name="Normal 5 3 2 4 2 4 4" xfId="39167"/>
    <cellStyle name="Normal 5 3 2 4 2 4 5" xfId="39168"/>
    <cellStyle name="Normal 5 3 2 4 2 5" xfId="39169"/>
    <cellStyle name="Normal 5 3 2 4 2 5 2" xfId="39170"/>
    <cellStyle name="Normal 5 3 2 4 2 5 3" xfId="39171"/>
    <cellStyle name="Normal 5 3 2 4 2 6" xfId="39172"/>
    <cellStyle name="Normal 5 3 2 4 2 6 2" xfId="39173"/>
    <cellStyle name="Normal 5 3 2 4 2 6 3" xfId="39174"/>
    <cellStyle name="Normal 5 3 2 4 2 7" xfId="39175"/>
    <cellStyle name="Normal 5 3 2 4 2 8" xfId="39176"/>
    <cellStyle name="Normal 5 3 2 4 3" xfId="39177"/>
    <cellStyle name="Normal 5 3 2 4 3 2" xfId="39178"/>
    <cellStyle name="Normal 5 3 2 4 3 2 2" xfId="39179"/>
    <cellStyle name="Normal 5 3 2 4 3 2 2 2" xfId="39180"/>
    <cellStyle name="Normal 5 3 2 4 3 2 2 3" xfId="39181"/>
    <cellStyle name="Normal 5 3 2 4 3 2 3" xfId="39182"/>
    <cellStyle name="Normal 5 3 2 4 3 2 3 2" xfId="39183"/>
    <cellStyle name="Normal 5 3 2 4 3 2 3 3" xfId="39184"/>
    <cellStyle name="Normal 5 3 2 4 3 2 4" xfId="39185"/>
    <cellStyle name="Normal 5 3 2 4 3 2 5" xfId="39186"/>
    <cellStyle name="Normal 5 3 2 4 3 3" xfId="39187"/>
    <cellStyle name="Normal 5 3 2 4 3 3 2" xfId="39188"/>
    <cellStyle name="Normal 5 3 2 4 3 3 3" xfId="39189"/>
    <cellStyle name="Normal 5 3 2 4 3 4" xfId="39190"/>
    <cellStyle name="Normal 5 3 2 4 3 4 2" xfId="39191"/>
    <cellStyle name="Normal 5 3 2 4 3 4 3" xfId="39192"/>
    <cellStyle name="Normal 5 3 2 4 3 5" xfId="39193"/>
    <cellStyle name="Normal 5 3 2 4 3 6" xfId="39194"/>
    <cellStyle name="Normal 5 3 2 4 4" xfId="39195"/>
    <cellStyle name="Normal 5 3 2 4 4 2" xfId="39196"/>
    <cellStyle name="Normal 5 3 2 4 4 2 2" xfId="39197"/>
    <cellStyle name="Normal 5 3 2 4 4 2 2 2" xfId="39198"/>
    <cellStyle name="Normal 5 3 2 4 4 2 2 3" xfId="39199"/>
    <cellStyle name="Normal 5 3 2 4 4 2 3" xfId="39200"/>
    <cellStyle name="Normal 5 3 2 4 4 2 3 2" xfId="39201"/>
    <cellStyle name="Normal 5 3 2 4 4 2 3 3" xfId="39202"/>
    <cellStyle name="Normal 5 3 2 4 4 2 4" xfId="39203"/>
    <cellStyle name="Normal 5 3 2 4 4 2 5" xfId="39204"/>
    <cellStyle name="Normal 5 3 2 4 4 3" xfId="39205"/>
    <cellStyle name="Normal 5 3 2 4 4 3 2" xfId="39206"/>
    <cellStyle name="Normal 5 3 2 4 4 3 3" xfId="39207"/>
    <cellStyle name="Normal 5 3 2 4 4 4" xfId="39208"/>
    <cellStyle name="Normal 5 3 2 4 4 4 2" xfId="39209"/>
    <cellStyle name="Normal 5 3 2 4 4 4 3" xfId="39210"/>
    <cellStyle name="Normal 5 3 2 4 4 5" xfId="39211"/>
    <cellStyle name="Normal 5 3 2 4 4 6" xfId="39212"/>
    <cellStyle name="Normal 5 3 2 4 5" xfId="39213"/>
    <cellStyle name="Normal 5 3 2 4 5 2" xfId="39214"/>
    <cellStyle name="Normal 5 3 2 4 5 2 2" xfId="39215"/>
    <cellStyle name="Normal 5 3 2 4 5 2 3" xfId="39216"/>
    <cellStyle name="Normal 5 3 2 4 5 3" xfId="39217"/>
    <cellStyle name="Normal 5 3 2 4 5 3 2" xfId="39218"/>
    <cellStyle name="Normal 5 3 2 4 5 3 3" xfId="39219"/>
    <cellStyle name="Normal 5 3 2 4 5 4" xfId="39220"/>
    <cellStyle name="Normal 5 3 2 4 5 5" xfId="39221"/>
    <cellStyle name="Normal 5 3 2 4 6" xfId="39222"/>
    <cellStyle name="Normal 5 3 2 4 6 2" xfId="39223"/>
    <cellStyle name="Normal 5 3 2 4 6 3" xfId="39224"/>
    <cellStyle name="Normal 5 3 2 4 7" xfId="39225"/>
    <cellStyle name="Normal 5 3 2 4 7 2" xfId="39226"/>
    <cellStyle name="Normal 5 3 2 4 7 3" xfId="39227"/>
    <cellStyle name="Normal 5 3 2 4 8" xfId="39228"/>
    <cellStyle name="Normal 5 3 2 4 9" xfId="39229"/>
    <cellStyle name="Normal 5 3 2 5" xfId="39230"/>
    <cellStyle name="Normal 5 3 2 5 2" xfId="39231"/>
    <cellStyle name="Normal 5 3 2 5 2 2" xfId="39232"/>
    <cellStyle name="Normal 5 3 2 5 2 2 2" xfId="39233"/>
    <cellStyle name="Normal 5 3 2 5 2 2 2 2" xfId="39234"/>
    <cellStyle name="Normal 5 3 2 5 2 2 2 3" xfId="39235"/>
    <cellStyle name="Normal 5 3 2 5 2 2 3" xfId="39236"/>
    <cellStyle name="Normal 5 3 2 5 2 2 3 2" xfId="39237"/>
    <cellStyle name="Normal 5 3 2 5 2 2 3 3" xfId="39238"/>
    <cellStyle name="Normal 5 3 2 5 2 2 4" xfId="39239"/>
    <cellStyle name="Normal 5 3 2 5 2 2 5" xfId="39240"/>
    <cellStyle name="Normal 5 3 2 5 2 3" xfId="39241"/>
    <cellStyle name="Normal 5 3 2 5 2 3 2" xfId="39242"/>
    <cellStyle name="Normal 5 3 2 5 2 3 3" xfId="39243"/>
    <cellStyle name="Normal 5 3 2 5 2 4" xfId="39244"/>
    <cellStyle name="Normal 5 3 2 5 2 4 2" xfId="39245"/>
    <cellStyle name="Normal 5 3 2 5 2 4 3" xfId="39246"/>
    <cellStyle name="Normal 5 3 2 5 2 5" xfId="39247"/>
    <cellStyle name="Normal 5 3 2 5 2 6" xfId="39248"/>
    <cellStyle name="Normal 5 3 2 5 3" xfId="39249"/>
    <cellStyle name="Normal 5 3 2 5 3 2" xfId="39250"/>
    <cellStyle name="Normal 5 3 2 5 3 2 2" xfId="39251"/>
    <cellStyle name="Normal 5 3 2 5 3 2 2 2" xfId="39252"/>
    <cellStyle name="Normal 5 3 2 5 3 2 2 3" xfId="39253"/>
    <cellStyle name="Normal 5 3 2 5 3 2 3" xfId="39254"/>
    <cellStyle name="Normal 5 3 2 5 3 2 3 2" xfId="39255"/>
    <cellStyle name="Normal 5 3 2 5 3 2 3 3" xfId="39256"/>
    <cellStyle name="Normal 5 3 2 5 3 2 4" xfId="39257"/>
    <cellStyle name="Normal 5 3 2 5 3 2 5" xfId="39258"/>
    <cellStyle name="Normal 5 3 2 5 3 3" xfId="39259"/>
    <cellStyle name="Normal 5 3 2 5 3 3 2" xfId="39260"/>
    <cellStyle name="Normal 5 3 2 5 3 3 3" xfId="39261"/>
    <cellStyle name="Normal 5 3 2 5 3 4" xfId="39262"/>
    <cellStyle name="Normal 5 3 2 5 3 4 2" xfId="39263"/>
    <cellStyle name="Normal 5 3 2 5 3 4 3" xfId="39264"/>
    <cellStyle name="Normal 5 3 2 5 3 5" xfId="39265"/>
    <cellStyle name="Normal 5 3 2 5 3 6" xfId="39266"/>
    <cellStyle name="Normal 5 3 2 5 4" xfId="39267"/>
    <cellStyle name="Normal 5 3 2 5 4 2" xfId="39268"/>
    <cellStyle name="Normal 5 3 2 5 4 2 2" xfId="39269"/>
    <cellStyle name="Normal 5 3 2 5 4 2 3" xfId="39270"/>
    <cellStyle name="Normal 5 3 2 5 4 3" xfId="39271"/>
    <cellStyle name="Normal 5 3 2 5 4 3 2" xfId="39272"/>
    <cellStyle name="Normal 5 3 2 5 4 3 3" xfId="39273"/>
    <cellStyle name="Normal 5 3 2 5 4 4" xfId="39274"/>
    <cellStyle name="Normal 5 3 2 5 4 5" xfId="39275"/>
    <cellStyle name="Normal 5 3 2 5 5" xfId="39276"/>
    <cellStyle name="Normal 5 3 2 5 5 2" xfId="39277"/>
    <cellStyle name="Normal 5 3 2 5 5 3" xfId="39278"/>
    <cellStyle name="Normal 5 3 2 5 6" xfId="39279"/>
    <cellStyle name="Normal 5 3 2 5 6 2" xfId="39280"/>
    <cellStyle name="Normal 5 3 2 5 6 3" xfId="39281"/>
    <cellStyle name="Normal 5 3 2 5 7" xfId="39282"/>
    <cellStyle name="Normal 5 3 2 5 8" xfId="39283"/>
    <cellStyle name="Normal 5 3 2 6" xfId="39284"/>
    <cellStyle name="Normal 5 3 2 6 2" xfId="39285"/>
    <cellStyle name="Normal 5 3 2 6 2 2" xfId="39286"/>
    <cellStyle name="Normal 5 3 2 6 2 2 2" xfId="39287"/>
    <cellStyle name="Normal 5 3 2 6 2 2 3" xfId="39288"/>
    <cellStyle name="Normal 5 3 2 6 2 3" xfId="39289"/>
    <cellStyle name="Normal 5 3 2 6 2 3 2" xfId="39290"/>
    <cellStyle name="Normal 5 3 2 6 2 3 3" xfId="39291"/>
    <cellStyle name="Normal 5 3 2 6 2 4" xfId="39292"/>
    <cellStyle name="Normal 5 3 2 6 2 5" xfId="39293"/>
    <cellStyle name="Normal 5 3 2 6 3" xfId="39294"/>
    <cellStyle name="Normal 5 3 2 6 3 2" xfId="39295"/>
    <cellStyle name="Normal 5 3 2 6 3 3" xfId="39296"/>
    <cellStyle name="Normal 5 3 2 6 4" xfId="39297"/>
    <cellStyle name="Normal 5 3 2 6 4 2" xfId="39298"/>
    <cellStyle name="Normal 5 3 2 6 4 3" xfId="39299"/>
    <cellStyle name="Normal 5 3 2 6 5" xfId="39300"/>
    <cellStyle name="Normal 5 3 2 6 6" xfId="39301"/>
    <cellStyle name="Normal 5 3 2 7" xfId="39302"/>
    <cellStyle name="Normal 5 3 2 7 2" xfId="39303"/>
    <cellStyle name="Normal 5 3 2 7 2 2" xfId="39304"/>
    <cellStyle name="Normal 5 3 2 7 2 2 2" xfId="39305"/>
    <cellStyle name="Normal 5 3 2 7 2 2 3" xfId="39306"/>
    <cellStyle name="Normal 5 3 2 7 2 3" xfId="39307"/>
    <cellStyle name="Normal 5 3 2 7 2 3 2" xfId="39308"/>
    <cellStyle name="Normal 5 3 2 7 2 3 3" xfId="39309"/>
    <cellStyle name="Normal 5 3 2 7 2 4" xfId="39310"/>
    <cellStyle name="Normal 5 3 2 7 2 5" xfId="39311"/>
    <cellStyle name="Normal 5 3 2 7 3" xfId="39312"/>
    <cellStyle name="Normal 5 3 2 7 3 2" xfId="39313"/>
    <cellStyle name="Normal 5 3 2 7 3 3" xfId="39314"/>
    <cellStyle name="Normal 5 3 2 7 4" xfId="39315"/>
    <cellStyle name="Normal 5 3 2 7 4 2" xfId="39316"/>
    <cellStyle name="Normal 5 3 2 7 4 3" xfId="39317"/>
    <cellStyle name="Normal 5 3 2 7 5" xfId="39318"/>
    <cellStyle name="Normal 5 3 2 7 6" xfId="39319"/>
    <cellStyle name="Normal 5 3 2 8" xfId="39320"/>
    <cellStyle name="Normal 5 3 2 8 2" xfId="39321"/>
    <cellStyle name="Normal 5 3 2 8 2 2" xfId="39322"/>
    <cellStyle name="Normal 5 3 2 8 2 3" xfId="39323"/>
    <cellStyle name="Normal 5 3 2 8 3" xfId="39324"/>
    <cellStyle name="Normal 5 3 2 8 3 2" xfId="39325"/>
    <cellStyle name="Normal 5 3 2 8 3 3" xfId="39326"/>
    <cellStyle name="Normal 5 3 2 8 4" xfId="39327"/>
    <cellStyle name="Normal 5 3 2 8 5" xfId="39328"/>
    <cellStyle name="Normal 5 3 2 9" xfId="39329"/>
    <cellStyle name="Normal 5 3 2 9 2" xfId="39330"/>
    <cellStyle name="Normal 5 3 2 9 3" xfId="39331"/>
    <cellStyle name="Normal 5 3 3" xfId="39332"/>
    <cellStyle name="Normal 5 3 3 10" xfId="39333"/>
    <cellStyle name="Normal 5 3 3 2" xfId="39334"/>
    <cellStyle name="Normal 5 3 3 2 2" xfId="39335"/>
    <cellStyle name="Normal 5 3 3 2 2 2" xfId="39336"/>
    <cellStyle name="Normal 5 3 3 2 2 2 2" xfId="39337"/>
    <cellStyle name="Normal 5 3 3 2 2 2 2 2" xfId="39338"/>
    <cellStyle name="Normal 5 3 3 2 2 2 2 2 2" xfId="39339"/>
    <cellStyle name="Normal 5 3 3 2 2 2 2 2 3" xfId="39340"/>
    <cellStyle name="Normal 5 3 3 2 2 2 2 3" xfId="39341"/>
    <cellStyle name="Normal 5 3 3 2 2 2 2 3 2" xfId="39342"/>
    <cellStyle name="Normal 5 3 3 2 2 2 2 3 3" xfId="39343"/>
    <cellStyle name="Normal 5 3 3 2 2 2 2 4" xfId="39344"/>
    <cellStyle name="Normal 5 3 3 2 2 2 2 5" xfId="39345"/>
    <cellStyle name="Normal 5 3 3 2 2 2 3" xfId="39346"/>
    <cellStyle name="Normal 5 3 3 2 2 2 3 2" xfId="39347"/>
    <cellStyle name="Normal 5 3 3 2 2 2 3 3" xfId="39348"/>
    <cellStyle name="Normal 5 3 3 2 2 2 4" xfId="39349"/>
    <cellStyle name="Normal 5 3 3 2 2 2 4 2" xfId="39350"/>
    <cellStyle name="Normal 5 3 3 2 2 2 4 3" xfId="39351"/>
    <cellStyle name="Normal 5 3 3 2 2 2 5" xfId="39352"/>
    <cellStyle name="Normal 5 3 3 2 2 2 6" xfId="39353"/>
    <cellStyle name="Normal 5 3 3 2 2 3" xfId="39354"/>
    <cellStyle name="Normal 5 3 3 2 2 3 2" xfId="39355"/>
    <cellStyle name="Normal 5 3 3 2 2 3 2 2" xfId="39356"/>
    <cellStyle name="Normal 5 3 3 2 2 3 2 2 2" xfId="39357"/>
    <cellStyle name="Normal 5 3 3 2 2 3 2 2 3" xfId="39358"/>
    <cellStyle name="Normal 5 3 3 2 2 3 2 3" xfId="39359"/>
    <cellStyle name="Normal 5 3 3 2 2 3 2 3 2" xfId="39360"/>
    <cellStyle name="Normal 5 3 3 2 2 3 2 3 3" xfId="39361"/>
    <cellStyle name="Normal 5 3 3 2 2 3 2 4" xfId="39362"/>
    <cellStyle name="Normal 5 3 3 2 2 3 2 5" xfId="39363"/>
    <cellStyle name="Normal 5 3 3 2 2 3 3" xfId="39364"/>
    <cellStyle name="Normal 5 3 3 2 2 3 3 2" xfId="39365"/>
    <cellStyle name="Normal 5 3 3 2 2 3 3 3" xfId="39366"/>
    <cellStyle name="Normal 5 3 3 2 2 3 4" xfId="39367"/>
    <cellStyle name="Normal 5 3 3 2 2 3 4 2" xfId="39368"/>
    <cellStyle name="Normal 5 3 3 2 2 3 4 3" xfId="39369"/>
    <cellStyle name="Normal 5 3 3 2 2 3 5" xfId="39370"/>
    <cellStyle name="Normal 5 3 3 2 2 3 6" xfId="39371"/>
    <cellStyle name="Normal 5 3 3 2 2 4" xfId="39372"/>
    <cellStyle name="Normal 5 3 3 2 2 4 2" xfId="39373"/>
    <cellStyle name="Normal 5 3 3 2 2 4 2 2" xfId="39374"/>
    <cellStyle name="Normal 5 3 3 2 2 4 2 3" xfId="39375"/>
    <cellStyle name="Normal 5 3 3 2 2 4 3" xfId="39376"/>
    <cellStyle name="Normal 5 3 3 2 2 4 3 2" xfId="39377"/>
    <cellStyle name="Normal 5 3 3 2 2 4 3 3" xfId="39378"/>
    <cellStyle name="Normal 5 3 3 2 2 4 4" xfId="39379"/>
    <cellStyle name="Normal 5 3 3 2 2 4 5" xfId="39380"/>
    <cellStyle name="Normal 5 3 3 2 2 5" xfId="39381"/>
    <cellStyle name="Normal 5 3 3 2 2 5 2" xfId="39382"/>
    <cellStyle name="Normal 5 3 3 2 2 5 3" xfId="39383"/>
    <cellStyle name="Normal 5 3 3 2 2 6" xfId="39384"/>
    <cellStyle name="Normal 5 3 3 2 2 6 2" xfId="39385"/>
    <cellStyle name="Normal 5 3 3 2 2 6 3" xfId="39386"/>
    <cellStyle name="Normal 5 3 3 2 2 7" xfId="39387"/>
    <cellStyle name="Normal 5 3 3 2 2 8" xfId="39388"/>
    <cellStyle name="Normal 5 3 3 2 3" xfId="39389"/>
    <cellStyle name="Normal 5 3 3 2 3 2" xfId="39390"/>
    <cellStyle name="Normal 5 3 3 2 3 2 2" xfId="39391"/>
    <cellStyle name="Normal 5 3 3 2 3 2 2 2" xfId="39392"/>
    <cellStyle name="Normal 5 3 3 2 3 2 2 3" xfId="39393"/>
    <cellStyle name="Normal 5 3 3 2 3 2 3" xfId="39394"/>
    <cellStyle name="Normal 5 3 3 2 3 2 3 2" xfId="39395"/>
    <cellStyle name="Normal 5 3 3 2 3 2 3 3" xfId="39396"/>
    <cellStyle name="Normal 5 3 3 2 3 2 4" xfId="39397"/>
    <cellStyle name="Normal 5 3 3 2 3 2 5" xfId="39398"/>
    <cellStyle name="Normal 5 3 3 2 3 3" xfId="39399"/>
    <cellStyle name="Normal 5 3 3 2 3 3 2" xfId="39400"/>
    <cellStyle name="Normal 5 3 3 2 3 3 3" xfId="39401"/>
    <cellStyle name="Normal 5 3 3 2 3 4" xfId="39402"/>
    <cellStyle name="Normal 5 3 3 2 3 4 2" xfId="39403"/>
    <cellStyle name="Normal 5 3 3 2 3 4 3" xfId="39404"/>
    <cellStyle name="Normal 5 3 3 2 3 5" xfId="39405"/>
    <cellStyle name="Normal 5 3 3 2 3 6" xfId="39406"/>
    <cellStyle name="Normal 5 3 3 2 4" xfId="39407"/>
    <cellStyle name="Normal 5 3 3 2 4 2" xfId="39408"/>
    <cellStyle name="Normal 5 3 3 2 4 2 2" xfId="39409"/>
    <cellStyle name="Normal 5 3 3 2 4 2 2 2" xfId="39410"/>
    <cellStyle name="Normal 5 3 3 2 4 2 2 3" xfId="39411"/>
    <cellStyle name="Normal 5 3 3 2 4 2 3" xfId="39412"/>
    <cellStyle name="Normal 5 3 3 2 4 2 3 2" xfId="39413"/>
    <cellStyle name="Normal 5 3 3 2 4 2 3 3" xfId="39414"/>
    <cellStyle name="Normal 5 3 3 2 4 2 4" xfId="39415"/>
    <cellStyle name="Normal 5 3 3 2 4 2 5" xfId="39416"/>
    <cellStyle name="Normal 5 3 3 2 4 3" xfId="39417"/>
    <cellStyle name="Normal 5 3 3 2 4 3 2" xfId="39418"/>
    <cellStyle name="Normal 5 3 3 2 4 3 3" xfId="39419"/>
    <cellStyle name="Normal 5 3 3 2 4 4" xfId="39420"/>
    <cellStyle name="Normal 5 3 3 2 4 4 2" xfId="39421"/>
    <cellStyle name="Normal 5 3 3 2 4 4 3" xfId="39422"/>
    <cellStyle name="Normal 5 3 3 2 4 5" xfId="39423"/>
    <cellStyle name="Normal 5 3 3 2 4 6" xfId="39424"/>
    <cellStyle name="Normal 5 3 3 2 5" xfId="39425"/>
    <cellStyle name="Normal 5 3 3 2 5 2" xfId="39426"/>
    <cellStyle name="Normal 5 3 3 2 5 2 2" xfId="39427"/>
    <cellStyle name="Normal 5 3 3 2 5 2 3" xfId="39428"/>
    <cellStyle name="Normal 5 3 3 2 5 3" xfId="39429"/>
    <cellStyle name="Normal 5 3 3 2 5 3 2" xfId="39430"/>
    <cellStyle name="Normal 5 3 3 2 5 3 3" xfId="39431"/>
    <cellStyle name="Normal 5 3 3 2 5 4" xfId="39432"/>
    <cellStyle name="Normal 5 3 3 2 5 5" xfId="39433"/>
    <cellStyle name="Normal 5 3 3 2 6" xfId="39434"/>
    <cellStyle name="Normal 5 3 3 2 6 2" xfId="39435"/>
    <cellStyle name="Normal 5 3 3 2 6 3" xfId="39436"/>
    <cellStyle name="Normal 5 3 3 2 7" xfId="39437"/>
    <cellStyle name="Normal 5 3 3 2 7 2" xfId="39438"/>
    <cellStyle name="Normal 5 3 3 2 7 3" xfId="39439"/>
    <cellStyle name="Normal 5 3 3 2 8" xfId="39440"/>
    <cellStyle name="Normal 5 3 3 2 9" xfId="39441"/>
    <cellStyle name="Normal 5 3 3 3" xfId="39442"/>
    <cellStyle name="Normal 5 3 3 3 2" xfId="39443"/>
    <cellStyle name="Normal 5 3 3 3 2 2" xfId="39444"/>
    <cellStyle name="Normal 5 3 3 3 2 2 2" xfId="39445"/>
    <cellStyle name="Normal 5 3 3 3 2 2 2 2" xfId="39446"/>
    <cellStyle name="Normal 5 3 3 3 2 2 2 3" xfId="39447"/>
    <cellStyle name="Normal 5 3 3 3 2 2 3" xfId="39448"/>
    <cellStyle name="Normal 5 3 3 3 2 2 3 2" xfId="39449"/>
    <cellStyle name="Normal 5 3 3 3 2 2 3 3" xfId="39450"/>
    <cellStyle name="Normal 5 3 3 3 2 2 4" xfId="39451"/>
    <cellStyle name="Normal 5 3 3 3 2 2 5" xfId="39452"/>
    <cellStyle name="Normal 5 3 3 3 2 3" xfId="39453"/>
    <cellStyle name="Normal 5 3 3 3 2 3 2" xfId="39454"/>
    <cellStyle name="Normal 5 3 3 3 2 3 3" xfId="39455"/>
    <cellStyle name="Normal 5 3 3 3 2 4" xfId="39456"/>
    <cellStyle name="Normal 5 3 3 3 2 4 2" xfId="39457"/>
    <cellStyle name="Normal 5 3 3 3 2 4 3" xfId="39458"/>
    <cellStyle name="Normal 5 3 3 3 2 5" xfId="39459"/>
    <cellStyle name="Normal 5 3 3 3 2 6" xfId="39460"/>
    <cellStyle name="Normal 5 3 3 3 3" xfId="39461"/>
    <cellStyle name="Normal 5 3 3 3 3 2" xfId="39462"/>
    <cellStyle name="Normal 5 3 3 3 3 2 2" xfId="39463"/>
    <cellStyle name="Normal 5 3 3 3 3 2 2 2" xfId="39464"/>
    <cellStyle name="Normal 5 3 3 3 3 2 2 3" xfId="39465"/>
    <cellStyle name="Normal 5 3 3 3 3 2 3" xfId="39466"/>
    <cellStyle name="Normal 5 3 3 3 3 2 3 2" xfId="39467"/>
    <cellStyle name="Normal 5 3 3 3 3 2 3 3" xfId="39468"/>
    <cellStyle name="Normal 5 3 3 3 3 2 4" xfId="39469"/>
    <cellStyle name="Normal 5 3 3 3 3 2 5" xfId="39470"/>
    <cellStyle name="Normal 5 3 3 3 3 3" xfId="39471"/>
    <cellStyle name="Normal 5 3 3 3 3 3 2" xfId="39472"/>
    <cellStyle name="Normal 5 3 3 3 3 3 3" xfId="39473"/>
    <cellStyle name="Normal 5 3 3 3 3 4" xfId="39474"/>
    <cellStyle name="Normal 5 3 3 3 3 4 2" xfId="39475"/>
    <cellStyle name="Normal 5 3 3 3 3 4 3" xfId="39476"/>
    <cellStyle name="Normal 5 3 3 3 3 5" xfId="39477"/>
    <cellStyle name="Normal 5 3 3 3 3 6" xfId="39478"/>
    <cellStyle name="Normal 5 3 3 3 4" xfId="39479"/>
    <cellStyle name="Normal 5 3 3 3 4 2" xfId="39480"/>
    <cellStyle name="Normal 5 3 3 3 4 2 2" xfId="39481"/>
    <cellStyle name="Normal 5 3 3 3 4 2 3" xfId="39482"/>
    <cellStyle name="Normal 5 3 3 3 4 3" xfId="39483"/>
    <cellStyle name="Normal 5 3 3 3 4 3 2" xfId="39484"/>
    <cellStyle name="Normal 5 3 3 3 4 3 3" xfId="39485"/>
    <cellStyle name="Normal 5 3 3 3 4 4" xfId="39486"/>
    <cellStyle name="Normal 5 3 3 3 4 5" xfId="39487"/>
    <cellStyle name="Normal 5 3 3 3 5" xfId="39488"/>
    <cellStyle name="Normal 5 3 3 3 5 2" xfId="39489"/>
    <cellStyle name="Normal 5 3 3 3 5 3" xfId="39490"/>
    <cellStyle name="Normal 5 3 3 3 6" xfId="39491"/>
    <cellStyle name="Normal 5 3 3 3 6 2" xfId="39492"/>
    <cellStyle name="Normal 5 3 3 3 6 3" xfId="39493"/>
    <cellStyle name="Normal 5 3 3 3 7" xfId="39494"/>
    <cellStyle name="Normal 5 3 3 3 8" xfId="39495"/>
    <cellStyle name="Normal 5 3 3 4" xfId="39496"/>
    <cellStyle name="Normal 5 3 3 4 2" xfId="39497"/>
    <cellStyle name="Normal 5 3 3 4 2 2" xfId="39498"/>
    <cellStyle name="Normal 5 3 3 4 2 2 2" xfId="39499"/>
    <cellStyle name="Normal 5 3 3 4 2 2 3" xfId="39500"/>
    <cellStyle name="Normal 5 3 3 4 2 3" xfId="39501"/>
    <cellStyle name="Normal 5 3 3 4 2 3 2" xfId="39502"/>
    <cellStyle name="Normal 5 3 3 4 2 3 3" xfId="39503"/>
    <cellStyle name="Normal 5 3 3 4 2 4" xfId="39504"/>
    <cellStyle name="Normal 5 3 3 4 2 5" xfId="39505"/>
    <cellStyle name="Normal 5 3 3 4 3" xfId="39506"/>
    <cellStyle name="Normal 5 3 3 4 3 2" xfId="39507"/>
    <cellStyle name="Normal 5 3 3 4 3 3" xfId="39508"/>
    <cellStyle name="Normal 5 3 3 4 4" xfId="39509"/>
    <cellStyle name="Normal 5 3 3 4 4 2" xfId="39510"/>
    <cellStyle name="Normal 5 3 3 4 4 3" xfId="39511"/>
    <cellStyle name="Normal 5 3 3 4 5" xfId="39512"/>
    <cellStyle name="Normal 5 3 3 4 6" xfId="39513"/>
    <cellStyle name="Normal 5 3 3 5" xfId="39514"/>
    <cellStyle name="Normal 5 3 3 5 2" xfId="39515"/>
    <cellStyle name="Normal 5 3 3 5 2 2" xfId="39516"/>
    <cellStyle name="Normal 5 3 3 5 2 2 2" xfId="39517"/>
    <cellStyle name="Normal 5 3 3 5 2 2 3" xfId="39518"/>
    <cellStyle name="Normal 5 3 3 5 2 3" xfId="39519"/>
    <cellStyle name="Normal 5 3 3 5 2 3 2" xfId="39520"/>
    <cellStyle name="Normal 5 3 3 5 2 3 3" xfId="39521"/>
    <cellStyle name="Normal 5 3 3 5 2 4" xfId="39522"/>
    <cellStyle name="Normal 5 3 3 5 2 5" xfId="39523"/>
    <cellStyle name="Normal 5 3 3 5 3" xfId="39524"/>
    <cellStyle name="Normal 5 3 3 5 3 2" xfId="39525"/>
    <cellStyle name="Normal 5 3 3 5 3 3" xfId="39526"/>
    <cellStyle name="Normal 5 3 3 5 4" xfId="39527"/>
    <cellStyle name="Normal 5 3 3 5 4 2" xfId="39528"/>
    <cellStyle name="Normal 5 3 3 5 4 3" xfId="39529"/>
    <cellStyle name="Normal 5 3 3 5 5" xfId="39530"/>
    <cellStyle name="Normal 5 3 3 5 6" xfId="39531"/>
    <cellStyle name="Normal 5 3 3 6" xfId="39532"/>
    <cellStyle name="Normal 5 3 3 6 2" xfId="39533"/>
    <cellStyle name="Normal 5 3 3 6 2 2" xfId="39534"/>
    <cellStyle name="Normal 5 3 3 6 2 3" xfId="39535"/>
    <cellStyle name="Normal 5 3 3 6 3" xfId="39536"/>
    <cellStyle name="Normal 5 3 3 6 3 2" xfId="39537"/>
    <cellStyle name="Normal 5 3 3 6 3 3" xfId="39538"/>
    <cellStyle name="Normal 5 3 3 6 4" xfId="39539"/>
    <cellStyle name="Normal 5 3 3 6 5" xfId="39540"/>
    <cellStyle name="Normal 5 3 3 7" xfId="39541"/>
    <cellStyle name="Normal 5 3 3 7 2" xfId="39542"/>
    <cellStyle name="Normal 5 3 3 7 3" xfId="39543"/>
    <cellStyle name="Normal 5 3 3 8" xfId="39544"/>
    <cellStyle name="Normal 5 3 3 8 2" xfId="39545"/>
    <cellStyle name="Normal 5 3 3 8 3" xfId="39546"/>
    <cellStyle name="Normal 5 3 3 9" xfId="39547"/>
    <cellStyle name="Normal 5 3 4" xfId="39548"/>
    <cellStyle name="Normal 5 3 4 10" xfId="39549"/>
    <cellStyle name="Normal 5 3 4 2" xfId="39550"/>
    <cellStyle name="Normal 5 3 4 2 2" xfId="39551"/>
    <cellStyle name="Normal 5 3 4 2 2 2" xfId="39552"/>
    <cellStyle name="Normal 5 3 4 2 2 2 2" xfId="39553"/>
    <cellStyle name="Normal 5 3 4 2 2 2 2 2" xfId="39554"/>
    <cellStyle name="Normal 5 3 4 2 2 2 2 2 2" xfId="39555"/>
    <cellStyle name="Normal 5 3 4 2 2 2 2 2 3" xfId="39556"/>
    <cellStyle name="Normal 5 3 4 2 2 2 2 3" xfId="39557"/>
    <cellStyle name="Normal 5 3 4 2 2 2 2 3 2" xfId="39558"/>
    <cellStyle name="Normal 5 3 4 2 2 2 2 3 3" xfId="39559"/>
    <cellStyle name="Normal 5 3 4 2 2 2 2 4" xfId="39560"/>
    <cellStyle name="Normal 5 3 4 2 2 2 2 5" xfId="39561"/>
    <cellStyle name="Normal 5 3 4 2 2 2 3" xfId="39562"/>
    <cellStyle name="Normal 5 3 4 2 2 2 3 2" xfId="39563"/>
    <cellStyle name="Normal 5 3 4 2 2 2 3 3" xfId="39564"/>
    <cellStyle name="Normal 5 3 4 2 2 2 4" xfId="39565"/>
    <cellStyle name="Normal 5 3 4 2 2 2 4 2" xfId="39566"/>
    <cellStyle name="Normal 5 3 4 2 2 2 4 3" xfId="39567"/>
    <cellStyle name="Normal 5 3 4 2 2 2 5" xfId="39568"/>
    <cellStyle name="Normal 5 3 4 2 2 2 6" xfId="39569"/>
    <cellStyle name="Normal 5 3 4 2 2 3" xfId="39570"/>
    <cellStyle name="Normal 5 3 4 2 2 3 2" xfId="39571"/>
    <cellStyle name="Normal 5 3 4 2 2 3 2 2" xfId="39572"/>
    <cellStyle name="Normal 5 3 4 2 2 3 2 2 2" xfId="39573"/>
    <cellStyle name="Normal 5 3 4 2 2 3 2 2 3" xfId="39574"/>
    <cellStyle name="Normal 5 3 4 2 2 3 2 3" xfId="39575"/>
    <cellStyle name="Normal 5 3 4 2 2 3 2 3 2" xfId="39576"/>
    <cellStyle name="Normal 5 3 4 2 2 3 2 3 3" xfId="39577"/>
    <cellStyle name="Normal 5 3 4 2 2 3 2 4" xfId="39578"/>
    <cellStyle name="Normal 5 3 4 2 2 3 2 5" xfId="39579"/>
    <cellStyle name="Normal 5 3 4 2 2 3 3" xfId="39580"/>
    <cellStyle name="Normal 5 3 4 2 2 3 3 2" xfId="39581"/>
    <cellStyle name="Normal 5 3 4 2 2 3 3 3" xfId="39582"/>
    <cellStyle name="Normal 5 3 4 2 2 3 4" xfId="39583"/>
    <cellStyle name="Normal 5 3 4 2 2 3 4 2" xfId="39584"/>
    <cellStyle name="Normal 5 3 4 2 2 3 4 3" xfId="39585"/>
    <cellStyle name="Normal 5 3 4 2 2 3 5" xfId="39586"/>
    <cellStyle name="Normal 5 3 4 2 2 3 6" xfId="39587"/>
    <cellStyle name="Normal 5 3 4 2 2 4" xfId="39588"/>
    <cellStyle name="Normal 5 3 4 2 2 4 2" xfId="39589"/>
    <cellStyle name="Normal 5 3 4 2 2 4 2 2" xfId="39590"/>
    <cellStyle name="Normal 5 3 4 2 2 4 2 3" xfId="39591"/>
    <cellStyle name="Normal 5 3 4 2 2 4 3" xfId="39592"/>
    <cellStyle name="Normal 5 3 4 2 2 4 3 2" xfId="39593"/>
    <cellStyle name="Normal 5 3 4 2 2 4 3 3" xfId="39594"/>
    <cellStyle name="Normal 5 3 4 2 2 4 4" xfId="39595"/>
    <cellStyle name="Normal 5 3 4 2 2 4 5" xfId="39596"/>
    <cellStyle name="Normal 5 3 4 2 2 5" xfId="39597"/>
    <cellStyle name="Normal 5 3 4 2 2 5 2" xfId="39598"/>
    <cellStyle name="Normal 5 3 4 2 2 5 3" xfId="39599"/>
    <cellStyle name="Normal 5 3 4 2 2 6" xfId="39600"/>
    <cellStyle name="Normal 5 3 4 2 2 6 2" xfId="39601"/>
    <cellStyle name="Normal 5 3 4 2 2 6 3" xfId="39602"/>
    <cellStyle name="Normal 5 3 4 2 2 7" xfId="39603"/>
    <cellStyle name="Normal 5 3 4 2 2 8" xfId="39604"/>
    <cellStyle name="Normal 5 3 4 2 3" xfId="39605"/>
    <cellStyle name="Normal 5 3 4 2 3 2" xfId="39606"/>
    <cellStyle name="Normal 5 3 4 2 3 2 2" xfId="39607"/>
    <cellStyle name="Normal 5 3 4 2 3 2 2 2" xfId="39608"/>
    <cellStyle name="Normal 5 3 4 2 3 2 2 3" xfId="39609"/>
    <cellStyle name="Normal 5 3 4 2 3 2 3" xfId="39610"/>
    <cellStyle name="Normal 5 3 4 2 3 2 3 2" xfId="39611"/>
    <cellStyle name="Normal 5 3 4 2 3 2 3 3" xfId="39612"/>
    <cellStyle name="Normal 5 3 4 2 3 2 4" xfId="39613"/>
    <cellStyle name="Normal 5 3 4 2 3 2 5" xfId="39614"/>
    <cellStyle name="Normal 5 3 4 2 3 3" xfId="39615"/>
    <cellStyle name="Normal 5 3 4 2 3 3 2" xfId="39616"/>
    <cellStyle name="Normal 5 3 4 2 3 3 3" xfId="39617"/>
    <cellStyle name="Normal 5 3 4 2 3 4" xfId="39618"/>
    <cellStyle name="Normal 5 3 4 2 3 4 2" xfId="39619"/>
    <cellStyle name="Normal 5 3 4 2 3 4 3" xfId="39620"/>
    <cellStyle name="Normal 5 3 4 2 3 5" xfId="39621"/>
    <cellStyle name="Normal 5 3 4 2 3 6" xfId="39622"/>
    <cellStyle name="Normal 5 3 4 2 4" xfId="39623"/>
    <cellStyle name="Normal 5 3 4 2 4 2" xfId="39624"/>
    <cellStyle name="Normal 5 3 4 2 4 2 2" xfId="39625"/>
    <cellStyle name="Normal 5 3 4 2 4 2 2 2" xfId="39626"/>
    <cellStyle name="Normal 5 3 4 2 4 2 2 3" xfId="39627"/>
    <cellStyle name="Normal 5 3 4 2 4 2 3" xfId="39628"/>
    <cellStyle name="Normal 5 3 4 2 4 2 3 2" xfId="39629"/>
    <cellStyle name="Normal 5 3 4 2 4 2 3 3" xfId="39630"/>
    <cellStyle name="Normal 5 3 4 2 4 2 4" xfId="39631"/>
    <cellStyle name="Normal 5 3 4 2 4 2 5" xfId="39632"/>
    <cellStyle name="Normal 5 3 4 2 4 3" xfId="39633"/>
    <cellStyle name="Normal 5 3 4 2 4 3 2" xfId="39634"/>
    <cellStyle name="Normal 5 3 4 2 4 3 3" xfId="39635"/>
    <cellStyle name="Normal 5 3 4 2 4 4" xfId="39636"/>
    <cellStyle name="Normal 5 3 4 2 4 4 2" xfId="39637"/>
    <cellStyle name="Normal 5 3 4 2 4 4 3" xfId="39638"/>
    <cellStyle name="Normal 5 3 4 2 4 5" xfId="39639"/>
    <cellStyle name="Normal 5 3 4 2 4 6" xfId="39640"/>
    <cellStyle name="Normal 5 3 4 2 5" xfId="39641"/>
    <cellStyle name="Normal 5 3 4 2 5 2" xfId="39642"/>
    <cellStyle name="Normal 5 3 4 2 5 2 2" xfId="39643"/>
    <cellStyle name="Normal 5 3 4 2 5 2 3" xfId="39644"/>
    <cellStyle name="Normal 5 3 4 2 5 3" xfId="39645"/>
    <cellStyle name="Normal 5 3 4 2 5 3 2" xfId="39646"/>
    <cellStyle name="Normal 5 3 4 2 5 3 3" xfId="39647"/>
    <cellStyle name="Normal 5 3 4 2 5 4" xfId="39648"/>
    <cellStyle name="Normal 5 3 4 2 5 5" xfId="39649"/>
    <cellStyle name="Normal 5 3 4 2 6" xfId="39650"/>
    <cellStyle name="Normal 5 3 4 2 6 2" xfId="39651"/>
    <cellStyle name="Normal 5 3 4 2 6 3" xfId="39652"/>
    <cellStyle name="Normal 5 3 4 2 7" xfId="39653"/>
    <cellStyle name="Normal 5 3 4 2 7 2" xfId="39654"/>
    <cellStyle name="Normal 5 3 4 2 7 3" xfId="39655"/>
    <cellStyle name="Normal 5 3 4 2 8" xfId="39656"/>
    <cellStyle name="Normal 5 3 4 2 9" xfId="39657"/>
    <cellStyle name="Normal 5 3 4 3" xfId="39658"/>
    <cellStyle name="Normal 5 3 4 3 2" xfId="39659"/>
    <cellStyle name="Normal 5 3 4 3 2 2" xfId="39660"/>
    <cellStyle name="Normal 5 3 4 3 2 2 2" xfId="39661"/>
    <cellStyle name="Normal 5 3 4 3 2 2 2 2" xfId="39662"/>
    <cellStyle name="Normal 5 3 4 3 2 2 2 3" xfId="39663"/>
    <cellStyle name="Normal 5 3 4 3 2 2 3" xfId="39664"/>
    <cellStyle name="Normal 5 3 4 3 2 2 3 2" xfId="39665"/>
    <cellStyle name="Normal 5 3 4 3 2 2 3 3" xfId="39666"/>
    <cellStyle name="Normal 5 3 4 3 2 2 4" xfId="39667"/>
    <cellStyle name="Normal 5 3 4 3 2 2 5" xfId="39668"/>
    <cellStyle name="Normal 5 3 4 3 2 3" xfId="39669"/>
    <cellStyle name="Normal 5 3 4 3 2 3 2" xfId="39670"/>
    <cellStyle name="Normal 5 3 4 3 2 3 3" xfId="39671"/>
    <cellStyle name="Normal 5 3 4 3 2 4" xfId="39672"/>
    <cellStyle name="Normal 5 3 4 3 2 4 2" xfId="39673"/>
    <cellStyle name="Normal 5 3 4 3 2 4 3" xfId="39674"/>
    <cellStyle name="Normal 5 3 4 3 2 5" xfId="39675"/>
    <cellStyle name="Normal 5 3 4 3 2 6" xfId="39676"/>
    <cellStyle name="Normal 5 3 4 3 3" xfId="39677"/>
    <cellStyle name="Normal 5 3 4 3 3 2" xfId="39678"/>
    <cellStyle name="Normal 5 3 4 3 3 2 2" xfId="39679"/>
    <cellStyle name="Normal 5 3 4 3 3 2 2 2" xfId="39680"/>
    <cellStyle name="Normal 5 3 4 3 3 2 2 3" xfId="39681"/>
    <cellStyle name="Normal 5 3 4 3 3 2 3" xfId="39682"/>
    <cellStyle name="Normal 5 3 4 3 3 2 3 2" xfId="39683"/>
    <cellStyle name="Normal 5 3 4 3 3 2 3 3" xfId="39684"/>
    <cellStyle name="Normal 5 3 4 3 3 2 4" xfId="39685"/>
    <cellStyle name="Normal 5 3 4 3 3 2 5" xfId="39686"/>
    <cellStyle name="Normal 5 3 4 3 3 3" xfId="39687"/>
    <cellStyle name="Normal 5 3 4 3 3 3 2" xfId="39688"/>
    <cellStyle name="Normal 5 3 4 3 3 3 3" xfId="39689"/>
    <cellStyle name="Normal 5 3 4 3 3 4" xfId="39690"/>
    <cellStyle name="Normal 5 3 4 3 3 4 2" xfId="39691"/>
    <cellStyle name="Normal 5 3 4 3 3 4 3" xfId="39692"/>
    <cellStyle name="Normal 5 3 4 3 3 5" xfId="39693"/>
    <cellStyle name="Normal 5 3 4 3 3 6" xfId="39694"/>
    <cellStyle name="Normal 5 3 4 3 4" xfId="39695"/>
    <cellStyle name="Normal 5 3 4 3 4 2" xfId="39696"/>
    <cellStyle name="Normal 5 3 4 3 4 2 2" xfId="39697"/>
    <cellStyle name="Normal 5 3 4 3 4 2 3" xfId="39698"/>
    <cellStyle name="Normal 5 3 4 3 4 3" xfId="39699"/>
    <cellStyle name="Normal 5 3 4 3 4 3 2" xfId="39700"/>
    <cellStyle name="Normal 5 3 4 3 4 3 3" xfId="39701"/>
    <cellStyle name="Normal 5 3 4 3 4 4" xfId="39702"/>
    <cellStyle name="Normal 5 3 4 3 4 5" xfId="39703"/>
    <cellStyle name="Normal 5 3 4 3 5" xfId="39704"/>
    <cellStyle name="Normal 5 3 4 3 5 2" xfId="39705"/>
    <cellStyle name="Normal 5 3 4 3 5 3" xfId="39706"/>
    <cellStyle name="Normal 5 3 4 3 6" xfId="39707"/>
    <cellStyle name="Normal 5 3 4 3 6 2" xfId="39708"/>
    <cellStyle name="Normal 5 3 4 3 6 3" xfId="39709"/>
    <cellStyle name="Normal 5 3 4 3 7" xfId="39710"/>
    <cellStyle name="Normal 5 3 4 3 8" xfId="39711"/>
    <cellStyle name="Normal 5 3 4 4" xfId="39712"/>
    <cellStyle name="Normal 5 3 4 4 2" xfId="39713"/>
    <cellStyle name="Normal 5 3 4 4 2 2" xfId="39714"/>
    <cellStyle name="Normal 5 3 4 4 2 2 2" xfId="39715"/>
    <cellStyle name="Normal 5 3 4 4 2 2 3" xfId="39716"/>
    <cellStyle name="Normal 5 3 4 4 2 3" xfId="39717"/>
    <cellStyle name="Normal 5 3 4 4 2 3 2" xfId="39718"/>
    <cellStyle name="Normal 5 3 4 4 2 3 3" xfId="39719"/>
    <cellStyle name="Normal 5 3 4 4 2 4" xfId="39720"/>
    <cellStyle name="Normal 5 3 4 4 2 5" xfId="39721"/>
    <cellStyle name="Normal 5 3 4 4 3" xfId="39722"/>
    <cellStyle name="Normal 5 3 4 4 3 2" xfId="39723"/>
    <cellStyle name="Normal 5 3 4 4 3 3" xfId="39724"/>
    <cellStyle name="Normal 5 3 4 4 4" xfId="39725"/>
    <cellStyle name="Normal 5 3 4 4 4 2" xfId="39726"/>
    <cellStyle name="Normal 5 3 4 4 4 3" xfId="39727"/>
    <cellStyle name="Normal 5 3 4 4 5" xfId="39728"/>
    <cellStyle name="Normal 5 3 4 4 6" xfId="39729"/>
    <cellStyle name="Normal 5 3 4 5" xfId="39730"/>
    <cellStyle name="Normal 5 3 4 5 2" xfId="39731"/>
    <cellStyle name="Normal 5 3 4 5 2 2" xfId="39732"/>
    <cellStyle name="Normal 5 3 4 5 2 2 2" xfId="39733"/>
    <cellStyle name="Normal 5 3 4 5 2 2 3" xfId="39734"/>
    <cellStyle name="Normal 5 3 4 5 2 3" xfId="39735"/>
    <cellStyle name="Normal 5 3 4 5 2 3 2" xfId="39736"/>
    <cellStyle name="Normal 5 3 4 5 2 3 3" xfId="39737"/>
    <cellStyle name="Normal 5 3 4 5 2 4" xfId="39738"/>
    <cellStyle name="Normal 5 3 4 5 2 5" xfId="39739"/>
    <cellStyle name="Normal 5 3 4 5 3" xfId="39740"/>
    <cellStyle name="Normal 5 3 4 5 3 2" xfId="39741"/>
    <cellStyle name="Normal 5 3 4 5 3 3" xfId="39742"/>
    <cellStyle name="Normal 5 3 4 5 4" xfId="39743"/>
    <cellStyle name="Normal 5 3 4 5 4 2" xfId="39744"/>
    <cellStyle name="Normal 5 3 4 5 4 3" xfId="39745"/>
    <cellStyle name="Normal 5 3 4 5 5" xfId="39746"/>
    <cellStyle name="Normal 5 3 4 5 6" xfId="39747"/>
    <cellStyle name="Normal 5 3 4 6" xfId="39748"/>
    <cellStyle name="Normal 5 3 4 6 2" xfId="39749"/>
    <cellStyle name="Normal 5 3 4 6 2 2" xfId="39750"/>
    <cellStyle name="Normal 5 3 4 6 2 3" xfId="39751"/>
    <cellStyle name="Normal 5 3 4 6 3" xfId="39752"/>
    <cellStyle name="Normal 5 3 4 6 3 2" xfId="39753"/>
    <cellStyle name="Normal 5 3 4 6 3 3" xfId="39754"/>
    <cellStyle name="Normal 5 3 4 6 4" xfId="39755"/>
    <cellStyle name="Normal 5 3 4 6 5" xfId="39756"/>
    <cellStyle name="Normal 5 3 4 7" xfId="39757"/>
    <cellStyle name="Normal 5 3 4 7 2" xfId="39758"/>
    <cellStyle name="Normal 5 3 4 7 3" xfId="39759"/>
    <cellStyle name="Normal 5 3 4 8" xfId="39760"/>
    <cellStyle name="Normal 5 3 4 8 2" xfId="39761"/>
    <cellStyle name="Normal 5 3 4 8 3" xfId="39762"/>
    <cellStyle name="Normal 5 3 4 9" xfId="39763"/>
    <cellStyle name="Normal 5 3 5" xfId="39764"/>
    <cellStyle name="Normal 5 3 5 2" xfId="39765"/>
    <cellStyle name="Normal 5 3 5 2 2" xfId="39766"/>
    <cellStyle name="Normal 5 3 5 2 2 2" xfId="39767"/>
    <cellStyle name="Normal 5 3 5 2 2 2 2" xfId="39768"/>
    <cellStyle name="Normal 5 3 5 2 2 2 2 2" xfId="39769"/>
    <cellStyle name="Normal 5 3 5 2 2 2 2 3" xfId="39770"/>
    <cellStyle name="Normal 5 3 5 2 2 2 3" xfId="39771"/>
    <cellStyle name="Normal 5 3 5 2 2 2 3 2" xfId="39772"/>
    <cellStyle name="Normal 5 3 5 2 2 2 3 3" xfId="39773"/>
    <cellStyle name="Normal 5 3 5 2 2 2 4" xfId="39774"/>
    <cellStyle name="Normal 5 3 5 2 2 2 5" xfId="39775"/>
    <cellStyle name="Normal 5 3 5 2 2 3" xfId="39776"/>
    <cellStyle name="Normal 5 3 5 2 2 3 2" xfId="39777"/>
    <cellStyle name="Normal 5 3 5 2 2 3 3" xfId="39778"/>
    <cellStyle name="Normal 5 3 5 2 2 4" xfId="39779"/>
    <cellStyle name="Normal 5 3 5 2 2 4 2" xfId="39780"/>
    <cellStyle name="Normal 5 3 5 2 2 4 3" xfId="39781"/>
    <cellStyle name="Normal 5 3 5 2 2 5" xfId="39782"/>
    <cellStyle name="Normal 5 3 5 2 2 6" xfId="39783"/>
    <cellStyle name="Normal 5 3 5 2 3" xfId="39784"/>
    <cellStyle name="Normal 5 3 5 2 3 2" xfId="39785"/>
    <cellStyle name="Normal 5 3 5 2 3 2 2" xfId="39786"/>
    <cellStyle name="Normal 5 3 5 2 3 2 2 2" xfId="39787"/>
    <cellStyle name="Normal 5 3 5 2 3 2 2 3" xfId="39788"/>
    <cellStyle name="Normal 5 3 5 2 3 2 3" xfId="39789"/>
    <cellStyle name="Normal 5 3 5 2 3 2 3 2" xfId="39790"/>
    <cellStyle name="Normal 5 3 5 2 3 2 3 3" xfId="39791"/>
    <cellStyle name="Normal 5 3 5 2 3 2 4" xfId="39792"/>
    <cellStyle name="Normal 5 3 5 2 3 2 5" xfId="39793"/>
    <cellStyle name="Normal 5 3 5 2 3 3" xfId="39794"/>
    <cellStyle name="Normal 5 3 5 2 3 3 2" xfId="39795"/>
    <cellStyle name="Normal 5 3 5 2 3 3 3" xfId="39796"/>
    <cellStyle name="Normal 5 3 5 2 3 4" xfId="39797"/>
    <cellStyle name="Normal 5 3 5 2 3 4 2" xfId="39798"/>
    <cellStyle name="Normal 5 3 5 2 3 4 3" xfId="39799"/>
    <cellStyle name="Normal 5 3 5 2 3 5" xfId="39800"/>
    <cellStyle name="Normal 5 3 5 2 3 6" xfId="39801"/>
    <cellStyle name="Normal 5 3 5 2 4" xfId="39802"/>
    <cellStyle name="Normal 5 3 5 2 4 2" xfId="39803"/>
    <cellStyle name="Normal 5 3 5 2 4 2 2" xfId="39804"/>
    <cellStyle name="Normal 5 3 5 2 4 2 3" xfId="39805"/>
    <cellStyle name="Normal 5 3 5 2 4 3" xfId="39806"/>
    <cellStyle name="Normal 5 3 5 2 4 3 2" xfId="39807"/>
    <cellStyle name="Normal 5 3 5 2 4 3 3" xfId="39808"/>
    <cellStyle name="Normal 5 3 5 2 4 4" xfId="39809"/>
    <cellStyle name="Normal 5 3 5 2 4 5" xfId="39810"/>
    <cellStyle name="Normal 5 3 5 2 5" xfId="39811"/>
    <cellStyle name="Normal 5 3 5 2 5 2" xfId="39812"/>
    <cellStyle name="Normal 5 3 5 2 5 3" xfId="39813"/>
    <cellStyle name="Normal 5 3 5 2 6" xfId="39814"/>
    <cellStyle name="Normal 5 3 5 2 6 2" xfId="39815"/>
    <cellStyle name="Normal 5 3 5 2 6 3" xfId="39816"/>
    <cellStyle name="Normal 5 3 5 2 7" xfId="39817"/>
    <cellStyle name="Normal 5 3 5 2 8" xfId="39818"/>
    <cellStyle name="Normal 5 3 5 3" xfId="39819"/>
    <cellStyle name="Normal 5 3 5 3 2" xfId="39820"/>
    <cellStyle name="Normal 5 3 5 3 2 2" xfId="39821"/>
    <cellStyle name="Normal 5 3 5 3 2 2 2" xfId="39822"/>
    <cellStyle name="Normal 5 3 5 3 2 2 3" xfId="39823"/>
    <cellStyle name="Normal 5 3 5 3 2 3" xfId="39824"/>
    <cellStyle name="Normal 5 3 5 3 2 3 2" xfId="39825"/>
    <cellStyle name="Normal 5 3 5 3 2 3 3" xfId="39826"/>
    <cellStyle name="Normal 5 3 5 3 2 4" xfId="39827"/>
    <cellStyle name="Normal 5 3 5 3 2 5" xfId="39828"/>
    <cellStyle name="Normal 5 3 5 3 3" xfId="39829"/>
    <cellStyle name="Normal 5 3 5 3 3 2" xfId="39830"/>
    <cellStyle name="Normal 5 3 5 3 3 3" xfId="39831"/>
    <cellStyle name="Normal 5 3 5 3 4" xfId="39832"/>
    <cellStyle name="Normal 5 3 5 3 4 2" xfId="39833"/>
    <cellStyle name="Normal 5 3 5 3 4 3" xfId="39834"/>
    <cellStyle name="Normal 5 3 5 3 5" xfId="39835"/>
    <cellStyle name="Normal 5 3 5 3 6" xfId="39836"/>
    <cellStyle name="Normal 5 3 5 4" xfId="39837"/>
    <cellStyle name="Normal 5 3 5 4 2" xfId="39838"/>
    <cellStyle name="Normal 5 3 5 4 2 2" xfId="39839"/>
    <cellStyle name="Normal 5 3 5 4 2 2 2" xfId="39840"/>
    <cellStyle name="Normal 5 3 5 4 2 2 3" xfId="39841"/>
    <cellStyle name="Normal 5 3 5 4 2 3" xfId="39842"/>
    <cellStyle name="Normal 5 3 5 4 2 3 2" xfId="39843"/>
    <cellStyle name="Normal 5 3 5 4 2 3 3" xfId="39844"/>
    <cellStyle name="Normal 5 3 5 4 2 4" xfId="39845"/>
    <cellStyle name="Normal 5 3 5 4 2 5" xfId="39846"/>
    <cellStyle name="Normal 5 3 5 4 3" xfId="39847"/>
    <cellStyle name="Normal 5 3 5 4 3 2" xfId="39848"/>
    <cellStyle name="Normal 5 3 5 4 3 3" xfId="39849"/>
    <cellStyle name="Normal 5 3 5 4 4" xfId="39850"/>
    <cellStyle name="Normal 5 3 5 4 4 2" xfId="39851"/>
    <cellStyle name="Normal 5 3 5 4 4 3" xfId="39852"/>
    <cellStyle name="Normal 5 3 5 4 5" xfId="39853"/>
    <cellStyle name="Normal 5 3 5 4 6" xfId="39854"/>
    <cellStyle name="Normal 5 3 5 5" xfId="39855"/>
    <cellStyle name="Normal 5 3 5 5 2" xfId="39856"/>
    <cellStyle name="Normal 5 3 5 5 2 2" xfId="39857"/>
    <cellStyle name="Normal 5 3 5 5 2 3" xfId="39858"/>
    <cellStyle name="Normal 5 3 5 5 3" xfId="39859"/>
    <cellStyle name="Normal 5 3 5 5 3 2" xfId="39860"/>
    <cellStyle name="Normal 5 3 5 5 3 3" xfId="39861"/>
    <cellStyle name="Normal 5 3 5 5 4" xfId="39862"/>
    <cellStyle name="Normal 5 3 5 5 5" xfId="39863"/>
    <cellStyle name="Normal 5 3 5 6" xfId="39864"/>
    <cellStyle name="Normal 5 3 5 6 2" xfId="39865"/>
    <cellStyle name="Normal 5 3 5 6 3" xfId="39866"/>
    <cellStyle name="Normal 5 3 5 7" xfId="39867"/>
    <cellStyle name="Normal 5 3 5 7 2" xfId="39868"/>
    <cellStyle name="Normal 5 3 5 7 3" xfId="39869"/>
    <cellStyle name="Normal 5 3 5 8" xfId="39870"/>
    <cellStyle name="Normal 5 3 5 9" xfId="39871"/>
    <cellStyle name="Normal 5 3 6" xfId="39872"/>
    <cellStyle name="Normal 5 3 6 2" xfId="39873"/>
    <cellStyle name="Normal 5 3 6 2 2" xfId="39874"/>
    <cellStyle name="Normal 5 3 6 2 2 2" xfId="39875"/>
    <cellStyle name="Normal 5 3 6 2 2 2 2" xfId="39876"/>
    <cellStyle name="Normal 5 3 6 2 2 2 3" xfId="39877"/>
    <cellStyle name="Normal 5 3 6 2 2 3" xfId="39878"/>
    <cellStyle name="Normal 5 3 6 2 2 3 2" xfId="39879"/>
    <cellStyle name="Normal 5 3 6 2 2 3 3" xfId="39880"/>
    <cellStyle name="Normal 5 3 6 2 2 4" xfId="39881"/>
    <cellStyle name="Normal 5 3 6 2 2 5" xfId="39882"/>
    <cellStyle name="Normal 5 3 6 2 3" xfId="39883"/>
    <cellStyle name="Normal 5 3 6 2 3 2" xfId="39884"/>
    <cellStyle name="Normal 5 3 6 2 3 3" xfId="39885"/>
    <cellStyle name="Normal 5 3 6 2 4" xfId="39886"/>
    <cellStyle name="Normal 5 3 6 2 4 2" xfId="39887"/>
    <cellStyle name="Normal 5 3 6 2 4 3" xfId="39888"/>
    <cellStyle name="Normal 5 3 6 2 5" xfId="39889"/>
    <cellStyle name="Normal 5 3 6 2 6" xfId="39890"/>
    <cellStyle name="Normal 5 3 6 3" xfId="39891"/>
    <cellStyle name="Normal 5 3 6 3 2" xfId="39892"/>
    <cellStyle name="Normal 5 3 6 3 2 2" xfId="39893"/>
    <cellStyle name="Normal 5 3 6 3 2 2 2" xfId="39894"/>
    <cellStyle name="Normal 5 3 6 3 2 2 3" xfId="39895"/>
    <cellStyle name="Normal 5 3 6 3 2 3" xfId="39896"/>
    <cellStyle name="Normal 5 3 6 3 2 3 2" xfId="39897"/>
    <cellStyle name="Normal 5 3 6 3 2 3 3" xfId="39898"/>
    <cellStyle name="Normal 5 3 6 3 2 4" xfId="39899"/>
    <cellStyle name="Normal 5 3 6 3 2 5" xfId="39900"/>
    <cellStyle name="Normal 5 3 6 3 3" xfId="39901"/>
    <cellStyle name="Normal 5 3 6 3 3 2" xfId="39902"/>
    <cellStyle name="Normal 5 3 6 3 3 3" xfId="39903"/>
    <cellStyle name="Normal 5 3 6 3 4" xfId="39904"/>
    <cellStyle name="Normal 5 3 6 3 4 2" xfId="39905"/>
    <cellStyle name="Normal 5 3 6 3 4 3" xfId="39906"/>
    <cellStyle name="Normal 5 3 6 3 5" xfId="39907"/>
    <cellStyle name="Normal 5 3 6 3 6" xfId="39908"/>
    <cellStyle name="Normal 5 3 6 4" xfId="39909"/>
    <cellStyle name="Normal 5 3 6 4 2" xfId="39910"/>
    <cellStyle name="Normal 5 3 6 4 2 2" xfId="39911"/>
    <cellStyle name="Normal 5 3 6 4 2 3" xfId="39912"/>
    <cellStyle name="Normal 5 3 6 4 3" xfId="39913"/>
    <cellStyle name="Normal 5 3 6 4 3 2" xfId="39914"/>
    <cellStyle name="Normal 5 3 6 4 3 3" xfId="39915"/>
    <cellStyle name="Normal 5 3 6 4 4" xfId="39916"/>
    <cellStyle name="Normal 5 3 6 4 5" xfId="39917"/>
    <cellStyle name="Normal 5 3 6 5" xfId="39918"/>
    <cellStyle name="Normal 5 3 6 5 2" xfId="39919"/>
    <cellStyle name="Normal 5 3 6 5 3" xfId="39920"/>
    <cellStyle name="Normal 5 3 6 6" xfId="39921"/>
    <cellStyle name="Normal 5 3 6 6 2" xfId="39922"/>
    <cellStyle name="Normal 5 3 6 6 3" xfId="39923"/>
    <cellStyle name="Normal 5 3 6 7" xfId="39924"/>
    <cellStyle name="Normal 5 3 6 8" xfId="39925"/>
    <cellStyle name="Normal 5 3 7" xfId="39926"/>
    <cellStyle name="Normal 5 3 7 2" xfId="39927"/>
    <cellStyle name="Normal 5 3 7 2 2" xfId="39928"/>
    <cellStyle name="Normal 5 3 7 2 2 2" xfId="39929"/>
    <cellStyle name="Normal 5 3 7 2 2 3" xfId="39930"/>
    <cellStyle name="Normal 5 3 7 2 3" xfId="39931"/>
    <cellStyle name="Normal 5 3 7 2 3 2" xfId="39932"/>
    <cellStyle name="Normal 5 3 7 2 3 3" xfId="39933"/>
    <cellStyle name="Normal 5 3 7 2 4" xfId="39934"/>
    <cellStyle name="Normal 5 3 7 2 5" xfId="39935"/>
    <cellStyle name="Normal 5 3 7 3" xfId="39936"/>
    <cellStyle name="Normal 5 3 7 3 2" xfId="39937"/>
    <cellStyle name="Normal 5 3 7 3 3" xfId="39938"/>
    <cellStyle name="Normal 5 3 7 4" xfId="39939"/>
    <cellStyle name="Normal 5 3 7 4 2" xfId="39940"/>
    <cellStyle name="Normal 5 3 7 4 3" xfId="39941"/>
    <cellStyle name="Normal 5 3 7 5" xfId="39942"/>
    <cellStyle name="Normal 5 3 7 6" xfId="39943"/>
    <cellStyle name="Normal 5 3 8" xfId="39944"/>
    <cellStyle name="Normal 5 3 8 2" xfId="39945"/>
    <cellStyle name="Normal 5 3 8 2 2" xfId="39946"/>
    <cellStyle name="Normal 5 3 8 2 2 2" xfId="39947"/>
    <cellStyle name="Normal 5 3 8 2 2 3" xfId="39948"/>
    <cellStyle name="Normal 5 3 8 2 3" xfId="39949"/>
    <cellStyle name="Normal 5 3 8 2 3 2" xfId="39950"/>
    <cellStyle name="Normal 5 3 8 2 3 3" xfId="39951"/>
    <cellStyle name="Normal 5 3 8 2 4" xfId="39952"/>
    <cellStyle name="Normal 5 3 8 2 5" xfId="39953"/>
    <cellStyle name="Normal 5 3 8 3" xfId="39954"/>
    <cellStyle name="Normal 5 3 8 3 2" xfId="39955"/>
    <cellStyle name="Normal 5 3 8 3 3" xfId="39956"/>
    <cellStyle name="Normal 5 3 8 4" xfId="39957"/>
    <cellStyle name="Normal 5 3 8 4 2" xfId="39958"/>
    <cellStyle name="Normal 5 3 8 4 3" xfId="39959"/>
    <cellStyle name="Normal 5 3 8 5" xfId="39960"/>
    <cellStyle name="Normal 5 3 8 6" xfId="39961"/>
    <cellStyle name="Normal 5 3 9" xfId="39962"/>
    <cellStyle name="Normal 5 3 9 2" xfId="39963"/>
    <cellStyle name="Normal 5 3 9 2 2" xfId="39964"/>
    <cellStyle name="Normal 5 3 9 2 3" xfId="39965"/>
    <cellStyle name="Normal 5 3 9 3" xfId="39966"/>
    <cellStyle name="Normal 5 3 9 3 2" xfId="39967"/>
    <cellStyle name="Normal 5 3 9 3 3" xfId="39968"/>
    <cellStyle name="Normal 5 3 9 4" xfId="39969"/>
    <cellStyle name="Normal 5 3 9 5" xfId="39970"/>
    <cellStyle name="Normal 5 4" xfId="39971"/>
    <cellStyle name="Normal 5 4 10" xfId="39972"/>
    <cellStyle name="Normal 5 4 10 2" xfId="39973"/>
    <cellStyle name="Normal 5 4 10 3" xfId="39974"/>
    <cellStyle name="Normal 5 4 11" xfId="39975"/>
    <cellStyle name="Normal 5 4 12" xfId="39976"/>
    <cellStyle name="Normal 5 4 13" xfId="39977"/>
    <cellStyle name="Normal 5 4 14" xfId="39978"/>
    <cellStyle name="Normal 5 4 2" xfId="39979"/>
    <cellStyle name="Normal 5 4 2 10" xfId="39980"/>
    <cellStyle name="Normal 5 4 2 11" xfId="39981"/>
    <cellStyle name="Normal 5 4 2 12" xfId="39982"/>
    <cellStyle name="Normal 5 4 2 2" xfId="39983"/>
    <cellStyle name="Normal 5 4 2 2 2" xfId="39984"/>
    <cellStyle name="Normal 5 4 2 2 2 2" xfId="39985"/>
    <cellStyle name="Normal 5 4 2 2 2 2 2" xfId="39986"/>
    <cellStyle name="Normal 5 4 2 2 2 2 2 2" xfId="39987"/>
    <cellStyle name="Normal 5 4 2 2 2 2 2 2 2" xfId="39988"/>
    <cellStyle name="Normal 5 4 2 2 2 2 2 2 3" xfId="39989"/>
    <cellStyle name="Normal 5 4 2 2 2 2 2 3" xfId="39990"/>
    <cellStyle name="Normal 5 4 2 2 2 2 2 3 2" xfId="39991"/>
    <cellStyle name="Normal 5 4 2 2 2 2 2 3 3" xfId="39992"/>
    <cellStyle name="Normal 5 4 2 2 2 2 2 4" xfId="39993"/>
    <cellStyle name="Normal 5 4 2 2 2 2 2 5" xfId="39994"/>
    <cellStyle name="Normal 5 4 2 2 2 2 3" xfId="39995"/>
    <cellStyle name="Normal 5 4 2 2 2 2 3 2" xfId="39996"/>
    <cellStyle name="Normal 5 4 2 2 2 2 3 3" xfId="39997"/>
    <cellStyle name="Normal 5 4 2 2 2 2 4" xfId="39998"/>
    <cellStyle name="Normal 5 4 2 2 2 2 4 2" xfId="39999"/>
    <cellStyle name="Normal 5 4 2 2 2 2 4 3" xfId="40000"/>
    <cellStyle name="Normal 5 4 2 2 2 2 5" xfId="40001"/>
    <cellStyle name="Normal 5 4 2 2 2 2 6" xfId="40002"/>
    <cellStyle name="Normal 5 4 2 2 2 3" xfId="40003"/>
    <cellStyle name="Normal 5 4 2 2 2 3 2" xfId="40004"/>
    <cellStyle name="Normal 5 4 2 2 2 3 2 2" xfId="40005"/>
    <cellStyle name="Normal 5 4 2 2 2 3 2 2 2" xfId="40006"/>
    <cellStyle name="Normal 5 4 2 2 2 3 2 2 3" xfId="40007"/>
    <cellStyle name="Normal 5 4 2 2 2 3 2 3" xfId="40008"/>
    <cellStyle name="Normal 5 4 2 2 2 3 2 3 2" xfId="40009"/>
    <cellStyle name="Normal 5 4 2 2 2 3 2 3 3" xfId="40010"/>
    <cellStyle name="Normal 5 4 2 2 2 3 2 4" xfId="40011"/>
    <cellStyle name="Normal 5 4 2 2 2 3 2 5" xfId="40012"/>
    <cellStyle name="Normal 5 4 2 2 2 3 3" xfId="40013"/>
    <cellStyle name="Normal 5 4 2 2 2 3 3 2" xfId="40014"/>
    <cellStyle name="Normal 5 4 2 2 2 3 3 3" xfId="40015"/>
    <cellStyle name="Normal 5 4 2 2 2 3 4" xfId="40016"/>
    <cellStyle name="Normal 5 4 2 2 2 3 4 2" xfId="40017"/>
    <cellStyle name="Normal 5 4 2 2 2 3 4 3" xfId="40018"/>
    <cellStyle name="Normal 5 4 2 2 2 3 5" xfId="40019"/>
    <cellStyle name="Normal 5 4 2 2 2 3 6" xfId="40020"/>
    <cellStyle name="Normal 5 4 2 2 2 4" xfId="40021"/>
    <cellStyle name="Normal 5 4 2 2 2 4 2" xfId="40022"/>
    <cellStyle name="Normal 5 4 2 2 2 4 2 2" xfId="40023"/>
    <cellStyle name="Normal 5 4 2 2 2 4 2 3" xfId="40024"/>
    <cellStyle name="Normal 5 4 2 2 2 4 3" xfId="40025"/>
    <cellStyle name="Normal 5 4 2 2 2 4 3 2" xfId="40026"/>
    <cellStyle name="Normal 5 4 2 2 2 4 3 3" xfId="40027"/>
    <cellStyle name="Normal 5 4 2 2 2 4 4" xfId="40028"/>
    <cellStyle name="Normal 5 4 2 2 2 4 5" xfId="40029"/>
    <cellStyle name="Normal 5 4 2 2 2 5" xfId="40030"/>
    <cellStyle name="Normal 5 4 2 2 2 5 2" xfId="40031"/>
    <cellStyle name="Normal 5 4 2 2 2 5 3" xfId="40032"/>
    <cellStyle name="Normal 5 4 2 2 2 6" xfId="40033"/>
    <cellStyle name="Normal 5 4 2 2 2 6 2" xfId="40034"/>
    <cellStyle name="Normal 5 4 2 2 2 6 3" xfId="40035"/>
    <cellStyle name="Normal 5 4 2 2 2 7" xfId="40036"/>
    <cellStyle name="Normal 5 4 2 2 2 8" xfId="40037"/>
    <cellStyle name="Normal 5 4 2 2 3" xfId="40038"/>
    <cellStyle name="Normal 5 4 2 2 3 2" xfId="40039"/>
    <cellStyle name="Normal 5 4 2 2 3 2 2" xfId="40040"/>
    <cellStyle name="Normal 5 4 2 2 3 2 2 2" xfId="40041"/>
    <cellStyle name="Normal 5 4 2 2 3 2 2 3" xfId="40042"/>
    <cellStyle name="Normal 5 4 2 2 3 2 3" xfId="40043"/>
    <cellStyle name="Normal 5 4 2 2 3 2 3 2" xfId="40044"/>
    <cellStyle name="Normal 5 4 2 2 3 2 3 3" xfId="40045"/>
    <cellStyle name="Normal 5 4 2 2 3 2 4" xfId="40046"/>
    <cellStyle name="Normal 5 4 2 2 3 2 5" xfId="40047"/>
    <cellStyle name="Normal 5 4 2 2 3 3" xfId="40048"/>
    <cellStyle name="Normal 5 4 2 2 3 3 2" xfId="40049"/>
    <cellStyle name="Normal 5 4 2 2 3 3 3" xfId="40050"/>
    <cellStyle name="Normal 5 4 2 2 3 4" xfId="40051"/>
    <cellStyle name="Normal 5 4 2 2 3 4 2" xfId="40052"/>
    <cellStyle name="Normal 5 4 2 2 3 4 3" xfId="40053"/>
    <cellStyle name="Normal 5 4 2 2 3 5" xfId="40054"/>
    <cellStyle name="Normal 5 4 2 2 3 6" xfId="40055"/>
    <cellStyle name="Normal 5 4 2 2 4" xfId="40056"/>
    <cellStyle name="Normal 5 4 2 2 4 2" xfId="40057"/>
    <cellStyle name="Normal 5 4 2 2 4 2 2" xfId="40058"/>
    <cellStyle name="Normal 5 4 2 2 4 2 2 2" xfId="40059"/>
    <cellStyle name="Normal 5 4 2 2 4 2 2 3" xfId="40060"/>
    <cellStyle name="Normal 5 4 2 2 4 2 3" xfId="40061"/>
    <cellStyle name="Normal 5 4 2 2 4 2 3 2" xfId="40062"/>
    <cellStyle name="Normal 5 4 2 2 4 2 3 3" xfId="40063"/>
    <cellStyle name="Normal 5 4 2 2 4 2 4" xfId="40064"/>
    <cellStyle name="Normal 5 4 2 2 4 2 5" xfId="40065"/>
    <cellStyle name="Normal 5 4 2 2 4 3" xfId="40066"/>
    <cellStyle name="Normal 5 4 2 2 4 3 2" xfId="40067"/>
    <cellStyle name="Normal 5 4 2 2 4 3 3" xfId="40068"/>
    <cellStyle name="Normal 5 4 2 2 4 4" xfId="40069"/>
    <cellStyle name="Normal 5 4 2 2 4 4 2" xfId="40070"/>
    <cellStyle name="Normal 5 4 2 2 4 4 3" xfId="40071"/>
    <cellStyle name="Normal 5 4 2 2 4 5" xfId="40072"/>
    <cellStyle name="Normal 5 4 2 2 4 6" xfId="40073"/>
    <cellStyle name="Normal 5 4 2 2 5" xfId="40074"/>
    <cellStyle name="Normal 5 4 2 2 5 2" xfId="40075"/>
    <cellStyle name="Normal 5 4 2 2 5 2 2" xfId="40076"/>
    <cellStyle name="Normal 5 4 2 2 5 2 3" xfId="40077"/>
    <cellStyle name="Normal 5 4 2 2 5 3" xfId="40078"/>
    <cellStyle name="Normal 5 4 2 2 5 3 2" xfId="40079"/>
    <cellStyle name="Normal 5 4 2 2 5 3 3" xfId="40080"/>
    <cellStyle name="Normal 5 4 2 2 5 4" xfId="40081"/>
    <cellStyle name="Normal 5 4 2 2 5 5" xfId="40082"/>
    <cellStyle name="Normal 5 4 2 2 6" xfId="40083"/>
    <cellStyle name="Normal 5 4 2 2 6 2" xfId="40084"/>
    <cellStyle name="Normal 5 4 2 2 6 3" xfId="40085"/>
    <cellStyle name="Normal 5 4 2 2 7" xfId="40086"/>
    <cellStyle name="Normal 5 4 2 2 7 2" xfId="40087"/>
    <cellStyle name="Normal 5 4 2 2 7 3" xfId="40088"/>
    <cellStyle name="Normal 5 4 2 2 8" xfId="40089"/>
    <cellStyle name="Normal 5 4 2 2 9" xfId="40090"/>
    <cellStyle name="Normal 5 4 2 3" xfId="40091"/>
    <cellStyle name="Normal 5 4 2 3 2" xfId="40092"/>
    <cellStyle name="Normal 5 4 2 3 2 2" xfId="40093"/>
    <cellStyle name="Normal 5 4 2 3 2 2 2" xfId="40094"/>
    <cellStyle name="Normal 5 4 2 3 2 2 2 2" xfId="40095"/>
    <cellStyle name="Normal 5 4 2 3 2 2 2 3" xfId="40096"/>
    <cellStyle name="Normal 5 4 2 3 2 2 3" xfId="40097"/>
    <cellStyle name="Normal 5 4 2 3 2 2 3 2" xfId="40098"/>
    <cellStyle name="Normal 5 4 2 3 2 2 3 3" xfId="40099"/>
    <cellStyle name="Normal 5 4 2 3 2 2 4" xfId="40100"/>
    <cellStyle name="Normal 5 4 2 3 2 2 5" xfId="40101"/>
    <cellStyle name="Normal 5 4 2 3 2 3" xfId="40102"/>
    <cellStyle name="Normal 5 4 2 3 2 3 2" xfId="40103"/>
    <cellStyle name="Normal 5 4 2 3 2 3 3" xfId="40104"/>
    <cellStyle name="Normal 5 4 2 3 2 4" xfId="40105"/>
    <cellStyle name="Normal 5 4 2 3 2 4 2" xfId="40106"/>
    <cellStyle name="Normal 5 4 2 3 2 4 3" xfId="40107"/>
    <cellStyle name="Normal 5 4 2 3 2 5" xfId="40108"/>
    <cellStyle name="Normal 5 4 2 3 2 6" xfId="40109"/>
    <cellStyle name="Normal 5 4 2 3 3" xfId="40110"/>
    <cellStyle name="Normal 5 4 2 3 3 2" xfId="40111"/>
    <cellStyle name="Normal 5 4 2 3 3 2 2" xfId="40112"/>
    <cellStyle name="Normal 5 4 2 3 3 2 2 2" xfId="40113"/>
    <cellStyle name="Normal 5 4 2 3 3 2 2 3" xfId="40114"/>
    <cellStyle name="Normal 5 4 2 3 3 2 3" xfId="40115"/>
    <cellStyle name="Normal 5 4 2 3 3 2 3 2" xfId="40116"/>
    <cellStyle name="Normal 5 4 2 3 3 2 3 3" xfId="40117"/>
    <cellStyle name="Normal 5 4 2 3 3 2 4" xfId="40118"/>
    <cellStyle name="Normal 5 4 2 3 3 2 5" xfId="40119"/>
    <cellStyle name="Normal 5 4 2 3 3 3" xfId="40120"/>
    <cellStyle name="Normal 5 4 2 3 3 3 2" xfId="40121"/>
    <cellStyle name="Normal 5 4 2 3 3 3 3" xfId="40122"/>
    <cellStyle name="Normal 5 4 2 3 3 4" xfId="40123"/>
    <cellStyle name="Normal 5 4 2 3 3 4 2" xfId="40124"/>
    <cellStyle name="Normal 5 4 2 3 3 4 3" xfId="40125"/>
    <cellStyle name="Normal 5 4 2 3 3 5" xfId="40126"/>
    <cellStyle name="Normal 5 4 2 3 3 6" xfId="40127"/>
    <cellStyle name="Normal 5 4 2 3 4" xfId="40128"/>
    <cellStyle name="Normal 5 4 2 3 4 2" xfId="40129"/>
    <cellStyle name="Normal 5 4 2 3 4 2 2" xfId="40130"/>
    <cellStyle name="Normal 5 4 2 3 4 2 3" xfId="40131"/>
    <cellStyle name="Normal 5 4 2 3 4 3" xfId="40132"/>
    <cellStyle name="Normal 5 4 2 3 4 3 2" xfId="40133"/>
    <cellStyle name="Normal 5 4 2 3 4 3 3" xfId="40134"/>
    <cellStyle name="Normal 5 4 2 3 4 4" xfId="40135"/>
    <cellStyle name="Normal 5 4 2 3 4 5" xfId="40136"/>
    <cellStyle name="Normal 5 4 2 3 5" xfId="40137"/>
    <cellStyle name="Normal 5 4 2 3 5 2" xfId="40138"/>
    <cellStyle name="Normal 5 4 2 3 5 3" xfId="40139"/>
    <cellStyle name="Normal 5 4 2 3 6" xfId="40140"/>
    <cellStyle name="Normal 5 4 2 3 6 2" xfId="40141"/>
    <cellStyle name="Normal 5 4 2 3 6 3" xfId="40142"/>
    <cellStyle name="Normal 5 4 2 3 7" xfId="40143"/>
    <cellStyle name="Normal 5 4 2 3 8" xfId="40144"/>
    <cellStyle name="Normal 5 4 2 4" xfId="40145"/>
    <cellStyle name="Normal 5 4 2 4 2" xfId="40146"/>
    <cellStyle name="Normal 5 4 2 4 2 2" xfId="40147"/>
    <cellStyle name="Normal 5 4 2 4 2 2 2" xfId="40148"/>
    <cellStyle name="Normal 5 4 2 4 2 2 3" xfId="40149"/>
    <cellStyle name="Normal 5 4 2 4 2 3" xfId="40150"/>
    <cellStyle name="Normal 5 4 2 4 2 3 2" xfId="40151"/>
    <cellStyle name="Normal 5 4 2 4 2 3 3" xfId="40152"/>
    <cellStyle name="Normal 5 4 2 4 2 4" xfId="40153"/>
    <cellStyle name="Normal 5 4 2 4 2 5" xfId="40154"/>
    <cellStyle name="Normal 5 4 2 4 3" xfId="40155"/>
    <cellStyle name="Normal 5 4 2 4 3 2" xfId="40156"/>
    <cellStyle name="Normal 5 4 2 4 3 3" xfId="40157"/>
    <cellStyle name="Normal 5 4 2 4 4" xfId="40158"/>
    <cellStyle name="Normal 5 4 2 4 4 2" xfId="40159"/>
    <cellStyle name="Normal 5 4 2 4 4 3" xfId="40160"/>
    <cellStyle name="Normal 5 4 2 4 5" xfId="40161"/>
    <cellStyle name="Normal 5 4 2 4 6" xfId="40162"/>
    <cellStyle name="Normal 5 4 2 5" xfId="40163"/>
    <cellStyle name="Normal 5 4 2 5 2" xfId="40164"/>
    <cellStyle name="Normal 5 4 2 5 2 2" xfId="40165"/>
    <cellStyle name="Normal 5 4 2 5 2 2 2" xfId="40166"/>
    <cellStyle name="Normal 5 4 2 5 2 2 3" xfId="40167"/>
    <cellStyle name="Normal 5 4 2 5 2 3" xfId="40168"/>
    <cellStyle name="Normal 5 4 2 5 2 3 2" xfId="40169"/>
    <cellStyle name="Normal 5 4 2 5 2 3 3" xfId="40170"/>
    <cellStyle name="Normal 5 4 2 5 2 4" xfId="40171"/>
    <cellStyle name="Normal 5 4 2 5 2 5" xfId="40172"/>
    <cellStyle name="Normal 5 4 2 5 3" xfId="40173"/>
    <cellStyle name="Normal 5 4 2 5 3 2" xfId="40174"/>
    <cellStyle name="Normal 5 4 2 5 3 3" xfId="40175"/>
    <cellStyle name="Normal 5 4 2 5 4" xfId="40176"/>
    <cellStyle name="Normal 5 4 2 5 4 2" xfId="40177"/>
    <cellStyle name="Normal 5 4 2 5 4 3" xfId="40178"/>
    <cellStyle name="Normal 5 4 2 5 5" xfId="40179"/>
    <cellStyle name="Normal 5 4 2 5 6" xfId="40180"/>
    <cellStyle name="Normal 5 4 2 6" xfId="40181"/>
    <cellStyle name="Normal 5 4 2 6 2" xfId="40182"/>
    <cellStyle name="Normal 5 4 2 6 2 2" xfId="40183"/>
    <cellStyle name="Normal 5 4 2 6 2 3" xfId="40184"/>
    <cellStyle name="Normal 5 4 2 6 3" xfId="40185"/>
    <cellStyle name="Normal 5 4 2 6 3 2" xfId="40186"/>
    <cellStyle name="Normal 5 4 2 6 3 3" xfId="40187"/>
    <cellStyle name="Normal 5 4 2 6 4" xfId="40188"/>
    <cellStyle name="Normal 5 4 2 6 5" xfId="40189"/>
    <cellStyle name="Normal 5 4 2 7" xfId="40190"/>
    <cellStyle name="Normal 5 4 2 7 2" xfId="40191"/>
    <cellStyle name="Normal 5 4 2 7 3" xfId="40192"/>
    <cellStyle name="Normal 5 4 2 8" xfId="40193"/>
    <cellStyle name="Normal 5 4 2 8 2" xfId="40194"/>
    <cellStyle name="Normal 5 4 2 8 3" xfId="40195"/>
    <cellStyle name="Normal 5 4 2 9" xfId="40196"/>
    <cellStyle name="Normal 5 4 3" xfId="40197"/>
    <cellStyle name="Normal 5 4 3 10" xfId="40198"/>
    <cellStyle name="Normal 5 4 3 2" xfId="40199"/>
    <cellStyle name="Normal 5 4 3 2 2" xfId="40200"/>
    <cellStyle name="Normal 5 4 3 2 2 2" xfId="40201"/>
    <cellStyle name="Normal 5 4 3 2 2 2 2" xfId="40202"/>
    <cellStyle name="Normal 5 4 3 2 2 2 2 2" xfId="40203"/>
    <cellStyle name="Normal 5 4 3 2 2 2 2 2 2" xfId="40204"/>
    <cellStyle name="Normal 5 4 3 2 2 2 2 2 3" xfId="40205"/>
    <cellStyle name="Normal 5 4 3 2 2 2 2 3" xfId="40206"/>
    <cellStyle name="Normal 5 4 3 2 2 2 2 3 2" xfId="40207"/>
    <cellStyle name="Normal 5 4 3 2 2 2 2 3 3" xfId="40208"/>
    <cellStyle name="Normal 5 4 3 2 2 2 2 4" xfId="40209"/>
    <cellStyle name="Normal 5 4 3 2 2 2 2 5" xfId="40210"/>
    <cellStyle name="Normal 5 4 3 2 2 2 3" xfId="40211"/>
    <cellStyle name="Normal 5 4 3 2 2 2 3 2" xfId="40212"/>
    <cellStyle name="Normal 5 4 3 2 2 2 3 3" xfId="40213"/>
    <cellStyle name="Normal 5 4 3 2 2 2 4" xfId="40214"/>
    <cellStyle name="Normal 5 4 3 2 2 2 4 2" xfId="40215"/>
    <cellStyle name="Normal 5 4 3 2 2 2 4 3" xfId="40216"/>
    <cellStyle name="Normal 5 4 3 2 2 2 5" xfId="40217"/>
    <cellStyle name="Normal 5 4 3 2 2 2 6" xfId="40218"/>
    <cellStyle name="Normal 5 4 3 2 2 3" xfId="40219"/>
    <cellStyle name="Normal 5 4 3 2 2 3 2" xfId="40220"/>
    <cellStyle name="Normal 5 4 3 2 2 3 2 2" xfId="40221"/>
    <cellStyle name="Normal 5 4 3 2 2 3 2 2 2" xfId="40222"/>
    <cellStyle name="Normal 5 4 3 2 2 3 2 2 3" xfId="40223"/>
    <cellStyle name="Normal 5 4 3 2 2 3 2 3" xfId="40224"/>
    <cellStyle name="Normal 5 4 3 2 2 3 2 3 2" xfId="40225"/>
    <cellStyle name="Normal 5 4 3 2 2 3 2 3 3" xfId="40226"/>
    <cellStyle name="Normal 5 4 3 2 2 3 2 4" xfId="40227"/>
    <cellStyle name="Normal 5 4 3 2 2 3 2 5" xfId="40228"/>
    <cellStyle name="Normal 5 4 3 2 2 3 3" xfId="40229"/>
    <cellStyle name="Normal 5 4 3 2 2 3 3 2" xfId="40230"/>
    <cellStyle name="Normal 5 4 3 2 2 3 3 3" xfId="40231"/>
    <cellStyle name="Normal 5 4 3 2 2 3 4" xfId="40232"/>
    <cellStyle name="Normal 5 4 3 2 2 3 4 2" xfId="40233"/>
    <cellStyle name="Normal 5 4 3 2 2 3 4 3" xfId="40234"/>
    <cellStyle name="Normal 5 4 3 2 2 3 5" xfId="40235"/>
    <cellStyle name="Normal 5 4 3 2 2 3 6" xfId="40236"/>
    <cellStyle name="Normal 5 4 3 2 2 4" xfId="40237"/>
    <cellStyle name="Normal 5 4 3 2 2 4 2" xfId="40238"/>
    <cellStyle name="Normal 5 4 3 2 2 4 2 2" xfId="40239"/>
    <cellStyle name="Normal 5 4 3 2 2 4 2 3" xfId="40240"/>
    <cellStyle name="Normal 5 4 3 2 2 4 3" xfId="40241"/>
    <cellStyle name="Normal 5 4 3 2 2 4 3 2" xfId="40242"/>
    <cellStyle name="Normal 5 4 3 2 2 4 3 3" xfId="40243"/>
    <cellStyle name="Normal 5 4 3 2 2 4 4" xfId="40244"/>
    <cellStyle name="Normal 5 4 3 2 2 4 5" xfId="40245"/>
    <cellStyle name="Normal 5 4 3 2 2 5" xfId="40246"/>
    <cellStyle name="Normal 5 4 3 2 2 5 2" xfId="40247"/>
    <cellStyle name="Normal 5 4 3 2 2 5 3" xfId="40248"/>
    <cellStyle name="Normal 5 4 3 2 2 6" xfId="40249"/>
    <cellStyle name="Normal 5 4 3 2 2 6 2" xfId="40250"/>
    <cellStyle name="Normal 5 4 3 2 2 6 3" xfId="40251"/>
    <cellStyle name="Normal 5 4 3 2 2 7" xfId="40252"/>
    <cellStyle name="Normal 5 4 3 2 2 8" xfId="40253"/>
    <cellStyle name="Normal 5 4 3 2 3" xfId="40254"/>
    <cellStyle name="Normal 5 4 3 2 3 2" xfId="40255"/>
    <cellStyle name="Normal 5 4 3 2 3 2 2" xfId="40256"/>
    <cellStyle name="Normal 5 4 3 2 3 2 2 2" xfId="40257"/>
    <cellStyle name="Normal 5 4 3 2 3 2 2 3" xfId="40258"/>
    <cellStyle name="Normal 5 4 3 2 3 2 3" xfId="40259"/>
    <cellStyle name="Normal 5 4 3 2 3 2 3 2" xfId="40260"/>
    <cellStyle name="Normal 5 4 3 2 3 2 3 3" xfId="40261"/>
    <cellStyle name="Normal 5 4 3 2 3 2 4" xfId="40262"/>
    <cellStyle name="Normal 5 4 3 2 3 2 5" xfId="40263"/>
    <cellStyle name="Normal 5 4 3 2 3 3" xfId="40264"/>
    <cellStyle name="Normal 5 4 3 2 3 3 2" xfId="40265"/>
    <cellStyle name="Normal 5 4 3 2 3 3 3" xfId="40266"/>
    <cellStyle name="Normal 5 4 3 2 3 4" xfId="40267"/>
    <cellStyle name="Normal 5 4 3 2 3 4 2" xfId="40268"/>
    <cellStyle name="Normal 5 4 3 2 3 4 3" xfId="40269"/>
    <cellStyle name="Normal 5 4 3 2 3 5" xfId="40270"/>
    <cellStyle name="Normal 5 4 3 2 3 6" xfId="40271"/>
    <cellStyle name="Normal 5 4 3 2 4" xfId="40272"/>
    <cellStyle name="Normal 5 4 3 2 4 2" xfId="40273"/>
    <cellStyle name="Normal 5 4 3 2 4 2 2" xfId="40274"/>
    <cellStyle name="Normal 5 4 3 2 4 2 2 2" xfId="40275"/>
    <cellStyle name="Normal 5 4 3 2 4 2 2 3" xfId="40276"/>
    <cellStyle name="Normal 5 4 3 2 4 2 3" xfId="40277"/>
    <cellStyle name="Normal 5 4 3 2 4 2 3 2" xfId="40278"/>
    <cellStyle name="Normal 5 4 3 2 4 2 3 3" xfId="40279"/>
    <cellStyle name="Normal 5 4 3 2 4 2 4" xfId="40280"/>
    <cellStyle name="Normal 5 4 3 2 4 2 5" xfId="40281"/>
    <cellStyle name="Normal 5 4 3 2 4 3" xfId="40282"/>
    <cellStyle name="Normal 5 4 3 2 4 3 2" xfId="40283"/>
    <cellStyle name="Normal 5 4 3 2 4 3 3" xfId="40284"/>
    <cellStyle name="Normal 5 4 3 2 4 4" xfId="40285"/>
    <cellStyle name="Normal 5 4 3 2 4 4 2" xfId="40286"/>
    <cellStyle name="Normal 5 4 3 2 4 4 3" xfId="40287"/>
    <cellStyle name="Normal 5 4 3 2 4 5" xfId="40288"/>
    <cellStyle name="Normal 5 4 3 2 4 6" xfId="40289"/>
    <cellStyle name="Normal 5 4 3 2 5" xfId="40290"/>
    <cellStyle name="Normal 5 4 3 2 5 2" xfId="40291"/>
    <cellStyle name="Normal 5 4 3 2 5 2 2" xfId="40292"/>
    <cellStyle name="Normal 5 4 3 2 5 2 3" xfId="40293"/>
    <cellStyle name="Normal 5 4 3 2 5 3" xfId="40294"/>
    <cellStyle name="Normal 5 4 3 2 5 3 2" xfId="40295"/>
    <cellStyle name="Normal 5 4 3 2 5 3 3" xfId="40296"/>
    <cellStyle name="Normal 5 4 3 2 5 4" xfId="40297"/>
    <cellStyle name="Normal 5 4 3 2 5 5" xfId="40298"/>
    <cellStyle name="Normal 5 4 3 2 6" xfId="40299"/>
    <cellStyle name="Normal 5 4 3 2 6 2" xfId="40300"/>
    <cellStyle name="Normal 5 4 3 2 6 3" xfId="40301"/>
    <cellStyle name="Normal 5 4 3 2 7" xfId="40302"/>
    <cellStyle name="Normal 5 4 3 2 7 2" xfId="40303"/>
    <cellStyle name="Normal 5 4 3 2 7 3" xfId="40304"/>
    <cellStyle name="Normal 5 4 3 2 8" xfId="40305"/>
    <cellStyle name="Normal 5 4 3 2 9" xfId="40306"/>
    <cellStyle name="Normal 5 4 3 3" xfId="40307"/>
    <cellStyle name="Normal 5 4 3 3 2" xfId="40308"/>
    <cellStyle name="Normal 5 4 3 3 2 2" xfId="40309"/>
    <cellStyle name="Normal 5 4 3 3 2 2 2" xfId="40310"/>
    <cellStyle name="Normal 5 4 3 3 2 2 2 2" xfId="40311"/>
    <cellStyle name="Normal 5 4 3 3 2 2 2 3" xfId="40312"/>
    <cellStyle name="Normal 5 4 3 3 2 2 3" xfId="40313"/>
    <cellStyle name="Normal 5 4 3 3 2 2 3 2" xfId="40314"/>
    <cellStyle name="Normal 5 4 3 3 2 2 3 3" xfId="40315"/>
    <cellStyle name="Normal 5 4 3 3 2 2 4" xfId="40316"/>
    <cellStyle name="Normal 5 4 3 3 2 2 5" xfId="40317"/>
    <cellStyle name="Normal 5 4 3 3 2 3" xfId="40318"/>
    <cellStyle name="Normal 5 4 3 3 2 3 2" xfId="40319"/>
    <cellStyle name="Normal 5 4 3 3 2 3 3" xfId="40320"/>
    <cellStyle name="Normal 5 4 3 3 2 4" xfId="40321"/>
    <cellStyle name="Normal 5 4 3 3 2 4 2" xfId="40322"/>
    <cellStyle name="Normal 5 4 3 3 2 4 3" xfId="40323"/>
    <cellStyle name="Normal 5 4 3 3 2 5" xfId="40324"/>
    <cellStyle name="Normal 5 4 3 3 2 6" xfId="40325"/>
    <cellStyle name="Normal 5 4 3 3 3" xfId="40326"/>
    <cellStyle name="Normal 5 4 3 3 3 2" xfId="40327"/>
    <cellStyle name="Normal 5 4 3 3 3 2 2" xfId="40328"/>
    <cellStyle name="Normal 5 4 3 3 3 2 2 2" xfId="40329"/>
    <cellStyle name="Normal 5 4 3 3 3 2 2 3" xfId="40330"/>
    <cellStyle name="Normal 5 4 3 3 3 2 3" xfId="40331"/>
    <cellStyle name="Normal 5 4 3 3 3 2 3 2" xfId="40332"/>
    <cellStyle name="Normal 5 4 3 3 3 2 3 3" xfId="40333"/>
    <cellStyle name="Normal 5 4 3 3 3 2 4" xfId="40334"/>
    <cellStyle name="Normal 5 4 3 3 3 2 5" xfId="40335"/>
    <cellStyle name="Normal 5 4 3 3 3 3" xfId="40336"/>
    <cellStyle name="Normal 5 4 3 3 3 3 2" xfId="40337"/>
    <cellStyle name="Normal 5 4 3 3 3 3 3" xfId="40338"/>
    <cellStyle name="Normal 5 4 3 3 3 4" xfId="40339"/>
    <cellStyle name="Normal 5 4 3 3 3 4 2" xfId="40340"/>
    <cellStyle name="Normal 5 4 3 3 3 4 3" xfId="40341"/>
    <cellStyle name="Normal 5 4 3 3 3 5" xfId="40342"/>
    <cellStyle name="Normal 5 4 3 3 3 6" xfId="40343"/>
    <cellStyle name="Normal 5 4 3 3 4" xfId="40344"/>
    <cellStyle name="Normal 5 4 3 3 4 2" xfId="40345"/>
    <cellStyle name="Normal 5 4 3 3 4 2 2" xfId="40346"/>
    <cellStyle name="Normal 5 4 3 3 4 2 3" xfId="40347"/>
    <cellStyle name="Normal 5 4 3 3 4 3" xfId="40348"/>
    <cellStyle name="Normal 5 4 3 3 4 3 2" xfId="40349"/>
    <cellStyle name="Normal 5 4 3 3 4 3 3" xfId="40350"/>
    <cellStyle name="Normal 5 4 3 3 4 4" xfId="40351"/>
    <cellStyle name="Normal 5 4 3 3 4 5" xfId="40352"/>
    <cellStyle name="Normal 5 4 3 3 5" xfId="40353"/>
    <cellStyle name="Normal 5 4 3 3 5 2" xfId="40354"/>
    <cellStyle name="Normal 5 4 3 3 5 3" xfId="40355"/>
    <cellStyle name="Normal 5 4 3 3 6" xfId="40356"/>
    <cellStyle name="Normal 5 4 3 3 6 2" xfId="40357"/>
    <cellStyle name="Normal 5 4 3 3 6 3" xfId="40358"/>
    <cellStyle name="Normal 5 4 3 3 7" xfId="40359"/>
    <cellStyle name="Normal 5 4 3 3 8" xfId="40360"/>
    <cellStyle name="Normal 5 4 3 4" xfId="40361"/>
    <cellStyle name="Normal 5 4 3 4 2" xfId="40362"/>
    <cellStyle name="Normal 5 4 3 4 2 2" xfId="40363"/>
    <cellStyle name="Normal 5 4 3 4 2 2 2" xfId="40364"/>
    <cellStyle name="Normal 5 4 3 4 2 2 3" xfId="40365"/>
    <cellStyle name="Normal 5 4 3 4 2 3" xfId="40366"/>
    <cellStyle name="Normal 5 4 3 4 2 3 2" xfId="40367"/>
    <cellStyle name="Normal 5 4 3 4 2 3 3" xfId="40368"/>
    <cellStyle name="Normal 5 4 3 4 2 4" xfId="40369"/>
    <cellStyle name="Normal 5 4 3 4 2 5" xfId="40370"/>
    <cellStyle name="Normal 5 4 3 4 3" xfId="40371"/>
    <cellStyle name="Normal 5 4 3 4 3 2" xfId="40372"/>
    <cellStyle name="Normal 5 4 3 4 3 3" xfId="40373"/>
    <cellStyle name="Normal 5 4 3 4 4" xfId="40374"/>
    <cellStyle name="Normal 5 4 3 4 4 2" xfId="40375"/>
    <cellStyle name="Normal 5 4 3 4 4 3" xfId="40376"/>
    <cellStyle name="Normal 5 4 3 4 5" xfId="40377"/>
    <cellStyle name="Normal 5 4 3 4 6" xfId="40378"/>
    <cellStyle name="Normal 5 4 3 5" xfId="40379"/>
    <cellStyle name="Normal 5 4 3 5 2" xfId="40380"/>
    <cellStyle name="Normal 5 4 3 5 2 2" xfId="40381"/>
    <cellStyle name="Normal 5 4 3 5 2 2 2" xfId="40382"/>
    <cellStyle name="Normal 5 4 3 5 2 2 3" xfId="40383"/>
    <cellStyle name="Normal 5 4 3 5 2 3" xfId="40384"/>
    <cellStyle name="Normal 5 4 3 5 2 3 2" xfId="40385"/>
    <cellStyle name="Normal 5 4 3 5 2 3 3" xfId="40386"/>
    <cellStyle name="Normal 5 4 3 5 2 4" xfId="40387"/>
    <cellStyle name="Normal 5 4 3 5 2 5" xfId="40388"/>
    <cellStyle name="Normal 5 4 3 5 3" xfId="40389"/>
    <cellStyle name="Normal 5 4 3 5 3 2" xfId="40390"/>
    <cellStyle name="Normal 5 4 3 5 3 3" xfId="40391"/>
    <cellStyle name="Normal 5 4 3 5 4" xfId="40392"/>
    <cellStyle name="Normal 5 4 3 5 4 2" xfId="40393"/>
    <cellStyle name="Normal 5 4 3 5 4 3" xfId="40394"/>
    <cellStyle name="Normal 5 4 3 5 5" xfId="40395"/>
    <cellStyle name="Normal 5 4 3 5 6" xfId="40396"/>
    <cellStyle name="Normal 5 4 3 6" xfId="40397"/>
    <cellStyle name="Normal 5 4 3 6 2" xfId="40398"/>
    <cellStyle name="Normal 5 4 3 6 2 2" xfId="40399"/>
    <cellStyle name="Normal 5 4 3 6 2 3" xfId="40400"/>
    <cellStyle name="Normal 5 4 3 6 3" xfId="40401"/>
    <cellStyle name="Normal 5 4 3 6 3 2" xfId="40402"/>
    <cellStyle name="Normal 5 4 3 6 3 3" xfId="40403"/>
    <cellStyle name="Normal 5 4 3 6 4" xfId="40404"/>
    <cellStyle name="Normal 5 4 3 6 5" xfId="40405"/>
    <cellStyle name="Normal 5 4 3 7" xfId="40406"/>
    <cellStyle name="Normal 5 4 3 7 2" xfId="40407"/>
    <cellStyle name="Normal 5 4 3 7 3" xfId="40408"/>
    <cellStyle name="Normal 5 4 3 8" xfId="40409"/>
    <cellStyle name="Normal 5 4 3 8 2" xfId="40410"/>
    <cellStyle name="Normal 5 4 3 8 3" xfId="40411"/>
    <cellStyle name="Normal 5 4 3 9" xfId="40412"/>
    <cellStyle name="Normal 5 4 4" xfId="40413"/>
    <cellStyle name="Normal 5 4 4 2" xfId="40414"/>
    <cellStyle name="Normal 5 4 4 2 2" xfId="40415"/>
    <cellStyle name="Normal 5 4 4 2 2 2" xfId="40416"/>
    <cellStyle name="Normal 5 4 4 2 2 2 2" xfId="40417"/>
    <cellStyle name="Normal 5 4 4 2 2 2 2 2" xfId="40418"/>
    <cellStyle name="Normal 5 4 4 2 2 2 2 3" xfId="40419"/>
    <cellStyle name="Normal 5 4 4 2 2 2 3" xfId="40420"/>
    <cellStyle name="Normal 5 4 4 2 2 2 3 2" xfId="40421"/>
    <cellStyle name="Normal 5 4 4 2 2 2 3 3" xfId="40422"/>
    <cellStyle name="Normal 5 4 4 2 2 2 4" xfId="40423"/>
    <cellStyle name="Normal 5 4 4 2 2 2 5" xfId="40424"/>
    <cellStyle name="Normal 5 4 4 2 2 3" xfId="40425"/>
    <cellStyle name="Normal 5 4 4 2 2 3 2" xfId="40426"/>
    <cellStyle name="Normal 5 4 4 2 2 3 3" xfId="40427"/>
    <cellStyle name="Normal 5 4 4 2 2 4" xfId="40428"/>
    <cellStyle name="Normal 5 4 4 2 2 4 2" xfId="40429"/>
    <cellStyle name="Normal 5 4 4 2 2 4 3" xfId="40430"/>
    <cellStyle name="Normal 5 4 4 2 2 5" xfId="40431"/>
    <cellStyle name="Normal 5 4 4 2 2 6" xfId="40432"/>
    <cellStyle name="Normal 5 4 4 2 3" xfId="40433"/>
    <cellStyle name="Normal 5 4 4 2 3 2" xfId="40434"/>
    <cellStyle name="Normal 5 4 4 2 3 2 2" xfId="40435"/>
    <cellStyle name="Normal 5 4 4 2 3 2 2 2" xfId="40436"/>
    <cellStyle name="Normal 5 4 4 2 3 2 2 3" xfId="40437"/>
    <cellStyle name="Normal 5 4 4 2 3 2 3" xfId="40438"/>
    <cellStyle name="Normal 5 4 4 2 3 2 3 2" xfId="40439"/>
    <cellStyle name="Normal 5 4 4 2 3 2 3 3" xfId="40440"/>
    <cellStyle name="Normal 5 4 4 2 3 2 4" xfId="40441"/>
    <cellStyle name="Normal 5 4 4 2 3 2 5" xfId="40442"/>
    <cellStyle name="Normal 5 4 4 2 3 3" xfId="40443"/>
    <cellStyle name="Normal 5 4 4 2 3 3 2" xfId="40444"/>
    <cellStyle name="Normal 5 4 4 2 3 3 3" xfId="40445"/>
    <cellStyle name="Normal 5 4 4 2 3 4" xfId="40446"/>
    <cellStyle name="Normal 5 4 4 2 3 4 2" xfId="40447"/>
    <cellStyle name="Normal 5 4 4 2 3 4 3" xfId="40448"/>
    <cellStyle name="Normal 5 4 4 2 3 5" xfId="40449"/>
    <cellStyle name="Normal 5 4 4 2 3 6" xfId="40450"/>
    <cellStyle name="Normal 5 4 4 2 4" xfId="40451"/>
    <cellStyle name="Normal 5 4 4 2 4 2" xfId="40452"/>
    <cellStyle name="Normal 5 4 4 2 4 2 2" xfId="40453"/>
    <cellStyle name="Normal 5 4 4 2 4 2 3" xfId="40454"/>
    <cellStyle name="Normal 5 4 4 2 4 3" xfId="40455"/>
    <cellStyle name="Normal 5 4 4 2 4 3 2" xfId="40456"/>
    <cellStyle name="Normal 5 4 4 2 4 3 3" xfId="40457"/>
    <cellStyle name="Normal 5 4 4 2 4 4" xfId="40458"/>
    <cellStyle name="Normal 5 4 4 2 4 5" xfId="40459"/>
    <cellStyle name="Normal 5 4 4 2 5" xfId="40460"/>
    <cellStyle name="Normal 5 4 4 2 5 2" xfId="40461"/>
    <cellStyle name="Normal 5 4 4 2 5 3" xfId="40462"/>
    <cellStyle name="Normal 5 4 4 2 6" xfId="40463"/>
    <cellStyle name="Normal 5 4 4 2 6 2" xfId="40464"/>
    <cellStyle name="Normal 5 4 4 2 6 3" xfId="40465"/>
    <cellStyle name="Normal 5 4 4 2 7" xfId="40466"/>
    <cellStyle name="Normal 5 4 4 2 8" xfId="40467"/>
    <cellStyle name="Normal 5 4 4 3" xfId="40468"/>
    <cellStyle name="Normal 5 4 4 3 2" xfId="40469"/>
    <cellStyle name="Normal 5 4 4 3 2 2" xfId="40470"/>
    <cellStyle name="Normal 5 4 4 3 2 2 2" xfId="40471"/>
    <cellStyle name="Normal 5 4 4 3 2 2 3" xfId="40472"/>
    <cellStyle name="Normal 5 4 4 3 2 3" xfId="40473"/>
    <cellStyle name="Normal 5 4 4 3 2 3 2" xfId="40474"/>
    <cellStyle name="Normal 5 4 4 3 2 3 3" xfId="40475"/>
    <cellStyle name="Normal 5 4 4 3 2 4" xfId="40476"/>
    <cellStyle name="Normal 5 4 4 3 2 5" xfId="40477"/>
    <cellStyle name="Normal 5 4 4 3 3" xfId="40478"/>
    <cellStyle name="Normal 5 4 4 3 3 2" xfId="40479"/>
    <cellStyle name="Normal 5 4 4 3 3 3" xfId="40480"/>
    <cellStyle name="Normal 5 4 4 3 4" xfId="40481"/>
    <cellStyle name="Normal 5 4 4 3 4 2" xfId="40482"/>
    <cellStyle name="Normal 5 4 4 3 4 3" xfId="40483"/>
    <cellStyle name="Normal 5 4 4 3 5" xfId="40484"/>
    <cellStyle name="Normal 5 4 4 3 6" xfId="40485"/>
    <cellStyle name="Normal 5 4 4 4" xfId="40486"/>
    <cellStyle name="Normal 5 4 4 4 2" xfId="40487"/>
    <cellStyle name="Normal 5 4 4 4 2 2" xfId="40488"/>
    <cellStyle name="Normal 5 4 4 4 2 2 2" xfId="40489"/>
    <cellStyle name="Normal 5 4 4 4 2 2 3" xfId="40490"/>
    <cellStyle name="Normal 5 4 4 4 2 3" xfId="40491"/>
    <cellStyle name="Normal 5 4 4 4 2 3 2" xfId="40492"/>
    <cellStyle name="Normal 5 4 4 4 2 3 3" xfId="40493"/>
    <cellStyle name="Normal 5 4 4 4 2 4" xfId="40494"/>
    <cellStyle name="Normal 5 4 4 4 2 5" xfId="40495"/>
    <cellStyle name="Normal 5 4 4 4 3" xfId="40496"/>
    <cellStyle name="Normal 5 4 4 4 3 2" xfId="40497"/>
    <cellStyle name="Normal 5 4 4 4 3 3" xfId="40498"/>
    <cellStyle name="Normal 5 4 4 4 4" xfId="40499"/>
    <cellStyle name="Normal 5 4 4 4 4 2" xfId="40500"/>
    <cellStyle name="Normal 5 4 4 4 4 3" xfId="40501"/>
    <cellStyle name="Normal 5 4 4 4 5" xfId="40502"/>
    <cellStyle name="Normal 5 4 4 4 6" xfId="40503"/>
    <cellStyle name="Normal 5 4 4 5" xfId="40504"/>
    <cellStyle name="Normal 5 4 4 5 2" xfId="40505"/>
    <cellStyle name="Normal 5 4 4 5 2 2" xfId="40506"/>
    <cellStyle name="Normal 5 4 4 5 2 3" xfId="40507"/>
    <cellStyle name="Normal 5 4 4 5 3" xfId="40508"/>
    <cellStyle name="Normal 5 4 4 5 3 2" xfId="40509"/>
    <cellStyle name="Normal 5 4 4 5 3 3" xfId="40510"/>
    <cellStyle name="Normal 5 4 4 5 4" xfId="40511"/>
    <cellStyle name="Normal 5 4 4 5 5" xfId="40512"/>
    <cellStyle name="Normal 5 4 4 6" xfId="40513"/>
    <cellStyle name="Normal 5 4 4 6 2" xfId="40514"/>
    <cellStyle name="Normal 5 4 4 6 3" xfId="40515"/>
    <cellStyle name="Normal 5 4 4 7" xfId="40516"/>
    <cellStyle name="Normal 5 4 4 7 2" xfId="40517"/>
    <cellStyle name="Normal 5 4 4 7 3" xfId="40518"/>
    <cellStyle name="Normal 5 4 4 8" xfId="40519"/>
    <cellStyle name="Normal 5 4 4 9" xfId="40520"/>
    <cellStyle name="Normal 5 4 5" xfId="40521"/>
    <cellStyle name="Normal 5 4 5 2" xfId="40522"/>
    <cellStyle name="Normal 5 4 5 2 2" xfId="40523"/>
    <cellStyle name="Normal 5 4 5 2 2 2" xfId="40524"/>
    <cellStyle name="Normal 5 4 5 2 2 2 2" xfId="40525"/>
    <cellStyle name="Normal 5 4 5 2 2 2 3" xfId="40526"/>
    <cellStyle name="Normal 5 4 5 2 2 3" xfId="40527"/>
    <cellStyle name="Normal 5 4 5 2 2 3 2" xfId="40528"/>
    <cellStyle name="Normal 5 4 5 2 2 3 3" xfId="40529"/>
    <cellStyle name="Normal 5 4 5 2 2 4" xfId="40530"/>
    <cellStyle name="Normal 5 4 5 2 2 5" xfId="40531"/>
    <cellStyle name="Normal 5 4 5 2 3" xfId="40532"/>
    <cellStyle name="Normal 5 4 5 2 3 2" xfId="40533"/>
    <cellStyle name="Normal 5 4 5 2 3 3" xfId="40534"/>
    <cellStyle name="Normal 5 4 5 2 4" xfId="40535"/>
    <cellStyle name="Normal 5 4 5 2 4 2" xfId="40536"/>
    <cellStyle name="Normal 5 4 5 2 4 3" xfId="40537"/>
    <cellStyle name="Normal 5 4 5 2 5" xfId="40538"/>
    <cellStyle name="Normal 5 4 5 2 6" xfId="40539"/>
    <cellStyle name="Normal 5 4 5 3" xfId="40540"/>
    <cellStyle name="Normal 5 4 5 3 2" xfId="40541"/>
    <cellStyle name="Normal 5 4 5 3 2 2" xfId="40542"/>
    <cellStyle name="Normal 5 4 5 3 2 2 2" xfId="40543"/>
    <cellStyle name="Normal 5 4 5 3 2 2 3" xfId="40544"/>
    <cellStyle name="Normal 5 4 5 3 2 3" xfId="40545"/>
    <cellStyle name="Normal 5 4 5 3 2 3 2" xfId="40546"/>
    <cellStyle name="Normal 5 4 5 3 2 3 3" xfId="40547"/>
    <cellStyle name="Normal 5 4 5 3 2 4" xfId="40548"/>
    <cellStyle name="Normal 5 4 5 3 2 5" xfId="40549"/>
    <cellStyle name="Normal 5 4 5 3 3" xfId="40550"/>
    <cellStyle name="Normal 5 4 5 3 3 2" xfId="40551"/>
    <cellStyle name="Normal 5 4 5 3 3 3" xfId="40552"/>
    <cellStyle name="Normal 5 4 5 3 4" xfId="40553"/>
    <cellStyle name="Normal 5 4 5 3 4 2" xfId="40554"/>
    <cellStyle name="Normal 5 4 5 3 4 3" xfId="40555"/>
    <cellStyle name="Normal 5 4 5 3 5" xfId="40556"/>
    <cellStyle name="Normal 5 4 5 3 6" xfId="40557"/>
    <cellStyle name="Normal 5 4 5 4" xfId="40558"/>
    <cellStyle name="Normal 5 4 5 4 2" xfId="40559"/>
    <cellStyle name="Normal 5 4 5 4 2 2" xfId="40560"/>
    <cellStyle name="Normal 5 4 5 4 2 3" xfId="40561"/>
    <cellStyle name="Normal 5 4 5 4 3" xfId="40562"/>
    <cellStyle name="Normal 5 4 5 4 3 2" xfId="40563"/>
    <cellStyle name="Normal 5 4 5 4 3 3" xfId="40564"/>
    <cellStyle name="Normal 5 4 5 4 4" xfId="40565"/>
    <cellStyle name="Normal 5 4 5 4 5" xfId="40566"/>
    <cellStyle name="Normal 5 4 5 5" xfId="40567"/>
    <cellStyle name="Normal 5 4 5 5 2" xfId="40568"/>
    <cellStyle name="Normal 5 4 5 5 3" xfId="40569"/>
    <cellStyle name="Normal 5 4 5 6" xfId="40570"/>
    <cellStyle name="Normal 5 4 5 6 2" xfId="40571"/>
    <cellStyle name="Normal 5 4 5 6 3" xfId="40572"/>
    <cellStyle name="Normal 5 4 5 7" xfId="40573"/>
    <cellStyle name="Normal 5 4 5 8" xfId="40574"/>
    <cellStyle name="Normal 5 4 6" xfId="40575"/>
    <cellStyle name="Normal 5 4 6 2" xfId="40576"/>
    <cellStyle name="Normal 5 4 6 2 2" xfId="40577"/>
    <cellStyle name="Normal 5 4 6 2 2 2" xfId="40578"/>
    <cellStyle name="Normal 5 4 6 2 2 3" xfId="40579"/>
    <cellStyle name="Normal 5 4 6 2 3" xfId="40580"/>
    <cellStyle name="Normal 5 4 6 2 3 2" xfId="40581"/>
    <cellStyle name="Normal 5 4 6 2 3 3" xfId="40582"/>
    <cellStyle name="Normal 5 4 6 2 4" xfId="40583"/>
    <cellStyle name="Normal 5 4 6 2 5" xfId="40584"/>
    <cellStyle name="Normal 5 4 6 3" xfId="40585"/>
    <cellStyle name="Normal 5 4 6 3 2" xfId="40586"/>
    <cellStyle name="Normal 5 4 6 3 3" xfId="40587"/>
    <cellStyle name="Normal 5 4 6 4" xfId="40588"/>
    <cellStyle name="Normal 5 4 6 4 2" xfId="40589"/>
    <cellStyle name="Normal 5 4 6 4 3" xfId="40590"/>
    <cellStyle name="Normal 5 4 6 5" xfId="40591"/>
    <cellStyle name="Normal 5 4 6 6" xfId="40592"/>
    <cellStyle name="Normal 5 4 7" xfId="40593"/>
    <cellStyle name="Normal 5 4 7 2" xfId="40594"/>
    <cellStyle name="Normal 5 4 7 2 2" xfId="40595"/>
    <cellStyle name="Normal 5 4 7 2 2 2" xfId="40596"/>
    <cellStyle name="Normal 5 4 7 2 2 3" xfId="40597"/>
    <cellStyle name="Normal 5 4 7 2 3" xfId="40598"/>
    <cellStyle name="Normal 5 4 7 2 3 2" xfId="40599"/>
    <cellStyle name="Normal 5 4 7 2 3 3" xfId="40600"/>
    <cellStyle name="Normal 5 4 7 2 4" xfId="40601"/>
    <cellStyle name="Normal 5 4 7 2 5" xfId="40602"/>
    <cellStyle name="Normal 5 4 7 3" xfId="40603"/>
    <cellStyle name="Normal 5 4 7 3 2" xfId="40604"/>
    <cellStyle name="Normal 5 4 7 3 3" xfId="40605"/>
    <cellStyle name="Normal 5 4 7 4" xfId="40606"/>
    <cellStyle name="Normal 5 4 7 4 2" xfId="40607"/>
    <cellStyle name="Normal 5 4 7 4 3" xfId="40608"/>
    <cellStyle name="Normal 5 4 7 5" xfId="40609"/>
    <cellStyle name="Normal 5 4 7 6" xfId="40610"/>
    <cellStyle name="Normal 5 4 8" xfId="40611"/>
    <cellStyle name="Normal 5 4 8 2" xfId="40612"/>
    <cellStyle name="Normal 5 4 8 2 2" xfId="40613"/>
    <cellStyle name="Normal 5 4 8 2 3" xfId="40614"/>
    <cellStyle name="Normal 5 4 8 3" xfId="40615"/>
    <cellStyle name="Normal 5 4 8 3 2" xfId="40616"/>
    <cellStyle name="Normal 5 4 8 3 3" xfId="40617"/>
    <cellStyle name="Normal 5 4 8 4" xfId="40618"/>
    <cellStyle name="Normal 5 4 8 5" xfId="40619"/>
    <cellStyle name="Normal 5 4 9" xfId="40620"/>
    <cellStyle name="Normal 5 4 9 2" xfId="40621"/>
    <cellStyle name="Normal 5 4 9 3" xfId="40622"/>
    <cellStyle name="Normal 5 5" xfId="40623"/>
    <cellStyle name="Normal 5 5 10" xfId="40624"/>
    <cellStyle name="Normal 5 5 10 2" xfId="40625"/>
    <cellStyle name="Normal 5 5 10 3" xfId="40626"/>
    <cellStyle name="Normal 5 5 11" xfId="40627"/>
    <cellStyle name="Normal 5 5 12" xfId="40628"/>
    <cellStyle name="Normal 5 5 13" xfId="40629"/>
    <cellStyle name="Normal 5 5 14" xfId="40630"/>
    <cellStyle name="Normal 5 5 2" xfId="40631"/>
    <cellStyle name="Normal 5 5 2 10" xfId="40632"/>
    <cellStyle name="Normal 5 5 2 11" xfId="40633"/>
    <cellStyle name="Normal 5 5 2 12" xfId="40634"/>
    <cellStyle name="Normal 5 5 2 2" xfId="40635"/>
    <cellStyle name="Normal 5 5 2 2 2" xfId="40636"/>
    <cellStyle name="Normal 5 5 2 2 2 2" xfId="40637"/>
    <cellStyle name="Normal 5 5 2 2 2 2 2" xfId="40638"/>
    <cellStyle name="Normal 5 5 2 2 2 2 2 2" xfId="40639"/>
    <cellStyle name="Normal 5 5 2 2 2 2 2 2 2" xfId="40640"/>
    <cellStyle name="Normal 5 5 2 2 2 2 2 2 3" xfId="40641"/>
    <cellStyle name="Normal 5 5 2 2 2 2 2 3" xfId="40642"/>
    <cellStyle name="Normal 5 5 2 2 2 2 2 3 2" xfId="40643"/>
    <cellStyle name="Normal 5 5 2 2 2 2 2 3 3" xfId="40644"/>
    <cellStyle name="Normal 5 5 2 2 2 2 2 4" xfId="40645"/>
    <cellStyle name="Normal 5 5 2 2 2 2 2 5" xfId="40646"/>
    <cellStyle name="Normal 5 5 2 2 2 2 3" xfId="40647"/>
    <cellStyle name="Normal 5 5 2 2 2 2 3 2" xfId="40648"/>
    <cellStyle name="Normal 5 5 2 2 2 2 3 3" xfId="40649"/>
    <cellStyle name="Normal 5 5 2 2 2 2 4" xfId="40650"/>
    <cellStyle name="Normal 5 5 2 2 2 2 4 2" xfId="40651"/>
    <cellStyle name="Normal 5 5 2 2 2 2 4 3" xfId="40652"/>
    <cellStyle name="Normal 5 5 2 2 2 2 5" xfId="40653"/>
    <cellStyle name="Normal 5 5 2 2 2 2 6" xfId="40654"/>
    <cellStyle name="Normal 5 5 2 2 2 3" xfId="40655"/>
    <cellStyle name="Normal 5 5 2 2 2 3 2" xfId="40656"/>
    <cellStyle name="Normal 5 5 2 2 2 3 2 2" xfId="40657"/>
    <cellStyle name="Normal 5 5 2 2 2 3 2 2 2" xfId="40658"/>
    <cellStyle name="Normal 5 5 2 2 2 3 2 2 3" xfId="40659"/>
    <cellStyle name="Normal 5 5 2 2 2 3 2 3" xfId="40660"/>
    <cellStyle name="Normal 5 5 2 2 2 3 2 3 2" xfId="40661"/>
    <cellStyle name="Normal 5 5 2 2 2 3 2 3 3" xfId="40662"/>
    <cellStyle name="Normal 5 5 2 2 2 3 2 4" xfId="40663"/>
    <cellStyle name="Normal 5 5 2 2 2 3 2 5" xfId="40664"/>
    <cellStyle name="Normal 5 5 2 2 2 3 3" xfId="40665"/>
    <cellStyle name="Normal 5 5 2 2 2 3 3 2" xfId="40666"/>
    <cellStyle name="Normal 5 5 2 2 2 3 3 3" xfId="40667"/>
    <cellStyle name="Normal 5 5 2 2 2 3 4" xfId="40668"/>
    <cellStyle name="Normal 5 5 2 2 2 3 4 2" xfId="40669"/>
    <cellStyle name="Normal 5 5 2 2 2 3 4 3" xfId="40670"/>
    <cellStyle name="Normal 5 5 2 2 2 3 5" xfId="40671"/>
    <cellStyle name="Normal 5 5 2 2 2 3 6" xfId="40672"/>
    <cellStyle name="Normal 5 5 2 2 2 4" xfId="40673"/>
    <cellStyle name="Normal 5 5 2 2 2 4 2" xfId="40674"/>
    <cellStyle name="Normal 5 5 2 2 2 4 2 2" xfId="40675"/>
    <cellStyle name="Normal 5 5 2 2 2 4 2 3" xfId="40676"/>
    <cellStyle name="Normal 5 5 2 2 2 4 3" xfId="40677"/>
    <cellStyle name="Normal 5 5 2 2 2 4 3 2" xfId="40678"/>
    <cellStyle name="Normal 5 5 2 2 2 4 3 3" xfId="40679"/>
    <cellStyle name="Normal 5 5 2 2 2 4 4" xfId="40680"/>
    <cellStyle name="Normal 5 5 2 2 2 4 5" xfId="40681"/>
    <cellStyle name="Normal 5 5 2 2 2 5" xfId="40682"/>
    <cellStyle name="Normal 5 5 2 2 2 5 2" xfId="40683"/>
    <cellStyle name="Normal 5 5 2 2 2 5 3" xfId="40684"/>
    <cellStyle name="Normal 5 5 2 2 2 6" xfId="40685"/>
    <cellStyle name="Normal 5 5 2 2 2 6 2" xfId="40686"/>
    <cellStyle name="Normal 5 5 2 2 2 6 3" xfId="40687"/>
    <cellStyle name="Normal 5 5 2 2 2 7" xfId="40688"/>
    <cellStyle name="Normal 5 5 2 2 2 8" xfId="40689"/>
    <cellStyle name="Normal 5 5 2 2 3" xfId="40690"/>
    <cellStyle name="Normal 5 5 2 2 3 2" xfId="40691"/>
    <cellStyle name="Normal 5 5 2 2 3 2 2" xfId="40692"/>
    <cellStyle name="Normal 5 5 2 2 3 2 2 2" xfId="40693"/>
    <cellStyle name="Normal 5 5 2 2 3 2 2 3" xfId="40694"/>
    <cellStyle name="Normal 5 5 2 2 3 2 3" xfId="40695"/>
    <cellStyle name="Normal 5 5 2 2 3 2 3 2" xfId="40696"/>
    <cellStyle name="Normal 5 5 2 2 3 2 3 3" xfId="40697"/>
    <cellStyle name="Normal 5 5 2 2 3 2 4" xfId="40698"/>
    <cellStyle name="Normal 5 5 2 2 3 2 5" xfId="40699"/>
    <cellStyle name="Normal 5 5 2 2 3 3" xfId="40700"/>
    <cellStyle name="Normal 5 5 2 2 3 3 2" xfId="40701"/>
    <cellStyle name="Normal 5 5 2 2 3 3 3" xfId="40702"/>
    <cellStyle name="Normal 5 5 2 2 3 4" xfId="40703"/>
    <cellStyle name="Normal 5 5 2 2 3 4 2" xfId="40704"/>
    <cellStyle name="Normal 5 5 2 2 3 4 3" xfId="40705"/>
    <cellStyle name="Normal 5 5 2 2 3 5" xfId="40706"/>
    <cellStyle name="Normal 5 5 2 2 3 6" xfId="40707"/>
    <cellStyle name="Normal 5 5 2 2 4" xfId="40708"/>
    <cellStyle name="Normal 5 5 2 2 4 2" xfId="40709"/>
    <cellStyle name="Normal 5 5 2 2 4 2 2" xfId="40710"/>
    <cellStyle name="Normal 5 5 2 2 4 2 2 2" xfId="40711"/>
    <cellStyle name="Normal 5 5 2 2 4 2 2 3" xfId="40712"/>
    <cellStyle name="Normal 5 5 2 2 4 2 3" xfId="40713"/>
    <cellStyle name="Normal 5 5 2 2 4 2 3 2" xfId="40714"/>
    <cellStyle name="Normal 5 5 2 2 4 2 3 3" xfId="40715"/>
    <cellStyle name="Normal 5 5 2 2 4 2 4" xfId="40716"/>
    <cellStyle name="Normal 5 5 2 2 4 2 5" xfId="40717"/>
    <cellStyle name="Normal 5 5 2 2 4 3" xfId="40718"/>
    <cellStyle name="Normal 5 5 2 2 4 3 2" xfId="40719"/>
    <cellStyle name="Normal 5 5 2 2 4 3 3" xfId="40720"/>
    <cellStyle name="Normal 5 5 2 2 4 4" xfId="40721"/>
    <cellStyle name="Normal 5 5 2 2 4 4 2" xfId="40722"/>
    <cellStyle name="Normal 5 5 2 2 4 4 3" xfId="40723"/>
    <cellStyle name="Normal 5 5 2 2 4 5" xfId="40724"/>
    <cellStyle name="Normal 5 5 2 2 4 6" xfId="40725"/>
    <cellStyle name="Normal 5 5 2 2 5" xfId="40726"/>
    <cellStyle name="Normal 5 5 2 2 5 2" xfId="40727"/>
    <cellStyle name="Normal 5 5 2 2 5 2 2" xfId="40728"/>
    <cellStyle name="Normal 5 5 2 2 5 2 3" xfId="40729"/>
    <cellStyle name="Normal 5 5 2 2 5 3" xfId="40730"/>
    <cellStyle name="Normal 5 5 2 2 5 3 2" xfId="40731"/>
    <cellStyle name="Normal 5 5 2 2 5 3 3" xfId="40732"/>
    <cellStyle name="Normal 5 5 2 2 5 4" xfId="40733"/>
    <cellStyle name="Normal 5 5 2 2 5 5" xfId="40734"/>
    <cellStyle name="Normal 5 5 2 2 6" xfId="40735"/>
    <cellStyle name="Normal 5 5 2 2 6 2" xfId="40736"/>
    <cellStyle name="Normal 5 5 2 2 6 3" xfId="40737"/>
    <cellStyle name="Normal 5 5 2 2 7" xfId="40738"/>
    <cellStyle name="Normal 5 5 2 2 7 2" xfId="40739"/>
    <cellStyle name="Normal 5 5 2 2 7 3" xfId="40740"/>
    <cellStyle name="Normal 5 5 2 2 8" xfId="40741"/>
    <cellStyle name="Normal 5 5 2 2 9" xfId="40742"/>
    <cellStyle name="Normal 5 5 2 3" xfId="40743"/>
    <cellStyle name="Normal 5 5 2 3 2" xfId="40744"/>
    <cellStyle name="Normal 5 5 2 3 2 2" xfId="40745"/>
    <cellStyle name="Normal 5 5 2 3 2 2 2" xfId="40746"/>
    <cellStyle name="Normal 5 5 2 3 2 2 2 2" xfId="40747"/>
    <cellStyle name="Normal 5 5 2 3 2 2 2 3" xfId="40748"/>
    <cellStyle name="Normal 5 5 2 3 2 2 3" xfId="40749"/>
    <cellStyle name="Normal 5 5 2 3 2 2 3 2" xfId="40750"/>
    <cellStyle name="Normal 5 5 2 3 2 2 3 3" xfId="40751"/>
    <cellStyle name="Normal 5 5 2 3 2 2 4" xfId="40752"/>
    <cellStyle name="Normal 5 5 2 3 2 2 5" xfId="40753"/>
    <cellStyle name="Normal 5 5 2 3 2 3" xfId="40754"/>
    <cellStyle name="Normal 5 5 2 3 2 3 2" xfId="40755"/>
    <cellStyle name="Normal 5 5 2 3 2 3 3" xfId="40756"/>
    <cellStyle name="Normal 5 5 2 3 2 4" xfId="40757"/>
    <cellStyle name="Normal 5 5 2 3 2 4 2" xfId="40758"/>
    <cellStyle name="Normal 5 5 2 3 2 4 3" xfId="40759"/>
    <cellStyle name="Normal 5 5 2 3 2 5" xfId="40760"/>
    <cellStyle name="Normal 5 5 2 3 2 6" xfId="40761"/>
    <cellStyle name="Normal 5 5 2 3 3" xfId="40762"/>
    <cellStyle name="Normal 5 5 2 3 3 2" xfId="40763"/>
    <cellStyle name="Normal 5 5 2 3 3 2 2" xfId="40764"/>
    <cellStyle name="Normal 5 5 2 3 3 2 2 2" xfId="40765"/>
    <cellStyle name="Normal 5 5 2 3 3 2 2 3" xfId="40766"/>
    <cellStyle name="Normal 5 5 2 3 3 2 3" xfId="40767"/>
    <cellStyle name="Normal 5 5 2 3 3 2 3 2" xfId="40768"/>
    <cellStyle name="Normal 5 5 2 3 3 2 3 3" xfId="40769"/>
    <cellStyle name="Normal 5 5 2 3 3 2 4" xfId="40770"/>
    <cellStyle name="Normal 5 5 2 3 3 2 5" xfId="40771"/>
    <cellStyle name="Normal 5 5 2 3 3 3" xfId="40772"/>
    <cellStyle name="Normal 5 5 2 3 3 3 2" xfId="40773"/>
    <cellStyle name="Normal 5 5 2 3 3 3 3" xfId="40774"/>
    <cellStyle name="Normal 5 5 2 3 3 4" xfId="40775"/>
    <cellStyle name="Normal 5 5 2 3 3 4 2" xfId="40776"/>
    <cellStyle name="Normal 5 5 2 3 3 4 3" xfId="40777"/>
    <cellStyle name="Normal 5 5 2 3 3 5" xfId="40778"/>
    <cellStyle name="Normal 5 5 2 3 3 6" xfId="40779"/>
    <cellStyle name="Normal 5 5 2 3 4" xfId="40780"/>
    <cellStyle name="Normal 5 5 2 3 4 2" xfId="40781"/>
    <cellStyle name="Normal 5 5 2 3 4 2 2" xfId="40782"/>
    <cellStyle name="Normal 5 5 2 3 4 2 3" xfId="40783"/>
    <cellStyle name="Normal 5 5 2 3 4 3" xfId="40784"/>
    <cellStyle name="Normal 5 5 2 3 4 3 2" xfId="40785"/>
    <cellStyle name="Normal 5 5 2 3 4 3 3" xfId="40786"/>
    <cellStyle name="Normal 5 5 2 3 4 4" xfId="40787"/>
    <cellStyle name="Normal 5 5 2 3 4 5" xfId="40788"/>
    <cellStyle name="Normal 5 5 2 3 5" xfId="40789"/>
    <cellStyle name="Normal 5 5 2 3 5 2" xfId="40790"/>
    <cellStyle name="Normal 5 5 2 3 5 3" xfId="40791"/>
    <cellStyle name="Normal 5 5 2 3 6" xfId="40792"/>
    <cellStyle name="Normal 5 5 2 3 6 2" xfId="40793"/>
    <cellStyle name="Normal 5 5 2 3 6 3" xfId="40794"/>
    <cellStyle name="Normal 5 5 2 3 7" xfId="40795"/>
    <cellStyle name="Normal 5 5 2 3 8" xfId="40796"/>
    <cellStyle name="Normal 5 5 2 4" xfId="40797"/>
    <cellStyle name="Normal 5 5 2 4 2" xfId="40798"/>
    <cellStyle name="Normal 5 5 2 4 2 2" xfId="40799"/>
    <cellStyle name="Normal 5 5 2 4 2 2 2" xfId="40800"/>
    <cellStyle name="Normal 5 5 2 4 2 2 3" xfId="40801"/>
    <cellStyle name="Normal 5 5 2 4 2 3" xfId="40802"/>
    <cellStyle name="Normal 5 5 2 4 2 3 2" xfId="40803"/>
    <cellStyle name="Normal 5 5 2 4 2 3 3" xfId="40804"/>
    <cellStyle name="Normal 5 5 2 4 2 4" xfId="40805"/>
    <cellStyle name="Normal 5 5 2 4 2 5" xfId="40806"/>
    <cellStyle name="Normal 5 5 2 4 3" xfId="40807"/>
    <cellStyle name="Normal 5 5 2 4 3 2" xfId="40808"/>
    <cellStyle name="Normal 5 5 2 4 3 3" xfId="40809"/>
    <cellStyle name="Normal 5 5 2 4 4" xfId="40810"/>
    <cellStyle name="Normal 5 5 2 4 4 2" xfId="40811"/>
    <cellStyle name="Normal 5 5 2 4 4 3" xfId="40812"/>
    <cellStyle name="Normal 5 5 2 4 5" xfId="40813"/>
    <cellStyle name="Normal 5 5 2 4 6" xfId="40814"/>
    <cellStyle name="Normal 5 5 2 5" xfId="40815"/>
    <cellStyle name="Normal 5 5 2 5 2" xfId="40816"/>
    <cellStyle name="Normal 5 5 2 5 2 2" xfId="40817"/>
    <cellStyle name="Normal 5 5 2 5 2 2 2" xfId="40818"/>
    <cellStyle name="Normal 5 5 2 5 2 2 3" xfId="40819"/>
    <cellStyle name="Normal 5 5 2 5 2 3" xfId="40820"/>
    <cellStyle name="Normal 5 5 2 5 2 3 2" xfId="40821"/>
    <cellStyle name="Normal 5 5 2 5 2 3 3" xfId="40822"/>
    <cellStyle name="Normal 5 5 2 5 2 4" xfId="40823"/>
    <cellStyle name="Normal 5 5 2 5 2 5" xfId="40824"/>
    <cellStyle name="Normal 5 5 2 5 3" xfId="40825"/>
    <cellStyle name="Normal 5 5 2 5 3 2" xfId="40826"/>
    <cellStyle name="Normal 5 5 2 5 3 3" xfId="40827"/>
    <cellStyle name="Normal 5 5 2 5 4" xfId="40828"/>
    <cellStyle name="Normal 5 5 2 5 4 2" xfId="40829"/>
    <cellStyle name="Normal 5 5 2 5 4 3" xfId="40830"/>
    <cellStyle name="Normal 5 5 2 5 5" xfId="40831"/>
    <cellStyle name="Normal 5 5 2 5 6" xfId="40832"/>
    <cellStyle name="Normal 5 5 2 6" xfId="40833"/>
    <cellStyle name="Normal 5 5 2 6 2" xfId="40834"/>
    <cellStyle name="Normal 5 5 2 6 2 2" xfId="40835"/>
    <cellStyle name="Normal 5 5 2 6 2 3" xfId="40836"/>
    <cellStyle name="Normal 5 5 2 6 3" xfId="40837"/>
    <cellStyle name="Normal 5 5 2 6 3 2" xfId="40838"/>
    <cellStyle name="Normal 5 5 2 6 3 3" xfId="40839"/>
    <cellStyle name="Normal 5 5 2 6 4" xfId="40840"/>
    <cellStyle name="Normal 5 5 2 6 5" xfId="40841"/>
    <cellStyle name="Normal 5 5 2 7" xfId="40842"/>
    <cellStyle name="Normal 5 5 2 7 2" xfId="40843"/>
    <cellStyle name="Normal 5 5 2 7 3" xfId="40844"/>
    <cellStyle name="Normal 5 5 2 8" xfId="40845"/>
    <cellStyle name="Normal 5 5 2 8 2" xfId="40846"/>
    <cellStyle name="Normal 5 5 2 8 3" xfId="40847"/>
    <cellStyle name="Normal 5 5 2 9" xfId="40848"/>
    <cellStyle name="Normal 5 5 3" xfId="40849"/>
    <cellStyle name="Normal 5 5 3 10" xfId="40850"/>
    <cellStyle name="Normal 5 5 3 2" xfId="40851"/>
    <cellStyle name="Normal 5 5 3 2 2" xfId="40852"/>
    <cellStyle name="Normal 5 5 3 2 2 2" xfId="40853"/>
    <cellStyle name="Normal 5 5 3 2 2 2 2" xfId="40854"/>
    <cellStyle name="Normal 5 5 3 2 2 2 2 2" xfId="40855"/>
    <cellStyle name="Normal 5 5 3 2 2 2 2 2 2" xfId="40856"/>
    <cellStyle name="Normal 5 5 3 2 2 2 2 2 3" xfId="40857"/>
    <cellStyle name="Normal 5 5 3 2 2 2 2 3" xfId="40858"/>
    <cellStyle name="Normal 5 5 3 2 2 2 2 3 2" xfId="40859"/>
    <cellStyle name="Normal 5 5 3 2 2 2 2 3 3" xfId="40860"/>
    <cellStyle name="Normal 5 5 3 2 2 2 2 4" xfId="40861"/>
    <cellStyle name="Normal 5 5 3 2 2 2 2 5" xfId="40862"/>
    <cellStyle name="Normal 5 5 3 2 2 2 3" xfId="40863"/>
    <cellStyle name="Normal 5 5 3 2 2 2 3 2" xfId="40864"/>
    <cellStyle name="Normal 5 5 3 2 2 2 3 3" xfId="40865"/>
    <cellStyle name="Normal 5 5 3 2 2 2 4" xfId="40866"/>
    <cellStyle name="Normal 5 5 3 2 2 2 4 2" xfId="40867"/>
    <cellStyle name="Normal 5 5 3 2 2 2 4 3" xfId="40868"/>
    <cellStyle name="Normal 5 5 3 2 2 2 5" xfId="40869"/>
    <cellStyle name="Normal 5 5 3 2 2 2 6" xfId="40870"/>
    <cellStyle name="Normal 5 5 3 2 2 3" xfId="40871"/>
    <cellStyle name="Normal 5 5 3 2 2 3 2" xfId="40872"/>
    <cellStyle name="Normal 5 5 3 2 2 3 2 2" xfId="40873"/>
    <cellStyle name="Normal 5 5 3 2 2 3 2 2 2" xfId="40874"/>
    <cellStyle name="Normal 5 5 3 2 2 3 2 2 3" xfId="40875"/>
    <cellStyle name="Normal 5 5 3 2 2 3 2 3" xfId="40876"/>
    <cellStyle name="Normal 5 5 3 2 2 3 2 3 2" xfId="40877"/>
    <cellStyle name="Normal 5 5 3 2 2 3 2 3 3" xfId="40878"/>
    <cellStyle name="Normal 5 5 3 2 2 3 2 4" xfId="40879"/>
    <cellStyle name="Normal 5 5 3 2 2 3 2 5" xfId="40880"/>
    <cellStyle name="Normal 5 5 3 2 2 3 3" xfId="40881"/>
    <cellStyle name="Normal 5 5 3 2 2 3 3 2" xfId="40882"/>
    <cellStyle name="Normal 5 5 3 2 2 3 3 3" xfId="40883"/>
    <cellStyle name="Normal 5 5 3 2 2 3 4" xfId="40884"/>
    <cellStyle name="Normal 5 5 3 2 2 3 4 2" xfId="40885"/>
    <cellStyle name="Normal 5 5 3 2 2 3 4 3" xfId="40886"/>
    <cellStyle name="Normal 5 5 3 2 2 3 5" xfId="40887"/>
    <cellStyle name="Normal 5 5 3 2 2 3 6" xfId="40888"/>
    <cellStyle name="Normal 5 5 3 2 2 4" xfId="40889"/>
    <cellStyle name="Normal 5 5 3 2 2 4 2" xfId="40890"/>
    <cellStyle name="Normal 5 5 3 2 2 4 2 2" xfId="40891"/>
    <cellStyle name="Normal 5 5 3 2 2 4 2 3" xfId="40892"/>
    <cellStyle name="Normal 5 5 3 2 2 4 3" xfId="40893"/>
    <cellStyle name="Normal 5 5 3 2 2 4 3 2" xfId="40894"/>
    <cellStyle name="Normal 5 5 3 2 2 4 3 3" xfId="40895"/>
    <cellStyle name="Normal 5 5 3 2 2 4 4" xfId="40896"/>
    <cellStyle name="Normal 5 5 3 2 2 4 5" xfId="40897"/>
    <cellStyle name="Normal 5 5 3 2 2 5" xfId="40898"/>
    <cellStyle name="Normal 5 5 3 2 2 5 2" xfId="40899"/>
    <cellStyle name="Normal 5 5 3 2 2 5 3" xfId="40900"/>
    <cellStyle name="Normal 5 5 3 2 2 6" xfId="40901"/>
    <cellStyle name="Normal 5 5 3 2 2 6 2" xfId="40902"/>
    <cellStyle name="Normal 5 5 3 2 2 6 3" xfId="40903"/>
    <cellStyle name="Normal 5 5 3 2 2 7" xfId="40904"/>
    <cellStyle name="Normal 5 5 3 2 2 8" xfId="40905"/>
    <cellStyle name="Normal 5 5 3 2 3" xfId="40906"/>
    <cellStyle name="Normal 5 5 3 2 3 2" xfId="40907"/>
    <cellStyle name="Normal 5 5 3 2 3 2 2" xfId="40908"/>
    <cellStyle name="Normal 5 5 3 2 3 2 2 2" xfId="40909"/>
    <cellStyle name="Normal 5 5 3 2 3 2 2 3" xfId="40910"/>
    <cellStyle name="Normal 5 5 3 2 3 2 3" xfId="40911"/>
    <cellStyle name="Normal 5 5 3 2 3 2 3 2" xfId="40912"/>
    <cellStyle name="Normal 5 5 3 2 3 2 3 3" xfId="40913"/>
    <cellStyle name="Normal 5 5 3 2 3 2 4" xfId="40914"/>
    <cellStyle name="Normal 5 5 3 2 3 2 5" xfId="40915"/>
    <cellStyle name="Normal 5 5 3 2 3 3" xfId="40916"/>
    <cellStyle name="Normal 5 5 3 2 3 3 2" xfId="40917"/>
    <cellStyle name="Normal 5 5 3 2 3 3 3" xfId="40918"/>
    <cellStyle name="Normal 5 5 3 2 3 4" xfId="40919"/>
    <cellStyle name="Normal 5 5 3 2 3 4 2" xfId="40920"/>
    <cellStyle name="Normal 5 5 3 2 3 4 3" xfId="40921"/>
    <cellStyle name="Normal 5 5 3 2 3 5" xfId="40922"/>
    <cellStyle name="Normal 5 5 3 2 3 6" xfId="40923"/>
    <cellStyle name="Normal 5 5 3 2 4" xfId="40924"/>
    <cellStyle name="Normal 5 5 3 2 4 2" xfId="40925"/>
    <cellStyle name="Normal 5 5 3 2 4 2 2" xfId="40926"/>
    <cellStyle name="Normal 5 5 3 2 4 2 2 2" xfId="40927"/>
    <cellStyle name="Normal 5 5 3 2 4 2 2 3" xfId="40928"/>
    <cellStyle name="Normal 5 5 3 2 4 2 3" xfId="40929"/>
    <cellStyle name="Normal 5 5 3 2 4 2 3 2" xfId="40930"/>
    <cellStyle name="Normal 5 5 3 2 4 2 3 3" xfId="40931"/>
    <cellStyle name="Normal 5 5 3 2 4 2 4" xfId="40932"/>
    <cellStyle name="Normal 5 5 3 2 4 2 5" xfId="40933"/>
    <cellStyle name="Normal 5 5 3 2 4 3" xfId="40934"/>
    <cellStyle name="Normal 5 5 3 2 4 3 2" xfId="40935"/>
    <cellStyle name="Normal 5 5 3 2 4 3 3" xfId="40936"/>
    <cellStyle name="Normal 5 5 3 2 4 4" xfId="40937"/>
    <cellStyle name="Normal 5 5 3 2 4 4 2" xfId="40938"/>
    <cellStyle name="Normal 5 5 3 2 4 4 3" xfId="40939"/>
    <cellStyle name="Normal 5 5 3 2 4 5" xfId="40940"/>
    <cellStyle name="Normal 5 5 3 2 4 6" xfId="40941"/>
    <cellStyle name="Normal 5 5 3 2 5" xfId="40942"/>
    <cellStyle name="Normal 5 5 3 2 5 2" xfId="40943"/>
    <cellStyle name="Normal 5 5 3 2 5 2 2" xfId="40944"/>
    <cellStyle name="Normal 5 5 3 2 5 2 3" xfId="40945"/>
    <cellStyle name="Normal 5 5 3 2 5 3" xfId="40946"/>
    <cellStyle name="Normal 5 5 3 2 5 3 2" xfId="40947"/>
    <cellStyle name="Normal 5 5 3 2 5 3 3" xfId="40948"/>
    <cellStyle name="Normal 5 5 3 2 5 4" xfId="40949"/>
    <cellStyle name="Normal 5 5 3 2 5 5" xfId="40950"/>
    <cellStyle name="Normal 5 5 3 2 6" xfId="40951"/>
    <cellStyle name="Normal 5 5 3 2 6 2" xfId="40952"/>
    <cellStyle name="Normal 5 5 3 2 6 3" xfId="40953"/>
    <cellStyle name="Normal 5 5 3 2 7" xfId="40954"/>
    <cellStyle name="Normal 5 5 3 2 7 2" xfId="40955"/>
    <cellStyle name="Normal 5 5 3 2 7 3" xfId="40956"/>
    <cellStyle name="Normal 5 5 3 2 8" xfId="40957"/>
    <cellStyle name="Normal 5 5 3 2 9" xfId="40958"/>
    <cellStyle name="Normal 5 5 3 3" xfId="40959"/>
    <cellStyle name="Normal 5 5 3 3 2" xfId="40960"/>
    <cellStyle name="Normal 5 5 3 3 2 2" xfId="40961"/>
    <cellStyle name="Normal 5 5 3 3 2 2 2" xfId="40962"/>
    <cellStyle name="Normal 5 5 3 3 2 2 2 2" xfId="40963"/>
    <cellStyle name="Normal 5 5 3 3 2 2 2 3" xfId="40964"/>
    <cellStyle name="Normal 5 5 3 3 2 2 3" xfId="40965"/>
    <cellStyle name="Normal 5 5 3 3 2 2 3 2" xfId="40966"/>
    <cellStyle name="Normal 5 5 3 3 2 2 3 3" xfId="40967"/>
    <cellStyle name="Normal 5 5 3 3 2 2 4" xfId="40968"/>
    <cellStyle name="Normal 5 5 3 3 2 2 5" xfId="40969"/>
    <cellStyle name="Normal 5 5 3 3 2 3" xfId="40970"/>
    <cellStyle name="Normal 5 5 3 3 2 3 2" xfId="40971"/>
    <cellStyle name="Normal 5 5 3 3 2 3 3" xfId="40972"/>
    <cellStyle name="Normal 5 5 3 3 2 4" xfId="40973"/>
    <cellStyle name="Normal 5 5 3 3 2 4 2" xfId="40974"/>
    <cellStyle name="Normal 5 5 3 3 2 4 3" xfId="40975"/>
    <cellStyle name="Normal 5 5 3 3 2 5" xfId="40976"/>
    <cellStyle name="Normal 5 5 3 3 2 6" xfId="40977"/>
    <cellStyle name="Normal 5 5 3 3 3" xfId="40978"/>
    <cellStyle name="Normal 5 5 3 3 3 2" xfId="40979"/>
    <cellStyle name="Normal 5 5 3 3 3 2 2" xfId="40980"/>
    <cellStyle name="Normal 5 5 3 3 3 2 2 2" xfId="40981"/>
    <cellStyle name="Normal 5 5 3 3 3 2 2 3" xfId="40982"/>
    <cellStyle name="Normal 5 5 3 3 3 2 3" xfId="40983"/>
    <cellStyle name="Normal 5 5 3 3 3 2 3 2" xfId="40984"/>
    <cellStyle name="Normal 5 5 3 3 3 2 3 3" xfId="40985"/>
    <cellStyle name="Normal 5 5 3 3 3 2 4" xfId="40986"/>
    <cellStyle name="Normal 5 5 3 3 3 2 5" xfId="40987"/>
    <cellStyle name="Normal 5 5 3 3 3 3" xfId="40988"/>
    <cellStyle name="Normal 5 5 3 3 3 3 2" xfId="40989"/>
    <cellStyle name="Normal 5 5 3 3 3 3 3" xfId="40990"/>
    <cellStyle name="Normal 5 5 3 3 3 4" xfId="40991"/>
    <cellStyle name="Normal 5 5 3 3 3 4 2" xfId="40992"/>
    <cellStyle name="Normal 5 5 3 3 3 4 3" xfId="40993"/>
    <cellStyle name="Normal 5 5 3 3 3 5" xfId="40994"/>
    <cellStyle name="Normal 5 5 3 3 3 6" xfId="40995"/>
    <cellStyle name="Normal 5 5 3 3 4" xfId="40996"/>
    <cellStyle name="Normal 5 5 3 3 4 2" xfId="40997"/>
    <cellStyle name="Normal 5 5 3 3 4 2 2" xfId="40998"/>
    <cellStyle name="Normal 5 5 3 3 4 2 3" xfId="40999"/>
    <cellStyle name="Normal 5 5 3 3 4 3" xfId="41000"/>
    <cellStyle name="Normal 5 5 3 3 4 3 2" xfId="41001"/>
    <cellStyle name="Normal 5 5 3 3 4 3 3" xfId="41002"/>
    <cellStyle name="Normal 5 5 3 3 4 4" xfId="41003"/>
    <cellStyle name="Normal 5 5 3 3 4 5" xfId="41004"/>
    <cellStyle name="Normal 5 5 3 3 5" xfId="41005"/>
    <cellStyle name="Normal 5 5 3 3 5 2" xfId="41006"/>
    <cellStyle name="Normal 5 5 3 3 5 3" xfId="41007"/>
    <cellStyle name="Normal 5 5 3 3 6" xfId="41008"/>
    <cellStyle name="Normal 5 5 3 3 6 2" xfId="41009"/>
    <cellStyle name="Normal 5 5 3 3 6 3" xfId="41010"/>
    <cellStyle name="Normal 5 5 3 3 7" xfId="41011"/>
    <cellStyle name="Normal 5 5 3 3 8" xfId="41012"/>
    <cellStyle name="Normal 5 5 3 4" xfId="41013"/>
    <cellStyle name="Normal 5 5 3 4 2" xfId="41014"/>
    <cellStyle name="Normal 5 5 3 4 2 2" xfId="41015"/>
    <cellStyle name="Normal 5 5 3 4 2 2 2" xfId="41016"/>
    <cellStyle name="Normal 5 5 3 4 2 2 3" xfId="41017"/>
    <cellStyle name="Normal 5 5 3 4 2 3" xfId="41018"/>
    <cellStyle name="Normal 5 5 3 4 2 3 2" xfId="41019"/>
    <cellStyle name="Normal 5 5 3 4 2 3 3" xfId="41020"/>
    <cellStyle name="Normal 5 5 3 4 2 4" xfId="41021"/>
    <cellStyle name="Normal 5 5 3 4 2 5" xfId="41022"/>
    <cellStyle name="Normal 5 5 3 4 3" xfId="41023"/>
    <cellStyle name="Normal 5 5 3 4 3 2" xfId="41024"/>
    <cellStyle name="Normal 5 5 3 4 3 3" xfId="41025"/>
    <cellStyle name="Normal 5 5 3 4 4" xfId="41026"/>
    <cellStyle name="Normal 5 5 3 4 4 2" xfId="41027"/>
    <cellStyle name="Normal 5 5 3 4 4 3" xfId="41028"/>
    <cellStyle name="Normal 5 5 3 4 5" xfId="41029"/>
    <cellStyle name="Normal 5 5 3 4 6" xfId="41030"/>
    <cellStyle name="Normal 5 5 3 5" xfId="41031"/>
    <cellStyle name="Normal 5 5 3 5 2" xfId="41032"/>
    <cellStyle name="Normal 5 5 3 5 2 2" xfId="41033"/>
    <cellStyle name="Normal 5 5 3 5 2 2 2" xfId="41034"/>
    <cellStyle name="Normal 5 5 3 5 2 2 3" xfId="41035"/>
    <cellStyle name="Normal 5 5 3 5 2 3" xfId="41036"/>
    <cellStyle name="Normal 5 5 3 5 2 3 2" xfId="41037"/>
    <cellStyle name="Normal 5 5 3 5 2 3 3" xfId="41038"/>
    <cellStyle name="Normal 5 5 3 5 2 4" xfId="41039"/>
    <cellStyle name="Normal 5 5 3 5 2 5" xfId="41040"/>
    <cellStyle name="Normal 5 5 3 5 3" xfId="41041"/>
    <cellStyle name="Normal 5 5 3 5 3 2" xfId="41042"/>
    <cellStyle name="Normal 5 5 3 5 3 3" xfId="41043"/>
    <cellStyle name="Normal 5 5 3 5 4" xfId="41044"/>
    <cellStyle name="Normal 5 5 3 5 4 2" xfId="41045"/>
    <cellStyle name="Normal 5 5 3 5 4 3" xfId="41046"/>
    <cellStyle name="Normal 5 5 3 5 5" xfId="41047"/>
    <cellStyle name="Normal 5 5 3 5 6" xfId="41048"/>
    <cellStyle name="Normal 5 5 3 6" xfId="41049"/>
    <cellStyle name="Normal 5 5 3 6 2" xfId="41050"/>
    <cellStyle name="Normal 5 5 3 6 2 2" xfId="41051"/>
    <cellStyle name="Normal 5 5 3 6 2 3" xfId="41052"/>
    <cellStyle name="Normal 5 5 3 6 3" xfId="41053"/>
    <cellStyle name="Normal 5 5 3 6 3 2" xfId="41054"/>
    <cellStyle name="Normal 5 5 3 6 3 3" xfId="41055"/>
    <cellStyle name="Normal 5 5 3 6 4" xfId="41056"/>
    <cellStyle name="Normal 5 5 3 6 5" xfId="41057"/>
    <cellStyle name="Normal 5 5 3 7" xfId="41058"/>
    <cellStyle name="Normal 5 5 3 7 2" xfId="41059"/>
    <cellStyle name="Normal 5 5 3 7 3" xfId="41060"/>
    <cellStyle name="Normal 5 5 3 8" xfId="41061"/>
    <cellStyle name="Normal 5 5 3 8 2" xfId="41062"/>
    <cellStyle name="Normal 5 5 3 8 3" xfId="41063"/>
    <cellStyle name="Normal 5 5 3 9" xfId="41064"/>
    <cellStyle name="Normal 5 5 4" xfId="41065"/>
    <cellStyle name="Normal 5 5 4 2" xfId="41066"/>
    <cellStyle name="Normal 5 5 4 2 2" xfId="41067"/>
    <cellStyle name="Normal 5 5 4 2 2 2" xfId="41068"/>
    <cellStyle name="Normal 5 5 4 2 2 2 2" xfId="41069"/>
    <cellStyle name="Normal 5 5 4 2 2 2 2 2" xfId="41070"/>
    <cellStyle name="Normal 5 5 4 2 2 2 2 3" xfId="41071"/>
    <cellStyle name="Normal 5 5 4 2 2 2 3" xfId="41072"/>
    <cellStyle name="Normal 5 5 4 2 2 2 3 2" xfId="41073"/>
    <cellStyle name="Normal 5 5 4 2 2 2 3 3" xfId="41074"/>
    <cellStyle name="Normal 5 5 4 2 2 2 4" xfId="41075"/>
    <cellStyle name="Normal 5 5 4 2 2 2 5" xfId="41076"/>
    <cellStyle name="Normal 5 5 4 2 2 3" xfId="41077"/>
    <cellStyle name="Normal 5 5 4 2 2 3 2" xfId="41078"/>
    <cellStyle name="Normal 5 5 4 2 2 3 3" xfId="41079"/>
    <cellStyle name="Normal 5 5 4 2 2 4" xfId="41080"/>
    <cellStyle name="Normal 5 5 4 2 2 4 2" xfId="41081"/>
    <cellStyle name="Normal 5 5 4 2 2 4 3" xfId="41082"/>
    <cellStyle name="Normal 5 5 4 2 2 5" xfId="41083"/>
    <cellStyle name="Normal 5 5 4 2 2 6" xfId="41084"/>
    <cellStyle name="Normal 5 5 4 2 3" xfId="41085"/>
    <cellStyle name="Normal 5 5 4 2 3 2" xfId="41086"/>
    <cellStyle name="Normal 5 5 4 2 3 2 2" xfId="41087"/>
    <cellStyle name="Normal 5 5 4 2 3 2 2 2" xfId="41088"/>
    <cellStyle name="Normal 5 5 4 2 3 2 2 3" xfId="41089"/>
    <cellStyle name="Normal 5 5 4 2 3 2 3" xfId="41090"/>
    <cellStyle name="Normal 5 5 4 2 3 2 3 2" xfId="41091"/>
    <cellStyle name="Normal 5 5 4 2 3 2 3 3" xfId="41092"/>
    <cellStyle name="Normal 5 5 4 2 3 2 4" xfId="41093"/>
    <cellStyle name="Normal 5 5 4 2 3 2 5" xfId="41094"/>
    <cellStyle name="Normal 5 5 4 2 3 3" xfId="41095"/>
    <cellStyle name="Normal 5 5 4 2 3 3 2" xfId="41096"/>
    <cellStyle name="Normal 5 5 4 2 3 3 3" xfId="41097"/>
    <cellStyle name="Normal 5 5 4 2 3 4" xfId="41098"/>
    <cellStyle name="Normal 5 5 4 2 3 4 2" xfId="41099"/>
    <cellStyle name="Normal 5 5 4 2 3 4 3" xfId="41100"/>
    <cellStyle name="Normal 5 5 4 2 3 5" xfId="41101"/>
    <cellStyle name="Normal 5 5 4 2 3 6" xfId="41102"/>
    <cellStyle name="Normal 5 5 4 2 4" xfId="41103"/>
    <cellStyle name="Normal 5 5 4 2 4 2" xfId="41104"/>
    <cellStyle name="Normal 5 5 4 2 4 2 2" xfId="41105"/>
    <cellStyle name="Normal 5 5 4 2 4 2 3" xfId="41106"/>
    <cellStyle name="Normal 5 5 4 2 4 3" xfId="41107"/>
    <cellStyle name="Normal 5 5 4 2 4 3 2" xfId="41108"/>
    <cellStyle name="Normal 5 5 4 2 4 3 3" xfId="41109"/>
    <cellStyle name="Normal 5 5 4 2 4 4" xfId="41110"/>
    <cellStyle name="Normal 5 5 4 2 4 5" xfId="41111"/>
    <cellStyle name="Normal 5 5 4 2 5" xfId="41112"/>
    <cellStyle name="Normal 5 5 4 2 5 2" xfId="41113"/>
    <cellStyle name="Normal 5 5 4 2 5 3" xfId="41114"/>
    <cellStyle name="Normal 5 5 4 2 6" xfId="41115"/>
    <cellStyle name="Normal 5 5 4 2 6 2" xfId="41116"/>
    <cellStyle name="Normal 5 5 4 2 6 3" xfId="41117"/>
    <cellStyle name="Normal 5 5 4 2 7" xfId="41118"/>
    <cellStyle name="Normal 5 5 4 2 8" xfId="41119"/>
    <cellStyle name="Normal 5 5 4 3" xfId="41120"/>
    <cellStyle name="Normal 5 5 4 3 2" xfId="41121"/>
    <cellStyle name="Normal 5 5 4 3 2 2" xfId="41122"/>
    <cellStyle name="Normal 5 5 4 3 2 2 2" xfId="41123"/>
    <cellStyle name="Normal 5 5 4 3 2 2 3" xfId="41124"/>
    <cellStyle name="Normal 5 5 4 3 2 3" xfId="41125"/>
    <cellStyle name="Normal 5 5 4 3 2 3 2" xfId="41126"/>
    <cellStyle name="Normal 5 5 4 3 2 3 3" xfId="41127"/>
    <cellStyle name="Normal 5 5 4 3 2 4" xfId="41128"/>
    <cellStyle name="Normal 5 5 4 3 2 5" xfId="41129"/>
    <cellStyle name="Normal 5 5 4 3 3" xfId="41130"/>
    <cellStyle name="Normal 5 5 4 3 3 2" xfId="41131"/>
    <cellStyle name="Normal 5 5 4 3 3 3" xfId="41132"/>
    <cellStyle name="Normal 5 5 4 3 4" xfId="41133"/>
    <cellStyle name="Normal 5 5 4 3 4 2" xfId="41134"/>
    <cellStyle name="Normal 5 5 4 3 4 3" xfId="41135"/>
    <cellStyle name="Normal 5 5 4 3 5" xfId="41136"/>
    <cellStyle name="Normal 5 5 4 3 6" xfId="41137"/>
    <cellStyle name="Normal 5 5 4 4" xfId="41138"/>
    <cellStyle name="Normal 5 5 4 4 2" xfId="41139"/>
    <cellStyle name="Normal 5 5 4 4 2 2" xfId="41140"/>
    <cellStyle name="Normal 5 5 4 4 2 2 2" xfId="41141"/>
    <cellStyle name="Normal 5 5 4 4 2 2 3" xfId="41142"/>
    <cellStyle name="Normal 5 5 4 4 2 3" xfId="41143"/>
    <cellStyle name="Normal 5 5 4 4 2 3 2" xfId="41144"/>
    <cellStyle name="Normal 5 5 4 4 2 3 3" xfId="41145"/>
    <cellStyle name="Normal 5 5 4 4 2 4" xfId="41146"/>
    <cellStyle name="Normal 5 5 4 4 2 5" xfId="41147"/>
    <cellStyle name="Normal 5 5 4 4 3" xfId="41148"/>
    <cellStyle name="Normal 5 5 4 4 3 2" xfId="41149"/>
    <cellStyle name="Normal 5 5 4 4 3 3" xfId="41150"/>
    <cellStyle name="Normal 5 5 4 4 4" xfId="41151"/>
    <cellStyle name="Normal 5 5 4 4 4 2" xfId="41152"/>
    <cellStyle name="Normal 5 5 4 4 4 3" xfId="41153"/>
    <cellStyle name="Normal 5 5 4 4 5" xfId="41154"/>
    <cellStyle name="Normal 5 5 4 4 6" xfId="41155"/>
    <cellStyle name="Normal 5 5 4 5" xfId="41156"/>
    <cellStyle name="Normal 5 5 4 5 2" xfId="41157"/>
    <cellStyle name="Normal 5 5 4 5 2 2" xfId="41158"/>
    <cellStyle name="Normal 5 5 4 5 2 3" xfId="41159"/>
    <cellStyle name="Normal 5 5 4 5 3" xfId="41160"/>
    <cellStyle name="Normal 5 5 4 5 3 2" xfId="41161"/>
    <cellStyle name="Normal 5 5 4 5 3 3" xfId="41162"/>
    <cellStyle name="Normal 5 5 4 5 4" xfId="41163"/>
    <cellStyle name="Normal 5 5 4 5 5" xfId="41164"/>
    <cellStyle name="Normal 5 5 4 6" xfId="41165"/>
    <cellStyle name="Normal 5 5 4 6 2" xfId="41166"/>
    <cellStyle name="Normal 5 5 4 6 3" xfId="41167"/>
    <cellStyle name="Normal 5 5 4 7" xfId="41168"/>
    <cellStyle name="Normal 5 5 4 7 2" xfId="41169"/>
    <cellStyle name="Normal 5 5 4 7 3" xfId="41170"/>
    <cellStyle name="Normal 5 5 4 8" xfId="41171"/>
    <cellStyle name="Normal 5 5 4 9" xfId="41172"/>
    <cellStyle name="Normal 5 5 5" xfId="41173"/>
    <cellStyle name="Normal 5 5 5 2" xfId="41174"/>
    <cellStyle name="Normal 5 5 5 2 2" xfId="41175"/>
    <cellStyle name="Normal 5 5 5 2 2 2" xfId="41176"/>
    <cellStyle name="Normal 5 5 5 2 2 2 2" xfId="41177"/>
    <cellStyle name="Normal 5 5 5 2 2 2 3" xfId="41178"/>
    <cellStyle name="Normal 5 5 5 2 2 3" xfId="41179"/>
    <cellStyle name="Normal 5 5 5 2 2 3 2" xfId="41180"/>
    <cellStyle name="Normal 5 5 5 2 2 3 3" xfId="41181"/>
    <cellStyle name="Normal 5 5 5 2 2 4" xfId="41182"/>
    <cellStyle name="Normal 5 5 5 2 2 5" xfId="41183"/>
    <cellStyle name="Normal 5 5 5 2 3" xfId="41184"/>
    <cellStyle name="Normal 5 5 5 2 3 2" xfId="41185"/>
    <cellStyle name="Normal 5 5 5 2 3 3" xfId="41186"/>
    <cellStyle name="Normal 5 5 5 2 4" xfId="41187"/>
    <cellStyle name="Normal 5 5 5 2 4 2" xfId="41188"/>
    <cellStyle name="Normal 5 5 5 2 4 3" xfId="41189"/>
    <cellStyle name="Normal 5 5 5 2 5" xfId="41190"/>
    <cellStyle name="Normal 5 5 5 2 6" xfId="41191"/>
    <cellStyle name="Normal 5 5 5 3" xfId="41192"/>
    <cellStyle name="Normal 5 5 5 3 2" xfId="41193"/>
    <cellStyle name="Normal 5 5 5 3 2 2" xfId="41194"/>
    <cellStyle name="Normal 5 5 5 3 2 2 2" xfId="41195"/>
    <cellStyle name="Normal 5 5 5 3 2 2 3" xfId="41196"/>
    <cellStyle name="Normal 5 5 5 3 2 3" xfId="41197"/>
    <cellStyle name="Normal 5 5 5 3 2 3 2" xfId="41198"/>
    <cellStyle name="Normal 5 5 5 3 2 3 3" xfId="41199"/>
    <cellStyle name="Normal 5 5 5 3 2 4" xfId="41200"/>
    <cellStyle name="Normal 5 5 5 3 2 5" xfId="41201"/>
    <cellStyle name="Normal 5 5 5 3 3" xfId="41202"/>
    <cellStyle name="Normal 5 5 5 3 3 2" xfId="41203"/>
    <cellStyle name="Normal 5 5 5 3 3 3" xfId="41204"/>
    <cellStyle name="Normal 5 5 5 3 4" xfId="41205"/>
    <cellStyle name="Normal 5 5 5 3 4 2" xfId="41206"/>
    <cellStyle name="Normal 5 5 5 3 4 3" xfId="41207"/>
    <cellStyle name="Normal 5 5 5 3 5" xfId="41208"/>
    <cellStyle name="Normal 5 5 5 3 6" xfId="41209"/>
    <cellStyle name="Normal 5 5 5 4" xfId="41210"/>
    <cellStyle name="Normal 5 5 5 4 2" xfId="41211"/>
    <cellStyle name="Normal 5 5 5 4 2 2" xfId="41212"/>
    <cellStyle name="Normal 5 5 5 4 2 3" xfId="41213"/>
    <cellStyle name="Normal 5 5 5 4 3" xfId="41214"/>
    <cellStyle name="Normal 5 5 5 4 3 2" xfId="41215"/>
    <cellStyle name="Normal 5 5 5 4 3 3" xfId="41216"/>
    <cellStyle name="Normal 5 5 5 4 4" xfId="41217"/>
    <cellStyle name="Normal 5 5 5 4 5" xfId="41218"/>
    <cellStyle name="Normal 5 5 5 5" xfId="41219"/>
    <cellStyle name="Normal 5 5 5 5 2" xfId="41220"/>
    <cellStyle name="Normal 5 5 5 5 3" xfId="41221"/>
    <cellStyle name="Normal 5 5 5 6" xfId="41222"/>
    <cellStyle name="Normal 5 5 5 6 2" xfId="41223"/>
    <cellStyle name="Normal 5 5 5 6 3" xfId="41224"/>
    <cellStyle name="Normal 5 5 5 7" xfId="41225"/>
    <cellStyle name="Normal 5 5 5 8" xfId="41226"/>
    <cellStyle name="Normal 5 5 6" xfId="41227"/>
    <cellStyle name="Normal 5 5 6 2" xfId="41228"/>
    <cellStyle name="Normal 5 5 6 2 2" xfId="41229"/>
    <cellStyle name="Normal 5 5 6 2 2 2" xfId="41230"/>
    <cellStyle name="Normal 5 5 6 2 2 3" xfId="41231"/>
    <cellStyle name="Normal 5 5 6 2 3" xfId="41232"/>
    <cellStyle name="Normal 5 5 6 2 3 2" xfId="41233"/>
    <cellStyle name="Normal 5 5 6 2 3 3" xfId="41234"/>
    <cellStyle name="Normal 5 5 6 2 4" xfId="41235"/>
    <cellStyle name="Normal 5 5 6 2 5" xfId="41236"/>
    <cellStyle name="Normal 5 5 6 3" xfId="41237"/>
    <cellStyle name="Normal 5 5 6 3 2" xfId="41238"/>
    <cellStyle name="Normal 5 5 6 3 3" xfId="41239"/>
    <cellStyle name="Normal 5 5 6 4" xfId="41240"/>
    <cellStyle name="Normal 5 5 6 4 2" xfId="41241"/>
    <cellStyle name="Normal 5 5 6 4 3" xfId="41242"/>
    <cellStyle name="Normal 5 5 6 5" xfId="41243"/>
    <cellStyle name="Normal 5 5 6 6" xfId="41244"/>
    <cellStyle name="Normal 5 5 7" xfId="41245"/>
    <cellStyle name="Normal 5 5 7 2" xfId="41246"/>
    <cellStyle name="Normal 5 5 7 2 2" xfId="41247"/>
    <cellStyle name="Normal 5 5 7 2 2 2" xfId="41248"/>
    <cellStyle name="Normal 5 5 7 2 2 3" xfId="41249"/>
    <cellStyle name="Normal 5 5 7 2 3" xfId="41250"/>
    <cellStyle name="Normal 5 5 7 2 3 2" xfId="41251"/>
    <cellStyle name="Normal 5 5 7 2 3 3" xfId="41252"/>
    <cellStyle name="Normal 5 5 7 2 4" xfId="41253"/>
    <cellStyle name="Normal 5 5 7 2 5" xfId="41254"/>
    <cellStyle name="Normal 5 5 7 3" xfId="41255"/>
    <cellStyle name="Normal 5 5 7 3 2" xfId="41256"/>
    <cellStyle name="Normal 5 5 7 3 3" xfId="41257"/>
    <cellStyle name="Normal 5 5 7 4" xfId="41258"/>
    <cellStyle name="Normal 5 5 7 4 2" xfId="41259"/>
    <cellStyle name="Normal 5 5 7 4 3" xfId="41260"/>
    <cellStyle name="Normal 5 5 7 5" xfId="41261"/>
    <cellStyle name="Normal 5 5 7 6" xfId="41262"/>
    <cellStyle name="Normal 5 5 8" xfId="41263"/>
    <cellStyle name="Normal 5 5 8 2" xfId="41264"/>
    <cellStyle name="Normal 5 5 8 2 2" xfId="41265"/>
    <cellStyle name="Normal 5 5 8 2 3" xfId="41266"/>
    <cellStyle name="Normal 5 5 8 3" xfId="41267"/>
    <cellStyle name="Normal 5 5 8 3 2" xfId="41268"/>
    <cellStyle name="Normal 5 5 8 3 3" xfId="41269"/>
    <cellStyle name="Normal 5 5 8 4" xfId="41270"/>
    <cellStyle name="Normal 5 5 8 5" xfId="41271"/>
    <cellStyle name="Normal 5 5 9" xfId="41272"/>
    <cellStyle name="Normal 5 5 9 2" xfId="41273"/>
    <cellStyle name="Normal 5 5 9 3" xfId="41274"/>
    <cellStyle name="Normal 5 6" xfId="41275"/>
    <cellStyle name="Normal 5 6 10" xfId="41276"/>
    <cellStyle name="Normal 5 6 11" xfId="41277"/>
    <cellStyle name="Normal 5 6 12" xfId="41278"/>
    <cellStyle name="Normal 5 6 2" xfId="41279"/>
    <cellStyle name="Normal 5 6 2 2" xfId="41280"/>
    <cellStyle name="Normal 5 6 2 2 2" xfId="41281"/>
    <cellStyle name="Normal 5 6 2 2 2 2" xfId="41282"/>
    <cellStyle name="Normal 5 6 2 2 2 2 2" xfId="41283"/>
    <cellStyle name="Normal 5 6 2 2 2 2 2 2" xfId="41284"/>
    <cellStyle name="Normal 5 6 2 2 2 2 2 3" xfId="41285"/>
    <cellStyle name="Normal 5 6 2 2 2 2 3" xfId="41286"/>
    <cellStyle name="Normal 5 6 2 2 2 2 3 2" xfId="41287"/>
    <cellStyle name="Normal 5 6 2 2 2 2 3 3" xfId="41288"/>
    <cellStyle name="Normal 5 6 2 2 2 2 4" xfId="41289"/>
    <cellStyle name="Normal 5 6 2 2 2 2 5" xfId="41290"/>
    <cellStyle name="Normal 5 6 2 2 2 3" xfId="41291"/>
    <cellStyle name="Normal 5 6 2 2 2 3 2" xfId="41292"/>
    <cellStyle name="Normal 5 6 2 2 2 3 3" xfId="41293"/>
    <cellStyle name="Normal 5 6 2 2 2 4" xfId="41294"/>
    <cellStyle name="Normal 5 6 2 2 2 4 2" xfId="41295"/>
    <cellStyle name="Normal 5 6 2 2 2 4 3" xfId="41296"/>
    <cellStyle name="Normal 5 6 2 2 2 5" xfId="41297"/>
    <cellStyle name="Normal 5 6 2 2 2 6" xfId="41298"/>
    <cellStyle name="Normal 5 6 2 2 3" xfId="41299"/>
    <cellStyle name="Normal 5 6 2 2 3 2" xfId="41300"/>
    <cellStyle name="Normal 5 6 2 2 3 2 2" xfId="41301"/>
    <cellStyle name="Normal 5 6 2 2 3 2 2 2" xfId="41302"/>
    <cellStyle name="Normal 5 6 2 2 3 2 2 3" xfId="41303"/>
    <cellStyle name="Normal 5 6 2 2 3 2 3" xfId="41304"/>
    <cellStyle name="Normal 5 6 2 2 3 2 3 2" xfId="41305"/>
    <cellStyle name="Normal 5 6 2 2 3 2 3 3" xfId="41306"/>
    <cellStyle name="Normal 5 6 2 2 3 2 4" xfId="41307"/>
    <cellStyle name="Normal 5 6 2 2 3 2 5" xfId="41308"/>
    <cellStyle name="Normal 5 6 2 2 3 3" xfId="41309"/>
    <cellStyle name="Normal 5 6 2 2 3 3 2" xfId="41310"/>
    <cellStyle name="Normal 5 6 2 2 3 3 3" xfId="41311"/>
    <cellStyle name="Normal 5 6 2 2 3 4" xfId="41312"/>
    <cellStyle name="Normal 5 6 2 2 3 4 2" xfId="41313"/>
    <cellStyle name="Normal 5 6 2 2 3 4 3" xfId="41314"/>
    <cellStyle name="Normal 5 6 2 2 3 5" xfId="41315"/>
    <cellStyle name="Normal 5 6 2 2 3 6" xfId="41316"/>
    <cellStyle name="Normal 5 6 2 2 4" xfId="41317"/>
    <cellStyle name="Normal 5 6 2 2 4 2" xfId="41318"/>
    <cellStyle name="Normal 5 6 2 2 4 2 2" xfId="41319"/>
    <cellStyle name="Normal 5 6 2 2 4 2 3" xfId="41320"/>
    <cellStyle name="Normal 5 6 2 2 4 3" xfId="41321"/>
    <cellStyle name="Normal 5 6 2 2 4 3 2" xfId="41322"/>
    <cellStyle name="Normal 5 6 2 2 4 3 3" xfId="41323"/>
    <cellStyle name="Normal 5 6 2 2 4 4" xfId="41324"/>
    <cellStyle name="Normal 5 6 2 2 4 5" xfId="41325"/>
    <cellStyle name="Normal 5 6 2 2 5" xfId="41326"/>
    <cellStyle name="Normal 5 6 2 2 5 2" xfId="41327"/>
    <cellStyle name="Normal 5 6 2 2 5 3" xfId="41328"/>
    <cellStyle name="Normal 5 6 2 2 6" xfId="41329"/>
    <cellStyle name="Normal 5 6 2 2 6 2" xfId="41330"/>
    <cellStyle name="Normal 5 6 2 2 6 3" xfId="41331"/>
    <cellStyle name="Normal 5 6 2 2 7" xfId="41332"/>
    <cellStyle name="Normal 5 6 2 2 8" xfId="41333"/>
    <cellStyle name="Normal 5 6 2 3" xfId="41334"/>
    <cellStyle name="Normal 5 6 2 3 2" xfId="41335"/>
    <cellStyle name="Normal 5 6 2 3 2 2" xfId="41336"/>
    <cellStyle name="Normal 5 6 2 3 2 2 2" xfId="41337"/>
    <cellStyle name="Normal 5 6 2 3 2 2 3" xfId="41338"/>
    <cellStyle name="Normal 5 6 2 3 2 3" xfId="41339"/>
    <cellStyle name="Normal 5 6 2 3 2 3 2" xfId="41340"/>
    <cellStyle name="Normal 5 6 2 3 2 3 3" xfId="41341"/>
    <cellStyle name="Normal 5 6 2 3 2 4" xfId="41342"/>
    <cellStyle name="Normal 5 6 2 3 2 5" xfId="41343"/>
    <cellStyle name="Normal 5 6 2 3 3" xfId="41344"/>
    <cellStyle name="Normal 5 6 2 3 3 2" xfId="41345"/>
    <cellStyle name="Normal 5 6 2 3 3 3" xfId="41346"/>
    <cellStyle name="Normal 5 6 2 3 4" xfId="41347"/>
    <cellStyle name="Normal 5 6 2 3 4 2" xfId="41348"/>
    <cellStyle name="Normal 5 6 2 3 4 3" xfId="41349"/>
    <cellStyle name="Normal 5 6 2 3 5" xfId="41350"/>
    <cellStyle name="Normal 5 6 2 3 6" xfId="41351"/>
    <cellStyle name="Normal 5 6 2 4" xfId="41352"/>
    <cellStyle name="Normal 5 6 2 4 2" xfId="41353"/>
    <cellStyle name="Normal 5 6 2 4 2 2" xfId="41354"/>
    <cellStyle name="Normal 5 6 2 4 2 2 2" xfId="41355"/>
    <cellStyle name="Normal 5 6 2 4 2 2 3" xfId="41356"/>
    <cellStyle name="Normal 5 6 2 4 2 3" xfId="41357"/>
    <cellStyle name="Normal 5 6 2 4 2 3 2" xfId="41358"/>
    <cellStyle name="Normal 5 6 2 4 2 3 3" xfId="41359"/>
    <cellStyle name="Normal 5 6 2 4 2 4" xfId="41360"/>
    <cellStyle name="Normal 5 6 2 4 2 5" xfId="41361"/>
    <cellStyle name="Normal 5 6 2 4 3" xfId="41362"/>
    <cellStyle name="Normal 5 6 2 4 3 2" xfId="41363"/>
    <cellStyle name="Normal 5 6 2 4 3 3" xfId="41364"/>
    <cellStyle name="Normal 5 6 2 4 4" xfId="41365"/>
    <cellStyle name="Normal 5 6 2 4 4 2" xfId="41366"/>
    <cellStyle name="Normal 5 6 2 4 4 3" xfId="41367"/>
    <cellStyle name="Normal 5 6 2 4 5" xfId="41368"/>
    <cellStyle name="Normal 5 6 2 4 6" xfId="41369"/>
    <cellStyle name="Normal 5 6 2 5" xfId="41370"/>
    <cellStyle name="Normal 5 6 2 5 2" xfId="41371"/>
    <cellStyle name="Normal 5 6 2 5 2 2" xfId="41372"/>
    <cellStyle name="Normal 5 6 2 5 2 3" xfId="41373"/>
    <cellStyle name="Normal 5 6 2 5 3" xfId="41374"/>
    <cellStyle name="Normal 5 6 2 5 3 2" xfId="41375"/>
    <cellStyle name="Normal 5 6 2 5 3 3" xfId="41376"/>
    <cellStyle name="Normal 5 6 2 5 4" xfId="41377"/>
    <cellStyle name="Normal 5 6 2 5 5" xfId="41378"/>
    <cellStyle name="Normal 5 6 2 6" xfId="41379"/>
    <cellStyle name="Normal 5 6 2 6 2" xfId="41380"/>
    <cellStyle name="Normal 5 6 2 6 3" xfId="41381"/>
    <cellStyle name="Normal 5 6 2 7" xfId="41382"/>
    <cellStyle name="Normal 5 6 2 7 2" xfId="41383"/>
    <cellStyle name="Normal 5 6 2 7 3" xfId="41384"/>
    <cellStyle name="Normal 5 6 2 8" xfId="41385"/>
    <cellStyle name="Normal 5 6 2 9" xfId="41386"/>
    <cellStyle name="Normal 5 6 3" xfId="41387"/>
    <cellStyle name="Normal 5 6 3 2" xfId="41388"/>
    <cellStyle name="Normal 5 6 3 2 2" xfId="41389"/>
    <cellStyle name="Normal 5 6 3 2 2 2" xfId="41390"/>
    <cellStyle name="Normal 5 6 3 2 2 2 2" xfId="41391"/>
    <cellStyle name="Normal 5 6 3 2 2 2 3" xfId="41392"/>
    <cellStyle name="Normal 5 6 3 2 2 3" xfId="41393"/>
    <cellStyle name="Normal 5 6 3 2 2 3 2" xfId="41394"/>
    <cellStyle name="Normal 5 6 3 2 2 3 3" xfId="41395"/>
    <cellStyle name="Normal 5 6 3 2 2 4" xfId="41396"/>
    <cellStyle name="Normal 5 6 3 2 2 5" xfId="41397"/>
    <cellStyle name="Normal 5 6 3 2 3" xfId="41398"/>
    <cellStyle name="Normal 5 6 3 2 3 2" xfId="41399"/>
    <cellStyle name="Normal 5 6 3 2 3 3" xfId="41400"/>
    <cellStyle name="Normal 5 6 3 2 4" xfId="41401"/>
    <cellStyle name="Normal 5 6 3 2 4 2" xfId="41402"/>
    <cellStyle name="Normal 5 6 3 2 4 3" xfId="41403"/>
    <cellStyle name="Normal 5 6 3 2 5" xfId="41404"/>
    <cellStyle name="Normal 5 6 3 2 6" xfId="41405"/>
    <cellStyle name="Normal 5 6 3 3" xfId="41406"/>
    <cellStyle name="Normal 5 6 3 3 2" xfId="41407"/>
    <cellStyle name="Normal 5 6 3 3 2 2" xfId="41408"/>
    <cellStyle name="Normal 5 6 3 3 2 2 2" xfId="41409"/>
    <cellStyle name="Normal 5 6 3 3 2 2 3" xfId="41410"/>
    <cellStyle name="Normal 5 6 3 3 2 3" xfId="41411"/>
    <cellStyle name="Normal 5 6 3 3 2 3 2" xfId="41412"/>
    <cellStyle name="Normal 5 6 3 3 2 3 3" xfId="41413"/>
    <cellStyle name="Normal 5 6 3 3 2 4" xfId="41414"/>
    <cellStyle name="Normal 5 6 3 3 2 5" xfId="41415"/>
    <cellStyle name="Normal 5 6 3 3 3" xfId="41416"/>
    <cellStyle name="Normal 5 6 3 3 3 2" xfId="41417"/>
    <cellStyle name="Normal 5 6 3 3 3 3" xfId="41418"/>
    <cellStyle name="Normal 5 6 3 3 4" xfId="41419"/>
    <cellStyle name="Normal 5 6 3 3 4 2" xfId="41420"/>
    <cellStyle name="Normal 5 6 3 3 4 3" xfId="41421"/>
    <cellStyle name="Normal 5 6 3 3 5" xfId="41422"/>
    <cellStyle name="Normal 5 6 3 3 6" xfId="41423"/>
    <cellStyle name="Normal 5 6 3 4" xfId="41424"/>
    <cellStyle name="Normal 5 6 3 4 2" xfId="41425"/>
    <cellStyle name="Normal 5 6 3 4 2 2" xfId="41426"/>
    <cellStyle name="Normal 5 6 3 4 2 3" xfId="41427"/>
    <cellStyle name="Normal 5 6 3 4 3" xfId="41428"/>
    <cellStyle name="Normal 5 6 3 4 3 2" xfId="41429"/>
    <cellStyle name="Normal 5 6 3 4 3 3" xfId="41430"/>
    <cellStyle name="Normal 5 6 3 4 4" xfId="41431"/>
    <cellStyle name="Normal 5 6 3 4 5" xfId="41432"/>
    <cellStyle name="Normal 5 6 3 5" xfId="41433"/>
    <cellStyle name="Normal 5 6 3 5 2" xfId="41434"/>
    <cellStyle name="Normal 5 6 3 5 3" xfId="41435"/>
    <cellStyle name="Normal 5 6 3 6" xfId="41436"/>
    <cellStyle name="Normal 5 6 3 6 2" xfId="41437"/>
    <cellStyle name="Normal 5 6 3 6 3" xfId="41438"/>
    <cellStyle name="Normal 5 6 3 7" xfId="41439"/>
    <cellStyle name="Normal 5 6 3 8" xfId="41440"/>
    <cellStyle name="Normal 5 6 4" xfId="41441"/>
    <cellStyle name="Normal 5 6 4 2" xfId="41442"/>
    <cellStyle name="Normal 5 6 4 2 2" xfId="41443"/>
    <cellStyle name="Normal 5 6 4 2 2 2" xfId="41444"/>
    <cellStyle name="Normal 5 6 4 2 2 3" xfId="41445"/>
    <cellStyle name="Normal 5 6 4 2 3" xfId="41446"/>
    <cellStyle name="Normal 5 6 4 2 3 2" xfId="41447"/>
    <cellStyle name="Normal 5 6 4 2 3 3" xfId="41448"/>
    <cellStyle name="Normal 5 6 4 2 4" xfId="41449"/>
    <cellStyle name="Normal 5 6 4 2 5" xfId="41450"/>
    <cellStyle name="Normal 5 6 4 3" xfId="41451"/>
    <cellStyle name="Normal 5 6 4 3 2" xfId="41452"/>
    <cellStyle name="Normal 5 6 4 3 3" xfId="41453"/>
    <cellStyle name="Normal 5 6 4 4" xfId="41454"/>
    <cellStyle name="Normal 5 6 4 4 2" xfId="41455"/>
    <cellStyle name="Normal 5 6 4 4 3" xfId="41456"/>
    <cellStyle name="Normal 5 6 4 5" xfId="41457"/>
    <cellStyle name="Normal 5 6 4 6" xfId="41458"/>
    <cellStyle name="Normal 5 6 5" xfId="41459"/>
    <cellStyle name="Normal 5 6 5 2" xfId="41460"/>
    <cellStyle name="Normal 5 6 5 2 2" xfId="41461"/>
    <cellStyle name="Normal 5 6 5 2 2 2" xfId="41462"/>
    <cellStyle name="Normal 5 6 5 2 2 3" xfId="41463"/>
    <cellStyle name="Normal 5 6 5 2 3" xfId="41464"/>
    <cellStyle name="Normal 5 6 5 2 3 2" xfId="41465"/>
    <cellStyle name="Normal 5 6 5 2 3 3" xfId="41466"/>
    <cellStyle name="Normal 5 6 5 2 4" xfId="41467"/>
    <cellStyle name="Normal 5 6 5 2 5" xfId="41468"/>
    <cellStyle name="Normal 5 6 5 3" xfId="41469"/>
    <cellStyle name="Normal 5 6 5 3 2" xfId="41470"/>
    <cellStyle name="Normal 5 6 5 3 3" xfId="41471"/>
    <cellStyle name="Normal 5 6 5 4" xfId="41472"/>
    <cellStyle name="Normal 5 6 5 4 2" xfId="41473"/>
    <cellStyle name="Normal 5 6 5 4 3" xfId="41474"/>
    <cellStyle name="Normal 5 6 5 5" xfId="41475"/>
    <cellStyle name="Normal 5 6 5 6" xfId="41476"/>
    <cellStyle name="Normal 5 6 6" xfId="41477"/>
    <cellStyle name="Normal 5 6 6 2" xfId="41478"/>
    <cellStyle name="Normal 5 6 6 2 2" xfId="41479"/>
    <cellStyle name="Normal 5 6 6 2 3" xfId="41480"/>
    <cellStyle name="Normal 5 6 6 3" xfId="41481"/>
    <cellStyle name="Normal 5 6 6 3 2" xfId="41482"/>
    <cellStyle name="Normal 5 6 6 3 3" xfId="41483"/>
    <cellStyle name="Normal 5 6 6 4" xfId="41484"/>
    <cellStyle name="Normal 5 6 6 5" xfId="41485"/>
    <cellStyle name="Normal 5 6 7" xfId="41486"/>
    <cellStyle name="Normal 5 6 7 2" xfId="41487"/>
    <cellStyle name="Normal 5 6 7 3" xfId="41488"/>
    <cellStyle name="Normal 5 6 8" xfId="41489"/>
    <cellStyle name="Normal 5 6 8 2" xfId="41490"/>
    <cellStyle name="Normal 5 6 8 3" xfId="41491"/>
    <cellStyle name="Normal 5 6 9" xfId="41492"/>
    <cellStyle name="Normal 5 7" xfId="41493"/>
    <cellStyle name="Normal 5 7 10" xfId="41494"/>
    <cellStyle name="Normal 5 7 11" xfId="41495"/>
    <cellStyle name="Normal 5 7 12" xfId="41496"/>
    <cellStyle name="Normal 5 7 2" xfId="41497"/>
    <cellStyle name="Normal 5 7 2 2" xfId="41498"/>
    <cellStyle name="Normal 5 7 2 2 2" xfId="41499"/>
    <cellStyle name="Normal 5 7 2 2 2 2" xfId="41500"/>
    <cellStyle name="Normal 5 7 2 2 2 2 2" xfId="41501"/>
    <cellStyle name="Normal 5 7 2 2 2 2 2 2" xfId="41502"/>
    <cellStyle name="Normal 5 7 2 2 2 2 2 3" xfId="41503"/>
    <cellStyle name="Normal 5 7 2 2 2 2 3" xfId="41504"/>
    <cellStyle name="Normal 5 7 2 2 2 2 3 2" xfId="41505"/>
    <cellStyle name="Normal 5 7 2 2 2 2 3 3" xfId="41506"/>
    <cellStyle name="Normal 5 7 2 2 2 2 4" xfId="41507"/>
    <cellStyle name="Normal 5 7 2 2 2 2 5" xfId="41508"/>
    <cellStyle name="Normal 5 7 2 2 2 3" xfId="41509"/>
    <cellStyle name="Normal 5 7 2 2 2 3 2" xfId="41510"/>
    <cellStyle name="Normal 5 7 2 2 2 3 3" xfId="41511"/>
    <cellStyle name="Normal 5 7 2 2 2 4" xfId="41512"/>
    <cellStyle name="Normal 5 7 2 2 2 4 2" xfId="41513"/>
    <cellStyle name="Normal 5 7 2 2 2 4 3" xfId="41514"/>
    <cellStyle name="Normal 5 7 2 2 2 5" xfId="41515"/>
    <cellStyle name="Normal 5 7 2 2 2 6" xfId="41516"/>
    <cellStyle name="Normal 5 7 2 2 3" xfId="41517"/>
    <cellStyle name="Normal 5 7 2 2 3 2" xfId="41518"/>
    <cellStyle name="Normal 5 7 2 2 3 2 2" xfId="41519"/>
    <cellStyle name="Normal 5 7 2 2 3 2 2 2" xfId="41520"/>
    <cellStyle name="Normal 5 7 2 2 3 2 2 3" xfId="41521"/>
    <cellStyle name="Normal 5 7 2 2 3 2 3" xfId="41522"/>
    <cellStyle name="Normal 5 7 2 2 3 2 3 2" xfId="41523"/>
    <cellStyle name="Normal 5 7 2 2 3 2 3 3" xfId="41524"/>
    <cellStyle name="Normal 5 7 2 2 3 2 4" xfId="41525"/>
    <cellStyle name="Normal 5 7 2 2 3 2 5" xfId="41526"/>
    <cellStyle name="Normal 5 7 2 2 3 3" xfId="41527"/>
    <cellStyle name="Normal 5 7 2 2 3 3 2" xfId="41528"/>
    <cellStyle name="Normal 5 7 2 2 3 3 3" xfId="41529"/>
    <cellStyle name="Normal 5 7 2 2 3 4" xfId="41530"/>
    <cellStyle name="Normal 5 7 2 2 3 4 2" xfId="41531"/>
    <cellStyle name="Normal 5 7 2 2 3 4 3" xfId="41532"/>
    <cellStyle name="Normal 5 7 2 2 3 5" xfId="41533"/>
    <cellStyle name="Normal 5 7 2 2 3 6" xfId="41534"/>
    <cellStyle name="Normal 5 7 2 2 4" xfId="41535"/>
    <cellStyle name="Normal 5 7 2 2 4 2" xfId="41536"/>
    <cellStyle name="Normal 5 7 2 2 4 2 2" xfId="41537"/>
    <cellStyle name="Normal 5 7 2 2 4 2 3" xfId="41538"/>
    <cellStyle name="Normal 5 7 2 2 4 3" xfId="41539"/>
    <cellStyle name="Normal 5 7 2 2 4 3 2" xfId="41540"/>
    <cellStyle name="Normal 5 7 2 2 4 3 3" xfId="41541"/>
    <cellStyle name="Normal 5 7 2 2 4 4" xfId="41542"/>
    <cellStyle name="Normal 5 7 2 2 4 5" xfId="41543"/>
    <cellStyle name="Normal 5 7 2 2 5" xfId="41544"/>
    <cellStyle name="Normal 5 7 2 2 5 2" xfId="41545"/>
    <cellStyle name="Normal 5 7 2 2 5 3" xfId="41546"/>
    <cellStyle name="Normal 5 7 2 2 6" xfId="41547"/>
    <cellStyle name="Normal 5 7 2 2 6 2" xfId="41548"/>
    <cellStyle name="Normal 5 7 2 2 6 3" xfId="41549"/>
    <cellStyle name="Normal 5 7 2 2 7" xfId="41550"/>
    <cellStyle name="Normal 5 7 2 2 8" xfId="41551"/>
    <cellStyle name="Normal 5 7 2 3" xfId="41552"/>
    <cellStyle name="Normal 5 7 2 3 2" xfId="41553"/>
    <cellStyle name="Normal 5 7 2 3 2 2" xfId="41554"/>
    <cellStyle name="Normal 5 7 2 3 2 2 2" xfId="41555"/>
    <cellStyle name="Normal 5 7 2 3 2 2 3" xfId="41556"/>
    <cellStyle name="Normal 5 7 2 3 2 3" xfId="41557"/>
    <cellStyle name="Normal 5 7 2 3 2 3 2" xfId="41558"/>
    <cellStyle name="Normal 5 7 2 3 2 3 3" xfId="41559"/>
    <cellStyle name="Normal 5 7 2 3 2 4" xfId="41560"/>
    <cellStyle name="Normal 5 7 2 3 2 5" xfId="41561"/>
    <cellStyle name="Normal 5 7 2 3 3" xfId="41562"/>
    <cellStyle name="Normal 5 7 2 3 3 2" xfId="41563"/>
    <cellStyle name="Normal 5 7 2 3 3 3" xfId="41564"/>
    <cellStyle name="Normal 5 7 2 3 4" xfId="41565"/>
    <cellStyle name="Normal 5 7 2 3 4 2" xfId="41566"/>
    <cellStyle name="Normal 5 7 2 3 4 3" xfId="41567"/>
    <cellStyle name="Normal 5 7 2 3 5" xfId="41568"/>
    <cellStyle name="Normal 5 7 2 3 6" xfId="41569"/>
    <cellStyle name="Normal 5 7 2 4" xfId="41570"/>
    <cellStyle name="Normal 5 7 2 4 2" xfId="41571"/>
    <cellStyle name="Normal 5 7 2 4 2 2" xfId="41572"/>
    <cellStyle name="Normal 5 7 2 4 2 2 2" xfId="41573"/>
    <cellStyle name="Normal 5 7 2 4 2 2 3" xfId="41574"/>
    <cellStyle name="Normal 5 7 2 4 2 3" xfId="41575"/>
    <cellStyle name="Normal 5 7 2 4 2 3 2" xfId="41576"/>
    <cellStyle name="Normal 5 7 2 4 2 3 3" xfId="41577"/>
    <cellStyle name="Normal 5 7 2 4 2 4" xfId="41578"/>
    <cellStyle name="Normal 5 7 2 4 2 5" xfId="41579"/>
    <cellStyle name="Normal 5 7 2 4 3" xfId="41580"/>
    <cellStyle name="Normal 5 7 2 4 3 2" xfId="41581"/>
    <cellStyle name="Normal 5 7 2 4 3 3" xfId="41582"/>
    <cellStyle name="Normal 5 7 2 4 4" xfId="41583"/>
    <cellStyle name="Normal 5 7 2 4 4 2" xfId="41584"/>
    <cellStyle name="Normal 5 7 2 4 4 3" xfId="41585"/>
    <cellStyle name="Normal 5 7 2 4 5" xfId="41586"/>
    <cellStyle name="Normal 5 7 2 4 6" xfId="41587"/>
    <cellStyle name="Normal 5 7 2 5" xfId="41588"/>
    <cellStyle name="Normal 5 7 2 5 2" xfId="41589"/>
    <cellStyle name="Normal 5 7 2 5 2 2" xfId="41590"/>
    <cellStyle name="Normal 5 7 2 5 2 3" xfId="41591"/>
    <cellStyle name="Normal 5 7 2 5 3" xfId="41592"/>
    <cellStyle name="Normal 5 7 2 5 3 2" xfId="41593"/>
    <cellStyle name="Normal 5 7 2 5 3 3" xfId="41594"/>
    <cellStyle name="Normal 5 7 2 5 4" xfId="41595"/>
    <cellStyle name="Normal 5 7 2 5 5" xfId="41596"/>
    <cellStyle name="Normal 5 7 2 6" xfId="41597"/>
    <cellStyle name="Normal 5 7 2 6 2" xfId="41598"/>
    <cellStyle name="Normal 5 7 2 6 3" xfId="41599"/>
    <cellStyle name="Normal 5 7 2 7" xfId="41600"/>
    <cellStyle name="Normal 5 7 2 7 2" xfId="41601"/>
    <cellStyle name="Normal 5 7 2 7 3" xfId="41602"/>
    <cellStyle name="Normal 5 7 2 8" xfId="41603"/>
    <cellStyle name="Normal 5 7 2 9" xfId="41604"/>
    <cellStyle name="Normal 5 7 3" xfId="41605"/>
    <cellStyle name="Normal 5 7 3 2" xfId="41606"/>
    <cellStyle name="Normal 5 7 3 2 2" xfId="41607"/>
    <cellStyle name="Normal 5 7 3 2 2 2" xfId="41608"/>
    <cellStyle name="Normal 5 7 3 2 2 2 2" xfId="41609"/>
    <cellStyle name="Normal 5 7 3 2 2 2 3" xfId="41610"/>
    <cellStyle name="Normal 5 7 3 2 2 3" xfId="41611"/>
    <cellStyle name="Normal 5 7 3 2 2 3 2" xfId="41612"/>
    <cellStyle name="Normal 5 7 3 2 2 3 3" xfId="41613"/>
    <cellStyle name="Normal 5 7 3 2 2 4" xfId="41614"/>
    <cellStyle name="Normal 5 7 3 2 2 5" xfId="41615"/>
    <cellStyle name="Normal 5 7 3 2 3" xfId="41616"/>
    <cellStyle name="Normal 5 7 3 2 3 2" xfId="41617"/>
    <cellStyle name="Normal 5 7 3 2 3 3" xfId="41618"/>
    <cellStyle name="Normal 5 7 3 2 4" xfId="41619"/>
    <cellStyle name="Normal 5 7 3 2 4 2" xfId="41620"/>
    <cellStyle name="Normal 5 7 3 2 4 3" xfId="41621"/>
    <cellStyle name="Normal 5 7 3 2 5" xfId="41622"/>
    <cellStyle name="Normal 5 7 3 2 6" xfId="41623"/>
    <cellStyle name="Normal 5 7 3 3" xfId="41624"/>
    <cellStyle name="Normal 5 7 3 3 2" xfId="41625"/>
    <cellStyle name="Normal 5 7 3 3 2 2" xfId="41626"/>
    <cellStyle name="Normal 5 7 3 3 2 2 2" xfId="41627"/>
    <cellStyle name="Normal 5 7 3 3 2 2 3" xfId="41628"/>
    <cellStyle name="Normal 5 7 3 3 2 3" xfId="41629"/>
    <cellStyle name="Normal 5 7 3 3 2 3 2" xfId="41630"/>
    <cellStyle name="Normal 5 7 3 3 2 3 3" xfId="41631"/>
    <cellStyle name="Normal 5 7 3 3 2 4" xfId="41632"/>
    <cellStyle name="Normal 5 7 3 3 2 5" xfId="41633"/>
    <cellStyle name="Normal 5 7 3 3 3" xfId="41634"/>
    <cellStyle name="Normal 5 7 3 3 3 2" xfId="41635"/>
    <cellStyle name="Normal 5 7 3 3 3 3" xfId="41636"/>
    <cellStyle name="Normal 5 7 3 3 4" xfId="41637"/>
    <cellStyle name="Normal 5 7 3 3 4 2" xfId="41638"/>
    <cellStyle name="Normal 5 7 3 3 4 3" xfId="41639"/>
    <cellStyle name="Normal 5 7 3 3 5" xfId="41640"/>
    <cellStyle name="Normal 5 7 3 3 6" xfId="41641"/>
    <cellStyle name="Normal 5 7 3 4" xfId="41642"/>
    <cellStyle name="Normal 5 7 3 4 2" xfId="41643"/>
    <cellStyle name="Normal 5 7 3 4 2 2" xfId="41644"/>
    <cellStyle name="Normal 5 7 3 4 2 3" xfId="41645"/>
    <cellStyle name="Normal 5 7 3 4 3" xfId="41646"/>
    <cellStyle name="Normal 5 7 3 4 3 2" xfId="41647"/>
    <cellStyle name="Normal 5 7 3 4 3 3" xfId="41648"/>
    <cellStyle name="Normal 5 7 3 4 4" xfId="41649"/>
    <cellStyle name="Normal 5 7 3 4 5" xfId="41650"/>
    <cellStyle name="Normal 5 7 3 5" xfId="41651"/>
    <cellStyle name="Normal 5 7 3 5 2" xfId="41652"/>
    <cellStyle name="Normal 5 7 3 5 3" xfId="41653"/>
    <cellStyle name="Normal 5 7 3 6" xfId="41654"/>
    <cellStyle name="Normal 5 7 3 6 2" xfId="41655"/>
    <cellStyle name="Normal 5 7 3 6 3" xfId="41656"/>
    <cellStyle name="Normal 5 7 3 7" xfId="41657"/>
    <cellStyle name="Normal 5 7 3 8" xfId="41658"/>
    <cellStyle name="Normal 5 7 4" xfId="41659"/>
    <cellStyle name="Normal 5 7 4 2" xfId="41660"/>
    <cellStyle name="Normal 5 7 4 2 2" xfId="41661"/>
    <cellStyle name="Normal 5 7 4 2 2 2" xfId="41662"/>
    <cellStyle name="Normal 5 7 4 2 2 3" xfId="41663"/>
    <cellStyle name="Normal 5 7 4 2 3" xfId="41664"/>
    <cellStyle name="Normal 5 7 4 2 3 2" xfId="41665"/>
    <cellStyle name="Normal 5 7 4 2 3 3" xfId="41666"/>
    <cellStyle name="Normal 5 7 4 2 4" xfId="41667"/>
    <cellStyle name="Normal 5 7 4 2 5" xfId="41668"/>
    <cellStyle name="Normal 5 7 4 3" xfId="41669"/>
    <cellStyle name="Normal 5 7 4 3 2" xfId="41670"/>
    <cellStyle name="Normal 5 7 4 3 3" xfId="41671"/>
    <cellStyle name="Normal 5 7 4 4" xfId="41672"/>
    <cellStyle name="Normal 5 7 4 4 2" xfId="41673"/>
    <cellStyle name="Normal 5 7 4 4 3" xfId="41674"/>
    <cellStyle name="Normal 5 7 4 5" xfId="41675"/>
    <cellStyle name="Normal 5 7 4 6" xfId="41676"/>
    <cellStyle name="Normal 5 7 5" xfId="41677"/>
    <cellStyle name="Normal 5 7 5 2" xfId="41678"/>
    <cellStyle name="Normal 5 7 5 2 2" xfId="41679"/>
    <cellStyle name="Normal 5 7 5 2 2 2" xfId="41680"/>
    <cellStyle name="Normal 5 7 5 2 2 3" xfId="41681"/>
    <cellStyle name="Normal 5 7 5 2 3" xfId="41682"/>
    <cellStyle name="Normal 5 7 5 2 3 2" xfId="41683"/>
    <cellStyle name="Normal 5 7 5 2 3 3" xfId="41684"/>
    <cellStyle name="Normal 5 7 5 2 4" xfId="41685"/>
    <cellStyle name="Normal 5 7 5 2 5" xfId="41686"/>
    <cellStyle name="Normal 5 7 5 3" xfId="41687"/>
    <cellStyle name="Normal 5 7 5 3 2" xfId="41688"/>
    <cellStyle name="Normal 5 7 5 3 3" xfId="41689"/>
    <cellStyle name="Normal 5 7 5 4" xfId="41690"/>
    <cellStyle name="Normal 5 7 5 4 2" xfId="41691"/>
    <cellStyle name="Normal 5 7 5 4 3" xfId="41692"/>
    <cellStyle name="Normal 5 7 5 5" xfId="41693"/>
    <cellStyle name="Normal 5 7 5 6" xfId="41694"/>
    <cellStyle name="Normal 5 7 6" xfId="41695"/>
    <cellStyle name="Normal 5 7 6 2" xfId="41696"/>
    <cellStyle name="Normal 5 7 6 2 2" xfId="41697"/>
    <cellStyle name="Normal 5 7 6 2 3" xfId="41698"/>
    <cellStyle name="Normal 5 7 6 3" xfId="41699"/>
    <cellStyle name="Normal 5 7 6 3 2" xfId="41700"/>
    <cellStyle name="Normal 5 7 6 3 3" xfId="41701"/>
    <cellStyle name="Normal 5 7 6 4" xfId="41702"/>
    <cellStyle name="Normal 5 7 6 5" xfId="41703"/>
    <cellStyle name="Normal 5 7 7" xfId="41704"/>
    <cellStyle name="Normal 5 7 7 2" xfId="41705"/>
    <cellStyle name="Normal 5 7 7 3" xfId="41706"/>
    <cellStyle name="Normal 5 7 8" xfId="41707"/>
    <cellStyle name="Normal 5 7 8 2" xfId="41708"/>
    <cellStyle name="Normal 5 7 8 3" xfId="41709"/>
    <cellStyle name="Normal 5 7 9" xfId="41710"/>
    <cellStyle name="Normal 5 8" xfId="41711"/>
    <cellStyle name="Normal 5 8 10" xfId="41712"/>
    <cellStyle name="Normal 5 8 2" xfId="41713"/>
    <cellStyle name="Normal 5 8 2 2" xfId="41714"/>
    <cellStyle name="Normal 5 8 2 2 2" xfId="41715"/>
    <cellStyle name="Normal 5 8 2 2 2 2" xfId="41716"/>
    <cellStyle name="Normal 5 8 2 2 2 2 2" xfId="41717"/>
    <cellStyle name="Normal 5 8 2 2 2 2 2 2" xfId="41718"/>
    <cellStyle name="Normal 5 8 2 2 2 2 2 3" xfId="41719"/>
    <cellStyle name="Normal 5 8 2 2 2 2 3" xfId="41720"/>
    <cellStyle name="Normal 5 8 2 2 2 2 3 2" xfId="41721"/>
    <cellStyle name="Normal 5 8 2 2 2 2 3 3" xfId="41722"/>
    <cellStyle name="Normal 5 8 2 2 2 2 4" xfId="41723"/>
    <cellStyle name="Normal 5 8 2 2 2 2 5" xfId="41724"/>
    <cellStyle name="Normal 5 8 2 2 2 3" xfId="41725"/>
    <cellStyle name="Normal 5 8 2 2 2 3 2" xfId="41726"/>
    <cellStyle name="Normal 5 8 2 2 2 3 3" xfId="41727"/>
    <cellStyle name="Normal 5 8 2 2 2 4" xfId="41728"/>
    <cellStyle name="Normal 5 8 2 2 2 4 2" xfId="41729"/>
    <cellStyle name="Normal 5 8 2 2 2 4 3" xfId="41730"/>
    <cellStyle name="Normal 5 8 2 2 2 5" xfId="41731"/>
    <cellStyle name="Normal 5 8 2 2 2 6" xfId="41732"/>
    <cellStyle name="Normal 5 8 2 2 3" xfId="41733"/>
    <cellStyle name="Normal 5 8 2 2 3 2" xfId="41734"/>
    <cellStyle name="Normal 5 8 2 2 3 2 2" xfId="41735"/>
    <cellStyle name="Normal 5 8 2 2 3 2 2 2" xfId="41736"/>
    <cellStyle name="Normal 5 8 2 2 3 2 2 3" xfId="41737"/>
    <cellStyle name="Normal 5 8 2 2 3 2 3" xfId="41738"/>
    <cellStyle name="Normal 5 8 2 2 3 2 3 2" xfId="41739"/>
    <cellStyle name="Normal 5 8 2 2 3 2 3 3" xfId="41740"/>
    <cellStyle name="Normal 5 8 2 2 3 2 4" xfId="41741"/>
    <cellStyle name="Normal 5 8 2 2 3 2 5" xfId="41742"/>
    <cellStyle name="Normal 5 8 2 2 3 3" xfId="41743"/>
    <cellStyle name="Normal 5 8 2 2 3 3 2" xfId="41744"/>
    <cellStyle name="Normal 5 8 2 2 3 3 3" xfId="41745"/>
    <cellStyle name="Normal 5 8 2 2 3 4" xfId="41746"/>
    <cellStyle name="Normal 5 8 2 2 3 4 2" xfId="41747"/>
    <cellStyle name="Normal 5 8 2 2 3 4 3" xfId="41748"/>
    <cellStyle name="Normal 5 8 2 2 3 5" xfId="41749"/>
    <cellStyle name="Normal 5 8 2 2 3 6" xfId="41750"/>
    <cellStyle name="Normal 5 8 2 2 4" xfId="41751"/>
    <cellStyle name="Normal 5 8 2 2 4 2" xfId="41752"/>
    <cellStyle name="Normal 5 8 2 2 4 2 2" xfId="41753"/>
    <cellStyle name="Normal 5 8 2 2 4 2 3" xfId="41754"/>
    <cellStyle name="Normal 5 8 2 2 4 3" xfId="41755"/>
    <cellStyle name="Normal 5 8 2 2 4 3 2" xfId="41756"/>
    <cellStyle name="Normal 5 8 2 2 4 3 3" xfId="41757"/>
    <cellStyle name="Normal 5 8 2 2 4 4" xfId="41758"/>
    <cellStyle name="Normal 5 8 2 2 4 5" xfId="41759"/>
    <cellStyle name="Normal 5 8 2 2 5" xfId="41760"/>
    <cellStyle name="Normal 5 8 2 2 5 2" xfId="41761"/>
    <cellStyle name="Normal 5 8 2 2 5 3" xfId="41762"/>
    <cellStyle name="Normal 5 8 2 2 6" xfId="41763"/>
    <cellStyle name="Normal 5 8 2 2 6 2" xfId="41764"/>
    <cellStyle name="Normal 5 8 2 2 6 3" xfId="41765"/>
    <cellStyle name="Normal 5 8 2 2 7" xfId="41766"/>
    <cellStyle name="Normal 5 8 2 2 8" xfId="41767"/>
    <cellStyle name="Normal 5 8 2 3" xfId="41768"/>
    <cellStyle name="Normal 5 8 2 3 2" xfId="41769"/>
    <cellStyle name="Normal 5 8 2 3 2 2" xfId="41770"/>
    <cellStyle name="Normal 5 8 2 3 2 2 2" xfId="41771"/>
    <cellStyle name="Normal 5 8 2 3 2 2 3" xfId="41772"/>
    <cellStyle name="Normal 5 8 2 3 2 3" xfId="41773"/>
    <cellStyle name="Normal 5 8 2 3 2 3 2" xfId="41774"/>
    <cellStyle name="Normal 5 8 2 3 2 3 3" xfId="41775"/>
    <cellStyle name="Normal 5 8 2 3 2 4" xfId="41776"/>
    <cellStyle name="Normal 5 8 2 3 2 5" xfId="41777"/>
    <cellStyle name="Normal 5 8 2 3 3" xfId="41778"/>
    <cellStyle name="Normal 5 8 2 3 3 2" xfId="41779"/>
    <cellStyle name="Normal 5 8 2 3 3 3" xfId="41780"/>
    <cellStyle name="Normal 5 8 2 3 4" xfId="41781"/>
    <cellStyle name="Normal 5 8 2 3 4 2" xfId="41782"/>
    <cellStyle name="Normal 5 8 2 3 4 3" xfId="41783"/>
    <cellStyle name="Normal 5 8 2 3 5" xfId="41784"/>
    <cellStyle name="Normal 5 8 2 3 6" xfId="41785"/>
    <cellStyle name="Normal 5 8 2 4" xfId="41786"/>
    <cellStyle name="Normal 5 8 2 4 2" xfId="41787"/>
    <cellStyle name="Normal 5 8 2 4 2 2" xfId="41788"/>
    <cellStyle name="Normal 5 8 2 4 2 2 2" xfId="41789"/>
    <cellStyle name="Normal 5 8 2 4 2 2 3" xfId="41790"/>
    <cellStyle name="Normal 5 8 2 4 2 3" xfId="41791"/>
    <cellStyle name="Normal 5 8 2 4 2 3 2" xfId="41792"/>
    <cellStyle name="Normal 5 8 2 4 2 3 3" xfId="41793"/>
    <cellStyle name="Normal 5 8 2 4 2 4" xfId="41794"/>
    <cellStyle name="Normal 5 8 2 4 2 5" xfId="41795"/>
    <cellStyle name="Normal 5 8 2 4 3" xfId="41796"/>
    <cellStyle name="Normal 5 8 2 4 3 2" xfId="41797"/>
    <cellStyle name="Normal 5 8 2 4 3 3" xfId="41798"/>
    <cellStyle name="Normal 5 8 2 4 4" xfId="41799"/>
    <cellStyle name="Normal 5 8 2 4 4 2" xfId="41800"/>
    <cellStyle name="Normal 5 8 2 4 4 3" xfId="41801"/>
    <cellStyle name="Normal 5 8 2 4 5" xfId="41802"/>
    <cellStyle name="Normal 5 8 2 4 6" xfId="41803"/>
    <cellStyle name="Normal 5 8 2 5" xfId="41804"/>
    <cellStyle name="Normal 5 8 2 5 2" xfId="41805"/>
    <cellStyle name="Normal 5 8 2 5 2 2" xfId="41806"/>
    <cellStyle name="Normal 5 8 2 5 2 3" xfId="41807"/>
    <cellStyle name="Normal 5 8 2 5 3" xfId="41808"/>
    <cellStyle name="Normal 5 8 2 5 3 2" xfId="41809"/>
    <cellStyle name="Normal 5 8 2 5 3 3" xfId="41810"/>
    <cellStyle name="Normal 5 8 2 5 4" xfId="41811"/>
    <cellStyle name="Normal 5 8 2 5 5" xfId="41812"/>
    <cellStyle name="Normal 5 8 2 6" xfId="41813"/>
    <cellStyle name="Normal 5 8 2 6 2" xfId="41814"/>
    <cellStyle name="Normal 5 8 2 6 3" xfId="41815"/>
    <cellStyle name="Normal 5 8 2 7" xfId="41816"/>
    <cellStyle name="Normal 5 8 2 7 2" xfId="41817"/>
    <cellStyle name="Normal 5 8 2 7 3" xfId="41818"/>
    <cellStyle name="Normal 5 8 2 8" xfId="41819"/>
    <cellStyle name="Normal 5 8 2 9" xfId="41820"/>
    <cellStyle name="Normal 5 8 3" xfId="41821"/>
    <cellStyle name="Normal 5 8 3 2" xfId="41822"/>
    <cellStyle name="Normal 5 8 3 2 2" xfId="41823"/>
    <cellStyle name="Normal 5 8 3 2 2 2" xfId="41824"/>
    <cellStyle name="Normal 5 8 3 2 2 2 2" xfId="41825"/>
    <cellStyle name="Normal 5 8 3 2 2 2 3" xfId="41826"/>
    <cellStyle name="Normal 5 8 3 2 2 3" xfId="41827"/>
    <cellStyle name="Normal 5 8 3 2 2 3 2" xfId="41828"/>
    <cellStyle name="Normal 5 8 3 2 2 3 3" xfId="41829"/>
    <cellStyle name="Normal 5 8 3 2 2 4" xfId="41830"/>
    <cellStyle name="Normal 5 8 3 2 2 5" xfId="41831"/>
    <cellStyle name="Normal 5 8 3 2 3" xfId="41832"/>
    <cellStyle name="Normal 5 8 3 2 3 2" xfId="41833"/>
    <cellStyle name="Normal 5 8 3 2 3 3" xfId="41834"/>
    <cellStyle name="Normal 5 8 3 2 4" xfId="41835"/>
    <cellStyle name="Normal 5 8 3 2 4 2" xfId="41836"/>
    <cellStyle name="Normal 5 8 3 2 4 3" xfId="41837"/>
    <cellStyle name="Normal 5 8 3 2 5" xfId="41838"/>
    <cellStyle name="Normal 5 8 3 2 6" xfId="41839"/>
    <cellStyle name="Normal 5 8 3 3" xfId="41840"/>
    <cellStyle name="Normal 5 8 3 3 2" xfId="41841"/>
    <cellStyle name="Normal 5 8 3 3 2 2" xfId="41842"/>
    <cellStyle name="Normal 5 8 3 3 2 2 2" xfId="41843"/>
    <cellStyle name="Normal 5 8 3 3 2 2 3" xfId="41844"/>
    <cellStyle name="Normal 5 8 3 3 2 3" xfId="41845"/>
    <cellStyle name="Normal 5 8 3 3 2 3 2" xfId="41846"/>
    <cellStyle name="Normal 5 8 3 3 2 3 3" xfId="41847"/>
    <cellStyle name="Normal 5 8 3 3 2 4" xfId="41848"/>
    <cellStyle name="Normal 5 8 3 3 2 5" xfId="41849"/>
    <cellStyle name="Normal 5 8 3 3 3" xfId="41850"/>
    <cellStyle name="Normal 5 8 3 3 3 2" xfId="41851"/>
    <cellStyle name="Normal 5 8 3 3 3 3" xfId="41852"/>
    <cellStyle name="Normal 5 8 3 3 4" xfId="41853"/>
    <cellStyle name="Normal 5 8 3 3 4 2" xfId="41854"/>
    <cellStyle name="Normal 5 8 3 3 4 3" xfId="41855"/>
    <cellStyle name="Normal 5 8 3 3 5" xfId="41856"/>
    <cellStyle name="Normal 5 8 3 3 6" xfId="41857"/>
    <cellStyle name="Normal 5 8 3 4" xfId="41858"/>
    <cellStyle name="Normal 5 8 3 4 2" xfId="41859"/>
    <cellStyle name="Normal 5 8 3 4 2 2" xfId="41860"/>
    <cellStyle name="Normal 5 8 3 4 2 3" xfId="41861"/>
    <cellStyle name="Normal 5 8 3 4 3" xfId="41862"/>
    <cellStyle name="Normal 5 8 3 4 3 2" xfId="41863"/>
    <cellStyle name="Normal 5 8 3 4 3 3" xfId="41864"/>
    <cellStyle name="Normal 5 8 3 4 4" xfId="41865"/>
    <cellStyle name="Normal 5 8 3 4 5" xfId="41866"/>
    <cellStyle name="Normal 5 8 3 5" xfId="41867"/>
    <cellStyle name="Normal 5 8 3 5 2" xfId="41868"/>
    <cellStyle name="Normal 5 8 3 5 3" xfId="41869"/>
    <cellStyle name="Normal 5 8 3 6" xfId="41870"/>
    <cellStyle name="Normal 5 8 3 6 2" xfId="41871"/>
    <cellStyle name="Normal 5 8 3 6 3" xfId="41872"/>
    <cellStyle name="Normal 5 8 3 7" xfId="41873"/>
    <cellStyle name="Normal 5 8 3 8" xfId="41874"/>
    <cellStyle name="Normal 5 8 4" xfId="41875"/>
    <cellStyle name="Normal 5 8 4 2" xfId="41876"/>
    <cellStyle name="Normal 5 8 4 2 2" xfId="41877"/>
    <cellStyle name="Normal 5 8 4 2 2 2" xfId="41878"/>
    <cellStyle name="Normal 5 8 4 2 2 3" xfId="41879"/>
    <cellStyle name="Normal 5 8 4 2 3" xfId="41880"/>
    <cellStyle name="Normal 5 8 4 2 3 2" xfId="41881"/>
    <cellStyle name="Normal 5 8 4 2 3 3" xfId="41882"/>
    <cellStyle name="Normal 5 8 4 2 4" xfId="41883"/>
    <cellStyle name="Normal 5 8 4 2 5" xfId="41884"/>
    <cellStyle name="Normal 5 8 4 3" xfId="41885"/>
    <cellStyle name="Normal 5 8 4 3 2" xfId="41886"/>
    <cellStyle name="Normal 5 8 4 3 3" xfId="41887"/>
    <cellStyle name="Normal 5 8 4 4" xfId="41888"/>
    <cellStyle name="Normal 5 8 4 4 2" xfId="41889"/>
    <cellStyle name="Normal 5 8 4 4 3" xfId="41890"/>
    <cellStyle name="Normal 5 8 4 5" xfId="41891"/>
    <cellStyle name="Normal 5 8 4 6" xfId="41892"/>
    <cellStyle name="Normal 5 8 5" xfId="41893"/>
    <cellStyle name="Normal 5 8 5 2" xfId="41894"/>
    <cellStyle name="Normal 5 8 5 2 2" xfId="41895"/>
    <cellStyle name="Normal 5 8 5 2 2 2" xfId="41896"/>
    <cellStyle name="Normal 5 8 5 2 2 3" xfId="41897"/>
    <cellStyle name="Normal 5 8 5 2 3" xfId="41898"/>
    <cellStyle name="Normal 5 8 5 2 3 2" xfId="41899"/>
    <cellStyle name="Normal 5 8 5 2 3 3" xfId="41900"/>
    <cellStyle name="Normal 5 8 5 2 4" xfId="41901"/>
    <cellStyle name="Normal 5 8 5 2 5" xfId="41902"/>
    <cellStyle name="Normal 5 8 5 3" xfId="41903"/>
    <cellStyle name="Normal 5 8 5 3 2" xfId="41904"/>
    <cellStyle name="Normal 5 8 5 3 3" xfId="41905"/>
    <cellStyle name="Normal 5 8 5 4" xfId="41906"/>
    <cellStyle name="Normal 5 8 5 4 2" xfId="41907"/>
    <cellStyle name="Normal 5 8 5 4 3" xfId="41908"/>
    <cellStyle name="Normal 5 8 5 5" xfId="41909"/>
    <cellStyle name="Normal 5 8 5 6" xfId="41910"/>
    <cellStyle name="Normal 5 8 6" xfId="41911"/>
    <cellStyle name="Normal 5 8 6 2" xfId="41912"/>
    <cellStyle name="Normal 5 8 6 2 2" xfId="41913"/>
    <cellStyle name="Normal 5 8 6 2 3" xfId="41914"/>
    <cellStyle name="Normal 5 8 6 3" xfId="41915"/>
    <cellStyle name="Normal 5 8 6 3 2" xfId="41916"/>
    <cellStyle name="Normal 5 8 6 3 3" xfId="41917"/>
    <cellStyle name="Normal 5 8 6 4" xfId="41918"/>
    <cellStyle name="Normal 5 8 6 5" xfId="41919"/>
    <cellStyle name="Normal 5 8 7" xfId="41920"/>
    <cellStyle name="Normal 5 8 7 2" xfId="41921"/>
    <cellStyle name="Normal 5 8 7 3" xfId="41922"/>
    <cellStyle name="Normal 5 8 8" xfId="41923"/>
    <cellStyle name="Normal 5 8 8 2" xfId="41924"/>
    <cellStyle name="Normal 5 8 8 3" xfId="41925"/>
    <cellStyle name="Normal 5 8 9" xfId="41926"/>
    <cellStyle name="Normal 5 9" xfId="41927"/>
    <cellStyle name="Normal 5 9 10" xfId="41928"/>
    <cellStyle name="Normal 5 9 2" xfId="41929"/>
    <cellStyle name="Normal 5 9 2 2" xfId="41930"/>
    <cellStyle name="Normal 5 9 2 2 2" xfId="41931"/>
    <cellStyle name="Normal 5 9 2 2 2 2" xfId="41932"/>
    <cellStyle name="Normal 5 9 2 2 2 2 2" xfId="41933"/>
    <cellStyle name="Normal 5 9 2 2 2 2 2 2" xfId="41934"/>
    <cellStyle name="Normal 5 9 2 2 2 2 2 3" xfId="41935"/>
    <cellStyle name="Normal 5 9 2 2 2 2 3" xfId="41936"/>
    <cellStyle name="Normal 5 9 2 2 2 2 3 2" xfId="41937"/>
    <cellStyle name="Normal 5 9 2 2 2 2 3 3" xfId="41938"/>
    <cellStyle name="Normal 5 9 2 2 2 2 4" xfId="41939"/>
    <cellStyle name="Normal 5 9 2 2 2 2 5" xfId="41940"/>
    <cellStyle name="Normal 5 9 2 2 2 3" xfId="41941"/>
    <cellStyle name="Normal 5 9 2 2 2 3 2" xfId="41942"/>
    <cellStyle name="Normal 5 9 2 2 2 3 3" xfId="41943"/>
    <cellStyle name="Normal 5 9 2 2 2 4" xfId="41944"/>
    <cellStyle name="Normal 5 9 2 2 2 4 2" xfId="41945"/>
    <cellStyle name="Normal 5 9 2 2 2 4 3" xfId="41946"/>
    <cellStyle name="Normal 5 9 2 2 2 5" xfId="41947"/>
    <cellStyle name="Normal 5 9 2 2 2 6" xfId="41948"/>
    <cellStyle name="Normal 5 9 2 2 3" xfId="41949"/>
    <cellStyle name="Normal 5 9 2 2 3 2" xfId="41950"/>
    <cellStyle name="Normal 5 9 2 2 3 2 2" xfId="41951"/>
    <cellStyle name="Normal 5 9 2 2 3 2 2 2" xfId="41952"/>
    <cellStyle name="Normal 5 9 2 2 3 2 2 3" xfId="41953"/>
    <cellStyle name="Normal 5 9 2 2 3 2 3" xfId="41954"/>
    <cellStyle name="Normal 5 9 2 2 3 2 3 2" xfId="41955"/>
    <cellStyle name="Normal 5 9 2 2 3 2 3 3" xfId="41956"/>
    <cellStyle name="Normal 5 9 2 2 3 2 4" xfId="41957"/>
    <cellStyle name="Normal 5 9 2 2 3 2 5" xfId="41958"/>
    <cellStyle name="Normal 5 9 2 2 3 3" xfId="41959"/>
    <cellStyle name="Normal 5 9 2 2 3 3 2" xfId="41960"/>
    <cellStyle name="Normal 5 9 2 2 3 3 3" xfId="41961"/>
    <cellStyle name="Normal 5 9 2 2 3 4" xfId="41962"/>
    <cellStyle name="Normal 5 9 2 2 3 4 2" xfId="41963"/>
    <cellStyle name="Normal 5 9 2 2 3 4 3" xfId="41964"/>
    <cellStyle name="Normal 5 9 2 2 3 5" xfId="41965"/>
    <cellStyle name="Normal 5 9 2 2 3 6" xfId="41966"/>
    <cellStyle name="Normal 5 9 2 2 4" xfId="41967"/>
    <cellStyle name="Normal 5 9 2 2 4 2" xfId="41968"/>
    <cellStyle name="Normal 5 9 2 2 4 2 2" xfId="41969"/>
    <cellStyle name="Normal 5 9 2 2 4 2 3" xfId="41970"/>
    <cellStyle name="Normal 5 9 2 2 4 3" xfId="41971"/>
    <cellStyle name="Normal 5 9 2 2 4 3 2" xfId="41972"/>
    <cellStyle name="Normal 5 9 2 2 4 3 3" xfId="41973"/>
    <cellStyle name="Normal 5 9 2 2 4 4" xfId="41974"/>
    <cellStyle name="Normal 5 9 2 2 4 5" xfId="41975"/>
    <cellStyle name="Normal 5 9 2 2 5" xfId="41976"/>
    <cellStyle name="Normal 5 9 2 2 5 2" xfId="41977"/>
    <cellStyle name="Normal 5 9 2 2 5 3" xfId="41978"/>
    <cellStyle name="Normal 5 9 2 2 6" xfId="41979"/>
    <cellStyle name="Normal 5 9 2 2 6 2" xfId="41980"/>
    <cellStyle name="Normal 5 9 2 2 6 3" xfId="41981"/>
    <cellStyle name="Normal 5 9 2 2 7" xfId="41982"/>
    <cellStyle name="Normal 5 9 2 2 8" xfId="41983"/>
    <cellStyle name="Normal 5 9 2 3" xfId="41984"/>
    <cellStyle name="Normal 5 9 2 3 2" xfId="41985"/>
    <cellStyle name="Normal 5 9 2 3 2 2" xfId="41986"/>
    <cellStyle name="Normal 5 9 2 3 2 2 2" xfId="41987"/>
    <cellStyle name="Normal 5 9 2 3 2 2 3" xfId="41988"/>
    <cellStyle name="Normal 5 9 2 3 2 3" xfId="41989"/>
    <cellStyle name="Normal 5 9 2 3 2 3 2" xfId="41990"/>
    <cellStyle name="Normal 5 9 2 3 2 3 3" xfId="41991"/>
    <cellStyle name="Normal 5 9 2 3 2 4" xfId="41992"/>
    <cellStyle name="Normal 5 9 2 3 2 5" xfId="41993"/>
    <cellStyle name="Normal 5 9 2 3 3" xfId="41994"/>
    <cellStyle name="Normal 5 9 2 3 3 2" xfId="41995"/>
    <cellStyle name="Normal 5 9 2 3 3 3" xfId="41996"/>
    <cellStyle name="Normal 5 9 2 3 4" xfId="41997"/>
    <cellStyle name="Normal 5 9 2 3 4 2" xfId="41998"/>
    <cellStyle name="Normal 5 9 2 3 4 3" xfId="41999"/>
    <cellStyle name="Normal 5 9 2 3 5" xfId="42000"/>
    <cellStyle name="Normal 5 9 2 3 6" xfId="42001"/>
    <cellStyle name="Normal 5 9 2 4" xfId="42002"/>
    <cellStyle name="Normal 5 9 2 4 2" xfId="42003"/>
    <cellStyle name="Normal 5 9 2 4 2 2" xfId="42004"/>
    <cellStyle name="Normal 5 9 2 4 2 2 2" xfId="42005"/>
    <cellStyle name="Normal 5 9 2 4 2 2 3" xfId="42006"/>
    <cellStyle name="Normal 5 9 2 4 2 3" xfId="42007"/>
    <cellStyle name="Normal 5 9 2 4 2 3 2" xfId="42008"/>
    <cellStyle name="Normal 5 9 2 4 2 3 3" xfId="42009"/>
    <cellStyle name="Normal 5 9 2 4 2 4" xfId="42010"/>
    <cellStyle name="Normal 5 9 2 4 2 5" xfId="42011"/>
    <cellStyle name="Normal 5 9 2 4 3" xfId="42012"/>
    <cellStyle name="Normal 5 9 2 4 3 2" xfId="42013"/>
    <cellStyle name="Normal 5 9 2 4 3 3" xfId="42014"/>
    <cellStyle name="Normal 5 9 2 4 4" xfId="42015"/>
    <cellStyle name="Normal 5 9 2 4 4 2" xfId="42016"/>
    <cellStyle name="Normal 5 9 2 4 4 3" xfId="42017"/>
    <cellStyle name="Normal 5 9 2 4 5" xfId="42018"/>
    <cellStyle name="Normal 5 9 2 4 6" xfId="42019"/>
    <cellStyle name="Normal 5 9 2 5" xfId="42020"/>
    <cellStyle name="Normal 5 9 2 5 2" xfId="42021"/>
    <cellStyle name="Normal 5 9 2 5 2 2" xfId="42022"/>
    <cellStyle name="Normal 5 9 2 5 2 3" xfId="42023"/>
    <cellStyle name="Normal 5 9 2 5 3" xfId="42024"/>
    <cellStyle name="Normal 5 9 2 5 3 2" xfId="42025"/>
    <cellStyle name="Normal 5 9 2 5 3 3" xfId="42026"/>
    <cellStyle name="Normal 5 9 2 5 4" xfId="42027"/>
    <cellStyle name="Normal 5 9 2 5 5" xfId="42028"/>
    <cellStyle name="Normal 5 9 2 6" xfId="42029"/>
    <cellStyle name="Normal 5 9 2 6 2" xfId="42030"/>
    <cellStyle name="Normal 5 9 2 6 3" xfId="42031"/>
    <cellStyle name="Normal 5 9 2 7" xfId="42032"/>
    <cellStyle name="Normal 5 9 2 7 2" xfId="42033"/>
    <cellStyle name="Normal 5 9 2 7 3" xfId="42034"/>
    <cellStyle name="Normal 5 9 2 8" xfId="42035"/>
    <cellStyle name="Normal 5 9 2 9" xfId="42036"/>
    <cellStyle name="Normal 5 9 3" xfId="42037"/>
    <cellStyle name="Normal 5 9 3 2" xfId="42038"/>
    <cellStyle name="Normal 5 9 3 2 2" xfId="42039"/>
    <cellStyle name="Normal 5 9 3 2 2 2" xfId="42040"/>
    <cellStyle name="Normal 5 9 3 2 2 2 2" xfId="42041"/>
    <cellStyle name="Normal 5 9 3 2 2 2 3" xfId="42042"/>
    <cellStyle name="Normal 5 9 3 2 2 3" xfId="42043"/>
    <cellStyle name="Normal 5 9 3 2 2 3 2" xfId="42044"/>
    <cellStyle name="Normal 5 9 3 2 2 3 3" xfId="42045"/>
    <cellStyle name="Normal 5 9 3 2 2 4" xfId="42046"/>
    <cellStyle name="Normal 5 9 3 2 2 5" xfId="42047"/>
    <cellStyle name="Normal 5 9 3 2 3" xfId="42048"/>
    <cellStyle name="Normal 5 9 3 2 3 2" xfId="42049"/>
    <cellStyle name="Normal 5 9 3 2 3 3" xfId="42050"/>
    <cellStyle name="Normal 5 9 3 2 4" xfId="42051"/>
    <cellStyle name="Normal 5 9 3 2 4 2" xfId="42052"/>
    <cellStyle name="Normal 5 9 3 2 4 3" xfId="42053"/>
    <cellStyle name="Normal 5 9 3 2 5" xfId="42054"/>
    <cellStyle name="Normal 5 9 3 2 6" xfId="42055"/>
    <cellStyle name="Normal 5 9 3 3" xfId="42056"/>
    <cellStyle name="Normal 5 9 3 3 2" xfId="42057"/>
    <cellStyle name="Normal 5 9 3 3 2 2" xfId="42058"/>
    <cellStyle name="Normal 5 9 3 3 2 2 2" xfId="42059"/>
    <cellStyle name="Normal 5 9 3 3 2 2 3" xfId="42060"/>
    <cellStyle name="Normal 5 9 3 3 2 3" xfId="42061"/>
    <cellStyle name="Normal 5 9 3 3 2 3 2" xfId="42062"/>
    <cellStyle name="Normal 5 9 3 3 2 3 3" xfId="42063"/>
    <cellStyle name="Normal 5 9 3 3 2 4" xfId="42064"/>
    <cellStyle name="Normal 5 9 3 3 2 5" xfId="42065"/>
    <cellStyle name="Normal 5 9 3 3 3" xfId="42066"/>
    <cellStyle name="Normal 5 9 3 3 3 2" xfId="42067"/>
    <cellStyle name="Normal 5 9 3 3 3 3" xfId="42068"/>
    <cellStyle name="Normal 5 9 3 3 4" xfId="42069"/>
    <cellStyle name="Normal 5 9 3 3 4 2" xfId="42070"/>
    <cellStyle name="Normal 5 9 3 3 4 3" xfId="42071"/>
    <cellStyle name="Normal 5 9 3 3 5" xfId="42072"/>
    <cellStyle name="Normal 5 9 3 3 6" xfId="42073"/>
    <cellStyle name="Normal 5 9 3 4" xfId="42074"/>
    <cellStyle name="Normal 5 9 3 4 2" xfId="42075"/>
    <cellStyle name="Normal 5 9 3 4 2 2" xfId="42076"/>
    <cellStyle name="Normal 5 9 3 4 2 3" xfId="42077"/>
    <cellStyle name="Normal 5 9 3 4 3" xfId="42078"/>
    <cellStyle name="Normal 5 9 3 4 3 2" xfId="42079"/>
    <cellStyle name="Normal 5 9 3 4 3 3" xfId="42080"/>
    <cellStyle name="Normal 5 9 3 4 4" xfId="42081"/>
    <cellStyle name="Normal 5 9 3 4 5" xfId="42082"/>
    <cellStyle name="Normal 5 9 3 5" xfId="42083"/>
    <cellStyle name="Normal 5 9 3 5 2" xfId="42084"/>
    <cellStyle name="Normal 5 9 3 5 3" xfId="42085"/>
    <cellStyle name="Normal 5 9 3 6" xfId="42086"/>
    <cellStyle name="Normal 5 9 3 6 2" xfId="42087"/>
    <cellStyle name="Normal 5 9 3 6 3" xfId="42088"/>
    <cellStyle name="Normal 5 9 3 7" xfId="42089"/>
    <cellStyle name="Normal 5 9 3 8" xfId="42090"/>
    <cellStyle name="Normal 5 9 4" xfId="42091"/>
    <cellStyle name="Normal 5 9 4 2" xfId="42092"/>
    <cellStyle name="Normal 5 9 4 2 2" xfId="42093"/>
    <cellStyle name="Normal 5 9 4 2 2 2" xfId="42094"/>
    <cellStyle name="Normal 5 9 4 2 2 3" xfId="42095"/>
    <cellStyle name="Normal 5 9 4 2 3" xfId="42096"/>
    <cellStyle name="Normal 5 9 4 2 3 2" xfId="42097"/>
    <cellStyle name="Normal 5 9 4 2 3 3" xfId="42098"/>
    <cellStyle name="Normal 5 9 4 2 4" xfId="42099"/>
    <cellStyle name="Normal 5 9 4 2 5" xfId="42100"/>
    <cellStyle name="Normal 5 9 4 3" xfId="42101"/>
    <cellStyle name="Normal 5 9 4 3 2" xfId="42102"/>
    <cellStyle name="Normal 5 9 4 3 3" xfId="42103"/>
    <cellStyle name="Normal 5 9 4 4" xfId="42104"/>
    <cellStyle name="Normal 5 9 4 4 2" xfId="42105"/>
    <cellStyle name="Normal 5 9 4 4 3" xfId="42106"/>
    <cellStyle name="Normal 5 9 4 5" xfId="42107"/>
    <cellStyle name="Normal 5 9 4 6" xfId="42108"/>
    <cellStyle name="Normal 5 9 5" xfId="42109"/>
    <cellStyle name="Normal 5 9 5 2" xfId="42110"/>
    <cellStyle name="Normal 5 9 5 2 2" xfId="42111"/>
    <cellStyle name="Normal 5 9 5 2 2 2" xfId="42112"/>
    <cellStyle name="Normal 5 9 5 2 2 3" xfId="42113"/>
    <cellStyle name="Normal 5 9 5 2 3" xfId="42114"/>
    <cellStyle name="Normal 5 9 5 2 3 2" xfId="42115"/>
    <cellStyle name="Normal 5 9 5 2 3 3" xfId="42116"/>
    <cellStyle name="Normal 5 9 5 2 4" xfId="42117"/>
    <cellStyle name="Normal 5 9 5 2 5" xfId="42118"/>
    <cellStyle name="Normal 5 9 5 3" xfId="42119"/>
    <cellStyle name="Normal 5 9 5 3 2" xfId="42120"/>
    <cellStyle name="Normal 5 9 5 3 3" xfId="42121"/>
    <cellStyle name="Normal 5 9 5 4" xfId="42122"/>
    <cellStyle name="Normal 5 9 5 4 2" xfId="42123"/>
    <cellStyle name="Normal 5 9 5 4 3" xfId="42124"/>
    <cellStyle name="Normal 5 9 5 5" xfId="42125"/>
    <cellStyle name="Normal 5 9 5 6" xfId="42126"/>
    <cellStyle name="Normal 5 9 6" xfId="42127"/>
    <cellStyle name="Normal 5 9 6 2" xfId="42128"/>
    <cellStyle name="Normal 5 9 6 2 2" xfId="42129"/>
    <cellStyle name="Normal 5 9 6 2 3" xfId="42130"/>
    <cellStyle name="Normal 5 9 6 3" xfId="42131"/>
    <cellStyle name="Normal 5 9 6 3 2" xfId="42132"/>
    <cellStyle name="Normal 5 9 6 3 3" xfId="42133"/>
    <cellStyle name="Normal 5 9 6 4" xfId="42134"/>
    <cellStyle name="Normal 5 9 6 5" xfId="42135"/>
    <cellStyle name="Normal 5 9 7" xfId="42136"/>
    <cellStyle name="Normal 5 9 7 2" xfId="42137"/>
    <cellStyle name="Normal 5 9 7 3" xfId="42138"/>
    <cellStyle name="Normal 5 9 8" xfId="42139"/>
    <cellStyle name="Normal 5 9 8 2" xfId="42140"/>
    <cellStyle name="Normal 5 9 8 3" xfId="42141"/>
    <cellStyle name="Normal 5 9 9" xfId="42142"/>
    <cellStyle name="Normal 6" xfId="4"/>
    <cellStyle name="Normal 6 10" xfId="42143"/>
    <cellStyle name="Normal 6 10 2" xfId="42144"/>
    <cellStyle name="Normal 6 10 3" xfId="42145"/>
    <cellStyle name="Normal 6 11" xfId="42146"/>
    <cellStyle name="Normal 6 12" xfId="42147"/>
    <cellStyle name="Normal 6 13" xfId="42148"/>
    <cellStyle name="Normal 6 2" xfId="42149"/>
    <cellStyle name="Normal 6 2 2" xfId="42150"/>
    <cellStyle name="Normal 6 2 2 2" xfId="42151"/>
    <cellStyle name="Normal 6 3" xfId="42152"/>
    <cellStyle name="Normal 6 4" xfId="42153"/>
    <cellStyle name="Normal 6 4 2" xfId="42154"/>
    <cellStyle name="Normal 6 4 2 2" xfId="42155"/>
    <cellStyle name="Normal 6 4 2 2 2" xfId="42156"/>
    <cellStyle name="Normal 6 4 2 2 2 2" xfId="42157"/>
    <cellStyle name="Normal 6 4 2 2 2 2 2" xfId="42158"/>
    <cellStyle name="Normal 6 4 2 2 2 2 3" xfId="42159"/>
    <cellStyle name="Normal 6 4 2 2 2 3" xfId="42160"/>
    <cellStyle name="Normal 6 4 2 2 2 3 2" xfId="42161"/>
    <cellStyle name="Normal 6 4 2 2 2 3 3" xfId="42162"/>
    <cellStyle name="Normal 6 4 2 2 2 4" xfId="42163"/>
    <cellStyle name="Normal 6 4 2 2 2 5" xfId="42164"/>
    <cellStyle name="Normal 6 4 2 2 3" xfId="42165"/>
    <cellStyle name="Normal 6 4 2 2 3 2" xfId="42166"/>
    <cellStyle name="Normal 6 4 2 2 3 3" xfId="42167"/>
    <cellStyle name="Normal 6 4 2 2 4" xfId="42168"/>
    <cellStyle name="Normal 6 4 2 2 4 2" xfId="42169"/>
    <cellStyle name="Normal 6 4 2 2 4 3" xfId="42170"/>
    <cellStyle name="Normal 6 4 2 2 5" xfId="42171"/>
    <cellStyle name="Normal 6 4 2 2 6" xfId="42172"/>
    <cellStyle name="Normal 6 4 2 3" xfId="42173"/>
    <cellStyle name="Normal 6 4 2 3 2" xfId="42174"/>
    <cellStyle name="Normal 6 4 2 3 2 2" xfId="42175"/>
    <cellStyle name="Normal 6 4 2 3 2 2 2" xfId="42176"/>
    <cellStyle name="Normal 6 4 2 3 2 2 3" xfId="42177"/>
    <cellStyle name="Normal 6 4 2 3 2 3" xfId="42178"/>
    <cellStyle name="Normal 6 4 2 3 2 3 2" xfId="42179"/>
    <cellStyle name="Normal 6 4 2 3 2 3 3" xfId="42180"/>
    <cellStyle name="Normal 6 4 2 3 2 4" xfId="42181"/>
    <cellStyle name="Normal 6 4 2 3 2 5" xfId="42182"/>
    <cellStyle name="Normal 6 4 2 3 3" xfId="42183"/>
    <cellStyle name="Normal 6 4 2 3 3 2" xfId="42184"/>
    <cellStyle name="Normal 6 4 2 3 3 3" xfId="42185"/>
    <cellStyle name="Normal 6 4 2 3 4" xfId="42186"/>
    <cellStyle name="Normal 6 4 2 3 4 2" xfId="42187"/>
    <cellStyle name="Normal 6 4 2 3 4 3" xfId="42188"/>
    <cellStyle name="Normal 6 4 2 3 5" xfId="42189"/>
    <cellStyle name="Normal 6 4 2 3 6" xfId="42190"/>
    <cellStyle name="Normal 6 4 2 4" xfId="42191"/>
    <cellStyle name="Normal 6 4 2 4 2" xfId="42192"/>
    <cellStyle name="Normal 6 4 2 4 2 2" xfId="42193"/>
    <cellStyle name="Normal 6 4 2 4 2 3" xfId="42194"/>
    <cellStyle name="Normal 6 4 2 4 3" xfId="42195"/>
    <cellStyle name="Normal 6 4 2 4 3 2" xfId="42196"/>
    <cellStyle name="Normal 6 4 2 4 3 3" xfId="42197"/>
    <cellStyle name="Normal 6 4 2 4 4" xfId="42198"/>
    <cellStyle name="Normal 6 4 2 4 5" xfId="42199"/>
    <cellStyle name="Normal 6 4 2 5" xfId="42200"/>
    <cellStyle name="Normal 6 4 2 5 2" xfId="42201"/>
    <cellStyle name="Normal 6 4 2 5 3" xfId="42202"/>
    <cellStyle name="Normal 6 4 2 6" xfId="42203"/>
    <cellStyle name="Normal 6 4 2 6 2" xfId="42204"/>
    <cellStyle name="Normal 6 4 2 6 3" xfId="42205"/>
    <cellStyle name="Normal 6 4 2 7" xfId="42206"/>
    <cellStyle name="Normal 6 4 2 8" xfId="42207"/>
    <cellStyle name="Normal 6 4 3" xfId="42208"/>
    <cellStyle name="Normal 6 4 3 2" xfId="42209"/>
    <cellStyle name="Normal 6 4 3 2 2" xfId="42210"/>
    <cellStyle name="Normal 6 4 3 2 2 2" xfId="42211"/>
    <cellStyle name="Normal 6 4 3 2 2 3" xfId="42212"/>
    <cellStyle name="Normal 6 4 3 2 3" xfId="42213"/>
    <cellStyle name="Normal 6 4 3 2 3 2" xfId="42214"/>
    <cellStyle name="Normal 6 4 3 2 3 3" xfId="42215"/>
    <cellStyle name="Normal 6 4 3 2 4" xfId="42216"/>
    <cellStyle name="Normal 6 4 3 2 5" xfId="42217"/>
    <cellStyle name="Normal 6 4 3 3" xfId="42218"/>
    <cellStyle name="Normal 6 4 3 3 2" xfId="42219"/>
    <cellStyle name="Normal 6 4 3 3 3" xfId="42220"/>
    <cellStyle name="Normal 6 4 3 4" xfId="42221"/>
    <cellStyle name="Normal 6 4 3 4 2" xfId="42222"/>
    <cellStyle name="Normal 6 4 3 4 3" xfId="42223"/>
    <cellStyle name="Normal 6 4 3 5" xfId="42224"/>
    <cellStyle name="Normal 6 4 3 6" xfId="42225"/>
    <cellStyle name="Normal 6 4 4" xfId="42226"/>
    <cellStyle name="Normal 6 4 4 2" xfId="42227"/>
    <cellStyle name="Normal 6 4 4 2 2" xfId="42228"/>
    <cellStyle name="Normal 6 4 4 2 2 2" xfId="42229"/>
    <cellStyle name="Normal 6 4 4 2 2 3" xfId="42230"/>
    <cellStyle name="Normal 6 4 4 2 3" xfId="42231"/>
    <cellStyle name="Normal 6 4 4 2 3 2" xfId="42232"/>
    <cellStyle name="Normal 6 4 4 2 3 3" xfId="42233"/>
    <cellStyle name="Normal 6 4 4 2 4" xfId="42234"/>
    <cellStyle name="Normal 6 4 4 2 5" xfId="42235"/>
    <cellStyle name="Normal 6 4 4 3" xfId="42236"/>
    <cellStyle name="Normal 6 4 4 3 2" xfId="42237"/>
    <cellStyle name="Normal 6 4 4 3 3" xfId="42238"/>
    <cellStyle name="Normal 6 4 4 4" xfId="42239"/>
    <cellStyle name="Normal 6 4 4 4 2" xfId="42240"/>
    <cellStyle name="Normal 6 4 4 4 3" xfId="42241"/>
    <cellStyle name="Normal 6 4 4 5" xfId="42242"/>
    <cellStyle name="Normal 6 4 4 6" xfId="42243"/>
    <cellStyle name="Normal 6 4 5" xfId="42244"/>
    <cellStyle name="Normal 6 4 5 2" xfId="42245"/>
    <cellStyle name="Normal 6 4 5 2 2" xfId="42246"/>
    <cellStyle name="Normal 6 4 5 2 3" xfId="42247"/>
    <cellStyle name="Normal 6 4 5 3" xfId="42248"/>
    <cellStyle name="Normal 6 4 5 3 2" xfId="42249"/>
    <cellStyle name="Normal 6 4 5 3 3" xfId="42250"/>
    <cellStyle name="Normal 6 4 5 4" xfId="42251"/>
    <cellStyle name="Normal 6 4 5 5" xfId="42252"/>
    <cellStyle name="Normal 6 4 6" xfId="42253"/>
    <cellStyle name="Normal 6 4 6 2" xfId="42254"/>
    <cellStyle name="Normal 6 4 6 3" xfId="42255"/>
    <cellStyle name="Normal 6 4 7" xfId="42256"/>
    <cellStyle name="Normal 6 4 7 2" xfId="42257"/>
    <cellStyle name="Normal 6 4 7 3" xfId="42258"/>
    <cellStyle name="Normal 6 4 8" xfId="42259"/>
    <cellStyle name="Normal 6 4 9" xfId="42260"/>
    <cellStyle name="Normal 6 5" xfId="42261"/>
    <cellStyle name="Normal 6 5 2" xfId="42262"/>
    <cellStyle name="Normal 6 5 2 2" xfId="42263"/>
    <cellStyle name="Normal 6 5 2 2 2" xfId="42264"/>
    <cellStyle name="Normal 6 5 2 2 2 2" xfId="42265"/>
    <cellStyle name="Normal 6 5 2 2 2 3" xfId="42266"/>
    <cellStyle name="Normal 6 5 2 2 3" xfId="42267"/>
    <cellStyle name="Normal 6 5 2 2 3 2" xfId="42268"/>
    <cellStyle name="Normal 6 5 2 2 3 3" xfId="42269"/>
    <cellStyle name="Normal 6 5 2 2 4" xfId="42270"/>
    <cellStyle name="Normal 6 5 2 2 5" xfId="42271"/>
    <cellStyle name="Normal 6 5 2 3" xfId="42272"/>
    <cellStyle name="Normal 6 5 2 3 2" xfId="42273"/>
    <cellStyle name="Normal 6 5 2 3 3" xfId="42274"/>
    <cellStyle name="Normal 6 5 2 4" xfId="42275"/>
    <cellStyle name="Normal 6 5 2 4 2" xfId="42276"/>
    <cellStyle name="Normal 6 5 2 4 3" xfId="42277"/>
    <cellStyle name="Normal 6 5 2 5" xfId="42278"/>
    <cellStyle name="Normal 6 5 2 6" xfId="42279"/>
    <cellStyle name="Normal 6 5 3" xfId="42280"/>
    <cellStyle name="Normal 6 5 3 2" xfId="42281"/>
    <cellStyle name="Normal 6 5 3 2 2" xfId="42282"/>
    <cellStyle name="Normal 6 5 3 2 2 2" xfId="42283"/>
    <cellStyle name="Normal 6 5 3 2 2 3" xfId="42284"/>
    <cellStyle name="Normal 6 5 3 2 3" xfId="42285"/>
    <cellStyle name="Normal 6 5 3 2 3 2" xfId="42286"/>
    <cellStyle name="Normal 6 5 3 2 3 3" xfId="42287"/>
    <cellStyle name="Normal 6 5 3 2 4" xfId="42288"/>
    <cellStyle name="Normal 6 5 3 2 5" xfId="42289"/>
    <cellStyle name="Normal 6 5 3 3" xfId="42290"/>
    <cellStyle name="Normal 6 5 3 3 2" xfId="42291"/>
    <cellStyle name="Normal 6 5 3 3 3" xfId="42292"/>
    <cellStyle name="Normal 6 5 3 4" xfId="42293"/>
    <cellStyle name="Normal 6 5 3 4 2" xfId="42294"/>
    <cellStyle name="Normal 6 5 3 4 3" xfId="42295"/>
    <cellStyle name="Normal 6 5 3 5" xfId="42296"/>
    <cellStyle name="Normal 6 5 3 6" xfId="42297"/>
    <cellStyle name="Normal 6 5 4" xfId="42298"/>
    <cellStyle name="Normal 6 5 4 2" xfId="42299"/>
    <cellStyle name="Normal 6 5 4 2 2" xfId="42300"/>
    <cellStyle name="Normal 6 5 4 2 3" xfId="42301"/>
    <cellStyle name="Normal 6 5 4 3" xfId="42302"/>
    <cellStyle name="Normal 6 5 4 3 2" xfId="42303"/>
    <cellStyle name="Normal 6 5 4 3 3" xfId="42304"/>
    <cellStyle name="Normal 6 5 4 4" xfId="42305"/>
    <cellStyle name="Normal 6 5 4 5" xfId="42306"/>
    <cellStyle name="Normal 6 5 5" xfId="42307"/>
    <cellStyle name="Normal 6 5 5 2" xfId="42308"/>
    <cellStyle name="Normal 6 5 5 3" xfId="42309"/>
    <cellStyle name="Normal 6 5 6" xfId="42310"/>
    <cellStyle name="Normal 6 5 6 2" xfId="42311"/>
    <cellStyle name="Normal 6 5 6 3" xfId="42312"/>
    <cellStyle name="Normal 6 5 7" xfId="42313"/>
    <cellStyle name="Normal 6 5 8" xfId="42314"/>
    <cellStyle name="Normal 6 6" xfId="42315"/>
    <cellStyle name="Normal 6 6 2" xfId="42316"/>
    <cellStyle name="Normal 6 6 2 2" xfId="42317"/>
    <cellStyle name="Normal 6 6 2 2 2" xfId="42318"/>
    <cellStyle name="Normal 6 6 2 2 3" xfId="42319"/>
    <cellStyle name="Normal 6 6 2 3" xfId="42320"/>
    <cellStyle name="Normal 6 6 2 3 2" xfId="42321"/>
    <cellStyle name="Normal 6 6 2 3 3" xfId="42322"/>
    <cellStyle name="Normal 6 6 2 4" xfId="42323"/>
    <cellStyle name="Normal 6 6 2 5" xfId="42324"/>
    <cellStyle name="Normal 6 6 3" xfId="42325"/>
    <cellStyle name="Normal 6 6 3 2" xfId="42326"/>
    <cellStyle name="Normal 6 6 3 3" xfId="42327"/>
    <cellStyle name="Normal 6 6 4" xfId="42328"/>
    <cellStyle name="Normal 6 6 4 2" xfId="42329"/>
    <cellStyle name="Normal 6 6 4 3" xfId="42330"/>
    <cellStyle name="Normal 6 6 5" xfId="42331"/>
    <cellStyle name="Normal 6 6 6" xfId="42332"/>
    <cellStyle name="Normal 6 7" xfId="42333"/>
    <cellStyle name="Normal 6 7 2" xfId="42334"/>
    <cellStyle name="Normal 6 7 2 2" xfId="42335"/>
    <cellStyle name="Normal 6 7 2 2 2" xfId="42336"/>
    <cellStyle name="Normal 6 7 2 2 3" xfId="42337"/>
    <cellStyle name="Normal 6 7 2 3" xfId="42338"/>
    <cellStyle name="Normal 6 7 2 3 2" xfId="42339"/>
    <cellStyle name="Normal 6 7 2 3 3" xfId="42340"/>
    <cellStyle name="Normal 6 7 2 4" xfId="42341"/>
    <cellStyle name="Normal 6 7 2 5" xfId="42342"/>
    <cellStyle name="Normal 6 7 3" xfId="42343"/>
    <cellStyle name="Normal 6 7 3 2" xfId="42344"/>
    <cellStyle name="Normal 6 7 3 3" xfId="42345"/>
    <cellStyle name="Normal 6 7 4" xfId="42346"/>
    <cellStyle name="Normal 6 7 4 2" xfId="42347"/>
    <cellStyle name="Normal 6 7 4 3" xfId="42348"/>
    <cellStyle name="Normal 6 7 5" xfId="42349"/>
    <cellStyle name="Normal 6 7 6" xfId="42350"/>
    <cellStyle name="Normal 6 8" xfId="42351"/>
    <cellStyle name="Normal 6 8 2" xfId="42352"/>
    <cellStyle name="Normal 6 8 2 2" xfId="42353"/>
    <cellStyle name="Normal 6 8 2 3" xfId="42354"/>
    <cellStyle name="Normal 6 8 3" xfId="42355"/>
    <cellStyle name="Normal 6 8 3 2" xfId="42356"/>
    <cellStyle name="Normal 6 8 3 3" xfId="42357"/>
    <cellStyle name="Normal 6 8 4" xfId="42358"/>
    <cellStyle name="Normal 6 8 5" xfId="42359"/>
    <cellStyle name="Normal 6 9" xfId="42360"/>
    <cellStyle name="Normal 6 9 2" xfId="42361"/>
    <cellStyle name="Normal 6 9 3" xfId="42362"/>
    <cellStyle name="Normal 7" xfId="48"/>
    <cellStyle name="Normal 7 10" xfId="42363"/>
    <cellStyle name="Normal 7 11" xfId="42364"/>
    <cellStyle name="Normal 7 12" xfId="42365"/>
    <cellStyle name="Normal 7 2" xfId="42366"/>
    <cellStyle name="Normal 7 2 2" xfId="42367"/>
    <cellStyle name="Normal 7 3" xfId="42368"/>
    <cellStyle name="Normal 7 3 2" xfId="42369"/>
    <cellStyle name="Normal 7 3 2 2" xfId="42370"/>
    <cellStyle name="Normal 7 3 2 2 2" xfId="42371"/>
    <cellStyle name="Normal 7 3 2 2 2 2" xfId="42372"/>
    <cellStyle name="Normal 7 3 2 2 2 2 2" xfId="42373"/>
    <cellStyle name="Normal 7 3 2 2 2 2 3" xfId="42374"/>
    <cellStyle name="Normal 7 3 2 2 2 3" xfId="42375"/>
    <cellStyle name="Normal 7 3 2 2 2 3 2" xfId="42376"/>
    <cellStyle name="Normal 7 3 2 2 2 3 3" xfId="42377"/>
    <cellStyle name="Normal 7 3 2 2 2 4" xfId="42378"/>
    <cellStyle name="Normal 7 3 2 2 2 5" xfId="42379"/>
    <cellStyle name="Normal 7 3 2 2 3" xfId="42380"/>
    <cellStyle name="Normal 7 3 2 2 3 2" xfId="42381"/>
    <cellStyle name="Normal 7 3 2 2 3 3" xfId="42382"/>
    <cellStyle name="Normal 7 3 2 2 4" xfId="42383"/>
    <cellStyle name="Normal 7 3 2 2 4 2" xfId="42384"/>
    <cellStyle name="Normal 7 3 2 2 4 3" xfId="42385"/>
    <cellStyle name="Normal 7 3 2 2 5" xfId="42386"/>
    <cellStyle name="Normal 7 3 2 2 6" xfId="42387"/>
    <cellStyle name="Normal 7 3 2 3" xfId="42388"/>
    <cellStyle name="Normal 7 3 2 3 2" xfId="42389"/>
    <cellStyle name="Normal 7 3 2 3 2 2" xfId="42390"/>
    <cellStyle name="Normal 7 3 2 3 2 2 2" xfId="42391"/>
    <cellStyle name="Normal 7 3 2 3 2 2 3" xfId="42392"/>
    <cellStyle name="Normal 7 3 2 3 2 3" xfId="42393"/>
    <cellStyle name="Normal 7 3 2 3 2 3 2" xfId="42394"/>
    <cellStyle name="Normal 7 3 2 3 2 3 3" xfId="42395"/>
    <cellStyle name="Normal 7 3 2 3 2 4" xfId="42396"/>
    <cellStyle name="Normal 7 3 2 3 2 5" xfId="42397"/>
    <cellStyle name="Normal 7 3 2 3 3" xfId="42398"/>
    <cellStyle name="Normal 7 3 2 3 3 2" xfId="42399"/>
    <cellStyle name="Normal 7 3 2 3 3 3" xfId="42400"/>
    <cellStyle name="Normal 7 3 2 3 4" xfId="42401"/>
    <cellStyle name="Normal 7 3 2 3 4 2" xfId="42402"/>
    <cellStyle name="Normal 7 3 2 3 4 3" xfId="42403"/>
    <cellStyle name="Normal 7 3 2 3 5" xfId="42404"/>
    <cellStyle name="Normal 7 3 2 3 6" xfId="42405"/>
    <cellStyle name="Normal 7 3 2 4" xfId="42406"/>
    <cellStyle name="Normal 7 3 2 4 2" xfId="42407"/>
    <cellStyle name="Normal 7 3 2 4 2 2" xfId="42408"/>
    <cellStyle name="Normal 7 3 2 4 2 3" xfId="42409"/>
    <cellStyle name="Normal 7 3 2 4 3" xfId="42410"/>
    <cellStyle name="Normal 7 3 2 4 3 2" xfId="42411"/>
    <cellStyle name="Normal 7 3 2 4 3 3" xfId="42412"/>
    <cellStyle name="Normal 7 3 2 4 4" xfId="42413"/>
    <cellStyle name="Normal 7 3 2 4 5" xfId="42414"/>
    <cellStyle name="Normal 7 3 2 5" xfId="42415"/>
    <cellStyle name="Normal 7 3 2 5 2" xfId="42416"/>
    <cellStyle name="Normal 7 3 2 5 3" xfId="42417"/>
    <cellStyle name="Normal 7 3 2 6" xfId="42418"/>
    <cellStyle name="Normal 7 3 2 6 2" xfId="42419"/>
    <cellStyle name="Normal 7 3 2 6 3" xfId="42420"/>
    <cellStyle name="Normal 7 3 2 7" xfId="42421"/>
    <cellStyle name="Normal 7 3 2 8" xfId="42422"/>
    <cellStyle name="Normal 7 3 3" xfId="42423"/>
    <cellStyle name="Normal 7 3 3 2" xfId="42424"/>
    <cellStyle name="Normal 7 3 3 2 2" xfId="42425"/>
    <cellStyle name="Normal 7 3 3 2 2 2" xfId="42426"/>
    <cellStyle name="Normal 7 3 3 2 2 3" xfId="42427"/>
    <cellStyle name="Normal 7 3 3 2 3" xfId="42428"/>
    <cellStyle name="Normal 7 3 3 2 3 2" xfId="42429"/>
    <cellStyle name="Normal 7 3 3 2 3 3" xfId="42430"/>
    <cellStyle name="Normal 7 3 3 2 4" xfId="42431"/>
    <cellStyle name="Normal 7 3 3 2 5" xfId="42432"/>
    <cellStyle name="Normal 7 3 3 3" xfId="42433"/>
    <cellStyle name="Normal 7 3 3 3 2" xfId="42434"/>
    <cellStyle name="Normal 7 3 3 3 3" xfId="42435"/>
    <cellStyle name="Normal 7 3 3 4" xfId="42436"/>
    <cellStyle name="Normal 7 3 3 4 2" xfId="42437"/>
    <cellStyle name="Normal 7 3 3 4 3" xfId="42438"/>
    <cellStyle name="Normal 7 3 3 5" xfId="42439"/>
    <cellStyle name="Normal 7 3 3 6" xfId="42440"/>
    <cellStyle name="Normal 7 3 4" xfId="42441"/>
    <cellStyle name="Normal 7 3 4 2" xfId="42442"/>
    <cellStyle name="Normal 7 3 4 2 2" xfId="42443"/>
    <cellStyle name="Normal 7 3 4 2 2 2" xfId="42444"/>
    <cellStyle name="Normal 7 3 4 2 2 3" xfId="42445"/>
    <cellStyle name="Normal 7 3 4 2 3" xfId="42446"/>
    <cellStyle name="Normal 7 3 4 2 3 2" xfId="42447"/>
    <cellStyle name="Normal 7 3 4 2 3 3" xfId="42448"/>
    <cellStyle name="Normal 7 3 4 2 4" xfId="42449"/>
    <cellStyle name="Normal 7 3 4 2 5" xfId="42450"/>
    <cellStyle name="Normal 7 3 4 3" xfId="42451"/>
    <cellStyle name="Normal 7 3 4 3 2" xfId="42452"/>
    <cellStyle name="Normal 7 3 4 3 3" xfId="42453"/>
    <cellStyle name="Normal 7 3 4 4" xfId="42454"/>
    <cellStyle name="Normal 7 3 4 4 2" xfId="42455"/>
    <cellStyle name="Normal 7 3 4 4 3" xfId="42456"/>
    <cellStyle name="Normal 7 3 4 5" xfId="42457"/>
    <cellStyle name="Normal 7 3 4 6" xfId="42458"/>
    <cellStyle name="Normal 7 3 5" xfId="42459"/>
    <cellStyle name="Normal 7 3 5 2" xfId="42460"/>
    <cellStyle name="Normal 7 3 5 2 2" xfId="42461"/>
    <cellStyle name="Normal 7 3 5 2 3" xfId="42462"/>
    <cellStyle name="Normal 7 3 5 3" xfId="42463"/>
    <cellStyle name="Normal 7 3 5 3 2" xfId="42464"/>
    <cellStyle name="Normal 7 3 5 3 3" xfId="42465"/>
    <cellStyle name="Normal 7 3 5 4" xfId="42466"/>
    <cellStyle name="Normal 7 3 5 5" xfId="42467"/>
    <cellStyle name="Normal 7 3 6" xfId="42468"/>
    <cellStyle name="Normal 7 3 6 2" xfId="42469"/>
    <cellStyle name="Normal 7 3 6 3" xfId="42470"/>
    <cellStyle name="Normal 7 3 7" xfId="42471"/>
    <cellStyle name="Normal 7 3 7 2" xfId="42472"/>
    <cellStyle name="Normal 7 3 7 3" xfId="42473"/>
    <cellStyle name="Normal 7 3 8" xfId="42474"/>
    <cellStyle name="Normal 7 3 9" xfId="42475"/>
    <cellStyle name="Normal 7 4" xfId="42476"/>
    <cellStyle name="Normal 7 4 2" xfId="42477"/>
    <cellStyle name="Normal 7 4 2 2" xfId="42478"/>
    <cellStyle name="Normal 7 4 2 2 2" xfId="42479"/>
    <cellStyle name="Normal 7 4 2 2 2 2" xfId="42480"/>
    <cellStyle name="Normal 7 4 2 2 2 3" xfId="42481"/>
    <cellStyle name="Normal 7 4 2 2 3" xfId="42482"/>
    <cellStyle name="Normal 7 4 2 2 3 2" xfId="42483"/>
    <cellStyle name="Normal 7 4 2 2 3 3" xfId="42484"/>
    <cellStyle name="Normal 7 4 2 2 4" xfId="42485"/>
    <cellStyle name="Normal 7 4 2 2 5" xfId="42486"/>
    <cellStyle name="Normal 7 4 2 3" xfId="42487"/>
    <cellStyle name="Normal 7 4 2 3 2" xfId="42488"/>
    <cellStyle name="Normal 7 4 2 3 3" xfId="42489"/>
    <cellStyle name="Normal 7 4 2 4" xfId="42490"/>
    <cellStyle name="Normal 7 4 2 4 2" xfId="42491"/>
    <cellStyle name="Normal 7 4 2 4 3" xfId="42492"/>
    <cellStyle name="Normal 7 4 2 5" xfId="42493"/>
    <cellStyle name="Normal 7 4 2 6" xfId="42494"/>
    <cellStyle name="Normal 7 4 3" xfId="42495"/>
    <cellStyle name="Normal 7 4 3 2" xfId="42496"/>
    <cellStyle name="Normal 7 4 3 2 2" xfId="42497"/>
    <cellStyle name="Normal 7 4 3 2 2 2" xfId="42498"/>
    <cellStyle name="Normal 7 4 3 2 2 3" xfId="42499"/>
    <cellStyle name="Normal 7 4 3 2 3" xfId="42500"/>
    <cellStyle name="Normal 7 4 3 2 3 2" xfId="42501"/>
    <cellStyle name="Normal 7 4 3 2 3 3" xfId="42502"/>
    <cellStyle name="Normal 7 4 3 2 4" xfId="42503"/>
    <cellStyle name="Normal 7 4 3 2 5" xfId="42504"/>
    <cellStyle name="Normal 7 4 3 3" xfId="42505"/>
    <cellStyle name="Normal 7 4 3 3 2" xfId="42506"/>
    <cellStyle name="Normal 7 4 3 3 3" xfId="42507"/>
    <cellStyle name="Normal 7 4 3 4" xfId="42508"/>
    <cellStyle name="Normal 7 4 3 4 2" xfId="42509"/>
    <cellStyle name="Normal 7 4 3 4 3" xfId="42510"/>
    <cellStyle name="Normal 7 4 3 5" xfId="42511"/>
    <cellStyle name="Normal 7 4 3 6" xfId="42512"/>
    <cellStyle name="Normal 7 4 4" xfId="42513"/>
    <cellStyle name="Normal 7 4 4 2" xfId="42514"/>
    <cellStyle name="Normal 7 4 4 2 2" xfId="42515"/>
    <cellStyle name="Normal 7 4 4 2 3" xfId="42516"/>
    <cellStyle name="Normal 7 4 4 3" xfId="42517"/>
    <cellStyle name="Normal 7 4 4 3 2" xfId="42518"/>
    <cellStyle name="Normal 7 4 4 3 3" xfId="42519"/>
    <cellStyle name="Normal 7 4 4 4" xfId="42520"/>
    <cellStyle name="Normal 7 4 4 5" xfId="42521"/>
    <cellStyle name="Normal 7 4 5" xfId="42522"/>
    <cellStyle name="Normal 7 4 5 2" xfId="42523"/>
    <cellStyle name="Normal 7 4 5 3" xfId="42524"/>
    <cellStyle name="Normal 7 4 6" xfId="42525"/>
    <cellStyle name="Normal 7 4 6 2" xfId="42526"/>
    <cellStyle name="Normal 7 4 6 3" xfId="42527"/>
    <cellStyle name="Normal 7 4 7" xfId="42528"/>
    <cellStyle name="Normal 7 4 8" xfId="42529"/>
    <cellStyle name="Normal 7 5" xfId="42530"/>
    <cellStyle name="Normal 7 5 2" xfId="42531"/>
    <cellStyle name="Normal 7 5 2 2" xfId="42532"/>
    <cellStyle name="Normal 7 5 2 2 2" xfId="42533"/>
    <cellStyle name="Normal 7 5 2 2 3" xfId="42534"/>
    <cellStyle name="Normal 7 5 2 3" xfId="42535"/>
    <cellStyle name="Normal 7 5 2 3 2" xfId="42536"/>
    <cellStyle name="Normal 7 5 2 3 3" xfId="42537"/>
    <cellStyle name="Normal 7 5 2 4" xfId="42538"/>
    <cellStyle name="Normal 7 5 2 5" xfId="42539"/>
    <cellStyle name="Normal 7 5 3" xfId="42540"/>
    <cellStyle name="Normal 7 5 3 2" xfId="42541"/>
    <cellStyle name="Normal 7 5 3 3" xfId="42542"/>
    <cellStyle name="Normal 7 5 4" xfId="42543"/>
    <cellStyle name="Normal 7 5 4 2" xfId="42544"/>
    <cellStyle name="Normal 7 5 4 3" xfId="42545"/>
    <cellStyle name="Normal 7 5 5" xfId="42546"/>
    <cellStyle name="Normal 7 5 6" xfId="42547"/>
    <cellStyle name="Normal 7 6" xfId="42548"/>
    <cellStyle name="Normal 7 6 2" xfId="42549"/>
    <cellStyle name="Normal 7 6 2 2" xfId="42550"/>
    <cellStyle name="Normal 7 6 2 2 2" xfId="42551"/>
    <cellStyle name="Normal 7 6 2 2 3" xfId="42552"/>
    <cellStyle name="Normal 7 6 2 3" xfId="42553"/>
    <cellStyle name="Normal 7 6 2 3 2" xfId="42554"/>
    <cellStyle name="Normal 7 6 2 3 3" xfId="42555"/>
    <cellStyle name="Normal 7 6 2 4" xfId="42556"/>
    <cellStyle name="Normal 7 6 2 5" xfId="42557"/>
    <cellStyle name="Normal 7 6 3" xfId="42558"/>
    <cellStyle name="Normal 7 6 3 2" xfId="42559"/>
    <cellStyle name="Normal 7 6 3 3" xfId="42560"/>
    <cellStyle name="Normal 7 6 4" xfId="42561"/>
    <cellStyle name="Normal 7 6 4 2" xfId="42562"/>
    <cellStyle name="Normal 7 6 4 3" xfId="42563"/>
    <cellStyle name="Normal 7 6 5" xfId="42564"/>
    <cellStyle name="Normal 7 6 6" xfId="42565"/>
    <cellStyle name="Normal 7 7" xfId="42566"/>
    <cellStyle name="Normal 7 7 2" xfId="42567"/>
    <cellStyle name="Normal 7 7 2 2" xfId="42568"/>
    <cellStyle name="Normal 7 7 2 3" xfId="42569"/>
    <cellStyle name="Normal 7 7 3" xfId="42570"/>
    <cellStyle name="Normal 7 7 3 2" xfId="42571"/>
    <cellStyle name="Normal 7 7 3 3" xfId="42572"/>
    <cellStyle name="Normal 7 7 4" xfId="42573"/>
    <cellStyle name="Normal 7 7 5" xfId="42574"/>
    <cellStyle name="Normal 7 8" xfId="42575"/>
    <cellStyle name="Normal 7 8 2" xfId="42576"/>
    <cellStyle name="Normal 7 8 3" xfId="42577"/>
    <cellStyle name="Normal 7 9" xfId="42578"/>
    <cellStyle name="Normal 7 9 2" xfId="42579"/>
    <cellStyle name="Normal 7 9 3" xfId="42580"/>
    <cellStyle name="Normal 8" xfId="51"/>
    <cellStyle name="Normal 8 10" xfId="42581"/>
    <cellStyle name="Normal 8 10 2" xfId="42582"/>
    <cellStyle name="Normal 8 10 2 2" xfId="42583"/>
    <cellStyle name="Normal 8 10 2 2 2" xfId="42584"/>
    <cellStyle name="Normal 8 10 2 2 3" xfId="42585"/>
    <cellStyle name="Normal 8 10 2 3" xfId="42586"/>
    <cellStyle name="Normal 8 10 2 3 2" xfId="42587"/>
    <cellStyle name="Normal 8 10 2 3 3" xfId="42588"/>
    <cellStyle name="Normal 8 10 2 4" xfId="42589"/>
    <cellStyle name="Normal 8 10 2 5" xfId="42590"/>
    <cellStyle name="Normal 8 10 3" xfId="42591"/>
    <cellStyle name="Normal 8 10 3 2" xfId="42592"/>
    <cellStyle name="Normal 8 10 3 3" xfId="42593"/>
    <cellStyle name="Normal 8 10 4" xfId="42594"/>
    <cellStyle name="Normal 8 10 4 2" xfId="42595"/>
    <cellStyle name="Normal 8 10 4 3" xfId="42596"/>
    <cellStyle name="Normal 8 10 5" xfId="42597"/>
    <cellStyle name="Normal 8 10 6" xfId="42598"/>
    <cellStyle name="Normal 8 11" xfId="42599"/>
    <cellStyle name="Normal 8 11 2" xfId="42600"/>
    <cellStyle name="Normal 8 11 2 2" xfId="42601"/>
    <cellStyle name="Normal 8 11 2 3" xfId="42602"/>
    <cellStyle name="Normal 8 11 3" xfId="42603"/>
    <cellStyle name="Normal 8 11 3 2" xfId="42604"/>
    <cellStyle name="Normal 8 11 3 3" xfId="42605"/>
    <cellStyle name="Normal 8 11 4" xfId="42606"/>
    <cellStyle name="Normal 8 11 5" xfId="42607"/>
    <cellStyle name="Normal 8 12" xfId="42608"/>
    <cellStyle name="Normal 8 12 2" xfId="42609"/>
    <cellStyle name="Normal 8 12 3" xfId="42610"/>
    <cellStyle name="Normal 8 13" xfId="42611"/>
    <cellStyle name="Normal 8 13 2" xfId="42612"/>
    <cellStyle name="Normal 8 13 3" xfId="42613"/>
    <cellStyle name="Normal 8 14" xfId="42614"/>
    <cellStyle name="Normal 8 15" xfId="42615"/>
    <cellStyle name="Normal 8 16" xfId="42616"/>
    <cellStyle name="Normal 8 2" xfId="42617"/>
    <cellStyle name="Normal 8 2 2" xfId="42618"/>
    <cellStyle name="Normal 8 3" xfId="42619"/>
    <cellStyle name="Normal 8 3 10" xfId="42620"/>
    <cellStyle name="Normal 8 3 10 2" xfId="42621"/>
    <cellStyle name="Normal 8 3 10 3" xfId="42622"/>
    <cellStyle name="Normal 8 3 11" xfId="42623"/>
    <cellStyle name="Normal 8 3 11 2" xfId="42624"/>
    <cellStyle name="Normal 8 3 11 3" xfId="42625"/>
    <cellStyle name="Normal 8 3 12" xfId="42626"/>
    <cellStyle name="Normal 8 3 13" xfId="42627"/>
    <cellStyle name="Normal 8 3 2" xfId="42628"/>
    <cellStyle name="Normal 8 3 2 10" xfId="42629"/>
    <cellStyle name="Normal 8 3 2 10 2" xfId="42630"/>
    <cellStyle name="Normal 8 3 2 10 3" xfId="42631"/>
    <cellStyle name="Normal 8 3 2 11" xfId="42632"/>
    <cellStyle name="Normal 8 3 2 12" xfId="42633"/>
    <cellStyle name="Normal 8 3 2 2" xfId="42634"/>
    <cellStyle name="Normal 8 3 2 2 10" xfId="42635"/>
    <cellStyle name="Normal 8 3 2 2 2" xfId="42636"/>
    <cellStyle name="Normal 8 3 2 2 2 2" xfId="42637"/>
    <cellStyle name="Normal 8 3 2 2 2 2 2" xfId="42638"/>
    <cellStyle name="Normal 8 3 2 2 2 2 2 2" xfId="42639"/>
    <cellStyle name="Normal 8 3 2 2 2 2 2 2 2" xfId="42640"/>
    <cellStyle name="Normal 8 3 2 2 2 2 2 2 2 2" xfId="42641"/>
    <cellStyle name="Normal 8 3 2 2 2 2 2 2 2 3" xfId="42642"/>
    <cellStyle name="Normal 8 3 2 2 2 2 2 2 3" xfId="42643"/>
    <cellStyle name="Normal 8 3 2 2 2 2 2 2 3 2" xfId="42644"/>
    <cellStyle name="Normal 8 3 2 2 2 2 2 2 3 3" xfId="42645"/>
    <cellStyle name="Normal 8 3 2 2 2 2 2 2 4" xfId="42646"/>
    <cellStyle name="Normal 8 3 2 2 2 2 2 2 5" xfId="42647"/>
    <cellStyle name="Normal 8 3 2 2 2 2 2 3" xfId="42648"/>
    <cellStyle name="Normal 8 3 2 2 2 2 2 3 2" xfId="42649"/>
    <cellStyle name="Normal 8 3 2 2 2 2 2 3 3" xfId="42650"/>
    <cellStyle name="Normal 8 3 2 2 2 2 2 4" xfId="42651"/>
    <cellStyle name="Normal 8 3 2 2 2 2 2 4 2" xfId="42652"/>
    <cellStyle name="Normal 8 3 2 2 2 2 2 4 3" xfId="42653"/>
    <cellStyle name="Normal 8 3 2 2 2 2 2 5" xfId="42654"/>
    <cellStyle name="Normal 8 3 2 2 2 2 2 6" xfId="42655"/>
    <cellStyle name="Normal 8 3 2 2 2 2 3" xfId="42656"/>
    <cellStyle name="Normal 8 3 2 2 2 2 3 2" xfId="42657"/>
    <cellStyle name="Normal 8 3 2 2 2 2 3 2 2" xfId="42658"/>
    <cellStyle name="Normal 8 3 2 2 2 2 3 2 2 2" xfId="42659"/>
    <cellStyle name="Normal 8 3 2 2 2 2 3 2 2 3" xfId="42660"/>
    <cellStyle name="Normal 8 3 2 2 2 2 3 2 3" xfId="42661"/>
    <cellStyle name="Normal 8 3 2 2 2 2 3 2 3 2" xfId="42662"/>
    <cellStyle name="Normal 8 3 2 2 2 2 3 2 3 3" xfId="42663"/>
    <cellStyle name="Normal 8 3 2 2 2 2 3 2 4" xfId="42664"/>
    <cellStyle name="Normal 8 3 2 2 2 2 3 2 5" xfId="42665"/>
    <cellStyle name="Normal 8 3 2 2 2 2 3 3" xfId="42666"/>
    <cellStyle name="Normal 8 3 2 2 2 2 3 3 2" xfId="42667"/>
    <cellStyle name="Normal 8 3 2 2 2 2 3 3 3" xfId="42668"/>
    <cellStyle name="Normal 8 3 2 2 2 2 3 4" xfId="42669"/>
    <cellStyle name="Normal 8 3 2 2 2 2 3 4 2" xfId="42670"/>
    <cellStyle name="Normal 8 3 2 2 2 2 3 4 3" xfId="42671"/>
    <cellStyle name="Normal 8 3 2 2 2 2 3 5" xfId="42672"/>
    <cellStyle name="Normal 8 3 2 2 2 2 3 6" xfId="42673"/>
    <cellStyle name="Normal 8 3 2 2 2 2 4" xfId="42674"/>
    <cellStyle name="Normal 8 3 2 2 2 2 4 2" xfId="42675"/>
    <cellStyle name="Normal 8 3 2 2 2 2 4 2 2" xfId="42676"/>
    <cellStyle name="Normal 8 3 2 2 2 2 4 2 3" xfId="42677"/>
    <cellStyle name="Normal 8 3 2 2 2 2 4 3" xfId="42678"/>
    <cellStyle name="Normal 8 3 2 2 2 2 4 3 2" xfId="42679"/>
    <cellStyle name="Normal 8 3 2 2 2 2 4 3 3" xfId="42680"/>
    <cellStyle name="Normal 8 3 2 2 2 2 4 4" xfId="42681"/>
    <cellStyle name="Normal 8 3 2 2 2 2 4 5" xfId="42682"/>
    <cellStyle name="Normal 8 3 2 2 2 2 5" xfId="42683"/>
    <cellStyle name="Normal 8 3 2 2 2 2 5 2" xfId="42684"/>
    <cellStyle name="Normal 8 3 2 2 2 2 5 3" xfId="42685"/>
    <cellStyle name="Normal 8 3 2 2 2 2 6" xfId="42686"/>
    <cellStyle name="Normal 8 3 2 2 2 2 6 2" xfId="42687"/>
    <cellStyle name="Normal 8 3 2 2 2 2 6 3" xfId="42688"/>
    <cellStyle name="Normal 8 3 2 2 2 2 7" xfId="42689"/>
    <cellStyle name="Normal 8 3 2 2 2 2 8" xfId="42690"/>
    <cellStyle name="Normal 8 3 2 2 2 3" xfId="42691"/>
    <cellStyle name="Normal 8 3 2 2 2 3 2" xfId="42692"/>
    <cellStyle name="Normal 8 3 2 2 2 3 2 2" xfId="42693"/>
    <cellStyle name="Normal 8 3 2 2 2 3 2 2 2" xfId="42694"/>
    <cellStyle name="Normal 8 3 2 2 2 3 2 2 3" xfId="42695"/>
    <cellStyle name="Normal 8 3 2 2 2 3 2 3" xfId="42696"/>
    <cellStyle name="Normal 8 3 2 2 2 3 2 3 2" xfId="42697"/>
    <cellStyle name="Normal 8 3 2 2 2 3 2 3 3" xfId="42698"/>
    <cellStyle name="Normal 8 3 2 2 2 3 2 4" xfId="42699"/>
    <cellStyle name="Normal 8 3 2 2 2 3 2 5" xfId="42700"/>
    <cellStyle name="Normal 8 3 2 2 2 3 3" xfId="42701"/>
    <cellStyle name="Normal 8 3 2 2 2 3 3 2" xfId="42702"/>
    <cellStyle name="Normal 8 3 2 2 2 3 3 3" xfId="42703"/>
    <cellStyle name="Normal 8 3 2 2 2 3 4" xfId="42704"/>
    <cellStyle name="Normal 8 3 2 2 2 3 4 2" xfId="42705"/>
    <cellStyle name="Normal 8 3 2 2 2 3 4 3" xfId="42706"/>
    <cellStyle name="Normal 8 3 2 2 2 3 5" xfId="42707"/>
    <cellStyle name="Normal 8 3 2 2 2 3 6" xfId="42708"/>
    <cellStyle name="Normal 8 3 2 2 2 4" xfId="42709"/>
    <cellStyle name="Normal 8 3 2 2 2 4 2" xfId="42710"/>
    <cellStyle name="Normal 8 3 2 2 2 4 2 2" xfId="42711"/>
    <cellStyle name="Normal 8 3 2 2 2 4 2 2 2" xfId="42712"/>
    <cellStyle name="Normal 8 3 2 2 2 4 2 2 3" xfId="42713"/>
    <cellStyle name="Normal 8 3 2 2 2 4 2 3" xfId="42714"/>
    <cellStyle name="Normal 8 3 2 2 2 4 2 3 2" xfId="42715"/>
    <cellStyle name="Normal 8 3 2 2 2 4 2 3 3" xfId="42716"/>
    <cellStyle name="Normal 8 3 2 2 2 4 2 4" xfId="42717"/>
    <cellStyle name="Normal 8 3 2 2 2 4 2 5" xfId="42718"/>
    <cellStyle name="Normal 8 3 2 2 2 4 3" xfId="42719"/>
    <cellStyle name="Normal 8 3 2 2 2 4 3 2" xfId="42720"/>
    <cellStyle name="Normal 8 3 2 2 2 4 3 3" xfId="42721"/>
    <cellStyle name="Normal 8 3 2 2 2 4 4" xfId="42722"/>
    <cellStyle name="Normal 8 3 2 2 2 4 4 2" xfId="42723"/>
    <cellStyle name="Normal 8 3 2 2 2 4 4 3" xfId="42724"/>
    <cellStyle name="Normal 8 3 2 2 2 4 5" xfId="42725"/>
    <cellStyle name="Normal 8 3 2 2 2 4 6" xfId="42726"/>
    <cellStyle name="Normal 8 3 2 2 2 5" xfId="42727"/>
    <cellStyle name="Normal 8 3 2 2 2 5 2" xfId="42728"/>
    <cellStyle name="Normal 8 3 2 2 2 5 2 2" xfId="42729"/>
    <cellStyle name="Normal 8 3 2 2 2 5 2 3" xfId="42730"/>
    <cellStyle name="Normal 8 3 2 2 2 5 3" xfId="42731"/>
    <cellStyle name="Normal 8 3 2 2 2 5 3 2" xfId="42732"/>
    <cellStyle name="Normal 8 3 2 2 2 5 3 3" xfId="42733"/>
    <cellStyle name="Normal 8 3 2 2 2 5 4" xfId="42734"/>
    <cellStyle name="Normal 8 3 2 2 2 5 5" xfId="42735"/>
    <cellStyle name="Normal 8 3 2 2 2 6" xfId="42736"/>
    <cellStyle name="Normal 8 3 2 2 2 6 2" xfId="42737"/>
    <cellStyle name="Normal 8 3 2 2 2 6 3" xfId="42738"/>
    <cellStyle name="Normal 8 3 2 2 2 7" xfId="42739"/>
    <cellStyle name="Normal 8 3 2 2 2 7 2" xfId="42740"/>
    <cellStyle name="Normal 8 3 2 2 2 7 3" xfId="42741"/>
    <cellStyle name="Normal 8 3 2 2 2 8" xfId="42742"/>
    <cellStyle name="Normal 8 3 2 2 2 9" xfId="42743"/>
    <cellStyle name="Normal 8 3 2 2 3" xfId="42744"/>
    <cellStyle name="Normal 8 3 2 2 3 2" xfId="42745"/>
    <cellStyle name="Normal 8 3 2 2 3 2 2" xfId="42746"/>
    <cellStyle name="Normal 8 3 2 2 3 2 2 2" xfId="42747"/>
    <cellStyle name="Normal 8 3 2 2 3 2 2 2 2" xfId="42748"/>
    <cellStyle name="Normal 8 3 2 2 3 2 2 2 3" xfId="42749"/>
    <cellStyle name="Normal 8 3 2 2 3 2 2 3" xfId="42750"/>
    <cellStyle name="Normal 8 3 2 2 3 2 2 3 2" xfId="42751"/>
    <cellStyle name="Normal 8 3 2 2 3 2 2 3 3" xfId="42752"/>
    <cellStyle name="Normal 8 3 2 2 3 2 2 4" xfId="42753"/>
    <cellStyle name="Normal 8 3 2 2 3 2 2 5" xfId="42754"/>
    <cellStyle name="Normal 8 3 2 2 3 2 3" xfId="42755"/>
    <cellStyle name="Normal 8 3 2 2 3 2 3 2" xfId="42756"/>
    <cellStyle name="Normal 8 3 2 2 3 2 3 3" xfId="42757"/>
    <cellStyle name="Normal 8 3 2 2 3 2 4" xfId="42758"/>
    <cellStyle name="Normal 8 3 2 2 3 2 4 2" xfId="42759"/>
    <cellStyle name="Normal 8 3 2 2 3 2 4 3" xfId="42760"/>
    <cellStyle name="Normal 8 3 2 2 3 2 5" xfId="42761"/>
    <cellStyle name="Normal 8 3 2 2 3 2 6" xfId="42762"/>
    <cellStyle name="Normal 8 3 2 2 3 3" xfId="42763"/>
    <cellStyle name="Normal 8 3 2 2 3 3 2" xfId="42764"/>
    <cellStyle name="Normal 8 3 2 2 3 3 2 2" xfId="42765"/>
    <cellStyle name="Normal 8 3 2 2 3 3 2 2 2" xfId="42766"/>
    <cellStyle name="Normal 8 3 2 2 3 3 2 2 3" xfId="42767"/>
    <cellStyle name="Normal 8 3 2 2 3 3 2 3" xfId="42768"/>
    <cellStyle name="Normal 8 3 2 2 3 3 2 3 2" xfId="42769"/>
    <cellStyle name="Normal 8 3 2 2 3 3 2 3 3" xfId="42770"/>
    <cellStyle name="Normal 8 3 2 2 3 3 2 4" xfId="42771"/>
    <cellStyle name="Normal 8 3 2 2 3 3 2 5" xfId="42772"/>
    <cellStyle name="Normal 8 3 2 2 3 3 3" xfId="42773"/>
    <cellStyle name="Normal 8 3 2 2 3 3 3 2" xfId="42774"/>
    <cellStyle name="Normal 8 3 2 2 3 3 3 3" xfId="42775"/>
    <cellStyle name="Normal 8 3 2 2 3 3 4" xfId="42776"/>
    <cellStyle name="Normal 8 3 2 2 3 3 4 2" xfId="42777"/>
    <cellStyle name="Normal 8 3 2 2 3 3 4 3" xfId="42778"/>
    <cellStyle name="Normal 8 3 2 2 3 3 5" xfId="42779"/>
    <cellStyle name="Normal 8 3 2 2 3 3 6" xfId="42780"/>
    <cellStyle name="Normal 8 3 2 2 3 4" xfId="42781"/>
    <cellStyle name="Normal 8 3 2 2 3 4 2" xfId="42782"/>
    <cellStyle name="Normal 8 3 2 2 3 4 2 2" xfId="42783"/>
    <cellStyle name="Normal 8 3 2 2 3 4 2 3" xfId="42784"/>
    <cellStyle name="Normal 8 3 2 2 3 4 3" xfId="42785"/>
    <cellStyle name="Normal 8 3 2 2 3 4 3 2" xfId="42786"/>
    <cellStyle name="Normal 8 3 2 2 3 4 3 3" xfId="42787"/>
    <cellStyle name="Normal 8 3 2 2 3 4 4" xfId="42788"/>
    <cellStyle name="Normal 8 3 2 2 3 4 5" xfId="42789"/>
    <cellStyle name="Normal 8 3 2 2 3 5" xfId="42790"/>
    <cellStyle name="Normal 8 3 2 2 3 5 2" xfId="42791"/>
    <cellStyle name="Normal 8 3 2 2 3 5 3" xfId="42792"/>
    <cellStyle name="Normal 8 3 2 2 3 6" xfId="42793"/>
    <cellStyle name="Normal 8 3 2 2 3 6 2" xfId="42794"/>
    <cellStyle name="Normal 8 3 2 2 3 6 3" xfId="42795"/>
    <cellStyle name="Normal 8 3 2 2 3 7" xfId="42796"/>
    <cellStyle name="Normal 8 3 2 2 3 8" xfId="42797"/>
    <cellStyle name="Normal 8 3 2 2 4" xfId="42798"/>
    <cellStyle name="Normal 8 3 2 2 4 2" xfId="42799"/>
    <cellStyle name="Normal 8 3 2 2 4 2 2" xfId="42800"/>
    <cellStyle name="Normal 8 3 2 2 4 2 2 2" xfId="42801"/>
    <cellStyle name="Normal 8 3 2 2 4 2 2 3" xfId="42802"/>
    <cellStyle name="Normal 8 3 2 2 4 2 3" xfId="42803"/>
    <cellStyle name="Normal 8 3 2 2 4 2 3 2" xfId="42804"/>
    <cellStyle name="Normal 8 3 2 2 4 2 3 3" xfId="42805"/>
    <cellStyle name="Normal 8 3 2 2 4 2 4" xfId="42806"/>
    <cellStyle name="Normal 8 3 2 2 4 2 5" xfId="42807"/>
    <cellStyle name="Normal 8 3 2 2 4 3" xfId="42808"/>
    <cellStyle name="Normal 8 3 2 2 4 3 2" xfId="42809"/>
    <cellStyle name="Normal 8 3 2 2 4 3 3" xfId="42810"/>
    <cellStyle name="Normal 8 3 2 2 4 4" xfId="42811"/>
    <cellStyle name="Normal 8 3 2 2 4 4 2" xfId="42812"/>
    <cellStyle name="Normal 8 3 2 2 4 4 3" xfId="42813"/>
    <cellStyle name="Normal 8 3 2 2 4 5" xfId="42814"/>
    <cellStyle name="Normal 8 3 2 2 4 6" xfId="42815"/>
    <cellStyle name="Normal 8 3 2 2 5" xfId="42816"/>
    <cellStyle name="Normal 8 3 2 2 5 2" xfId="42817"/>
    <cellStyle name="Normal 8 3 2 2 5 2 2" xfId="42818"/>
    <cellStyle name="Normal 8 3 2 2 5 2 2 2" xfId="42819"/>
    <cellStyle name="Normal 8 3 2 2 5 2 2 3" xfId="42820"/>
    <cellStyle name="Normal 8 3 2 2 5 2 3" xfId="42821"/>
    <cellStyle name="Normal 8 3 2 2 5 2 3 2" xfId="42822"/>
    <cellStyle name="Normal 8 3 2 2 5 2 3 3" xfId="42823"/>
    <cellStyle name="Normal 8 3 2 2 5 2 4" xfId="42824"/>
    <cellStyle name="Normal 8 3 2 2 5 2 5" xfId="42825"/>
    <cellStyle name="Normal 8 3 2 2 5 3" xfId="42826"/>
    <cellStyle name="Normal 8 3 2 2 5 3 2" xfId="42827"/>
    <cellStyle name="Normal 8 3 2 2 5 3 3" xfId="42828"/>
    <cellStyle name="Normal 8 3 2 2 5 4" xfId="42829"/>
    <cellStyle name="Normal 8 3 2 2 5 4 2" xfId="42830"/>
    <cellStyle name="Normal 8 3 2 2 5 4 3" xfId="42831"/>
    <cellStyle name="Normal 8 3 2 2 5 5" xfId="42832"/>
    <cellStyle name="Normal 8 3 2 2 5 6" xfId="42833"/>
    <cellStyle name="Normal 8 3 2 2 6" xfId="42834"/>
    <cellStyle name="Normal 8 3 2 2 6 2" xfId="42835"/>
    <cellStyle name="Normal 8 3 2 2 6 2 2" xfId="42836"/>
    <cellStyle name="Normal 8 3 2 2 6 2 3" xfId="42837"/>
    <cellStyle name="Normal 8 3 2 2 6 3" xfId="42838"/>
    <cellStyle name="Normal 8 3 2 2 6 3 2" xfId="42839"/>
    <cellStyle name="Normal 8 3 2 2 6 3 3" xfId="42840"/>
    <cellStyle name="Normal 8 3 2 2 6 4" xfId="42841"/>
    <cellStyle name="Normal 8 3 2 2 6 5" xfId="42842"/>
    <cellStyle name="Normal 8 3 2 2 7" xfId="42843"/>
    <cellStyle name="Normal 8 3 2 2 7 2" xfId="42844"/>
    <cellStyle name="Normal 8 3 2 2 7 3" xfId="42845"/>
    <cellStyle name="Normal 8 3 2 2 8" xfId="42846"/>
    <cellStyle name="Normal 8 3 2 2 8 2" xfId="42847"/>
    <cellStyle name="Normal 8 3 2 2 8 3" xfId="42848"/>
    <cellStyle name="Normal 8 3 2 2 9" xfId="42849"/>
    <cellStyle name="Normal 8 3 2 3" xfId="42850"/>
    <cellStyle name="Normal 8 3 2 3 10" xfId="42851"/>
    <cellStyle name="Normal 8 3 2 3 2" xfId="42852"/>
    <cellStyle name="Normal 8 3 2 3 2 2" xfId="42853"/>
    <cellStyle name="Normal 8 3 2 3 2 2 2" xfId="42854"/>
    <cellStyle name="Normal 8 3 2 3 2 2 2 2" xfId="42855"/>
    <cellStyle name="Normal 8 3 2 3 2 2 2 2 2" xfId="42856"/>
    <cellStyle name="Normal 8 3 2 3 2 2 2 2 2 2" xfId="42857"/>
    <cellStyle name="Normal 8 3 2 3 2 2 2 2 2 3" xfId="42858"/>
    <cellStyle name="Normal 8 3 2 3 2 2 2 2 3" xfId="42859"/>
    <cellStyle name="Normal 8 3 2 3 2 2 2 2 3 2" xfId="42860"/>
    <cellStyle name="Normal 8 3 2 3 2 2 2 2 3 3" xfId="42861"/>
    <cellStyle name="Normal 8 3 2 3 2 2 2 2 4" xfId="42862"/>
    <cellStyle name="Normal 8 3 2 3 2 2 2 2 5" xfId="42863"/>
    <cellStyle name="Normal 8 3 2 3 2 2 2 3" xfId="42864"/>
    <cellStyle name="Normal 8 3 2 3 2 2 2 3 2" xfId="42865"/>
    <cellStyle name="Normal 8 3 2 3 2 2 2 3 3" xfId="42866"/>
    <cellStyle name="Normal 8 3 2 3 2 2 2 4" xfId="42867"/>
    <cellStyle name="Normal 8 3 2 3 2 2 2 4 2" xfId="42868"/>
    <cellStyle name="Normal 8 3 2 3 2 2 2 4 3" xfId="42869"/>
    <cellStyle name="Normal 8 3 2 3 2 2 2 5" xfId="42870"/>
    <cellStyle name="Normal 8 3 2 3 2 2 2 6" xfId="42871"/>
    <cellStyle name="Normal 8 3 2 3 2 2 3" xfId="42872"/>
    <cellStyle name="Normal 8 3 2 3 2 2 3 2" xfId="42873"/>
    <cellStyle name="Normal 8 3 2 3 2 2 3 2 2" xfId="42874"/>
    <cellStyle name="Normal 8 3 2 3 2 2 3 2 2 2" xfId="42875"/>
    <cellStyle name="Normal 8 3 2 3 2 2 3 2 2 3" xfId="42876"/>
    <cellStyle name="Normal 8 3 2 3 2 2 3 2 3" xfId="42877"/>
    <cellStyle name="Normal 8 3 2 3 2 2 3 2 3 2" xfId="42878"/>
    <cellStyle name="Normal 8 3 2 3 2 2 3 2 3 3" xfId="42879"/>
    <cellStyle name="Normal 8 3 2 3 2 2 3 2 4" xfId="42880"/>
    <cellStyle name="Normal 8 3 2 3 2 2 3 2 5" xfId="42881"/>
    <cellStyle name="Normal 8 3 2 3 2 2 3 3" xfId="42882"/>
    <cellStyle name="Normal 8 3 2 3 2 2 3 3 2" xfId="42883"/>
    <cellStyle name="Normal 8 3 2 3 2 2 3 3 3" xfId="42884"/>
    <cellStyle name="Normal 8 3 2 3 2 2 3 4" xfId="42885"/>
    <cellStyle name="Normal 8 3 2 3 2 2 3 4 2" xfId="42886"/>
    <cellStyle name="Normal 8 3 2 3 2 2 3 4 3" xfId="42887"/>
    <cellStyle name="Normal 8 3 2 3 2 2 3 5" xfId="42888"/>
    <cellStyle name="Normal 8 3 2 3 2 2 3 6" xfId="42889"/>
    <cellStyle name="Normal 8 3 2 3 2 2 4" xfId="42890"/>
    <cellStyle name="Normal 8 3 2 3 2 2 4 2" xfId="42891"/>
    <cellStyle name="Normal 8 3 2 3 2 2 4 2 2" xfId="42892"/>
    <cellStyle name="Normal 8 3 2 3 2 2 4 2 3" xfId="42893"/>
    <cellStyle name="Normal 8 3 2 3 2 2 4 3" xfId="42894"/>
    <cellStyle name="Normal 8 3 2 3 2 2 4 3 2" xfId="42895"/>
    <cellStyle name="Normal 8 3 2 3 2 2 4 3 3" xfId="42896"/>
    <cellStyle name="Normal 8 3 2 3 2 2 4 4" xfId="42897"/>
    <cellStyle name="Normal 8 3 2 3 2 2 4 5" xfId="42898"/>
    <cellStyle name="Normal 8 3 2 3 2 2 5" xfId="42899"/>
    <cellStyle name="Normal 8 3 2 3 2 2 5 2" xfId="42900"/>
    <cellStyle name="Normal 8 3 2 3 2 2 5 3" xfId="42901"/>
    <cellStyle name="Normal 8 3 2 3 2 2 6" xfId="42902"/>
    <cellStyle name="Normal 8 3 2 3 2 2 6 2" xfId="42903"/>
    <cellStyle name="Normal 8 3 2 3 2 2 6 3" xfId="42904"/>
    <cellStyle name="Normal 8 3 2 3 2 2 7" xfId="42905"/>
    <cellStyle name="Normal 8 3 2 3 2 2 8" xfId="42906"/>
    <cellStyle name="Normal 8 3 2 3 2 3" xfId="42907"/>
    <cellStyle name="Normal 8 3 2 3 2 3 2" xfId="42908"/>
    <cellStyle name="Normal 8 3 2 3 2 3 2 2" xfId="42909"/>
    <cellStyle name="Normal 8 3 2 3 2 3 2 2 2" xfId="42910"/>
    <cellStyle name="Normal 8 3 2 3 2 3 2 2 3" xfId="42911"/>
    <cellStyle name="Normal 8 3 2 3 2 3 2 3" xfId="42912"/>
    <cellStyle name="Normal 8 3 2 3 2 3 2 3 2" xfId="42913"/>
    <cellStyle name="Normal 8 3 2 3 2 3 2 3 3" xfId="42914"/>
    <cellStyle name="Normal 8 3 2 3 2 3 2 4" xfId="42915"/>
    <cellStyle name="Normal 8 3 2 3 2 3 2 5" xfId="42916"/>
    <cellStyle name="Normal 8 3 2 3 2 3 3" xfId="42917"/>
    <cellStyle name="Normal 8 3 2 3 2 3 3 2" xfId="42918"/>
    <cellStyle name="Normal 8 3 2 3 2 3 3 3" xfId="42919"/>
    <cellStyle name="Normal 8 3 2 3 2 3 4" xfId="42920"/>
    <cellStyle name="Normal 8 3 2 3 2 3 4 2" xfId="42921"/>
    <cellStyle name="Normal 8 3 2 3 2 3 4 3" xfId="42922"/>
    <cellStyle name="Normal 8 3 2 3 2 3 5" xfId="42923"/>
    <cellStyle name="Normal 8 3 2 3 2 3 6" xfId="42924"/>
    <cellStyle name="Normal 8 3 2 3 2 4" xfId="42925"/>
    <cellStyle name="Normal 8 3 2 3 2 4 2" xfId="42926"/>
    <cellStyle name="Normal 8 3 2 3 2 4 2 2" xfId="42927"/>
    <cellStyle name="Normal 8 3 2 3 2 4 2 2 2" xfId="42928"/>
    <cellStyle name="Normal 8 3 2 3 2 4 2 2 3" xfId="42929"/>
    <cellStyle name="Normal 8 3 2 3 2 4 2 3" xfId="42930"/>
    <cellStyle name="Normal 8 3 2 3 2 4 2 3 2" xfId="42931"/>
    <cellStyle name="Normal 8 3 2 3 2 4 2 3 3" xfId="42932"/>
    <cellStyle name="Normal 8 3 2 3 2 4 2 4" xfId="42933"/>
    <cellStyle name="Normal 8 3 2 3 2 4 2 5" xfId="42934"/>
    <cellStyle name="Normal 8 3 2 3 2 4 3" xfId="42935"/>
    <cellStyle name="Normal 8 3 2 3 2 4 3 2" xfId="42936"/>
    <cellStyle name="Normal 8 3 2 3 2 4 3 3" xfId="42937"/>
    <cellStyle name="Normal 8 3 2 3 2 4 4" xfId="42938"/>
    <cellStyle name="Normal 8 3 2 3 2 4 4 2" xfId="42939"/>
    <cellStyle name="Normal 8 3 2 3 2 4 4 3" xfId="42940"/>
    <cellStyle name="Normal 8 3 2 3 2 4 5" xfId="42941"/>
    <cellStyle name="Normal 8 3 2 3 2 4 6" xfId="42942"/>
    <cellStyle name="Normal 8 3 2 3 2 5" xfId="42943"/>
    <cellStyle name="Normal 8 3 2 3 2 5 2" xfId="42944"/>
    <cellStyle name="Normal 8 3 2 3 2 5 2 2" xfId="42945"/>
    <cellStyle name="Normal 8 3 2 3 2 5 2 3" xfId="42946"/>
    <cellStyle name="Normal 8 3 2 3 2 5 3" xfId="42947"/>
    <cellStyle name="Normal 8 3 2 3 2 5 3 2" xfId="42948"/>
    <cellStyle name="Normal 8 3 2 3 2 5 3 3" xfId="42949"/>
    <cellStyle name="Normal 8 3 2 3 2 5 4" xfId="42950"/>
    <cellStyle name="Normal 8 3 2 3 2 5 5" xfId="42951"/>
    <cellStyle name="Normal 8 3 2 3 2 6" xfId="42952"/>
    <cellStyle name="Normal 8 3 2 3 2 6 2" xfId="42953"/>
    <cellStyle name="Normal 8 3 2 3 2 6 3" xfId="42954"/>
    <cellStyle name="Normal 8 3 2 3 2 7" xfId="42955"/>
    <cellStyle name="Normal 8 3 2 3 2 7 2" xfId="42956"/>
    <cellStyle name="Normal 8 3 2 3 2 7 3" xfId="42957"/>
    <cellStyle name="Normal 8 3 2 3 2 8" xfId="42958"/>
    <cellStyle name="Normal 8 3 2 3 2 9" xfId="42959"/>
    <cellStyle name="Normal 8 3 2 3 3" xfId="42960"/>
    <cellStyle name="Normal 8 3 2 3 3 2" xfId="42961"/>
    <cellStyle name="Normal 8 3 2 3 3 2 2" xfId="42962"/>
    <cellStyle name="Normal 8 3 2 3 3 2 2 2" xfId="42963"/>
    <cellStyle name="Normal 8 3 2 3 3 2 2 2 2" xfId="42964"/>
    <cellStyle name="Normal 8 3 2 3 3 2 2 2 3" xfId="42965"/>
    <cellStyle name="Normal 8 3 2 3 3 2 2 3" xfId="42966"/>
    <cellStyle name="Normal 8 3 2 3 3 2 2 3 2" xfId="42967"/>
    <cellStyle name="Normal 8 3 2 3 3 2 2 3 3" xfId="42968"/>
    <cellStyle name="Normal 8 3 2 3 3 2 2 4" xfId="42969"/>
    <cellStyle name="Normal 8 3 2 3 3 2 2 5" xfId="42970"/>
    <cellStyle name="Normal 8 3 2 3 3 2 3" xfId="42971"/>
    <cellStyle name="Normal 8 3 2 3 3 2 3 2" xfId="42972"/>
    <cellStyle name="Normal 8 3 2 3 3 2 3 3" xfId="42973"/>
    <cellStyle name="Normal 8 3 2 3 3 2 4" xfId="42974"/>
    <cellStyle name="Normal 8 3 2 3 3 2 4 2" xfId="42975"/>
    <cellStyle name="Normal 8 3 2 3 3 2 4 3" xfId="42976"/>
    <cellStyle name="Normal 8 3 2 3 3 2 5" xfId="42977"/>
    <cellStyle name="Normal 8 3 2 3 3 2 6" xfId="42978"/>
    <cellStyle name="Normal 8 3 2 3 3 3" xfId="42979"/>
    <cellStyle name="Normal 8 3 2 3 3 3 2" xfId="42980"/>
    <cellStyle name="Normal 8 3 2 3 3 3 2 2" xfId="42981"/>
    <cellStyle name="Normal 8 3 2 3 3 3 2 2 2" xfId="42982"/>
    <cellStyle name="Normal 8 3 2 3 3 3 2 2 3" xfId="42983"/>
    <cellStyle name="Normal 8 3 2 3 3 3 2 3" xfId="42984"/>
    <cellStyle name="Normal 8 3 2 3 3 3 2 3 2" xfId="42985"/>
    <cellStyle name="Normal 8 3 2 3 3 3 2 3 3" xfId="42986"/>
    <cellStyle name="Normal 8 3 2 3 3 3 2 4" xfId="42987"/>
    <cellStyle name="Normal 8 3 2 3 3 3 2 5" xfId="42988"/>
    <cellStyle name="Normal 8 3 2 3 3 3 3" xfId="42989"/>
    <cellStyle name="Normal 8 3 2 3 3 3 3 2" xfId="42990"/>
    <cellStyle name="Normal 8 3 2 3 3 3 3 3" xfId="42991"/>
    <cellStyle name="Normal 8 3 2 3 3 3 4" xfId="42992"/>
    <cellStyle name="Normal 8 3 2 3 3 3 4 2" xfId="42993"/>
    <cellStyle name="Normal 8 3 2 3 3 3 4 3" xfId="42994"/>
    <cellStyle name="Normal 8 3 2 3 3 3 5" xfId="42995"/>
    <cellStyle name="Normal 8 3 2 3 3 3 6" xfId="42996"/>
    <cellStyle name="Normal 8 3 2 3 3 4" xfId="42997"/>
    <cellStyle name="Normal 8 3 2 3 3 4 2" xfId="42998"/>
    <cellStyle name="Normal 8 3 2 3 3 4 2 2" xfId="42999"/>
    <cellStyle name="Normal 8 3 2 3 3 4 2 3" xfId="43000"/>
    <cellStyle name="Normal 8 3 2 3 3 4 3" xfId="43001"/>
    <cellStyle name="Normal 8 3 2 3 3 4 3 2" xfId="43002"/>
    <cellStyle name="Normal 8 3 2 3 3 4 3 3" xfId="43003"/>
    <cellStyle name="Normal 8 3 2 3 3 4 4" xfId="43004"/>
    <cellStyle name="Normal 8 3 2 3 3 4 5" xfId="43005"/>
    <cellStyle name="Normal 8 3 2 3 3 5" xfId="43006"/>
    <cellStyle name="Normal 8 3 2 3 3 5 2" xfId="43007"/>
    <cellStyle name="Normal 8 3 2 3 3 5 3" xfId="43008"/>
    <cellStyle name="Normal 8 3 2 3 3 6" xfId="43009"/>
    <cellStyle name="Normal 8 3 2 3 3 6 2" xfId="43010"/>
    <cellStyle name="Normal 8 3 2 3 3 6 3" xfId="43011"/>
    <cellStyle name="Normal 8 3 2 3 3 7" xfId="43012"/>
    <cellStyle name="Normal 8 3 2 3 3 8" xfId="43013"/>
    <cellStyle name="Normal 8 3 2 3 4" xfId="43014"/>
    <cellStyle name="Normal 8 3 2 3 4 2" xfId="43015"/>
    <cellStyle name="Normal 8 3 2 3 4 2 2" xfId="43016"/>
    <cellStyle name="Normal 8 3 2 3 4 2 2 2" xfId="43017"/>
    <cellStyle name="Normal 8 3 2 3 4 2 2 3" xfId="43018"/>
    <cellStyle name="Normal 8 3 2 3 4 2 3" xfId="43019"/>
    <cellStyle name="Normal 8 3 2 3 4 2 3 2" xfId="43020"/>
    <cellStyle name="Normal 8 3 2 3 4 2 3 3" xfId="43021"/>
    <cellStyle name="Normal 8 3 2 3 4 2 4" xfId="43022"/>
    <cellStyle name="Normal 8 3 2 3 4 2 5" xfId="43023"/>
    <cellStyle name="Normal 8 3 2 3 4 3" xfId="43024"/>
    <cellStyle name="Normal 8 3 2 3 4 3 2" xfId="43025"/>
    <cellStyle name="Normal 8 3 2 3 4 3 3" xfId="43026"/>
    <cellStyle name="Normal 8 3 2 3 4 4" xfId="43027"/>
    <cellStyle name="Normal 8 3 2 3 4 4 2" xfId="43028"/>
    <cellStyle name="Normal 8 3 2 3 4 4 3" xfId="43029"/>
    <cellStyle name="Normal 8 3 2 3 4 5" xfId="43030"/>
    <cellStyle name="Normal 8 3 2 3 4 6" xfId="43031"/>
    <cellStyle name="Normal 8 3 2 3 5" xfId="43032"/>
    <cellStyle name="Normal 8 3 2 3 5 2" xfId="43033"/>
    <cellStyle name="Normal 8 3 2 3 5 2 2" xfId="43034"/>
    <cellStyle name="Normal 8 3 2 3 5 2 2 2" xfId="43035"/>
    <cellStyle name="Normal 8 3 2 3 5 2 2 3" xfId="43036"/>
    <cellStyle name="Normal 8 3 2 3 5 2 3" xfId="43037"/>
    <cellStyle name="Normal 8 3 2 3 5 2 3 2" xfId="43038"/>
    <cellStyle name="Normal 8 3 2 3 5 2 3 3" xfId="43039"/>
    <cellStyle name="Normal 8 3 2 3 5 2 4" xfId="43040"/>
    <cellStyle name="Normal 8 3 2 3 5 2 5" xfId="43041"/>
    <cellStyle name="Normal 8 3 2 3 5 3" xfId="43042"/>
    <cellStyle name="Normal 8 3 2 3 5 3 2" xfId="43043"/>
    <cellStyle name="Normal 8 3 2 3 5 3 3" xfId="43044"/>
    <cellStyle name="Normal 8 3 2 3 5 4" xfId="43045"/>
    <cellStyle name="Normal 8 3 2 3 5 4 2" xfId="43046"/>
    <cellStyle name="Normal 8 3 2 3 5 4 3" xfId="43047"/>
    <cellStyle name="Normal 8 3 2 3 5 5" xfId="43048"/>
    <cellStyle name="Normal 8 3 2 3 5 6" xfId="43049"/>
    <cellStyle name="Normal 8 3 2 3 6" xfId="43050"/>
    <cellStyle name="Normal 8 3 2 3 6 2" xfId="43051"/>
    <cellStyle name="Normal 8 3 2 3 6 2 2" xfId="43052"/>
    <cellStyle name="Normal 8 3 2 3 6 2 3" xfId="43053"/>
    <cellStyle name="Normal 8 3 2 3 6 3" xfId="43054"/>
    <cellStyle name="Normal 8 3 2 3 6 3 2" xfId="43055"/>
    <cellStyle name="Normal 8 3 2 3 6 3 3" xfId="43056"/>
    <cellStyle name="Normal 8 3 2 3 6 4" xfId="43057"/>
    <cellStyle name="Normal 8 3 2 3 6 5" xfId="43058"/>
    <cellStyle name="Normal 8 3 2 3 7" xfId="43059"/>
    <cellStyle name="Normal 8 3 2 3 7 2" xfId="43060"/>
    <cellStyle name="Normal 8 3 2 3 7 3" xfId="43061"/>
    <cellStyle name="Normal 8 3 2 3 8" xfId="43062"/>
    <cellStyle name="Normal 8 3 2 3 8 2" xfId="43063"/>
    <cellStyle name="Normal 8 3 2 3 8 3" xfId="43064"/>
    <cellStyle name="Normal 8 3 2 3 9" xfId="43065"/>
    <cellStyle name="Normal 8 3 2 4" xfId="43066"/>
    <cellStyle name="Normal 8 3 2 4 2" xfId="43067"/>
    <cellStyle name="Normal 8 3 2 4 2 2" xfId="43068"/>
    <cellStyle name="Normal 8 3 2 4 2 2 2" xfId="43069"/>
    <cellStyle name="Normal 8 3 2 4 2 2 2 2" xfId="43070"/>
    <cellStyle name="Normal 8 3 2 4 2 2 2 2 2" xfId="43071"/>
    <cellStyle name="Normal 8 3 2 4 2 2 2 2 3" xfId="43072"/>
    <cellStyle name="Normal 8 3 2 4 2 2 2 3" xfId="43073"/>
    <cellStyle name="Normal 8 3 2 4 2 2 2 3 2" xfId="43074"/>
    <cellStyle name="Normal 8 3 2 4 2 2 2 3 3" xfId="43075"/>
    <cellStyle name="Normal 8 3 2 4 2 2 2 4" xfId="43076"/>
    <cellStyle name="Normal 8 3 2 4 2 2 2 5" xfId="43077"/>
    <cellStyle name="Normal 8 3 2 4 2 2 3" xfId="43078"/>
    <cellStyle name="Normal 8 3 2 4 2 2 3 2" xfId="43079"/>
    <cellStyle name="Normal 8 3 2 4 2 2 3 3" xfId="43080"/>
    <cellStyle name="Normal 8 3 2 4 2 2 4" xfId="43081"/>
    <cellStyle name="Normal 8 3 2 4 2 2 4 2" xfId="43082"/>
    <cellStyle name="Normal 8 3 2 4 2 2 4 3" xfId="43083"/>
    <cellStyle name="Normal 8 3 2 4 2 2 5" xfId="43084"/>
    <cellStyle name="Normal 8 3 2 4 2 2 6" xfId="43085"/>
    <cellStyle name="Normal 8 3 2 4 2 3" xfId="43086"/>
    <cellStyle name="Normal 8 3 2 4 2 3 2" xfId="43087"/>
    <cellStyle name="Normal 8 3 2 4 2 3 2 2" xfId="43088"/>
    <cellStyle name="Normal 8 3 2 4 2 3 2 2 2" xfId="43089"/>
    <cellStyle name="Normal 8 3 2 4 2 3 2 2 3" xfId="43090"/>
    <cellStyle name="Normal 8 3 2 4 2 3 2 3" xfId="43091"/>
    <cellStyle name="Normal 8 3 2 4 2 3 2 3 2" xfId="43092"/>
    <cellStyle name="Normal 8 3 2 4 2 3 2 3 3" xfId="43093"/>
    <cellStyle name="Normal 8 3 2 4 2 3 2 4" xfId="43094"/>
    <cellStyle name="Normal 8 3 2 4 2 3 2 5" xfId="43095"/>
    <cellStyle name="Normal 8 3 2 4 2 3 3" xfId="43096"/>
    <cellStyle name="Normal 8 3 2 4 2 3 3 2" xfId="43097"/>
    <cellStyle name="Normal 8 3 2 4 2 3 3 3" xfId="43098"/>
    <cellStyle name="Normal 8 3 2 4 2 3 4" xfId="43099"/>
    <cellStyle name="Normal 8 3 2 4 2 3 4 2" xfId="43100"/>
    <cellStyle name="Normal 8 3 2 4 2 3 4 3" xfId="43101"/>
    <cellStyle name="Normal 8 3 2 4 2 3 5" xfId="43102"/>
    <cellStyle name="Normal 8 3 2 4 2 3 6" xfId="43103"/>
    <cellStyle name="Normal 8 3 2 4 2 4" xfId="43104"/>
    <cellStyle name="Normal 8 3 2 4 2 4 2" xfId="43105"/>
    <cellStyle name="Normal 8 3 2 4 2 4 2 2" xfId="43106"/>
    <cellStyle name="Normal 8 3 2 4 2 4 2 3" xfId="43107"/>
    <cellStyle name="Normal 8 3 2 4 2 4 3" xfId="43108"/>
    <cellStyle name="Normal 8 3 2 4 2 4 3 2" xfId="43109"/>
    <cellStyle name="Normal 8 3 2 4 2 4 3 3" xfId="43110"/>
    <cellStyle name="Normal 8 3 2 4 2 4 4" xfId="43111"/>
    <cellStyle name="Normal 8 3 2 4 2 4 5" xfId="43112"/>
    <cellStyle name="Normal 8 3 2 4 2 5" xfId="43113"/>
    <cellStyle name="Normal 8 3 2 4 2 5 2" xfId="43114"/>
    <cellStyle name="Normal 8 3 2 4 2 5 3" xfId="43115"/>
    <cellStyle name="Normal 8 3 2 4 2 6" xfId="43116"/>
    <cellStyle name="Normal 8 3 2 4 2 6 2" xfId="43117"/>
    <cellStyle name="Normal 8 3 2 4 2 6 3" xfId="43118"/>
    <cellStyle name="Normal 8 3 2 4 2 7" xfId="43119"/>
    <cellStyle name="Normal 8 3 2 4 2 8" xfId="43120"/>
    <cellStyle name="Normal 8 3 2 4 3" xfId="43121"/>
    <cellStyle name="Normal 8 3 2 4 3 2" xfId="43122"/>
    <cellStyle name="Normal 8 3 2 4 3 2 2" xfId="43123"/>
    <cellStyle name="Normal 8 3 2 4 3 2 2 2" xfId="43124"/>
    <cellStyle name="Normal 8 3 2 4 3 2 2 3" xfId="43125"/>
    <cellStyle name="Normal 8 3 2 4 3 2 3" xfId="43126"/>
    <cellStyle name="Normal 8 3 2 4 3 2 3 2" xfId="43127"/>
    <cellStyle name="Normal 8 3 2 4 3 2 3 3" xfId="43128"/>
    <cellStyle name="Normal 8 3 2 4 3 2 4" xfId="43129"/>
    <cellStyle name="Normal 8 3 2 4 3 2 5" xfId="43130"/>
    <cellStyle name="Normal 8 3 2 4 3 3" xfId="43131"/>
    <cellStyle name="Normal 8 3 2 4 3 3 2" xfId="43132"/>
    <cellStyle name="Normal 8 3 2 4 3 3 3" xfId="43133"/>
    <cellStyle name="Normal 8 3 2 4 3 4" xfId="43134"/>
    <cellStyle name="Normal 8 3 2 4 3 4 2" xfId="43135"/>
    <cellStyle name="Normal 8 3 2 4 3 4 3" xfId="43136"/>
    <cellStyle name="Normal 8 3 2 4 3 5" xfId="43137"/>
    <cellStyle name="Normal 8 3 2 4 3 6" xfId="43138"/>
    <cellStyle name="Normal 8 3 2 4 4" xfId="43139"/>
    <cellStyle name="Normal 8 3 2 4 4 2" xfId="43140"/>
    <cellStyle name="Normal 8 3 2 4 4 2 2" xfId="43141"/>
    <cellStyle name="Normal 8 3 2 4 4 2 2 2" xfId="43142"/>
    <cellStyle name="Normal 8 3 2 4 4 2 2 3" xfId="43143"/>
    <cellStyle name="Normal 8 3 2 4 4 2 3" xfId="43144"/>
    <cellStyle name="Normal 8 3 2 4 4 2 3 2" xfId="43145"/>
    <cellStyle name="Normal 8 3 2 4 4 2 3 3" xfId="43146"/>
    <cellStyle name="Normal 8 3 2 4 4 2 4" xfId="43147"/>
    <cellStyle name="Normal 8 3 2 4 4 2 5" xfId="43148"/>
    <cellStyle name="Normal 8 3 2 4 4 3" xfId="43149"/>
    <cellStyle name="Normal 8 3 2 4 4 3 2" xfId="43150"/>
    <cellStyle name="Normal 8 3 2 4 4 3 3" xfId="43151"/>
    <cellStyle name="Normal 8 3 2 4 4 4" xfId="43152"/>
    <cellStyle name="Normal 8 3 2 4 4 4 2" xfId="43153"/>
    <cellStyle name="Normal 8 3 2 4 4 4 3" xfId="43154"/>
    <cellStyle name="Normal 8 3 2 4 4 5" xfId="43155"/>
    <cellStyle name="Normal 8 3 2 4 4 6" xfId="43156"/>
    <cellStyle name="Normal 8 3 2 4 5" xfId="43157"/>
    <cellStyle name="Normal 8 3 2 4 5 2" xfId="43158"/>
    <cellStyle name="Normal 8 3 2 4 5 2 2" xfId="43159"/>
    <cellStyle name="Normal 8 3 2 4 5 2 3" xfId="43160"/>
    <cellStyle name="Normal 8 3 2 4 5 3" xfId="43161"/>
    <cellStyle name="Normal 8 3 2 4 5 3 2" xfId="43162"/>
    <cellStyle name="Normal 8 3 2 4 5 3 3" xfId="43163"/>
    <cellStyle name="Normal 8 3 2 4 5 4" xfId="43164"/>
    <cellStyle name="Normal 8 3 2 4 5 5" xfId="43165"/>
    <cellStyle name="Normal 8 3 2 4 6" xfId="43166"/>
    <cellStyle name="Normal 8 3 2 4 6 2" xfId="43167"/>
    <cellStyle name="Normal 8 3 2 4 6 3" xfId="43168"/>
    <cellStyle name="Normal 8 3 2 4 7" xfId="43169"/>
    <cellStyle name="Normal 8 3 2 4 7 2" xfId="43170"/>
    <cellStyle name="Normal 8 3 2 4 7 3" xfId="43171"/>
    <cellStyle name="Normal 8 3 2 4 8" xfId="43172"/>
    <cellStyle name="Normal 8 3 2 4 9" xfId="43173"/>
    <cellStyle name="Normal 8 3 2 5" xfId="43174"/>
    <cellStyle name="Normal 8 3 2 5 2" xfId="43175"/>
    <cellStyle name="Normal 8 3 2 5 2 2" xfId="43176"/>
    <cellStyle name="Normal 8 3 2 5 2 2 2" xfId="43177"/>
    <cellStyle name="Normal 8 3 2 5 2 2 2 2" xfId="43178"/>
    <cellStyle name="Normal 8 3 2 5 2 2 2 3" xfId="43179"/>
    <cellStyle name="Normal 8 3 2 5 2 2 3" xfId="43180"/>
    <cellStyle name="Normal 8 3 2 5 2 2 3 2" xfId="43181"/>
    <cellStyle name="Normal 8 3 2 5 2 2 3 3" xfId="43182"/>
    <cellStyle name="Normal 8 3 2 5 2 2 4" xfId="43183"/>
    <cellStyle name="Normal 8 3 2 5 2 2 5" xfId="43184"/>
    <cellStyle name="Normal 8 3 2 5 2 3" xfId="43185"/>
    <cellStyle name="Normal 8 3 2 5 2 3 2" xfId="43186"/>
    <cellStyle name="Normal 8 3 2 5 2 3 3" xfId="43187"/>
    <cellStyle name="Normal 8 3 2 5 2 4" xfId="43188"/>
    <cellStyle name="Normal 8 3 2 5 2 4 2" xfId="43189"/>
    <cellStyle name="Normal 8 3 2 5 2 4 3" xfId="43190"/>
    <cellStyle name="Normal 8 3 2 5 2 5" xfId="43191"/>
    <cellStyle name="Normal 8 3 2 5 2 6" xfId="43192"/>
    <cellStyle name="Normal 8 3 2 5 3" xfId="43193"/>
    <cellStyle name="Normal 8 3 2 5 3 2" xfId="43194"/>
    <cellStyle name="Normal 8 3 2 5 3 2 2" xfId="43195"/>
    <cellStyle name="Normal 8 3 2 5 3 2 2 2" xfId="43196"/>
    <cellStyle name="Normal 8 3 2 5 3 2 2 3" xfId="43197"/>
    <cellStyle name="Normal 8 3 2 5 3 2 3" xfId="43198"/>
    <cellStyle name="Normal 8 3 2 5 3 2 3 2" xfId="43199"/>
    <cellStyle name="Normal 8 3 2 5 3 2 3 3" xfId="43200"/>
    <cellStyle name="Normal 8 3 2 5 3 2 4" xfId="43201"/>
    <cellStyle name="Normal 8 3 2 5 3 2 5" xfId="43202"/>
    <cellStyle name="Normal 8 3 2 5 3 3" xfId="43203"/>
    <cellStyle name="Normal 8 3 2 5 3 3 2" xfId="43204"/>
    <cellStyle name="Normal 8 3 2 5 3 3 3" xfId="43205"/>
    <cellStyle name="Normal 8 3 2 5 3 4" xfId="43206"/>
    <cellStyle name="Normal 8 3 2 5 3 4 2" xfId="43207"/>
    <cellStyle name="Normal 8 3 2 5 3 4 3" xfId="43208"/>
    <cellStyle name="Normal 8 3 2 5 3 5" xfId="43209"/>
    <cellStyle name="Normal 8 3 2 5 3 6" xfId="43210"/>
    <cellStyle name="Normal 8 3 2 5 4" xfId="43211"/>
    <cellStyle name="Normal 8 3 2 5 4 2" xfId="43212"/>
    <cellStyle name="Normal 8 3 2 5 4 2 2" xfId="43213"/>
    <cellStyle name="Normal 8 3 2 5 4 2 3" xfId="43214"/>
    <cellStyle name="Normal 8 3 2 5 4 3" xfId="43215"/>
    <cellStyle name="Normal 8 3 2 5 4 3 2" xfId="43216"/>
    <cellStyle name="Normal 8 3 2 5 4 3 3" xfId="43217"/>
    <cellStyle name="Normal 8 3 2 5 4 4" xfId="43218"/>
    <cellStyle name="Normal 8 3 2 5 4 5" xfId="43219"/>
    <cellStyle name="Normal 8 3 2 5 5" xfId="43220"/>
    <cellStyle name="Normal 8 3 2 5 5 2" xfId="43221"/>
    <cellStyle name="Normal 8 3 2 5 5 3" xfId="43222"/>
    <cellStyle name="Normal 8 3 2 5 6" xfId="43223"/>
    <cellStyle name="Normal 8 3 2 5 6 2" xfId="43224"/>
    <cellStyle name="Normal 8 3 2 5 6 3" xfId="43225"/>
    <cellStyle name="Normal 8 3 2 5 7" xfId="43226"/>
    <cellStyle name="Normal 8 3 2 5 8" xfId="43227"/>
    <cellStyle name="Normal 8 3 2 6" xfId="43228"/>
    <cellStyle name="Normal 8 3 2 6 2" xfId="43229"/>
    <cellStyle name="Normal 8 3 2 6 2 2" xfId="43230"/>
    <cellStyle name="Normal 8 3 2 6 2 2 2" xfId="43231"/>
    <cellStyle name="Normal 8 3 2 6 2 2 3" xfId="43232"/>
    <cellStyle name="Normal 8 3 2 6 2 3" xfId="43233"/>
    <cellStyle name="Normal 8 3 2 6 2 3 2" xfId="43234"/>
    <cellStyle name="Normal 8 3 2 6 2 3 3" xfId="43235"/>
    <cellStyle name="Normal 8 3 2 6 2 4" xfId="43236"/>
    <cellStyle name="Normal 8 3 2 6 2 5" xfId="43237"/>
    <cellStyle name="Normal 8 3 2 6 3" xfId="43238"/>
    <cellStyle name="Normal 8 3 2 6 3 2" xfId="43239"/>
    <cellStyle name="Normal 8 3 2 6 3 3" xfId="43240"/>
    <cellStyle name="Normal 8 3 2 6 4" xfId="43241"/>
    <cellStyle name="Normal 8 3 2 6 4 2" xfId="43242"/>
    <cellStyle name="Normal 8 3 2 6 4 3" xfId="43243"/>
    <cellStyle name="Normal 8 3 2 6 5" xfId="43244"/>
    <cellStyle name="Normal 8 3 2 6 6" xfId="43245"/>
    <cellStyle name="Normal 8 3 2 7" xfId="43246"/>
    <cellStyle name="Normal 8 3 2 7 2" xfId="43247"/>
    <cellStyle name="Normal 8 3 2 7 2 2" xfId="43248"/>
    <cellStyle name="Normal 8 3 2 7 2 2 2" xfId="43249"/>
    <cellStyle name="Normal 8 3 2 7 2 2 3" xfId="43250"/>
    <cellStyle name="Normal 8 3 2 7 2 3" xfId="43251"/>
    <cellStyle name="Normal 8 3 2 7 2 3 2" xfId="43252"/>
    <cellStyle name="Normal 8 3 2 7 2 3 3" xfId="43253"/>
    <cellStyle name="Normal 8 3 2 7 2 4" xfId="43254"/>
    <cellStyle name="Normal 8 3 2 7 2 5" xfId="43255"/>
    <cellStyle name="Normal 8 3 2 7 3" xfId="43256"/>
    <cellStyle name="Normal 8 3 2 7 3 2" xfId="43257"/>
    <cellStyle name="Normal 8 3 2 7 3 3" xfId="43258"/>
    <cellStyle name="Normal 8 3 2 7 4" xfId="43259"/>
    <cellStyle name="Normal 8 3 2 7 4 2" xfId="43260"/>
    <cellStyle name="Normal 8 3 2 7 4 3" xfId="43261"/>
    <cellStyle name="Normal 8 3 2 7 5" xfId="43262"/>
    <cellStyle name="Normal 8 3 2 7 6" xfId="43263"/>
    <cellStyle name="Normal 8 3 2 8" xfId="43264"/>
    <cellStyle name="Normal 8 3 2 8 2" xfId="43265"/>
    <cellStyle name="Normal 8 3 2 8 2 2" xfId="43266"/>
    <cellStyle name="Normal 8 3 2 8 2 3" xfId="43267"/>
    <cellStyle name="Normal 8 3 2 8 3" xfId="43268"/>
    <cellStyle name="Normal 8 3 2 8 3 2" xfId="43269"/>
    <cellStyle name="Normal 8 3 2 8 3 3" xfId="43270"/>
    <cellStyle name="Normal 8 3 2 8 4" xfId="43271"/>
    <cellStyle name="Normal 8 3 2 8 5" xfId="43272"/>
    <cellStyle name="Normal 8 3 2 9" xfId="43273"/>
    <cellStyle name="Normal 8 3 2 9 2" xfId="43274"/>
    <cellStyle name="Normal 8 3 2 9 3" xfId="43275"/>
    <cellStyle name="Normal 8 3 3" xfId="43276"/>
    <cellStyle name="Normal 8 3 3 10" xfId="43277"/>
    <cellStyle name="Normal 8 3 3 2" xfId="43278"/>
    <cellStyle name="Normal 8 3 3 2 2" xfId="43279"/>
    <cellStyle name="Normal 8 3 3 2 2 2" xfId="43280"/>
    <cellStyle name="Normal 8 3 3 2 2 2 2" xfId="43281"/>
    <cellStyle name="Normal 8 3 3 2 2 2 2 2" xfId="43282"/>
    <cellStyle name="Normal 8 3 3 2 2 2 2 2 2" xfId="43283"/>
    <cellStyle name="Normal 8 3 3 2 2 2 2 2 3" xfId="43284"/>
    <cellStyle name="Normal 8 3 3 2 2 2 2 3" xfId="43285"/>
    <cellStyle name="Normal 8 3 3 2 2 2 2 3 2" xfId="43286"/>
    <cellStyle name="Normal 8 3 3 2 2 2 2 3 3" xfId="43287"/>
    <cellStyle name="Normal 8 3 3 2 2 2 2 4" xfId="43288"/>
    <cellStyle name="Normal 8 3 3 2 2 2 2 5" xfId="43289"/>
    <cellStyle name="Normal 8 3 3 2 2 2 3" xfId="43290"/>
    <cellStyle name="Normal 8 3 3 2 2 2 3 2" xfId="43291"/>
    <cellStyle name="Normal 8 3 3 2 2 2 3 3" xfId="43292"/>
    <cellStyle name="Normal 8 3 3 2 2 2 4" xfId="43293"/>
    <cellStyle name="Normal 8 3 3 2 2 2 4 2" xfId="43294"/>
    <cellStyle name="Normal 8 3 3 2 2 2 4 3" xfId="43295"/>
    <cellStyle name="Normal 8 3 3 2 2 2 5" xfId="43296"/>
    <cellStyle name="Normal 8 3 3 2 2 2 6" xfId="43297"/>
    <cellStyle name="Normal 8 3 3 2 2 3" xfId="43298"/>
    <cellStyle name="Normal 8 3 3 2 2 3 2" xfId="43299"/>
    <cellStyle name="Normal 8 3 3 2 2 3 2 2" xfId="43300"/>
    <cellStyle name="Normal 8 3 3 2 2 3 2 2 2" xfId="43301"/>
    <cellStyle name="Normal 8 3 3 2 2 3 2 2 3" xfId="43302"/>
    <cellStyle name="Normal 8 3 3 2 2 3 2 3" xfId="43303"/>
    <cellStyle name="Normal 8 3 3 2 2 3 2 3 2" xfId="43304"/>
    <cellStyle name="Normal 8 3 3 2 2 3 2 3 3" xfId="43305"/>
    <cellStyle name="Normal 8 3 3 2 2 3 2 4" xfId="43306"/>
    <cellStyle name="Normal 8 3 3 2 2 3 2 5" xfId="43307"/>
    <cellStyle name="Normal 8 3 3 2 2 3 3" xfId="43308"/>
    <cellStyle name="Normal 8 3 3 2 2 3 3 2" xfId="43309"/>
    <cellStyle name="Normal 8 3 3 2 2 3 3 3" xfId="43310"/>
    <cellStyle name="Normal 8 3 3 2 2 3 4" xfId="43311"/>
    <cellStyle name="Normal 8 3 3 2 2 3 4 2" xfId="43312"/>
    <cellStyle name="Normal 8 3 3 2 2 3 4 3" xfId="43313"/>
    <cellStyle name="Normal 8 3 3 2 2 3 5" xfId="43314"/>
    <cellStyle name="Normal 8 3 3 2 2 3 6" xfId="43315"/>
    <cellStyle name="Normal 8 3 3 2 2 4" xfId="43316"/>
    <cellStyle name="Normal 8 3 3 2 2 4 2" xfId="43317"/>
    <cellStyle name="Normal 8 3 3 2 2 4 2 2" xfId="43318"/>
    <cellStyle name="Normal 8 3 3 2 2 4 2 3" xfId="43319"/>
    <cellStyle name="Normal 8 3 3 2 2 4 3" xfId="43320"/>
    <cellStyle name="Normal 8 3 3 2 2 4 3 2" xfId="43321"/>
    <cellStyle name="Normal 8 3 3 2 2 4 3 3" xfId="43322"/>
    <cellStyle name="Normal 8 3 3 2 2 4 4" xfId="43323"/>
    <cellStyle name="Normal 8 3 3 2 2 4 5" xfId="43324"/>
    <cellStyle name="Normal 8 3 3 2 2 5" xfId="43325"/>
    <cellStyle name="Normal 8 3 3 2 2 5 2" xfId="43326"/>
    <cellStyle name="Normal 8 3 3 2 2 5 3" xfId="43327"/>
    <cellStyle name="Normal 8 3 3 2 2 6" xfId="43328"/>
    <cellStyle name="Normal 8 3 3 2 2 6 2" xfId="43329"/>
    <cellStyle name="Normal 8 3 3 2 2 6 3" xfId="43330"/>
    <cellStyle name="Normal 8 3 3 2 2 7" xfId="43331"/>
    <cellStyle name="Normal 8 3 3 2 2 8" xfId="43332"/>
    <cellStyle name="Normal 8 3 3 2 3" xfId="43333"/>
    <cellStyle name="Normal 8 3 3 2 3 2" xfId="43334"/>
    <cellStyle name="Normal 8 3 3 2 3 2 2" xfId="43335"/>
    <cellStyle name="Normal 8 3 3 2 3 2 2 2" xfId="43336"/>
    <cellStyle name="Normal 8 3 3 2 3 2 2 3" xfId="43337"/>
    <cellStyle name="Normal 8 3 3 2 3 2 3" xfId="43338"/>
    <cellStyle name="Normal 8 3 3 2 3 2 3 2" xfId="43339"/>
    <cellStyle name="Normal 8 3 3 2 3 2 3 3" xfId="43340"/>
    <cellStyle name="Normal 8 3 3 2 3 2 4" xfId="43341"/>
    <cellStyle name="Normal 8 3 3 2 3 2 5" xfId="43342"/>
    <cellStyle name="Normal 8 3 3 2 3 3" xfId="43343"/>
    <cellStyle name="Normal 8 3 3 2 3 3 2" xfId="43344"/>
    <cellStyle name="Normal 8 3 3 2 3 3 3" xfId="43345"/>
    <cellStyle name="Normal 8 3 3 2 3 4" xfId="43346"/>
    <cellStyle name="Normal 8 3 3 2 3 4 2" xfId="43347"/>
    <cellStyle name="Normal 8 3 3 2 3 4 3" xfId="43348"/>
    <cellStyle name="Normal 8 3 3 2 3 5" xfId="43349"/>
    <cellStyle name="Normal 8 3 3 2 3 6" xfId="43350"/>
    <cellStyle name="Normal 8 3 3 2 4" xfId="43351"/>
    <cellStyle name="Normal 8 3 3 2 4 2" xfId="43352"/>
    <cellStyle name="Normal 8 3 3 2 4 2 2" xfId="43353"/>
    <cellStyle name="Normal 8 3 3 2 4 2 2 2" xfId="43354"/>
    <cellStyle name="Normal 8 3 3 2 4 2 2 3" xfId="43355"/>
    <cellStyle name="Normal 8 3 3 2 4 2 3" xfId="43356"/>
    <cellStyle name="Normal 8 3 3 2 4 2 3 2" xfId="43357"/>
    <cellStyle name="Normal 8 3 3 2 4 2 3 3" xfId="43358"/>
    <cellStyle name="Normal 8 3 3 2 4 2 4" xfId="43359"/>
    <cellStyle name="Normal 8 3 3 2 4 2 5" xfId="43360"/>
    <cellStyle name="Normal 8 3 3 2 4 3" xfId="43361"/>
    <cellStyle name="Normal 8 3 3 2 4 3 2" xfId="43362"/>
    <cellStyle name="Normal 8 3 3 2 4 3 3" xfId="43363"/>
    <cellStyle name="Normal 8 3 3 2 4 4" xfId="43364"/>
    <cellStyle name="Normal 8 3 3 2 4 4 2" xfId="43365"/>
    <cellStyle name="Normal 8 3 3 2 4 4 3" xfId="43366"/>
    <cellStyle name="Normal 8 3 3 2 4 5" xfId="43367"/>
    <cellStyle name="Normal 8 3 3 2 4 6" xfId="43368"/>
    <cellStyle name="Normal 8 3 3 2 5" xfId="43369"/>
    <cellStyle name="Normal 8 3 3 2 5 2" xfId="43370"/>
    <cellStyle name="Normal 8 3 3 2 5 2 2" xfId="43371"/>
    <cellStyle name="Normal 8 3 3 2 5 2 3" xfId="43372"/>
    <cellStyle name="Normal 8 3 3 2 5 3" xfId="43373"/>
    <cellStyle name="Normal 8 3 3 2 5 3 2" xfId="43374"/>
    <cellStyle name="Normal 8 3 3 2 5 3 3" xfId="43375"/>
    <cellStyle name="Normal 8 3 3 2 5 4" xfId="43376"/>
    <cellStyle name="Normal 8 3 3 2 5 5" xfId="43377"/>
    <cellStyle name="Normal 8 3 3 2 6" xfId="43378"/>
    <cellStyle name="Normal 8 3 3 2 6 2" xfId="43379"/>
    <cellStyle name="Normal 8 3 3 2 6 3" xfId="43380"/>
    <cellStyle name="Normal 8 3 3 2 7" xfId="43381"/>
    <cellStyle name="Normal 8 3 3 2 7 2" xfId="43382"/>
    <cellStyle name="Normal 8 3 3 2 7 3" xfId="43383"/>
    <cellStyle name="Normal 8 3 3 2 8" xfId="43384"/>
    <cellStyle name="Normal 8 3 3 2 9" xfId="43385"/>
    <cellStyle name="Normal 8 3 3 3" xfId="43386"/>
    <cellStyle name="Normal 8 3 3 3 2" xfId="43387"/>
    <cellStyle name="Normal 8 3 3 3 2 2" xfId="43388"/>
    <cellStyle name="Normal 8 3 3 3 2 2 2" xfId="43389"/>
    <cellStyle name="Normal 8 3 3 3 2 2 2 2" xfId="43390"/>
    <cellStyle name="Normal 8 3 3 3 2 2 2 3" xfId="43391"/>
    <cellStyle name="Normal 8 3 3 3 2 2 3" xfId="43392"/>
    <cellStyle name="Normal 8 3 3 3 2 2 3 2" xfId="43393"/>
    <cellStyle name="Normal 8 3 3 3 2 2 3 3" xfId="43394"/>
    <cellStyle name="Normal 8 3 3 3 2 2 4" xfId="43395"/>
    <cellStyle name="Normal 8 3 3 3 2 2 5" xfId="43396"/>
    <cellStyle name="Normal 8 3 3 3 2 3" xfId="43397"/>
    <cellStyle name="Normal 8 3 3 3 2 3 2" xfId="43398"/>
    <cellStyle name="Normal 8 3 3 3 2 3 3" xfId="43399"/>
    <cellStyle name="Normal 8 3 3 3 2 4" xfId="43400"/>
    <cellStyle name="Normal 8 3 3 3 2 4 2" xfId="43401"/>
    <cellStyle name="Normal 8 3 3 3 2 4 3" xfId="43402"/>
    <cellStyle name="Normal 8 3 3 3 2 5" xfId="43403"/>
    <cellStyle name="Normal 8 3 3 3 2 6" xfId="43404"/>
    <cellStyle name="Normal 8 3 3 3 3" xfId="43405"/>
    <cellStyle name="Normal 8 3 3 3 3 2" xfId="43406"/>
    <cellStyle name="Normal 8 3 3 3 3 2 2" xfId="43407"/>
    <cellStyle name="Normal 8 3 3 3 3 2 2 2" xfId="43408"/>
    <cellStyle name="Normal 8 3 3 3 3 2 2 3" xfId="43409"/>
    <cellStyle name="Normal 8 3 3 3 3 2 3" xfId="43410"/>
    <cellStyle name="Normal 8 3 3 3 3 2 3 2" xfId="43411"/>
    <cellStyle name="Normal 8 3 3 3 3 2 3 3" xfId="43412"/>
    <cellStyle name="Normal 8 3 3 3 3 2 4" xfId="43413"/>
    <cellStyle name="Normal 8 3 3 3 3 2 5" xfId="43414"/>
    <cellStyle name="Normal 8 3 3 3 3 3" xfId="43415"/>
    <cellStyle name="Normal 8 3 3 3 3 3 2" xfId="43416"/>
    <cellStyle name="Normal 8 3 3 3 3 3 3" xfId="43417"/>
    <cellStyle name="Normal 8 3 3 3 3 4" xfId="43418"/>
    <cellStyle name="Normal 8 3 3 3 3 4 2" xfId="43419"/>
    <cellStyle name="Normal 8 3 3 3 3 4 3" xfId="43420"/>
    <cellStyle name="Normal 8 3 3 3 3 5" xfId="43421"/>
    <cellStyle name="Normal 8 3 3 3 3 6" xfId="43422"/>
    <cellStyle name="Normal 8 3 3 3 4" xfId="43423"/>
    <cellStyle name="Normal 8 3 3 3 4 2" xfId="43424"/>
    <cellStyle name="Normal 8 3 3 3 4 2 2" xfId="43425"/>
    <cellStyle name="Normal 8 3 3 3 4 2 3" xfId="43426"/>
    <cellStyle name="Normal 8 3 3 3 4 3" xfId="43427"/>
    <cellStyle name="Normal 8 3 3 3 4 3 2" xfId="43428"/>
    <cellStyle name="Normal 8 3 3 3 4 3 3" xfId="43429"/>
    <cellStyle name="Normal 8 3 3 3 4 4" xfId="43430"/>
    <cellStyle name="Normal 8 3 3 3 4 5" xfId="43431"/>
    <cellStyle name="Normal 8 3 3 3 5" xfId="43432"/>
    <cellStyle name="Normal 8 3 3 3 5 2" xfId="43433"/>
    <cellStyle name="Normal 8 3 3 3 5 3" xfId="43434"/>
    <cellStyle name="Normal 8 3 3 3 6" xfId="43435"/>
    <cellStyle name="Normal 8 3 3 3 6 2" xfId="43436"/>
    <cellStyle name="Normal 8 3 3 3 6 3" xfId="43437"/>
    <cellStyle name="Normal 8 3 3 3 7" xfId="43438"/>
    <cellStyle name="Normal 8 3 3 3 8" xfId="43439"/>
    <cellStyle name="Normal 8 3 3 4" xfId="43440"/>
    <cellStyle name="Normal 8 3 3 4 2" xfId="43441"/>
    <cellStyle name="Normal 8 3 3 4 2 2" xfId="43442"/>
    <cellStyle name="Normal 8 3 3 4 2 2 2" xfId="43443"/>
    <cellStyle name="Normal 8 3 3 4 2 2 3" xfId="43444"/>
    <cellStyle name="Normal 8 3 3 4 2 3" xfId="43445"/>
    <cellStyle name="Normal 8 3 3 4 2 3 2" xfId="43446"/>
    <cellStyle name="Normal 8 3 3 4 2 3 3" xfId="43447"/>
    <cellStyle name="Normal 8 3 3 4 2 4" xfId="43448"/>
    <cellStyle name="Normal 8 3 3 4 2 5" xfId="43449"/>
    <cellStyle name="Normal 8 3 3 4 3" xfId="43450"/>
    <cellStyle name="Normal 8 3 3 4 3 2" xfId="43451"/>
    <cellStyle name="Normal 8 3 3 4 3 3" xfId="43452"/>
    <cellStyle name="Normal 8 3 3 4 4" xfId="43453"/>
    <cellStyle name="Normal 8 3 3 4 4 2" xfId="43454"/>
    <cellStyle name="Normal 8 3 3 4 4 3" xfId="43455"/>
    <cellStyle name="Normal 8 3 3 4 5" xfId="43456"/>
    <cellStyle name="Normal 8 3 3 4 6" xfId="43457"/>
    <cellStyle name="Normal 8 3 3 5" xfId="43458"/>
    <cellStyle name="Normal 8 3 3 5 2" xfId="43459"/>
    <cellStyle name="Normal 8 3 3 5 2 2" xfId="43460"/>
    <cellStyle name="Normal 8 3 3 5 2 2 2" xfId="43461"/>
    <cellStyle name="Normal 8 3 3 5 2 2 3" xfId="43462"/>
    <cellStyle name="Normal 8 3 3 5 2 3" xfId="43463"/>
    <cellStyle name="Normal 8 3 3 5 2 3 2" xfId="43464"/>
    <cellStyle name="Normal 8 3 3 5 2 3 3" xfId="43465"/>
    <cellStyle name="Normal 8 3 3 5 2 4" xfId="43466"/>
    <cellStyle name="Normal 8 3 3 5 2 5" xfId="43467"/>
    <cellStyle name="Normal 8 3 3 5 3" xfId="43468"/>
    <cellStyle name="Normal 8 3 3 5 3 2" xfId="43469"/>
    <cellStyle name="Normal 8 3 3 5 3 3" xfId="43470"/>
    <cellStyle name="Normal 8 3 3 5 4" xfId="43471"/>
    <cellStyle name="Normal 8 3 3 5 4 2" xfId="43472"/>
    <cellStyle name="Normal 8 3 3 5 4 3" xfId="43473"/>
    <cellStyle name="Normal 8 3 3 5 5" xfId="43474"/>
    <cellStyle name="Normal 8 3 3 5 6" xfId="43475"/>
    <cellStyle name="Normal 8 3 3 6" xfId="43476"/>
    <cellStyle name="Normal 8 3 3 6 2" xfId="43477"/>
    <cellStyle name="Normal 8 3 3 6 2 2" xfId="43478"/>
    <cellStyle name="Normal 8 3 3 6 2 3" xfId="43479"/>
    <cellStyle name="Normal 8 3 3 6 3" xfId="43480"/>
    <cellStyle name="Normal 8 3 3 6 3 2" xfId="43481"/>
    <cellStyle name="Normal 8 3 3 6 3 3" xfId="43482"/>
    <cellStyle name="Normal 8 3 3 6 4" xfId="43483"/>
    <cellStyle name="Normal 8 3 3 6 5" xfId="43484"/>
    <cellStyle name="Normal 8 3 3 7" xfId="43485"/>
    <cellStyle name="Normal 8 3 3 7 2" xfId="43486"/>
    <cellStyle name="Normal 8 3 3 7 3" xfId="43487"/>
    <cellStyle name="Normal 8 3 3 8" xfId="43488"/>
    <cellStyle name="Normal 8 3 3 8 2" xfId="43489"/>
    <cellStyle name="Normal 8 3 3 8 3" xfId="43490"/>
    <cellStyle name="Normal 8 3 3 9" xfId="43491"/>
    <cellStyle name="Normal 8 3 4" xfId="43492"/>
    <cellStyle name="Normal 8 3 4 10" xfId="43493"/>
    <cellStyle name="Normal 8 3 4 2" xfId="43494"/>
    <cellStyle name="Normal 8 3 4 2 2" xfId="43495"/>
    <cellStyle name="Normal 8 3 4 2 2 2" xfId="43496"/>
    <cellStyle name="Normal 8 3 4 2 2 2 2" xfId="43497"/>
    <cellStyle name="Normal 8 3 4 2 2 2 2 2" xfId="43498"/>
    <cellStyle name="Normal 8 3 4 2 2 2 2 2 2" xfId="43499"/>
    <cellStyle name="Normal 8 3 4 2 2 2 2 2 3" xfId="43500"/>
    <cellStyle name="Normal 8 3 4 2 2 2 2 3" xfId="43501"/>
    <cellStyle name="Normal 8 3 4 2 2 2 2 3 2" xfId="43502"/>
    <cellStyle name="Normal 8 3 4 2 2 2 2 3 3" xfId="43503"/>
    <cellStyle name="Normal 8 3 4 2 2 2 2 4" xfId="43504"/>
    <cellStyle name="Normal 8 3 4 2 2 2 2 5" xfId="43505"/>
    <cellStyle name="Normal 8 3 4 2 2 2 3" xfId="43506"/>
    <cellStyle name="Normal 8 3 4 2 2 2 3 2" xfId="43507"/>
    <cellStyle name="Normal 8 3 4 2 2 2 3 3" xfId="43508"/>
    <cellStyle name="Normal 8 3 4 2 2 2 4" xfId="43509"/>
    <cellStyle name="Normal 8 3 4 2 2 2 4 2" xfId="43510"/>
    <cellStyle name="Normal 8 3 4 2 2 2 4 3" xfId="43511"/>
    <cellStyle name="Normal 8 3 4 2 2 2 5" xfId="43512"/>
    <cellStyle name="Normal 8 3 4 2 2 2 6" xfId="43513"/>
    <cellStyle name="Normal 8 3 4 2 2 3" xfId="43514"/>
    <cellStyle name="Normal 8 3 4 2 2 3 2" xfId="43515"/>
    <cellStyle name="Normal 8 3 4 2 2 3 2 2" xfId="43516"/>
    <cellStyle name="Normal 8 3 4 2 2 3 2 2 2" xfId="43517"/>
    <cellStyle name="Normal 8 3 4 2 2 3 2 2 3" xfId="43518"/>
    <cellStyle name="Normal 8 3 4 2 2 3 2 3" xfId="43519"/>
    <cellStyle name="Normal 8 3 4 2 2 3 2 3 2" xfId="43520"/>
    <cellStyle name="Normal 8 3 4 2 2 3 2 3 3" xfId="43521"/>
    <cellStyle name="Normal 8 3 4 2 2 3 2 4" xfId="43522"/>
    <cellStyle name="Normal 8 3 4 2 2 3 2 5" xfId="43523"/>
    <cellStyle name="Normal 8 3 4 2 2 3 3" xfId="43524"/>
    <cellStyle name="Normal 8 3 4 2 2 3 3 2" xfId="43525"/>
    <cellStyle name="Normal 8 3 4 2 2 3 3 3" xfId="43526"/>
    <cellStyle name="Normal 8 3 4 2 2 3 4" xfId="43527"/>
    <cellStyle name="Normal 8 3 4 2 2 3 4 2" xfId="43528"/>
    <cellStyle name="Normal 8 3 4 2 2 3 4 3" xfId="43529"/>
    <cellStyle name="Normal 8 3 4 2 2 3 5" xfId="43530"/>
    <cellStyle name="Normal 8 3 4 2 2 3 6" xfId="43531"/>
    <cellStyle name="Normal 8 3 4 2 2 4" xfId="43532"/>
    <cellStyle name="Normal 8 3 4 2 2 4 2" xfId="43533"/>
    <cellStyle name="Normal 8 3 4 2 2 4 2 2" xfId="43534"/>
    <cellStyle name="Normal 8 3 4 2 2 4 2 3" xfId="43535"/>
    <cellStyle name="Normal 8 3 4 2 2 4 3" xfId="43536"/>
    <cellStyle name="Normal 8 3 4 2 2 4 3 2" xfId="43537"/>
    <cellStyle name="Normal 8 3 4 2 2 4 3 3" xfId="43538"/>
    <cellStyle name="Normal 8 3 4 2 2 4 4" xfId="43539"/>
    <cellStyle name="Normal 8 3 4 2 2 4 5" xfId="43540"/>
    <cellStyle name="Normal 8 3 4 2 2 5" xfId="43541"/>
    <cellStyle name="Normal 8 3 4 2 2 5 2" xfId="43542"/>
    <cellStyle name="Normal 8 3 4 2 2 5 3" xfId="43543"/>
    <cellStyle name="Normal 8 3 4 2 2 6" xfId="43544"/>
    <cellStyle name="Normal 8 3 4 2 2 6 2" xfId="43545"/>
    <cellStyle name="Normal 8 3 4 2 2 6 3" xfId="43546"/>
    <cellStyle name="Normal 8 3 4 2 2 7" xfId="43547"/>
    <cellStyle name="Normal 8 3 4 2 2 8" xfId="43548"/>
    <cellStyle name="Normal 8 3 4 2 3" xfId="43549"/>
    <cellStyle name="Normal 8 3 4 2 3 2" xfId="43550"/>
    <cellStyle name="Normal 8 3 4 2 3 2 2" xfId="43551"/>
    <cellStyle name="Normal 8 3 4 2 3 2 2 2" xfId="43552"/>
    <cellStyle name="Normal 8 3 4 2 3 2 2 3" xfId="43553"/>
    <cellStyle name="Normal 8 3 4 2 3 2 3" xfId="43554"/>
    <cellStyle name="Normal 8 3 4 2 3 2 3 2" xfId="43555"/>
    <cellStyle name="Normal 8 3 4 2 3 2 3 3" xfId="43556"/>
    <cellStyle name="Normal 8 3 4 2 3 2 4" xfId="43557"/>
    <cellStyle name="Normal 8 3 4 2 3 2 5" xfId="43558"/>
    <cellStyle name="Normal 8 3 4 2 3 3" xfId="43559"/>
    <cellStyle name="Normal 8 3 4 2 3 3 2" xfId="43560"/>
    <cellStyle name="Normal 8 3 4 2 3 3 3" xfId="43561"/>
    <cellStyle name="Normal 8 3 4 2 3 4" xfId="43562"/>
    <cellStyle name="Normal 8 3 4 2 3 4 2" xfId="43563"/>
    <cellStyle name="Normal 8 3 4 2 3 4 3" xfId="43564"/>
    <cellStyle name="Normal 8 3 4 2 3 5" xfId="43565"/>
    <cellStyle name="Normal 8 3 4 2 3 6" xfId="43566"/>
    <cellStyle name="Normal 8 3 4 2 4" xfId="43567"/>
    <cellStyle name="Normal 8 3 4 2 4 2" xfId="43568"/>
    <cellStyle name="Normal 8 3 4 2 4 2 2" xfId="43569"/>
    <cellStyle name="Normal 8 3 4 2 4 2 2 2" xfId="43570"/>
    <cellStyle name="Normal 8 3 4 2 4 2 2 3" xfId="43571"/>
    <cellStyle name="Normal 8 3 4 2 4 2 3" xfId="43572"/>
    <cellStyle name="Normal 8 3 4 2 4 2 3 2" xfId="43573"/>
    <cellStyle name="Normal 8 3 4 2 4 2 3 3" xfId="43574"/>
    <cellStyle name="Normal 8 3 4 2 4 2 4" xfId="43575"/>
    <cellStyle name="Normal 8 3 4 2 4 2 5" xfId="43576"/>
    <cellStyle name="Normal 8 3 4 2 4 3" xfId="43577"/>
    <cellStyle name="Normal 8 3 4 2 4 3 2" xfId="43578"/>
    <cellStyle name="Normal 8 3 4 2 4 3 3" xfId="43579"/>
    <cellStyle name="Normal 8 3 4 2 4 4" xfId="43580"/>
    <cellStyle name="Normal 8 3 4 2 4 4 2" xfId="43581"/>
    <cellStyle name="Normal 8 3 4 2 4 4 3" xfId="43582"/>
    <cellStyle name="Normal 8 3 4 2 4 5" xfId="43583"/>
    <cellStyle name="Normal 8 3 4 2 4 6" xfId="43584"/>
    <cellStyle name="Normal 8 3 4 2 5" xfId="43585"/>
    <cellStyle name="Normal 8 3 4 2 5 2" xfId="43586"/>
    <cellStyle name="Normal 8 3 4 2 5 2 2" xfId="43587"/>
    <cellStyle name="Normal 8 3 4 2 5 2 3" xfId="43588"/>
    <cellStyle name="Normal 8 3 4 2 5 3" xfId="43589"/>
    <cellStyle name="Normal 8 3 4 2 5 3 2" xfId="43590"/>
    <cellStyle name="Normal 8 3 4 2 5 3 3" xfId="43591"/>
    <cellStyle name="Normal 8 3 4 2 5 4" xfId="43592"/>
    <cellStyle name="Normal 8 3 4 2 5 5" xfId="43593"/>
    <cellStyle name="Normal 8 3 4 2 6" xfId="43594"/>
    <cellStyle name="Normal 8 3 4 2 6 2" xfId="43595"/>
    <cellStyle name="Normal 8 3 4 2 6 3" xfId="43596"/>
    <cellStyle name="Normal 8 3 4 2 7" xfId="43597"/>
    <cellStyle name="Normal 8 3 4 2 7 2" xfId="43598"/>
    <cellStyle name="Normal 8 3 4 2 7 3" xfId="43599"/>
    <cellStyle name="Normal 8 3 4 2 8" xfId="43600"/>
    <cellStyle name="Normal 8 3 4 2 9" xfId="43601"/>
    <cellStyle name="Normal 8 3 4 3" xfId="43602"/>
    <cellStyle name="Normal 8 3 4 3 2" xfId="43603"/>
    <cellStyle name="Normal 8 3 4 3 2 2" xfId="43604"/>
    <cellStyle name="Normal 8 3 4 3 2 2 2" xfId="43605"/>
    <cellStyle name="Normal 8 3 4 3 2 2 2 2" xfId="43606"/>
    <cellStyle name="Normal 8 3 4 3 2 2 2 3" xfId="43607"/>
    <cellStyle name="Normal 8 3 4 3 2 2 3" xfId="43608"/>
    <cellStyle name="Normal 8 3 4 3 2 2 3 2" xfId="43609"/>
    <cellStyle name="Normal 8 3 4 3 2 2 3 3" xfId="43610"/>
    <cellStyle name="Normal 8 3 4 3 2 2 4" xfId="43611"/>
    <cellStyle name="Normal 8 3 4 3 2 2 5" xfId="43612"/>
    <cellStyle name="Normal 8 3 4 3 2 3" xfId="43613"/>
    <cellStyle name="Normal 8 3 4 3 2 3 2" xfId="43614"/>
    <cellStyle name="Normal 8 3 4 3 2 3 3" xfId="43615"/>
    <cellStyle name="Normal 8 3 4 3 2 4" xfId="43616"/>
    <cellStyle name="Normal 8 3 4 3 2 4 2" xfId="43617"/>
    <cellStyle name="Normal 8 3 4 3 2 4 3" xfId="43618"/>
    <cellStyle name="Normal 8 3 4 3 2 5" xfId="43619"/>
    <cellStyle name="Normal 8 3 4 3 2 6" xfId="43620"/>
    <cellStyle name="Normal 8 3 4 3 3" xfId="43621"/>
    <cellStyle name="Normal 8 3 4 3 3 2" xfId="43622"/>
    <cellStyle name="Normal 8 3 4 3 3 2 2" xfId="43623"/>
    <cellStyle name="Normal 8 3 4 3 3 2 2 2" xfId="43624"/>
    <cellStyle name="Normal 8 3 4 3 3 2 2 3" xfId="43625"/>
    <cellStyle name="Normal 8 3 4 3 3 2 3" xfId="43626"/>
    <cellStyle name="Normal 8 3 4 3 3 2 3 2" xfId="43627"/>
    <cellStyle name="Normal 8 3 4 3 3 2 3 3" xfId="43628"/>
    <cellStyle name="Normal 8 3 4 3 3 2 4" xfId="43629"/>
    <cellStyle name="Normal 8 3 4 3 3 2 5" xfId="43630"/>
    <cellStyle name="Normal 8 3 4 3 3 3" xfId="43631"/>
    <cellStyle name="Normal 8 3 4 3 3 3 2" xfId="43632"/>
    <cellStyle name="Normal 8 3 4 3 3 3 3" xfId="43633"/>
    <cellStyle name="Normal 8 3 4 3 3 4" xfId="43634"/>
    <cellStyle name="Normal 8 3 4 3 3 4 2" xfId="43635"/>
    <cellStyle name="Normal 8 3 4 3 3 4 3" xfId="43636"/>
    <cellStyle name="Normal 8 3 4 3 3 5" xfId="43637"/>
    <cellStyle name="Normal 8 3 4 3 3 6" xfId="43638"/>
    <cellStyle name="Normal 8 3 4 3 4" xfId="43639"/>
    <cellStyle name="Normal 8 3 4 3 4 2" xfId="43640"/>
    <cellStyle name="Normal 8 3 4 3 4 2 2" xfId="43641"/>
    <cellStyle name="Normal 8 3 4 3 4 2 3" xfId="43642"/>
    <cellStyle name="Normal 8 3 4 3 4 3" xfId="43643"/>
    <cellStyle name="Normal 8 3 4 3 4 3 2" xfId="43644"/>
    <cellStyle name="Normal 8 3 4 3 4 3 3" xfId="43645"/>
    <cellStyle name="Normal 8 3 4 3 4 4" xfId="43646"/>
    <cellStyle name="Normal 8 3 4 3 4 5" xfId="43647"/>
    <cellStyle name="Normal 8 3 4 3 5" xfId="43648"/>
    <cellStyle name="Normal 8 3 4 3 5 2" xfId="43649"/>
    <cellStyle name="Normal 8 3 4 3 5 3" xfId="43650"/>
    <cellStyle name="Normal 8 3 4 3 6" xfId="43651"/>
    <cellStyle name="Normal 8 3 4 3 6 2" xfId="43652"/>
    <cellStyle name="Normal 8 3 4 3 6 3" xfId="43653"/>
    <cellStyle name="Normal 8 3 4 3 7" xfId="43654"/>
    <cellStyle name="Normal 8 3 4 3 8" xfId="43655"/>
    <cellStyle name="Normal 8 3 4 4" xfId="43656"/>
    <cellStyle name="Normal 8 3 4 4 2" xfId="43657"/>
    <cellStyle name="Normal 8 3 4 4 2 2" xfId="43658"/>
    <cellStyle name="Normal 8 3 4 4 2 2 2" xfId="43659"/>
    <cellStyle name="Normal 8 3 4 4 2 2 3" xfId="43660"/>
    <cellStyle name="Normal 8 3 4 4 2 3" xfId="43661"/>
    <cellStyle name="Normal 8 3 4 4 2 3 2" xfId="43662"/>
    <cellStyle name="Normal 8 3 4 4 2 3 3" xfId="43663"/>
    <cellStyle name="Normal 8 3 4 4 2 4" xfId="43664"/>
    <cellStyle name="Normal 8 3 4 4 2 5" xfId="43665"/>
    <cellStyle name="Normal 8 3 4 4 3" xfId="43666"/>
    <cellStyle name="Normal 8 3 4 4 3 2" xfId="43667"/>
    <cellStyle name="Normal 8 3 4 4 3 3" xfId="43668"/>
    <cellStyle name="Normal 8 3 4 4 4" xfId="43669"/>
    <cellStyle name="Normal 8 3 4 4 4 2" xfId="43670"/>
    <cellStyle name="Normal 8 3 4 4 4 3" xfId="43671"/>
    <cellStyle name="Normal 8 3 4 4 5" xfId="43672"/>
    <cellStyle name="Normal 8 3 4 4 6" xfId="43673"/>
    <cellStyle name="Normal 8 3 4 5" xfId="43674"/>
    <cellStyle name="Normal 8 3 4 5 2" xfId="43675"/>
    <cellStyle name="Normal 8 3 4 5 2 2" xfId="43676"/>
    <cellStyle name="Normal 8 3 4 5 2 2 2" xfId="43677"/>
    <cellStyle name="Normal 8 3 4 5 2 2 3" xfId="43678"/>
    <cellStyle name="Normal 8 3 4 5 2 3" xfId="43679"/>
    <cellStyle name="Normal 8 3 4 5 2 3 2" xfId="43680"/>
    <cellStyle name="Normal 8 3 4 5 2 3 3" xfId="43681"/>
    <cellStyle name="Normal 8 3 4 5 2 4" xfId="43682"/>
    <cellStyle name="Normal 8 3 4 5 2 5" xfId="43683"/>
    <cellStyle name="Normal 8 3 4 5 3" xfId="43684"/>
    <cellStyle name="Normal 8 3 4 5 3 2" xfId="43685"/>
    <cellStyle name="Normal 8 3 4 5 3 3" xfId="43686"/>
    <cellStyle name="Normal 8 3 4 5 4" xfId="43687"/>
    <cellStyle name="Normal 8 3 4 5 4 2" xfId="43688"/>
    <cellStyle name="Normal 8 3 4 5 4 3" xfId="43689"/>
    <cellStyle name="Normal 8 3 4 5 5" xfId="43690"/>
    <cellStyle name="Normal 8 3 4 5 6" xfId="43691"/>
    <cellStyle name="Normal 8 3 4 6" xfId="43692"/>
    <cellStyle name="Normal 8 3 4 6 2" xfId="43693"/>
    <cellStyle name="Normal 8 3 4 6 2 2" xfId="43694"/>
    <cellStyle name="Normal 8 3 4 6 2 3" xfId="43695"/>
    <cellStyle name="Normal 8 3 4 6 3" xfId="43696"/>
    <cellStyle name="Normal 8 3 4 6 3 2" xfId="43697"/>
    <cellStyle name="Normal 8 3 4 6 3 3" xfId="43698"/>
    <cellStyle name="Normal 8 3 4 6 4" xfId="43699"/>
    <cellStyle name="Normal 8 3 4 6 5" xfId="43700"/>
    <cellStyle name="Normal 8 3 4 7" xfId="43701"/>
    <cellStyle name="Normal 8 3 4 7 2" xfId="43702"/>
    <cellStyle name="Normal 8 3 4 7 3" xfId="43703"/>
    <cellStyle name="Normal 8 3 4 8" xfId="43704"/>
    <cellStyle name="Normal 8 3 4 8 2" xfId="43705"/>
    <cellStyle name="Normal 8 3 4 8 3" xfId="43706"/>
    <cellStyle name="Normal 8 3 4 9" xfId="43707"/>
    <cellStyle name="Normal 8 3 5" xfId="43708"/>
    <cellStyle name="Normal 8 3 5 2" xfId="43709"/>
    <cellStyle name="Normal 8 3 5 2 2" xfId="43710"/>
    <cellStyle name="Normal 8 3 5 2 2 2" xfId="43711"/>
    <cellStyle name="Normal 8 3 5 2 2 2 2" xfId="43712"/>
    <cellStyle name="Normal 8 3 5 2 2 2 2 2" xfId="43713"/>
    <cellStyle name="Normal 8 3 5 2 2 2 2 3" xfId="43714"/>
    <cellStyle name="Normal 8 3 5 2 2 2 3" xfId="43715"/>
    <cellStyle name="Normal 8 3 5 2 2 2 3 2" xfId="43716"/>
    <cellStyle name="Normal 8 3 5 2 2 2 3 3" xfId="43717"/>
    <cellStyle name="Normal 8 3 5 2 2 2 4" xfId="43718"/>
    <cellStyle name="Normal 8 3 5 2 2 2 5" xfId="43719"/>
    <cellStyle name="Normal 8 3 5 2 2 3" xfId="43720"/>
    <cellStyle name="Normal 8 3 5 2 2 3 2" xfId="43721"/>
    <cellStyle name="Normal 8 3 5 2 2 3 3" xfId="43722"/>
    <cellStyle name="Normal 8 3 5 2 2 4" xfId="43723"/>
    <cellStyle name="Normal 8 3 5 2 2 4 2" xfId="43724"/>
    <cellStyle name="Normal 8 3 5 2 2 4 3" xfId="43725"/>
    <cellStyle name="Normal 8 3 5 2 2 5" xfId="43726"/>
    <cellStyle name="Normal 8 3 5 2 2 6" xfId="43727"/>
    <cellStyle name="Normal 8 3 5 2 3" xfId="43728"/>
    <cellStyle name="Normal 8 3 5 2 3 2" xfId="43729"/>
    <cellStyle name="Normal 8 3 5 2 3 2 2" xfId="43730"/>
    <cellStyle name="Normal 8 3 5 2 3 2 2 2" xfId="43731"/>
    <cellStyle name="Normal 8 3 5 2 3 2 2 3" xfId="43732"/>
    <cellStyle name="Normal 8 3 5 2 3 2 3" xfId="43733"/>
    <cellStyle name="Normal 8 3 5 2 3 2 3 2" xfId="43734"/>
    <cellStyle name="Normal 8 3 5 2 3 2 3 3" xfId="43735"/>
    <cellStyle name="Normal 8 3 5 2 3 2 4" xfId="43736"/>
    <cellStyle name="Normal 8 3 5 2 3 2 5" xfId="43737"/>
    <cellStyle name="Normal 8 3 5 2 3 3" xfId="43738"/>
    <cellStyle name="Normal 8 3 5 2 3 3 2" xfId="43739"/>
    <cellStyle name="Normal 8 3 5 2 3 3 3" xfId="43740"/>
    <cellStyle name="Normal 8 3 5 2 3 4" xfId="43741"/>
    <cellStyle name="Normal 8 3 5 2 3 4 2" xfId="43742"/>
    <cellStyle name="Normal 8 3 5 2 3 4 3" xfId="43743"/>
    <cellStyle name="Normal 8 3 5 2 3 5" xfId="43744"/>
    <cellStyle name="Normal 8 3 5 2 3 6" xfId="43745"/>
    <cellStyle name="Normal 8 3 5 2 4" xfId="43746"/>
    <cellStyle name="Normal 8 3 5 2 4 2" xfId="43747"/>
    <cellStyle name="Normal 8 3 5 2 4 2 2" xfId="43748"/>
    <cellStyle name="Normal 8 3 5 2 4 2 3" xfId="43749"/>
    <cellStyle name="Normal 8 3 5 2 4 3" xfId="43750"/>
    <cellStyle name="Normal 8 3 5 2 4 3 2" xfId="43751"/>
    <cellStyle name="Normal 8 3 5 2 4 3 3" xfId="43752"/>
    <cellStyle name="Normal 8 3 5 2 4 4" xfId="43753"/>
    <cellStyle name="Normal 8 3 5 2 4 5" xfId="43754"/>
    <cellStyle name="Normal 8 3 5 2 5" xfId="43755"/>
    <cellStyle name="Normal 8 3 5 2 5 2" xfId="43756"/>
    <cellStyle name="Normal 8 3 5 2 5 3" xfId="43757"/>
    <cellStyle name="Normal 8 3 5 2 6" xfId="43758"/>
    <cellStyle name="Normal 8 3 5 2 6 2" xfId="43759"/>
    <cellStyle name="Normal 8 3 5 2 6 3" xfId="43760"/>
    <cellStyle name="Normal 8 3 5 2 7" xfId="43761"/>
    <cellStyle name="Normal 8 3 5 2 8" xfId="43762"/>
    <cellStyle name="Normal 8 3 5 3" xfId="43763"/>
    <cellStyle name="Normal 8 3 5 3 2" xfId="43764"/>
    <cellStyle name="Normal 8 3 5 3 2 2" xfId="43765"/>
    <cellStyle name="Normal 8 3 5 3 2 2 2" xfId="43766"/>
    <cellStyle name="Normal 8 3 5 3 2 2 3" xfId="43767"/>
    <cellStyle name="Normal 8 3 5 3 2 3" xfId="43768"/>
    <cellStyle name="Normal 8 3 5 3 2 3 2" xfId="43769"/>
    <cellStyle name="Normal 8 3 5 3 2 3 3" xfId="43770"/>
    <cellStyle name="Normal 8 3 5 3 2 4" xfId="43771"/>
    <cellStyle name="Normal 8 3 5 3 2 5" xfId="43772"/>
    <cellStyle name="Normal 8 3 5 3 3" xfId="43773"/>
    <cellStyle name="Normal 8 3 5 3 3 2" xfId="43774"/>
    <cellStyle name="Normal 8 3 5 3 3 3" xfId="43775"/>
    <cellStyle name="Normal 8 3 5 3 4" xfId="43776"/>
    <cellStyle name="Normal 8 3 5 3 4 2" xfId="43777"/>
    <cellStyle name="Normal 8 3 5 3 4 3" xfId="43778"/>
    <cellStyle name="Normal 8 3 5 3 5" xfId="43779"/>
    <cellStyle name="Normal 8 3 5 3 6" xfId="43780"/>
    <cellStyle name="Normal 8 3 5 4" xfId="43781"/>
    <cellStyle name="Normal 8 3 5 4 2" xfId="43782"/>
    <cellStyle name="Normal 8 3 5 4 2 2" xfId="43783"/>
    <cellStyle name="Normal 8 3 5 4 2 2 2" xfId="43784"/>
    <cellStyle name="Normal 8 3 5 4 2 2 3" xfId="43785"/>
    <cellStyle name="Normal 8 3 5 4 2 3" xfId="43786"/>
    <cellStyle name="Normal 8 3 5 4 2 3 2" xfId="43787"/>
    <cellStyle name="Normal 8 3 5 4 2 3 3" xfId="43788"/>
    <cellStyle name="Normal 8 3 5 4 2 4" xfId="43789"/>
    <cellStyle name="Normal 8 3 5 4 2 5" xfId="43790"/>
    <cellStyle name="Normal 8 3 5 4 3" xfId="43791"/>
    <cellStyle name="Normal 8 3 5 4 3 2" xfId="43792"/>
    <cellStyle name="Normal 8 3 5 4 3 3" xfId="43793"/>
    <cellStyle name="Normal 8 3 5 4 4" xfId="43794"/>
    <cellStyle name="Normal 8 3 5 4 4 2" xfId="43795"/>
    <cellStyle name="Normal 8 3 5 4 4 3" xfId="43796"/>
    <cellStyle name="Normal 8 3 5 4 5" xfId="43797"/>
    <cellStyle name="Normal 8 3 5 4 6" xfId="43798"/>
    <cellStyle name="Normal 8 3 5 5" xfId="43799"/>
    <cellStyle name="Normal 8 3 5 5 2" xfId="43800"/>
    <cellStyle name="Normal 8 3 5 5 2 2" xfId="43801"/>
    <cellStyle name="Normal 8 3 5 5 2 3" xfId="43802"/>
    <cellStyle name="Normal 8 3 5 5 3" xfId="43803"/>
    <cellStyle name="Normal 8 3 5 5 3 2" xfId="43804"/>
    <cellStyle name="Normal 8 3 5 5 3 3" xfId="43805"/>
    <cellStyle name="Normal 8 3 5 5 4" xfId="43806"/>
    <cellStyle name="Normal 8 3 5 5 5" xfId="43807"/>
    <cellStyle name="Normal 8 3 5 6" xfId="43808"/>
    <cellStyle name="Normal 8 3 5 6 2" xfId="43809"/>
    <cellStyle name="Normal 8 3 5 6 3" xfId="43810"/>
    <cellStyle name="Normal 8 3 5 7" xfId="43811"/>
    <cellStyle name="Normal 8 3 5 7 2" xfId="43812"/>
    <cellStyle name="Normal 8 3 5 7 3" xfId="43813"/>
    <cellStyle name="Normal 8 3 5 8" xfId="43814"/>
    <cellStyle name="Normal 8 3 5 9" xfId="43815"/>
    <cellStyle name="Normal 8 3 6" xfId="43816"/>
    <cellStyle name="Normal 8 3 6 2" xfId="43817"/>
    <cellStyle name="Normal 8 3 6 2 2" xfId="43818"/>
    <cellStyle name="Normal 8 3 6 2 2 2" xfId="43819"/>
    <cellStyle name="Normal 8 3 6 2 2 2 2" xfId="43820"/>
    <cellStyle name="Normal 8 3 6 2 2 2 3" xfId="43821"/>
    <cellStyle name="Normal 8 3 6 2 2 3" xfId="43822"/>
    <cellStyle name="Normal 8 3 6 2 2 3 2" xfId="43823"/>
    <cellStyle name="Normal 8 3 6 2 2 3 3" xfId="43824"/>
    <cellStyle name="Normal 8 3 6 2 2 4" xfId="43825"/>
    <cellStyle name="Normal 8 3 6 2 2 5" xfId="43826"/>
    <cellStyle name="Normal 8 3 6 2 3" xfId="43827"/>
    <cellStyle name="Normal 8 3 6 2 3 2" xfId="43828"/>
    <cellStyle name="Normal 8 3 6 2 3 3" xfId="43829"/>
    <cellStyle name="Normal 8 3 6 2 4" xfId="43830"/>
    <cellStyle name="Normal 8 3 6 2 4 2" xfId="43831"/>
    <cellStyle name="Normal 8 3 6 2 4 3" xfId="43832"/>
    <cellStyle name="Normal 8 3 6 2 5" xfId="43833"/>
    <cellStyle name="Normal 8 3 6 2 6" xfId="43834"/>
    <cellStyle name="Normal 8 3 6 3" xfId="43835"/>
    <cellStyle name="Normal 8 3 6 3 2" xfId="43836"/>
    <cellStyle name="Normal 8 3 6 3 2 2" xfId="43837"/>
    <cellStyle name="Normal 8 3 6 3 2 2 2" xfId="43838"/>
    <cellStyle name="Normal 8 3 6 3 2 2 3" xfId="43839"/>
    <cellStyle name="Normal 8 3 6 3 2 3" xfId="43840"/>
    <cellStyle name="Normal 8 3 6 3 2 3 2" xfId="43841"/>
    <cellStyle name="Normal 8 3 6 3 2 3 3" xfId="43842"/>
    <cellStyle name="Normal 8 3 6 3 2 4" xfId="43843"/>
    <cellStyle name="Normal 8 3 6 3 2 5" xfId="43844"/>
    <cellStyle name="Normal 8 3 6 3 3" xfId="43845"/>
    <cellStyle name="Normal 8 3 6 3 3 2" xfId="43846"/>
    <cellStyle name="Normal 8 3 6 3 3 3" xfId="43847"/>
    <cellStyle name="Normal 8 3 6 3 4" xfId="43848"/>
    <cellStyle name="Normal 8 3 6 3 4 2" xfId="43849"/>
    <cellStyle name="Normal 8 3 6 3 4 3" xfId="43850"/>
    <cellStyle name="Normal 8 3 6 3 5" xfId="43851"/>
    <cellStyle name="Normal 8 3 6 3 6" xfId="43852"/>
    <cellStyle name="Normal 8 3 6 4" xfId="43853"/>
    <cellStyle name="Normal 8 3 6 4 2" xfId="43854"/>
    <cellStyle name="Normal 8 3 6 4 2 2" xfId="43855"/>
    <cellStyle name="Normal 8 3 6 4 2 3" xfId="43856"/>
    <cellStyle name="Normal 8 3 6 4 3" xfId="43857"/>
    <cellStyle name="Normal 8 3 6 4 3 2" xfId="43858"/>
    <cellStyle name="Normal 8 3 6 4 3 3" xfId="43859"/>
    <cellStyle name="Normal 8 3 6 4 4" xfId="43860"/>
    <cellStyle name="Normal 8 3 6 4 5" xfId="43861"/>
    <cellStyle name="Normal 8 3 6 5" xfId="43862"/>
    <cellStyle name="Normal 8 3 6 5 2" xfId="43863"/>
    <cellStyle name="Normal 8 3 6 5 3" xfId="43864"/>
    <cellStyle name="Normal 8 3 6 6" xfId="43865"/>
    <cellStyle name="Normal 8 3 6 6 2" xfId="43866"/>
    <cellStyle name="Normal 8 3 6 6 3" xfId="43867"/>
    <cellStyle name="Normal 8 3 6 7" xfId="43868"/>
    <cellStyle name="Normal 8 3 6 8" xfId="43869"/>
    <cellStyle name="Normal 8 3 7" xfId="43870"/>
    <cellStyle name="Normal 8 3 7 2" xfId="43871"/>
    <cellStyle name="Normal 8 3 7 2 2" xfId="43872"/>
    <cellStyle name="Normal 8 3 7 2 2 2" xfId="43873"/>
    <cellStyle name="Normal 8 3 7 2 2 3" xfId="43874"/>
    <cellStyle name="Normal 8 3 7 2 3" xfId="43875"/>
    <cellStyle name="Normal 8 3 7 2 3 2" xfId="43876"/>
    <cellStyle name="Normal 8 3 7 2 3 3" xfId="43877"/>
    <cellStyle name="Normal 8 3 7 2 4" xfId="43878"/>
    <cellStyle name="Normal 8 3 7 2 5" xfId="43879"/>
    <cellStyle name="Normal 8 3 7 3" xfId="43880"/>
    <cellStyle name="Normal 8 3 7 3 2" xfId="43881"/>
    <cellStyle name="Normal 8 3 7 3 3" xfId="43882"/>
    <cellStyle name="Normal 8 3 7 4" xfId="43883"/>
    <cellStyle name="Normal 8 3 7 4 2" xfId="43884"/>
    <cellStyle name="Normal 8 3 7 4 3" xfId="43885"/>
    <cellStyle name="Normal 8 3 7 5" xfId="43886"/>
    <cellStyle name="Normal 8 3 7 6" xfId="43887"/>
    <cellStyle name="Normal 8 3 8" xfId="43888"/>
    <cellStyle name="Normal 8 3 8 2" xfId="43889"/>
    <cellStyle name="Normal 8 3 8 2 2" xfId="43890"/>
    <cellStyle name="Normal 8 3 8 2 2 2" xfId="43891"/>
    <cellStyle name="Normal 8 3 8 2 2 3" xfId="43892"/>
    <cellStyle name="Normal 8 3 8 2 3" xfId="43893"/>
    <cellStyle name="Normal 8 3 8 2 3 2" xfId="43894"/>
    <cellStyle name="Normal 8 3 8 2 3 3" xfId="43895"/>
    <cellStyle name="Normal 8 3 8 2 4" xfId="43896"/>
    <cellStyle name="Normal 8 3 8 2 5" xfId="43897"/>
    <cellStyle name="Normal 8 3 8 3" xfId="43898"/>
    <cellStyle name="Normal 8 3 8 3 2" xfId="43899"/>
    <cellStyle name="Normal 8 3 8 3 3" xfId="43900"/>
    <cellStyle name="Normal 8 3 8 4" xfId="43901"/>
    <cellStyle name="Normal 8 3 8 4 2" xfId="43902"/>
    <cellStyle name="Normal 8 3 8 4 3" xfId="43903"/>
    <cellStyle name="Normal 8 3 8 5" xfId="43904"/>
    <cellStyle name="Normal 8 3 8 6" xfId="43905"/>
    <cellStyle name="Normal 8 3 9" xfId="43906"/>
    <cellStyle name="Normal 8 3 9 2" xfId="43907"/>
    <cellStyle name="Normal 8 3 9 2 2" xfId="43908"/>
    <cellStyle name="Normal 8 3 9 2 3" xfId="43909"/>
    <cellStyle name="Normal 8 3 9 3" xfId="43910"/>
    <cellStyle name="Normal 8 3 9 3 2" xfId="43911"/>
    <cellStyle name="Normal 8 3 9 3 3" xfId="43912"/>
    <cellStyle name="Normal 8 3 9 4" xfId="43913"/>
    <cellStyle name="Normal 8 3 9 5" xfId="43914"/>
    <cellStyle name="Normal 8 4" xfId="43915"/>
    <cellStyle name="Normal 8 4 10" xfId="43916"/>
    <cellStyle name="Normal 8 4 10 2" xfId="43917"/>
    <cellStyle name="Normal 8 4 10 3" xfId="43918"/>
    <cellStyle name="Normal 8 4 11" xfId="43919"/>
    <cellStyle name="Normal 8 4 12" xfId="43920"/>
    <cellStyle name="Normal 8 4 2" xfId="43921"/>
    <cellStyle name="Normal 8 4 2 10" xfId="43922"/>
    <cellStyle name="Normal 8 4 2 2" xfId="43923"/>
    <cellStyle name="Normal 8 4 2 2 2" xfId="43924"/>
    <cellStyle name="Normal 8 4 2 2 2 2" xfId="43925"/>
    <cellStyle name="Normal 8 4 2 2 2 2 2" xfId="43926"/>
    <cellStyle name="Normal 8 4 2 2 2 2 2 2" xfId="43927"/>
    <cellStyle name="Normal 8 4 2 2 2 2 2 2 2" xfId="43928"/>
    <cellStyle name="Normal 8 4 2 2 2 2 2 2 3" xfId="43929"/>
    <cellStyle name="Normal 8 4 2 2 2 2 2 3" xfId="43930"/>
    <cellStyle name="Normal 8 4 2 2 2 2 2 3 2" xfId="43931"/>
    <cellStyle name="Normal 8 4 2 2 2 2 2 3 3" xfId="43932"/>
    <cellStyle name="Normal 8 4 2 2 2 2 2 4" xfId="43933"/>
    <cellStyle name="Normal 8 4 2 2 2 2 2 5" xfId="43934"/>
    <cellStyle name="Normal 8 4 2 2 2 2 3" xfId="43935"/>
    <cellStyle name="Normal 8 4 2 2 2 2 3 2" xfId="43936"/>
    <cellStyle name="Normal 8 4 2 2 2 2 3 3" xfId="43937"/>
    <cellStyle name="Normal 8 4 2 2 2 2 4" xfId="43938"/>
    <cellStyle name="Normal 8 4 2 2 2 2 4 2" xfId="43939"/>
    <cellStyle name="Normal 8 4 2 2 2 2 4 3" xfId="43940"/>
    <cellStyle name="Normal 8 4 2 2 2 2 5" xfId="43941"/>
    <cellStyle name="Normal 8 4 2 2 2 2 6" xfId="43942"/>
    <cellStyle name="Normal 8 4 2 2 2 3" xfId="43943"/>
    <cellStyle name="Normal 8 4 2 2 2 3 2" xfId="43944"/>
    <cellStyle name="Normal 8 4 2 2 2 3 2 2" xfId="43945"/>
    <cellStyle name="Normal 8 4 2 2 2 3 2 2 2" xfId="43946"/>
    <cellStyle name="Normal 8 4 2 2 2 3 2 2 3" xfId="43947"/>
    <cellStyle name="Normal 8 4 2 2 2 3 2 3" xfId="43948"/>
    <cellStyle name="Normal 8 4 2 2 2 3 2 3 2" xfId="43949"/>
    <cellStyle name="Normal 8 4 2 2 2 3 2 3 3" xfId="43950"/>
    <cellStyle name="Normal 8 4 2 2 2 3 2 4" xfId="43951"/>
    <cellStyle name="Normal 8 4 2 2 2 3 2 5" xfId="43952"/>
    <cellStyle name="Normal 8 4 2 2 2 3 3" xfId="43953"/>
    <cellStyle name="Normal 8 4 2 2 2 3 3 2" xfId="43954"/>
    <cellStyle name="Normal 8 4 2 2 2 3 3 3" xfId="43955"/>
    <cellStyle name="Normal 8 4 2 2 2 3 4" xfId="43956"/>
    <cellStyle name="Normal 8 4 2 2 2 3 4 2" xfId="43957"/>
    <cellStyle name="Normal 8 4 2 2 2 3 4 3" xfId="43958"/>
    <cellStyle name="Normal 8 4 2 2 2 3 5" xfId="43959"/>
    <cellStyle name="Normal 8 4 2 2 2 3 6" xfId="43960"/>
    <cellStyle name="Normal 8 4 2 2 2 4" xfId="43961"/>
    <cellStyle name="Normal 8 4 2 2 2 4 2" xfId="43962"/>
    <cellStyle name="Normal 8 4 2 2 2 4 2 2" xfId="43963"/>
    <cellStyle name="Normal 8 4 2 2 2 4 2 3" xfId="43964"/>
    <cellStyle name="Normal 8 4 2 2 2 4 3" xfId="43965"/>
    <cellStyle name="Normal 8 4 2 2 2 4 3 2" xfId="43966"/>
    <cellStyle name="Normal 8 4 2 2 2 4 3 3" xfId="43967"/>
    <cellStyle name="Normal 8 4 2 2 2 4 4" xfId="43968"/>
    <cellStyle name="Normal 8 4 2 2 2 4 5" xfId="43969"/>
    <cellStyle name="Normal 8 4 2 2 2 5" xfId="43970"/>
    <cellStyle name="Normal 8 4 2 2 2 5 2" xfId="43971"/>
    <cellStyle name="Normal 8 4 2 2 2 5 3" xfId="43972"/>
    <cellStyle name="Normal 8 4 2 2 2 6" xfId="43973"/>
    <cellStyle name="Normal 8 4 2 2 2 6 2" xfId="43974"/>
    <cellStyle name="Normal 8 4 2 2 2 6 3" xfId="43975"/>
    <cellStyle name="Normal 8 4 2 2 2 7" xfId="43976"/>
    <cellStyle name="Normal 8 4 2 2 2 8" xfId="43977"/>
    <cellStyle name="Normal 8 4 2 2 3" xfId="43978"/>
    <cellStyle name="Normal 8 4 2 2 3 2" xfId="43979"/>
    <cellStyle name="Normal 8 4 2 2 3 2 2" xfId="43980"/>
    <cellStyle name="Normal 8 4 2 2 3 2 2 2" xfId="43981"/>
    <cellStyle name="Normal 8 4 2 2 3 2 2 3" xfId="43982"/>
    <cellStyle name="Normal 8 4 2 2 3 2 3" xfId="43983"/>
    <cellStyle name="Normal 8 4 2 2 3 2 3 2" xfId="43984"/>
    <cellStyle name="Normal 8 4 2 2 3 2 3 3" xfId="43985"/>
    <cellStyle name="Normal 8 4 2 2 3 2 4" xfId="43986"/>
    <cellStyle name="Normal 8 4 2 2 3 2 5" xfId="43987"/>
    <cellStyle name="Normal 8 4 2 2 3 3" xfId="43988"/>
    <cellStyle name="Normal 8 4 2 2 3 3 2" xfId="43989"/>
    <cellStyle name="Normal 8 4 2 2 3 3 3" xfId="43990"/>
    <cellStyle name="Normal 8 4 2 2 3 4" xfId="43991"/>
    <cellStyle name="Normal 8 4 2 2 3 4 2" xfId="43992"/>
    <cellStyle name="Normal 8 4 2 2 3 4 3" xfId="43993"/>
    <cellStyle name="Normal 8 4 2 2 3 5" xfId="43994"/>
    <cellStyle name="Normal 8 4 2 2 3 6" xfId="43995"/>
    <cellStyle name="Normal 8 4 2 2 4" xfId="43996"/>
    <cellStyle name="Normal 8 4 2 2 4 2" xfId="43997"/>
    <cellStyle name="Normal 8 4 2 2 4 2 2" xfId="43998"/>
    <cellStyle name="Normal 8 4 2 2 4 2 2 2" xfId="43999"/>
    <cellStyle name="Normal 8 4 2 2 4 2 2 3" xfId="44000"/>
    <cellStyle name="Normal 8 4 2 2 4 2 3" xfId="44001"/>
    <cellStyle name="Normal 8 4 2 2 4 2 3 2" xfId="44002"/>
    <cellStyle name="Normal 8 4 2 2 4 2 3 3" xfId="44003"/>
    <cellStyle name="Normal 8 4 2 2 4 2 4" xfId="44004"/>
    <cellStyle name="Normal 8 4 2 2 4 2 5" xfId="44005"/>
    <cellStyle name="Normal 8 4 2 2 4 3" xfId="44006"/>
    <cellStyle name="Normal 8 4 2 2 4 3 2" xfId="44007"/>
    <cellStyle name="Normal 8 4 2 2 4 3 3" xfId="44008"/>
    <cellStyle name="Normal 8 4 2 2 4 4" xfId="44009"/>
    <cellStyle name="Normal 8 4 2 2 4 4 2" xfId="44010"/>
    <cellStyle name="Normal 8 4 2 2 4 4 3" xfId="44011"/>
    <cellStyle name="Normal 8 4 2 2 4 5" xfId="44012"/>
    <cellStyle name="Normal 8 4 2 2 4 6" xfId="44013"/>
    <cellStyle name="Normal 8 4 2 2 5" xfId="44014"/>
    <cellStyle name="Normal 8 4 2 2 5 2" xfId="44015"/>
    <cellStyle name="Normal 8 4 2 2 5 2 2" xfId="44016"/>
    <cellStyle name="Normal 8 4 2 2 5 2 3" xfId="44017"/>
    <cellStyle name="Normal 8 4 2 2 5 3" xfId="44018"/>
    <cellStyle name="Normal 8 4 2 2 5 3 2" xfId="44019"/>
    <cellStyle name="Normal 8 4 2 2 5 3 3" xfId="44020"/>
    <cellStyle name="Normal 8 4 2 2 5 4" xfId="44021"/>
    <cellStyle name="Normal 8 4 2 2 5 5" xfId="44022"/>
    <cellStyle name="Normal 8 4 2 2 6" xfId="44023"/>
    <cellStyle name="Normal 8 4 2 2 6 2" xfId="44024"/>
    <cellStyle name="Normal 8 4 2 2 6 3" xfId="44025"/>
    <cellStyle name="Normal 8 4 2 2 7" xfId="44026"/>
    <cellStyle name="Normal 8 4 2 2 7 2" xfId="44027"/>
    <cellStyle name="Normal 8 4 2 2 7 3" xfId="44028"/>
    <cellStyle name="Normal 8 4 2 2 8" xfId="44029"/>
    <cellStyle name="Normal 8 4 2 2 9" xfId="44030"/>
    <cellStyle name="Normal 8 4 2 3" xfId="44031"/>
    <cellStyle name="Normal 8 4 2 3 2" xfId="44032"/>
    <cellStyle name="Normal 8 4 2 3 2 2" xfId="44033"/>
    <cellStyle name="Normal 8 4 2 3 2 2 2" xfId="44034"/>
    <cellStyle name="Normal 8 4 2 3 2 2 2 2" xfId="44035"/>
    <cellStyle name="Normal 8 4 2 3 2 2 2 3" xfId="44036"/>
    <cellStyle name="Normal 8 4 2 3 2 2 3" xfId="44037"/>
    <cellStyle name="Normal 8 4 2 3 2 2 3 2" xfId="44038"/>
    <cellStyle name="Normal 8 4 2 3 2 2 3 3" xfId="44039"/>
    <cellStyle name="Normal 8 4 2 3 2 2 4" xfId="44040"/>
    <cellStyle name="Normal 8 4 2 3 2 2 5" xfId="44041"/>
    <cellStyle name="Normal 8 4 2 3 2 3" xfId="44042"/>
    <cellStyle name="Normal 8 4 2 3 2 3 2" xfId="44043"/>
    <cellStyle name="Normal 8 4 2 3 2 3 3" xfId="44044"/>
    <cellStyle name="Normal 8 4 2 3 2 4" xfId="44045"/>
    <cellStyle name="Normal 8 4 2 3 2 4 2" xfId="44046"/>
    <cellStyle name="Normal 8 4 2 3 2 4 3" xfId="44047"/>
    <cellStyle name="Normal 8 4 2 3 2 5" xfId="44048"/>
    <cellStyle name="Normal 8 4 2 3 2 6" xfId="44049"/>
    <cellStyle name="Normal 8 4 2 3 3" xfId="44050"/>
    <cellStyle name="Normal 8 4 2 3 3 2" xfId="44051"/>
    <cellStyle name="Normal 8 4 2 3 3 2 2" xfId="44052"/>
    <cellStyle name="Normal 8 4 2 3 3 2 2 2" xfId="44053"/>
    <cellStyle name="Normal 8 4 2 3 3 2 2 3" xfId="44054"/>
    <cellStyle name="Normal 8 4 2 3 3 2 3" xfId="44055"/>
    <cellStyle name="Normal 8 4 2 3 3 2 3 2" xfId="44056"/>
    <cellStyle name="Normal 8 4 2 3 3 2 3 3" xfId="44057"/>
    <cellStyle name="Normal 8 4 2 3 3 2 4" xfId="44058"/>
    <cellStyle name="Normal 8 4 2 3 3 2 5" xfId="44059"/>
    <cellStyle name="Normal 8 4 2 3 3 3" xfId="44060"/>
    <cellStyle name="Normal 8 4 2 3 3 3 2" xfId="44061"/>
    <cellStyle name="Normal 8 4 2 3 3 3 3" xfId="44062"/>
    <cellStyle name="Normal 8 4 2 3 3 4" xfId="44063"/>
    <cellStyle name="Normal 8 4 2 3 3 4 2" xfId="44064"/>
    <cellStyle name="Normal 8 4 2 3 3 4 3" xfId="44065"/>
    <cellStyle name="Normal 8 4 2 3 3 5" xfId="44066"/>
    <cellStyle name="Normal 8 4 2 3 3 6" xfId="44067"/>
    <cellStyle name="Normal 8 4 2 3 4" xfId="44068"/>
    <cellStyle name="Normal 8 4 2 3 4 2" xfId="44069"/>
    <cellStyle name="Normal 8 4 2 3 4 2 2" xfId="44070"/>
    <cellStyle name="Normal 8 4 2 3 4 2 3" xfId="44071"/>
    <cellStyle name="Normal 8 4 2 3 4 3" xfId="44072"/>
    <cellStyle name="Normal 8 4 2 3 4 3 2" xfId="44073"/>
    <cellStyle name="Normal 8 4 2 3 4 3 3" xfId="44074"/>
    <cellStyle name="Normal 8 4 2 3 4 4" xfId="44075"/>
    <cellStyle name="Normal 8 4 2 3 4 5" xfId="44076"/>
    <cellStyle name="Normal 8 4 2 3 5" xfId="44077"/>
    <cellStyle name="Normal 8 4 2 3 5 2" xfId="44078"/>
    <cellStyle name="Normal 8 4 2 3 5 3" xfId="44079"/>
    <cellStyle name="Normal 8 4 2 3 6" xfId="44080"/>
    <cellStyle name="Normal 8 4 2 3 6 2" xfId="44081"/>
    <cellStyle name="Normal 8 4 2 3 6 3" xfId="44082"/>
    <cellStyle name="Normal 8 4 2 3 7" xfId="44083"/>
    <cellStyle name="Normal 8 4 2 3 8" xfId="44084"/>
    <cellStyle name="Normal 8 4 2 4" xfId="44085"/>
    <cellStyle name="Normal 8 4 2 4 2" xfId="44086"/>
    <cellStyle name="Normal 8 4 2 4 2 2" xfId="44087"/>
    <cellStyle name="Normal 8 4 2 4 2 2 2" xfId="44088"/>
    <cellStyle name="Normal 8 4 2 4 2 2 3" xfId="44089"/>
    <cellStyle name="Normal 8 4 2 4 2 3" xfId="44090"/>
    <cellStyle name="Normal 8 4 2 4 2 3 2" xfId="44091"/>
    <cellStyle name="Normal 8 4 2 4 2 3 3" xfId="44092"/>
    <cellStyle name="Normal 8 4 2 4 2 4" xfId="44093"/>
    <cellStyle name="Normal 8 4 2 4 2 5" xfId="44094"/>
    <cellStyle name="Normal 8 4 2 4 3" xfId="44095"/>
    <cellStyle name="Normal 8 4 2 4 3 2" xfId="44096"/>
    <cellStyle name="Normal 8 4 2 4 3 3" xfId="44097"/>
    <cellStyle name="Normal 8 4 2 4 4" xfId="44098"/>
    <cellStyle name="Normal 8 4 2 4 4 2" xfId="44099"/>
    <cellStyle name="Normal 8 4 2 4 4 3" xfId="44100"/>
    <cellStyle name="Normal 8 4 2 4 5" xfId="44101"/>
    <cellStyle name="Normal 8 4 2 4 6" xfId="44102"/>
    <cellStyle name="Normal 8 4 2 5" xfId="44103"/>
    <cellStyle name="Normal 8 4 2 5 2" xfId="44104"/>
    <cellStyle name="Normal 8 4 2 5 2 2" xfId="44105"/>
    <cellStyle name="Normal 8 4 2 5 2 2 2" xfId="44106"/>
    <cellStyle name="Normal 8 4 2 5 2 2 3" xfId="44107"/>
    <cellStyle name="Normal 8 4 2 5 2 3" xfId="44108"/>
    <cellStyle name="Normal 8 4 2 5 2 3 2" xfId="44109"/>
    <cellStyle name="Normal 8 4 2 5 2 3 3" xfId="44110"/>
    <cellStyle name="Normal 8 4 2 5 2 4" xfId="44111"/>
    <cellStyle name="Normal 8 4 2 5 2 5" xfId="44112"/>
    <cellStyle name="Normal 8 4 2 5 3" xfId="44113"/>
    <cellStyle name="Normal 8 4 2 5 3 2" xfId="44114"/>
    <cellStyle name="Normal 8 4 2 5 3 3" xfId="44115"/>
    <cellStyle name="Normal 8 4 2 5 4" xfId="44116"/>
    <cellStyle name="Normal 8 4 2 5 4 2" xfId="44117"/>
    <cellStyle name="Normal 8 4 2 5 4 3" xfId="44118"/>
    <cellStyle name="Normal 8 4 2 5 5" xfId="44119"/>
    <cellStyle name="Normal 8 4 2 5 6" xfId="44120"/>
    <cellStyle name="Normal 8 4 2 6" xfId="44121"/>
    <cellStyle name="Normal 8 4 2 6 2" xfId="44122"/>
    <cellStyle name="Normal 8 4 2 6 2 2" xfId="44123"/>
    <cellStyle name="Normal 8 4 2 6 2 3" xfId="44124"/>
    <cellStyle name="Normal 8 4 2 6 3" xfId="44125"/>
    <cellStyle name="Normal 8 4 2 6 3 2" xfId="44126"/>
    <cellStyle name="Normal 8 4 2 6 3 3" xfId="44127"/>
    <cellStyle name="Normal 8 4 2 6 4" xfId="44128"/>
    <cellStyle name="Normal 8 4 2 6 5" xfId="44129"/>
    <cellStyle name="Normal 8 4 2 7" xfId="44130"/>
    <cellStyle name="Normal 8 4 2 7 2" xfId="44131"/>
    <cellStyle name="Normal 8 4 2 7 3" xfId="44132"/>
    <cellStyle name="Normal 8 4 2 8" xfId="44133"/>
    <cellStyle name="Normal 8 4 2 8 2" xfId="44134"/>
    <cellStyle name="Normal 8 4 2 8 3" xfId="44135"/>
    <cellStyle name="Normal 8 4 2 9" xfId="44136"/>
    <cellStyle name="Normal 8 4 3" xfId="44137"/>
    <cellStyle name="Normal 8 4 3 10" xfId="44138"/>
    <cellStyle name="Normal 8 4 3 2" xfId="44139"/>
    <cellStyle name="Normal 8 4 3 2 2" xfId="44140"/>
    <cellStyle name="Normal 8 4 3 2 2 2" xfId="44141"/>
    <cellStyle name="Normal 8 4 3 2 2 2 2" xfId="44142"/>
    <cellStyle name="Normal 8 4 3 2 2 2 2 2" xfId="44143"/>
    <cellStyle name="Normal 8 4 3 2 2 2 2 2 2" xfId="44144"/>
    <cellStyle name="Normal 8 4 3 2 2 2 2 2 3" xfId="44145"/>
    <cellStyle name="Normal 8 4 3 2 2 2 2 3" xfId="44146"/>
    <cellStyle name="Normal 8 4 3 2 2 2 2 3 2" xfId="44147"/>
    <cellStyle name="Normal 8 4 3 2 2 2 2 3 3" xfId="44148"/>
    <cellStyle name="Normal 8 4 3 2 2 2 2 4" xfId="44149"/>
    <cellStyle name="Normal 8 4 3 2 2 2 2 5" xfId="44150"/>
    <cellStyle name="Normal 8 4 3 2 2 2 3" xfId="44151"/>
    <cellStyle name="Normal 8 4 3 2 2 2 3 2" xfId="44152"/>
    <cellStyle name="Normal 8 4 3 2 2 2 3 3" xfId="44153"/>
    <cellStyle name="Normal 8 4 3 2 2 2 4" xfId="44154"/>
    <cellStyle name="Normal 8 4 3 2 2 2 4 2" xfId="44155"/>
    <cellStyle name="Normal 8 4 3 2 2 2 4 3" xfId="44156"/>
    <cellStyle name="Normal 8 4 3 2 2 2 5" xfId="44157"/>
    <cellStyle name="Normal 8 4 3 2 2 2 6" xfId="44158"/>
    <cellStyle name="Normal 8 4 3 2 2 3" xfId="44159"/>
    <cellStyle name="Normal 8 4 3 2 2 3 2" xfId="44160"/>
    <cellStyle name="Normal 8 4 3 2 2 3 2 2" xfId="44161"/>
    <cellStyle name="Normal 8 4 3 2 2 3 2 2 2" xfId="44162"/>
    <cellStyle name="Normal 8 4 3 2 2 3 2 2 3" xfId="44163"/>
    <cellStyle name="Normal 8 4 3 2 2 3 2 3" xfId="44164"/>
    <cellStyle name="Normal 8 4 3 2 2 3 2 3 2" xfId="44165"/>
    <cellStyle name="Normal 8 4 3 2 2 3 2 3 3" xfId="44166"/>
    <cellStyle name="Normal 8 4 3 2 2 3 2 4" xfId="44167"/>
    <cellStyle name="Normal 8 4 3 2 2 3 2 5" xfId="44168"/>
    <cellStyle name="Normal 8 4 3 2 2 3 3" xfId="44169"/>
    <cellStyle name="Normal 8 4 3 2 2 3 3 2" xfId="44170"/>
    <cellStyle name="Normal 8 4 3 2 2 3 3 3" xfId="44171"/>
    <cellStyle name="Normal 8 4 3 2 2 3 4" xfId="44172"/>
    <cellStyle name="Normal 8 4 3 2 2 3 4 2" xfId="44173"/>
    <cellStyle name="Normal 8 4 3 2 2 3 4 3" xfId="44174"/>
    <cellStyle name="Normal 8 4 3 2 2 3 5" xfId="44175"/>
    <cellStyle name="Normal 8 4 3 2 2 3 6" xfId="44176"/>
    <cellStyle name="Normal 8 4 3 2 2 4" xfId="44177"/>
    <cellStyle name="Normal 8 4 3 2 2 4 2" xfId="44178"/>
    <cellStyle name="Normal 8 4 3 2 2 4 2 2" xfId="44179"/>
    <cellStyle name="Normal 8 4 3 2 2 4 2 3" xfId="44180"/>
    <cellStyle name="Normal 8 4 3 2 2 4 3" xfId="44181"/>
    <cellStyle name="Normal 8 4 3 2 2 4 3 2" xfId="44182"/>
    <cellStyle name="Normal 8 4 3 2 2 4 3 3" xfId="44183"/>
    <cellStyle name="Normal 8 4 3 2 2 4 4" xfId="44184"/>
    <cellStyle name="Normal 8 4 3 2 2 4 5" xfId="44185"/>
    <cellStyle name="Normal 8 4 3 2 2 5" xfId="44186"/>
    <cellStyle name="Normal 8 4 3 2 2 5 2" xfId="44187"/>
    <cellStyle name="Normal 8 4 3 2 2 5 3" xfId="44188"/>
    <cellStyle name="Normal 8 4 3 2 2 6" xfId="44189"/>
    <cellStyle name="Normal 8 4 3 2 2 6 2" xfId="44190"/>
    <cellStyle name="Normal 8 4 3 2 2 6 3" xfId="44191"/>
    <cellStyle name="Normal 8 4 3 2 2 7" xfId="44192"/>
    <cellStyle name="Normal 8 4 3 2 2 8" xfId="44193"/>
    <cellStyle name="Normal 8 4 3 2 3" xfId="44194"/>
    <cellStyle name="Normal 8 4 3 2 3 2" xfId="44195"/>
    <cellStyle name="Normal 8 4 3 2 3 2 2" xfId="44196"/>
    <cellStyle name="Normal 8 4 3 2 3 2 2 2" xfId="44197"/>
    <cellStyle name="Normal 8 4 3 2 3 2 2 3" xfId="44198"/>
    <cellStyle name="Normal 8 4 3 2 3 2 3" xfId="44199"/>
    <cellStyle name="Normal 8 4 3 2 3 2 3 2" xfId="44200"/>
    <cellStyle name="Normal 8 4 3 2 3 2 3 3" xfId="44201"/>
    <cellStyle name="Normal 8 4 3 2 3 2 4" xfId="44202"/>
    <cellStyle name="Normal 8 4 3 2 3 2 5" xfId="44203"/>
    <cellStyle name="Normal 8 4 3 2 3 3" xfId="44204"/>
    <cellStyle name="Normal 8 4 3 2 3 3 2" xfId="44205"/>
    <cellStyle name="Normal 8 4 3 2 3 3 3" xfId="44206"/>
    <cellStyle name="Normal 8 4 3 2 3 4" xfId="44207"/>
    <cellStyle name="Normal 8 4 3 2 3 4 2" xfId="44208"/>
    <cellStyle name="Normal 8 4 3 2 3 4 3" xfId="44209"/>
    <cellStyle name="Normal 8 4 3 2 3 5" xfId="44210"/>
    <cellStyle name="Normal 8 4 3 2 3 6" xfId="44211"/>
    <cellStyle name="Normal 8 4 3 2 4" xfId="44212"/>
    <cellStyle name="Normal 8 4 3 2 4 2" xfId="44213"/>
    <cellStyle name="Normal 8 4 3 2 4 2 2" xfId="44214"/>
    <cellStyle name="Normal 8 4 3 2 4 2 2 2" xfId="44215"/>
    <cellStyle name="Normal 8 4 3 2 4 2 2 3" xfId="44216"/>
    <cellStyle name="Normal 8 4 3 2 4 2 3" xfId="44217"/>
    <cellStyle name="Normal 8 4 3 2 4 2 3 2" xfId="44218"/>
    <cellStyle name="Normal 8 4 3 2 4 2 3 3" xfId="44219"/>
    <cellStyle name="Normal 8 4 3 2 4 2 4" xfId="44220"/>
    <cellStyle name="Normal 8 4 3 2 4 2 5" xfId="44221"/>
    <cellStyle name="Normal 8 4 3 2 4 3" xfId="44222"/>
    <cellStyle name="Normal 8 4 3 2 4 3 2" xfId="44223"/>
    <cellStyle name="Normal 8 4 3 2 4 3 3" xfId="44224"/>
    <cellStyle name="Normal 8 4 3 2 4 4" xfId="44225"/>
    <cellStyle name="Normal 8 4 3 2 4 4 2" xfId="44226"/>
    <cellStyle name="Normal 8 4 3 2 4 4 3" xfId="44227"/>
    <cellStyle name="Normal 8 4 3 2 4 5" xfId="44228"/>
    <cellStyle name="Normal 8 4 3 2 4 6" xfId="44229"/>
    <cellStyle name="Normal 8 4 3 2 5" xfId="44230"/>
    <cellStyle name="Normal 8 4 3 2 5 2" xfId="44231"/>
    <cellStyle name="Normal 8 4 3 2 5 2 2" xfId="44232"/>
    <cellStyle name="Normal 8 4 3 2 5 2 3" xfId="44233"/>
    <cellStyle name="Normal 8 4 3 2 5 3" xfId="44234"/>
    <cellStyle name="Normal 8 4 3 2 5 3 2" xfId="44235"/>
    <cellStyle name="Normal 8 4 3 2 5 3 3" xfId="44236"/>
    <cellStyle name="Normal 8 4 3 2 5 4" xfId="44237"/>
    <cellStyle name="Normal 8 4 3 2 5 5" xfId="44238"/>
    <cellStyle name="Normal 8 4 3 2 6" xfId="44239"/>
    <cellStyle name="Normal 8 4 3 2 6 2" xfId="44240"/>
    <cellStyle name="Normal 8 4 3 2 6 3" xfId="44241"/>
    <cellStyle name="Normal 8 4 3 2 7" xfId="44242"/>
    <cellStyle name="Normal 8 4 3 2 7 2" xfId="44243"/>
    <cellStyle name="Normal 8 4 3 2 7 3" xfId="44244"/>
    <cellStyle name="Normal 8 4 3 2 8" xfId="44245"/>
    <cellStyle name="Normal 8 4 3 2 9" xfId="44246"/>
    <cellStyle name="Normal 8 4 3 3" xfId="44247"/>
    <cellStyle name="Normal 8 4 3 3 2" xfId="44248"/>
    <cellStyle name="Normal 8 4 3 3 2 2" xfId="44249"/>
    <cellStyle name="Normal 8 4 3 3 2 2 2" xfId="44250"/>
    <cellStyle name="Normal 8 4 3 3 2 2 2 2" xfId="44251"/>
    <cellStyle name="Normal 8 4 3 3 2 2 2 3" xfId="44252"/>
    <cellStyle name="Normal 8 4 3 3 2 2 3" xfId="44253"/>
    <cellStyle name="Normal 8 4 3 3 2 2 3 2" xfId="44254"/>
    <cellStyle name="Normal 8 4 3 3 2 2 3 3" xfId="44255"/>
    <cellStyle name="Normal 8 4 3 3 2 2 4" xfId="44256"/>
    <cellStyle name="Normal 8 4 3 3 2 2 5" xfId="44257"/>
    <cellStyle name="Normal 8 4 3 3 2 3" xfId="44258"/>
    <cellStyle name="Normal 8 4 3 3 2 3 2" xfId="44259"/>
    <cellStyle name="Normal 8 4 3 3 2 3 3" xfId="44260"/>
    <cellStyle name="Normal 8 4 3 3 2 4" xfId="44261"/>
    <cellStyle name="Normal 8 4 3 3 2 4 2" xfId="44262"/>
    <cellStyle name="Normal 8 4 3 3 2 4 3" xfId="44263"/>
    <cellStyle name="Normal 8 4 3 3 2 5" xfId="44264"/>
    <cellStyle name="Normal 8 4 3 3 2 6" xfId="44265"/>
    <cellStyle name="Normal 8 4 3 3 3" xfId="44266"/>
    <cellStyle name="Normal 8 4 3 3 3 2" xfId="44267"/>
    <cellStyle name="Normal 8 4 3 3 3 2 2" xfId="44268"/>
    <cellStyle name="Normal 8 4 3 3 3 2 2 2" xfId="44269"/>
    <cellStyle name="Normal 8 4 3 3 3 2 2 3" xfId="44270"/>
    <cellStyle name="Normal 8 4 3 3 3 2 3" xfId="44271"/>
    <cellStyle name="Normal 8 4 3 3 3 2 3 2" xfId="44272"/>
    <cellStyle name="Normal 8 4 3 3 3 2 3 3" xfId="44273"/>
    <cellStyle name="Normal 8 4 3 3 3 2 4" xfId="44274"/>
    <cellStyle name="Normal 8 4 3 3 3 2 5" xfId="44275"/>
    <cellStyle name="Normal 8 4 3 3 3 3" xfId="44276"/>
    <cellStyle name="Normal 8 4 3 3 3 3 2" xfId="44277"/>
    <cellStyle name="Normal 8 4 3 3 3 3 3" xfId="44278"/>
    <cellStyle name="Normal 8 4 3 3 3 4" xfId="44279"/>
    <cellStyle name="Normal 8 4 3 3 3 4 2" xfId="44280"/>
    <cellStyle name="Normal 8 4 3 3 3 4 3" xfId="44281"/>
    <cellStyle name="Normal 8 4 3 3 3 5" xfId="44282"/>
    <cellStyle name="Normal 8 4 3 3 3 6" xfId="44283"/>
    <cellStyle name="Normal 8 4 3 3 4" xfId="44284"/>
    <cellStyle name="Normal 8 4 3 3 4 2" xfId="44285"/>
    <cellStyle name="Normal 8 4 3 3 4 2 2" xfId="44286"/>
    <cellStyle name="Normal 8 4 3 3 4 2 3" xfId="44287"/>
    <cellStyle name="Normal 8 4 3 3 4 3" xfId="44288"/>
    <cellStyle name="Normal 8 4 3 3 4 3 2" xfId="44289"/>
    <cellStyle name="Normal 8 4 3 3 4 3 3" xfId="44290"/>
    <cellStyle name="Normal 8 4 3 3 4 4" xfId="44291"/>
    <cellStyle name="Normal 8 4 3 3 4 5" xfId="44292"/>
    <cellStyle name="Normal 8 4 3 3 5" xfId="44293"/>
    <cellStyle name="Normal 8 4 3 3 5 2" xfId="44294"/>
    <cellStyle name="Normal 8 4 3 3 5 3" xfId="44295"/>
    <cellStyle name="Normal 8 4 3 3 6" xfId="44296"/>
    <cellStyle name="Normal 8 4 3 3 6 2" xfId="44297"/>
    <cellStyle name="Normal 8 4 3 3 6 3" xfId="44298"/>
    <cellStyle name="Normal 8 4 3 3 7" xfId="44299"/>
    <cellStyle name="Normal 8 4 3 3 8" xfId="44300"/>
    <cellStyle name="Normal 8 4 3 4" xfId="44301"/>
    <cellStyle name="Normal 8 4 3 4 2" xfId="44302"/>
    <cellStyle name="Normal 8 4 3 4 2 2" xfId="44303"/>
    <cellStyle name="Normal 8 4 3 4 2 2 2" xfId="44304"/>
    <cellStyle name="Normal 8 4 3 4 2 2 3" xfId="44305"/>
    <cellStyle name="Normal 8 4 3 4 2 3" xfId="44306"/>
    <cellStyle name="Normal 8 4 3 4 2 3 2" xfId="44307"/>
    <cellStyle name="Normal 8 4 3 4 2 3 3" xfId="44308"/>
    <cellStyle name="Normal 8 4 3 4 2 4" xfId="44309"/>
    <cellStyle name="Normal 8 4 3 4 2 5" xfId="44310"/>
    <cellStyle name="Normal 8 4 3 4 3" xfId="44311"/>
    <cellStyle name="Normal 8 4 3 4 3 2" xfId="44312"/>
    <cellStyle name="Normal 8 4 3 4 3 3" xfId="44313"/>
    <cellStyle name="Normal 8 4 3 4 4" xfId="44314"/>
    <cellStyle name="Normal 8 4 3 4 4 2" xfId="44315"/>
    <cellStyle name="Normal 8 4 3 4 4 3" xfId="44316"/>
    <cellStyle name="Normal 8 4 3 4 5" xfId="44317"/>
    <cellStyle name="Normal 8 4 3 4 6" xfId="44318"/>
    <cellStyle name="Normal 8 4 3 5" xfId="44319"/>
    <cellStyle name="Normal 8 4 3 5 2" xfId="44320"/>
    <cellStyle name="Normal 8 4 3 5 2 2" xfId="44321"/>
    <cellStyle name="Normal 8 4 3 5 2 2 2" xfId="44322"/>
    <cellStyle name="Normal 8 4 3 5 2 2 3" xfId="44323"/>
    <cellStyle name="Normal 8 4 3 5 2 3" xfId="44324"/>
    <cellStyle name="Normal 8 4 3 5 2 3 2" xfId="44325"/>
    <cellStyle name="Normal 8 4 3 5 2 3 3" xfId="44326"/>
    <cellStyle name="Normal 8 4 3 5 2 4" xfId="44327"/>
    <cellStyle name="Normal 8 4 3 5 2 5" xfId="44328"/>
    <cellStyle name="Normal 8 4 3 5 3" xfId="44329"/>
    <cellStyle name="Normal 8 4 3 5 3 2" xfId="44330"/>
    <cellStyle name="Normal 8 4 3 5 3 3" xfId="44331"/>
    <cellStyle name="Normal 8 4 3 5 4" xfId="44332"/>
    <cellStyle name="Normal 8 4 3 5 4 2" xfId="44333"/>
    <cellStyle name="Normal 8 4 3 5 4 3" xfId="44334"/>
    <cellStyle name="Normal 8 4 3 5 5" xfId="44335"/>
    <cellStyle name="Normal 8 4 3 5 6" xfId="44336"/>
    <cellStyle name="Normal 8 4 3 6" xfId="44337"/>
    <cellStyle name="Normal 8 4 3 6 2" xfId="44338"/>
    <cellStyle name="Normal 8 4 3 6 2 2" xfId="44339"/>
    <cellStyle name="Normal 8 4 3 6 2 3" xfId="44340"/>
    <cellStyle name="Normal 8 4 3 6 3" xfId="44341"/>
    <cellStyle name="Normal 8 4 3 6 3 2" xfId="44342"/>
    <cellStyle name="Normal 8 4 3 6 3 3" xfId="44343"/>
    <cellStyle name="Normal 8 4 3 6 4" xfId="44344"/>
    <cellStyle name="Normal 8 4 3 6 5" xfId="44345"/>
    <cellStyle name="Normal 8 4 3 7" xfId="44346"/>
    <cellStyle name="Normal 8 4 3 7 2" xfId="44347"/>
    <cellStyle name="Normal 8 4 3 7 3" xfId="44348"/>
    <cellStyle name="Normal 8 4 3 8" xfId="44349"/>
    <cellStyle name="Normal 8 4 3 8 2" xfId="44350"/>
    <cellStyle name="Normal 8 4 3 8 3" xfId="44351"/>
    <cellStyle name="Normal 8 4 3 9" xfId="44352"/>
    <cellStyle name="Normal 8 4 4" xfId="44353"/>
    <cellStyle name="Normal 8 4 4 2" xfId="44354"/>
    <cellStyle name="Normal 8 4 4 2 2" xfId="44355"/>
    <cellStyle name="Normal 8 4 4 2 2 2" xfId="44356"/>
    <cellStyle name="Normal 8 4 4 2 2 2 2" xfId="44357"/>
    <cellStyle name="Normal 8 4 4 2 2 2 2 2" xfId="44358"/>
    <cellStyle name="Normal 8 4 4 2 2 2 2 3" xfId="44359"/>
    <cellStyle name="Normal 8 4 4 2 2 2 3" xfId="44360"/>
    <cellStyle name="Normal 8 4 4 2 2 2 3 2" xfId="44361"/>
    <cellStyle name="Normal 8 4 4 2 2 2 3 3" xfId="44362"/>
    <cellStyle name="Normal 8 4 4 2 2 2 4" xfId="44363"/>
    <cellStyle name="Normal 8 4 4 2 2 2 5" xfId="44364"/>
    <cellStyle name="Normal 8 4 4 2 2 3" xfId="44365"/>
    <cellStyle name="Normal 8 4 4 2 2 3 2" xfId="44366"/>
    <cellStyle name="Normal 8 4 4 2 2 3 3" xfId="44367"/>
    <cellStyle name="Normal 8 4 4 2 2 4" xfId="44368"/>
    <cellStyle name="Normal 8 4 4 2 2 4 2" xfId="44369"/>
    <cellStyle name="Normal 8 4 4 2 2 4 3" xfId="44370"/>
    <cellStyle name="Normal 8 4 4 2 2 5" xfId="44371"/>
    <cellStyle name="Normal 8 4 4 2 2 6" xfId="44372"/>
    <cellStyle name="Normal 8 4 4 2 3" xfId="44373"/>
    <cellStyle name="Normal 8 4 4 2 3 2" xfId="44374"/>
    <cellStyle name="Normal 8 4 4 2 3 2 2" xfId="44375"/>
    <cellStyle name="Normal 8 4 4 2 3 2 2 2" xfId="44376"/>
    <cellStyle name="Normal 8 4 4 2 3 2 2 3" xfId="44377"/>
    <cellStyle name="Normal 8 4 4 2 3 2 3" xfId="44378"/>
    <cellStyle name="Normal 8 4 4 2 3 2 3 2" xfId="44379"/>
    <cellStyle name="Normal 8 4 4 2 3 2 3 3" xfId="44380"/>
    <cellStyle name="Normal 8 4 4 2 3 2 4" xfId="44381"/>
    <cellStyle name="Normal 8 4 4 2 3 2 5" xfId="44382"/>
    <cellStyle name="Normal 8 4 4 2 3 3" xfId="44383"/>
    <cellStyle name="Normal 8 4 4 2 3 3 2" xfId="44384"/>
    <cellStyle name="Normal 8 4 4 2 3 3 3" xfId="44385"/>
    <cellStyle name="Normal 8 4 4 2 3 4" xfId="44386"/>
    <cellStyle name="Normal 8 4 4 2 3 4 2" xfId="44387"/>
    <cellStyle name="Normal 8 4 4 2 3 4 3" xfId="44388"/>
    <cellStyle name="Normal 8 4 4 2 3 5" xfId="44389"/>
    <cellStyle name="Normal 8 4 4 2 3 6" xfId="44390"/>
    <cellStyle name="Normal 8 4 4 2 4" xfId="44391"/>
    <cellStyle name="Normal 8 4 4 2 4 2" xfId="44392"/>
    <cellStyle name="Normal 8 4 4 2 4 2 2" xfId="44393"/>
    <cellStyle name="Normal 8 4 4 2 4 2 3" xfId="44394"/>
    <cellStyle name="Normal 8 4 4 2 4 3" xfId="44395"/>
    <cellStyle name="Normal 8 4 4 2 4 3 2" xfId="44396"/>
    <cellStyle name="Normal 8 4 4 2 4 3 3" xfId="44397"/>
    <cellStyle name="Normal 8 4 4 2 4 4" xfId="44398"/>
    <cellStyle name="Normal 8 4 4 2 4 5" xfId="44399"/>
    <cellStyle name="Normal 8 4 4 2 5" xfId="44400"/>
    <cellStyle name="Normal 8 4 4 2 5 2" xfId="44401"/>
    <cellStyle name="Normal 8 4 4 2 5 3" xfId="44402"/>
    <cellStyle name="Normal 8 4 4 2 6" xfId="44403"/>
    <cellStyle name="Normal 8 4 4 2 6 2" xfId="44404"/>
    <cellStyle name="Normal 8 4 4 2 6 3" xfId="44405"/>
    <cellStyle name="Normal 8 4 4 2 7" xfId="44406"/>
    <cellStyle name="Normal 8 4 4 2 8" xfId="44407"/>
    <cellStyle name="Normal 8 4 4 3" xfId="44408"/>
    <cellStyle name="Normal 8 4 4 3 2" xfId="44409"/>
    <cellStyle name="Normal 8 4 4 3 2 2" xfId="44410"/>
    <cellStyle name="Normal 8 4 4 3 2 2 2" xfId="44411"/>
    <cellStyle name="Normal 8 4 4 3 2 2 3" xfId="44412"/>
    <cellStyle name="Normal 8 4 4 3 2 3" xfId="44413"/>
    <cellStyle name="Normal 8 4 4 3 2 3 2" xfId="44414"/>
    <cellStyle name="Normal 8 4 4 3 2 3 3" xfId="44415"/>
    <cellStyle name="Normal 8 4 4 3 2 4" xfId="44416"/>
    <cellStyle name="Normal 8 4 4 3 2 5" xfId="44417"/>
    <cellStyle name="Normal 8 4 4 3 3" xfId="44418"/>
    <cellStyle name="Normal 8 4 4 3 3 2" xfId="44419"/>
    <cellStyle name="Normal 8 4 4 3 3 3" xfId="44420"/>
    <cellStyle name="Normal 8 4 4 3 4" xfId="44421"/>
    <cellStyle name="Normal 8 4 4 3 4 2" xfId="44422"/>
    <cellStyle name="Normal 8 4 4 3 4 3" xfId="44423"/>
    <cellStyle name="Normal 8 4 4 3 5" xfId="44424"/>
    <cellStyle name="Normal 8 4 4 3 6" xfId="44425"/>
    <cellStyle name="Normal 8 4 4 4" xfId="44426"/>
    <cellStyle name="Normal 8 4 4 4 2" xfId="44427"/>
    <cellStyle name="Normal 8 4 4 4 2 2" xfId="44428"/>
    <cellStyle name="Normal 8 4 4 4 2 2 2" xfId="44429"/>
    <cellStyle name="Normal 8 4 4 4 2 2 3" xfId="44430"/>
    <cellStyle name="Normal 8 4 4 4 2 3" xfId="44431"/>
    <cellStyle name="Normal 8 4 4 4 2 3 2" xfId="44432"/>
    <cellStyle name="Normal 8 4 4 4 2 3 3" xfId="44433"/>
    <cellStyle name="Normal 8 4 4 4 2 4" xfId="44434"/>
    <cellStyle name="Normal 8 4 4 4 2 5" xfId="44435"/>
    <cellStyle name="Normal 8 4 4 4 3" xfId="44436"/>
    <cellStyle name="Normal 8 4 4 4 3 2" xfId="44437"/>
    <cellStyle name="Normal 8 4 4 4 3 3" xfId="44438"/>
    <cellStyle name="Normal 8 4 4 4 4" xfId="44439"/>
    <cellStyle name="Normal 8 4 4 4 4 2" xfId="44440"/>
    <cellStyle name="Normal 8 4 4 4 4 3" xfId="44441"/>
    <cellStyle name="Normal 8 4 4 4 5" xfId="44442"/>
    <cellStyle name="Normal 8 4 4 4 6" xfId="44443"/>
    <cellStyle name="Normal 8 4 4 5" xfId="44444"/>
    <cellStyle name="Normal 8 4 4 5 2" xfId="44445"/>
    <cellStyle name="Normal 8 4 4 5 2 2" xfId="44446"/>
    <cellStyle name="Normal 8 4 4 5 2 3" xfId="44447"/>
    <cellStyle name="Normal 8 4 4 5 3" xfId="44448"/>
    <cellStyle name="Normal 8 4 4 5 3 2" xfId="44449"/>
    <cellStyle name="Normal 8 4 4 5 3 3" xfId="44450"/>
    <cellStyle name="Normal 8 4 4 5 4" xfId="44451"/>
    <cellStyle name="Normal 8 4 4 5 5" xfId="44452"/>
    <cellStyle name="Normal 8 4 4 6" xfId="44453"/>
    <cellStyle name="Normal 8 4 4 6 2" xfId="44454"/>
    <cellStyle name="Normal 8 4 4 6 3" xfId="44455"/>
    <cellStyle name="Normal 8 4 4 7" xfId="44456"/>
    <cellStyle name="Normal 8 4 4 7 2" xfId="44457"/>
    <cellStyle name="Normal 8 4 4 7 3" xfId="44458"/>
    <cellStyle name="Normal 8 4 4 8" xfId="44459"/>
    <cellStyle name="Normal 8 4 4 9" xfId="44460"/>
    <cellStyle name="Normal 8 4 5" xfId="44461"/>
    <cellStyle name="Normal 8 4 5 2" xfId="44462"/>
    <cellStyle name="Normal 8 4 5 2 2" xfId="44463"/>
    <cellStyle name="Normal 8 4 5 2 2 2" xfId="44464"/>
    <cellStyle name="Normal 8 4 5 2 2 2 2" xfId="44465"/>
    <cellStyle name="Normal 8 4 5 2 2 2 3" xfId="44466"/>
    <cellStyle name="Normal 8 4 5 2 2 3" xfId="44467"/>
    <cellStyle name="Normal 8 4 5 2 2 3 2" xfId="44468"/>
    <cellStyle name="Normal 8 4 5 2 2 3 3" xfId="44469"/>
    <cellStyle name="Normal 8 4 5 2 2 4" xfId="44470"/>
    <cellStyle name="Normal 8 4 5 2 2 5" xfId="44471"/>
    <cellStyle name="Normal 8 4 5 2 3" xfId="44472"/>
    <cellStyle name="Normal 8 4 5 2 3 2" xfId="44473"/>
    <cellStyle name="Normal 8 4 5 2 3 3" xfId="44474"/>
    <cellStyle name="Normal 8 4 5 2 4" xfId="44475"/>
    <cellStyle name="Normal 8 4 5 2 4 2" xfId="44476"/>
    <cellStyle name="Normal 8 4 5 2 4 3" xfId="44477"/>
    <cellStyle name="Normal 8 4 5 2 5" xfId="44478"/>
    <cellStyle name="Normal 8 4 5 2 6" xfId="44479"/>
    <cellStyle name="Normal 8 4 5 3" xfId="44480"/>
    <cellStyle name="Normal 8 4 5 3 2" xfId="44481"/>
    <cellStyle name="Normal 8 4 5 3 2 2" xfId="44482"/>
    <cellStyle name="Normal 8 4 5 3 2 2 2" xfId="44483"/>
    <cellStyle name="Normal 8 4 5 3 2 2 3" xfId="44484"/>
    <cellStyle name="Normal 8 4 5 3 2 3" xfId="44485"/>
    <cellStyle name="Normal 8 4 5 3 2 3 2" xfId="44486"/>
    <cellStyle name="Normal 8 4 5 3 2 3 3" xfId="44487"/>
    <cellStyle name="Normal 8 4 5 3 2 4" xfId="44488"/>
    <cellStyle name="Normal 8 4 5 3 2 5" xfId="44489"/>
    <cellStyle name="Normal 8 4 5 3 3" xfId="44490"/>
    <cellStyle name="Normal 8 4 5 3 3 2" xfId="44491"/>
    <cellStyle name="Normal 8 4 5 3 3 3" xfId="44492"/>
    <cellStyle name="Normal 8 4 5 3 4" xfId="44493"/>
    <cellStyle name="Normal 8 4 5 3 4 2" xfId="44494"/>
    <cellStyle name="Normal 8 4 5 3 4 3" xfId="44495"/>
    <cellStyle name="Normal 8 4 5 3 5" xfId="44496"/>
    <cellStyle name="Normal 8 4 5 3 6" xfId="44497"/>
    <cellStyle name="Normal 8 4 5 4" xfId="44498"/>
    <cellStyle name="Normal 8 4 5 4 2" xfId="44499"/>
    <cellStyle name="Normal 8 4 5 4 2 2" xfId="44500"/>
    <cellStyle name="Normal 8 4 5 4 2 3" xfId="44501"/>
    <cellStyle name="Normal 8 4 5 4 3" xfId="44502"/>
    <cellStyle name="Normal 8 4 5 4 3 2" xfId="44503"/>
    <cellStyle name="Normal 8 4 5 4 3 3" xfId="44504"/>
    <cellStyle name="Normal 8 4 5 4 4" xfId="44505"/>
    <cellStyle name="Normal 8 4 5 4 5" xfId="44506"/>
    <cellStyle name="Normal 8 4 5 5" xfId="44507"/>
    <cellStyle name="Normal 8 4 5 5 2" xfId="44508"/>
    <cellStyle name="Normal 8 4 5 5 3" xfId="44509"/>
    <cellStyle name="Normal 8 4 5 6" xfId="44510"/>
    <cellStyle name="Normal 8 4 5 6 2" xfId="44511"/>
    <cellStyle name="Normal 8 4 5 6 3" xfId="44512"/>
    <cellStyle name="Normal 8 4 5 7" xfId="44513"/>
    <cellStyle name="Normal 8 4 5 8" xfId="44514"/>
    <cellStyle name="Normal 8 4 6" xfId="44515"/>
    <cellStyle name="Normal 8 4 6 2" xfId="44516"/>
    <cellStyle name="Normal 8 4 6 2 2" xfId="44517"/>
    <cellStyle name="Normal 8 4 6 2 2 2" xfId="44518"/>
    <cellStyle name="Normal 8 4 6 2 2 3" xfId="44519"/>
    <cellStyle name="Normal 8 4 6 2 3" xfId="44520"/>
    <cellStyle name="Normal 8 4 6 2 3 2" xfId="44521"/>
    <cellStyle name="Normal 8 4 6 2 3 3" xfId="44522"/>
    <cellStyle name="Normal 8 4 6 2 4" xfId="44523"/>
    <cellStyle name="Normal 8 4 6 2 5" xfId="44524"/>
    <cellStyle name="Normal 8 4 6 3" xfId="44525"/>
    <cellStyle name="Normal 8 4 6 3 2" xfId="44526"/>
    <cellStyle name="Normal 8 4 6 3 3" xfId="44527"/>
    <cellStyle name="Normal 8 4 6 4" xfId="44528"/>
    <cellStyle name="Normal 8 4 6 4 2" xfId="44529"/>
    <cellStyle name="Normal 8 4 6 4 3" xfId="44530"/>
    <cellStyle name="Normal 8 4 6 5" xfId="44531"/>
    <cellStyle name="Normal 8 4 6 6" xfId="44532"/>
    <cellStyle name="Normal 8 4 7" xfId="44533"/>
    <cellStyle name="Normal 8 4 7 2" xfId="44534"/>
    <cellStyle name="Normal 8 4 7 2 2" xfId="44535"/>
    <cellStyle name="Normal 8 4 7 2 2 2" xfId="44536"/>
    <cellStyle name="Normal 8 4 7 2 2 3" xfId="44537"/>
    <cellStyle name="Normal 8 4 7 2 3" xfId="44538"/>
    <cellStyle name="Normal 8 4 7 2 3 2" xfId="44539"/>
    <cellStyle name="Normal 8 4 7 2 3 3" xfId="44540"/>
    <cellStyle name="Normal 8 4 7 2 4" xfId="44541"/>
    <cellStyle name="Normal 8 4 7 2 5" xfId="44542"/>
    <cellStyle name="Normal 8 4 7 3" xfId="44543"/>
    <cellStyle name="Normal 8 4 7 3 2" xfId="44544"/>
    <cellStyle name="Normal 8 4 7 3 3" xfId="44545"/>
    <cellStyle name="Normal 8 4 7 4" xfId="44546"/>
    <cellStyle name="Normal 8 4 7 4 2" xfId="44547"/>
    <cellStyle name="Normal 8 4 7 4 3" xfId="44548"/>
    <cellStyle name="Normal 8 4 7 5" xfId="44549"/>
    <cellStyle name="Normal 8 4 7 6" xfId="44550"/>
    <cellStyle name="Normal 8 4 8" xfId="44551"/>
    <cellStyle name="Normal 8 4 8 2" xfId="44552"/>
    <cellStyle name="Normal 8 4 8 2 2" xfId="44553"/>
    <cellStyle name="Normal 8 4 8 2 3" xfId="44554"/>
    <cellStyle name="Normal 8 4 8 3" xfId="44555"/>
    <cellStyle name="Normal 8 4 8 3 2" xfId="44556"/>
    <cellStyle name="Normal 8 4 8 3 3" xfId="44557"/>
    <cellStyle name="Normal 8 4 8 4" xfId="44558"/>
    <cellStyle name="Normal 8 4 8 5" xfId="44559"/>
    <cellStyle name="Normal 8 4 9" xfId="44560"/>
    <cellStyle name="Normal 8 4 9 2" xfId="44561"/>
    <cellStyle name="Normal 8 4 9 3" xfId="44562"/>
    <cellStyle name="Normal 8 5" xfId="44563"/>
    <cellStyle name="Normal 8 5 10" xfId="44564"/>
    <cellStyle name="Normal 8 5 2" xfId="44565"/>
    <cellStyle name="Normal 8 5 2 2" xfId="44566"/>
    <cellStyle name="Normal 8 5 2 2 2" xfId="44567"/>
    <cellStyle name="Normal 8 5 2 2 2 2" xfId="44568"/>
    <cellStyle name="Normal 8 5 2 2 2 2 2" xfId="44569"/>
    <cellStyle name="Normal 8 5 2 2 2 2 2 2" xfId="44570"/>
    <cellStyle name="Normal 8 5 2 2 2 2 2 3" xfId="44571"/>
    <cellStyle name="Normal 8 5 2 2 2 2 3" xfId="44572"/>
    <cellStyle name="Normal 8 5 2 2 2 2 3 2" xfId="44573"/>
    <cellStyle name="Normal 8 5 2 2 2 2 3 3" xfId="44574"/>
    <cellStyle name="Normal 8 5 2 2 2 2 4" xfId="44575"/>
    <cellStyle name="Normal 8 5 2 2 2 2 5" xfId="44576"/>
    <cellStyle name="Normal 8 5 2 2 2 3" xfId="44577"/>
    <cellStyle name="Normal 8 5 2 2 2 3 2" xfId="44578"/>
    <cellStyle name="Normal 8 5 2 2 2 3 3" xfId="44579"/>
    <cellStyle name="Normal 8 5 2 2 2 4" xfId="44580"/>
    <cellStyle name="Normal 8 5 2 2 2 4 2" xfId="44581"/>
    <cellStyle name="Normal 8 5 2 2 2 4 3" xfId="44582"/>
    <cellStyle name="Normal 8 5 2 2 2 5" xfId="44583"/>
    <cellStyle name="Normal 8 5 2 2 2 6" xfId="44584"/>
    <cellStyle name="Normal 8 5 2 2 3" xfId="44585"/>
    <cellStyle name="Normal 8 5 2 2 3 2" xfId="44586"/>
    <cellStyle name="Normal 8 5 2 2 3 2 2" xfId="44587"/>
    <cellStyle name="Normal 8 5 2 2 3 2 2 2" xfId="44588"/>
    <cellStyle name="Normal 8 5 2 2 3 2 2 3" xfId="44589"/>
    <cellStyle name="Normal 8 5 2 2 3 2 3" xfId="44590"/>
    <cellStyle name="Normal 8 5 2 2 3 2 3 2" xfId="44591"/>
    <cellStyle name="Normal 8 5 2 2 3 2 3 3" xfId="44592"/>
    <cellStyle name="Normal 8 5 2 2 3 2 4" xfId="44593"/>
    <cellStyle name="Normal 8 5 2 2 3 2 5" xfId="44594"/>
    <cellStyle name="Normal 8 5 2 2 3 3" xfId="44595"/>
    <cellStyle name="Normal 8 5 2 2 3 3 2" xfId="44596"/>
    <cellStyle name="Normal 8 5 2 2 3 3 3" xfId="44597"/>
    <cellStyle name="Normal 8 5 2 2 3 4" xfId="44598"/>
    <cellStyle name="Normal 8 5 2 2 3 4 2" xfId="44599"/>
    <cellStyle name="Normal 8 5 2 2 3 4 3" xfId="44600"/>
    <cellStyle name="Normal 8 5 2 2 3 5" xfId="44601"/>
    <cellStyle name="Normal 8 5 2 2 3 6" xfId="44602"/>
    <cellStyle name="Normal 8 5 2 2 4" xfId="44603"/>
    <cellStyle name="Normal 8 5 2 2 4 2" xfId="44604"/>
    <cellStyle name="Normal 8 5 2 2 4 2 2" xfId="44605"/>
    <cellStyle name="Normal 8 5 2 2 4 2 3" xfId="44606"/>
    <cellStyle name="Normal 8 5 2 2 4 3" xfId="44607"/>
    <cellStyle name="Normal 8 5 2 2 4 3 2" xfId="44608"/>
    <cellStyle name="Normal 8 5 2 2 4 3 3" xfId="44609"/>
    <cellStyle name="Normal 8 5 2 2 4 4" xfId="44610"/>
    <cellStyle name="Normal 8 5 2 2 4 5" xfId="44611"/>
    <cellStyle name="Normal 8 5 2 2 5" xfId="44612"/>
    <cellStyle name="Normal 8 5 2 2 5 2" xfId="44613"/>
    <cellStyle name="Normal 8 5 2 2 5 3" xfId="44614"/>
    <cellStyle name="Normal 8 5 2 2 6" xfId="44615"/>
    <cellStyle name="Normal 8 5 2 2 6 2" xfId="44616"/>
    <cellStyle name="Normal 8 5 2 2 6 3" xfId="44617"/>
    <cellStyle name="Normal 8 5 2 2 7" xfId="44618"/>
    <cellStyle name="Normal 8 5 2 2 8" xfId="44619"/>
    <cellStyle name="Normal 8 5 2 3" xfId="44620"/>
    <cellStyle name="Normal 8 5 2 3 2" xfId="44621"/>
    <cellStyle name="Normal 8 5 2 3 2 2" xfId="44622"/>
    <cellStyle name="Normal 8 5 2 3 2 2 2" xfId="44623"/>
    <cellStyle name="Normal 8 5 2 3 2 2 3" xfId="44624"/>
    <cellStyle name="Normal 8 5 2 3 2 3" xfId="44625"/>
    <cellStyle name="Normal 8 5 2 3 2 3 2" xfId="44626"/>
    <cellStyle name="Normal 8 5 2 3 2 3 3" xfId="44627"/>
    <cellStyle name="Normal 8 5 2 3 2 4" xfId="44628"/>
    <cellStyle name="Normal 8 5 2 3 2 5" xfId="44629"/>
    <cellStyle name="Normal 8 5 2 3 3" xfId="44630"/>
    <cellStyle name="Normal 8 5 2 3 3 2" xfId="44631"/>
    <cellStyle name="Normal 8 5 2 3 3 3" xfId="44632"/>
    <cellStyle name="Normal 8 5 2 3 4" xfId="44633"/>
    <cellStyle name="Normal 8 5 2 3 4 2" xfId="44634"/>
    <cellStyle name="Normal 8 5 2 3 4 3" xfId="44635"/>
    <cellStyle name="Normal 8 5 2 3 5" xfId="44636"/>
    <cellStyle name="Normal 8 5 2 3 6" xfId="44637"/>
    <cellStyle name="Normal 8 5 2 4" xfId="44638"/>
    <cellStyle name="Normal 8 5 2 4 2" xfId="44639"/>
    <cellStyle name="Normal 8 5 2 4 2 2" xfId="44640"/>
    <cellStyle name="Normal 8 5 2 4 2 2 2" xfId="44641"/>
    <cellStyle name="Normal 8 5 2 4 2 2 3" xfId="44642"/>
    <cellStyle name="Normal 8 5 2 4 2 3" xfId="44643"/>
    <cellStyle name="Normal 8 5 2 4 2 3 2" xfId="44644"/>
    <cellStyle name="Normal 8 5 2 4 2 3 3" xfId="44645"/>
    <cellStyle name="Normal 8 5 2 4 2 4" xfId="44646"/>
    <cellStyle name="Normal 8 5 2 4 2 5" xfId="44647"/>
    <cellStyle name="Normal 8 5 2 4 3" xfId="44648"/>
    <cellStyle name="Normal 8 5 2 4 3 2" xfId="44649"/>
    <cellStyle name="Normal 8 5 2 4 3 3" xfId="44650"/>
    <cellStyle name="Normal 8 5 2 4 4" xfId="44651"/>
    <cellStyle name="Normal 8 5 2 4 4 2" xfId="44652"/>
    <cellStyle name="Normal 8 5 2 4 4 3" xfId="44653"/>
    <cellStyle name="Normal 8 5 2 4 5" xfId="44654"/>
    <cellStyle name="Normal 8 5 2 4 6" xfId="44655"/>
    <cellStyle name="Normal 8 5 2 5" xfId="44656"/>
    <cellStyle name="Normal 8 5 2 5 2" xfId="44657"/>
    <cellStyle name="Normal 8 5 2 5 2 2" xfId="44658"/>
    <cellStyle name="Normal 8 5 2 5 2 3" xfId="44659"/>
    <cellStyle name="Normal 8 5 2 5 3" xfId="44660"/>
    <cellStyle name="Normal 8 5 2 5 3 2" xfId="44661"/>
    <cellStyle name="Normal 8 5 2 5 3 3" xfId="44662"/>
    <cellStyle name="Normal 8 5 2 5 4" xfId="44663"/>
    <cellStyle name="Normal 8 5 2 5 5" xfId="44664"/>
    <cellStyle name="Normal 8 5 2 6" xfId="44665"/>
    <cellStyle name="Normal 8 5 2 6 2" xfId="44666"/>
    <cellStyle name="Normal 8 5 2 6 3" xfId="44667"/>
    <cellStyle name="Normal 8 5 2 7" xfId="44668"/>
    <cellStyle name="Normal 8 5 2 7 2" xfId="44669"/>
    <cellStyle name="Normal 8 5 2 7 3" xfId="44670"/>
    <cellStyle name="Normal 8 5 2 8" xfId="44671"/>
    <cellStyle name="Normal 8 5 2 9" xfId="44672"/>
    <cellStyle name="Normal 8 5 3" xfId="44673"/>
    <cellStyle name="Normal 8 5 3 2" xfId="44674"/>
    <cellStyle name="Normal 8 5 3 2 2" xfId="44675"/>
    <cellStyle name="Normal 8 5 3 2 2 2" xfId="44676"/>
    <cellStyle name="Normal 8 5 3 2 2 2 2" xfId="44677"/>
    <cellStyle name="Normal 8 5 3 2 2 2 3" xfId="44678"/>
    <cellStyle name="Normal 8 5 3 2 2 3" xfId="44679"/>
    <cellStyle name="Normal 8 5 3 2 2 3 2" xfId="44680"/>
    <cellStyle name="Normal 8 5 3 2 2 3 3" xfId="44681"/>
    <cellStyle name="Normal 8 5 3 2 2 4" xfId="44682"/>
    <cellStyle name="Normal 8 5 3 2 2 5" xfId="44683"/>
    <cellStyle name="Normal 8 5 3 2 3" xfId="44684"/>
    <cellStyle name="Normal 8 5 3 2 3 2" xfId="44685"/>
    <cellStyle name="Normal 8 5 3 2 3 3" xfId="44686"/>
    <cellStyle name="Normal 8 5 3 2 4" xfId="44687"/>
    <cellStyle name="Normal 8 5 3 2 4 2" xfId="44688"/>
    <cellStyle name="Normal 8 5 3 2 4 3" xfId="44689"/>
    <cellStyle name="Normal 8 5 3 2 5" xfId="44690"/>
    <cellStyle name="Normal 8 5 3 2 6" xfId="44691"/>
    <cellStyle name="Normal 8 5 3 3" xfId="44692"/>
    <cellStyle name="Normal 8 5 3 3 2" xfId="44693"/>
    <cellStyle name="Normal 8 5 3 3 2 2" xfId="44694"/>
    <cellStyle name="Normal 8 5 3 3 2 2 2" xfId="44695"/>
    <cellStyle name="Normal 8 5 3 3 2 2 3" xfId="44696"/>
    <cellStyle name="Normal 8 5 3 3 2 3" xfId="44697"/>
    <cellStyle name="Normal 8 5 3 3 2 3 2" xfId="44698"/>
    <cellStyle name="Normal 8 5 3 3 2 3 3" xfId="44699"/>
    <cellStyle name="Normal 8 5 3 3 2 4" xfId="44700"/>
    <cellStyle name="Normal 8 5 3 3 2 5" xfId="44701"/>
    <cellStyle name="Normal 8 5 3 3 3" xfId="44702"/>
    <cellStyle name="Normal 8 5 3 3 3 2" xfId="44703"/>
    <cellStyle name="Normal 8 5 3 3 3 3" xfId="44704"/>
    <cellStyle name="Normal 8 5 3 3 4" xfId="44705"/>
    <cellStyle name="Normal 8 5 3 3 4 2" xfId="44706"/>
    <cellStyle name="Normal 8 5 3 3 4 3" xfId="44707"/>
    <cellStyle name="Normal 8 5 3 3 5" xfId="44708"/>
    <cellStyle name="Normal 8 5 3 3 6" xfId="44709"/>
    <cellStyle name="Normal 8 5 3 4" xfId="44710"/>
    <cellStyle name="Normal 8 5 3 4 2" xfId="44711"/>
    <cellStyle name="Normal 8 5 3 4 2 2" xfId="44712"/>
    <cellStyle name="Normal 8 5 3 4 2 3" xfId="44713"/>
    <cellStyle name="Normal 8 5 3 4 3" xfId="44714"/>
    <cellStyle name="Normal 8 5 3 4 3 2" xfId="44715"/>
    <cellStyle name="Normal 8 5 3 4 3 3" xfId="44716"/>
    <cellStyle name="Normal 8 5 3 4 4" xfId="44717"/>
    <cellStyle name="Normal 8 5 3 4 5" xfId="44718"/>
    <cellStyle name="Normal 8 5 3 5" xfId="44719"/>
    <cellStyle name="Normal 8 5 3 5 2" xfId="44720"/>
    <cellStyle name="Normal 8 5 3 5 3" xfId="44721"/>
    <cellStyle name="Normal 8 5 3 6" xfId="44722"/>
    <cellStyle name="Normal 8 5 3 6 2" xfId="44723"/>
    <cellStyle name="Normal 8 5 3 6 3" xfId="44724"/>
    <cellStyle name="Normal 8 5 3 7" xfId="44725"/>
    <cellStyle name="Normal 8 5 3 8" xfId="44726"/>
    <cellStyle name="Normal 8 5 4" xfId="44727"/>
    <cellStyle name="Normal 8 5 4 2" xfId="44728"/>
    <cellStyle name="Normal 8 5 4 2 2" xfId="44729"/>
    <cellStyle name="Normal 8 5 4 2 2 2" xfId="44730"/>
    <cellStyle name="Normal 8 5 4 2 2 3" xfId="44731"/>
    <cellStyle name="Normal 8 5 4 2 3" xfId="44732"/>
    <cellStyle name="Normal 8 5 4 2 3 2" xfId="44733"/>
    <cellStyle name="Normal 8 5 4 2 3 3" xfId="44734"/>
    <cellStyle name="Normal 8 5 4 2 4" xfId="44735"/>
    <cellStyle name="Normal 8 5 4 2 5" xfId="44736"/>
    <cellStyle name="Normal 8 5 4 3" xfId="44737"/>
    <cellStyle name="Normal 8 5 4 3 2" xfId="44738"/>
    <cellStyle name="Normal 8 5 4 3 3" xfId="44739"/>
    <cellStyle name="Normal 8 5 4 4" xfId="44740"/>
    <cellStyle name="Normal 8 5 4 4 2" xfId="44741"/>
    <cellStyle name="Normal 8 5 4 4 3" xfId="44742"/>
    <cellStyle name="Normal 8 5 4 5" xfId="44743"/>
    <cellStyle name="Normal 8 5 4 6" xfId="44744"/>
    <cellStyle name="Normal 8 5 5" xfId="44745"/>
    <cellStyle name="Normal 8 5 5 2" xfId="44746"/>
    <cellStyle name="Normal 8 5 5 2 2" xfId="44747"/>
    <cellStyle name="Normal 8 5 5 2 2 2" xfId="44748"/>
    <cellStyle name="Normal 8 5 5 2 2 3" xfId="44749"/>
    <cellStyle name="Normal 8 5 5 2 3" xfId="44750"/>
    <cellStyle name="Normal 8 5 5 2 3 2" xfId="44751"/>
    <cellStyle name="Normal 8 5 5 2 3 3" xfId="44752"/>
    <cellStyle name="Normal 8 5 5 2 4" xfId="44753"/>
    <cellStyle name="Normal 8 5 5 2 5" xfId="44754"/>
    <cellStyle name="Normal 8 5 5 3" xfId="44755"/>
    <cellStyle name="Normal 8 5 5 3 2" xfId="44756"/>
    <cellStyle name="Normal 8 5 5 3 3" xfId="44757"/>
    <cellStyle name="Normal 8 5 5 4" xfId="44758"/>
    <cellStyle name="Normal 8 5 5 4 2" xfId="44759"/>
    <cellStyle name="Normal 8 5 5 4 3" xfId="44760"/>
    <cellStyle name="Normal 8 5 5 5" xfId="44761"/>
    <cellStyle name="Normal 8 5 5 6" xfId="44762"/>
    <cellStyle name="Normal 8 5 6" xfId="44763"/>
    <cellStyle name="Normal 8 5 6 2" xfId="44764"/>
    <cellStyle name="Normal 8 5 6 2 2" xfId="44765"/>
    <cellStyle name="Normal 8 5 6 2 3" xfId="44766"/>
    <cellStyle name="Normal 8 5 6 3" xfId="44767"/>
    <cellStyle name="Normal 8 5 6 3 2" xfId="44768"/>
    <cellStyle name="Normal 8 5 6 3 3" xfId="44769"/>
    <cellStyle name="Normal 8 5 6 4" xfId="44770"/>
    <cellStyle name="Normal 8 5 6 5" xfId="44771"/>
    <cellStyle name="Normal 8 5 7" xfId="44772"/>
    <cellStyle name="Normal 8 5 7 2" xfId="44773"/>
    <cellStyle name="Normal 8 5 7 3" xfId="44774"/>
    <cellStyle name="Normal 8 5 8" xfId="44775"/>
    <cellStyle name="Normal 8 5 8 2" xfId="44776"/>
    <cellStyle name="Normal 8 5 8 3" xfId="44777"/>
    <cellStyle name="Normal 8 5 9" xfId="44778"/>
    <cellStyle name="Normal 8 6" xfId="44779"/>
    <cellStyle name="Normal 8 6 10" xfId="44780"/>
    <cellStyle name="Normal 8 6 2" xfId="44781"/>
    <cellStyle name="Normal 8 6 2 2" xfId="44782"/>
    <cellStyle name="Normal 8 6 2 2 2" xfId="44783"/>
    <cellStyle name="Normal 8 6 2 2 2 2" xfId="44784"/>
    <cellStyle name="Normal 8 6 2 2 2 2 2" xfId="44785"/>
    <cellStyle name="Normal 8 6 2 2 2 2 2 2" xfId="44786"/>
    <cellStyle name="Normal 8 6 2 2 2 2 2 3" xfId="44787"/>
    <cellStyle name="Normal 8 6 2 2 2 2 3" xfId="44788"/>
    <cellStyle name="Normal 8 6 2 2 2 2 3 2" xfId="44789"/>
    <cellStyle name="Normal 8 6 2 2 2 2 3 3" xfId="44790"/>
    <cellStyle name="Normal 8 6 2 2 2 2 4" xfId="44791"/>
    <cellStyle name="Normal 8 6 2 2 2 2 5" xfId="44792"/>
    <cellStyle name="Normal 8 6 2 2 2 3" xfId="44793"/>
    <cellStyle name="Normal 8 6 2 2 2 3 2" xfId="44794"/>
    <cellStyle name="Normal 8 6 2 2 2 3 3" xfId="44795"/>
    <cellStyle name="Normal 8 6 2 2 2 4" xfId="44796"/>
    <cellStyle name="Normal 8 6 2 2 2 4 2" xfId="44797"/>
    <cellStyle name="Normal 8 6 2 2 2 4 3" xfId="44798"/>
    <cellStyle name="Normal 8 6 2 2 2 5" xfId="44799"/>
    <cellStyle name="Normal 8 6 2 2 2 6" xfId="44800"/>
    <cellStyle name="Normal 8 6 2 2 3" xfId="44801"/>
    <cellStyle name="Normal 8 6 2 2 3 2" xfId="44802"/>
    <cellStyle name="Normal 8 6 2 2 3 2 2" xfId="44803"/>
    <cellStyle name="Normal 8 6 2 2 3 2 2 2" xfId="44804"/>
    <cellStyle name="Normal 8 6 2 2 3 2 2 3" xfId="44805"/>
    <cellStyle name="Normal 8 6 2 2 3 2 3" xfId="44806"/>
    <cellStyle name="Normal 8 6 2 2 3 2 3 2" xfId="44807"/>
    <cellStyle name="Normal 8 6 2 2 3 2 3 3" xfId="44808"/>
    <cellStyle name="Normal 8 6 2 2 3 2 4" xfId="44809"/>
    <cellStyle name="Normal 8 6 2 2 3 2 5" xfId="44810"/>
    <cellStyle name="Normal 8 6 2 2 3 3" xfId="44811"/>
    <cellStyle name="Normal 8 6 2 2 3 3 2" xfId="44812"/>
    <cellStyle name="Normal 8 6 2 2 3 3 3" xfId="44813"/>
    <cellStyle name="Normal 8 6 2 2 3 4" xfId="44814"/>
    <cellStyle name="Normal 8 6 2 2 3 4 2" xfId="44815"/>
    <cellStyle name="Normal 8 6 2 2 3 4 3" xfId="44816"/>
    <cellStyle name="Normal 8 6 2 2 3 5" xfId="44817"/>
    <cellStyle name="Normal 8 6 2 2 3 6" xfId="44818"/>
    <cellStyle name="Normal 8 6 2 2 4" xfId="44819"/>
    <cellStyle name="Normal 8 6 2 2 4 2" xfId="44820"/>
    <cellStyle name="Normal 8 6 2 2 4 2 2" xfId="44821"/>
    <cellStyle name="Normal 8 6 2 2 4 2 3" xfId="44822"/>
    <cellStyle name="Normal 8 6 2 2 4 3" xfId="44823"/>
    <cellStyle name="Normal 8 6 2 2 4 3 2" xfId="44824"/>
    <cellStyle name="Normal 8 6 2 2 4 3 3" xfId="44825"/>
    <cellStyle name="Normal 8 6 2 2 4 4" xfId="44826"/>
    <cellStyle name="Normal 8 6 2 2 4 5" xfId="44827"/>
    <cellStyle name="Normal 8 6 2 2 5" xfId="44828"/>
    <cellStyle name="Normal 8 6 2 2 5 2" xfId="44829"/>
    <cellStyle name="Normal 8 6 2 2 5 3" xfId="44830"/>
    <cellStyle name="Normal 8 6 2 2 6" xfId="44831"/>
    <cellStyle name="Normal 8 6 2 2 6 2" xfId="44832"/>
    <cellStyle name="Normal 8 6 2 2 6 3" xfId="44833"/>
    <cellStyle name="Normal 8 6 2 2 7" xfId="44834"/>
    <cellStyle name="Normal 8 6 2 2 8" xfId="44835"/>
    <cellStyle name="Normal 8 6 2 3" xfId="44836"/>
    <cellStyle name="Normal 8 6 2 3 2" xfId="44837"/>
    <cellStyle name="Normal 8 6 2 3 2 2" xfId="44838"/>
    <cellStyle name="Normal 8 6 2 3 2 2 2" xfId="44839"/>
    <cellStyle name="Normal 8 6 2 3 2 2 3" xfId="44840"/>
    <cellStyle name="Normal 8 6 2 3 2 3" xfId="44841"/>
    <cellStyle name="Normal 8 6 2 3 2 3 2" xfId="44842"/>
    <cellStyle name="Normal 8 6 2 3 2 3 3" xfId="44843"/>
    <cellStyle name="Normal 8 6 2 3 2 4" xfId="44844"/>
    <cellStyle name="Normal 8 6 2 3 2 5" xfId="44845"/>
    <cellStyle name="Normal 8 6 2 3 3" xfId="44846"/>
    <cellStyle name="Normal 8 6 2 3 3 2" xfId="44847"/>
    <cellStyle name="Normal 8 6 2 3 3 3" xfId="44848"/>
    <cellStyle name="Normal 8 6 2 3 4" xfId="44849"/>
    <cellStyle name="Normal 8 6 2 3 4 2" xfId="44850"/>
    <cellStyle name="Normal 8 6 2 3 4 3" xfId="44851"/>
    <cellStyle name="Normal 8 6 2 3 5" xfId="44852"/>
    <cellStyle name="Normal 8 6 2 3 6" xfId="44853"/>
    <cellStyle name="Normal 8 6 2 4" xfId="44854"/>
    <cellStyle name="Normal 8 6 2 4 2" xfId="44855"/>
    <cellStyle name="Normal 8 6 2 4 2 2" xfId="44856"/>
    <cellStyle name="Normal 8 6 2 4 2 2 2" xfId="44857"/>
    <cellStyle name="Normal 8 6 2 4 2 2 3" xfId="44858"/>
    <cellStyle name="Normal 8 6 2 4 2 3" xfId="44859"/>
    <cellStyle name="Normal 8 6 2 4 2 3 2" xfId="44860"/>
    <cellStyle name="Normal 8 6 2 4 2 3 3" xfId="44861"/>
    <cellStyle name="Normal 8 6 2 4 2 4" xfId="44862"/>
    <cellStyle name="Normal 8 6 2 4 2 5" xfId="44863"/>
    <cellStyle name="Normal 8 6 2 4 3" xfId="44864"/>
    <cellStyle name="Normal 8 6 2 4 3 2" xfId="44865"/>
    <cellStyle name="Normal 8 6 2 4 3 3" xfId="44866"/>
    <cellStyle name="Normal 8 6 2 4 4" xfId="44867"/>
    <cellStyle name="Normal 8 6 2 4 4 2" xfId="44868"/>
    <cellStyle name="Normal 8 6 2 4 4 3" xfId="44869"/>
    <cellStyle name="Normal 8 6 2 4 5" xfId="44870"/>
    <cellStyle name="Normal 8 6 2 4 6" xfId="44871"/>
    <cellStyle name="Normal 8 6 2 5" xfId="44872"/>
    <cellStyle name="Normal 8 6 2 5 2" xfId="44873"/>
    <cellStyle name="Normal 8 6 2 5 2 2" xfId="44874"/>
    <cellStyle name="Normal 8 6 2 5 2 3" xfId="44875"/>
    <cellStyle name="Normal 8 6 2 5 3" xfId="44876"/>
    <cellStyle name="Normal 8 6 2 5 3 2" xfId="44877"/>
    <cellStyle name="Normal 8 6 2 5 3 3" xfId="44878"/>
    <cellStyle name="Normal 8 6 2 5 4" xfId="44879"/>
    <cellStyle name="Normal 8 6 2 5 5" xfId="44880"/>
    <cellStyle name="Normal 8 6 2 6" xfId="44881"/>
    <cellStyle name="Normal 8 6 2 6 2" xfId="44882"/>
    <cellStyle name="Normal 8 6 2 6 3" xfId="44883"/>
    <cellStyle name="Normal 8 6 2 7" xfId="44884"/>
    <cellStyle name="Normal 8 6 2 7 2" xfId="44885"/>
    <cellStyle name="Normal 8 6 2 7 3" xfId="44886"/>
    <cellStyle name="Normal 8 6 2 8" xfId="44887"/>
    <cellStyle name="Normal 8 6 2 9" xfId="44888"/>
    <cellStyle name="Normal 8 6 3" xfId="44889"/>
    <cellStyle name="Normal 8 6 3 2" xfId="44890"/>
    <cellStyle name="Normal 8 6 3 2 2" xfId="44891"/>
    <cellStyle name="Normal 8 6 3 2 2 2" xfId="44892"/>
    <cellStyle name="Normal 8 6 3 2 2 2 2" xfId="44893"/>
    <cellStyle name="Normal 8 6 3 2 2 2 3" xfId="44894"/>
    <cellStyle name="Normal 8 6 3 2 2 3" xfId="44895"/>
    <cellStyle name="Normal 8 6 3 2 2 3 2" xfId="44896"/>
    <cellStyle name="Normal 8 6 3 2 2 3 3" xfId="44897"/>
    <cellStyle name="Normal 8 6 3 2 2 4" xfId="44898"/>
    <cellStyle name="Normal 8 6 3 2 2 5" xfId="44899"/>
    <cellStyle name="Normal 8 6 3 2 3" xfId="44900"/>
    <cellStyle name="Normal 8 6 3 2 3 2" xfId="44901"/>
    <cellStyle name="Normal 8 6 3 2 3 3" xfId="44902"/>
    <cellStyle name="Normal 8 6 3 2 4" xfId="44903"/>
    <cellStyle name="Normal 8 6 3 2 4 2" xfId="44904"/>
    <cellStyle name="Normal 8 6 3 2 4 3" xfId="44905"/>
    <cellStyle name="Normal 8 6 3 2 5" xfId="44906"/>
    <cellStyle name="Normal 8 6 3 2 6" xfId="44907"/>
    <cellStyle name="Normal 8 6 3 3" xfId="44908"/>
    <cellStyle name="Normal 8 6 3 3 2" xfId="44909"/>
    <cellStyle name="Normal 8 6 3 3 2 2" xfId="44910"/>
    <cellStyle name="Normal 8 6 3 3 2 2 2" xfId="44911"/>
    <cellStyle name="Normal 8 6 3 3 2 2 3" xfId="44912"/>
    <cellStyle name="Normal 8 6 3 3 2 3" xfId="44913"/>
    <cellStyle name="Normal 8 6 3 3 2 3 2" xfId="44914"/>
    <cellStyle name="Normal 8 6 3 3 2 3 3" xfId="44915"/>
    <cellStyle name="Normal 8 6 3 3 2 4" xfId="44916"/>
    <cellStyle name="Normal 8 6 3 3 2 5" xfId="44917"/>
    <cellStyle name="Normal 8 6 3 3 3" xfId="44918"/>
    <cellStyle name="Normal 8 6 3 3 3 2" xfId="44919"/>
    <cellStyle name="Normal 8 6 3 3 3 3" xfId="44920"/>
    <cellStyle name="Normal 8 6 3 3 4" xfId="44921"/>
    <cellStyle name="Normal 8 6 3 3 4 2" xfId="44922"/>
    <cellStyle name="Normal 8 6 3 3 4 3" xfId="44923"/>
    <cellStyle name="Normal 8 6 3 3 5" xfId="44924"/>
    <cellStyle name="Normal 8 6 3 3 6" xfId="44925"/>
    <cellStyle name="Normal 8 6 3 4" xfId="44926"/>
    <cellStyle name="Normal 8 6 3 4 2" xfId="44927"/>
    <cellStyle name="Normal 8 6 3 4 2 2" xfId="44928"/>
    <cellStyle name="Normal 8 6 3 4 2 3" xfId="44929"/>
    <cellStyle name="Normal 8 6 3 4 3" xfId="44930"/>
    <cellStyle name="Normal 8 6 3 4 3 2" xfId="44931"/>
    <cellStyle name="Normal 8 6 3 4 3 3" xfId="44932"/>
    <cellStyle name="Normal 8 6 3 4 4" xfId="44933"/>
    <cellStyle name="Normal 8 6 3 4 5" xfId="44934"/>
    <cellStyle name="Normal 8 6 3 5" xfId="44935"/>
    <cellStyle name="Normal 8 6 3 5 2" xfId="44936"/>
    <cellStyle name="Normal 8 6 3 5 3" xfId="44937"/>
    <cellStyle name="Normal 8 6 3 6" xfId="44938"/>
    <cellStyle name="Normal 8 6 3 6 2" xfId="44939"/>
    <cellStyle name="Normal 8 6 3 6 3" xfId="44940"/>
    <cellStyle name="Normal 8 6 3 7" xfId="44941"/>
    <cellStyle name="Normal 8 6 3 8" xfId="44942"/>
    <cellStyle name="Normal 8 6 4" xfId="44943"/>
    <cellStyle name="Normal 8 6 4 2" xfId="44944"/>
    <cellStyle name="Normal 8 6 4 2 2" xfId="44945"/>
    <cellStyle name="Normal 8 6 4 2 2 2" xfId="44946"/>
    <cellStyle name="Normal 8 6 4 2 2 3" xfId="44947"/>
    <cellStyle name="Normal 8 6 4 2 3" xfId="44948"/>
    <cellStyle name="Normal 8 6 4 2 3 2" xfId="44949"/>
    <cellStyle name="Normal 8 6 4 2 3 3" xfId="44950"/>
    <cellStyle name="Normal 8 6 4 2 4" xfId="44951"/>
    <cellStyle name="Normal 8 6 4 2 5" xfId="44952"/>
    <cellStyle name="Normal 8 6 4 3" xfId="44953"/>
    <cellStyle name="Normal 8 6 4 3 2" xfId="44954"/>
    <cellStyle name="Normal 8 6 4 3 3" xfId="44955"/>
    <cellStyle name="Normal 8 6 4 4" xfId="44956"/>
    <cellStyle name="Normal 8 6 4 4 2" xfId="44957"/>
    <cellStyle name="Normal 8 6 4 4 3" xfId="44958"/>
    <cellStyle name="Normal 8 6 4 5" xfId="44959"/>
    <cellStyle name="Normal 8 6 4 6" xfId="44960"/>
    <cellStyle name="Normal 8 6 5" xfId="44961"/>
    <cellStyle name="Normal 8 6 5 2" xfId="44962"/>
    <cellStyle name="Normal 8 6 5 2 2" xfId="44963"/>
    <cellStyle name="Normal 8 6 5 2 2 2" xfId="44964"/>
    <cellStyle name="Normal 8 6 5 2 2 3" xfId="44965"/>
    <cellStyle name="Normal 8 6 5 2 3" xfId="44966"/>
    <cellStyle name="Normal 8 6 5 2 3 2" xfId="44967"/>
    <cellStyle name="Normal 8 6 5 2 3 3" xfId="44968"/>
    <cellStyle name="Normal 8 6 5 2 4" xfId="44969"/>
    <cellStyle name="Normal 8 6 5 2 5" xfId="44970"/>
    <cellStyle name="Normal 8 6 5 3" xfId="44971"/>
    <cellStyle name="Normal 8 6 5 3 2" xfId="44972"/>
    <cellStyle name="Normal 8 6 5 3 3" xfId="44973"/>
    <cellStyle name="Normal 8 6 5 4" xfId="44974"/>
    <cellStyle name="Normal 8 6 5 4 2" xfId="44975"/>
    <cellStyle name="Normal 8 6 5 4 3" xfId="44976"/>
    <cellStyle name="Normal 8 6 5 5" xfId="44977"/>
    <cellStyle name="Normal 8 6 5 6" xfId="44978"/>
    <cellStyle name="Normal 8 6 6" xfId="44979"/>
    <cellStyle name="Normal 8 6 6 2" xfId="44980"/>
    <cellStyle name="Normal 8 6 6 2 2" xfId="44981"/>
    <cellStyle name="Normal 8 6 6 2 3" xfId="44982"/>
    <cellStyle name="Normal 8 6 6 3" xfId="44983"/>
    <cellStyle name="Normal 8 6 6 3 2" xfId="44984"/>
    <cellStyle name="Normal 8 6 6 3 3" xfId="44985"/>
    <cellStyle name="Normal 8 6 6 4" xfId="44986"/>
    <cellStyle name="Normal 8 6 6 5" xfId="44987"/>
    <cellStyle name="Normal 8 6 7" xfId="44988"/>
    <cellStyle name="Normal 8 6 7 2" xfId="44989"/>
    <cellStyle name="Normal 8 6 7 3" xfId="44990"/>
    <cellStyle name="Normal 8 6 8" xfId="44991"/>
    <cellStyle name="Normal 8 6 8 2" xfId="44992"/>
    <cellStyle name="Normal 8 6 8 3" xfId="44993"/>
    <cellStyle name="Normal 8 6 9" xfId="44994"/>
    <cellStyle name="Normal 8 7" xfId="44995"/>
    <cellStyle name="Normal 8 7 2" xfId="44996"/>
    <cellStyle name="Normal 8 7 2 2" xfId="44997"/>
    <cellStyle name="Normal 8 7 2 2 2" xfId="44998"/>
    <cellStyle name="Normal 8 7 2 2 2 2" xfId="44999"/>
    <cellStyle name="Normal 8 7 2 2 2 2 2" xfId="45000"/>
    <cellStyle name="Normal 8 7 2 2 2 2 3" xfId="45001"/>
    <cellStyle name="Normal 8 7 2 2 2 3" xfId="45002"/>
    <cellStyle name="Normal 8 7 2 2 2 3 2" xfId="45003"/>
    <cellStyle name="Normal 8 7 2 2 2 3 3" xfId="45004"/>
    <cellStyle name="Normal 8 7 2 2 2 4" xfId="45005"/>
    <cellStyle name="Normal 8 7 2 2 2 5" xfId="45006"/>
    <cellStyle name="Normal 8 7 2 2 3" xfId="45007"/>
    <cellStyle name="Normal 8 7 2 2 3 2" xfId="45008"/>
    <cellStyle name="Normal 8 7 2 2 3 3" xfId="45009"/>
    <cellStyle name="Normal 8 7 2 2 4" xfId="45010"/>
    <cellStyle name="Normal 8 7 2 2 4 2" xfId="45011"/>
    <cellStyle name="Normal 8 7 2 2 4 3" xfId="45012"/>
    <cellStyle name="Normal 8 7 2 2 5" xfId="45013"/>
    <cellStyle name="Normal 8 7 2 2 6" xfId="45014"/>
    <cellStyle name="Normal 8 7 2 3" xfId="45015"/>
    <cellStyle name="Normal 8 7 2 3 2" xfId="45016"/>
    <cellStyle name="Normal 8 7 2 3 2 2" xfId="45017"/>
    <cellStyle name="Normal 8 7 2 3 2 2 2" xfId="45018"/>
    <cellStyle name="Normal 8 7 2 3 2 2 3" xfId="45019"/>
    <cellStyle name="Normal 8 7 2 3 2 3" xfId="45020"/>
    <cellStyle name="Normal 8 7 2 3 2 3 2" xfId="45021"/>
    <cellStyle name="Normal 8 7 2 3 2 3 3" xfId="45022"/>
    <cellStyle name="Normal 8 7 2 3 2 4" xfId="45023"/>
    <cellStyle name="Normal 8 7 2 3 2 5" xfId="45024"/>
    <cellStyle name="Normal 8 7 2 3 3" xfId="45025"/>
    <cellStyle name="Normal 8 7 2 3 3 2" xfId="45026"/>
    <cellStyle name="Normal 8 7 2 3 3 3" xfId="45027"/>
    <cellStyle name="Normal 8 7 2 3 4" xfId="45028"/>
    <cellStyle name="Normal 8 7 2 3 4 2" xfId="45029"/>
    <cellStyle name="Normal 8 7 2 3 4 3" xfId="45030"/>
    <cellStyle name="Normal 8 7 2 3 5" xfId="45031"/>
    <cellStyle name="Normal 8 7 2 3 6" xfId="45032"/>
    <cellStyle name="Normal 8 7 2 4" xfId="45033"/>
    <cellStyle name="Normal 8 7 2 4 2" xfId="45034"/>
    <cellStyle name="Normal 8 7 2 4 2 2" xfId="45035"/>
    <cellStyle name="Normal 8 7 2 4 2 3" xfId="45036"/>
    <cellStyle name="Normal 8 7 2 4 3" xfId="45037"/>
    <cellStyle name="Normal 8 7 2 4 3 2" xfId="45038"/>
    <cellStyle name="Normal 8 7 2 4 3 3" xfId="45039"/>
    <cellStyle name="Normal 8 7 2 4 4" xfId="45040"/>
    <cellStyle name="Normal 8 7 2 4 5" xfId="45041"/>
    <cellStyle name="Normal 8 7 2 5" xfId="45042"/>
    <cellStyle name="Normal 8 7 2 5 2" xfId="45043"/>
    <cellStyle name="Normal 8 7 2 5 3" xfId="45044"/>
    <cellStyle name="Normal 8 7 2 6" xfId="45045"/>
    <cellStyle name="Normal 8 7 2 6 2" xfId="45046"/>
    <cellStyle name="Normal 8 7 2 6 3" xfId="45047"/>
    <cellStyle name="Normal 8 7 2 7" xfId="45048"/>
    <cellStyle name="Normal 8 7 2 8" xfId="45049"/>
    <cellStyle name="Normal 8 7 3" xfId="45050"/>
    <cellStyle name="Normal 8 7 3 2" xfId="45051"/>
    <cellStyle name="Normal 8 7 3 2 2" xfId="45052"/>
    <cellStyle name="Normal 8 7 3 2 2 2" xfId="45053"/>
    <cellStyle name="Normal 8 7 3 2 2 3" xfId="45054"/>
    <cellStyle name="Normal 8 7 3 2 3" xfId="45055"/>
    <cellStyle name="Normal 8 7 3 2 3 2" xfId="45056"/>
    <cellStyle name="Normal 8 7 3 2 3 3" xfId="45057"/>
    <cellStyle name="Normal 8 7 3 2 4" xfId="45058"/>
    <cellStyle name="Normal 8 7 3 2 5" xfId="45059"/>
    <cellStyle name="Normal 8 7 3 3" xfId="45060"/>
    <cellStyle name="Normal 8 7 3 3 2" xfId="45061"/>
    <cellStyle name="Normal 8 7 3 3 3" xfId="45062"/>
    <cellStyle name="Normal 8 7 3 4" xfId="45063"/>
    <cellStyle name="Normal 8 7 3 4 2" xfId="45064"/>
    <cellStyle name="Normal 8 7 3 4 3" xfId="45065"/>
    <cellStyle name="Normal 8 7 3 5" xfId="45066"/>
    <cellStyle name="Normal 8 7 3 6" xfId="45067"/>
    <cellStyle name="Normal 8 7 4" xfId="45068"/>
    <cellStyle name="Normal 8 7 4 2" xfId="45069"/>
    <cellStyle name="Normal 8 7 4 2 2" xfId="45070"/>
    <cellStyle name="Normal 8 7 4 2 2 2" xfId="45071"/>
    <cellStyle name="Normal 8 7 4 2 2 3" xfId="45072"/>
    <cellStyle name="Normal 8 7 4 2 3" xfId="45073"/>
    <cellStyle name="Normal 8 7 4 2 3 2" xfId="45074"/>
    <cellStyle name="Normal 8 7 4 2 3 3" xfId="45075"/>
    <cellStyle name="Normal 8 7 4 2 4" xfId="45076"/>
    <cellStyle name="Normal 8 7 4 2 5" xfId="45077"/>
    <cellStyle name="Normal 8 7 4 3" xfId="45078"/>
    <cellStyle name="Normal 8 7 4 3 2" xfId="45079"/>
    <cellStyle name="Normal 8 7 4 3 3" xfId="45080"/>
    <cellStyle name="Normal 8 7 4 4" xfId="45081"/>
    <cellStyle name="Normal 8 7 4 4 2" xfId="45082"/>
    <cellStyle name="Normal 8 7 4 4 3" xfId="45083"/>
    <cellStyle name="Normal 8 7 4 5" xfId="45084"/>
    <cellStyle name="Normal 8 7 4 6" xfId="45085"/>
    <cellStyle name="Normal 8 7 5" xfId="45086"/>
    <cellStyle name="Normal 8 7 5 2" xfId="45087"/>
    <cellStyle name="Normal 8 7 5 2 2" xfId="45088"/>
    <cellStyle name="Normal 8 7 5 2 3" xfId="45089"/>
    <cellStyle name="Normal 8 7 5 3" xfId="45090"/>
    <cellStyle name="Normal 8 7 5 3 2" xfId="45091"/>
    <cellStyle name="Normal 8 7 5 3 3" xfId="45092"/>
    <cellStyle name="Normal 8 7 5 4" xfId="45093"/>
    <cellStyle name="Normal 8 7 5 5" xfId="45094"/>
    <cellStyle name="Normal 8 7 6" xfId="45095"/>
    <cellStyle name="Normal 8 7 6 2" xfId="45096"/>
    <cellStyle name="Normal 8 7 6 3" xfId="45097"/>
    <cellStyle name="Normal 8 7 7" xfId="45098"/>
    <cellStyle name="Normal 8 7 7 2" xfId="45099"/>
    <cellStyle name="Normal 8 7 7 3" xfId="45100"/>
    <cellStyle name="Normal 8 7 8" xfId="45101"/>
    <cellStyle name="Normal 8 7 9" xfId="45102"/>
    <cellStyle name="Normal 8 8" xfId="45103"/>
    <cellStyle name="Normal 8 8 2" xfId="45104"/>
    <cellStyle name="Normal 8 8 2 2" xfId="45105"/>
    <cellStyle name="Normal 8 8 2 2 2" xfId="45106"/>
    <cellStyle name="Normal 8 8 2 2 2 2" xfId="45107"/>
    <cellStyle name="Normal 8 8 2 2 2 3" xfId="45108"/>
    <cellStyle name="Normal 8 8 2 2 3" xfId="45109"/>
    <cellStyle name="Normal 8 8 2 2 3 2" xfId="45110"/>
    <cellStyle name="Normal 8 8 2 2 3 3" xfId="45111"/>
    <cellStyle name="Normal 8 8 2 2 4" xfId="45112"/>
    <cellStyle name="Normal 8 8 2 2 5" xfId="45113"/>
    <cellStyle name="Normal 8 8 2 3" xfId="45114"/>
    <cellStyle name="Normal 8 8 2 3 2" xfId="45115"/>
    <cellStyle name="Normal 8 8 2 3 3" xfId="45116"/>
    <cellStyle name="Normal 8 8 2 4" xfId="45117"/>
    <cellStyle name="Normal 8 8 2 4 2" xfId="45118"/>
    <cellStyle name="Normal 8 8 2 4 3" xfId="45119"/>
    <cellStyle name="Normal 8 8 2 5" xfId="45120"/>
    <cellStyle name="Normal 8 8 2 6" xfId="45121"/>
    <cellStyle name="Normal 8 8 3" xfId="45122"/>
    <cellStyle name="Normal 8 8 3 2" xfId="45123"/>
    <cellStyle name="Normal 8 8 3 2 2" xfId="45124"/>
    <cellStyle name="Normal 8 8 3 2 2 2" xfId="45125"/>
    <cellStyle name="Normal 8 8 3 2 2 3" xfId="45126"/>
    <cellStyle name="Normal 8 8 3 2 3" xfId="45127"/>
    <cellStyle name="Normal 8 8 3 2 3 2" xfId="45128"/>
    <cellStyle name="Normal 8 8 3 2 3 3" xfId="45129"/>
    <cellStyle name="Normal 8 8 3 2 4" xfId="45130"/>
    <cellStyle name="Normal 8 8 3 2 5" xfId="45131"/>
    <cellStyle name="Normal 8 8 3 3" xfId="45132"/>
    <cellStyle name="Normal 8 8 3 3 2" xfId="45133"/>
    <cellStyle name="Normal 8 8 3 3 3" xfId="45134"/>
    <cellStyle name="Normal 8 8 3 4" xfId="45135"/>
    <cellStyle name="Normal 8 8 3 4 2" xfId="45136"/>
    <cellStyle name="Normal 8 8 3 4 3" xfId="45137"/>
    <cellStyle name="Normal 8 8 3 5" xfId="45138"/>
    <cellStyle name="Normal 8 8 3 6" xfId="45139"/>
    <cellStyle name="Normal 8 8 4" xfId="45140"/>
    <cellStyle name="Normal 8 8 4 2" xfId="45141"/>
    <cellStyle name="Normal 8 8 4 2 2" xfId="45142"/>
    <cellStyle name="Normal 8 8 4 2 3" xfId="45143"/>
    <cellStyle name="Normal 8 8 4 3" xfId="45144"/>
    <cellStyle name="Normal 8 8 4 3 2" xfId="45145"/>
    <cellStyle name="Normal 8 8 4 3 3" xfId="45146"/>
    <cellStyle name="Normal 8 8 4 4" xfId="45147"/>
    <cellStyle name="Normal 8 8 4 5" xfId="45148"/>
    <cellStyle name="Normal 8 8 5" xfId="45149"/>
    <cellStyle name="Normal 8 8 5 2" xfId="45150"/>
    <cellStyle name="Normal 8 8 5 3" xfId="45151"/>
    <cellStyle name="Normal 8 8 6" xfId="45152"/>
    <cellStyle name="Normal 8 8 6 2" xfId="45153"/>
    <cellStyle name="Normal 8 8 6 3" xfId="45154"/>
    <cellStyle name="Normal 8 8 7" xfId="45155"/>
    <cellStyle name="Normal 8 8 8" xfId="45156"/>
    <cellStyle name="Normal 8 9" xfId="45157"/>
    <cellStyle name="Normal 8 9 2" xfId="45158"/>
    <cellStyle name="Normal 8 9 2 2" xfId="45159"/>
    <cellStyle name="Normal 8 9 2 2 2" xfId="45160"/>
    <cellStyle name="Normal 8 9 2 2 3" xfId="45161"/>
    <cellStyle name="Normal 8 9 2 3" xfId="45162"/>
    <cellStyle name="Normal 8 9 2 3 2" xfId="45163"/>
    <cellStyle name="Normal 8 9 2 3 3" xfId="45164"/>
    <cellStyle name="Normal 8 9 2 4" xfId="45165"/>
    <cellStyle name="Normal 8 9 2 5" xfId="45166"/>
    <cellStyle name="Normal 8 9 3" xfId="45167"/>
    <cellStyle name="Normal 8 9 3 2" xfId="45168"/>
    <cellStyle name="Normal 8 9 3 3" xfId="45169"/>
    <cellStyle name="Normal 8 9 4" xfId="45170"/>
    <cellStyle name="Normal 8 9 4 2" xfId="45171"/>
    <cellStyle name="Normal 8 9 4 3" xfId="45172"/>
    <cellStyle name="Normal 8 9 5" xfId="45173"/>
    <cellStyle name="Normal 8 9 6" xfId="45174"/>
    <cellStyle name="Normal 9" xfId="49"/>
    <cellStyle name="Normal 9 2" xfId="45175"/>
    <cellStyle name="Normal 9 2 2" xfId="45176"/>
    <cellStyle name="Normal 9 3" xfId="45177"/>
    <cellStyle name="Normal_Guiding Programmatic Budgets (PILOT) 2" xfId="51486"/>
    <cellStyle name="Note 2" xfId="45178"/>
    <cellStyle name="Note 2 2" xfId="45179"/>
    <cellStyle name="Percent" xfId="3" builtinId="5"/>
    <cellStyle name="Percent 2" xfId="17"/>
    <cellStyle name="Percent 2 10" xfId="45180"/>
    <cellStyle name="Percent 2 10 2" xfId="45181"/>
    <cellStyle name="Percent 2 10 2 2" xfId="45182"/>
    <cellStyle name="Percent 2 10 2 3" xfId="45183"/>
    <cellStyle name="Percent 2 10 3" xfId="45184"/>
    <cellStyle name="Percent 2 10 3 2" xfId="45185"/>
    <cellStyle name="Percent 2 10 3 3" xfId="45186"/>
    <cellStyle name="Percent 2 10 4" xfId="45187"/>
    <cellStyle name="Percent 2 10 5" xfId="45188"/>
    <cellStyle name="Percent 2 11" xfId="45189"/>
    <cellStyle name="Percent 2 12" xfId="45190"/>
    <cellStyle name="Percent 2 13" xfId="45191"/>
    <cellStyle name="Percent 2 14" xfId="45192"/>
    <cellStyle name="Percent 2 15" xfId="45193"/>
    <cellStyle name="Percent 2 16" xfId="45194"/>
    <cellStyle name="Percent 2 17" xfId="45195"/>
    <cellStyle name="Percent 2 2" xfId="57"/>
    <cellStyle name="Percent 2 2 10" xfId="45196"/>
    <cellStyle name="Percent 2 2 10 2" xfId="45197"/>
    <cellStyle name="Percent 2 2 10 2 2" xfId="45198"/>
    <cellStyle name="Percent 2 2 10 2 2 2" xfId="45199"/>
    <cellStyle name="Percent 2 2 10 2 2 3" xfId="45200"/>
    <cellStyle name="Percent 2 2 10 2 3" xfId="45201"/>
    <cellStyle name="Percent 2 2 10 2 3 2" xfId="45202"/>
    <cellStyle name="Percent 2 2 10 2 3 3" xfId="45203"/>
    <cellStyle name="Percent 2 2 10 2 4" xfId="45204"/>
    <cellStyle name="Percent 2 2 10 2 5" xfId="45205"/>
    <cellStyle name="Percent 2 2 10 3" xfId="45206"/>
    <cellStyle name="Percent 2 2 10 3 2" xfId="45207"/>
    <cellStyle name="Percent 2 2 10 3 3" xfId="45208"/>
    <cellStyle name="Percent 2 2 10 4" xfId="45209"/>
    <cellStyle name="Percent 2 2 10 4 2" xfId="45210"/>
    <cellStyle name="Percent 2 2 10 4 3" xfId="45211"/>
    <cellStyle name="Percent 2 2 10 5" xfId="45212"/>
    <cellStyle name="Percent 2 2 10 6" xfId="45213"/>
    <cellStyle name="Percent 2 2 11" xfId="45214"/>
    <cellStyle name="Percent 2 2 11 2" xfId="45215"/>
    <cellStyle name="Percent 2 2 11 2 2" xfId="45216"/>
    <cellStyle name="Percent 2 2 11 2 2 2" xfId="45217"/>
    <cellStyle name="Percent 2 2 11 2 2 3" xfId="45218"/>
    <cellStyle name="Percent 2 2 11 2 3" xfId="45219"/>
    <cellStyle name="Percent 2 2 11 2 3 2" xfId="45220"/>
    <cellStyle name="Percent 2 2 11 2 3 3" xfId="45221"/>
    <cellStyle name="Percent 2 2 11 2 4" xfId="45222"/>
    <cellStyle name="Percent 2 2 11 2 5" xfId="45223"/>
    <cellStyle name="Percent 2 2 11 3" xfId="45224"/>
    <cellStyle name="Percent 2 2 11 3 2" xfId="45225"/>
    <cellStyle name="Percent 2 2 11 3 3" xfId="45226"/>
    <cellStyle name="Percent 2 2 11 4" xfId="45227"/>
    <cellStyle name="Percent 2 2 11 4 2" xfId="45228"/>
    <cellStyle name="Percent 2 2 11 4 3" xfId="45229"/>
    <cellStyle name="Percent 2 2 11 5" xfId="45230"/>
    <cellStyle name="Percent 2 2 11 6" xfId="45231"/>
    <cellStyle name="Percent 2 2 12" xfId="45232"/>
    <cellStyle name="Percent 2 2 12 2" xfId="45233"/>
    <cellStyle name="Percent 2 2 12 2 2" xfId="45234"/>
    <cellStyle name="Percent 2 2 12 2 3" xfId="45235"/>
    <cellStyle name="Percent 2 2 12 3" xfId="45236"/>
    <cellStyle name="Percent 2 2 12 3 2" xfId="45237"/>
    <cellStyle name="Percent 2 2 12 3 3" xfId="45238"/>
    <cellStyle name="Percent 2 2 12 4" xfId="45239"/>
    <cellStyle name="Percent 2 2 12 5" xfId="45240"/>
    <cellStyle name="Percent 2 2 13" xfId="45241"/>
    <cellStyle name="Percent 2 2 13 2" xfId="45242"/>
    <cellStyle name="Percent 2 2 13 3" xfId="45243"/>
    <cellStyle name="Percent 2 2 14" xfId="45244"/>
    <cellStyle name="Percent 2 2 14 2" xfId="45245"/>
    <cellStyle name="Percent 2 2 14 3" xfId="45246"/>
    <cellStyle name="Percent 2 2 15" xfId="45247"/>
    <cellStyle name="Percent 2 2 16" xfId="45248"/>
    <cellStyle name="Percent 2 2 17" xfId="45249"/>
    <cellStyle name="Percent 2 2 18" xfId="45250"/>
    <cellStyle name="Percent 2 2 2" xfId="45251"/>
    <cellStyle name="Percent 2 2 2 2" xfId="45252"/>
    <cellStyle name="Percent 2 2 2 3" xfId="45253"/>
    <cellStyle name="Percent 2 2 2 4" xfId="45254"/>
    <cellStyle name="Percent 2 2 3" xfId="45255"/>
    <cellStyle name="Percent 2 2 3 10" xfId="45256"/>
    <cellStyle name="Percent 2 2 3 10 2" xfId="45257"/>
    <cellStyle name="Percent 2 2 3 10 3" xfId="45258"/>
    <cellStyle name="Percent 2 2 3 11" xfId="45259"/>
    <cellStyle name="Percent 2 2 3 11 2" xfId="45260"/>
    <cellStyle name="Percent 2 2 3 11 3" xfId="45261"/>
    <cellStyle name="Percent 2 2 3 12" xfId="45262"/>
    <cellStyle name="Percent 2 2 3 13" xfId="45263"/>
    <cellStyle name="Percent 2 2 3 2" xfId="45264"/>
    <cellStyle name="Percent 2 2 3 2 10" xfId="45265"/>
    <cellStyle name="Percent 2 2 3 2 10 2" xfId="45266"/>
    <cellStyle name="Percent 2 2 3 2 10 3" xfId="45267"/>
    <cellStyle name="Percent 2 2 3 2 11" xfId="45268"/>
    <cellStyle name="Percent 2 2 3 2 12" xfId="45269"/>
    <cellStyle name="Percent 2 2 3 2 2" xfId="45270"/>
    <cellStyle name="Percent 2 2 3 2 2 10" xfId="45271"/>
    <cellStyle name="Percent 2 2 3 2 2 2" xfId="45272"/>
    <cellStyle name="Percent 2 2 3 2 2 2 2" xfId="45273"/>
    <cellStyle name="Percent 2 2 3 2 2 2 2 2" xfId="45274"/>
    <cellStyle name="Percent 2 2 3 2 2 2 2 2 2" xfId="45275"/>
    <cellStyle name="Percent 2 2 3 2 2 2 2 2 2 2" xfId="45276"/>
    <cellStyle name="Percent 2 2 3 2 2 2 2 2 2 2 2" xfId="45277"/>
    <cellStyle name="Percent 2 2 3 2 2 2 2 2 2 2 3" xfId="45278"/>
    <cellStyle name="Percent 2 2 3 2 2 2 2 2 2 3" xfId="45279"/>
    <cellStyle name="Percent 2 2 3 2 2 2 2 2 2 3 2" xfId="45280"/>
    <cellStyle name="Percent 2 2 3 2 2 2 2 2 2 3 3" xfId="45281"/>
    <cellStyle name="Percent 2 2 3 2 2 2 2 2 2 4" xfId="45282"/>
    <cellStyle name="Percent 2 2 3 2 2 2 2 2 2 5" xfId="45283"/>
    <cellStyle name="Percent 2 2 3 2 2 2 2 2 3" xfId="45284"/>
    <cellStyle name="Percent 2 2 3 2 2 2 2 2 3 2" xfId="45285"/>
    <cellStyle name="Percent 2 2 3 2 2 2 2 2 3 3" xfId="45286"/>
    <cellStyle name="Percent 2 2 3 2 2 2 2 2 4" xfId="45287"/>
    <cellStyle name="Percent 2 2 3 2 2 2 2 2 4 2" xfId="45288"/>
    <cellStyle name="Percent 2 2 3 2 2 2 2 2 4 3" xfId="45289"/>
    <cellStyle name="Percent 2 2 3 2 2 2 2 2 5" xfId="45290"/>
    <cellStyle name="Percent 2 2 3 2 2 2 2 2 6" xfId="45291"/>
    <cellStyle name="Percent 2 2 3 2 2 2 2 3" xfId="45292"/>
    <cellStyle name="Percent 2 2 3 2 2 2 2 3 2" xfId="45293"/>
    <cellStyle name="Percent 2 2 3 2 2 2 2 3 2 2" xfId="45294"/>
    <cellStyle name="Percent 2 2 3 2 2 2 2 3 2 2 2" xfId="45295"/>
    <cellStyle name="Percent 2 2 3 2 2 2 2 3 2 2 3" xfId="45296"/>
    <cellStyle name="Percent 2 2 3 2 2 2 2 3 2 3" xfId="45297"/>
    <cellStyle name="Percent 2 2 3 2 2 2 2 3 2 3 2" xfId="45298"/>
    <cellStyle name="Percent 2 2 3 2 2 2 2 3 2 3 3" xfId="45299"/>
    <cellStyle name="Percent 2 2 3 2 2 2 2 3 2 4" xfId="45300"/>
    <cellStyle name="Percent 2 2 3 2 2 2 2 3 2 5" xfId="45301"/>
    <cellStyle name="Percent 2 2 3 2 2 2 2 3 3" xfId="45302"/>
    <cellStyle name="Percent 2 2 3 2 2 2 2 3 3 2" xfId="45303"/>
    <cellStyle name="Percent 2 2 3 2 2 2 2 3 3 3" xfId="45304"/>
    <cellStyle name="Percent 2 2 3 2 2 2 2 3 4" xfId="45305"/>
    <cellStyle name="Percent 2 2 3 2 2 2 2 3 4 2" xfId="45306"/>
    <cellStyle name="Percent 2 2 3 2 2 2 2 3 4 3" xfId="45307"/>
    <cellStyle name="Percent 2 2 3 2 2 2 2 3 5" xfId="45308"/>
    <cellStyle name="Percent 2 2 3 2 2 2 2 3 6" xfId="45309"/>
    <cellStyle name="Percent 2 2 3 2 2 2 2 4" xfId="45310"/>
    <cellStyle name="Percent 2 2 3 2 2 2 2 4 2" xfId="45311"/>
    <cellStyle name="Percent 2 2 3 2 2 2 2 4 2 2" xfId="45312"/>
    <cellStyle name="Percent 2 2 3 2 2 2 2 4 2 3" xfId="45313"/>
    <cellStyle name="Percent 2 2 3 2 2 2 2 4 3" xfId="45314"/>
    <cellStyle name="Percent 2 2 3 2 2 2 2 4 3 2" xfId="45315"/>
    <cellStyle name="Percent 2 2 3 2 2 2 2 4 3 3" xfId="45316"/>
    <cellStyle name="Percent 2 2 3 2 2 2 2 4 4" xfId="45317"/>
    <cellStyle name="Percent 2 2 3 2 2 2 2 4 5" xfId="45318"/>
    <cellStyle name="Percent 2 2 3 2 2 2 2 5" xfId="45319"/>
    <cellStyle name="Percent 2 2 3 2 2 2 2 5 2" xfId="45320"/>
    <cellStyle name="Percent 2 2 3 2 2 2 2 5 3" xfId="45321"/>
    <cellStyle name="Percent 2 2 3 2 2 2 2 6" xfId="45322"/>
    <cellStyle name="Percent 2 2 3 2 2 2 2 6 2" xfId="45323"/>
    <cellStyle name="Percent 2 2 3 2 2 2 2 6 3" xfId="45324"/>
    <cellStyle name="Percent 2 2 3 2 2 2 2 7" xfId="45325"/>
    <cellStyle name="Percent 2 2 3 2 2 2 2 8" xfId="45326"/>
    <cellStyle name="Percent 2 2 3 2 2 2 3" xfId="45327"/>
    <cellStyle name="Percent 2 2 3 2 2 2 3 2" xfId="45328"/>
    <cellStyle name="Percent 2 2 3 2 2 2 3 2 2" xfId="45329"/>
    <cellStyle name="Percent 2 2 3 2 2 2 3 2 2 2" xfId="45330"/>
    <cellStyle name="Percent 2 2 3 2 2 2 3 2 2 3" xfId="45331"/>
    <cellStyle name="Percent 2 2 3 2 2 2 3 2 3" xfId="45332"/>
    <cellStyle name="Percent 2 2 3 2 2 2 3 2 3 2" xfId="45333"/>
    <cellStyle name="Percent 2 2 3 2 2 2 3 2 3 3" xfId="45334"/>
    <cellStyle name="Percent 2 2 3 2 2 2 3 2 4" xfId="45335"/>
    <cellStyle name="Percent 2 2 3 2 2 2 3 2 5" xfId="45336"/>
    <cellStyle name="Percent 2 2 3 2 2 2 3 3" xfId="45337"/>
    <cellStyle name="Percent 2 2 3 2 2 2 3 3 2" xfId="45338"/>
    <cellStyle name="Percent 2 2 3 2 2 2 3 3 3" xfId="45339"/>
    <cellStyle name="Percent 2 2 3 2 2 2 3 4" xfId="45340"/>
    <cellStyle name="Percent 2 2 3 2 2 2 3 4 2" xfId="45341"/>
    <cellStyle name="Percent 2 2 3 2 2 2 3 4 3" xfId="45342"/>
    <cellStyle name="Percent 2 2 3 2 2 2 3 5" xfId="45343"/>
    <cellStyle name="Percent 2 2 3 2 2 2 3 6" xfId="45344"/>
    <cellStyle name="Percent 2 2 3 2 2 2 4" xfId="45345"/>
    <cellStyle name="Percent 2 2 3 2 2 2 4 2" xfId="45346"/>
    <cellStyle name="Percent 2 2 3 2 2 2 4 2 2" xfId="45347"/>
    <cellStyle name="Percent 2 2 3 2 2 2 4 2 2 2" xfId="45348"/>
    <cellStyle name="Percent 2 2 3 2 2 2 4 2 2 3" xfId="45349"/>
    <cellStyle name="Percent 2 2 3 2 2 2 4 2 3" xfId="45350"/>
    <cellStyle name="Percent 2 2 3 2 2 2 4 2 3 2" xfId="45351"/>
    <cellStyle name="Percent 2 2 3 2 2 2 4 2 3 3" xfId="45352"/>
    <cellStyle name="Percent 2 2 3 2 2 2 4 2 4" xfId="45353"/>
    <cellStyle name="Percent 2 2 3 2 2 2 4 2 5" xfId="45354"/>
    <cellStyle name="Percent 2 2 3 2 2 2 4 3" xfId="45355"/>
    <cellStyle name="Percent 2 2 3 2 2 2 4 3 2" xfId="45356"/>
    <cellStyle name="Percent 2 2 3 2 2 2 4 3 3" xfId="45357"/>
    <cellStyle name="Percent 2 2 3 2 2 2 4 4" xfId="45358"/>
    <cellStyle name="Percent 2 2 3 2 2 2 4 4 2" xfId="45359"/>
    <cellStyle name="Percent 2 2 3 2 2 2 4 4 3" xfId="45360"/>
    <cellStyle name="Percent 2 2 3 2 2 2 4 5" xfId="45361"/>
    <cellStyle name="Percent 2 2 3 2 2 2 4 6" xfId="45362"/>
    <cellStyle name="Percent 2 2 3 2 2 2 5" xfId="45363"/>
    <cellStyle name="Percent 2 2 3 2 2 2 5 2" xfId="45364"/>
    <cellStyle name="Percent 2 2 3 2 2 2 5 2 2" xfId="45365"/>
    <cellStyle name="Percent 2 2 3 2 2 2 5 2 3" xfId="45366"/>
    <cellStyle name="Percent 2 2 3 2 2 2 5 3" xfId="45367"/>
    <cellStyle name="Percent 2 2 3 2 2 2 5 3 2" xfId="45368"/>
    <cellStyle name="Percent 2 2 3 2 2 2 5 3 3" xfId="45369"/>
    <cellStyle name="Percent 2 2 3 2 2 2 5 4" xfId="45370"/>
    <cellStyle name="Percent 2 2 3 2 2 2 5 5" xfId="45371"/>
    <cellStyle name="Percent 2 2 3 2 2 2 6" xfId="45372"/>
    <cellStyle name="Percent 2 2 3 2 2 2 6 2" xfId="45373"/>
    <cellStyle name="Percent 2 2 3 2 2 2 6 3" xfId="45374"/>
    <cellStyle name="Percent 2 2 3 2 2 2 7" xfId="45375"/>
    <cellStyle name="Percent 2 2 3 2 2 2 7 2" xfId="45376"/>
    <cellStyle name="Percent 2 2 3 2 2 2 7 3" xfId="45377"/>
    <cellStyle name="Percent 2 2 3 2 2 2 8" xfId="45378"/>
    <cellStyle name="Percent 2 2 3 2 2 2 9" xfId="45379"/>
    <cellStyle name="Percent 2 2 3 2 2 3" xfId="45380"/>
    <cellStyle name="Percent 2 2 3 2 2 3 2" xfId="45381"/>
    <cellStyle name="Percent 2 2 3 2 2 3 2 2" xfId="45382"/>
    <cellStyle name="Percent 2 2 3 2 2 3 2 2 2" xfId="45383"/>
    <cellStyle name="Percent 2 2 3 2 2 3 2 2 2 2" xfId="45384"/>
    <cellStyle name="Percent 2 2 3 2 2 3 2 2 2 3" xfId="45385"/>
    <cellStyle name="Percent 2 2 3 2 2 3 2 2 3" xfId="45386"/>
    <cellStyle name="Percent 2 2 3 2 2 3 2 2 3 2" xfId="45387"/>
    <cellStyle name="Percent 2 2 3 2 2 3 2 2 3 3" xfId="45388"/>
    <cellStyle name="Percent 2 2 3 2 2 3 2 2 4" xfId="45389"/>
    <cellStyle name="Percent 2 2 3 2 2 3 2 2 5" xfId="45390"/>
    <cellStyle name="Percent 2 2 3 2 2 3 2 3" xfId="45391"/>
    <cellStyle name="Percent 2 2 3 2 2 3 2 3 2" xfId="45392"/>
    <cellStyle name="Percent 2 2 3 2 2 3 2 3 3" xfId="45393"/>
    <cellStyle name="Percent 2 2 3 2 2 3 2 4" xfId="45394"/>
    <cellStyle name="Percent 2 2 3 2 2 3 2 4 2" xfId="45395"/>
    <cellStyle name="Percent 2 2 3 2 2 3 2 4 3" xfId="45396"/>
    <cellStyle name="Percent 2 2 3 2 2 3 2 5" xfId="45397"/>
    <cellStyle name="Percent 2 2 3 2 2 3 2 6" xfId="45398"/>
    <cellStyle name="Percent 2 2 3 2 2 3 3" xfId="45399"/>
    <cellStyle name="Percent 2 2 3 2 2 3 3 2" xfId="45400"/>
    <cellStyle name="Percent 2 2 3 2 2 3 3 2 2" xfId="45401"/>
    <cellStyle name="Percent 2 2 3 2 2 3 3 2 2 2" xfId="45402"/>
    <cellStyle name="Percent 2 2 3 2 2 3 3 2 2 3" xfId="45403"/>
    <cellStyle name="Percent 2 2 3 2 2 3 3 2 3" xfId="45404"/>
    <cellStyle name="Percent 2 2 3 2 2 3 3 2 3 2" xfId="45405"/>
    <cellStyle name="Percent 2 2 3 2 2 3 3 2 3 3" xfId="45406"/>
    <cellStyle name="Percent 2 2 3 2 2 3 3 2 4" xfId="45407"/>
    <cellStyle name="Percent 2 2 3 2 2 3 3 2 5" xfId="45408"/>
    <cellStyle name="Percent 2 2 3 2 2 3 3 3" xfId="45409"/>
    <cellStyle name="Percent 2 2 3 2 2 3 3 3 2" xfId="45410"/>
    <cellStyle name="Percent 2 2 3 2 2 3 3 3 3" xfId="45411"/>
    <cellStyle name="Percent 2 2 3 2 2 3 3 4" xfId="45412"/>
    <cellStyle name="Percent 2 2 3 2 2 3 3 4 2" xfId="45413"/>
    <cellStyle name="Percent 2 2 3 2 2 3 3 4 3" xfId="45414"/>
    <cellStyle name="Percent 2 2 3 2 2 3 3 5" xfId="45415"/>
    <cellStyle name="Percent 2 2 3 2 2 3 3 6" xfId="45416"/>
    <cellStyle name="Percent 2 2 3 2 2 3 4" xfId="45417"/>
    <cellStyle name="Percent 2 2 3 2 2 3 4 2" xfId="45418"/>
    <cellStyle name="Percent 2 2 3 2 2 3 4 2 2" xfId="45419"/>
    <cellStyle name="Percent 2 2 3 2 2 3 4 2 3" xfId="45420"/>
    <cellStyle name="Percent 2 2 3 2 2 3 4 3" xfId="45421"/>
    <cellStyle name="Percent 2 2 3 2 2 3 4 3 2" xfId="45422"/>
    <cellStyle name="Percent 2 2 3 2 2 3 4 3 3" xfId="45423"/>
    <cellStyle name="Percent 2 2 3 2 2 3 4 4" xfId="45424"/>
    <cellStyle name="Percent 2 2 3 2 2 3 4 5" xfId="45425"/>
    <cellStyle name="Percent 2 2 3 2 2 3 5" xfId="45426"/>
    <cellStyle name="Percent 2 2 3 2 2 3 5 2" xfId="45427"/>
    <cellStyle name="Percent 2 2 3 2 2 3 5 3" xfId="45428"/>
    <cellStyle name="Percent 2 2 3 2 2 3 6" xfId="45429"/>
    <cellStyle name="Percent 2 2 3 2 2 3 6 2" xfId="45430"/>
    <cellStyle name="Percent 2 2 3 2 2 3 6 3" xfId="45431"/>
    <cellStyle name="Percent 2 2 3 2 2 3 7" xfId="45432"/>
    <cellStyle name="Percent 2 2 3 2 2 3 8" xfId="45433"/>
    <cellStyle name="Percent 2 2 3 2 2 4" xfId="45434"/>
    <cellStyle name="Percent 2 2 3 2 2 4 2" xfId="45435"/>
    <cellStyle name="Percent 2 2 3 2 2 4 2 2" xfId="45436"/>
    <cellStyle name="Percent 2 2 3 2 2 4 2 2 2" xfId="45437"/>
    <cellStyle name="Percent 2 2 3 2 2 4 2 2 3" xfId="45438"/>
    <cellStyle name="Percent 2 2 3 2 2 4 2 3" xfId="45439"/>
    <cellStyle name="Percent 2 2 3 2 2 4 2 3 2" xfId="45440"/>
    <cellStyle name="Percent 2 2 3 2 2 4 2 3 3" xfId="45441"/>
    <cellStyle name="Percent 2 2 3 2 2 4 2 4" xfId="45442"/>
    <cellStyle name="Percent 2 2 3 2 2 4 2 5" xfId="45443"/>
    <cellStyle name="Percent 2 2 3 2 2 4 3" xfId="45444"/>
    <cellStyle name="Percent 2 2 3 2 2 4 3 2" xfId="45445"/>
    <cellStyle name="Percent 2 2 3 2 2 4 3 3" xfId="45446"/>
    <cellStyle name="Percent 2 2 3 2 2 4 4" xfId="45447"/>
    <cellStyle name="Percent 2 2 3 2 2 4 4 2" xfId="45448"/>
    <cellStyle name="Percent 2 2 3 2 2 4 4 3" xfId="45449"/>
    <cellStyle name="Percent 2 2 3 2 2 4 5" xfId="45450"/>
    <cellStyle name="Percent 2 2 3 2 2 4 6" xfId="45451"/>
    <cellStyle name="Percent 2 2 3 2 2 5" xfId="45452"/>
    <cellStyle name="Percent 2 2 3 2 2 5 2" xfId="45453"/>
    <cellStyle name="Percent 2 2 3 2 2 5 2 2" xfId="45454"/>
    <cellStyle name="Percent 2 2 3 2 2 5 2 2 2" xfId="45455"/>
    <cellStyle name="Percent 2 2 3 2 2 5 2 2 3" xfId="45456"/>
    <cellStyle name="Percent 2 2 3 2 2 5 2 3" xfId="45457"/>
    <cellStyle name="Percent 2 2 3 2 2 5 2 3 2" xfId="45458"/>
    <cellStyle name="Percent 2 2 3 2 2 5 2 3 3" xfId="45459"/>
    <cellStyle name="Percent 2 2 3 2 2 5 2 4" xfId="45460"/>
    <cellStyle name="Percent 2 2 3 2 2 5 2 5" xfId="45461"/>
    <cellStyle name="Percent 2 2 3 2 2 5 3" xfId="45462"/>
    <cellStyle name="Percent 2 2 3 2 2 5 3 2" xfId="45463"/>
    <cellStyle name="Percent 2 2 3 2 2 5 3 3" xfId="45464"/>
    <cellStyle name="Percent 2 2 3 2 2 5 4" xfId="45465"/>
    <cellStyle name="Percent 2 2 3 2 2 5 4 2" xfId="45466"/>
    <cellStyle name="Percent 2 2 3 2 2 5 4 3" xfId="45467"/>
    <cellStyle name="Percent 2 2 3 2 2 5 5" xfId="45468"/>
    <cellStyle name="Percent 2 2 3 2 2 5 6" xfId="45469"/>
    <cellStyle name="Percent 2 2 3 2 2 6" xfId="45470"/>
    <cellStyle name="Percent 2 2 3 2 2 6 2" xfId="45471"/>
    <cellStyle name="Percent 2 2 3 2 2 6 2 2" xfId="45472"/>
    <cellStyle name="Percent 2 2 3 2 2 6 2 3" xfId="45473"/>
    <cellStyle name="Percent 2 2 3 2 2 6 3" xfId="45474"/>
    <cellStyle name="Percent 2 2 3 2 2 6 3 2" xfId="45475"/>
    <cellStyle name="Percent 2 2 3 2 2 6 3 3" xfId="45476"/>
    <cellStyle name="Percent 2 2 3 2 2 6 4" xfId="45477"/>
    <cellStyle name="Percent 2 2 3 2 2 6 5" xfId="45478"/>
    <cellStyle name="Percent 2 2 3 2 2 7" xfId="45479"/>
    <cellStyle name="Percent 2 2 3 2 2 7 2" xfId="45480"/>
    <cellStyle name="Percent 2 2 3 2 2 7 3" xfId="45481"/>
    <cellStyle name="Percent 2 2 3 2 2 8" xfId="45482"/>
    <cellStyle name="Percent 2 2 3 2 2 8 2" xfId="45483"/>
    <cellStyle name="Percent 2 2 3 2 2 8 3" xfId="45484"/>
    <cellStyle name="Percent 2 2 3 2 2 9" xfId="45485"/>
    <cellStyle name="Percent 2 2 3 2 3" xfId="45486"/>
    <cellStyle name="Percent 2 2 3 2 3 10" xfId="45487"/>
    <cellStyle name="Percent 2 2 3 2 3 2" xfId="45488"/>
    <cellStyle name="Percent 2 2 3 2 3 2 2" xfId="45489"/>
    <cellStyle name="Percent 2 2 3 2 3 2 2 2" xfId="45490"/>
    <cellStyle name="Percent 2 2 3 2 3 2 2 2 2" xfId="45491"/>
    <cellStyle name="Percent 2 2 3 2 3 2 2 2 2 2" xfId="45492"/>
    <cellStyle name="Percent 2 2 3 2 3 2 2 2 2 2 2" xfId="45493"/>
    <cellStyle name="Percent 2 2 3 2 3 2 2 2 2 2 3" xfId="45494"/>
    <cellStyle name="Percent 2 2 3 2 3 2 2 2 2 3" xfId="45495"/>
    <cellStyle name="Percent 2 2 3 2 3 2 2 2 2 3 2" xfId="45496"/>
    <cellStyle name="Percent 2 2 3 2 3 2 2 2 2 3 3" xfId="45497"/>
    <cellStyle name="Percent 2 2 3 2 3 2 2 2 2 4" xfId="45498"/>
    <cellStyle name="Percent 2 2 3 2 3 2 2 2 2 5" xfId="45499"/>
    <cellStyle name="Percent 2 2 3 2 3 2 2 2 3" xfId="45500"/>
    <cellStyle name="Percent 2 2 3 2 3 2 2 2 3 2" xfId="45501"/>
    <cellStyle name="Percent 2 2 3 2 3 2 2 2 3 3" xfId="45502"/>
    <cellStyle name="Percent 2 2 3 2 3 2 2 2 4" xfId="45503"/>
    <cellStyle name="Percent 2 2 3 2 3 2 2 2 4 2" xfId="45504"/>
    <cellStyle name="Percent 2 2 3 2 3 2 2 2 4 3" xfId="45505"/>
    <cellStyle name="Percent 2 2 3 2 3 2 2 2 5" xfId="45506"/>
    <cellStyle name="Percent 2 2 3 2 3 2 2 2 6" xfId="45507"/>
    <cellStyle name="Percent 2 2 3 2 3 2 2 3" xfId="45508"/>
    <cellStyle name="Percent 2 2 3 2 3 2 2 3 2" xfId="45509"/>
    <cellStyle name="Percent 2 2 3 2 3 2 2 3 2 2" xfId="45510"/>
    <cellStyle name="Percent 2 2 3 2 3 2 2 3 2 2 2" xfId="45511"/>
    <cellStyle name="Percent 2 2 3 2 3 2 2 3 2 2 3" xfId="45512"/>
    <cellStyle name="Percent 2 2 3 2 3 2 2 3 2 3" xfId="45513"/>
    <cellStyle name="Percent 2 2 3 2 3 2 2 3 2 3 2" xfId="45514"/>
    <cellStyle name="Percent 2 2 3 2 3 2 2 3 2 3 3" xfId="45515"/>
    <cellStyle name="Percent 2 2 3 2 3 2 2 3 2 4" xfId="45516"/>
    <cellStyle name="Percent 2 2 3 2 3 2 2 3 2 5" xfId="45517"/>
    <cellStyle name="Percent 2 2 3 2 3 2 2 3 3" xfId="45518"/>
    <cellStyle name="Percent 2 2 3 2 3 2 2 3 3 2" xfId="45519"/>
    <cellStyle name="Percent 2 2 3 2 3 2 2 3 3 3" xfId="45520"/>
    <cellStyle name="Percent 2 2 3 2 3 2 2 3 4" xfId="45521"/>
    <cellStyle name="Percent 2 2 3 2 3 2 2 3 4 2" xfId="45522"/>
    <cellStyle name="Percent 2 2 3 2 3 2 2 3 4 3" xfId="45523"/>
    <cellStyle name="Percent 2 2 3 2 3 2 2 3 5" xfId="45524"/>
    <cellStyle name="Percent 2 2 3 2 3 2 2 3 6" xfId="45525"/>
    <cellStyle name="Percent 2 2 3 2 3 2 2 4" xfId="45526"/>
    <cellStyle name="Percent 2 2 3 2 3 2 2 4 2" xfId="45527"/>
    <cellStyle name="Percent 2 2 3 2 3 2 2 4 2 2" xfId="45528"/>
    <cellStyle name="Percent 2 2 3 2 3 2 2 4 2 3" xfId="45529"/>
    <cellStyle name="Percent 2 2 3 2 3 2 2 4 3" xfId="45530"/>
    <cellStyle name="Percent 2 2 3 2 3 2 2 4 3 2" xfId="45531"/>
    <cellStyle name="Percent 2 2 3 2 3 2 2 4 3 3" xfId="45532"/>
    <cellStyle name="Percent 2 2 3 2 3 2 2 4 4" xfId="45533"/>
    <cellStyle name="Percent 2 2 3 2 3 2 2 4 5" xfId="45534"/>
    <cellStyle name="Percent 2 2 3 2 3 2 2 5" xfId="45535"/>
    <cellStyle name="Percent 2 2 3 2 3 2 2 5 2" xfId="45536"/>
    <cellStyle name="Percent 2 2 3 2 3 2 2 5 3" xfId="45537"/>
    <cellStyle name="Percent 2 2 3 2 3 2 2 6" xfId="45538"/>
    <cellStyle name="Percent 2 2 3 2 3 2 2 6 2" xfId="45539"/>
    <cellStyle name="Percent 2 2 3 2 3 2 2 6 3" xfId="45540"/>
    <cellStyle name="Percent 2 2 3 2 3 2 2 7" xfId="45541"/>
    <cellStyle name="Percent 2 2 3 2 3 2 2 8" xfId="45542"/>
    <cellStyle name="Percent 2 2 3 2 3 2 3" xfId="45543"/>
    <cellStyle name="Percent 2 2 3 2 3 2 3 2" xfId="45544"/>
    <cellStyle name="Percent 2 2 3 2 3 2 3 2 2" xfId="45545"/>
    <cellStyle name="Percent 2 2 3 2 3 2 3 2 2 2" xfId="45546"/>
    <cellStyle name="Percent 2 2 3 2 3 2 3 2 2 3" xfId="45547"/>
    <cellStyle name="Percent 2 2 3 2 3 2 3 2 3" xfId="45548"/>
    <cellStyle name="Percent 2 2 3 2 3 2 3 2 3 2" xfId="45549"/>
    <cellStyle name="Percent 2 2 3 2 3 2 3 2 3 3" xfId="45550"/>
    <cellStyle name="Percent 2 2 3 2 3 2 3 2 4" xfId="45551"/>
    <cellStyle name="Percent 2 2 3 2 3 2 3 2 5" xfId="45552"/>
    <cellStyle name="Percent 2 2 3 2 3 2 3 3" xfId="45553"/>
    <cellStyle name="Percent 2 2 3 2 3 2 3 3 2" xfId="45554"/>
    <cellStyle name="Percent 2 2 3 2 3 2 3 3 3" xfId="45555"/>
    <cellStyle name="Percent 2 2 3 2 3 2 3 4" xfId="45556"/>
    <cellStyle name="Percent 2 2 3 2 3 2 3 4 2" xfId="45557"/>
    <cellStyle name="Percent 2 2 3 2 3 2 3 4 3" xfId="45558"/>
    <cellStyle name="Percent 2 2 3 2 3 2 3 5" xfId="45559"/>
    <cellStyle name="Percent 2 2 3 2 3 2 3 6" xfId="45560"/>
    <cellStyle name="Percent 2 2 3 2 3 2 4" xfId="45561"/>
    <cellStyle name="Percent 2 2 3 2 3 2 4 2" xfId="45562"/>
    <cellStyle name="Percent 2 2 3 2 3 2 4 2 2" xfId="45563"/>
    <cellStyle name="Percent 2 2 3 2 3 2 4 2 2 2" xfId="45564"/>
    <cellStyle name="Percent 2 2 3 2 3 2 4 2 2 3" xfId="45565"/>
    <cellStyle name="Percent 2 2 3 2 3 2 4 2 3" xfId="45566"/>
    <cellStyle name="Percent 2 2 3 2 3 2 4 2 3 2" xfId="45567"/>
    <cellStyle name="Percent 2 2 3 2 3 2 4 2 3 3" xfId="45568"/>
    <cellStyle name="Percent 2 2 3 2 3 2 4 2 4" xfId="45569"/>
    <cellStyle name="Percent 2 2 3 2 3 2 4 2 5" xfId="45570"/>
    <cellStyle name="Percent 2 2 3 2 3 2 4 3" xfId="45571"/>
    <cellStyle name="Percent 2 2 3 2 3 2 4 3 2" xfId="45572"/>
    <cellStyle name="Percent 2 2 3 2 3 2 4 3 3" xfId="45573"/>
    <cellStyle name="Percent 2 2 3 2 3 2 4 4" xfId="45574"/>
    <cellStyle name="Percent 2 2 3 2 3 2 4 4 2" xfId="45575"/>
    <cellStyle name="Percent 2 2 3 2 3 2 4 4 3" xfId="45576"/>
    <cellStyle name="Percent 2 2 3 2 3 2 4 5" xfId="45577"/>
    <cellStyle name="Percent 2 2 3 2 3 2 4 6" xfId="45578"/>
    <cellStyle name="Percent 2 2 3 2 3 2 5" xfId="45579"/>
    <cellStyle name="Percent 2 2 3 2 3 2 5 2" xfId="45580"/>
    <cellStyle name="Percent 2 2 3 2 3 2 5 2 2" xfId="45581"/>
    <cellStyle name="Percent 2 2 3 2 3 2 5 2 3" xfId="45582"/>
    <cellStyle name="Percent 2 2 3 2 3 2 5 3" xfId="45583"/>
    <cellStyle name="Percent 2 2 3 2 3 2 5 3 2" xfId="45584"/>
    <cellStyle name="Percent 2 2 3 2 3 2 5 3 3" xfId="45585"/>
    <cellStyle name="Percent 2 2 3 2 3 2 5 4" xfId="45586"/>
    <cellStyle name="Percent 2 2 3 2 3 2 5 5" xfId="45587"/>
    <cellStyle name="Percent 2 2 3 2 3 2 6" xfId="45588"/>
    <cellStyle name="Percent 2 2 3 2 3 2 6 2" xfId="45589"/>
    <cellStyle name="Percent 2 2 3 2 3 2 6 3" xfId="45590"/>
    <cellStyle name="Percent 2 2 3 2 3 2 7" xfId="45591"/>
    <cellStyle name="Percent 2 2 3 2 3 2 7 2" xfId="45592"/>
    <cellStyle name="Percent 2 2 3 2 3 2 7 3" xfId="45593"/>
    <cellStyle name="Percent 2 2 3 2 3 2 8" xfId="45594"/>
    <cellStyle name="Percent 2 2 3 2 3 2 9" xfId="45595"/>
    <cellStyle name="Percent 2 2 3 2 3 3" xfId="45596"/>
    <cellStyle name="Percent 2 2 3 2 3 3 2" xfId="45597"/>
    <cellStyle name="Percent 2 2 3 2 3 3 2 2" xfId="45598"/>
    <cellStyle name="Percent 2 2 3 2 3 3 2 2 2" xfId="45599"/>
    <cellStyle name="Percent 2 2 3 2 3 3 2 2 2 2" xfId="45600"/>
    <cellStyle name="Percent 2 2 3 2 3 3 2 2 2 3" xfId="45601"/>
    <cellStyle name="Percent 2 2 3 2 3 3 2 2 3" xfId="45602"/>
    <cellStyle name="Percent 2 2 3 2 3 3 2 2 3 2" xfId="45603"/>
    <cellStyle name="Percent 2 2 3 2 3 3 2 2 3 3" xfId="45604"/>
    <cellStyle name="Percent 2 2 3 2 3 3 2 2 4" xfId="45605"/>
    <cellStyle name="Percent 2 2 3 2 3 3 2 2 5" xfId="45606"/>
    <cellStyle name="Percent 2 2 3 2 3 3 2 3" xfId="45607"/>
    <cellStyle name="Percent 2 2 3 2 3 3 2 3 2" xfId="45608"/>
    <cellStyle name="Percent 2 2 3 2 3 3 2 3 3" xfId="45609"/>
    <cellStyle name="Percent 2 2 3 2 3 3 2 4" xfId="45610"/>
    <cellStyle name="Percent 2 2 3 2 3 3 2 4 2" xfId="45611"/>
    <cellStyle name="Percent 2 2 3 2 3 3 2 4 3" xfId="45612"/>
    <cellStyle name="Percent 2 2 3 2 3 3 2 5" xfId="45613"/>
    <cellStyle name="Percent 2 2 3 2 3 3 2 6" xfId="45614"/>
    <cellStyle name="Percent 2 2 3 2 3 3 3" xfId="45615"/>
    <cellStyle name="Percent 2 2 3 2 3 3 3 2" xfId="45616"/>
    <cellStyle name="Percent 2 2 3 2 3 3 3 2 2" xfId="45617"/>
    <cellStyle name="Percent 2 2 3 2 3 3 3 2 2 2" xfId="45618"/>
    <cellStyle name="Percent 2 2 3 2 3 3 3 2 2 3" xfId="45619"/>
    <cellStyle name="Percent 2 2 3 2 3 3 3 2 3" xfId="45620"/>
    <cellStyle name="Percent 2 2 3 2 3 3 3 2 3 2" xfId="45621"/>
    <cellStyle name="Percent 2 2 3 2 3 3 3 2 3 3" xfId="45622"/>
    <cellStyle name="Percent 2 2 3 2 3 3 3 2 4" xfId="45623"/>
    <cellStyle name="Percent 2 2 3 2 3 3 3 2 5" xfId="45624"/>
    <cellStyle name="Percent 2 2 3 2 3 3 3 3" xfId="45625"/>
    <cellStyle name="Percent 2 2 3 2 3 3 3 3 2" xfId="45626"/>
    <cellStyle name="Percent 2 2 3 2 3 3 3 3 3" xfId="45627"/>
    <cellStyle name="Percent 2 2 3 2 3 3 3 4" xfId="45628"/>
    <cellStyle name="Percent 2 2 3 2 3 3 3 4 2" xfId="45629"/>
    <cellStyle name="Percent 2 2 3 2 3 3 3 4 3" xfId="45630"/>
    <cellStyle name="Percent 2 2 3 2 3 3 3 5" xfId="45631"/>
    <cellStyle name="Percent 2 2 3 2 3 3 3 6" xfId="45632"/>
    <cellStyle name="Percent 2 2 3 2 3 3 4" xfId="45633"/>
    <cellStyle name="Percent 2 2 3 2 3 3 4 2" xfId="45634"/>
    <cellStyle name="Percent 2 2 3 2 3 3 4 2 2" xfId="45635"/>
    <cellStyle name="Percent 2 2 3 2 3 3 4 2 3" xfId="45636"/>
    <cellStyle name="Percent 2 2 3 2 3 3 4 3" xfId="45637"/>
    <cellStyle name="Percent 2 2 3 2 3 3 4 3 2" xfId="45638"/>
    <cellStyle name="Percent 2 2 3 2 3 3 4 3 3" xfId="45639"/>
    <cellStyle name="Percent 2 2 3 2 3 3 4 4" xfId="45640"/>
    <cellStyle name="Percent 2 2 3 2 3 3 4 5" xfId="45641"/>
    <cellStyle name="Percent 2 2 3 2 3 3 5" xfId="45642"/>
    <cellStyle name="Percent 2 2 3 2 3 3 5 2" xfId="45643"/>
    <cellStyle name="Percent 2 2 3 2 3 3 5 3" xfId="45644"/>
    <cellStyle name="Percent 2 2 3 2 3 3 6" xfId="45645"/>
    <cellStyle name="Percent 2 2 3 2 3 3 6 2" xfId="45646"/>
    <cellStyle name="Percent 2 2 3 2 3 3 6 3" xfId="45647"/>
    <cellStyle name="Percent 2 2 3 2 3 3 7" xfId="45648"/>
    <cellStyle name="Percent 2 2 3 2 3 3 8" xfId="45649"/>
    <cellStyle name="Percent 2 2 3 2 3 4" xfId="45650"/>
    <cellStyle name="Percent 2 2 3 2 3 4 2" xfId="45651"/>
    <cellStyle name="Percent 2 2 3 2 3 4 2 2" xfId="45652"/>
    <cellStyle name="Percent 2 2 3 2 3 4 2 2 2" xfId="45653"/>
    <cellStyle name="Percent 2 2 3 2 3 4 2 2 3" xfId="45654"/>
    <cellStyle name="Percent 2 2 3 2 3 4 2 3" xfId="45655"/>
    <cellStyle name="Percent 2 2 3 2 3 4 2 3 2" xfId="45656"/>
    <cellStyle name="Percent 2 2 3 2 3 4 2 3 3" xfId="45657"/>
    <cellStyle name="Percent 2 2 3 2 3 4 2 4" xfId="45658"/>
    <cellStyle name="Percent 2 2 3 2 3 4 2 5" xfId="45659"/>
    <cellStyle name="Percent 2 2 3 2 3 4 3" xfId="45660"/>
    <cellStyle name="Percent 2 2 3 2 3 4 3 2" xfId="45661"/>
    <cellStyle name="Percent 2 2 3 2 3 4 3 3" xfId="45662"/>
    <cellStyle name="Percent 2 2 3 2 3 4 4" xfId="45663"/>
    <cellStyle name="Percent 2 2 3 2 3 4 4 2" xfId="45664"/>
    <cellStyle name="Percent 2 2 3 2 3 4 4 3" xfId="45665"/>
    <cellStyle name="Percent 2 2 3 2 3 4 5" xfId="45666"/>
    <cellStyle name="Percent 2 2 3 2 3 4 6" xfId="45667"/>
    <cellStyle name="Percent 2 2 3 2 3 5" xfId="45668"/>
    <cellStyle name="Percent 2 2 3 2 3 5 2" xfId="45669"/>
    <cellStyle name="Percent 2 2 3 2 3 5 2 2" xfId="45670"/>
    <cellStyle name="Percent 2 2 3 2 3 5 2 2 2" xfId="45671"/>
    <cellStyle name="Percent 2 2 3 2 3 5 2 2 3" xfId="45672"/>
    <cellStyle name="Percent 2 2 3 2 3 5 2 3" xfId="45673"/>
    <cellStyle name="Percent 2 2 3 2 3 5 2 3 2" xfId="45674"/>
    <cellStyle name="Percent 2 2 3 2 3 5 2 3 3" xfId="45675"/>
    <cellStyle name="Percent 2 2 3 2 3 5 2 4" xfId="45676"/>
    <cellStyle name="Percent 2 2 3 2 3 5 2 5" xfId="45677"/>
    <cellStyle name="Percent 2 2 3 2 3 5 3" xfId="45678"/>
    <cellStyle name="Percent 2 2 3 2 3 5 3 2" xfId="45679"/>
    <cellStyle name="Percent 2 2 3 2 3 5 3 3" xfId="45680"/>
    <cellStyle name="Percent 2 2 3 2 3 5 4" xfId="45681"/>
    <cellStyle name="Percent 2 2 3 2 3 5 4 2" xfId="45682"/>
    <cellStyle name="Percent 2 2 3 2 3 5 4 3" xfId="45683"/>
    <cellStyle name="Percent 2 2 3 2 3 5 5" xfId="45684"/>
    <cellStyle name="Percent 2 2 3 2 3 5 6" xfId="45685"/>
    <cellStyle name="Percent 2 2 3 2 3 6" xfId="45686"/>
    <cellStyle name="Percent 2 2 3 2 3 6 2" xfId="45687"/>
    <cellStyle name="Percent 2 2 3 2 3 6 2 2" xfId="45688"/>
    <cellStyle name="Percent 2 2 3 2 3 6 2 3" xfId="45689"/>
    <cellStyle name="Percent 2 2 3 2 3 6 3" xfId="45690"/>
    <cellStyle name="Percent 2 2 3 2 3 6 3 2" xfId="45691"/>
    <cellStyle name="Percent 2 2 3 2 3 6 3 3" xfId="45692"/>
    <cellStyle name="Percent 2 2 3 2 3 6 4" xfId="45693"/>
    <cellStyle name="Percent 2 2 3 2 3 6 5" xfId="45694"/>
    <cellStyle name="Percent 2 2 3 2 3 7" xfId="45695"/>
    <cellStyle name="Percent 2 2 3 2 3 7 2" xfId="45696"/>
    <cellStyle name="Percent 2 2 3 2 3 7 3" xfId="45697"/>
    <cellStyle name="Percent 2 2 3 2 3 8" xfId="45698"/>
    <cellStyle name="Percent 2 2 3 2 3 8 2" xfId="45699"/>
    <cellStyle name="Percent 2 2 3 2 3 8 3" xfId="45700"/>
    <cellStyle name="Percent 2 2 3 2 3 9" xfId="45701"/>
    <cellStyle name="Percent 2 2 3 2 4" xfId="45702"/>
    <cellStyle name="Percent 2 2 3 2 4 2" xfId="45703"/>
    <cellStyle name="Percent 2 2 3 2 4 2 2" xfId="45704"/>
    <cellStyle name="Percent 2 2 3 2 4 2 2 2" xfId="45705"/>
    <cellStyle name="Percent 2 2 3 2 4 2 2 2 2" xfId="45706"/>
    <cellStyle name="Percent 2 2 3 2 4 2 2 2 2 2" xfId="45707"/>
    <cellStyle name="Percent 2 2 3 2 4 2 2 2 2 3" xfId="45708"/>
    <cellStyle name="Percent 2 2 3 2 4 2 2 2 3" xfId="45709"/>
    <cellStyle name="Percent 2 2 3 2 4 2 2 2 3 2" xfId="45710"/>
    <cellStyle name="Percent 2 2 3 2 4 2 2 2 3 3" xfId="45711"/>
    <cellStyle name="Percent 2 2 3 2 4 2 2 2 4" xfId="45712"/>
    <cellStyle name="Percent 2 2 3 2 4 2 2 2 5" xfId="45713"/>
    <cellStyle name="Percent 2 2 3 2 4 2 2 3" xfId="45714"/>
    <cellStyle name="Percent 2 2 3 2 4 2 2 3 2" xfId="45715"/>
    <cellStyle name="Percent 2 2 3 2 4 2 2 3 3" xfId="45716"/>
    <cellStyle name="Percent 2 2 3 2 4 2 2 4" xfId="45717"/>
    <cellStyle name="Percent 2 2 3 2 4 2 2 4 2" xfId="45718"/>
    <cellStyle name="Percent 2 2 3 2 4 2 2 4 3" xfId="45719"/>
    <cellStyle name="Percent 2 2 3 2 4 2 2 5" xfId="45720"/>
    <cellStyle name="Percent 2 2 3 2 4 2 2 6" xfId="45721"/>
    <cellStyle name="Percent 2 2 3 2 4 2 3" xfId="45722"/>
    <cellStyle name="Percent 2 2 3 2 4 2 3 2" xfId="45723"/>
    <cellStyle name="Percent 2 2 3 2 4 2 3 2 2" xfId="45724"/>
    <cellStyle name="Percent 2 2 3 2 4 2 3 2 2 2" xfId="45725"/>
    <cellStyle name="Percent 2 2 3 2 4 2 3 2 2 3" xfId="45726"/>
    <cellStyle name="Percent 2 2 3 2 4 2 3 2 3" xfId="45727"/>
    <cellStyle name="Percent 2 2 3 2 4 2 3 2 3 2" xfId="45728"/>
    <cellStyle name="Percent 2 2 3 2 4 2 3 2 3 3" xfId="45729"/>
    <cellStyle name="Percent 2 2 3 2 4 2 3 2 4" xfId="45730"/>
    <cellStyle name="Percent 2 2 3 2 4 2 3 2 5" xfId="45731"/>
    <cellStyle name="Percent 2 2 3 2 4 2 3 3" xfId="45732"/>
    <cellStyle name="Percent 2 2 3 2 4 2 3 3 2" xfId="45733"/>
    <cellStyle name="Percent 2 2 3 2 4 2 3 3 3" xfId="45734"/>
    <cellStyle name="Percent 2 2 3 2 4 2 3 4" xfId="45735"/>
    <cellStyle name="Percent 2 2 3 2 4 2 3 4 2" xfId="45736"/>
    <cellStyle name="Percent 2 2 3 2 4 2 3 4 3" xfId="45737"/>
    <cellStyle name="Percent 2 2 3 2 4 2 3 5" xfId="45738"/>
    <cellStyle name="Percent 2 2 3 2 4 2 3 6" xfId="45739"/>
    <cellStyle name="Percent 2 2 3 2 4 2 4" xfId="45740"/>
    <cellStyle name="Percent 2 2 3 2 4 2 4 2" xfId="45741"/>
    <cellStyle name="Percent 2 2 3 2 4 2 4 2 2" xfId="45742"/>
    <cellStyle name="Percent 2 2 3 2 4 2 4 2 3" xfId="45743"/>
    <cellStyle name="Percent 2 2 3 2 4 2 4 3" xfId="45744"/>
    <cellStyle name="Percent 2 2 3 2 4 2 4 3 2" xfId="45745"/>
    <cellStyle name="Percent 2 2 3 2 4 2 4 3 3" xfId="45746"/>
    <cellStyle name="Percent 2 2 3 2 4 2 4 4" xfId="45747"/>
    <cellStyle name="Percent 2 2 3 2 4 2 4 5" xfId="45748"/>
    <cellStyle name="Percent 2 2 3 2 4 2 5" xfId="45749"/>
    <cellStyle name="Percent 2 2 3 2 4 2 5 2" xfId="45750"/>
    <cellStyle name="Percent 2 2 3 2 4 2 5 3" xfId="45751"/>
    <cellStyle name="Percent 2 2 3 2 4 2 6" xfId="45752"/>
    <cellStyle name="Percent 2 2 3 2 4 2 6 2" xfId="45753"/>
    <cellStyle name="Percent 2 2 3 2 4 2 6 3" xfId="45754"/>
    <cellStyle name="Percent 2 2 3 2 4 2 7" xfId="45755"/>
    <cellStyle name="Percent 2 2 3 2 4 2 8" xfId="45756"/>
    <cellStyle name="Percent 2 2 3 2 4 3" xfId="45757"/>
    <cellStyle name="Percent 2 2 3 2 4 3 2" xfId="45758"/>
    <cellStyle name="Percent 2 2 3 2 4 3 2 2" xfId="45759"/>
    <cellStyle name="Percent 2 2 3 2 4 3 2 2 2" xfId="45760"/>
    <cellStyle name="Percent 2 2 3 2 4 3 2 2 3" xfId="45761"/>
    <cellStyle name="Percent 2 2 3 2 4 3 2 3" xfId="45762"/>
    <cellStyle name="Percent 2 2 3 2 4 3 2 3 2" xfId="45763"/>
    <cellStyle name="Percent 2 2 3 2 4 3 2 3 3" xfId="45764"/>
    <cellStyle name="Percent 2 2 3 2 4 3 2 4" xfId="45765"/>
    <cellStyle name="Percent 2 2 3 2 4 3 2 5" xfId="45766"/>
    <cellStyle name="Percent 2 2 3 2 4 3 3" xfId="45767"/>
    <cellStyle name="Percent 2 2 3 2 4 3 3 2" xfId="45768"/>
    <cellStyle name="Percent 2 2 3 2 4 3 3 3" xfId="45769"/>
    <cellStyle name="Percent 2 2 3 2 4 3 4" xfId="45770"/>
    <cellStyle name="Percent 2 2 3 2 4 3 4 2" xfId="45771"/>
    <cellStyle name="Percent 2 2 3 2 4 3 4 3" xfId="45772"/>
    <cellStyle name="Percent 2 2 3 2 4 3 5" xfId="45773"/>
    <cellStyle name="Percent 2 2 3 2 4 3 6" xfId="45774"/>
    <cellStyle name="Percent 2 2 3 2 4 4" xfId="45775"/>
    <cellStyle name="Percent 2 2 3 2 4 4 2" xfId="45776"/>
    <cellStyle name="Percent 2 2 3 2 4 4 2 2" xfId="45777"/>
    <cellStyle name="Percent 2 2 3 2 4 4 2 2 2" xfId="45778"/>
    <cellStyle name="Percent 2 2 3 2 4 4 2 2 3" xfId="45779"/>
    <cellStyle name="Percent 2 2 3 2 4 4 2 3" xfId="45780"/>
    <cellStyle name="Percent 2 2 3 2 4 4 2 3 2" xfId="45781"/>
    <cellStyle name="Percent 2 2 3 2 4 4 2 3 3" xfId="45782"/>
    <cellStyle name="Percent 2 2 3 2 4 4 2 4" xfId="45783"/>
    <cellStyle name="Percent 2 2 3 2 4 4 2 5" xfId="45784"/>
    <cellStyle name="Percent 2 2 3 2 4 4 3" xfId="45785"/>
    <cellStyle name="Percent 2 2 3 2 4 4 3 2" xfId="45786"/>
    <cellStyle name="Percent 2 2 3 2 4 4 3 3" xfId="45787"/>
    <cellStyle name="Percent 2 2 3 2 4 4 4" xfId="45788"/>
    <cellStyle name="Percent 2 2 3 2 4 4 4 2" xfId="45789"/>
    <cellStyle name="Percent 2 2 3 2 4 4 4 3" xfId="45790"/>
    <cellStyle name="Percent 2 2 3 2 4 4 5" xfId="45791"/>
    <cellStyle name="Percent 2 2 3 2 4 4 6" xfId="45792"/>
    <cellStyle name="Percent 2 2 3 2 4 5" xfId="45793"/>
    <cellStyle name="Percent 2 2 3 2 4 5 2" xfId="45794"/>
    <cellStyle name="Percent 2 2 3 2 4 5 2 2" xfId="45795"/>
    <cellStyle name="Percent 2 2 3 2 4 5 2 3" xfId="45796"/>
    <cellStyle name="Percent 2 2 3 2 4 5 3" xfId="45797"/>
    <cellStyle name="Percent 2 2 3 2 4 5 3 2" xfId="45798"/>
    <cellStyle name="Percent 2 2 3 2 4 5 3 3" xfId="45799"/>
    <cellStyle name="Percent 2 2 3 2 4 5 4" xfId="45800"/>
    <cellStyle name="Percent 2 2 3 2 4 5 5" xfId="45801"/>
    <cellStyle name="Percent 2 2 3 2 4 6" xfId="45802"/>
    <cellStyle name="Percent 2 2 3 2 4 6 2" xfId="45803"/>
    <cellStyle name="Percent 2 2 3 2 4 6 3" xfId="45804"/>
    <cellStyle name="Percent 2 2 3 2 4 7" xfId="45805"/>
    <cellStyle name="Percent 2 2 3 2 4 7 2" xfId="45806"/>
    <cellStyle name="Percent 2 2 3 2 4 7 3" xfId="45807"/>
    <cellStyle name="Percent 2 2 3 2 4 8" xfId="45808"/>
    <cellStyle name="Percent 2 2 3 2 4 9" xfId="45809"/>
    <cellStyle name="Percent 2 2 3 2 5" xfId="45810"/>
    <cellStyle name="Percent 2 2 3 2 5 2" xfId="45811"/>
    <cellStyle name="Percent 2 2 3 2 5 2 2" xfId="45812"/>
    <cellStyle name="Percent 2 2 3 2 5 2 2 2" xfId="45813"/>
    <cellStyle name="Percent 2 2 3 2 5 2 2 2 2" xfId="45814"/>
    <cellStyle name="Percent 2 2 3 2 5 2 2 2 3" xfId="45815"/>
    <cellStyle name="Percent 2 2 3 2 5 2 2 3" xfId="45816"/>
    <cellStyle name="Percent 2 2 3 2 5 2 2 3 2" xfId="45817"/>
    <cellStyle name="Percent 2 2 3 2 5 2 2 3 3" xfId="45818"/>
    <cellStyle name="Percent 2 2 3 2 5 2 2 4" xfId="45819"/>
    <cellStyle name="Percent 2 2 3 2 5 2 2 5" xfId="45820"/>
    <cellStyle name="Percent 2 2 3 2 5 2 3" xfId="45821"/>
    <cellStyle name="Percent 2 2 3 2 5 2 3 2" xfId="45822"/>
    <cellStyle name="Percent 2 2 3 2 5 2 3 3" xfId="45823"/>
    <cellStyle name="Percent 2 2 3 2 5 2 4" xfId="45824"/>
    <cellStyle name="Percent 2 2 3 2 5 2 4 2" xfId="45825"/>
    <cellStyle name="Percent 2 2 3 2 5 2 4 3" xfId="45826"/>
    <cellStyle name="Percent 2 2 3 2 5 2 5" xfId="45827"/>
    <cellStyle name="Percent 2 2 3 2 5 2 6" xfId="45828"/>
    <cellStyle name="Percent 2 2 3 2 5 3" xfId="45829"/>
    <cellStyle name="Percent 2 2 3 2 5 3 2" xfId="45830"/>
    <cellStyle name="Percent 2 2 3 2 5 3 2 2" xfId="45831"/>
    <cellStyle name="Percent 2 2 3 2 5 3 2 2 2" xfId="45832"/>
    <cellStyle name="Percent 2 2 3 2 5 3 2 2 3" xfId="45833"/>
    <cellStyle name="Percent 2 2 3 2 5 3 2 3" xfId="45834"/>
    <cellStyle name="Percent 2 2 3 2 5 3 2 3 2" xfId="45835"/>
    <cellStyle name="Percent 2 2 3 2 5 3 2 3 3" xfId="45836"/>
    <cellStyle name="Percent 2 2 3 2 5 3 2 4" xfId="45837"/>
    <cellStyle name="Percent 2 2 3 2 5 3 2 5" xfId="45838"/>
    <cellStyle name="Percent 2 2 3 2 5 3 3" xfId="45839"/>
    <cellStyle name="Percent 2 2 3 2 5 3 3 2" xfId="45840"/>
    <cellStyle name="Percent 2 2 3 2 5 3 3 3" xfId="45841"/>
    <cellStyle name="Percent 2 2 3 2 5 3 4" xfId="45842"/>
    <cellStyle name="Percent 2 2 3 2 5 3 4 2" xfId="45843"/>
    <cellStyle name="Percent 2 2 3 2 5 3 4 3" xfId="45844"/>
    <cellStyle name="Percent 2 2 3 2 5 3 5" xfId="45845"/>
    <cellStyle name="Percent 2 2 3 2 5 3 6" xfId="45846"/>
    <cellStyle name="Percent 2 2 3 2 5 4" xfId="45847"/>
    <cellStyle name="Percent 2 2 3 2 5 4 2" xfId="45848"/>
    <cellStyle name="Percent 2 2 3 2 5 4 2 2" xfId="45849"/>
    <cellStyle name="Percent 2 2 3 2 5 4 2 3" xfId="45850"/>
    <cellStyle name="Percent 2 2 3 2 5 4 3" xfId="45851"/>
    <cellStyle name="Percent 2 2 3 2 5 4 3 2" xfId="45852"/>
    <cellStyle name="Percent 2 2 3 2 5 4 3 3" xfId="45853"/>
    <cellStyle name="Percent 2 2 3 2 5 4 4" xfId="45854"/>
    <cellStyle name="Percent 2 2 3 2 5 4 5" xfId="45855"/>
    <cellStyle name="Percent 2 2 3 2 5 5" xfId="45856"/>
    <cellStyle name="Percent 2 2 3 2 5 5 2" xfId="45857"/>
    <cellStyle name="Percent 2 2 3 2 5 5 3" xfId="45858"/>
    <cellStyle name="Percent 2 2 3 2 5 6" xfId="45859"/>
    <cellStyle name="Percent 2 2 3 2 5 6 2" xfId="45860"/>
    <cellStyle name="Percent 2 2 3 2 5 6 3" xfId="45861"/>
    <cellStyle name="Percent 2 2 3 2 5 7" xfId="45862"/>
    <cellStyle name="Percent 2 2 3 2 5 8" xfId="45863"/>
    <cellStyle name="Percent 2 2 3 2 6" xfId="45864"/>
    <cellStyle name="Percent 2 2 3 2 6 2" xfId="45865"/>
    <cellStyle name="Percent 2 2 3 2 6 2 2" xfId="45866"/>
    <cellStyle name="Percent 2 2 3 2 6 2 2 2" xfId="45867"/>
    <cellStyle name="Percent 2 2 3 2 6 2 2 3" xfId="45868"/>
    <cellStyle name="Percent 2 2 3 2 6 2 3" xfId="45869"/>
    <cellStyle name="Percent 2 2 3 2 6 2 3 2" xfId="45870"/>
    <cellStyle name="Percent 2 2 3 2 6 2 3 3" xfId="45871"/>
    <cellStyle name="Percent 2 2 3 2 6 2 4" xfId="45872"/>
    <cellStyle name="Percent 2 2 3 2 6 2 5" xfId="45873"/>
    <cellStyle name="Percent 2 2 3 2 6 3" xfId="45874"/>
    <cellStyle name="Percent 2 2 3 2 6 3 2" xfId="45875"/>
    <cellStyle name="Percent 2 2 3 2 6 3 3" xfId="45876"/>
    <cellStyle name="Percent 2 2 3 2 6 4" xfId="45877"/>
    <cellStyle name="Percent 2 2 3 2 6 4 2" xfId="45878"/>
    <cellStyle name="Percent 2 2 3 2 6 4 3" xfId="45879"/>
    <cellStyle name="Percent 2 2 3 2 6 5" xfId="45880"/>
    <cellStyle name="Percent 2 2 3 2 6 6" xfId="45881"/>
    <cellStyle name="Percent 2 2 3 2 7" xfId="45882"/>
    <cellStyle name="Percent 2 2 3 2 7 2" xfId="45883"/>
    <cellStyle name="Percent 2 2 3 2 7 2 2" xfId="45884"/>
    <cellStyle name="Percent 2 2 3 2 7 2 2 2" xfId="45885"/>
    <cellStyle name="Percent 2 2 3 2 7 2 2 3" xfId="45886"/>
    <cellStyle name="Percent 2 2 3 2 7 2 3" xfId="45887"/>
    <cellStyle name="Percent 2 2 3 2 7 2 3 2" xfId="45888"/>
    <cellStyle name="Percent 2 2 3 2 7 2 3 3" xfId="45889"/>
    <cellStyle name="Percent 2 2 3 2 7 2 4" xfId="45890"/>
    <cellStyle name="Percent 2 2 3 2 7 2 5" xfId="45891"/>
    <cellStyle name="Percent 2 2 3 2 7 3" xfId="45892"/>
    <cellStyle name="Percent 2 2 3 2 7 3 2" xfId="45893"/>
    <cellStyle name="Percent 2 2 3 2 7 3 3" xfId="45894"/>
    <cellStyle name="Percent 2 2 3 2 7 4" xfId="45895"/>
    <cellStyle name="Percent 2 2 3 2 7 4 2" xfId="45896"/>
    <cellStyle name="Percent 2 2 3 2 7 4 3" xfId="45897"/>
    <cellStyle name="Percent 2 2 3 2 7 5" xfId="45898"/>
    <cellStyle name="Percent 2 2 3 2 7 6" xfId="45899"/>
    <cellStyle name="Percent 2 2 3 2 8" xfId="45900"/>
    <cellStyle name="Percent 2 2 3 2 8 2" xfId="45901"/>
    <cellStyle name="Percent 2 2 3 2 8 2 2" xfId="45902"/>
    <cellStyle name="Percent 2 2 3 2 8 2 3" xfId="45903"/>
    <cellStyle name="Percent 2 2 3 2 8 3" xfId="45904"/>
    <cellStyle name="Percent 2 2 3 2 8 3 2" xfId="45905"/>
    <cellStyle name="Percent 2 2 3 2 8 3 3" xfId="45906"/>
    <cellStyle name="Percent 2 2 3 2 8 4" xfId="45907"/>
    <cellStyle name="Percent 2 2 3 2 8 5" xfId="45908"/>
    <cellStyle name="Percent 2 2 3 2 9" xfId="45909"/>
    <cellStyle name="Percent 2 2 3 2 9 2" xfId="45910"/>
    <cellStyle name="Percent 2 2 3 2 9 3" xfId="45911"/>
    <cellStyle name="Percent 2 2 3 3" xfId="45912"/>
    <cellStyle name="Percent 2 2 3 3 10" xfId="45913"/>
    <cellStyle name="Percent 2 2 3 3 2" xfId="45914"/>
    <cellStyle name="Percent 2 2 3 3 2 2" xfId="45915"/>
    <cellStyle name="Percent 2 2 3 3 2 2 2" xfId="45916"/>
    <cellStyle name="Percent 2 2 3 3 2 2 2 2" xfId="45917"/>
    <cellStyle name="Percent 2 2 3 3 2 2 2 2 2" xfId="45918"/>
    <cellStyle name="Percent 2 2 3 3 2 2 2 2 2 2" xfId="45919"/>
    <cellStyle name="Percent 2 2 3 3 2 2 2 2 2 3" xfId="45920"/>
    <cellStyle name="Percent 2 2 3 3 2 2 2 2 3" xfId="45921"/>
    <cellStyle name="Percent 2 2 3 3 2 2 2 2 3 2" xfId="45922"/>
    <cellStyle name="Percent 2 2 3 3 2 2 2 2 3 3" xfId="45923"/>
    <cellStyle name="Percent 2 2 3 3 2 2 2 2 4" xfId="45924"/>
    <cellStyle name="Percent 2 2 3 3 2 2 2 2 5" xfId="45925"/>
    <cellStyle name="Percent 2 2 3 3 2 2 2 3" xfId="45926"/>
    <cellStyle name="Percent 2 2 3 3 2 2 2 3 2" xfId="45927"/>
    <cellStyle name="Percent 2 2 3 3 2 2 2 3 3" xfId="45928"/>
    <cellStyle name="Percent 2 2 3 3 2 2 2 4" xfId="45929"/>
    <cellStyle name="Percent 2 2 3 3 2 2 2 4 2" xfId="45930"/>
    <cellStyle name="Percent 2 2 3 3 2 2 2 4 3" xfId="45931"/>
    <cellStyle name="Percent 2 2 3 3 2 2 2 5" xfId="45932"/>
    <cellStyle name="Percent 2 2 3 3 2 2 2 6" xfId="45933"/>
    <cellStyle name="Percent 2 2 3 3 2 2 3" xfId="45934"/>
    <cellStyle name="Percent 2 2 3 3 2 2 3 2" xfId="45935"/>
    <cellStyle name="Percent 2 2 3 3 2 2 3 2 2" xfId="45936"/>
    <cellStyle name="Percent 2 2 3 3 2 2 3 2 2 2" xfId="45937"/>
    <cellStyle name="Percent 2 2 3 3 2 2 3 2 2 3" xfId="45938"/>
    <cellStyle name="Percent 2 2 3 3 2 2 3 2 3" xfId="45939"/>
    <cellStyle name="Percent 2 2 3 3 2 2 3 2 3 2" xfId="45940"/>
    <cellStyle name="Percent 2 2 3 3 2 2 3 2 3 3" xfId="45941"/>
    <cellStyle name="Percent 2 2 3 3 2 2 3 2 4" xfId="45942"/>
    <cellStyle name="Percent 2 2 3 3 2 2 3 2 5" xfId="45943"/>
    <cellStyle name="Percent 2 2 3 3 2 2 3 3" xfId="45944"/>
    <cellStyle name="Percent 2 2 3 3 2 2 3 3 2" xfId="45945"/>
    <cellStyle name="Percent 2 2 3 3 2 2 3 3 3" xfId="45946"/>
    <cellStyle name="Percent 2 2 3 3 2 2 3 4" xfId="45947"/>
    <cellStyle name="Percent 2 2 3 3 2 2 3 4 2" xfId="45948"/>
    <cellStyle name="Percent 2 2 3 3 2 2 3 4 3" xfId="45949"/>
    <cellStyle name="Percent 2 2 3 3 2 2 3 5" xfId="45950"/>
    <cellStyle name="Percent 2 2 3 3 2 2 3 6" xfId="45951"/>
    <cellStyle name="Percent 2 2 3 3 2 2 4" xfId="45952"/>
    <cellStyle name="Percent 2 2 3 3 2 2 4 2" xfId="45953"/>
    <cellStyle name="Percent 2 2 3 3 2 2 4 2 2" xfId="45954"/>
    <cellStyle name="Percent 2 2 3 3 2 2 4 2 3" xfId="45955"/>
    <cellStyle name="Percent 2 2 3 3 2 2 4 3" xfId="45956"/>
    <cellStyle name="Percent 2 2 3 3 2 2 4 3 2" xfId="45957"/>
    <cellStyle name="Percent 2 2 3 3 2 2 4 3 3" xfId="45958"/>
    <cellStyle name="Percent 2 2 3 3 2 2 4 4" xfId="45959"/>
    <cellStyle name="Percent 2 2 3 3 2 2 4 5" xfId="45960"/>
    <cellStyle name="Percent 2 2 3 3 2 2 5" xfId="45961"/>
    <cellStyle name="Percent 2 2 3 3 2 2 5 2" xfId="45962"/>
    <cellStyle name="Percent 2 2 3 3 2 2 5 3" xfId="45963"/>
    <cellStyle name="Percent 2 2 3 3 2 2 6" xfId="45964"/>
    <cellStyle name="Percent 2 2 3 3 2 2 6 2" xfId="45965"/>
    <cellStyle name="Percent 2 2 3 3 2 2 6 3" xfId="45966"/>
    <cellStyle name="Percent 2 2 3 3 2 2 7" xfId="45967"/>
    <cellStyle name="Percent 2 2 3 3 2 2 8" xfId="45968"/>
    <cellStyle name="Percent 2 2 3 3 2 3" xfId="45969"/>
    <cellStyle name="Percent 2 2 3 3 2 3 2" xfId="45970"/>
    <cellStyle name="Percent 2 2 3 3 2 3 2 2" xfId="45971"/>
    <cellStyle name="Percent 2 2 3 3 2 3 2 2 2" xfId="45972"/>
    <cellStyle name="Percent 2 2 3 3 2 3 2 2 3" xfId="45973"/>
    <cellStyle name="Percent 2 2 3 3 2 3 2 3" xfId="45974"/>
    <cellStyle name="Percent 2 2 3 3 2 3 2 3 2" xfId="45975"/>
    <cellStyle name="Percent 2 2 3 3 2 3 2 3 3" xfId="45976"/>
    <cellStyle name="Percent 2 2 3 3 2 3 2 4" xfId="45977"/>
    <cellStyle name="Percent 2 2 3 3 2 3 2 5" xfId="45978"/>
    <cellStyle name="Percent 2 2 3 3 2 3 3" xfId="45979"/>
    <cellStyle name="Percent 2 2 3 3 2 3 3 2" xfId="45980"/>
    <cellStyle name="Percent 2 2 3 3 2 3 3 3" xfId="45981"/>
    <cellStyle name="Percent 2 2 3 3 2 3 4" xfId="45982"/>
    <cellStyle name="Percent 2 2 3 3 2 3 4 2" xfId="45983"/>
    <cellStyle name="Percent 2 2 3 3 2 3 4 3" xfId="45984"/>
    <cellStyle name="Percent 2 2 3 3 2 3 5" xfId="45985"/>
    <cellStyle name="Percent 2 2 3 3 2 3 6" xfId="45986"/>
    <cellStyle name="Percent 2 2 3 3 2 4" xfId="45987"/>
    <cellStyle name="Percent 2 2 3 3 2 4 2" xfId="45988"/>
    <cellStyle name="Percent 2 2 3 3 2 4 2 2" xfId="45989"/>
    <cellStyle name="Percent 2 2 3 3 2 4 2 2 2" xfId="45990"/>
    <cellStyle name="Percent 2 2 3 3 2 4 2 2 3" xfId="45991"/>
    <cellStyle name="Percent 2 2 3 3 2 4 2 3" xfId="45992"/>
    <cellStyle name="Percent 2 2 3 3 2 4 2 3 2" xfId="45993"/>
    <cellStyle name="Percent 2 2 3 3 2 4 2 3 3" xfId="45994"/>
    <cellStyle name="Percent 2 2 3 3 2 4 2 4" xfId="45995"/>
    <cellStyle name="Percent 2 2 3 3 2 4 2 5" xfId="45996"/>
    <cellStyle name="Percent 2 2 3 3 2 4 3" xfId="45997"/>
    <cellStyle name="Percent 2 2 3 3 2 4 3 2" xfId="45998"/>
    <cellStyle name="Percent 2 2 3 3 2 4 3 3" xfId="45999"/>
    <cellStyle name="Percent 2 2 3 3 2 4 4" xfId="46000"/>
    <cellStyle name="Percent 2 2 3 3 2 4 4 2" xfId="46001"/>
    <cellStyle name="Percent 2 2 3 3 2 4 4 3" xfId="46002"/>
    <cellStyle name="Percent 2 2 3 3 2 4 5" xfId="46003"/>
    <cellStyle name="Percent 2 2 3 3 2 4 6" xfId="46004"/>
    <cellStyle name="Percent 2 2 3 3 2 5" xfId="46005"/>
    <cellStyle name="Percent 2 2 3 3 2 5 2" xfId="46006"/>
    <cellStyle name="Percent 2 2 3 3 2 5 2 2" xfId="46007"/>
    <cellStyle name="Percent 2 2 3 3 2 5 2 3" xfId="46008"/>
    <cellStyle name="Percent 2 2 3 3 2 5 3" xfId="46009"/>
    <cellStyle name="Percent 2 2 3 3 2 5 3 2" xfId="46010"/>
    <cellStyle name="Percent 2 2 3 3 2 5 3 3" xfId="46011"/>
    <cellStyle name="Percent 2 2 3 3 2 5 4" xfId="46012"/>
    <cellStyle name="Percent 2 2 3 3 2 5 5" xfId="46013"/>
    <cellStyle name="Percent 2 2 3 3 2 6" xfId="46014"/>
    <cellStyle name="Percent 2 2 3 3 2 6 2" xfId="46015"/>
    <cellStyle name="Percent 2 2 3 3 2 6 3" xfId="46016"/>
    <cellStyle name="Percent 2 2 3 3 2 7" xfId="46017"/>
    <cellStyle name="Percent 2 2 3 3 2 7 2" xfId="46018"/>
    <cellStyle name="Percent 2 2 3 3 2 7 3" xfId="46019"/>
    <cellStyle name="Percent 2 2 3 3 2 8" xfId="46020"/>
    <cellStyle name="Percent 2 2 3 3 2 9" xfId="46021"/>
    <cellStyle name="Percent 2 2 3 3 3" xfId="46022"/>
    <cellStyle name="Percent 2 2 3 3 3 2" xfId="46023"/>
    <cellStyle name="Percent 2 2 3 3 3 2 2" xfId="46024"/>
    <cellStyle name="Percent 2 2 3 3 3 2 2 2" xfId="46025"/>
    <cellStyle name="Percent 2 2 3 3 3 2 2 2 2" xfId="46026"/>
    <cellStyle name="Percent 2 2 3 3 3 2 2 2 3" xfId="46027"/>
    <cellStyle name="Percent 2 2 3 3 3 2 2 3" xfId="46028"/>
    <cellStyle name="Percent 2 2 3 3 3 2 2 3 2" xfId="46029"/>
    <cellStyle name="Percent 2 2 3 3 3 2 2 3 3" xfId="46030"/>
    <cellStyle name="Percent 2 2 3 3 3 2 2 4" xfId="46031"/>
    <cellStyle name="Percent 2 2 3 3 3 2 2 5" xfId="46032"/>
    <cellStyle name="Percent 2 2 3 3 3 2 3" xfId="46033"/>
    <cellStyle name="Percent 2 2 3 3 3 2 3 2" xfId="46034"/>
    <cellStyle name="Percent 2 2 3 3 3 2 3 3" xfId="46035"/>
    <cellStyle name="Percent 2 2 3 3 3 2 4" xfId="46036"/>
    <cellStyle name="Percent 2 2 3 3 3 2 4 2" xfId="46037"/>
    <cellStyle name="Percent 2 2 3 3 3 2 4 3" xfId="46038"/>
    <cellStyle name="Percent 2 2 3 3 3 2 5" xfId="46039"/>
    <cellStyle name="Percent 2 2 3 3 3 2 6" xfId="46040"/>
    <cellStyle name="Percent 2 2 3 3 3 3" xfId="46041"/>
    <cellStyle name="Percent 2 2 3 3 3 3 2" xfId="46042"/>
    <cellStyle name="Percent 2 2 3 3 3 3 2 2" xfId="46043"/>
    <cellStyle name="Percent 2 2 3 3 3 3 2 2 2" xfId="46044"/>
    <cellStyle name="Percent 2 2 3 3 3 3 2 2 3" xfId="46045"/>
    <cellStyle name="Percent 2 2 3 3 3 3 2 3" xfId="46046"/>
    <cellStyle name="Percent 2 2 3 3 3 3 2 3 2" xfId="46047"/>
    <cellStyle name="Percent 2 2 3 3 3 3 2 3 3" xfId="46048"/>
    <cellStyle name="Percent 2 2 3 3 3 3 2 4" xfId="46049"/>
    <cellStyle name="Percent 2 2 3 3 3 3 2 5" xfId="46050"/>
    <cellStyle name="Percent 2 2 3 3 3 3 3" xfId="46051"/>
    <cellStyle name="Percent 2 2 3 3 3 3 3 2" xfId="46052"/>
    <cellStyle name="Percent 2 2 3 3 3 3 3 3" xfId="46053"/>
    <cellStyle name="Percent 2 2 3 3 3 3 4" xfId="46054"/>
    <cellStyle name="Percent 2 2 3 3 3 3 4 2" xfId="46055"/>
    <cellStyle name="Percent 2 2 3 3 3 3 4 3" xfId="46056"/>
    <cellStyle name="Percent 2 2 3 3 3 3 5" xfId="46057"/>
    <cellStyle name="Percent 2 2 3 3 3 3 6" xfId="46058"/>
    <cellStyle name="Percent 2 2 3 3 3 4" xfId="46059"/>
    <cellStyle name="Percent 2 2 3 3 3 4 2" xfId="46060"/>
    <cellStyle name="Percent 2 2 3 3 3 4 2 2" xfId="46061"/>
    <cellStyle name="Percent 2 2 3 3 3 4 2 3" xfId="46062"/>
    <cellStyle name="Percent 2 2 3 3 3 4 3" xfId="46063"/>
    <cellStyle name="Percent 2 2 3 3 3 4 3 2" xfId="46064"/>
    <cellStyle name="Percent 2 2 3 3 3 4 3 3" xfId="46065"/>
    <cellStyle name="Percent 2 2 3 3 3 4 4" xfId="46066"/>
    <cellStyle name="Percent 2 2 3 3 3 4 5" xfId="46067"/>
    <cellStyle name="Percent 2 2 3 3 3 5" xfId="46068"/>
    <cellStyle name="Percent 2 2 3 3 3 5 2" xfId="46069"/>
    <cellStyle name="Percent 2 2 3 3 3 5 3" xfId="46070"/>
    <cellStyle name="Percent 2 2 3 3 3 6" xfId="46071"/>
    <cellStyle name="Percent 2 2 3 3 3 6 2" xfId="46072"/>
    <cellStyle name="Percent 2 2 3 3 3 6 3" xfId="46073"/>
    <cellStyle name="Percent 2 2 3 3 3 7" xfId="46074"/>
    <cellStyle name="Percent 2 2 3 3 3 8" xfId="46075"/>
    <cellStyle name="Percent 2 2 3 3 4" xfId="46076"/>
    <cellStyle name="Percent 2 2 3 3 4 2" xfId="46077"/>
    <cellStyle name="Percent 2 2 3 3 4 2 2" xfId="46078"/>
    <cellStyle name="Percent 2 2 3 3 4 2 2 2" xfId="46079"/>
    <cellStyle name="Percent 2 2 3 3 4 2 2 3" xfId="46080"/>
    <cellStyle name="Percent 2 2 3 3 4 2 3" xfId="46081"/>
    <cellStyle name="Percent 2 2 3 3 4 2 3 2" xfId="46082"/>
    <cellStyle name="Percent 2 2 3 3 4 2 3 3" xfId="46083"/>
    <cellStyle name="Percent 2 2 3 3 4 2 4" xfId="46084"/>
    <cellStyle name="Percent 2 2 3 3 4 2 5" xfId="46085"/>
    <cellStyle name="Percent 2 2 3 3 4 3" xfId="46086"/>
    <cellStyle name="Percent 2 2 3 3 4 3 2" xfId="46087"/>
    <cellStyle name="Percent 2 2 3 3 4 3 3" xfId="46088"/>
    <cellStyle name="Percent 2 2 3 3 4 4" xfId="46089"/>
    <cellStyle name="Percent 2 2 3 3 4 4 2" xfId="46090"/>
    <cellStyle name="Percent 2 2 3 3 4 4 3" xfId="46091"/>
    <cellStyle name="Percent 2 2 3 3 4 5" xfId="46092"/>
    <cellStyle name="Percent 2 2 3 3 4 6" xfId="46093"/>
    <cellStyle name="Percent 2 2 3 3 5" xfId="46094"/>
    <cellStyle name="Percent 2 2 3 3 5 2" xfId="46095"/>
    <cellStyle name="Percent 2 2 3 3 5 2 2" xfId="46096"/>
    <cellStyle name="Percent 2 2 3 3 5 2 2 2" xfId="46097"/>
    <cellStyle name="Percent 2 2 3 3 5 2 2 3" xfId="46098"/>
    <cellStyle name="Percent 2 2 3 3 5 2 3" xfId="46099"/>
    <cellStyle name="Percent 2 2 3 3 5 2 3 2" xfId="46100"/>
    <cellStyle name="Percent 2 2 3 3 5 2 3 3" xfId="46101"/>
    <cellStyle name="Percent 2 2 3 3 5 2 4" xfId="46102"/>
    <cellStyle name="Percent 2 2 3 3 5 2 5" xfId="46103"/>
    <cellStyle name="Percent 2 2 3 3 5 3" xfId="46104"/>
    <cellStyle name="Percent 2 2 3 3 5 3 2" xfId="46105"/>
    <cellStyle name="Percent 2 2 3 3 5 3 3" xfId="46106"/>
    <cellStyle name="Percent 2 2 3 3 5 4" xfId="46107"/>
    <cellStyle name="Percent 2 2 3 3 5 4 2" xfId="46108"/>
    <cellStyle name="Percent 2 2 3 3 5 4 3" xfId="46109"/>
    <cellStyle name="Percent 2 2 3 3 5 5" xfId="46110"/>
    <cellStyle name="Percent 2 2 3 3 5 6" xfId="46111"/>
    <cellStyle name="Percent 2 2 3 3 6" xfId="46112"/>
    <cellStyle name="Percent 2 2 3 3 6 2" xfId="46113"/>
    <cellStyle name="Percent 2 2 3 3 6 2 2" xfId="46114"/>
    <cellStyle name="Percent 2 2 3 3 6 2 3" xfId="46115"/>
    <cellStyle name="Percent 2 2 3 3 6 3" xfId="46116"/>
    <cellStyle name="Percent 2 2 3 3 6 3 2" xfId="46117"/>
    <cellStyle name="Percent 2 2 3 3 6 3 3" xfId="46118"/>
    <cellStyle name="Percent 2 2 3 3 6 4" xfId="46119"/>
    <cellStyle name="Percent 2 2 3 3 6 5" xfId="46120"/>
    <cellStyle name="Percent 2 2 3 3 7" xfId="46121"/>
    <cellStyle name="Percent 2 2 3 3 7 2" xfId="46122"/>
    <cellStyle name="Percent 2 2 3 3 7 3" xfId="46123"/>
    <cellStyle name="Percent 2 2 3 3 8" xfId="46124"/>
    <cellStyle name="Percent 2 2 3 3 8 2" xfId="46125"/>
    <cellStyle name="Percent 2 2 3 3 8 3" xfId="46126"/>
    <cellStyle name="Percent 2 2 3 3 9" xfId="46127"/>
    <cellStyle name="Percent 2 2 3 4" xfId="46128"/>
    <cellStyle name="Percent 2 2 3 4 10" xfId="46129"/>
    <cellStyle name="Percent 2 2 3 4 2" xfId="46130"/>
    <cellStyle name="Percent 2 2 3 4 2 2" xfId="46131"/>
    <cellStyle name="Percent 2 2 3 4 2 2 2" xfId="46132"/>
    <cellStyle name="Percent 2 2 3 4 2 2 2 2" xfId="46133"/>
    <cellStyle name="Percent 2 2 3 4 2 2 2 2 2" xfId="46134"/>
    <cellStyle name="Percent 2 2 3 4 2 2 2 2 2 2" xfId="46135"/>
    <cellStyle name="Percent 2 2 3 4 2 2 2 2 2 3" xfId="46136"/>
    <cellStyle name="Percent 2 2 3 4 2 2 2 2 3" xfId="46137"/>
    <cellStyle name="Percent 2 2 3 4 2 2 2 2 3 2" xfId="46138"/>
    <cellStyle name="Percent 2 2 3 4 2 2 2 2 3 3" xfId="46139"/>
    <cellStyle name="Percent 2 2 3 4 2 2 2 2 4" xfId="46140"/>
    <cellStyle name="Percent 2 2 3 4 2 2 2 2 5" xfId="46141"/>
    <cellStyle name="Percent 2 2 3 4 2 2 2 3" xfId="46142"/>
    <cellStyle name="Percent 2 2 3 4 2 2 2 3 2" xfId="46143"/>
    <cellStyle name="Percent 2 2 3 4 2 2 2 3 3" xfId="46144"/>
    <cellStyle name="Percent 2 2 3 4 2 2 2 4" xfId="46145"/>
    <cellStyle name="Percent 2 2 3 4 2 2 2 4 2" xfId="46146"/>
    <cellStyle name="Percent 2 2 3 4 2 2 2 4 3" xfId="46147"/>
    <cellStyle name="Percent 2 2 3 4 2 2 2 5" xfId="46148"/>
    <cellStyle name="Percent 2 2 3 4 2 2 2 6" xfId="46149"/>
    <cellStyle name="Percent 2 2 3 4 2 2 3" xfId="46150"/>
    <cellStyle name="Percent 2 2 3 4 2 2 3 2" xfId="46151"/>
    <cellStyle name="Percent 2 2 3 4 2 2 3 2 2" xfId="46152"/>
    <cellStyle name="Percent 2 2 3 4 2 2 3 2 2 2" xfId="46153"/>
    <cellStyle name="Percent 2 2 3 4 2 2 3 2 2 3" xfId="46154"/>
    <cellStyle name="Percent 2 2 3 4 2 2 3 2 3" xfId="46155"/>
    <cellStyle name="Percent 2 2 3 4 2 2 3 2 3 2" xfId="46156"/>
    <cellStyle name="Percent 2 2 3 4 2 2 3 2 3 3" xfId="46157"/>
    <cellStyle name="Percent 2 2 3 4 2 2 3 2 4" xfId="46158"/>
    <cellStyle name="Percent 2 2 3 4 2 2 3 2 5" xfId="46159"/>
    <cellStyle name="Percent 2 2 3 4 2 2 3 3" xfId="46160"/>
    <cellStyle name="Percent 2 2 3 4 2 2 3 3 2" xfId="46161"/>
    <cellStyle name="Percent 2 2 3 4 2 2 3 3 3" xfId="46162"/>
    <cellStyle name="Percent 2 2 3 4 2 2 3 4" xfId="46163"/>
    <cellStyle name="Percent 2 2 3 4 2 2 3 4 2" xfId="46164"/>
    <cellStyle name="Percent 2 2 3 4 2 2 3 4 3" xfId="46165"/>
    <cellStyle name="Percent 2 2 3 4 2 2 3 5" xfId="46166"/>
    <cellStyle name="Percent 2 2 3 4 2 2 3 6" xfId="46167"/>
    <cellStyle name="Percent 2 2 3 4 2 2 4" xfId="46168"/>
    <cellStyle name="Percent 2 2 3 4 2 2 4 2" xfId="46169"/>
    <cellStyle name="Percent 2 2 3 4 2 2 4 2 2" xfId="46170"/>
    <cellStyle name="Percent 2 2 3 4 2 2 4 2 3" xfId="46171"/>
    <cellStyle name="Percent 2 2 3 4 2 2 4 3" xfId="46172"/>
    <cellStyle name="Percent 2 2 3 4 2 2 4 3 2" xfId="46173"/>
    <cellStyle name="Percent 2 2 3 4 2 2 4 3 3" xfId="46174"/>
    <cellStyle name="Percent 2 2 3 4 2 2 4 4" xfId="46175"/>
    <cellStyle name="Percent 2 2 3 4 2 2 4 5" xfId="46176"/>
    <cellStyle name="Percent 2 2 3 4 2 2 5" xfId="46177"/>
    <cellStyle name="Percent 2 2 3 4 2 2 5 2" xfId="46178"/>
    <cellStyle name="Percent 2 2 3 4 2 2 5 3" xfId="46179"/>
    <cellStyle name="Percent 2 2 3 4 2 2 6" xfId="46180"/>
    <cellStyle name="Percent 2 2 3 4 2 2 6 2" xfId="46181"/>
    <cellStyle name="Percent 2 2 3 4 2 2 6 3" xfId="46182"/>
    <cellStyle name="Percent 2 2 3 4 2 2 7" xfId="46183"/>
    <cellStyle name="Percent 2 2 3 4 2 2 8" xfId="46184"/>
    <cellStyle name="Percent 2 2 3 4 2 3" xfId="46185"/>
    <cellStyle name="Percent 2 2 3 4 2 3 2" xfId="46186"/>
    <cellStyle name="Percent 2 2 3 4 2 3 2 2" xfId="46187"/>
    <cellStyle name="Percent 2 2 3 4 2 3 2 2 2" xfId="46188"/>
    <cellStyle name="Percent 2 2 3 4 2 3 2 2 3" xfId="46189"/>
    <cellStyle name="Percent 2 2 3 4 2 3 2 3" xfId="46190"/>
    <cellStyle name="Percent 2 2 3 4 2 3 2 3 2" xfId="46191"/>
    <cellStyle name="Percent 2 2 3 4 2 3 2 3 3" xfId="46192"/>
    <cellStyle name="Percent 2 2 3 4 2 3 2 4" xfId="46193"/>
    <cellStyle name="Percent 2 2 3 4 2 3 2 5" xfId="46194"/>
    <cellStyle name="Percent 2 2 3 4 2 3 3" xfId="46195"/>
    <cellStyle name="Percent 2 2 3 4 2 3 3 2" xfId="46196"/>
    <cellStyle name="Percent 2 2 3 4 2 3 3 3" xfId="46197"/>
    <cellStyle name="Percent 2 2 3 4 2 3 4" xfId="46198"/>
    <cellStyle name="Percent 2 2 3 4 2 3 4 2" xfId="46199"/>
    <cellStyle name="Percent 2 2 3 4 2 3 4 3" xfId="46200"/>
    <cellStyle name="Percent 2 2 3 4 2 3 5" xfId="46201"/>
    <cellStyle name="Percent 2 2 3 4 2 3 6" xfId="46202"/>
    <cellStyle name="Percent 2 2 3 4 2 4" xfId="46203"/>
    <cellStyle name="Percent 2 2 3 4 2 4 2" xfId="46204"/>
    <cellStyle name="Percent 2 2 3 4 2 4 2 2" xfId="46205"/>
    <cellStyle name="Percent 2 2 3 4 2 4 2 2 2" xfId="46206"/>
    <cellStyle name="Percent 2 2 3 4 2 4 2 2 3" xfId="46207"/>
    <cellStyle name="Percent 2 2 3 4 2 4 2 3" xfId="46208"/>
    <cellStyle name="Percent 2 2 3 4 2 4 2 3 2" xfId="46209"/>
    <cellStyle name="Percent 2 2 3 4 2 4 2 3 3" xfId="46210"/>
    <cellStyle name="Percent 2 2 3 4 2 4 2 4" xfId="46211"/>
    <cellStyle name="Percent 2 2 3 4 2 4 2 5" xfId="46212"/>
    <cellStyle name="Percent 2 2 3 4 2 4 3" xfId="46213"/>
    <cellStyle name="Percent 2 2 3 4 2 4 3 2" xfId="46214"/>
    <cellStyle name="Percent 2 2 3 4 2 4 3 3" xfId="46215"/>
    <cellStyle name="Percent 2 2 3 4 2 4 4" xfId="46216"/>
    <cellStyle name="Percent 2 2 3 4 2 4 4 2" xfId="46217"/>
    <cellStyle name="Percent 2 2 3 4 2 4 4 3" xfId="46218"/>
    <cellStyle name="Percent 2 2 3 4 2 4 5" xfId="46219"/>
    <cellStyle name="Percent 2 2 3 4 2 4 6" xfId="46220"/>
    <cellStyle name="Percent 2 2 3 4 2 5" xfId="46221"/>
    <cellStyle name="Percent 2 2 3 4 2 5 2" xfId="46222"/>
    <cellStyle name="Percent 2 2 3 4 2 5 2 2" xfId="46223"/>
    <cellStyle name="Percent 2 2 3 4 2 5 2 3" xfId="46224"/>
    <cellStyle name="Percent 2 2 3 4 2 5 3" xfId="46225"/>
    <cellStyle name="Percent 2 2 3 4 2 5 3 2" xfId="46226"/>
    <cellStyle name="Percent 2 2 3 4 2 5 3 3" xfId="46227"/>
    <cellStyle name="Percent 2 2 3 4 2 5 4" xfId="46228"/>
    <cellStyle name="Percent 2 2 3 4 2 5 5" xfId="46229"/>
    <cellStyle name="Percent 2 2 3 4 2 6" xfId="46230"/>
    <cellStyle name="Percent 2 2 3 4 2 6 2" xfId="46231"/>
    <cellStyle name="Percent 2 2 3 4 2 6 3" xfId="46232"/>
    <cellStyle name="Percent 2 2 3 4 2 7" xfId="46233"/>
    <cellStyle name="Percent 2 2 3 4 2 7 2" xfId="46234"/>
    <cellStyle name="Percent 2 2 3 4 2 7 3" xfId="46235"/>
    <cellStyle name="Percent 2 2 3 4 2 8" xfId="46236"/>
    <cellStyle name="Percent 2 2 3 4 2 9" xfId="46237"/>
    <cellStyle name="Percent 2 2 3 4 3" xfId="46238"/>
    <cellStyle name="Percent 2 2 3 4 3 2" xfId="46239"/>
    <cellStyle name="Percent 2 2 3 4 3 2 2" xfId="46240"/>
    <cellStyle name="Percent 2 2 3 4 3 2 2 2" xfId="46241"/>
    <cellStyle name="Percent 2 2 3 4 3 2 2 2 2" xfId="46242"/>
    <cellStyle name="Percent 2 2 3 4 3 2 2 2 3" xfId="46243"/>
    <cellStyle name="Percent 2 2 3 4 3 2 2 3" xfId="46244"/>
    <cellStyle name="Percent 2 2 3 4 3 2 2 3 2" xfId="46245"/>
    <cellStyle name="Percent 2 2 3 4 3 2 2 3 3" xfId="46246"/>
    <cellStyle name="Percent 2 2 3 4 3 2 2 4" xfId="46247"/>
    <cellStyle name="Percent 2 2 3 4 3 2 2 5" xfId="46248"/>
    <cellStyle name="Percent 2 2 3 4 3 2 3" xfId="46249"/>
    <cellStyle name="Percent 2 2 3 4 3 2 3 2" xfId="46250"/>
    <cellStyle name="Percent 2 2 3 4 3 2 3 3" xfId="46251"/>
    <cellStyle name="Percent 2 2 3 4 3 2 4" xfId="46252"/>
    <cellStyle name="Percent 2 2 3 4 3 2 4 2" xfId="46253"/>
    <cellStyle name="Percent 2 2 3 4 3 2 4 3" xfId="46254"/>
    <cellStyle name="Percent 2 2 3 4 3 2 5" xfId="46255"/>
    <cellStyle name="Percent 2 2 3 4 3 2 6" xfId="46256"/>
    <cellStyle name="Percent 2 2 3 4 3 3" xfId="46257"/>
    <cellStyle name="Percent 2 2 3 4 3 3 2" xfId="46258"/>
    <cellStyle name="Percent 2 2 3 4 3 3 2 2" xfId="46259"/>
    <cellStyle name="Percent 2 2 3 4 3 3 2 2 2" xfId="46260"/>
    <cellStyle name="Percent 2 2 3 4 3 3 2 2 3" xfId="46261"/>
    <cellStyle name="Percent 2 2 3 4 3 3 2 3" xfId="46262"/>
    <cellStyle name="Percent 2 2 3 4 3 3 2 3 2" xfId="46263"/>
    <cellStyle name="Percent 2 2 3 4 3 3 2 3 3" xfId="46264"/>
    <cellStyle name="Percent 2 2 3 4 3 3 2 4" xfId="46265"/>
    <cellStyle name="Percent 2 2 3 4 3 3 2 5" xfId="46266"/>
    <cellStyle name="Percent 2 2 3 4 3 3 3" xfId="46267"/>
    <cellStyle name="Percent 2 2 3 4 3 3 3 2" xfId="46268"/>
    <cellStyle name="Percent 2 2 3 4 3 3 3 3" xfId="46269"/>
    <cellStyle name="Percent 2 2 3 4 3 3 4" xfId="46270"/>
    <cellStyle name="Percent 2 2 3 4 3 3 4 2" xfId="46271"/>
    <cellStyle name="Percent 2 2 3 4 3 3 4 3" xfId="46272"/>
    <cellStyle name="Percent 2 2 3 4 3 3 5" xfId="46273"/>
    <cellStyle name="Percent 2 2 3 4 3 3 6" xfId="46274"/>
    <cellStyle name="Percent 2 2 3 4 3 4" xfId="46275"/>
    <cellStyle name="Percent 2 2 3 4 3 4 2" xfId="46276"/>
    <cellStyle name="Percent 2 2 3 4 3 4 2 2" xfId="46277"/>
    <cellStyle name="Percent 2 2 3 4 3 4 2 3" xfId="46278"/>
    <cellStyle name="Percent 2 2 3 4 3 4 3" xfId="46279"/>
    <cellStyle name="Percent 2 2 3 4 3 4 3 2" xfId="46280"/>
    <cellStyle name="Percent 2 2 3 4 3 4 3 3" xfId="46281"/>
    <cellStyle name="Percent 2 2 3 4 3 4 4" xfId="46282"/>
    <cellStyle name="Percent 2 2 3 4 3 4 5" xfId="46283"/>
    <cellStyle name="Percent 2 2 3 4 3 5" xfId="46284"/>
    <cellStyle name="Percent 2 2 3 4 3 5 2" xfId="46285"/>
    <cellStyle name="Percent 2 2 3 4 3 5 3" xfId="46286"/>
    <cellStyle name="Percent 2 2 3 4 3 6" xfId="46287"/>
    <cellStyle name="Percent 2 2 3 4 3 6 2" xfId="46288"/>
    <cellStyle name="Percent 2 2 3 4 3 6 3" xfId="46289"/>
    <cellStyle name="Percent 2 2 3 4 3 7" xfId="46290"/>
    <cellStyle name="Percent 2 2 3 4 3 8" xfId="46291"/>
    <cellStyle name="Percent 2 2 3 4 4" xfId="46292"/>
    <cellStyle name="Percent 2 2 3 4 4 2" xfId="46293"/>
    <cellStyle name="Percent 2 2 3 4 4 2 2" xfId="46294"/>
    <cellStyle name="Percent 2 2 3 4 4 2 2 2" xfId="46295"/>
    <cellStyle name="Percent 2 2 3 4 4 2 2 3" xfId="46296"/>
    <cellStyle name="Percent 2 2 3 4 4 2 3" xfId="46297"/>
    <cellStyle name="Percent 2 2 3 4 4 2 3 2" xfId="46298"/>
    <cellStyle name="Percent 2 2 3 4 4 2 3 3" xfId="46299"/>
    <cellStyle name="Percent 2 2 3 4 4 2 4" xfId="46300"/>
    <cellStyle name="Percent 2 2 3 4 4 2 5" xfId="46301"/>
    <cellStyle name="Percent 2 2 3 4 4 3" xfId="46302"/>
    <cellStyle name="Percent 2 2 3 4 4 3 2" xfId="46303"/>
    <cellStyle name="Percent 2 2 3 4 4 3 3" xfId="46304"/>
    <cellStyle name="Percent 2 2 3 4 4 4" xfId="46305"/>
    <cellStyle name="Percent 2 2 3 4 4 4 2" xfId="46306"/>
    <cellStyle name="Percent 2 2 3 4 4 4 3" xfId="46307"/>
    <cellStyle name="Percent 2 2 3 4 4 5" xfId="46308"/>
    <cellStyle name="Percent 2 2 3 4 4 6" xfId="46309"/>
    <cellStyle name="Percent 2 2 3 4 5" xfId="46310"/>
    <cellStyle name="Percent 2 2 3 4 5 2" xfId="46311"/>
    <cellStyle name="Percent 2 2 3 4 5 2 2" xfId="46312"/>
    <cellStyle name="Percent 2 2 3 4 5 2 2 2" xfId="46313"/>
    <cellStyle name="Percent 2 2 3 4 5 2 2 3" xfId="46314"/>
    <cellStyle name="Percent 2 2 3 4 5 2 3" xfId="46315"/>
    <cellStyle name="Percent 2 2 3 4 5 2 3 2" xfId="46316"/>
    <cellStyle name="Percent 2 2 3 4 5 2 3 3" xfId="46317"/>
    <cellStyle name="Percent 2 2 3 4 5 2 4" xfId="46318"/>
    <cellStyle name="Percent 2 2 3 4 5 2 5" xfId="46319"/>
    <cellStyle name="Percent 2 2 3 4 5 3" xfId="46320"/>
    <cellStyle name="Percent 2 2 3 4 5 3 2" xfId="46321"/>
    <cellStyle name="Percent 2 2 3 4 5 3 3" xfId="46322"/>
    <cellStyle name="Percent 2 2 3 4 5 4" xfId="46323"/>
    <cellStyle name="Percent 2 2 3 4 5 4 2" xfId="46324"/>
    <cellStyle name="Percent 2 2 3 4 5 4 3" xfId="46325"/>
    <cellStyle name="Percent 2 2 3 4 5 5" xfId="46326"/>
    <cellStyle name="Percent 2 2 3 4 5 6" xfId="46327"/>
    <cellStyle name="Percent 2 2 3 4 6" xfId="46328"/>
    <cellStyle name="Percent 2 2 3 4 6 2" xfId="46329"/>
    <cellStyle name="Percent 2 2 3 4 6 2 2" xfId="46330"/>
    <cellStyle name="Percent 2 2 3 4 6 2 3" xfId="46331"/>
    <cellStyle name="Percent 2 2 3 4 6 3" xfId="46332"/>
    <cellStyle name="Percent 2 2 3 4 6 3 2" xfId="46333"/>
    <cellStyle name="Percent 2 2 3 4 6 3 3" xfId="46334"/>
    <cellStyle name="Percent 2 2 3 4 6 4" xfId="46335"/>
    <cellStyle name="Percent 2 2 3 4 6 5" xfId="46336"/>
    <cellStyle name="Percent 2 2 3 4 7" xfId="46337"/>
    <cellStyle name="Percent 2 2 3 4 7 2" xfId="46338"/>
    <cellStyle name="Percent 2 2 3 4 7 3" xfId="46339"/>
    <cellStyle name="Percent 2 2 3 4 8" xfId="46340"/>
    <cellStyle name="Percent 2 2 3 4 8 2" xfId="46341"/>
    <cellStyle name="Percent 2 2 3 4 8 3" xfId="46342"/>
    <cellStyle name="Percent 2 2 3 4 9" xfId="46343"/>
    <cellStyle name="Percent 2 2 3 5" xfId="46344"/>
    <cellStyle name="Percent 2 2 3 5 2" xfId="46345"/>
    <cellStyle name="Percent 2 2 3 5 2 2" xfId="46346"/>
    <cellStyle name="Percent 2 2 3 5 2 2 2" xfId="46347"/>
    <cellStyle name="Percent 2 2 3 5 2 2 2 2" xfId="46348"/>
    <cellStyle name="Percent 2 2 3 5 2 2 2 2 2" xfId="46349"/>
    <cellStyle name="Percent 2 2 3 5 2 2 2 2 3" xfId="46350"/>
    <cellStyle name="Percent 2 2 3 5 2 2 2 3" xfId="46351"/>
    <cellStyle name="Percent 2 2 3 5 2 2 2 3 2" xfId="46352"/>
    <cellStyle name="Percent 2 2 3 5 2 2 2 3 3" xfId="46353"/>
    <cellStyle name="Percent 2 2 3 5 2 2 2 4" xfId="46354"/>
    <cellStyle name="Percent 2 2 3 5 2 2 2 5" xfId="46355"/>
    <cellStyle name="Percent 2 2 3 5 2 2 3" xfId="46356"/>
    <cellStyle name="Percent 2 2 3 5 2 2 3 2" xfId="46357"/>
    <cellStyle name="Percent 2 2 3 5 2 2 3 3" xfId="46358"/>
    <cellStyle name="Percent 2 2 3 5 2 2 4" xfId="46359"/>
    <cellStyle name="Percent 2 2 3 5 2 2 4 2" xfId="46360"/>
    <cellStyle name="Percent 2 2 3 5 2 2 4 3" xfId="46361"/>
    <cellStyle name="Percent 2 2 3 5 2 2 5" xfId="46362"/>
    <cellStyle name="Percent 2 2 3 5 2 2 6" xfId="46363"/>
    <cellStyle name="Percent 2 2 3 5 2 3" xfId="46364"/>
    <cellStyle name="Percent 2 2 3 5 2 3 2" xfId="46365"/>
    <cellStyle name="Percent 2 2 3 5 2 3 2 2" xfId="46366"/>
    <cellStyle name="Percent 2 2 3 5 2 3 2 2 2" xfId="46367"/>
    <cellStyle name="Percent 2 2 3 5 2 3 2 2 3" xfId="46368"/>
    <cellStyle name="Percent 2 2 3 5 2 3 2 3" xfId="46369"/>
    <cellStyle name="Percent 2 2 3 5 2 3 2 3 2" xfId="46370"/>
    <cellStyle name="Percent 2 2 3 5 2 3 2 3 3" xfId="46371"/>
    <cellStyle name="Percent 2 2 3 5 2 3 2 4" xfId="46372"/>
    <cellStyle name="Percent 2 2 3 5 2 3 2 5" xfId="46373"/>
    <cellStyle name="Percent 2 2 3 5 2 3 3" xfId="46374"/>
    <cellStyle name="Percent 2 2 3 5 2 3 3 2" xfId="46375"/>
    <cellStyle name="Percent 2 2 3 5 2 3 3 3" xfId="46376"/>
    <cellStyle name="Percent 2 2 3 5 2 3 4" xfId="46377"/>
    <cellStyle name="Percent 2 2 3 5 2 3 4 2" xfId="46378"/>
    <cellStyle name="Percent 2 2 3 5 2 3 4 3" xfId="46379"/>
    <cellStyle name="Percent 2 2 3 5 2 3 5" xfId="46380"/>
    <cellStyle name="Percent 2 2 3 5 2 3 6" xfId="46381"/>
    <cellStyle name="Percent 2 2 3 5 2 4" xfId="46382"/>
    <cellStyle name="Percent 2 2 3 5 2 4 2" xfId="46383"/>
    <cellStyle name="Percent 2 2 3 5 2 4 2 2" xfId="46384"/>
    <cellStyle name="Percent 2 2 3 5 2 4 2 3" xfId="46385"/>
    <cellStyle name="Percent 2 2 3 5 2 4 3" xfId="46386"/>
    <cellStyle name="Percent 2 2 3 5 2 4 3 2" xfId="46387"/>
    <cellStyle name="Percent 2 2 3 5 2 4 3 3" xfId="46388"/>
    <cellStyle name="Percent 2 2 3 5 2 4 4" xfId="46389"/>
    <cellStyle name="Percent 2 2 3 5 2 4 5" xfId="46390"/>
    <cellStyle name="Percent 2 2 3 5 2 5" xfId="46391"/>
    <cellStyle name="Percent 2 2 3 5 2 5 2" xfId="46392"/>
    <cellStyle name="Percent 2 2 3 5 2 5 3" xfId="46393"/>
    <cellStyle name="Percent 2 2 3 5 2 6" xfId="46394"/>
    <cellStyle name="Percent 2 2 3 5 2 6 2" xfId="46395"/>
    <cellStyle name="Percent 2 2 3 5 2 6 3" xfId="46396"/>
    <cellStyle name="Percent 2 2 3 5 2 7" xfId="46397"/>
    <cellStyle name="Percent 2 2 3 5 2 8" xfId="46398"/>
    <cellStyle name="Percent 2 2 3 5 3" xfId="46399"/>
    <cellStyle name="Percent 2 2 3 5 3 2" xfId="46400"/>
    <cellStyle name="Percent 2 2 3 5 3 2 2" xfId="46401"/>
    <cellStyle name="Percent 2 2 3 5 3 2 2 2" xfId="46402"/>
    <cellStyle name="Percent 2 2 3 5 3 2 2 3" xfId="46403"/>
    <cellStyle name="Percent 2 2 3 5 3 2 3" xfId="46404"/>
    <cellStyle name="Percent 2 2 3 5 3 2 3 2" xfId="46405"/>
    <cellStyle name="Percent 2 2 3 5 3 2 3 3" xfId="46406"/>
    <cellStyle name="Percent 2 2 3 5 3 2 4" xfId="46407"/>
    <cellStyle name="Percent 2 2 3 5 3 2 5" xfId="46408"/>
    <cellStyle name="Percent 2 2 3 5 3 3" xfId="46409"/>
    <cellStyle name="Percent 2 2 3 5 3 3 2" xfId="46410"/>
    <cellStyle name="Percent 2 2 3 5 3 3 3" xfId="46411"/>
    <cellStyle name="Percent 2 2 3 5 3 4" xfId="46412"/>
    <cellStyle name="Percent 2 2 3 5 3 4 2" xfId="46413"/>
    <cellStyle name="Percent 2 2 3 5 3 4 3" xfId="46414"/>
    <cellStyle name="Percent 2 2 3 5 3 5" xfId="46415"/>
    <cellStyle name="Percent 2 2 3 5 3 6" xfId="46416"/>
    <cellStyle name="Percent 2 2 3 5 4" xfId="46417"/>
    <cellStyle name="Percent 2 2 3 5 4 2" xfId="46418"/>
    <cellStyle name="Percent 2 2 3 5 4 2 2" xfId="46419"/>
    <cellStyle name="Percent 2 2 3 5 4 2 2 2" xfId="46420"/>
    <cellStyle name="Percent 2 2 3 5 4 2 2 3" xfId="46421"/>
    <cellStyle name="Percent 2 2 3 5 4 2 3" xfId="46422"/>
    <cellStyle name="Percent 2 2 3 5 4 2 3 2" xfId="46423"/>
    <cellStyle name="Percent 2 2 3 5 4 2 3 3" xfId="46424"/>
    <cellStyle name="Percent 2 2 3 5 4 2 4" xfId="46425"/>
    <cellStyle name="Percent 2 2 3 5 4 2 5" xfId="46426"/>
    <cellStyle name="Percent 2 2 3 5 4 3" xfId="46427"/>
    <cellStyle name="Percent 2 2 3 5 4 3 2" xfId="46428"/>
    <cellStyle name="Percent 2 2 3 5 4 3 3" xfId="46429"/>
    <cellStyle name="Percent 2 2 3 5 4 4" xfId="46430"/>
    <cellStyle name="Percent 2 2 3 5 4 4 2" xfId="46431"/>
    <cellStyle name="Percent 2 2 3 5 4 4 3" xfId="46432"/>
    <cellStyle name="Percent 2 2 3 5 4 5" xfId="46433"/>
    <cellStyle name="Percent 2 2 3 5 4 6" xfId="46434"/>
    <cellStyle name="Percent 2 2 3 5 5" xfId="46435"/>
    <cellStyle name="Percent 2 2 3 5 5 2" xfId="46436"/>
    <cellStyle name="Percent 2 2 3 5 5 2 2" xfId="46437"/>
    <cellStyle name="Percent 2 2 3 5 5 2 3" xfId="46438"/>
    <cellStyle name="Percent 2 2 3 5 5 3" xfId="46439"/>
    <cellStyle name="Percent 2 2 3 5 5 3 2" xfId="46440"/>
    <cellStyle name="Percent 2 2 3 5 5 3 3" xfId="46441"/>
    <cellStyle name="Percent 2 2 3 5 5 4" xfId="46442"/>
    <cellStyle name="Percent 2 2 3 5 5 5" xfId="46443"/>
    <cellStyle name="Percent 2 2 3 5 6" xfId="46444"/>
    <cellStyle name="Percent 2 2 3 5 6 2" xfId="46445"/>
    <cellStyle name="Percent 2 2 3 5 6 3" xfId="46446"/>
    <cellStyle name="Percent 2 2 3 5 7" xfId="46447"/>
    <cellStyle name="Percent 2 2 3 5 7 2" xfId="46448"/>
    <cellStyle name="Percent 2 2 3 5 7 3" xfId="46449"/>
    <cellStyle name="Percent 2 2 3 5 8" xfId="46450"/>
    <cellStyle name="Percent 2 2 3 5 9" xfId="46451"/>
    <cellStyle name="Percent 2 2 3 6" xfId="46452"/>
    <cellStyle name="Percent 2 2 3 6 2" xfId="46453"/>
    <cellStyle name="Percent 2 2 3 6 2 2" xfId="46454"/>
    <cellStyle name="Percent 2 2 3 6 2 2 2" xfId="46455"/>
    <cellStyle name="Percent 2 2 3 6 2 2 2 2" xfId="46456"/>
    <cellStyle name="Percent 2 2 3 6 2 2 2 3" xfId="46457"/>
    <cellStyle name="Percent 2 2 3 6 2 2 3" xfId="46458"/>
    <cellStyle name="Percent 2 2 3 6 2 2 3 2" xfId="46459"/>
    <cellStyle name="Percent 2 2 3 6 2 2 3 3" xfId="46460"/>
    <cellStyle name="Percent 2 2 3 6 2 2 4" xfId="46461"/>
    <cellStyle name="Percent 2 2 3 6 2 2 5" xfId="46462"/>
    <cellStyle name="Percent 2 2 3 6 2 3" xfId="46463"/>
    <cellStyle name="Percent 2 2 3 6 2 3 2" xfId="46464"/>
    <cellStyle name="Percent 2 2 3 6 2 3 3" xfId="46465"/>
    <cellStyle name="Percent 2 2 3 6 2 4" xfId="46466"/>
    <cellStyle name="Percent 2 2 3 6 2 4 2" xfId="46467"/>
    <cellStyle name="Percent 2 2 3 6 2 4 3" xfId="46468"/>
    <cellStyle name="Percent 2 2 3 6 2 5" xfId="46469"/>
    <cellStyle name="Percent 2 2 3 6 2 6" xfId="46470"/>
    <cellStyle name="Percent 2 2 3 6 3" xfId="46471"/>
    <cellStyle name="Percent 2 2 3 6 3 2" xfId="46472"/>
    <cellStyle name="Percent 2 2 3 6 3 2 2" xfId="46473"/>
    <cellStyle name="Percent 2 2 3 6 3 2 2 2" xfId="46474"/>
    <cellStyle name="Percent 2 2 3 6 3 2 2 3" xfId="46475"/>
    <cellStyle name="Percent 2 2 3 6 3 2 3" xfId="46476"/>
    <cellStyle name="Percent 2 2 3 6 3 2 3 2" xfId="46477"/>
    <cellStyle name="Percent 2 2 3 6 3 2 3 3" xfId="46478"/>
    <cellStyle name="Percent 2 2 3 6 3 2 4" xfId="46479"/>
    <cellStyle name="Percent 2 2 3 6 3 2 5" xfId="46480"/>
    <cellStyle name="Percent 2 2 3 6 3 3" xfId="46481"/>
    <cellStyle name="Percent 2 2 3 6 3 3 2" xfId="46482"/>
    <cellStyle name="Percent 2 2 3 6 3 3 3" xfId="46483"/>
    <cellStyle name="Percent 2 2 3 6 3 4" xfId="46484"/>
    <cellStyle name="Percent 2 2 3 6 3 4 2" xfId="46485"/>
    <cellStyle name="Percent 2 2 3 6 3 4 3" xfId="46486"/>
    <cellStyle name="Percent 2 2 3 6 3 5" xfId="46487"/>
    <cellStyle name="Percent 2 2 3 6 3 6" xfId="46488"/>
    <cellStyle name="Percent 2 2 3 6 4" xfId="46489"/>
    <cellStyle name="Percent 2 2 3 6 4 2" xfId="46490"/>
    <cellStyle name="Percent 2 2 3 6 4 2 2" xfId="46491"/>
    <cellStyle name="Percent 2 2 3 6 4 2 3" xfId="46492"/>
    <cellStyle name="Percent 2 2 3 6 4 3" xfId="46493"/>
    <cellStyle name="Percent 2 2 3 6 4 3 2" xfId="46494"/>
    <cellStyle name="Percent 2 2 3 6 4 3 3" xfId="46495"/>
    <cellStyle name="Percent 2 2 3 6 4 4" xfId="46496"/>
    <cellStyle name="Percent 2 2 3 6 4 5" xfId="46497"/>
    <cellStyle name="Percent 2 2 3 6 5" xfId="46498"/>
    <cellStyle name="Percent 2 2 3 6 5 2" xfId="46499"/>
    <cellStyle name="Percent 2 2 3 6 5 3" xfId="46500"/>
    <cellStyle name="Percent 2 2 3 6 6" xfId="46501"/>
    <cellStyle name="Percent 2 2 3 6 6 2" xfId="46502"/>
    <cellStyle name="Percent 2 2 3 6 6 3" xfId="46503"/>
    <cellStyle name="Percent 2 2 3 6 7" xfId="46504"/>
    <cellStyle name="Percent 2 2 3 6 8" xfId="46505"/>
    <cellStyle name="Percent 2 2 3 7" xfId="46506"/>
    <cellStyle name="Percent 2 2 3 7 2" xfId="46507"/>
    <cellStyle name="Percent 2 2 3 7 2 2" xfId="46508"/>
    <cellStyle name="Percent 2 2 3 7 2 2 2" xfId="46509"/>
    <cellStyle name="Percent 2 2 3 7 2 2 3" xfId="46510"/>
    <cellStyle name="Percent 2 2 3 7 2 3" xfId="46511"/>
    <cellStyle name="Percent 2 2 3 7 2 3 2" xfId="46512"/>
    <cellStyle name="Percent 2 2 3 7 2 3 3" xfId="46513"/>
    <cellStyle name="Percent 2 2 3 7 2 4" xfId="46514"/>
    <cellStyle name="Percent 2 2 3 7 2 5" xfId="46515"/>
    <cellStyle name="Percent 2 2 3 7 3" xfId="46516"/>
    <cellStyle name="Percent 2 2 3 7 3 2" xfId="46517"/>
    <cellStyle name="Percent 2 2 3 7 3 3" xfId="46518"/>
    <cellStyle name="Percent 2 2 3 7 4" xfId="46519"/>
    <cellStyle name="Percent 2 2 3 7 4 2" xfId="46520"/>
    <cellStyle name="Percent 2 2 3 7 4 3" xfId="46521"/>
    <cellStyle name="Percent 2 2 3 7 5" xfId="46522"/>
    <cellStyle name="Percent 2 2 3 7 6" xfId="46523"/>
    <cellStyle name="Percent 2 2 3 8" xfId="46524"/>
    <cellStyle name="Percent 2 2 3 8 2" xfId="46525"/>
    <cellStyle name="Percent 2 2 3 8 2 2" xfId="46526"/>
    <cellStyle name="Percent 2 2 3 8 2 2 2" xfId="46527"/>
    <cellStyle name="Percent 2 2 3 8 2 2 3" xfId="46528"/>
    <cellStyle name="Percent 2 2 3 8 2 3" xfId="46529"/>
    <cellStyle name="Percent 2 2 3 8 2 3 2" xfId="46530"/>
    <cellStyle name="Percent 2 2 3 8 2 3 3" xfId="46531"/>
    <cellStyle name="Percent 2 2 3 8 2 4" xfId="46532"/>
    <cellStyle name="Percent 2 2 3 8 2 5" xfId="46533"/>
    <cellStyle name="Percent 2 2 3 8 3" xfId="46534"/>
    <cellStyle name="Percent 2 2 3 8 3 2" xfId="46535"/>
    <cellStyle name="Percent 2 2 3 8 3 3" xfId="46536"/>
    <cellStyle name="Percent 2 2 3 8 4" xfId="46537"/>
    <cellStyle name="Percent 2 2 3 8 4 2" xfId="46538"/>
    <cellStyle name="Percent 2 2 3 8 4 3" xfId="46539"/>
    <cellStyle name="Percent 2 2 3 8 5" xfId="46540"/>
    <cellStyle name="Percent 2 2 3 8 6" xfId="46541"/>
    <cellStyle name="Percent 2 2 3 9" xfId="46542"/>
    <cellStyle name="Percent 2 2 3 9 2" xfId="46543"/>
    <cellStyle name="Percent 2 2 3 9 2 2" xfId="46544"/>
    <cellStyle name="Percent 2 2 3 9 2 3" xfId="46545"/>
    <cellStyle name="Percent 2 2 3 9 3" xfId="46546"/>
    <cellStyle name="Percent 2 2 3 9 3 2" xfId="46547"/>
    <cellStyle name="Percent 2 2 3 9 3 3" xfId="46548"/>
    <cellStyle name="Percent 2 2 3 9 4" xfId="46549"/>
    <cellStyle name="Percent 2 2 3 9 5" xfId="46550"/>
    <cellStyle name="Percent 2 2 4" xfId="46551"/>
    <cellStyle name="Percent 2 2 4 10" xfId="46552"/>
    <cellStyle name="Percent 2 2 4 10 2" xfId="46553"/>
    <cellStyle name="Percent 2 2 4 10 3" xfId="46554"/>
    <cellStyle name="Percent 2 2 4 11" xfId="46555"/>
    <cellStyle name="Percent 2 2 4 12" xfId="46556"/>
    <cellStyle name="Percent 2 2 4 2" xfId="46557"/>
    <cellStyle name="Percent 2 2 4 2 10" xfId="46558"/>
    <cellStyle name="Percent 2 2 4 2 2" xfId="46559"/>
    <cellStyle name="Percent 2 2 4 2 2 2" xfId="46560"/>
    <cellStyle name="Percent 2 2 4 2 2 2 2" xfId="46561"/>
    <cellStyle name="Percent 2 2 4 2 2 2 2 2" xfId="46562"/>
    <cellStyle name="Percent 2 2 4 2 2 2 2 2 2" xfId="46563"/>
    <cellStyle name="Percent 2 2 4 2 2 2 2 2 2 2" xfId="46564"/>
    <cellStyle name="Percent 2 2 4 2 2 2 2 2 2 3" xfId="46565"/>
    <cellStyle name="Percent 2 2 4 2 2 2 2 2 3" xfId="46566"/>
    <cellStyle name="Percent 2 2 4 2 2 2 2 2 3 2" xfId="46567"/>
    <cellStyle name="Percent 2 2 4 2 2 2 2 2 3 3" xfId="46568"/>
    <cellStyle name="Percent 2 2 4 2 2 2 2 2 4" xfId="46569"/>
    <cellStyle name="Percent 2 2 4 2 2 2 2 2 5" xfId="46570"/>
    <cellStyle name="Percent 2 2 4 2 2 2 2 3" xfId="46571"/>
    <cellStyle name="Percent 2 2 4 2 2 2 2 3 2" xfId="46572"/>
    <cellStyle name="Percent 2 2 4 2 2 2 2 3 3" xfId="46573"/>
    <cellStyle name="Percent 2 2 4 2 2 2 2 4" xfId="46574"/>
    <cellStyle name="Percent 2 2 4 2 2 2 2 4 2" xfId="46575"/>
    <cellStyle name="Percent 2 2 4 2 2 2 2 4 3" xfId="46576"/>
    <cellStyle name="Percent 2 2 4 2 2 2 2 5" xfId="46577"/>
    <cellStyle name="Percent 2 2 4 2 2 2 2 6" xfId="46578"/>
    <cellStyle name="Percent 2 2 4 2 2 2 3" xfId="46579"/>
    <cellStyle name="Percent 2 2 4 2 2 2 3 2" xfId="46580"/>
    <cellStyle name="Percent 2 2 4 2 2 2 3 2 2" xfId="46581"/>
    <cellStyle name="Percent 2 2 4 2 2 2 3 2 2 2" xfId="46582"/>
    <cellStyle name="Percent 2 2 4 2 2 2 3 2 2 3" xfId="46583"/>
    <cellStyle name="Percent 2 2 4 2 2 2 3 2 3" xfId="46584"/>
    <cellStyle name="Percent 2 2 4 2 2 2 3 2 3 2" xfId="46585"/>
    <cellStyle name="Percent 2 2 4 2 2 2 3 2 3 3" xfId="46586"/>
    <cellStyle name="Percent 2 2 4 2 2 2 3 2 4" xfId="46587"/>
    <cellStyle name="Percent 2 2 4 2 2 2 3 2 5" xfId="46588"/>
    <cellStyle name="Percent 2 2 4 2 2 2 3 3" xfId="46589"/>
    <cellStyle name="Percent 2 2 4 2 2 2 3 3 2" xfId="46590"/>
    <cellStyle name="Percent 2 2 4 2 2 2 3 3 3" xfId="46591"/>
    <cellStyle name="Percent 2 2 4 2 2 2 3 4" xfId="46592"/>
    <cellStyle name="Percent 2 2 4 2 2 2 3 4 2" xfId="46593"/>
    <cellStyle name="Percent 2 2 4 2 2 2 3 4 3" xfId="46594"/>
    <cellStyle name="Percent 2 2 4 2 2 2 3 5" xfId="46595"/>
    <cellStyle name="Percent 2 2 4 2 2 2 3 6" xfId="46596"/>
    <cellStyle name="Percent 2 2 4 2 2 2 4" xfId="46597"/>
    <cellStyle name="Percent 2 2 4 2 2 2 4 2" xfId="46598"/>
    <cellStyle name="Percent 2 2 4 2 2 2 4 2 2" xfId="46599"/>
    <cellStyle name="Percent 2 2 4 2 2 2 4 2 3" xfId="46600"/>
    <cellStyle name="Percent 2 2 4 2 2 2 4 3" xfId="46601"/>
    <cellStyle name="Percent 2 2 4 2 2 2 4 3 2" xfId="46602"/>
    <cellStyle name="Percent 2 2 4 2 2 2 4 3 3" xfId="46603"/>
    <cellStyle name="Percent 2 2 4 2 2 2 4 4" xfId="46604"/>
    <cellStyle name="Percent 2 2 4 2 2 2 4 5" xfId="46605"/>
    <cellStyle name="Percent 2 2 4 2 2 2 5" xfId="46606"/>
    <cellStyle name="Percent 2 2 4 2 2 2 5 2" xfId="46607"/>
    <cellStyle name="Percent 2 2 4 2 2 2 5 3" xfId="46608"/>
    <cellStyle name="Percent 2 2 4 2 2 2 6" xfId="46609"/>
    <cellStyle name="Percent 2 2 4 2 2 2 6 2" xfId="46610"/>
    <cellStyle name="Percent 2 2 4 2 2 2 6 3" xfId="46611"/>
    <cellStyle name="Percent 2 2 4 2 2 2 7" xfId="46612"/>
    <cellStyle name="Percent 2 2 4 2 2 2 8" xfId="46613"/>
    <cellStyle name="Percent 2 2 4 2 2 3" xfId="46614"/>
    <cellStyle name="Percent 2 2 4 2 2 3 2" xfId="46615"/>
    <cellStyle name="Percent 2 2 4 2 2 3 2 2" xfId="46616"/>
    <cellStyle name="Percent 2 2 4 2 2 3 2 2 2" xfId="46617"/>
    <cellStyle name="Percent 2 2 4 2 2 3 2 2 3" xfId="46618"/>
    <cellStyle name="Percent 2 2 4 2 2 3 2 3" xfId="46619"/>
    <cellStyle name="Percent 2 2 4 2 2 3 2 3 2" xfId="46620"/>
    <cellStyle name="Percent 2 2 4 2 2 3 2 3 3" xfId="46621"/>
    <cellStyle name="Percent 2 2 4 2 2 3 2 4" xfId="46622"/>
    <cellStyle name="Percent 2 2 4 2 2 3 2 5" xfId="46623"/>
    <cellStyle name="Percent 2 2 4 2 2 3 3" xfId="46624"/>
    <cellStyle name="Percent 2 2 4 2 2 3 3 2" xfId="46625"/>
    <cellStyle name="Percent 2 2 4 2 2 3 3 3" xfId="46626"/>
    <cellStyle name="Percent 2 2 4 2 2 3 4" xfId="46627"/>
    <cellStyle name="Percent 2 2 4 2 2 3 4 2" xfId="46628"/>
    <cellStyle name="Percent 2 2 4 2 2 3 4 3" xfId="46629"/>
    <cellStyle name="Percent 2 2 4 2 2 3 5" xfId="46630"/>
    <cellStyle name="Percent 2 2 4 2 2 3 6" xfId="46631"/>
    <cellStyle name="Percent 2 2 4 2 2 4" xfId="46632"/>
    <cellStyle name="Percent 2 2 4 2 2 4 2" xfId="46633"/>
    <cellStyle name="Percent 2 2 4 2 2 4 2 2" xfId="46634"/>
    <cellStyle name="Percent 2 2 4 2 2 4 2 2 2" xfId="46635"/>
    <cellStyle name="Percent 2 2 4 2 2 4 2 2 3" xfId="46636"/>
    <cellStyle name="Percent 2 2 4 2 2 4 2 3" xfId="46637"/>
    <cellStyle name="Percent 2 2 4 2 2 4 2 3 2" xfId="46638"/>
    <cellStyle name="Percent 2 2 4 2 2 4 2 3 3" xfId="46639"/>
    <cellStyle name="Percent 2 2 4 2 2 4 2 4" xfId="46640"/>
    <cellStyle name="Percent 2 2 4 2 2 4 2 5" xfId="46641"/>
    <cellStyle name="Percent 2 2 4 2 2 4 3" xfId="46642"/>
    <cellStyle name="Percent 2 2 4 2 2 4 3 2" xfId="46643"/>
    <cellStyle name="Percent 2 2 4 2 2 4 3 3" xfId="46644"/>
    <cellStyle name="Percent 2 2 4 2 2 4 4" xfId="46645"/>
    <cellStyle name="Percent 2 2 4 2 2 4 4 2" xfId="46646"/>
    <cellStyle name="Percent 2 2 4 2 2 4 4 3" xfId="46647"/>
    <cellStyle name="Percent 2 2 4 2 2 4 5" xfId="46648"/>
    <cellStyle name="Percent 2 2 4 2 2 4 6" xfId="46649"/>
    <cellStyle name="Percent 2 2 4 2 2 5" xfId="46650"/>
    <cellStyle name="Percent 2 2 4 2 2 5 2" xfId="46651"/>
    <cellStyle name="Percent 2 2 4 2 2 5 2 2" xfId="46652"/>
    <cellStyle name="Percent 2 2 4 2 2 5 2 3" xfId="46653"/>
    <cellStyle name="Percent 2 2 4 2 2 5 3" xfId="46654"/>
    <cellStyle name="Percent 2 2 4 2 2 5 3 2" xfId="46655"/>
    <cellStyle name="Percent 2 2 4 2 2 5 3 3" xfId="46656"/>
    <cellStyle name="Percent 2 2 4 2 2 5 4" xfId="46657"/>
    <cellStyle name="Percent 2 2 4 2 2 5 5" xfId="46658"/>
    <cellStyle name="Percent 2 2 4 2 2 6" xfId="46659"/>
    <cellStyle name="Percent 2 2 4 2 2 6 2" xfId="46660"/>
    <cellStyle name="Percent 2 2 4 2 2 6 3" xfId="46661"/>
    <cellStyle name="Percent 2 2 4 2 2 7" xfId="46662"/>
    <cellStyle name="Percent 2 2 4 2 2 7 2" xfId="46663"/>
    <cellStyle name="Percent 2 2 4 2 2 7 3" xfId="46664"/>
    <cellStyle name="Percent 2 2 4 2 2 8" xfId="46665"/>
    <cellStyle name="Percent 2 2 4 2 2 9" xfId="46666"/>
    <cellStyle name="Percent 2 2 4 2 3" xfId="46667"/>
    <cellStyle name="Percent 2 2 4 2 3 2" xfId="46668"/>
    <cellStyle name="Percent 2 2 4 2 3 2 2" xfId="46669"/>
    <cellStyle name="Percent 2 2 4 2 3 2 2 2" xfId="46670"/>
    <cellStyle name="Percent 2 2 4 2 3 2 2 2 2" xfId="46671"/>
    <cellStyle name="Percent 2 2 4 2 3 2 2 2 3" xfId="46672"/>
    <cellStyle name="Percent 2 2 4 2 3 2 2 3" xfId="46673"/>
    <cellStyle name="Percent 2 2 4 2 3 2 2 3 2" xfId="46674"/>
    <cellStyle name="Percent 2 2 4 2 3 2 2 3 3" xfId="46675"/>
    <cellStyle name="Percent 2 2 4 2 3 2 2 4" xfId="46676"/>
    <cellStyle name="Percent 2 2 4 2 3 2 2 5" xfId="46677"/>
    <cellStyle name="Percent 2 2 4 2 3 2 3" xfId="46678"/>
    <cellStyle name="Percent 2 2 4 2 3 2 3 2" xfId="46679"/>
    <cellStyle name="Percent 2 2 4 2 3 2 3 3" xfId="46680"/>
    <cellStyle name="Percent 2 2 4 2 3 2 4" xfId="46681"/>
    <cellStyle name="Percent 2 2 4 2 3 2 4 2" xfId="46682"/>
    <cellStyle name="Percent 2 2 4 2 3 2 4 3" xfId="46683"/>
    <cellStyle name="Percent 2 2 4 2 3 2 5" xfId="46684"/>
    <cellStyle name="Percent 2 2 4 2 3 2 6" xfId="46685"/>
    <cellStyle name="Percent 2 2 4 2 3 3" xfId="46686"/>
    <cellStyle name="Percent 2 2 4 2 3 3 2" xfId="46687"/>
    <cellStyle name="Percent 2 2 4 2 3 3 2 2" xfId="46688"/>
    <cellStyle name="Percent 2 2 4 2 3 3 2 2 2" xfId="46689"/>
    <cellStyle name="Percent 2 2 4 2 3 3 2 2 3" xfId="46690"/>
    <cellStyle name="Percent 2 2 4 2 3 3 2 3" xfId="46691"/>
    <cellStyle name="Percent 2 2 4 2 3 3 2 3 2" xfId="46692"/>
    <cellStyle name="Percent 2 2 4 2 3 3 2 3 3" xfId="46693"/>
    <cellStyle name="Percent 2 2 4 2 3 3 2 4" xfId="46694"/>
    <cellStyle name="Percent 2 2 4 2 3 3 2 5" xfId="46695"/>
    <cellStyle name="Percent 2 2 4 2 3 3 3" xfId="46696"/>
    <cellStyle name="Percent 2 2 4 2 3 3 3 2" xfId="46697"/>
    <cellStyle name="Percent 2 2 4 2 3 3 3 3" xfId="46698"/>
    <cellStyle name="Percent 2 2 4 2 3 3 4" xfId="46699"/>
    <cellStyle name="Percent 2 2 4 2 3 3 4 2" xfId="46700"/>
    <cellStyle name="Percent 2 2 4 2 3 3 4 3" xfId="46701"/>
    <cellStyle name="Percent 2 2 4 2 3 3 5" xfId="46702"/>
    <cellStyle name="Percent 2 2 4 2 3 3 6" xfId="46703"/>
    <cellStyle name="Percent 2 2 4 2 3 4" xfId="46704"/>
    <cellStyle name="Percent 2 2 4 2 3 4 2" xfId="46705"/>
    <cellStyle name="Percent 2 2 4 2 3 4 2 2" xfId="46706"/>
    <cellStyle name="Percent 2 2 4 2 3 4 2 3" xfId="46707"/>
    <cellStyle name="Percent 2 2 4 2 3 4 3" xfId="46708"/>
    <cellStyle name="Percent 2 2 4 2 3 4 3 2" xfId="46709"/>
    <cellStyle name="Percent 2 2 4 2 3 4 3 3" xfId="46710"/>
    <cellStyle name="Percent 2 2 4 2 3 4 4" xfId="46711"/>
    <cellStyle name="Percent 2 2 4 2 3 4 5" xfId="46712"/>
    <cellStyle name="Percent 2 2 4 2 3 5" xfId="46713"/>
    <cellStyle name="Percent 2 2 4 2 3 5 2" xfId="46714"/>
    <cellStyle name="Percent 2 2 4 2 3 5 3" xfId="46715"/>
    <cellStyle name="Percent 2 2 4 2 3 6" xfId="46716"/>
    <cellStyle name="Percent 2 2 4 2 3 6 2" xfId="46717"/>
    <cellStyle name="Percent 2 2 4 2 3 6 3" xfId="46718"/>
    <cellStyle name="Percent 2 2 4 2 3 7" xfId="46719"/>
    <cellStyle name="Percent 2 2 4 2 3 8" xfId="46720"/>
    <cellStyle name="Percent 2 2 4 2 4" xfId="46721"/>
    <cellStyle name="Percent 2 2 4 2 4 2" xfId="46722"/>
    <cellStyle name="Percent 2 2 4 2 4 2 2" xfId="46723"/>
    <cellStyle name="Percent 2 2 4 2 4 2 2 2" xfId="46724"/>
    <cellStyle name="Percent 2 2 4 2 4 2 2 3" xfId="46725"/>
    <cellStyle name="Percent 2 2 4 2 4 2 3" xfId="46726"/>
    <cellStyle name="Percent 2 2 4 2 4 2 3 2" xfId="46727"/>
    <cellStyle name="Percent 2 2 4 2 4 2 3 3" xfId="46728"/>
    <cellStyle name="Percent 2 2 4 2 4 2 4" xfId="46729"/>
    <cellStyle name="Percent 2 2 4 2 4 2 5" xfId="46730"/>
    <cellStyle name="Percent 2 2 4 2 4 3" xfId="46731"/>
    <cellStyle name="Percent 2 2 4 2 4 3 2" xfId="46732"/>
    <cellStyle name="Percent 2 2 4 2 4 3 3" xfId="46733"/>
    <cellStyle name="Percent 2 2 4 2 4 4" xfId="46734"/>
    <cellStyle name="Percent 2 2 4 2 4 4 2" xfId="46735"/>
    <cellStyle name="Percent 2 2 4 2 4 4 3" xfId="46736"/>
    <cellStyle name="Percent 2 2 4 2 4 5" xfId="46737"/>
    <cellStyle name="Percent 2 2 4 2 4 6" xfId="46738"/>
    <cellStyle name="Percent 2 2 4 2 5" xfId="46739"/>
    <cellStyle name="Percent 2 2 4 2 5 2" xfId="46740"/>
    <cellStyle name="Percent 2 2 4 2 5 2 2" xfId="46741"/>
    <cellStyle name="Percent 2 2 4 2 5 2 2 2" xfId="46742"/>
    <cellStyle name="Percent 2 2 4 2 5 2 2 3" xfId="46743"/>
    <cellStyle name="Percent 2 2 4 2 5 2 3" xfId="46744"/>
    <cellStyle name="Percent 2 2 4 2 5 2 3 2" xfId="46745"/>
    <cellStyle name="Percent 2 2 4 2 5 2 3 3" xfId="46746"/>
    <cellStyle name="Percent 2 2 4 2 5 2 4" xfId="46747"/>
    <cellStyle name="Percent 2 2 4 2 5 2 5" xfId="46748"/>
    <cellStyle name="Percent 2 2 4 2 5 3" xfId="46749"/>
    <cellStyle name="Percent 2 2 4 2 5 3 2" xfId="46750"/>
    <cellStyle name="Percent 2 2 4 2 5 3 3" xfId="46751"/>
    <cellStyle name="Percent 2 2 4 2 5 4" xfId="46752"/>
    <cellStyle name="Percent 2 2 4 2 5 4 2" xfId="46753"/>
    <cellStyle name="Percent 2 2 4 2 5 4 3" xfId="46754"/>
    <cellStyle name="Percent 2 2 4 2 5 5" xfId="46755"/>
    <cellStyle name="Percent 2 2 4 2 5 6" xfId="46756"/>
    <cellStyle name="Percent 2 2 4 2 6" xfId="46757"/>
    <cellStyle name="Percent 2 2 4 2 6 2" xfId="46758"/>
    <cellStyle name="Percent 2 2 4 2 6 2 2" xfId="46759"/>
    <cellStyle name="Percent 2 2 4 2 6 2 3" xfId="46760"/>
    <cellStyle name="Percent 2 2 4 2 6 3" xfId="46761"/>
    <cellStyle name="Percent 2 2 4 2 6 3 2" xfId="46762"/>
    <cellStyle name="Percent 2 2 4 2 6 3 3" xfId="46763"/>
    <cellStyle name="Percent 2 2 4 2 6 4" xfId="46764"/>
    <cellStyle name="Percent 2 2 4 2 6 5" xfId="46765"/>
    <cellStyle name="Percent 2 2 4 2 7" xfId="46766"/>
    <cellStyle name="Percent 2 2 4 2 7 2" xfId="46767"/>
    <cellStyle name="Percent 2 2 4 2 7 3" xfId="46768"/>
    <cellStyle name="Percent 2 2 4 2 8" xfId="46769"/>
    <cellStyle name="Percent 2 2 4 2 8 2" xfId="46770"/>
    <cellStyle name="Percent 2 2 4 2 8 3" xfId="46771"/>
    <cellStyle name="Percent 2 2 4 2 9" xfId="46772"/>
    <cellStyle name="Percent 2 2 4 3" xfId="46773"/>
    <cellStyle name="Percent 2 2 4 3 10" xfId="46774"/>
    <cellStyle name="Percent 2 2 4 3 2" xfId="46775"/>
    <cellStyle name="Percent 2 2 4 3 2 2" xfId="46776"/>
    <cellStyle name="Percent 2 2 4 3 2 2 2" xfId="46777"/>
    <cellStyle name="Percent 2 2 4 3 2 2 2 2" xfId="46778"/>
    <cellStyle name="Percent 2 2 4 3 2 2 2 2 2" xfId="46779"/>
    <cellStyle name="Percent 2 2 4 3 2 2 2 2 2 2" xfId="46780"/>
    <cellStyle name="Percent 2 2 4 3 2 2 2 2 2 3" xfId="46781"/>
    <cellStyle name="Percent 2 2 4 3 2 2 2 2 3" xfId="46782"/>
    <cellStyle name="Percent 2 2 4 3 2 2 2 2 3 2" xfId="46783"/>
    <cellStyle name="Percent 2 2 4 3 2 2 2 2 3 3" xfId="46784"/>
    <cellStyle name="Percent 2 2 4 3 2 2 2 2 4" xfId="46785"/>
    <cellStyle name="Percent 2 2 4 3 2 2 2 2 5" xfId="46786"/>
    <cellStyle name="Percent 2 2 4 3 2 2 2 3" xfId="46787"/>
    <cellStyle name="Percent 2 2 4 3 2 2 2 3 2" xfId="46788"/>
    <cellStyle name="Percent 2 2 4 3 2 2 2 3 3" xfId="46789"/>
    <cellStyle name="Percent 2 2 4 3 2 2 2 4" xfId="46790"/>
    <cellStyle name="Percent 2 2 4 3 2 2 2 4 2" xfId="46791"/>
    <cellStyle name="Percent 2 2 4 3 2 2 2 4 3" xfId="46792"/>
    <cellStyle name="Percent 2 2 4 3 2 2 2 5" xfId="46793"/>
    <cellStyle name="Percent 2 2 4 3 2 2 2 6" xfId="46794"/>
    <cellStyle name="Percent 2 2 4 3 2 2 3" xfId="46795"/>
    <cellStyle name="Percent 2 2 4 3 2 2 3 2" xfId="46796"/>
    <cellStyle name="Percent 2 2 4 3 2 2 3 2 2" xfId="46797"/>
    <cellStyle name="Percent 2 2 4 3 2 2 3 2 2 2" xfId="46798"/>
    <cellStyle name="Percent 2 2 4 3 2 2 3 2 2 3" xfId="46799"/>
    <cellStyle name="Percent 2 2 4 3 2 2 3 2 3" xfId="46800"/>
    <cellStyle name="Percent 2 2 4 3 2 2 3 2 3 2" xfId="46801"/>
    <cellStyle name="Percent 2 2 4 3 2 2 3 2 3 3" xfId="46802"/>
    <cellStyle name="Percent 2 2 4 3 2 2 3 2 4" xfId="46803"/>
    <cellStyle name="Percent 2 2 4 3 2 2 3 2 5" xfId="46804"/>
    <cellStyle name="Percent 2 2 4 3 2 2 3 3" xfId="46805"/>
    <cellStyle name="Percent 2 2 4 3 2 2 3 3 2" xfId="46806"/>
    <cellStyle name="Percent 2 2 4 3 2 2 3 3 3" xfId="46807"/>
    <cellStyle name="Percent 2 2 4 3 2 2 3 4" xfId="46808"/>
    <cellStyle name="Percent 2 2 4 3 2 2 3 4 2" xfId="46809"/>
    <cellStyle name="Percent 2 2 4 3 2 2 3 4 3" xfId="46810"/>
    <cellStyle name="Percent 2 2 4 3 2 2 3 5" xfId="46811"/>
    <cellStyle name="Percent 2 2 4 3 2 2 3 6" xfId="46812"/>
    <cellStyle name="Percent 2 2 4 3 2 2 4" xfId="46813"/>
    <cellStyle name="Percent 2 2 4 3 2 2 4 2" xfId="46814"/>
    <cellStyle name="Percent 2 2 4 3 2 2 4 2 2" xfId="46815"/>
    <cellStyle name="Percent 2 2 4 3 2 2 4 2 3" xfId="46816"/>
    <cellStyle name="Percent 2 2 4 3 2 2 4 3" xfId="46817"/>
    <cellStyle name="Percent 2 2 4 3 2 2 4 3 2" xfId="46818"/>
    <cellStyle name="Percent 2 2 4 3 2 2 4 3 3" xfId="46819"/>
    <cellStyle name="Percent 2 2 4 3 2 2 4 4" xfId="46820"/>
    <cellStyle name="Percent 2 2 4 3 2 2 4 5" xfId="46821"/>
    <cellStyle name="Percent 2 2 4 3 2 2 5" xfId="46822"/>
    <cellStyle name="Percent 2 2 4 3 2 2 5 2" xfId="46823"/>
    <cellStyle name="Percent 2 2 4 3 2 2 5 3" xfId="46824"/>
    <cellStyle name="Percent 2 2 4 3 2 2 6" xfId="46825"/>
    <cellStyle name="Percent 2 2 4 3 2 2 6 2" xfId="46826"/>
    <cellStyle name="Percent 2 2 4 3 2 2 6 3" xfId="46827"/>
    <cellStyle name="Percent 2 2 4 3 2 2 7" xfId="46828"/>
    <cellStyle name="Percent 2 2 4 3 2 2 8" xfId="46829"/>
    <cellStyle name="Percent 2 2 4 3 2 3" xfId="46830"/>
    <cellStyle name="Percent 2 2 4 3 2 3 2" xfId="46831"/>
    <cellStyle name="Percent 2 2 4 3 2 3 2 2" xfId="46832"/>
    <cellStyle name="Percent 2 2 4 3 2 3 2 2 2" xfId="46833"/>
    <cellStyle name="Percent 2 2 4 3 2 3 2 2 3" xfId="46834"/>
    <cellStyle name="Percent 2 2 4 3 2 3 2 3" xfId="46835"/>
    <cellStyle name="Percent 2 2 4 3 2 3 2 3 2" xfId="46836"/>
    <cellStyle name="Percent 2 2 4 3 2 3 2 3 3" xfId="46837"/>
    <cellStyle name="Percent 2 2 4 3 2 3 2 4" xfId="46838"/>
    <cellStyle name="Percent 2 2 4 3 2 3 2 5" xfId="46839"/>
    <cellStyle name="Percent 2 2 4 3 2 3 3" xfId="46840"/>
    <cellStyle name="Percent 2 2 4 3 2 3 3 2" xfId="46841"/>
    <cellStyle name="Percent 2 2 4 3 2 3 3 3" xfId="46842"/>
    <cellStyle name="Percent 2 2 4 3 2 3 4" xfId="46843"/>
    <cellStyle name="Percent 2 2 4 3 2 3 4 2" xfId="46844"/>
    <cellStyle name="Percent 2 2 4 3 2 3 4 3" xfId="46845"/>
    <cellStyle name="Percent 2 2 4 3 2 3 5" xfId="46846"/>
    <cellStyle name="Percent 2 2 4 3 2 3 6" xfId="46847"/>
    <cellStyle name="Percent 2 2 4 3 2 4" xfId="46848"/>
    <cellStyle name="Percent 2 2 4 3 2 4 2" xfId="46849"/>
    <cellStyle name="Percent 2 2 4 3 2 4 2 2" xfId="46850"/>
    <cellStyle name="Percent 2 2 4 3 2 4 2 2 2" xfId="46851"/>
    <cellStyle name="Percent 2 2 4 3 2 4 2 2 3" xfId="46852"/>
    <cellStyle name="Percent 2 2 4 3 2 4 2 3" xfId="46853"/>
    <cellStyle name="Percent 2 2 4 3 2 4 2 3 2" xfId="46854"/>
    <cellStyle name="Percent 2 2 4 3 2 4 2 3 3" xfId="46855"/>
    <cellStyle name="Percent 2 2 4 3 2 4 2 4" xfId="46856"/>
    <cellStyle name="Percent 2 2 4 3 2 4 2 5" xfId="46857"/>
    <cellStyle name="Percent 2 2 4 3 2 4 3" xfId="46858"/>
    <cellStyle name="Percent 2 2 4 3 2 4 3 2" xfId="46859"/>
    <cellStyle name="Percent 2 2 4 3 2 4 3 3" xfId="46860"/>
    <cellStyle name="Percent 2 2 4 3 2 4 4" xfId="46861"/>
    <cellStyle name="Percent 2 2 4 3 2 4 4 2" xfId="46862"/>
    <cellStyle name="Percent 2 2 4 3 2 4 4 3" xfId="46863"/>
    <cellStyle name="Percent 2 2 4 3 2 4 5" xfId="46864"/>
    <cellStyle name="Percent 2 2 4 3 2 4 6" xfId="46865"/>
    <cellStyle name="Percent 2 2 4 3 2 5" xfId="46866"/>
    <cellStyle name="Percent 2 2 4 3 2 5 2" xfId="46867"/>
    <cellStyle name="Percent 2 2 4 3 2 5 2 2" xfId="46868"/>
    <cellStyle name="Percent 2 2 4 3 2 5 2 3" xfId="46869"/>
    <cellStyle name="Percent 2 2 4 3 2 5 3" xfId="46870"/>
    <cellStyle name="Percent 2 2 4 3 2 5 3 2" xfId="46871"/>
    <cellStyle name="Percent 2 2 4 3 2 5 3 3" xfId="46872"/>
    <cellStyle name="Percent 2 2 4 3 2 5 4" xfId="46873"/>
    <cellStyle name="Percent 2 2 4 3 2 5 5" xfId="46874"/>
    <cellStyle name="Percent 2 2 4 3 2 6" xfId="46875"/>
    <cellStyle name="Percent 2 2 4 3 2 6 2" xfId="46876"/>
    <cellStyle name="Percent 2 2 4 3 2 6 3" xfId="46877"/>
    <cellStyle name="Percent 2 2 4 3 2 7" xfId="46878"/>
    <cellStyle name="Percent 2 2 4 3 2 7 2" xfId="46879"/>
    <cellStyle name="Percent 2 2 4 3 2 7 3" xfId="46880"/>
    <cellStyle name="Percent 2 2 4 3 2 8" xfId="46881"/>
    <cellStyle name="Percent 2 2 4 3 2 9" xfId="46882"/>
    <cellStyle name="Percent 2 2 4 3 3" xfId="46883"/>
    <cellStyle name="Percent 2 2 4 3 3 2" xfId="46884"/>
    <cellStyle name="Percent 2 2 4 3 3 2 2" xfId="46885"/>
    <cellStyle name="Percent 2 2 4 3 3 2 2 2" xfId="46886"/>
    <cellStyle name="Percent 2 2 4 3 3 2 2 2 2" xfId="46887"/>
    <cellStyle name="Percent 2 2 4 3 3 2 2 2 3" xfId="46888"/>
    <cellStyle name="Percent 2 2 4 3 3 2 2 3" xfId="46889"/>
    <cellStyle name="Percent 2 2 4 3 3 2 2 3 2" xfId="46890"/>
    <cellStyle name="Percent 2 2 4 3 3 2 2 3 3" xfId="46891"/>
    <cellStyle name="Percent 2 2 4 3 3 2 2 4" xfId="46892"/>
    <cellStyle name="Percent 2 2 4 3 3 2 2 5" xfId="46893"/>
    <cellStyle name="Percent 2 2 4 3 3 2 3" xfId="46894"/>
    <cellStyle name="Percent 2 2 4 3 3 2 3 2" xfId="46895"/>
    <cellStyle name="Percent 2 2 4 3 3 2 3 3" xfId="46896"/>
    <cellStyle name="Percent 2 2 4 3 3 2 4" xfId="46897"/>
    <cellStyle name="Percent 2 2 4 3 3 2 4 2" xfId="46898"/>
    <cellStyle name="Percent 2 2 4 3 3 2 4 3" xfId="46899"/>
    <cellStyle name="Percent 2 2 4 3 3 2 5" xfId="46900"/>
    <cellStyle name="Percent 2 2 4 3 3 2 6" xfId="46901"/>
    <cellStyle name="Percent 2 2 4 3 3 3" xfId="46902"/>
    <cellStyle name="Percent 2 2 4 3 3 3 2" xfId="46903"/>
    <cellStyle name="Percent 2 2 4 3 3 3 2 2" xfId="46904"/>
    <cellStyle name="Percent 2 2 4 3 3 3 2 2 2" xfId="46905"/>
    <cellStyle name="Percent 2 2 4 3 3 3 2 2 3" xfId="46906"/>
    <cellStyle name="Percent 2 2 4 3 3 3 2 3" xfId="46907"/>
    <cellStyle name="Percent 2 2 4 3 3 3 2 3 2" xfId="46908"/>
    <cellStyle name="Percent 2 2 4 3 3 3 2 3 3" xfId="46909"/>
    <cellStyle name="Percent 2 2 4 3 3 3 2 4" xfId="46910"/>
    <cellStyle name="Percent 2 2 4 3 3 3 2 5" xfId="46911"/>
    <cellStyle name="Percent 2 2 4 3 3 3 3" xfId="46912"/>
    <cellStyle name="Percent 2 2 4 3 3 3 3 2" xfId="46913"/>
    <cellStyle name="Percent 2 2 4 3 3 3 3 3" xfId="46914"/>
    <cellStyle name="Percent 2 2 4 3 3 3 4" xfId="46915"/>
    <cellStyle name="Percent 2 2 4 3 3 3 4 2" xfId="46916"/>
    <cellStyle name="Percent 2 2 4 3 3 3 4 3" xfId="46917"/>
    <cellStyle name="Percent 2 2 4 3 3 3 5" xfId="46918"/>
    <cellStyle name="Percent 2 2 4 3 3 3 6" xfId="46919"/>
    <cellStyle name="Percent 2 2 4 3 3 4" xfId="46920"/>
    <cellStyle name="Percent 2 2 4 3 3 4 2" xfId="46921"/>
    <cellStyle name="Percent 2 2 4 3 3 4 2 2" xfId="46922"/>
    <cellStyle name="Percent 2 2 4 3 3 4 2 3" xfId="46923"/>
    <cellStyle name="Percent 2 2 4 3 3 4 3" xfId="46924"/>
    <cellStyle name="Percent 2 2 4 3 3 4 3 2" xfId="46925"/>
    <cellStyle name="Percent 2 2 4 3 3 4 3 3" xfId="46926"/>
    <cellStyle name="Percent 2 2 4 3 3 4 4" xfId="46927"/>
    <cellStyle name="Percent 2 2 4 3 3 4 5" xfId="46928"/>
    <cellStyle name="Percent 2 2 4 3 3 5" xfId="46929"/>
    <cellStyle name="Percent 2 2 4 3 3 5 2" xfId="46930"/>
    <cellStyle name="Percent 2 2 4 3 3 5 3" xfId="46931"/>
    <cellStyle name="Percent 2 2 4 3 3 6" xfId="46932"/>
    <cellStyle name="Percent 2 2 4 3 3 6 2" xfId="46933"/>
    <cellStyle name="Percent 2 2 4 3 3 6 3" xfId="46934"/>
    <cellStyle name="Percent 2 2 4 3 3 7" xfId="46935"/>
    <cellStyle name="Percent 2 2 4 3 3 8" xfId="46936"/>
    <cellStyle name="Percent 2 2 4 3 4" xfId="46937"/>
    <cellStyle name="Percent 2 2 4 3 4 2" xfId="46938"/>
    <cellStyle name="Percent 2 2 4 3 4 2 2" xfId="46939"/>
    <cellStyle name="Percent 2 2 4 3 4 2 2 2" xfId="46940"/>
    <cellStyle name="Percent 2 2 4 3 4 2 2 3" xfId="46941"/>
    <cellStyle name="Percent 2 2 4 3 4 2 3" xfId="46942"/>
    <cellStyle name="Percent 2 2 4 3 4 2 3 2" xfId="46943"/>
    <cellStyle name="Percent 2 2 4 3 4 2 3 3" xfId="46944"/>
    <cellStyle name="Percent 2 2 4 3 4 2 4" xfId="46945"/>
    <cellStyle name="Percent 2 2 4 3 4 2 5" xfId="46946"/>
    <cellStyle name="Percent 2 2 4 3 4 3" xfId="46947"/>
    <cellStyle name="Percent 2 2 4 3 4 3 2" xfId="46948"/>
    <cellStyle name="Percent 2 2 4 3 4 3 3" xfId="46949"/>
    <cellStyle name="Percent 2 2 4 3 4 4" xfId="46950"/>
    <cellStyle name="Percent 2 2 4 3 4 4 2" xfId="46951"/>
    <cellStyle name="Percent 2 2 4 3 4 4 3" xfId="46952"/>
    <cellStyle name="Percent 2 2 4 3 4 5" xfId="46953"/>
    <cellStyle name="Percent 2 2 4 3 4 6" xfId="46954"/>
    <cellStyle name="Percent 2 2 4 3 5" xfId="46955"/>
    <cellStyle name="Percent 2 2 4 3 5 2" xfId="46956"/>
    <cellStyle name="Percent 2 2 4 3 5 2 2" xfId="46957"/>
    <cellStyle name="Percent 2 2 4 3 5 2 2 2" xfId="46958"/>
    <cellStyle name="Percent 2 2 4 3 5 2 2 3" xfId="46959"/>
    <cellStyle name="Percent 2 2 4 3 5 2 3" xfId="46960"/>
    <cellStyle name="Percent 2 2 4 3 5 2 3 2" xfId="46961"/>
    <cellStyle name="Percent 2 2 4 3 5 2 3 3" xfId="46962"/>
    <cellStyle name="Percent 2 2 4 3 5 2 4" xfId="46963"/>
    <cellStyle name="Percent 2 2 4 3 5 2 5" xfId="46964"/>
    <cellStyle name="Percent 2 2 4 3 5 3" xfId="46965"/>
    <cellStyle name="Percent 2 2 4 3 5 3 2" xfId="46966"/>
    <cellStyle name="Percent 2 2 4 3 5 3 3" xfId="46967"/>
    <cellStyle name="Percent 2 2 4 3 5 4" xfId="46968"/>
    <cellStyle name="Percent 2 2 4 3 5 4 2" xfId="46969"/>
    <cellStyle name="Percent 2 2 4 3 5 4 3" xfId="46970"/>
    <cellStyle name="Percent 2 2 4 3 5 5" xfId="46971"/>
    <cellStyle name="Percent 2 2 4 3 5 6" xfId="46972"/>
    <cellStyle name="Percent 2 2 4 3 6" xfId="46973"/>
    <cellStyle name="Percent 2 2 4 3 6 2" xfId="46974"/>
    <cellStyle name="Percent 2 2 4 3 6 2 2" xfId="46975"/>
    <cellStyle name="Percent 2 2 4 3 6 2 3" xfId="46976"/>
    <cellStyle name="Percent 2 2 4 3 6 3" xfId="46977"/>
    <cellStyle name="Percent 2 2 4 3 6 3 2" xfId="46978"/>
    <cellStyle name="Percent 2 2 4 3 6 3 3" xfId="46979"/>
    <cellStyle name="Percent 2 2 4 3 6 4" xfId="46980"/>
    <cellStyle name="Percent 2 2 4 3 6 5" xfId="46981"/>
    <cellStyle name="Percent 2 2 4 3 7" xfId="46982"/>
    <cellStyle name="Percent 2 2 4 3 7 2" xfId="46983"/>
    <cellStyle name="Percent 2 2 4 3 7 3" xfId="46984"/>
    <cellStyle name="Percent 2 2 4 3 8" xfId="46985"/>
    <cellStyle name="Percent 2 2 4 3 8 2" xfId="46986"/>
    <cellStyle name="Percent 2 2 4 3 8 3" xfId="46987"/>
    <cellStyle name="Percent 2 2 4 3 9" xfId="46988"/>
    <cellStyle name="Percent 2 2 4 4" xfId="46989"/>
    <cellStyle name="Percent 2 2 4 4 2" xfId="46990"/>
    <cellStyle name="Percent 2 2 4 4 2 2" xfId="46991"/>
    <cellStyle name="Percent 2 2 4 4 2 2 2" xfId="46992"/>
    <cellStyle name="Percent 2 2 4 4 2 2 2 2" xfId="46993"/>
    <cellStyle name="Percent 2 2 4 4 2 2 2 2 2" xfId="46994"/>
    <cellStyle name="Percent 2 2 4 4 2 2 2 2 3" xfId="46995"/>
    <cellStyle name="Percent 2 2 4 4 2 2 2 3" xfId="46996"/>
    <cellStyle name="Percent 2 2 4 4 2 2 2 3 2" xfId="46997"/>
    <cellStyle name="Percent 2 2 4 4 2 2 2 3 3" xfId="46998"/>
    <cellStyle name="Percent 2 2 4 4 2 2 2 4" xfId="46999"/>
    <cellStyle name="Percent 2 2 4 4 2 2 2 5" xfId="47000"/>
    <cellStyle name="Percent 2 2 4 4 2 2 3" xfId="47001"/>
    <cellStyle name="Percent 2 2 4 4 2 2 3 2" xfId="47002"/>
    <cellStyle name="Percent 2 2 4 4 2 2 3 3" xfId="47003"/>
    <cellStyle name="Percent 2 2 4 4 2 2 4" xfId="47004"/>
    <cellStyle name="Percent 2 2 4 4 2 2 4 2" xfId="47005"/>
    <cellStyle name="Percent 2 2 4 4 2 2 4 3" xfId="47006"/>
    <cellStyle name="Percent 2 2 4 4 2 2 5" xfId="47007"/>
    <cellStyle name="Percent 2 2 4 4 2 2 6" xfId="47008"/>
    <cellStyle name="Percent 2 2 4 4 2 3" xfId="47009"/>
    <cellStyle name="Percent 2 2 4 4 2 3 2" xfId="47010"/>
    <cellStyle name="Percent 2 2 4 4 2 3 2 2" xfId="47011"/>
    <cellStyle name="Percent 2 2 4 4 2 3 2 2 2" xfId="47012"/>
    <cellStyle name="Percent 2 2 4 4 2 3 2 2 3" xfId="47013"/>
    <cellStyle name="Percent 2 2 4 4 2 3 2 3" xfId="47014"/>
    <cellStyle name="Percent 2 2 4 4 2 3 2 3 2" xfId="47015"/>
    <cellStyle name="Percent 2 2 4 4 2 3 2 3 3" xfId="47016"/>
    <cellStyle name="Percent 2 2 4 4 2 3 2 4" xfId="47017"/>
    <cellStyle name="Percent 2 2 4 4 2 3 2 5" xfId="47018"/>
    <cellStyle name="Percent 2 2 4 4 2 3 3" xfId="47019"/>
    <cellStyle name="Percent 2 2 4 4 2 3 3 2" xfId="47020"/>
    <cellStyle name="Percent 2 2 4 4 2 3 3 3" xfId="47021"/>
    <cellStyle name="Percent 2 2 4 4 2 3 4" xfId="47022"/>
    <cellStyle name="Percent 2 2 4 4 2 3 4 2" xfId="47023"/>
    <cellStyle name="Percent 2 2 4 4 2 3 4 3" xfId="47024"/>
    <cellStyle name="Percent 2 2 4 4 2 3 5" xfId="47025"/>
    <cellStyle name="Percent 2 2 4 4 2 3 6" xfId="47026"/>
    <cellStyle name="Percent 2 2 4 4 2 4" xfId="47027"/>
    <cellStyle name="Percent 2 2 4 4 2 4 2" xfId="47028"/>
    <cellStyle name="Percent 2 2 4 4 2 4 2 2" xfId="47029"/>
    <cellStyle name="Percent 2 2 4 4 2 4 2 3" xfId="47030"/>
    <cellStyle name="Percent 2 2 4 4 2 4 3" xfId="47031"/>
    <cellStyle name="Percent 2 2 4 4 2 4 3 2" xfId="47032"/>
    <cellStyle name="Percent 2 2 4 4 2 4 3 3" xfId="47033"/>
    <cellStyle name="Percent 2 2 4 4 2 4 4" xfId="47034"/>
    <cellStyle name="Percent 2 2 4 4 2 4 5" xfId="47035"/>
    <cellStyle name="Percent 2 2 4 4 2 5" xfId="47036"/>
    <cellStyle name="Percent 2 2 4 4 2 5 2" xfId="47037"/>
    <cellStyle name="Percent 2 2 4 4 2 5 3" xfId="47038"/>
    <cellStyle name="Percent 2 2 4 4 2 6" xfId="47039"/>
    <cellStyle name="Percent 2 2 4 4 2 6 2" xfId="47040"/>
    <cellStyle name="Percent 2 2 4 4 2 6 3" xfId="47041"/>
    <cellStyle name="Percent 2 2 4 4 2 7" xfId="47042"/>
    <cellStyle name="Percent 2 2 4 4 2 8" xfId="47043"/>
    <cellStyle name="Percent 2 2 4 4 3" xfId="47044"/>
    <cellStyle name="Percent 2 2 4 4 3 2" xfId="47045"/>
    <cellStyle name="Percent 2 2 4 4 3 2 2" xfId="47046"/>
    <cellStyle name="Percent 2 2 4 4 3 2 2 2" xfId="47047"/>
    <cellStyle name="Percent 2 2 4 4 3 2 2 3" xfId="47048"/>
    <cellStyle name="Percent 2 2 4 4 3 2 3" xfId="47049"/>
    <cellStyle name="Percent 2 2 4 4 3 2 3 2" xfId="47050"/>
    <cellStyle name="Percent 2 2 4 4 3 2 3 3" xfId="47051"/>
    <cellStyle name="Percent 2 2 4 4 3 2 4" xfId="47052"/>
    <cellStyle name="Percent 2 2 4 4 3 2 5" xfId="47053"/>
    <cellStyle name="Percent 2 2 4 4 3 3" xfId="47054"/>
    <cellStyle name="Percent 2 2 4 4 3 3 2" xfId="47055"/>
    <cellStyle name="Percent 2 2 4 4 3 3 3" xfId="47056"/>
    <cellStyle name="Percent 2 2 4 4 3 4" xfId="47057"/>
    <cellStyle name="Percent 2 2 4 4 3 4 2" xfId="47058"/>
    <cellStyle name="Percent 2 2 4 4 3 4 3" xfId="47059"/>
    <cellStyle name="Percent 2 2 4 4 3 5" xfId="47060"/>
    <cellStyle name="Percent 2 2 4 4 3 6" xfId="47061"/>
    <cellStyle name="Percent 2 2 4 4 4" xfId="47062"/>
    <cellStyle name="Percent 2 2 4 4 4 2" xfId="47063"/>
    <cellStyle name="Percent 2 2 4 4 4 2 2" xfId="47064"/>
    <cellStyle name="Percent 2 2 4 4 4 2 2 2" xfId="47065"/>
    <cellStyle name="Percent 2 2 4 4 4 2 2 3" xfId="47066"/>
    <cellStyle name="Percent 2 2 4 4 4 2 3" xfId="47067"/>
    <cellStyle name="Percent 2 2 4 4 4 2 3 2" xfId="47068"/>
    <cellStyle name="Percent 2 2 4 4 4 2 3 3" xfId="47069"/>
    <cellStyle name="Percent 2 2 4 4 4 2 4" xfId="47070"/>
    <cellStyle name="Percent 2 2 4 4 4 2 5" xfId="47071"/>
    <cellStyle name="Percent 2 2 4 4 4 3" xfId="47072"/>
    <cellStyle name="Percent 2 2 4 4 4 3 2" xfId="47073"/>
    <cellStyle name="Percent 2 2 4 4 4 3 3" xfId="47074"/>
    <cellStyle name="Percent 2 2 4 4 4 4" xfId="47075"/>
    <cellStyle name="Percent 2 2 4 4 4 4 2" xfId="47076"/>
    <cellStyle name="Percent 2 2 4 4 4 4 3" xfId="47077"/>
    <cellStyle name="Percent 2 2 4 4 4 5" xfId="47078"/>
    <cellStyle name="Percent 2 2 4 4 4 6" xfId="47079"/>
    <cellStyle name="Percent 2 2 4 4 5" xfId="47080"/>
    <cellStyle name="Percent 2 2 4 4 5 2" xfId="47081"/>
    <cellStyle name="Percent 2 2 4 4 5 2 2" xfId="47082"/>
    <cellStyle name="Percent 2 2 4 4 5 2 3" xfId="47083"/>
    <cellStyle name="Percent 2 2 4 4 5 3" xfId="47084"/>
    <cellStyle name="Percent 2 2 4 4 5 3 2" xfId="47085"/>
    <cellStyle name="Percent 2 2 4 4 5 3 3" xfId="47086"/>
    <cellStyle name="Percent 2 2 4 4 5 4" xfId="47087"/>
    <cellStyle name="Percent 2 2 4 4 5 5" xfId="47088"/>
    <cellStyle name="Percent 2 2 4 4 6" xfId="47089"/>
    <cellStyle name="Percent 2 2 4 4 6 2" xfId="47090"/>
    <cellStyle name="Percent 2 2 4 4 6 3" xfId="47091"/>
    <cellStyle name="Percent 2 2 4 4 7" xfId="47092"/>
    <cellStyle name="Percent 2 2 4 4 7 2" xfId="47093"/>
    <cellStyle name="Percent 2 2 4 4 7 3" xfId="47094"/>
    <cellStyle name="Percent 2 2 4 4 8" xfId="47095"/>
    <cellStyle name="Percent 2 2 4 4 9" xfId="47096"/>
    <cellStyle name="Percent 2 2 4 5" xfId="47097"/>
    <cellStyle name="Percent 2 2 4 5 2" xfId="47098"/>
    <cellStyle name="Percent 2 2 4 5 2 2" xfId="47099"/>
    <cellStyle name="Percent 2 2 4 5 2 2 2" xfId="47100"/>
    <cellStyle name="Percent 2 2 4 5 2 2 2 2" xfId="47101"/>
    <cellStyle name="Percent 2 2 4 5 2 2 2 3" xfId="47102"/>
    <cellStyle name="Percent 2 2 4 5 2 2 3" xfId="47103"/>
    <cellStyle name="Percent 2 2 4 5 2 2 3 2" xfId="47104"/>
    <cellStyle name="Percent 2 2 4 5 2 2 3 3" xfId="47105"/>
    <cellStyle name="Percent 2 2 4 5 2 2 4" xfId="47106"/>
    <cellStyle name="Percent 2 2 4 5 2 2 5" xfId="47107"/>
    <cellStyle name="Percent 2 2 4 5 2 3" xfId="47108"/>
    <cellStyle name="Percent 2 2 4 5 2 3 2" xfId="47109"/>
    <cellStyle name="Percent 2 2 4 5 2 3 3" xfId="47110"/>
    <cellStyle name="Percent 2 2 4 5 2 4" xfId="47111"/>
    <cellStyle name="Percent 2 2 4 5 2 4 2" xfId="47112"/>
    <cellStyle name="Percent 2 2 4 5 2 4 3" xfId="47113"/>
    <cellStyle name="Percent 2 2 4 5 2 5" xfId="47114"/>
    <cellStyle name="Percent 2 2 4 5 2 6" xfId="47115"/>
    <cellStyle name="Percent 2 2 4 5 3" xfId="47116"/>
    <cellStyle name="Percent 2 2 4 5 3 2" xfId="47117"/>
    <cellStyle name="Percent 2 2 4 5 3 2 2" xfId="47118"/>
    <cellStyle name="Percent 2 2 4 5 3 2 2 2" xfId="47119"/>
    <cellStyle name="Percent 2 2 4 5 3 2 2 3" xfId="47120"/>
    <cellStyle name="Percent 2 2 4 5 3 2 3" xfId="47121"/>
    <cellStyle name="Percent 2 2 4 5 3 2 3 2" xfId="47122"/>
    <cellStyle name="Percent 2 2 4 5 3 2 3 3" xfId="47123"/>
    <cellStyle name="Percent 2 2 4 5 3 2 4" xfId="47124"/>
    <cellStyle name="Percent 2 2 4 5 3 2 5" xfId="47125"/>
    <cellStyle name="Percent 2 2 4 5 3 3" xfId="47126"/>
    <cellStyle name="Percent 2 2 4 5 3 3 2" xfId="47127"/>
    <cellStyle name="Percent 2 2 4 5 3 3 3" xfId="47128"/>
    <cellStyle name="Percent 2 2 4 5 3 4" xfId="47129"/>
    <cellStyle name="Percent 2 2 4 5 3 4 2" xfId="47130"/>
    <cellStyle name="Percent 2 2 4 5 3 4 3" xfId="47131"/>
    <cellStyle name="Percent 2 2 4 5 3 5" xfId="47132"/>
    <cellStyle name="Percent 2 2 4 5 3 6" xfId="47133"/>
    <cellStyle name="Percent 2 2 4 5 4" xfId="47134"/>
    <cellStyle name="Percent 2 2 4 5 4 2" xfId="47135"/>
    <cellStyle name="Percent 2 2 4 5 4 2 2" xfId="47136"/>
    <cellStyle name="Percent 2 2 4 5 4 2 3" xfId="47137"/>
    <cellStyle name="Percent 2 2 4 5 4 3" xfId="47138"/>
    <cellStyle name="Percent 2 2 4 5 4 3 2" xfId="47139"/>
    <cellStyle name="Percent 2 2 4 5 4 3 3" xfId="47140"/>
    <cellStyle name="Percent 2 2 4 5 4 4" xfId="47141"/>
    <cellStyle name="Percent 2 2 4 5 4 5" xfId="47142"/>
    <cellStyle name="Percent 2 2 4 5 5" xfId="47143"/>
    <cellStyle name="Percent 2 2 4 5 5 2" xfId="47144"/>
    <cellStyle name="Percent 2 2 4 5 5 3" xfId="47145"/>
    <cellStyle name="Percent 2 2 4 5 6" xfId="47146"/>
    <cellStyle name="Percent 2 2 4 5 6 2" xfId="47147"/>
    <cellStyle name="Percent 2 2 4 5 6 3" xfId="47148"/>
    <cellStyle name="Percent 2 2 4 5 7" xfId="47149"/>
    <cellStyle name="Percent 2 2 4 5 8" xfId="47150"/>
    <cellStyle name="Percent 2 2 4 6" xfId="47151"/>
    <cellStyle name="Percent 2 2 4 6 2" xfId="47152"/>
    <cellStyle name="Percent 2 2 4 6 2 2" xfId="47153"/>
    <cellStyle name="Percent 2 2 4 6 2 2 2" xfId="47154"/>
    <cellStyle name="Percent 2 2 4 6 2 2 3" xfId="47155"/>
    <cellStyle name="Percent 2 2 4 6 2 3" xfId="47156"/>
    <cellStyle name="Percent 2 2 4 6 2 3 2" xfId="47157"/>
    <cellStyle name="Percent 2 2 4 6 2 3 3" xfId="47158"/>
    <cellStyle name="Percent 2 2 4 6 2 4" xfId="47159"/>
    <cellStyle name="Percent 2 2 4 6 2 5" xfId="47160"/>
    <cellStyle name="Percent 2 2 4 6 3" xfId="47161"/>
    <cellStyle name="Percent 2 2 4 6 3 2" xfId="47162"/>
    <cellStyle name="Percent 2 2 4 6 3 3" xfId="47163"/>
    <cellStyle name="Percent 2 2 4 6 4" xfId="47164"/>
    <cellStyle name="Percent 2 2 4 6 4 2" xfId="47165"/>
    <cellStyle name="Percent 2 2 4 6 4 3" xfId="47166"/>
    <cellStyle name="Percent 2 2 4 6 5" xfId="47167"/>
    <cellStyle name="Percent 2 2 4 6 6" xfId="47168"/>
    <cellStyle name="Percent 2 2 4 7" xfId="47169"/>
    <cellStyle name="Percent 2 2 4 7 2" xfId="47170"/>
    <cellStyle name="Percent 2 2 4 7 2 2" xfId="47171"/>
    <cellStyle name="Percent 2 2 4 7 2 2 2" xfId="47172"/>
    <cellStyle name="Percent 2 2 4 7 2 2 3" xfId="47173"/>
    <cellStyle name="Percent 2 2 4 7 2 3" xfId="47174"/>
    <cellStyle name="Percent 2 2 4 7 2 3 2" xfId="47175"/>
    <cellStyle name="Percent 2 2 4 7 2 3 3" xfId="47176"/>
    <cellStyle name="Percent 2 2 4 7 2 4" xfId="47177"/>
    <cellStyle name="Percent 2 2 4 7 2 5" xfId="47178"/>
    <cellStyle name="Percent 2 2 4 7 3" xfId="47179"/>
    <cellStyle name="Percent 2 2 4 7 3 2" xfId="47180"/>
    <cellStyle name="Percent 2 2 4 7 3 3" xfId="47181"/>
    <cellStyle name="Percent 2 2 4 7 4" xfId="47182"/>
    <cellStyle name="Percent 2 2 4 7 4 2" xfId="47183"/>
    <cellStyle name="Percent 2 2 4 7 4 3" xfId="47184"/>
    <cellStyle name="Percent 2 2 4 7 5" xfId="47185"/>
    <cellStyle name="Percent 2 2 4 7 6" xfId="47186"/>
    <cellStyle name="Percent 2 2 4 8" xfId="47187"/>
    <cellStyle name="Percent 2 2 4 8 2" xfId="47188"/>
    <cellStyle name="Percent 2 2 4 8 2 2" xfId="47189"/>
    <cellStyle name="Percent 2 2 4 8 2 3" xfId="47190"/>
    <cellStyle name="Percent 2 2 4 8 3" xfId="47191"/>
    <cellStyle name="Percent 2 2 4 8 3 2" xfId="47192"/>
    <cellStyle name="Percent 2 2 4 8 3 3" xfId="47193"/>
    <cellStyle name="Percent 2 2 4 8 4" xfId="47194"/>
    <cellStyle name="Percent 2 2 4 8 5" xfId="47195"/>
    <cellStyle name="Percent 2 2 4 9" xfId="47196"/>
    <cellStyle name="Percent 2 2 4 9 2" xfId="47197"/>
    <cellStyle name="Percent 2 2 4 9 3" xfId="47198"/>
    <cellStyle name="Percent 2 2 5" xfId="47199"/>
    <cellStyle name="Percent 2 2 5 10" xfId="47200"/>
    <cellStyle name="Percent 2 2 5 2" xfId="47201"/>
    <cellStyle name="Percent 2 2 5 2 2" xfId="47202"/>
    <cellStyle name="Percent 2 2 5 2 2 2" xfId="47203"/>
    <cellStyle name="Percent 2 2 5 2 2 2 2" xfId="47204"/>
    <cellStyle name="Percent 2 2 5 2 2 2 2 2" xfId="47205"/>
    <cellStyle name="Percent 2 2 5 2 2 2 2 2 2" xfId="47206"/>
    <cellStyle name="Percent 2 2 5 2 2 2 2 2 3" xfId="47207"/>
    <cellStyle name="Percent 2 2 5 2 2 2 2 3" xfId="47208"/>
    <cellStyle name="Percent 2 2 5 2 2 2 2 3 2" xfId="47209"/>
    <cellStyle name="Percent 2 2 5 2 2 2 2 3 3" xfId="47210"/>
    <cellStyle name="Percent 2 2 5 2 2 2 2 4" xfId="47211"/>
    <cellStyle name="Percent 2 2 5 2 2 2 2 5" xfId="47212"/>
    <cellStyle name="Percent 2 2 5 2 2 2 3" xfId="47213"/>
    <cellStyle name="Percent 2 2 5 2 2 2 3 2" xfId="47214"/>
    <cellStyle name="Percent 2 2 5 2 2 2 3 3" xfId="47215"/>
    <cellStyle name="Percent 2 2 5 2 2 2 4" xfId="47216"/>
    <cellStyle name="Percent 2 2 5 2 2 2 4 2" xfId="47217"/>
    <cellStyle name="Percent 2 2 5 2 2 2 4 3" xfId="47218"/>
    <cellStyle name="Percent 2 2 5 2 2 2 5" xfId="47219"/>
    <cellStyle name="Percent 2 2 5 2 2 2 6" xfId="47220"/>
    <cellStyle name="Percent 2 2 5 2 2 3" xfId="47221"/>
    <cellStyle name="Percent 2 2 5 2 2 3 2" xfId="47222"/>
    <cellStyle name="Percent 2 2 5 2 2 3 2 2" xfId="47223"/>
    <cellStyle name="Percent 2 2 5 2 2 3 2 2 2" xfId="47224"/>
    <cellStyle name="Percent 2 2 5 2 2 3 2 2 3" xfId="47225"/>
    <cellStyle name="Percent 2 2 5 2 2 3 2 3" xfId="47226"/>
    <cellStyle name="Percent 2 2 5 2 2 3 2 3 2" xfId="47227"/>
    <cellStyle name="Percent 2 2 5 2 2 3 2 3 3" xfId="47228"/>
    <cellStyle name="Percent 2 2 5 2 2 3 2 4" xfId="47229"/>
    <cellStyle name="Percent 2 2 5 2 2 3 2 5" xfId="47230"/>
    <cellStyle name="Percent 2 2 5 2 2 3 3" xfId="47231"/>
    <cellStyle name="Percent 2 2 5 2 2 3 3 2" xfId="47232"/>
    <cellStyle name="Percent 2 2 5 2 2 3 3 3" xfId="47233"/>
    <cellStyle name="Percent 2 2 5 2 2 3 4" xfId="47234"/>
    <cellStyle name="Percent 2 2 5 2 2 3 4 2" xfId="47235"/>
    <cellStyle name="Percent 2 2 5 2 2 3 4 3" xfId="47236"/>
    <cellStyle name="Percent 2 2 5 2 2 3 5" xfId="47237"/>
    <cellStyle name="Percent 2 2 5 2 2 3 6" xfId="47238"/>
    <cellStyle name="Percent 2 2 5 2 2 4" xfId="47239"/>
    <cellStyle name="Percent 2 2 5 2 2 4 2" xfId="47240"/>
    <cellStyle name="Percent 2 2 5 2 2 4 2 2" xfId="47241"/>
    <cellStyle name="Percent 2 2 5 2 2 4 2 3" xfId="47242"/>
    <cellStyle name="Percent 2 2 5 2 2 4 3" xfId="47243"/>
    <cellStyle name="Percent 2 2 5 2 2 4 3 2" xfId="47244"/>
    <cellStyle name="Percent 2 2 5 2 2 4 3 3" xfId="47245"/>
    <cellStyle name="Percent 2 2 5 2 2 4 4" xfId="47246"/>
    <cellStyle name="Percent 2 2 5 2 2 4 5" xfId="47247"/>
    <cellStyle name="Percent 2 2 5 2 2 5" xfId="47248"/>
    <cellStyle name="Percent 2 2 5 2 2 5 2" xfId="47249"/>
    <cellStyle name="Percent 2 2 5 2 2 5 3" xfId="47250"/>
    <cellStyle name="Percent 2 2 5 2 2 6" xfId="47251"/>
    <cellStyle name="Percent 2 2 5 2 2 6 2" xfId="47252"/>
    <cellStyle name="Percent 2 2 5 2 2 6 3" xfId="47253"/>
    <cellStyle name="Percent 2 2 5 2 2 7" xfId="47254"/>
    <cellStyle name="Percent 2 2 5 2 2 8" xfId="47255"/>
    <cellStyle name="Percent 2 2 5 2 3" xfId="47256"/>
    <cellStyle name="Percent 2 2 5 2 3 2" xfId="47257"/>
    <cellStyle name="Percent 2 2 5 2 3 2 2" xfId="47258"/>
    <cellStyle name="Percent 2 2 5 2 3 2 2 2" xfId="47259"/>
    <cellStyle name="Percent 2 2 5 2 3 2 2 3" xfId="47260"/>
    <cellStyle name="Percent 2 2 5 2 3 2 3" xfId="47261"/>
    <cellStyle name="Percent 2 2 5 2 3 2 3 2" xfId="47262"/>
    <cellStyle name="Percent 2 2 5 2 3 2 3 3" xfId="47263"/>
    <cellStyle name="Percent 2 2 5 2 3 2 4" xfId="47264"/>
    <cellStyle name="Percent 2 2 5 2 3 2 5" xfId="47265"/>
    <cellStyle name="Percent 2 2 5 2 3 3" xfId="47266"/>
    <cellStyle name="Percent 2 2 5 2 3 3 2" xfId="47267"/>
    <cellStyle name="Percent 2 2 5 2 3 3 3" xfId="47268"/>
    <cellStyle name="Percent 2 2 5 2 3 4" xfId="47269"/>
    <cellStyle name="Percent 2 2 5 2 3 4 2" xfId="47270"/>
    <cellStyle name="Percent 2 2 5 2 3 4 3" xfId="47271"/>
    <cellStyle name="Percent 2 2 5 2 3 5" xfId="47272"/>
    <cellStyle name="Percent 2 2 5 2 3 6" xfId="47273"/>
    <cellStyle name="Percent 2 2 5 2 4" xfId="47274"/>
    <cellStyle name="Percent 2 2 5 2 4 2" xfId="47275"/>
    <cellStyle name="Percent 2 2 5 2 4 2 2" xfId="47276"/>
    <cellStyle name="Percent 2 2 5 2 4 2 2 2" xfId="47277"/>
    <cellStyle name="Percent 2 2 5 2 4 2 2 3" xfId="47278"/>
    <cellStyle name="Percent 2 2 5 2 4 2 3" xfId="47279"/>
    <cellStyle name="Percent 2 2 5 2 4 2 3 2" xfId="47280"/>
    <cellStyle name="Percent 2 2 5 2 4 2 3 3" xfId="47281"/>
    <cellStyle name="Percent 2 2 5 2 4 2 4" xfId="47282"/>
    <cellStyle name="Percent 2 2 5 2 4 2 5" xfId="47283"/>
    <cellStyle name="Percent 2 2 5 2 4 3" xfId="47284"/>
    <cellStyle name="Percent 2 2 5 2 4 3 2" xfId="47285"/>
    <cellStyle name="Percent 2 2 5 2 4 3 3" xfId="47286"/>
    <cellStyle name="Percent 2 2 5 2 4 4" xfId="47287"/>
    <cellStyle name="Percent 2 2 5 2 4 4 2" xfId="47288"/>
    <cellStyle name="Percent 2 2 5 2 4 4 3" xfId="47289"/>
    <cellStyle name="Percent 2 2 5 2 4 5" xfId="47290"/>
    <cellStyle name="Percent 2 2 5 2 4 6" xfId="47291"/>
    <cellStyle name="Percent 2 2 5 2 5" xfId="47292"/>
    <cellStyle name="Percent 2 2 5 2 5 2" xfId="47293"/>
    <cellStyle name="Percent 2 2 5 2 5 2 2" xfId="47294"/>
    <cellStyle name="Percent 2 2 5 2 5 2 3" xfId="47295"/>
    <cellStyle name="Percent 2 2 5 2 5 3" xfId="47296"/>
    <cellStyle name="Percent 2 2 5 2 5 3 2" xfId="47297"/>
    <cellStyle name="Percent 2 2 5 2 5 3 3" xfId="47298"/>
    <cellStyle name="Percent 2 2 5 2 5 4" xfId="47299"/>
    <cellStyle name="Percent 2 2 5 2 5 5" xfId="47300"/>
    <cellStyle name="Percent 2 2 5 2 6" xfId="47301"/>
    <cellStyle name="Percent 2 2 5 2 6 2" xfId="47302"/>
    <cellStyle name="Percent 2 2 5 2 6 3" xfId="47303"/>
    <cellStyle name="Percent 2 2 5 2 7" xfId="47304"/>
    <cellStyle name="Percent 2 2 5 2 7 2" xfId="47305"/>
    <cellStyle name="Percent 2 2 5 2 7 3" xfId="47306"/>
    <cellStyle name="Percent 2 2 5 2 8" xfId="47307"/>
    <cellStyle name="Percent 2 2 5 2 9" xfId="47308"/>
    <cellStyle name="Percent 2 2 5 3" xfId="47309"/>
    <cellStyle name="Percent 2 2 5 3 2" xfId="47310"/>
    <cellStyle name="Percent 2 2 5 3 2 2" xfId="47311"/>
    <cellStyle name="Percent 2 2 5 3 2 2 2" xfId="47312"/>
    <cellStyle name="Percent 2 2 5 3 2 2 2 2" xfId="47313"/>
    <cellStyle name="Percent 2 2 5 3 2 2 2 3" xfId="47314"/>
    <cellStyle name="Percent 2 2 5 3 2 2 3" xfId="47315"/>
    <cellStyle name="Percent 2 2 5 3 2 2 3 2" xfId="47316"/>
    <cellStyle name="Percent 2 2 5 3 2 2 3 3" xfId="47317"/>
    <cellStyle name="Percent 2 2 5 3 2 2 4" xfId="47318"/>
    <cellStyle name="Percent 2 2 5 3 2 2 5" xfId="47319"/>
    <cellStyle name="Percent 2 2 5 3 2 3" xfId="47320"/>
    <cellStyle name="Percent 2 2 5 3 2 3 2" xfId="47321"/>
    <cellStyle name="Percent 2 2 5 3 2 3 3" xfId="47322"/>
    <cellStyle name="Percent 2 2 5 3 2 4" xfId="47323"/>
    <cellStyle name="Percent 2 2 5 3 2 4 2" xfId="47324"/>
    <cellStyle name="Percent 2 2 5 3 2 4 3" xfId="47325"/>
    <cellStyle name="Percent 2 2 5 3 2 5" xfId="47326"/>
    <cellStyle name="Percent 2 2 5 3 2 6" xfId="47327"/>
    <cellStyle name="Percent 2 2 5 3 3" xfId="47328"/>
    <cellStyle name="Percent 2 2 5 3 3 2" xfId="47329"/>
    <cellStyle name="Percent 2 2 5 3 3 2 2" xfId="47330"/>
    <cellStyle name="Percent 2 2 5 3 3 2 2 2" xfId="47331"/>
    <cellStyle name="Percent 2 2 5 3 3 2 2 3" xfId="47332"/>
    <cellStyle name="Percent 2 2 5 3 3 2 3" xfId="47333"/>
    <cellStyle name="Percent 2 2 5 3 3 2 3 2" xfId="47334"/>
    <cellStyle name="Percent 2 2 5 3 3 2 3 3" xfId="47335"/>
    <cellStyle name="Percent 2 2 5 3 3 2 4" xfId="47336"/>
    <cellStyle name="Percent 2 2 5 3 3 2 5" xfId="47337"/>
    <cellStyle name="Percent 2 2 5 3 3 3" xfId="47338"/>
    <cellStyle name="Percent 2 2 5 3 3 3 2" xfId="47339"/>
    <cellStyle name="Percent 2 2 5 3 3 3 3" xfId="47340"/>
    <cellStyle name="Percent 2 2 5 3 3 4" xfId="47341"/>
    <cellStyle name="Percent 2 2 5 3 3 4 2" xfId="47342"/>
    <cellStyle name="Percent 2 2 5 3 3 4 3" xfId="47343"/>
    <cellStyle name="Percent 2 2 5 3 3 5" xfId="47344"/>
    <cellStyle name="Percent 2 2 5 3 3 6" xfId="47345"/>
    <cellStyle name="Percent 2 2 5 3 4" xfId="47346"/>
    <cellStyle name="Percent 2 2 5 3 4 2" xfId="47347"/>
    <cellStyle name="Percent 2 2 5 3 4 2 2" xfId="47348"/>
    <cellStyle name="Percent 2 2 5 3 4 2 3" xfId="47349"/>
    <cellStyle name="Percent 2 2 5 3 4 3" xfId="47350"/>
    <cellStyle name="Percent 2 2 5 3 4 3 2" xfId="47351"/>
    <cellStyle name="Percent 2 2 5 3 4 3 3" xfId="47352"/>
    <cellStyle name="Percent 2 2 5 3 4 4" xfId="47353"/>
    <cellStyle name="Percent 2 2 5 3 4 5" xfId="47354"/>
    <cellStyle name="Percent 2 2 5 3 5" xfId="47355"/>
    <cellStyle name="Percent 2 2 5 3 5 2" xfId="47356"/>
    <cellStyle name="Percent 2 2 5 3 5 3" xfId="47357"/>
    <cellStyle name="Percent 2 2 5 3 6" xfId="47358"/>
    <cellStyle name="Percent 2 2 5 3 6 2" xfId="47359"/>
    <cellStyle name="Percent 2 2 5 3 6 3" xfId="47360"/>
    <cellStyle name="Percent 2 2 5 3 7" xfId="47361"/>
    <cellStyle name="Percent 2 2 5 3 8" xfId="47362"/>
    <cellStyle name="Percent 2 2 5 4" xfId="47363"/>
    <cellStyle name="Percent 2 2 5 4 2" xfId="47364"/>
    <cellStyle name="Percent 2 2 5 4 2 2" xfId="47365"/>
    <cellStyle name="Percent 2 2 5 4 2 2 2" xfId="47366"/>
    <cellStyle name="Percent 2 2 5 4 2 2 3" xfId="47367"/>
    <cellStyle name="Percent 2 2 5 4 2 3" xfId="47368"/>
    <cellStyle name="Percent 2 2 5 4 2 3 2" xfId="47369"/>
    <cellStyle name="Percent 2 2 5 4 2 3 3" xfId="47370"/>
    <cellStyle name="Percent 2 2 5 4 2 4" xfId="47371"/>
    <cellStyle name="Percent 2 2 5 4 2 5" xfId="47372"/>
    <cellStyle name="Percent 2 2 5 4 3" xfId="47373"/>
    <cellStyle name="Percent 2 2 5 4 3 2" xfId="47374"/>
    <cellStyle name="Percent 2 2 5 4 3 3" xfId="47375"/>
    <cellStyle name="Percent 2 2 5 4 4" xfId="47376"/>
    <cellStyle name="Percent 2 2 5 4 4 2" xfId="47377"/>
    <cellStyle name="Percent 2 2 5 4 4 3" xfId="47378"/>
    <cellStyle name="Percent 2 2 5 4 5" xfId="47379"/>
    <cellStyle name="Percent 2 2 5 4 6" xfId="47380"/>
    <cellStyle name="Percent 2 2 5 5" xfId="47381"/>
    <cellStyle name="Percent 2 2 5 5 2" xfId="47382"/>
    <cellStyle name="Percent 2 2 5 5 2 2" xfId="47383"/>
    <cellStyle name="Percent 2 2 5 5 2 2 2" xfId="47384"/>
    <cellStyle name="Percent 2 2 5 5 2 2 3" xfId="47385"/>
    <cellStyle name="Percent 2 2 5 5 2 3" xfId="47386"/>
    <cellStyle name="Percent 2 2 5 5 2 3 2" xfId="47387"/>
    <cellStyle name="Percent 2 2 5 5 2 3 3" xfId="47388"/>
    <cellStyle name="Percent 2 2 5 5 2 4" xfId="47389"/>
    <cellStyle name="Percent 2 2 5 5 2 5" xfId="47390"/>
    <cellStyle name="Percent 2 2 5 5 3" xfId="47391"/>
    <cellStyle name="Percent 2 2 5 5 3 2" xfId="47392"/>
    <cellStyle name="Percent 2 2 5 5 3 3" xfId="47393"/>
    <cellStyle name="Percent 2 2 5 5 4" xfId="47394"/>
    <cellStyle name="Percent 2 2 5 5 4 2" xfId="47395"/>
    <cellStyle name="Percent 2 2 5 5 4 3" xfId="47396"/>
    <cellStyle name="Percent 2 2 5 5 5" xfId="47397"/>
    <cellStyle name="Percent 2 2 5 5 6" xfId="47398"/>
    <cellStyle name="Percent 2 2 5 6" xfId="47399"/>
    <cellStyle name="Percent 2 2 5 6 2" xfId="47400"/>
    <cellStyle name="Percent 2 2 5 6 2 2" xfId="47401"/>
    <cellStyle name="Percent 2 2 5 6 2 3" xfId="47402"/>
    <cellStyle name="Percent 2 2 5 6 3" xfId="47403"/>
    <cellStyle name="Percent 2 2 5 6 3 2" xfId="47404"/>
    <cellStyle name="Percent 2 2 5 6 3 3" xfId="47405"/>
    <cellStyle name="Percent 2 2 5 6 4" xfId="47406"/>
    <cellStyle name="Percent 2 2 5 6 5" xfId="47407"/>
    <cellStyle name="Percent 2 2 5 7" xfId="47408"/>
    <cellStyle name="Percent 2 2 5 7 2" xfId="47409"/>
    <cellStyle name="Percent 2 2 5 7 3" xfId="47410"/>
    <cellStyle name="Percent 2 2 5 8" xfId="47411"/>
    <cellStyle name="Percent 2 2 5 8 2" xfId="47412"/>
    <cellStyle name="Percent 2 2 5 8 3" xfId="47413"/>
    <cellStyle name="Percent 2 2 5 9" xfId="47414"/>
    <cellStyle name="Percent 2 2 6" xfId="47415"/>
    <cellStyle name="Percent 2 2 6 10" xfId="47416"/>
    <cellStyle name="Percent 2 2 6 2" xfId="47417"/>
    <cellStyle name="Percent 2 2 6 2 2" xfId="47418"/>
    <cellStyle name="Percent 2 2 6 2 2 2" xfId="47419"/>
    <cellStyle name="Percent 2 2 6 2 2 2 2" xfId="47420"/>
    <cellStyle name="Percent 2 2 6 2 2 2 2 2" xfId="47421"/>
    <cellStyle name="Percent 2 2 6 2 2 2 2 2 2" xfId="47422"/>
    <cellStyle name="Percent 2 2 6 2 2 2 2 2 3" xfId="47423"/>
    <cellStyle name="Percent 2 2 6 2 2 2 2 3" xfId="47424"/>
    <cellStyle name="Percent 2 2 6 2 2 2 2 3 2" xfId="47425"/>
    <cellStyle name="Percent 2 2 6 2 2 2 2 3 3" xfId="47426"/>
    <cellStyle name="Percent 2 2 6 2 2 2 2 4" xfId="47427"/>
    <cellStyle name="Percent 2 2 6 2 2 2 2 5" xfId="47428"/>
    <cellStyle name="Percent 2 2 6 2 2 2 3" xfId="47429"/>
    <cellStyle name="Percent 2 2 6 2 2 2 3 2" xfId="47430"/>
    <cellStyle name="Percent 2 2 6 2 2 2 3 3" xfId="47431"/>
    <cellStyle name="Percent 2 2 6 2 2 2 4" xfId="47432"/>
    <cellStyle name="Percent 2 2 6 2 2 2 4 2" xfId="47433"/>
    <cellStyle name="Percent 2 2 6 2 2 2 4 3" xfId="47434"/>
    <cellStyle name="Percent 2 2 6 2 2 2 5" xfId="47435"/>
    <cellStyle name="Percent 2 2 6 2 2 2 6" xfId="47436"/>
    <cellStyle name="Percent 2 2 6 2 2 3" xfId="47437"/>
    <cellStyle name="Percent 2 2 6 2 2 3 2" xfId="47438"/>
    <cellStyle name="Percent 2 2 6 2 2 3 2 2" xfId="47439"/>
    <cellStyle name="Percent 2 2 6 2 2 3 2 2 2" xfId="47440"/>
    <cellStyle name="Percent 2 2 6 2 2 3 2 2 3" xfId="47441"/>
    <cellStyle name="Percent 2 2 6 2 2 3 2 3" xfId="47442"/>
    <cellStyle name="Percent 2 2 6 2 2 3 2 3 2" xfId="47443"/>
    <cellStyle name="Percent 2 2 6 2 2 3 2 3 3" xfId="47444"/>
    <cellStyle name="Percent 2 2 6 2 2 3 2 4" xfId="47445"/>
    <cellStyle name="Percent 2 2 6 2 2 3 2 5" xfId="47446"/>
    <cellStyle name="Percent 2 2 6 2 2 3 3" xfId="47447"/>
    <cellStyle name="Percent 2 2 6 2 2 3 3 2" xfId="47448"/>
    <cellStyle name="Percent 2 2 6 2 2 3 3 3" xfId="47449"/>
    <cellStyle name="Percent 2 2 6 2 2 3 4" xfId="47450"/>
    <cellStyle name="Percent 2 2 6 2 2 3 4 2" xfId="47451"/>
    <cellStyle name="Percent 2 2 6 2 2 3 4 3" xfId="47452"/>
    <cellStyle name="Percent 2 2 6 2 2 3 5" xfId="47453"/>
    <cellStyle name="Percent 2 2 6 2 2 3 6" xfId="47454"/>
    <cellStyle name="Percent 2 2 6 2 2 4" xfId="47455"/>
    <cellStyle name="Percent 2 2 6 2 2 4 2" xfId="47456"/>
    <cellStyle name="Percent 2 2 6 2 2 4 2 2" xfId="47457"/>
    <cellStyle name="Percent 2 2 6 2 2 4 2 3" xfId="47458"/>
    <cellStyle name="Percent 2 2 6 2 2 4 3" xfId="47459"/>
    <cellStyle name="Percent 2 2 6 2 2 4 3 2" xfId="47460"/>
    <cellStyle name="Percent 2 2 6 2 2 4 3 3" xfId="47461"/>
    <cellStyle name="Percent 2 2 6 2 2 4 4" xfId="47462"/>
    <cellStyle name="Percent 2 2 6 2 2 4 5" xfId="47463"/>
    <cellStyle name="Percent 2 2 6 2 2 5" xfId="47464"/>
    <cellStyle name="Percent 2 2 6 2 2 5 2" xfId="47465"/>
    <cellStyle name="Percent 2 2 6 2 2 5 3" xfId="47466"/>
    <cellStyle name="Percent 2 2 6 2 2 6" xfId="47467"/>
    <cellStyle name="Percent 2 2 6 2 2 6 2" xfId="47468"/>
    <cellStyle name="Percent 2 2 6 2 2 6 3" xfId="47469"/>
    <cellStyle name="Percent 2 2 6 2 2 7" xfId="47470"/>
    <cellStyle name="Percent 2 2 6 2 2 8" xfId="47471"/>
    <cellStyle name="Percent 2 2 6 2 3" xfId="47472"/>
    <cellStyle name="Percent 2 2 6 2 3 2" xfId="47473"/>
    <cellStyle name="Percent 2 2 6 2 3 2 2" xfId="47474"/>
    <cellStyle name="Percent 2 2 6 2 3 2 2 2" xfId="47475"/>
    <cellStyle name="Percent 2 2 6 2 3 2 2 3" xfId="47476"/>
    <cellStyle name="Percent 2 2 6 2 3 2 3" xfId="47477"/>
    <cellStyle name="Percent 2 2 6 2 3 2 3 2" xfId="47478"/>
    <cellStyle name="Percent 2 2 6 2 3 2 3 3" xfId="47479"/>
    <cellStyle name="Percent 2 2 6 2 3 2 4" xfId="47480"/>
    <cellStyle name="Percent 2 2 6 2 3 2 5" xfId="47481"/>
    <cellStyle name="Percent 2 2 6 2 3 3" xfId="47482"/>
    <cellStyle name="Percent 2 2 6 2 3 3 2" xfId="47483"/>
    <cellStyle name="Percent 2 2 6 2 3 3 3" xfId="47484"/>
    <cellStyle name="Percent 2 2 6 2 3 4" xfId="47485"/>
    <cellStyle name="Percent 2 2 6 2 3 4 2" xfId="47486"/>
    <cellStyle name="Percent 2 2 6 2 3 4 3" xfId="47487"/>
    <cellStyle name="Percent 2 2 6 2 3 5" xfId="47488"/>
    <cellStyle name="Percent 2 2 6 2 3 6" xfId="47489"/>
    <cellStyle name="Percent 2 2 6 2 4" xfId="47490"/>
    <cellStyle name="Percent 2 2 6 2 4 2" xfId="47491"/>
    <cellStyle name="Percent 2 2 6 2 4 2 2" xfId="47492"/>
    <cellStyle name="Percent 2 2 6 2 4 2 2 2" xfId="47493"/>
    <cellStyle name="Percent 2 2 6 2 4 2 2 3" xfId="47494"/>
    <cellStyle name="Percent 2 2 6 2 4 2 3" xfId="47495"/>
    <cellStyle name="Percent 2 2 6 2 4 2 3 2" xfId="47496"/>
    <cellStyle name="Percent 2 2 6 2 4 2 3 3" xfId="47497"/>
    <cellStyle name="Percent 2 2 6 2 4 2 4" xfId="47498"/>
    <cellStyle name="Percent 2 2 6 2 4 2 5" xfId="47499"/>
    <cellStyle name="Percent 2 2 6 2 4 3" xfId="47500"/>
    <cellStyle name="Percent 2 2 6 2 4 3 2" xfId="47501"/>
    <cellStyle name="Percent 2 2 6 2 4 3 3" xfId="47502"/>
    <cellStyle name="Percent 2 2 6 2 4 4" xfId="47503"/>
    <cellStyle name="Percent 2 2 6 2 4 4 2" xfId="47504"/>
    <cellStyle name="Percent 2 2 6 2 4 4 3" xfId="47505"/>
    <cellStyle name="Percent 2 2 6 2 4 5" xfId="47506"/>
    <cellStyle name="Percent 2 2 6 2 4 6" xfId="47507"/>
    <cellStyle name="Percent 2 2 6 2 5" xfId="47508"/>
    <cellStyle name="Percent 2 2 6 2 5 2" xfId="47509"/>
    <cellStyle name="Percent 2 2 6 2 5 2 2" xfId="47510"/>
    <cellStyle name="Percent 2 2 6 2 5 2 3" xfId="47511"/>
    <cellStyle name="Percent 2 2 6 2 5 3" xfId="47512"/>
    <cellStyle name="Percent 2 2 6 2 5 3 2" xfId="47513"/>
    <cellStyle name="Percent 2 2 6 2 5 3 3" xfId="47514"/>
    <cellStyle name="Percent 2 2 6 2 5 4" xfId="47515"/>
    <cellStyle name="Percent 2 2 6 2 5 5" xfId="47516"/>
    <cellStyle name="Percent 2 2 6 2 6" xfId="47517"/>
    <cellStyle name="Percent 2 2 6 2 6 2" xfId="47518"/>
    <cellStyle name="Percent 2 2 6 2 6 3" xfId="47519"/>
    <cellStyle name="Percent 2 2 6 2 7" xfId="47520"/>
    <cellStyle name="Percent 2 2 6 2 7 2" xfId="47521"/>
    <cellStyle name="Percent 2 2 6 2 7 3" xfId="47522"/>
    <cellStyle name="Percent 2 2 6 2 8" xfId="47523"/>
    <cellStyle name="Percent 2 2 6 2 9" xfId="47524"/>
    <cellStyle name="Percent 2 2 6 3" xfId="47525"/>
    <cellStyle name="Percent 2 2 6 3 2" xfId="47526"/>
    <cellStyle name="Percent 2 2 6 3 2 2" xfId="47527"/>
    <cellStyle name="Percent 2 2 6 3 2 2 2" xfId="47528"/>
    <cellStyle name="Percent 2 2 6 3 2 2 2 2" xfId="47529"/>
    <cellStyle name="Percent 2 2 6 3 2 2 2 3" xfId="47530"/>
    <cellStyle name="Percent 2 2 6 3 2 2 3" xfId="47531"/>
    <cellStyle name="Percent 2 2 6 3 2 2 3 2" xfId="47532"/>
    <cellStyle name="Percent 2 2 6 3 2 2 3 3" xfId="47533"/>
    <cellStyle name="Percent 2 2 6 3 2 2 4" xfId="47534"/>
    <cellStyle name="Percent 2 2 6 3 2 2 5" xfId="47535"/>
    <cellStyle name="Percent 2 2 6 3 2 3" xfId="47536"/>
    <cellStyle name="Percent 2 2 6 3 2 3 2" xfId="47537"/>
    <cellStyle name="Percent 2 2 6 3 2 3 3" xfId="47538"/>
    <cellStyle name="Percent 2 2 6 3 2 4" xfId="47539"/>
    <cellStyle name="Percent 2 2 6 3 2 4 2" xfId="47540"/>
    <cellStyle name="Percent 2 2 6 3 2 4 3" xfId="47541"/>
    <cellStyle name="Percent 2 2 6 3 2 5" xfId="47542"/>
    <cellStyle name="Percent 2 2 6 3 2 6" xfId="47543"/>
    <cellStyle name="Percent 2 2 6 3 3" xfId="47544"/>
    <cellStyle name="Percent 2 2 6 3 3 2" xfId="47545"/>
    <cellStyle name="Percent 2 2 6 3 3 2 2" xfId="47546"/>
    <cellStyle name="Percent 2 2 6 3 3 2 2 2" xfId="47547"/>
    <cellStyle name="Percent 2 2 6 3 3 2 2 3" xfId="47548"/>
    <cellStyle name="Percent 2 2 6 3 3 2 3" xfId="47549"/>
    <cellStyle name="Percent 2 2 6 3 3 2 3 2" xfId="47550"/>
    <cellStyle name="Percent 2 2 6 3 3 2 3 3" xfId="47551"/>
    <cellStyle name="Percent 2 2 6 3 3 2 4" xfId="47552"/>
    <cellStyle name="Percent 2 2 6 3 3 2 5" xfId="47553"/>
    <cellStyle name="Percent 2 2 6 3 3 3" xfId="47554"/>
    <cellStyle name="Percent 2 2 6 3 3 3 2" xfId="47555"/>
    <cellStyle name="Percent 2 2 6 3 3 3 3" xfId="47556"/>
    <cellStyle name="Percent 2 2 6 3 3 4" xfId="47557"/>
    <cellStyle name="Percent 2 2 6 3 3 4 2" xfId="47558"/>
    <cellStyle name="Percent 2 2 6 3 3 4 3" xfId="47559"/>
    <cellStyle name="Percent 2 2 6 3 3 5" xfId="47560"/>
    <cellStyle name="Percent 2 2 6 3 3 6" xfId="47561"/>
    <cellStyle name="Percent 2 2 6 3 4" xfId="47562"/>
    <cellStyle name="Percent 2 2 6 3 4 2" xfId="47563"/>
    <cellStyle name="Percent 2 2 6 3 4 2 2" xfId="47564"/>
    <cellStyle name="Percent 2 2 6 3 4 2 3" xfId="47565"/>
    <cellStyle name="Percent 2 2 6 3 4 3" xfId="47566"/>
    <cellStyle name="Percent 2 2 6 3 4 3 2" xfId="47567"/>
    <cellStyle name="Percent 2 2 6 3 4 3 3" xfId="47568"/>
    <cellStyle name="Percent 2 2 6 3 4 4" xfId="47569"/>
    <cellStyle name="Percent 2 2 6 3 4 5" xfId="47570"/>
    <cellStyle name="Percent 2 2 6 3 5" xfId="47571"/>
    <cellStyle name="Percent 2 2 6 3 5 2" xfId="47572"/>
    <cellStyle name="Percent 2 2 6 3 5 3" xfId="47573"/>
    <cellStyle name="Percent 2 2 6 3 6" xfId="47574"/>
    <cellStyle name="Percent 2 2 6 3 6 2" xfId="47575"/>
    <cellStyle name="Percent 2 2 6 3 6 3" xfId="47576"/>
    <cellStyle name="Percent 2 2 6 3 7" xfId="47577"/>
    <cellStyle name="Percent 2 2 6 3 8" xfId="47578"/>
    <cellStyle name="Percent 2 2 6 4" xfId="47579"/>
    <cellStyle name="Percent 2 2 6 4 2" xfId="47580"/>
    <cellStyle name="Percent 2 2 6 4 2 2" xfId="47581"/>
    <cellStyle name="Percent 2 2 6 4 2 2 2" xfId="47582"/>
    <cellStyle name="Percent 2 2 6 4 2 2 3" xfId="47583"/>
    <cellStyle name="Percent 2 2 6 4 2 3" xfId="47584"/>
    <cellStyle name="Percent 2 2 6 4 2 3 2" xfId="47585"/>
    <cellStyle name="Percent 2 2 6 4 2 3 3" xfId="47586"/>
    <cellStyle name="Percent 2 2 6 4 2 4" xfId="47587"/>
    <cellStyle name="Percent 2 2 6 4 2 5" xfId="47588"/>
    <cellStyle name="Percent 2 2 6 4 3" xfId="47589"/>
    <cellStyle name="Percent 2 2 6 4 3 2" xfId="47590"/>
    <cellStyle name="Percent 2 2 6 4 3 3" xfId="47591"/>
    <cellStyle name="Percent 2 2 6 4 4" xfId="47592"/>
    <cellStyle name="Percent 2 2 6 4 4 2" xfId="47593"/>
    <cellStyle name="Percent 2 2 6 4 4 3" xfId="47594"/>
    <cellStyle name="Percent 2 2 6 4 5" xfId="47595"/>
    <cellStyle name="Percent 2 2 6 4 6" xfId="47596"/>
    <cellStyle name="Percent 2 2 6 5" xfId="47597"/>
    <cellStyle name="Percent 2 2 6 5 2" xfId="47598"/>
    <cellStyle name="Percent 2 2 6 5 2 2" xfId="47599"/>
    <cellStyle name="Percent 2 2 6 5 2 2 2" xfId="47600"/>
    <cellStyle name="Percent 2 2 6 5 2 2 3" xfId="47601"/>
    <cellStyle name="Percent 2 2 6 5 2 3" xfId="47602"/>
    <cellStyle name="Percent 2 2 6 5 2 3 2" xfId="47603"/>
    <cellStyle name="Percent 2 2 6 5 2 3 3" xfId="47604"/>
    <cellStyle name="Percent 2 2 6 5 2 4" xfId="47605"/>
    <cellStyle name="Percent 2 2 6 5 2 5" xfId="47606"/>
    <cellStyle name="Percent 2 2 6 5 3" xfId="47607"/>
    <cellStyle name="Percent 2 2 6 5 3 2" xfId="47608"/>
    <cellStyle name="Percent 2 2 6 5 3 3" xfId="47609"/>
    <cellStyle name="Percent 2 2 6 5 4" xfId="47610"/>
    <cellStyle name="Percent 2 2 6 5 4 2" xfId="47611"/>
    <cellStyle name="Percent 2 2 6 5 4 3" xfId="47612"/>
    <cellStyle name="Percent 2 2 6 5 5" xfId="47613"/>
    <cellStyle name="Percent 2 2 6 5 6" xfId="47614"/>
    <cellStyle name="Percent 2 2 6 6" xfId="47615"/>
    <cellStyle name="Percent 2 2 6 6 2" xfId="47616"/>
    <cellStyle name="Percent 2 2 6 6 2 2" xfId="47617"/>
    <cellStyle name="Percent 2 2 6 6 2 3" xfId="47618"/>
    <cellStyle name="Percent 2 2 6 6 3" xfId="47619"/>
    <cellStyle name="Percent 2 2 6 6 3 2" xfId="47620"/>
    <cellStyle name="Percent 2 2 6 6 3 3" xfId="47621"/>
    <cellStyle name="Percent 2 2 6 6 4" xfId="47622"/>
    <cellStyle name="Percent 2 2 6 6 5" xfId="47623"/>
    <cellStyle name="Percent 2 2 6 7" xfId="47624"/>
    <cellStyle name="Percent 2 2 6 7 2" xfId="47625"/>
    <cellStyle name="Percent 2 2 6 7 3" xfId="47626"/>
    <cellStyle name="Percent 2 2 6 8" xfId="47627"/>
    <cellStyle name="Percent 2 2 6 8 2" xfId="47628"/>
    <cellStyle name="Percent 2 2 6 8 3" xfId="47629"/>
    <cellStyle name="Percent 2 2 6 9" xfId="47630"/>
    <cellStyle name="Percent 2 2 7" xfId="47631"/>
    <cellStyle name="Percent 2 2 7 10" xfId="47632"/>
    <cellStyle name="Percent 2 2 7 2" xfId="47633"/>
    <cellStyle name="Percent 2 2 7 2 2" xfId="47634"/>
    <cellStyle name="Percent 2 2 7 2 2 2" xfId="47635"/>
    <cellStyle name="Percent 2 2 7 2 2 2 2" xfId="47636"/>
    <cellStyle name="Percent 2 2 7 2 2 2 2 2" xfId="47637"/>
    <cellStyle name="Percent 2 2 7 2 2 2 2 2 2" xfId="47638"/>
    <cellStyle name="Percent 2 2 7 2 2 2 2 2 3" xfId="47639"/>
    <cellStyle name="Percent 2 2 7 2 2 2 2 3" xfId="47640"/>
    <cellStyle name="Percent 2 2 7 2 2 2 2 3 2" xfId="47641"/>
    <cellStyle name="Percent 2 2 7 2 2 2 2 3 3" xfId="47642"/>
    <cellStyle name="Percent 2 2 7 2 2 2 2 4" xfId="47643"/>
    <cellStyle name="Percent 2 2 7 2 2 2 2 5" xfId="47644"/>
    <cellStyle name="Percent 2 2 7 2 2 2 3" xfId="47645"/>
    <cellStyle name="Percent 2 2 7 2 2 2 3 2" xfId="47646"/>
    <cellStyle name="Percent 2 2 7 2 2 2 3 3" xfId="47647"/>
    <cellStyle name="Percent 2 2 7 2 2 2 4" xfId="47648"/>
    <cellStyle name="Percent 2 2 7 2 2 2 4 2" xfId="47649"/>
    <cellStyle name="Percent 2 2 7 2 2 2 4 3" xfId="47650"/>
    <cellStyle name="Percent 2 2 7 2 2 2 5" xfId="47651"/>
    <cellStyle name="Percent 2 2 7 2 2 2 6" xfId="47652"/>
    <cellStyle name="Percent 2 2 7 2 2 3" xfId="47653"/>
    <cellStyle name="Percent 2 2 7 2 2 3 2" xfId="47654"/>
    <cellStyle name="Percent 2 2 7 2 2 3 2 2" xfId="47655"/>
    <cellStyle name="Percent 2 2 7 2 2 3 2 2 2" xfId="47656"/>
    <cellStyle name="Percent 2 2 7 2 2 3 2 2 3" xfId="47657"/>
    <cellStyle name="Percent 2 2 7 2 2 3 2 3" xfId="47658"/>
    <cellStyle name="Percent 2 2 7 2 2 3 2 3 2" xfId="47659"/>
    <cellStyle name="Percent 2 2 7 2 2 3 2 3 3" xfId="47660"/>
    <cellStyle name="Percent 2 2 7 2 2 3 2 4" xfId="47661"/>
    <cellStyle name="Percent 2 2 7 2 2 3 2 5" xfId="47662"/>
    <cellStyle name="Percent 2 2 7 2 2 3 3" xfId="47663"/>
    <cellStyle name="Percent 2 2 7 2 2 3 3 2" xfId="47664"/>
    <cellStyle name="Percent 2 2 7 2 2 3 3 3" xfId="47665"/>
    <cellStyle name="Percent 2 2 7 2 2 3 4" xfId="47666"/>
    <cellStyle name="Percent 2 2 7 2 2 3 4 2" xfId="47667"/>
    <cellStyle name="Percent 2 2 7 2 2 3 4 3" xfId="47668"/>
    <cellStyle name="Percent 2 2 7 2 2 3 5" xfId="47669"/>
    <cellStyle name="Percent 2 2 7 2 2 3 6" xfId="47670"/>
    <cellStyle name="Percent 2 2 7 2 2 4" xfId="47671"/>
    <cellStyle name="Percent 2 2 7 2 2 4 2" xfId="47672"/>
    <cellStyle name="Percent 2 2 7 2 2 4 2 2" xfId="47673"/>
    <cellStyle name="Percent 2 2 7 2 2 4 2 3" xfId="47674"/>
    <cellStyle name="Percent 2 2 7 2 2 4 3" xfId="47675"/>
    <cellStyle name="Percent 2 2 7 2 2 4 3 2" xfId="47676"/>
    <cellStyle name="Percent 2 2 7 2 2 4 3 3" xfId="47677"/>
    <cellStyle name="Percent 2 2 7 2 2 4 4" xfId="47678"/>
    <cellStyle name="Percent 2 2 7 2 2 4 5" xfId="47679"/>
    <cellStyle name="Percent 2 2 7 2 2 5" xfId="47680"/>
    <cellStyle name="Percent 2 2 7 2 2 5 2" xfId="47681"/>
    <cellStyle name="Percent 2 2 7 2 2 5 3" xfId="47682"/>
    <cellStyle name="Percent 2 2 7 2 2 6" xfId="47683"/>
    <cellStyle name="Percent 2 2 7 2 2 6 2" xfId="47684"/>
    <cellStyle name="Percent 2 2 7 2 2 6 3" xfId="47685"/>
    <cellStyle name="Percent 2 2 7 2 2 7" xfId="47686"/>
    <cellStyle name="Percent 2 2 7 2 2 8" xfId="47687"/>
    <cellStyle name="Percent 2 2 7 2 3" xfId="47688"/>
    <cellStyle name="Percent 2 2 7 2 3 2" xfId="47689"/>
    <cellStyle name="Percent 2 2 7 2 3 2 2" xfId="47690"/>
    <cellStyle name="Percent 2 2 7 2 3 2 2 2" xfId="47691"/>
    <cellStyle name="Percent 2 2 7 2 3 2 2 3" xfId="47692"/>
    <cellStyle name="Percent 2 2 7 2 3 2 3" xfId="47693"/>
    <cellStyle name="Percent 2 2 7 2 3 2 3 2" xfId="47694"/>
    <cellStyle name="Percent 2 2 7 2 3 2 3 3" xfId="47695"/>
    <cellStyle name="Percent 2 2 7 2 3 2 4" xfId="47696"/>
    <cellStyle name="Percent 2 2 7 2 3 2 5" xfId="47697"/>
    <cellStyle name="Percent 2 2 7 2 3 3" xfId="47698"/>
    <cellStyle name="Percent 2 2 7 2 3 3 2" xfId="47699"/>
    <cellStyle name="Percent 2 2 7 2 3 3 3" xfId="47700"/>
    <cellStyle name="Percent 2 2 7 2 3 4" xfId="47701"/>
    <cellStyle name="Percent 2 2 7 2 3 4 2" xfId="47702"/>
    <cellStyle name="Percent 2 2 7 2 3 4 3" xfId="47703"/>
    <cellStyle name="Percent 2 2 7 2 3 5" xfId="47704"/>
    <cellStyle name="Percent 2 2 7 2 3 6" xfId="47705"/>
    <cellStyle name="Percent 2 2 7 2 4" xfId="47706"/>
    <cellStyle name="Percent 2 2 7 2 4 2" xfId="47707"/>
    <cellStyle name="Percent 2 2 7 2 4 2 2" xfId="47708"/>
    <cellStyle name="Percent 2 2 7 2 4 2 2 2" xfId="47709"/>
    <cellStyle name="Percent 2 2 7 2 4 2 2 3" xfId="47710"/>
    <cellStyle name="Percent 2 2 7 2 4 2 3" xfId="47711"/>
    <cellStyle name="Percent 2 2 7 2 4 2 3 2" xfId="47712"/>
    <cellStyle name="Percent 2 2 7 2 4 2 3 3" xfId="47713"/>
    <cellStyle name="Percent 2 2 7 2 4 2 4" xfId="47714"/>
    <cellStyle name="Percent 2 2 7 2 4 2 5" xfId="47715"/>
    <cellStyle name="Percent 2 2 7 2 4 3" xfId="47716"/>
    <cellStyle name="Percent 2 2 7 2 4 3 2" xfId="47717"/>
    <cellStyle name="Percent 2 2 7 2 4 3 3" xfId="47718"/>
    <cellStyle name="Percent 2 2 7 2 4 4" xfId="47719"/>
    <cellStyle name="Percent 2 2 7 2 4 4 2" xfId="47720"/>
    <cellStyle name="Percent 2 2 7 2 4 4 3" xfId="47721"/>
    <cellStyle name="Percent 2 2 7 2 4 5" xfId="47722"/>
    <cellStyle name="Percent 2 2 7 2 4 6" xfId="47723"/>
    <cellStyle name="Percent 2 2 7 2 5" xfId="47724"/>
    <cellStyle name="Percent 2 2 7 2 5 2" xfId="47725"/>
    <cellStyle name="Percent 2 2 7 2 5 2 2" xfId="47726"/>
    <cellStyle name="Percent 2 2 7 2 5 2 3" xfId="47727"/>
    <cellStyle name="Percent 2 2 7 2 5 3" xfId="47728"/>
    <cellStyle name="Percent 2 2 7 2 5 3 2" xfId="47729"/>
    <cellStyle name="Percent 2 2 7 2 5 3 3" xfId="47730"/>
    <cellStyle name="Percent 2 2 7 2 5 4" xfId="47731"/>
    <cellStyle name="Percent 2 2 7 2 5 5" xfId="47732"/>
    <cellStyle name="Percent 2 2 7 2 6" xfId="47733"/>
    <cellStyle name="Percent 2 2 7 2 6 2" xfId="47734"/>
    <cellStyle name="Percent 2 2 7 2 6 3" xfId="47735"/>
    <cellStyle name="Percent 2 2 7 2 7" xfId="47736"/>
    <cellStyle name="Percent 2 2 7 2 7 2" xfId="47737"/>
    <cellStyle name="Percent 2 2 7 2 7 3" xfId="47738"/>
    <cellStyle name="Percent 2 2 7 2 8" xfId="47739"/>
    <cellStyle name="Percent 2 2 7 2 9" xfId="47740"/>
    <cellStyle name="Percent 2 2 7 3" xfId="47741"/>
    <cellStyle name="Percent 2 2 7 3 2" xfId="47742"/>
    <cellStyle name="Percent 2 2 7 3 2 2" xfId="47743"/>
    <cellStyle name="Percent 2 2 7 3 2 2 2" xfId="47744"/>
    <cellStyle name="Percent 2 2 7 3 2 2 2 2" xfId="47745"/>
    <cellStyle name="Percent 2 2 7 3 2 2 2 3" xfId="47746"/>
    <cellStyle name="Percent 2 2 7 3 2 2 3" xfId="47747"/>
    <cellStyle name="Percent 2 2 7 3 2 2 3 2" xfId="47748"/>
    <cellStyle name="Percent 2 2 7 3 2 2 3 3" xfId="47749"/>
    <cellStyle name="Percent 2 2 7 3 2 2 4" xfId="47750"/>
    <cellStyle name="Percent 2 2 7 3 2 2 5" xfId="47751"/>
    <cellStyle name="Percent 2 2 7 3 2 3" xfId="47752"/>
    <cellStyle name="Percent 2 2 7 3 2 3 2" xfId="47753"/>
    <cellStyle name="Percent 2 2 7 3 2 3 3" xfId="47754"/>
    <cellStyle name="Percent 2 2 7 3 2 4" xfId="47755"/>
    <cellStyle name="Percent 2 2 7 3 2 4 2" xfId="47756"/>
    <cellStyle name="Percent 2 2 7 3 2 4 3" xfId="47757"/>
    <cellStyle name="Percent 2 2 7 3 2 5" xfId="47758"/>
    <cellStyle name="Percent 2 2 7 3 2 6" xfId="47759"/>
    <cellStyle name="Percent 2 2 7 3 3" xfId="47760"/>
    <cellStyle name="Percent 2 2 7 3 3 2" xfId="47761"/>
    <cellStyle name="Percent 2 2 7 3 3 2 2" xfId="47762"/>
    <cellStyle name="Percent 2 2 7 3 3 2 2 2" xfId="47763"/>
    <cellStyle name="Percent 2 2 7 3 3 2 2 3" xfId="47764"/>
    <cellStyle name="Percent 2 2 7 3 3 2 3" xfId="47765"/>
    <cellStyle name="Percent 2 2 7 3 3 2 3 2" xfId="47766"/>
    <cellStyle name="Percent 2 2 7 3 3 2 3 3" xfId="47767"/>
    <cellStyle name="Percent 2 2 7 3 3 2 4" xfId="47768"/>
    <cellStyle name="Percent 2 2 7 3 3 2 5" xfId="47769"/>
    <cellStyle name="Percent 2 2 7 3 3 3" xfId="47770"/>
    <cellStyle name="Percent 2 2 7 3 3 3 2" xfId="47771"/>
    <cellStyle name="Percent 2 2 7 3 3 3 3" xfId="47772"/>
    <cellStyle name="Percent 2 2 7 3 3 4" xfId="47773"/>
    <cellStyle name="Percent 2 2 7 3 3 4 2" xfId="47774"/>
    <cellStyle name="Percent 2 2 7 3 3 4 3" xfId="47775"/>
    <cellStyle name="Percent 2 2 7 3 3 5" xfId="47776"/>
    <cellStyle name="Percent 2 2 7 3 3 6" xfId="47777"/>
    <cellStyle name="Percent 2 2 7 3 4" xfId="47778"/>
    <cellStyle name="Percent 2 2 7 3 4 2" xfId="47779"/>
    <cellStyle name="Percent 2 2 7 3 4 2 2" xfId="47780"/>
    <cellStyle name="Percent 2 2 7 3 4 2 3" xfId="47781"/>
    <cellStyle name="Percent 2 2 7 3 4 3" xfId="47782"/>
    <cellStyle name="Percent 2 2 7 3 4 3 2" xfId="47783"/>
    <cellStyle name="Percent 2 2 7 3 4 3 3" xfId="47784"/>
    <cellStyle name="Percent 2 2 7 3 4 4" xfId="47785"/>
    <cellStyle name="Percent 2 2 7 3 4 5" xfId="47786"/>
    <cellStyle name="Percent 2 2 7 3 5" xfId="47787"/>
    <cellStyle name="Percent 2 2 7 3 5 2" xfId="47788"/>
    <cellStyle name="Percent 2 2 7 3 5 3" xfId="47789"/>
    <cellStyle name="Percent 2 2 7 3 6" xfId="47790"/>
    <cellStyle name="Percent 2 2 7 3 6 2" xfId="47791"/>
    <cellStyle name="Percent 2 2 7 3 6 3" xfId="47792"/>
    <cellStyle name="Percent 2 2 7 3 7" xfId="47793"/>
    <cellStyle name="Percent 2 2 7 3 8" xfId="47794"/>
    <cellStyle name="Percent 2 2 7 4" xfId="47795"/>
    <cellStyle name="Percent 2 2 7 4 2" xfId="47796"/>
    <cellStyle name="Percent 2 2 7 4 2 2" xfId="47797"/>
    <cellStyle name="Percent 2 2 7 4 2 2 2" xfId="47798"/>
    <cellStyle name="Percent 2 2 7 4 2 2 3" xfId="47799"/>
    <cellStyle name="Percent 2 2 7 4 2 3" xfId="47800"/>
    <cellStyle name="Percent 2 2 7 4 2 3 2" xfId="47801"/>
    <cellStyle name="Percent 2 2 7 4 2 3 3" xfId="47802"/>
    <cellStyle name="Percent 2 2 7 4 2 4" xfId="47803"/>
    <cellStyle name="Percent 2 2 7 4 2 5" xfId="47804"/>
    <cellStyle name="Percent 2 2 7 4 3" xfId="47805"/>
    <cellStyle name="Percent 2 2 7 4 3 2" xfId="47806"/>
    <cellStyle name="Percent 2 2 7 4 3 3" xfId="47807"/>
    <cellStyle name="Percent 2 2 7 4 4" xfId="47808"/>
    <cellStyle name="Percent 2 2 7 4 4 2" xfId="47809"/>
    <cellStyle name="Percent 2 2 7 4 4 3" xfId="47810"/>
    <cellStyle name="Percent 2 2 7 4 5" xfId="47811"/>
    <cellStyle name="Percent 2 2 7 4 6" xfId="47812"/>
    <cellStyle name="Percent 2 2 7 5" xfId="47813"/>
    <cellStyle name="Percent 2 2 7 5 2" xfId="47814"/>
    <cellStyle name="Percent 2 2 7 5 2 2" xfId="47815"/>
    <cellStyle name="Percent 2 2 7 5 2 2 2" xfId="47816"/>
    <cellStyle name="Percent 2 2 7 5 2 2 3" xfId="47817"/>
    <cellStyle name="Percent 2 2 7 5 2 3" xfId="47818"/>
    <cellStyle name="Percent 2 2 7 5 2 3 2" xfId="47819"/>
    <cellStyle name="Percent 2 2 7 5 2 3 3" xfId="47820"/>
    <cellStyle name="Percent 2 2 7 5 2 4" xfId="47821"/>
    <cellStyle name="Percent 2 2 7 5 2 5" xfId="47822"/>
    <cellStyle name="Percent 2 2 7 5 3" xfId="47823"/>
    <cellStyle name="Percent 2 2 7 5 3 2" xfId="47824"/>
    <cellStyle name="Percent 2 2 7 5 3 3" xfId="47825"/>
    <cellStyle name="Percent 2 2 7 5 4" xfId="47826"/>
    <cellStyle name="Percent 2 2 7 5 4 2" xfId="47827"/>
    <cellStyle name="Percent 2 2 7 5 4 3" xfId="47828"/>
    <cellStyle name="Percent 2 2 7 5 5" xfId="47829"/>
    <cellStyle name="Percent 2 2 7 5 6" xfId="47830"/>
    <cellStyle name="Percent 2 2 7 6" xfId="47831"/>
    <cellStyle name="Percent 2 2 7 6 2" xfId="47832"/>
    <cellStyle name="Percent 2 2 7 6 2 2" xfId="47833"/>
    <cellStyle name="Percent 2 2 7 6 2 3" xfId="47834"/>
    <cellStyle name="Percent 2 2 7 6 3" xfId="47835"/>
    <cellStyle name="Percent 2 2 7 6 3 2" xfId="47836"/>
    <cellStyle name="Percent 2 2 7 6 3 3" xfId="47837"/>
    <cellStyle name="Percent 2 2 7 6 4" xfId="47838"/>
    <cellStyle name="Percent 2 2 7 6 5" xfId="47839"/>
    <cellStyle name="Percent 2 2 7 7" xfId="47840"/>
    <cellStyle name="Percent 2 2 7 7 2" xfId="47841"/>
    <cellStyle name="Percent 2 2 7 7 3" xfId="47842"/>
    <cellStyle name="Percent 2 2 7 8" xfId="47843"/>
    <cellStyle name="Percent 2 2 7 8 2" xfId="47844"/>
    <cellStyle name="Percent 2 2 7 8 3" xfId="47845"/>
    <cellStyle name="Percent 2 2 7 9" xfId="47846"/>
    <cellStyle name="Percent 2 2 8" xfId="47847"/>
    <cellStyle name="Percent 2 2 8 2" xfId="47848"/>
    <cellStyle name="Percent 2 2 8 2 2" xfId="47849"/>
    <cellStyle name="Percent 2 2 8 2 2 2" xfId="47850"/>
    <cellStyle name="Percent 2 2 8 2 2 2 2" xfId="47851"/>
    <cellStyle name="Percent 2 2 8 2 2 2 2 2" xfId="47852"/>
    <cellStyle name="Percent 2 2 8 2 2 2 2 3" xfId="47853"/>
    <cellStyle name="Percent 2 2 8 2 2 2 3" xfId="47854"/>
    <cellStyle name="Percent 2 2 8 2 2 2 3 2" xfId="47855"/>
    <cellStyle name="Percent 2 2 8 2 2 2 3 3" xfId="47856"/>
    <cellStyle name="Percent 2 2 8 2 2 2 4" xfId="47857"/>
    <cellStyle name="Percent 2 2 8 2 2 2 5" xfId="47858"/>
    <cellStyle name="Percent 2 2 8 2 2 3" xfId="47859"/>
    <cellStyle name="Percent 2 2 8 2 2 3 2" xfId="47860"/>
    <cellStyle name="Percent 2 2 8 2 2 3 3" xfId="47861"/>
    <cellStyle name="Percent 2 2 8 2 2 4" xfId="47862"/>
    <cellStyle name="Percent 2 2 8 2 2 4 2" xfId="47863"/>
    <cellStyle name="Percent 2 2 8 2 2 4 3" xfId="47864"/>
    <cellStyle name="Percent 2 2 8 2 2 5" xfId="47865"/>
    <cellStyle name="Percent 2 2 8 2 2 6" xfId="47866"/>
    <cellStyle name="Percent 2 2 8 2 3" xfId="47867"/>
    <cellStyle name="Percent 2 2 8 2 3 2" xfId="47868"/>
    <cellStyle name="Percent 2 2 8 2 3 2 2" xfId="47869"/>
    <cellStyle name="Percent 2 2 8 2 3 2 2 2" xfId="47870"/>
    <cellStyle name="Percent 2 2 8 2 3 2 2 3" xfId="47871"/>
    <cellStyle name="Percent 2 2 8 2 3 2 3" xfId="47872"/>
    <cellStyle name="Percent 2 2 8 2 3 2 3 2" xfId="47873"/>
    <cellStyle name="Percent 2 2 8 2 3 2 3 3" xfId="47874"/>
    <cellStyle name="Percent 2 2 8 2 3 2 4" xfId="47875"/>
    <cellStyle name="Percent 2 2 8 2 3 2 5" xfId="47876"/>
    <cellStyle name="Percent 2 2 8 2 3 3" xfId="47877"/>
    <cellStyle name="Percent 2 2 8 2 3 3 2" xfId="47878"/>
    <cellStyle name="Percent 2 2 8 2 3 3 3" xfId="47879"/>
    <cellStyle name="Percent 2 2 8 2 3 4" xfId="47880"/>
    <cellStyle name="Percent 2 2 8 2 3 4 2" xfId="47881"/>
    <cellStyle name="Percent 2 2 8 2 3 4 3" xfId="47882"/>
    <cellStyle name="Percent 2 2 8 2 3 5" xfId="47883"/>
    <cellStyle name="Percent 2 2 8 2 3 6" xfId="47884"/>
    <cellStyle name="Percent 2 2 8 2 4" xfId="47885"/>
    <cellStyle name="Percent 2 2 8 2 4 2" xfId="47886"/>
    <cellStyle name="Percent 2 2 8 2 4 2 2" xfId="47887"/>
    <cellStyle name="Percent 2 2 8 2 4 2 3" xfId="47888"/>
    <cellStyle name="Percent 2 2 8 2 4 3" xfId="47889"/>
    <cellStyle name="Percent 2 2 8 2 4 3 2" xfId="47890"/>
    <cellStyle name="Percent 2 2 8 2 4 3 3" xfId="47891"/>
    <cellStyle name="Percent 2 2 8 2 4 4" xfId="47892"/>
    <cellStyle name="Percent 2 2 8 2 4 5" xfId="47893"/>
    <cellStyle name="Percent 2 2 8 2 5" xfId="47894"/>
    <cellStyle name="Percent 2 2 8 2 5 2" xfId="47895"/>
    <cellStyle name="Percent 2 2 8 2 5 3" xfId="47896"/>
    <cellStyle name="Percent 2 2 8 2 6" xfId="47897"/>
    <cellStyle name="Percent 2 2 8 2 6 2" xfId="47898"/>
    <cellStyle name="Percent 2 2 8 2 6 3" xfId="47899"/>
    <cellStyle name="Percent 2 2 8 2 7" xfId="47900"/>
    <cellStyle name="Percent 2 2 8 2 8" xfId="47901"/>
    <cellStyle name="Percent 2 2 8 3" xfId="47902"/>
    <cellStyle name="Percent 2 2 8 3 2" xfId="47903"/>
    <cellStyle name="Percent 2 2 8 3 2 2" xfId="47904"/>
    <cellStyle name="Percent 2 2 8 3 2 2 2" xfId="47905"/>
    <cellStyle name="Percent 2 2 8 3 2 2 3" xfId="47906"/>
    <cellStyle name="Percent 2 2 8 3 2 3" xfId="47907"/>
    <cellStyle name="Percent 2 2 8 3 2 3 2" xfId="47908"/>
    <cellStyle name="Percent 2 2 8 3 2 3 3" xfId="47909"/>
    <cellStyle name="Percent 2 2 8 3 2 4" xfId="47910"/>
    <cellStyle name="Percent 2 2 8 3 2 5" xfId="47911"/>
    <cellStyle name="Percent 2 2 8 3 3" xfId="47912"/>
    <cellStyle name="Percent 2 2 8 3 3 2" xfId="47913"/>
    <cellStyle name="Percent 2 2 8 3 3 3" xfId="47914"/>
    <cellStyle name="Percent 2 2 8 3 4" xfId="47915"/>
    <cellStyle name="Percent 2 2 8 3 4 2" xfId="47916"/>
    <cellStyle name="Percent 2 2 8 3 4 3" xfId="47917"/>
    <cellStyle name="Percent 2 2 8 3 5" xfId="47918"/>
    <cellStyle name="Percent 2 2 8 3 6" xfId="47919"/>
    <cellStyle name="Percent 2 2 8 4" xfId="47920"/>
    <cellStyle name="Percent 2 2 8 4 2" xfId="47921"/>
    <cellStyle name="Percent 2 2 8 4 2 2" xfId="47922"/>
    <cellStyle name="Percent 2 2 8 4 2 2 2" xfId="47923"/>
    <cellStyle name="Percent 2 2 8 4 2 2 3" xfId="47924"/>
    <cellStyle name="Percent 2 2 8 4 2 3" xfId="47925"/>
    <cellStyle name="Percent 2 2 8 4 2 3 2" xfId="47926"/>
    <cellStyle name="Percent 2 2 8 4 2 3 3" xfId="47927"/>
    <cellStyle name="Percent 2 2 8 4 2 4" xfId="47928"/>
    <cellStyle name="Percent 2 2 8 4 2 5" xfId="47929"/>
    <cellStyle name="Percent 2 2 8 4 3" xfId="47930"/>
    <cellStyle name="Percent 2 2 8 4 3 2" xfId="47931"/>
    <cellStyle name="Percent 2 2 8 4 3 3" xfId="47932"/>
    <cellStyle name="Percent 2 2 8 4 4" xfId="47933"/>
    <cellStyle name="Percent 2 2 8 4 4 2" xfId="47934"/>
    <cellStyle name="Percent 2 2 8 4 4 3" xfId="47935"/>
    <cellStyle name="Percent 2 2 8 4 5" xfId="47936"/>
    <cellStyle name="Percent 2 2 8 4 6" xfId="47937"/>
    <cellStyle name="Percent 2 2 8 5" xfId="47938"/>
    <cellStyle name="Percent 2 2 8 5 2" xfId="47939"/>
    <cellStyle name="Percent 2 2 8 5 2 2" xfId="47940"/>
    <cellStyle name="Percent 2 2 8 5 2 3" xfId="47941"/>
    <cellStyle name="Percent 2 2 8 5 3" xfId="47942"/>
    <cellStyle name="Percent 2 2 8 5 3 2" xfId="47943"/>
    <cellStyle name="Percent 2 2 8 5 3 3" xfId="47944"/>
    <cellStyle name="Percent 2 2 8 5 4" xfId="47945"/>
    <cellStyle name="Percent 2 2 8 5 5" xfId="47946"/>
    <cellStyle name="Percent 2 2 8 6" xfId="47947"/>
    <cellStyle name="Percent 2 2 8 6 2" xfId="47948"/>
    <cellStyle name="Percent 2 2 8 6 3" xfId="47949"/>
    <cellStyle name="Percent 2 2 8 7" xfId="47950"/>
    <cellStyle name="Percent 2 2 8 7 2" xfId="47951"/>
    <cellStyle name="Percent 2 2 8 7 3" xfId="47952"/>
    <cellStyle name="Percent 2 2 8 8" xfId="47953"/>
    <cellStyle name="Percent 2 2 8 9" xfId="47954"/>
    <cellStyle name="Percent 2 2 9" xfId="47955"/>
    <cellStyle name="Percent 2 2 9 2" xfId="47956"/>
    <cellStyle name="Percent 2 2 9 2 2" xfId="47957"/>
    <cellStyle name="Percent 2 2 9 2 2 2" xfId="47958"/>
    <cellStyle name="Percent 2 2 9 2 2 2 2" xfId="47959"/>
    <cellStyle name="Percent 2 2 9 2 2 2 3" xfId="47960"/>
    <cellStyle name="Percent 2 2 9 2 2 3" xfId="47961"/>
    <cellStyle name="Percent 2 2 9 2 2 3 2" xfId="47962"/>
    <cellStyle name="Percent 2 2 9 2 2 3 3" xfId="47963"/>
    <cellStyle name="Percent 2 2 9 2 2 4" xfId="47964"/>
    <cellStyle name="Percent 2 2 9 2 2 5" xfId="47965"/>
    <cellStyle name="Percent 2 2 9 2 3" xfId="47966"/>
    <cellStyle name="Percent 2 2 9 2 3 2" xfId="47967"/>
    <cellStyle name="Percent 2 2 9 2 3 3" xfId="47968"/>
    <cellStyle name="Percent 2 2 9 2 4" xfId="47969"/>
    <cellStyle name="Percent 2 2 9 2 4 2" xfId="47970"/>
    <cellStyle name="Percent 2 2 9 2 4 3" xfId="47971"/>
    <cellStyle name="Percent 2 2 9 2 5" xfId="47972"/>
    <cellStyle name="Percent 2 2 9 2 6" xfId="47973"/>
    <cellStyle name="Percent 2 2 9 3" xfId="47974"/>
    <cellStyle name="Percent 2 2 9 3 2" xfId="47975"/>
    <cellStyle name="Percent 2 2 9 3 2 2" xfId="47976"/>
    <cellStyle name="Percent 2 2 9 3 2 2 2" xfId="47977"/>
    <cellStyle name="Percent 2 2 9 3 2 2 3" xfId="47978"/>
    <cellStyle name="Percent 2 2 9 3 2 3" xfId="47979"/>
    <cellStyle name="Percent 2 2 9 3 2 3 2" xfId="47980"/>
    <cellStyle name="Percent 2 2 9 3 2 3 3" xfId="47981"/>
    <cellStyle name="Percent 2 2 9 3 2 4" xfId="47982"/>
    <cellStyle name="Percent 2 2 9 3 2 5" xfId="47983"/>
    <cellStyle name="Percent 2 2 9 3 3" xfId="47984"/>
    <cellStyle name="Percent 2 2 9 3 3 2" xfId="47985"/>
    <cellStyle name="Percent 2 2 9 3 3 3" xfId="47986"/>
    <cellStyle name="Percent 2 2 9 3 4" xfId="47987"/>
    <cellStyle name="Percent 2 2 9 3 4 2" xfId="47988"/>
    <cellStyle name="Percent 2 2 9 3 4 3" xfId="47989"/>
    <cellStyle name="Percent 2 2 9 3 5" xfId="47990"/>
    <cellStyle name="Percent 2 2 9 3 6" xfId="47991"/>
    <cellStyle name="Percent 2 2 9 4" xfId="47992"/>
    <cellStyle name="Percent 2 2 9 4 2" xfId="47993"/>
    <cellStyle name="Percent 2 2 9 4 2 2" xfId="47994"/>
    <cellStyle name="Percent 2 2 9 4 2 3" xfId="47995"/>
    <cellStyle name="Percent 2 2 9 4 3" xfId="47996"/>
    <cellStyle name="Percent 2 2 9 4 3 2" xfId="47997"/>
    <cellStyle name="Percent 2 2 9 4 3 3" xfId="47998"/>
    <cellStyle name="Percent 2 2 9 4 4" xfId="47999"/>
    <cellStyle name="Percent 2 2 9 4 5" xfId="48000"/>
    <cellStyle name="Percent 2 2 9 5" xfId="48001"/>
    <cellStyle name="Percent 2 2 9 5 2" xfId="48002"/>
    <cellStyle name="Percent 2 2 9 5 3" xfId="48003"/>
    <cellStyle name="Percent 2 2 9 6" xfId="48004"/>
    <cellStyle name="Percent 2 2 9 6 2" xfId="48005"/>
    <cellStyle name="Percent 2 2 9 6 3" xfId="48006"/>
    <cellStyle name="Percent 2 2 9 7" xfId="48007"/>
    <cellStyle name="Percent 2 2 9 8" xfId="48008"/>
    <cellStyle name="Percent 2 3" xfId="48009"/>
    <cellStyle name="Percent 2 3 10" xfId="48010"/>
    <cellStyle name="Percent 2 3 10 2" xfId="48011"/>
    <cellStyle name="Percent 2 3 10 3" xfId="48012"/>
    <cellStyle name="Percent 2 3 11" xfId="48013"/>
    <cellStyle name="Percent 2 3 11 2" xfId="48014"/>
    <cellStyle name="Percent 2 3 11 3" xfId="48015"/>
    <cellStyle name="Percent 2 3 12" xfId="48016"/>
    <cellStyle name="Percent 2 3 13" xfId="48017"/>
    <cellStyle name="Percent 2 3 14" xfId="48018"/>
    <cellStyle name="Percent 2 3 15" xfId="48019"/>
    <cellStyle name="Percent 2 3 2" xfId="48020"/>
    <cellStyle name="Percent 2 3 2 10" xfId="48021"/>
    <cellStyle name="Percent 2 3 2 10 2" xfId="48022"/>
    <cellStyle name="Percent 2 3 2 10 3" xfId="48023"/>
    <cellStyle name="Percent 2 3 2 11" xfId="48024"/>
    <cellStyle name="Percent 2 3 2 12" xfId="48025"/>
    <cellStyle name="Percent 2 3 2 13" xfId="48026"/>
    <cellStyle name="Percent 2 3 2 14" xfId="48027"/>
    <cellStyle name="Percent 2 3 2 2" xfId="48028"/>
    <cellStyle name="Percent 2 3 2 2 10" xfId="48029"/>
    <cellStyle name="Percent 2 3 2 2 2" xfId="48030"/>
    <cellStyle name="Percent 2 3 2 2 2 2" xfId="48031"/>
    <cellStyle name="Percent 2 3 2 2 2 2 2" xfId="48032"/>
    <cellStyle name="Percent 2 3 2 2 2 2 2 2" xfId="48033"/>
    <cellStyle name="Percent 2 3 2 2 2 2 2 2 2" xfId="48034"/>
    <cellStyle name="Percent 2 3 2 2 2 2 2 2 2 2" xfId="48035"/>
    <cellStyle name="Percent 2 3 2 2 2 2 2 2 2 3" xfId="48036"/>
    <cellStyle name="Percent 2 3 2 2 2 2 2 2 3" xfId="48037"/>
    <cellStyle name="Percent 2 3 2 2 2 2 2 2 3 2" xfId="48038"/>
    <cellStyle name="Percent 2 3 2 2 2 2 2 2 3 3" xfId="48039"/>
    <cellStyle name="Percent 2 3 2 2 2 2 2 2 4" xfId="48040"/>
    <cellStyle name="Percent 2 3 2 2 2 2 2 2 5" xfId="48041"/>
    <cellStyle name="Percent 2 3 2 2 2 2 2 3" xfId="48042"/>
    <cellStyle name="Percent 2 3 2 2 2 2 2 3 2" xfId="48043"/>
    <cellStyle name="Percent 2 3 2 2 2 2 2 3 3" xfId="48044"/>
    <cellStyle name="Percent 2 3 2 2 2 2 2 4" xfId="48045"/>
    <cellStyle name="Percent 2 3 2 2 2 2 2 4 2" xfId="48046"/>
    <cellStyle name="Percent 2 3 2 2 2 2 2 4 3" xfId="48047"/>
    <cellStyle name="Percent 2 3 2 2 2 2 2 5" xfId="48048"/>
    <cellStyle name="Percent 2 3 2 2 2 2 2 6" xfId="48049"/>
    <cellStyle name="Percent 2 3 2 2 2 2 3" xfId="48050"/>
    <cellStyle name="Percent 2 3 2 2 2 2 3 2" xfId="48051"/>
    <cellStyle name="Percent 2 3 2 2 2 2 3 2 2" xfId="48052"/>
    <cellStyle name="Percent 2 3 2 2 2 2 3 2 2 2" xfId="48053"/>
    <cellStyle name="Percent 2 3 2 2 2 2 3 2 2 3" xfId="48054"/>
    <cellStyle name="Percent 2 3 2 2 2 2 3 2 3" xfId="48055"/>
    <cellStyle name="Percent 2 3 2 2 2 2 3 2 3 2" xfId="48056"/>
    <cellStyle name="Percent 2 3 2 2 2 2 3 2 3 3" xfId="48057"/>
    <cellStyle name="Percent 2 3 2 2 2 2 3 2 4" xfId="48058"/>
    <cellStyle name="Percent 2 3 2 2 2 2 3 2 5" xfId="48059"/>
    <cellStyle name="Percent 2 3 2 2 2 2 3 3" xfId="48060"/>
    <cellStyle name="Percent 2 3 2 2 2 2 3 3 2" xfId="48061"/>
    <cellStyle name="Percent 2 3 2 2 2 2 3 3 3" xfId="48062"/>
    <cellStyle name="Percent 2 3 2 2 2 2 3 4" xfId="48063"/>
    <cellStyle name="Percent 2 3 2 2 2 2 3 4 2" xfId="48064"/>
    <cellStyle name="Percent 2 3 2 2 2 2 3 4 3" xfId="48065"/>
    <cellStyle name="Percent 2 3 2 2 2 2 3 5" xfId="48066"/>
    <cellStyle name="Percent 2 3 2 2 2 2 3 6" xfId="48067"/>
    <cellStyle name="Percent 2 3 2 2 2 2 4" xfId="48068"/>
    <cellStyle name="Percent 2 3 2 2 2 2 4 2" xfId="48069"/>
    <cellStyle name="Percent 2 3 2 2 2 2 4 2 2" xfId="48070"/>
    <cellStyle name="Percent 2 3 2 2 2 2 4 2 3" xfId="48071"/>
    <cellStyle name="Percent 2 3 2 2 2 2 4 3" xfId="48072"/>
    <cellStyle name="Percent 2 3 2 2 2 2 4 3 2" xfId="48073"/>
    <cellStyle name="Percent 2 3 2 2 2 2 4 3 3" xfId="48074"/>
    <cellStyle name="Percent 2 3 2 2 2 2 4 4" xfId="48075"/>
    <cellStyle name="Percent 2 3 2 2 2 2 4 5" xfId="48076"/>
    <cellStyle name="Percent 2 3 2 2 2 2 5" xfId="48077"/>
    <cellStyle name="Percent 2 3 2 2 2 2 5 2" xfId="48078"/>
    <cellStyle name="Percent 2 3 2 2 2 2 5 3" xfId="48079"/>
    <cellStyle name="Percent 2 3 2 2 2 2 6" xfId="48080"/>
    <cellStyle name="Percent 2 3 2 2 2 2 6 2" xfId="48081"/>
    <cellStyle name="Percent 2 3 2 2 2 2 6 3" xfId="48082"/>
    <cellStyle name="Percent 2 3 2 2 2 2 7" xfId="48083"/>
    <cellStyle name="Percent 2 3 2 2 2 2 8" xfId="48084"/>
    <cellStyle name="Percent 2 3 2 2 2 3" xfId="48085"/>
    <cellStyle name="Percent 2 3 2 2 2 3 2" xfId="48086"/>
    <cellStyle name="Percent 2 3 2 2 2 3 2 2" xfId="48087"/>
    <cellStyle name="Percent 2 3 2 2 2 3 2 2 2" xfId="48088"/>
    <cellStyle name="Percent 2 3 2 2 2 3 2 2 3" xfId="48089"/>
    <cellStyle name="Percent 2 3 2 2 2 3 2 3" xfId="48090"/>
    <cellStyle name="Percent 2 3 2 2 2 3 2 3 2" xfId="48091"/>
    <cellStyle name="Percent 2 3 2 2 2 3 2 3 3" xfId="48092"/>
    <cellStyle name="Percent 2 3 2 2 2 3 2 4" xfId="48093"/>
    <cellStyle name="Percent 2 3 2 2 2 3 2 5" xfId="48094"/>
    <cellStyle name="Percent 2 3 2 2 2 3 3" xfId="48095"/>
    <cellStyle name="Percent 2 3 2 2 2 3 3 2" xfId="48096"/>
    <cellStyle name="Percent 2 3 2 2 2 3 3 3" xfId="48097"/>
    <cellStyle name="Percent 2 3 2 2 2 3 4" xfId="48098"/>
    <cellStyle name="Percent 2 3 2 2 2 3 4 2" xfId="48099"/>
    <cellStyle name="Percent 2 3 2 2 2 3 4 3" xfId="48100"/>
    <cellStyle name="Percent 2 3 2 2 2 3 5" xfId="48101"/>
    <cellStyle name="Percent 2 3 2 2 2 3 6" xfId="48102"/>
    <cellStyle name="Percent 2 3 2 2 2 4" xfId="48103"/>
    <cellStyle name="Percent 2 3 2 2 2 4 2" xfId="48104"/>
    <cellStyle name="Percent 2 3 2 2 2 4 2 2" xfId="48105"/>
    <cellStyle name="Percent 2 3 2 2 2 4 2 2 2" xfId="48106"/>
    <cellStyle name="Percent 2 3 2 2 2 4 2 2 3" xfId="48107"/>
    <cellStyle name="Percent 2 3 2 2 2 4 2 3" xfId="48108"/>
    <cellStyle name="Percent 2 3 2 2 2 4 2 3 2" xfId="48109"/>
    <cellStyle name="Percent 2 3 2 2 2 4 2 3 3" xfId="48110"/>
    <cellStyle name="Percent 2 3 2 2 2 4 2 4" xfId="48111"/>
    <cellStyle name="Percent 2 3 2 2 2 4 2 5" xfId="48112"/>
    <cellStyle name="Percent 2 3 2 2 2 4 3" xfId="48113"/>
    <cellStyle name="Percent 2 3 2 2 2 4 3 2" xfId="48114"/>
    <cellStyle name="Percent 2 3 2 2 2 4 3 3" xfId="48115"/>
    <cellStyle name="Percent 2 3 2 2 2 4 4" xfId="48116"/>
    <cellStyle name="Percent 2 3 2 2 2 4 4 2" xfId="48117"/>
    <cellStyle name="Percent 2 3 2 2 2 4 4 3" xfId="48118"/>
    <cellStyle name="Percent 2 3 2 2 2 4 5" xfId="48119"/>
    <cellStyle name="Percent 2 3 2 2 2 4 6" xfId="48120"/>
    <cellStyle name="Percent 2 3 2 2 2 5" xfId="48121"/>
    <cellStyle name="Percent 2 3 2 2 2 5 2" xfId="48122"/>
    <cellStyle name="Percent 2 3 2 2 2 5 2 2" xfId="48123"/>
    <cellStyle name="Percent 2 3 2 2 2 5 2 3" xfId="48124"/>
    <cellStyle name="Percent 2 3 2 2 2 5 3" xfId="48125"/>
    <cellStyle name="Percent 2 3 2 2 2 5 3 2" xfId="48126"/>
    <cellStyle name="Percent 2 3 2 2 2 5 3 3" xfId="48127"/>
    <cellStyle name="Percent 2 3 2 2 2 5 4" xfId="48128"/>
    <cellStyle name="Percent 2 3 2 2 2 5 5" xfId="48129"/>
    <cellStyle name="Percent 2 3 2 2 2 6" xfId="48130"/>
    <cellStyle name="Percent 2 3 2 2 2 6 2" xfId="48131"/>
    <cellStyle name="Percent 2 3 2 2 2 6 3" xfId="48132"/>
    <cellStyle name="Percent 2 3 2 2 2 7" xfId="48133"/>
    <cellStyle name="Percent 2 3 2 2 2 7 2" xfId="48134"/>
    <cellStyle name="Percent 2 3 2 2 2 7 3" xfId="48135"/>
    <cellStyle name="Percent 2 3 2 2 2 8" xfId="48136"/>
    <cellStyle name="Percent 2 3 2 2 2 9" xfId="48137"/>
    <cellStyle name="Percent 2 3 2 2 3" xfId="48138"/>
    <cellStyle name="Percent 2 3 2 2 3 2" xfId="48139"/>
    <cellStyle name="Percent 2 3 2 2 3 2 2" xfId="48140"/>
    <cellStyle name="Percent 2 3 2 2 3 2 2 2" xfId="48141"/>
    <cellStyle name="Percent 2 3 2 2 3 2 2 2 2" xfId="48142"/>
    <cellStyle name="Percent 2 3 2 2 3 2 2 2 3" xfId="48143"/>
    <cellStyle name="Percent 2 3 2 2 3 2 2 3" xfId="48144"/>
    <cellStyle name="Percent 2 3 2 2 3 2 2 3 2" xfId="48145"/>
    <cellStyle name="Percent 2 3 2 2 3 2 2 3 3" xfId="48146"/>
    <cellStyle name="Percent 2 3 2 2 3 2 2 4" xfId="48147"/>
    <cellStyle name="Percent 2 3 2 2 3 2 2 5" xfId="48148"/>
    <cellStyle name="Percent 2 3 2 2 3 2 3" xfId="48149"/>
    <cellStyle name="Percent 2 3 2 2 3 2 3 2" xfId="48150"/>
    <cellStyle name="Percent 2 3 2 2 3 2 3 3" xfId="48151"/>
    <cellStyle name="Percent 2 3 2 2 3 2 4" xfId="48152"/>
    <cellStyle name="Percent 2 3 2 2 3 2 4 2" xfId="48153"/>
    <cellStyle name="Percent 2 3 2 2 3 2 4 3" xfId="48154"/>
    <cellStyle name="Percent 2 3 2 2 3 2 5" xfId="48155"/>
    <cellStyle name="Percent 2 3 2 2 3 2 6" xfId="48156"/>
    <cellStyle name="Percent 2 3 2 2 3 3" xfId="48157"/>
    <cellStyle name="Percent 2 3 2 2 3 3 2" xfId="48158"/>
    <cellStyle name="Percent 2 3 2 2 3 3 2 2" xfId="48159"/>
    <cellStyle name="Percent 2 3 2 2 3 3 2 2 2" xfId="48160"/>
    <cellStyle name="Percent 2 3 2 2 3 3 2 2 3" xfId="48161"/>
    <cellStyle name="Percent 2 3 2 2 3 3 2 3" xfId="48162"/>
    <cellStyle name="Percent 2 3 2 2 3 3 2 3 2" xfId="48163"/>
    <cellStyle name="Percent 2 3 2 2 3 3 2 3 3" xfId="48164"/>
    <cellStyle name="Percent 2 3 2 2 3 3 2 4" xfId="48165"/>
    <cellStyle name="Percent 2 3 2 2 3 3 2 5" xfId="48166"/>
    <cellStyle name="Percent 2 3 2 2 3 3 3" xfId="48167"/>
    <cellStyle name="Percent 2 3 2 2 3 3 3 2" xfId="48168"/>
    <cellStyle name="Percent 2 3 2 2 3 3 3 3" xfId="48169"/>
    <cellStyle name="Percent 2 3 2 2 3 3 4" xfId="48170"/>
    <cellStyle name="Percent 2 3 2 2 3 3 4 2" xfId="48171"/>
    <cellStyle name="Percent 2 3 2 2 3 3 4 3" xfId="48172"/>
    <cellStyle name="Percent 2 3 2 2 3 3 5" xfId="48173"/>
    <cellStyle name="Percent 2 3 2 2 3 3 6" xfId="48174"/>
    <cellStyle name="Percent 2 3 2 2 3 4" xfId="48175"/>
    <cellStyle name="Percent 2 3 2 2 3 4 2" xfId="48176"/>
    <cellStyle name="Percent 2 3 2 2 3 4 2 2" xfId="48177"/>
    <cellStyle name="Percent 2 3 2 2 3 4 2 3" xfId="48178"/>
    <cellStyle name="Percent 2 3 2 2 3 4 3" xfId="48179"/>
    <cellStyle name="Percent 2 3 2 2 3 4 3 2" xfId="48180"/>
    <cellStyle name="Percent 2 3 2 2 3 4 3 3" xfId="48181"/>
    <cellStyle name="Percent 2 3 2 2 3 4 4" xfId="48182"/>
    <cellStyle name="Percent 2 3 2 2 3 4 5" xfId="48183"/>
    <cellStyle name="Percent 2 3 2 2 3 5" xfId="48184"/>
    <cellStyle name="Percent 2 3 2 2 3 5 2" xfId="48185"/>
    <cellStyle name="Percent 2 3 2 2 3 5 3" xfId="48186"/>
    <cellStyle name="Percent 2 3 2 2 3 6" xfId="48187"/>
    <cellStyle name="Percent 2 3 2 2 3 6 2" xfId="48188"/>
    <cellStyle name="Percent 2 3 2 2 3 6 3" xfId="48189"/>
    <cellStyle name="Percent 2 3 2 2 3 7" xfId="48190"/>
    <cellStyle name="Percent 2 3 2 2 3 8" xfId="48191"/>
    <cellStyle name="Percent 2 3 2 2 4" xfId="48192"/>
    <cellStyle name="Percent 2 3 2 2 4 2" xfId="48193"/>
    <cellStyle name="Percent 2 3 2 2 4 2 2" xfId="48194"/>
    <cellStyle name="Percent 2 3 2 2 4 2 2 2" xfId="48195"/>
    <cellStyle name="Percent 2 3 2 2 4 2 2 3" xfId="48196"/>
    <cellStyle name="Percent 2 3 2 2 4 2 3" xfId="48197"/>
    <cellStyle name="Percent 2 3 2 2 4 2 3 2" xfId="48198"/>
    <cellStyle name="Percent 2 3 2 2 4 2 3 3" xfId="48199"/>
    <cellStyle name="Percent 2 3 2 2 4 2 4" xfId="48200"/>
    <cellStyle name="Percent 2 3 2 2 4 2 5" xfId="48201"/>
    <cellStyle name="Percent 2 3 2 2 4 3" xfId="48202"/>
    <cellStyle name="Percent 2 3 2 2 4 3 2" xfId="48203"/>
    <cellStyle name="Percent 2 3 2 2 4 3 3" xfId="48204"/>
    <cellStyle name="Percent 2 3 2 2 4 4" xfId="48205"/>
    <cellStyle name="Percent 2 3 2 2 4 4 2" xfId="48206"/>
    <cellStyle name="Percent 2 3 2 2 4 4 3" xfId="48207"/>
    <cellStyle name="Percent 2 3 2 2 4 5" xfId="48208"/>
    <cellStyle name="Percent 2 3 2 2 4 6" xfId="48209"/>
    <cellStyle name="Percent 2 3 2 2 5" xfId="48210"/>
    <cellStyle name="Percent 2 3 2 2 5 2" xfId="48211"/>
    <cellStyle name="Percent 2 3 2 2 5 2 2" xfId="48212"/>
    <cellStyle name="Percent 2 3 2 2 5 2 2 2" xfId="48213"/>
    <cellStyle name="Percent 2 3 2 2 5 2 2 3" xfId="48214"/>
    <cellStyle name="Percent 2 3 2 2 5 2 3" xfId="48215"/>
    <cellStyle name="Percent 2 3 2 2 5 2 3 2" xfId="48216"/>
    <cellStyle name="Percent 2 3 2 2 5 2 3 3" xfId="48217"/>
    <cellStyle name="Percent 2 3 2 2 5 2 4" xfId="48218"/>
    <cellStyle name="Percent 2 3 2 2 5 2 5" xfId="48219"/>
    <cellStyle name="Percent 2 3 2 2 5 3" xfId="48220"/>
    <cellStyle name="Percent 2 3 2 2 5 3 2" xfId="48221"/>
    <cellStyle name="Percent 2 3 2 2 5 3 3" xfId="48222"/>
    <cellStyle name="Percent 2 3 2 2 5 4" xfId="48223"/>
    <cellStyle name="Percent 2 3 2 2 5 4 2" xfId="48224"/>
    <cellStyle name="Percent 2 3 2 2 5 4 3" xfId="48225"/>
    <cellStyle name="Percent 2 3 2 2 5 5" xfId="48226"/>
    <cellStyle name="Percent 2 3 2 2 5 6" xfId="48227"/>
    <cellStyle name="Percent 2 3 2 2 6" xfId="48228"/>
    <cellStyle name="Percent 2 3 2 2 6 2" xfId="48229"/>
    <cellStyle name="Percent 2 3 2 2 6 2 2" xfId="48230"/>
    <cellStyle name="Percent 2 3 2 2 6 2 3" xfId="48231"/>
    <cellStyle name="Percent 2 3 2 2 6 3" xfId="48232"/>
    <cellStyle name="Percent 2 3 2 2 6 3 2" xfId="48233"/>
    <cellStyle name="Percent 2 3 2 2 6 3 3" xfId="48234"/>
    <cellStyle name="Percent 2 3 2 2 6 4" xfId="48235"/>
    <cellStyle name="Percent 2 3 2 2 6 5" xfId="48236"/>
    <cellStyle name="Percent 2 3 2 2 7" xfId="48237"/>
    <cellStyle name="Percent 2 3 2 2 7 2" xfId="48238"/>
    <cellStyle name="Percent 2 3 2 2 7 3" xfId="48239"/>
    <cellStyle name="Percent 2 3 2 2 8" xfId="48240"/>
    <cellStyle name="Percent 2 3 2 2 8 2" xfId="48241"/>
    <cellStyle name="Percent 2 3 2 2 8 3" xfId="48242"/>
    <cellStyle name="Percent 2 3 2 2 9" xfId="48243"/>
    <cellStyle name="Percent 2 3 2 3" xfId="48244"/>
    <cellStyle name="Percent 2 3 2 3 10" xfId="48245"/>
    <cellStyle name="Percent 2 3 2 3 2" xfId="48246"/>
    <cellStyle name="Percent 2 3 2 3 2 2" xfId="48247"/>
    <cellStyle name="Percent 2 3 2 3 2 2 2" xfId="48248"/>
    <cellStyle name="Percent 2 3 2 3 2 2 2 2" xfId="48249"/>
    <cellStyle name="Percent 2 3 2 3 2 2 2 2 2" xfId="48250"/>
    <cellStyle name="Percent 2 3 2 3 2 2 2 2 2 2" xfId="48251"/>
    <cellStyle name="Percent 2 3 2 3 2 2 2 2 2 3" xfId="48252"/>
    <cellStyle name="Percent 2 3 2 3 2 2 2 2 3" xfId="48253"/>
    <cellStyle name="Percent 2 3 2 3 2 2 2 2 3 2" xfId="48254"/>
    <cellStyle name="Percent 2 3 2 3 2 2 2 2 3 3" xfId="48255"/>
    <cellStyle name="Percent 2 3 2 3 2 2 2 2 4" xfId="48256"/>
    <cellStyle name="Percent 2 3 2 3 2 2 2 2 5" xfId="48257"/>
    <cellStyle name="Percent 2 3 2 3 2 2 2 3" xfId="48258"/>
    <cellStyle name="Percent 2 3 2 3 2 2 2 3 2" xfId="48259"/>
    <cellStyle name="Percent 2 3 2 3 2 2 2 3 3" xfId="48260"/>
    <cellStyle name="Percent 2 3 2 3 2 2 2 4" xfId="48261"/>
    <cellStyle name="Percent 2 3 2 3 2 2 2 4 2" xfId="48262"/>
    <cellStyle name="Percent 2 3 2 3 2 2 2 4 3" xfId="48263"/>
    <cellStyle name="Percent 2 3 2 3 2 2 2 5" xfId="48264"/>
    <cellStyle name="Percent 2 3 2 3 2 2 2 6" xfId="48265"/>
    <cellStyle name="Percent 2 3 2 3 2 2 3" xfId="48266"/>
    <cellStyle name="Percent 2 3 2 3 2 2 3 2" xfId="48267"/>
    <cellStyle name="Percent 2 3 2 3 2 2 3 2 2" xfId="48268"/>
    <cellStyle name="Percent 2 3 2 3 2 2 3 2 2 2" xfId="48269"/>
    <cellStyle name="Percent 2 3 2 3 2 2 3 2 2 3" xfId="48270"/>
    <cellStyle name="Percent 2 3 2 3 2 2 3 2 3" xfId="48271"/>
    <cellStyle name="Percent 2 3 2 3 2 2 3 2 3 2" xfId="48272"/>
    <cellStyle name="Percent 2 3 2 3 2 2 3 2 3 3" xfId="48273"/>
    <cellStyle name="Percent 2 3 2 3 2 2 3 2 4" xfId="48274"/>
    <cellStyle name="Percent 2 3 2 3 2 2 3 2 5" xfId="48275"/>
    <cellStyle name="Percent 2 3 2 3 2 2 3 3" xfId="48276"/>
    <cellStyle name="Percent 2 3 2 3 2 2 3 3 2" xfId="48277"/>
    <cellStyle name="Percent 2 3 2 3 2 2 3 3 3" xfId="48278"/>
    <cellStyle name="Percent 2 3 2 3 2 2 3 4" xfId="48279"/>
    <cellStyle name="Percent 2 3 2 3 2 2 3 4 2" xfId="48280"/>
    <cellStyle name="Percent 2 3 2 3 2 2 3 4 3" xfId="48281"/>
    <cellStyle name="Percent 2 3 2 3 2 2 3 5" xfId="48282"/>
    <cellStyle name="Percent 2 3 2 3 2 2 3 6" xfId="48283"/>
    <cellStyle name="Percent 2 3 2 3 2 2 4" xfId="48284"/>
    <cellStyle name="Percent 2 3 2 3 2 2 4 2" xfId="48285"/>
    <cellStyle name="Percent 2 3 2 3 2 2 4 2 2" xfId="48286"/>
    <cellStyle name="Percent 2 3 2 3 2 2 4 2 3" xfId="48287"/>
    <cellStyle name="Percent 2 3 2 3 2 2 4 3" xfId="48288"/>
    <cellStyle name="Percent 2 3 2 3 2 2 4 3 2" xfId="48289"/>
    <cellStyle name="Percent 2 3 2 3 2 2 4 3 3" xfId="48290"/>
    <cellStyle name="Percent 2 3 2 3 2 2 4 4" xfId="48291"/>
    <cellStyle name="Percent 2 3 2 3 2 2 4 5" xfId="48292"/>
    <cellStyle name="Percent 2 3 2 3 2 2 5" xfId="48293"/>
    <cellStyle name="Percent 2 3 2 3 2 2 5 2" xfId="48294"/>
    <cellStyle name="Percent 2 3 2 3 2 2 5 3" xfId="48295"/>
    <cellStyle name="Percent 2 3 2 3 2 2 6" xfId="48296"/>
    <cellStyle name="Percent 2 3 2 3 2 2 6 2" xfId="48297"/>
    <cellStyle name="Percent 2 3 2 3 2 2 6 3" xfId="48298"/>
    <cellStyle name="Percent 2 3 2 3 2 2 7" xfId="48299"/>
    <cellStyle name="Percent 2 3 2 3 2 2 8" xfId="48300"/>
    <cellStyle name="Percent 2 3 2 3 2 3" xfId="48301"/>
    <cellStyle name="Percent 2 3 2 3 2 3 2" xfId="48302"/>
    <cellStyle name="Percent 2 3 2 3 2 3 2 2" xfId="48303"/>
    <cellStyle name="Percent 2 3 2 3 2 3 2 2 2" xfId="48304"/>
    <cellStyle name="Percent 2 3 2 3 2 3 2 2 3" xfId="48305"/>
    <cellStyle name="Percent 2 3 2 3 2 3 2 3" xfId="48306"/>
    <cellStyle name="Percent 2 3 2 3 2 3 2 3 2" xfId="48307"/>
    <cellStyle name="Percent 2 3 2 3 2 3 2 3 3" xfId="48308"/>
    <cellStyle name="Percent 2 3 2 3 2 3 2 4" xfId="48309"/>
    <cellStyle name="Percent 2 3 2 3 2 3 2 5" xfId="48310"/>
    <cellStyle name="Percent 2 3 2 3 2 3 3" xfId="48311"/>
    <cellStyle name="Percent 2 3 2 3 2 3 3 2" xfId="48312"/>
    <cellStyle name="Percent 2 3 2 3 2 3 3 3" xfId="48313"/>
    <cellStyle name="Percent 2 3 2 3 2 3 4" xfId="48314"/>
    <cellStyle name="Percent 2 3 2 3 2 3 4 2" xfId="48315"/>
    <cellStyle name="Percent 2 3 2 3 2 3 4 3" xfId="48316"/>
    <cellStyle name="Percent 2 3 2 3 2 3 5" xfId="48317"/>
    <cellStyle name="Percent 2 3 2 3 2 3 6" xfId="48318"/>
    <cellStyle name="Percent 2 3 2 3 2 4" xfId="48319"/>
    <cellStyle name="Percent 2 3 2 3 2 4 2" xfId="48320"/>
    <cellStyle name="Percent 2 3 2 3 2 4 2 2" xfId="48321"/>
    <cellStyle name="Percent 2 3 2 3 2 4 2 2 2" xfId="48322"/>
    <cellStyle name="Percent 2 3 2 3 2 4 2 2 3" xfId="48323"/>
    <cellStyle name="Percent 2 3 2 3 2 4 2 3" xfId="48324"/>
    <cellStyle name="Percent 2 3 2 3 2 4 2 3 2" xfId="48325"/>
    <cellStyle name="Percent 2 3 2 3 2 4 2 3 3" xfId="48326"/>
    <cellStyle name="Percent 2 3 2 3 2 4 2 4" xfId="48327"/>
    <cellStyle name="Percent 2 3 2 3 2 4 2 5" xfId="48328"/>
    <cellStyle name="Percent 2 3 2 3 2 4 3" xfId="48329"/>
    <cellStyle name="Percent 2 3 2 3 2 4 3 2" xfId="48330"/>
    <cellStyle name="Percent 2 3 2 3 2 4 3 3" xfId="48331"/>
    <cellStyle name="Percent 2 3 2 3 2 4 4" xfId="48332"/>
    <cellStyle name="Percent 2 3 2 3 2 4 4 2" xfId="48333"/>
    <cellStyle name="Percent 2 3 2 3 2 4 4 3" xfId="48334"/>
    <cellStyle name="Percent 2 3 2 3 2 4 5" xfId="48335"/>
    <cellStyle name="Percent 2 3 2 3 2 4 6" xfId="48336"/>
    <cellStyle name="Percent 2 3 2 3 2 5" xfId="48337"/>
    <cellStyle name="Percent 2 3 2 3 2 5 2" xfId="48338"/>
    <cellStyle name="Percent 2 3 2 3 2 5 2 2" xfId="48339"/>
    <cellStyle name="Percent 2 3 2 3 2 5 2 3" xfId="48340"/>
    <cellStyle name="Percent 2 3 2 3 2 5 3" xfId="48341"/>
    <cellStyle name="Percent 2 3 2 3 2 5 3 2" xfId="48342"/>
    <cellStyle name="Percent 2 3 2 3 2 5 3 3" xfId="48343"/>
    <cellStyle name="Percent 2 3 2 3 2 5 4" xfId="48344"/>
    <cellStyle name="Percent 2 3 2 3 2 5 5" xfId="48345"/>
    <cellStyle name="Percent 2 3 2 3 2 6" xfId="48346"/>
    <cellStyle name="Percent 2 3 2 3 2 6 2" xfId="48347"/>
    <cellStyle name="Percent 2 3 2 3 2 6 3" xfId="48348"/>
    <cellStyle name="Percent 2 3 2 3 2 7" xfId="48349"/>
    <cellStyle name="Percent 2 3 2 3 2 7 2" xfId="48350"/>
    <cellStyle name="Percent 2 3 2 3 2 7 3" xfId="48351"/>
    <cellStyle name="Percent 2 3 2 3 2 8" xfId="48352"/>
    <cellStyle name="Percent 2 3 2 3 2 9" xfId="48353"/>
    <cellStyle name="Percent 2 3 2 3 3" xfId="48354"/>
    <cellStyle name="Percent 2 3 2 3 3 2" xfId="48355"/>
    <cellStyle name="Percent 2 3 2 3 3 2 2" xfId="48356"/>
    <cellStyle name="Percent 2 3 2 3 3 2 2 2" xfId="48357"/>
    <cellStyle name="Percent 2 3 2 3 3 2 2 2 2" xfId="48358"/>
    <cellStyle name="Percent 2 3 2 3 3 2 2 2 3" xfId="48359"/>
    <cellStyle name="Percent 2 3 2 3 3 2 2 3" xfId="48360"/>
    <cellStyle name="Percent 2 3 2 3 3 2 2 3 2" xfId="48361"/>
    <cellStyle name="Percent 2 3 2 3 3 2 2 3 3" xfId="48362"/>
    <cellStyle name="Percent 2 3 2 3 3 2 2 4" xfId="48363"/>
    <cellStyle name="Percent 2 3 2 3 3 2 2 5" xfId="48364"/>
    <cellStyle name="Percent 2 3 2 3 3 2 3" xfId="48365"/>
    <cellStyle name="Percent 2 3 2 3 3 2 3 2" xfId="48366"/>
    <cellStyle name="Percent 2 3 2 3 3 2 3 3" xfId="48367"/>
    <cellStyle name="Percent 2 3 2 3 3 2 4" xfId="48368"/>
    <cellStyle name="Percent 2 3 2 3 3 2 4 2" xfId="48369"/>
    <cellStyle name="Percent 2 3 2 3 3 2 4 3" xfId="48370"/>
    <cellStyle name="Percent 2 3 2 3 3 2 5" xfId="48371"/>
    <cellStyle name="Percent 2 3 2 3 3 2 6" xfId="48372"/>
    <cellStyle name="Percent 2 3 2 3 3 3" xfId="48373"/>
    <cellStyle name="Percent 2 3 2 3 3 3 2" xfId="48374"/>
    <cellStyle name="Percent 2 3 2 3 3 3 2 2" xfId="48375"/>
    <cellStyle name="Percent 2 3 2 3 3 3 2 2 2" xfId="48376"/>
    <cellStyle name="Percent 2 3 2 3 3 3 2 2 3" xfId="48377"/>
    <cellStyle name="Percent 2 3 2 3 3 3 2 3" xfId="48378"/>
    <cellStyle name="Percent 2 3 2 3 3 3 2 3 2" xfId="48379"/>
    <cellStyle name="Percent 2 3 2 3 3 3 2 3 3" xfId="48380"/>
    <cellStyle name="Percent 2 3 2 3 3 3 2 4" xfId="48381"/>
    <cellStyle name="Percent 2 3 2 3 3 3 2 5" xfId="48382"/>
    <cellStyle name="Percent 2 3 2 3 3 3 3" xfId="48383"/>
    <cellStyle name="Percent 2 3 2 3 3 3 3 2" xfId="48384"/>
    <cellStyle name="Percent 2 3 2 3 3 3 3 3" xfId="48385"/>
    <cellStyle name="Percent 2 3 2 3 3 3 4" xfId="48386"/>
    <cellStyle name="Percent 2 3 2 3 3 3 4 2" xfId="48387"/>
    <cellStyle name="Percent 2 3 2 3 3 3 4 3" xfId="48388"/>
    <cellStyle name="Percent 2 3 2 3 3 3 5" xfId="48389"/>
    <cellStyle name="Percent 2 3 2 3 3 3 6" xfId="48390"/>
    <cellStyle name="Percent 2 3 2 3 3 4" xfId="48391"/>
    <cellStyle name="Percent 2 3 2 3 3 4 2" xfId="48392"/>
    <cellStyle name="Percent 2 3 2 3 3 4 2 2" xfId="48393"/>
    <cellStyle name="Percent 2 3 2 3 3 4 2 3" xfId="48394"/>
    <cellStyle name="Percent 2 3 2 3 3 4 3" xfId="48395"/>
    <cellStyle name="Percent 2 3 2 3 3 4 3 2" xfId="48396"/>
    <cellStyle name="Percent 2 3 2 3 3 4 3 3" xfId="48397"/>
    <cellStyle name="Percent 2 3 2 3 3 4 4" xfId="48398"/>
    <cellStyle name="Percent 2 3 2 3 3 4 5" xfId="48399"/>
    <cellStyle name="Percent 2 3 2 3 3 5" xfId="48400"/>
    <cellStyle name="Percent 2 3 2 3 3 5 2" xfId="48401"/>
    <cellStyle name="Percent 2 3 2 3 3 5 3" xfId="48402"/>
    <cellStyle name="Percent 2 3 2 3 3 6" xfId="48403"/>
    <cellStyle name="Percent 2 3 2 3 3 6 2" xfId="48404"/>
    <cellStyle name="Percent 2 3 2 3 3 6 3" xfId="48405"/>
    <cellStyle name="Percent 2 3 2 3 3 7" xfId="48406"/>
    <cellStyle name="Percent 2 3 2 3 3 8" xfId="48407"/>
    <cellStyle name="Percent 2 3 2 3 4" xfId="48408"/>
    <cellStyle name="Percent 2 3 2 3 4 2" xfId="48409"/>
    <cellStyle name="Percent 2 3 2 3 4 2 2" xfId="48410"/>
    <cellStyle name="Percent 2 3 2 3 4 2 2 2" xfId="48411"/>
    <cellStyle name="Percent 2 3 2 3 4 2 2 3" xfId="48412"/>
    <cellStyle name="Percent 2 3 2 3 4 2 3" xfId="48413"/>
    <cellStyle name="Percent 2 3 2 3 4 2 3 2" xfId="48414"/>
    <cellStyle name="Percent 2 3 2 3 4 2 3 3" xfId="48415"/>
    <cellStyle name="Percent 2 3 2 3 4 2 4" xfId="48416"/>
    <cellStyle name="Percent 2 3 2 3 4 2 5" xfId="48417"/>
    <cellStyle name="Percent 2 3 2 3 4 3" xfId="48418"/>
    <cellStyle name="Percent 2 3 2 3 4 3 2" xfId="48419"/>
    <cellStyle name="Percent 2 3 2 3 4 3 3" xfId="48420"/>
    <cellStyle name="Percent 2 3 2 3 4 4" xfId="48421"/>
    <cellStyle name="Percent 2 3 2 3 4 4 2" xfId="48422"/>
    <cellStyle name="Percent 2 3 2 3 4 4 3" xfId="48423"/>
    <cellStyle name="Percent 2 3 2 3 4 5" xfId="48424"/>
    <cellStyle name="Percent 2 3 2 3 4 6" xfId="48425"/>
    <cellStyle name="Percent 2 3 2 3 5" xfId="48426"/>
    <cellStyle name="Percent 2 3 2 3 5 2" xfId="48427"/>
    <cellStyle name="Percent 2 3 2 3 5 2 2" xfId="48428"/>
    <cellStyle name="Percent 2 3 2 3 5 2 2 2" xfId="48429"/>
    <cellStyle name="Percent 2 3 2 3 5 2 2 3" xfId="48430"/>
    <cellStyle name="Percent 2 3 2 3 5 2 3" xfId="48431"/>
    <cellStyle name="Percent 2 3 2 3 5 2 3 2" xfId="48432"/>
    <cellStyle name="Percent 2 3 2 3 5 2 3 3" xfId="48433"/>
    <cellStyle name="Percent 2 3 2 3 5 2 4" xfId="48434"/>
    <cellStyle name="Percent 2 3 2 3 5 2 5" xfId="48435"/>
    <cellStyle name="Percent 2 3 2 3 5 3" xfId="48436"/>
    <cellStyle name="Percent 2 3 2 3 5 3 2" xfId="48437"/>
    <cellStyle name="Percent 2 3 2 3 5 3 3" xfId="48438"/>
    <cellStyle name="Percent 2 3 2 3 5 4" xfId="48439"/>
    <cellStyle name="Percent 2 3 2 3 5 4 2" xfId="48440"/>
    <cellStyle name="Percent 2 3 2 3 5 4 3" xfId="48441"/>
    <cellStyle name="Percent 2 3 2 3 5 5" xfId="48442"/>
    <cellStyle name="Percent 2 3 2 3 5 6" xfId="48443"/>
    <cellStyle name="Percent 2 3 2 3 6" xfId="48444"/>
    <cellStyle name="Percent 2 3 2 3 6 2" xfId="48445"/>
    <cellStyle name="Percent 2 3 2 3 6 2 2" xfId="48446"/>
    <cellStyle name="Percent 2 3 2 3 6 2 3" xfId="48447"/>
    <cellStyle name="Percent 2 3 2 3 6 3" xfId="48448"/>
    <cellStyle name="Percent 2 3 2 3 6 3 2" xfId="48449"/>
    <cellStyle name="Percent 2 3 2 3 6 3 3" xfId="48450"/>
    <cellStyle name="Percent 2 3 2 3 6 4" xfId="48451"/>
    <cellStyle name="Percent 2 3 2 3 6 5" xfId="48452"/>
    <cellStyle name="Percent 2 3 2 3 7" xfId="48453"/>
    <cellStyle name="Percent 2 3 2 3 7 2" xfId="48454"/>
    <cellStyle name="Percent 2 3 2 3 7 3" xfId="48455"/>
    <cellStyle name="Percent 2 3 2 3 8" xfId="48456"/>
    <cellStyle name="Percent 2 3 2 3 8 2" xfId="48457"/>
    <cellStyle name="Percent 2 3 2 3 8 3" xfId="48458"/>
    <cellStyle name="Percent 2 3 2 3 9" xfId="48459"/>
    <cellStyle name="Percent 2 3 2 4" xfId="48460"/>
    <cellStyle name="Percent 2 3 2 4 2" xfId="48461"/>
    <cellStyle name="Percent 2 3 2 4 2 2" xfId="48462"/>
    <cellStyle name="Percent 2 3 2 4 2 2 2" xfId="48463"/>
    <cellStyle name="Percent 2 3 2 4 2 2 2 2" xfId="48464"/>
    <cellStyle name="Percent 2 3 2 4 2 2 2 2 2" xfId="48465"/>
    <cellStyle name="Percent 2 3 2 4 2 2 2 2 3" xfId="48466"/>
    <cellStyle name="Percent 2 3 2 4 2 2 2 3" xfId="48467"/>
    <cellStyle name="Percent 2 3 2 4 2 2 2 3 2" xfId="48468"/>
    <cellStyle name="Percent 2 3 2 4 2 2 2 3 3" xfId="48469"/>
    <cellStyle name="Percent 2 3 2 4 2 2 2 4" xfId="48470"/>
    <cellStyle name="Percent 2 3 2 4 2 2 2 5" xfId="48471"/>
    <cellStyle name="Percent 2 3 2 4 2 2 3" xfId="48472"/>
    <cellStyle name="Percent 2 3 2 4 2 2 3 2" xfId="48473"/>
    <cellStyle name="Percent 2 3 2 4 2 2 3 3" xfId="48474"/>
    <cellStyle name="Percent 2 3 2 4 2 2 4" xfId="48475"/>
    <cellStyle name="Percent 2 3 2 4 2 2 4 2" xfId="48476"/>
    <cellStyle name="Percent 2 3 2 4 2 2 4 3" xfId="48477"/>
    <cellStyle name="Percent 2 3 2 4 2 2 5" xfId="48478"/>
    <cellStyle name="Percent 2 3 2 4 2 2 6" xfId="48479"/>
    <cellStyle name="Percent 2 3 2 4 2 3" xfId="48480"/>
    <cellStyle name="Percent 2 3 2 4 2 3 2" xfId="48481"/>
    <cellStyle name="Percent 2 3 2 4 2 3 2 2" xfId="48482"/>
    <cellStyle name="Percent 2 3 2 4 2 3 2 2 2" xfId="48483"/>
    <cellStyle name="Percent 2 3 2 4 2 3 2 2 3" xfId="48484"/>
    <cellStyle name="Percent 2 3 2 4 2 3 2 3" xfId="48485"/>
    <cellStyle name="Percent 2 3 2 4 2 3 2 3 2" xfId="48486"/>
    <cellStyle name="Percent 2 3 2 4 2 3 2 3 3" xfId="48487"/>
    <cellStyle name="Percent 2 3 2 4 2 3 2 4" xfId="48488"/>
    <cellStyle name="Percent 2 3 2 4 2 3 2 5" xfId="48489"/>
    <cellStyle name="Percent 2 3 2 4 2 3 3" xfId="48490"/>
    <cellStyle name="Percent 2 3 2 4 2 3 3 2" xfId="48491"/>
    <cellStyle name="Percent 2 3 2 4 2 3 3 3" xfId="48492"/>
    <cellStyle name="Percent 2 3 2 4 2 3 4" xfId="48493"/>
    <cellStyle name="Percent 2 3 2 4 2 3 4 2" xfId="48494"/>
    <cellStyle name="Percent 2 3 2 4 2 3 4 3" xfId="48495"/>
    <cellStyle name="Percent 2 3 2 4 2 3 5" xfId="48496"/>
    <cellStyle name="Percent 2 3 2 4 2 3 6" xfId="48497"/>
    <cellStyle name="Percent 2 3 2 4 2 4" xfId="48498"/>
    <cellStyle name="Percent 2 3 2 4 2 4 2" xfId="48499"/>
    <cellStyle name="Percent 2 3 2 4 2 4 2 2" xfId="48500"/>
    <cellStyle name="Percent 2 3 2 4 2 4 2 3" xfId="48501"/>
    <cellStyle name="Percent 2 3 2 4 2 4 3" xfId="48502"/>
    <cellStyle name="Percent 2 3 2 4 2 4 3 2" xfId="48503"/>
    <cellStyle name="Percent 2 3 2 4 2 4 3 3" xfId="48504"/>
    <cellStyle name="Percent 2 3 2 4 2 4 4" xfId="48505"/>
    <cellStyle name="Percent 2 3 2 4 2 4 5" xfId="48506"/>
    <cellStyle name="Percent 2 3 2 4 2 5" xfId="48507"/>
    <cellStyle name="Percent 2 3 2 4 2 5 2" xfId="48508"/>
    <cellStyle name="Percent 2 3 2 4 2 5 3" xfId="48509"/>
    <cellStyle name="Percent 2 3 2 4 2 6" xfId="48510"/>
    <cellStyle name="Percent 2 3 2 4 2 6 2" xfId="48511"/>
    <cellStyle name="Percent 2 3 2 4 2 6 3" xfId="48512"/>
    <cellStyle name="Percent 2 3 2 4 2 7" xfId="48513"/>
    <cellStyle name="Percent 2 3 2 4 2 8" xfId="48514"/>
    <cellStyle name="Percent 2 3 2 4 3" xfId="48515"/>
    <cellStyle name="Percent 2 3 2 4 3 2" xfId="48516"/>
    <cellStyle name="Percent 2 3 2 4 3 2 2" xfId="48517"/>
    <cellStyle name="Percent 2 3 2 4 3 2 2 2" xfId="48518"/>
    <cellStyle name="Percent 2 3 2 4 3 2 2 3" xfId="48519"/>
    <cellStyle name="Percent 2 3 2 4 3 2 3" xfId="48520"/>
    <cellStyle name="Percent 2 3 2 4 3 2 3 2" xfId="48521"/>
    <cellStyle name="Percent 2 3 2 4 3 2 3 3" xfId="48522"/>
    <cellStyle name="Percent 2 3 2 4 3 2 4" xfId="48523"/>
    <cellStyle name="Percent 2 3 2 4 3 2 5" xfId="48524"/>
    <cellStyle name="Percent 2 3 2 4 3 3" xfId="48525"/>
    <cellStyle name="Percent 2 3 2 4 3 3 2" xfId="48526"/>
    <cellStyle name="Percent 2 3 2 4 3 3 3" xfId="48527"/>
    <cellStyle name="Percent 2 3 2 4 3 4" xfId="48528"/>
    <cellStyle name="Percent 2 3 2 4 3 4 2" xfId="48529"/>
    <cellStyle name="Percent 2 3 2 4 3 4 3" xfId="48530"/>
    <cellStyle name="Percent 2 3 2 4 3 5" xfId="48531"/>
    <cellStyle name="Percent 2 3 2 4 3 6" xfId="48532"/>
    <cellStyle name="Percent 2 3 2 4 4" xfId="48533"/>
    <cellStyle name="Percent 2 3 2 4 4 2" xfId="48534"/>
    <cellStyle name="Percent 2 3 2 4 4 2 2" xfId="48535"/>
    <cellStyle name="Percent 2 3 2 4 4 2 2 2" xfId="48536"/>
    <cellStyle name="Percent 2 3 2 4 4 2 2 3" xfId="48537"/>
    <cellStyle name="Percent 2 3 2 4 4 2 3" xfId="48538"/>
    <cellStyle name="Percent 2 3 2 4 4 2 3 2" xfId="48539"/>
    <cellStyle name="Percent 2 3 2 4 4 2 3 3" xfId="48540"/>
    <cellStyle name="Percent 2 3 2 4 4 2 4" xfId="48541"/>
    <cellStyle name="Percent 2 3 2 4 4 2 5" xfId="48542"/>
    <cellStyle name="Percent 2 3 2 4 4 3" xfId="48543"/>
    <cellStyle name="Percent 2 3 2 4 4 3 2" xfId="48544"/>
    <cellStyle name="Percent 2 3 2 4 4 3 3" xfId="48545"/>
    <cellStyle name="Percent 2 3 2 4 4 4" xfId="48546"/>
    <cellStyle name="Percent 2 3 2 4 4 4 2" xfId="48547"/>
    <cellStyle name="Percent 2 3 2 4 4 4 3" xfId="48548"/>
    <cellStyle name="Percent 2 3 2 4 4 5" xfId="48549"/>
    <cellStyle name="Percent 2 3 2 4 4 6" xfId="48550"/>
    <cellStyle name="Percent 2 3 2 4 5" xfId="48551"/>
    <cellStyle name="Percent 2 3 2 4 5 2" xfId="48552"/>
    <cellStyle name="Percent 2 3 2 4 5 2 2" xfId="48553"/>
    <cellStyle name="Percent 2 3 2 4 5 2 3" xfId="48554"/>
    <cellStyle name="Percent 2 3 2 4 5 3" xfId="48555"/>
    <cellStyle name="Percent 2 3 2 4 5 3 2" xfId="48556"/>
    <cellStyle name="Percent 2 3 2 4 5 3 3" xfId="48557"/>
    <cellStyle name="Percent 2 3 2 4 5 4" xfId="48558"/>
    <cellStyle name="Percent 2 3 2 4 5 5" xfId="48559"/>
    <cellStyle name="Percent 2 3 2 4 6" xfId="48560"/>
    <cellStyle name="Percent 2 3 2 4 6 2" xfId="48561"/>
    <cellStyle name="Percent 2 3 2 4 6 3" xfId="48562"/>
    <cellStyle name="Percent 2 3 2 4 7" xfId="48563"/>
    <cellStyle name="Percent 2 3 2 4 7 2" xfId="48564"/>
    <cellStyle name="Percent 2 3 2 4 7 3" xfId="48565"/>
    <cellStyle name="Percent 2 3 2 4 8" xfId="48566"/>
    <cellStyle name="Percent 2 3 2 4 9" xfId="48567"/>
    <cellStyle name="Percent 2 3 2 5" xfId="48568"/>
    <cellStyle name="Percent 2 3 2 5 2" xfId="48569"/>
    <cellStyle name="Percent 2 3 2 5 2 2" xfId="48570"/>
    <cellStyle name="Percent 2 3 2 5 2 2 2" xfId="48571"/>
    <cellStyle name="Percent 2 3 2 5 2 2 2 2" xfId="48572"/>
    <cellStyle name="Percent 2 3 2 5 2 2 2 3" xfId="48573"/>
    <cellStyle name="Percent 2 3 2 5 2 2 3" xfId="48574"/>
    <cellStyle name="Percent 2 3 2 5 2 2 3 2" xfId="48575"/>
    <cellStyle name="Percent 2 3 2 5 2 2 3 3" xfId="48576"/>
    <cellStyle name="Percent 2 3 2 5 2 2 4" xfId="48577"/>
    <cellStyle name="Percent 2 3 2 5 2 2 5" xfId="48578"/>
    <cellStyle name="Percent 2 3 2 5 2 3" xfId="48579"/>
    <cellStyle name="Percent 2 3 2 5 2 3 2" xfId="48580"/>
    <cellStyle name="Percent 2 3 2 5 2 3 3" xfId="48581"/>
    <cellStyle name="Percent 2 3 2 5 2 4" xfId="48582"/>
    <cellStyle name="Percent 2 3 2 5 2 4 2" xfId="48583"/>
    <cellStyle name="Percent 2 3 2 5 2 4 3" xfId="48584"/>
    <cellStyle name="Percent 2 3 2 5 2 5" xfId="48585"/>
    <cellStyle name="Percent 2 3 2 5 2 6" xfId="48586"/>
    <cellStyle name="Percent 2 3 2 5 3" xfId="48587"/>
    <cellStyle name="Percent 2 3 2 5 3 2" xfId="48588"/>
    <cellStyle name="Percent 2 3 2 5 3 2 2" xfId="48589"/>
    <cellStyle name="Percent 2 3 2 5 3 2 2 2" xfId="48590"/>
    <cellStyle name="Percent 2 3 2 5 3 2 2 3" xfId="48591"/>
    <cellStyle name="Percent 2 3 2 5 3 2 3" xfId="48592"/>
    <cellStyle name="Percent 2 3 2 5 3 2 3 2" xfId="48593"/>
    <cellStyle name="Percent 2 3 2 5 3 2 3 3" xfId="48594"/>
    <cellStyle name="Percent 2 3 2 5 3 2 4" xfId="48595"/>
    <cellStyle name="Percent 2 3 2 5 3 2 5" xfId="48596"/>
    <cellStyle name="Percent 2 3 2 5 3 3" xfId="48597"/>
    <cellStyle name="Percent 2 3 2 5 3 3 2" xfId="48598"/>
    <cellStyle name="Percent 2 3 2 5 3 3 3" xfId="48599"/>
    <cellStyle name="Percent 2 3 2 5 3 4" xfId="48600"/>
    <cellStyle name="Percent 2 3 2 5 3 4 2" xfId="48601"/>
    <cellStyle name="Percent 2 3 2 5 3 4 3" xfId="48602"/>
    <cellStyle name="Percent 2 3 2 5 3 5" xfId="48603"/>
    <cellStyle name="Percent 2 3 2 5 3 6" xfId="48604"/>
    <cellStyle name="Percent 2 3 2 5 4" xfId="48605"/>
    <cellStyle name="Percent 2 3 2 5 4 2" xfId="48606"/>
    <cellStyle name="Percent 2 3 2 5 4 2 2" xfId="48607"/>
    <cellStyle name="Percent 2 3 2 5 4 2 3" xfId="48608"/>
    <cellStyle name="Percent 2 3 2 5 4 3" xfId="48609"/>
    <cellStyle name="Percent 2 3 2 5 4 3 2" xfId="48610"/>
    <cellStyle name="Percent 2 3 2 5 4 3 3" xfId="48611"/>
    <cellStyle name="Percent 2 3 2 5 4 4" xfId="48612"/>
    <cellStyle name="Percent 2 3 2 5 4 5" xfId="48613"/>
    <cellStyle name="Percent 2 3 2 5 5" xfId="48614"/>
    <cellStyle name="Percent 2 3 2 5 5 2" xfId="48615"/>
    <cellStyle name="Percent 2 3 2 5 5 3" xfId="48616"/>
    <cellStyle name="Percent 2 3 2 5 6" xfId="48617"/>
    <cellStyle name="Percent 2 3 2 5 6 2" xfId="48618"/>
    <cellStyle name="Percent 2 3 2 5 6 3" xfId="48619"/>
    <cellStyle name="Percent 2 3 2 5 7" xfId="48620"/>
    <cellStyle name="Percent 2 3 2 5 8" xfId="48621"/>
    <cellStyle name="Percent 2 3 2 6" xfId="48622"/>
    <cellStyle name="Percent 2 3 2 6 2" xfId="48623"/>
    <cellStyle name="Percent 2 3 2 6 2 2" xfId="48624"/>
    <cellStyle name="Percent 2 3 2 6 2 2 2" xfId="48625"/>
    <cellStyle name="Percent 2 3 2 6 2 2 3" xfId="48626"/>
    <cellStyle name="Percent 2 3 2 6 2 3" xfId="48627"/>
    <cellStyle name="Percent 2 3 2 6 2 3 2" xfId="48628"/>
    <cellStyle name="Percent 2 3 2 6 2 3 3" xfId="48629"/>
    <cellStyle name="Percent 2 3 2 6 2 4" xfId="48630"/>
    <cellStyle name="Percent 2 3 2 6 2 5" xfId="48631"/>
    <cellStyle name="Percent 2 3 2 6 3" xfId="48632"/>
    <cellStyle name="Percent 2 3 2 6 3 2" xfId="48633"/>
    <cellStyle name="Percent 2 3 2 6 3 3" xfId="48634"/>
    <cellStyle name="Percent 2 3 2 6 4" xfId="48635"/>
    <cellStyle name="Percent 2 3 2 6 4 2" xfId="48636"/>
    <cellStyle name="Percent 2 3 2 6 4 3" xfId="48637"/>
    <cellStyle name="Percent 2 3 2 6 5" xfId="48638"/>
    <cellStyle name="Percent 2 3 2 6 6" xfId="48639"/>
    <cellStyle name="Percent 2 3 2 7" xfId="48640"/>
    <cellStyle name="Percent 2 3 2 7 2" xfId="48641"/>
    <cellStyle name="Percent 2 3 2 7 2 2" xfId="48642"/>
    <cellStyle name="Percent 2 3 2 7 2 2 2" xfId="48643"/>
    <cellStyle name="Percent 2 3 2 7 2 2 3" xfId="48644"/>
    <cellStyle name="Percent 2 3 2 7 2 3" xfId="48645"/>
    <cellStyle name="Percent 2 3 2 7 2 3 2" xfId="48646"/>
    <cellStyle name="Percent 2 3 2 7 2 3 3" xfId="48647"/>
    <cellStyle name="Percent 2 3 2 7 2 4" xfId="48648"/>
    <cellStyle name="Percent 2 3 2 7 2 5" xfId="48649"/>
    <cellStyle name="Percent 2 3 2 7 3" xfId="48650"/>
    <cellStyle name="Percent 2 3 2 7 3 2" xfId="48651"/>
    <cellStyle name="Percent 2 3 2 7 3 3" xfId="48652"/>
    <cellStyle name="Percent 2 3 2 7 4" xfId="48653"/>
    <cellStyle name="Percent 2 3 2 7 4 2" xfId="48654"/>
    <cellStyle name="Percent 2 3 2 7 4 3" xfId="48655"/>
    <cellStyle name="Percent 2 3 2 7 5" xfId="48656"/>
    <cellStyle name="Percent 2 3 2 7 6" xfId="48657"/>
    <cellStyle name="Percent 2 3 2 8" xfId="48658"/>
    <cellStyle name="Percent 2 3 2 8 2" xfId="48659"/>
    <cellStyle name="Percent 2 3 2 8 2 2" xfId="48660"/>
    <cellStyle name="Percent 2 3 2 8 2 3" xfId="48661"/>
    <cellStyle name="Percent 2 3 2 8 3" xfId="48662"/>
    <cellStyle name="Percent 2 3 2 8 3 2" xfId="48663"/>
    <cellStyle name="Percent 2 3 2 8 3 3" xfId="48664"/>
    <cellStyle name="Percent 2 3 2 8 4" xfId="48665"/>
    <cellStyle name="Percent 2 3 2 8 5" xfId="48666"/>
    <cellStyle name="Percent 2 3 2 9" xfId="48667"/>
    <cellStyle name="Percent 2 3 2 9 2" xfId="48668"/>
    <cellStyle name="Percent 2 3 2 9 3" xfId="48669"/>
    <cellStyle name="Percent 2 3 3" xfId="48670"/>
    <cellStyle name="Percent 2 3 3 10" xfId="48671"/>
    <cellStyle name="Percent 2 3 3 2" xfId="48672"/>
    <cellStyle name="Percent 2 3 3 2 2" xfId="48673"/>
    <cellStyle name="Percent 2 3 3 2 2 2" xfId="48674"/>
    <cellStyle name="Percent 2 3 3 2 2 2 2" xfId="48675"/>
    <cellStyle name="Percent 2 3 3 2 2 2 2 2" xfId="48676"/>
    <cellStyle name="Percent 2 3 3 2 2 2 2 2 2" xfId="48677"/>
    <cellStyle name="Percent 2 3 3 2 2 2 2 2 3" xfId="48678"/>
    <cellStyle name="Percent 2 3 3 2 2 2 2 3" xfId="48679"/>
    <cellStyle name="Percent 2 3 3 2 2 2 2 3 2" xfId="48680"/>
    <cellStyle name="Percent 2 3 3 2 2 2 2 3 3" xfId="48681"/>
    <cellStyle name="Percent 2 3 3 2 2 2 2 4" xfId="48682"/>
    <cellStyle name="Percent 2 3 3 2 2 2 2 5" xfId="48683"/>
    <cellStyle name="Percent 2 3 3 2 2 2 3" xfId="48684"/>
    <cellStyle name="Percent 2 3 3 2 2 2 3 2" xfId="48685"/>
    <cellStyle name="Percent 2 3 3 2 2 2 3 3" xfId="48686"/>
    <cellStyle name="Percent 2 3 3 2 2 2 4" xfId="48687"/>
    <cellStyle name="Percent 2 3 3 2 2 2 4 2" xfId="48688"/>
    <cellStyle name="Percent 2 3 3 2 2 2 4 3" xfId="48689"/>
    <cellStyle name="Percent 2 3 3 2 2 2 5" xfId="48690"/>
    <cellStyle name="Percent 2 3 3 2 2 2 6" xfId="48691"/>
    <cellStyle name="Percent 2 3 3 2 2 3" xfId="48692"/>
    <cellStyle name="Percent 2 3 3 2 2 3 2" xfId="48693"/>
    <cellStyle name="Percent 2 3 3 2 2 3 2 2" xfId="48694"/>
    <cellStyle name="Percent 2 3 3 2 2 3 2 2 2" xfId="48695"/>
    <cellStyle name="Percent 2 3 3 2 2 3 2 2 3" xfId="48696"/>
    <cellStyle name="Percent 2 3 3 2 2 3 2 3" xfId="48697"/>
    <cellStyle name="Percent 2 3 3 2 2 3 2 3 2" xfId="48698"/>
    <cellStyle name="Percent 2 3 3 2 2 3 2 3 3" xfId="48699"/>
    <cellStyle name="Percent 2 3 3 2 2 3 2 4" xfId="48700"/>
    <cellStyle name="Percent 2 3 3 2 2 3 2 5" xfId="48701"/>
    <cellStyle name="Percent 2 3 3 2 2 3 3" xfId="48702"/>
    <cellStyle name="Percent 2 3 3 2 2 3 3 2" xfId="48703"/>
    <cellStyle name="Percent 2 3 3 2 2 3 3 3" xfId="48704"/>
    <cellStyle name="Percent 2 3 3 2 2 3 4" xfId="48705"/>
    <cellStyle name="Percent 2 3 3 2 2 3 4 2" xfId="48706"/>
    <cellStyle name="Percent 2 3 3 2 2 3 4 3" xfId="48707"/>
    <cellStyle name="Percent 2 3 3 2 2 3 5" xfId="48708"/>
    <cellStyle name="Percent 2 3 3 2 2 3 6" xfId="48709"/>
    <cellStyle name="Percent 2 3 3 2 2 4" xfId="48710"/>
    <cellStyle name="Percent 2 3 3 2 2 4 2" xfId="48711"/>
    <cellStyle name="Percent 2 3 3 2 2 4 2 2" xfId="48712"/>
    <cellStyle name="Percent 2 3 3 2 2 4 2 3" xfId="48713"/>
    <cellStyle name="Percent 2 3 3 2 2 4 3" xfId="48714"/>
    <cellStyle name="Percent 2 3 3 2 2 4 3 2" xfId="48715"/>
    <cellStyle name="Percent 2 3 3 2 2 4 3 3" xfId="48716"/>
    <cellStyle name="Percent 2 3 3 2 2 4 4" xfId="48717"/>
    <cellStyle name="Percent 2 3 3 2 2 4 5" xfId="48718"/>
    <cellStyle name="Percent 2 3 3 2 2 5" xfId="48719"/>
    <cellStyle name="Percent 2 3 3 2 2 5 2" xfId="48720"/>
    <cellStyle name="Percent 2 3 3 2 2 5 3" xfId="48721"/>
    <cellStyle name="Percent 2 3 3 2 2 6" xfId="48722"/>
    <cellStyle name="Percent 2 3 3 2 2 6 2" xfId="48723"/>
    <cellStyle name="Percent 2 3 3 2 2 6 3" xfId="48724"/>
    <cellStyle name="Percent 2 3 3 2 2 7" xfId="48725"/>
    <cellStyle name="Percent 2 3 3 2 2 8" xfId="48726"/>
    <cellStyle name="Percent 2 3 3 2 3" xfId="48727"/>
    <cellStyle name="Percent 2 3 3 2 3 2" xfId="48728"/>
    <cellStyle name="Percent 2 3 3 2 3 2 2" xfId="48729"/>
    <cellStyle name="Percent 2 3 3 2 3 2 2 2" xfId="48730"/>
    <cellStyle name="Percent 2 3 3 2 3 2 2 3" xfId="48731"/>
    <cellStyle name="Percent 2 3 3 2 3 2 3" xfId="48732"/>
    <cellStyle name="Percent 2 3 3 2 3 2 3 2" xfId="48733"/>
    <cellStyle name="Percent 2 3 3 2 3 2 3 3" xfId="48734"/>
    <cellStyle name="Percent 2 3 3 2 3 2 4" xfId="48735"/>
    <cellStyle name="Percent 2 3 3 2 3 2 5" xfId="48736"/>
    <cellStyle name="Percent 2 3 3 2 3 3" xfId="48737"/>
    <cellStyle name="Percent 2 3 3 2 3 3 2" xfId="48738"/>
    <cellStyle name="Percent 2 3 3 2 3 3 3" xfId="48739"/>
    <cellStyle name="Percent 2 3 3 2 3 4" xfId="48740"/>
    <cellStyle name="Percent 2 3 3 2 3 4 2" xfId="48741"/>
    <cellStyle name="Percent 2 3 3 2 3 4 3" xfId="48742"/>
    <cellStyle name="Percent 2 3 3 2 3 5" xfId="48743"/>
    <cellStyle name="Percent 2 3 3 2 3 6" xfId="48744"/>
    <cellStyle name="Percent 2 3 3 2 4" xfId="48745"/>
    <cellStyle name="Percent 2 3 3 2 4 2" xfId="48746"/>
    <cellStyle name="Percent 2 3 3 2 4 2 2" xfId="48747"/>
    <cellStyle name="Percent 2 3 3 2 4 2 2 2" xfId="48748"/>
    <cellStyle name="Percent 2 3 3 2 4 2 2 3" xfId="48749"/>
    <cellStyle name="Percent 2 3 3 2 4 2 3" xfId="48750"/>
    <cellStyle name="Percent 2 3 3 2 4 2 3 2" xfId="48751"/>
    <cellStyle name="Percent 2 3 3 2 4 2 3 3" xfId="48752"/>
    <cellStyle name="Percent 2 3 3 2 4 2 4" xfId="48753"/>
    <cellStyle name="Percent 2 3 3 2 4 2 5" xfId="48754"/>
    <cellStyle name="Percent 2 3 3 2 4 3" xfId="48755"/>
    <cellStyle name="Percent 2 3 3 2 4 3 2" xfId="48756"/>
    <cellStyle name="Percent 2 3 3 2 4 3 3" xfId="48757"/>
    <cellStyle name="Percent 2 3 3 2 4 4" xfId="48758"/>
    <cellStyle name="Percent 2 3 3 2 4 4 2" xfId="48759"/>
    <cellStyle name="Percent 2 3 3 2 4 4 3" xfId="48760"/>
    <cellStyle name="Percent 2 3 3 2 4 5" xfId="48761"/>
    <cellStyle name="Percent 2 3 3 2 4 6" xfId="48762"/>
    <cellStyle name="Percent 2 3 3 2 5" xfId="48763"/>
    <cellStyle name="Percent 2 3 3 2 5 2" xfId="48764"/>
    <cellStyle name="Percent 2 3 3 2 5 2 2" xfId="48765"/>
    <cellStyle name="Percent 2 3 3 2 5 2 3" xfId="48766"/>
    <cellStyle name="Percent 2 3 3 2 5 3" xfId="48767"/>
    <cellStyle name="Percent 2 3 3 2 5 3 2" xfId="48768"/>
    <cellStyle name="Percent 2 3 3 2 5 3 3" xfId="48769"/>
    <cellStyle name="Percent 2 3 3 2 5 4" xfId="48770"/>
    <cellStyle name="Percent 2 3 3 2 5 5" xfId="48771"/>
    <cellStyle name="Percent 2 3 3 2 6" xfId="48772"/>
    <cellStyle name="Percent 2 3 3 2 6 2" xfId="48773"/>
    <cellStyle name="Percent 2 3 3 2 6 3" xfId="48774"/>
    <cellStyle name="Percent 2 3 3 2 7" xfId="48775"/>
    <cellStyle name="Percent 2 3 3 2 7 2" xfId="48776"/>
    <cellStyle name="Percent 2 3 3 2 7 3" xfId="48777"/>
    <cellStyle name="Percent 2 3 3 2 8" xfId="48778"/>
    <cellStyle name="Percent 2 3 3 2 9" xfId="48779"/>
    <cellStyle name="Percent 2 3 3 3" xfId="48780"/>
    <cellStyle name="Percent 2 3 3 3 2" xfId="48781"/>
    <cellStyle name="Percent 2 3 3 3 2 2" xfId="48782"/>
    <cellStyle name="Percent 2 3 3 3 2 2 2" xfId="48783"/>
    <cellStyle name="Percent 2 3 3 3 2 2 2 2" xfId="48784"/>
    <cellStyle name="Percent 2 3 3 3 2 2 2 3" xfId="48785"/>
    <cellStyle name="Percent 2 3 3 3 2 2 3" xfId="48786"/>
    <cellStyle name="Percent 2 3 3 3 2 2 3 2" xfId="48787"/>
    <cellStyle name="Percent 2 3 3 3 2 2 3 3" xfId="48788"/>
    <cellStyle name="Percent 2 3 3 3 2 2 4" xfId="48789"/>
    <cellStyle name="Percent 2 3 3 3 2 2 5" xfId="48790"/>
    <cellStyle name="Percent 2 3 3 3 2 3" xfId="48791"/>
    <cellStyle name="Percent 2 3 3 3 2 3 2" xfId="48792"/>
    <cellStyle name="Percent 2 3 3 3 2 3 3" xfId="48793"/>
    <cellStyle name="Percent 2 3 3 3 2 4" xfId="48794"/>
    <cellStyle name="Percent 2 3 3 3 2 4 2" xfId="48795"/>
    <cellStyle name="Percent 2 3 3 3 2 4 3" xfId="48796"/>
    <cellStyle name="Percent 2 3 3 3 2 5" xfId="48797"/>
    <cellStyle name="Percent 2 3 3 3 2 6" xfId="48798"/>
    <cellStyle name="Percent 2 3 3 3 3" xfId="48799"/>
    <cellStyle name="Percent 2 3 3 3 3 2" xfId="48800"/>
    <cellStyle name="Percent 2 3 3 3 3 2 2" xfId="48801"/>
    <cellStyle name="Percent 2 3 3 3 3 2 2 2" xfId="48802"/>
    <cellStyle name="Percent 2 3 3 3 3 2 2 3" xfId="48803"/>
    <cellStyle name="Percent 2 3 3 3 3 2 3" xfId="48804"/>
    <cellStyle name="Percent 2 3 3 3 3 2 3 2" xfId="48805"/>
    <cellStyle name="Percent 2 3 3 3 3 2 3 3" xfId="48806"/>
    <cellStyle name="Percent 2 3 3 3 3 2 4" xfId="48807"/>
    <cellStyle name="Percent 2 3 3 3 3 2 5" xfId="48808"/>
    <cellStyle name="Percent 2 3 3 3 3 3" xfId="48809"/>
    <cellStyle name="Percent 2 3 3 3 3 3 2" xfId="48810"/>
    <cellStyle name="Percent 2 3 3 3 3 3 3" xfId="48811"/>
    <cellStyle name="Percent 2 3 3 3 3 4" xfId="48812"/>
    <cellStyle name="Percent 2 3 3 3 3 4 2" xfId="48813"/>
    <cellStyle name="Percent 2 3 3 3 3 4 3" xfId="48814"/>
    <cellStyle name="Percent 2 3 3 3 3 5" xfId="48815"/>
    <cellStyle name="Percent 2 3 3 3 3 6" xfId="48816"/>
    <cellStyle name="Percent 2 3 3 3 4" xfId="48817"/>
    <cellStyle name="Percent 2 3 3 3 4 2" xfId="48818"/>
    <cellStyle name="Percent 2 3 3 3 4 2 2" xfId="48819"/>
    <cellStyle name="Percent 2 3 3 3 4 2 3" xfId="48820"/>
    <cellStyle name="Percent 2 3 3 3 4 3" xfId="48821"/>
    <cellStyle name="Percent 2 3 3 3 4 3 2" xfId="48822"/>
    <cellStyle name="Percent 2 3 3 3 4 3 3" xfId="48823"/>
    <cellStyle name="Percent 2 3 3 3 4 4" xfId="48824"/>
    <cellStyle name="Percent 2 3 3 3 4 5" xfId="48825"/>
    <cellStyle name="Percent 2 3 3 3 5" xfId="48826"/>
    <cellStyle name="Percent 2 3 3 3 5 2" xfId="48827"/>
    <cellStyle name="Percent 2 3 3 3 5 3" xfId="48828"/>
    <cellStyle name="Percent 2 3 3 3 6" xfId="48829"/>
    <cellStyle name="Percent 2 3 3 3 6 2" xfId="48830"/>
    <cellStyle name="Percent 2 3 3 3 6 3" xfId="48831"/>
    <cellStyle name="Percent 2 3 3 3 7" xfId="48832"/>
    <cellStyle name="Percent 2 3 3 3 8" xfId="48833"/>
    <cellStyle name="Percent 2 3 3 4" xfId="48834"/>
    <cellStyle name="Percent 2 3 3 4 2" xfId="48835"/>
    <cellStyle name="Percent 2 3 3 4 2 2" xfId="48836"/>
    <cellStyle name="Percent 2 3 3 4 2 2 2" xfId="48837"/>
    <cellStyle name="Percent 2 3 3 4 2 2 3" xfId="48838"/>
    <cellStyle name="Percent 2 3 3 4 2 3" xfId="48839"/>
    <cellStyle name="Percent 2 3 3 4 2 3 2" xfId="48840"/>
    <cellStyle name="Percent 2 3 3 4 2 3 3" xfId="48841"/>
    <cellStyle name="Percent 2 3 3 4 2 4" xfId="48842"/>
    <cellStyle name="Percent 2 3 3 4 2 5" xfId="48843"/>
    <cellStyle name="Percent 2 3 3 4 3" xfId="48844"/>
    <cellStyle name="Percent 2 3 3 4 3 2" xfId="48845"/>
    <cellStyle name="Percent 2 3 3 4 3 3" xfId="48846"/>
    <cellStyle name="Percent 2 3 3 4 4" xfId="48847"/>
    <cellStyle name="Percent 2 3 3 4 4 2" xfId="48848"/>
    <cellStyle name="Percent 2 3 3 4 4 3" xfId="48849"/>
    <cellStyle name="Percent 2 3 3 4 5" xfId="48850"/>
    <cellStyle name="Percent 2 3 3 4 6" xfId="48851"/>
    <cellStyle name="Percent 2 3 3 5" xfId="48852"/>
    <cellStyle name="Percent 2 3 3 5 2" xfId="48853"/>
    <cellStyle name="Percent 2 3 3 5 2 2" xfId="48854"/>
    <cellStyle name="Percent 2 3 3 5 2 2 2" xfId="48855"/>
    <cellStyle name="Percent 2 3 3 5 2 2 3" xfId="48856"/>
    <cellStyle name="Percent 2 3 3 5 2 3" xfId="48857"/>
    <cellStyle name="Percent 2 3 3 5 2 3 2" xfId="48858"/>
    <cellStyle name="Percent 2 3 3 5 2 3 3" xfId="48859"/>
    <cellStyle name="Percent 2 3 3 5 2 4" xfId="48860"/>
    <cellStyle name="Percent 2 3 3 5 2 5" xfId="48861"/>
    <cellStyle name="Percent 2 3 3 5 3" xfId="48862"/>
    <cellStyle name="Percent 2 3 3 5 3 2" xfId="48863"/>
    <cellStyle name="Percent 2 3 3 5 3 3" xfId="48864"/>
    <cellStyle name="Percent 2 3 3 5 4" xfId="48865"/>
    <cellStyle name="Percent 2 3 3 5 4 2" xfId="48866"/>
    <cellStyle name="Percent 2 3 3 5 4 3" xfId="48867"/>
    <cellStyle name="Percent 2 3 3 5 5" xfId="48868"/>
    <cellStyle name="Percent 2 3 3 5 6" xfId="48869"/>
    <cellStyle name="Percent 2 3 3 6" xfId="48870"/>
    <cellStyle name="Percent 2 3 3 6 2" xfId="48871"/>
    <cellStyle name="Percent 2 3 3 6 2 2" xfId="48872"/>
    <cellStyle name="Percent 2 3 3 6 2 3" xfId="48873"/>
    <cellStyle name="Percent 2 3 3 6 3" xfId="48874"/>
    <cellStyle name="Percent 2 3 3 6 3 2" xfId="48875"/>
    <cellStyle name="Percent 2 3 3 6 3 3" xfId="48876"/>
    <cellStyle name="Percent 2 3 3 6 4" xfId="48877"/>
    <cellStyle name="Percent 2 3 3 6 5" xfId="48878"/>
    <cellStyle name="Percent 2 3 3 7" xfId="48879"/>
    <cellStyle name="Percent 2 3 3 7 2" xfId="48880"/>
    <cellStyle name="Percent 2 3 3 7 3" xfId="48881"/>
    <cellStyle name="Percent 2 3 3 8" xfId="48882"/>
    <cellStyle name="Percent 2 3 3 8 2" xfId="48883"/>
    <cellStyle name="Percent 2 3 3 8 3" xfId="48884"/>
    <cellStyle name="Percent 2 3 3 9" xfId="48885"/>
    <cellStyle name="Percent 2 3 4" xfId="48886"/>
    <cellStyle name="Percent 2 3 4 10" xfId="48887"/>
    <cellStyle name="Percent 2 3 4 2" xfId="48888"/>
    <cellStyle name="Percent 2 3 4 2 2" xfId="48889"/>
    <cellStyle name="Percent 2 3 4 2 2 2" xfId="48890"/>
    <cellStyle name="Percent 2 3 4 2 2 2 2" xfId="48891"/>
    <cellStyle name="Percent 2 3 4 2 2 2 2 2" xfId="48892"/>
    <cellStyle name="Percent 2 3 4 2 2 2 2 2 2" xfId="48893"/>
    <cellStyle name="Percent 2 3 4 2 2 2 2 2 3" xfId="48894"/>
    <cellStyle name="Percent 2 3 4 2 2 2 2 3" xfId="48895"/>
    <cellStyle name="Percent 2 3 4 2 2 2 2 3 2" xfId="48896"/>
    <cellStyle name="Percent 2 3 4 2 2 2 2 3 3" xfId="48897"/>
    <cellStyle name="Percent 2 3 4 2 2 2 2 4" xfId="48898"/>
    <cellStyle name="Percent 2 3 4 2 2 2 2 5" xfId="48899"/>
    <cellStyle name="Percent 2 3 4 2 2 2 3" xfId="48900"/>
    <cellStyle name="Percent 2 3 4 2 2 2 3 2" xfId="48901"/>
    <cellStyle name="Percent 2 3 4 2 2 2 3 3" xfId="48902"/>
    <cellStyle name="Percent 2 3 4 2 2 2 4" xfId="48903"/>
    <cellStyle name="Percent 2 3 4 2 2 2 4 2" xfId="48904"/>
    <cellStyle name="Percent 2 3 4 2 2 2 4 3" xfId="48905"/>
    <cellStyle name="Percent 2 3 4 2 2 2 5" xfId="48906"/>
    <cellStyle name="Percent 2 3 4 2 2 2 6" xfId="48907"/>
    <cellStyle name="Percent 2 3 4 2 2 3" xfId="48908"/>
    <cellStyle name="Percent 2 3 4 2 2 3 2" xfId="48909"/>
    <cellStyle name="Percent 2 3 4 2 2 3 2 2" xfId="48910"/>
    <cellStyle name="Percent 2 3 4 2 2 3 2 2 2" xfId="48911"/>
    <cellStyle name="Percent 2 3 4 2 2 3 2 2 3" xfId="48912"/>
    <cellStyle name="Percent 2 3 4 2 2 3 2 3" xfId="48913"/>
    <cellStyle name="Percent 2 3 4 2 2 3 2 3 2" xfId="48914"/>
    <cellStyle name="Percent 2 3 4 2 2 3 2 3 3" xfId="48915"/>
    <cellStyle name="Percent 2 3 4 2 2 3 2 4" xfId="48916"/>
    <cellStyle name="Percent 2 3 4 2 2 3 2 5" xfId="48917"/>
    <cellStyle name="Percent 2 3 4 2 2 3 3" xfId="48918"/>
    <cellStyle name="Percent 2 3 4 2 2 3 3 2" xfId="48919"/>
    <cellStyle name="Percent 2 3 4 2 2 3 3 3" xfId="48920"/>
    <cellStyle name="Percent 2 3 4 2 2 3 4" xfId="48921"/>
    <cellStyle name="Percent 2 3 4 2 2 3 4 2" xfId="48922"/>
    <cellStyle name="Percent 2 3 4 2 2 3 4 3" xfId="48923"/>
    <cellStyle name="Percent 2 3 4 2 2 3 5" xfId="48924"/>
    <cellStyle name="Percent 2 3 4 2 2 3 6" xfId="48925"/>
    <cellStyle name="Percent 2 3 4 2 2 4" xfId="48926"/>
    <cellStyle name="Percent 2 3 4 2 2 4 2" xfId="48927"/>
    <cellStyle name="Percent 2 3 4 2 2 4 2 2" xfId="48928"/>
    <cellStyle name="Percent 2 3 4 2 2 4 2 3" xfId="48929"/>
    <cellStyle name="Percent 2 3 4 2 2 4 3" xfId="48930"/>
    <cellStyle name="Percent 2 3 4 2 2 4 3 2" xfId="48931"/>
    <cellStyle name="Percent 2 3 4 2 2 4 3 3" xfId="48932"/>
    <cellStyle name="Percent 2 3 4 2 2 4 4" xfId="48933"/>
    <cellStyle name="Percent 2 3 4 2 2 4 5" xfId="48934"/>
    <cellStyle name="Percent 2 3 4 2 2 5" xfId="48935"/>
    <cellStyle name="Percent 2 3 4 2 2 5 2" xfId="48936"/>
    <cellStyle name="Percent 2 3 4 2 2 5 3" xfId="48937"/>
    <cellStyle name="Percent 2 3 4 2 2 6" xfId="48938"/>
    <cellStyle name="Percent 2 3 4 2 2 6 2" xfId="48939"/>
    <cellStyle name="Percent 2 3 4 2 2 6 3" xfId="48940"/>
    <cellStyle name="Percent 2 3 4 2 2 7" xfId="48941"/>
    <cellStyle name="Percent 2 3 4 2 2 8" xfId="48942"/>
    <cellStyle name="Percent 2 3 4 2 3" xfId="48943"/>
    <cellStyle name="Percent 2 3 4 2 3 2" xfId="48944"/>
    <cellStyle name="Percent 2 3 4 2 3 2 2" xfId="48945"/>
    <cellStyle name="Percent 2 3 4 2 3 2 2 2" xfId="48946"/>
    <cellStyle name="Percent 2 3 4 2 3 2 2 3" xfId="48947"/>
    <cellStyle name="Percent 2 3 4 2 3 2 3" xfId="48948"/>
    <cellStyle name="Percent 2 3 4 2 3 2 3 2" xfId="48949"/>
    <cellStyle name="Percent 2 3 4 2 3 2 3 3" xfId="48950"/>
    <cellStyle name="Percent 2 3 4 2 3 2 4" xfId="48951"/>
    <cellStyle name="Percent 2 3 4 2 3 2 5" xfId="48952"/>
    <cellStyle name="Percent 2 3 4 2 3 3" xfId="48953"/>
    <cellStyle name="Percent 2 3 4 2 3 3 2" xfId="48954"/>
    <cellStyle name="Percent 2 3 4 2 3 3 3" xfId="48955"/>
    <cellStyle name="Percent 2 3 4 2 3 4" xfId="48956"/>
    <cellStyle name="Percent 2 3 4 2 3 4 2" xfId="48957"/>
    <cellStyle name="Percent 2 3 4 2 3 4 3" xfId="48958"/>
    <cellStyle name="Percent 2 3 4 2 3 5" xfId="48959"/>
    <cellStyle name="Percent 2 3 4 2 3 6" xfId="48960"/>
    <cellStyle name="Percent 2 3 4 2 4" xfId="48961"/>
    <cellStyle name="Percent 2 3 4 2 4 2" xfId="48962"/>
    <cellStyle name="Percent 2 3 4 2 4 2 2" xfId="48963"/>
    <cellStyle name="Percent 2 3 4 2 4 2 2 2" xfId="48964"/>
    <cellStyle name="Percent 2 3 4 2 4 2 2 3" xfId="48965"/>
    <cellStyle name="Percent 2 3 4 2 4 2 3" xfId="48966"/>
    <cellStyle name="Percent 2 3 4 2 4 2 3 2" xfId="48967"/>
    <cellStyle name="Percent 2 3 4 2 4 2 3 3" xfId="48968"/>
    <cellStyle name="Percent 2 3 4 2 4 2 4" xfId="48969"/>
    <cellStyle name="Percent 2 3 4 2 4 2 5" xfId="48970"/>
    <cellStyle name="Percent 2 3 4 2 4 3" xfId="48971"/>
    <cellStyle name="Percent 2 3 4 2 4 3 2" xfId="48972"/>
    <cellStyle name="Percent 2 3 4 2 4 3 3" xfId="48973"/>
    <cellStyle name="Percent 2 3 4 2 4 4" xfId="48974"/>
    <cellStyle name="Percent 2 3 4 2 4 4 2" xfId="48975"/>
    <cellStyle name="Percent 2 3 4 2 4 4 3" xfId="48976"/>
    <cellStyle name="Percent 2 3 4 2 4 5" xfId="48977"/>
    <cellStyle name="Percent 2 3 4 2 4 6" xfId="48978"/>
    <cellStyle name="Percent 2 3 4 2 5" xfId="48979"/>
    <cellStyle name="Percent 2 3 4 2 5 2" xfId="48980"/>
    <cellStyle name="Percent 2 3 4 2 5 2 2" xfId="48981"/>
    <cellStyle name="Percent 2 3 4 2 5 2 3" xfId="48982"/>
    <cellStyle name="Percent 2 3 4 2 5 3" xfId="48983"/>
    <cellStyle name="Percent 2 3 4 2 5 3 2" xfId="48984"/>
    <cellStyle name="Percent 2 3 4 2 5 3 3" xfId="48985"/>
    <cellStyle name="Percent 2 3 4 2 5 4" xfId="48986"/>
    <cellStyle name="Percent 2 3 4 2 5 5" xfId="48987"/>
    <cellStyle name="Percent 2 3 4 2 6" xfId="48988"/>
    <cellStyle name="Percent 2 3 4 2 6 2" xfId="48989"/>
    <cellStyle name="Percent 2 3 4 2 6 3" xfId="48990"/>
    <cellStyle name="Percent 2 3 4 2 7" xfId="48991"/>
    <cellStyle name="Percent 2 3 4 2 7 2" xfId="48992"/>
    <cellStyle name="Percent 2 3 4 2 7 3" xfId="48993"/>
    <cellStyle name="Percent 2 3 4 2 8" xfId="48994"/>
    <cellStyle name="Percent 2 3 4 2 9" xfId="48995"/>
    <cellStyle name="Percent 2 3 4 3" xfId="48996"/>
    <cellStyle name="Percent 2 3 4 3 2" xfId="48997"/>
    <cellStyle name="Percent 2 3 4 3 2 2" xfId="48998"/>
    <cellStyle name="Percent 2 3 4 3 2 2 2" xfId="48999"/>
    <cellStyle name="Percent 2 3 4 3 2 2 2 2" xfId="49000"/>
    <cellStyle name="Percent 2 3 4 3 2 2 2 3" xfId="49001"/>
    <cellStyle name="Percent 2 3 4 3 2 2 3" xfId="49002"/>
    <cellStyle name="Percent 2 3 4 3 2 2 3 2" xfId="49003"/>
    <cellStyle name="Percent 2 3 4 3 2 2 3 3" xfId="49004"/>
    <cellStyle name="Percent 2 3 4 3 2 2 4" xfId="49005"/>
    <cellStyle name="Percent 2 3 4 3 2 2 5" xfId="49006"/>
    <cellStyle name="Percent 2 3 4 3 2 3" xfId="49007"/>
    <cellStyle name="Percent 2 3 4 3 2 3 2" xfId="49008"/>
    <cellStyle name="Percent 2 3 4 3 2 3 3" xfId="49009"/>
    <cellStyle name="Percent 2 3 4 3 2 4" xfId="49010"/>
    <cellStyle name="Percent 2 3 4 3 2 4 2" xfId="49011"/>
    <cellStyle name="Percent 2 3 4 3 2 4 3" xfId="49012"/>
    <cellStyle name="Percent 2 3 4 3 2 5" xfId="49013"/>
    <cellStyle name="Percent 2 3 4 3 2 6" xfId="49014"/>
    <cellStyle name="Percent 2 3 4 3 3" xfId="49015"/>
    <cellStyle name="Percent 2 3 4 3 3 2" xfId="49016"/>
    <cellStyle name="Percent 2 3 4 3 3 2 2" xfId="49017"/>
    <cellStyle name="Percent 2 3 4 3 3 2 2 2" xfId="49018"/>
    <cellStyle name="Percent 2 3 4 3 3 2 2 3" xfId="49019"/>
    <cellStyle name="Percent 2 3 4 3 3 2 3" xfId="49020"/>
    <cellStyle name="Percent 2 3 4 3 3 2 3 2" xfId="49021"/>
    <cellStyle name="Percent 2 3 4 3 3 2 3 3" xfId="49022"/>
    <cellStyle name="Percent 2 3 4 3 3 2 4" xfId="49023"/>
    <cellStyle name="Percent 2 3 4 3 3 2 5" xfId="49024"/>
    <cellStyle name="Percent 2 3 4 3 3 3" xfId="49025"/>
    <cellStyle name="Percent 2 3 4 3 3 3 2" xfId="49026"/>
    <cellStyle name="Percent 2 3 4 3 3 3 3" xfId="49027"/>
    <cellStyle name="Percent 2 3 4 3 3 4" xfId="49028"/>
    <cellStyle name="Percent 2 3 4 3 3 4 2" xfId="49029"/>
    <cellStyle name="Percent 2 3 4 3 3 4 3" xfId="49030"/>
    <cellStyle name="Percent 2 3 4 3 3 5" xfId="49031"/>
    <cellStyle name="Percent 2 3 4 3 3 6" xfId="49032"/>
    <cellStyle name="Percent 2 3 4 3 4" xfId="49033"/>
    <cellStyle name="Percent 2 3 4 3 4 2" xfId="49034"/>
    <cellStyle name="Percent 2 3 4 3 4 2 2" xfId="49035"/>
    <cellStyle name="Percent 2 3 4 3 4 2 3" xfId="49036"/>
    <cellStyle name="Percent 2 3 4 3 4 3" xfId="49037"/>
    <cellStyle name="Percent 2 3 4 3 4 3 2" xfId="49038"/>
    <cellStyle name="Percent 2 3 4 3 4 3 3" xfId="49039"/>
    <cellStyle name="Percent 2 3 4 3 4 4" xfId="49040"/>
    <cellStyle name="Percent 2 3 4 3 4 5" xfId="49041"/>
    <cellStyle name="Percent 2 3 4 3 5" xfId="49042"/>
    <cellStyle name="Percent 2 3 4 3 5 2" xfId="49043"/>
    <cellStyle name="Percent 2 3 4 3 5 3" xfId="49044"/>
    <cellStyle name="Percent 2 3 4 3 6" xfId="49045"/>
    <cellStyle name="Percent 2 3 4 3 6 2" xfId="49046"/>
    <cellStyle name="Percent 2 3 4 3 6 3" xfId="49047"/>
    <cellStyle name="Percent 2 3 4 3 7" xfId="49048"/>
    <cellStyle name="Percent 2 3 4 3 8" xfId="49049"/>
    <cellStyle name="Percent 2 3 4 4" xfId="49050"/>
    <cellStyle name="Percent 2 3 4 4 2" xfId="49051"/>
    <cellStyle name="Percent 2 3 4 4 2 2" xfId="49052"/>
    <cellStyle name="Percent 2 3 4 4 2 2 2" xfId="49053"/>
    <cellStyle name="Percent 2 3 4 4 2 2 3" xfId="49054"/>
    <cellStyle name="Percent 2 3 4 4 2 3" xfId="49055"/>
    <cellStyle name="Percent 2 3 4 4 2 3 2" xfId="49056"/>
    <cellStyle name="Percent 2 3 4 4 2 3 3" xfId="49057"/>
    <cellStyle name="Percent 2 3 4 4 2 4" xfId="49058"/>
    <cellStyle name="Percent 2 3 4 4 2 5" xfId="49059"/>
    <cellStyle name="Percent 2 3 4 4 3" xfId="49060"/>
    <cellStyle name="Percent 2 3 4 4 3 2" xfId="49061"/>
    <cellStyle name="Percent 2 3 4 4 3 3" xfId="49062"/>
    <cellStyle name="Percent 2 3 4 4 4" xfId="49063"/>
    <cellStyle name="Percent 2 3 4 4 4 2" xfId="49064"/>
    <cellStyle name="Percent 2 3 4 4 4 3" xfId="49065"/>
    <cellStyle name="Percent 2 3 4 4 5" xfId="49066"/>
    <cellStyle name="Percent 2 3 4 4 6" xfId="49067"/>
    <cellStyle name="Percent 2 3 4 5" xfId="49068"/>
    <cellStyle name="Percent 2 3 4 5 2" xfId="49069"/>
    <cellStyle name="Percent 2 3 4 5 2 2" xfId="49070"/>
    <cellStyle name="Percent 2 3 4 5 2 2 2" xfId="49071"/>
    <cellStyle name="Percent 2 3 4 5 2 2 3" xfId="49072"/>
    <cellStyle name="Percent 2 3 4 5 2 3" xfId="49073"/>
    <cellStyle name="Percent 2 3 4 5 2 3 2" xfId="49074"/>
    <cellStyle name="Percent 2 3 4 5 2 3 3" xfId="49075"/>
    <cellStyle name="Percent 2 3 4 5 2 4" xfId="49076"/>
    <cellStyle name="Percent 2 3 4 5 2 5" xfId="49077"/>
    <cellStyle name="Percent 2 3 4 5 3" xfId="49078"/>
    <cellStyle name="Percent 2 3 4 5 3 2" xfId="49079"/>
    <cellStyle name="Percent 2 3 4 5 3 3" xfId="49080"/>
    <cellStyle name="Percent 2 3 4 5 4" xfId="49081"/>
    <cellStyle name="Percent 2 3 4 5 4 2" xfId="49082"/>
    <cellStyle name="Percent 2 3 4 5 4 3" xfId="49083"/>
    <cellStyle name="Percent 2 3 4 5 5" xfId="49084"/>
    <cellStyle name="Percent 2 3 4 5 6" xfId="49085"/>
    <cellStyle name="Percent 2 3 4 6" xfId="49086"/>
    <cellStyle name="Percent 2 3 4 6 2" xfId="49087"/>
    <cellStyle name="Percent 2 3 4 6 2 2" xfId="49088"/>
    <cellStyle name="Percent 2 3 4 6 2 3" xfId="49089"/>
    <cellStyle name="Percent 2 3 4 6 3" xfId="49090"/>
    <cellStyle name="Percent 2 3 4 6 3 2" xfId="49091"/>
    <cellStyle name="Percent 2 3 4 6 3 3" xfId="49092"/>
    <cellStyle name="Percent 2 3 4 6 4" xfId="49093"/>
    <cellStyle name="Percent 2 3 4 6 5" xfId="49094"/>
    <cellStyle name="Percent 2 3 4 7" xfId="49095"/>
    <cellStyle name="Percent 2 3 4 7 2" xfId="49096"/>
    <cellStyle name="Percent 2 3 4 7 3" xfId="49097"/>
    <cellStyle name="Percent 2 3 4 8" xfId="49098"/>
    <cellStyle name="Percent 2 3 4 8 2" xfId="49099"/>
    <cellStyle name="Percent 2 3 4 8 3" xfId="49100"/>
    <cellStyle name="Percent 2 3 4 9" xfId="49101"/>
    <cellStyle name="Percent 2 3 5" xfId="49102"/>
    <cellStyle name="Percent 2 3 5 2" xfId="49103"/>
    <cellStyle name="Percent 2 3 5 2 2" xfId="49104"/>
    <cellStyle name="Percent 2 3 5 2 2 2" xfId="49105"/>
    <cellStyle name="Percent 2 3 5 2 2 2 2" xfId="49106"/>
    <cellStyle name="Percent 2 3 5 2 2 2 2 2" xfId="49107"/>
    <cellStyle name="Percent 2 3 5 2 2 2 2 3" xfId="49108"/>
    <cellStyle name="Percent 2 3 5 2 2 2 3" xfId="49109"/>
    <cellStyle name="Percent 2 3 5 2 2 2 3 2" xfId="49110"/>
    <cellStyle name="Percent 2 3 5 2 2 2 3 3" xfId="49111"/>
    <cellStyle name="Percent 2 3 5 2 2 2 4" xfId="49112"/>
    <cellStyle name="Percent 2 3 5 2 2 2 5" xfId="49113"/>
    <cellStyle name="Percent 2 3 5 2 2 3" xfId="49114"/>
    <cellStyle name="Percent 2 3 5 2 2 3 2" xfId="49115"/>
    <cellStyle name="Percent 2 3 5 2 2 3 3" xfId="49116"/>
    <cellStyle name="Percent 2 3 5 2 2 4" xfId="49117"/>
    <cellStyle name="Percent 2 3 5 2 2 4 2" xfId="49118"/>
    <cellStyle name="Percent 2 3 5 2 2 4 3" xfId="49119"/>
    <cellStyle name="Percent 2 3 5 2 2 5" xfId="49120"/>
    <cellStyle name="Percent 2 3 5 2 2 6" xfId="49121"/>
    <cellStyle name="Percent 2 3 5 2 3" xfId="49122"/>
    <cellStyle name="Percent 2 3 5 2 3 2" xfId="49123"/>
    <cellStyle name="Percent 2 3 5 2 3 2 2" xfId="49124"/>
    <cellStyle name="Percent 2 3 5 2 3 2 2 2" xfId="49125"/>
    <cellStyle name="Percent 2 3 5 2 3 2 2 3" xfId="49126"/>
    <cellStyle name="Percent 2 3 5 2 3 2 3" xfId="49127"/>
    <cellStyle name="Percent 2 3 5 2 3 2 3 2" xfId="49128"/>
    <cellStyle name="Percent 2 3 5 2 3 2 3 3" xfId="49129"/>
    <cellStyle name="Percent 2 3 5 2 3 2 4" xfId="49130"/>
    <cellStyle name="Percent 2 3 5 2 3 2 5" xfId="49131"/>
    <cellStyle name="Percent 2 3 5 2 3 3" xfId="49132"/>
    <cellStyle name="Percent 2 3 5 2 3 3 2" xfId="49133"/>
    <cellStyle name="Percent 2 3 5 2 3 3 3" xfId="49134"/>
    <cellStyle name="Percent 2 3 5 2 3 4" xfId="49135"/>
    <cellStyle name="Percent 2 3 5 2 3 4 2" xfId="49136"/>
    <cellStyle name="Percent 2 3 5 2 3 4 3" xfId="49137"/>
    <cellStyle name="Percent 2 3 5 2 3 5" xfId="49138"/>
    <cellStyle name="Percent 2 3 5 2 3 6" xfId="49139"/>
    <cellStyle name="Percent 2 3 5 2 4" xfId="49140"/>
    <cellStyle name="Percent 2 3 5 2 4 2" xfId="49141"/>
    <cellStyle name="Percent 2 3 5 2 4 2 2" xfId="49142"/>
    <cellStyle name="Percent 2 3 5 2 4 2 3" xfId="49143"/>
    <cellStyle name="Percent 2 3 5 2 4 3" xfId="49144"/>
    <cellStyle name="Percent 2 3 5 2 4 3 2" xfId="49145"/>
    <cellStyle name="Percent 2 3 5 2 4 3 3" xfId="49146"/>
    <cellStyle name="Percent 2 3 5 2 4 4" xfId="49147"/>
    <cellStyle name="Percent 2 3 5 2 4 5" xfId="49148"/>
    <cellStyle name="Percent 2 3 5 2 5" xfId="49149"/>
    <cellStyle name="Percent 2 3 5 2 5 2" xfId="49150"/>
    <cellStyle name="Percent 2 3 5 2 5 3" xfId="49151"/>
    <cellStyle name="Percent 2 3 5 2 6" xfId="49152"/>
    <cellStyle name="Percent 2 3 5 2 6 2" xfId="49153"/>
    <cellStyle name="Percent 2 3 5 2 6 3" xfId="49154"/>
    <cellStyle name="Percent 2 3 5 2 7" xfId="49155"/>
    <cellStyle name="Percent 2 3 5 2 8" xfId="49156"/>
    <cellStyle name="Percent 2 3 5 3" xfId="49157"/>
    <cellStyle name="Percent 2 3 5 3 2" xfId="49158"/>
    <cellStyle name="Percent 2 3 5 3 2 2" xfId="49159"/>
    <cellStyle name="Percent 2 3 5 3 2 2 2" xfId="49160"/>
    <cellStyle name="Percent 2 3 5 3 2 2 3" xfId="49161"/>
    <cellStyle name="Percent 2 3 5 3 2 3" xfId="49162"/>
    <cellStyle name="Percent 2 3 5 3 2 3 2" xfId="49163"/>
    <cellStyle name="Percent 2 3 5 3 2 3 3" xfId="49164"/>
    <cellStyle name="Percent 2 3 5 3 2 4" xfId="49165"/>
    <cellStyle name="Percent 2 3 5 3 2 5" xfId="49166"/>
    <cellStyle name="Percent 2 3 5 3 3" xfId="49167"/>
    <cellStyle name="Percent 2 3 5 3 3 2" xfId="49168"/>
    <cellStyle name="Percent 2 3 5 3 3 3" xfId="49169"/>
    <cellStyle name="Percent 2 3 5 3 4" xfId="49170"/>
    <cellStyle name="Percent 2 3 5 3 4 2" xfId="49171"/>
    <cellStyle name="Percent 2 3 5 3 4 3" xfId="49172"/>
    <cellStyle name="Percent 2 3 5 3 5" xfId="49173"/>
    <cellStyle name="Percent 2 3 5 3 6" xfId="49174"/>
    <cellStyle name="Percent 2 3 5 4" xfId="49175"/>
    <cellStyle name="Percent 2 3 5 4 2" xfId="49176"/>
    <cellStyle name="Percent 2 3 5 4 2 2" xfId="49177"/>
    <cellStyle name="Percent 2 3 5 4 2 2 2" xfId="49178"/>
    <cellStyle name="Percent 2 3 5 4 2 2 3" xfId="49179"/>
    <cellStyle name="Percent 2 3 5 4 2 3" xfId="49180"/>
    <cellStyle name="Percent 2 3 5 4 2 3 2" xfId="49181"/>
    <cellStyle name="Percent 2 3 5 4 2 3 3" xfId="49182"/>
    <cellStyle name="Percent 2 3 5 4 2 4" xfId="49183"/>
    <cellStyle name="Percent 2 3 5 4 2 5" xfId="49184"/>
    <cellStyle name="Percent 2 3 5 4 3" xfId="49185"/>
    <cellStyle name="Percent 2 3 5 4 3 2" xfId="49186"/>
    <cellStyle name="Percent 2 3 5 4 3 3" xfId="49187"/>
    <cellStyle name="Percent 2 3 5 4 4" xfId="49188"/>
    <cellStyle name="Percent 2 3 5 4 4 2" xfId="49189"/>
    <cellStyle name="Percent 2 3 5 4 4 3" xfId="49190"/>
    <cellStyle name="Percent 2 3 5 4 5" xfId="49191"/>
    <cellStyle name="Percent 2 3 5 4 6" xfId="49192"/>
    <cellStyle name="Percent 2 3 5 5" xfId="49193"/>
    <cellStyle name="Percent 2 3 5 5 2" xfId="49194"/>
    <cellStyle name="Percent 2 3 5 5 2 2" xfId="49195"/>
    <cellStyle name="Percent 2 3 5 5 2 3" xfId="49196"/>
    <cellStyle name="Percent 2 3 5 5 3" xfId="49197"/>
    <cellStyle name="Percent 2 3 5 5 3 2" xfId="49198"/>
    <cellStyle name="Percent 2 3 5 5 3 3" xfId="49199"/>
    <cellStyle name="Percent 2 3 5 5 4" xfId="49200"/>
    <cellStyle name="Percent 2 3 5 5 5" xfId="49201"/>
    <cellStyle name="Percent 2 3 5 6" xfId="49202"/>
    <cellStyle name="Percent 2 3 5 6 2" xfId="49203"/>
    <cellStyle name="Percent 2 3 5 6 3" xfId="49204"/>
    <cellStyle name="Percent 2 3 5 7" xfId="49205"/>
    <cellStyle name="Percent 2 3 5 7 2" xfId="49206"/>
    <cellStyle name="Percent 2 3 5 7 3" xfId="49207"/>
    <cellStyle name="Percent 2 3 5 8" xfId="49208"/>
    <cellStyle name="Percent 2 3 5 9" xfId="49209"/>
    <cellStyle name="Percent 2 3 6" xfId="49210"/>
    <cellStyle name="Percent 2 3 6 2" xfId="49211"/>
    <cellStyle name="Percent 2 3 6 2 2" xfId="49212"/>
    <cellStyle name="Percent 2 3 6 2 2 2" xfId="49213"/>
    <cellStyle name="Percent 2 3 6 2 2 2 2" xfId="49214"/>
    <cellStyle name="Percent 2 3 6 2 2 2 3" xfId="49215"/>
    <cellStyle name="Percent 2 3 6 2 2 3" xfId="49216"/>
    <cellStyle name="Percent 2 3 6 2 2 3 2" xfId="49217"/>
    <cellStyle name="Percent 2 3 6 2 2 3 3" xfId="49218"/>
    <cellStyle name="Percent 2 3 6 2 2 4" xfId="49219"/>
    <cellStyle name="Percent 2 3 6 2 2 5" xfId="49220"/>
    <cellStyle name="Percent 2 3 6 2 3" xfId="49221"/>
    <cellStyle name="Percent 2 3 6 2 3 2" xfId="49222"/>
    <cellStyle name="Percent 2 3 6 2 3 3" xfId="49223"/>
    <cellStyle name="Percent 2 3 6 2 4" xfId="49224"/>
    <cellStyle name="Percent 2 3 6 2 4 2" xfId="49225"/>
    <cellStyle name="Percent 2 3 6 2 4 3" xfId="49226"/>
    <cellStyle name="Percent 2 3 6 2 5" xfId="49227"/>
    <cellStyle name="Percent 2 3 6 2 6" xfId="49228"/>
    <cellStyle name="Percent 2 3 6 3" xfId="49229"/>
    <cellStyle name="Percent 2 3 6 3 2" xfId="49230"/>
    <cellStyle name="Percent 2 3 6 3 2 2" xfId="49231"/>
    <cellStyle name="Percent 2 3 6 3 2 2 2" xfId="49232"/>
    <cellStyle name="Percent 2 3 6 3 2 2 3" xfId="49233"/>
    <cellStyle name="Percent 2 3 6 3 2 3" xfId="49234"/>
    <cellStyle name="Percent 2 3 6 3 2 3 2" xfId="49235"/>
    <cellStyle name="Percent 2 3 6 3 2 3 3" xfId="49236"/>
    <cellStyle name="Percent 2 3 6 3 2 4" xfId="49237"/>
    <cellStyle name="Percent 2 3 6 3 2 5" xfId="49238"/>
    <cellStyle name="Percent 2 3 6 3 3" xfId="49239"/>
    <cellStyle name="Percent 2 3 6 3 3 2" xfId="49240"/>
    <cellStyle name="Percent 2 3 6 3 3 3" xfId="49241"/>
    <cellStyle name="Percent 2 3 6 3 4" xfId="49242"/>
    <cellStyle name="Percent 2 3 6 3 4 2" xfId="49243"/>
    <cellStyle name="Percent 2 3 6 3 4 3" xfId="49244"/>
    <cellStyle name="Percent 2 3 6 3 5" xfId="49245"/>
    <cellStyle name="Percent 2 3 6 3 6" xfId="49246"/>
    <cellStyle name="Percent 2 3 6 4" xfId="49247"/>
    <cellStyle name="Percent 2 3 6 4 2" xfId="49248"/>
    <cellStyle name="Percent 2 3 6 4 2 2" xfId="49249"/>
    <cellStyle name="Percent 2 3 6 4 2 3" xfId="49250"/>
    <cellStyle name="Percent 2 3 6 4 3" xfId="49251"/>
    <cellStyle name="Percent 2 3 6 4 3 2" xfId="49252"/>
    <cellStyle name="Percent 2 3 6 4 3 3" xfId="49253"/>
    <cellStyle name="Percent 2 3 6 4 4" xfId="49254"/>
    <cellStyle name="Percent 2 3 6 4 5" xfId="49255"/>
    <cellStyle name="Percent 2 3 6 5" xfId="49256"/>
    <cellStyle name="Percent 2 3 6 5 2" xfId="49257"/>
    <cellStyle name="Percent 2 3 6 5 3" xfId="49258"/>
    <cellStyle name="Percent 2 3 6 6" xfId="49259"/>
    <cellStyle name="Percent 2 3 6 6 2" xfId="49260"/>
    <cellStyle name="Percent 2 3 6 6 3" xfId="49261"/>
    <cellStyle name="Percent 2 3 6 7" xfId="49262"/>
    <cellStyle name="Percent 2 3 6 8" xfId="49263"/>
    <cellStyle name="Percent 2 3 7" xfId="49264"/>
    <cellStyle name="Percent 2 3 7 2" xfId="49265"/>
    <cellStyle name="Percent 2 3 7 2 2" xfId="49266"/>
    <cellStyle name="Percent 2 3 7 2 2 2" xfId="49267"/>
    <cellStyle name="Percent 2 3 7 2 2 3" xfId="49268"/>
    <cellStyle name="Percent 2 3 7 2 3" xfId="49269"/>
    <cellStyle name="Percent 2 3 7 2 3 2" xfId="49270"/>
    <cellStyle name="Percent 2 3 7 2 3 3" xfId="49271"/>
    <cellStyle name="Percent 2 3 7 2 4" xfId="49272"/>
    <cellStyle name="Percent 2 3 7 2 5" xfId="49273"/>
    <cellStyle name="Percent 2 3 7 3" xfId="49274"/>
    <cellStyle name="Percent 2 3 7 3 2" xfId="49275"/>
    <cellStyle name="Percent 2 3 7 3 3" xfId="49276"/>
    <cellStyle name="Percent 2 3 7 4" xfId="49277"/>
    <cellStyle name="Percent 2 3 7 4 2" xfId="49278"/>
    <cellStyle name="Percent 2 3 7 4 3" xfId="49279"/>
    <cellStyle name="Percent 2 3 7 5" xfId="49280"/>
    <cellStyle name="Percent 2 3 7 6" xfId="49281"/>
    <cellStyle name="Percent 2 3 8" xfId="49282"/>
    <cellStyle name="Percent 2 3 8 2" xfId="49283"/>
    <cellStyle name="Percent 2 3 8 2 2" xfId="49284"/>
    <cellStyle name="Percent 2 3 8 2 2 2" xfId="49285"/>
    <cellStyle name="Percent 2 3 8 2 2 3" xfId="49286"/>
    <cellStyle name="Percent 2 3 8 2 3" xfId="49287"/>
    <cellStyle name="Percent 2 3 8 2 3 2" xfId="49288"/>
    <cellStyle name="Percent 2 3 8 2 3 3" xfId="49289"/>
    <cellStyle name="Percent 2 3 8 2 4" xfId="49290"/>
    <cellStyle name="Percent 2 3 8 2 5" xfId="49291"/>
    <cellStyle name="Percent 2 3 8 3" xfId="49292"/>
    <cellStyle name="Percent 2 3 8 3 2" xfId="49293"/>
    <cellStyle name="Percent 2 3 8 3 3" xfId="49294"/>
    <cellStyle name="Percent 2 3 8 4" xfId="49295"/>
    <cellStyle name="Percent 2 3 8 4 2" xfId="49296"/>
    <cellStyle name="Percent 2 3 8 4 3" xfId="49297"/>
    <cellStyle name="Percent 2 3 8 5" xfId="49298"/>
    <cellStyle name="Percent 2 3 8 6" xfId="49299"/>
    <cellStyle name="Percent 2 3 9" xfId="49300"/>
    <cellStyle name="Percent 2 3 9 2" xfId="49301"/>
    <cellStyle name="Percent 2 3 9 2 2" xfId="49302"/>
    <cellStyle name="Percent 2 3 9 2 3" xfId="49303"/>
    <cellStyle name="Percent 2 3 9 3" xfId="49304"/>
    <cellStyle name="Percent 2 3 9 3 2" xfId="49305"/>
    <cellStyle name="Percent 2 3 9 3 3" xfId="49306"/>
    <cellStyle name="Percent 2 3 9 4" xfId="49307"/>
    <cellStyle name="Percent 2 3 9 5" xfId="49308"/>
    <cellStyle name="Percent 2 4" xfId="49309"/>
    <cellStyle name="Percent 2 4 10" xfId="49310"/>
    <cellStyle name="Percent 2 4 10 2" xfId="49311"/>
    <cellStyle name="Percent 2 4 10 3" xfId="49312"/>
    <cellStyle name="Percent 2 4 11" xfId="49313"/>
    <cellStyle name="Percent 2 4 12" xfId="49314"/>
    <cellStyle name="Percent 2 4 13" xfId="49315"/>
    <cellStyle name="Percent 2 4 14" xfId="49316"/>
    <cellStyle name="Percent 2 4 2" xfId="49317"/>
    <cellStyle name="Percent 2 4 2 10" xfId="49318"/>
    <cellStyle name="Percent 2 4 2 11" xfId="49319"/>
    <cellStyle name="Percent 2 4 2 12" xfId="49320"/>
    <cellStyle name="Percent 2 4 2 2" xfId="49321"/>
    <cellStyle name="Percent 2 4 2 2 2" xfId="49322"/>
    <cellStyle name="Percent 2 4 2 2 2 2" xfId="49323"/>
    <cellStyle name="Percent 2 4 2 2 2 2 2" xfId="49324"/>
    <cellStyle name="Percent 2 4 2 2 2 2 2 2" xfId="49325"/>
    <cellStyle name="Percent 2 4 2 2 2 2 2 2 2" xfId="49326"/>
    <cellStyle name="Percent 2 4 2 2 2 2 2 2 3" xfId="49327"/>
    <cellStyle name="Percent 2 4 2 2 2 2 2 3" xfId="49328"/>
    <cellStyle name="Percent 2 4 2 2 2 2 2 3 2" xfId="49329"/>
    <cellStyle name="Percent 2 4 2 2 2 2 2 3 3" xfId="49330"/>
    <cellStyle name="Percent 2 4 2 2 2 2 2 4" xfId="49331"/>
    <cellStyle name="Percent 2 4 2 2 2 2 2 5" xfId="49332"/>
    <cellStyle name="Percent 2 4 2 2 2 2 3" xfId="49333"/>
    <cellStyle name="Percent 2 4 2 2 2 2 3 2" xfId="49334"/>
    <cellStyle name="Percent 2 4 2 2 2 2 3 3" xfId="49335"/>
    <cellStyle name="Percent 2 4 2 2 2 2 4" xfId="49336"/>
    <cellStyle name="Percent 2 4 2 2 2 2 4 2" xfId="49337"/>
    <cellStyle name="Percent 2 4 2 2 2 2 4 3" xfId="49338"/>
    <cellStyle name="Percent 2 4 2 2 2 2 5" xfId="49339"/>
    <cellStyle name="Percent 2 4 2 2 2 2 6" xfId="49340"/>
    <cellStyle name="Percent 2 4 2 2 2 3" xfId="49341"/>
    <cellStyle name="Percent 2 4 2 2 2 3 2" xfId="49342"/>
    <cellStyle name="Percent 2 4 2 2 2 3 2 2" xfId="49343"/>
    <cellStyle name="Percent 2 4 2 2 2 3 2 2 2" xfId="49344"/>
    <cellStyle name="Percent 2 4 2 2 2 3 2 2 3" xfId="49345"/>
    <cellStyle name="Percent 2 4 2 2 2 3 2 3" xfId="49346"/>
    <cellStyle name="Percent 2 4 2 2 2 3 2 3 2" xfId="49347"/>
    <cellStyle name="Percent 2 4 2 2 2 3 2 3 3" xfId="49348"/>
    <cellStyle name="Percent 2 4 2 2 2 3 2 4" xfId="49349"/>
    <cellStyle name="Percent 2 4 2 2 2 3 2 5" xfId="49350"/>
    <cellStyle name="Percent 2 4 2 2 2 3 3" xfId="49351"/>
    <cellStyle name="Percent 2 4 2 2 2 3 3 2" xfId="49352"/>
    <cellStyle name="Percent 2 4 2 2 2 3 3 3" xfId="49353"/>
    <cellStyle name="Percent 2 4 2 2 2 3 4" xfId="49354"/>
    <cellStyle name="Percent 2 4 2 2 2 3 4 2" xfId="49355"/>
    <cellStyle name="Percent 2 4 2 2 2 3 4 3" xfId="49356"/>
    <cellStyle name="Percent 2 4 2 2 2 3 5" xfId="49357"/>
    <cellStyle name="Percent 2 4 2 2 2 3 6" xfId="49358"/>
    <cellStyle name="Percent 2 4 2 2 2 4" xfId="49359"/>
    <cellStyle name="Percent 2 4 2 2 2 4 2" xfId="49360"/>
    <cellStyle name="Percent 2 4 2 2 2 4 2 2" xfId="49361"/>
    <cellStyle name="Percent 2 4 2 2 2 4 2 3" xfId="49362"/>
    <cellStyle name="Percent 2 4 2 2 2 4 3" xfId="49363"/>
    <cellStyle name="Percent 2 4 2 2 2 4 3 2" xfId="49364"/>
    <cellStyle name="Percent 2 4 2 2 2 4 3 3" xfId="49365"/>
    <cellStyle name="Percent 2 4 2 2 2 4 4" xfId="49366"/>
    <cellStyle name="Percent 2 4 2 2 2 4 5" xfId="49367"/>
    <cellStyle name="Percent 2 4 2 2 2 5" xfId="49368"/>
    <cellStyle name="Percent 2 4 2 2 2 5 2" xfId="49369"/>
    <cellStyle name="Percent 2 4 2 2 2 5 3" xfId="49370"/>
    <cellStyle name="Percent 2 4 2 2 2 6" xfId="49371"/>
    <cellStyle name="Percent 2 4 2 2 2 6 2" xfId="49372"/>
    <cellStyle name="Percent 2 4 2 2 2 6 3" xfId="49373"/>
    <cellStyle name="Percent 2 4 2 2 2 7" xfId="49374"/>
    <cellStyle name="Percent 2 4 2 2 2 8" xfId="49375"/>
    <cellStyle name="Percent 2 4 2 2 3" xfId="49376"/>
    <cellStyle name="Percent 2 4 2 2 3 2" xfId="49377"/>
    <cellStyle name="Percent 2 4 2 2 3 2 2" xfId="49378"/>
    <cellStyle name="Percent 2 4 2 2 3 2 2 2" xfId="49379"/>
    <cellStyle name="Percent 2 4 2 2 3 2 2 3" xfId="49380"/>
    <cellStyle name="Percent 2 4 2 2 3 2 3" xfId="49381"/>
    <cellStyle name="Percent 2 4 2 2 3 2 3 2" xfId="49382"/>
    <cellStyle name="Percent 2 4 2 2 3 2 3 3" xfId="49383"/>
    <cellStyle name="Percent 2 4 2 2 3 2 4" xfId="49384"/>
    <cellStyle name="Percent 2 4 2 2 3 2 5" xfId="49385"/>
    <cellStyle name="Percent 2 4 2 2 3 3" xfId="49386"/>
    <cellStyle name="Percent 2 4 2 2 3 3 2" xfId="49387"/>
    <cellStyle name="Percent 2 4 2 2 3 3 3" xfId="49388"/>
    <cellStyle name="Percent 2 4 2 2 3 4" xfId="49389"/>
    <cellStyle name="Percent 2 4 2 2 3 4 2" xfId="49390"/>
    <cellStyle name="Percent 2 4 2 2 3 4 3" xfId="49391"/>
    <cellStyle name="Percent 2 4 2 2 3 5" xfId="49392"/>
    <cellStyle name="Percent 2 4 2 2 3 6" xfId="49393"/>
    <cellStyle name="Percent 2 4 2 2 4" xfId="49394"/>
    <cellStyle name="Percent 2 4 2 2 4 2" xfId="49395"/>
    <cellStyle name="Percent 2 4 2 2 4 2 2" xfId="49396"/>
    <cellStyle name="Percent 2 4 2 2 4 2 2 2" xfId="49397"/>
    <cellStyle name="Percent 2 4 2 2 4 2 2 3" xfId="49398"/>
    <cellStyle name="Percent 2 4 2 2 4 2 3" xfId="49399"/>
    <cellStyle name="Percent 2 4 2 2 4 2 3 2" xfId="49400"/>
    <cellStyle name="Percent 2 4 2 2 4 2 3 3" xfId="49401"/>
    <cellStyle name="Percent 2 4 2 2 4 2 4" xfId="49402"/>
    <cellStyle name="Percent 2 4 2 2 4 2 5" xfId="49403"/>
    <cellStyle name="Percent 2 4 2 2 4 3" xfId="49404"/>
    <cellStyle name="Percent 2 4 2 2 4 3 2" xfId="49405"/>
    <cellStyle name="Percent 2 4 2 2 4 3 3" xfId="49406"/>
    <cellStyle name="Percent 2 4 2 2 4 4" xfId="49407"/>
    <cellStyle name="Percent 2 4 2 2 4 4 2" xfId="49408"/>
    <cellStyle name="Percent 2 4 2 2 4 4 3" xfId="49409"/>
    <cellStyle name="Percent 2 4 2 2 4 5" xfId="49410"/>
    <cellStyle name="Percent 2 4 2 2 4 6" xfId="49411"/>
    <cellStyle name="Percent 2 4 2 2 5" xfId="49412"/>
    <cellStyle name="Percent 2 4 2 2 5 2" xfId="49413"/>
    <cellStyle name="Percent 2 4 2 2 5 2 2" xfId="49414"/>
    <cellStyle name="Percent 2 4 2 2 5 2 3" xfId="49415"/>
    <cellStyle name="Percent 2 4 2 2 5 3" xfId="49416"/>
    <cellStyle name="Percent 2 4 2 2 5 3 2" xfId="49417"/>
    <cellStyle name="Percent 2 4 2 2 5 3 3" xfId="49418"/>
    <cellStyle name="Percent 2 4 2 2 5 4" xfId="49419"/>
    <cellStyle name="Percent 2 4 2 2 5 5" xfId="49420"/>
    <cellStyle name="Percent 2 4 2 2 6" xfId="49421"/>
    <cellStyle name="Percent 2 4 2 2 6 2" xfId="49422"/>
    <cellStyle name="Percent 2 4 2 2 6 3" xfId="49423"/>
    <cellStyle name="Percent 2 4 2 2 7" xfId="49424"/>
    <cellStyle name="Percent 2 4 2 2 7 2" xfId="49425"/>
    <cellStyle name="Percent 2 4 2 2 7 3" xfId="49426"/>
    <cellStyle name="Percent 2 4 2 2 8" xfId="49427"/>
    <cellStyle name="Percent 2 4 2 2 9" xfId="49428"/>
    <cellStyle name="Percent 2 4 2 3" xfId="49429"/>
    <cellStyle name="Percent 2 4 2 3 2" xfId="49430"/>
    <cellStyle name="Percent 2 4 2 3 2 2" xfId="49431"/>
    <cellStyle name="Percent 2 4 2 3 2 2 2" xfId="49432"/>
    <cellStyle name="Percent 2 4 2 3 2 2 2 2" xfId="49433"/>
    <cellStyle name="Percent 2 4 2 3 2 2 2 3" xfId="49434"/>
    <cellStyle name="Percent 2 4 2 3 2 2 3" xfId="49435"/>
    <cellStyle name="Percent 2 4 2 3 2 2 3 2" xfId="49436"/>
    <cellStyle name="Percent 2 4 2 3 2 2 3 3" xfId="49437"/>
    <cellStyle name="Percent 2 4 2 3 2 2 4" xfId="49438"/>
    <cellStyle name="Percent 2 4 2 3 2 2 5" xfId="49439"/>
    <cellStyle name="Percent 2 4 2 3 2 3" xfId="49440"/>
    <cellStyle name="Percent 2 4 2 3 2 3 2" xfId="49441"/>
    <cellStyle name="Percent 2 4 2 3 2 3 3" xfId="49442"/>
    <cellStyle name="Percent 2 4 2 3 2 4" xfId="49443"/>
    <cellStyle name="Percent 2 4 2 3 2 4 2" xfId="49444"/>
    <cellStyle name="Percent 2 4 2 3 2 4 3" xfId="49445"/>
    <cellStyle name="Percent 2 4 2 3 2 5" xfId="49446"/>
    <cellStyle name="Percent 2 4 2 3 2 6" xfId="49447"/>
    <cellStyle name="Percent 2 4 2 3 3" xfId="49448"/>
    <cellStyle name="Percent 2 4 2 3 3 2" xfId="49449"/>
    <cellStyle name="Percent 2 4 2 3 3 2 2" xfId="49450"/>
    <cellStyle name="Percent 2 4 2 3 3 2 2 2" xfId="49451"/>
    <cellStyle name="Percent 2 4 2 3 3 2 2 3" xfId="49452"/>
    <cellStyle name="Percent 2 4 2 3 3 2 3" xfId="49453"/>
    <cellStyle name="Percent 2 4 2 3 3 2 3 2" xfId="49454"/>
    <cellStyle name="Percent 2 4 2 3 3 2 3 3" xfId="49455"/>
    <cellStyle name="Percent 2 4 2 3 3 2 4" xfId="49456"/>
    <cellStyle name="Percent 2 4 2 3 3 2 5" xfId="49457"/>
    <cellStyle name="Percent 2 4 2 3 3 3" xfId="49458"/>
    <cellStyle name="Percent 2 4 2 3 3 3 2" xfId="49459"/>
    <cellStyle name="Percent 2 4 2 3 3 3 3" xfId="49460"/>
    <cellStyle name="Percent 2 4 2 3 3 4" xfId="49461"/>
    <cellStyle name="Percent 2 4 2 3 3 4 2" xfId="49462"/>
    <cellStyle name="Percent 2 4 2 3 3 4 3" xfId="49463"/>
    <cellStyle name="Percent 2 4 2 3 3 5" xfId="49464"/>
    <cellStyle name="Percent 2 4 2 3 3 6" xfId="49465"/>
    <cellStyle name="Percent 2 4 2 3 4" xfId="49466"/>
    <cellStyle name="Percent 2 4 2 3 4 2" xfId="49467"/>
    <cellStyle name="Percent 2 4 2 3 4 2 2" xfId="49468"/>
    <cellStyle name="Percent 2 4 2 3 4 2 3" xfId="49469"/>
    <cellStyle name="Percent 2 4 2 3 4 3" xfId="49470"/>
    <cellStyle name="Percent 2 4 2 3 4 3 2" xfId="49471"/>
    <cellStyle name="Percent 2 4 2 3 4 3 3" xfId="49472"/>
    <cellStyle name="Percent 2 4 2 3 4 4" xfId="49473"/>
    <cellStyle name="Percent 2 4 2 3 4 5" xfId="49474"/>
    <cellStyle name="Percent 2 4 2 3 5" xfId="49475"/>
    <cellStyle name="Percent 2 4 2 3 5 2" xfId="49476"/>
    <cellStyle name="Percent 2 4 2 3 5 3" xfId="49477"/>
    <cellStyle name="Percent 2 4 2 3 6" xfId="49478"/>
    <cellStyle name="Percent 2 4 2 3 6 2" xfId="49479"/>
    <cellStyle name="Percent 2 4 2 3 6 3" xfId="49480"/>
    <cellStyle name="Percent 2 4 2 3 7" xfId="49481"/>
    <cellStyle name="Percent 2 4 2 3 8" xfId="49482"/>
    <cellStyle name="Percent 2 4 2 4" xfId="49483"/>
    <cellStyle name="Percent 2 4 2 4 2" xfId="49484"/>
    <cellStyle name="Percent 2 4 2 4 2 2" xfId="49485"/>
    <cellStyle name="Percent 2 4 2 4 2 2 2" xfId="49486"/>
    <cellStyle name="Percent 2 4 2 4 2 2 3" xfId="49487"/>
    <cellStyle name="Percent 2 4 2 4 2 3" xfId="49488"/>
    <cellStyle name="Percent 2 4 2 4 2 3 2" xfId="49489"/>
    <cellStyle name="Percent 2 4 2 4 2 3 3" xfId="49490"/>
    <cellStyle name="Percent 2 4 2 4 2 4" xfId="49491"/>
    <cellStyle name="Percent 2 4 2 4 2 5" xfId="49492"/>
    <cellStyle name="Percent 2 4 2 4 3" xfId="49493"/>
    <cellStyle name="Percent 2 4 2 4 3 2" xfId="49494"/>
    <cellStyle name="Percent 2 4 2 4 3 3" xfId="49495"/>
    <cellStyle name="Percent 2 4 2 4 4" xfId="49496"/>
    <cellStyle name="Percent 2 4 2 4 4 2" xfId="49497"/>
    <cellStyle name="Percent 2 4 2 4 4 3" xfId="49498"/>
    <cellStyle name="Percent 2 4 2 4 5" xfId="49499"/>
    <cellStyle name="Percent 2 4 2 4 6" xfId="49500"/>
    <cellStyle name="Percent 2 4 2 5" xfId="49501"/>
    <cellStyle name="Percent 2 4 2 5 2" xfId="49502"/>
    <cellStyle name="Percent 2 4 2 5 2 2" xfId="49503"/>
    <cellStyle name="Percent 2 4 2 5 2 2 2" xfId="49504"/>
    <cellStyle name="Percent 2 4 2 5 2 2 3" xfId="49505"/>
    <cellStyle name="Percent 2 4 2 5 2 3" xfId="49506"/>
    <cellStyle name="Percent 2 4 2 5 2 3 2" xfId="49507"/>
    <cellStyle name="Percent 2 4 2 5 2 3 3" xfId="49508"/>
    <cellStyle name="Percent 2 4 2 5 2 4" xfId="49509"/>
    <cellStyle name="Percent 2 4 2 5 2 5" xfId="49510"/>
    <cellStyle name="Percent 2 4 2 5 3" xfId="49511"/>
    <cellStyle name="Percent 2 4 2 5 3 2" xfId="49512"/>
    <cellStyle name="Percent 2 4 2 5 3 3" xfId="49513"/>
    <cellStyle name="Percent 2 4 2 5 4" xfId="49514"/>
    <cellStyle name="Percent 2 4 2 5 4 2" xfId="49515"/>
    <cellStyle name="Percent 2 4 2 5 4 3" xfId="49516"/>
    <cellStyle name="Percent 2 4 2 5 5" xfId="49517"/>
    <cellStyle name="Percent 2 4 2 5 6" xfId="49518"/>
    <cellStyle name="Percent 2 4 2 6" xfId="49519"/>
    <cellStyle name="Percent 2 4 2 6 2" xfId="49520"/>
    <cellStyle name="Percent 2 4 2 6 2 2" xfId="49521"/>
    <cellStyle name="Percent 2 4 2 6 2 3" xfId="49522"/>
    <cellStyle name="Percent 2 4 2 6 3" xfId="49523"/>
    <cellStyle name="Percent 2 4 2 6 3 2" xfId="49524"/>
    <cellStyle name="Percent 2 4 2 6 3 3" xfId="49525"/>
    <cellStyle name="Percent 2 4 2 6 4" xfId="49526"/>
    <cellStyle name="Percent 2 4 2 6 5" xfId="49527"/>
    <cellStyle name="Percent 2 4 2 7" xfId="49528"/>
    <cellStyle name="Percent 2 4 2 7 2" xfId="49529"/>
    <cellStyle name="Percent 2 4 2 7 3" xfId="49530"/>
    <cellStyle name="Percent 2 4 2 8" xfId="49531"/>
    <cellStyle name="Percent 2 4 2 8 2" xfId="49532"/>
    <cellStyle name="Percent 2 4 2 8 3" xfId="49533"/>
    <cellStyle name="Percent 2 4 2 9" xfId="49534"/>
    <cellStyle name="Percent 2 4 3" xfId="49535"/>
    <cellStyle name="Percent 2 4 3 10" xfId="49536"/>
    <cellStyle name="Percent 2 4 3 2" xfId="49537"/>
    <cellStyle name="Percent 2 4 3 2 2" xfId="49538"/>
    <cellStyle name="Percent 2 4 3 2 2 2" xfId="49539"/>
    <cellStyle name="Percent 2 4 3 2 2 2 2" xfId="49540"/>
    <cellStyle name="Percent 2 4 3 2 2 2 2 2" xfId="49541"/>
    <cellStyle name="Percent 2 4 3 2 2 2 2 2 2" xfId="49542"/>
    <cellStyle name="Percent 2 4 3 2 2 2 2 2 3" xfId="49543"/>
    <cellStyle name="Percent 2 4 3 2 2 2 2 3" xfId="49544"/>
    <cellStyle name="Percent 2 4 3 2 2 2 2 3 2" xfId="49545"/>
    <cellStyle name="Percent 2 4 3 2 2 2 2 3 3" xfId="49546"/>
    <cellStyle name="Percent 2 4 3 2 2 2 2 4" xfId="49547"/>
    <cellStyle name="Percent 2 4 3 2 2 2 2 5" xfId="49548"/>
    <cellStyle name="Percent 2 4 3 2 2 2 3" xfId="49549"/>
    <cellStyle name="Percent 2 4 3 2 2 2 3 2" xfId="49550"/>
    <cellStyle name="Percent 2 4 3 2 2 2 3 3" xfId="49551"/>
    <cellStyle name="Percent 2 4 3 2 2 2 4" xfId="49552"/>
    <cellStyle name="Percent 2 4 3 2 2 2 4 2" xfId="49553"/>
    <cellStyle name="Percent 2 4 3 2 2 2 4 3" xfId="49554"/>
    <cellStyle name="Percent 2 4 3 2 2 2 5" xfId="49555"/>
    <cellStyle name="Percent 2 4 3 2 2 2 6" xfId="49556"/>
    <cellStyle name="Percent 2 4 3 2 2 3" xfId="49557"/>
    <cellStyle name="Percent 2 4 3 2 2 3 2" xfId="49558"/>
    <cellStyle name="Percent 2 4 3 2 2 3 2 2" xfId="49559"/>
    <cellStyle name="Percent 2 4 3 2 2 3 2 2 2" xfId="49560"/>
    <cellStyle name="Percent 2 4 3 2 2 3 2 2 3" xfId="49561"/>
    <cellStyle name="Percent 2 4 3 2 2 3 2 3" xfId="49562"/>
    <cellStyle name="Percent 2 4 3 2 2 3 2 3 2" xfId="49563"/>
    <cellStyle name="Percent 2 4 3 2 2 3 2 3 3" xfId="49564"/>
    <cellStyle name="Percent 2 4 3 2 2 3 2 4" xfId="49565"/>
    <cellStyle name="Percent 2 4 3 2 2 3 2 5" xfId="49566"/>
    <cellStyle name="Percent 2 4 3 2 2 3 3" xfId="49567"/>
    <cellStyle name="Percent 2 4 3 2 2 3 3 2" xfId="49568"/>
    <cellStyle name="Percent 2 4 3 2 2 3 3 3" xfId="49569"/>
    <cellStyle name="Percent 2 4 3 2 2 3 4" xfId="49570"/>
    <cellStyle name="Percent 2 4 3 2 2 3 4 2" xfId="49571"/>
    <cellStyle name="Percent 2 4 3 2 2 3 4 3" xfId="49572"/>
    <cellStyle name="Percent 2 4 3 2 2 3 5" xfId="49573"/>
    <cellStyle name="Percent 2 4 3 2 2 3 6" xfId="49574"/>
    <cellStyle name="Percent 2 4 3 2 2 4" xfId="49575"/>
    <cellStyle name="Percent 2 4 3 2 2 4 2" xfId="49576"/>
    <cellStyle name="Percent 2 4 3 2 2 4 2 2" xfId="49577"/>
    <cellStyle name="Percent 2 4 3 2 2 4 2 3" xfId="49578"/>
    <cellStyle name="Percent 2 4 3 2 2 4 3" xfId="49579"/>
    <cellStyle name="Percent 2 4 3 2 2 4 3 2" xfId="49580"/>
    <cellStyle name="Percent 2 4 3 2 2 4 3 3" xfId="49581"/>
    <cellStyle name="Percent 2 4 3 2 2 4 4" xfId="49582"/>
    <cellStyle name="Percent 2 4 3 2 2 4 5" xfId="49583"/>
    <cellStyle name="Percent 2 4 3 2 2 5" xfId="49584"/>
    <cellStyle name="Percent 2 4 3 2 2 5 2" xfId="49585"/>
    <cellStyle name="Percent 2 4 3 2 2 5 3" xfId="49586"/>
    <cellStyle name="Percent 2 4 3 2 2 6" xfId="49587"/>
    <cellStyle name="Percent 2 4 3 2 2 6 2" xfId="49588"/>
    <cellStyle name="Percent 2 4 3 2 2 6 3" xfId="49589"/>
    <cellStyle name="Percent 2 4 3 2 2 7" xfId="49590"/>
    <cellStyle name="Percent 2 4 3 2 2 8" xfId="49591"/>
    <cellStyle name="Percent 2 4 3 2 3" xfId="49592"/>
    <cellStyle name="Percent 2 4 3 2 3 2" xfId="49593"/>
    <cellStyle name="Percent 2 4 3 2 3 2 2" xfId="49594"/>
    <cellStyle name="Percent 2 4 3 2 3 2 2 2" xfId="49595"/>
    <cellStyle name="Percent 2 4 3 2 3 2 2 3" xfId="49596"/>
    <cellStyle name="Percent 2 4 3 2 3 2 3" xfId="49597"/>
    <cellStyle name="Percent 2 4 3 2 3 2 3 2" xfId="49598"/>
    <cellStyle name="Percent 2 4 3 2 3 2 3 3" xfId="49599"/>
    <cellStyle name="Percent 2 4 3 2 3 2 4" xfId="49600"/>
    <cellStyle name="Percent 2 4 3 2 3 2 5" xfId="49601"/>
    <cellStyle name="Percent 2 4 3 2 3 3" xfId="49602"/>
    <cellStyle name="Percent 2 4 3 2 3 3 2" xfId="49603"/>
    <cellStyle name="Percent 2 4 3 2 3 3 3" xfId="49604"/>
    <cellStyle name="Percent 2 4 3 2 3 4" xfId="49605"/>
    <cellStyle name="Percent 2 4 3 2 3 4 2" xfId="49606"/>
    <cellStyle name="Percent 2 4 3 2 3 4 3" xfId="49607"/>
    <cellStyle name="Percent 2 4 3 2 3 5" xfId="49608"/>
    <cellStyle name="Percent 2 4 3 2 3 6" xfId="49609"/>
    <cellStyle name="Percent 2 4 3 2 4" xfId="49610"/>
    <cellStyle name="Percent 2 4 3 2 4 2" xfId="49611"/>
    <cellStyle name="Percent 2 4 3 2 4 2 2" xfId="49612"/>
    <cellStyle name="Percent 2 4 3 2 4 2 2 2" xfId="49613"/>
    <cellStyle name="Percent 2 4 3 2 4 2 2 3" xfId="49614"/>
    <cellStyle name="Percent 2 4 3 2 4 2 3" xfId="49615"/>
    <cellStyle name="Percent 2 4 3 2 4 2 3 2" xfId="49616"/>
    <cellStyle name="Percent 2 4 3 2 4 2 3 3" xfId="49617"/>
    <cellStyle name="Percent 2 4 3 2 4 2 4" xfId="49618"/>
    <cellStyle name="Percent 2 4 3 2 4 2 5" xfId="49619"/>
    <cellStyle name="Percent 2 4 3 2 4 3" xfId="49620"/>
    <cellStyle name="Percent 2 4 3 2 4 3 2" xfId="49621"/>
    <cellStyle name="Percent 2 4 3 2 4 3 3" xfId="49622"/>
    <cellStyle name="Percent 2 4 3 2 4 4" xfId="49623"/>
    <cellStyle name="Percent 2 4 3 2 4 4 2" xfId="49624"/>
    <cellStyle name="Percent 2 4 3 2 4 4 3" xfId="49625"/>
    <cellStyle name="Percent 2 4 3 2 4 5" xfId="49626"/>
    <cellStyle name="Percent 2 4 3 2 4 6" xfId="49627"/>
    <cellStyle name="Percent 2 4 3 2 5" xfId="49628"/>
    <cellStyle name="Percent 2 4 3 2 5 2" xfId="49629"/>
    <cellStyle name="Percent 2 4 3 2 5 2 2" xfId="49630"/>
    <cellStyle name="Percent 2 4 3 2 5 2 3" xfId="49631"/>
    <cellStyle name="Percent 2 4 3 2 5 3" xfId="49632"/>
    <cellStyle name="Percent 2 4 3 2 5 3 2" xfId="49633"/>
    <cellStyle name="Percent 2 4 3 2 5 3 3" xfId="49634"/>
    <cellStyle name="Percent 2 4 3 2 5 4" xfId="49635"/>
    <cellStyle name="Percent 2 4 3 2 5 5" xfId="49636"/>
    <cellStyle name="Percent 2 4 3 2 6" xfId="49637"/>
    <cellStyle name="Percent 2 4 3 2 6 2" xfId="49638"/>
    <cellStyle name="Percent 2 4 3 2 6 3" xfId="49639"/>
    <cellStyle name="Percent 2 4 3 2 7" xfId="49640"/>
    <cellStyle name="Percent 2 4 3 2 7 2" xfId="49641"/>
    <cellStyle name="Percent 2 4 3 2 7 3" xfId="49642"/>
    <cellStyle name="Percent 2 4 3 2 8" xfId="49643"/>
    <cellStyle name="Percent 2 4 3 2 9" xfId="49644"/>
    <cellStyle name="Percent 2 4 3 3" xfId="49645"/>
    <cellStyle name="Percent 2 4 3 3 2" xfId="49646"/>
    <cellStyle name="Percent 2 4 3 3 2 2" xfId="49647"/>
    <cellStyle name="Percent 2 4 3 3 2 2 2" xfId="49648"/>
    <cellStyle name="Percent 2 4 3 3 2 2 2 2" xfId="49649"/>
    <cellStyle name="Percent 2 4 3 3 2 2 2 3" xfId="49650"/>
    <cellStyle name="Percent 2 4 3 3 2 2 3" xfId="49651"/>
    <cellStyle name="Percent 2 4 3 3 2 2 3 2" xfId="49652"/>
    <cellStyle name="Percent 2 4 3 3 2 2 3 3" xfId="49653"/>
    <cellStyle name="Percent 2 4 3 3 2 2 4" xfId="49654"/>
    <cellStyle name="Percent 2 4 3 3 2 2 5" xfId="49655"/>
    <cellStyle name="Percent 2 4 3 3 2 3" xfId="49656"/>
    <cellStyle name="Percent 2 4 3 3 2 3 2" xfId="49657"/>
    <cellStyle name="Percent 2 4 3 3 2 3 3" xfId="49658"/>
    <cellStyle name="Percent 2 4 3 3 2 4" xfId="49659"/>
    <cellStyle name="Percent 2 4 3 3 2 4 2" xfId="49660"/>
    <cellStyle name="Percent 2 4 3 3 2 4 3" xfId="49661"/>
    <cellStyle name="Percent 2 4 3 3 2 5" xfId="49662"/>
    <cellStyle name="Percent 2 4 3 3 2 6" xfId="49663"/>
    <cellStyle name="Percent 2 4 3 3 3" xfId="49664"/>
    <cellStyle name="Percent 2 4 3 3 3 2" xfId="49665"/>
    <cellStyle name="Percent 2 4 3 3 3 2 2" xfId="49666"/>
    <cellStyle name="Percent 2 4 3 3 3 2 2 2" xfId="49667"/>
    <cellStyle name="Percent 2 4 3 3 3 2 2 3" xfId="49668"/>
    <cellStyle name="Percent 2 4 3 3 3 2 3" xfId="49669"/>
    <cellStyle name="Percent 2 4 3 3 3 2 3 2" xfId="49670"/>
    <cellStyle name="Percent 2 4 3 3 3 2 3 3" xfId="49671"/>
    <cellStyle name="Percent 2 4 3 3 3 2 4" xfId="49672"/>
    <cellStyle name="Percent 2 4 3 3 3 2 5" xfId="49673"/>
    <cellStyle name="Percent 2 4 3 3 3 3" xfId="49674"/>
    <cellStyle name="Percent 2 4 3 3 3 3 2" xfId="49675"/>
    <cellStyle name="Percent 2 4 3 3 3 3 3" xfId="49676"/>
    <cellStyle name="Percent 2 4 3 3 3 4" xfId="49677"/>
    <cellStyle name="Percent 2 4 3 3 3 4 2" xfId="49678"/>
    <cellStyle name="Percent 2 4 3 3 3 4 3" xfId="49679"/>
    <cellStyle name="Percent 2 4 3 3 3 5" xfId="49680"/>
    <cellStyle name="Percent 2 4 3 3 3 6" xfId="49681"/>
    <cellStyle name="Percent 2 4 3 3 4" xfId="49682"/>
    <cellStyle name="Percent 2 4 3 3 4 2" xfId="49683"/>
    <cellStyle name="Percent 2 4 3 3 4 2 2" xfId="49684"/>
    <cellStyle name="Percent 2 4 3 3 4 2 3" xfId="49685"/>
    <cellStyle name="Percent 2 4 3 3 4 3" xfId="49686"/>
    <cellStyle name="Percent 2 4 3 3 4 3 2" xfId="49687"/>
    <cellStyle name="Percent 2 4 3 3 4 3 3" xfId="49688"/>
    <cellStyle name="Percent 2 4 3 3 4 4" xfId="49689"/>
    <cellStyle name="Percent 2 4 3 3 4 5" xfId="49690"/>
    <cellStyle name="Percent 2 4 3 3 5" xfId="49691"/>
    <cellStyle name="Percent 2 4 3 3 5 2" xfId="49692"/>
    <cellStyle name="Percent 2 4 3 3 5 3" xfId="49693"/>
    <cellStyle name="Percent 2 4 3 3 6" xfId="49694"/>
    <cellStyle name="Percent 2 4 3 3 6 2" xfId="49695"/>
    <cellStyle name="Percent 2 4 3 3 6 3" xfId="49696"/>
    <cellStyle name="Percent 2 4 3 3 7" xfId="49697"/>
    <cellStyle name="Percent 2 4 3 3 8" xfId="49698"/>
    <cellStyle name="Percent 2 4 3 4" xfId="49699"/>
    <cellStyle name="Percent 2 4 3 4 2" xfId="49700"/>
    <cellStyle name="Percent 2 4 3 4 2 2" xfId="49701"/>
    <cellStyle name="Percent 2 4 3 4 2 2 2" xfId="49702"/>
    <cellStyle name="Percent 2 4 3 4 2 2 3" xfId="49703"/>
    <cellStyle name="Percent 2 4 3 4 2 3" xfId="49704"/>
    <cellStyle name="Percent 2 4 3 4 2 3 2" xfId="49705"/>
    <cellStyle name="Percent 2 4 3 4 2 3 3" xfId="49706"/>
    <cellStyle name="Percent 2 4 3 4 2 4" xfId="49707"/>
    <cellStyle name="Percent 2 4 3 4 2 5" xfId="49708"/>
    <cellStyle name="Percent 2 4 3 4 3" xfId="49709"/>
    <cellStyle name="Percent 2 4 3 4 3 2" xfId="49710"/>
    <cellStyle name="Percent 2 4 3 4 3 3" xfId="49711"/>
    <cellStyle name="Percent 2 4 3 4 4" xfId="49712"/>
    <cellStyle name="Percent 2 4 3 4 4 2" xfId="49713"/>
    <cellStyle name="Percent 2 4 3 4 4 3" xfId="49714"/>
    <cellStyle name="Percent 2 4 3 4 5" xfId="49715"/>
    <cellStyle name="Percent 2 4 3 4 6" xfId="49716"/>
    <cellStyle name="Percent 2 4 3 5" xfId="49717"/>
    <cellStyle name="Percent 2 4 3 5 2" xfId="49718"/>
    <cellStyle name="Percent 2 4 3 5 2 2" xfId="49719"/>
    <cellStyle name="Percent 2 4 3 5 2 2 2" xfId="49720"/>
    <cellStyle name="Percent 2 4 3 5 2 2 3" xfId="49721"/>
    <cellStyle name="Percent 2 4 3 5 2 3" xfId="49722"/>
    <cellStyle name="Percent 2 4 3 5 2 3 2" xfId="49723"/>
    <cellStyle name="Percent 2 4 3 5 2 3 3" xfId="49724"/>
    <cellStyle name="Percent 2 4 3 5 2 4" xfId="49725"/>
    <cellStyle name="Percent 2 4 3 5 2 5" xfId="49726"/>
    <cellStyle name="Percent 2 4 3 5 3" xfId="49727"/>
    <cellStyle name="Percent 2 4 3 5 3 2" xfId="49728"/>
    <cellStyle name="Percent 2 4 3 5 3 3" xfId="49729"/>
    <cellStyle name="Percent 2 4 3 5 4" xfId="49730"/>
    <cellStyle name="Percent 2 4 3 5 4 2" xfId="49731"/>
    <cellStyle name="Percent 2 4 3 5 4 3" xfId="49732"/>
    <cellStyle name="Percent 2 4 3 5 5" xfId="49733"/>
    <cellStyle name="Percent 2 4 3 5 6" xfId="49734"/>
    <cellStyle name="Percent 2 4 3 6" xfId="49735"/>
    <cellStyle name="Percent 2 4 3 6 2" xfId="49736"/>
    <cellStyle name="Percent 2 4 3 6 2 2" xfId="49737"/>
    <cellStyle name="Percent 2 4 3 6 2 3" xfId="49738"/>
    <cellStyle name="Percent 2 4 3 6 3" xfId="49739"/>
    <cellStyle name="Percent 2 4 3 6 3 2" xfId="49740"/>
    <cellStyle name="Percent 2 4 3 6 3 3" xfId="49741"/>
    <cellStyle name="Percent 2 4 3 6 4" xfId="49742"/>
    <cellStyle name="Percent 2 4 3 6 5" xfId="49743"/>
    <cellStyle name="Percent 2 4 3 7" xfId="49744"/>
    <cellStyle name="Percent 2 4 3 7 2" xfId="49745"/>
    <cellStyle name="Percent 2 4 3 7 3" xfId="49746"/>
    <cellStyle name="Percent 2 4 3 8" xfId="49747"/>
    <cellStyle name="Percent 2 4 3 8 2" xfId="49748"/>
    <cellStyle name="Percent 2 4 3 8 3" xfId="49749"/>
    <cellStyle name="Percent 2 4 3 9" xfId="49750"/>
    <cellStyle name="Percent 2 4 4" xfId="49751"/>
    <cellStyle name="Percent 2 4 4 2" xfId="49752"/>
    <cellStyle name="Percent 2 4 4 2 2" xfId="49753"/>
    <cellStyle name="Percent 2 4 4 2 2 2" xfId="49754"/>
    <cellStyle name="Percent 2 4 4 2 2 2 2" xfId="49755"/>
    <cellStyle name="Percent 2 4 4 2 2 2 2 2" xfId="49756"/>
    <cellStyle name="Percent 2 4 4 2 2 2 2 3" xfId="49757"/>
    <cellStyle name="Percent 2 4 4 2 2 2 3" xfId="49758"/>
    <cellStyle name="Percent 2 4 4 2 2 2 3 2" xfId="49759"/>
    <cellStyle name="Percent 2 4 4 2 2 2 3 3" xfId="49760"/>
    <cellStyle name="Percent 2 4 4 2 2 2 4" xfId="49761"/>
    <cellStyle name="Percent 2 4 4 2 2 2 5" xfId="49762"/>
    <cellStyle name="Percent 2 4 4 2 2 3" xfId="49763"/>
    <cellStyle name="Percent 2 4 4 2 2 3 2" xfId="49764"/>
    <cellStyle name="Percent 2 4 4 2 2 3 3" xfId="49765"/>
    <cellStyle name="Percent 2 4 4 2 2 4" xfId="49766"/>
    <cellStyle name="Percent 2 4 4 2 2 4 2" xfId="49767"/>
    <cellStyle name="Percent 2 4 4 2 2 4 3" xfId="49768"/>
    <cellStyle name="Percent 2 4 4 2 2 5" xfId="49769"/>
    <cellStyle name="Percent 2 4 4 2 2 6" xfId="49770"/>
    <cellStyle name="Percent 2 4 4 2 3" xfId="49771"/>
    <cellStyle name="Percent 2 4 4 2 3 2" xfId="49772"/>
    <cellStyle name="Percent 2 4 4 2 3 2 2" xfId="49773"/>
    <cellStyle name="Percent 2 4 4 2 3 2 2 2" xfId="49774"/>
    <cellStyle name="Percent 2 4 4 2 3 2 2 3" xfId="49775"/>
    <cellStyle name="Percent 2 4 4 2 3 2 3" xfId="49776"/>
    <cellStyle name="Percent 2 4 4 2 3 2 3 2" xfId="49777"/>
    <cellStyle name="Percent 2 4 4 2 3 2 3 3" xfId="49778"/>
    <cellStyle name="Percent 2 4 4 2 3 2 4" xfId="49779"/>
    <cellStyle name="Percent 2 4 4 2 3 2 5" xfId="49780"/>
    <cellStyle name="Percent 2 4 4 2 3 3" xfId="49781"/>
    <cellStyle name="Percent 2 4 4 2 3 3 2" xfId="49782"/>
    <cellStyle name="Percent 2 4 4 2 3 3 3" xfId="49783"/>
    <cellStyle name="Percent 2 4 4 2 3 4" xfId="49784"/>
    <cellStyle name="Percent 2 4 4 2 3 4 2" xfId="49785"/>
    <cellStyle name="Percent 2 4 4 2 3 4 3" xfId="49786"/>
    <cellStyle name="Percent 2 4 4 2 3 5" xfId="49787"/>
    <cellStyle name="Percent 2 4 4 2 3 6" xfId="49788"/>
    <cellStyle name="Percent 2 4 4 2 4" xfId="49789"/>
    <cellStyle name="Percent 2 4 4 2 4 2" xfId="49790"/>
    <cellStyle name="Percent 2 4 4 2 4 2 2" xfId="49791"/>
    <cellStyle name="Percent 2 4 4 2 4 2 3" xfId="49792"/>
    <cellStyle name="Percent 2 4 4 2 4 3" xfId="49793"/>
    <cellStyle name="Percent 2 4 4 2 4 3 2" xfId="49794"/>
    <cellStyle name="Percent 2 4 4 2 4 3 3" xfId="49795"/>
    <cellStyle name="Percent 2 4 4 2 4 4" xfId="49796"/>
    <cellStyle name="Percent 2 4 4 2 4 5" xfId="49797"/>
    <cellStyle name="Percent 2 4 4 2 5" xfId="49798"/>
    <cellStyle name="Percent 2 4 4 2 5 2" xfId="49799"/>
    <cellStyle name="Percent 2 4 4 2 5 3" xfId="49800"/>
    <cellStyle name="Percent 2 4 4 2 6" xfId="49801"/>
    <cellStyle name="Percent 2 4 4 2 6 2" xfId="49802"/>
    <cellStyle name="Percent 2 4 4 2 6 3" xfId="49803"/>
    <cellStyle name="Percent 2 4 4 2 7" xfId="49804"/>
    <cellStyle name="Percent 2 4 4 2 8" xfId="49805"/>
    <cellStyle name="Percent 2 4 4 3" xfId="49806"/>
    <cellStyle name="Percent 2 4 4 3 2" xfId="49807"/>
    <cellStyle name="Percent 2 4 4 3 2 2" xfId="49808"/>
    <cellStyle name="Percent 2 4 4 3 2 2 2" xfId="49809"/>
    <cellStyle name="Percent 2 4 4 3 2 2 3" xfId="49810"/>
    <cellStyle name="Percent 2 4 4 3 2 3" xfId="49811"/>
    <cellStyle name="Percent 2 4 4 3 2 3 2" xfId="49812"/>
    <cellStyle name="Percent 2 4 4 3 2 3 3" xfId="49813"/>
    <cellStyle name="Percent 2 4 4 3 2 4" xfId="49814"/>
    <cellStyle name="Percent 2 4 4 3 2 5" xfId="49815"/>
    <cellStyle name="Percent 2 4 4 3 3" xfId="49816"/>
    <cellStyle name="Percent 2 4 4 3 3 2" xfId="49817"/>
    <cellStyle name="Percent 2 4 4 3 3 3" xfId="49818"/>
    <cellStyle name="Percent 2 4 4 3 4" xfId="49819"/>
    <cellStyle name="Percent 2 4 4 3 4 2" xfId="49820"/>
    <cellStyle name="Percent 2 4 4 3 4 3" xfId="49821"/>
    <cellStyle name="Percent 2 4 4 3 5" xfId="49822"/>
    <cellStyle name="Percent 2 4 4 3 6" xfId="49823"/>
    <cellStyle name="Percent 2 4 4 4" xfId="49824"/>
    <cellStyle name="Percent 2 4 4 4 2" xfId="49825"/>
    <cellStyle name="Percent 2 4 4 4 2 2" xfId="49826"/>
    <cellStyle name="Percent 2 4 4 4 2 2 2" xfId="49827"/>
    <cellStyle name="Percent 2 4 4 4 2 2 3" xfId="49828"/>
    <cellStyle name="Percent 2 4 4 4 2 3" xfId="49829"/>
    <cellStyle name="Percent 2 4 4 4 2 3 2" xfId="49830"/>
    <cellStyle name="Percent 2 4 4 4 2 3 3" xfId="49831"/>
    <cellStyle name="Percent 2 4 4 4 2 4" xfId="49832"/>
    <cellStyle name="Percent 2 4 4 4 2 5" xfId="49833"/>
    <cellStyle name="Percent 2 4 4 4 3" xfId="49834"/>
    <cellStyle name="Percent 2 4 4 4 3 2" xfId="49835"/>
    <cellStyle name="Percent 2 4 4 4 3 3" xfId="49836"/>
    <cellStyle name="Percent 2 4 4 4 4" xfId="49837"/>
    <cellStyle name="Percent 2 4 4 4 4 2" xfId="49838"/>
    <cellStyle name="Percent 2 4 4 4 4 3" xfId="49839"/>
    <cellStyle name="Percent 2 4 4 4 5" xfId="49840"/>
    <cellStyle name="Percent 2 4 4 4 6" xfId="49841"/>
    <cellStyle name="Percent 2 4 4 5" xfId="49842"/>
    <cellStyle name="Percent 2 4 4 5 2" xfId="49843"/>
    <cellStyle name="Percent 2 4 4 5 2 2" xfId="49844"/>
    <cellStyle name="Percent 2 4 4 5 2 3" xfId="49845"/>
    <cellStyle name="Percent 2 4 4 5 3" xfId="49846"/>
    <cellStyle name="Percent 2 4 4 5 3 2" xfId="49847"/>
    <cellStyle name="Percent 2 4 4 5 3 3" xfId="49848"/>
    <cellStyle name="Percent 2 4 4 5 4" xfId="49849"/>
    <cellStyle name="Percent 2 4 4 5 5" xfId="49850"/>
    <cellStyle name="Percent 2 4 4 6" xfId="49851"/>
    <cellStyle name="Percent 2 4 4 6 2" xfId="49852"/>
    <cellStyle name="Percent 2 4 4 6 3" xfId="49853"/>
    <cellStyle name="Percent 2 4 4 7" xfId="49854"/>
    <cellStyle name="Percent 2 4 4 7 2" xfId="49855"/>
    <cellStyle name="Percent 2 4 4 7 3" xfId="49856"/>
    <cellStyle name="Percent 2 4 4 8" xfId="49857"/>
    <cellStyle name="Percent 2 4 4 9" xfId="49858"/>
    <cellStyle name="Percent 2 4 5" xfId="49859"/>
    <cellStyle name="Percent 2 4 5 2" xfId="49860"/>
    <cellStyle name="Percent 2 4 5 2 2" xfId="49861"/>
    <cellStyle name="Percent 2 4 5 2 2 2" xfId="49862"/>
    <cellStyle name="Percent 2 4 5 2 2 2 2" xfId="49863"/>
    <cellStyle name="Percent 2 4 5 2 2 2 3" xfId="49864"/>
    <cellStyle name="Percent 2 4 5 2 2 3" xfId="49865"/>
    <cellStyle name="Percent 2 4 5 2 2 3 2" xfId="49866"/>
    <cellStyle name="Percent 2 4 5 2 2 3 3" xfId="49867"/>
    <cellStyle name="Percent 2 4 5 2 2 4" xfId="49868"/>
    <cellStyle name="Percent 2 4 5 2 2 5" xfId="49869"/>
    <cellStyle name="Percent 2 4 5 2 3" xfId="49870"/>
    <cellStyle name="Percent 2 4 5 2 3 2" xfId="49871"/>
    <cellStyle name="Percent 2 4 5 2 3 3" xfId="49872"/>
    <cellStyle name="Percent 2 4 5 2 4" xfId="49873"/>
    <cellStyle name="Percent 2 4 5 2 4 2" xfId="49874"/>
    <cellStyle name="Percent 2 4 5 2 4 3" xfId="49875"/>
    <cellStyle name="Percent 2 4 5 2 5" xfId="49876"/>
    <cellStyle name="Percent 2 4 5 2 6" xfId="49877"/>
    <cellStyle name="Percent 2 4 5 3" xfId="49878"/>
    <cellStyle name="Percent 2 4 5 3 2" xfId="49879"/>
    <cellStyle name="Percent 2 4 5 3 2 2" xfId="49880"/>
    <cellStyle name="Percent 2 4 5 3 2 2 2" xfId="49881"/>
    <cellStyle name="Percent 2 4 5 3 2 2 3" xfId="49882"/>
    <cellStyle name="Percent 2 4 5 3 2 3" xfId="49883"/>
    <cellStyle name="Percent 2 4 5 3 2 3 2" xfId="49884"/>
    <cellStyle name="Percent 2 4 5 3 2 3 3" xfId="49885"/>
    <cellStyle name="Percent 2 4 5 3 2 4" xfId="49886"/>
    <cellStyle name="Percent 2 4 5 3 2 5" xfId="49887"/>
    <cellStyle name="Percent 2 4 5 3 3" xfId="49888"/>
    <cellStyle name="Percent 2 4 5 3 3 2" xfId="49889"/>
    <cellStyle name="Percent 2 4 5 3 3 3" xfId="49890"/>
    <cellStyle name="Percent 2 4 5 3 4" xfId="49891"/>
    <cellStyle name="Percent 2 4 5 3 4 2" xfId="49892"/>
    <cellStyle name="Percent 2 4 5 3 4 3" xfId="49893"/>
    <cellStyle name="Percent 2 4 5 3 5" xfId="49894"/>
    <cellStyle name="Percent 2 4 5 3 6" xfId="49895"/>
    <cellStyle name="Percent 2 4 5 4" xfId="49896"/>
    <cellStyle name="Percent 2 4 5 4 2" xfId="49897"/>
    <cellStyle name="Percent 2 4 5 4 2 2" xfId="49898"/>
    <cellStyle name="Percent 2 4 5 4 2 3" xfId="49899"/>
    <cellStyle name="Percent 2 4 5 4 3" xfId="49900"/>
    <cellStyle name="Percent 2 4 5 4 3 2" xfId="49901"/>
    <cellStyle name="Percent 2 4 5 4 3 3" xfId="49902"/>
    <cellStyle name="Percent 2 4 5 4 4" xfId="49903"/>
    <cellStyle name="Percent 2 4 5 4 5" xfId="49904"/>
    <cellStyle name="Percent 2 4 5 5" xfId="49905"/>
    <cellStyle name="Percent 2 4 5 5 2" xfId="49906"/>
    <cellStyle name="Percent 2 4 5 5 3" xfId="49907"/>
    <cellStyle name="Percent 2 4 5 6" xfId="49908"/>
    <cellStyle name="Percent 2 4 5 6 2" xfId="49909"/>
    <cellStyle name="Percent 2 4 5 6 3" xfId="49910"/>
    <cellStyle name="Percent 2 4 5 7" xfId="49911"/>
    <cellStyle name="Percent 2 4 5 8" xfId="49912"/>
    <cellStyle name="Percent 2 4 6" xfId="49913"/>
    <cellStyle name="Percent 2 4 6 2" xfId="49914"/>
    <cellStyle name="Percent 2 4 6 2 2" xfId="49915"/>
    <cellStyle name="Percent 2 4 6 2 2 2" xfId="49916"/>
    <cellStyle name="Percent 2 4 6 2 2 3" xfId="49917"/>
    <cellStyle name="Percent 2 4 6 2 3" xfId="49918"/>
    <cellStyle name="Percent 2 4 6 2 3 2" xfId="49919"/>
    <cellStyle name="Percent 2 4 6 2 3 3" xfId="49920"/>
    <cellStyle name="Percent 2 4 6 2 4" xfId="49921"/>
    <cellStyle name="Percent 2 4 6 2 5" xfId="49922"/>
    <cellStyle name="Percent 2 4 6 3" xfId="49923"/>
    <cellStyle name="Percent 2 4 6 3 2" xfId="49924"/>
    <cellStyle name="Percent 2 4 6 3 3" xfId="49925"/>
    <cellStyle name="Percent 2 4 6 4" xfId="49926"/>
    <cellStyle name="Percent 2 4 6 4 2" xfId="49927"/>
    <cellStyle name="Percent 2 4 6 4 3" xfId="49928"/>
    <cellStyle name="Percent 2 4 6 5" xfId="49929"/>
    <cellStyle name="Percent 2 4 6 6" xfId="49930"/>
    <cellStyle name="Percent 2 4 7" xfId="49931"/>
    <cellStyle name="Percent 2 4 7 2" xfId="49932"/>
    <cellStyle name="Percent 2 4 7 2 2" xfId="49933"/>
    <cellStyle name="Percent 2 4 7 2 2 2" xfId="49934"/>
    <cellStyle name="Percent 2 4 7 2 2 3" xfId="49935"/>
    <cellStyle name="Percent 2 4 7 2 3" xfId="49936"/>
    <cellStyle name="Percent 2 4 7 2 3 2" xfId="49937"/>
    <cellStyle name="Percent 2 4 7 2 3 3" xfId="49938"/>
    <cellStyle name="Percent 2 4 7 2 4" xfId="49939"/>
    <cellStyle name="Percent 2 4 7 2 5" xfId="49940"/>
    <cellStyle name="Percent 2 4 7 3" xfId="49941"/>
    <cellStyle name="Percent 2 4 7 3 2" xfId="49942"/>
    <cellStyle name="Percent 2 4 7 3 3" xfId="49943"/>
    <cellStyle name="Percent 2 4 7 4" xfId="49944"/>
    <cellStyle name="Percent 2 4 7 4 2" xfId="49945"/>
    <cellStyle name="Percent 2 4 7 4 3" xfId="49946"/>
    <cellStyle name="Percent 2 4 7 5" xfId="49947"/>
    <cellStyle name="Percent 2 4 7 6" xfId="49948"/>
    <cellStyle name="Percent 2 4 8" xfId="49949"/>
    <cellStyle name="Percent 2 4 8 2" xfId="49950"/>
    <cellStyle name="Percent 2 4 8 2 2" xfId="49951"/>
    <cellStyle name="Percent 2 4 8 2 3" xfId="49952"/>
    <cellStyle name="Percent 2 4 8 3" xfId="49953"/>
    <cellStyle name="Percent 2 4 8 3 2" xfId="49954"/>
    <cellStyle name="Percent 2 4 8 3 3" xfId="49955"/>
    <cellStyle name="Percent 2 4 8 4" xfId="49956"/>
    <cellStyle name="Percent 2 4 8 5" xfId="49957"/>
    <cellStyle name="Percent 2 4 9" xfId="49958"/>
    <cellStyle name="Percent 2 4 9 2" xfId="49959"/>
    <cellStyle name="Percent 2 4 9 3" xfId="49960"/>
    <cellStyle name="Percent 2 5" xfId="49961"/>
    <cellStyle name="Percent 2 5 10" xfId="49962"/>
    <cellStyle name="Percent 2 5 10 2" xfId="49963"/>
    <cellStyle name="Percent 2 5 10 3" xfId="49964"/>
    <cellStyle name="Percent 2 5 11" xfId="49965"/>
    <cellStyle name="Percent 2 5 12" xfId="49966"/>
    <cellStyle name="Percent 2 5 13" xfId="49967"/>
    <cellStyle name="Percent 2 5 14" xfId="49968"/>
    <cellStyle name="Percent 2 5 2" xfId="49969"/>
    <cellStyle name="Percent 2 5 2 10" xfId="49970"/>
    <cellStyle name="Percent 2 5 2 2" xfId="49971"/>
    <cellStyle name="Percent 2 5 2 2 2" xfId="49972"/>
    <cellStyle name="Percent 2 5 2 2 2 2" xfId="49973"/>
    <cellStyle name="Percent 2 5 2 2 2 2 2" xfId="49974"/>
    <cellStyle name="Percent 2 5 2 2 2 2 2 2" xfId="49975"/>
    <cellStyle name="Percent 2 5 2 2 2 2 2 2 2" xfId="49976"/>
    <cellStyle name="Percent 2 5 2 2 2 2 2 2 3" xfId="49977"/>
    <cellStyle name="Percent 2 5 2 2 2 2 2 3" xfId="49978"/>
    <cellStyle name="Percent 2 5 2 2 2 2 2 3 2" xfId="49979"/>
    <cellStyle name="Percent 2 5 2 2 2 2 2 3 3" xfId="49980"/>
    <cellStyle name="Percent 2 5 2 2 2 2 2 4" xfId="49981"/>
    <cellStyle name="Percent 2 5 2 2 2 2 2 5" xfId="49982"/>
    <cellStyle name="Percent 2 5 2 2 2 2 3" xfId="49983"/>
    <cellStyle name="Percent 2 5 2 2 2 2 3 2" xfId="49984"/>
    <cellStyle name="Percent 2 5 2 2 2 2 3 3" xfId="49985"/>
    <cellStyle name="Percent 2 5 2 2 2 2 4" xfId="49986"/>
    <cellStyle name="Percent 2 5 2 2 2 2 4 2" xfId="49987"/>
    <cellStyle name="Percent 2 5 2 2 2 2 4 3" xfId="49988"/>
    <cellStyle name="Percent 2 5 2 2 2 2 5" xfId="49989"/>
    <cellStyle name="Percent 2 5 2 2 2 2 6" xfId="49990"/>
    <cellStyle name="Percent 2 5 2 2 2 3" xfId="49991"/>
    <cellStyle name="Percent 2 5 2 2 2 3 2" xfId="49992"/>
    <cellStyle name="Percent 2 5 2 2 2 3 2 2" xfId="49993"/>
    <cellStyle name="Percent 2 5 2 2 2 3 2 2 2" xfId="49994"/>
    <cellStyle name="Percent 2 5 2 2 2 3 2 2 3" xfId="49995"/>
    <cellStyle name="Percent 2 5 2 2 2 3 2 3" xfId="49996"/>
    <cellStyle name="Percent 2 5 2 2 2 3 2 3 2" xfId="49997"/>
    <cellStyle name="Percent 2 5 2 2 2 3 2 3 3" xfId="49998"/>
    <cellStyle name="Percent 2 5 2 2 2 3 2 4" xfId="49999"/>
    <cellStyle name="Percent 2 5 2 2 2 3 2 5" xfId="50000"/>
    <cellStyle name="Percent 2 5 2 2 2 3 3" xfId="50001"/>
    <cellStyle name="Percent 2 5 2 2 2 3 3 2" xfId="50002"/>
    <cellStyle name="Percent 2 5 2 2 2 3 3 3" xfId="50003"/>
    <cellStyle name="Percent 2 5 2 2 2 3 4" xfId="50004"/>
    <cellStyle name="Percent 2 5 2 2 2 3 4 2" xfId="50005"/>
    <cellStyle name="Percent 2 5 2 2 2 3 4 3" xfId="50006"/>
    <cellStyle name="Percent 2 5 2 2 2 3 5" xfId="50007"/>
    <cellStyle name="Percent 2 5 2 2 2 3 6" xfId="50008"/>
    <cellStyle name="Percent 2 5 2 2 2 4" xfId="50009"/>
    <cellStyle name="Percent 2 5 2 2 2 4 2" xfId="50010"/>
    <cellStyle name="Percent 2 5 2 2 2 4 2 2" xfId="50011"/>
    <cellStyle name="Percent 2 5 2 2 2 4 2 3" xfId="50012"/>
    <cellStyle name="Percent 2 5 2 2 2 4 3" xfId="50013"/>
    <cellStyle name="Percent 2 5 2 2 2 4 3 2" xfId="50014"/>
    <cellStyle name="Percent 2 5 2 2 2 4 3 3" xfId="50015"/>
    <cellStyle name="Percent 2 5 2 2 2 4 4" xfId="50016"/>
    <cellStyle name="Percent 2 5 2 2 2 4 5" xfId="50017"/>
    <cellStyle name="Percent 2 5 2 2 2 5" xfId="50018"/>
    <cellStyle name="Percent 2 5 2 2 2 5 2" xfId="50019"/>
    <cellStyle name="Percent 2 5 2 2 2 5 3" xfId="50020"/>
    <cellStyle name="Percent 2 5 2 2 2 6" xfId="50021"/>
    <cellStyle name="Percent 2 5 2 2 2 6 2" xfId="50022"/>
    <cellStyle name="Percent 2 5 2 2 2 6 3" xfId="50023"/>
    <cellStyle name="Percent 2 5 2 2 2 7" xfId="50024"/>
    <cellStyle name="Percent 2 5 2 2 2 8" xfId="50025"/>
    <cellStyle name="Percent 2 5 2 2 3" xfId="50026"/>
    <cellStyle name="Percent 2 5 2 2 3 2" xfId="50027"/>
    <cellStyle name="Percent 2 5 2 2 3 2 2" xfId="50028"/>
    <cellStyle name="Percent 2 5 2 2 3 2 2 2" xfId="50029"/>
    <cellStyle name="Percent 2 5 2 2 3 2 2 3" xfId="50030"/>
    <cellStyle name="Percent 2 5 2 2 3 2 3" xfId="50031"/>
    <cellStyle name="Percent 2 5 2 2 3 2 3 2" xfId="50032"/>
    <cellStyle name="Percent 2 5 2 2 3 2 3 3" xfId="50033"/>
    <cellStyle name="Percent 2 5 2 2 3 2 4" xfId="50034"/>
    <cellStyle name="Percent 2 5 2 2 3 2 5" xfId="50035"/>
    <cellStyle name="Percent 2 5 2 2 3 3" xfId="50036"/>
    <cellStyle name="Percent 2 5 2 2 3 3 2" xfId="50037"/>
    <cellStyle name="Percent 2 5 2 2 3 3 3" xfId="50038"/>
    <cellStyle name="Percent 2 5 2 2 3 4" xfId="50039"/>
    <cellStyle name="Percent 2 5 2 2 3 4 2" xfId="50040"/>
    <cellStyle name="Percent 2 5 2 2 3 4 3" xfId="50041"/>
    <cellStyle name="Percent 2 5 2 2 3 5" xfId="50042"/>
    <cellStyle name="Percent 2 5 2 2 3 6" xfId="50043"/>
    <cellStyle name="Percent 2 5 2 2 4" xfId="50044"/>
    <cellStyle name="Percent 2 5 2 2 4 2" xfId="50045"/>
    <cellStyle name="Percent 2 5 2 2 4 2 2" xfId="50046"/>
    <cellStyle name="Percent 2 5 2 2 4 2 2 2" xfId="50047"/>
    <cellStyle name="Percent 2 5 2 2 4 2 2 3" xfId="50048"/>
    <cellStyle name="Percent 2 5 2 2 4 2 3" xfId="50049"/>
    <cellStyle name="Percent 2 5 2 2 4 2 3 2" xfId="50050"/>
    <cellStyle name="Percent 2 5 2 2 4 2 3 3" xfId="50051"/>
    <cellStyle name="Percent 2 5 2 2 4 2 4" xfId="50052"/>
    <cellStyle name="Percent 2 5 2 2 4 2 5" xfId="50053"/>
    <cellStyle name="Percent 2 5 2 2 4 3" xfId="50054"/>
    <cellStyle name="Percent 2 5 2 2 4 3 2" xfId="50055"/>
    <cellStyle name="Percent 2 5 2 2 4 3 3" xfId="50056"/>
    <cellStyle name="Percent 2 5 2 2 4 4" xfId="50057"/>
    <cellStyle name="Percent 2 5 2 2 4 4 2" xfId="50058"/>
    <cellStyle name="Percent 2 5 2 2 4 4 3" xfId="50059"/>
    <cellStyle name="Percent 2 5 2 2 4 5" xfId="50060"/>
    <cellStyle name="Percent 2 5 2 2 4 6" xfId="50061"/>
    <cellStyle name="Percent 2 5 2 2 5" xfId="50062"/>
    <cellStyle name="Percent 2 5 2 2 5 2" xfId="50063"/>
    <cellStyle name="Percent 2 5 2 2 5 2 2" xfId="50064"/>
    <cellStyle name="Percent 2 5 2 2 5 2 3" xfId="50065"/>
    <cellStyle name="Percent 2 5 2 2 5 3" xfId="50066"/>
    <cellStyle name="Percent 2 5 2 2 5 3 2" xfId="50067"/>
    <cellStyle name="Percent 2 5 2 2 5 3 3" xfId="50068"/>
    <cellStyle name="Percent 2 5 2 2 5 4" xfId="50069"/>
    <cellStyle name="Percent 2 5 2 2 5 5" xfId="50070"/>
    <cellStyle name="Percent 2 5 2 2 6" xfId="50071"/>
    <cellStyle name="Percent 2 5 2 2 6 2" xfId="50072"/>
    <cellStyle name="Percent 2 5 2 2 6 3" xfId="50073"/>
    <cellStyle name="Percent 2 5 2 2 7" xfId="50074"/>
    <cellStyle name="Percent 2 5 2 2 7 2" xfId="50075"/>
    <cellStyle name="Percent 2 5 2 2 7 3" xfId="50076"/>
    <cellStyle name="Percent 2 5 2 2 8" xfId="50077"/>
    <cellStyle name="Percent 2 5 2 2 9" xfId="50078"/>
    <cellStyle name="Percent 2 5 2 3" xfId="50079"/>
    <cellStyle name="Percent 2 5 2 3 2" xfId="50080"/>
    <cellStyle name="Percent 2 5 2 3 2 2" xfId="50081"/>
    <cellStyle name="Percent 2 5 2 3 2 2 2" xfId="50082"/>
    <cellStyle name="Percent 2 5 2 3 2 2 2 2" xfId="50083"/>
    <cellStyle name="Percent 2 5 2 3 2 2 2 3" xfId="50084"/>
    <cellStyle name="Percent 2 5 2 3 2 2 3" xfId="50085"/>
    <cellStyle name="Percent 2 5 2 3 2 2 3 2" xfId="50086"/>
    <cellStyle name="Percent 2 5 2 3 2 2 3 3" xfId="50087"/>
    <cellStyle name="Percent 2 5 2 3 2 2 4" xfId="50088"/>
    <cellStyle name="Percent 2 5 2 3 2 2 5" xfId="50089"/>
    <cellStyle name="Percent 2 5 2 3 2 3" xfId="50090"/>
    <cellStyle name="Percent 2 5 2 3 2 3 2" xfId="50091"/>
    <cellStyle name="Percent 2 5 2 3 2 3 3" xfId="50092"/>
    <cellStyle name="Percent 2 5 2 3 2 4" xfId="50093"/>
    <cellStyle name="Percent 2 5 2 3 2 4 2" xfId="50094"/>
    <cellStyle name="Percent 2 5 2 3 2 4 3" xfId="50095"/>
    <cellStyle name="Percent 2 5 2 3 2 5" xfId="50096"/>
    <cellStyle name="Percent 2 5 2 3 2 6" xfId="50097"/>
    <cellStyle name="Percent 2 5 2 3 3" xfId="50098"/>
    <cellStyle name="Percent 2 5 2 3 3 2" xfId="50099"/>
    <cellStyle name="Percent 2 5 2 3 3 2 2" xfId="50100"/>
    <cellStyle name="Percent 2 5 2 3 3 2 2 2" xfId="50101"/>
    <cellStyle name="Percent 2 5 2 3 3 2 2 3" xfId="50102"/>
    <cellStyle name="Percent 2 5 2 3 3 2 3" xfId="50103"/>
    <cellStyle name="Percent 2 5 2 3 3 2 3 2" xfId="50104"/>
    <cellStyle name="Percent 2 5 2 3 3 2 3 3" xfId="50105"/>
    <cellStyle name="Percent 2 5 2 3 3 2 4" xfId="50106"/>
    <cellStyle name="Percent 2 5 2 3 3 2 5" xfId="50107"/>
    <cellStyle name="Percent 2 5 2 3 3 3" xfId="50108"/>
    <cellStyle name="Percent 2 5 2 3 3 3 2" xfId="50109"/>
    <cellStyle name="Percent 2 5 2 3 3 3 3" xfId="50110"/>
    <cellStyle name="Percent 2 5 2 3 3 4" xfId="50111"/>
    <cellStyle name="Percent 2 5 2 3 3 4 2" xfId="50112"/>
    <cellStyle name="Percent 2 5 2 3 3 4 3" xfId="50113"/>
    <cellStyle name="Percent 2 5 2 3 3 5" xfId="50114"/>
    <cellStyle name="Percent 2 5 2 3 3 6" xfId="50115"/>
    <cellStyle name="Percent 2 5 2 3 4" xfId="50116"/>
    <cellStyle name="Percent 2 5 2 3 4 2" xfId="50117"/>
    <cellStyle name="Percent 2 5 2 3 4 2 2" xfId="50118"/>
    <cellStyle name="Percent 2 5 2 3 4 2 3" xfId="50119"/>
    <cellStyle name="Percent 2 5 2 3 4 3" xfId="50120"/>
    <cellStyle name="Percent 2 5 2 3 4 3 2" xfId="50121"/>
    <cellStyle name="Percent 2 5 2 3 4 3 3" xfId="50122"/>
    <cellStyle name="Percent 2 5 2 3 4 4" xfId="50123"/>
    <cellStyle name="Percent 2 5 2 3 4 5" xfId="50124"/>
    <cellStyle name="Percent 2 5 2 3 5" xfId="50125"/>
    <cellStyle name="Percent 2 5 2 3 5 2" xfId="50126"/>
    <cellStyle name="Percent 2 5 2 3 5 3" xfId="50127"/>
    <cellStyle name="Percent 2 5 2 3 6" xfId="50128"/>
    <cellStyle name="Percent 2 5 2 3 6 2" xfId="50129"/>
    <cellStyle name="Percent 2 5 2 3 6 3" xfId="50130"/>
    <cellStyle name="Percent 2 5 2 3 7" xfId="50131"/>
    <cellStyle name="Percent 2 5 2 3 8" xfId="50132"/>
    <cellStyle name="Percent 2 5 2 4" xfId="50133"/>
    <cellStyle name="Percent 2 5 2 4 2" xfId="50134"/>
    <cellStyle name="Percent 2 5 2 4 2 2" xfId="50135"/>
    <cellStyle name="Percent 2 5 2 4 2 2 2" xfId="50136"/>
    <cellStyle name="Percent 2 5 2 4 2 2 3" xfId="50137"/>
    <cellStyle name="Percent 2 5 2 4 2 3" xfId="50138"/>
    <cellStyle name="Percent 2 5 2 4 2 3 2" xfId="50139"/>
    <cellStyle name="Percent 2 5 2 4 2 3 3" xfId="50140"/>
    <cellStyle name="Percent 2 5 2 4 2 4" xfId="50141"/>
    <cellStyle name="Percent 2 5 2 4 2 5" xfId="50142"/>
    <cellStyle name="Percent 2 5 2 4 3" xfId="50143"/>
    <cellStyle name="Percent 2 5 2 4 3 2" xfId="50144"/>
    <cellStyle name="Percent 2 5 2 4 3 3" xfId="50145"/>
    <cellStyle name="Percent 2 5 2 4 4" xfId="50146"/>
    <cellStyle name="Percent 2 5 2 4 4 2" xfId="50147"/>
    <cellStyle name="Percent 2 5 2 4 4 3" xfId="50148"/>
    <cellStyle name="Percent 2 5 2 4 5" xfId="50149"/>
    <cellStyle name="Percent 2 5 2 4 6" xfId="50150"/>
    <cellStyle name="Percent 2 5 2 5" xfId="50151"/>
    <cellStyle name="Percent 2 5 2 5 2" xfId="50152"/>
    <cellStyle name="Percent 2 5 2 5 2 2" xfId="50153"/>
    <cellStyle name="Percent 2 5 2 5 2 2 2" xfId="50154"/>
    <cellStyle name="Percent 2 5 2 5 2 2 3" xfId="50155"/>
    <cellStyle name="Percent 2 5 2 5 2 3" xfId="50156"/>
    <cellStyle name="Percent 2 5 2 5 2 3 2" xfId="50157"/>
    <cellStyle name="Percent 2 5 2 5 2 3 3" xfId="50158"/>
    <cellStyle name="Percent 2 5 2 5 2 4" xfId="50159"/>
    <cellStyle name="Percent 2 5 2 5 2 5" xfId="50160"/>
    <cellStyle name="Percent 2 5 2 5 3" xfId="50161"/>
    <cellStyle name="Percent 2 5 2 5 3 2" xfId="50162"/>
    <cellStyle name="Percent 2 5 2 5 3 3" xfId="50163"/>
    <cellStyle name="Percent 2 5 2 5 4" xfId="50164"/>
    <cellStyle name="Percent 2 5 2 5 4 2" xfId="50165"/>
    <cellStyle name="Percent 2 5 2 5 4 3" xfId="50166"/>
    <cellStyle name="Percent 2 5 2 5 5" xfId="50167"/>
    <cellStyle name="Percent 2 5 2 5 6" xfId="50168"/>
    <cellStyle name="Percent 2 5 2 6" xfId="50169"/>
    <cellStyle name="Percent 2 5 2 6 2" xfId="50170"/>
    <cellStyle name="Percent 2 5 2 6 2 2" xfId="50171"/>
    <cellStyle name="Percent 2 5 2 6 2 3" xfId="50172"/>
    <cellStyle name="Percent 2 5 2 6 3" xfId="50173"/>
    <cellStyle name="Percent 2 5 2 6 3 2" xfId="50174"/>
    <cellStyle name="Percent 2 5 2 6 3 3" xfId="50175"/>
    <cellStyle name="Percent 2 5 2 6 4" xfId="50176"/>
    <cellStyle name="Percent 2 5 2 6 5" xfId="50177"/>
    <cellStyle name="Percent 2 5 2 7" xfId="50178"/>
    <cellStyle name="Percent 2 5 2 7 2" xfId="50179"/>
    <cellStyle name="Percent 2 5 2 7 3" xfId="50180"/>
    <cellStyle name="Percent 2 5 2 8" xfId="50181"/>
    <cellStyle name="Percent 2 5 2 8 2" xfId="50182"/>
    <cellStyle name="Percent 2 5 2 8 3" xfId="50183"/>
    <cellStyle name="Percent 2 5 2 9" xfId="50184"/>
    <cellStyle name="Percent 2 5 3" xfId="50185"/>
    <cellStyle name="Percent 2 5 3 10" xfId="50186"/>
    <cellStyle name="Percent 2 5 3 2" xfId="50187"/>
    <cellStyle name="Percent 2 5 3 2 2" xfId="50188"/>
    <cellStyle name="Percent 2 5 3 2 2 2" xfId="50189"/>
    <cellStyle name="Percent 2 5 3 2 2 2 2" xfId="50190"/>
    <cellStyle name="Percent 2 5 3 2 2 2 2 2" xfId="50191"/>
    <cellStyle name="Percent 2 5 3 2 2 2 2 2 2" xfId="50192"/>
    <cellStyle name="Percent 2 5 3 2 2 2 2 2 3" xfId="50193"/>
    <cellStyle name="Percent 2 5 3 2 2 2 2 3" xfId="50194"/>
    <cellStyle name="Percent 2 5 3 2 2 2 2 3 2" xfId="50195"/>
    <cellStyle name="Percent 2 5 3 2 2 2 2 3 3" xfId="50196"/>
    <cellStyle name="Percent 2 5 3 2 2 2 2 4" xfId="50197"/>
    <cellStyle name="Percent 2 5 3 2 2 2 2 5" xfId="50198"/>
    <cellStyle name="Percent 2 5 3 2 2 2 3" xfId="50199"/>
    <cellStyle name="Percent 2 5 3 2 2 2 3 2" xfId="50200"/>
    <cellStyle name="Percent 2 5 3 2 2 2 3 3" xfId="50201"/>
    <cellStyle name="Percent 2 5 3 2 2 2 4" xfId="50202"/>
    <cellStyle name="Percent 2 5 3 2 2 2 4 2" xfId="50203"/>
    <cellStyle name="Percent 2 5 3 2 2 2 4 3" xfId="50204"/>
    <cellStyle name="Percent 2 5 3 2 2 2 5" xfId="50205"/>
    <cellStyle name="Percent 2 5 3 2 2 2 6" xfId="50206"/>
    <cellStyle name="Percent 2 5 3 2 2 3" xfId="50207"/>
    <cellStyle name="Percent 2 5 3 2 2 3 2" xfId="50208"/>
    <cellStyle name="Percent 2 5 3 2 2 3 2 2" xfId="50209"/>
    <cellStyle name="Percent 2 5 3 2 2 3 2 2 2" xfId="50210"/>
    <cellStyle name="Percent 2 5 3 2 2 3 2 2 3" xfId="50211"/>
    <cellStyle name="Percent 2 5 3 2 2 3 2 3" xfId="50212"/>
    <cellStyle name="Percent 2 5 3 2 2 3 2 3 2" xfId="50213"/>
    <cellStyle name="Percent 2 5 3 2 2 3 2 3 3" xfId="50214"/>
    <cellStyle name="Percent 2 5 3 2 2 3 2 4" xfId="50215"/>
    <cellStyle name="Percent 2 5 3 2 2 3 2 5" xfId="50216"/>
    <cellStyle name="Percent 2 5 3 2 2 3 3" xfId="50217"/>
    <cellStyle name="Percent 2 5 3 2 2 3 3 2" xfId="50218"/>
    <cellStyle name="Percent 2 5 3 2 2 3 3 3" xfId="50219"/>
    <cellStyle name="Percent 2 5 3 2 2 3 4" xfId="50220"/>
    <cellStyle name="Percent 2 5 3 2 2 3 4 2" xfId="50221"/>
    <cellStyle name="Percent 2 5 3 2 2 3 4 3" xfId="50222"/>
    <cellStyle name="Percent 2 5 3 2 2 3 5" xfId="50223"/>
    <cellStyle name="Percent 2 5 3 2 2 3 6" xfId="50224"/>
    <cellStyle name="Percent 2 5 3 2 2 4" xfId="50225"/>
    <cellStyle name="Percent 2 5 3 2 2 4 2" xfId="50226"/>
    <cellStyle name="Percent 2 5 3 2 2 4 2 2" xfId="50227"/>
    <cellStyle name="Percent 2 5 3 2 2 4 2 3" xfId="50228"/>
    <cellStyle name="Percent 2 5 3 2 2 4 3" xfId="50229"/>
    <cellStyle name="Percent 2 5 3 2 2 4 3 2" xfId="50230"/>
    <cellStyle name="Percent 2 5 3 2 2 4 3 3" xfId="50231"/>
    <cellStyle name="Percent 2 5 3 2 2 4 4" xfId="50232"/>
    <cellStyle name="Percent 2 5 3 2 2 4 5" xfId="50233"/>
    <cellStyle name="Percent 2 5 3 2 2 5" xfId="50234"/>
    <cellStyle name="Percent 2 5 3 2 2 5 2" xfId="50235"/>
    <cellStyle name="Percent 2 5 3 2 2 5 3" xfId="50236"/>
    <cellStyle name="Percent 2 5 3 2 2 6" xfId="50237"/>
    <cellStyle name="Percent 2 5 3 2 2 6 2" xfId="50238"/>
    <cellStyle name="Percent 2 5 3 2 2 6 3" xfId="50239"/>
    <cellStyle name="Percent 2 5 3 2 2 7" xfId="50240"/>
    <cellStyle name="Percent 2 5 3 2 2 8" xfId="50241"/>
    <cellStyle name="Percent 2 5 3 2 3" xfId="50242"/>
    <cellStyle name="Percent 2 5 3 2 3 2" xfId="50243"/>
    <cellStyle name="Percent 2 5 3 2 3 2 2" xfId="50244"/>
    <cellStyle name="Percent 2 5 3 2 3 2 2 2" xfId="50245"/>
    <cellStyle name="Percent 2 5 3 2 3 2 2 3" xfId="50246"/>
    <cellStyle name="Percent 2 5 3 2 3 2 3" xfId="50247"/>
    <cellStyle name="Percent 2 5 3 2 3 2 3 2" xfId="50248"/>
    <cellStyle name="Percent 2 5 3 2 3 2 3 3" xfId="50249"/>
    <cellStyle name="Percent 2 5 3 2 3 2 4" xfId="50250"/>
    <cellStyle name="Percent 2 5 3 2 3 2 5" xfId="50251"/>
    <cellStyle name="Percent 2 5 3 2 3 3" xfId="50252"/>
    <cellStyle name="Percent 2 5 3 2 3 3 2" xfId="50253"/>
    <cellStyle name="Percent 2 5 3 2 3 3 3" xfId="50254"/>
    <cellStyle name="Percent 2 5 3 2 3 4" xfId="50255"/>
    <cellStyle name="Percent 2 5 3 2 3 4 2" xfId="50256"/>
    <cellStyle name="Percent 2 5 3 2 3 4 3" xfId="50257"/>
    <cellStyle name="Percent 2 5 3 2 3 5" xfId="50258"/>
    <cellStyle name="Percent 2 5 3 2 3 6" xfId="50259"/>
    <cellStyle name="Percent 2 5 3 2 4" xfId="50260"/>
    <cellStyle name="Percent 2 5 3 2 4 2" xfId="50261"/>
    <cellStyle name="Percent 2 5 3 2 4 2 2" xfId="50262"/>
    <cellStyle name="Percent 2 5 3 2 4 2 2 2" xfId="50263"/>
    <cellStyle name="Percent 2 5 3 2 4 2 2 3" xfId="50264"/>
    <cellStyle name="Percent 2 5 3 2 4 2 3" xfId="50265"/>
    <cellStyle name="Percent 2 5 3 2 4 2 3 2" xfId="50266"/>
    <cellStyle name="Percent 2 5 3 2 4 2 3 3" xfId="50267"/>
    <cellStyle name="Percent 2 5 3 2 4 2 4" xfId="50268"/>
    <cellStyle name="Percent 2 5 3 2 4 2 5" xfId="50269"/>
    <cellStyle name="Percent 2 5 3 2 4 3" xfId="50270"/>
    <cellStyle name="Percent 2 5 3 2 4 3 2" xfId="50271"/>
    <cellStyle name="Percent 2 5 3 2 4 3 3" xfId="50272"/>
    <cellStyle name="Percent 2 5 3 2 4 4" xfId="50273"/>
    <cellStyle name="Percent 2 5 3 2 4 4 2" xfId="50274"/>
    <cellStyle name="Percent 2 5 3 2 4 4 3" xfId="50275"/>
    <cellStyle name="Percent 2 5 3 2 4 5" xfId="50276"/>
    <cellStyle name="Percent 2 5 3 2 4 6" xfId="50277"/>
    <cellStyle name="Percent 2 5 3 2 5" xfId="50278"/>
    <cellStyle name="Percent 2 5 3 2 5 2" xfId="50279"/>
    <cellStyle name="Percent 2 5 3 2 5 2 2" xfId="50280"/>
    <cellStyle name="Percent 2 5 3 2 5 2 3" xfId="50281"/>
    <cellStyle name="Percent 2 5 3 2 5 3" xfId="50282"/>
    <cellStyle name="Percent 2 5 3 2 5 3 2" xfId="50283"/>
    <cellStyle name="Percent 2 5 3 2 5 3 3" xfId="50284"/>
    <cellStyle name="Percent 2 5 3 2 5 4" xfId="50285"/>
    <cellStyle name="Percent 2 5 3 2 5 5" xfId="50286"/>
    <cellStyle name="Percent 2 5 3 2 6" xfId="50287"/>
    <cellStyle name="Percent 2 5 3 2 6 2" xfId="50288"/>
    <cellStyle name="Percent 2 5 3 2 6 3" xfId="50289"/>
    <cellStyle name="Percent 2 5 3 2 7" xfId="50290"/>
    <cellStyle name="Percent 2 5 3 2 7 2" xfId="50291"/>
    <cellStyle name="Percent 2 5 3 2 7 3" xfId="50292"/>
    <cellStyle name="Percent 2 5 3 2 8" xfId="50293"/>
    <cellStyle name="Percent 2 5 3 2 9" xfId="50294"/>
    <cellStyle name="Percent 2 5 3 3" xfId="50295"/>
    <cellStyle name="Percent 2 5 3 3 2" xfId="50296"/>
    <cellStyle name="Percent 2 5 3 3 2 2" xfId="50297"/>
    <cellStyle name="Percent 2 5 3 3 2 2 2" xfId="50298"/>
    <cellStyle name="Percent 2 5 3 3 2 2 2 2" xfId="50299"/>
    <cellStyle name="Percent 2 5 3 3 2 2 2 3" xfId="50300"/>
    <cellStyle name="Percent 2 5 3 3 2 2 3" xfId="50301"/>
    <cellStyle name="Percent 2 5 3 3 2 2 3 2" xfId="50302"/>
    <cellStyle name="Percent 2 5 3 3 2 2 3 3" xfId="50303"/>
    <cellStyle name="Percent 2 5 3 3 2 2 4" xfId="50304"/>
    <cellStyle name="Percent 2 5 3 3 2 2 5" xfId="50305"/>
    <cellStyle name="Percent 2 5 3 3 2 3" xfId="50306"/>
    <cellStyle name="Percent 2 5 3 3 2 3 2" xfId="50307"/>
    <cellStyle name="Percent 2 5 3 3 2 3 3" xfId="50308"/>
    <cellStyle name="Percent 2 5 3 3 2 4" xfId="50309"/>
    <cellStyle name="Percent 2 5 3 3 2 4 2" xfId="50310"/>
    <cellStyle name="Percent 2 5 3 3 2 4 3" xfId="50311"/>
    <cellStyle name="Percent 2 5 3 3 2 5" xfId="50312"/>
    <cellStyle name="Percent 2 5 3 3 2 6" xfId="50313"/>
    <cellStyle name="Percent 2 5 3 3 3" xfId="50314"/>
    <cellStyle name="Percent 2 5 3 3 3 2" xfId="50315"/>
    <cellStyle name="Percent 2 5 3 3 3 2 2" xfId="50316"/>
    <cellStyle name="Percent 2 5 3 3 3 2 2 2" xfId="50317"/>
    <cellStyle name="Percent 2 5 3 3 3 2 2 3" xfId="50318"/>
    <cellStyle name="Percent 2 5 3 3 3 2 3" xfId="50319"/>
    <cellStyle name="Percent 2 5 3 3 3 2 3 2" xfId="50320"/>
    <cellStyle name="Percent 2 5 3 3 3 2 3 3" xfId="50321"/>
    <cellStyle name="Percent 2 5 3 3 3 2 4" xfId="50322"/>
    <cellStyle name="Percent 2 5 3 3 3 2 5" xfId="50323"/>
    <cellStyle name="Percent 2 5 3 3 3 3" xfId="50324"/>
    <cellStyle name="Percent 2 5 3 3 3 3 2" xfId="50325"/>
    <cellStyle name="Percent 2 5 3 3 3 3 3" xfId="50326"/>
    <cellStyle name="Percent 2 5 3 3 3 4" xfId="50327"/>
    <cellStyle name="Percent 2 5 3 3 3 4 2" xfId="50328"/>
    <cellStyle name="Percent 2 5 3 3 3 4 3" xfId="50329"/>
    <cellStyle name="Percent 2 5 3 3 3 5" xfId="50330"/>
    <cellStyle name="Percent 2 5 3 3 3 6" xfId="50331"/>
    <cellStyle name="Percent 2 5 3 3 4" xfId="50332"/>
    <cellStyle name="Percent 2 5 3 3 4 2" xfId="50333"/>
    <cellStyle name="Percent 2 5 3 3 4 2 2" xfId="50334"/>
    <cellStyle name="Percent 2 5 3 3 4 2 3" xfId="50335"/>
    <cellStyle name="Percent 2 5 3 3 4 3" xfId="50336"/>
    <cellStyle name="Percent 2 5 3 3 4 3 2" xfId="50337"/>
    <cellStyle name="Percent 2 5 3 3 4 3 3" xfId="50338"/>
    <cellStyle name="Percent 2 5 3 3 4 4" xfId="50339"/>
    <cellStyle name="Percent 2 5 3 3 4 5" xfId="50340"/>
    <cellStyle name="Percent 2 5 3 3 5" xfId="50341"/>
    <cellStyle name="Percent 2 5 3 3 5 2" xfId="50342"/>
    <cellStyle name="Percent 2 5 3 3 5 3" xfId="50343"/>
    <cellStyle name="Percent 2 5 3 3 6" xfId="50344"/>
    <cellStyle name="Percent 2 5 3 3 6 2" xfId="50345"/>
    <cellStyle name="Percent 2 5 3 3 6 3" xfId="50346"/>
    <cellStyle name="Percent 2 5 3 3 7" xfId="50347"/>
    <cellStyle name="Percent 2 5 3 3 8" xfId="50348"/>
    <cellStyle name="Percent 2 5 3 4" xfId="50349"/>
    <cellStyle name="Percent 2 5 3 4 2" xfId="50350"/>
    <cellStyle name="Percent 2 5 3 4 2 2" xfId="50351"/>
    <cellStyle name="Percent 2 5 3 4 2 2 2" xfId="50352"/>
    <cellStyle name="Percent 2 5 3 4 2 2 3" xfId="50353"/>
    <cellStyle name="Percent 2 5 3 4 2 3" xfId="50354"/>
    <cellStyle name="Percent 2 5 3 4 2 3 2" xfId="50355"/>
    <cellStyle name="Percent 2 5 3 4 2 3 3" xfId="50356"/>
    <cellStyle name="Percent 2 5 3 4 2 4" xfId="50357"/>
    <cellStyle name="Percent 2 5 3 4 2 5" xfId="50358"/>
    <cellStyle name="Percent 2 5 3 4 3" xfId="50359"/>
    <cellStyle name="Percent 2 5 3 4 3 2" xfId="50360"/>
    <cellStyle name="Percent 2 5 3 4 3 3" xfId="50361"/>
    <cellStyle name="Percent 2 5 3 4 4" xfId="50362"/>
    <cellStyle name="Percent 2 5 3 4 4 2" xfId="50363"/>
    <cellStyle name="Percent 2 5 3 4 4 3" xfId="50364"/>
    <cellStyle name="Percent 2 5 3 4 5" xfId="50365"/>
    <cellStyle name="Percent 2 5 3 4 6" xfId="50366"/>
    <cellStyle name="Percent 2 5 3 5" xfId="50367"/>
    <cellStyle name="Percent 2 5 3 5 2" xfId="50368"/>
    <cellStyle name="Percent 2 5 3 5 2 2" xfId="50369"/>
    <cellStyle name="Percent 2 5 3 5 2 2 2" xfId="50370"/>
    <cellStyle name="Percent 2 5 3 5 2 2 3" xfId="50371"/>
    <cellStyle name="Percent 2 5 3 5 2 3" xfId="50372"/>
    <cellStyle name="Percent 2 5 3 5 2 3 2" xfId="50373"/>
    <cellStyle name="Percent 2 5 3 5 2 3 3" xfId="50374"/>
    <cellStyle name="Percent 2 5 3 5 2 4" xfId="50375"/>
    <cellStyle name="Percent 2 5 3 5 2 5" xfId="50376"/>
    <cellStyle name="Percent 2 5 3 5 3" xfId="50377"/>
    <cellStyle name="Percent 2 5 3 5 3 2" xfId="50378"/>
    <cellStyle name="Percent 2 5 3 5 3 3" xfId="50379"/>
    <cellStyle name="Percent 2 5 3 5 4" xfId="50380"/>
    <cellStyle name="Percent 2 5 3 5 4 2" xfId="50381"/>
    <cellStyle name="Percent 2 5 3 5 4 3" xfId="50382"/>
    <cellStyle name="Percent 2 5 3 5 5" xfId="50383"/>
    <cellStyle name="Percent 2 5 3 5 6" xfId="50384"/>
    <cellStyle name="Percent 2 5 3 6" xfId="50385"/>
    <cellStyle name="Percent 2 5 3 6 2" xfId="50386"/>
    <cellStyle name="Percent 2 5 3 6 2 2" xfId="50387"/>
    <cellStyle name="Percent 2 5 3 6 2 3" xfId="50388"/>
    <cellStyle name="Percent 2 5 3 6 3" xfId="50389"/>
    <cellStyle name="Percent 2 5 3 6 3 2" xfId="50390"/>
    <cellStyle name="Percent 2 5 3 6 3 3" xfId="50391"/>
    <cellStyle name="Percent 2 5 3 6 4" xfId="50392"/>
    <cellStyle name="Percent 2 5 3 6 5" xfId="50393"/>
    <cellStyle name="Percent 2 5 3 7" xfId="50394"/>
    <cellStyle name="Percent 2 5 3 7 2" xfId="50395"/>
    <cellStyle name="Percent 2 5 3 7 3" xfId="50396"/>
    <cellStyle name="Percent 2 5 3 8" xfId="50397"/>
    <cellStyle name="Percent 2 5 3 8 2" xfId="50398"/>
    <cellStyle name="Percent 2 5 3 8 3" xfId="50399"/>
    <cellStyle name="Percent 2 5 3 9" xfId="50400"/>
    <cellStyle name="Percent 2 5 4" xfId="50401"/>
    <cellStyle name="Percent 2 5 4 2" xfId="50402"/>
    <cellStyle name="Percent 2 5 4 2 2" xfId="50403"/>
    <cellStyle name="Percent 2 5 4 2 2 2" xfId="50404"/>
    <cellStyle name="Percent 2 5 4 2 2 2 2" xfId="50405"/>
    <cellStyle name="Percent 2 5 4 2 2 2 2 2" xfId="50406"/>
    <cellStyle name="Percent 2 5 4 2 2 2 2 3" xfId="50407"/>
    <cellStyle name="Percent 2 5 4 2 2 2 3" xfId="50408"/>
    <cellStyle name="Percent 2 5 4 2 2 2 3 2" xfId="50409"/>
    <cellStyle name="Percent 2 5 4 2 2 2 3 3" xfId="50410"/>
    <cellStyle name="Percent 2 5 4 2 2 2 4" xfId="50411"/>
    <cellStyle name="Percent 2 5 4 2 2 2 5" xfId="50412"/>
    <cellStyle name="Percent 2 5 4 2 2 3" xfId="50413"/>
    <cellStyle name="Percent 2 5 4 2 2 3 2" xfId="50414"/>
    <cellStyle name="Percent 2 5 4 2 2 3 3" xfId="50415"/>
    <cellStyle name="Percent 2 5 4 2 2 4" xfId="50416"/>
    <cellStyle name="Percent 2 5 4 2 2 4 2" xfId="50417"/>
    <cellStyle name="Percent 2 5 4 2 2 4 3" xfId="50418"/>
    <cellStyle name="Percent 2 5 4 2 2 5" xfId="50419"/>
    <cellStyle name="Percent 2 5 4 2 2 6" xfId="50420"/>
    <cellStyle name="Percent 2 5 4 2 3" xfId="50421"/>
    <cellStyle name="Percent 2 5 4 2 3 2" xfId="50422"/>
    <cellStyle name="Percent 2 5 4 2 3 2 2" xfId="50423"/>
    <cellStyle name="Percent 2 5 4 2 3 2 2 2" xfId="50424"/>
    <cellStyle name="Percent 2 5 4 2 3 2 2 3" xfId="50425"/>
    <cellStyle name="Percent 2 5 4 2 3 2 3" xfId="50426"/>
    <cellStyle name="Percent 2 5 4 2 3 2 3 2" xfId="50427"/>
    <cellStyle name="Percent 2 5 4 2 3 2 3 3" xfId="50428"/>
    <cellStyle name="Percent 2 5 4 2 3 2 4" xfId="50429"/>
    <cellStyle name="Percent 2 5 4 2 3 2 5" xfId="50430"/>
    <cellStyle name="Percent 2 5 4 2 3 3" xfId="50431"/>
    <cellStyle name="Percent 2 5 4 2 3 3 2" xfId="50432"/>
    <cellStyle name="Percent 2 5 4 2 3 3 3" xfId="50433"/>
    <cellStyle name="Percent 2 5 4 2 3 4" xfId="50434"/>
    <cellStyle name="Percent 2 5 4 2 3 4 2" xfId="50435"/>
    <cellStyle name="Percent 2 5 4 2 3 4 3" xfId="50436"/>
    <cellStyle name="Percent 2 5 4 2 3 5" xfId="50437"/>
    <cellStyle name="Percent 2 5 4 2 3 6" xfId="50438"/>
    <cellStyle name="Percent 2 5 4 2 4" xfId="50439"/>
    <cellStyle name="Percent 2 5 4 2 4 2" xfId="50440"/>
    <cellStyle name="Percent 2 5 4 2 4 2 2" xfId="50441"/>
    <cellStyle name="Percent 2 5 4 2 4 2 3" xfId="50442"/>
    <cellStyle name="Percent 2 5 4 2 4 3" xfId="50443"/>
    <cellStyle name="Percent 2 5 4 2 4 3 2" xfId="50444"/>
    <cellStyle name="Percent 2 5 4 2 4 3 3" xfId="50445"/>
    <cellStyle name="Percent 2 5 4 2 4 4" xfId="50446"/>
    <cellStyle name="Percent 2 5 4 2 4 5" xfId="50447"/>
    <cellStyle name="Percent 2 5 4 2 5" xfId="50448"/>
    <cellStyle name="Percent 2 5 4 2 5 2" xfId="50449"/>
    <cellStyle name="Percent 2 5 4 2 5 3" xfId="50450"/>
    <cellStyle name="Percent 2 5 4 2 6" xfId="50451"/>
    <cellStyle name="Percent 2 5 4 2 6 2" xfId="50452"/>
    <cellStyle name="Percent 2 5 4 2 6 3" xfId="50453"/>
    <cellStyle name="Percent 2 5 4 2 7" xfId="50454"/>
    <cellStyle name="Percent 2 5 4 2 8" xfId="50455"/>
    <cellStyle name="Percent 2 5 4 3" xfId="50456"/>
    <cellStyle name="Percent 2 5 4 3 2" xfId="50457"/>
    <cellStyle name="Percent 2 5 4 3 2 2" xfId="50458"/>
    <cellStyle name="Percent 2 5 4 3 2 2 2" xfId="50459"/>
    <cellStyle name="Percent 2 5 4 3 2 2 3" xfId="50460"/>
    <cellStyle name="Percent 2 5 4 3 2 3" xfId="50461"/>
    <cellStyle name="Percent 2 5 4 3 2 3 2" xfId="50462"/>
    <cellStyle name="Percent 2 5 4 3 2 3 3" xfId="50463"/>
    <cellStyle name="Percent 2 5 4 3 2 4" xfId="50464"/>
    <cellStyle name="Percent 2 5 4 3 2 5" xfId="50465"/>
    <cellStyle name="Percent 2 5 4 3 3" xfId="50466"/>
    <cellStyle name="Percent 2 5 4 3 3 2" xfId="50467"/>
    <cellStyle name="Percent 2 5 4 3 3 3" xfId="50468"/>
    <cellStyle name="Percent 2 5 4 3 4" xfId="50469"/>
    <cellStyle name="Percent 2 5 4 3 4 2" xfId="50470"/>
    <cellStyle name="Percent 2 5 4 3 4 3" xfId="50471"/>
    <cellStyle name="Percent 2 5 4 3 5" xfId="50472"/>
    <cellStyle name="Percent 2 5 4 3 6" xfId="50473"/>
    <cellStyle name="Percent 2 5 4 4" xfId="50474"/>
    <cellStyle name="Percent 2 5 4 4 2" xfId="50475"/>
    <cellStyle name="Percent 2 5 4 4 2 2" xfId="50476"/>
    <cellStyle name="Percent 2 5 4 4 2 2 2" xfId="50477"/>
    <cellStyle name="Percent 2 5 4 4 2 2 3" xfId="50478"/>
    <cellStyle name="Percent 2 5 4 4 2 3" xfId="50479"/>
    <cellStyle name="Percent 2 5 4 4 2 3 2" xfId="50480"/>
    <cellStyle name="Percent 2 5 4 4 2 3 3" xfId="50481"/>
    <cellStyle name="Percent 2 5 4 4 2 4" xfId="50482"/>
    <cellStyle name="Percent 2 5 4 4 2 5" xfId="50483"/>
    <cellStyle name="Percent 2 5 4 4 3" xfId="50484"/>
    <cellStyle name="Percent 2 5 4 4 3 2" xfId="50485"/>
    <cellStyle name="Percent 2 5 4 4 3 3" xfId="50486"/>
    <cellStyle name="Percent 2 5 4 4 4" xfId="50487"/>
    <cellStyle name="Percent 2 5 4 4 4 2" xfId="50488"/>
    <cellStyle name="Percent 2 5 4 4 4 3" xfId="50489"/>
    <cellStyle name="Percent 2 5 4 4 5" xfId="50490"/>
    <cellStyle name="Percent 2 5 4 4 6" xfId="50491"/>
    <cellStyle name="Percent 2 5 4 5" xfId="50492"/>
    <cellStyle name="Percent 2 5 4 5 2" xfId="50493"/>
    <cellStyle name="Percent 2 5 4 5 2 2" xfId="50494"/>
    <cellStyle name="Percent 2 5 4 5 2 3" xfId="50495"/>
    <cellStyle name="Percent 2 5 4 5 3" xfId="50496"/>
    <cellStyle name="Percent 2 5 4 5 3 2" xfId="50497"/>
    <cellStyle name="Percent 2 5 4 5 3 3" xfId="50498"/>
    <cellStyle name="Percent 2 5 4 5 4" xfId="50499"/>
    <cellStyle name="Percent 2 5 4 5 5" xfId="50500"/>
    <cellStyle name="Percent 2 5 4 6" xfId="50501"/>
    <cellStyle name="Percent 2 5 4 6 2" xfId="50502"/>
    <cellStyle name="Percent 2 5 4 6 3" xfId="50503"/>
    <cellStyle name="Percent 2 5 4 7" xfId="50504"/>
    <cellStyle name="Percent 2 5 4 7 2" xfId="50505"/>
    <cellStyle name="Percent 2 5 4 7 3" xfId="50506"/>
    <cellStyle name="Percent 2 5 4 8" xfId="50507"/>
    <cellStyle name="Percent 2 5 4 9" xfId="50508"/>
    <cellStyle name="Percent 2 5 5" xfId="50509"/>
    <cellStyle name="Percent 2 5 5 2" xfId="50510"/>
    <cellStyle name="Percent 2 5 5 2 2" xfId="50511"/>
    <cellStyle name="Percent 2 5 5 2 2 2" xfId="50512"/>
    <cellStyle name="Percent 2 5 5 2 2 2 2" xfId="50513"/>
    <cellStyle name="Percent 2 5 5 2 2 2 3" xfId="50514"/>
    <cellStyle name="Percent 2 5 5 2 2 3" xfId="50515"/>
    <cellStyle name="Percent 2 5 5 2 2 3 2" xfId="50516"/>
    <cellStyle name="Percent 2 5 5 2 2 3 3" xfId="50517"/>
    <cellStyle name="Percent 2 5 5 2 2 4" xfId="50518"/>
    <cellStyle name="Percent 2 5 5 2 2 5" xfId="50519"/>
    <cellStyle name="Percent 2 5 5 2 3" xfId="50520"/>
    <cellStyle name="Percent 2 5 5 2 3 2" xfId="50521"/>
    <cellStyle name="Percent 2 5 5 2 3 3" xfId="50522"/>
    <cellStyle name="Percent 2 5 5 2 4" xfId="50523"/>
    <cellStyle name="Percent 2 5 5 2 4 2" xfId="50524"/>
    <cellStyle name="Percent 2 5 5 2 4 3" xfId="50525"/>
    <cellStyle name="Percent 2 5 5 2 5" xfId="50526"/>
    <cellStyle name="Percent 2 5 5 2 6" xfId="50527"/>
    <cellStyle name="Percent 2 5 5 3" xfId="50528"/>
    <cellStyle name="Percent 2 5 5 3 2" xfId="50529"/>
    <cellStyle name="Percent 2 5 5 3 2 2" xfId="50530"/>
    <cellStyle name="Percent 2 5 5 3 2 2 2" xfId="50531"/>
    <cellStyle name="Percent 2 5 5 3 2 2 3" xfId="50532"/>
    <cellStyle name="Percent 2 5 5 3 2 3" xfId="50533"/>
    <cellStyle name="Percent 2 5 5 3 2 3 2" xfId="50534"/>
    <cellStyle name="Percent 2 5 5 3 2 3 3" xfId="50535"/>
    <cellStyle name="Percent 2 5 5 3 2 4" xfId="50536"/>
    <cellStyle name="Percent 2 5 5 3 2 5" xfId="50537"/>
    <cellStyle name="Percent 2 5 5 3 3" xfId="50538"/>
    <cellStyle name="Percent 2 5 5 3 3 2" xfId="50539"/>
    <cellStyle name="Percent 2 5 5 3 3 3" xfId="50540"/>
    <cellStyle name="Percent 2 5 5 3 4" xfId="50541"/>
    <cellStyle name="Percent 2 5 5 3 4 2" xfId="50542"/>
    <cellStyle name="Percent 2 5 5 3 4 3" xfId="50543"/>
    <cellStyle name="Percent 2 5 5 3 5" xfId="50544"/>
    <cellStyle name="Percent 2 5 5 3 6" xfId="50545"/>
    <cellStyle name="Percent 2 5 5 4" xfId="50546"/>
    <cellStyle name="Percent 2 5 5 4 2" xfId="50547"/>
    <cellStyle name="Percent 2 5 5 4 2 2" xfId="50548"/>
    <cellStyle name="Percent 2 5 5 4 2 3" xfId="50549"/>
    <cellStyle name="Percent 2 5 5 4 3" xfId="50550"/>
    <cellStyle name="Percent 2 5 5 4 3 2" xfId="50551"/>
    <cellStyle name="Percent 2 5 5 4 3 3" xfId="50552"/>
    <cellStyle name="Percent 2 5 5 4 4" xfId="50553"/>
    <cellStyle name="Percent 2 5 5 4 5" xfId="50554"/>
    <cellStyle name="Percent 2 5 5 5" xfId="50555"/>
    <cellStyle name="Percent 2 5 5 5 2" xfId="50556"/>
    <cellStyle name="Percent 2 5 5 5 3" xfId="50557"/>
    <cellStyle name="Percent 2 5 5 6" xfId="50558"/>
    <cellStyle name="Percent 2 5 5 6 2" xfId="50559"/>
    <cellStyle name="Percent 2 5 5 6 3" xfId="50560"/>
    <cellStyle name="Percent 2 5 5 7" xfId="50561"/>
    <cellStyle name="Percent 2 5 5 8" xfId="50562"/>
    <cellStyle name="Percent 2 5 6" xfId="50563"/>
    <cellStyle name="Percent 2 5 6 2" xfId="50564"/>
    <cellStyle name="Percent 2 5 6 2 2" xfId="50565"/>
    <cellStyle name="Percent 2 5 6 2 2 2" xfId="50566"/>
    <cellStyle name="Percent 2 5 6 2 2 3" xfId="50567"/>
    <cellStyle name="Percent 2 5 6 2 3" xfId="50568"/>
    <cellStyle name="Percent 2 5 6 2 3 2" xfId="50569"/>
    <cellStyle name="Percent 2 5 6 2 3 3" xfId="50570"/>
    <cellStyle name="Percent 2 5 6 2 4" xfId="50571"/>
    <cellStyle name="Percent 2 5 6 2 5" xfId="50572"/>
    <cellStyle name="Percent 2 5 6 3" xfId="50573"/>
    <cellStyle name="Percent 2 5 6 3 2" xfId="50574"/>
    <cellStyle name="Percent 2 5 6 3 3" xfId="50575"/>
    <cellStyle name="Percent 2 5 6 4" xfId="50576"/>
    <cellStyle name="Percent 2 5 6 4 2" xfId="50577"/>
    <cellStyle name="Percent 2 5 6 4 3" xfId="50578"/>
    <cellStyle name="Percent 2 5 6 5" xfId="50579"/>
    <cellStyle name="Percent 2 5 6 6" xfId="50580"/>
    <cellStyle name="Percent 2 5 7" xfId="50581"/>
    <cellStyle name="Percent 2 5 7 2" xfId="50582"/>
    <cellStyle name="Percent 2 5 7 2 2" xfId="50583"/>
    <cellStyle name="Percent 2 5 7 2 2 2" xfId="50584"/>
    <cellStyle name="Percent 2 5 7 2 2 3" xfId="50585"/>
    <cellStyle name="Percent 2 5 7 2 3" xfId="50586"/>
    <cellStyle name="Percent 2 5 7 2 3 2" xfId="50587"/>
    <cellStyle name="Percent 2 5 7 2 3 3" xfId="50588"/>
    <cellStyle name="Percent 2 5 7 2 4" xfId="50589"/>
    <cellStyle name="Percent 2 5 7 2 5" xfId="50590"/>
    <cellStyle name="Percent 2 5 7 3" xfId="50591"/>
    <cellStyle name="Percent 2 5 7 3 2" xfId="50592"/>
    <cellStyle name="Percent 2 5 7 3 3" xfId="50593"/>
    <cellStyle name="Percent 2 5 7 4" xfId="50594"/>
    <cellStyle name="Percent 2 5 7 4 2" xfId="50595"/>
    <cellStyle name="Percent 2 5 7 4 3" xfId="50596"/>
    <cellStyle name="Percent 2 5 7 5" xfId="50597"/>
    <cellStyle name="Percent 2 5 7 6" xfId="50598"/>
    <cellStyle name="Percent 2 5 8" xfId="50599"/>
    <cellStyle name="Percent 2 5 8 2" xfId="50600"/>
    <cellStyle name="Percent 2 5 8 2 2" xfId="50601"/>
    <cellStyle name="Percent 2 5 8 2 3" xfId="50602"/>
    <cellStyle name="Percent 2 5 8 3" xfId="50603"/>
    <cellStyle name="Percent 2 5 8 3 2" xfId="50604"/>
    <cellStyle name="Percent 2 5 8 3 3" xfId="50605"/>
    <cellStyle name="Percent 2 5 8 4" xfId="50606"/>
    <cellStyle name="Percent 2 5 8 5" xfId="50607"/>
    <cellStyle name="Percent 2 5 9" xfId="50608"/>
    <cellStyle name="Percent 2 5 9 2" xfId="50609"/>
    <cellStyle name="Percent 2 5 9 3" xfId="50610"/>
    <cellStyle name="Percent 2 6" xfId="50611"/>
    <cellStyle name="Percent 2 6 10" xfId="50612"/>
    <cellStyle name="Percent 2 6 2" xfId="50613"/>
    <cellStyle name="Percent 2 6 2 2" xfId="50614"/>
    <cellStyle name="Percent 2 6 2 2 2" xfId="50615"/>
    <cellStyle name="Percent 2 6 2 2 2 2" xfId="50616"/>
    <cellStyle name="Percent 2 6 2 2 2 2 2" xfId="50617"/>
    <cellStyle name="Percent 2 6 2 2 2 2 2 2" xfId="50618"/>
    <cellStyle name="Percent 2 6 2 2 2 2 2 3" xfId="50619"/>
    <cellStyle name="Percent 2 6 2 2 2 2 3" xfId="50620"/>
    <cellStyle name="Percent 2 6 2 2 2 2 3 2" xfId="50621"/>
    <cellStyle name="Percent 2 6 2 2 2 2 3 3" xfId="50622"/>
    <cellStyle name="Percent 2 6 2 2 2 2 4" xfId="50623"/>
    <cellStyle name="Percent 2 6 2 2 2 2 5" xfId="50624"/>
    <cellStyle name="Percent 2 6 2 2 2 3" xfId="50625"/>
    <cellStyle name="Percent 2 6 2 2 2 3 2" xfId="50626"/>
    <cellStyle name="Percent 2 6 2 2 2 3 3" xfId="50627"/>
    <cellStyle name="Percent 2 6 2 2 2 4" xfId="50628"/>
    <cellStyle name="Percent 2 6 2 2 2 4 2" xfId="50629"/>
    <cellStyle name="Percent 2 6 2 2 2 4 3" xfId="50630"/>
    <cellStyle name="Percent 2 6 2 2 2 5" xfId="50631"/>
    <cellStyle name="Percent 2 6 2 2 2 6" xfId="50632"/>
    <cellStyle name="Percent 2 6 2 2 3" xfId="50633"/>
    <cellStyle name="Percent 2 6 2 2 3 2" xfId="50634"/>
    <cellStyle name="Percent 2 6 2 2 3 2 2" xfId="50635"/>
    <cellStyle name="Percent 2 6 2 2 3 2 2 2" xfId="50636"/>
    <cellStyle name="Percent 2 6 2 2 3 2 2 3" xfId="50637"/>
    <cellStyle name="Percent 2 6 2 2 3 2 3" xfId="50638"/>
    <cellStyle name="Percent 2 6 2 2 3 2 3 2" xfId="50639"/>
    <cellStyle name="Percent 2 6 2 2 3 2 3 3" xfId="50640"/>
    <cellStyle name="Percent 2 6 2 2 3 2 4" xfId="50641"/>
    <cellStyle name="Percent 2 6 2 2 3 2 5" xfId="50642"/>
    <cellStyle name="Percent 2 6 2 2 3 3" xfId="50643"/>
    <cellStyle name="Percent 2 6 2 2 3 3 2" xfId="50644"/>
    <cellStyle name="Percent 2 6 2 2 3 3 3" xfId="50645"/>
    <cellStyle name="Percent 2 6 2 2 3 4" xfId="50646"/>
    <cellStyle name="Percent 2 6 2 2 3 4 2" xfId="50647"/>
    <cellStyle name="Percent 2 6 2 2 3 4 3" xfId="50648"/>
    <cellStyle name="Percent 2 6 2 2 3 5" xfId="50649"/>
    <cellStyle name="Percent 2 6 2 2 3 6" xfId="50650"/>
    <cellStyle name="Percent 2 6 2 2 4" xfId="50651"/>
    <cellStyle name="Percent 2 6 2 2 4 2" xfId="50652"/>
    <cellStyle name="Percent 2 6 2 2 4 2 2" xfId="50653"/>
    <cellStyle name="Percent 2 6 2 2 4 2 3" xfId="50654"/>
    <cellStyle name="Percent 2 6 2 2 4 3" xfId="50655"/>
    <cellStyle name="Percent 2 6 2 2 4 3 2" xfId="50656"/>
    <cellStyle name="Percent 2 6 2 2 4 3 3" xfId="50657"/>
    <cellStyle name="Percent 2 6 2 2 4 4" xfId="50658"/>
    <cellStyle name="Percent 2 6 2 2 4 5" xfId="50659"/>
    <cellStyle name="Percent 2 6 2 2 5" xfId="50660"/>
    <cellStyle name="Percent 2 6 2 2 5 2" xfId="50661"/>
    <cellStyle name="Percent 2 6 2 2 5 3" xfId="50662"/>
    <cellStyle name="Percent 2 6 2 2 6" xfId="50663"/>
    <cellStyle name="Percent 2 6 2 2 6 2" xfId="50664"/>
    <cellStyle name="Percent 2 6 2 2 6 3" xfId="50665"/>
    <cellStyle name="Percent 2 6 2 2 7" xfId="50666"/>
    <cellStyle name="Percent 2 6 2 2 8" xfId="50667"/>
    <cellStyle name="Percent 2 6 2 3" xfId="50668"/>
    <cellStyle name="Percent 2 6 2 3 2" xfId="50669"/>
    <cellStyle name="Percent 2 6 2 3 2 2" xfId="50670"/>
    <cellStyle name="Percent 2 6 2 3 2 2 2" xfId="50671"/>
    <cellStyle name="Percent 2 6 2 3 2 2 3" xfId="50672"/>
    <cellStyle name="Percent 2 6 2 3 2 3" xfId="50673"/>
    <cellStyle name="Percent 2 6 2 3 2 3 2" xfId="50674"/>
    <cellStyle name="Percent 2 6 2 3 2 3 3" xfId="50675"/>
    <cellStyle name="Percent 2 6 2 3 2 4" xfId="50676"/>
    <cellStyle name="Percent 2 6 2 3 2 5" xfId="50677"/>
    <cellStyle name="Percent 2 6 2 3 3" xfId="50678"/>
    <cellStyle name="Percent 2 6 2 3 3 2" xfId="50679"/>
    <cellStyle name="Percent 2 6 2 3 3 3" xfId="50680"/>
    <cellStyle name="Percent 2 6 2 3 4" xfId="50681"/>
    <cellStyle name="Percent 2 6 2 3 4 2" xfId="50682"/>
    <cellStyle name="Percent 2 6 2 3 4 3" xfId="50683"/>
    <cellStyle name="Percent 2 6 2 3 5" xfId="50684"/>
    <cellStyle name="Percent 2 6 2 3 6" xfId="50685"/>
    <cellStyle name="Percent 2 6 2 4" xfId="50686"/>
    <cellStyle name="Percent 2 6 2 4 2" xfId="50687"/>
    <cellStyle name="Percent 2 6 2 4 2 2" xfId="50688"/>
    <cellStyle name="Percent 2 6 2 4 2 2 2" xfId="50689"/>
    <cellStyle name="Percent 2 6 2 4 2 2 3" xfId="50690"/>
    <cellStyle name="Percent 2 6 2 4 2 3" xfId="50691"/>
    <cellStyle name="Percent 2 6 2 4 2 3 2" xfId="50692"/>
    <cellStyle name="Percent 2 6 2 4 2 3 3" xfId="50693"/>
    <cellStyle name="Percent 2 6 2 4 2 4" xfId="50694"/>
    <cellStyle name="Percent 2 6 2 4 2 5" xfId="50695"/>
    <cellStyle name="Percent 2 6 2 4 3" xfId="50696"/>
    <cellStyle name="Percent 2 6 2 4 3 2" xfId="50697"/>
    <cellStyle name="Percent 2 6 2 4 3 3" xfId="50698"/>
    <cellStyle name="Percent 2 6 2 4 4" xfId="50699"/>
    <cellStyle name="Percent 2 6 2 4 4 2" xfId="50700"/>
    <cellStyle name="Percent 2 6 2 4 4 3" xfId="50701"/>
    <cellStyle name="Percent 2 6 2 4 5" xfId="50702"/>
    <cellStyle name="Percent 2 6 2 4 6" xfId="50703"/>
    <cellStyle name="Percent 2 6 2 5" xfId="50704"/>
    <cellStyle name="Percent 2 6 2 5 2" xfId="50705"/>
    <cellStyle name="Percent 2 6 2 5 2 2" xfId="50706"/>
    <cellStyle name="Percent 2 6 2 5 2 3" xfId="50707"/>
    <cellStyle name="Percent 2 6 2 5 3" xfId="50708"/>
    <cellStyle name="Percent 2 6 2 5 3 2" xfId="50709"/>
    <cellStyle name="Percent 2 6 2 5 3 3" xfId="50710"/>
    <cellStyle name="Percent 2 6 2 5 4" xfId="50711"/>
    <cellStyle name="Percent 2 6 2 5 5" xfId="50712"/>
    <cellStyle name="Percent 2 6 2 6" xfId="50713"/>
    <cellStyle name="Percent 2 6 2 6 2" xfId="50714"/>
    <cellStyle name="Percent 2 6 2 6 3" xfId="50715"/>
    <cellStyle name="Percent 2 6 2 7" xfId="50716"/>
    <cellStyle name="Percent 2 6 2 7 2" xfId="50717"/>
    <cellStyle name="Percent 2 6 2 7 3" xfId="50718"/>
    <cellStyle name="Percent 2 6 2 8" xfId="50719"/>
    <cellStyle name="Percent 2 6 2 9" xfId="50720"/>
    <cellStyle name="Percent 2 6 3" xfId="50721"/>
    <cellStyle name="Percent 2 6 3 2" xfId="50722"/>
    <cellStyle name="Percent 2 6 3 2 2" xfId="50723"/>
    <cellStyle name="Percent 2 6 3 2 2 2" xfId="50724"/>
    <cellStyle name="Percent 2 6 3 2 2 2 2" xfId="50725"/>
    <cellStyle name="Percent 2 6 3 2 2 2 3" xfId="50726"/>
    <cellStyle name="Percent 2 6 3 2 2 3" xfId="50727"/>
    <cellStyle name="Percent 2 6 3 2 2 3 2" xfId="50728"/>
    <cellStyle name="Percent 2 6 3 2 2 3 3" xfId="50729"/>
    <cellStyle name="Percent 2 6 3 2 2 4" xfId="50730"/>
    <cellStyle name="Percent 2 6 3 2 2 5" xfId="50731"/>
    <cellStyle name="Percent 2 6 3 2 3" xfId="50732"/>
    <cellStyle name="Percent 2 6 3 2 3 2" xfId="50733"/>
    <cellStyle name="Percent 2 6 3 2 3 3" xfId="50734"/>
    <cellStyle name="Percent 2 6 3 2 4" xfId="50735"/>
    <cellStyle name="Percent 2 6 3 2 4 2" xfId="50736"/>
    <cellStyle name="Percent 2 6 3 2 4 3" xfId="50737"/>
    <cellStyle name="Percent 2 6 3 2 5" xfId="50738"/>
    <cellStyle name="Percent 2 6 3 2 6" xfId="50739"/>
    <cellStyle name="Percent 2 6 3 3" xfId="50740"/>
    <cellStyle name="Percent 2 6 3 3 2" xfId="50741"/>
    <cellStyle name="Percent 2 6 3 3 2 2" xfId="50742"/>
    <cellStyle name="Percent 2 6 3 3 2 2 2" xfId="50743"/>
    <cellStyle name="Percent 2 6 3 3 2 2 3" xfId="50744"/>
    <cellStyle name="Percent 2 6 3 3 2 3" xfId="50745"/>
    <cellStyle name="Percent 2 6 3 3 2 3 2" xfId="50746"/>
    <cellStyle name="Percent 2 6 3 3 2 3 3" xfId="50747"/>
    <cellStyle name="Percent 2 6 3 3 2 4" xfId="50748"/>
    <cellStyle name="Percent 2 6 3 3 2 5" xfId="50749"/>
    <cellStyle name="Percent 2 6 3 3 3" xfId="50750"/>
    <cellStyle name="Percent 2 6 3 3 3 2" xfId="50751"/>
    <cellStyle name="Percent 2 6 3 3 3 3" xfId="50752"/>
    <cellStyle name="Percent 2 6 3 3 4" xfId="50753"/>
    <cellStyle name="Percent 2 6 3 3 4 2" xfId="50754"/>
    <cellStyle name="Percent 2 6 3 3 4 3" xfId="50755"/>
    <cellStyle name="Percent 2 6 3 3 5" xfId="50756"/>
    <cellStyle name="Percent 2 6 3 3 6" xfId="50757"/>
    <cellStyle name="Percent 2 6 3 4" xfId="50758"/>
    <cellStyle name="Percent 2 6 3 4 2" xfId="50759"/>
    <cellStyle name="Percent 2 6 3 4 2 2" xfId="50760"/>
    <cellStyle name="Percent 2 6 3 4 2 3" xfId="50761"/>
    <cellStyle name="Percent 2 6 3 4 3" xfId="50762"/>
    <cellStyle name="Percent 2 6 3 4 3 2" xfId="50763"/>
    <cellStyle name="Percent 2 6 3 4 3 3" xfId="50764"/>
    <cellStyle name="Percent 2 6 3 4 4" xfId="50765"/>
    <cellStyle name="Percent 2 6 3 4 5" xfId="50766"/>
    <cellStyle name="Percent 2 6 3 5" xfId="50767"/>
    <cellStyle name="Percent 2 6 3 5 2" xfId="50768"/>
    <cellStyle name="Percent 2 6 3 5 3" xfId="50769"/>
    <cellStyle name="Percent 2 6 3 6" xfId="50770"/>
    <cellStyle name="Percent 2 6 3 6 2" xfId="50771"/>
    <cellStyle name="Percent 2 6 3 6 3" xfId="50772"/>
    <cellStyle name="Percent 2 6 3 7" xfId="50773"/>
    <cellStyle name="Percent 2 6 3 8" xfId="50774"/>
    <cellStyle name="Percent 2 6 4" xfId="50775"/>
    <cellStyle name="Percent 2 6 4 2" xfId="50776"/>
    <cellStyle name="Percent 2 6 4 2 2" xfId="50777"/>
    <cellStyle name="Percent 2 6 4 2 2 2" xfId="50778"/>
    <cellStyle name="Percent 2 6 4 2 2 3" xfId="50779"/>
    <cellStyle name="Percent 2 6 4 2 3" xfId="50780"/>
    <cellStyle name="Percent 2 6 4 2 3 2" xfId="50781"/>
    <cellStyle name="Percent 2 6 4 2 3 3" xfId="50782"/>
    <cellStyle name="Percent 2 6 4 2 4" xfId="50783"/>
    <cellStyle name="Percent 2 6 4 2 5" xfId="50784"/>
    <cellStyle name="Percent 2 6 4 3" xfId="50785"/>
    <cellStyle name="Percent 2 6 4 3 2" xfId="50786"/>
    <cellStyle name="Percent 2 6 4 3 3" xfId="50787"/>
    <cellStyle name="Percent 2 6 4 4" xfId="50788"/>
    <cellStyle name="Percent 2 6 4 4 2" xfId="50789"/>
    <cellStyle name="Percent 2 6 4 4 3" xfId="50790"/>
    <cellStyle name="Percent 2 6 4 5" xfId="50791"/>
    <cellStyle name="Percent 2 6 4 6" xfId="50792"/>
    <cellStyle name="Percent 2 6 5" xfId="50793"/>
    <cellStyle name="Percent 2 6 5 2" xfId="50794"/>
    <cellStyle name="Percent 2 6 5 2 2" xfId="50795"/>
    <cellStyle name="Percent 2 6 5 2 2 2" xfId="50796"/>
    <cellStyle name="Percent 2 6 5 2 2 3" xfId="50797"/>
    <cellStyle name="Percent 2 6 5 2 3" xfId="50798"/>
    <cellStyle name="Percent 2 6 5 2 3 2" xfId="50799"/>
    <cellStyle name="Percent 2 6 5 2 3 3" xfId="50800"/>
    <cellStyle name="Percent 2 6 5 2 4" xfId="50801"/>
    <cellStyle name="Percent 2 6 5 2 5" xfId="50802"/>
    <cellStyle name="Percent 2 6 5 3" xfId="50803"/>
    <cellStyle name="Percent 2 6 5 3 2" xfId="50804"/>
    <cellStyle name="Percent 2 6 5 3 3" xfId="50805"/>
    <cellStyle name="Percent 2 6 5 4" xfId="50806"/>
    <cellStyle name="Percent 2 6 5 4 2" xfId="50807"/>
    <cellStyle name="Percent 2 6 5 4 3" xfId="50808"/>
    <cellStyle name="Percent 2 6 5 5" xfId="50809"/>
    <cellStyle name="Percent 2 6 5 6" xfId="50810"/>
    <cellStyle name="Percent 2 6 6" xfId="50811"/>
    <cellStyle name="Percent 2 6 6 2" xfId="50812"/>
    <cellStyle name="Percent 2 6 6 2 2" xfId="50813"/>
    <cellStyle name="Percent 2 6 6 2 3" xfId="50814"/>
    <cellStyle name="Percent 2 6 6 3" xfId="50815"/>
    <cellStyle name="Percent 2 6 6 3 2" xfId="50816"/>
    <cellStyle name="Percent 2 6 6 3 3" xfId="50817"/>
    <cellStyle name="Percent 2 6 6 4" xfId="50818"/>
    <cellStyle name="Percent 2 6 6 5" xfId="50819"/>
    <cellStyle name="Percent 2 6 7" xfId="50820"/>
    <cellStyle name="Percent 2 6 7 2" xfId="50821"/>
    <cellStyle name="Percent 2 6 7 3" xfId="50822"/>
    <cellStyle name="Percent 2 6 8" xfId="50823"/>
    <cellStyle name="Percent 2 6 8 2" xfId="50824"/>
    <cellStyle name="Percent 2 6 8 3" xfId="50825"/>
    <cellStyle name="Percent 2 6 9" xfId="50826"/>
    <cellStyle name="Percent 2 7" xfId="50827"/>
    <cellStyle name="Percent 2 7 10" xfId="50828"/>
    <cellStyle name="Percent 2 7 2" xfId="50829"/>
    <cellStyle name="Percent 2 7 2 2" xfId="50830"/>
    <cellStyle name="Percent 2 7 2 2 2" xfId="50831"/>
    <cellStyle name="Percent 2 7 2 2 2 2" xfId="50832"/>
    <cellStyle name="Percent 2 7 2 2 2 2 2" xfId="50833"/>
    <cellStyle name="Percent 2 7 2 2 2 2 2 2" xfId="50834"/>
    <cellStyle name="Percent 2 7 2 2 2 2 2 3" xfId="50835"/>
    <cellStyle name="Percent 2 7 2 2 2 2 3" xfId="50836"/>
    <cellStyle name="Percent 2 7 2 2 2 2 3 2" xfId="50837"/>
    <cellStyle name="Percent 2 7 2 2 2 2 3 3" xfId="50838"/>
    <cellStyle name="Percent 2 7 2 2 2 2 4" xfId="50839"/>
    <cellStyle name="Percent 2 7 2 2 2 2 5" xfId="50840"/>
    <cellStyle name="Percent 2 7 2 2 2 3" xfId="50841"/>
    <cellStyle name="Percent 2 7 2 2 2 3 2" xfId="50842"/>
    <cellStyle name="Percent 2 7 2 2 2 3 3" xfId="50843"/>
    <cellStyle name="Percent 2 7 2 2 2 4" xfId="50844"/>
    <cellStyle name="Percent 2 7 2 2 2 4 2" xfId="50845"/>
    <cellStyle name="Percent 2 7 2 2 2 4 3" xfId="50846"/>
    <cellStyle name="Percent 2 7 2 2 2 5" xfId="50847"/>
    <cellStyle name="Percent 2 7 2 2 2 6" xfId="50848"/>
    <cellStyle name="Percent 2 7 2 2 3" xfId="50849"/>
    <cellStyle name="Percent 2 7 2 2 3 2" xfId="50850"/>
    <cellStyle name="Percent 2 7 2 2 3 2 2" xfId="50851"/>
    <cellStyle name="Percent 2 7 2 2 3 2 2 2" xfId="50852"/>
    <cellStyle name="Percent 2 7 2 2 3 2 2 3" xfId="50853"/>
    <cellStyle name="Percent 2 7 2 2 3 2 3" xfId="50854"/>
    <cellStyle name="Percent 2 7 2 2 3 2 3 2" xfId="50855"/>
    <cellStyle name="Percent 2 7 2 2 3 2 3 3" xfId="50856"/>
    <cellStyle name="Percent 2 7 2 2 3 2 4" xfId="50857"/>
    <cellStyle name="Percent 2 7 2 2 3 2 5" xfId="50858"/>
    <cellStyle name="Percent 2 7 2 2 3 3" xfId="50859"/>
    <cellStyle name="Percent 2 7 2 2 3 3 2" xfId="50860"/>
    <cellStyle name="Percent 2 7 2 2 3 3 3" xfId="50861"/>
    <cellStyle name="Percent 2 7 2 2 3 4" xfId="50862"/>
    <cellStyle name="Percent 2 7 2 2 3 4 2" xfId="50863"/>
    <cellStyle name="Percent 2 7 2 2 3 4 3" xfId="50864"/>
    <cellStyle name="Percent 2 7 2 2 3 5" xfId="50865"/>
    <cellStyle name="Percent 2 7 2 2 3 6" xfId="50866"/>
    <cellStyle name="Percent 2 7 2 2 4" xfId="50867"/>
    <cellStyle name="Percent 2 7 2 2 4 2" xfId="50868"/>
    <cellStyle name="Percent 2 7 2 2 4 2 2" xfId="50869"/>
    <cellStyle name="Percent 2 7 2 2 4 2 3" xfId="50870"/>
    <cellStyle name="Percent 2 7 2 2 4 3" xfId="50871"/>
    <cellStyle name="Percent 2 7 2 2 4 3 2" xfId="50872"/>
    <cellStyle name="Percent 2 7 2 2 4 3 3" xfId="50873"/>
    <cellStyle name="Percent 2 7 2 2 4 4" xfId="50874"/>
    <cellStyle name="Percent 2 7 2 2 4 5" xfId="50875"/>
    <cellStyle name="Percent 2 7 2 2 5" xfId="50876"/>
    <cellStyle name="Percent 2 7 2 2 5 2" xfId="50877"/>
    <cellStyle name="Percent 2 7 2 2 5 3" xfId="50878"/>
    <cellStyle name="Percent 2 7 2 2 6" xfId="50879"/>
    <cellStyle name="Percent 2 7 2 2 6 2" xfId="50880"/>
    <cellStyle name="Percent 2 7 2 2 6 3" xfId="50881"/>
    <cellStyle name="Percent 2 7 2 2 7" xfId="50882"/>
    <cellStyle name="Percent 2 7 2 2 8" xfId="50883"/>
    <cellStyle name="Percent 2 7 2 3" xfId="50884"/>
    <cellStyle name="Percent 2 7 2 3 2" xfId="50885"/>
    <cellStyle name="Percent 2 7 2 3 2 2" xfId="50886"/>
    <cellStyle name="Percent 2 7 2 3 2 2 2" xfId="50887"/>
    <cellStyle name="Percent 2 7 2 3 2 2 3" xfId="50888"/>
    <cellStyle name="Percent 2 7 2 3 2 3" xfId="50889"/>
    <cellStyle name="Percent 2 7 2 3 2 3 2" xfId="50890"/>
    <cellStyle name="Percent 2 7 2 3 2 3 3" xfId="50891"/>
    <cellStyle name="Percent 2 7 2 3 2 4" xfId="50892"/>
    <cellStyle name="Percent 2 7 2 3 2 5" xfId="50893"/>
    <cellStyle name="Percent 2 7 2 3 3" xfId="50894"/>
    <cellStyle name="Percent 2 7 2 3 3 2" xfId="50895"/>
    <cellStyle name="Percent 2 7 2 3 3 3" xfId="50896"/>
    <cellStyle name="Percent 2 7 2 3 4" xfId="50897"/>
    <cellStyle name="Percent 2 7 2 3 4 2" xfId="50898"/>
    <cellStyle name="Percent 2 7 2 3 4 3" xfId="50899"/>
    <cellStyle name="Percent 2 7 2 3 5" xfId="50900"/>
    <cellStyle name="Percent 2 7 2 3 6" xfId="50901"/>
    <cellStyle name="Percent 2 7 2 4" xfId="50902"/>
    <cellStyle name="Percent 2 7 2 4 2" xfId="50903"/>
    <cellStyle name="Percent 2 7 2 4 2 2" xfId="50904"/>
    <cellStyle name="Percent 2 7 2 4 2 2 2" xfId="50905"/>
    <cellStyle name="Percent 2 7 2 4 2 2 3" xfId="50906"/>
    <cellStyle name="Percent 2 7 2 4 2 3" xfId="50907"/>
    <cellStyle name="Percent 2 7 2 4 2 3 2" xfId="50908"/>
    <cellStyle name="Percent 2 7 2 4 2 3 3" xfId="50909"/>
    <cellStyle name="Percent 2 7 2 4 2 4" xfId="50910"/>
    <cellStyle name="Percent 2 7 2 4 2 5" xfId="50911"/>
    <cellStyle name="Percent 2 7 2 4 3" xfId="50912"/>
    <cellStyle name="Percent 2 7 2 4 3 2" xfId="50913"/>
    <cellStyle name="Percent 2 7 2 4 3 3" xfId="50914"/>
    <cellStyle name="Percent 2 7 2 4 4" xfId="50915"/>
    <cellStyle name="Percent 2 7 2 4 4 2" xfId="50916"/>
    <cellStyle name="Percent 2 7 2 4 4 3" xfId="50917"/>
    <cellStyle name="Percent 2 7 2 4 5" xfId="50918"/>
    <cellStyle name="Percent 2 7 2 4 6" xfId="50919"/>
    <cellStyle name="Percent 2 7 2 5" xfId="50920"/>
    <cellStyle name="Percent 2 7 2 5 2" xfId="50921"/>
    <cellStyle name="Percent 2 7 2 5 2 2" xfId="50922"/>
    <cellStyle name="Percent 2 7 2 5 2 3" xfId="50923"/>
    <cellStyle name="Percent 2 7 2 5 3" xfId="50924"/>
    <cellStyle name="Percent 2 7 2 5 3 2" xfId="50925"/>
    <cellStyle name="Percent 2 7 2 5 3 3" xfId="50926"/>
    <cellStyle name="Percent 2 7 2 5 4" xfId="50927"/>
    <cellStyle name="Percent 2 7 2 5 5" xfId="50928"/>
    <cellStyle name="Percent 2 7 2 6" xfId="50929"/>
    <cellStyle name="Percent 2 7 2 6 2" xfId="50930"/>
    <cellStyle name="Percent 2 7 2 6 3" xfId="50931"/>
    <cellStyle name="Percent 2 7 2 7" xfId="50932"/>
    <cellStyle name="Percent 2 7 2 7 2" xfId="50933"/>
    <cellStyle name="Percent 2 7 2 7 3" xfId="50934"/>
    <cellStyle name="Percent 2 7 2 8" xfId="50935"/>
    <cellStyle name="Percent 2 7 2 9" xfId="50936"/>
    <cellStyle name="Percent 2 7 3" xfId="50937"/>
    <cellStyle name="Percent 2 7 3 2" xfId="50938"/>
    <cellStyle name="Percent 2 7 3 2 2" xfId="50939"/>
    <cellStyle name="Percent 2 7 3 2 2 2" xfId="50940"/>
    <cellStyle name="Percent 2 7 3 2 2 2 2" xfId="50941"/>
    <cellStyle name="Percent 2 7 3 2 2 2 3" xfId="50942"/>
    <cellStyle name="Percent 2 7 3 2 2 3" xfId="50943"/>
    <cellStyle name="Percent 2 7 3 2 2 3 2" xfId="50944"/>
    <cellStyle name="Percent 2 7 3 2 2 3 3" xfId="50945"/>
    <cellStyle name="Percent 2 7 3 2 2 4" xfId="50946"/>
    <cellStyle name="Percent 2 7 3 2 2 5" xfId="50947"/>
    <cellStyle name="Percent 2 7 3 2 3" xfId="50948"/>
    <cellStyle name="Percent 2 7 3 2 3 2" xfId="50949"/>
    <cellStyle name="Percent 2 7 3 2 3 3" xfId="50950"/>
    <cellStyle name="Percent 2 7 3 2 4" xfId="50951"/>
    <cellStyle name="Percent 2 7 3 2 4 2" xfId="50952"/>
    <cellStyle name="Percent 2 7 3 2 4 3" xfId="50953"/>
    <cellStyle name="Percent 2 7 3 2 5" xfId="50954"/>
    <cellStyle name="Percent 2 7 3 2 6" xfId="50955"/>
    <cellStyle name="Percent 2 7 3 3" xfId="50956"/>
    <cellStyle name="Percent 2 7 3 3 2" xfId="50957"/>
    <cellStyle name="Percent 2 7 3 3 2 2" xfId="50958"/>
    <cellStyle name="Percent 2 7 3 3 2 2 2" xfId="50959"/>
    <cellStyle name="Percent 2 7 3 3 2 2 3" xfId="50960"/>
    <cellStyle name="Percent 2 7 3 3 2 3" xfId="50961"/>
    <cellStyle name="Percent 2 7 3 3 2 3 2" xfId="50962"/>
    <cellStyle name="Percent 2 7 3 3 2 3 3" xfId="50963"/>
    <cellStyle name="Percent 2 7 3 3 2 4" xfId="50964"/>
    <cellStyle name="Percent 2 7 3 3 2 5" xfId="50965"/>
    <cellStyle name="Percent 2 7 3 3 3" xfId="50966"/>
    <cellStyle name="Percent 2 7 3 3 3 2" xfId="50967"/>
    <cellStyle name="Percent 2 7 3 3 3 3" xfId="50968"/>
    <cellStyle name="Percent 2 7 3 3 4" xfId="50969"/>
    <cellStyle name="Percent 2 7 3 3 4 2" xfId="50970"/>
    <cellStyle name="Percent 2 7 3 3 4 3" xfId="50971"/>
    <cellStyle name="Percent 2 7 3 3 5" xfId="50972"/>
    <cellStyle name="Percent 2 7 3 3 6" xfId="50973"/>
    <cellStyle name="Percent 2 7 3 4" xfId="50974"/>
    <cellStyle name="Percent 2 7 3 4 2" xfId="50975"/>
    <cellStyle name="Percent 2 7 3 4 2 2" xfId="50976"/>
    <cellStyle name="Percent 2 7 3 4 2 3" xfId="50977"/>
    <cellStyle name="Percent 2 7 3 4 3" xfId="50978"/>
    <cellStyle name="Percent 2 7 3 4 3 2" xfId="50979"/>
    <cellStyle name="Percent 2 7 3 4 3 3" xfId="50980"/>
    <cellStyle name="Percent 2 7 3 4 4" xfId="50981"/>
    <cellStyle name="Percent 2 7 3 4 5" xfId="50982"/>
    <cellStyle name="Percent 2 7 3 5" xfId="50983"/>
    <cellStyle name="Percent 2 7 3 5 2" xfId="50984"/>
    <cellStyle name="Percent 2 7 3 5 3" xfId="50985"/>
    <cellStyle name="Percent 2 7 3 6" xfId="50986"/>
    <cellStyle name="Percent 2 7 3 6 2" xfId="50987"/>
    <cellStyle name="Percent 2 7 3 6 3" xfId="50988"/>
    <cellStyle name="Percent 2 7 3 7" xfId="50989"/>
    <cellStyle name="Percent 2 7 3 8" xfId="50990"/>
    <cellStyle name="Percent 2 7 4" xfId="50991"/>
    <cellStyle name="Percent 2 7 4 2" xfId="50992"/>
    <cellStyle name="Percent 2 7 4 2 2" xfId="50993"/>
    <cellStyle name="Percent 2 7 4 2 2 2" xfId="50994"/>
    <cellStyle name="Percent 2 7 4 2 2 3" xfId="50995"/>
    <cellStyle name="Percent 2 7 4 2 3" xfId="50996"/>
    <cellStyle name="Percent 2 7 4 2 3 2" xfId="50997"/>
    <cellStyle name="Percent 2 7 4 2 3 3" xfId="50998"/>
    <cellStyle name="Percent 2 7 4 2 4" xfId="50999"/>
    <cellStyle name="Percent 2 7 4 2 5" xfId="51000"/>
    <cellStyle name="Percent 2 7 4 3" xfId="51001"/>
    <cellStyle name="Percent 2 7 4 3 2" xfId="51002"/>
    <cellStyle name="Percent 2 7 4 3 3" xfId="51003"/>
    <cellStyle name="Percent 2 7 4 4" xfId="51004"/>
    <cellStyle name="Percent 2 7 4 4 2" xfId="51005"/>
    <cellStyle name="Percent 2 7 4 4 3" xfId="51006"/>
    <cellStyle name="Percent 2 7 4 5" xfId="51007"/>
    <cellStyle name="Percent 2 7 4 6" xfId="51008"/>
    <cellStyle name="Percent 2 7 5" xfId="51009"/>
    <cellStyle name="Percent 2 7 5 2" xfId="51010"/>
    <cellStyle name="Percent 2 7 5 2 2" xfId="51011"/>
    <cellStyle name="Percent 2 7 5 2 2 2" xfId="51012"/>
    <cellStyle name="Percent 2 7 5 2 2 3" xfId="51013"/>
    <cellStyle name="Percent 2 7 5 2 3" xfId="51014"/>
    <cellStyle name="Percent 2 7 5 2 3 2" xfId="51015"/>
    <cellStyle name="Percent 2 7 5 2 3 3" xfId="51016"/>
    <cellStyle name="Percent 2 7 5 2 4" xfId="51017"/>
    <cellStyle name="Percent 2 7 5 2 5" xfId="51018"/>
    <cellStyle name="Percent 2 7 5 3" xfId="51019"/>
    <cellStyle name="Percent 2 7 5 3 2" xfId="51020"/>
    <cellStyle name="Percent 2 7 5 3 3" xfId="51021"/>
    <cellStyle name="Percent 2 7 5 4" xfId="51022"/>
    <cellStyle name="Percent 2 7 5 4 2" xfId="51023"/>
    <cellStyle name="Percent 2 7 5 4 3" xfId="51024"/>
    <cellStyle name="Percent 2 7 5 5" xfId="51025"/>
    <cellStyle name="Percent 2 7 5 6" xfId="51026"/>
    <cellStyle name="Percent 2 7 6" xfId="51027"/>
    <cellStyle name="Percent 2 7 6 2" xfId="51028"/>
    <cellStyle name="Percent 2 7 6 2 2" xfId="51029"/>
    <cellStyle name="Percent 2 7 6 2 3" xfId="51030"/>
    <cellStyle name="Percent 2 7 6 3" xfId="51031"/>
    <cellStyle name="Percent 2 7 6 3 2" xfId="51032"/>
    <cellStyle name="Percent 2 7 6 3 3" xfId="51033"/>
    <cellStyle name="Percent 2 7 6 4" xfId="51034"/>
    <cellStyle name="Percent 2 7 6 5" xfId="51035"/>
    <cellStyle name="Percent 2 7 7" xfId="51036"/>
    <cellStyle name="Percent 2 7 7 2" xfId="51037"/>
    <cellStyle name="Percent 2 7 7 3" xfId="51038"/>
    <cellStyle name="Percent 2 7 8" xfId="51039"/>
    <cellStyle name="Percent 2 7 8 2" xfId="51040"/>
    <cellStyle name="Percent 2 7 8 3" xfId="51041"/>
    <cellStyle name="Percent 2 7 9" xfId="51042"/>
    <cellStyle name="Percent 2 8" xfId="51043"/>
    <cellStyle name="Percent 2 8 10" xfId="51044"/>
    <cellStyle name="Percent 2 8 2" xfId="51045"/>
    <cellStyle name="Percent 2 8 2 2" xfId="51046"/>
    <cellStyle name="Percent 2 8 2 2 2" xfId="51047"/>
    <cellStyle name="Percent 2 8 2 2 2 2" xfId="51048"/>
    <cellStyle name="Percent 2 8 2 2 2 2 2" xfId="51049"/>
    <cellStyle name="Percent 2 8 2 2 2 2 2 2" xfId="51050"/>
    <cellStyle name="Percent 2 8 2 2 2 2 2 3" xfId="51051"/>
    <cellStyle name="Percent 2 8 2 2 2 2 3" xfId="51052"/>
    <cellStyle name="Percent 2 8 2 2 2 2 3 2" xfId="51053"/>
    <cellStyle name="Percent 2 8 2 2 2 2 3 3" xfId="51054"/>
    <cellStyle name="Percent 2 8 2 2 2 2 4" xfId="51055"/>
    <cellStyle name="Percent 2 8 2 2 2 2 5" xfId="51056"/>
    <cellStyle name="Percent 2 8 2 2 2 3" xfId="51057"/>
    <cellStyle name="Percent 2 8 2 2 2 3 2" xfId="51058"/>
    <cellStyle name="Percent 2 8 2 2 2 3 3" xfId="51059"/>
    <cellStyle name="Percent 2 8 2 2 2 4" xfId="51060"/>
    <cellStyle name="Percent 2 8 2 2 2 4 2" xfId="51061"/>
    <cellStyle name="Percent 2 8 2 2 2 4 3" xfId="51062"/>
    <cellStyle name="Percent 2 8 2 2 2 5" xfId="51063"/>
    <cellStyle name="Percent 2 8 2 2 2 6" xfId="51064"/>
    <cellStyle name="Percent 2 8 2 2 3" xfId="51065"/>
    <cellStyle name="Percent 2 8 2 2 3 2" xfId="51066"/>
    <cellStyle name="Percent 2 8 2 2 3 2 2" xfId="51067"/>
    <cellStyle name="Percent 2 8 2 2 3 2 2 2" xfId="51068"/>
    <cellStyle name="Percent 2 8 2 2 3 2 2 3" xfId="51069"/>
    <cellStyle name="Percent 2 8 2 2 3 2 3" xfId="51070"/>
    <cellStyle name="Percent 2 8 2 2 3 2 3 2" xfId="51071"/>
    <cellStyle name="Percent 2 8 2 2 3 2 3 3" xfId="51072"/>
    <cellStyle name="Percent 2 8 2 2 3 2 4" xfId="51073"/>
    <cellStyle name="Percent 2 8 2 2 3 2 5" xfId="51074"/>
    <cellStyle name="Percent 2 8 2 2 3 3" xfId="51075"/>
    <cellStyle name="Percent 2 8 2 2 3 3 2" xfId="51076"/>
    <cellStyle name="Percent 2 8 2 2 3 3 3" xfId="51077"/>
    <cellStyle name="Percent 2 8 2 2 3 4" xfId="51078"/>
    <cellStyle name="Percent 2 8 2 2 3 4 2" xfId="51079"/>
    <cellStyle name="Percent 2 8 2 2 3 4 3" xfId="51080"/>
    <cellStyle name="Percent 2 8 2 2 3 5" xfId="51081"/>
    <cellStyle name="Percent 2 8 2 2 3 6" xfId="51082"/>
    <cellStyle name="Percent 2 8 2 2 4" xfId="51083"/>
    <cellStyle name="Percent 2 8 2 2 4 2" xfId="51084"/>
    <cellStyle name="Percent 2 8 2 2 4 2 2" xfId="51085"/>
    <cellStyle name="Percent 2 8 2 2 4 2 3" xfId="51086"/>
    <cellStyle name="Percent 2 8 2 2 4 3" xfId="51087"/>
    <cellStyle name="Percent 2 8 2 2 4 3 2" xfId="51088"/>
    <cellStyle name="Percent 2 8 2 2 4 3 3" xfId="51089"/>
    <cellStyle name="Percent 2 8 2 2 4 4" xfId="51090"/>
    <cellStyle name="Percent 2 8 2 2 4 5" xfId="51091"/>
    <cellStyle name="Percent 2 8 2 2 5" xfId="51092"/>
    <cellStyle name="Percent 2 8 2 2 5 2" xfId="51093"/>
    <cellStyle name="Percent 2 8 2 2 5 3" xfId="51094"/>
    <cellStyle name="Percent 2 8 2 2 6" xfId="51095"/>
    <cellStyle name="Percent 2 8 2 2 6 2" xfId="51096"/>
    <cellStyle name="Percent 2 8 2 2 6 3" xfId="51097"/>
    <cellStyle name="Percent 2 8 2 2 7" xfId="51098"/>
    <cellStyle name="Percent 2 8 2 2 8" xfId="51099"/>
    <cellStyle name="Percent 2 8 2 3" xfId="51100"/>
    <cellStyle name="Percent 2 8 2 3 2" xfId="51101"/>
    <cellStyle name="Percent 2 8 2 3 2 2" xfId="51102"/>
    <cellStyle name="Percent 2 8 2 3 2 2 2" xfId="51103"/>
    <cellStyle name="Percent 2 8 2 3 2 2 3" xfId="51104"/>
    <cellStyle name="Percent 2 8 2 3 2 3" xfId="51105"/>
    <cellStyle name="Percent 2 8 2 3 2 3 2" xfId="51106"/>
    <cellStyle name="Percent 2 8 2 3 2 3 3" xfId="51107"/>
    <cellStyle name="Percent 2 8 2 3 2 4" xfId="51108"/>
    <cellStyle name="Percent 2 8 2 3 2 5" xfId="51109"/>
    <cellStyle name="Percent 2 8 2 3 3" xfId="51110"/>
    <cellStyle name="Percent 2 8 2 3 3 2" xfId="51111"/>
    <cellStyle name="Percent 2 8 2 3 3 3" xfId="51112"/>
    <cellStyle name="Percent 2 8 2 3 4" xfId="51113"/>
    <cellStyle name="Percent 2 8 2 3 4 2" xfId="51114"/>
    <cellStyle name="Percent 2 8 2 3 4 3" xfId="51115"/>
    <cellStyle name="Percent 2 8 2 3 5" xfId="51116"/>
    <cellStyle name="Percent 2 8 2 3 6" xfId="51117"/>
    <cellStyle name="Percent 2 8 2 4" xfId="51118"/>
    <cellStyle name="Percent 2 8 2 4 2" xfId="51119"/>
    <cellStyle name="Percent 2 8 2 4 2 2" xfId="51120"/>
    <cellStyle name="Percent 2 8 2 4 2 2 2" xfId="51121"/>
    <cellStyle name="Percent 2 8 2 4 2 2 3" xfId="51122"/>
    <cellStyle name="Percent 2 8 2 4 2 3" xfId="51123"/>
    <cellStyle name="Percent 2 8 2 4 2 3 2" xfId="51124"/>
    <cellStyle name="Percent 2 8 2 4 2 3 3" xfId="51125"/>
    <cellStyle name="Percent 2 8 2 4 2 4" xfId="51126"/>
    <cellStyle name="Percent 2 8 2 4 2 5" xfId="51127"/>
    <cellStyle name="Percent 2 8 2 4 3" xfId="51128"/>
    <cellStyle name="Percent 2 8 2 4 3 2" xfId="51129"/>
    <cellStyle name="Percent 2 8 2 4 3 3" xfId="51130"/>
    <cellStyle name="Percent 2 8 2 4 4" xfId="51131"/>
    <cellStyle name="Percent 2 8 2 4 4 2" xfId="51132"/>
    <cellStyle name="Percent 2 8 2 4 4 3" xfId="51133"/>
    <cellStyle name="Percent 2 8 2 4 5" xfId="51134"/>
    <cellStyle name="Percent 2 8 2 4 6" xfId="51135"/>
    <cellStyle name="Percent 2 8 2 5" xfId="51136"/>
    <cellStyle name="Percent 2 8 2 5 2" xfId="51137"/>
    <cellStyle name="Percent 2 8 2 5 2 2" xfId="51138"/>
    <cellStyle name="Percent 2 8 2 5 2 3" xfId="51139"/>
    <cellStyle name="Percent 2 8 2 5 3" xfId="51140"/>
    <cellStyle name="Percent 2 8 2 5 3 2" xfId="51141"/>
    <cellStyle name="Percent 2 8 2 5 3 3" xfId="51142"/>
    <cellStyle name="Percent 2 8 2 5 4" xfId="51143"/>
    <cellStyle name="Percent 2 8 2 5 5" xfId="51144"/>
    <cellStyle name="Percent 2 8 2 6" xfId="51145"/>
    <cellStyle name="Percent 2 8 2 6 2" xfId="51146"/>
    <cellStyle name="Percent 2 8 2 6 3" xfId="51147"/>
    <cellStyle name="Percent 2 8 2 7" xfId="51148"/>
    <cellStyle name="Percent 2 8 2 7 2" xfId="51149"/>
    <cellStyle name="Percent 2 8 2 7 3" xfId="51150"/>
    <cellStyle name="Percent 2 8 2 8" xfId="51151"/>
    <cellStyle name="Percent 2 8 2 9" xfId="51152"/>
    <cellStyle name="Percent 2 8 3" xfId="51153"/>
    <cellStyle name="Percent 2 8 3 2" xfId="51154"/>
    <cellStyle name="Percent 2 8 3 2 2" xfId="51155"/>
    <cellStyle name="Percent 2 8 3 2 2 2" xfId="51156"/>
    <cellStyle name="Percent 2 8 3 2 2 2 2" xfId="51157"/>
    <cellStyle name="Percent 2 8 3 2 2 2 3" xfId="51158"/>
    <cellStyle name="Percent 2 8 3 2 2 3" xfId="51159"/>
    <cellStyle name="Percent 2 8 3 2 2 3 2" xfId="51160"/>
    <cellStyle name="Percent 2 8 3 2 2 3 3" xfId="51161"/>
    <cellStyle name="Percent 2 8 3 2 2 4" xfId="51162"/>
    <cellStyle name="Percent 2 8 3 2 2 5" xfId="51163"/>
    <cellStyle name="Percent 2 8 3 2 3" xfId="51164"/>
    <cellStyle name="Percent 2 8 3 2 3 2" xfId="51165"/>
    <cellStyle name="Percent 2 8 3 2 3 3" xfId="51166"/>
    <cellStyle name="Percent 2 8 3 2 4" xfId="51167"/>
    <cellStyle name="Percent 2 8 3 2 4 2" xfId="51168"/>
    <cellStyle name="Percent 2 8 3 2 4 3" xfId="51169"/>
    <cellStyle name="Percent 2 8 3 2 5" xfId="51170"/>
    <cellStyle name="Percent 2 8 3 2 6" xfId="51171"/>
    <cellStyle name="Percent 2 8 3 3" xfId="51172"/>
    <cellStyle name="Percent 2 8 3 3 2" xfId="51173"/>
    <cellStyle name="Percent 2 8 3 3 2 2" xfId="51174"/>
    <cellStyle name="Percent 2 8 3 3 2 2 2" xfId="51175"/>
    <cellStyle name="Percent 2 8 3 3 2 2 3" xfId="51176"/>
    <cellStyle name="Percent 2 8 3 3 2 3" xfId="51177"/>
    <cellStyle name="Percent 2 8 3 3 2 3 2" xfId="51178"/>
    <cellStyle name="Percent 2 8 3 3 2 3 3" xfId="51179"/>
    <cellStyle name="Percent 2 8 3 3 2 4" xfId="51180"/>
    <cellStyle name="Percent 2 8 3 3 2 5" xfId="51181"/>
    <cellStyle name="Percent 2 8 3 3 3" xfId="51182"/>
    <cellStyle name="Percent 2 8 3 3 3 2" xfId="51183"/>
    <cellStyle name="Percent 2 8 3 3 3 3" xfId="51184"/>
    <cellStyle name="Percent 2 8 3 3 4" xfId="51185"/>
    <cellStyle name="Percent 2 8 3 3 4 2" xfId="51186"/>
    <cellStyle name="Percent 2 8 3 3 4 3" xfId="51187"/>
    <cellStyle name="Percent 2 8 3 3 5" xfId="51188"/>
    <cellStyle name="Percent 2 8 3 3 6" xfId="51189"/>
    <cellStyle name="Percent 2 8 3 4" xfId="51190"/>
    <cellStyle name="Percent 2 8 3 4 2" xfId="51191"/>
    <cellStyle name="Percent 2 8 3 4 2 2" xfId="51192"/>
    <cellStyle name="Percent 2 8 3 4 2 3" xfId="51193"/>
    <cellStyle name="Percent 2 8 3 4 3" xfId="51194"/>
    <cellStyle name="Percent 2 8 3 4 3 2" xfId="51195"/>
    <cellStyle name="Percent 2 8 3 4 3 3" xfId="51196"/>
    <cellStyle name="Percent 2 8 3 4 4" xfId="51197"/>
    <cellStyle name="Percent 2 8 3 4 5" xfId="51198"/>
    <cellStyle name="Percent 2 8 3 5" xfId="51199"/>
    <cellStyle name="Percent 2 8 3 5 2" xfId="51200"/>
    <cellStyle name="Percent 2 8 3 5 3" xfId="51201"/>
    <cellStyle name="Percent 2 8 3 6" xfId="51202"/>
    <cellStyle name="Percent 2 8 3 6 2" xfId="51203"/>
    <cellStyle name="Percent 2 8 3 6 3" xfId="51204"/>
    <cellStyle name="Percent 2 8 3 7" xfId="51205"/>
    <cellStyle name="Percent 2 8 3 8" xfId="51206"/>
    <cellStyle name="Percent 2 8 4" xfId="51207"/>
    <cellStyle name="Percent 2 8 4 2" xfId="51208"/>
    <cellStyle name="Percent 2 8 4 2 2" xfId="51209"/>
    <cellStyle name="Percent 2 8 4 2 2 2" xfId="51210"/>
    <cellStyle name="Percent 2 8 4 2 2 3" xfId="51211"/>
    <cellStyle name="Percent 2 8 4 2 3" xfId="51212"/>
    <cellStyle name="Percent 2 8 4 2 3 2" xfId="51213"/>
    <cellStyle name="Percent 2 8 4 2 3 3" xfId="51214"/>
    <cellStyle name="Percent 2 8 4 2 4" xfId="51215"/>
    <cellStyle name="Percent 2 8 4 2 5" xfId="51216"/>
    <cellStyle name="Percent 2 8 4 3" xfId="51217"/>
    <cellStyle name="Percent 2 8 4 3 2" xfId="51218"/>
    <cellStyle name="Percent 2 8 4 3 3" xfId="51219"/>
    <cellStyle name="Percent 2 8 4 4" xfId="51220"/>
    <cellStyle name="Percent 2 8 4 4 2" xfId="51221"/>
    <cellStyle name="Percent 2 8 4 4 3" xfId="51222"/>
    <cellStyle name="Percent 2 8 4 5" xfId="51223"/>
    <cellStyle name="Percent 2 8 4 6" xfId="51224"/>
    <cellStyle name="Percent 2 8 5" xfId="51225"/>
    <cellStyle name="Percent 2 8 5 2" xfId="51226"/>
    <cellStyle name="Percent 2 8 5 2 2" xfId="51227"/>
    <cellStyle name="Percent 2 8 5 2 2 2" xfId="51228"/>
    <cellStyle name="Percent 2 8 5 2 2 3" xfId="51229"/>
    <cellStyle name="Percent 2 8 5 2 3" xfId="51230"/>
    <cellStyle name="Percent 2 8 5 2 3 2" xfId="51231"/>
    <cellStyle name="Percent 2 8 5 2 3 3" xfId="51232"/>
    <cellStyle name="Percent 2 8 5 2 4" xfId="51233"/>
    <cellStyle name="Percent 2 8 5 2 5" xfId="51234"/>
    <cellStyle name="Percent 2 8 5 3" xfId="51235"/>
    <cellStyle name="Percent 2 8 5 3 2" xfId="51236"/>
    <cellStyle name="Percent 2 8 5 3 3" xfId="51237"/>
    <cellStyle name="Percent 2 8 5 4" xfId="51238"/>
    <cellStyle name="Percent 2 8 5 4 2" xfId="51239"/>
    <cellStyle name="Percent 2 8 5 4 3" xfId="51240"/>
    <cellStyle name="Percent 2 8 5 5" xfId="51241"/>
    <cellStyle name="Percent 2 8 5 6" xfId="51242"/>
    <cellStyle name="Percent 2 8 6" xfId="51243"/>
    <cellStyle name="Percent 2 8 6 2" xfId="51244"/>
    <cellStyle name="Percent 2 8 6 2 2" xfId="51245"/>
    <cellStyle name="Percent 2 8 6 2 3" xfId="51246"/>
    <cellStyle name="Percent 2 8 6 3" xfId="51247"/>
    <cellStyle name="Percent 2 8 6 3 2" xfId="51248"/>
    <cellStyle name="Percent 2 8 6 3 3" xfId="51249"/>
    <cellStyle name="Percent 2 8 6 4" xfId="51250"/>
    <cellStyle name="Percent 2 8 6 5" xfId="51251"/>
    <cellStyle name="Percent 2 8 7" xfId="51252"/>
    <cellStyle name="Percent 2 8 7 2" xfId="51253"/>
    <cellStyle name="Percent 2 8 7 3" xfId="51254"/>
    <cellStyle name="Percent 2 8 8" xfId="51255"/>
    <cellStyle name="Percent 2 8 8 2" xfId="51256"/>
    <cellStyle name="Percent 2 8 8 3" xfId="51257"/>
    <cellStyle name="Percent 2 8 9" xfId="51258"/>
    <cellStyle name="Percent 2 9" xfId="51259"/>
    <cellStyle name="Percent 2 9 10" xfId="51260"/>
    <cellStyle name="Percent 2 9 2" xfId="51261"/>
    <cellStyle name="Percent 2 9 2 2" xfId="51262"/>
    <cellStyle name="Percent 2 9 2 2 2" xfId="51263"/>
    <cellStyle name="Percent 2 9 2 2 2 2" xfId="51264"/>
    <cellStyle name="Percent 2 9 2 2 2 2 2" xfId="51265"/>
    <cellStyle name="Percent 2 9 2 2 2 2 2 2" xfId="51266"/>
    <cellStyle name="Percent 2 9 2 2 2 2 2 3" xfId="51267"/>
    <cellStyle name="Percent 2 9 2 2 2 2 3" xfId="51268"/>
    <cellStyle name="Percent 2 9 2 2 2 2 3 2" xfId="51269"/>
    <cellStyle name="Percent 2 9 2 2 2 2 3 3" xfId="51270"/>
    <cellStyle name="Percent 2 9 2 2 2 2 4" xfId="51271"/>
    <cellStyle name="Percent 2 9 2 2 2 2 5" xfId="51272"/>
    <cellStyle name="Percent 2 9 2 2 2 3" xfId="51273"/>
    <cellStyle name="Percent 2 9 2 2 2 3 2" xfId="51274"/>
    <cellStyle name="Percent 2 9 2 2 2 3 3" xfId="51275"/>
    <cellStyle name="Percent 2 9 2 2 2 4" xfId="51276"/>
    <cellStyle name="Percent 2 9 2 2 2 4 2" xfId="51277"/>
    <cellStyle name="Percent 2 9 2 2 2 4 3" xfId="51278"/>
    <cellStyle name="Percent 2 9 2 2 2 5" xfId="51279"/>
    <cellStyle name="Percent 2 9 2 2 2 6" xfId="51280"/>
    <cellStyle name="Percent 2 9 2 2 3" xfId="51281"/>
    <cellStyle name="Percent 2 9 2 2 3 2" xfId="51282"/>
    <cellStyle name="Percent 2 9 2 2 3 2 2" xfId="51283"/>
    <cellStyle name="Percent 2 9 2 2 3 2 2 2" xfId="51284"/>
    <cellStyle name="Percent 2 9 2 2 3 2 2 3" xfId="51285"/>
    <cellStyle name="Percent 2 9 2 2 3 2 3" xfId="51286"/>
    <cellStyle name="Percent 2 9 2 2 3 2 3 2" xfId="51287"/>
    <cellStyle name="Percent 2 9 2 2 3 2 3 3" xfId="51288"/>
    <cellStyle name="Percent 2 9 2 2 3 2 4" xfId="51289"/>
    <cellStyle name="Percent 2 9 2 2 3 2 5" xfId="51290"/>
    <cellStyle name="Percent 2 9 2 2 3 3" xfId="51291"/>
    <cellStyle name="Percent 2 9 2 2 3 3 2" xfId="51292"/>
    <cellStyle name="Percent 2 9 2 2 3 3 3" xfId="51293"/>
    <cellStyle name="Percent 2 9 2 2 3 4" xfId="51294"/>
    <cellStyle name="Percent 2 9 2 2 3 4 2" xfId="51295"/>
    <cellStyle name="Percent 2 9 2 2 3 4 3" xfId="51296"/>
    <cellStyle name="Percent 2 9 2 2 3 5" xfId="51297"/>
    <cellStyle name="Percent 2 9 2 2 3 6" xfId="51298"/>
    <cellStyle name="Percent 2 9 2 2 4" xfId="51299"/>
    <cellStyle name="Percent 2 9 2 2 4 2" xfId="51300"/>
    <cellStyle name="Percent 2 9 2 2 4 2 2" xfId="51301"/>
    <cellStyle name="Percent 2 9 2 2 4 2 3" xfId="51302"/>
    <cellStyle name="Percent 2 9 2 2 4 3" xfId="51303"/>
    <cellStyle name="Percent 2 9 2 2 4 3 2" xfId="51304"/>
    <cellStyle name="Percent 2 9 2 2 4 3 3" xfId="51305"/>
    <cellStyle name="Percent 2 9 2 2 4 4" xfId="51306"/>
    <cellStyle name="Percent 2 9 2 2 4 5" xfId="51307"/>
    <cellStyle name="Percent 2 9 2 2 5" xfId="51308"/>
    <cellStyle name="Percent 2 9 2 2 5 2" xfId="51309"/>
    <cellStyle name="Percent 2 9 2 2 5 3" xfId="51310"/>
    <cellStyle name="Percent 2 9 2 2 6" xfId="51311"/>
    <cellStyle name="Percent 2 9 2 2 6 2" xfId="51312"/>
    <cellStyle name="Percent 2 9 2 2 6 3" xfId="51313"/>
    <cellStyle name="Percent 2 9 2 2 7" xfId="51314"/>
    <cellStyle name="Percent 2 9 2 2 8" xfId="51315"/>
    <cellStyle name="Percent 2 9 2 3" xfId="51316"/>
    <cellStyle name="Percent 2 9 2 3 2" xfId="51317"/>
    <cellStyle name="Percent 2 9 2 3 2 2" xfId="51318"/>
    <cellStyle name="Percent 2 9 2 3 2 2 2" xfId="51319"/>
    <cellStyle name="Percent 2 9 2 3 2 2 3" xfId="51320"/>
    <cellStyle name="Percent 2 9 2 3 2 3" xfId="51321"/>
    <cellStyle name="Percent 2 9 2 3 2 3 2" xfId="51322"/>
    <cellStyle name="Percent 2 9 2 3 2 3 3" xfId="51323"/>
    <cellStyle name="Percent 2 9 2 3 2 4" xfId="51324"/>
    <cellStyle name="Percent 2 9 2 3 2 5" xfId="51325"/>
    <cellStyle name="Percent 2 9 2 3 3" xfId="51326"/>
    <cellStyle name="Percent 2 9 2 3 3 2" xfId="51327"/>
    <cellStyle name="Percent 2 9 2 3 3 3" xfId="51328"/>
    <cellStyle name="Percent 2 9 2 3 4" xfId="51329"/>
    <cellStyle name="Percent 2 9 2 3 4 2" xfId="51330"/>
    <cellStyle name="Percent 2 9 2 3 4 3" xfId="51331"/>
    <cellStyle name="Percent 2 9 2 3 5" xfId="51332"/>
    <cellStyle name="Percent 2 9 2 3 6" xfId="51333"/>
    <cellStyle name="Percent 2 9 2 4" xfId="51334"/>
    <cellStyle name="Percent 2 9 2 4 2" xfId="51335"/>
    <cellStyle name="Percent 2 9 2 4 2 2" xfId="51336"/>
    <cellStyle name="Percent 2 9 2 4 2 2 2" xfId="51337"/>
    <cellStyle name="Percent 2 9 2 4 2 2 3" xfId="51338"/>
    <cellStyle name="Percent 2 9 2 4 2 3" xfId="51339"/>
    <cellStyle name="Percent 2 9 2 4 2 3 2" xfId="51340"/>
    <cellStyle name="Percent 2 9 2 4 2 3 3" xfId="51341"/>
    <cellStyle name="Percent 2 9 2 4 2 4" xfId="51342"/>
    <cellStyle name="Percent 2 9 2 4 2 5" xfId="51343"/>
    <cellStyle name="Percent 2 9 2 4 3" xfId="51344"/>
    <cellStyle name="Percent 2 9 2 4 3 2" xfId="51345"/>
    <cellStyle name="Percent 2 9 2 4 3 3" xfId="51346"/>
    <cellStyle name="Percent 2 9 2 4 4" xfId="51347"/>
    <cellStyle name="Percent 2 9 2 4 4 2" xfId="51348"/>
    <cellStyle name="Percent 2 9 2 4 4 3" xfId="51349"/>
    <cellStyle name="Percent 2 9 2 4 5" xfId="51350"/>
    <cellStyle name="Percent 2 9 2 4 6" xfId="51351"/>
    <cellStyle name="Percent 2 9 2 5" xfId="51352"/>
    <cellStyle name="Percent 2 9 2 5 2" xfId="51353"/>
    <cellStyle name="Percent 2 9 2 5 2 2" xfId="51354"/>
    <cellStyle name="Percent 2 9 2 5 2 3" xfId="51355"/>
    <cellStyle name="Percent 2 9 2 5 3" xfId="51356"/>
    <cellStyle name="Percent 2 9 2 5 3 2" xfId="51357"/>
    <cellStyle name="Percent 2 9 2 5 3 3" xfId="51358"/>
    <cellStyle name="Percent 2 9 2 5 4" xfId="51359"/>
    <cellStyle name="Percent 2 9 2 5 5" xfId="51360"/>
    <cellStyle name="Percent 2 9 2 6" xfId="51361"/>
    <cellStyle name="Percent 2 9 2 6 2" xfId="51362"/>
    <cellStyle name="Percent 2 9 2 6 3" xfId="51363"/>
    <cellStyle name="Percent 2 9 2 7" xfId="51364"/>
    <cellStyle name="Percent 2 9 2 7 2" xfId="51365"/>
    <cellStyle name="Percent 2 9 2 7 3" xfId="51366"/>
    <cellStyle name="Percent 2 9 2 8" xfId="51367"/>
    <cellStyle name="Percent 2 9 2 9" xfId="51368"/>
    <cellStyle name="Percent 2 9 3" xfId="51369"/>
    <cellStyle name="Percent 2 9 3 2" xfId="51370"/>
    <cellStyle name="Percent 2 9 3 2 2" xfId="51371"/>
    <cellStyle name="Percent 2 9 3 2 2 2" xfId="51372"/>
    <cellStyle name="Percent 2 9 3 2 2 2 2" xfId="51373"/>
    <cellStyle name="Percent 2 9 3 2 2 2 3" xfId="51374"/>
    <cellStyle name="Percent 2 9 3 2 2 3" xfId="51375"/>
    <cellStyle name="Percent 2 9 3 2 2 3 2" xfId="51376"/>
    <cellStyle name="Percent 2 9 3 2 2 3 3" xfId="51377"/>
    <cellStyle name="Percent 2 9 3 2 2 4" xfId="51378"/>
    <cellStyle name="Percent 2 9 3 2 2 5" xfId="51379"/>
    <cellStyle name="Percent 2 9 3 2 3" xfId="51380"/>
    <cellStyle name="Percent 2 9 3 2 3 2" xfId="51381"/>
    <cellStyle name="Percent 2 9 3 2 3 3" xfId="51382"/>
    <cellStyle name="Percent 2 9 3 2 4" xfId="51383"/>
    <cellStyle name="Percent 2 9 3 2 4 2" xfId="51384"/>
    <cellStyle name="Percent 2 9 3 2 4 3" xfId="51385"/>
    <cellStyle name="Percent 2 9 3 2 5" xfId="51386"/>
    <cellStyle name="Percent 2 9 3 2 6" xfId="51387"/>
    <cellStyle name="Percent 2 9 3 3" xfId="51388"/>
    <cellStyle name="Percent 2 9 3 3 2" xfId="51389"/>
    <cellStyle name="Percent 2 9 3 3 2 2" xfId="51390"/>
    <cellStyle name="Percent 2 9 3 3 2 2 2" xfId="51391"/>
    <cellStyle name="Percent 2 9 3 3 2 2 3" xfId="51392"/>
    <cellStyle name="Percent 2 9 3 3 2 3" xfId="51393"/>
    <cellStyle name="Percent 2 9 3 3 2 3 2" xfId="51394"/>
    <cellStyle name="Percent 2 9 3 3 2 3 3" xfId="51395"/>
    <cellStyle name="Percent 2 9 3 3 2 4" xfId="51396"/>
    <cellStyle name="Percent 2 9 3 3 2 5" xfId="51397"/>
    <cellStyle name="Percent 2 9 3 3 3" xfId="51398"/>
    <cellStyle name="Percent 2 9 3 3 3 2" xfId="51399"/>
    <cellStyle name="Percent 2 9 3 3 3 3" xfId="51400"/>
    <cellStyle name="Percent 2 9 3 3 4" xfId="51401"/>
    <cellStyle name="Percent 2 9 3 3 4 2" xfId="51402"/>
    <cellStyle name="Percent 2 9 3 3 4 3" xfId="51403"/>
    <cellStyle name="Percent 2 9 3 3 5" xfId="51404"/>
    <cellStyle name="Percent 2 9 3 3 6" xfId="51405"/>
    <cellStyle name="Percent 2 9 3 4" xfId="51406"/>
    <cellStyle name="Percent 2 9 3 4 2" xfId="51407"/>
    <cellStyle name="Percent 2 9 3 4 2 2" xfId="51408"/>
    <cellStyle name="Percent 2 9 3 4 2 3" xfId="51409"/>
    <cellStyle name="Percent 2 9 3 4 3" xfId="51410"/>
    <cellStyle name="Percent 2 9 3 4 3 2" xfId="51411"/>
    <cellStyle name="Percent 2 9 3 4 3 3" xfId="51412"/>
    <cellStyle name="Percent 2 9 3 4 4" xfId="51413"/>
    <cellStyle name="Percent 2 9 3 4 5" xfId="51414"/>
    <cellStyle name="Percent 2 9 3 5" xfId="51415"/>
    <cellStyle name="Percent 2 9 3 5 2" xfId="51416"/>
    <cellStyle name="Percent 2 9 3 5 3" xfId="51417"/>
    <cellStyle name="Percent 2 9 3 6" xfId="51418"/>
    <cellStyle name="Percent 2 9 3 6 2" xfId="51419"/>
    <cellStyle name="Percent 2 9 3 6 3" xfId="51420"/>
    <cellStyle name="Percent 2 9 3 7" xfId="51421"/>
    <cellStyle name="Percent 2 9 3 8" xfId="51422"/>
    <cellStyle name="Percent 2 9 4" xfId="51423"/>
    <cellStyle name="Percent 2 9 4 2" xfId="51424"/>
    <cellStyle name="Percent 2 9 4 2 2" xfId="51425"/>
    <cellStyle name="Percent 2 9 4 2 2 2" xfId="51426"/>
    <cellStyle name="Percent 2 9 4 2 2 3" xfId="51427"/>
    <cellStyle name="Percent 2 9 4 2 3" xfId="51428"/>
    <cellStyle name="Percent 2 9 4 2 3 2" xfId="51429"/>
    <cellStyle name="Percent 2 9 4 2 3 3" xfId="51430"/>
    <cellStyle name="Percent 2 9 4 2 4" xfId="51431"/>
    <cellStyle name="Percent 2 9 4 2 5" xfId="51432"/>
    <cellStyle name="Percent 2 9 4 3" xfId="51433"/>
    <cellStyle name="Percent 2 9 4 3 2" xfId="51434"/>
    <cellStyle name="Percent 2 9 4 3 3" xfId="51435"/>
    <cellStyle name="Percent 2 9 4 4" xfId="51436"/>
    <cellStyle name="Percent 2 9 4 4 2" xfId="51437"/>
    <cellStyle name="Percent 2 9 4 4 3" xfId="51438"/>
    <cellStyle name="Percent 2 9 4 5" xfId="51439"/>
    <cellStyle name="Percent 2 9 4 6" xfId="51440"/>
    <cellStyle name="Percent 2 9 5" xfId="51441"/>
    <cellStyle name="Percent 2 9 5 2" xfId="51442"/>
    <cellStyle name="Percent 2 9 5 2 2" xfId="51443"/>
    <cellStyle name="Percent 2 9 5 2 2 2" xfId="51444"/>
    <cellStyle name="Percent 2 9 5 2 2 3" xfId="51445"/>
    <cellStyle name="Percent 2 9 5 2 3" xfId="51446"/>
    <cellStyle name="Percent 2 9 5 2 3 2" xfId="51447"/>
    <cellStyle name="Percent 2 9 5 2 3 3" xfId="51448"/>
    <cellStyle name="Percent 2 9 5 2 4" xfId="51449"/>
    <cellStyle name="Percent 2 9 5 2 5" xfId="51450"/>
    <cellStyle name="Percent 2 9 5 3" xfId="51451"/>
    <cellStyle name="Percent 2 9 5 3 2" xfId="51452"/>
    <cellStyle name="Percent 2 9 5 3 3" xfId="51453"/>
    <cellStyle name="Percent 2 9 5 4" xfId="51454"/>
    <cellStyle name="Percent 2 9 5 4 2" xfId="51455"/>
    <cellStyle name="Percent 2 9 5 4 3" xfId="51456"/>
    <cellStyle name="Percent 2 9 5 5" xfId="51457"/>
    <cellStyle name="Percent 2 9 5 6" xfId="51458"/>
    <cellStyle name="Percent 2 9 6" xfId="51459"/>
    <cellStyle name="Percent 2 9 6 2" xfId="51460"/>
    <cellStyle name="Percent 2 9 6 2 2" xfId="51461"/>
    <cellStyle name="Percent 2 9 6 2 3" xfId="51462"/>
    <cellStyle name="Percent 2 9 6 3" xfId="51463"/>
    <cellStyle name="Percent 2 9 6 3 2" xfId="51464"/>
    <cellStyle name="Percent 2 9 6 3 3" xfId="51465"/>
    <cellStyle name="Percent 2 9 6 4" xfId="51466"/>
    <cellStyle name="Percent 2 9 6 5" xfId="51467"/>
    <cellStyle name="Percent 2 9 7" xfId="51468"/>
    <cellStyle name="Percent 2 9 7 2" xfId="51469"/>
    <cellStyle name="Percent 2 9 7 3" xfId="51470"/>
    <cellStyle name="Percent 2 9 8" xfId="51471"/>
    <cellStyle name="Percent 2 9 8 2" xfId="51472"/>
    <cellStyle name="Percent 2 9 8 3" xfId="51473"/>
    <cellStyle name="Percent 2 9 9" xfId="51474"/>
    <cellStyle name="Percent 3" xfId="7"/>
    <cellStyle name="Percent 3 2" xfId="51475"/>
    <cellStyle name="Percent 3 3" xfId="51476"/>
    <cellStyle name="Percent 4" xfId="50"/>
    <cellStyle name="Percent 4 2" xfId="51477"/>
    <cellStyle name="Percent 5" xfId="51478"/>
    <cellStyle name="Percent 5 2" xfId="51479"/>
    <cellStyle name="Percent 5 3" xfId="51480"/>
    <cellStyle name="Percent 6" xfId="51481"/>
    <cellStyle name="Percent 7" xfId="51482"/>
    <cellStyle name="Percent 8" xfId="51483"/>
    <cellStyle name="Percent 9" xfId="51484"/>
    <cellStyle name="PSChar" xfId="18"/>
    <cellStyle name="PSChar 2" xfId="58"/>
    <cellStyle name="PSDate" xfId="19"/>
    <cellStyle name="PSDate 2" xfId="59"/>
    <cellStyle name="PSDec" xfId="20"/>
    <cellStyle name="PSDec 2" xfId="60"/>
    <cellStyle name="PSHeading" xfId="21"/>
    <cellStyle name="PSInt" xfId="22"/>
    <cellStyle name="PSInt 2" xfId="61"/>
    <cellStyle name="PSSpacer" xfId="23"/>
    <cellStyle name="PSSpacer 2" xfId="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95250</xdr:rowOff>
    </xdr:from>
    <xdr:to>
      <xdr:col>9</xdr:col>
      <xdr:colOff>843909</xdr:colOff>
      <xdr:row>13</xdr:row>
      <xdr:rowOff>49530</xdr:rowOff>
    </xdr:to>
    <xdr:sp macro="" textlink="">
      <xdr:nvSpPr>
        <xdr:cNvPr id="2" name="Text Box 1">
          <a:extLst>
            <a:ext uri="{FF2B5EF4-FFF2-40B4-BE49-F238E27FC236}">
              <a16:creationId xmlns="" xmlns:a16="http://schemas.microsoft.com/office/drawing/2014/main" id="{00000000-0008-0000-0500-000002000000}"/>
            </a:ext>
          </a:extLst>
        </xdr:cNvPr>
        <xdr:cNvSpPr txBox="1">
          <a:spLocks noChangeArrowheads="1"/>
        </xdr:cNvSpPr>
      </xdr:nvSpPr>
      <xdr:spPr bwMode="auto">
        <a:xfrm>
          <a:off x="9525" y="990600"/>
          <a:ext cx="1183575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3" name="Text Box 1">
          <a:extLst>
            <a:ext uri="{FF2B5EF4-FFF2-40B4-BE49-F238E27FC236}">
              <a16:creationId xmlns="" xmlns:a16="http://schemas.microsoft.com/office/drawing/2014/main" id="{00000000-0008-0000-0500-000003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4" name="Text Box 1">
          <a:extLst>
            <a:ext uri="{FF2B5EF4-FFF2-40B4-BE49-F238E27FC236}">
              <a16:creationId xmlns="" xmlns:a16="http://schemas.microsoft.com/office/drawing/2014/main" id="{00000000-0008-0000-0500-000004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5" name="Text Box 1">
          <a:extLst>
            <a:ext uri="{FF2B5EF4-FFF2-40B4-BE49-F238E27FC236}">
              <a16:creationId xmlns="" xmlns:a16="http://schemas.microsoft.com/office/drawing/2014/main" id="{00000000-0008-0000-0500-000005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6" name="Text Box 1">
          <a:extLst>
            <a:ext uri="{FF2B5EF4-FFF2-40B4-BE49-F238E27FC236}">
              <a16:creationId xmlns="" xmlns:a16="http://schemas.microsoft.com/office/drawing/2014/main" id="{00000000-0008-0000-0500-000006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7" name="Text Box 1">
          <a:extLst>
            <a:ext uri="{FF2B5EF4-FFF2-40B4-BE49-F238E27FC236}">
              <a16:creationId xmlns="" xmlns:a16="http://schemas.microsoft.com/office/drawing/2014/main" id="{00000000-0008-0000-0500-000007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8" name="Text Box 1">
          <a:extLst>
            <a:ext uri="{FF2B5EF4-FFF2-40B4-BE49-F238E27FC236}">
              <a16:creationId xmlns="" xmlns:a16="http://schemas.microsoft.com/office/drawing/2014/main" id="{00000000-0008-0000-0500-000008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9" name="Text Box 1">
          <a:extLst>
            <a:ext uri="{FF2B5EF4-FFF2-40B4-BE49-F238E27FC236}">
              <a16:creationId xmlns="" xmlns:a16="http://schemas.microsoft.com/office/drawing/2014/main" id="{00000000-0008-0000-0500-000009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0" name="Text Box 1">
          <a:extLst>
            <a:ext uri="{FF2B5EF4-FFF2-40B4-BE49-F238E27FC236}">
              <a16:creationId xmlns="" xmlns:a16="http://schemas.microsoft.com/office/drawing/2014/main" id="{00000000-0008-0000-0500-00000A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1" name="Text Box 1">
          <a:extLst>
            <a:ext uri="{FF2B5EF4-FFF2-40B4-BE49-F238E27FC236}">
              <a16:creationId xmlns="" xmlns:a16="http://schemas.microsoft.com/office/drawing/2014/main" id="{00000000-0008-0000-0500-00000B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2" name="Text Box 1">
          <a:extLst>
            <a:ext uri="{FF2B5EF4-FFF2-40B4-BE49-F238E27FC236}">
              <a16:creationId xmlns="" xmlns:a16="http://schemas.microsoft.com/office/drawing/2014/main" id="{00000000-0008-0000-0500-00000C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3" name="Text Box 1">
          <a:extLst>
            <a:ext uri="{FF2B5EF4-FFF2-40B4-BE49-F238E27FC236}">
              <a16:creationId xmlns="" xmlns:a16="http://schemas.microsoft.com/office/drawing/2014/main" id="{00000000-0008-0000-0500-00000D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4" name="Text Box 1">
          <a:extLst>
            <a:ext uri="{FF2B5EF4-FFF2-40B4-BE49-F238E27FC236}">
              <a16:creationId xmlns="" xmlns:a16="http://schemas.microsoft.com/office/drawing/2014/main" id="{00000000-0008-0000-0500-00000E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5" name="Text Box 1">
          <a:extLst>
            <a:ext uri="{FF2B5EF4-FFF2-40B4-BE49-F238E27FC236}">
              <a16:creationId xmlns="" xmlns:a16="http://schemas.microsoft.com/office/drawing/2014/main" id="{00000000-0008-0000-0500-00000F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6" name="Text Box 1">
          <a:extLst>
            <a:ext uri="{FF2B5EF4-FFF2-40B4-BE49-F238E27FC236}">
              <a16:creationId xmlns="" xmlns:a16="http://schemas.microsoft.com/office/drawing/2014/main" id="{00000000-0008-0000-0500-000010000000}"/>
            </a:ext>
          </a:extLst>
        </xdr:cNvPr>
        <xdr:cNvSpPr txBox="1">
          <a:spLocks noChangeArrowheads="1"/>
        </xdr:cNvSpPr>
      </xdr:nvSpPr>
      <xdr:spPr bwMode="auto">
        <a:xfrm>
          <a:off x="9525" y="836294"/>
          <a:ext cx="10730863"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twoCellAnchor>
    <xdr:from>
      <xdr:col>0</xdr:col>
      <xdr:colOff>9525</xdr:colOff>
      <xdr:row>4</xdr:row>
      <xdr:rowOff>95250</xdr:rowOff>
    </xdr:from>
    <xdr:to>
      <xdr:col>7</xdr:col>
      <xdr:colOff>843909</xdr:colOff>
      <xdr:row>13</xdr:row>
      <xdr:rowOff>49530</xdr:rowOff>
    </xdr:to>
    <xdr:sp macro="" textlink="">
      <xdr:nvSpPr>
        <xdr:cNvPr id="17" name="Text Box 1">
          <a:extLst>
            <a:ext uri="{FF2B5EF4-FFF2-40B4-BE49-F238E27FC236}">
              <a16:creationId xmlns="" xmlns:a16="http://schemas.microsoft.com/office/drawing/2014/main" id="{00000000-0008-0000-0500-000011000000}"/>
            </a:ext>
          </a:extLst>
        </xdr:cNvPr>
        <xdr:cNvSpPr txBox="1">
          <a:spLocks noChangeArrowheads="1"/>
        </xdr:cNvSpPr>
      </xdr:nvSpPr>
      <xdr:spPr bwMode="auto">
        <a:xfrm>
          <a:off x="9525" y="1000125"/>
          <a:ext cx="9302109" cy="141160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DIRECTIONS:</a:t>
          </a:r>
        </a:p>
        <a:p>
          <a:pPr algn="l" rtl="0">
            <a:defRPr sz="1000"/>
          </a:pPr>
          <a:r>
            <a:rPr lang="en-US" sz="1000" b="0" i="0" strike="noStrike">
              <a:solidFill>
                <a:srgbClr val="000000"/>
              </a:solidFill>
              <a:latin typeface="Arial"/>
              <a:cs typeface="Arial"/>
            </a:rPr>
            <a:t>1. Private providers must use this form to itemize salaries, benefits, and salary step (if applicable) for </a:t>
          </a:r>
          <a:r>
            <a:rPr lang="en-US" sz="1000" b="1" i="0" u="sng" strike="noStrike">
              <a:solidFill>
                <a:srgbClr val="000000"/>
              </a:solidFill>
              <a:latin typeface="Arial"/>
              <a:cs typeface="Arial"/>
            </a:rPr>
            <a:t>all</a:t>
          </a:r>
          <a:r>
            <a:rPr lang="en-US" sz="1000" b="0" i="0" strike="noStrike">
              <a:solidFill>
                <a:srgbClr val="000000"/>
              </a:solidFill>
              <a:latin typeface="Arial"/>
              <a:cs typeface="Arial"/>
            </a:rPr>
            <a:t> state-funded positions (both Educational Program positions and Administrative/Support positions) to be funded in 2017-18.</a:t>
          </a:r>
        </a:p>
        <a:p>
          <a:pPr algn="l" rtl="0">
            <a:defRPr sz="1000"/>
          </a:pPr>
          <a:r>
            <a:rPr lang="en-US" sz="1000" b="0" i="0" strike="noStrike">
              <a:solidFill>
                <a:srgbClr val="000000"/>
              </a:solidFill>
              <a:latin typeface="Arial"/>
              <a:cs typeface="Arial"/>
            </a:rPr>
            <a:t>2. </a:t>
          </a:r>
          <a:r>
            <a:rPr lang="en-US" sz="1000" b="1" i="0" u="sng" strike="noStrike">
              <a:solidFill>
                <a:srgbClr val="000000"/>
              </a:solidFill>
              <a:latin typeface="Arial"/>
              <a:cs typeface="Arial"/>
            </a:rPr>
            <a:t>Both full-time and part-time</a:t>
          </a:r>
          <a:r>
            <a:rPr lang="en-US" sz="1000" b="0" i="0" strike="noStrike">
              <a:solidFill>
                <a:srgbClr val="000000"/>
              </a:solidFill>
              <a:latin typeface="Arial"/>
              <a:cs typeface="Arial"/>
            </a:rPr>
            <a:t> employees must be included.</a:t>
          </a:r>
        </a:p>
        <a:p>
          <a:pPr algn="l" rtl="0">
            <a:defRPr sz="1000"/>
          </a:pPr>
          <a:r>
            <a:rPr lang="en-US" sz="1000" b="0" i="0" strike="noStrike">
              <a:solidFill>
                <a:srgbClr val="000000"/>
              </a:solidFill>
              <a:latin typeface="Arial"/>
              <a:cs typeface="Arial"/>
            </a:rPr>
            <a:t>3. </a:t>
          </a:r>
          <a:r>
            <a:rPr lang="en-US" sz="1000" b="1" i="0" u="sng" strike="noStrike">
              <a:solidFill>
                <a:srgbClr val="000000"/>
              </a:solidFill>
              <a:latin typeface="Arial"/>
              <a:cs typeface="Arial"/>
            </a:rPr>
            <a:t>Full-time, school calendar year salary and benefit equivalent should be reported for all employees</a:t>
          </a:r>
          <a:r>
            <a:rPr lang="en-US" sz="1000" b="0" i="0" strike="noStrike">
              <a:solidFill>
                <a:srgbClr val="000000"/>
              </a:solidFill>
              <a:latin typeface="Arial"/>
              <a:cs typeface="Arial"/>
            </a:rPr>
            <a:t>.</a:t>
          </a:r>
        </a:p>
        <a:p>
          <a:pPr algn="l" rtl="0">
            <a:defRPr sz="1000"/>
          </a:pPr>
          <a:r>
            <a:rPr lang="en-US" sz="1000" b="0" i="0" strike="noStrike">
              <a:solidFill>
                <a:srgbClr val="000000"/>
              </a:solidFill>
              <a:latin typeface="Arial"/>
              <a:cs typeface="Arial"/>
            </a:rPr>
            <a:t>4. Do not include employees from 2016-17 who will not be employed in 2017-18.</a:t>
          </a:r>
        </a:p>
        <a:p>
          <a:pPr algn="l" rtl="0">
            <a:defRPr sz="1000"/>
          </a:pPr>
          <a:endParaRPr lang="en-US" sz="1000" b="0" i="0" strike="noStrike">
            <a:solidFill>
              <a:srgbClr val="000000"/>
            </a:solidFill>
            <a:latin typeface="Arial"/>
            <a:cs typeface="Arial"/>
          </a:endParaRPr>
        </a:p>
        <a:p>
          <a:pPr algn="l" rtl="0">
            <a:defRPr sz="1000"/>
          </a:pPr>
          <a:r>
            <a:rPr lang="en-US" sz="800" b="0" i="0" strike="noStrike">
              <a:solidFill>
                <a:srgbClr val="000000"/>
              </a:solidFill>
              <a:latin typeface="Arial"/>
              <a:cs typeface="Arial"/>
            </a:rPr>
            <a:t>*Salaries for certified teachers and teacher assistants in private provider or local Head Start settings must be comparable to teachers or teacher assistants employed by the district board of education based on equivalent certification and credentials.</a:t>
          </a:r>
        </a:p>
      </xdr:txBody>
    </xdr:sp>
    <xdr:clientData/>
  </xdr:twoCellAnchor>
  <xdr:twoCellAnchor>
    <xdr:from>
      <xdr:col>0</xdr:col>
      <xdr:colOff>9525</xdr:colOff>
      <xdr:row>3</xdr:row>
      <xdr:rowOff>93344</xdr:rowOff>
    </xdr:from>
    <xdr:to>
      <xdr:col>9</xdr:col>
      <xdr:colOff>843913</xdr:colOff>
      <xdr:row>13</xdr:row>
      <xdr:rowOff>198120</xdr:rowOff>
    </xdr:to>
    <xdr:sp macro="" textlink="">
      <xdr:nvSpPr>
        <xdr:cNvPr id="18" name="Text Box 1">
          <a:extLst>
            <a:ext uri="{FF2B5EF4-FFF2-40B4-BE49-F238E27FC236}">
              <a16:creationId xmlns="" xmlns:a16="http://schemas.microsoft.com/office/drawing/2014/main" id="{00000000-0008-0000-0500-000012000000}"/>
            </a:ext>
          </a:extLst>
        </xdr:cNvPr>
        <xdr:cNvSpPr txBox="1">
          <a:spLocks noChangeArrowheads="1"/>
        </xdr:cNvSpPr>
      </xdr:nvSpPr>
      <xdr:spPr bwMode="auto">
        <a:xfrm>
          <a:off x="9525" y="836294"/>
          <a:ext cx="10759438" cy="16859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                                                                                           </a:t>
          </a:r>
        </a:p>
        <a:p>
          <a:pPr rtl="0"/>
          <a:r>
            <a:rPr lang="en-US" sz="1100" b="1" i="0">
              <a:effectLst/>
              <a:latin typeface="+mn-lt"/>
              <a:ea typeface="+mn-ea"/>
              <a:cs typeface="+mn-cs"/>
            </a:rPr>
            <a:t>DIRECTIONS:</a:t>
          </a:r>
          <a:endParaRPr lang="en-US" sz="1000">
            <a:effectLst/>
          </a:endParaRPr>
        </a:p>
        <a:p>
          <a:pPr rtl="0"/>
          <a:r>
            <a:rPr lang="en-US" sz="1100" b="0" i="0">
              <a:effectLst/>
              <a:latin typeface="+mn-lt"/>
              <a:ea typeface="+mn-ea"/>
              <a:cs typeface="+mn-cs"/>
            </a:rPr>
            <a:t>1. Private providers must use this form to itemize salaries, benefits, and salary step (if applicable) for </a:t>
          </a:r>
          <a:r>
            <a:rPr lang="en-US" sz="1100" b="1" i="0" u="sng">
              <a:effectLst/>
              <a:latin typeface="+mn-lt"/>
              <a:ea typeface="+mn-ea"/>
              <a:cs typeface="+mn-cs"/>
            </a:rPr>
            <a:t>all</a:t>
          </a:r>
          <a:r>
            <a:rPr lang="en-US" sz="1100" b="0" i="0">
              <a:effectLst/>
              <a:latin typeface="+mn-lt"/>
              <a:ea typeface="+mn-ea"/>
              <a:cs typeface="+mn-cs"/>
            </a:rPr>
            <a:t> state-funded positions (both Educational Program positions and Administrative/Support positions) to be funded in 2018-19.</a:t>
          </a:r>
          <a:endParaRPr lang="en-US" sz="1000">
            <a:effectLst/>
          </a:endParaRPr>
        </a:p>
        <a:p>
          <a:pPr rtl="0"/>
          <a:r>
            <a:rPr lang="en-US" sz="1100" b="0" i="0">
              <a:effectLst/>
              <a:latin typeface="+mn-lt"/>
              <a:ea typeface="+mn-ea"/>
              <a:cs typeface="+mn-cs"/>
            </a:rPr>
            <a:t>2. </a:t>
          </a:r>
          <a:r>
            <a:rPr lang="en-US" sz="1100" b="1" i="0" u="sng">
              <a:effectLst/>
              <a:latin typeface="+mn-lt"/>
              <a:ea typeface="+mn-ea"/>
              <a:cs typeface="+mn-cs"/>
            </a:rPr>
            <a:t>Both full-time and part-time</a:t>
          </a:r>
          <a:r>
            <a:rPr lang="en-US" sz="1100" b="0" i="0">
              <a:effectLst/>
              <a:latin typeface="+mn-lt"/>
              <a:ea typeface="+mn-ea"/>
              <a:cs typeface="+mn-cs"/>
            </a:rPr>
            <a:t> employees must be included.</a:t>
          </a:r>
          <a:endParaRPr lang="en-US" sz="1000">
            <a:effectLst/>
          </a:endParaRPr>
        </a:p>
        <a:p>
          <a:pPr rtl="0"/>
          <a:r>
            <a:rPr lang="en-US" sz="1100" b="0" i="0">
              <a:effectLst/>
              <a:latin typeface="+mn-lt"/>
              <a:ea typeface="+mn-ea"/>
              <a:cs typeface="+mn-cs"/>
            </a:rPr>
            <a:t>3. </a:t>
          </a:r>
          <a:r>
            <a:rPr lang="en-US" sz="1100" b="1" i="0" u="sng">
              <a:effectLst/>
              <a:latin typeface="+mn-lt"/>
              <a:ea typeface="+mn-ea"/>
              <a:cs typeface="+mn-cs"/>
            </a:rPr>
            <a:t>Full-time, school calendar year salary and benefit equivalent should be reported for all employees</a:t>
          </a:r>
          <a:r>
            <a:rPr lang="en-US" sz="1100" b="0" i="0">
              <a:effectLst/>
              <a:latin typeface="+mn-lt"/>
              <a:ea typeface="+mn-ea"/>
              <a:cs typeface="+mn-cs"/>
            </a:rPr>
            <a:t>.</a:t>
          </a:r>
          <a:endParaRPr lang="en-US" sz="1000">
            <a:effectLst/>
          </a:endParaRPr>
        </a:p>
        <a:p>
          <a:pPr rtl="0"/>
          <a:r>
            <a:rPr lang="en-US" sz="1100" b="0" i="0">
              <a:effectLst/>
              <a:latin typeface="+mn-lt"/>
              <a:ea typeface="+mn-ea"/>
              <a:cs typeface="+mn-cs"/>
            </a:rPr>
            <a:t>4. Do not include employees from 2017-18 who will not be employed in 2018-19.</a:t>
          </a:r>
          <a:endParaRPr lang="en-US" sz="1000">
            <a:effectLst/>
          </a:endParaRPr>
        </a:p>
        <a:p>
          <a:pPr rtl="0"/>
          <a:r>
            <a:rPr lang="en-US" sz="1100" b="0" i="0">
              <a:effectLst/>
              <a:latin typeface="+mn-lt"/>
              <a:ea typeface="+mn-ea"/>
              <a:cs typeface="+mn-cs"/>
            </a:rPr>
            <a:t>*Salaries for certified teachers and teacher assistants in private provider or local Head Start settings must be comparable to teachers or teacher assistants employed by the district board of education based on equivalent certification and credentials.</a:t>
          </a:r>
          <a:endParaRPr lang="en-US" sz="1000">
            <a:effectLst/>
          </a:endParaRPr>
        </a:p>
        <a:p>
          <a:pPr algn="l" rtl="0">
            <a:defRPr sz="1000"/>
          </a:pPr>
          <a:r>
            <a:rPr lang="en-US" sz="1000" b="0" i="0" u="none" strike="noStrike" baseline="0">
              <a:solidFill>
                <a:srgbClr val="FF0000"/>
              </a:solidFill>
              <a:latin typeface="Arial" pitchFamily="34" charset="0"/>
              <a:cs typeface="Arial" pitchFamily="34" charset="0"/>
            </a:rPr>
            <a:t>* Please note: Schedule A is now broken into categories. Be sure to place staff under the appropriate catergory.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ECPA%20Pln%2019-20\Provider%20Budget%20and%20Expenditure\Urban%20League\2019-20%20District%20Approved%20BudgetPlanningWorkbook%20-%20Urban%20Leag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CFP Worksheet"/>
      <sheetName val="Director Salary Scale"/>
      <sheetName val="Director Salary Scale (2)"/>
      <sheetName val="4 Teachers"/>
      <sheetName val="4a Teacher Assistants"/>
      <sheetName val="4b Floater Teacher Assistants"/>
      <sheetName val="4c Family Worker"/>
      <sheetName val="Schedule A Personnel"/>
      <sheetName val="Provider Planning Budget"/>
      <sheetName val="Provider Statement of Assur"/>
      <sheetName val="Standard Proration J1"/>
      <sheetName val="Standard Proration J2"/>
      <sheetName val="Standard Proration J3"/>
      <sheetName val="Standard Proration J4"/>
      <sheetName val="Standard Proration J5"/>
      <sheetName val="Standard Proration J6"/>
      <sheetName val="Standard Proration J7"/>
      <sheetName val="Standard Proration J8"/>
      <sheetName val="Sheet1"/>
      <sheetName val="Standard Proration J9"/>
    </sheetNames>
    <sheetDataSet>
      <sheetData sheetId="0" refreshError="1">
        <row r="4">
          <cell r="B4" t="str">
            <v>Newark</v>
          </cell>
        </row>
        <row r="5">
          <cell r="B5" t="str">
            <v>Urban League Of Essex County</v>
          </cell>
        </row>
      </sheetData>
      <sheetData sheetId="1" refreshError="1">
        <row r="11">
          <cell r="B11" t="str">
            <v>Tier 3*</v>
          </cell>
        </row>
      </sheetData>
      <sheetData sheetId="2" refreshError="1"/>
      <sheetData sheetId="3" refreshError="1">
        <row r="5">
          <cell r="A5" t="str">
            <v>Urban League</v>
          </cell>
          <cell r="B5" t="str">
            <v xml:space="preserve">Janvier </v>
          </cell>
          <cell r="C5" t="str">
            <v xml:space="preserve">Jhonny </v>
          </cell>
          <cell r="G5">
            <v>9</v>
          </cell>
          <cell r="H5">
            <v>1</v>
          </cell>
          <cell r="I5">
            <v>58583</v>
          </cell>
          <cell r="N5">
            <v>1465</v>
          </cell>
        </row>
        <row r="6">
          <cell r="A6" t="str">
            <v xml:space="preserve">Urban League </v>
          </cell>
          <cell r="B6" t="str">
            <v xml:space="preserve">Simmons </v>
          </cell>
          <cell r="C6" t="str">
            <v xml:space="preserve">Bertrilla </v>
          </cell>
          <cell r="G6">
            <v>9</v>
          </cell>
          <cell r="H6">
            <v>1</v>
          </cell>
          <cell r="I6">
            <v>57717</v>
          </cell>
          <cell r="N6">
            <v>1443</v>
          </cell>
        </row>
        <row r="7">
          <cell r="A7" t="str">
            <v xml:space="preserve">Urban League </v>
          </cell>
          <cell r="B7" t="str">
            <v>Thorpe</v>
          </cell>
          <cell r="C7" t="str">
            <v xml:space="preserve">Melissa </v>
          </cell>
          <cell r="G7">
            <v>9</v>
          </cell>
          <cell r="I7">
            <v>53261</v>
          </cell>
        </row>
        <row r="8">
          <cell r="N8">
            <v>0</v>
          </cell>
        </row>
      </sheetData>
      <sheetData sheetId="4" refreshError="1">
        <row r="5">
          <cell r="A5" t="str">
            <v>Urban League</v>
          </cell>
          <cell r="B5" t="str">
            <v>Stewart</v>
          </cell>
          <cell r="C5" t="str">
            <v>Robin</v>
          </cell>
          <cell r="F5">
            <v>0</v>
          </cell>
          <cell r="G5">
            <v>1</v>
          </cell>
          <cell r="H5">
            <v>34413</v>
          </cell>
          <cell r="M5">
            <v>1720</v>
          </cell>
        </row>
        <row r="6">
          <cell r="A6" t="str">
            <v>Urban League</v>
          </cell>
          <cell r="B6" t="str">
            <v>Hill</v>
          </cell>
          <cell r="C6" t="str">
            <v>Wynora</v>
          </cell>
          <cell r="F6">
            <v>0</v>
          </cell>
          <cell r="G6">
            <v>1</v>
          </cell>
          <cell r="H6">
            <v>25872</v>
          </cell>
          <cell r="M6">
            <v>1294</v>
          </cell>
        </row>
        <row r="7">
          <cell r="A7" t="str">
            <v>Urban League</v>
          </cell>
          <cell r="B7" t="str">
            <v>Bryant</v>
          </cell>
          <cell r="C7" t="str">
            <v>Roni</v>
          </cell>
          <cell r="F7">
            <v>0</v>
          </cell>
          <cell r="G7">
            <v>1</v>
          </cell>
          <cell r="H7">
            <v>26551</v>
          </cell>
          <cell r="M7">
            <v>1328</v>
          </cell>
        </row>
      </sheetData>
      <sheetData sheetId="5" refreshError="1">
        <row r="5">
          <cell r="A5" t="str">
            <v>Urban League</v>
          </cell>
          <cell r="B5" t="str">
            <v>Rambaran</v>
          </cell>
          <cell r="C5" t="str">
            <v>Sharaini</v>
          </cell>
          <cell r="F5">
            <v>2</v>
          </cell>
          <cell r="G5">
            <v>1</v>
          </cell>
          <cell r="H5">
            <v>19800</v>
          </cell>
          <cell r="M5">
            <v>495</v>
          </cell>
        </row>
      </sheetData>
      <sheetData sheetId="6" refreshError="1">
        <row r="5">
          <cell r="A5" t="str">
            <v>Urban League</v>
          </cell>
          <cell r="B5" t="str">
            <v>McMillian</v>
          </cell>
          <cell r="C5" t="str">
            <v>Daphne L</v>
          </cell>
          <cell r="F5">
            <v>20</v>
          </cell>
          <cell r="G5">
            <v>1</v>
          </cell>
          <cell r="N5">
            <v>1842</v>
          </cell>
        </row>
        <row r="6">
          <cell r="N6">
            <v>0</v>
          </cell>
        </row>
      </sheetData>
      <sheetData sheetId="7" refreshError="1">
        <row r="3">
          <cell r="B3" t="str">
            <v>Newark</v>
          </cell>
          <cell r="F3" t="str">
            <v>Urban League Of Essex County</v>
          </cell>
        </row>
        <row r="20">
          <cell r="I20">
            <v>58583</v>
          </cell>
          <cell r="K20">
            <v>1465</v>
          </cell>
        </row>
        <row r="21">
          <cell r="I21">
            <v>57717</v>
          </cell>
          <cell r="K21">
            <v>1443</v>
          </cell>
        </row>
        <row r="22">
          <cell r="I22">
            <v>53261</v>
          </cell>
          <cell r="K22">
            <v>0</v>
          </cell>
        </row>
        <row r="25">
          <cell r="K25">
            <v>1720</v>
          </cell>
        </row>
        <row r="26">
          <cell r="K26">
            <v>1294</v>
          </cell>
        </row>
        <row r="27">
          <cell r="K27">
            <v>1328</v>
          </cell>
        </row>
        <row r="30">
          <cell r="D30">
            <v>1</v>
          </cell>
          <cell r="K30">
            <v>495</v>
          </cell>
        </row>
        <row r="35">
          <cell r="H35">
            <v>30075.952468455223</v>
          </cell>
          <cell r="K35">
            <v>1842</v>
          </cell>
        </row>
        <row r="36">
          <cell r="K36">
            <v>0</v>
          </cell>
        </row>
        <row r="45">
          <cell r="H45">
            <v>19549.06816108432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N66"/>
  <sheetViews>
    <sheetView zoomScaleNormal="100" zoomScalePageLayoutView="75" workbookViewId="0">
      <selection activeCell="E22" sqref="E22"/>
    </sheetView>
  </sheetViews>
  <sheetFormatPr defaultColWidth="9.1796875" defaultRowHeight="13" x14ac:dyDescent="0.3"/>
  <cols>
    <col min="1" max="1" width="31.453125" style="1" customWidth="1"/>
    <col min="2" max="2" width="14" style="1" customWidth="1"/>
    <col min="3" max="3" width="19.26953125" style="1" customWidth="1"/>
    <col min="4" max="4" width="14.1796875" style="1" customWidth="1"/>
    <col min="5" max="5" width="14.453125" style="88" customWidth="1"/>
    <col min="6" max="6" width="16.1796875" style="1" customWidth="1"/>
    <col min="7" max="7" width="14.453125" style="1" customWidth="1"/>
    <col min="8" max="8" width="14.453125" style="166" customWidth="1"/>
    <col min="9" max="9" width="14.453125" style="2" customWidth="1"/>
    <col min="10" max="10" width="17" style="1" customWidth="1"/>
    <col min="11" max="11" width="16.1796875" style="1" customWidth="1"/>
    <col min="12" max="12" width="10.26953125" style="1" customWidth="1"/>
    <col min="13" max="13" width="11.7265625" style="1" customWidth="1"/>
    <col min="14" max="14" width="15" style="1" bestFit="1" customWidth="1"/>
    <col min="15" max="16384" width="9.1796875" style="1"/>
  </cols>
  <sheetData>
    <row r="1" spans="1:14" ht="16.5" customHeight="1" thickBot="1" x14ac:dyDescent="0.35">
      <c r="E1" s="82"/>
      <c r="J1" s="648" t="s">
        <v>54</v>
      </c>
      <c r="K1" s="648"/>
      <c r="L1" s="649"/>
      <c r="M1" s="42">
        <f>'Provider Planning Budget'!E5</f>
        <v>45</v>
      </c>
    </row>
    <row r="2" spans="1:14" ht="21" customHeight="1" thickBot="1" x14ac:dyDescent="0.3">
      <c r="E2" s="660" t="s">
        <v>53</v>
      </c>
      <c r="F2" s="663" t="s">
        <v>52</v>
      </c>
      <c r="G2" s="666" t="s">
        <v>51</v>
      </c>
      <c r="H2" s="654" t="s">
        <v>95</v>
      </c>
      <c r="I2" s="657" t="s">
        <v>79</v>
      </c>
      <c r="J2" s="650" t="s">
        <v>50</v>
      </c>
      <c r="K2" s="650"/>
      <c r="L2" s="651"/>
      <c r="M2" s="48">
        <v>0.76729999999999998</v>
      </c>
    </row>
    <row r="3" spans="1:14" ht="19.5" customHeight="1" thickBot="1" x14ac:dyDescent="0.45">
      <c r="A3" s="110" t="s">
        <v>103</v>
      </c>
      <c r="D3" s="638" t="s">
        <v>49</v>
      </c>
      <c r="E3" s="661"/>
      <c r="F3" s="664"/>
      <c r="G3" s="667"/>
      <c r="H3" s="655"/>
      <c r="I3" s="658"/>
      <c r="J3" s="650" t="s">
        <v>86</v>
      </c>
      <c r="K3" s="650"/>
      <c r="L3" s="651"/>
      <c r="M3" s="48"/>
    </row>
    <row r="4" spans="1:14" ht="27.75" customHeight="1" thickBot="1" x14ac:dyDescent="0.4">
      <c r="C4" s="27" t="s">
        <v>48</v>
      </c>
      <c r="D4" s="639"/>
      <c r="E4" s="662"/>
      <c r="F4" s="665"/>
      <c r="G4" s="668"/>
      <c r="H4" s="656"/>
      <c r="I4" s="659"/>
      <c r="J4" s="650" t="s">
        <v>80</v>
      </c>
      <c r="K4" s="650"/>
      <c r="L4" s="651"/>
      <c r="M4" s="181"/>
    </row>
    <row r="5" spans="1:14" ht="19.5" customHeight="1" x14ac:dyDescent="0.35">
      <c r="A5" s="609" t="s">
        <v>47</v>
      </c>
      <c r="B5" s="610"/>
      <c r="C5" s="80" t="s">
        <v>97</v>
      </c>
      <c r="D5" s="138"/>
      <c r="E5" s="83" t="s">
        <v>78</v>
      </c>
      <c r="F5" s="83" t="s">
        <v>78</v>
      </c>
      <c r="G5" s="26"/>
      <c r="H5" s="173" t="s">
        <v>78</v>
      </c>
      <c r="I5" s="25" t="s">
        <v>46</v>
      </c>
      <c r="J5" s="24" t="s">
        <v>45</v>
      </c>
      <c r="K5" s="615" t="s">
        <v>91</v>
      </c>
      <c r="L5" s="616"/>
      <c r="M5" s="616"/>
      <c r="N5" s="652" t="s">
        <v>96</v>
      </c>
    </row>
    <row r="6" spans="1:14" ht="19.5" customHeight="1" x14ac:dyDescent="0.35">
      <c r="A6" s="617" t="s">
        <v>43</v>
      </c>
      <c r="B6" s="618"/>
      <c r="C6" s="618"/>
      <c r="D6" s="618"/>
      <c r="E6" s="618"/>
      <c r="F6" s="619"/>
      <c r="G6" s="618"/>
      <c r="H6" s="618"/>
      <c r="I6" s="618"/>
      <c r="J6" s="618"/>
      <c r="K6" s="618"/>
      <c r="L6" s="618"/>
      <c r="M6" s="618"/>
      <c r="N6" s="653"/>
    </row>
    <row r="7" spans="1:14" ht="14" x14ac:dyDescent="0.3">
      <c r="A7" s="611" t="s">
        <v>42</v>
      </c>
      <c r="B7" s="612"/>
      <c r="C7" s="67">
        <f>'Provider Planning Budget'!H18</f>
        <v>169561</v>
      </c>
      <c r="D7" s="111">
        <f>C7/(A$63-C$13-C$14)*D$5*D$65</f>
        <v>0</v>
      </c>
      <c r="E7" s="16">
        <v>3452</v>
      </c>
      <c r="F7" s="68">
        <f>C7+D7-E7</f>
        <v>166109</v>
      </c>
      <c r="G7" s="117"/>
      <c r="H7" s="179"/>
      <c r="I7" s="70">
        <f>H7-E7</f>
        <v>-3452</v>
      </c>
      <c r="J7" s="71">
        <f>IF(H7&gt;0,(C7+D7+G7-H7),F7+G7)</f>
        <v>166109</v>
      </c>
      <c r="K7" s="613"/>
      <c r="L7" s="614"/>
      <c r="M7" s="614"/>
      <c r="N7" s="183"/>
    </row>
    <row r="8" spans="1:14" ht="14" x14ac:dyDescent="0.3">
      <c r="A8" s="611" t="s">
        <v>41</v>
      </c>
      <c r="B8" s="612"/>
      <c r="C8" s="67">
        <f>'Provider Planning Budget'!H20</f>
        <v>86836</v>
      </c>
      <c r="D8" s="111">
        <f t="shared" ref="D8:D14" si="0">C8/(A$63-C$13-C$14)*D$5*D$65</f>
        <v>0</v>
      </c>
      <c r="E8" s="10">
        <v>4700</v>
      </c>
      <c r="F8" s="68">
        <f t="shared" ref="F8:F25" si="1">C8+D8-E8</f>
        <v>82136</v>
      </c>
      <c r="G8" s="117"/>
      <c r="H8" s="179"/>
      <c r="I8" s="70">
        <f t="shared" ref="I8:I25" si="2">H8-E8</f>
        <v>-4700</v>
      </c>
      <c r="J8" s="71">
        <f t="shared" ref="J8:J25" si="3">IF(H8&gt;0,C8-H8,F8)</f>
        <v>82136</v>
      </c>
      <c r="K8" s="613"/>
      <c r="L8" s="614"/>
      <c r="M8" s="614"/>
      <c r="N8" s="183"/>
    </row>
    <row r="9" spans="1:14" ht="14" x14ac:dyDescent="0.3">
      <c r="A9" s="611" t="s">
        <v>40</v>
      </c>
      <c r="B9" s="612"/>
      <c r="C9" s="67">
        <f>'Provider Planning Budget'!H21</f>
        <v>19800</v>
      </c>
      <c r="D9" s="111">
        <f t="shared" si="0"/>
        <v>0</v>
      </c>
      <c r="E9" s="10">
        <v>863</v>
      </c>
      <c r="F9" s="68">
        <f t="shared" si="1"/>
        <v>18937</v>
      </c>
      <c r="G9" s="117"/>
      <c r="H9" s="179"/>
      <c r="I9" s="70">
        <f t="shared" si="2"/>
        <v>-863</v>
      </c>
      <c r="J9" s="71">
        <f t="shared" si="3"/>
        <v>18937</v>
      </c>
      <c r="K9" s="613"/>
      <c r="L9" s="614"/>
      <c r="M9" s="614"/>
      <c r="N9" s="183"/>
    </row>
    <row r="10" spans="1:14" ht="14" x14ac:dyDescent="0.3">
      <c r="A10" s="611" t="s">
        <v>39</v>
      </c>
      <c r="B10" s="612"/>
      <c r="C10" s="67">
        <f>'Provider Planning Budget'!H23</f>
        <v>38599.75</v>
      </c>
      <c r="D10" s="111">
        <f t="shared" si="0"/>
        <v>0</v>
      </c>
      <c r="E10" s="10">
        <v>11173</v>
      </c>
      <c r="F10" s="68">
        <f t="shared" si="1"/>
        <v>27426.75</v>
      </c>
      <c r="G10" s="117"/>
      <c r="H10" s="179"/>
      <c r="I10" s="70">
        <f t="shared" si="2"/>
        <v>-11173</v>
      </c>
      <c r="J10" s="71">
        <f t="shared" si="3"/>
        <v>27426.75</v>
      </c>
      <c r="K10" s="613"/>
      <c r="L10" s="614"/>
      <c r="M10" s="614"/>
      <c r="N10" s="183"/>
    </row>
    <row r="11" spans="1:14" ht="14" x14ac:dyDescent="0.3">
      <c r="A11" s="611" t="s">
        <v>38</v>
      </c>
      <c r="B11" s="612"/>
      <c r="C11" s="67">
        <f>'Provider Planning Budget'!H25</f>
        <v>3000</v>
      </c>
      <c r="D11" s="111">
        <f t="shared" si="0"/>
        <v>0</v>
      </c>
      <c r="E11" s="10">
        <v>3338</v>
      </c>
      <c r="F11" s="68">
        <f t="shared" si="1"/>
        <v>-338</v>
      </c>
      <c r="G11" s="117"/>
      <c r="H11" s="179"/>
      <c r="I11" s="70">
        <f t="shared" si="2"/>
        <v>-3338</v>
      </c>
      <c r="J11" s="71">
        <f t="shared" si="3"/>
        <v>-338</v>
      </c>
      <c r="K11" s="613"/>
      <c r="L11" s="614"/>
      <c r="M11" s="614"/>
      <c r="N11" s="183"/>
    </row>
    <row r="12" spans="1:14" ht="14" x14ac:dyDescent="0.3">
      <c r="A12" s="611" t="s">
        <v>37</v>
      </c>
      <c r="B12" s="612"/>
      <c r="C12" s="67">
        <f>'Provider Planning Budget'!H26</f>
        <v>4800</v>
      </c>
      <c r="D12" s="111">
        <f t="shared" si="0"/>
        <v>0</v>
      </c>
      <c r="E12" s="10"/>
      <c r="F12" s="68">
        <f t="shared" si="1"/>
        <v>4800</v>
      </c>
      <c r="G12" s="117"/>
      <c r="H12" s="179"/>
      <c r="I12" s="70">
        <f t="shared" si="2"/>
        <v>0</v>
      </c>
      <c r="J12" s="71">
        <f t="shared" si="3"/>
        <v>4800</v>
      </c>
      <c r="K12" s="613"/>
      <c r="L12" s="614"/>
      <c r="M12" s="614"/>
      <c r="N12" s="183"/>
    </row>
    <row r="13" spans="1:14" ht="14" x14ac:dyDescent="0.3">
      <c r="A13" s="611" t="s">
        <v>36</v>
      </c>
      <c r="B13" s="612"/>
      <c r="C13" s="67">
        <f>'Provider Planning Budget'!H28</f>
        <v>6000</v>
      </c>
      <c r="D13" s="73">
        <f t="shared" si="0"/>
        <v>0</v>
      </c>
      <c r="E13" s="10">
        <v>2031</v>
      </c>
      <c r="F13" s="68">
        <f t="shared" si="1"/>
        <v>3969</v>
      </c>
      <c r="G13" s="117"/>
      <c r="H13" s="179"/>
      <c r="I13" s="70">
        <f t="shared" si="2"/>
        <v>-2031</v>
      </c>
      <c r="J13" s="71">
        <f t="shared" si="3"/>
        <v>3969</v>
      </c>
      <c r="K13" s="613"/>
      <c r="L13" s="614"/>
      <c r="M13" s="614"/>
      <c r="N13" s="183"/>
    </row>
    <row r="14" spans="1:14" ht="14" x14ac:dyDescent="0.3">
      <c r="A14" s="611" t="s">
        <v>35</v>
      </c>
      <c r="B14" s="612"/>
      <c r="C14" s="67">
        <f>'Provider Planning Budget'!H29</f>
        <v>3000</v>
      </c>
      <c r="D14" s="73">
        <f t="shared" si="0"/>
        <v>0</v>
      </c>
      <c r="E14" s="10"/>
      <c r="F14" s="68">
        <f t="shared" si="1"/>
        <v>3000</v>
      </c>
      <c r="G14" s="117"/>
      <c r="H14" s="179"/>
      <c r="I14" s="70">
        <f t="shared" si="2"/>
        <v>0</v>
      </c>
      <c r="J14" s="71">
        <f t="shared" si="3"/>
        <v>3000</v>
      </c>
      <c r="K14" s="613"/>
      <c r="L14" s="614"/>
      <c r="M14" s="614"/>
      <c r="N14" s="183"/>
    </row>
    <row r="15" spans="1:14" ht="14" x14ac:dyDescent="0.3">
      <c r="A15" s="611" t="s">
        <v>34</v>
      </c>
      <c r="B15" s="612"/>
      <c r="C15" s="67">
        <f>'Provider Planning Budget'!H30</f>
        <v>4500</v>
      </c>
      <c r="D15" s="111">
        <f t="shared" ref="D15:D25" si="4">C15/(A$63-C$13-C$14)*D$5*D$65</f>
        <v>0</v>
      </c>
      <c r="E15" s="10">
        <v>560</v>
      </c>
      <c r="F15" s="68">
        <f t="shared" si="1"/>
        <v>3940</v>
      </c>
      <c r="G15" s="117"/>
      <c r="H15" s="179"/>
      <c r="I15" s="70">
        <f t="shared" si="2"/>
        <v>-560</v>
      </c>
      <c r="J15" s="71">
        <f t="shared" si="3"/>
        <v>3940</v>
      </c>
      <c r="K15" s="613"/>
      <c r="L15" s="614"/>
      <c r="M15" s="614"/>
      <c r="N15" s="183"/>
    </row>
    <row r="16" spans="1:14" ht="14" x14ac:dyDescent="0.3">
      <c r="A16" s="611" t="s">
        <v>33</v>
      </c>
      <c r="B16" s="612"/>
      <c r="C16" s="67">
        <f>'Provider Planning Budget'!H32</f>
        <v>24551.797933432837</v>
      </c>
      <c r="D16" s="111">
        <f t="shared" si="4"/>
        <v>0</v>
      </c>
      <c r="E16" s="10">
        <v>4870</v>
      </c>
      <c r="F16" s="68">
        <f t="shared" si="1"/>
        <v>19681.797933432837</v>
      </c>
      <c r="G16" s="117"/>
      <c r="H16" s="179"/>
      <c r="I16" s="70">
        <f t="shared" si="2"/>
        <v>-4870</v>
      </c>
      <c r="J16" s="71">
        <f t="shared" si="3"/>
        <v>19681.797933432837</v>
      </c>
      <c r="K16" s="613"/>
      <c r="L16" s="614"/>
      <c r="M16" s="614"/>
      <c r="N16" s="183"/>
    </row>
    <row r="17" spans="1:14" ht="14" x14ac:dyDescent="0.3">
      <c r="A17" s="611" t="s">
        <v>32</v>
      </c>
      <c r="B17" s="612"/>
      <c r="C17" s="67">
        <f>'Provider Planning Budget'!H33</f>
        <v>0</v>
      </c>
      <c r="D17" s="111">
        <f t="shared" si="4"/>
        <v>0</v>
      </c>
      <c r="E17" s="10"/>
      <c r="F17" s="68">
        <f t="shared" si="1"/>
        <v>0</v>
      </c>
      <c r="G17" s="117"/>
      <c r="H17" s="179"/>
      <c r="I17" s="70">
        <f t="shared" si="2"/>
        <v>0</v>
      </c>
      <c r="J17" s="71">
        <f t="shared" si="3"/>
        <v>0</v>
      </c>
      <c r="K17" s="613"/>
      <c r="L17" s="614"/>
      <c r="M17" s="614"/>
      <c r="N17" s="183"/>
    </row>
    <row r="18" spans="1:14" ht="33.75" customHeight="1" x14ac:dyDescent="0.3">
      <c r="A18" s="630" t="s">
        <v>31</v>
      </c>
      <c r="B18" s="631"/>
      <c r="C18" s="67">
        <f>'Provider Planning Budget'!H37</f>
        <v>0</v>
      </c>
      <c r="D18" s="111">
        <f t="shared" si="4"/>
        <v>0</v>
      </c>
      <c r="E18" s="10"/>
      <c r="F18" s="68">
        <f t="shared" si="1"/>
        <v>0</v>
      </c>
      <c r="G18" s="117"/>
      <c r="H18" s="179"/>
      <c r="I18" s="70">
        <f t="shared" si="2"/>
        <v>0</v>
      </c>
      <c r="J18" s="71">
        <f t="shared" si="3"/>
        <v>0</v>
      </c>
      <c r="K18" s="613"/>
      <c r="L18" s="614"/>
      <c r="M18" s="614"/>
      <c r="N18" s="183"/>
    </row>
    <row r="19" spans="1:14" ht="14" x14ac:dyDescent="0.3">
      <c r="A19" s="611" t="s">
        <v>30</v>
      </c>
      <c r="B19" s="612"/>
      <c r="C19" s="67">
        <f>'Provider Planning Budget'!H38</f>
        <v>7500.4588046609224</v>
      </c>
      <c r="D19" s="111">
        <f t="shared" si="4"/>
        <v>0</v>
      </c>
      <c r="E19" s="10">
        <v>424</v>
      </c>
      <c r="F19" s="68">
        <f t="shared" si="1"/>
        <v>7076.4588046609224</v>
      </c>
      <c r="G19" s="117"/>
      <c r="H19" s="179"/>
      <c r="I19" s="70">
        <f t="shared" si="2"/>
        <v>-424</v>
      </c>
      <c r="J19" s="71">
        <f t="shared" si="3"/>
        <v>7076.4588046609224</v>
      </c>
      <c r="K19" s="613"/>
      <c r="L19" s="614"/>
      <c r="M19" s="614"/>
      <c r="N19" s="183"/>
    </row>
    <row r="20" spans="1:14" ht="14" x14ac:dyDescent="0.3">
      <c r="A20" s="611" t="s">
        <v>29</v>
      </c>
      <c r="B20" s="612"/>
      <c r="C20" s="67">
        <f>'Provider Planning Budget'!H40</f>
        <v>0</v>
      </c>
      <c r="D20" s="111">
        <f t="shared" si="4"/>
        <v>0</v>
      </c>
      <c r="E20" s="10"/>
      <c r="F20" s="68">
        <f t="shared" si="1"/>
        <v>0</v>
      </c>
      <c r="G20" s="117"/>
      <c r="H20" s="179"/>
      <c r="I20" s="70">
        <f t="shared" si="2"/>
        <v>0</v>
      </c>
      <c r="J20" s="71">
        <f t="shared" si="3"/>
        <v>0</v>
      </c>
      <c r="K20" s="613"/>
      <c r="L20" s="614"/>
      <c r="M20" s="614"/>
      <c r="N20" s="183"/>
    </row>
    <row r="21" spans="1:14" ht="14" x14ac:dyDescent="0.3">
      <c r="A21" s="611" t="s">
        <v>28</v>
      </c>
      <c r="B21" s="612"/>
      <c r="C21" s="67">
        <f>'Provider Planning Budget'!H39+'Provider Planning Budget'!H41</f>
        <v>0</v>
      </c>
      <c r="D21" s="111">
        <f t="shared" si="4"/>
        <v>0</v>
      </c>
      <c r="E21" s="10"/>
      <c r="F21" s="68">
        <f t="shared" si="1"/>
        <v>0</v>
      </c>
      <c r="G21" s="117"/>
      <c r="H21" s="179"/>
      <c r="I21" s="70">
        <f t="shared" si="2"/>
        <v>0</v>
      </c>
      <c r="J21" s="71">
        <f t="shared" si="3"/>
        <v>0</v>
      </c>
      <c r="K21" s="613"/>
      <c r="L21" s="614"/>
      <c r="M21" s="614"/>
      <c r="N21" s="183"/>
    </row>
    <row r="22" spans="1:14" ht="15" customHeight="1" x14ac:dyDescent="0.3">
      <c r="A22" s="611" t="s">
        <v>20</v>
      </c>
      <c r="B22" s="612"/>
      <c r="C22" s="67">
        <f>'Provider Planning Budget'!H44</f>
        <v>19595.053917761816</v>
      </c>
      <c r="D22" s="111">
        <f t="shared" si="4"/>
        <v>0</v>
      </c>
      <c r="E22" s="10">
        <f>17649*N22</f>
        <v>1094.2380000000001</v>
      </c>
      <c r="F22" s="68">
        <f t="shared" si="1"/>
        <v>18500.815917761814</v>
      </c>
      <c r="G22" s="117"/>
      <c r="H22" s="179"/>
      <c r="I22" s="70">
        <f t="shared" si="2"/>
        <v>-1094.2380000000001</v>
      </c>
      <c r="J22" s="71">
        <f t="shared" si="3"/>
        <v>18500.815917761814</v>
      </c>
      <c r="K22" s="613"/>
      <c r="L22" s="614"/>
      <c r="M22" s="614"/>
      <c r="N22" s="184">
        <v>6.2E-2</v>
      </c>
    </row>
    <row r="23" spans="1:14" ht="15" customHeight="1" x14ac:dyDescent="0.3">
      <c r="A23" s="611" t="s">
        <v>19</v>
      </c>
      <c r="B23" s="612"/>
      <c r="C23" s="67">
        <f>'Provider Planning Budget'!H45</f>
        <v>4582.7142227023605</v>
      </c>
      <c r="D23" s="111">
        <f t="shared" si="4"/>
        <v>0</v>
      </c>
      <c r="E23" s="10">
        <f>17647*N23</f>
        <v>255.88150000000002</v>
      </c>
      <c r="F23" s="68">
        <f t="shared" si="1"/>
        <v>4326.8327227023601</v>
      </c>
      <c r="G23" s="117"/>
      <c r="H23" s="179"/>
      <c r="I23" s="70">
        <f t="shared" si="2"/>
        <v>-255.88150000000002</v>
      </c>
      <c r="J23" s="71">
        <f t="shared" si="3"/>
        <v>4326.8327227023601</v>
      </c>
      <c r="K23" s="613"/>
      <c r="L23" s="614"/>
      <c r="M23" s="614"/>
      <c r="N23" s="184">
        <v>1.4500000000000001E-2</v>
      </c>
    </row>
    <row r="24" spans="1:14" ht="14" x14ac:dyDescent="0.3">
      <c r="A24" s="611" t="s">
        <v>18</v>
      </c>
      <c r="B24" s="612"/>
      <c r="C24" s="67">
        <f>'Provider Planning Budget'!H46</f>
        <v>8849.3791886666259</v>
      </c>
      <c r="D24" s="111">
        <f t="shared" si="4"/>
        <v>0</v>
      </c>
      <c r="E24" s="10">
        <f>17647*N24</f>
        <v>494.11599999999999</v>
      </c>
      <c r="F24" s="68">
        <f t="shared" si="1"/>
        <v>8355.2631886666259</v>
      </c>
      <c r="G24" s="117"/>
      <c r="H24" s="179"/>
      <c r="I24" s="70">
        <f t="shared" si="2"/>
        <v>-494.11599999999999</v>
      </c>
      <c r="J24" s="71">
        <f t="shared" si="3"/>
        <v>8355.2631886666259</v>
      </c>
      <c r="K24" s="613"/>
      <c r="L24" s="614"/>
      <c r="M24" s="614"/>
      <c r="N24" s="184">
        <v>2.8000000000000001E-2</v>
      </c>
    </row>
    <row r="25" spans="1:14" ht="14" x14ac:dyDescent="0.3">
      <c r="A25" s="611" t="s">
        <v>17</v>
      </c>
      <c r="B25" s="612"/>
      <c r="C25" s="67">
        <f>'Provider Planning Budget'!H47</f>
        <v>1580.246283690469</v>
      </c>
      <c r="D25" s="111">
        <f t="shared" si="4"/>
        <v>0</v>
      </c>
      <c r="E25" s="20">
        <f>17647*N25</f>
        <v>88.234999999999999</v>
      </c>
      <c r="F25" s="68">
        <f t="shared" si="1"/>
        <v>1492.0112836904691</v>
      </c>
      <c r="G25" s="118"/>
      <c r="H25" s="179"/>
      <c r="I25" s="70">
        <f t="shared" si="2"/>
        <v>-88.234999999999999</v>
      </c>
      <c r="J25" s="71">
        <f t="shared" si="3"/>
        <v>1492.0112836904691</v>
      </c>
      <c r="K25" s="613"/>
      <c r="L25" s="614"/>
      <c r="M25" s="614"/>
      <c r="N25" s="184">
        <v>5.0000000000000001E-3</v>
      </c>
    </row>
    <row r="26" spans="1:14" ht="18.75" customHeight="1" x14ac:dyDescent="0.35">
      <c r="A26" s="76" t="s">
        <v>27</v>
      </c>
      <c r="B26" s="77"/>
      <c r="C26" s="68">
        <f t="shared" ref="C26" si="5">SUM(C7:C25)</f>
        <v>402756.40035091509</v>
      </c>
      <c r="D26" s="68">
        <f>SUM(D7:D25)</f>
        <v>0</v>
      </c>
      <c r="E26" s="68">
        <f>SUM(E7:E25)</f>
        <v>33343.470500000003</v>
      </c>
      <c r="F26" s="68">
        <f>SUM(F7:F25)</f>
        <v>369412.92985091504</v>
      </c>
      <c r="G26" s="68">
        <f t="shared" ref="G26:I26" si="6">SUM(G7:G25)</f>
        <v>0</v>
      </c>
      <c r="H26" s="174">
        <f t="shared" si="6"/>
        <v>0</v>
      </c>
      <c r="I26" s="68">
        <f t="shared" si="6"/>
        <v>-33343.470500000003</v>
      </c>
      <c r="J26" s="68">
        <f>SUM(J7:J25)</f>
        <v>369412.92985091504</v>
      </c>
      <c r="K26" s="634"/>
      <c r="L26" s="634"/>
      <c r="M26" s="634"/>
      <c r="N26" s="184"/>
    </row>
    <row r="27" spans="1:14" ht="18" customHeight="1" x14ac:dyDescent="0.5">
      <c r="A27" s="640" t="s">
        <v>81</v>
      </c>
      <c r="B27" s="641"/>
      <c r="C27" s="641"/>
      <c r="D27" s="641"/>
      <c r="E27" s="641"/>
      <c r="F27" s="642"/>
      <c r="G27" s="641"/>
      <c r="H27" s="641"/>
      <c r="I27" s="641"/>
      <c r="J27" s="641"/>
      <c r="K27" s="641"/>
      <c r="L27" s="641"/>
      <c r="M27" s="641"/>
      <c r="N27" s="184"/>
    </row>
    <row r="28" spans="1:14" ht="14" x14ac:dyDescent="0.3">
      <c r="A28" s="611" t="s">
        <v>26</v>
      </c>
      <c r="B28" s="612"/>
      <c r="C28" s="67">
        <f>'Provider Planning Budget'!H54</f>
        <v>44183.836734693876</v>
      </c>
      <c r="D28" s="111">
        <f t="shared" ref="D28:D39" si="7">C28/(A$63-C$13-C$14)*D$5*D$65</f>
        <v>0</v>
      </c>
      <c r="E28" s="10">
        <v>13288</v>
      </c>
      <c r="F28" s="68">
        <f t="shared" ref="F28:F39" si="8">C28+D28-E28</f>
        <v>30895.836734693876</v>
      </c>
      <c r="G28" s="69"/>
      <c r="H28" s="179"/>
      <c r="I28" s="70">
        <f t="shared" ref="I28:I59" si="9">H28-E28</f>
        <v>-13288</v>
      </c>
      <c r="J28" s="71">
        <f t="shared" ref="J28:J39" si="10">IF(H28&gt;0,C28-H28,F28)</f>
        <v>30895.836734693876</v>
      </c>
      <c r="K28" s="632"/>
      <c r="L28" s="633"/>
      <c r="M28" s="633"/>
      <c r="N28" s="183"/>
    </row>
    <row r="29" spans="1:14" ht="14" x14ac:dyDescent="0.3">
      <c r="A29" s="611" t="s">
        <v>25</v>
      </c>
      <c r="B29" s="612"/>
      <c r="C29" s="67">
        <f>'Provider Planning Budget'!H55</f>
        <v>8103.1836734693879</v>
      </c>
      <c r="D29" s="111">
        <f t="shared" si="7"/>
        <v>0</v>
      </c>
      <c r="E29" s="10">
        <v>4306</v>
      </c>
      <c r="F29" s="68">
        <f t="shared" si="8"/>
        <v>3797.1836734693879</v>
      </c>
      <c r="G29" s="69"/>
      <c r="H29" s="179"/>
      <c r="I29" s="70">
        <f t="shared" si="9"/>
        <v>-4306</v>
      </c>
      <c r="J29" s="71">
        <f t="shared" si="10"/>
        <v>3797.1836734693879</v>
      </c>
      <c r="K29" s="632"/>
      <c r="L29" s="633"/>
      <c r="M29" s="633"/>
      <c r="N29" s="183"/>
    </row>
    <row r="30" spans="1:14" ht="14" x14ac:dyDescent="0.3">
      <c r="A30" s="611" t="s">
        <v>24</v>
      </c>
      <c r="B30" s="612"/>
      <c r="C30" s="67">
        <f>'Provider Planning Budget'!H56</f>
        <v>3836.7346938775509</v>
      </c>
      <c r="D30" s="111">
        <f t="shared" si="7"/>
        <v>0</v>
      </c>
      <c r="E30" s="10">
        <v>3329</v>
      </c>
      <c r="F30" s="68">
        <f t="shared" si="8"/>
        <v>507.73469387755085</v>
      </c>
      <c r="G30" s="69"/>
      <c r="H30" s="179"/>
      <c r="I30" s="70">
        <f t="shared" si="9"/>
        <v>-3329</v>
      </c>
      <c r="J30" s="71">
        <f t="shared" si="10"/>
        <v>507.73469387755085</v>
      </c>
      <c r="K30" s="632"/>
      <c r="L30" s="633"/>
      <c r="M30" s="633"/>
      <c r="N30" s="183"/>
    </row>
    <row r="31" spans="1:14" ht="14" x14ac:dyDescent="0.3">
      <c r="A31" s="611" t="s">
        <v>23</v>
      </c>
      <c r="B31" s="612"/>
      <c r="C31" s="67">
        <f>'Provider Planning Budget'!H57</f>
        <v>0</v>
      </c>
      <c r="D31" s="111">
        <f t="shared" si="7"/>
        <v>0</v>
      </c>
      <c r="E31" s="10"/>
      <c r="F31" s="68">
        <f t="shared" si="8"/>
        <v>0</v>
      </c>
      <c r="G31" s="69"/>
      <c r="H31" s="179"/>
      <c r="I31" s="70">
        <f t="shared" si="9"/>
        <v>0</v>
      </c>
      <c r="J31" s="71">
        <f t="shared" si="10"/>
        <v>0</v>
      </c>
      <c r="K31" s="632"/>
      <c r="L31" s="633"/>
      <c r="M31" s="633"/>
      <c r="N31" s="183"/>
    </row>
    <row r="32" spans="1:14" ht="14" x14ac:dyDescent="0.3">
      <c r="A32" s="611" t="s">
        <v>22</v>
      </c>
      <c r="B32" s="612"/>
      <c r="C32" s="67">
        <f>'Provider Planning Budget'!H58</f>
        <v>8440.8163265306121</v>
      </c>
      <c r="D32" s="111">
        <f t="shared" si="7"/>
        <v>0</v>
      </c>
      <c r="E32" s="10">
        <v>1496</v>
      </c>
      <c r="F32" s="68">
        <f t="shared" si="8"/>
        <v>6944.8163265306121</v>
      </c>
      <c r="G32" s="69"/>
      <c r="H32" s="179"/>
      <c r="I32" s="70">
        <f t="shared" si="9"/>
        <v>-1496</v>
      </c>
      <c r="J32" s="71">
        <f t="shared" si="10"/>
        <v>6944.8163265306121</v>
      </c>
      <c r="K32" s="632"/>
      <c r="L32" s="633"/>
      <c r="M32" s="633"/>
      <c r="N32" s="183"/>
    </row>
    <row r="33" spans="1:14" ht="14" x14ac:dyDescent="0.3">
      <c r="A33" s="611" t="s">
        <v>21</v>
      </c>
      <c r="B33" s="612"/>
      <c r="C33" s="67">
        <f>'Provider Planning Budget'!H59</f>
        <v>0</v>
      </c>
      <c r="D33" s="111">
        <f t="shared" si="7"/>
        <v>0</v>
      </c>
      <c r="E33" s="10"/>
      <c r="F33" s="68">
        <f t="shared" si="8"/>
        <v>0</v>
      </c>
      <c r="G33" s="69"/>
      <c r="H33" s="179"/>
      <c r="I33" s="70">
        <f t="shared" si="9"/>
        <v>0</v>
      </c>
      <c r="J33" s="71">
        <f t="shared" si="10"/>
        <v>0</v>
      </c>
      <c r="K33" s="632"/>
      <c r="L33" s="633"/>
      <c r="M33" s="633"/>
      <c r="N33" s="183"/>
    </row>
    <row r="34" spans="1:14" ht="14" x14ac:dyDescent="0.3">
      <c r="A34" s="611" t="s">
        <v>83</v>
      </c>
      <c r="B34" s="612"/>
      <c r="C34" s="67">
        <f>'Provider Planning Budget'!H60</f>
        <v>15346.938775510203</v>
      </c>
      <c r="D34" s="111">
        <f t="shared" si="7"/>
        <v>0</v>
      </c>
      <c r="E34" s="10">
        <v>5157</v>
      </c>
      <c r="F34" s="68">
        <f t="shared" si="8"/>
        <v>10189.938775510203</v>
      </c>
      <c r="G34" s="69"/>
      <c r="H34" s="179"/>
      <c r="I34" s="70">
        <f t="shared" ref="I34:I35" si="11">H34-E34</f>
        <v>-5157</v>
      </c>
      <c r="J34" s="71">
        <f t="shared" si="10"/>
        <v>10189.938775510203</v>
      </c>
      <c r="K34" s="632"/>
      <c r="L34" s="633"/>
      <c r="M34" s="633"/>
      <c r="N34" s="183"/>
    </row>
    <row r="35" spans="1:14" ht="14" x14ac:dyDescent="0.3">
      <c r="A35" s="611" t="s">
        <v>84</v>
      </c>
      <c r="B35" s="612"/>
      <c r="C35" s="67">
        <f>'Provider Planning Budget'!H61</f>
        <v>0</v>
      </c>
      <c r="D35" s="111">
        <f t="shared" si="7"/>
        <v>0</v>
      </c>
      <c r="E35" s="84"/>
      <c r="F35" s="68">
        <f t="shared" si="8"/>
        <v>0</v>
      </c>
      <c r="G35" s="69"/>
      <c r="H35" s="179"/>
      <c r="I35" s="70">
        <f t="shared" si="11"/>
        <v>0</v>
      </c>
      <c r="J35" s="71">
        <f t="shared" si="10"/>
        <v>0</v>
      </c>
      <c r="K35" s="632"/>
      <c r="L35" s="633"/>
      <c r="M35" s="633"/>
      <c r="N35" s="183"/>
    </row>
    <row r="36" spans="1:14" ht="14" x14ac:dyDescent="0.3">
      <c r="A36" s="611" t="s">
        <v>20</v>
      </c>
      <c r="B36" s="612"/>
      <c r="C36" s="67">
        <f>'Provider Planning Budget'!H62</f>
        <v>4452.1162448979594</v>
      </c>
      <c r="D36" s="111">
        <f t="shared" si="7"/>
        <v>0</v>
      </c>
      <c r="E36" s="10">
        <f>23270*N36</f>
        <v>1442.74</v>
      </c>
      <c r="F36" s="68">
        <f t="shared" si="8"/>
        <v>3009.3762448979596</v>
      </c>
      <c r="G36" s="69"/>
      <c r="H36" s="179"/>
      <c r="I36" s="70">
        <f t="shared" si="9"/>
        <v>-1442.74</v>
      </c>
      <c r="J36" s="71">
        <f t="shared" si="10"/>
        <v>3009.3762448979596</v>
      </c>
      <c r="K36" s="613"/>
      <c r="L36" s="614"/>
      <c r="M36" s="614"/>
      <c r="N36" s="184">
        <v>6.2E-2</v>
      </c>
    </row>
    <row r="37" spans="1:14" ht="14" x14ac:dyDescent="0.3">
      <c r="A37" s="611" t="s">
        <v>19</v>
      </c>
      <c r="B37" s="612"/>
      <c r="C37" s="67">
        <f>'Provider Planning Budget'!H63</f>
        <v>1041.2207346938776</v>
      </c>
      <c r="D37" s="111">
        <f t="shared" si="7"/>
        <v>0</v>
      </c>
      <c r="E37" s="10">
        <f>23270*N37</f>
        <v>337.41500000000002</v>
      </c>
      <c r="F37" s="68">
        <f t="shared" si="8"/>
        <v>703.80573469387764</v>
      </c>
      <c r="G37" s="69"/>
      <c r="H37" s="179"/>
      <c r="I37" s="70">
        <f t="shared" si="9"/>
        <v>-337.41500000000002</v>
      </c>
      <c r="J37" s="71">
        <f t="shared" si="10"/>
        <v>703.80573469387764</v>
      </c>
      <c r="K37" s="613"/>
      <c r="L37" s="614"/>
      <c r="M37" s="614"/>
      <c r="N37" s="184">
        <v>1.4500000000000001E-2</v>
      </c>
    </row>
    <row r="38" spans="1:14" ht="14" x14ac:dyDescent="0.3">
      <c r="A38" s="611" t="s">
        <v>18</v>
      </c>
      <c r="B38" s="612"/>
      <c r="C38" s="67">
        <f>'Provider Planning Budget'!H64</f>
        <v>2010.633142857143</v>
      </c>
      <c r="D38" s="111">
        <f t="shared" si="7"/>
        <v>0</v>
      </c>
      <c r="E38" s="10">
        <f>23270*N38</f>
        <v>651.56000000000006</v>
      </c>
      <c r="F38" s="68">
        <f t="shared" si="8"/>
        <v>1359.073142857143</v>
      </c>
      <c r="G38" s="69"/>
      <c r="H38" s="179"/>
      <c r="I38" s="70">
        <f t="shared" si="9"/>
        <v>-651.56000000000006</v>
      </c>
      <c r="J38" s="71">
        <f t="shared" si="10"/>
        <v>1359.073142857143</v>
      </c>
      <c r="K38" s="613"/>
      <c r="L38" s="614"/>
      <c r="M38" s="614"/>
      <c r="N38" s="184">
        <v>2.8000000000000001E-2</v>
      </c>
    </row>
    <row r="39" spans="1:14" ht="14.5" thickBot="1" x14ac:dyDescent="0.35">
      <c r="A39" s="628" t="s">
        <v>17</v>
      </c>
      <c r="B39" s="629"/>
      <c r="C39" s="67">
        <f>'Provider Planning Budget'!H65</f>
        <v>359.04163265306124</v>
      </c>
      <c r="D39" s="111">
        <f t="shared" si="7"/>
        <v>0</v>
      </c>
      <c r="E39" s="10">
        <f>23270*N39</f>
        <v>116.35000000000001</v>
      </c>
      <c r="F39" s="68">
        <f t="shared" si="8"/>
        <v>242.69163265306122</v>
      </c>
      <c r="G39" s="75"/>
      <c r="H39" s="179"/>
      <c r="I39" s="70">
        <f t="shared" si="9"/>
        <v>-116.35000000000001</v>
      </c>
      <c r="J39" s="71">
        <f t="shared" si="10"/>
        <v>242.69163265306122</v>
      </c>
      <c r="K39" s="613"/>
      <c r="L39" s="614"/>
      <c r="M39" s="614"/>
      <c r="N39" s="184">
        <v>5.0000000000000001E-3</v>
      </c>
    </row>
    <row r="40" spans="1:14" ht="18" customHeight="1" thickBot="1" x14ac:dyDescent="0.55000000000000004">
      <c r="A40" s="94" t="s">
        <v>82</v>
      </c>
      <c r="B40" s="78"/>
      <c r="C40" s="78"/>
      <c r="D40" s="78"/>
      <c r="E40" s="85"/>
      <c r="F40" s="78"/>
      <c r="G40" s="78"/>
      <c r="H40" s="180"/>
      <c r="I40" s="78"/>
      <c r="J40" s="78"/>
      <c r="K40" s="78"/>
      <c r="L40" s="78"/>
      <c r="M40" s="78"/>
      <c r="N40" s="184"/>
    </row>
    <row r="41" spans="1:14" ht="14" x14ac:dyDescent="0.3">
      <c r="A41" s="620" t="s">
        <v>16</v>
      </c>
      <c r="B41" s="621"/>
      <c r="C41" s="67">
        <f>'Provider Planning Budget'!H69</f>
        <v>91120.914285714287</v>
      </c>
      <c r="D41" s="111">
        <f t="shared" ref="D41:D62" si="12">C41/(A$63-C$13-C$14)*D$5*D$65</f>
        <v>0</v>
      </c>
      <c r="E41" s="81">
        <v>22780</v>
      </c>
      <c r="F41" s="68">
        <f t="shared" ref="F41:F62" si="13">C41+D41-E41</f>
        <v>68340.914285714287</v>
      </c>
      <c r="G41" s="69"/>
      <c r="H41" s="179"/>
      <c r="I41" s="70">
        <f t="shared" si="9"/>
        <v>-22780</v>
      </c>
      <c r="J41" s="71">
        <f t="shared" ref="J41:J62" si="14">IF(H41&gt;0,C41-H41,F41)</f>
        <v>68340.914285714287</v>
      </c>
      <c r="K41" s="632"/>
      <c r="L41" s="633"/>
      <c r="M41" s="633"/>
      <c r="N41" s="183"/>
    </row>
    <row r="42" spans="1:14" ht="14" x14ac:dyDescent="0.3">
      <c r="A42" s="611" t="s">
        <v>15</v>
      </c>
      <c r="B42" s="612"/>
      <c r="C42" s="67">
        <f>'Provider Planning Budget'!H73</f>
        <v>3069.387755102041</v>
      </c>
      <c r="D42" s="111">
        <f t="shared" si="12"/>
        <v>0</v>
      </c>
      <c r="E42" s="84">
        <v>802</v>
      </c>
      <c r="F42" s="68">
        <f t="shared" si="13"/>
        <v>2267.387755102041</v>
      </c>
      <c r="G42" s="69"/>
      <c r="H42" s="179"/>
      <c r="I42" s="70">
        <f t="shared" si="9"/>
        <v>-802</v>
      </c>
      <c r="J42" s="71">
        <f t="shared" si="14"/>
        <v>2267.387755102041</v>
      </c>
      <c r="K42" s="632"/>
      <c r="L42" s="633"/>
      <c r="M42" s="633"/>
      <c r="N42" s="183"/>
    </row>
    <row r="43" spans="1:14" ht="14" x14ac:dyDescent="0.3">
      <c r="A43" s="611" t="s">
        <v>14</v>
      </c>
      <c r="B43" s="612"/>
      <c r="C43" s="67">
        <f>'Provider Planning Budget'!H74</f>
        <v>2302.0408163265306</v>
      </c>
      <c r="D43" s="111">
        <f t="shared" si="12"/>
        <v>0</v>
      </c>
      <c r="E43" s="84">
        <v>18</v>
      </c>
      <c r="F43" s="68">
        <f t="shared" si="13"/>
        <v>2284.0408163265306</v>
      </c>
      <c r="G43" s="69"/>
      <c r="H43" s="179"/>
      <c r="I43" s="70">
        <f t="shared" si="9"/>
        <v>-18</v>
      </c>
      <c r="J43" s="71">
        <f t="shared" si="14"/>
        <v>2284.0408163265306</v>
      </c>
      <c r="K43" s="632"/>
      <c r="L43" s="633"/>
      <c r="M43" s="633"/>
      <c r="N43" s="183"/>
    </row>
    <row r="44" spans="1:14" ht="14" x14ac:dyDescent="0.3">
      <c r="A44" s="611" t="s">
        <v>13</v>
      </c>
      <c r="B44" s="612"/>
      <c r="C44" s="67">
        <f>'Provider Planning Budget'!H75</f>
        <v>767.34693877551024</v>
      </c>
      <c r="D44" s="111">
        <f t="shared" si="12"/>
        <v>0</v>
      </c>
      <c r="E44" s="84"/>
      <c r="F44" s="68">
        <f t="shared" si="13"/>
        <v>767.34693877551024</v>
      </c>
      <c r="G44" s="69"/>
      <c r="H44" s="179"/>
      <c r="I44" s="70">
        <f t="shared" si="9"/>
        <v>0</v>
      </c>
      <c r="J44" s="71">
        <f t="shared" si="14"/>
        <v>767.34693877551024</v>
      </c>
      <c r="K44" s="632"/>
      <c r="L44" s="633"/>
      <c r="M44" s="633"/>
      <c r="N44" s="183"/>
    </row>
    <row r="45" spans="1:14" ht="14" x14ac:dyDescent="0.3">
      <c r="A45" s="611" t="s">
        <v>12</v>
      </c>
      <c r="B45" s="612"/>
      <c r="C45" s="67">
        <f>'Provider Planning Budget'!H76</f>
        <v>767.34693877551024</v>
      </c>
      <c r="D45" s="111">
        <f t="shared" si="12"/>
        <v>0</v>
      </c>
      <c r="E45" s="84">
        <v>90</v>
      </c>
      <c r="F45" s="68">
        <f t="shared" si="13"/>
        <v>677.34693877551024</v>
      </c>
      <c r="G45" s="69"/>
      <c r="H45" s="179"/>
      <c r="I45" s="70">
        <f t="shared" si="9"/>
        <v>-90</v>
      </c>
      <c r="J45" s="71">
        <f t="shared" si="14"/>
        <v>677.34693877551024</v>
      </c>
      <c r="K45" s="632"/>
      <c r="L45" s="633"/>
      <c r="M45" s="633"/>
      <c r="N45" s="183"/>
    </row>
    <row r="46" spans="1:14" ht="14" x14ac:dyDescent="0.3">
      <c r="A46" s="611" t="s">
        <v>11</v>
      </c>
      <c r="B46" s="612"/>
      <c r="C46" s="67">
        <f>'Provider Planning Budget'!H77</f>
        <v>383.67346938775512</v>
      </c>
      <c r="D46" s="111">
        <f t="shared" si="12"/>
        <v>0</v>
      </c>
      <c r="E46" s="84"/>
      <c r="F46" s="68">
        <f t="shared" si="13"/>
        <v>383.67346938775512</v>
      </c>
      <c r="G46" s="69"/>
      <c r="H46" s="179"/>
      <c r="I46" s="70">
        <f t="shared" si="9"/>
        <v>0</v>
      </c>
      <c r="J46" s="71">
        <f t="shared" si="14"/>
        <v>383.67346938775512</v>
      </c>
      <c r="K46" s="632"/>
      <c r="L46" s="633"/>
      <c r="M46" s="633"/>
      <c r="N46" s="183"/>
    </row>
    <row r="47" spans="1:14" ht="27" customHeight="1" x14ac:dyDescent="0.3">
      <c r="A47" s="611" t="s">
        <v>10</v>
      </c>
      <c r="B47" s="612"/>
      <c r="C47" s="67">
        <f>'Provider Planning Budget'!H78</f>
        <v>3836.7346938775509</v>
      </c>
      <c r="D47" s="111">
        <f t="shared" si="12"/>
        <v>0</v>
      </c>
      <c r="E47" s="84">
        <v>567</v>
      </c>
      <c r="F47" s="68">
        <f t="shared" si="13"/>
        <v>3269.7346938775509</v>
      </c>
      <c r="G47" s="69"/>
      <c r="H47" s="179"/>
      <c r="I47" s="70">
        <f t="shared" si="9"/>
        <v>-567</v>
      </c>
      <c r="J47" s="71">
        <f t="shared" si="14"/>
        <v>3269.7346938775509</v>
      </c>
      <c r="K47" s="637"/>
      <c r="L47" s="633"/>
      <c r="M47" s="633"/>
      <c r="N47" s="183"/>
    </row>
    <row r="48" spans="1:14" ht="14" x14ac:dyDescent="0.3">
      <c r="A48" s="611" t="s">
        <v>9</v>
      </c>
      <c r="B48" s="612"/>
      <c r="C48" s="67">
        <f>'Provider Planning Budget'!H79</f>
        <v>7673.4693877551017</v>
      </c>
      <c r="D48" s="111">
        <f t="shared" si="12"/>
        <v>0</v>
      </c>
      <c r="E48" s="84">
        <v>3906</v>
      </c>
      <c r="F48" s="68">
        <f t="shared" si="13"/>
        <v>3767.4693877551017</v>
      </c>
      <c r="G48" s="69"/>
      <c r="H48" s="179"/>
      <c r="I48" s="70">
        <f t="shared" si="9"/>
        <v>-3906</v>
      </c>
      <c r="J48" s="71">
        <f t="shared" si="14"/>
        <v>3767.4693877551017</v>
      </c>
      <c r="K48" s="632"/>
      <c r="L48" s="633"/>
      <c r="M48" s="633"/>
      <c r="N48" s="183"/>
    </row>
    <row r="49" spans="1:14" ht="30.75" customHeight="1" x14ac:dyDescent="0.3">
      <c r="A49" s="611" t="s">
        <v>8</v>
      </c>
      <c r="B49" s="612"/>
      <c r="C49" s="67">
        <f>'Provider Planning Budget'!H80</f>
        <v>1688.1632653061224</v>
      </c>
      <c r="D49" s="111">
        <f t="shared" si="12"/>
        <v>0</v>
      </c>
      <c r="E49" s="84">
        <v>249</v>
      </c>
      <c r="F49" s="68">
        <f t="shared" si="13"/>
        <v>1439.1632653061224</v>
      </c>
      <c r="G49" s="69"/>
      <c r="H49" s="179"/>
      <c r="I49" s="70">
        <f t="shared" si="9"/>
        <v>-249</v>
      </c>
      <c r="J49" s="71">
        <f t="shared" si="14"/>
        <v>1439.1632653061224</v>
      </c>
      <c r="K49" s="637"/>
      <c r="L49" s="633"/>
      <c r="M49" s="633"/>
      <c r="N49" s="183"/>
    </row>
    <row r="50" spans="1:14" ht="30.75" customHeight="1" x14ac:dyDescent="0.3">
      <c r="A50" s="611" t="s">
        <v>7</v>
      </c>
      <c r="B50" s="612"/>
      <c r="C50" s="67">
        <f>'Provider Planning Budget'!H81</f>
        <v>306.9387755102041</v>
      </c>
      <c r="D50" s="111">
        <f t="shared" si="12"/>
        <v>0</v>
      </c>
      <c r="E50" s="84">
        <v>194</v>
      </c>
      <c r="F50" s="68">
        <f t="shared" si="13"/>
        <v>112.9387755102041</v>
      </c>
      <c r="G50" s="69"/>
      <c r="H50" s="179"/>
      <c r="I50" s="70">
        <f t="shared" si="9"/>
        <v>-194</v>
      </c>
      <c r="J50" s="71">
        <f t="shared" si="14"/>
        <v>112.9387755102041</v>
      </c>
      <c r="K50" s="637"/>
      <c r="L50" s="633"/>
      <c r="M50" s="633"/>
      <c r="N50" s="183"/>
    </row>
    <row r="51" spans="1:14" ht="32.25" customHeight="1" x14ac:dyDescent="0.3">
      <c r="A51" s="611" t="s">
        <v>6</v>
      </c>
      <c r="B51" s="612"/>
      <c r="C51" s="67">
        <f>'Provider Planning Budget'!H82</f>
        <v>4604.0816326530612</v>
      </c>
      <c r="D51" s="111">
        <f t="shared" si="12"/>
        <v>0</v>
      </c>
      <c r="E51" s="84">
        <v>1351</v>
      </c>
      <c r="F51" s="68">
        <f t="shared" si="13"/>
        <v>3253.0816326530612</v>
      </c>
      <c r="G51" s="69"/>
      <c r="H51" s="179"/>
      <c r="I51" s="70">
        <f t="shared" si="9"/>
        <v>-1351</v>
      </c>
      <c r="J51" s="71">
        <f t="shared" si="14"/>
        <v>3253.0816326530612</v>
      </c>
      <c r="K51" s="637"/>
      <c r="L51" s="633"/>
      <c r="M51" s="633"/>
      <c r="N51" s="183"/>
    </row>
    <row r="52" spans="1:14" ht="14" x14ac:dyDescent="0.3">
      <c r="A52" s="611" t="s">
        <v>5</v>
      </c>
      <c r="B52" s="612"/>
      <c r="C52" s="67">
        <f>'Provider Planning Budget'!H83</f>
        <v>5371.4285714285716</v>
      </c>
      <c r="D52" s="111">
        <f t="shared" si="12"/>
        <v>0</v>
      </c>
      <c r="E52" s="84">
        <v>2566</v>
      </c>
      <c r="F52" s="68">
        <f t="shared" si="13"/>
        <v>2805.4285714285716</v>
      </c>
      <c r="G52" s="69"/>
      <c r="H52" s="179"/>
      <c r="I52" s="70">
        <f t="shared" si="9"/>
        <v>-2566</v>
      </c>
      <c r="J52" s="71">
        <f t="shared" si="14"/>
        <v>2805.4285714285716</v>
      </c>
      <c r="K52" s="637"/>
      <c r="L52" s="633"/>
      <c r="M52" s="633"/>
      <c r="N52" s="183"/>
    </row>
    <row r="53" spans="1:14" ht="14" x14ac:dyDescent="0.3">
      <c r="A53" s="611" t="s">
        <v>4</v>
      </c>
      <c r="B53" s="612"/>
      <c r="C53" s="67">
        <f>'Provider Planning Budget'!H84</f>
        <v>1534.6938775510205</v>
      </c>
      <c r="D53" s="111">
        <f t="shared" si="12"/>
        <v>0</v>
      </c>
      <c r="E53" s="84">
        <v>537</v>
      </c>
      <c r="F53" s="68">
        <f t="shared" si="13"/>
        <v>997.69387755102048</v>
      </c>
      <c r="G53" s="69"/>
      <c r="H53" s="179"/>
      <c r="I53" s="70">
        <f t="shared" si="9"/>
        <v>-537</v>
      </c>
      <c r="J53" s="71">
        <f t="shared" si="14"/>
        <v>997.69387755102048</v>
      </c>
      <c r="K53" s="637"/>
      <c r="L53" s="633"/>
      <c r="M53" s="633"/>
      <c r="N53" s="183"/>
    </row>
    <row r="54" spans="1:14" ht="14" x14ac:dyDescent="0.3">
      <c r="A54" s="611" t="s">
        <v>3</v>
      </c>
      <c r="B54" s="612"/>
      <c r="C54" s="67">
        <f>'Provider Planning Budget'!H85</f>
        <v>383.67346938775512</v>
      </c>
      <c r="D54" s="111">
        <f t="shared" si="12"/>
        <v>0</v>
      </c>
      <c r="E54" s="84"/>
      <c r="F54" s="68">
        <f t="shared" si="13"/>
        <v>383.67346938775512</v>
      </c>
      <c r="G54" s="69"/>
      <c r="H54" s="179"/>
      <c r="I54" s="70">
        <f t="shared" si="9"/>
        <v>0</v>
      </c>
      <c r="J54" s="71">
        <f t="shared" si="14"/>
        <v>383.67346938775512</v>
      </c>
      <c r="K54" s="632"/>
      <c r="L54" s="633"/>
      <c r="M54" s="633"/>
      <c r="N54" s="183"/>
    </row>
    <row r="55" spans="1:14" ht="14" x14ac:dyDescent="0.3">
      <c r="A55" s="611" t="s">
        <v>2</v>
      </c>
      <c r="B55" s="612"/>
      <c r="C55" s="67">
        <f>'Provider Planning Budget'!H86</f>
        <v>376</v>
      </c>
      <c r="D55" s="111">
        <f t="shared" si="12"/>
        <v>0</v>
      </c>
      <c r="E55" s="84">
        <v>118</v>
      </c>
      <c r="F55" s="68">
        <f t="shared" si="13"/>
        <v>258</v>
      </c>
      <c r="G55" s="69"/>
      <c r="H55" s="179"/>
      <c r="I55" s="70">
        <f t="shared" si="9"/>
        <v>-118</v>
      </c>
      <c r="J55" s="71">
        <f t="shared" si="14"/>
        <v>258</v>
      </c>
      <c r="K55" s="632"/>
      <c r="L55" s="633"/>
      <c r="M55" s="633"/>
      <c r="N55" s="183"/>
    </row>
    <row r="56" spans="1:14" ht="14" x14ac:dyDescent="0.3">
      <c r="A56" s="611" t="s">
        <v>1</v>
      </c>
      <c r="B56" s="612"/>
      <c r="C56" s="67">
        <f>'Provider Planning Budget'!H87</f>
        <v>0</v>
      </c>
      <c r="D56" s="111">
        <f t="shared" si="12"/>
        <v>0</v>
      </c>
      <c r="E56" s="84"/>
      <c r="F56" s="68">
        <f t="shared" si="13"/>
        <v>0</v>
      </c>
      <c r="G56" s="69"/>
      <c r="H56" s="179"/>
      <c r="I56" s="70">
        <f t="shared" si="9"/>
        <v>0</v>
      </c>
      <c r="J56" s="71">
        <f t="shared" si="14"/>
        <v>0</v>
      </c>
      <c r="K56" s="632"/>
      <c r="L56" s="633"/>
      <c r="M56" s="633"/>
      <c r="N56" s="183"/>
    </row>
    <row r="57" spans="1:14" ht="14" x14ac:dyDescent="0.3">
      <c r="A57" s="611" t="str">
        <f>'Provider Planning Budget'!A91</f>
        <v>(Insert item name or brief description on this line.)</v>
      </c>
      <c r="B57" s="612"/>
      <c r="C57" s="67">
        <f>'Provider Planning Budget'!I91</f>
        <v>0</v>
      </c>
      <c r="D57" s="111">
        <f t="shared" si="12"/>
        <v>0</v>
      </c>
      <c r="E57" s="86"/>
      <c r="F57" s="68">
        <f t="shared" si="13"/>
        <v>0</v>
      </c>
      <c r="G57" s="74"/>
      <c r="H57" s="179"/>
      <c r="I57" s="70">
        <f t="shared" si="9"/>
        <v>0</v>
      </c>
      <c r="J57" s="71">
        <f t="shared" si="14"/>
        <v>0</v>
      </c>
      <c r="K57" s="632"/>
      <c r="L57" s="633"/>
      <c r="M57" s="633"/>
      <c r="N57" s="183"/>
    </row>
    <row r="58" spans="1:14" ht="14" x14ac:dyDescent="0.3">
      <c r="A58" s="611" t="str">
        <f>'Provider Planning Budget'!A92</f>
        <v>(Insert item name or brief description on this line.)</v>
      </c>
      <c r="B58" s="612"/>
      <c r="C58" s="67">
        <f>'Provider Planning Budget'!I92</f>
        <v>0</v>
      </c>
      <c r="D58" s="111">
        <f t="shared" si="12"/>
        <v>0</v>
      </c>
      <c r="E58" s="86"/>
      <c r="F58" s="68">
        <f t="shared" si="13"/>
        <v>0</v>
      </c>
      <c r="G58" s="74"/>
      <c r="H58" s="179"/>
      <c r="I58" s="70">
        <f t="shared" si="9"/>
        <v>0</v>
      </c>
      <c r="J58" s="71">
        <f t="shared" si="14"/>
        <v>0</v>
      </c>
      <c r="K58" s="632"/>
      <c r="L58" s="633"/>
      <c r="M58" s="633"/>
      <c r="N58" s="183"/>
    </row>
    <row r="59" spans="1:14" ht="14" x14ac:dyDescent="0.3">
      <c r="A59" s="611" t="str">
        <f>'Provider Planning Budget'!A93</f>
        <v>(Insert item name or brief description on this line.)</v>
      </c>
      <c r="B59" s="612"/>
      <c r="C59" s="67">
        <f>'Provider Planning Budget'!I93</f>
        <v>0</v>
      </c>
      <c r="D59" s="111">
        <f t="shared" si="12"/>
        <v>0</v>
      </c>
      <c r="E59" s="86"/>
      <c r="F59" s="68">
        <f t="shared" si="13"/>
        <v>0</v>
      </c>
      <c r="G59" s="74"/>
      <c r="H59" s="179"/>
      <c r="I59" s="70">
        <f t="shared" si="9"/>
        <v>0</v>
      </c>
      <c r="J59" s="71">
        <f t="shared" si="14"/>
        <v>0</v>
      </c>
      <c r="K59" s="632"/>
      <c r="L59" s="633"/>
      <c r="M59" s="633"/>
      <c r="N59" s="183"/>
    </row>
    <row r="60" spans="1:14" ht="14" x14ac:dyDescent="0.3">
      <c r="A60" s="611" t="str">
        <f>'Provider Planning Budget'!A94</f>
        <v>(Insert item name or brief description on this line.)</v>
      </c>
      <c r="B60" s="612"/>
      <c r="C60" s="67">
        <f>'Provider Planning Budget'!I94</f>
        <v>0</v>
      </c>
      <c r="D60" s="111">
        <f t="shared" si="12"/>
        <v>0</v>
      </c>
      <c r="E60" s="84"/>
      <c r="F60" s="68">
        <f t="shared" si="13"/>
        <v>0</v>
      </c>
      <c r="G60" s="74"/>
      <c r="H60" s="179"/>
      <c r="I60" s="70">
        <f t="shared" ref="I60:I62" si="15">H60-E60</f>
        <v>0</v>
      </c>
      <c r="J60" s="71">
        <f t="shared" si="14"/>
        <v>0</v>
      </c>
      <c r="K60" s="643"/>
      <c r="L60" s="644"/>
      <c r="M60" s="644"/>
      <c r="N60" s="183"/>
    </row>
    <row r="61" spans="1:14" ht="14" x14ac:dyDescent="0.3">
      <c r="A61" s="611" t="str">
        <f>'Provider Planning Budget'!A95</f>
        <v>(Insert item name or brief description on this line.)</v>
      </c>
      <c r="B61" s="612"/>
      <c r="C61" s="67">
        <f>'Provider Planning Budget'!I95</f>
        <v>0</v>
      </c>
      <c r="D61" s="111">
        <f t="shared" si="12"/>
        <v>0</v>
      </c>
      <c r="E61" s="84"/>
      <c r="F61" s="68">
        <f t="shared" si="13"/>
        <v>0</v>
      </c>
      <c r="G61" s="74"/>
      <c r="H61" s="179"/>
      <c r="I61" s="70">
        <f t="shared" si="15"/>
        <v>0</v>
      </c>
      <c r="J61" s="71">
        <f t="shared" si="14"/>
        <v>0</v>
      </c>
      <c r="K61" s="643"/>
      <c r="L61" s="644"/>
      <c r="M61" s="645"/>
    </row>
    <row r="62" spans="1:14" ht="14" x14ac:dyDescent="0.3">
      <c r="A62" s="611"/>
      <c r="B62" s="612"/>
      <c r="C62" s="72"/>
      <c r="D62" s="111">
        <f t="shared" si="12"/>
        <v>0</v>
      </c>
      <c r="E62" s="84"/>
      <c r="F62" s="68">
        <f t="shared" si="13"/>
        <v>0</v>
      </c>
      <c r="G62" s="74"/>
      <c r="H62" s="179"/>
      <c r="I62" s="70">
        <f t="shared" si="15"/>
        <v>0</v>
      </c>
      <c r="J62" s="71">
        <f t="shared" si="14"/>
        <v>0</v>
      </c>
      <c r="K62" s="643"/>
      <c r="L62" s="644"/>
      <c r="M62" s="645"/>
    </row>
    <row r="63" spans="1:14" ht="15.5" x14ac:dyDescent="0.35">
      <c r="A63" s="625">
        <f>SUM(C7:C25,C28:C39,C41:C62)</f>
        <v>614716.81618764973</v>
      </c>
      <c r="B63" s="626"/>
      <c r="C63" s="627"/>
      <c r="D63" s="7">
        <f>SUM(D7:D25,D28:D39,D41:D62)</f>
        <v>0</v>
      </c>
      <c r="E63" s="87"/>
      <c r="F63" s="5"/>
      <c r="G63" s="5"/>
      <c r="H63" s="171"/>
      <c r="I63" s="6"/>
      <c r="J63" s="5"/>
      <c r="K63" s="646"/>
      <c r="L63" s="646"/>
      <c r="M63" s="647"/>
    </row>
    <row r="64" spans="1:14" ht="15.75" customHeight="1" thickBot="1" x14ac:dyDescent="0.35">
      <c r="A64" s="622" t="s">
        <v>0</v>
      </c>
      <c r="B64" s="623"/>
      <c r="C64" s="624"/>
      <c r="D64" s="88">
        <f>D65*D5</f>
        <v>0</v>
      </c>
      <c r="E64" s="136">
        <f t="shared" ref="E64:J64" si="16">SUM(E7:E25,E28:E39,E41:E62)</f>
        <v>96645.535499999998</v>
      </c>
      <c r="F64" s="103">
        <f t="shared" si="16"/>
        <v>518071.28068764962</v>
      </c>
      <c r="G64" s="123">
        <f t="shared" si="16"/>
        <v>0</v>
      </c>
      <c r="H64" s="175">
        <f>SUM(H7:H25,H28:H39,H41:H62)</f>
        <v>0</v>
      </c>
      <c r="I64" s="103">
        <f t="shared" si="16"/>
        <v>-96645.535499999998</v>
      </c>
      <c r="J64" s="103">
        <f t="shared" si="16"/>
        <v>518071.28068764962</v>
      </c>
      <c r="K64" s="635"/>
      <c r="L64" s="635"/>
      <c r="M64" s="636"/>
    </row>
    <row r="65" spans="3:5" ht="14" x14ac:dyDescent="0.3">
      <c r="C65" s="112">
        <f>A63/10/75</f>
        <v>819.62242158353297</v>
      </c>
      <c r="D65" s="113">
        <f>(A63-C13-C14)/10/M1</f>
        <v>1346.0373693058884</v>
      </c>
      <c r="E65" s="137"/>
    </row>
    <row r="66" spans="3:5" x14ac:dyDescent="0.3">
      <c r="C66" s="115"/>
      <c r="D66" s="115"/>
    </row>
  </sheetData>
  <sheetProtection algorithmName="SHA-512" hashValue="Jr9GRMzBD2WfW43LENSwYs55Z0wJXnPxc889FbYOxIvRU+8vbLO6HqdSVm++LM2p20T5BMdg3LcdOk+tAEGo/A==" saltValue="JcmVtTnucvnfLxN8K5jM9Q==" spinCount="100000" sheet="1" selectLockedCells="1"/>
  <mergeCells count="126">
    <mergeCell ref="J1:L1"/>
    <mergeCell ref="J4:L4"/>
    <mergeCell ref="N5:N6"/>
    <mergeCell ref="K32:M32"/>
    <mergeCell ref="J3:L3"/>
    <mergeCell ref="J2:L2"/>
    <mergeCell ref="H2:H4"/>
    <mergeCell ref="I2:I4"/>
    <mergeCell ref="E2:E4"/>
    <mergeCell ref="F2:F4"/>
    <mergeCell ref="G2:G4"/>
    <mergeCell ref="K31:M31"/>
    <mergeCell ref="K18:M18"/>
    <mergeCell ref="K19:M19"/>
    <mergeCell ref="K17:M17"/>
    <mergeCell ref="D3:D4"/>
    <mergeCell ref="A30:B30"/>
    <mergeCell ref="A21:B21"/>
    <mergeCell ref="A27:M27"/>
    <mergeCell ref="A29:B29"/>
    <mergeCell ref="K29:M29"/>
    <mergeCell ref="K62:M62"/>
    <mergeCell ref="K63:M63"/>
    <mergeCell ref="K59:M59"/>
    <mergeCell ref="K60:M60"/>
    <mergeCell ref="K61:M61"/>
    <mergeCell ref="K58:M58"/>
    <mergeCell ref="K53:M53"/>
    <mergeCell ref="K43:M43"/>
    <mergeCell ref="K41:M41"/>
    <mergeCell ref="K42:M42"/>
    <mergeCell ref="K39:M39"/>
    <mergeCell ref="K38:M38"/>
    <mergeCell ref="K33:M33"/>
    <mergeCell ref="K30:M30"/>
    <mergeCell ref="K37:M37"/>
    <mergeCell ref="K34:M34"/>
    <mergeCell ref="K35:M35"/>
    <mergeCell ref="K36:M36"/>
    <mergeCell ref="A23:B23"/>
    <mergeCell ref="A24:B24"/>
    <mergeCell ref="A19:B19"/>
    <mergeCell ref="A20:B20"/>
    <mergeCell ref="K64:M64"/>
    <mergeCell ref="K54:M54"/>
    <mergeCell ref="K55:M55"/>
    <mergeCell ref="K56:M56"/>
    <mergeCell ref="K57:M57"/>
    <mergeCell ref="K50:M50"/>
    <mergeCell ref="K44:M44"/>
    <mergeCell ref="K45:M45"/>
    <mergeCell ref="K46:M46"/>
    <mergeCell ref="K51:M51"/>
    <mergeCell ref="K47:M47"/>
    <mergeCell ref="K48:M48"/>
    <mergeCell ref="K49:M49"/>
    <mergeCell ref="K52:M52"/>
    <mergeCell ref="A49:B49"/>
    <mergeCell ref="A50:B50"/>
    <mergeCell ref="A51:B51"/>
    <mergeCell ref="A52:B52"/>
    <mergeCell ref="A53:B53"/>
    <mergeCell ref="A36:B36"/>
    <mergeCell ref="A17:B17"/>
    <mergeCell ref="K20:M20"/>
    <mergeCell ref="A32:B32"/>
    <mergeCell ref="A33:B33"/>
    <mergeCell ref="A48:B48"/>
    <mergeCell ref="A47:B47"/>
    <mergeCell ref="A44:B44"/>
    <mergeCell ref="A45:B45"/>
    <mergeCell ref="A31:B31"/>
    <mergeCell ref="A34:B34"/>
    <mergeCell ref="A35:B35"/>
    <mergeCell ref="A39:B39"/>
    <mergeCell ref="A38:B38"/>
    <mergeCell ref="A18:B18"/>
    <mergeCell ref="K22:M22"/>
    <mergeCell ref="K23:M23"/>
    <mergeCell ref="K24:M24"/>
    <mergeCell ref="K25:M25"/>
    <mergeCell ref="K28:M28"/>
    <mergeCell ref="K26:M26"/>
    <mergeCell ref="K21:M21"/>
    <mergeCell ref="A28:B28"/>
    <mergeCell ref="A25:B25"/>
    <mergeCell ref="A22:B22"/>
    <mergeCell ref="A37:B37"/>
    <mergeCell ref="A41:B41"/>
    <mergeCell ref="A42:B42"/>
    <mergeCell ref="A43:B43"/>
    <mergeCell ref="A46:B46"/>
    <mergeCell ref="A64:C64"/>
    <mergeCell ref="A54:B54"/>
    <mergeCell ref="A55:B55"/>
    <mergeCell ref="A61:B61"/>
    <mergeCell ref="A62:B62"/>
    <mergeCell ref="A60:B60"/>
    <mergeCell ref="A56:B56"/>
    <mergeCell ref="A57:B57"/>
    <mergeCell ref="A58:B58"/>
    <mergeCell ref="A63:C63"/>
    <mergeCell ref="A59:B59"/>
    <mergeCell ref="A5:B5"/>
    <mergeCell ref="A15:B15"/>
    <mergeCell ref="A16:B16"/>
    <mergeCell ref="A12:B12"/>
    <mergeCell ref="A13:B13"/>
    <mergeCell ref="A14:B14"/>
    <mergeCell ref="K11:M11"/>
    <mergeCell ref="K5:M5"/>
    <mergeCell ref="K7:M7"/>
    <mergeCell ref="K8:M8"/>
    <mergeCell ref="K9:M9"/>
    <mergeCell ref="K10:M10"/>
    <mergeCell ref="K13:M13"/>
    <mergeCell ref="K14:M14"/>
    <mergeCell ref="K15:M15"/>
    <mergeCell ref="K16:M16"/>
    <mergeCell ref="A6:M6"/>
    <mergeCell ref="A7:B7"/>
    <mergeCell ref="A8:B8"/>
    <mergeCell ref="A9:B9"/>
    <mergeCell ref="A10:B10"/>
    <mergeCell ref="A11:B11"/>
    <mergeCell ref="K12:M12"/>
  </mergeCells>
  <printOptions horizontalCentered="1"/>
  <pageMargins left="0.15347222222222223" right="0.25" top="0.75" bottom="0.75" header="0.3" footer="0.3"/>
  <pageSetup paperSize="5" scale="85" fitToWidth="2" orientation="landscape" r:id="rId1"/>
  <headerFooter>
    <oddHeader>&amp;C&amp;F</oddHeader>
  </headerFooter>
  <rowBreaks count="1" manualBreakCount="1">
    <brk id="26"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J212"/>
  <sheetViews>
    <sheetView topLeftCell="A161" workbookViewId="0">
      <selection activeCell="F122" sqref="F122"/>
    </sheetView>
  </sheetViews>
  <sheetFormatPr defaultRowHeight="12.5" x14ac:dyDescent="0.25"/>
  <cols>
    <col min="1" max="1" width="37.7265625" customWidth="1"/>
    <col min="2" max="2" width="23.1796875" customWidth="1"/>
    <col min="3" max="3" width="12" customWidth="1"/>
    <col min="4" max="4" width="12.81640625" customWidth="1"/>
    <col min="5" max="5" width="31.81640625" customWidth="1"/>
    <col min="6" max="6" width="51.1796875" customWidth="1"/>
    <col min="7" max="7" width="9.453125" customWidth="1"/>
    <col min="8" max="9" width="10.26953125" customWidth="1"/>
    <col min="10" max="10" width="9.1796875" style="517"/>
  </cols>
  <sheetData>
    <row r="1" spans="1:10" ht="18" x14ac:dyDescent="0.4">
      <c r="A1" s="669" t="s">
        <v>262</v>
      </c>
      <c r="B1" s="670"/>
      <c r="C1" s="670"/>
      <c r="D1" s="670"/>
      <c r="E1" s="670"/>
      <c r="F1" s="670"/>
      <c r="G1" s="670"/>
      <c r="H1" s="670"/>
      <c r="I1" s="670"/>
    </row>
    <row r="2" spans="1:10" ht="18" x14ac:dyDescent="0.4">
      <c r="A2" s="669" t="s">
        <v>263</v>
      </c>
      <c r="B2" s="670"/>
      <c r="C2" s="670"/>
      <c r="D2" s="670"/>
      <c r="E2" s="670"/>
      <c r="F2" s="670"/>
      <c r="G2" s="670"/>
      <c r="H2" s="670"/>
      <c r="I2" s="670"/>
    </row>
    <row r="3" spans="1:10" ht="13" x14ac:dyDescent="0.3">
      <c r="A3" s="671" t="s">
        <v>264</v>
      </c>
      <c r="B3" s="670"/>
      <c r="C3" s="670"/>
      <c r="D3" s="670"/>
      <c r="E3" s="670"/>
      <c r="F3" s="670"/>
      <c r="G3" s="670"/>
      <c r="H3" s="670"/>
      <c r="I3" s="670"/>
    </row>
    <row r="5" spans="1:10" ht="23" x14ac:dyDescent="0.25">
      <c r="B5" s="518" t="s">
        <v>265</v>
      </c>
      <c r="C5" s="518" t="s">
        <v>266</v>
      </c>
      <c r="D5" s="518" t="s">
        <v>267</v>
      </c>
      <c r="E5" s="518" t="s">
        <v>268</v>
      </c>
      <c r="F5" s="518" t="s">
        <v>269</v>
      </c>
      <c r="G5" s="518" t="s">
        <v>270</v>
      </c>
      <c r="H5" s="518" t="s">
        <v>271</v>
      </c>
      <c r="I5" s="518" t="s">
        <v>272</v>
      </c>
    </row>
    <row r="6" spans="1:10" x14ac:dyDescent="0.25">
      <c r="A6" s="519" t="s">
        <v>273</v>
      </c>
    </row>
    <row r="7" spans="1:10" x14ac:dyDescent="0.25">
      <c r="A7" s="519" t="s">
        <v>274</v>
      </c>
    </row>
    <row r="8" spans="1:10" x14ac:dyDescent="0.25">
      <c r="A8" s="519" t="s">
        <v>275</v>
      </c>
    </row>
    <row r="9" spans="1:10" x14ac:dyDescent="0.25">
      <c r="A9" s="519" t="s">
        <v>276</v>
      </c>
    </row>
    <row r="10" spans="1:10" x14ac:dyDescent="0.25">
      <c r="B10" s="520" t="s">
        <v>277</v>
      </c>
    </row>
    <row r="11" spans="1:10" x14ac:dyDescent="0.25">
      <c r="B11" s="520" t="s">
        <v>278</v>
      </c>
      <c r="C11" s="520" t="s">
        <v>279</v>
      </c>
      <c r="D11" s="520" t="s">
        <v>280</v>
      </c>
      <c r="E11" s="520"/>
      <c r="F11" s="520" t="s">
        <v>281</v>
      </c>
      <c r="G11" s="520" t="s">
        <v>282</v>
      </c>
      <c r="H11" s="521">
        <v>8298.8700000000008</v>
      </c>
      <c r="I11" s="522"/>
    </row>
    <row r="12" spans="1:10" x14ac:dyDescent="0.25">
      <c r="B12" s="520" t="s">
        <v>283</v>
      </c>
      <c r="C12" s="520" t="s">
        <v>279</v>
      </c>
      <c r="D12" s="520">
        <v>175</v>
      </c>
      <c r="E12" s="520"/>
      <c r="F12" s="520" t="s">
        <v>284</v>
      </c>
      <c r="G12" s="520" t="s">
        <v>282</v>
      </c>
      <c r="H12" s="521">
        <v>8175.82</v>
      </c>
      <c r="I12" s="522"/>
    </row>
    <row r="13" spans="1:10" x14ac:dyDescent="0.25">
      <c r="B13" s="520" t="s">
        <v>285</v>
      </c>
      <c r="C13" s="520" t="s">
        <v>279</v>
      </c>
      <c r="D13" s="520">
        <v>242</v>
      </c>
      <c r="E13" s="520"/>
      <c r="F13" s="520" t="s">
        <v>286</v>
      </c>
      <c r="G13" s="520" t="s">
        <v>282</v>
      </c>
      <c r="H13" s="521">
        <f>25010.78-567.9</f>
        <v>24442.879999999997</v>
      </c>
      <c r="I13" s="522"/>
    </row>
    <row r="14" spans="1:10" x14ac:dyDescent="0.25">
      <c r="A14" s="519" t="s">
        <v>287</v>
      </c>
      <c r="H14" s="523">
        <f>SUM(H11:H13)</f>
        <v>40917.57</v>
      </c>
      <c r="I14" s="523" t="s">
        <v>288</v>
      </c>
      <c r="J14" s="517">
        <v>40917.57</v>
      </c>
    </row>
    <row r="15" spans="1:10" x14ac:dyDescent="0.25">
      <c r="A15" s="519" t="s">
        <v>289</v>
      </c>
      <c r="H15" s="523">
        <f>SUM(H14)</f>
        <v>40917.57</v>
      </c>
      <c r="I15" s="523" t="s">
        <v>290</v>
      </c>
    </row>
    <row r="16" spans="1:10" x14ac:dyDescent="0.25">
      <c r="A16" s="519" t="s">
        <v>291</v>
      </c>
      <c r="H16" s="523">
        <f>SUM(H15)</f>
        <v>40917.57</v>
      </c>
      <c r="I16" s="523" t="s">
        <v>292</v>
      </c>
    </row>
    <row r="17" spans="1:10" x14ac:dyDescent="0.25">
      <c r="A17" s="519" t="s">
        <v>293</v>
      </c>
    </row>
    <row r="18" spans="1:10" x14ac:dyDescent="0.25">
      <c r="A18" s="519" t="s">
        <v>294</v>
      </c>
    </row>
    <row r="19" spans="1:10" x14ac:dyDescent="0.25">
      <c r="B19" s="520" t="s">
        <v>295</v>
      </c>
    </row>
    <row r="20" spans="1:10" x14ac:dyDescent="0.25">
      <c r="B20" s="520" t="s">
        <v>278</v>
      </c>
      <c r="C20" s="520" t="s">
        <v>279</v>
      </c>
      <c r="D20" s="520">
        <v>153</v>
      </c>
      <c r="E20" s="520"/>
      <c r="F20" s="520"/>
      <c r="G20" s="520" t="s">
        <v>282</v>
      </c>
      <c r="H20" s="521">
        <v>6712</v>
      </c>
      <c r="I20" s="522"/>
    </row>
    <row r="21" spans="1:10" x14ac:dyDescent="0.25">
      <c r="B21" s="520" t="s">
        <v>296</v>
      </c>
      <c r="C21" s="520" t="s">
        <v>279</v>
      </c>
      <c r="D21" s="520">
        <v>202</v>
      </c>
      <c r="E21" s="520"/>
      <c r="F21" s="520" t="s">
        <v>297</v>
      </c>
      <c r="G21" s="520" t="s">
        <v>282</v>
      </c>
      <c r="H21" s="521">
        <v>6712</v>
      </c>
      <c r="I21" s="522"/>
    </row>
    <row r="22" spans="1:10" x14ac:dyDescent="0.25">
      <c r="B22" s="520" t="s">
        <v>298</v>
      </c>
      <c r="C22" s="520" t="s">
        <v>299</v>
      </c>
      <c r="D22" s="520">
        <v>292271815</v>
      </c>
      <c r="E22" s="520" t="s">
        <v>300</v>
      </c>
      <c r="F22" s="520" t="s">
        <v>301</v>
      </c>
      <c r="G22" s="520" t="s">
        <v>282</v>
      </c>
      <c r="H22" s="521">
        <v>6712</v>
      </c>
      <c r="I22" s="522"/>
    </row>
    <row r="23" spans="1:10" x14ac:dyDescent="0.25">
      <c r="A23" s="519" t="s">
        <v>302</v>
      </c>
      <c r="H23" s="523">
        <f>SUM(H20:H22)</f>
        <v>20136</v>
      </c>
      <c r="I23" s="523" t="s">
        <v>290</v>
      </c>
      <c r="J23" s="517">
        <v>20135.580000000002</v>
      </c>
    </row>
    <row r="24" spans="1:10" x14ac:dyDescent="0.25">
      <c r="A24" s="519" t="s">
        <v>303</v>
      </c>
    </row>
    <row r="25" spans="1:10" x14ac:dyDescent="0.25">
      <c r="B25" s="520" t="s">
        <v>295</v>
      </c>
    </row>
    <row r="26" spans="1:10" x14ac:dyDescent="0.25">
      <c r="B26" s="520" t="s">
        <v>278</v>
      </c>
      <c r="C26" s="520" t="s">
        <v>279</v>
      </c>
      <c r="D26" s="520" t="s">
        <v>304</v>
      </c>
      <c r="E26" s="520"/>
      <c r="F26" s="520"/>
      <c r="G26" s="520" t="s">
        <v>282</v>
      </c>
      <c r="H26" s="521">
        <v>454.62</v>
      </c>
      <c r="I26" s="522"/>
    </row>
    <row r="27" spans="1:10" x14ac:dyDescent="0.25">
      <c r="B27" s="520" t="s">
        <v>283</v>
      </c>
      <c r="C27" s="520" t="s">
        <v>279</v>
      </c>
      <c r="D27" s="520">
        <v>208</v>
      </c>
      <c r="E27" s="520"/>
      <c r="F27" s="520"/>
      <c r="G27" s="520" t="s">
        <v>282</v>
      </c>
      <c r="H27" s="521">
        <v>454.62</v>
      </c>
      <c r="I27" s="522"/>
    </row>
    <row r="28" spans="1:10" x14ac:dyDescent="0.25">
      <c r="B28" s="520" t="s">
        <v>298</v>
      </c>
      <c r="C28" s="520" t="s">
        <v>299</v>
      </c>
      <c r="D28" s="520" t="s">
        <v>305</v>
      </c>
      <c r="E28" s="520" t="s">
        <v>306</v>
      </c>
      <c r="F28" s="520" t="s">
        <v>307</v>
      </c>
      <c r="G28" s="520" t="s">
        <v>282</v>
      </c>
      <c r="H28" s="521">
        <v>390.74</v>
      </c>
      <c r="I28" s="522"/>
    </row>
    <row r="29" spans="1:10" x14ac:dyDescent="0.25">
      <c r="A29" s="519" t="s">
        <v>308</v>
      </c>
      <c r="H29" s="523">
        <f>SUM(H26:H28)</f>
        <v>1299.98</v>
      </c>
      <c r="I29" s="523" t="s">
        <v>290</v>
      </c>
      <c r="J29" s="517">
        <v>1299.98</v>
      </c>
    </row>
    <row r="30" spans="1:10" x14ac:dyDescent="0.25">
      <c r="A30" s="519" t="s">
        <v>309</v>
      </c>
      <c r="H30" s="523">
        <f>H23+H29</f>
        <v>21435.98</v>
      </c>
      <c r="I30" s="523">
        <v>3216.34</v>
      </c>
    </row>
    <row r="31" spans="1:10" x14ac:dyDescent="0.25">
      <c r="A31" s="519" t="s">
        <v>310</v>
      </c>
    </row>
    <row r="32" spans="1:10" x14ac:dyDescent="0.25">
      <c r="A32" s="519" t="s">
        <v>311</v>
      </c>
    </row>
    <row r="33" spans="1:10" x14ac:dyDescent="0.25">
      <c r="A33" s="519" t="s">
        <v>312</v>
      </c>
    </row>
    <row r="34" spans="1:10" x14ac:dyDescent="0.25">
      <c r="B34" s="520" t="s">
        <v>277</v>
      </c>
    </row>
    <row r="35" spans="1:10" x14ac:dyDescent="0.25">
      <c r="B35" s="520" t="s">
        <v>278</v>
      </c>
      <c r="C35" s="520" t="s">
        <v>279</v>
      </c>
      <c r="D35" s="520">
        <v>139</v>
      </c>
      <c r="E35" s="520"/>
      <c r="F35" s="520" t="s">
        <v>313</v>
      </c>
      <c r="G35" s="520" t="s">
        <v>282</v>
      </c>
      <c r="H35" s="521">
        <v>324.42</v>
      </c>
      <c r="I35" s="522"/>
    </row>
    <row r="36" spans="1:10" x14ac:dyDescent="0.25">
      <c r="B36" s="520" t="s">
        <v>283</v>
      </c>
      <c r="C36" s="520" t="s">
        <v>279</v>
      </c>
      <c r="D36" s="520">
        <v>192</v>
      </c>
      <c r="E36" s="520"/>
      <c r="F36" s="520" t="s">
        <v>313</v>
      </c>
      <c r="G36" s="520" t="s">
        <v>282</v>
      </c>
      <c r="H36" s="521">
        <v>235</v>
      </c>
      <c r="I36" s="522"/>
    </row>
    <row r="37" spans="1:10" x14ac:dyDescent="0.25">
      <c r="B37" s="520" t="s">
        <v>314</v>
      </c>
      <c r="C37" s="520" t="s">
        <v>279</v>
      </c>
      <c r="D37" s="520">
        <v>272</v>
      </c>
      <c r="E37" s="520"/>
      <c r="F37" s="520" t="s">
        <v>313</v>
      </c>
      <c r="G37" s="520" t="s">
        <v>282</v>
      </c>
      <c r="H37" s="521">
        <v>782</v>
      </c>
      <c r="I37" s="522"/>
    </row>
    <row r="38" spans="1:10" x14ac:dyDescent="0.25">
      <c r="A38" s="519" t="s">
        <v>315</v>
      </c>
      <c r="H38" s="524">
        <v>1341.42</v>
      </c>
      <c r="I38" s="523" t="s">
        <v>288</v>
      </c>
    </row>
    <row r="39" spans="1:10" x14ac:dyDescent="0.25">
      <c r="A39" s="519" t="s">
        <v>316</v>
      </c>
      <c r="H39" s="523">
        <v>1341.42</v>
      </c>
      <c r="I39" s="523" t="s">
        <v>290</v>
      </c>
      <c r="J39" s="517">
        <v>1227.53</v>
      </c>
    </row>
    <row r="40" spans="1:10" x14ac:dyDescent="0.25">
      <c r="A40" s="519" t="s">
        <v>317</v>
      </c>
    </row>
    <row r="41" spans="1:10" x14ac:dyDescent="0.25">
      <c r="A41" s="519" t="s">
        <v>318</v>
      </c>
    </row>
    <row r="42" spans="1:10" x14ac:dyDescent="0.25">
      <c r="B42" s="520" t="s">
        <v>295</v>
      </c>
    </row>
    <row r="43" spans="1:10" x14ac:dyDescent="0.25">
      <c r="B43" s="520" t="s">
        <v>278</v>
      </c>
      <c r="C43" s="520" t="s">
        <v>279</v>
      </c>
      <c r="D43" s="520">
        <v>146</v>
      </c>
      <c r="E43" s="520"/>
      <c r="F43" s="520" t="s">
        <v>319</v>
      </c>
      <c r="G43" s="520" t="s">
        <v>282</v>
      </c>
      <c r="H43" s="521">
        <v>122.73</v>
      </c>
      <c r="I43" s="522"/>
    </row>
    <row r="44" spans="1:10" x14ac:dyDescent="0.25">
      <c r="B44" s="520" t="s">
        <v>283</v>
      </c>
      <c r="C44" s="520" t="s">
        <v>279</v>
      </c>
      <c r="D44" s="520">
        <v>198</v>
      </c>
      <c r="E44" s="520"/>
      <c r="F44" s="520" t="s">
        <v>319</v>
      </c>
      <c r="G44" s="520" t="s">
        <v>282</v>
      </c>
      <c r="H44" s="521">
        <v>102</v>
      </c>
      <c r="I44" s="522"/>
    </row>
    <row r="45" spans="1:10" x14ac:dyDescent="0.25">
      <c r="B45" s="520" t="s">
        <v>314</v>
      </c>
      <c r="C45" s="520" t="s">
        <v>279</v>
      </c>
      <c r="D45" s="520">
        <v>251</v>
      </c>
      <c r="E45" s="520"/>
      <c r="F45" s="520" t="s">
        <v>319</v>
      </c>
      <c r="G45" s="520" t="s">
        <v>282</v>
      </c>
      <c r="H45" s="521">
        <v>312</v>
      </c>
      <c r="I45" s="522"/>
    </row>
    <row r="46" spans="1:10" x14ac:dyDescent="0.25">
      <c r="A46" s="519" t="s">
        <v>320</v>
      </c>
      <c r="H46" s="523">
        <v>536.73</v>
      </c>
      <c r="I46" s="523" t="s">
        <v>290</v>
      </c>
    </row>
    <row r="47" spans="1:10" x14ac:dyDescent="0.25">
      <c r="A47" s="519" t="s">
        <v>321</v>
      </c>
      <c r="H47" s="524">
        <v>536.73</v>
      </c>
      <c r="I47" s="523" t="s">
        <v>292</v>
      </c>
    </row>
    <row r="48" spans="1:10" x14ac:dyDescent="0.25">
      <c r="A48" s="519" t="s">
        <v>322</v>
      </c>
      <c r="H48" s="523">
        <v>65361.89</v>
      </c>
      <c r="I48" s="523">
        <v>3216.34</v>
      </c>
    </row>
    <row r="49" spans="1:9" x14ac:dyDescent="0.25">
      <c r="A49" s="519" t="s">
        <v>323</v>
      </c>
    </row>
    <row r="50" spans="1:9" x14ac:dyDescent="0.25">
      <c r="A50" s="519" t="s">
        <v>324</v>
      </c>
    </row>
    <row r="51" spans="1:9" x14ac:dyDescent="0.25">
      <c r="A51" s="519" t="s">
        <v>325</v>
      </c>
    </row>
    <row r="52" spans="1:9" x14ac:dyDescent="0.25">
      <c r="B52" s="520" t="s">
        <v>295</v>
      </c>
    </row>
    <row r="53" spans="1:9" x14ac:dyDescent="0.25">
      <c r="B53" s="520" t="s">
        <v>278</v>
      </c>
      <c r="C53" s="520" t="s">
        <v>279</v>
      </c>
      <c r="D53" s="520">
        <v>142</v>
      </c>
      <c r="E53" s="520"/>
      <c r="F53" s="520" t="s">
        <v>326</v>
      </c>
      <c r="G53" s="520" t="s">
        <v>282</v>
      </c>
      <c r="H53" s="521">
        <v>212.09</v>
      </c>
      <c r="I53" s="522"/>
    </row>
    <row r="54" spans="1:9" x14ac:dyDescent="0.25">
      <c r="B54" s="520" t="s">
        <v>283</v>
      </c>
      <c r="C54" s="520" t="s">
        <v>279</v>
      </c>
      <c r="D54" s="520">
        <v>181</v>
      </c>
      <c r="E54" s="520"/>
      <c r="F54" s="520" t="s">
        <v>326</v>
      </c>
      <c r="G54" s="520" t="s">
        <v>282</v>
      </c>
      <c r="H54" s="521">
        <v>181</v>
      </c>
      <c r="I54" s="522"/>
    </row>
    <row r="55" spans="1:9" x14ac:dyDescent="0.25">
      <c r="B55" s="520" t="s">
        <v>314</v>
      </c>
      <c r="C55" s="520" t="s">
        <v>279</v>
      </c>
      <c r="D55" s="520">
        <v>252</v>
      </c>
      <c r="E55" s="520"/>
      <c r="F55" s="520" t="s">
        <v>326</v>
      </c>
      <c r="G55" s="520" t="s">
        <v>282</v>
      </c>
      <c r="H55" s="521">
        <v>629</v>
      </c>
      <c r="I55" s="522"/>
    </row>
    <row r="56" spans="1:9" x14ac:dyDescent="0.25">
      <c r="A56" s="519" t="s">
        <v>327</v>
      </c>
      <c r="H56" s="523">
        <v>1022.09</v>
      </c>
      <c r="I56" s="523" t="s">
        <v>290</v>
      </c>
    </row>
    <row r="57" spans="1:9" x14ac:dyDescent="0.25">
      <c r="A57" s="519" t="s">
        <v>328</v>
      </c>
      <c r="H57" s="523">
        <v>1022.09</v>
      </c>
      <c r="I57" s="523" t="s">
        <v>292</v>
      </c>
    </row>
    <row r="58" spans="1:9" x14ac:dyDescent="0.25">
      <c r="A58" s="519" t="s">
        <v>329</v>
      </c>
    </row>
    <row r="59" spans="1:9" x14ac:dyDescent="0.25">
      <c r="A59" s="519" t="s">
        <v>330</v>
      </c>
    </row>
    <row r="60" spans="1:9" x14ac:dyDescent="0.25">
      <c r="B60" s="520" t="s">
        <v>295</v>
      </c>
    </row>
    <row r="61" spans="1:9" x14ac:dyDescent="0.25">
      <c r="B61" s="520" t="s">
        <v>278</v>
      </c>
      <c r="C61" s="520" t="s">
        <v>279</v>
      </c>
      <c r="D61" s="520">
        <v>145</v>
      </c>
      <c r="E61" s="520"/>
      <c r="F61" s="520" t="s">
        <v>331</v>
      </c>
      <c r="G61" s="520" t="s">
        <v>282</v>
      </c>
      <c r="H61" s="521">
        <v>1303.8599999999999</v>
      </c>
      <c r="I61" s="522"/>
    </row>
    <row r="62" spans="1:9" x14ac:dyDescent="0.25">
      <c r="B62" s="520" t="s">
        <v>283</v>
      </c>
      <c r="C62" s="520" t="s">
        <v>279</v>
      </c>
      <c r="D62" s="520">
        <v>180</v>
      </c>
      <c r="E62" s="520"/>
      <c r="F62" s="520" t="s">
        <v>331</v>
      </c>
      <c r="G62" s="520" t="s">
        <v>282</v>
      </c>
      <c r="H62" s="521">
        <v>237</v>
      </c>
      <c r="I62" s="522"/>
    </row>
    <row r="63" spans="1:9" x14ac:dyDescent="0.25">
      <c r="B63" s="520" t="s">
        <v>314</v>
      </c>
      <c r="C63" s="520" t="s">
        <v>279</v>
      </c>
      <c r="D63" s="520">
        <v>253</v>
      </c>
      <c r="E63" s="520"/>
      <c r="F63" s="520" t="s">
        <v>331</v>
      </c>
      <c r="G63" s="520" t="s">
        <v>282</v>
      </c>
      <c r="H63" s="521">
        <v>1025</v>
      </c>
      <c r="I63" s="522"/>
    </row>
    <row r="64" spans="1:9" x14ac:dyDescent="0.25">
      <c r="A64" s="519" t="s">
        <v>332</v>
      </c>
      <c r="H64" s="523">
        <v>2565.86</v>
      </c>
      <c r="I64" s="523" t="s">
        <v>290</v>
      </c>
    </row>
    <row r="65" spans="1:9" x14ac:dyDescent="0.25">
      <c r="A65" s="519" t="s">
        <v>333</v>
      </c>
      <c r="H65" s="523">
        <v>2565.86</v>
      </c>
      <c r="I65" s="523" t="s">
        <v>292</v>
      </c>
    </row>
    <row r="66" spans="1:9" x14ac:dyDescent="0.25">
      <c r="A66" s="519" t="s">
        <v>334</v>
      </c>
      <c r="H66" s="524">
        <v>3587.95</v>
      </c>
      <c r="I66" s="523"/>
    </row>
    <row r="67" spans="1:9" x14ac:dyDescent="0.25">
      <c r="A67" s="519" t="s">
        <v>335</v>
      </c>
    </row>
    <row r="68" spans="1:9" x14ac:dyDescent="0.25">
      <c r="A68" s="519" t="s">
        <v>336</v>
      </c>
    </row>
    <row r="69" spans="1:9" x14ac:dyDescent="0.25">
      <c r="B69" s="520" t="s">
        <v>337</v>
      </c>
    </row>
    <row r="70" spans="1:9" x14ac:dyDescent="0.25">
      <c r="A70" s="519" t="s">
        <v>338</v>
      </c>
      <c r="H70" s="523" t="s">
        <v>292</v>
      </c>
      <c r="I70" s="523" t="s">
        <v>292</v>
      </c>
    </row>
    <row r="71" spans="1:9" x14ac:dyDescent="0.25">
      <c r="A71" s="519" t="s">
        <v>339</v>
      </c>
    </row>
    <row r="72" spans="1:9" x14ac:dyDescent="0.25">
      <c r="B72" s="520" t="s">
        <v>337</v>
      </c>
    </row>
    <row r="73" spans="1:9" x14ac:dyDescent="0.25">
      <c r="A73" s="519" t="s">
        <v>340</v>
      </c>
      <c r="H73" s="523" t="s">
        <v>290</v>
      </c>
      <c r="I73" s="523" t="s">
        <v>290</v>
      </c>
    </row>
    <row r="74" spans="1:9" x14ac:dyDescent="0.25">
      <c r="A74" s="519" t="s">
        <v>341</v>
      </c>
    </row>
    <row r="75" spans="1:9" x14ac:dyDescent="0.25">
      <c r="B75" s="520" t="s">
        <v>295</v>
      </c>
    </row>
    <row r="76" spans="1:9" x14ac:dyDescent="0.25">
      <c r="B76" s="520" t="s">
        <v>278</v>
      </c>
      <c r="C76" s="520" t="s">
        <v>279</v>
      </c>
      <c r="D76" s="520">
        <v>144</v>
      </c>
      <c r="E76" s="520"/>
      <c r="F76" s="520" t="s">
        <v>342</v>
      </c>
      <c r="G76" s="520" t="s">
        <v>282</v>
      </c>
      <c r="H76" s="521">
        <v>48.58</v>
      </c>
      <c r="I76" s="522"/>
    </row>
    <row r="77" spans="1:9" x14ac:dyDescent="0.25">
      <c r="B77" s="520" t="s">
        <v>283</v>
      </c>
      <c r="C77" s="520" t="s">
        <v>279</v>
      </c>
      <c r="D77" s="520">
        <v>185</v>
      </c>
      <c r="E77" s="520"/>
      <c r="F77" s="520" t="s">
        <v>342</v>
      </c>
      <c r="G77" s="520" t="s">
        <v>282</v>
      </c>
      <c r="H77" s="521">
        <v>41</v>
      </c>
      <c r="I77" s="522"/>
    </row>
    <row r="78" spans="1:9" x14ac:dyDescent="0.25">
      <c r="A78" s="519" t="s">
        <v>343</v>
      </c>
      <c r="H78" s="523">
        <v>89.58</v>
      </c>
      <c r="I78" s="523" t="s">
        <v>290</v>
      </c>
    </row>
    <row r="79" spans="1:9" x14ac:dyDescent="0.25">
      <c r="A79" s="519" t="s">
        <v>344</v>
      </c>
      <c r="H79" s="525">
        <v>89.58</v>
      </c>
      <c r="I79" s="523" t="s">
        <v>292</v>
      </c>
    </row>
    <row r="80" spans="1:9" x14ac:dyDescent="0.25">
      <c r="A80" s="519" t="s">
        <v>345</v>
      </c>
    </row>
    <row r="81" spans="1:9" x14ac:dyDescent="0.25">
      <c r="A81" s="519" t="s">
        <v>346</v>
      </c>
    </row>
    <row r="82" spans="1:9" x14ac:dyDescent="0.25">
      <c r="B82" s="520" t="s">
        <v>295</v>
      </c>
    </row>
    <row r="83" spans="1:9" x14ac:dyDescent="0.25">
      <c r="B83" s="520" t="s">
        <v>278</v>
      </c>
      <c r="C83" s="520" t="s">
        <v>279</v>
      </c>
      <c r="D83" s="520">
        <v>147</v>
      </c>
      <c r="E83" s="520"/>
      <c r="F83" s="520" t="s">
        <v>347</v>
      </c>
      <c r="G83" s="520" t="s">
        <v>282</v>
      </c>
      <c r="H83" s="521">
        <v>62.14</v>
      </c>
      <c r="I83" s="522"/>
    </row>
    <row r="84" spans="1:9" x14ac:dyDescent="0.25">
      <c r="B84" s="520" t="s">
        <v>283</v>
      </c>
      <c r="C84" s="520" t="s">
        <v>279</v>
      </c>
      <c r="D84" s="520">
        <v>187</v>
      </c>
      <c r="E84" s="520"/>
      <c r="F84" s="520" t="s">
        <v>347</v>
      </c>
      <c r="G84" s="520" t="s">
        <v>282</v>
      </c>
      <c r="H84" s="521">
        <v>53</v>
      </c>
      <c r="I84" s="522"/>
    </row>
    <row r="85" spans="1:9" x14ac:dyDescent="0.25">
      <c r="B85" s="520" t="s">
        <v>314</v>
      </c>
      <c r="C85" s="520" t="s">
        <v>279</v>
      </c>
      <c r="D85" s="520">
        <v>262</v>
      </c>
      <c r="E85" s="520"/>
      <c r="F85" s="520" t="s">
        <v>347</v>
      </c>
      <c r="G85" s="520" t="s">
        <v>282</v>
      </c>
      <c r="H85" s="521">
        <v>134</v>
      </c>
      <c r="I85" s="522"/>
    </row>
    <row r="86" spans="1:9" x14ac:dyDescent="0.25">
      <c r="A86" s="519" t="s">
        <v>348</v>
      </c>
      <c r="H86" s="523">
        <v>249.14</v>
      </c>
      <c r="I86" s="523" t="s">
        <v>290</v>
      </c>
    </row>
    <row r="87" spans="1:9" x14ac:dyDescent="0.25">
      <c r="A87" s="519" t="s">
        <v>349</v>
      </c>
      <c r="H87" s="525">
        <v>249.14</v>
      </c>
      <c r="I87" s="523" t="s">
        <v>292</v>
      </c>
    </row>
    <row r="88" spans="1:9" x14ac:dyDescent="0.25">
      <c r="A88" s="519" t="s">
        <v>350</v>
      </c>
    </row>
    <row r="89" spans="1:9" x14ac:dyDescent="0.25">
      <c r="B89" s="520" t="s">
        <v>283</v>
      </c>
      <c r="C89" s="520" t="s">
        <v>279</v>
      </c>
      <c r="D89" s="520">
        <v>196</v>
      </c>
      <c r="E89" s="520"/>
      <c r="F89" s="520" t="s">
        <v>351</v>
      </c>
      <c r="G89" s="520" t="s">
        <v>282</v>
      </c>
      <c r="H89" s="521">
        <v>18</v>
      </c>
      <c r="I89" s="522"/>
    </row>
    <row r="90" spans="1:9" x14ac:dyDescent="0.25">
      <c r="A90" s="519" t="s">
        <v>352</v>
      </c>
      <c r="H90" s="524">
        <v>18</v>
      </c>
      <c r="I90" s="523" t="s">
        <v>292</v>
      </c>
    </row>
    <row r="91" spans="1:9" x14ac:dyDescent="0.25">
      <c r="A91" s="519" t="s">
        <v>353</v>
      </c>
    </row>
    <row r="92" spans="1:9" x14ac:dyDescent="0.25">
      <c r="A92" s="519" t="s">
        <v>354</v>
      </c>
    </row>
    <row r="93" spans="1:9" x14ac:dyDescent="0.25">
      <c r="B93" s="520" t="s">
        <v>295</v>
      </c>
    </row>
    <row r="94" spans="1:9" x14ac:dyDescent="0.25">
      <c r="A94" s="519" t="s">
        <v>355</v>
      </c>
      <c r="H94" s="523" t="s">
        <v>290</v>
      </c>
      <c r="I94" s="523" t="s">
        <v>290</v>
      </c>
    </row>
    <row r="95" spans="1:9" x14ac:dyDescent="0.25">
      <c r="A95" s="519" t="s">
        <v>356</v>
      </c>
      <c r="H95" s="523" t="s">
        <v>292</v>
      </c>
      <c r="I95" s="523" t="s">
        <v>292</v>
      </c>
    </row>
    <row r="96" spans="1:9" x14ac:dyDescent="0.25">
      <c r="A96" s="519" t="s">
        <v>357</v>
      </c>
    </row>
    <row r="97" spans="1:9" x14ac:dyDescent="0.25">
      <c r="B97" s="520" t="s">
        <v>337</v>
      </c>
    </row>
    <row r="98" spans="1:9" x14ac:dyDescent="0.25">
      <c r="B98" s="520" t="s">
        <v>278</v>
      </c>
      <c r="C98" s="520" t="s">
        <v>279</v>
      </c>
      <c r="D98" s="520">
        <v>152</v>
      </c>
      <c r="E98" s="520"/>
      <c r="F98" s="520" t="s">
        <v>358</v>
      </c>
      <c r="G98" s="520" t="s">
        <v>282</v>
      </c>
      <c r="H98" s="521">
        <v>22.01</v>
      </c>
      <c r="I98" s="522"/>
    </row>
    <row r="99" spans="1:9" x14ac:dyDescent="0.25">
      <c r="B99" s="520" t="s">
        <v>283</v>
      </c>
      <c r="C99" s="520" t="s">
        <v>279</v>
      </c>
      <c r="D99" s="520">
        <v>188</v>
      </c>
      <c r="E99" s="520"/>
      <c r="F99" s="520" t="s">
        <v>358</v>
      </c>
      <c r="G99" s="520" t="s">
        <v>282</v>
      </c>
      <c r="H99" s="521">
        <v>19</v>
      </c>
      <c r="I99" s="522"/>
    </row>
    <row r="100" spans="1:9" x14ac:dyDescent="0.25">
      <c r="B100" s="520" t="s">
        <v>314</v>
      </c>
      <c r="C100" s="520" t="s">
        <v>279</v>
      </c>
      <c r="D100" s="520">
        <v>254</v>
      </c>
      <c r="E100" s="520"/>
      <c r="F100" s="520" t="s">
        <v>358</v>
      </c>
      <c r="G100" s="520" t="s">
        <v>282</v>
      </c>
      <c r="H100" s="521">
        <v>65</v>
      </c>
      <c r="I100" s="522"/>
    </row>
    <row r="101" spans="1:9" x14ac:dyDescent="0.25">
      <c r="A101" s="519" t="s">
        <v>359</v>
      </c>
      <c r="H101" s="526">
        <v>106.01</v>
      </c>
      <c r="I101" s="523" t="s">
        <v>292</v>
      </c>
    </row>
    <row r="102" spans="1:9" x14ac:dyDescent="0.25">
      <c r="A102" s="519" t="s">
        <v>360</v>
      </c>
      <c r="H102" s="523">
        <v>462.73</v>
      </c>
      <c r="I102" s="523"/>
    </row>
    <row r="103" spans="1:9" x14ac:dyDescent="0.25">
      <c r="A103" s="519" t="s">
        <v>361</v>
      </c>
    </row>
    <row r="104" spans="1:9" x14ac:dyDescent="0.25">
      <c r="A104" s="519" t="s">
        <v>362</v>
      </c>
    </row>
    <row r="105" spans="1:9" x14ac:dyDescent="0.25">
      <c r="A105" s="519" t="s">
        <v>363</v>
      </c>
    </row>
    <row r="106" spans="1:9" x14ac:dyDescent="0.25">
      <c r="B106" s="520" t="s">
        <v>295</v>
      </c>
    </row>
    <row r="107" spans="1:9" x14ac:dyDescent="0.25">
      <c r="B107" s="520" t="s">
        <v>364</v>
      </c>
      <c r="C107" s="520" t="s">
        <v>299</v>
      </c>
      <c r="D107" s="520" t="s">
        <v>365</v>
      </c>
      <c r="E107" s="520" t="s">
        <v>366</v>
      </c>
      <c r="F107" s="520" t="s">
        <v>367</v>
      </c>
      <c r="G107" s="520" t="s">
        <v>282</v>
      </c>
      <c r="H107" s="521">
        <v>1059.54</v>
      </c>
      <c r="I107" s="522"/>
    </row>
    <row r="108" spans="1:9" x14ac:dyDescent="0.25">
      <c r="B108" s="520" t="s">
        <v>368</v>
      </c>
      <c r="C108" s="520" t="s">
        <v>299</v>
      </c>
      <c r="D108" s="520" t="s">
        <v>369</v>
      </c>
      <c r="E108" s="520" t="s">
        <v>366</v>
      </c>
      <c r="F108" s="520" t="s">
        <v>370</v>
      </c>
      <c r="G108" s="520" t="s">
        <v>282</v>
      </c>
      <c r="H108" s="521">
        <v>1052.01</v>
      </c>
      <c r="I108" s="522"/>
    </row>
    <row r="109" spans="1:9" x14ac:dyDescent="0.25">
      <c r="B109" s="520" t="s">
        <v>371</v>
      </c>
      <c r="C109" s="520" t="s">
        <v>299</v>
      </c>
      <c r="D109" s="520" t="s">
        <v>372</v>
      </c>
      <c r="E109" s="520" t="s">
        <v>366</v>
      </c>
      <c r="F109" s="520" t="s">
        <v>373</v>
      </c>
      <c r="G109" s="520" t="s">
        <v>282</v>
      </c>
      <c r="H109" s="521">
        <v>969.33</v>
      </c>
      <c r="I109" s="522"/>
    </row>
    <row r="110" spans="1:9" x14ac:dyDescent="0.25">
      <c r="A110" s="519" t="s">
        <v>374</v>
      </c>
      <c r="H110" s="523">
        <v>3080.88</v>
      </c>
      <c r="I110" s="523" t="s">
        <v>290</v>
      </c>
    </row>
    <row r="111" spans="1:9" x14ac:dyDescent="0.25">
      <c r="A111" s="519" t="s">
        <v>375</v>
      </c>
    </row>
    <row r="112" spans="1:9" x14ac:dyDescent="0.25">
      <c r="B112" s="520" t="s">
        <v>295</v>
      </c>
    </row>
    <row r="113" spans="1:9" x14ac:dyDescent="0.25">
      <c r="B113" s="520" t="s">
        <v>278</v>
      </c>
      <c r="C113" s="520" t="s">
        <v>279</v>
      </c>
      <c r="D113" s="520">
        <v>148</v>
      </c>
      <c r="E113" s="520"/>
      <c r="F113" s="520" t="s">
        <v>9</v>
      </c>
      <c r="G113" s="520" t="s">
        <v>282</v>
      </c>
      <c r="H113" s="521">
        <v>98.5</v>
      </c>
      <c r="I113" s="522"/>
    </row>
    <row r="114" spans="1:9" x14ac:dyDescent="0.25">
      <c r="B114" s="520" t="s">
        <v>283</v>
      </c>
      <c r="C114" s="520" t="s">
        <v>279</v>
      </c>
      <c r="D114" s="520">
        <v>189</v>
      </c>
      <c r="E114" s="520"/>
      <c r="F114" s="520" t="s">
        <v>9</v>
      </c>
      <c r="G114" s="520" t="s">
        <v>282</v>
      </c>
      <c r="H114" s="521">
        <v>84</v>
      </c>
      <c r="I114" s="522"/>
    </row>
    <row r="115" spans="1:9" x14ac:dyDescent="0.25">
      <c r="B115" s="520" t="s">
        <v>314</v>
      </c>
      <c r="C115" s="520" t="s">
        <v>279</v>
      </c>
      <c r="D115" s="520">
        <v>260</v>
      </c>
      <c r="E115" s="520"/>
      <c r="F115" s="520" t="s">
        <v>9</v>
      </c>
      <c r="G115" s="520" t="s">
        <v>282</v>
      </c>
      <c r="H115" s="521">
        <v>228</v>
      </c>
      <c r="I115" s="522"/>
    </row>
    <row r="116" spans="1:9" x14ac:dyDescent="0.25">
      <c r="A116" s="519" t="s">
        <v>376</v>
      </c>
      <c r="H116" s="523">
        <v>410.5</v>
      </c>
      <c r="I116" s="523" t="s">
        <v>290</v>
      </c>
    </row>
    <row r="117" spans="1:9" x14ac:dyDescent="0.25">
      <c r="A117" s="519" t="s">
        <v>377</v>
      </c>
      <c r="H117" s="525">
        <v>3491.38</v>
      </c>
      <c r="I117" s="523" t="s">
        <v>292</v>
      </c>
    </row>
    <row r="118" spans="1:9" x14ac:dyDescent="0.25">
      <c r="A118" s="519" t="s">
        <v>378</v>
      </c>
    </row>
    <row r="119" spans="1:9" x14ac:dyDescent="0.25">
      <c r="B119" s="520" t="s">
        <v>337</v>
      </c>
    </row>
    <row r="120" spans="1:9" x14ac:dyDescent="0.25">
      <c r="B120" s="520" t="s">
        <v>379</v>
      </c>
      <c r="C120" s="520" t="s">
        <v>299</v>
      </c>
      <c r="D120" s="520">
        <v>11361668</v>
      </c>
      <c r="E120" s="520" t="s">
        <v>380</v>
      </c>
      <c r="F120" s="520" t="s">
        <v>381</v>
      </c>
      <c r="G120" s="520" t="s">
        <v>282</v>
      </c>
      <c r="H120" s="521">
        <v>154.85</v>
      </c>
      <c r="I120" s="522"/>
    </row>
    <row r="121" spans="1:9" x14ac:dyDescent="0.25">
      <c r="B121" s="520" t="s">
        <v>368</v>
      </c>
      <c r="C121" s="520" t="s">
        <v>299</v>
      </c>
      <c r="D121" s="520">
        <v>11400201</v>
      </c>
      <c r="E121" s="520" t="s">
        <v>380</v>
      </c>
      <c r="F121" s="520" t="s">
        <v>382</v>
      </c>
      <c r="G121" s="520" t="s">
        <v>282</v>
      </c>
      <c r="H121" s="521">
        <v>162.28</v>
      </c>
      <c r="I121" s="522"/>
    </row>
    <row r="122" spans="1:9" x14ac:dyDescent="0.25">
      <c r="B122" s="520" t="s">
        <v>383</v>
      </c>
      <c r="C122" s="520" t="s">
        <v>299</v>
      </c>
      <c r="D122" s="520">
        <v>11438813</v>
      </c>
      <c r="E122" s="520" t="s">
        <v>380</v>
      </c>
      <c r="F122" s="520" t="s">
        <v>384</v>
      </c>
      <c r="G122" s="520" t="s">
        <v>282</v>
      </c>
      <c r="H122" s="521">
        <v>97.86</v>
      </c>
      <c r="I122" s="522"/>
    </row>
    <row r="123" spans="1:9" x14ac:dyDescent="0.25">
      <c r="A123" s="519" t="s">
        <v>385</v>
      </c>
      <c r="H123" s="525">
        <v>414.99</v>
      </c>
      <c r="I123" s="523" t="s">
        <v>292</v>
      </c>
    </row>
    <row r="124" spans="1:9" x14ac:dyDescent="0.25">
      <c r="A124" s="519" t="s">
        <v>386</v>
      </c>
    </row>
    <row r="125" spans="1:9" x14ac:dyDescent="0.25">
      <c r="B125" s="520" t="s">
        <v>337</v>
      </c>
    </row>
    <row r="126" spans="1:9" ht="21" x14ac:dyDescent="0.25">
      <c r="A126" s="519" t="s">
        <v>387</v>
      </c>
      <c r="H126" s="523" t="s">
        <v>290</v>
      </c>
      <c r="I126" s="523" t="s">
        <v>290</v>
      </c>
    </row>
    <row r="127" spans="1:9" x14ac:dyDescent="0.25">
      <c r="A127" s="519" t="s">
        <v>388</v>
      </c>
    </row>
    <row r="128" spans="1:9" x14ac:dyDescent="0.25">
      <c r="B128" s="520" t="s">
        <v>295</v>
      </c>
    </row>
    <row r="129" spans="1:9" x14ac:dyDescent="0.25">
      <c r="B129" s="520" t="s">
        <v>278</v>
      </c>
      <c r="C129" s="520" t="s">
        <v>279</v>
      </c>
      <c r="D129" s="520">
        <v>141</v>
      </c>
      <c r="E129" s="520"/>
      <c r="F129" s="520" t="s">
        <v>389</v>
      </c>
      <c r="G129" s="520" t="s">
        <v>282</v>
      </c>
      <c r="H129" s="521">
        <v>175.61</v>
      </c>
      <c r="I129" s="522"/>
    </row>
    <row r="130" spans="1:9" x14ac:dyDescent="0.25">
      <c r="B130" s="520" t="s">
        <v>283</v>
      </c>
      <c r="C130" s="520" t="s">
        <v>279</v>
      </c>
      <c r="D130" s="520">
        <v>183</v>
      </c>
      <c r="E130" s="520"/>
      <c r="F130" s="520" t="s">
        <v>389</v>
      </c>
      <c r="G130" s="520" t="s">
        <v>282</v>
      </c>
      <c r="H130" s="521">
        <v>140</v>
      </c>
      <c r="I130" s="522"/>
    </row>
    <row r="131" spans="1:9" x14ac:dyDescent="0.25">
      <c r="B131" s="520" t="s">
        <v>314</v>
      </c>
      <c r="C131" s="520" t="s">
        <v>279</v>
      </c>
      <c r="D131" s="520">
        <v>256</v>
      </c>
      <c r="E131" s="520"/>
      <c r="F131" s="520" t="s">
        <v>389</v>
      </c>
      <c r="G131" s="520" t="s">
        <v>282</v>
      </c>
      <c r="H131" s="521">
        <v>486</v>
      </c>
      <c r="I131" s="522"/>
    </row>
    <row r="132" spans="1:9" x14ac:dyDescent="0.25">
      <c r="A132" s="519" t="s">
        <v>390</v>
      </c>
      <c r="H132" s="524">
        <v>801.61</v>
      </c>
      <c r="I132" s="523" t="s">
        <v>290</v>
      </c>
    </row>
    <row r="133" spans="1:9" ht="21" x14ac:dyDescent="0.25">
      <c r="A133" s="519" t="s">
        <v>391</v>
      </c>
      <c r="H133" s="523">
        <v>801.61</v>
      </c>
      <c r="I133" s="523" t="s">
        <v>292</v>
      </c>
    </row>
    <row r="134" spans="1:9" x14ac:dyDescent="0.25">
      <c r="A134" s="519" t="s">
        <v>392</v>
      </c>
    </row>
    <row r="135" spans="1:9" x14ac:dyDescent="0.25">
      <c r="B135" s="520" t="s">
        <v>337</v>
      </c>
    </row>
    <row r="136" spans="1:9" x14ac:dyDescent="0.25">
      <c r="B136" s="520" t="s">
        <v>393</v>
      </c>
      <c r="C136" s="520" t="s">
        <v>299</v>
      </c>
      <c r="D136" s="520">
        <v>2396152</v>
      </c>
      <c r="E136" s="520" t="s">
        <v>394</v>
      </c>
      <c r="F136" s="520" t="s">
        <v>395</v>
      </c>
      <c r="G136" s="520" t="s">
        <v>282</v>
      </c>
      <c r="H136" s="521">
        <v>108</v>
      </c>
      <c r="I136" s="522"/>
    </row>
    <row r="137" spans="1:9" x14ac:dyDescent="0.25">
      <c r="B137" s="520" t="s">
        <v>396</v>
      </c>
      <c r="C137" s="520" t="s">
        <v>299</v>
      </c>
      <c r="D137" s="520">
        <v>2511</v>
      </c>
      <c r="E137" s="520" t="s">
        <v>397</v>
      </c>
      <c r="F137" s="520" t="s">
        <v>398</v>
      </c>
      <c r="G137" s="520" t="s">
        <v>282</v>
      </c>
      <c r="H137" s="521"/>
      <c r="I137" s="527">
        <v>3200</v>
      </c>
    </row>
    <row r="138" spans="1:9" x14ac:dyDescent="0.25">
      <c r="B138" s="520" t="s">
        <v>399</v>
      </c>
      <c r="C138" s="520" t="s">
        <v>299</v>
      </c>
      <c r="D138" s="520">
        <v>2606</v>
      </c>
      <c r="E138" s="520" t="s">
        <v>400</v>
      </c>
      <c r="F138" s="520" t="s">
        <v>401</v>
      </c>
      <c r="G138" s="520" t="s">
        <v>282</v>
      </c>
      <c r="H138" s="521">
        <v>458.75</v>
      </c>
      <c r="I138" s="522"/>
    </row>
    <row r="139" spans="1:9" x14ac:dyDescent="0.25">
      <c r="A139" s="519" t="s">
        <v>402</v>
      </c>
      <c r="H139" s="525">
        <f>SUM(H136:H138)</f>
        <v>566.75</v>
      </c>
      <c r="I139" s="523" t="s">
        <v>290</v>
      </c>
    </row>
    <row r="140" spans="1:9" x14ac:dyDescent="0.25">
      <c r="A140" s="519" t="s">
        <v>403</v>
      </c>
    </row>
    <row r="141" spans="1:9" x14ac:dyDescent="0.25">
      <c r="B141" s="520" t="s">
        <v>295</v>
      </c>
    </row>
    <row r="142" spans="1:9" x14ac:dyDescent="0.25">
      <c r="B142" s="520" t="s">
        <v>404</v>
      </c>
      <c r="C142" s="520" t="s">
        <v>299</v>
      </c>
      <c r="D142" s="520">
        <v>169702</v>
      </c>
      <c r="E142" s="520" t="s">
        <v>405</v>
      </c>
      <c r="F142" s="520" t="s">
        <v>406</v>
      </c>
      <c r="G142" s="520" t="s">
        <v>282</v>
      </c>
      <c r="H142" s="521">
        <v>193.5</v>
      </c>
      <c r="I142" s="522"/>
    </row>
    <row r="143" spans="1:9" x14ac:dyDescent="0.25">
      <c r="A143" s="519" t="s">
        <v>407</v>
      </c>
      <c r="H143" s="525">
        <v>193.5</v>
      </c>
      <c r="I143" s="523" t="s">
        <v>290</v>
      </c>
    </row>
    <row r="144" spans="1:9" x14ac:dyDescent="0.25">
      <c r="A144" s="519" t="s">
        <v>408</v>
      </c>
    </row>
    <row r="145" spans="1:9" x14ac:dyDescent="0.25">
      <c r="B145" s="520" t="s">
        <v>295</v>
      </c>
    </row>
    <row r="146" spans="1:9" x14ac:dyDescent="0.25">
      <c r="B146" s="520" t="s">
        <v>278</v>
      </c>
      <c r="C146" s="520" t="s">
        <v>279</v>
      </c>
      <c r="D146" s="520">
        <v>151</v>
      </c>
      <c r="E146" s="520"/>
      <c r="F146" s="520" t="s">
        <v>409</v>
      </c>
      <c r="G146" s="520" t="s">
        <v>282</v>
      </c>
      <c r="H146" s="521">
        <v>191.87</v>
      </c>
      <c r="I146" s="522"/>
    </row>
    <row r="147" spans="1:9" x14ac:dyDescent="0.25">
      <c r="B147" s="520" t="s">
        <v>283</v>
      </c>
      <c r="C147" s="520" t="s">
        <v>279</v>
      </c>
      <c r="D147" s="520">
        <v>184</v>
      </c>
      <c r="E147" s="520"/>
      <c r="F147" s="520" t="s">
        <v>409</v>
      </c>
      <c r="G147" s="520" t="s">
        <v>282</v>
      </c>
      <c r="H147" s="521">
        <v>46</v>
      </c>
      <c r="I147" s="522"/>
    </row>
    <row r="148" spans="1:9" x14ac:dyDescent="0.25">
      <c r="B148" s="520" t="s">
        <v>314</v>
      </c>
      <c r="C148" s="520" t="s">
        <v>279</v>
      </c>
      <c r="D148" s="520">
        <v>257</v>
      </c>
      <c r="E148" s="520"/>
      <c r="F148" s="520" t="s">
        <v>409</v>
      </c>
      <c r="G148" s="520" t="s">
        <v>282</v>
      </c>
      <c r="H148" s="521">
        <v>160</v>
      </c>
      <c r="I148" s="522"/>
    </row>
    <row r="149" spans="1:9" x14ac:dyDescent="0.25">
      <c r="A149" s="519" t="s">
        <v>410</v>
      </c>
      <c r="H149" s="525">
        <v>397.87</v>
      </c>
      <c r="I149" s="523" t="s">
        <v>290</v>
      </c>
    </row>
    <row r="150" spans="1:9" ht="21" x14ac:dyDescent="0.25">
      <c r="A150" s="519" t="s">
        <v>411</v>
      </c>
      <c r="H150" s="523">
        <v>4358.12</v>
      </c>
      <c r="I150" s="523" t="s">
        <v>292</v>
      </c>
    </row>
    <row r="151" spans="1:9" x14ac:dyDescent="0.25">
      <c r="A151" s="519" t="s">
        <v>412</v>
      </c>
    </row>
    <row r="152" spans="1:9" x14ac:dyDescent="0.25">
      <c r="B152" s="520" t="s">
        <v>337</v>
      </c>
    </row>
    <row r="153" spans="1:9" x14ac:dyDescent="0.25">
      <c r="A153" s="519" t="s">
        <v>413</v>
      </c>
      <c r="H153" s="523" t="s">
        <v>292</v>
      </c>
      <c r="I153" s="523" t="s">
        <v>292</v>
      </c>
    </row>
    <row r="154" spans="1:9" x14ac:dyDescent="0.25">
      <c r="A154" s="519" t="s">
        <v>414</v>
      </c>
    </row>
    <row r="155" spans="1:9" x14ac:dyDescent="0.25">
      <c r="A155" s="519" t="s">
        <v>415</v>
      </c>
    </row>
    <row r="156" spans="1:9" x14ac:dyDescent="0.25">
      <c r="A156" s="519" t="s">
        <v>416</v>
      </c>
    </row>
    <row r="157" spans="1:9" x14ac:dyDescent="0.25">
      <c r="B157" s="520" t="s">
        <v>277</v>
      </c>
    </row>
    <row r="158" spans="1:9" x14ac:dyDescent="0.25">
      <c r="B158" s="520" t="s">
        <v>278</v>
      </c>
      <c r="C158" s="520" t="s">
        <v>279</v>
      </c>
      <c r="D158" s="520">
        <v>140</v>
      </c>
      <c r="E158" s="520"/>
      <c r="F158" s="520" t="s">
        <v>417</v>
      </c>
      <c r="G158" s="520" t="s">
        <v>282</v>
      </c>
      <c r="H158" s="521">
        <v>280.27999999999997</v>
      </c>
      <c r="I158" s="522"/>
    </row>
    <row r="159" spans="1:9" x14ac:dyDescent="0.25">
      <c r="B159" s="520" t="s">
        <v>283</v>
      </c>
      <c r="C159" s="520" t="s">
        <v>279</v>
      </c>
      <c r="D159" s="520">
        <v>182</v>
      </c>
      <c r="E159" s="520"/>
      <c r="F159" s="520" t="s">
        <v>417</v>
      </c>
      <c r="G159" s="520" t="s">
        <v>282</v>
      </c>
      <c r="H159" s="521">
        <v>240</v>
      </c>
      <c r="I159" s="522"/>
    </row>
    <row r="160" spans="1:9" x14ac:dyDescent="0.25">
      <c r="B160" s="520" t="s">
        <v>314</v>
      </c>
      <c r="C160" s="520" t="s">
        <v>279</v>
      </c>
      <c r="D160" s="520">
        <v>258</v>
      </c>
      <c r="E160" s="520"/>
      <c r="F160" s="520" t="s">
        <v>417</v>
      </c>
      <c r="G160" s="520" t="s">
        <v>282</v>
      </c>
      <c r="H160" s="521">
        <v>831</v>
      </c>
      <c r="I160" s="522"/>
    </row>
    <row r="161" spans="1:9" x14ac:dyDescent="0.25">
      <c r="A161" s="519" t="s">
        <v>418</v>
      </c>
      <c r="H161" s="525">
        <v>1351.28</v>
      </c>
      <c r="I161" s="523" t="s">
        <v>288</v>
      </c>
    </row>
    <row r="162" spans="1:9" x14ac:dyDescent="0.25">
      <c r="A162" s="519" t="s">
        <v>419</v>
      </c>
      <c r="H162" s="523">
        <v>1351.28</v>
      </c>
      <c r="I162" s="523" t="s">
        <v>290</v>
      </c>
    </row>
    <row r="163" spans="1:9" x14ac:dyDescent="0.25">
      <c r="A163" s="519" t="s">
        <v>420</v>
      </c>
      <c r="H163" s="523">
        <v>1351.28</v>
      </c>
      <c r="I163" s="523" t="s">
        <v>292</v>
      </c>
    </row>
    <row r="164" spans="1:9" x14ac:dyDescent="0.25">
      <c r="A164" s="519" t="s">
        <v>421</v>
      </c>
      <c r="H164" s="523">
        <v>10417.379999999999</v>
      </c>
      <c r="I164" s="523"/>
    </row>
    <row r="165" spans="1:9" x14ac:dyDescent="0.25">
      <c r="A165" s="519" t="s">
        <v>422</v>
      </c>
    </row>
    <row r="166" spans="1:9" x14ac:dyDescent="0.25">
      <c r="A166" s="519" t="s">
        <v>423</v>
      </c>
    </row>
    <row r="167" spans="1:9" x14ac:dyDescent="0.25">
      <c r="B167" s="520" t="s">
        <v>337</v>
      </c>
    </row>
    <row r="168" spans="1:9" x14ac:dyDescent="0.25">
      <c r="B168" s="520" t="s">
        <v>424</v>
      </c>
      <c r="C168" s="520" t="s">
        <v>299</v>
      </c>
      <c r="D168" s="520" t="s">
        <v>425</v>
      </c>
      <c r="E168" s="520" t="s">
        <v>426</v>
      </c>
      <c r="F168" s="520" t="s">
        <v>427</v>
      </c>
      <c r="G168" s="520" t="s">
        <v>282</v>
      </c>
      <c r="H168" s="521">
        <v>59</v>
      </c>
      <c r="I168" s="522"/>
    </row>
    <row r="169" spans="1:9" x14ac:dyDescent="0.25">
      <c r="B169" s="520" t="s">
        <v>404</v>
      </c>
      <c r="C169" s="520" t="s">
        <v>299</v>
      </c>
      <c r="D169" s="520" t="s">
        <v>428</v>
      </c>
      <c r="E169" s="520" t="s">
        <v>426</v>
      </c>
      <c r="F169" s="520" t="s">
        <v>429</v>
      </c>
      <c r="G169" s="520" t="s">
        <v>282</v>
      </c>
      <c r="H169" s="521">
        <v>59</v>
      </c>
      <c r="I169" s="522"/>
    </row>
    <row r="170" spans="1:9" x14ac:dyDescent="0.25">
      <c r="A170" s="519" t="s">
        <v>430</v>
      </c>
      <c r="H170" s="525">
        <v>118</v>
      </c>
      <c r="I170" s="523" t="s">
        <v>292</v>
      </c>
    </row>
    <row r="171" spans="1:9" x14ac:dyDescent="0.25">
      <c r="A171" s="519" t="s">
        <v>431</v>
      </c>
    </row>
    <row r="172" spans="1:9" x14ac:dyDescent="0.25">
      <c r="B172" s="520" t="s">
        <v>337</v>
      </c>
    </row>
    <row r="173" spans="1:9" x14ac:dyDescent="0.25">
      <c r="A173" s="519" t="s">
        <v>432</v>
      </c>
      <c r="H173" s="523" t="s">
        <v>292</v>
      </c>
      <c r="I173" s="523" t="s">
        <v>292</v>
      </c>
    </row>
    <row r="174" spans="1:9" x14ac:dyDescent="0.25">
      <c r="A174" s="519" t="s">
        <v>433</v>
      </c>
    </row>
    <row r="175" spans="1:9" x14ac:dyDescent="0.25">
      <c r="B175" s="520" t="s">
        <v>337</v>
      </c>
    </row>
    <row r="176" spans="1:9" x14ac:dyDescent="0.25">
      <c r="A176" s="519" t="s">
        <v>434</v>
      </c>
      <c r="H176" s="523" t="s">
        <v>292</v>
      </c>
      <c r="I176" s="523" t="s">
        <v>292</v>
      </c>
    </row>
    <row r="177" spans="1:9" x14ac:dyDescent="0.25">
      <c r="A177" s="519" t="s">
        <v>435</v>
      </c>
    </row>
    <row r="178" spans="1:9" x14ac:dyDescent="0.25">
      <c r="B178" s="520" t="s">
        <v>337</v>
      </c>
    </row>
    <row r="179" spans="1:9" x14ac:dyDescent="0.25">
      <c r="B179" s="520" t="s">
        <v>436</v>
      </c>
      <c r="C179" s="520" t="s">
        <v>437</v>
      </c>
      <c r="D179" s="520">
        <v>209</v>
      </c>
      <c r="E179" s="520" t="s">
        <v>438</v>
      </c>
      <c r="F179" s="520" t="s">
        <v>439</v>
      </c>
      <c r="G179" s="520" t="s">
        <v>282</v>
      </c>
      <c r="H179" s="521">
        <v>560</v>
      </c>
      <c r="I179" s="522"/>
    </row>
    <row r="180" spans="1:9" x14ac:dyDescent="0.25">
      <c r="A180" s="519" t="s">
        <v>440</v>
      </c>
      <c r="H180" s="525">
        <v>560</v>
      </c>
      <c r="I180" s="523" t="s">
        <v>292</v>
      </c>
    </row>
    <row r="181" spans="1:9" x14ac:dyDescent="0.25">
      <c r="A181" s="519" t="s">
        <v>441</v>
      </c>
      <c r="H181" s="523">
        <v>678</v>
      </c>
      <c r="I181" s="523"/>
    </row>
    <row r="182" spans="1:9" x14ac:dyDescent="0.25">
      <c r="A182" s="519" t="s">
        <v>442</v>
      </c>
    </row>
    <row r="183" spans="1:9" x14ac:dyDescent="0.25">
      <c r="A183" s="519" t="s">
        <v>443</v>
      </c>
    </row>
    <row r="184" spans="1:9" x14ac:dyDescent="0.25">
      <c r="B184" s="520" t="s">
        <v>337</v>
      </c>
    </row>
    <row r="185" spans="1:9" x14ac:dyDescent="0.25">
      <c r="B185" s="520" t="s">
        <v>444</v>
      </c>
      <c r="C185" s="520" t="s">
        <v>299</v>
      </c>
      <c r="D185" s="520">
        <v>5177261</v>
      </c>
      <c r="E185" s="520" t="s">
        <v>445</v>
      </c>
      <c r="F185" s="520" t="s">
        <v>446</v>
      </c>
      <c r="G185" s="520" t="s">
        <v>282</v>
      </c>
      <c r="H185" s="527"/>
      <c r="I185" s="527">
        <v>1269.81</v>
      </c>
    </row>
    <row r="186" spans="1:9" x14ac:dyDescent="0.25">
      <c r="B186" s="520" t="s">
        <v>444</v>
      </c>
      <c r="C186" s="520" t="s">
        <v>299</v>
      </c>
      <c r="D186" s="520">
        <v>5178764</v>
      </c>
      <c r="E186" s="520" t="s">
        <v>445</v>
      </c>
      <c r="F186" s="520" t="s">
        <v>446</v>
      </c>
      <c r="G186" s="520" t="s">
        <v>282</v>
      </c>
      <c r="H186" s="527"/>
      <c r="I186" s="527">
        <v>3371.94</v>
      </c>
    </row>
    <row r="187" spans="1:9" x14ac:dyDescent="0.25">
      <c r="B187" s="520" t="s">
        <v>396</v>
      </c>
      <c r="C187" s="520" t="s">
        <v>299</v>
      </c>
      <c r="D187" s="520">
        <v>5187722</v>
      </c>
      <c r="E187" s="520" t="s">
        <v>445</v>
      </c>
      <c r="F187" s="520" t="s">
        <v>447</v>
      </c>
      <c r="G187" s="520" t="s">
        <v>282</v>
      </c>
      <c r="H187" s="521">
        <v>953.35</v>
      </c>
      <c r="I187" s="522"/>
    </row>
    <row r="188" spans="1:9" x14ac:dyDescent="0.25">
      <c r="B188" s="520" t="s">
        <v>448</v>
      </c>
      <c r="C188" s="520" t="s">
        <v>299</v>
      </c>
      <c r="D188" s="520">
        <v>5188467</v>
      </c>
      <c r="E188" s="520" t="s">
        <v>445</v>
      </c>
      <c r="F188" s="520" t="s">
        <v>447</v>
      </c>
      <c r="G188" s="520" t="s">
        <v>282</v>
      </c>
      <c r="H188" s="521">
        <v>933.67</v>
      </c>
      <c r="I188" s="522"/>
    </row>
    <row r="189" spans="1:9" x14ac:dyDescent="0.25">
      <c r="B189" s="520" t="s">
        <v>449</v>
      </c>
      <c r="C189" s="520" t="s">
        <v>299</v>
      </c>
      <c r="D189" s="520" t="s">
        <v>450</v>
      </c>
      <c r="E189" s="520" t="s">
        <v>451</v>
      </c>
      <c r="F189" s="520" t="s">
        <v>452</v>
      </c>
      <c r="G189" s="520" t="s">
        <v>282</v>
      </c>
      <c r="H189" s="521"/>
      <c r="I189" s="528">
        <v>2342.41</v>
      </c>
    </row>
    <row r="190" spans="1:9" x14ac:dyDescent="0.25">
      <c r="B190" s="520" t="s">
        <v>383</v>
      </c>
      <c r="C190" s="520" t="s">
        <v>299</v>
      </c>
      <c r="D190" s="520" t="s">
        <v>453</v>
      </c>
      <c r="E190" s="520" t="s">
        <v>454</v>
      </c>
      <c r="F190" s="520" t="s">
        <v>455</v>
      </c>
      <c r="G190" s="520" t="s">
        <v>282</v>
      </c>
      <c r="H190" s="521">
        <v>54.56</v>
      </c>
      <c r="I190" s="522"/>
    </row>
    <row r="191" spans="1:9" x14ac:dyDescent="0.25">
      <c r="B191" s="520" t="s">
        <v>383</v>
      </c>
      <c r="C191" s="520" t="s">
        <v>299</v>
      </c>
      <c r="D191" s="520" t="s">
        <v>456</v>
      </c>
      <c r="E191" s="520" t="s">
        <v>454</v>
      </c>
      <c r="F191" s="520" t="s">
        <v>457</v>
      </c>
      <c r="G191" s="520" t="s">
        <v>282</v>
      </c>
      <c r="H191" s="521">
        <v>89.55</v>
      </c>
      <c r="I191" s="522"/>
    </row>
    <row r="192" spans="1:9" x14ac:dyDescent="0.25">
      <c r="A192" s="519" t="s">
        <v>458</v>
      </c>
      <c r="H192" s="525">
        <f>SUM(H185:H191)</f>
        <v>2031.1299999999999</v>
      </c>
      <c r="I192" s="523" t="s">
        <v>292</v>
      </c>
    </row>
    <row r="193" spans="1:9" x14ac:dyDescent="0.25">
      <c r="A193" s="519" t="s">
        <v>459</v>
      </c>
    </row>
    <row r="194" spans="1:9" ht="20.5" x14ac:dyDescent="0.25">
      <c r="B194" s="520" t="s">
        <v>460</v>
      </c>
      <c r="C194" s="520" t="s">
        <v>299</v>
      </c>
      <c r="D194" s="520" t="s">
        <v>461</v>
      </c>
      <c r="E194" s="520" t="s">
        <v>462</v>
      </c>
      <c r="F194" s="520" t="s">
        <v>463</v>
      </c>
      <c r="G194" s="520" t="s">
        <v>282</v>
      </c>
      <c r="H194" s="521">
        <v>20</v>
      </c>
      <c r="I194" s="522"/>
    </row>
    <row r="195" spans="1:9" x14ac:dyDescent="0.25">
      <c r="A195" s="519" t="s">
        <v>464</v>
      </c>
      <c r="H195" s="523">
        <v>20</v>
      </c>
      <c r="I195" s="523" t="s">
        <v>292</v>
      </c>
    </row>
    <row r="196" spans="1:9" x14ac:dyDescent="0.25">
      <c r="A196" s="519" t="s">
        <v>465</v>
      </c>
    </row>
    <row r="197" spans="1:9" x14ac:dyDescent="0.25">
      <c r="B197" s="520" t="s">
        <v>337</v>
      </c>
    </row>
    <row r="198" spans="1:9" x14ac:dyDescent="0.25">
      <c r="A198" s="519" t="s">
        <v>466</v>
      </c>
      <c r="H198" s="523" t="s">
        <v>292</v>
      </c>
      <c r="I198" s="523" t="s">
        <v>292</v>
      </c>
    </row>
    <row r="199" spans="1:9" x14ac:dyDescent="0.25">
      <c r="A199" s="519" t="s">
        <v>467</v>
      </c>
    </row>
    <row r="200" spans="1:9" x14ac:dyDescent="0.25">
      <c r="B200" s="520" t="s">
        <v>337</v>
      </c>
    </row>
    <row r="201" spans="1:9" x14ac:dyDescent="0.25">
      <c r="B201" s="520" t="s">
        <v>468</v>
      </c>
      <c r="C201" s="520" t="s">
        <v>299</v>
      </c>
      <c r="D201" s="520" t="s">
        <v>469</v>
      </c>
      <c r="E201" s="520" t="s">
        <v>470</v>
      </c>
      <c r="F201" s="520" t="s">
        <v>471</v>
      </c>
      <c r="G201" s="520" t="s">
        <v>282</v>
      </c>
      <c r="H201" s="527">
        <v>1690</v>
      </c>
      <c r="I201" s="522"/>
    </row>
    <row r="202" spans="1:9" x14ac:dyDescent="0.25">
      <c r="A202" s="519" t="s">
        <v>472</v>
      </c>
      <c r="H202" s="523">
        <v>1690</v>
      </c>
      <c r="I202" s="523" t="s">
        <v>292</v>
      </c>
    </row>
    <row r="203" spans="1:9" x14ac:dyDescent="0.25">
      <c r="A203" s="519" t="s">
        <v>473</v>
      </c>
      <c r="H203" s="523">
        <v>10725.29</v>
      </c>
      <c r="I203" s="523"/>
    </row>
    <row r="204" spans="1:9" x14ac:dyDescent="0.25">
      <c r="A204" s="519" t="s">
        <v>474</v>
      </c>
    </row>
    <row r="205" spans="1:9" x14ac:dyDescent="0.25">
      <c r="A205" s="519" t="s">
        <v>475</v>
      </c>
    </row>
    <row r="206" spans="1:9" x14ac:dyDescent="0.25">
      <c r="B206" s="520" t="s">
        <v>337</v>
      </c>
    </row>
    <row r="207" spans="1:9" x14ac:dyDescent="0.25">
      <c r="B207" s="520" t="s">
        <v>476</v>
      </c>
      <c r="C207" s="520" t="s">
        <v>299</v>
      </c>
      <c r="D207" s="520">
        <v>191125230</v>
      </c>
      <c r="E207" s="520" t="s">
        <v>477</v>
      </c>
      <c r="F207" s="520" t="s">
        <v>478</v>
      </c>
      <c r="G207" s="520" t="s">
        <v>282</v>
      </c>
      <c r="H207" s="527">
        <v>550</v>
      </c>
      <c r="I207" s="522"/>
    </row>
    <row r="208" spans="1:9" x14ac:dyDescent="0.25">
      <c r="A208" s="519" t="s">
        <v>479</v>
      </c>
      <c r="H208" s="523">
        <v>550</v>
      </c>
      <c r="I208" s="523" t="s">
        <v>292</v>
      </c>
    </row>
    <row r="209" spans="1:9" x14ac:dyDescent="0.25">
      <c r="A209" s="519" t="s">
        <v>480</v>
      </c>
      <c r="H209" s="523">
        <v>550</v>
      </c>
      <c r="I209" s="523"/>
    </row>
    <row r="212" spans="1:9" x14ac:dyDescent="0.25">
      <c r="A212" s="672" t="s">
        <v>481</v>
      </c>
      <c r="B212" s="670"/>
      <c r="C212" s="670"/>
      <c r="D212" s="670"/>
      <c r="E212" s="670"/>
      <c r="F212" s="670"/>
      <c r="G212" s="670"/>
      <c r="H212" s="670"/>
      <c r="I212" s="670"/>
    </row>
  </sheetData>
  <mergeCells count="4">
    <mergeCell ref="A1:I1"/>
    <mergeCell ref="A2:I2"/>
    <mergeCell ref="A3:I3"/>
    <mergeCell ref="A212:I212"/>
  </mergeCells>
  <pageMargins left="0.25" right="0.25" top="0.75" bottom="0.75" header="0.3" footer="0.3"/>
  <pageSetup paperSize="5" scale="8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B1:P50"/>
  <sheetViews>
    <sheetView workbookViewId="0">
      <selection activeCell="H13" sqref="H13"/>
    </sheetView>
  </sheetViews>
  <sheetFormatPr defaultRowHeight="12.5" x14ac:dyDescent="0.25"/>
  <cols>
    <col min="1" max="1" width="2.7265625" customWidth="1"/>
    <col min="2" max="2" width="19.453125" customWidth="1"/>
    <col min="3" max="3" width="8" customWidth="1"/>
    <col min="4" max="4" width="21.1796875" customWidth="1"/>
    <col min="5" max="5" width="15" style="423" customWidth="1"/>
    <col min="6" max="6" width="13.81640625" customWidth="1"/>
    <col min="7" max="7" width="6.81640625" customWidth="1"/>
    <col min="8" max="12" width="14.7265625" customWidth="1"/>
    <col min="13" max="13" width="14.7265625" style="422" customWidth="1"/>
    <col min="14" max="14" width="13.453125" customWidth="1"/>
    <col min="15" max="15" width="12.453125" style="496" customWidth="1"/>
  </cols>
  <sheetData>
    <row r="1" spans="2:14" x14ac:dyDescent="0.25">
      <c r="B1" s="673" t="s">
        <v>215</v>
      </c>
      <c r="C1" s="673"/>
      <c r="D1" s="673"/>
      <c r="E1" s="673"/>
      <c r="F1" s="673"/>
      <c r="G1" s="673"/>
      <c r="H1" s="673"/>
      <c r="I1" s="673"/>
      <c r="J1" s="421"/>
      <c r="K1" s="421"/>
      <c r="L1" s="421"/>
    </row>
    <row r="2" spans="2:14" ht="13" thickBot="1" x14ac:dyDescent="0.3"/>
    <row r="3" spans="2:14" ht="13" thickBot="1" x14ac:dyDescent="0.3">
      <c r="B3" s="674" t="s">
        <v>245</v>
      </c>
      <c r="C3" s="675"/>
      <c r="D3" s="675"/>
      <c r="E3" s="675"/>
      <c r="F3" s="675"/>
      <c r="G3" s="675"/>
      <c r="H3" s="675"/>
      <c r="I3" s="675"/>
      <c r="J3" s="675"/>
      <c r="K3" s="675"/>
      <c r="L3" s="675"/>
      <c r="M3" s="675"/>
    </row>
    <row r="4" spans="2:14" x14ac:dyDescent="0.25">
      <c r="B4" s="421"/>
      <c r="C4" s="421"/>
      <c r="D4" s="421"/>
      <c r="E4" s="424"/>
      <c r="F4" s="421"/>
      <c r="G4" s="421"/>
      <c r="H4" s="421"/>
      <c r="I4" s="421"/>
      <c r="J4" s="421"/>
      <c r="K4" s="421"/>
      <c r="L4" s="421"/>
    </row>
    <row r="5" spans="2:14" x14ac:dyDescent="0.25">
      <c r="B5" s="421"/>
      <c r="C5" s="421"/>
      <c r="D5" s="421"/>
      <c r="E5" s="424"/>
      <c r="F5" s="421"/>
      <c r="G5" s="421"/>
      <c r="H5" s="421"/>
      <c r="I5" s="421"/>
      <c r="J5" s="422"/>
      <c r="K5" s="422"/>
      <c r="L5" s="422"/>
    </row>
    <row r="6" spans="2:14" x14ac:dyDescent="0.25">
      <c r="I6" t="s">
        <v>216</v>
      </c>
      <c r="J6" s="425"/>
    </row>
    <row r="7" spans="2:14" ht="13" thickBot="1" x14ac:dyDescent="0.3">
      <c r="I7" s="426"/>
      <c r="J7" s="427"/>
      <c r="K7" s="428"/>
      <c r="L7" s="429"/>
      <c r="M7" s="430"/>
      <c r="N7" s="516">
        <v>0.03</v>
      </c>
    </row>
    <row r="8" spans="2:14" ht="13" thickBot="1" x14ac:dyDescent="0.3">
      <c r="E8" s="423" t="s">
        <v>217</v>
      </c>
      <c r="F8" s="431" t="s">
        <v>218</v>
      </c>
      <c r="G8" s="421"/>
      <c r="H8" s="421" t="s">
        <v>250</v>
      </c>
      <c r="I8" s="432" t="s">
        <v>220</v>
      </c>
      <c r="J8" s="434" t="s">
        <v>219</v>
      </c>
      <c r="K8" s="434" t="s">
        <v>221</v>
      </c>
      <c r="L8" s="435" t="s">
        <v>222</v>
      </c>
      <c r="M8" s="436" t="s">
        <v>223</v>
      </c>
      <c r="N8" s="436" t="s">
        <v>261</v>
      </c>
    </row>
    <row r="9" spans="2:14" ht="13" thickBot="1" x14ac:dyDescent="0.3">
      <c r="B9" s="437" t="s">
        <v>185</v>
      </c>
      <c r="C9" s="438">
        <v>3</v>
      </c>
      <c r="D9" s="438"/>
      <c r="E9" s="439"/>
      <c r="F9" s="440"/>
      <c r="G9" s="440">
        <f>F9/E14</f>
        <v>0</v>
      </c>
      <c r="H9" s="441"/>
      <c r="I9" s="442">
        <f>H9*K7</f>
        <v>0</v>
      </c>
      <c r="J9" s="443"/>
      <c r="K9" s="443"/>
      <c r="L9" s="443"/>
      <c r="M9" s="444"/>
      <c r="N9" s="444"/>
    </row>
    <row r="10" spans="2:14" ht="13" thickBot="1" x14ac:dyDescent="0.3">
      <c r="B10" s="445"/>
      <c r="D10" t="s">
        <v>224</v>
      </c>
      <c r="E10" s="423">
        <v>58583</v>
      </c>
      <c r="F10" s="422"/>
      <c r="G10" s="422"/>
      <c r="H10" s="446"/>
      <c r="I10" s="442"/>
      <c r="J10" s="447"/>
      <c r="K10" s="447"/>
      <c r="L10" s="447"/>
      <c r="M10" s="448"/>
      <c r="N10" s="448"/>
    </row>
    <row r="11" spans="2:14" ht="13" thickBot="1" x14ac:dyDescent="0.3">
      <c r="B11" s="445"/>
      <c r="D11" t="s">
        <v>225</v>
      </c>
      <c r="E11" s="423">
        <v>57717</v>
      </c>
      <c r="F11" s="422"/>
      <c r="G11" s="422"/>
      <c r="H11" s="446">
        <v>3452.38</v>
      </c>
      <c r="I11" s="442">
        <v>3452.38</v>
      </c>
      <c r="J11" s="449"/>
      <c r="K11" s="449"/>
      <c r="L11" s="449"/>
      <c r="M11" s="450"/>
      <c r="N11" s="450">
        <f>I11*$N$7</f>
        <v>103.5714</v>
      </c>
    </row>
    <row r="12" spans="2:14" x14ac:dyDescent="0.25">
      <c r="B12" s="445"/>
      <c r="D12" t="s">
        <v>226</v>
      </c>
      <c r="E12" s="423">
        <v>53261</v>
      </c>
      <c r="F12" s="422"/>
      <c r="G12" s="422"/>
      <c r="H12" s="446"/>
      <c r="I12" s="442"/>
      <c r="J12" s="449"/>
      <c r="K12" s="449"/>
      <c r="L12" s="449"/>
      <c r="M12" s="450"/>
      <c r="N12" s="450"/>
    </row>
    <row r="13" spans="2:14" ht="13" thickBot="1" x14ac:dyDescent="0.3">
      <c r="B13" s="445"/>
      <c r="D13" t="s">
        <v>247</v>
      </c>
      <c r="F13" s="422"/>
      <c r="G13" s="422"/>
      <c r="H13" s="605">
        <v>2979.83</v>
      </c>
      <c r="I13" s="603">
        <v>2979.83</v>
      </c>
      <c r="J13" s="449"/>
      <c r="K13" s="449"/>
      <c r="L13" s="449"/>
      <c r="M13" s="450"/>
      <c r="N13" s="450"/>
    </row>
    <row r="14" spans="2:14" ht="13" thickBot="1" x14ac:dyDescent="0.3">
      <c r="B14" s="445"/>
      <c r="E14" s="452">
        <f>SUM(E10:E13)</f>
        <v>169561</v>
      </c>
      <c r="F14" s="422">
        <v>169561</v>
      </c>
      <c r="G14" s="422"/>
      <c r="H14" s="446"/>
      <c r="I14" s="451"/>
      <c r="J14" s="449"/>
      <c r="K14" s="449"/>
      <c r="L14" s="449"/>
      <c r="M14" s="450"/>
      <c r="N14" s="450"/>
    </row>
    <row r="15" spans="2:14" x14ac:dyDescent="0.25">
      <c r="B15" s="445" t="s">
        <v>186</v>
      </c>
      <c r="C15">
        <v>3</v>
      </c>
      <c r="D15" t="s">
        <v>228</v>
      </c>
      <c r="F15" s="422"/>
      <c r="G15" s="422">
        <f>F15/E19</f>
        <v>0</v>
      </c>
      <c r="H15" s="446"/>
      <c r="I15" s="451"/>
      <c r="J15" s="450"/>
      <c r="K15" s="449"/>
      <c r="L15" s="449"/>
      <c r="M15" s="450"/>
      <c r="N15" s="450"/>
    </row>
    <row r="16" spans="2:14" x14ac:dyDescent="0.25">
      <c r="B16" s="445"/>
      <c r="D16" t="s">
        <v>229</v>
      </c>
      <c r="E16" s="423">
        <v>34413</v>
      </c>
      <c r="F16" s="422"/>
      <c r="G16" s="422"/>
      <c r="H16" s="446">
        <v>2100.52</v>
      </c>
      <c r="I16" s="451">
        <v>2100.52</v>
      </c>
      <c r="J16" s="450"/>
      <c r="K16" s="449"/>
      <c r="L16" s="449"/>
      <c r="M16" s="450"/>
      <c r="N16" s="450">
        <f t="shared" ref="N16:N18" si="0">I16*$N$7</f>
        <v>63.015599999999999</v>
      </c>
    </row>
    <row r="17" spans="2:16" x14ac:dyDescent="0.25">
      <c r="B17" s="445"/>
      <c r="D17" t="s">
        <v>248</v>
      </c>
      <c r="E17" s="423">
        <v>25872</v>
      </c>
      <c r="F17" s="422"/>
      <c r="G17" s="422"/>
      <c r="H17" s="446">
        <v>975</v>
      </c>
      <c r="I17" s="451">
        <v>975</v>
      </c>
      <c r="J17" s="450"/>
      <c r="K17" s="449"/>
      <c r="L17" s="449"/>
      <c r="M17" s="450"/>
      <c r="N17" s="450">
        <f t="shared" si="0"/>
        <v>29.25</v>
      </c>
    </row>
    <row r="18" spans="2:16" ht="13" thickBot="1" x14ac:dyDescent="0.3">
      <c r="B18" s="445"/>
      <c r="D18" t="s">
        <v>230</v>
      </c>
      <c r="E18" s="423">
        <v>26551</v>
      </c>
      <c r="F18" s="422"/>
      <c r="G18" s="422"/>
      <c r="H18" s="446">
        <v>1625.38</v>
      </c>
      <c r="I18" s="451">
        <v>1625.38</v>
      </c>
      <c r="J18" s="450"/>
      <c r="K18" s="449"/>
      <c r="L18" s="449"/>
      <c r="M18" s="450"/>
      <c r="N18" s="450">
        <f t="shared" si="0"/>
        <v>48.761400000000002</v>
      </c>
      <c r="O18" s="502">
        <f>SUM(N11:N18)</f>
        <v>244.5984</v>
      </c>
    </row>
    <row r="19" spans="2:16" ht="13" thickBot="1" x14ac:dyDescent="0.3">
      <c r="B19" s="445"/>
      <c r="E19" s="452">
        <f>SUM(E15:E18)</f>
        <v>86836</v>
      </c>
      <c r="F19" s="422">
        <v>86836</v>
      </c>
      <c r="G19" s="422"/>
      <c r="H19" s="446"/>
      <c r="I19" s="451"/>
      <c r="J19" s="449"/>
      <c r="K19" s="449"/>
      <c r="L19" s="449"/>
      <c r="M19" s="450"/>
      <c r="N19" s="450"/>
    </row>
    <row r="20" spans="2:16" x14ac:dyDescent="0.25">
      <c r="B20" s="445" t="s">
        <v>249</v>
      </c>
      <c r="D20" t="s">
        <v>233</v>
      </c>
      <c r="F20" s="422"/>
      <c r="G20" s="422"/>
      <c r="H20" s="446">
        <v>3150</v>
      </c>
      <c r="I20" s="451"/>
      <c r="J20" s="449"/>
      <c r="K20" s="449"/>
      <c r="L20" s="449"/>
      <c r="M20" s="450">
        <v>3150</v>
      </c>
      <c r="N20" s="450"/>
    </row>
    <row r="21" spans="2:16" x14ac:dyDescent="0.25">
      <c r="B21" s="445"/>
      <c r="F21" s="422"/>
      <c r="G21" s="422"/>
      <c r="H21" s="446"/>
      <c r="I21" s="451"/>
      <c r="J21" s="449"/>
      <c r="K21" s="449"/>
      <c r="L21" s="449"/>
      <c r="M21" s="450"/>
      <c r="N21" s="450"/>
    </row>
    <row r="22" spans="2:16" x14ac:dyDescent="0.25">
      <c r="B22" s="445"/>
      <c r="E22" s="453"/>
      <c r="F22" s="422"/>
      <c r="G22" s="422"/>
      <c r="H22" s="446"/>
      <c r="I22" s="451"/>
      <c r="J22" s="449"/>
      <c r="K22" s="449"/>
      <c r="L22" s="449"/>
      <c r="M22" s="450"/>
      <c r="N22" s="450">
        <f t="shared" ref="N22:N29" si="1">I22*$N$7</f>
        <v>0</v>
      </c>
    </row>
    <row r="23" spans="2:16" x14ac:dyDescent="0.25">
      <c r="B23" s="445" t="s">
        <v>231</v>
      </c>
      <c r="C23">
        <v>0.5</v>
      </c>
      <c r="D23" t="s">
        <v>232</v>
      </c>
      <c r="E23" s="423">
        <v>19800</v>
      </c>
      <c r="F23" s="422">
        <v>19800</v>
      </c>
      <c r="G23" s="422">
        <f>F23/E23</f>
        <v>1</v>
      </c>
      <c r="H23" s="446">
        <v>862.54</v>
      </c>
      <c r="I23" s="451">
        <v>862.54</v>
      </c>
      <c r="J23" s="449"/>
      <c r="K23" s="449"/>
      <c r="L23" s="449"/>
      <c r="M23" s="450"/>
      <c r="N23" s="450">
        <f t="shared" si="1"/>
        <v>25.876199999999997</v>
      </c>
      <c r="O23" s="502">
        <f>N23</f>
        <v>25.876199999999997</v>
      </c>
    </row>
    <row r="24" spans="2:16" x14ac:dyDescent="0.25">
      <c r="B24" s="445"/>
      <c r="F24" s="422"/>
      <c r="G24" s="422"/>
      <c r="H24" s="446"/>
      <c r="I24" s="451"/>
      <c r="J24" s="449"/>
      <c r="K24" s="449"/>
      <c r="L24" s="449"/>
      <c r="M24" s="450"/>
      <c r="N24" s="450">
        <f t="shared" si="1"/>
        <v>0</v>
      </c>
    </row>
    <row r="25" spans="2:16" x14ac:dyDescent="0.25">
      <c r="B25" s="445" t="s">
        <v>234</v>
      </c>
      <c r="D25" t="s">
        <v>235</v>
      </c>
      <c r="F25" s="422"/>
      <c r="G25" s="422">
        <v>1</v>
      </c>
      <c r="H25" s="446">
        <v>3337.5</v>
      </c>
      <c r="I25" s="451">
        <v>3337.5</v>
      </c>
      <c r="J25" s="449"/>
      <c r="K25" s="449"/>
      <c r="L25" s="449"/>
      <c r="M25" s="604"/>
      <c r="N25" s="450">
        <f t="shared" si="1"/>
        <v>100.125</v>
      </c>
      <c r="O25" s="502">
        <f>SUM(N23:N25)</f>
        <v>126.0012</v>
      </c>
      <c r="P25" s="502">
        <f>SUM(O18:O25)</f>
        <v>396.47579999999999</v>
      </c>
    </row>
    <row r="26" spans="2:16" x14ac:dyDescent="0.25">
      <c r="B26" s="445"/>
      <c r="F26" s="422"/>
      <c r="G26" s="422"/>
      <c r="H26" s="446"/>
      <c r="I26" s="451"/>
      <c r="J26" s="449"/>
      <c r="K26" s="449"/>
      <c r="L26" s="449"/>
      <c r="M26" s="450"/>
      <c r="N26" s="450">
        <f t="shared" si="1"/>
        <v>0</v>
      </c>
    </row>
    <row r="27" spans="2:16" x14ac:dyDescent="0.25">
      <c r="B27" s="445" t="s">
        <v>191</v>
      </c>
      <c r="C27">
        <v>1</v>
      </c>
      <c r="D27" t="s">
        <v>236</v>
      </c>
      <c r="E27" s="423">
        <v>30076</v>
      </c>
      <c r="F27" s="422">
        <v>24552</v>
      </c>
      <c r="G27" s="422">
        <f>F27/E27</f>
        <v>0.81633195903710598</v>
      </c>
      <c r="H27" s="446">
        <v>5965.44</v>
      </c>
      <c r="I27" s="451">
        <f>H27*G27</f>
        <v>4869.7793217183134</v>
      </c>
      <c r="J27" s="449">
        <f>H27-I27</f>
        <v>1095.6606782816862</v>
      </c>
      <c r="K27" s="449"/>
      <c r="L27" s="449"/>
      <c r="M27" s="450"/>
      <c r="N27" s="450">
        <f t="shared" si="1"/>
        <v>146.09337965154938</v>
      </c>
      <c r="O27" s="496" t="s">
        <v>260</v>
      </c>
    </row>
    <row r="28" spans="2:16" x14ac:dyDescent="0.25">
      <c r="B28" s="445"/>
      <c r="F28" s="422"/>
      <c r="G28" s="422"/>
      <c r="H28" s="446"/>
      <c r="I28" s="451"/>
      <c r="J28" s="449">
        <f>H28*I1</f>
        <v>0</v>
      </c>
      <c r="K28" s="449"/>
      <c r="L28" s="449"/>
      <c r="M28" s="450"/>
      <c r="N28" s="450">
        <f t="shared" si="1"/>
        <v>0</v>
      </c>
    </row>
    <row r="29" spans="2:16" ht="13" thickBot="1" x14ac:dyDescent="0.3">
      <c r="B29" s="445" t="s">
        <v>237</v>
      </c>
      <c r="C29">
        <v>0.5</v>
      </c>
      <c r="D29" t="s">
        <v>238</v>
      </c>
      <c r="E29" s="423">
        <v>19549</v>
      </c>
      <c r="F29" s="422">
        <v>7500</v>
      </c>
      <c r="G29" s="422">
        <f>F29/E29</f>
        <v>0.38365133766433068</v>
      </c>
      <c r="H29" s="455">
        <v>1106.3800000000001</v>
      </c>
      <c r="I29" s="451">
        <f>H29*G29</f>
        <v>424.46416696506225</v>
      </c>
      <c r="J29" s="449">
        <f>H29-I29</f>
        <v>681.9158330349378</v>
      </c>
      <c r="K29" s="449"/>
      <c r="L29" s="449"/>
      <c r="M29" s="450"/>
      <c r="N29" s="450">
        <f t="shared" si="1"/>
        <v>12.733925008951866</v>
      </c>
      <c r="O29" s="496" t="s">
        <v>260</v>
      </c>
    </row>
    <row r="30" spans="2:16" ht="13" thickBot="1" x14ac:dyDescent="0.3">
      <c r="B30" s="456"/>
      <c r="C30" s="457"/>
      <c r="D30" s="457"/>
      <c r="E30" s="458"/>
      <c r="F30" s="459">
        <f>SUM(F9:F29)</f>
        <v>308249</v>
      </c>
      <c r="G30" s="460"/>
      <c r="H30" s="461">
        <f>SUM(H9:H29)</f>
        <v>25554.97</v>
      </c>
      <c r="I30" s="462">
        <f>SUM(I9:I29)</f>
        <v>20627.393488683378</v>
      </c>
      <c r="J30" s="459">
        <f>SUM(J9:J29)</f>
        <v>1777.576511316624</v>
      </c>
      <c r="K30" s="459">
        <f>SUM(K9:K29)</f>
        <v>0</v>
      </c>
      <c r="L30" s="459"/>
      <c r="M30" s="459">
        <f>SUM(M9:M29)</f>
        <v>3150</v>
      </c>
      <c r="N30" s="459">
        <f>SUM(N9:N29)</f>
        <v>529.42690466050124</v>
      </c>
    </row>
    <row r="31" spans="2:16" ht="13" thickBot="1" x14ac:dyDescent="0.3">
      <c r="B31" s="445"/>
      <c r="F31" s="422"/>
      <c r="G31" s="422"/>
      <c r="H31" s="422"/>
      <c r="I31" s="463"/>
      <c r="J31" s="464"/>
      <c r="K31" s="464"/>
      <c r="L31" s="464"/>
      <c r="M31" s="465"/>
      <c r="N31" s="465"/>
    </row>
    <row r="32" spans="2:16" x14ac:dyDescent="0.25">
      <c r="B32" s="437"/>
      <c r="C32" s="438"/>
      <c r="D32" s="438"/>
      <c r="E32" s="439"/>
      <c r="F32" s="440"/>
      <c r="G32" s="440"/>
      <c r="H32" s="466"/>
      <c r="I32" s="467"/>
      <c r="J32" s="470"/>
      <c r="K32" s="470"/>
      <c r="L32" s="470"/>
      <c r="M32" s="471"/>
      <c r="N32" s="471"/>
    </row>
    <row r="33" spans="2:15" x14ac:dyDescent="0.25">
      <c r="B33" s="445" t="s">
        <v>239</v>
      </c>
      <c r="C33">
        <v>1</v>
      </c>
      <c r="D33" t="s">
        <v>240</v>
      </c>
      <c r="E33" s="423">
        <v>70000</v>
      </c>
      <c r="F33" s="422">
        <v>57580</v>
      </c>
      <c r="G33" s="422">
        <f>F33/E33</f>
        <v>0.82257142857142862</v>
      </c>
      <c r="H33" s="446">
        <v>16153.86</v>
      </c>
      <c r="I33" s="451">
        <f>H33*G33</f>
        <v>13287.703697142859</v>
      </c>
      <c r="J33" s="449">
        <f>H33-I33</f>
        <v>2866.1563028571418</v>
      </c>
      <c r="K33" s="449"/>
      <c r="L33" s="449"/>
      <c r="M33" s="450"/>
      <c r="N33" s="450">
        <f t="shared" ref="N33:N39" si="2">I33*$N$7</f>
        <v>398.63111091428573</v>
      </c>
      <c r="O33" s="423">
        <f>N33*G33</f>
        <v>327.90256237777965</v>
      </c>
    </row>
    <row r="34" spans="2:15" x14ac:dyDescent="0.25">
      <c r="B34" s="445"/>
      <c r="F34" s="422"/>
      <c r="G34" s="422"/>
      <c r="H34" s="446"/>
      <c r="I34" s="451"/>
      <c r="J34" s="449">
        <f>H34*I7</f>
        <v>0</v>
      </c>
      <c r="K34" s="449"/>
      <c r="L34" s="449"/>
      <c r="M34" s="450"/>
      <c r="N34" s="450">
        <f t="shared" si="2"/>
        <v>0</v>
      </c>
      <c r="O34" s="423"/>
    </row>
    <row r="35" spans="2:15" x14ac:dyDescent="0.25">
      <c r="B35" s="445" t="s">
        <v>241</v>
      </c>
      <c r="C35">
        <v>0.5</v>
      </c>
      <c r="D35" t="s">
        <v>242</v>
      </c>
      <c r="E35" s="423">
        <v>10000</v>
      </c>
      <c r="F35" s="422">
        <v>3837</v>
      </c>
      <c r="G35" s="422">
        <f>F35/E35</f>
        <v>0.38369999999999999</v>
      </c>
      <c r="H35" s="446">
        <v>8676.9599999999991</v>
      </c>
      <c r="I35" s="451">
        <f>H35*G35</f>
        <v>3329.3495519999997</v>
      </c>
      <c r="J35" s="449">
        <f>H35-I35</f>
        <v>5347.6104479999995</v>
      </c>
      <c r="K35" s="449"/>
      <c r="L35" s="449"/>
      <c r="M35" s="450"/>
      <c r="N35" s="450">
        <f t="shared" si="2"/>
        <v>99.88048655999998</v>
      </c>
      <c r="O35" s="423" t="s">
        <v>260</v>
      </c>
    </row>
    <row r="36" spans="2:15" x14ac:dyDescent="0.25">
      <c r="B36" s="445"/>
      <c r="F36" s="422"/>
      <c r="G36" s="422"/>
      <c r="H36" s="446"/>
      <c r="I36" s="451"/>
      <c r="J36" s="449"/>
      <c r="K36" s="449"/>
      <c r="L36" s="449"/>
      <c r="M36" s="450"/>
      <c r="N36" s="450">
        <f t="shared" si="2"/>
        <v>0</v>
      </c>
    </row>
    <row r="37" spans="2:15" x14ac:dyDescent="0.25">
      <c r="B37" s="445" t="s">
        <v>195</v>
      </c>
      <c r="C37">
        <v>1</v>
      </c>
      <c r="D37" t="s">
        <v>243</v>
      </c>
      <c r="E37" s="423">
        <v>22000</v>
      </c>
      <c r="F37" s="422">
        <v>8441</v>
      </c>
      <c r="G37" s="422">
        <f>F37/E37</f>
        <v>0.38368181818181818</v>
      </c>
      <c r="H37" s="446">
        <v>3900</v>
      </c>
      <c r="I37" s="451">
        <f>H37*G37</f>
        <v>1496.3590909090908</v>
      </c>
      <c r="J37" s="449">
        <f>H37-I37</f>
        <v>2403.6409090909092</v>
      </c>
      <c r="K37" s="449"/>
      <c r="L37" s="449"/>
      <c r="M37" s="450"/>
      <c r="N37" s="450">
        <f t="shared" si="2"/>
        <v>44.890772727272726</v>
      </c>
      <c r="O37" s="496" t="s">
        <v>260</v>
      </c>
    </row>
    <row r="38" spans="2:15" x14ac:dyDescent="0.25">
      <c r="B38" s="445"/>
      <c r="F38" s="422"/>
      <c r="G38" s="422"/>
      <c r="H38" s="446"/>
      <c r="J38" s="449"/>
      <c r="K38" s="449"/>
      <c r="L38" s="449"/>
      <c r="M38" s="450"/>
      <c r="N38" s="450">
        <f t="shared" si="2"/>
        <v>0</v>
      </c>
    </row>
    <row r="39" spans="2:15" ht="13" thickBot="1" x14ac:dyDescent="0.3">
      <c r="B39" s="445" t="s">
        <v>196</v>
      </c>
      <c r="D39" t="s">
        <v>244</v>
      </c>
      <c r="E39" s="423">
        <v>20000</v>
      </c>
      <c r="F39" s="422">
        <v>15347</v>
      </c>
      <c r="G39" s="422">
        <f>F39/E39</f>
        <v>0.76734999999999998</v>
      </c>
      <c r="H39" s="455">
        <v>6720</v>
      </c>
      <c r="I39" s="451">
        <f>H39*G39</f>
        <v>5156.5919999999996</v>
      </c>
      <c r="J39" s="449">
        <f>H39-I39</f>
        <v>1563.4080000000004</v>
      </c>
      <c r="K39" s="449"/>
      <c r="L39" s="449"/>
      <c r="M39" s="450"/>
      <c r="N39" s="450">
        <f t="shared" si="2"/>
        <v>154.69775999999999</v>
      </c>
      <c r="O39" s="496" t="s">
        <v>260</v>
      </c>
    </row>
    <row r="40" spans="2:15" ht="13" thickBot="1" x14ac:dyDescent="0.3">
      <c r="B40" s="456"/>
      <c r="C40" s="457"/>
      <c r="D40" s="457"/>
      <c r="E40" s="458"/>
      <c r="F40" s="459">
        <f>SUM(F33:F39)</f>
        <v>85205</v>
      </c>
      <c r="G40" s="460"/>
      <c r="H40" s="461">
        <f>SUM(H33:H39)</f>
        <v>35450.82</v>
      </c>
      <c r="I40" s="472">
        <f>SUM(I33:I39)</f>
        <v>23270.004340051953</v>
      </c>
      <c r="J40" s="459">
        <f t="shared" ref="J40:M40" si="3">SUM(J33:J39)</f>
        <v>12180.81565994805</v>
      </c>
      <c r="K40" s="459">
        <f t="shared" si="3"/>
        <v>0</v>
      </c>
      <c r="L40" s="459">
        <f t="shared" si="3"/>
        <v>0</v>
      </c>
      <c r="M40" s="459">
        <f t="shared" si="3"/>
        <v>0</v>
      </c>
      <c r="N40" s="459">
        <f t="shared" ref="N40" si="4">SUM(N33:N39)</f>
        <v>698.1001302015585</v>
      </c>
    </row>
    <row r="41" spans="2:15" ht="13" thickBot="1" x14ac:dyDescent="0.3">
      <c r="B41" s="445"/>
      <c r="F41" s="422"/>
      <c r="G41" s="422"/>
      <c r="H41" s="422"/>
      <c r="I41" s="473"/>
      <c r="J41" s="464"/>
      <c r="K41" s="464"/>
      <c r="L41" s="464"/>
      <c r="M41" s="465"/>
      <c r="N41" s="465"/>
    </row>
    <row r="42" spans="2:15" ht="6.75" customHeight="1" x14ac:dyDescent="0.25">
      <c r="B42" s="437"/>
      <c r="C42" s="438"/>
      <c r="D42" s="438"/>
      <c r="E42" s="439"/>
      <c r="F42" s="440"/>
      <c r="G42" s="440"/>
      <c r="H42" s="440"/>
      <c r="I42" s="475"/>
      <c r="J42" s="470"/>
      <c r="K42" s="470"/>
      <c r="L42" s="470"/>
      <c r="M42" s="471"/>
      <c r="N42" s="471"/>
    </row>
    <row r="43" spans="2:15" ht="6.75" customHeight="1" x14ac:dyDescent="0.25">
      <c r="B43" s="445"/>
      <c r="F43" s="422"/>
      <c r="G43" s="422"/>
      <c r="H43" s="422"/>
      <c r="I43" s="476"/>
      <c r="J43" s="478"/>
      <c r="K43" s="478"/>
      <c r="L43" s="478"/>
      <c r="M43" s="479"/>
      <c r="N43" s="479"/>
    </row>
    <row r="44" spans="2:15" ht="6.75" customHeight="1" thickBot="1" x14ac:dyDescent="0.3">
      <c r="B44" s="456"/>
      <c r="C44" s="457"/>
      <c r="D44" s="457"/>
      <c r="E44" s="458"/>
      <c r="F44" s="480"/>
      <c r="G44" s="480"/>
      <c r="H44" s="480"/>
      <c r="I44" s="481"/>
      <c r="J44" s="482"/>
      <c r="K44" s="482"/>
      <c r="L44" s="482"/>
      <c r="M44" s="483"/>
      <c r="N44" s="483"/>
    </row>
    <row r="45" spans="2:15" ht="13" thickBot="1" x14ac:dyDescent="0.3">
      <c r="F45" s="484">
        <f>SUM(F42:F44)</f>
        <v>0</v>
      </c>
      <c r="G45" s="484"/>
      <c r="H45" s="484"/>
      <c r="I45" s="484">
        <f>SUM(I42:I44)</f>
        <v>0</v>
      </c>
      <c r="J45" s="486"/>
      <c r="K45" s="486"/>
      <c r="L45" s="486"/>
      <c r="M45" s="485">
        <f>SUM(M42:M44)</f>
        <v>0</v>
      </c>
      <c r="N45" s="485">
        <f>SUM(N42:N44)</f>
        <v>0</v>
      </c>
    </row>
    <row r="46" spans="2:15" ht="13" thickBot="1" x14ac:dyDescent="0.3">
      <c r="F46" s="422"/>
      <c r="G46" s="422"/>
      <c r="H46" s="422"/>
      <c r="I46" s="487"/>
      <c r="J46" s="488"/>
      <c r="K46" s="488"/>
      <c r="L46" s="488"/>
      <c r="M46" s="488"/>
      <c r="N46" s="488"/>
    </row>
    <row r="47" spans="2:15" ht="13" thickBot="1" x14ac:dyDescent="0.3">
      <c r="F47" s="489">
        <f>F30+F40+F45</f>
        <v>393454</v>
      </c>
      <c r="G47" s="490"/>
      <c r="H47" s="491">
        <f>H30+H40+H45</f>
        <v>61005.79</v>
      </c>
      <c r="I47" s="490">
        <f>I30+I40+I45</f>
        <v>43897.397828735331</v>
      </c>
      <c r="J47" s="489">
        <f t="shared" ref="J47:M47" si="5">J30+J40+J45</f>
        <v>13958.392171264673</v>
      </c>
      <c r="K47" s="489">
        <f t="shared" si="5"/>
        <v>0</v>
      </c>
      <c r="L47" s="489">
        <f t="shared" si="5"/>
        <v>0</v>
      </c>
      <c r="M47" s="489">
        <f t="shared" si="5"/>
        <v>3150</v>
      </c>
      <c r="N47" s="489">
        <f t="shared" ref="N47" si="6">N30+N40+N45</f>
        <v>1227.5270348620597</v>
      </c>
    </row>
    <row r="48" spans="2:15" ht="13" thickBot="1" x14ac:dyDescent="0.3">
      <c r="F48" s="422"/>
      <c r="G48" s="422"/>
      <c r="H48" s="422"/>
      <c r="I48" s="492" t="s">
        <v>220</v>
      </c>
      <c r="J48" s="493" t="s">
        <v>219</v>
      </c>
      <c r="K48" s="493" t="s">
        <v>221</v>
      </c>
      <c r="L48" s="433" t="str">
        <f>L8</f>
        <v>Facilites</v>
      </c>
      <c r="M48" s="494" t="s">
        <v>223</v>
      </c>
    </row>
    <row r="49" spans="6:13" x14ac:dyDescent="0.25">
      <c r="F49" s="422"/>
      <c r="G49" s="422"/>
      <c r="H49" s="422"/>
      <c r="I49" s="422"/>
      <c r="J49" s="422"/>
      <c r="K49" s="422"/>
      <c r="L49" s="422"/>
    </row>
    <row r="50" spans="6:13" x14ac:dyDescent="0.25">
      <c r="F50" s="422"/>
      <c r="G50" s="422"/>
      <c r="H50" s="422"/>
      <c r="I50" s="422"/>
      <c r="J50" s="495">
        <f>J47/$H$47</f>
        <v>0.22880438350629789</v>
      </c>
      <c r="K50" s="495">
        <f>K47/$H$47</f>
        <v>0</v>
      </c>
      <c r="L50" s="495">
        <f>L47/$H$47</f>
        <v>0</v>
      </c>
      <c r="M50" s="495">
        <f>M47/$H$47</f>
        <v>5.1634443222520351E-2</v>
      </c>
    </row>
  </sheetData>
  <mergeCells count="2">
    <mergeCell ref="B1:I1"/>
    <mergeCell ref="B3:M3"/>
  </mergeCells>
  <pageMargins left="0.25" right="0.25" top="0.75" bottom="0.75" header="0.3" footer="0.3"/>
  <pageSetup paperSize="5" scale="8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B1:Q44"/>
  <sheetViews>
    <sheetView workbookViewId="0">
      <selection activeCell="K23" sqref="K23"/>
    </sheetView>
  </sheetViews>
  <sheetFormatPr defaultRowHeight="12.5" x14ac:dyDescent="0.25"/>
  <cols>
    <col min="1" max="1" width="2.7265625" customWidth="1"/>
    <col min="2" max="2" width="21.81640625" customWidth="1"/>
    <col min="3" max="4" width="19.7265625" customWidth="1"/>
    <col min="5" max="5" width="13.7265625" customWidth="1"/>
    <col min="6" max="8" width="14.7265625" customWidth="1"/>
    <col min="9" max="9" width="1.81640625" customWidth="1"/>
    <col min="10" max="11" width="14" customWidth="1"/>
    <col min="12" max="13" width="14.7265625" customWidth="1"/>
    <col min="14" max="14" width="15.453125" customWidth="1"/>
    <col min="15" max="15" width="9.1796875" style="423"/>
    <col min="16" max="16" width="13.54296875" style="423" customWidth="1"/>
    <col min="17" max="17" width="12.81640625" style="496" customWidth="1"/>
  </cols>
  <sheetData>
    <row r="1" spans="2:17" x14ac:dyDescent="0.25">
      <c r="B1" s="673" t="s">
        <v>215</v>
      </c>
      <c r="C1" s="673"/>
      <c r="D1" s="673"/>
      <c r="E1" s="673"/>
      <c r="F1" s="673"/>
      <c r="G1" s="421"/>
      <c r="H1" s="421"/>
      <c r="L1" s="421"/>
      <c r="M1" s="421"/>
    </row>
    <row r="2" spans="2:17" ht="13" thickBot="1" x14ac:dyDescent="0.3"/>
    <row r="3" spans="2:17" ht="13" thickBot="1" x14ac:dyDescent="0.3">
      <c r="B3" s="674" t="s">
        <v>245</v>
      </c>
      <c r="C3" s="675"/>
      <c r="D3" s="675"/>
      <c r="E3" s="675"/>
      <c r="F3" s="675"/>
      <c r="G3" s="675"/>
      <c r="H3" s="675"/>
      <c r="I3" s="675"/>
      <c r="J3" s="675"/>
      <c r="K3" s="675"/>
      <c r="L3" s="675"/>
      <c r="M3" s="675"/>
    </row>
    <row r="4" spans="2:17" x14ac:dyDescent="0.25">
      <c r="B4" s="421"/>
      <c r="C4" s="421"/>
      <c r="D4" s="421"/>
      <c r="E4" s="421"/>
      <c r="F4" s="421"/>
      <c r="G4" s="421"/>
      <c r="H4" s="421"/>
      <c r="L4" s="421"/>
      <c r="M4" s="421"/>
    </row>
    <row r="5" spans="2:17" x14ac:dyDescent="0.25">
      <c r="B5" s="421"/>
      <c r="C5" s="421"/>
      <c r="D5" s="421"/>
      <c r="E5" s="421"/>
      <c r="F5" s="421"/>
      <c r="G5" s="421"/>
      <c r="H5" s="421"/>
      <c r="L5" s="421"/>
      <c r="M5" s="421"/>
    </row>
    <row r="6" spans="2:17" x14ac:dyDescent="0.25">
      <c r="F6" t="s">
        <v>216</v>
      </c>
      <c r="M6" s="497">
        <f>SUM(M9:M15)</f>
        <v>281.69</v>
      </c>
    </row>
    <row r="7" spans="2:17" ht="13" thickBot="1" x14ac:dyDescent="0.3">
      <c r="E7" t="s">
        <v>251</v>
      </c>
      <c r="J7" t="s">
        <v>252</v>
      </c>
      <c r="N7" t="s">
        <v>216</v>
      </c>
      <c r="O7" s="423" t="s">
        <v>253</v>
      </c>
      <c r="P7" s="423" t="s">
        <v>254</v>
      </c>
    </row>
    <row r="8" spans="2:17" ht="13" thickBot="1" x14ac:dyDescent="0.3">
      <c r="D8" s="431" t="s">
        <v>218</v>
      </c>
      <c r="E8" s="498" t="s">
        <v>482</v>
      </c>
      <c r="F8" s="432" t="s">
        <v>258</v>
      </c>
      <c r="G8" s="433" t="s">
        <v>259</v>
      </c>
      <c r="H8" s="493" t="s">
        <v>246</v>
      </c>
      <c r="J8" s="498" t="s">
        <v>482</v>
      </c>
      <c r="K8" s="432" t="s">
        <v>258</v>
      </c>
      <c r="L8" s="433" t="s">
        <v>259</v>
      </c>
      <c r="M8" s="493" t="s">
        <v>246</v>
      </c>
      <c r="N8" s="498" t="s">
        <v>482</v>
      </c>
    </row>
    <row r="9" spans="2:17" x14ac:dyDescent="0.25">
      <c r="B9" s="437" t="s">
        <v>185</v>
      </c>
      <c r="C9" s="438" t="s">
        <v>255</v>
      </c>
      <c r="D9" s="440">
        <v>46750</v>
      </c>
      <c r="E9" s="474">
        <f>SUM(F9:H9)</f>
        <v>1989.9900000000002</v>
      </c>
      <c r="F9" s="514">
        <v>663.33</v>
      </c>
      <c r="G9" s="515">
        <v>663.33</v>
      </c>
      <c r="H9" s="469">
        <v>663.33</v>
      </c>
      <c r="J9" s="474">
        <f>SUM(K9:M9)</f>
        <v>236.67000000000002</v>
      </c>
      <c r="K9" s="499">
        <v>78.89</v>
      </c>
      <c r="L9" s="499">
        <v>78.89</v>
      </c>
      <c r="M9" s="469">
        <v>78.89</v>
      </c>
      <c r="N9" s="474">
        <f>E9+J9</f>
        <v>2226.6600000000003</v>
      </c>
      <c r="O9" s="423">
        <v>1</v>
      </c>
      <c r="P9" s="423">
        <f>N9*O9</f>
        <v>2226.6600000000003</v>
      </c>
    </row>
    <row r="10" spans="2:17" x14ac:dyDescent="0.25">
      <c r="B10" s="445"/>
      <c r="C10" t="s">
        <v>225</v>
      </c>
      <c r="D10" s="422"/>
      <c r="E10" s="474">
        <f>SUM(F10:H10)</f>
        <v>2344.7400000000002</v>
      </c>
      <c r="F10" s="501">
        <v>781.58</v>
      </c>
      <c r="G10" s="501">
        <v>781.58</v>
      </c>
      <c r="H10" s="501">
        <v>781.58</v>
      </c>
      <c r="J10" s="474">
        <f>SUM(K10:M10)</f>
        <v>233.13</v>
      </c>
      <c r="K10" s="501">
        <v>77.709999999999994</v>
      </c>
      <c r="L10" s="501">
        <v>77.709999999999994</v>
      </c>
      <c r="M10" s="477">
        <v>77.709999999999994</v>
      </c>
      <c r="N10" s="474">
        <f t="shared" ref="N10:N25" si="0">E10+J10</f>
        <v>2577.8700000000003</v>
      </c>
      <c r="O10" s="423">
        <v>1</v>
      </c>
      <c r="P10" s="423">
        <f t="shared" ref="P10:P40" si="1">N10*O10</f>
        <v>2577.8700000000003</v>
      </c>
      <c r="Q10" s="502"/>
    </row>
    <row r="11" spans="2:17" x14ac:dyDescent="0.25">
      <c r="B11" s="445"/>
      <c r="C11" t="s">
        <v>227</v>
      </c>
      <c r="D11" s="422"/>
      <c r="E11" s="474">
        <f t="shared" ref="E11:E25" si="2">SUM(F11:H11)</f>
        <v>0</v>
      </c>
      <c r="F11" s="501"/>
      <c r="G11" s="501"/>
      <c r="H11" s="501"/>
      <c r="J11" s="474">
        <f t="shared" ref="J11:J25" si="3">SUM(K11:M11)</f>
        <v>0</v>
      </c>
      <c r="K11" s="501"/>
      <c r="L11" s="501"/>
      <c r="M11" s="477"/>
      <c r="N11" s="474">
        <f t="shared" si="0"/>
        <v>0</v>
      </c>
      <c r="P11" s="423">
        <f t="shared" si="1"/>
        <v>0</v>
      </c>
    </row>
    <row r="12" spans="2:17" x14ac:dyDescent="0.25">
      <c r="B12" s="445"/>
      <c r="D12" s="422"/>
      <c r="E12" s="474">
        <f t="shared" si="2"/>
        <v>0</v>
      </c>
      <c r="F12" s="501"/>
      <c r="G12" s="501"/>
      <c r="H12" s="501"/>
      <c r="J12" s="474">
        <f t="shared" si="3"/>
        <v>0</v>
      </c>
      <c r="K12" s="501"/>
      <c r="L12" s="501"/>
      <c r="M12" s="477"/>
      <c r="N12" s="474">
        <f t="shared" si="0"/>
        <v>0</v>
      </c>
      <c r="P12" s="423">
        <f t="shared" si="1"/>
        <v>0</v>
      </c>
    </row>
    <row r="13" spans="2:17" x14ac:dyDescent="0.25">
      <c r="B13" s="445" t="s">
        <v>186</v>
      </c>
      <c r="C13" t="s">
        <v>228</v>
      </c>
      <c r="D13" s="422">
        <v>0</v>
      </c>
      <c r="E13" s="474">
        <f t="shared" si="2"/>
        <v>0</v>
      </c>
      <c r="F13" s="501"/>
      <c r="G13" s="501"/>
      <c r="H13" s="501"/>
      <c r="J13" s="474">
        <f t="shared" si="3"/>
        <v>182.07</v>
      </c>
      <c r="K13" s="501">
        <v>60.69</v>
      </c>
      <c r="L13" s="501">
        <v>60.69</v>
      </c>
      <c r="M13" s="477">
        <v>60.69</v>
      </c>
      <c r="N13" s="474">
        <f t="shared" si="0"/>
        <v>182.07</v>
      </c>
      <c r="O13" s="423">
        <v>1</v>
      </c>
      <c r="P13" s="423">
        <f t="shared" si="1"/>
        <v>182.07</v>
      </c>
    </row>
    <row r="14" spans="2:17" x14ac:dyDescent="0.25">
      <c r="B14" s="445"/>
      <c r="C14" t="s">
        <v>229</v>
      </c>
      <c r="D14" s="422"/>
      <c r="E14" s="474">
        <f t="shared" si="2"/>
        <v>3355.9500000000003</v>
      </c>
      <c r="F14" s="501">
        <v>1118.6500000000001</v>
      </c>
      <c r="G14" s="501">
        <v>1118.6500000000001</v>
      </c>
      <c r="H14" s="501">
        <v>1118.6500000000001</v>
      </c>
      <c r="J14" s="474">
        <f t="shared" si="3"/>
        <v>193.20000000000002</v>
      </c>
      <c r="K14" s="501">
        <v>64.400000000000006</v>
      </c>
      <c r="L14" s="501">
        <v>64.400000000000006</v>
      </c>
      <c r="M14" s="477">
        <v>64.400000000000006</v>
      </c>
      <c r="N14" s="474">
        <f t="shared" si="0"/>
        <v>3549.15</v>
      </c>
      <c r="O14" s="423">
        <v>1</v>
      </c>
      <c r="P14" s="423">
        <f t="shared" si="1"/>
        <v>3549.15</v>
      </c>
    </row>
    <row r="15" spans="2:17" x14ac:dyDescent="0.25">
      <c r="B15" s="445"/>
      <c r="C15" t="s">
        <v>230</v>
      </c>
      <c r="D15" s="422"/>
      <c r="E15" s="474">
        <f t="shared" si="2"/>
        <v>2637.63</v>
      </c>
      <c r="F15" s="501">
        <v>879.21</v>
      </c>
      <c r="G15" s="501">
        <v>879.21</v>
      </c>
      <c r="H15" s="501">
        <v>879.21</v>
      </c>
      <c r="J15" s="474">
        <f t="shared" si="3"/>
        <v>0</v>
      </c>
      <c r="K15" s="501"/>
      <c r="L15" s="501"/>
      <c r="M15" s="477"/>
      <c r="N15" s="474">
        <f t="shared" si="0"/>
        <v>2637.63</v>
      </c>
      <c r="O15" s="423">
        <v>1</v>
      </c>
      <c r="P15" s="423">
        <f t="shared" si="1"/>
        <v>2637.63</v>
      </c>
      <c r="Q15" s="502">
        <f>SUM(P9:P15)</f>
        <v>11173.380000000001</v>
      </c>
    </row>
    <row r="16" spans="2:17" x14ac:dyDescent="0.25">
      <c r="B16" s="445"/>
      <c r="D16" s="422"/>
      <c r="E16" s="474">
        <f t="shared" si="2"/>
        <v>0</v>
      </c>
      <c r="F16" s="501"/>
      <c r="G16" s="501"/>
      <c r="H16" s="501"/>
      <c r="J16" s="474">
        <f t="shared" si="3"/>
        <v>0</v>
      </c>
      <c r="K16" s="501"/>
      <c r="L16" s="501"/>
      <c r="M16" s="477"/>
      <c r="N16" s="474">
        <f t="shared" si="0"/>
        <v>0</v>
      </c>
      <c r="P16" s="423">
        <f t="shared" si="1"/>
        <v>0</v>
      </c>
      <c r="Q16" s="502">
        <f>SUM(Q10:Q15)</f>
        <v>11173.380000000001</v>
      </c>
    </row>
    <row r="17" spans="2:17" x14ac:dyDescent="0.25">
      <c r="B17" s="445" t="s">
        <v>231</v>
      </c>
      <c r="C17" t="s">
        <v>232</v>
      </c>
      <c r="D17" s="422">
        <v>0</v>
      </c>
      <c r="E17" s="474">
        <f t="shared" si="2"/>
        <v>0</v>
      </c>
      <c r="F17" s="501"/>
      <c r="G17" s="501"/>
      <c r="H17" s="501"/>
      <c r="J17" s="474">
        <f t="shared" si="3"/>
        <v>0</v>
      </c>
      <c r="K17" s="501"/>
      <c r="L17" s="501"/>
      <c r="M17" s="477"/>
      <c r="N17" s="474">
        <f t="shared" si="0"/>
        <v>0</v>
      </c>
      <c r="P17" s="423">
        <f t="shared" si="1"/>
        <v>0</v>
      </c>
    </row>
    <row r="18" spans="2:17" x14ac:dyDescent="0.25">
      <c r="B18" s="445"/>
      <c r="C18" t="s">
        <v>235</v>
      </c>
      <c r="D18" s="422"/>
      <c r="E18" s="474">
        <f t="shared" si="2"/>
        <v>0</v>
      </c>
      <c r="F18" s="501"/>
      <c r="G18" s="501"/>
      <c r="H18" s="501"/>
      <c r="J18" s="474">
        <f t="shared" si="3"/>
        <v>0</v>
      </c>
      <c r="K18" s="501"/>
      <c r="L18" s="501"/>
      <c r="M18" s="477"/>
      <c r="N18" s="474">
        <f t="shared" si="0"/>
        <v>0</v>
      </c>
      <c r="P18" s="423">
        <f t="shared" si="1"/>
        <v>0</v>
      </c>
    </row>
    <row r="19" spans="2:17" x14ac:dyDescent="0.25">
      <c r="B19" s="445"/>
      <c r="C19" t="s">
        <v>233</v>
      </c>
      <c r="D19" s="422"/>
      <c r="E19" s="474">
        <f t="shared" si="2"/>
        <v>0</v>
      </c>
      <c r="F19" s="501"/>
      <c r="G19" s="501"/>
      <c r="H19" s="501"/>
      <c r="J19" s="474">
        <f t="shared" si="3"/>
        <v>0</v>
      </c>
      <c r="K19" s="501"/>
      <c r="L19" s="501"/>
      <c r="M19" s="477"/>
      <c r="N19" s="474">
        <f t="shared" si="0"/>
        <v>0</v>
      </c>
      <c r="P19" s="423">
        <f t="shared" si="1"/>
        <v>0</v>
      </c>
    </row>
    <row r="20" spans="2:17" x14ac:dyDescent="0.25">
      <c r="B20" s="445"/>
      <c r="D20" s="422"/>
      <c r="E20" s="474">
        <f t="shared" si="2"/>
        <v>0</v>
      </c>
      <c r="F20" s="501"/>
      <c r="G20" s="501"/>
      <c r="H20" s="501"/>
      <c r="J20" s="474">
        <f t="shared" si="3"/>
        <v>0</v>
      </c>
      <c r="K20" s="501"/>
      <c r="L20" s="501"/>
      <c r="M20" s="477"/>
      <c r="N20" s="474">
        <f t="shared" si="0"/>
        <v>0</v>
      </c>
      <c r="P20" s="423">
        <f t="shared" si="1"/>
        <v>0</v>
      </c>
    </row>
    <row r="21" spans="2:17" x14ac:dyDescent="0.25">
      <c r="B21" s="445" t="s">
        <v>234</v>
      </c>
      <c r="C21" t="s">
        <v>256</v>
      </c>
      <c r="D21" s="422">
        <v>0</v>
      </c>
      <c r="E21" s="474">
        <f t="shared" si="2"/>
        <v>0</v>
      </c>
      <c r="F21" s="501"/>
      <c r="G21" s="501"/>
      <c r="H21" s="501"/>
      <c r="J21" s="474">
        <f t="shared" si="3"/>
        <v>0</v>
      </c>
      <c r="K21" s="501"/>
      <c r="L21" s="501"/>
      <c r="M21" s="477"/>
      <c r="N21" s="474">
        <f t="shared" si="0"/>
        <v>0</v>
      </c>
      <c r="P21" s="423">
        <f t="shared" si="1"/>
        <v>0</v>
      </c>
    </row>
    <row r="22" spans="2:17" x14ac:dyDescent="0.25">
      <c r="B22" s="445"/>
      <c r="D22" s="422"/>
      <c r="E22" s="474">
        <f t="shared" si="2"/>
        <v>0</v>
      </c>
      <c r="F22" s="501"/>
      <c r="G22" s="501"/>
      <c r="H22" s="501"/>
      <c r="J22" s="474">
        <f t="shared" si="3"/>
        <v>0</v>
      </c>
      <c r="K22" s="501"/>
      <c r="L22" s="501"/>
      <c r="M22" s="477"/>
      <c r="N22" s="474">
        <f t="shared" si="0"/>
        <v>0</v>
      </c>
      <c r="P22" s="423">
        <f t="shared" si="1"/>
        <v>0</v>
      </c>
    </row>
    <row r="23" spans="2:17" x14ac:dyDescent="0.25">
      <c r="B23" s="445" t="s">
        <v>191</v>
      </c>
      <c r="C23" t="s">
        <v>236</v>
      </c>
      <c r="D23" s="422">
        <v>0</v>
      </c>
      <c r="E23" s="474">
        <f t="shared" si="2"/>
        <v>2799.567</v>
      </c>
      <c r="F23" s="501">
        <v>933.18899999999996</v>
      </c>
      <c r="G23" s="501">
        <v>933.18899999999996</v>
      </c>
      <c r="H23" s="501">
        <v>933.18899999999996</v>
      </c>
      <c r="J23" s="474">
        <f t="shared" si="3"/>
        <v>0</v>
      </c>
      <c r="K23" s="501"/>
      <c r="L23" s="501"/>
      <c r="M23" s="477"/>
      <c r="N23" s="474">
        <f t="shared" si="0"/>
        <v>2799.567</v>
      </c>
      <c r="O23" s="423">
        <v>1</v>
      </c>
      <c r="P23" s="423">
        <f t="shared" si="1"/>
        <v>2799.567</v>
      </c>
      <c r="Q23" s="496" t="s">
        <v>260</v>
      </c>
    </row>
    <row r="24" spans="2:17" x14ac:dyDescent="0.25">
      <c r="B24" s="445"/>
      <c r="D24" s="422">
        <v>0</v>
      </c>
      <c r="E24" s="474">
        <f t="shared" si="2"/>
        <v>0</v>
      </c>
      <c r="F24" s="501"/>
      <c r="G24" s="454"/>
      <c r="H24" s="477"/>
      <c r="J24" s="474">
        <f t="shared" si="3"/>
        <v>0</v>
      </c>
      <c r="K24" s="501"/>
      <c r="L24" s="501"/>
      <c r="M24" s="477"/>
      <c r="N24" s="474">
        <f t="shared" si="0"/>
        <v>0</v>
      </c>
      <c r="P24" s="423">
        <f t="shared" si="1"/>
        <v>0</v>
      </c>
    </row>
    <row r="25" spans="2:17" x14ac:dyDescent="0.25">
      <c r="B25" s="445" t="s">
        <v>237</v>
      </c>
      <c r="C25" t="s">
        <v>238</v>
      </c>
      <c r="D25" s="422">
        <v>0</v>
      </c>
      <c r="E25" s="474">
        <f t="shared" si="2"/>
        <v>0</v>
      </c>
      <c r="F25" s="501"/>
      <c r="G25" s="454"/>
      <c r="H25" s="477"/>
      <c r="J25" s="474">
        <f t="shared" si="3"/>
        <v>0</v>
      </c>
      <c r="K25" s="501"/>
      <c r="L25" s="501"/>
      <c r="M25" s="477"/>
      <c r="N25" s="474">
        <f t="shared" si="0"/>
        <v>0</v>
      </c>
      <c r="P25" s="423">
        <f t="shared" si="1"/>
        <v>0</v>
      </c>
    </row>
    <row r="26" spans="2:17" ht="13" thickBot="1" x14ac:dyDescent="0.3">
      <c r="B26" s="456"/>
      <c r="C26" s="457"/>
      <c r="D26" s="459">
        <f>SUM(D9:D25)</f>
        <v>46750</v>
      </c>
      <c r="E26" s="503">
        <f>SUM(E9:E25)</f>
        <v>13127.877</v>
      </c>
      <c r="F26" s="459">
        <f>SUM(F9:F25)</f>
        <v>4375.9590000000007</v>
      </c>
      <c r="G26" s="459">
        <f t="shared" ref="G26:H26" si="4">SUM(G9:G25)</f>
        <v>4375.9590000000007</v>
      </c>
      <c r="H26" s="459">
        <f t="shared" si="4"/>
        <v>4375.9590000000007</v>
      </c>
      <c r="J26" s="503">
        <f>SUM(J9:J25)</f>
        <v>845.07</v>
      </c>
      <c r="K26" s="459">
        <f>SUM(K9:K25)</f>
        <v>281.69</v>
      </c>
      <c r="L26" s="459">
        <f t="shared" ref="L26:M26" si="5">SUM(L9:L25)</f>
        <v>281.69</v>
      </c>
      <c r="M26" s="504">
        <f t="shared" si="5"/>
        <v>281.69</v>
      </c>
      <c r="N26" s="505">
        <f>SUM(N9:N25)</f>
        <v>13972.947</v>
      </c>
      <c r="O26" s="505"/>
      <c r="P26" s="505">
        <f t="shared" ref="P26" si="6">SUM(P9:P25)</f>
        <v>13972.947</v>
      </c>
    </row>
    <row r="27" spans="2:17" ht="13" thickBot="1" x14ac:dyDescent="0.3">
      <c r="B27" s="445"/>
      <c r="D27" s="422"/>
      <c r="E27" s="422"/>
      <c r="F27" s="506"/>
      <c r="G27" s="464"/>
      <c r="H27" s="464"/>
      <c r="J27" s="422"/>
      <c r="K27" s="506"/>
      <c r="L27" s="464"/>
      <c r="M27" s="464"/>
      <c r="N27" s="422"/>
      <c r="P27" s="423">
        <f t="shared" si="1"/>
        <v>0</v>
      </c>
    </row>
    <row r="28" spans="2:17" x14ac:dyDescent="0.25">
      <c r="B28" s="437"/>
      <c r="C28" s="438"/>
      <c r="D28" s="440"/>
      <c r="E28" s="500"/>
      <c r="F28" s="499"/>
      <c r="G28" s="468"/>
      <c r="H28" s="469"/>
      <c r="J28" s="500"/>
      <c r="K28" s="499"/>
      <c r="L28" s="499"/>
      <c r="M28" s="499"/>
      <c r="N28" s="474">
        <f t="shared" ref="N28:N35" si="7">E28+J28</f>
        <v>0</v>
      </c>
      <c r="P28" s="423">
        <f t="shared" si="1"/>
        <v>0</v>
      </c>
    </row>
    <row r="29" spans="2:17" x14ac:dyDescent="0.25">
      <c r="B29" s="445" t="s">
        <v>239</v>
      </c>
      <c r="C29" t="s">
        <v>240</v>
      </c>
      <c r="D29" s="422">
        <v>4220</v>
      </c>
      <c r="E29" s="474">
        <f t="shared" ref="E29:E35" si="8">SUM(F29:H29)</f>
        <v>4907.3099999999995</v>
      </c>
      <c r="F29" s="501">
        <v>1635.77</v>
      </c>
      <c r="G29" s="501">
        <v>1635.77</v>
      </c>
      <c r="H29" s="501">
        <v>1635.77</v>
      </c>
      <c r="J29" s="474">
        <f t="shared" ref="J29:J35" si="9">SUM(K29:M29)</f>
        <v>327.14999999999998</v>
      </c>
      <c r="K29" s="501">
        <v>109.05</v>
      </c>
      <c r="L29" s="501">
        <v>109.05</v>
      </c>
      <c r="M29" s="501">
        <v>109.05</v>
      </c>
      <c r="N29" s="474">
        <f t="shared" si="7"/>
        <v>5234.4599999999991</v>
      </c>
      <c r="O29" s="422">
        <f>'Salary Alloc Q1'!G33</f>
        <v>0.82257142857142862</v>
      </c>
      <c r="P29" s="423">
        <f t="shared" si="1"/>
        <v>4305.7172399999999</v>
      </c>
    </row>
    <row r="30" spans="2:17" x14ac:dyDescent="0.25">
      <c r="B30" s="445"/>
      <c r="D30" s="422"/>
      <c r="E30" s="474">
        <f t="shared" si="8"/>
        <v>0</v>
      </c>
      <c r="F30" s="501"/>
      <c r="G30" s="501"/>
      <c r="H30" s="501"/>
      <c r="J30" s="474">
        <f t="shared" si="9"/>
        <v>0</v>
      </c>
      <c r="K30" s="501"/>
      <c r="L30" s="501"/>
      <c r="M30" s="501"/>
      <c r="N30" s="474">
        <f t="shared" si="7"/>
        <v>0</v>
      </c>
      <c r="O30" s="422"/>
      <c r="P30" s="423">
        <f t="shared" si="1"/>
        <v>0</v>
      </c>
    </row>
    <row r="31" spans="2:17" x14ac:dyDescent="0.25">
      <c r="B31" s="445" t="s">
        <v>241</v>
      </c>
      <c r="C31" t="s">
        <v>242</v>
      </c>
      <c r="D31" s="422">
        <v>2406</v>
      </c>
      <c r="E31" s="474">
        <f t="shared" si="8"/>
        <v>2100.39</v>
      </c>
      <c r="F31" s="501">
        <v>700.13</v>
      </c>
      <c r="G31" s="501">
        <v>700.13</v>
      </c>
      <c r="H31" s="501">
        <v>700.13</v>
      </c>
      <c r="J31" s="474">
        <f t="shared" si="9"/>
        <v>127.76</v>
      </c>
      <c r="K31" s="501">
        <v>63.88</v>
      </c>
      <c r="L31" s="501">
        <v>63.88</v>
      </c>
      <c r="M31" s="501"/>
      <c r="N31" s="474">
        <f t="shared" si="7"/>
        <v>2228.15</v>
      </c>
      <c r="O31" s="422">
        <f>'Salary Alloc Q1'!G35</f>
        <v>0.38369999999999999</v>
      </c>
      <c r="P31" s="423">
        <f t="shared" si="1"/>
        <v>854.94115499999998</v>
      </c>
      <c r="Q31" s="496" t="s">
        <v>260</v>
      </c>
    </row>
    <row r="32" spans="2:17" x14ac:dyDescent="0.25">
      <c r="B32" s="445"/>
      <c r="D32" s="422"/>
      <c r="E32" s="474">
        <f t="shared" si="8"/>
        <v>0</v>
      </c>
      <c r="F32" s="501"/>
      <c r="G32" s="454"/>
      <c r="H32" s="477"/>
      <c r="J32" s="474">
        <f t="shared" si="9"/>
        <v>0</v>
      </c>
      <c r="K32" s="501"/>
      <c r="L32" s="501"/>
      <c r="M32" s="501"/>
      <c r="N32" s="474">
        <f t="shared" si="7"/>
        <v>0</v>
      </c>
      <c r="O32" s="422"/>
      <c r="P32" s="423">
        <f t="shared" si="1"/>
        <v>0</v>
      </c>
    </row>
    <row r="33" spans="2:16" x14ac:dyDescent="0.25">
      <c r="B33" s="445" t="s">
        <v>195</v>
      </c>
      <c r="C33" t="s">
        <v>257</v>
      </c>
      <c r="D33" s="422"/>
      <c r="E33" s="474">
        <f t="shared" si="8"/>
        <v>0</v>
      </c>
      <c r="F33" s="501"/>
      <c r="G33" s="454"/>
      <c r="H33" s="477"/>
      <c r="J33" s="474">
        <f t="shared" si="9"/>
        <v>0</v>
      </c>
      <c r="K33" s="501"/>
      <c r="L33" s="501"/>
      <c r="M33" s="501"/>
      <c r="N33" s="474">
        <f t="shared" si="7"/>
        <v>0</v>
      </c>
      <c r="O33" s="422"/>
      <c r="P33" s="423">
        <f t="shared" si="1"/>
        <v>0</v>
      </c>
    </row>
    <row r="34" spans="2:16" x14ac:dyDescent="0.25">
      <c r="B34" s="445"/>
      <c r="D34" s="422"/>
      <c r="E34" s="474">
        <f t="shared" si="8"/>
        <v>0</v>
      </c>
      <c r="F34" s="501"/>
      <c r="H34" s="477"/>
      <c r="J34" s="474">
        <f t="shared" si="9"/>
        <v>0</v>
      </c>
      <c r="K34" s="501"/>
      <c r="L34" s="501"/>
      <c r="M34" s="501"/>
      <c r="N34" s="474">
        <f t="shared" si="7"/>
        <v>0</v>
      </c>
      <c r="O34" s="422"/>
      <c r="P34" s="423">
        <f t="shared" si="1"/>
        <v>0</v>
      </c>
    </row>
    <row r="35" spans="2:16" x14ac:dyDescent="0.25">
      <c r="B35" s="445" t="s">
        <v>196</v>
      </c>
      <c r="C35" t="s">
        <v>244</v>
      </c>
      <c r="D35" s="422"/>
      <c r="E35" s="474">
        <f t="shared" si="8"/>
        <v>0</v>
      </c>
      <c r="F35" s="501"/>
      <c r="G35" s="454"/>
      <c r="H35" s="477"/>
      <c r="J35" s="474">
        <f t="shared" si="9"/>
        <v>0</v>
      </c>
      <c r="K35" s="501"/>
      <c r="L35" s="501"/>
      <c r="M35" s="501"/>
      <c r="N35" s="474">
        <f t="shared" si="7"/>
        <v>0</v>
      </c>
      <c r="O35" s="422"/>
      <c r="P35" s="423">
        <f t="shared" si="1"/>
        <v>0</v>
      </c>
    </row>
    <row r="36" spans="2:16" ht="13" thickBot="1" x14ac:dyDescent="0.3">
      <c r="B36" s="456"/>
      <c r="C36" s="457"/>
      <c r="D36" s="459">
        <f>SUM(D29:D35)</f>
        <v>6626</v>
      </c>
      <c r="E36" s="503">
        <f>SUM(E29:E35)</f>
        <v>7007.6999999999989</v>
      </c>
      <c r="F36" s="459">
        <f>SUM(F29:F35)</f>
        <v>2335.9</v>
      </c>
      <c r="G36" s="459">
        <f>SUM(G29:G35)</f>
        <v>2335.9</v>
      </c>
      <c r="H36" s="459">
        <f>SUM(H29:H35)</f>
        <v>2335.9</v>
      </c>
      <c r="J36" s="503">
        <f>SUM(J29:J35)</f>
        <v>454.90999999999997</v>
      </c>
      <c r="K36" s="459">
        <f>SUM(K29:K35)</f>
        <v>172.93</v>
      </c>
      <c r="L36" s="459">
        <f>SUM(L29:L35)</f>
        <v>172.93</v>
      </c>
      <c r="M36" s="459">
        <f>SUM(M29:M35)</f>
        <v>109.05</v>
      </c>
      <c r="N36" s="503">
        <f>SUM(N29:N35)</f>
        <v>7462.6099999999988</v>
      </c>
      <c r="O36" s="503"/>
      <c r="P36" s="503">
        <f t="shared" ref="P36" si="10">SUM(P29:P35)</f>
        <v>5160.6583950000004</v>
      </c>
    </row>
    <row r="37" spans="2:16" ht="13" thickBot="1" x14ac:dyDescent="0.3">
      <c r="B37" s="445"/>
      <c r="D37" s="422"/>
      <c r="E37" s="422"/>
      <c r="F37" s="506"/>
      <c r="G37" s="464"/>
      <c r="H37" s="464"/>
      <c r="J37" s="422"/>
      <c r="K37" s="506"/>
      <c r="L37" s="464"/>
      <c r="M37" s="464"/>
      <c r="N37" s="422"/>
      <c r="P37" s="423">
        <f t="shared" si="1"/>
        <v>0</v>
      </c>
    </row>
    <row r="38" spans="2:16" x14ac:dyDescent="0.25">
      <c r="B38" s="437"/>
      <c r="C38" s="438"/>
      <c r="D38" s="440"/>
      <c r="E38" s="440"/>
      <c r="F38" s="507"/>
      <c r="G38" s="470"/>
      <c r="H38" s="470"/>
      <c r="J38" s="440"/>
      <c r="K38" s="507"/>
      <c r="L38" s="470"/>
      <c r="M38" s="470"/>
      <c r="N38" s="440"/>
      <c r="P38" s="423">
        <f t="shared" si="1"/>
        <v>0</v>
      </c>
    </row>
    <row r="39" spans="2:16" x14ac:dyDescent="0.25">
      <c r="B39" s="445"/>
      <c r="D39" s="422"/>
      <c r="E39" s="422"/>
      <c r="F39" s="508"/>
      <c r="G39" s="478"/>
      <c r="H39" s="478"/>
      <c r="J39" s="422"/>
      <c r="K39" s="508"/>
      <c r="L39" s="478"/>
      <c r="M39" s="478"/>
      <c r="N39" s="422"/>
      <c r="P39" s="423">
        <f t="shared" si="1"/>
        <v>0</v>
      </c>
    </row>
    <row r="40" spans="2:16" ht="13" thickBot="1" x14ac:dyDescent="0.3">
      <c r="B40" s="456"/>
      <c r="C40" s="457"/>
      <c r="D40" s="480"/>
      <c r="E40" s="480"/>
      <c r="F40" s="509"/>
      <c r="G40" s="482"/>
      <c r="H40" s="482"/>
      <c r="J40" s="480"/>
      <c r="K40" s="509"/>
      <c r="L40" s="482"/>
      <c r="M40" s="482"/>
      <c r="N40" s="480"/>
      <c r="P40" s="423">
        <f t="shared" si="1"/>
        <v>0</v>
      </c>
    </row>
    <row r="41" spans="2:16" ht="13" thickBot="1" x14ac:dyDescent="0.3">
      <c r="D41" s="484">
        <f>SUM(D38:D40)</f>
        <v>0</v>
      </c>
      <c r="E41" s="484"/>
      <c r="F41" s="484">
        <f>SUM(F38:F40)</f>
        <v>0</v>
      </c>
      <c r="G41" s="486"/>
      <c r="H41" s="486"/>
      <c r="J41" s="484"/>
      <c r="K41" s="484">
        <f>SUM(K38:K40)</f>
        <v>0</v>
      </c>
      <c r="L41" s="486"/>
      <c r="M41" s="486"/>
      <c r="N41" s="484"/>
    </row>
    <row r="42" spans="2:16" ht="13" thickBot="1" x14ac:dyDescent="0.3">
      <c r="D42" s="422"/>
      <c r="E42" s="422"/>
      <c r="F42" s="488"/>
      <c r="G42" s="488"/>
      <c r="H42" s="488"/>
      <c r="J42" s="422"/>
      <c r="K42" s="488"/>
      <c r="L42" s="488"/>
      <c r="M42" s="488"/>
      <c r="N42" s="422"/>
    </row>
    <row r="43" spans="2:16" ht="13" thickBot="1" x14ac:dyDescent="0.3">
      <c r="D43" s="489">
        <f>D26+D36+D41</f>
        <v>53376</v>
      </c>
      <c r="E43" s="510">
        <f>E26+E36+E41</f>
        <v>20135.576999999997</v>
      </c>
      <c r="F43" s="511">
        <f>F26+F36+F41</f>
        <v>6711.8590000000004</v>
      </c>
      <c r="G43" s="511">
        <f>G26+G36+G41</f>
        <v>6711.8590000000004</v>
      </c>
      <c r="H43" s="511">
        <f>H26+H36+H41</f>
        <v>6711.8590000000004</v>
      </c>
      <c r="J43" s="510">
        <f>J26+J36+J41</f>
        <v>1299.98</v>
      </c>
      <c r="K43" s="512">
        <f>K26+K36+K41</f>
        <v>454.62</v>
      </c>
      <c r="L43" s="512">
        <f>L26+L36+L41</f>
        <v>454.62</v>
      </c>
      <c r="M43" s="512">
        <f>M26+M36+M41</f>
        <v>390.74</v>
      </c>
      <c r="N43" s="513">
        <f>N26+N36+N41</f>
        <v>21435.557000000001</v>
      </c>
      <c r="O43" s="510">
        <f t="shared" ref="O43:P43" si="11">O26+O36+O41</f>
        <v>0</v>
      </c>
      <c r="P43" s="510">
        <f t="shared" si="11"/>
        <v>19133.605394999999</v>
      </c>
    </row>
    <row r="44" spans="2:16" ht="13" thickBot="1" x14ac:dyDescent="0.3">
      <c r="D44" s="422"/>
      <c r="E44" s="422"/>
      <c r="F44" s="432"/>
      <c r="G44" s="432"/>
      <c r="H44" s="432"/>
      <c r="J44" s="422"/>
      <c r="K44" s="432"/>
      <c r="L44" s="432"/>
      <c r="M44" s="432"/>
      <c r="N44" s="422"/>
    </row>
  </sheetData>
  <mergeCells count="2">
    <mergeCell ref="B1:F1"/>
    <mergeCell ref="B3:M3"/>
  </mergeCells>
  <pageMargins left="0.25" right="0.25" top="0.75" bottom="0.75" header="0.3" footer="0.3"/>
  <pageSetup paperSize="5" scale="7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M66"/>
  <sheetViews>
    <sheetView zoomScaleNormal="100" zoomScalePageLayoutView="75" workbookViewId="0">
      <selection activeCell="E12" sqref="E12"/>
    </sheetView>
  </sheetViews>
  <sheetFormatPr defaultColWidth="9.1796875" defaultRowHeight="13" x14ac:dyDescent="0.3"/>
  <cols>
    <col min="1" max="1" width="36" style="1" customWidth="1"/>
    <col min="2" max="2" width="14" style="1" customWidth="1"/>
    <col min="3" max="3" width="18.1796875" style="89" customWidth="1"/>
    <col min="4" max="6" width="15.1796875" style="1" customWidth="1"/>
    <col min="7" max="7" width="14.453125" style="1" customWidth="1"/>
    <col min="8" max="8" width="14.453125" style="166" customWidth="1"/>
    <col min="9" max="9" width="14.453125" style="1" customWidth="1"/>
    <col min="10" max="11" width="17.1796875" style="1" customWidth="1"/>
    <col min="12" max="12" width="12" style="1" customWidth="1"/>
    <col min="13" max="13" width="11.7265625" style="1" customWidth="1"/>
    <col min="14" max="16384" width="9.1796875" style="1"/>
  </cols>
  <sheetData>
    <row r="1" spans="1:13" ht="14.25" customHeight="1" thickBot="1" x14ac:dyDescent="0.35">
      <c r="J1" s="648" t="s">
        <v>54</v>
      </c>
      <c r="K1" s="648"/>
      <c r="L1" s="649"/>
      <c r="M1" s="105">
        <f>'Quarter 1'!M1</f>
        <v>45</v>
      </c>
    </row>
    <row r="2" spans="1:13" ht="15" customHeight="1" x14ac:dyDescent="0.25">
      <c r="D2" s="663" t="s">
        <v>58</v>
      </c>
      <c r="E2" s="683" t="s">
        <v>53</v>
      </c>
      <c r="F2" s="666" t="s">
        <v>52</v>
      </c>
      <c r="G2" s="666" t="s">
        <v>51</v>
      </c>
      <c r="H2" s="654" t="s">
        <v>94</v>
      </c>
      <c r="I2" s="666" t="s">
        <v>57</v>
      </c>
      <c r="J2" s="650" t="s">
        <v>50</v>
      </c>
      <c r="K2" s="650"/>
      <c r="L2" s="651"/>
      <c r="M2" s="106">
        <f>'Quarter 1'!M2</f>
        <v>0.76729999999999998</v>
      </c>
    </row>
    <row r="3" spans="1:13" ht="18" customHeight="1" thickBot="1" x14ac:dyDescent="0.45">
      <c r="A3" s="182" t="s">
        <v>104</v>
      </c>
      <c r="D3" s="664"/>
      <c r="E3" s="684"/>
      <c r="F3" s="667"/>
      <c r="G3" s="667"/>
      <c r="H3" s="655"/>
      <c r="I3" s="667"/>
      <c r="J3" s="650" t="s">
        <v>86</v>
      </c>
      <c r="K3" s="650"/>
      <c r="L3" s="651"/>
      <c r="M3" s="106">
        <f>'Quarter 1'!M3</f>
        <v>0</v>
      </c>
    </row>
    <row r="4" spans="1:13" ht="18.75" customHeight="1" thickBot="1" x14ac:dyDescent="0.4">
      <c r="C4" s="27" t="s">
        <v>48</v>
      </c>
      <c r="D4" s="664"/>
      <c r="E4" s="685"/>
      <c r="F4" s="668"/>
      <c r="G4" s="668"/>
      <c r="H4" s="656"/>
      <c r="I4" s="668"/>
      <c r="J4" s="650" t="s">
        <v>80</v>
      </c>
      <c r="K4" s="650"/>
      <c r="L4" s="651"/>
      <c r="M4" s="106"/>
    </row>
    <row r="5" spans="1:13" ht="19.5" customHeight="1" thickBot="1" x14ac:dyDescent="0.4">
      <c r="A5" s="609" t="s">
        <v>47</v>
      </c>
      <c r="B5" s="610"/>
      <c r="C5" s="90" t="s">
        <v>98</v>
      </c>
      <c r="D5" s="40">
        <v>0</v>
      </c>
      <c r="E5" s="39" t="s">
        <v>56</v>
      </c>
      <c r="F5" s="39" t="s">
        <v>56</v>
      </c>
      <c r="G5" s="38"/>
      <c r="H5" s="167" t="s">
        <v>56</v>
      </c>
      <c r="I5" s="37" t="s">
        <v>46</v>
      </c>
      <c r="J5" s="24" t="s">
        <v>45</v>
      </c>
      <c r="K5" s="616" t="s">
        <v>44</v>
      </c>
      <c r="L5" s="616"/>
      <c r="M5" s="676"/>
    </row>
    <row r="6" spans="1:13" ht="19.5" customHeight="1" x14ac:dyDescent="0.35">
      <c r="A6" s="617" t="s">
        <v>43</v>
      </c>
      <c r="B6" s="618"/>
      <c r="C6" s="618"/>
      <c r="D6" s="703"/>
      <c r="E6" s="618"/>
      <c r="F6" s="618"/>
      <c r="G6" s="618"/>
      <c r="H6" s="618"/>
      <c r="I6" s="618"/>
      <c r="J6" s="618"/>
      <c r="K6" s="618"/>
      <c r="L6" s="618"/>
      <c r="M6" s="704"/>
    </row>
    <row r="7" spans="1:13" ht="14" x14ac:dyDescent="0.3">
      <c r="A7" s="679" t="s">
        <v>42</v>
      </c>
      <c r="B7" s="680"/>
      <c r="C7" s="67">
        <f>'Quarter 1'!J7</f>
        <v>166109</v>
      </c>
      <c r="D7" s="111">
        <f>C7/(A$63-C$13-C$14)*D$5*D$65</f>
        <v>0</v>
      </c>
      <c r="E7" s="16">
        <f>'Salary Report Q2'!O14</f>
        <v>43622.68</v>
      </c>
      <c r="F7" s="116">
        <f>C7+D7-E7</f>
        <v>122486.32</v>
      </c>
      <c r="G7" s="9"/>
      <c r="H7" s="168"/>
      <c r="I7" s="8">
        <f>H7-E7</f>
        <v>-43622.68</v>
      </c>
      <c r="J7" s="71">
        <f>IF(H7&gt;0,(C7+D7+G7-H7),F7+G7)</f>
        <v>122486.32</v>
      </c>
      <c r="K7" s="677"/>
      <c r="L7" s="677"/>
      <c r="M7" s="678"/>
    </row>
    <row r="8" spans="1:13" ht="14" x14ac:dyDescent="0.3">
      <c r="A8" s="679" t="s">
        <v>41</v>
      </c>
      <c r="B8" s="680"/>
      <c r="C8" s="67">
        <f>'Quarter 1'!J8</f>
        <v>82136</v>
      </c>
      <c r="D8" s="111">
        <f t="shared" ref="D8:D12" si="0">C8/(A$63-C$13-C$14)*D$5*D$65</f>
        <v>0</v>
      </c>
      <c r="E8" s="10">
        <f>'Salary Report Q2'!O19</f>
        <v>28009.65</v>
      </c>
      <c r="F8" s="116">
        <f t="shared" ref="F8:F25" si="1">C8+D8-E8</f>
        <v>54126.35</v>
      </c>
      <c r="G8" s="9"/>
      <c r="H8" s="168"/>
      <c r="I8" s="8">
        <f t="shared" ref="I8:I25" si="2">H8-E8</f>
        <v>-28009.65</v>
      </c>
      <c r="J8" s="71">
        <f t="shared" ref="J8:J25" si="3">IF(H8&gt;0,(C8+D8+G8-H8),F8+G8)</f>
        <v>54126.35</v>
      </c>
      <c r="K8" s="646"/>
      <c r="L8" s="646"/>
      <c r="M8" s="647"/>
    </row>
    <row r="9" spans="1:13" ht="14" x14ac:dyDescent="0.3">
      <c r="A9" s="679" t="s">
        <v>40</v>
      </c>
      <c r="B9" s="680"/>
      <c r="C9" s="67">
        <f>'Quarter 1'!J9</f>
        <v>18937</v>
      </c>
      <c r="D9" s="111">
        <f t="shared" si="0"/>
        <v>0</v>
      </c>
      <c r="E9" s="10">
        <f>'Salary Report Q2'!I24</f>
        <v>6083.9</v>
      </c>
      <c r="F9" s="116">
        <f t="shared" si="1"/>
        <v>12853.1</v>
      </c>
      <c r="G9" s="9"/>
      <c r="H9" s="168"/>
      <c r="I9" s="8">
        <f t="shared" si="2"/>
        <v>-6083.9</v>
      </c>
      <c r="J9" s="71">
        <f t="shared" si="3"/>
        <v>12853.1</v>
      </c>
      <c r="K9" s="646"/>
      <c r="L9" s="646"/>
      <c r="M9" s="647"/>
    </row>
    <row r="10" spans="1:13" ht="14" x14ac:dyDescent="0.3">
      <c r="A10" s="679" t="s">
        <v>39</v>
      </c>
      <c r="B10" s="680"/>
      <c r="C10" s="67">
        <f>'Quarter 1'!J10</f>
        <v>27426.75</v>
      </c>
      <c r="D10" s="111">
        <f t="shared" si="0"/>
        <v>0</v>
      </c>
      <c r="E10" s="10">
        <v>8202</v>
      </c>
      <c r="F10" s="116">
        <f t="shared" si="1"/>
        <v>19224.75</v>
      </c>
      <c r="G10" s="9"/>
      <c r="H10" s="168"/>
      <c r="I10" s="8">
        <f t="shared" si="2"/>
        <v>-8202</v>
      </c>
      <c r="J10" s="71">
        <f t="shared" si="3"/>
        <v>19224.75</v>
      </c>
      <c r="K10" s="646"/>
      <c r="L10" s="646"/>
      <c r="M10" s="647"/>
    </row>
    <row r="11" spans="1:13" ht="14" x14ac:dyDescent="0.3">
      <c r="A11" s="679" t="s">
        <v>38</v>
      </c>
      <c r="B11" s="680"/>
      <c r="C11" s="67">
        <f>'Quarter 1'!J11</f>
        <v>-338</v>
      </c>
      <c r="D11" s="111">
        <f t="shared" si="0"/>
        <v>0</v>
      </c>
      <c r="E11" s="10"/>
      <c r="F11" s="116">
        <f t="shared" si="1"/>
        <v>-338</v>
      </c>
      <c r="G11" s="9"/>
      <c r="H11" s="168"/>
      <c r="I11" s="8">
        <f t="shared" si="2"/>
        <v>0</v>
      </c>
      <c r="J11" s="71">
        <f t="shared" si="3"/>
        <v>-338</v>
      </c>
      <c r="K11" s="646"/>
      <c r="L11" s="646"/>
      <c r="M11" s="647"/>
    </row>
    <row r="12" spans="1:13" ht="14" x14ac:dyDescent="0.3">
      <c r="A12" s="679" t="s">
        <v>37</v>
      </c>
      <c r="B12" s="680"/>
      <c r="C12" s="67">
        <f>'Quarter 1'!J12</f>
        <v>4800</v>
      </c>
      <c r="D12" s="111">
        <f t="shared" si="0"/>
        <v>0</v>
      </c>
      <c r="E12" s="10">
        <f>'Salary Report Q2'!I26</f>
        <v>3112.8</v>
      </c>
      <c r="F12" s="116">
        <f t="shared" si="1"/>
        <v>1687.1999999999998</v>
      </c>
      <c r="G12" s="9"/>
      <c r="H12" s="168"/>
      <c r="I12" s="8">
        <f t="shared" si="2"/>
        <v>-3112.8</v>
      </c>
      <c r="J12" s="71">
        <f t="shared" si="3"/>
        <v>1687.1999999999998</v>
      </c>
      <c r="K12" s="646"/>
      <c r="L12" s="646"/>
      <c r="M12" s="647"/>
    </row>
    <row r="13" spans="1:13" ht="14" x14ac:dyDescent="0.3">
      <c r="A13" s="679" t="s">
        <v>36</v>
      </c>
      <c r="B13" s="680"/>
      <c r="C13" s="67">
        <f>'Quarter 1'!J13</f>
        <v>3969</v>
      </c>
      <c r="D13" s="23"/>
      <c r="E13" s="10">
        <v>436</v>
      </c>
      <c r="F13" s="116">
        <f t="shared" si="1"/>
        <v>3533</v>
      </c>
      <c r="G13" s="9"/>
      <c r="H13" s="168"/>
      <c r="I13" s="8">
        <f t="shared" si="2"/>
        <v>-436</v>
      </c>
      <c r="J13" s="71">
        <f t="shared" si="3"/>
        <v>3533</v>
      </c>
      <c r="K13" s="646"/>
      <c r="L13" s="646"/>
      <c r="M13" s="647"/>
    </row>
    <row r="14" spans="1:13" ht="14" x14ac:dyDescent="0.3">
      <c r="A14" s="679" t="s">
        <v>35</v>
      </c>
      <c r="B14" s="680"/>
      <c r="C14" s="67">
        <f>'Quarter 1'!J14</f>
        <v>3000</v>
      </c>
      <c r="D14" s="23"/>
      <c r="E14" s="10"/>
      <c r="F14" s="116">
        <f t="shared" si="1"/>
        <v>3000</v>
      </c>
      <c r="G14" s="9"/>
      <c r="H14" s="168"/>
      <c r="I14" s="8">
        <f t="shared" si="2"/>
        <v>0</v>
      </c>
      <c r="J14" s="71">
        <f t="shared" si="3"/>
        <v>3000</v>
      </c>
      <c r="K14" s="646"/>
      <c r="L14" s="646"/>
      <c r="M14" s="647"/>
    </row>
    <row r="15" spans="1:13" ht="14" x14ac:dyDescent="0.3">
      <c r="A15" s="679" t="s">
        <v>34</v>
      </c>
      <c r="B15" s="680"/>
      <c r="C15" s="67">
        <f>'Quarter 1'!J15</f>
        <v>3940</v>
      </c>
      <c r="D15" s="111">
        <f t="shared" ref="D15:D25" si="4">C15/(A$63-C$13-C$14)*D$5*D$65</f>
        <v>0</v>
      </c>
      <c r="E15" s="12">
        <v>600</v>
      </c>
      <c r="F15" s="116">
        <f t="shared" si="1"/>
        <v>3340</v>
      </c>
      <c r="G15" s="11"/>
      <c r="H15" s="168"/>
      <c r="I15" s="8">
        <f t="shared" si="2"/>
        <v>-600</v>
      </c>
      <c r="J15" s="71">
        <f t="shared" si="3"/>
        <v>3340</v>
      </c>
      <c r="K15" s="681"/>
      <c r="L15" s="681"/>
      <c r="M15" s="682"/>
    </row>
    <row r="16" spans="1:13" ht="14" x14ac:dyDescent="0.3">
      <c r="A16" s="679" t="s">
        <v>33</v>
      </c>
      <c r="B16" s="680"/>
      <c r="C16" s="67">
        <f>'Quarter 1'!J16</f>
        <v>19681.797933432837</v>
      </c>
      <c r="D16" s="111">
        <f t="shared" si="4"/>
        <v>0</v>
      </c>
      <c r="E16" s="10">
        <f>'Salary Report Q2'!I28</f>
        <v>6493.5288947998406</v>
      </c>
      <c r="F16" s="116">
        <f t="shared" si="1"/>
        <v>13188.269038632996</v>
      </c>
      <c r="G16" s="9"/>
      <c r="H16" s="168"/>
      <c r="I16" s="8">
        <f t="shared" si="2"/>
        <v>-6493.5288947998406</v>
      </c>
      <c r="J16" s="71">
        <f t="shared" si="3"/>
        <v>13188.269038632996</v>
      </c>
      <c r="K16" s="646"/>
      <c r="L16" s="646"/>
      <c r="M16" s="647"/>
    </row>
    <row r="17" spans="1:13" ht="14" x14ac:dyDescent="0.3">
      <c r="A17" s="679" t="s">
        <v>32</v>
      </c>
      <c r="B17" s="680"/>
      <c r="C17" s="67">
        <f>'Quarter 1'!J17</f>
        <v>0</v>
      </c>
      <c r="D17" s="111">
        <f t="shared" si="4"/>
        <v>0</v>
      </c>
      <c r="E17" s="10"/>
      <c r="F17" s="116">
        <f t="shared" si="1"/>
        <v>0</v>
      </c>
      <c r="G17" s="9"/>
      <c r="H17" s="168"/>
      <c r="I17" s="8">
        <f t="shared" si="2"/>
        <v>0</v>
      </c>
      <c r="J17" s="71">
        <f t="shared" si="3"/>
        <v>0</v>
      </c>
      <c r="K17" s="646"/>
      <c r="L17" s="646"/>
      <c r="M17" s="647"/>
    </row>
    <row r="18" spans="1:13" ht="33.75" customHeight="1" x14ac:dyDescent="0.3">
      <c r="A18" s="700" t="s">
        <v>31</v>
      </c>
      <c r="B18" s="701"/>
      <c r="C18" s="67">
        <f>'Quarter 1'!J18</f>
        <v>0</v>
      </c>
      <c r="D18" s="111">
        <f t="shared" si="4"/>
        <v>0</v>
      </c>
      <c r="E18" s="10"/>
      <c r="F18" s="116">
        <f t="shared" si="1"/>
        <v>0</v>
      </c>
      <c r="G18" s="9"/>
      <c r="H18" s="168"/>
      <c r="I18" s="8">
        <f t="shared" si="2"/>
        <v>0</v>
      </c>
      <c r="J18" s="71">
        <f t="shared" si="3"/>
        <v>0</v>
      </c>
      <c r="K18" s="646"/>
      <c r="L18" s="646"/>
      <c r="M18" s="647"/>
    </row>
    <row r="19" spans="1:13" ht="14" x14ac:dyDescent="0.3">
      <c r="A19" s="679" t="s">
        <v>30</v>
      </c>
      <c r="B19" s="680"/>
      <c r="C19" s="67">
        <f>'Quarter 1'!J19</f>
        <v>7076.4588046609224</v>
      </c>
      <c r="D19" s="111">
        <f t="shared" si="4"/>
        <v>0</v>
      </c>
      <c r="E19" s="10">
        <f>'Salary Report Q2'!I30</f>
        <v>1426.12026190598</v>
      </c>
      <c r="F19" s="116">
        <f t="shared" si="1"/>
        <v>5650.338542754942</v>
      </c>
      <c r="G19" s="9"/>
      <c r="H19" s="168"/>
      <c r="I19" s="8">
        <f t="shared" si="2"/>
        <v>-1426.12026190598</v>
      </c>
      <c r="J19" s="71">
        <f t="shared" si="3"/>
        <v>5650.338542754942</v>
      </c>
      <c r="K19" s="646"/>
      <c r="L19" s="646"/>
      <c r="M19" s="647"/>
    </row>
    <row r="20" spans="1:13" ht="14" x14ac:dyDescent="0.3">
      <c r="A20" s="679" t="s">
        <v>29</v>
      </c>
      <c r="B20" s="680"/>
      <c r="C20" s="67">
        <f>'Quarter 1'!J20</f>
        <v>0</v>
      </c>
      <c r="D20" s="111">
        <f t="shared" si="4"/>
        <v>0</v>
      </c>
      <c r="E20" s="10"/>
      <c r="F20" s="116">
        <f t="shared" si="1"/>
        <v>0</v>
      </c>
      <c r="G20" s="9"/>
      <c r="H20" s="168"/>
      <c r="I20" s="8">
        <f t="shared" si="2"/>
        <v>0</v>
      </c>
      <c r="J20" s="71">
        <f t="shared" si="3"/>
        <v>0</v>
      </c>
      <c r="K20" s="646"/>
      <c r="L20" s="646"/>
      <c r="M20" s="647"/>
    </row>
    <row r="21" spans="1:13" ht="14" x14ac:dyDescent="0.3">
      <c r="A21" s="679" t="s">
        <v>28</v>
      </c>
      <c r="B21" s="680"/>
      <c r="C21" s="67">
        <f>'Quarter 1'!J21</f>
        <v>0</v>
      </c>
      <c r="D21" s="111">
        <f t="shared" si="4"/>
        <v>0</v>
      </c>
      <c r="E21" s="10"/>
      <c r="F21" s="116">
        <f t="shared" si="1"/>
        <v>0</v>
      </c>
      <c r="G21" s="9"/>
      <c r="H21" s="168"/>
      <c r="I21" s="8">
        <f t="shared" si="2"/>
        <v>0</v>
      </c>
      <c r="J21" s="71">
        <f t="shared" si="3"/>
        <v>0</v>
      </c>
      <c r="K21" s="686">
        <f>E7+E8+E9+E16+E19</f>
        <v>85635.879156705807</v>
      </c>
      <c r="L21" s="646"/>
      <c r="M21" s="647"/>
    </row>
    <row r="22" spans="1:13" ht="14" x14ac:dyDescent="0.3">
      <c r="A22" s="679" t="s">
        <v>20</v>
      </c>
      <c r="B22" s="680"/>
      <c r="C22" s="67">
        <f>'Quarter 1'!J22</f>
        <v>18500.815917761814</v>
      </c>
      <c r="D22" s="111">
        <f t="shared" si="4"/>
        <v>0</v>
      </c>
      <c r="E22" s="10">
        <f>K21*K22</f>
        <v>5309.4245077157602</v>
      </c>
      <c r="F22" s="116">
        <f t="shared" si="1"/>
        <v>13191.391410046053</v>
      </c>
      <c r="G22" s="9"/>
      <c r="H22" s="168"/>
      <c r="I22" s="8">
        <f t="shared" si="2"/>
        <v>-5309.4245077157602</v>
      </c>
      <c r="J22" s="71">
        <f t="shared" si="3"/>
        <v>13191.391410046053</v>
      </c>
      <c r="K22" s="646">
        <v>6.2E-2</v>
      </c>
      <c r="L22" s="646"/>
      <c r="M22" s="647"/>
    </row>
    <row r="23" spans="1:13" ht="14" x14ac:dyDescent="0.3">
      <c r="A23" s="679" t="s">
        <v>19</v>
      </c>
      <c r="B23" s="680"/>
      <c r="C23" s="67">
        <f>'Quarter 1'!J23</f>
        <v>4326.8327227023601</v>
      </c>
      <c r="D23" s="111">
        <f t="shared" si="4"/>
        <v>0</v>
      </c>
      <c r="E23" s="10">
        <f>K21*K23</f>
        <v>1241.7202477722342</v>
      </c>
      <c r="F23" s="116">
        <f t="shared" si="1"/>
        <v>3085.1124749301262</v>
      </c>
      <c r="G23" s="9"/>
      <c r="H23" s="168"/>
      <c r="I23" s="8">
        <f t="shared" si="2"/>
        <v>-1241.7202477722342</v>
      </c>
      <c r="J23" s="71">
        <f t="shared" si="3"/>
        <v>3085.1124749301262</v>
      </c>
      <c r="K23" s="646">
        <v>1.4500000000000001E-2</v>
      </c>
      <c r="L23" s="646"/>
      <c r="M23" s="647"/>
    </row>
    <row r="24" spans="1:13" ht="14" x14ac:dyDescent="0.3">
      <c r="A24" s="679" t="s">
        <v>18</v>
      </c>
      <c r="B24" s="680"/>
      <c r="C24" s="67">
        <f>'Quarter 1'!J24</f>
        <v>8355.2631886666259</v>
      </c>
      <c r="D24" s="111">
        <f t="shared" si="4"/>
        <v>0</v>
      </c>
      <c r="E24" s="10">
        <f>K21*K24</f>
        <v>2397.8046163877625</v>
      </c>
      <c r="F24" s="116">
        <f t="shared" si="1"/>
        <v>5957.4585722788634</v>
      </c>
      <c r="G24" s="9"/>
      <c r="H24" s="168"/>
      <c r="I24" s="8">
        <f t="shared" si="2"/>
        <v>-2397.8046163877625</v>
      </c>
      <c r="J24" s="71">
        <f t="shared" si="3"/>
        <v>5957.4585722788634</v>
      </c>
      <c r="K24" s="646">
        <v>2.8000000000000001E-2</v>
      </c>
      <c r="L24" s="646"/>
      <c r="M24" s="647"/>
    </row>
    <row r="25" spans="1:13" ht="14" x14ac:dyDescent="0.3">
      <c r="A25" s="679" t="s">
        <v>17</v>
      </c>
      <c r="B25" s="680"/>
      <c r="C25" s="67">
        <f>'Quarter 1'!J25</f>
        <v>1492.0112836904691</v>
      </c>
      <c r="D25" s="111">
        <f t="shared" si="4"/>
        <v>0</v>
      </c>
      <c r="E25" s="20">
        <f>K21*K25</f>
        <v>428.17939578352906</v>
      </c>
      <c r="F25" s="116">
        <f t="shared" si="1"/>
        <v>1063.83188790694</v>
      </c>
      <c r="G25" s="19"/>
      <c r="H25" s="168"/>
      <c r="I25" s="8">
        <f t="shared" si="2"/>
        <v>-428.17939578352906</v>
      </c>
      <c r="J25" s="71">
        <f t="shared" si="3"/>
        <v>1063.83188790694</v>
      </c>
      <c r="K25" s="696">
        <v>5.0000000000000001E-3</v>
      </c>
      <c r="L25" s="696"/>
      <c r="M25" s="697"/>
    </row>
    <row r="26" spans="1:13" ht="18.75" customHeight="1" x14ac:dyDescent="0.35">
      <c r="A26" s="22" t="s">
        <v>27</v>
      </c>
      <c r="B26" s="21"/>
      <c r="C26" s="68">
        <f>SUM(C7:C25)</f>
        <v>369412.92985091504</v>
      </c>
      <c r="D26" s="68">
        <f t="shared" ref="D26:E26" si="5">SUM(D7:D25)</f>
        <v>0</v>
      </c>
      <c r="E26" s="68">
        <f t="shared" si="5"/>
        <v>107363.80792436509</v>
      </c>
      <c r="F26" s="13">
        <f t="shared" ref="F26:J26" si="6">SUM(F7:F25)</f>
        <v>262049.12192654997</v>
      </c>
      <c r="G26" s="35">
        <f t="shared" si="6"/>
        <v>0</v>
      </c>
      <c r="H26" s="169">
        <f t="shared" si="6"/>
        <v>0</v>
      </c>
      <c r="I26" s="13">
        <f t="shared" si="6"/>
        <v>-107363.80792436509</v>
      </c>
      <c r="J26" s="13">
        <f t="shared" si="6"/>
        <v>262049.12192654997</v>
      </c>
      <c r="K26" s="646"/>
      <c r="L26" s="646"/>
      <c r="M26" s="647"/>
    </row>
    <row r="27" spans="1:13" ht="18" customHeight="1" x14ac:dyDescent="0.5">
      <c r="A27" s="691" t="s">
        <v>81</v>
      </c>
      <c r="B27" s="692"/>
      <c r="C27" s="692"/>
      <c r="D27" s="692"/>
      <c r="E27" s="692"/>
      <c r="F27" s="692"/>
      <c r="G27" s="692"/>
      <c r="H27" s="692"/>
      <c r="I27" s="692"/>
      <c r="J27" s="692"/>
      <c r="K27" s="692"/>
      <c r="L27" s="692"/>
      <c r="M27" s="693"/>
    </row>
    <row r="28" spans="1:13" ht="14" x14ac:dyDescent="0.3">
      <c r="A28" s="679" t="s">
        <v>26</v>
      </c>
      <c r="B28" s="680"/>
      <c r="C28" s="67">
        <f>'Quarter 1'!J28</f>
        <v>30895.836734693876</v>
      </c>
      <c r="D28" s="111">
        <f t="shared" ref="D28:D39" si="7">C28/(A$63-C$13-C$14)*D$5*D$65</f>
        <v>0</v>
      </c>
      <c r="E28" s="16">
        <f>'Salary Report Q2'!I34</f>
        <v>15502.320979999999</v>
      </c>
      <c r="F28" s="116">
        <f t="shared" ref="F28:F39" si="8">C28+D28-E28</f>
        <v>15393.515754693877</v>
      </c>
      <c r="G28" s="9"/>
      <c r="H28" s="168"/>
      <c r="I28" s="8">
        <f t="shared" ref="I28:I60" si="9">H28-E28</f>
        <v>-15502.320979999999</v>
      </c>
      <c r="J28" s="71">
        <f t="shared" ref="J28:J39" si="10">IF(H28&gt;0,(C28+D28+G28-H28),F28+G28)</f>
        <v>15393.515754693877</v>
      </c>
      <c r="K28" s="702"/>
      <c r="L28" s="646"/>
      <c r="M28" s="647"/>
    </row>
    <row r="29" spans="1:13" ht="14" x14ac:dyDescent="0.3">
      <c r="A29" s="679" t="s">
        <v>25</v>
      </c>
      <c r="B29" s="680"/>
      <c r="C29" s="67">
        <f>'Quarter 1'!J29</f>
        <v>3797.1836734693879</v>
      </c>
      <c r="D29" s="111">
        <f t="shared" si="7"/>
        <v>0</v>
      </c>
      <c r="E29" s="16">
        <v>4135</v>
      </c>
      <c r="F29" s="116">
        <f t="shared" si="8"/>
        <v>-337.81632653061206</v>
      </c>
      <c r="G29" s="9"/>
      <c r="H29" s="168"/>
      <c r="I29" s="8">
        <f t="shared" si="9"/>
        <v>-4135</v>
      </c>
      <c r="J29" s="71">
        <f t="shared" si="10"/>
        <v>-337.81632653061206</v>
      </c>
      <c r="K29" s="646"/>
      <c r="L29" s="646"/>
      <c r="M29" s="647"/>
    </row>
    <row r="30" spans="1:13" ht="15.5" x14ac:dyDescent="0.35">
      <c r="A30" s="679" t="s">
        <v>24</v>
      </c>
      <c r="B30" s="680"/>
      <c r="C30" s="67">
        <f>'Quarter 1'!J30</f>
        <v>507.73469387755085</v>
      </c>
      <c r="D30" s="111">
        <f t="shared" si="7"/>
        <v>0</v>
      </c>
      <c r="E30" s="32">
        <f>'Salary Report Q2'!H36</f>
        <v>0</v>
      </c>
      <c r="F30" s="116">
        <f t="shared" si="8"/>
        <v>507.73469387755085</v>
      </c>
      <c r="G30" s="9"/>
      <c r="H30" s="168"/>
      <c r="I30" s="8">
        <f t="shared" si="9"/>
        <v>0</v>
      </c>
      <c r="J30" s="71">
        <f t="shared" si="10"/>
        <v>507.73469387755085</v>
      </c>
      <c r="K30" s="646"/>
      <c r="L30" s="646"/>
      <c r="M30" s="647"/>
    </row>
    <row r="31" spans="1:13" ht="15.5" x14ac:dyDescent="0.35">
      <c r="A31" s="679" t="s">
        <v>23</v>
      </c>
      <c r="B31" s="680"/>
      <c r="C31" s="67">
        <f>'Quarter 1'!J31</f>
        <v>0</v>
      </c>
      <c r="D31" s="111">
        <f t="shared" si="7"/>
        <v>0</v>
      </c>
      <c r="E31" s="32"/>
      <c r="F31" s="116">
        <f t="shared" si="8"/>
        <v>0</v>
      </c>
      <c r="G31" s="9"/>
      <c r="H31" s="168"/>
      <c r="I31" s="8">
        <f t="shared" si="9"/>
        <v>0</v>
      </c>
      <c r="J31" s="71">
        <f t="shared" si="10"/>
        <v>0</v>
      </c>
      <c r="K31" s="646"/>
      <c r="L31" s="646"/>
      <c r="M31" s="647"/>
    </row>
    <row r="32" spans="1:13" ht="15.5" x14ac:dyDescent="0.35">
      <c r="A32" s="679" t="s">
        <v>22</v>
      </c>
      <c r="B32" s="680"/>
      <c r="C32" s="67">
        <f>'Quarter 1'!J32</f>
        <v>6944.8163265306121</v>
      </c>
      <c r="D32" s="111">
        <f t="shared" si="7"/>
        <v>0</v>
      </c>
      <c r="E32" s="32">
        <f>'Salary Report Q2'!I38</f>
        <v>1715.8250909090909</v>
      </c>
      <c r="F32" s="116">
        <f t="shared" si="8"/>
        <v>5228.9912356215209</v>
      </c>
      <c r="G32" s="9"/>
      <c r="H32" s="168"/>
      <c r="I32" s="8">
        <f t="shared" si="9"/>
        <v>-1715.8250909090909</v>
      </c>
      <c r="J32" s="71">
        <f t="shared" si="10"/>
        <v>5228.9912356215209</v>
      </c>
      <c r="K32" s="646"/>
      <c r="L32" s="646"/>
      <c r="M32" s="647"/>
    </row>
    <row r="33" spans="1:13" ht="15.5" x14ac:dyDescent="0.35">
      <c r="A33" s="679" t="s">
        <v>21</v>
      </c>
      <c r="B33" s="680"/>
      <c r="C33" s="67">
        <f>'Quarter 1'!J33</f>
        <v>0</v>
      </c>
      <c r="D33" s="111">
        <f t="shared" si="7"/>
        <v>0</v>
      </c>
      <c r="E33" s="32"/>
      <c r="F33" s="116">
        <f t="shared" si="8"/>
        <v>0</v>
      </c>
      <c r="G33" s="9"/>
      <c r="H33" s="168"/>
      <c r="I33" s="8">
        <f t="shared" si="9"/>
        <v>0</v>
      </c>
      <c r="J33" s="71">
        <f t="shared" si="10"/>
        <v>0</v>
      </c>
      <c r="K33" s="646"/>
      <c r="L33" s="646"/>
      <c r="M33" s="647"/>
    </row>
    <row r="34" spans="1:13" ht="15.5" x14ac:dyDescent="0.35">
      <c r="A34" s="679" t="s">
        <v>83</v>
      </c>
      <c r="B34" s="680"/>
      <c r="C34" s="67">
        <f>'Quarter 1'!J34</f>
        <v>10189.938775510203</v>
      </c>
      <c r="D34" s="111">
        <f t="shared" si="7"/>
        <v>0</v>
      </c>
      <c r="E34" s="32">
        <f>'Salary Report Q2'!I40</f>
        <v>6016.0239999999994</v>
      </c>
      <c r="F34" s="116">
        <f t="shared" si="8"/>
        <v>4173.914775510204</v>
      </c>
      <c r="G34" s="9"/>
      <c r="H34" s="168"/>
      <c r="I34" s="8">
        <f t="shared" si="9"/>
        <v>-6016.0239999999994</v>
      </c>
      <c r="J34" s="71">
        <f t="shared" si="10"/>
        <v>4173.914775510204</v>
      </c>
      <c r="K34" s="646"/>
      <c r="L34" s="646"/>
      <c r="M34" s="647"/>
    </row>
    <row r="35" spans="1:13" ht="15.5" x14ac:dyDescent="0.35">
      <c r="A35" s="679" t="s">
        <v>84</v>
      </c>
      <c r="B35" s="680"/>
      <c r="C35" s="67">
        <f>'Quarter 1'!J35</f>
        <v>0</v>
      </c>
      <c r="D35" s="111">
        <f t="shared" si="7"/>
        <v>0</v>
      </c>
      <c r="E35" s="32"/>
      <c r="F35" s="116">
        <f t="shared" si="8"/>
        <v>0</v>
      </c>
      <c r="G35" s="9"/>
      <c r="H35" s="168"/>
      <c r="I35" s="8">
        <f t="shared" si="9"/>
        <v>0</v>
      </c>
      <c r="J35" s="71">
        <f t="shared" si="10"/>
        <v>0</v>
      </c>
      <c r="K35" s="686">
        <f>E28+E32+E34</f>
        <v>23234.170070909087</v>
      </c>
      <c r="L35" s="646"/>
      <c r="M35" s="647"/>
    </row>
    <row r="36" spans="1:13" ht="14" x14ac:dyDescent="0.3">
      <c r="A36" s="679" t="s">
        <v>20</v>
      </c>
      <c r="B36" s="680"/>
      <c r="C36" s="67">
        <f>'Quarter 1'!J36</f>
        <v>3009.3762448979596</v>
      </c>
      <c r="D36" s="111">
        <f t="shared" si="7"/>
        <v>0</v>
      </c>
      <c r="E36" s="10">
        <f>K35*K36</f>
        <v>1440.5185443963635</v>
      </c>
      <c r="F36" s="116">
        <f t="shared" si="8"/>
        <v>1568.8577005015961</v>
      </c>
      <c r="G36" s="9"/>
      <c r="H36" s="168"/>
      <c r="I36" s="8">
        <f t="shared" si="9"/>
        <v>-1440.5185443963635</v>
      </c>
      <c r="J36" s="71">
        <f t="shared" si="10"/>
        <v>1568.8577005015961</v>
      </c>
      <c r="K36" s="646">
        <v>6.2E-2</v>
      </c>
      <c r="L36" s="646"/>
      <c r="M36" s="647"/>
    </row>
    <row r="37" spans="1:13" ht="14" x14ac:dyDescent="0.3">
      <c r="A37" s="679" t="s">
        <v>19</v>
      </c>
      <c r="B37" s="680"/>
      <c r="C37" s="67">
        <f>'Quarter 1'!J37</f>
        <v>703.80573469387764</v>
      </c>
      <c r="D37" s="111">
        <f t="shared" si="7"/>
        <v>0</v>
      </c>
      <c r="E37" s="10">
        <f>K35*K37</f>
        <v>336.89546602818177</v>
      </c>
      <c r="F37" s="116">
        <f t="shared" si="8"/>
        <v>366.91026866569587</v>
      </c>
      <c r="G37" s="9"/>
      <c r="H37" s="168"/>
      <c r="I37" s="8">
        <f t="shared" si="9"/>
        <v>-336.89546602818177</v>
      </c>
      <c r="J37" s="71">
        <f t="shared" si="10"/>
        <v>366.91026866569587</v>
      </c>
      <c r="K37" s="646">
        <v>1.4500000000000001E-2</v>
      </c>
      <c r="L37" s="646"/>
      <c r="M37" s="647"/>
    </row>
    <row r="38" spans="1:13" ht="14" x14ac:dyDescent="0.3">
      <c r="A38" s="679" t="s">
        <v>18</v>
      </c>
      <c r="B38" s="680"/>
      <c r="C38" s="67">
        <f>'Quarter 1'!J38</f>
        <v>1359.073142857143</v>
      </c>
      <c r="D38" s="111">
        <f t="shared" si="7"/>
        <v>0</v>
      </c>
      <c r="E38" s="10">
        <f>K35*K38</f>
        <v>650.5567619854545</v>
      </c>
      <c r="F38" s="116">
        <f t="shared" si="8"/>
        <v>708.51638087168851</v>
      </c>
      <c r="G38" s="9"/>
      <c r="H38" s="168"/>
      <c r="I38" s="8">
        <f t="shared" si="9"/>
        <v>-650.5567619854545</v>
      </c>
      <c r="J38" s="71">
        <f t="shared" si="10"/>
        <v>708.51638087168851</v>
      </c>
      <c r="K38" s="646">
        <v>2.8000000000000001E-2</v>
      </c>
      <c r="L38" s="646"/>
      <c r="M38" s="647"/>
    </row>
    <row r="39" spans="1:13" ht="14.5" thickBot="1" x14ac:dyDescent="0.35">
      <c r="A39" s="687" t="s">
        <v>17</v>
      </c>
      <c r="B39" s="688"/>
      <c r="C39" s="67">
        <f>'Quarter 1'!J39</f>
        <v>242.69163265306122</v>
      </c>
      <c r="D39" s="111">
        <f t="shared" si="7"/>
        <v>0</v>
      </c>
      <c r="E39" s="20">
        <f>K35*K39</f>
        <v>116.17085035454544</v>
      </c>
      <c r="F39" s="116">
        <f t="shared" si="8"/>
        <v>126.52078229851578</v>
      </c>
      <c r="G39" s="19"/>
      <c r="H39" s="168"/>
      <c r="I39" s="8">
        <f t="shared" si="9"/>
        <v>-116.17085035454544</v>
      </c>
      <c r="J39" s="71">
        <f t="shared" si="10"/>
        <v>126.52078229851578</v>
      </c>
      <c r="K39" s="696">
        <v>5.0000000000000001E-3</v>
      </c>
      <c r="L39" s="696"/>
      <c r="M39" s="697"/>
    </row>
    <row r="40" spans="1:13" ht="18" customHeight="1" thickBot="1" x14ac:dyDescent="0.55000000000000004">
      <c r="A40" s="93" t="s">
        <v>82</v>
      </c>
      <c r="B40" s="18"/>
      <c r="C40" s="78"/>
      <c r="D40" s="18"/>
      <c r="E40" s="18"/>
      <c r="F40" s="18"/>
      <c r="G40" s="18"/>
      <c r="H40" s="170"/>
      <c r="I40" s="18"/>
      <c r="J40" s="18"/>
      <c r="K40" s="18"/>
      <c r="L40" s="18"/>
      <c r="M40" s="17"/>
    </row>
    <row r="41" spans="1:13" ht="15.5" x14ac:dyDescent="0.35">
      <c r="A41" s="694" t="s">
        <v>16</v>
      </c>
      <c r="B41" s="695"/>
      <c r="C41" s="67">
        <f>'Quarter 1'!J41</f>
        <v>68340.914285714287</v>
      </c>
      <c r="D41" s="111">
        <f t="shared" ref="D41:D62" si="11">C41/(A$63-C$13-C$14)*D$5*D$65</f>
        <v>0</v>
      </c>
      <c r="E41" s="33">
        <v>22780</v>
      </c>
      <c r="F41" s="116">
        <f t="shared" ref="F41:F62" si="12">C41+D41-E41</f>
        <v>45560.914285714287</v>
      </c>
      <c r="G41" s="9"/>
      <c r="H41" s="168"/>
      <c r="I41" s="8">
        <f t="shared" si="9"/>
        <v>-22780</v>
      </c>
      <c r="J41" s="71">
        <f t="shared" ref="J41:J62" si="13">IF(H41&gt;0,(C41+D41+G41-H41),F41+G41)</f>
        <v>45560.914285714287</v>
      </c>
      <c r="K41" s="677"/>
      <c r="L41" s="677"/>
      <c r="M41" s="678"/>
    </row>
    <row r="42" spans="1:13" ht="15.5" x14ac:dyDescent="0.35">
      <c r="A42" s="679" t="s">
        <v>15</v>
      </c>
      <c r="B42" s="680"/>
      <c r="C42" s="67">
        <f>'Quarter 1'!J42</f>
        <v>2267.387755102041</v>
      </c>
      <c r="D42" s="111">
        <f t="shared" si="11"/>
        <v>0</v>
      </c>
      <c r="E42" s="32">
        <v>1284</v>
      </c>
      <c r="F42" s="116">
        <f t="shared" si="12"/>
        <v>983.38775510204096</v>
      </c>
      <c r="G42" s="9"/>
      <c r="H42" s="168"/>
      <c r="I42" s="8">
        <f t="shared" si="9"/>
        <v>-1284</v>
      </c>
      <c r="J42" s="71">
        <f t="shared" si="13"/>
        <v>983.38775510204096</v>
      </c>
      <c r="K42" s="646"/>
      <c r="L42" s="646"/>
      <c r="M42" s="647"/>
    </row>
    <row r="43" spans="1:13" ht="15.5" x14ac:dyDescent="0.35">
      <c r="A43" s="679" t="s">
        <v>14</v>
      </c>
      <c r="B43" s="680"/>
      <c r="C43" s="67">
        <f>'Quarter 1'!J43</f>
        <v>2284.0408163265306</v>
      </c>
      <c r="D43" s="111">
        <f t="shared" si="11"/>
        <v>0</v>
      </c>
      <c r="E43" s="32">
        <v>716</v>
      </c>
      <c r="F43" s="116">
        <f t="shared" si="12"/>
        <v>1568.0408163265306</v>
      </c>
      <c r="G43" s="9"/>
      <c r="H43" s="168"/>
      <c r="I43" s="8">
        <f t="shared" si="9"/>
        <v>-716</v>
      </c>
      <c r="J43" s="71">
        <f t="shared" si="13"/>
        <v>1568.0408163265306</v>
      </c>
      <c r="K43" s="646"/>
      <c r="L43" s="646"/>
      <c r="M43" s="647"/>
    </row>
    <row r="44" spans="1:13" ht="15.5" x14ac:dyDescent="0.35">
      <c r="A44" s="679" t="s">
        <v>13</v>
      </c>
      <c r="B44" s="680"/>
      <c r="C44" s="67">
        <f>'Quarter 1'!J44</f>
        <v>767.34693877551024</v>
      </c>
      <c r="D44" s="111">
        <f t="shared" si="11"/>
        <v>0</v>
      </c>
      <c r="E44" s="32">
        <v>300</v>
      </c>
      <c r="F44" s="116">
        <f t="shared" si="12"/>
        <v>467.34693877551024</v>
      </c>
      <c r="G44" s="9"/>
      <c r="H44" s="168"/>
      <c r="I44" s="8">
        <f t="shared" si="9"/>
        <v>-300</v>
      </c>
      <c r="J44" s="71">
        <f t="shared" si="13"/>
        <v>467.34693877551024</v>
      </c>
      <c r="K44" s="646"/>
      <c r="L44" s="646"/>
      <c r="M44" s="647"/>
    </row>
    <row r="45" spans="1:13" ht="15.5" x14ac:dyDescent="0.35">
      <c r="A45" s="679" t="s">
        <v>12</v>
      </c>
      <c r="B45" s="680"/>
      <c r="C45" s="67">
        <f>'Quarter 1'!J45</f>
        <v>677.34693877551024</v>
      </c>
      <c r="D45" s="111">
        <f t="shared" si="11"/>
        <v>0</v>
      </c>
      <c r="E45" s="32">
        <v>200</v>
      </c>
      <c r="F45" s="116">
        <f t="shared" si="12"/>
        <v>477.34693877551024</v>
      </c>
      <c r="G45" s="9"/>
      <c r="H45" s="168"/>
      <c r="I45" s="8">
        <f t="shared" si="9"/>
        <v>-200</v>
      </c>
      <c r="J45" s="71">
        <f t="shared" si="13"/>
        <v>477.34693877551024</v>
      </c>
      <c r="K45" s="646"/>
      <c r="L45" s="646"/>
      <c r="M45" s="647"/>
    </row>
    <row r="46" spans="1:13" ht="15.5" x14ac:dyDescent="0.35">
      <c r="A46" s="679" t="s">
        <v>11</v>
      </c>
      <c r="B46" s="680"/>
      <c r="C46" s="67">
        <f>'Quarter 1'!J46</f>
        <v>383.67346938775512</v>
      </c>
      <c r="D46" s="111">
        <f t="shared" si="11"/>
        <v>0</v>
      </c>
      <c r="E46" s="32"/>
      <c r="F46" s="116">
        <f t="shared" si="12"/>
        <v>383.67346938775512</v>
      </c>
      <c r="G46" s="9"/>
      <c r="H46" s="168"/>
      <c r="I46" s="8">
        <f t="shared" si="9"/>
        <v>0</v>
      </c>
      <c r="J46" s="71">
        <f t="shared" si="13"/>
        <v>383.67346938775512</v>
      </c>
      <c r="K46" s="646"/>
      <c r="L46" s="646"/>
      <c r="M46" s="647"/>
    </row>
    <row r="47" spans="1:13" ht="15.5" x14ac:dyDescent="0.35">
      <c r="A47" s="679" t="s">
        <v>10</v>
      </c>
      <c r="B47" s="680"/>
      <c r="C47" s="67">
        <f>'Quarter 1'!J47</f>
        <v>3269.7346938775509</v>
      </c>
      <c r="D47" s="111">
        <f t="shared" si="11"/>
        <v>0</v>
      </c>
      <c r="E47" s="32">
        <v>118</v>
      </c>
      <c r="F47" s="116">
        <f t="shared" si="12"/>
        <v>3151.7346938775509</v>
      </c>
      <c r="G47" s="9"/>
      <c r="H47" s="168"/>
      <c r="I47" s="8">
        <f t="shared" si="9"/>
        <v>-118</v>
      </c>
      <c r="J47" s="71">
        <f t="shared" si="13"/>
        <v>3151.7346938775509</v>
      </c>
      <c r="K47" s="646"/>
      <c r="L47" s="646"/>
      <c r="M47" s="647"/>
    </row>
    <row r="48" spans="1:13" ht="15.5" x14ac:dyDescent="0.35">
      <c r="A48" s="679" t="s">
        <v>9</v>
      </c>
      <c r="B48" s="680"/>
      <c r="C48" s="67">
        <f>'Quarter 1'!J48</f>
        <v>3767.4693877551017</v>
      </c>
      <c r="D48" s="111">
        <f t="shared" si="11"/>
        <v>0</v>
      </c>
      <c r="E48" s="32">
        <v>4460</v>
      </c>
      <c r="F48" s="116">
        <f t="shared" si="12"/>
        <v>-692.53061224489829</v>
      </c>
      <c r="G48" s="9"/>
      <c r="H48" s="168"/>
      <c r="I48" s="8">
        <f t="shared" si="9"/>
        <v>-4460</v>
      </c>
      <c r="J48" s="71">
        <f t="shared" si="13"/>
        <v>-692.53061224489829</v>
      </c>
      <c r="K48" s="646"/>
      <c r="L48" s="646"/>
      <c r="M48" s="647"/>
    </row>
    <row r="49" spans="1:13" ht="26.25" customHeight="1" x14ac:dyDescent="0.35">
      <c r="A49" s="679" t="s">
        <v>8</v>
      </c>
      <c r="B49" s="680"/>
      <c r="C49" s="67">
        <f>'Quarter 1'!J49</f>
        <v>1439.1632653061224</v>
      </c>
      <c r="D49" s="111">
        <f t="shared" si="11"/>
        <v>0</v>
      </c>
      <c r="E49" s="32">
        <v>753</v>
      </c>
      <c r="F49" s="116">
        <f t="shared" si="12"/>
        <v>686.16326530612241</v>
      </c>
      <c r="G49" s="9"/>
      <c r="H49" s="168"/>
      <c r="I49" s="8">
        <f t="shared" si="9"/>
        <v>-753</v>
      </c>
      <c r="J49" s="71">
        <f t="shared" si="13"/>
        <v>686.16326530612241</v>
      </c>
      <c r="K49" s="646"/>
      <c r="L49" s="646"/>
      <c r="M49" s="647"/>
    </row>
    <row r="50" spans="1:13" ht="15.5" x14ac:dyDescent="0.35">
      <c r="A50" s="679" t="s">
        <v>7</v>
      </c>
      <c r="B50" s="680"/>
      <c r="C50" s="67">
        <f>'Quarter 1'!J50</f>
        <v>112.9387755102041</v>
      </c>
      <c r="D50" s="111">
        <f t="shared" si="11"/>
        <v>0</v>
      </c>
      <c r="E50" s="32"/>
      <c r="F50" s="116">
        <f t="shared" si="12"/>
        <v>112.9387755102041</v>
      </c>
      <c r="G50" s="9"/>
      <c r="H50" s="168"/>
      <c r="I50" s="8">
        <f t="shared" si="9"/>
        <v>0</v>
      </c>
      <c r="J50" s="71">
        <f t="shared" si="13"/>
        <v>112.9387755102041</v>
      </c>
      <c r="K50" s="646"/>
      <c r="L50" s="646"/>
      <c r="M50" s="647"/>
    </row>
    <row r="51" spans="1:13" ht="15.5" x14ac:dyDescent="0.35">
      <c r="A51" s="679" t="s">
        <v>6</v>
      </c>
      <c r="B51" s="680"/>
      <c r="C51" s="67">
        <f>'Quarter 1'!J51</f>
        <v>3253.0816326530612</v>
      </c>
      <c r="D51" s="111">
        <f t="shared" si="11"/>
        <v>0</v>
      </c>
      <c r="E51" s="32">
        <v>4051</v>
      </c>
      <c r="F51" s="116">
        <f t="shared" si="12"/>
        <v>-797.91836734693879</v>
      </c>
      <c r="G51" s="9"/>
      <c r="H51" s="168"/>
      <c r="I51" s="8">
        <f t="shared" si="9"/>
        <v>-4051</v>
      </c>
      <c r="J51" s="71">
        <f t="shared" si="13"/>
        <v>-797.91836734693879</v>
      </c>
      <c r="K51" s="646"/>
      <c r="L51" s="646"/>
      <c r="M51" s="647"/>
    </row>
    <row r="52" spans="1:13" ht="15.5" x14ac:dyDescent="0.35">
      <c r="A52" s="679" t="s">
        <v>5</v>
      </c>
      <c r="B52" s="680"/>
      <c r="C52" s="67">
        <f>'Quarter 1'!J52</f>
        <v>2805.4285714285716</v>
      </c>
      <c r="D52" s="111">
        <f t="shared" si="11"/>
        <v>0</v>
      </c>
      <c r="E52" s="32">
        <v>5856</v>
      </c>
      <c r="F52" s="116">
        <f t="shared" si="12"/>
        <v>-3050.5714285714284</v>
      </c>
      <c r="G52" s="9"/>
      <c r="H52" s="168"/>
      <c r="I52" s="8">
        <f t="shared" si="9"/>
        <v>-5856</v>
      </c>
      <c r="J52" s="71">
        <f t="shared" si="13"/>
        <v>-3050.5714285714284</v>
      </c>
      <c r="K52" s="646"/>
      <c r="L52" s="646"/>
      <c r="M52" s="647"/>
    </row>
    <row r="53" spans="1:13" ht="15.5" x14ac:dyDescent="0.35">
      <c r="A53" s="679" t="s">
        <v>4</v>
      </c>
      <c r="B53" s="680"/>
      <c r="C53" s="67">
        <f>'Quarter 1'!J53</f>
        <v>997.69387755102048</v>
      </c>
      <c r="D53" s="111">
        <f t="shared" si="11"/>
        <v>0</v>
      </c>
      <c r="E53" s="32">
        <v>1113</v>
      </c>
      <c r="F53" s="116">
        <f t="shared" si="12"/>
        <v>-115.30612244897952</v>
      </c>
      <c r="G53" s="9"/>
      <c r="H53" s="168"/>
      <c r="I53" s="8">
        <f t="shared" si="9"/>
        <v>-1113</v>
      </c>
      <c r="J53" s="71">
        <f t="shared" si="13"/>
        <v>-115.30612244897952</v>
      </c>
      <c r="K53" s="646"/>
      <c r="L53" s="646"/>
      <c r="M53" s="647"/>
    </row>
    <row r="54" spans="1:13" ht="15.5" x14ac:dyDescent="0.35">
      <c r="A54" s="679" t="s">
        <v>3</v>
      </c>
      <c r="B54" s="680"/>
      <c r="C54" s="67">
        <f>'Quarter 1'!J54</f>
        <v>383.67346938775512</v>
      </c>
      <c r="D54" s="111">
        <f t="shared" si="11"/>
        <v>0</v>
      </c>
      <c r="E54" s="32"/>
      <c r="F54" s="116">
        <f t="shared" si="12"/>
        <v>383.67346938775512</v>
      </c>
      <c r="G54" s="9"/>
      <c r="H54" s="168"/>
      <c r="I54" s="8">
        <f t="shared" si="9"/>
        <v>0</v>
      </c>
      <c r="J54" s="71">
        <f t="shared" si="13"/>
        <v>383.67346938775512</v>
      </c>
      <c r="K54" s="646"/>
      <c r="L54" s="646"/>
      <c r="M54" s="647"/>
    </row>
    <row r="55" spans="1:13" ht="15.5" x14ac:dyDescent="0.35">
      <c r="A55" s="679" t="s">
        <v>2</v>
      </c>
      <c r="B55" s="680"/>
      <c r="C55" s="67">
        <f>'Quarter 1'!J55</f>
        <v>258</v>
      </c>
      <c r="D55" s="111">
        <f t="shared" si="11"/>
        <v>0</v>
      </c>
      <c r="E55" s="32">
        <v>142</v>
      </c>
      <c r="F55" s="116">
        <f t="shared" si="12"/>
        <v>116</v>
      </c>
      <c r="G55" s="9"/>
      <c r="H55" s="168"/>
      <c r="I55" s="8">
        <f t="shared" si="9"/>
        <v>-142</v>
      </c>
      <c r="J55" s="71">
        <f t="shared" si="13"/>
        <v>116</v>
      </c>
      <c r="K55" s="646"/>
      <c r="L55" s="646"/>
      <c r="M55" s="647"/>
    </row>
    <row r="56" spans="1:13" ht="15.5" x14ac:dyDescent="0.35">
      <c r="A56" s="679" t="s">
        <v>55</v>
      </c>
      <c r="B56" s="680"/>
      <c r="C56" s="67">
        <f>'Quarter 1'!J56</f>
        <v>0</v>
      </c>
      <c r="D56" s="111">
        <f t="shared" si="11"/>
        <v>0</v>
      </c>
      <c r="E56" s="32"/>
      <c r="F56" s="116">
        <f t="shared" si="12"/>
        <v>0</v>
      </c>
      <c r="G56" s="9"/>
      <c r="H56" s="168"/>
      <c r="I56" s="8">
        <f t="shared" si="9"/>
        <v>0</v>
      </c>
      <c r="J56" s="71">
        <f t="shared" si="13"/>
        <v>0</v>
      </c>
      <c r="K56" s="646"/>
      <c r="L56" s="646"/>
      <c r="M56" s="647"/>
    </row>
    <row r="57" spans="1:13" ht="15.5" x14ac:dyDescent="0.35">
      <c r="A57" s="679" t="str">
        <f>'Quarter 1'!A57:B57</f>
        <v>(Insert item name or brief description on this line.)</v>
      </c>
      <c r="B57" s="680"/>
      <c r="C57" s="67">
        <f>'Quarter 1'!J57</f>
        <v>0</v>
      </c>
      <c r="D57" s="111">
        <f t="shared" si="11"/>
        <v>0</v>
      </c>
      <c r="E57" s="32"/>
      <c r="F57" s="116">
        <f t="shared" si="12"/>
        <v>0</v>
      </c>
      <c r="G57" s="9"/>
      <c r="H57" s="168"/>
      <c r="I57" s="8">
        <f t="shared" si="9"/>
        <v>0</v>
      </c>
      <c r="J57" s="71">
        <f t="shared" si="13"/>
        <v>0</v>
      </c>
      <c r="K57" s="646"/>
      <c r="L57" s="646"/>
      <c r="M57" s="647"/>
    </row>
    <row r="58" spans="1:13" ht="15.5" x14ac:dyDescent="0.35">
      <c r="A58" s="679" t="str">
        <f>'Quarter 1'!A58:B58</f>
        <v>(Insert item name or brief description on this line.)</v>
      </c>
      <c r="B58" s="680"/>
      <c r="C58" s="67">
        <f>'Quarter 1'!J58</f>
        <v>0</v>
      </c>
      <c r="D58" s="111">
        <f t="shared" si="11"/>
        <v>0</v>
      </c>
      <c r="E58" s="31"/>
      <c r="F58" s="116">
        <f t="shared" si="12"/>
        <v>0</v>
      </c>
      <c r="G58" s="11"/>
      <c r="H58" s="168"/>
      <c r="I58" s="8">
        <f t="shared" si="9"/>
        <v>0</v>
      </c>
      <c r="J58" s="71">
        <f t="shared" si="13"/>
        <v>0</v>
      </c>
      <c r="K58" s="646"/>
      <c r="L58" s="646"/>
      <c r="M58" s="647"/>
    </row>
    <row r="59" spans="1:13" ht="15.5" x14ac:dyDescent="0.35">
      <c r="A59" s="679" t="str">
        <f>'Quarter 1'!A59:B59</f>
        <v>(Insert item name or brief description on this line.)</v>
      </c>
      <c r="B59" s="680"/>
      <c r="C59" s="67">
        <f>'Quarter 1'!J59</f>
        <v>0</v>
      </c>
      <c r="D59" s="111">
        <f t="shared" si="11"/>
        <v>0</v>
      </c>
      <c r="E59" s="31"/>
      <c r="F59" s="116">
        <f t="shared" si="12"/>
        <v>0</v>
      </c>
      <c r="G59" s="11"/>
      <c r="H59" s="168"/>
      <c r="I59" s="8">
        <f t="shared" si="9"/>
        <v>0</v>
      </c>
      <c r="J59" s="71">
        <f t="shared" si="13"/>
        <v>0</v>
      </c>
      <c r="K59" s="646"/>
      <c r="L59" s="646"/>
      <c r="M59" s="647"/>
    </row>
    <row r="60" spans="1:13" ht="15.5" x14ac:dyDescent="0.35">
      <c r="A60" s="679" t="str">
        <f>'Quarter 1'!A60:B60</f>
        <v>(Insert item name or brief description on this line.)</v>
      </c>
      <c r="B60" s="680"/>
      <c r="C60" s="67">
        <f>'Quarter 1'!J60</f>
        <v>0</v>
      </c>
      <c r="D60" s="111">
        <f t="shared" si="11"/>
        <v>0</v>
      </c>
      <c r="E60" s="30"/>
      <c r="F60" s="116">
        <f t="shared" si="12"/>
        <v>0</v>
      </c>
      <c r="G60" s="9"/>
      <c r="H60" s="168"/>
      <c r="I60" s="8">
        <f t="shared" si="9"/>
        <v>0</v>
      </c>
      <c r="J60" s="71">
        <f t="shared" si="13"/>
        <v>0</v>
      </c>
      <c r="K60" s="646"/>
      <c r="L60" s="646"/>
      <c r="M60" s="647"/>
    </row>
    <row r="61" spans="1:13" ht="15.5" x14ac:dyDescent="0.35">
      <c r="A61" s="679" t="str">
        <f>'Quarter 1'!A61:B61</f>
        <v>(Insert item name or brief description on this line.)</v>
      </c>
      <c r="B61" s="680"/>
      <c r="C61" s="67">
        <f>'Quarter 1'!J61</f>
        <v>0</v>
      </c>
      <c r="D61" s="111">
        <f t="shared" si="11"/>
        <v>0</v>
      </c>
      <c r="E61" s="30"/>
      <c r="F61" s="116">
        <f t="shared" si="12"/>
        <v>0</v>
      </c>
      <c r="G61" s="9"/>
      <c r="H61" s="168"/>
      <c r="I61" s="8">
        <f t="shared" ref="I61:I62" si="14">IF(H61&gt;E61,0,H61-E61)</f>
        <v>0</v>
      </c>
      <c r="J61" s="71">
        <f t="shared" si="13"/>
        <v>0</v>
      </c>
      <c r="K61" s="646"/>
      <c r="L61" s="646"/>
      <c r="M61" s="647"/>
    </row>
    <row r="62" spans="1:13" ht="15.5" x14ac:dyDescent="0.35">
      <c r="A62" s="698"/>
      <c r="B62" s="699"/>
      <c r="C62" s="67">
        <f>'Quarter 1'!J62</f>
        <v>0</v>
      </c>
      <c r="D62" s="111">
        <f t="shared" si="11"/>
        <v>0</v>
      </c>
      <c r="E62" s="30"/>
      <c r="F62" s="116">
        <f t="shared" si="12"/>
        <v>0</v>
      </c>
      <c r="G62" s="9"/>
      <c r="H62" s="168"/>
      <c r="I62" s="8">
        <f t="shared" si="14"/>
        <v>0</v>
      </c>
      <c r="J62" s="71">
        <f t="shared" si="13"/>
        <v>0</v>
      </c>
      <c r="K62" s="646"/>
      <c r="L62" s="646"/>
      <c r="M62" s="647"/>
    </row>
    <row r="63" spans="1:13" ht="15.5" x14ac:dyDescent="0.35">
      <c r="A63" s="625">
        <f>SUM(C$7:C$25,C$28:C$39,C$41:C$62)</f>
        <v>518071.28068764962</v>
      </c>
      <c r="B63" s="689"/>
      <c r="C63" s="690"/>
      <c r="D63" s="119">
        <f>SUM(D7:D25,D28:D39,D41:D62)</f>
        <v>0</v>
      </c>
      <c r="E63" s="5"/>
      <c r="F63" s="5"/>
      <c r="G63" s="5"/>
      <c r="H63" s="171"/>
      <c r="I63" s="5"/>
      <c r="J63" s="5"/>
      <c r="K63" s="646"/>
      <c r="L63" s="646"/>
      <c r="M63" s="647"/>
    </row>
    <row r="64" spans="1:13" ht="15.75" customHeight="1" thickBot="1" x14ac:dyDescent="0.35">
      <c r="A64" s="622" t="s">
        <v>0</v>
      </c>
      <c r="B64" s="623"/>
      <c r="C64" s="624"/>
      <c r="D64" s="4">
        <f>D65*D5</f>
        <v>0</v>
      </c>
      <c r="E64" s="123">
        <f t="shared" ref="E64:J64" si="15">SUM(E7:E25,E28:E63)</f>
        <v>179050.11961803871</v>
      </c>
      <c r="F64" s="123">
        <f t="shared" si="15"/>
        <v>339021.16106961091</v>
      </c>
      <c r="G64" s="123">
        <f t="shared" si="15"/>
        <v>0</v>
      </c>
      <c r="H64" s="172">
        <f t="shared" si="15"/>
        <v>0</v>
      </c>
      <c r="I64" s="123">
        <f t="shared" si="15"/>
        <v>-179050.11961803871</v>
      </c>
      <c r="J64" s="123">
        <f t="shared" si="15"/>
        <v>339021.16106961091</v>
      </c>
      <c r="K64" s="635"/>
      <c r="L64" s="635"/>
      <c r="M64" s="636"/>
    </row>
    <row r="65" spans="3:4" ht="14" x14ac:dyDescent="0.3">
      <c r="C65" s="112">
        <f>'Quarter 1'!C65</f>
        <v>819.62242158353297</v>
      </c>
      <c r="D65" s="113">
        <f>'Quarter 1'!D65</f>
        <v>1346.0373693058884</v>
      </c>
    </row>
    <row r="66" spans="3:4" x14ac:dyDescent="0.3">
      <c r="C66" s="1"/>
    </row>
  </sheetData>
  <sheetProtection algorithmName="SHA-512" hashValue="o7oWb7cFzIYhKVKbMJkXwjsqK0xGdd9qK09Gv6vQDhBRAkdifvM0+iWMfPz6HOKqX60ssF9nuDV84zbmFFLQlA==" saltValue="R9N75TyeoWgv/EG2sYl1rA==" spinCount="100000" sheet="1" selectLockedCells="1"/>
  <mergeCells count="125">
    <mergeCell ref="K21:M21"/>
    <mergeCell ref="A21:B21"/>
    <mergeCell ref="A6:M6"/>
    <mergeCell ref="K17:M17"/>
    <mergeCell ref="K22:M22"/>
    <mergeCell ref="K23:M23"/>
    <mergeCell ref="K24:M24"/>
    <mergeCell ref="A28:B28"/>
    <mergeCell ref="A25:B25"/>
    <mergeCell ref="A20:B20"/>
    <mergeCell ref="K20:M20"/>
    <mergeCell ref="A64:C64"/>
    <mergeCell ref="A54:B54"/>
    <mergeCell ref="A55:B55"/>
    <mergeCell ref="A61:B61"/>
    <mergeCell ref="A62:B62"/>
    <mergeCell ref="A60:B60"/>
    <mergeCell ref="A56:B56"/>
    <mergeCell ref="A57:B57"/>
    <mergeCell ref="K12:M12"/>
    <mergeCell ref="K13:M13"/>
    <mergeCell ref="K14:M14"/>
    <mergeCell ref="K25:M25"/>
    <mergeCell ref="A46:B46"/>
    <mergeCell ref="A42:B42"/>
    <mergeCell ref="A43:B43"/>
    <mergeCell ref="A44:B44"/>
    <mergeCell ref="A59:B59"/>
    <mergeCell ref="A48:B48"/>
    <mergeCell ref="A49:B49"/>
    <mergeCell ref="A18:B18"/>
    <mergeCell ref="K18:M18"/>
    <mergeCell ref="K26:M26"/>
    <mergeCell ref="K28:M28"/>
    <mergeCell ref="K29:M29"/>
    <mergeCell ref="A63:C63"/>
    <mergeCell ref="A47:B47"/>
    <mergeCell ref="A22:B22"/>
    <mergeCell ref="A23:B23"/>
    <mergeCell ref="A24:B24"/>
    <mergeCell ref="A52:B52"/>
    <mergeCell ref="A53:B53"/>
    <mergeCell ref="A27:M27"/>
    <mergeCell ref="A29:B29"/>
    <mergeCell ref="A41:B41"/>
    <mergeCell ref="A32:B32"/>
    <mergeCell ref="A33:B33"/>
    <mergeCell ref="K46:M46"/>
    <mergeCell ref="K38:M38"/>
    <mergeCell ref="K39:M39"/>
    <mergeCell ref="K36:M36"/>
    <mergeCell ref="K37:M37"/>
    <mergeCell ref="K30:M30"/>
    <mergeCell ref="A36:B36"/>
    <mergeCell ref="A37:B37"/>
    <mergeCell ref="A38:B38"/>
    <mergeCell ref="A34:B34"/>
    <mergeCell ref="A35:B35"/>
    <mergeCell ref="K34:M34"/>
    <mergeCell ref="K31:M31"/>
    <mergeCell ref="A31:B31"/>
    <mergeCell ref="A30:B30"/>
    <mergeCell ref="K32:M32"/>
    <mergeCell ref="K33:M33"/>
    <mergeCell ref="K45:M45"/>
    <mergeCell ref="K59:M59"/>
    <mergeCell ref="K51:M51"/>
    <mergeCell ref="K52:M52"/>
    <mergeCell ref="K53:M53"/>
    <mergeCell ref="K57:M57"/>
    <mergeCell ref="K58:M58"/>
    <mergeCell ref="K41:M41"/>
    <mergeCell ref="A39:B39"/>
    <mergeCell ref="A50:B50"/>
    <mergeCell ref="A51:B51"/>
    <mergeCell ref="A45:B45"/>
    <mergeCell ref="A58:B58"/>
    <mergeCell ref="I2:I4"/>
    <mergeCell ref="E2:E4"/>
    <mergeCell ref="F2:F4"/>
    <mergeCell ref="G2:G4"/>
    <mergeCell ref="D2:D4"/>
    <mergeCell ref="J1:L1"/>
    <mergeCell ref="J4:L4"/>
    <mergeCell ref="K64:M64"/>
    <mergeCell ref="K54:M54"/>
    <mergeCell ref="K55:M55"/>
    <mergeCell ref="J3:L3"/>
    <mergeCell ref="K62:M62"/>
    <mergeCell ref="K63:M63"/>
    <mergeCell ref="K60:M60"/>
    <mergeCell ref="K61:M61"/>
    <mergeCell ref="K47:M47"/>
    <mergeCell ref="K48:M48"/>
    <mergeCell ref="K49:M49"/>
    <mergeCell ref="K56:M56"/>
    <mergeCell ref="K50:M50"/>
    <mergeCell ref="K42:M42"/>
    <mergeCell ref="K43:M43"/>
    <mergeCell ref="K44:M44"/>
    <mergeCell ref="K35:M35"/>
    <mergeCell ref="J2:L2"/>
    <mergeCell ref="K5:M5"/>
    <mergeCell ref="K7:M7"/>
    <mergeCell ref="K8:M8"/>
    <mergeCell ref="K9:M9"/>
    <mergeCell ref="K10:M10"/>
    <mergeCell ref="A19:B19"/>
    <mergeCell ref="A5:B5"/>
    <mergeCell ref="A15:B15"/>
    <mergeCell ref="A16:B16"/>
    <mergeCell ref="A12:B12"/>
    <mergeCell ref="A9:B9"/>
    <mergeCell ref="A10:B10"/>
    <mergeCell ref="A11:B11"/>
    <mergeCell ref="K15:M15"/>
    <mergeCell ref="K16:M16"/>
    <mergeCell ref="K11:M11"/>
    <mergeCell ref="K19:M19"/>
    <mergeCell ref="A13:B13"/>
    <mergeCell ref="A14:B14"/>
    <mergeCell ref="A7:B7"/>
    <mergeCell ref="A8:B8"/>
    <mergeCell ref="A17:B17"/>
    <mergeCell ref="H2:H4"/>
  </mergeCells>
  <printOptions horizontalCentered="1"/>
  <pageMargins left="0.25" right="0.25" top="0.61250000000000004" bottom="0.38750000000000001" header="0.3" footer="0.3"/>
  <pageSetup paperSize="5" scale="79" orientation="landscape" r:id="rId1"/>
  <headerFooter>
    <oddHeader>&amp;C&amp;F</oddHeader>
  </headerFooter>
  <rowBreaks count="1" manualBreakCount="1">
    <brk id="2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pageSetUpPr fitToPage="1"/>
  </sheetPr>
  <dimension ref="A1:J261"/>
  <sheetViews>
    <sheetView topLeftCell="A221" workbookViewId="0">
      <selection sqref="A1:I1"/>
    </sheetView>
  </sheetViews>
  <sheetFormatPr defaultColWidth="9.1796875" defaultRowHeight="12.5" x14ac:dyDescent="0.25"/>
  <cols>
    <col min="1" max="1" width="50.7265625" style="529" customWidth="1"/>
    <col min="2" max="2" width="23.1796875" style="529" customWidth="1"/>
    <col min="3" max="3" width="12" style="529" customWidth="1"/>
    <col min="4" max="4" width="11.1796875" style="529" customWidth="1"/>
    <col min="5" max="5" width="41.26953125" style="529" customWidth="1"/>
    <col min="6" max="6" width="56.26953125" style="529" customWidth="1"/>
    <col min="7" max="7" width="9.453125" style="529" customWidth="1"/>
    <col min="8" max="9" width="11.1796875" style="529" customWidth="1"/>
    <col min="10" max="10" width="9.1796875" style="586"/>
    <col min="11" max="16384" width="9.1796875" style="529"/>
  </cols>
  <sheetData>
    <row r="1" spans="1:10" ht="18" x14ac:dyDescent="0.4">
      <c r="A1" s="705" t="s">
        <v>262</v>
      </c>
      <c r="B1" s="670"/>
      <c r="C1" s="670"/>
      <c r="D1" s="670"/>
      <c r="E1" s="670"/>
      <c r="F1" s="670"/>
      <c r="G1" s="670"/>
      <c r="H1" s="670"/>
      <c r="I1" s="670"/>
    </row>
    <row r="2" spans="1:10" ht="18" x14ac:dyDescent="0.4">
      <c r="A2" s="705" t="s">
        <v>489</v>
      </c>
      <c r="B2" s="670"/>
      <c r="C2" s="670"/>
      <c r="D2" s="670"/>
      <c r="E2" s="670"/>
      <c r="F2" s="670"/>
      <c r="G2" s="670"/>
      <c r="H2" s="670"/>
      <c r="I2" s="670"/>
    </row>
    <row r="3" spans="1:10" ht="13" x14ac:dyDescent="0.3">
      <c r="A3" s="706" t="s">
        <v>490</v>
      </c>
      <c r="B3" s="670"/>
      <c r="C3" s="670"/>
      <c r="D3" s="670"/>
      <c r="E3" s="670"/>
      <c r="F3" s="670"/>
      <c r="G3" s="670"/>
      <c r="H3" s="670"/>
      <c r="I3" s="670"/>
    </row>
    <row r="5" spans="1:10" ht="23" x14ac:dyDescent="0.25">
      <c r="B5" s="533" t="s">
        <v>265</v>
      </c>
      <c r="C5" s="533" t="s">
        <v>266</v>
      </c>
      <c r="D5" s="533" t="s">
        <v>267</v>
      </c>
      <c r="E5" s="533" t="s">
        <v>268</v>
      </c>
      <c r="F5" s="533" t="s">
        <v>269</v>
      </c>
      <c r="G5" s="533" t="s">
        <v>270</v>
      </c>
      <c r="H5" s="533" t="s">
        <v>271</v>
      </c>
      <c r="I5" s="533" t="s">
        <v>272</v>
      </c>
      <c r="J5" s="600" t="s">
        <v>870</v>
      </c>
    </row>
    <row r="6" spans="1:10" ht="13" thickBot="1" x14ac:dyDescent="0.3">
      <c r="A6" s="534" t="s">
        <v>273</v>
      </c>
    </row>
    <row r="7" spans="1:10" x14ac:dyDescent="0.25">
      <c r="A7" s="539" t="s">
        <v>274</v>
      </c>
      <c r="B7" s="540"/>
      <c r="C7" s="540"/>
      <c r="D7" s="540"/>
      <c r="E7" s="540"/>
      <c r="F7" s="540"/>
      <c r="G7" s="540"/>
      <c r="H7" s="540"/>
      <c r="I7" s="541"/>
    </row>
    <row r="8" spans="1:10" x14ac:dyDescent="0.25">
      <c r="A8" s="542" t="s">
        <v>275</v>
      </c>
      <c r="B8" s="543"/>
      <c r="C8" s="543"/>
      <c r="D8" s="543"/>
      <c r="E8" s="543"/>
      <c r="F8" s="543"/>
      <c r="G8" s="543"/>
      <c r="H8" s="543"/>
      <c r="I8" s="544"/>
    </row>
    <row r="9" spans="1:10" x14ac:dyDescent="0.25">
      <c r="A9" s="542" t="s">
        <v>276</v>
      </c>
      <c r="B9" s="543"/>
      <c r="C9" s="543"/>
      <c r="D9" s="543"/>
      <c r="E9" s="543"/>
      <c r="F9" s="543"/>
      <c r="G9" s="543"/>
      <c r="H9" s="543"/>
      <c r="I9" s="544"/>
    </row>
    <row r="10" spans="1:10" x14ac:dyDescent="0.25">
      <c r="A10" s="545"/>
      <c r="B10" s="546" t="s">
        <v>277</v>
      </c>
      <c r="C10" s="543"/>
      <c r="D10" s="543"/>
      <c r="E10" s="543"/>
      <c r="F10" s="543"/>
      <c r="G10" s="543"/>
      <c r="H10" s="543"/>
      <c r="I10" s="544"/>
    </row>
    <row r="11" spans="1:10" x14ac:dyDescent="0.25">
      <c r="A11" s="545"/>
      <c r="B11" s="546" t="s">
        <v>491</v>
      </c>
      <c r="C11" s="546" t="s">
        <v>279</v>
      </c>
      <c r="D11" s="546" t="s">
        <v>492</v>
      </c>
      <c r="E11" s="546"/>
      <c r="F11" s="546" t="s">
        <v>493</v>
      </c>
      <c r="G11" s="546" t="s">
        <v>282</v>
      </c>
      <c r="H11" s="547">
        <v>31023.86</v>
      </c>
      <c r="I11" s="548"/>
    </row>
    <row r="12" spans="1:10" x14ac:dyDescent="0.25">
      <c r="A12" s="545"/>
      <c r="B12" s="546" t="s">
        <v>494</v>
      </c>
      <c r="C12" s="546" t="s">
        <v>279</v>
      </c>
      <c r="D12" s="546">
        <v>39</v>
      </c>
      <c r="E12" s="546"/>
      <c r="F12" s="546" t="s">
        <v>495</v>
      </c>
      <c r="G12" s="546" t="s">
        <v>282</v>
      </c>
      <c r="H12" s="547">
        <v>46682</v>
      </c>
      <c r="I12" s="548"/>
    </row>
    <row r="13" spans="1:10" x14ac:dyDescent="0.25">
      <c r="A13" s="545"/>
      <c r="B13" s="546" t="s">
        <v>496</v>
      </c>
      <c r="C13" s="546" t="s">
        <v>279</v>
      </c>
      <c r="D13" s="546">
        <v>121</v>
      </c>
      <c r="E13" s="546"/>
      <c r="F13" s="546" t="s">
        <v>497</v>
      </c>
      <c r="G13" s="546" t="s">
        <v>282</v>
      </c>
      <c r="H13" s="547">
        <v>31274</v>
      </c>
      <c r="I13" s="548"/>
    </row>
    <row r="14" spans="1:10" x14ac:dyDescent="0.25">
      <c r="A14" s="542" t="s">
        <v>287</v>
      </c>
      <c r="B14" s="543"/>
      <c r="C14" s="543"/>
      <c r="D14" s="543"/>
      <c r="E14" s="543"/>
      <c r="F14" s="543"/>
      <c r="G14" s="543"/>
      <c r="H14" s="549">
        <v>108979.86</v>
      </c>
      <c r="I14" s="550" t="s">
        <v>288</v>
      </c>
    </row>
    <row r="15" spans="1:10" x14ac:dyDescent="0.25">
      <c r="A15" s="542" t="s">
        <v>289</v>
      </c>
      <c r="B15" s="543"/>
      <c r="C15" s="543"/>
      <c r="D15" s="543"/>
      <c r="E15" s="543"/>
      <c r="F15" s="543"/>
      <c r="G15" s="543"/>
      <c r="H15" s="549">
        <v>108979.86</v>
      </c>
      <c r="I15" s="550" t="s">
        <v>290</v>
      </c>
    </row>
    <row r="16" spans="1:10" ht="13" thickBot="1" x14ac:dyDescent="0.3">
      <c r="A16" s="551" t="s">
        <v>291</v>
      </c>
      <c r="B16" s="552"/>
      <c r="C16" s="552"/>
      <c r="D16" s="552"/>
      <c r="E16" s="552"/>
      <c r="F16" s="552"/>
      <c r="G16" s="552"/>
      <c r="H16" s="553">
        <v>108979.86</v>
      </c>
      <c r="I16" s="554" t="s">
        <v>292</v>
      </c>
    </row>
    <row r="17" spans="1:10" ht="13" thickBot="1" x14ac:dyDescent="0.3">
      <c r="A17" s="534" t="s">
        <v>293</v>
      </c>
    </row>
    <row r="18" spans="1:10" x14ac:dyDescent="0.25">
      <c r="A18" s="555" t="s">
        <v>294</v>
      </c>
      <c r="B18" s="556"/>
      <c r="C18" s="556"/>
      <c r="D18" s="556"/>
      <c r="E18" s="556"/>
      <c r="F18" s="556"/>
      <c r="G18" s="556"/>
      <c r="H18" s="556"/>
      <c r="I18" s="557"/>
    </row>
    <row r="19" spans="1:10" x14ac:dyDescent="0.25">
      <c r="A19" s="558"/>
      <c r="B19" s="559" t="s">
        <v>295</v>
      </c>
      <c r="C19" s="560"/>
      <c r="D19" s="560"/>
      <c r="E19" s="560"/>
      <c r="F19" s="560"/>
      <c r="G19" s="560"/>
      <c r="H19" s="560"/>
      <c r="I19" s="561"/>
    </row>
    <row r="20" spans="1:10" x14ac:dyDescent="0.25">
      <c r="A20" s="558"/>
      <c r="B20" s="559" t="s">
        <v>498</v>
      </c>
      <c r="C20" s="559" t="s">
        <v>299</v>
      </c>
      <c r="D20" s="559">
        <v>292534359</v>
      </c>
      <c r="E20" s="559" t="s">
        <v>300</v>
      </c>
      <c r="F20" s="559" t="s">
        <v>499</v>
      </c>
      <c r="G20" s="559" t="s">
        <v>282</v>
      </c>
      <c r="H20" s="562">
        <v>6289.53</v>
      </c>
      <c r="I20" s="563"/>
      <c r="J20" s="586">
        <v>12569</v>
      </c>
    </row>
    <row r="21" spans="1:10" x14ac:dyDescent="0.25">
      <c r="A21" s="558"/>
      <c r="B21" s="559" t="s">
        <v>500</v>
      </c>
      <c r="C21" s="559" t="s">
        <v>299</v>
      </c>
      <c r="D21" s="559">
        <v>292676700</v>
      </c>
      <c r="E21" s="559" t="s">
        <v>300</v>
      </c>
      <c r="F21" s="559" t="s">
        <v>501</v>
      </c>
      <c r="G21" s="559" t="s">
        <v>282</v>
      </c>
      <c r="H21" s="562">
        <v>6576.95</v>
      </c>
      <c r="I21" s="563"/>
      <c r="J21" s="586">
        <v>12658</v>
      </c>
    </row>
    <row r="22" spans="1:10" x14ac:dyDescent="0.25">
      <c r="A22" s="558"/>
      <c r="B22" s="559" t="s">
        <v>502</v>
      </c>
      <c r="C22" s="559" t="s">
        <v>299</v>
      </c>
      <c r="D22" s="559">
        <v>292879522</v>
      </c>
      <c r="E22" s="559" t="s">
        <v>300</v>
      </c>
      <c r="F22" s="559" t="s">
        <v>503</v>
      </c>
      <c r="G22" s="559" t="s">
        <v>282</v>
      </c>
      <c r="H22" s="562">
        <v>6576.97</v>
      </c>
      <c r="I22" s="563"/>
      <c r="J22" s="586">
        <v>12820</v>
      </c>
    </row>
    <row r="23" spans="1:10" x14ac:dyDescent="0.25">
      <c r="A23" s="564" t="s">
        <v>302</v>
      </c>
      <c r="B23" s="560"/>
      <c r="C23" s="560"/>
      <c r="D23" s="560"/>
      <c r="E23" s="560"/>
      <c r="F23" s="560"/>
      <c r="G23" s="560"/>
      <c r="H23" s="565">
        <v>19443.45</v>
      </c>
      <c r="I23" s="566" t="s">
        <v>290</v>
      </c>
    </row>
    <row r="24" spans="1:10" x14ac:dyDescent="0.25">
      <c r="A24" s="564" t="s">
        <v>303</v>
      </c>
      <c r="B24" s="560"/>
      <c r="C24" s="560"/>
      <c r="D24" s="560"/>
      <c r="E24" s="560"/>
      <c r="F24" s="560"/>
      <c r="G24" s="560"/>
      <c r="H24" s="560"/>
      <c r="I24" s="561"/>
    </row>
    <row r="25" spans="1:10" x14ac:dyDescent="0.25">
      <c r="A25" s="558"/>
      <c r="B25" s="559" t="s">
        <v>295</v>
      </c>
      <c r="C25" s="560"/>
      <c r="D25" s="560"/>
      <c r="E25" s="560"/>
      <c r="F25" s="560"/>
      <c r="G25" s="560"/>
      <c r="H25" s="560"/>
      <c r="I25" s="561"/>
    </row>
    <row r="26" spans="1:10" x14ac:dyDescent="0.25">
      <c r="A26" s="558"/>
      <c r="B26" s="559" t="s">
        <v>504</v>
      </c>
      <c r="C26" s="559" t="s">
        <v>299</v>
      </c>
      <c r="D26" s="559" t="s">
        <v>505</v>
      </c>
      <c r="E26" s="559" t="s">
        <v>306</v>
      </c>
      <c r="F26" s="559" t="s">
        <v>506</v>
      </c>
      <c r="G26" s="559" t="s">
        <v>282</v>
      </c>
      <c r="H26" s="562">
        <v>412.41</v>
      </c>
      <c r="I26" s="563"/>
      <c r="J26" s="586">
        <v>12527</v>
      </c>
    </row>
    <row r="27" spans="1:10" x14ac:dyDescent="0.25">
      <c r="A27" s="558"/>
      <c r="B27" s="559" t="s">
        <v>500</v>
      </c>
      <c r="C27" s="559" t="s">
        <v>299</v>
      </c>
      <c r="D27" s="559" t="s">
        <v>507</v>
      </c>
      <c r="E27" s="559" t="s">
        <v>306</v>
      </c>
      <c r="F27" s="559" t="s">
        <v>506</v>
      </c>
      <c r="G27" s="559" t="s">
        <v>282</v>
      </c>
      <c r="H27" s="562">
        <v>2392.96</v>
      </c>
      <c r="I27" s="563"/>
      <c r="J27" s="586">
        <v>12665</v>
      </c>
    </row>
    <row r="28" spans="1:10" x14ac:dyDescent="0.25">
      <c r="A28" s="558"/>
      <c r="B28" s="559" t="s">
        <v>502</v>
      </c>
      <c r="C28" s="559" t="s">
        <v>299</v>
      </c>
      <c r="D28" s="559" t="s">
        <v>508</v>
      </c>
      <c r="E28" s="559" t="s">
        <v>306</v>
      </c>
      <c r="F28" s="559" t="s">
        <v>506</v>
      </c>
      <c r="G28" s="559" t="s">
        <v>282</v>
      </c>
      <c r="H28" s="562">
        <v>439.2</v>
      </c>
      <c r="I28" s="563"/>
      <c r="J28" s="586">
        <v>12822</v>
      </c>
    </row>
    <row r="29" spans="1:10" x14ac:dyDescent="0.25">
      <c r="A29" s="564" t="s">
        <v>308</v>
      </c>
      <c r="B29" s="560"/>
      <c r="C29" s="560"/>
      <c r="D29" s="560"/>
      <c r="E29" s="560"/>
      <c r="F29" s="560"/>
      <c r="G29" s="560"/>
      <c r="H29" s="565">
        <v>3244.57</v>
      </c>
      <c r="I29" s="566" t="s">
        <v>290</v>
      </c>
    </row>
    <row r="30" spans="1:10" x14ac:dyDescent="0.25">
      <c r="A30" s="564" t="s">
        <v>509</v>
      </c>
      <c r="B30" s="560"/>
      <c r="C30" s="560"/>
      <c r="D30" s="560"/>
      <c r="E30" s="560"/>
      <c r="F30" s="560"/>
      <c r="G30" s="560"/>
      <c r="H30" s="560"/>
      <c r="I30" s="561"/>
    </row>
    <row r="31" spans="1:10" x14ac:dyDescent="0.25">
      <c r="A31" s="558"/>
      <c r="B31" s="559" t="s">
        <v>295</v>
      </c>
      <c r="C31" s="560"/>
      <c r="D31" s="560"/>
      <c r="E31" s="560"/>
      <c r="F31" s="560"/>
      <c r="G31" s="560"/>
      <c r="H31" s="560"/>
      <c r="I31" s="561"/>
    </row>
    <row r="32" spans="1:10" x14ac:dyDescent="0.25">
      <c r="A32" s="558"/>
      <c r="B32" s="559" t="s">
        <v>502</v>
      </c>
      <c r="C32" s="559" t="s">
        <v>299</v>
      </c>
      <c r="D32" s="559" t="s">
        <v>510</v>
      </c>
      <c r="E32" s="559" t="s">
        <v>511</v>
      </c>
      <c r="F32" s="559" t="s">
        <v>512</v>
      </c>
      <c r="G32" s="559" t="s">
        <v>282</v>
      </c>
      <c r="H32" s="562">
        <v>25.5</v>
      </c>
      <c r="I32" s="563"/>
      <c r="J32" s="586">
        <v>12819</v>
      </c>
    </row>
    <row r="33" spans="1:9" x14ac:dyDescent="0.25">
      <c r="A33" s="564" t="s">
        <v>513</v>
      </c>
      <c r="B33" s="560"/>
      <c r="C33" s="560"/>
      <c r="D33" s="560"/>
      <c r="E33" s="560"/>
      <c r="F33" s="560"/>
      <c r="G33" s="560"/>
      <c r="H33" s="565">
        <v>25.5</v>
      </c>
      <c r="I33" s="566" t="s">
        <v>290</v>
      </c>
    </row>
    <row r="34" spans="1:9" x14ac:dyDescent="0.25">
      <c r="A34" s="564" t="s">
        <v>514</v>
      </c>
      <c r="B34" s="560"/>
      <c r="C34" s="560"/>
      <c r="D34" s="560"/>
      <c r="E34" s="560"/>
      <c r="F34" s="560"/>
      <c r="G34" s="560"/>
      <c r="H34" s="560"/>
      <c r="I34" s="561"/>
    </row>
    <row r="35" spans="1:9" x14ac:dyDescent="0.25">
      <c r="A35" s="558"/>
      <c r="B35" s="559" t="s">
        <v>295</v>
      </c>
      <c r="C35" s="560"/>
      <c r="D35" s="560"/>
      <c r="E35" s="560"/>
      <c r="F35" s="560"/>
      <c r="G35" s="560"/>
      <c r="H35" s="560"/>
      <c r="I35" s="561"/>
    </row>
    <row r="36" spans="1:9" x14ac:dyDescent="0.25">
      <c r="A36" s="558"/>
      <c r="B36" s="559" t="s">
        <v>491</v>
      </c>
      <c r="C36" s="559" t="s">
        <v>279</v>
      </c>
      <c r="D36" s="559">
        <v>63</v>
      </c>
      <c r="E36" s="559"/>
      <c r="F36" s="559" t="s">
        <v>515</v>
      </c>
      <c r="G36" s="559" t="s">
        <v>282</v>
      </c>
      <c r="H36" s="567"/>
      <c r="I36" s="568">
        <v>1084.8</v>
      </c>
    </row>
    <row r="37" spans="1:9" x14ac:dyDescent="0.25">
      <c r="A37" s="558"/>
      <c r="B37" s="559" t="s">
        <v>494</v>
      </c>
      <c r="C37" s="559" t="s">
        <v>279</v>
      </c>
      <c r="D37" s="559">
        <v>64</v>
      </c>
      <c r="E37" s="559"/>
      <c r="F37" s="559" t="s">
        <v>515</v>
      </c>
      <c r="G37" s="559" t="s">
        <v>282</v>
      </c>
      <c r="H37" s="567"/>
      <c r="I37" s="568">
        <v>2109.46</v>
      </c>
    </row>
    <row r="38" spans="1:9" x14ac:dyDescent="0.25">
      <c r="A38" s="558"/>
      <c r="B38" s="559" t="s">
        <v>496</v>
      </c>
      <c r="C38" s="559" t="s">
        <v>279</v>
      </c>
      <c r="D38" s="559">
        <v>137</v>
      </c>
      <c r="E38" s="559"/>
      <c r="F38" s="559" t="s">
        <v>515</v>
      </c>
      <c r="G38" s="559" t="s">
        <v>282</v>
      </c>
      <c r="H38" s="567"/>
      <c r="I38" s="568">
        <v>1406</v>
      </c>
    </row>
    <row r="39" spans="1:9" x14ac:dyDescent="0.25">
      <c r="A39" s="564" t="s">
        <v>516</v>
      </c>
      <c r="B39" s="560"/>
      <c r="C39" s="560"/>
      <c r="D39" s="560"/>
      <c r="E39" s="560"/>
      <c r="F39" s="560"/>
      <c r="G39" s="560"/>
      <c r="H39" s="565" t="s">
        <v>290</v>
      </c>
      <c r="I39" s="566">
        <v>4600.26</v>
      </c>
    </row>
    <row r="40" spans="1:9" x14ac:dyDescent="0.25">
      <c r="A40" s="564" t="s">
        <v>517</v>
      </c>
      <c r="B40" s="560"/>
      <c r="C40" s="560"/>
      <c r="D40" s="560"/>
      <c r="E40" s="560"/>
      <c r="F40" s="560"/>
      <c r="G40" s="560"/>
      <c r="H40" s="560"/>
      <c r="I40" s="561"/>
    </row>
    <row r="41" spans="1:9" x14ac:dyDescent="0.25">
      <c r="A41" s="558"/>
      <c r="B41" s="559" t="s">
        <v>295</v>
      </c>
      <c r="C41" s="560"/>
      <c r="D41" s="560"/>
      <c r="E41" s="560"/>
      <c r="F41" s="560"/>
      <c r="G41" s="560"/>
      <c r="H41" s="560"/>
      <c r="I41" s="561"/>
    </row>
    <row r="42" spans="1:9" x14ac:dyDescent="0.25">
      <c r="A42" s="558"/>
      <c r="B42" s="559" t="s">
        <v>491</v>
      </c>
      <c r="C42" s="559" t="s">
        <v>279</v>
      </c>
      <c r="D42" s="559">
        <v>65</v>
      </c>
      <c r="E42" s="559"/>
      <c r="F42" s="559" t="s">
        <v>518</v>
      </c>
      <c r="G42" s="559" t="s">
        <v>282</v>
      </c>
      <c r="H42" s="567"/>
      <c r="I42" s="568">
        <v>20.97</v>
      </c>
    </row>
    <row r="43" spans="1:9" x14ac:dyDescent="0.25">
      <c r="A43" s="558"/>
      <c r="B43" s="559" t="s">
        <v>494</v>
      </c>
      <c r="C43" s="559" t="s">
        <v>279</v>
      </c>
      <c r="D43" s="559">
        <v>66</v>
      </c>
      <c r="E43" s="559"/>
      <c r="F43" s="559" t="s">
        <v>518</v>
      </c>
      <c r="G43" s="559" t="s">
        <v>282</v>
      </c>
      <c r="H43" s="567"/>
      <c r="I43" s="568">
        <v>39.14</v>
      </c>
    </row>
    <row r="44" spans="1:9" x14ac:dyDescent="0.25">
      <c r="A44" s="558"/>
      <c r="B44" s="559" t="s">
        <v>496</v>
      </c>
      <c r="C44" s="559" t="s">
        <v>279</v>
      </c>
      <c r="D44" s="559">
        <v>138</v>
      </c>
      <c r="E44" s="559"/>
      <c r="F44" s="559" t="s">
        <v>518</v>
      </c>
      <c r="G44" s="559" t="s">
        <v>282</v>
      </c>
      <c r="H44" s="567"/>
      <c r="I44" s="568">
        <v>49</v>
      </c>
    </row>
    <row r="45" spans="1:9" x14ac:dyDescent="0.25">
      <c r="A45" s="558"/>
      <c r="B45" s="559" t="s">
        <v>496</v>
      </c>
      <c r="C45" s="559" t="s">
        <v>279</v>
      </c>
      <c r="D45" s="559">
        <v>138</v>
      </c>
      <c r="E45" s="559"/>
      <c r="F45" s="559" t="s">
        <v>518</v>
      </c>
      <c r="G45" s="559" t="s">
        <v>282</v>
      </c>
      <c r="H45" s="567"/>
      <c r="I45" s="568">
        <v>9</v>
      </c>
    </row>
    <row r="46" spans="1:9" x14ac:dyDescent="0.25">
      <c r="A46" s="564" t="s">
        <v>519</v>
      </c>
      <c r="B46" s="560"/>
      <c r="C46" s="560"/>
      <c r="D46" s="560"/>
      <c r="E46" s="560"/>
      <c r="F46" s="560"/>
      <c r="G46" s="560"/>
      <c r="H46" s="565" t="s">
        <v>290</v>
      </c>
      <c r="I46" s="566">
        <v>118.11</v>
      </c>
    </row>
    <row r="47" spans="1:9" x14ac:dyDescent="0.25">
      <c r="A47" s="564" t="s">
        <v>309</v>
      </c>
      <c r="B47" s="560"/>
      <c r="C47" s="560"/>
      <c r="D47" s="560"/>
      <c r="E47" s="560"/>
      <c r="F47" s="560"/>
      <c r="G47" s="560"/>
      <c r="H47" s="565">
        <v>22713.52</v>
      </c>
      <c r="I47" s="566">
        <v>4718.37</v>
      </c>
    </row>
    <row r="48" spans="1:9" x14ac:dyDescent="0.25">
      <c r="A48" s="564" t="s">
        <v>310</v>
      </c>
      <c r="B48" s="560"/>
      <c r="C48" s="560"/>
      <c r="D48" s="560"/>
      <c r="E48" s="560"/>
      <c r="F48" s="560"/>
      <c r="G48" s="560"/>
      <c r="H48" s="560"/>
      <c r="I48" s="561"/>
    </row>
    <row r="49" spans="1:9" x14ac:dyDescent="0.25">
      <c r="A49" s="564" t="s">
        <v>311</v>
      </c>
      <c r="B49" s="560"/>
      <c r="C49" s="560"/>
      <c r="D49" s="560"/>
      <c r="E49" s="560"/>
      <c r="F49" s="560"/>
      <c r="G49" s="560"/>
      <c r="H49" s="560"/>
      <c r="I49" s="561"/>
    </row>
    <row r="50" spans="1:9" x14ac:dyDescent="0.25">
      <c r="A50" s="564" t="s">
        <v>312</v>
      </c>
      <c r="B50" s="560"/>
      <c r="C50" s="560"/>
      <c r="D50" s="560"/>
      <c r="E50" s="560"/>
      <c r="F50" s="560"/>
      <c r="G50" s="560"/>
      <c r="H50" s="560"/>
      <c r="I50" s="561"/>
    </row>
    <row r="51" spans="1:9" x14ac:dyDescent="0.25">
      <c r="A51" s="558"/>
      <c r="B51" s="559" t="s">
        <v>277</v>
      </c>
      <c r="C51" s="560"/>
      <c r="D51" s="560"/>
      <c r="E51" s="560"/>
      <c r="F51" s="560"/>
      <c r="G51" s="560"/>
      <c r="H51" s="560"/>
      <c r="I51" s="561"/>
    </row>
    <row r="52" spans="1:9" x14ac:dyDescent="0.25">
      <c r="A52" s="558"/>
      <c r="B52" s="559" t="s">
        <v>520</v>
      </c>
      <c r="C52" s="559" t="s">
        <v>279</v>
      </c>
      <c r="D52" s="559">
        <v>57</v>
      </c>
      <c r="E52" s="559"/>
      <c r="F52" s="559" t="s">
        <v>313</v>
      </c>
      <c r="G52" s="559" t="s">
        <v>282</v>
      </c>
      <c r="H52" s="562">
        <v>919</v>
      </c>
      <c r="I52" s="563"/>
    </row>
    <row r="53" spans="1:9" x14ac:dyDescent="0.25">
      <c r="A53" s="558"/>
      <c r="B53" s="559" t="s">
        <v>494</v>
      </c>
      <c r="C53" s="559" t="s">
        <v>279</v>
      </c>
      <c r="D53" s="559">
        <v>56</v>
      </c>
      <c r="E53" s="559"/>
      <c r="F53" s="559" t="s">
        <v>313</v>
      </c>
      <c r="G53" s="559" t="s">
        <v>282</v>
      </c>
      <c r="H53" s="562">
        <v>1106</v>
      </c>
      <c r="I53" s="563"/>
    </row>
    <row r="54" spans="1:9" x14ac:dyDescent="0.25">
      <c r="A54" s="558"/>
      <c r="B54" s="559" t="s">
        <v>521</v>
      </c>
      <c r="C54" s="559" t="s">
        <v>279</v>
      </c>
      <c r="D54" s="559">
        <v>123</v>
      </c>
      <c r="E54" s="559"/>
      <c r="F54" s="559" t="s">
        <v>313</v>
      </c>
      <c r="G54" s="559" t="s">
        <v>282</v>
      </c>
      <c r="H54" s="562">
        <v>928</v>
      </c>
      <c r="I54" s="563"/>
    </row>
    <row r="55" spans="1:9" x14ac:dyDescent="0.25">
      <c r="A55" s="564" t="s">
        <v>315</v>
      </c>
      <c r="B55" s="560"/>
      <c r="C55" s="560"/>
      <c r="D55" s="560"/>
      <c r="E55" s="560"/>
      <c r="F55" s="560"/>
      <c r="G55" s="560"/>
      <c r="H55" s="565">
        <v>2953</v>
      </c>
      <c r="I55" s="566" t="s">
        <v>288</v>
      </c>
    </row>
    <row r="56" spans="1:9" x14ac:dyDescent="0.25">
      <c r="A56" s="564" t="s">
        <v>316</v>
      </c>
      <c r="B56" s="560"/>
      <c r="C56" s="560"/>
      <c r="D56" s="560"/>
      <c r="E56" s="560"/>
      <c r="F56" s="560"/>
      <c r="G56" s="560"/>
      <c r="H56" s="565">
        <v>2953</v>
      </c>
      <c r="I56" s="566" t="s">
        <v>290</v>
      </c>
    </row>
    <row r="57" spans="1:9" x14ac:dyDescent="0.25">
      <c r="A57" s="564" t="s">
        <v>522</v>
      </c>
      <c r="B57" s="560"/>
      <c r="C57" s="560"/>
      <c r="D57" s="560"/>
      <c r="E57" s="560"/>
      <c r="F57" s="560"/>
      <c r="G57" s="560"/>
      <c r="H57" s="560"/>
      <c r="I57" s="561"/>
    </row>
    <row r="58" spans="1:9" x14ac:dyDescent="0.25">
      <c r="A58" s="558"/>
      <c r="B58" s="559" t="s">
        <v>295</v>
      </c>
      <c r="C58" s="560"/>
      <c r="D58" s="560"/>
      <c r="E58" s="560"/>
      <c r="F58" s="560"/>
      <c r="G58" s="560"/>
      <c r="H58" s="560"/>
      <c r="I58" s="561"/>
    </row>
    <row r="59" spans="1:9" x14ac:dyDescent="0.25">
      <c r="A59" s="558"/>
      <c r="B59" s="559" t="s">
        <v>520</v>
      </c>
      <c r="C59" s="559" t="s">
        <v>279</v>
      </c>
      <c r="D59" s="559">
        <v>22</v>
      </c>
      <c r="E59" s="559"/>
      <c r="F59" s="559" t="s">
        <v>523</v>
      </c>
      <c r="G59" s="559" t="s">
        <v>282</v>
      </c>
      <c r="H59" s="562">
        <v>1832</v>
      </c>
      <c r="I59" s="563"/>
    </row>
    <row r="60" spans="1:9" x14ac:dyDescent="0.25">
      <c r="A60" s="558"/>
      <c r="B60" s="559" t="s">
        <v>494</v>
      </c>
      <c r="C60" s="559" t="s">
        <v>279</v>
      </c>
      <c r="D60" s="559">
        <v>53</v>
      </c>
      <c r="E60" s="559"/>
      <c r="F60" s="559" t="s">
        <v>523</v>
      </c>
      <c r="G60" s="559" t="s">
        <v>282</v>
      </c>
      <c r="H60" s="562">
        <v>2706</v>
      </c>
      <c r="I60" s="563"/>
    </row>
    <row r="61" spans="1:9" x14ac:dyDescent="0.25">
      <c r="A61" s="558"/>
      <c r="B61" s="559" t="s">
        <v>521</v>
      </c>
      <c r="C61" s="559" t="s">
        <v>279</v>
      </c>
      <c r="D61" s="559">
        <v>132</v>
      </c>
      <c r="E61" s="559"/>
      <c r="F61" s="559" t="s">
        <v>523</v>
      </c>
      <c r="G61" s="559" t="s">
        <v>282</v>
      </c>
      <c r="H61" s="562">
        <v>1702</v>
      </c>
      <c r="I61" s="563"/>
    </row>
    <row r="62" spans="1:9" x14ac:dyDescent="0.25">
      <c r="A62" s="564" t="s">
        <v>524</v>
      </c>
      <c r="B62" s="560"/>
      <c r="C62" s="560"/>
      <c r="D62" s="560"/>
      <c r="E62" s="560"/>
      <c r="F62" s="560"/>
      <c r="G62" s="560"/>
      <c r="H62" s="565">
        <v>6240</v>
      </c>
      <c r="I62" s="566" t="s">
        <v>290</v>
      </c>
    </row>
    <row r="63" spans="1:9" x14ac:dyDescent="0.25">
      <c r="A63" s="564" t="s">
        <v>525</v>
      </c>
      <c r="B63" s="560"/>
      <c r="C63" s="560"/>
      <c r="D63" s="560"/>
      <c r="E63" s="560"/>
      <c r="F63" s="560"/>
      <c r="G63" s="560"/>
      <c r="H63" s="560"/>
      <c r="I63" s="561"/>
    </row>
    <row r="64" spans="1:9" x14ac:dyDescent="0.25">
      <c r="A64" s="558"/>
      <c r="B64" s="559" t="s">
        <v>295</v>
      </c>
      <c r="C64" s="560"/>
      <c r="D64" s="560"/>
      <c r="E64" s="560"/>
      <c r="F64" s="560"/>
      <c r="G64" s="560"/>
      <c r="H64" s="560"/>
      <c r="I64" s="561"/>
    </row>
    <row r="65" spans="1:9" x14ac:dyDescent="0.25">
      <c r="A65" s="558"/>
      <c r="B65" s="559" t="s">
        <v>520</v>
      </c>
      <c r="C65" s="559" t="s">
        <v>279</v>
      </c>
      <c r="D65" s="559">
        <v>26</v>
      </c>
      <c r="E65" s="559"/>
      <c r="F65" s="559" t="s">
        <v>526</v>
      </c>
      <c r="G65" s="559" t="s">
        <v>282</v>
      </c>
      <c r="H65" s="562">
        <v>428</v>
      </c>
      <c r="I65" s="563"/>
    </row>
    <row r="66" spans="1:9" x14ac:dyDescent="0.25">
      <c r="A66" s="558"/>
      <c r="B66" s="559" t="s">
        <v>494</v>
      </c>
      <c r="C66" s="559" t="s">
        <v>279</v>
      </c>
      <c r="D66" s="559">
        <v>49</v>
      </c>
      <c r="E66" s="559"/>
      <c r="F66" s="559" t="s">
        <v>526</v>
      </c>
      <c r="G66" s="559" t="s">
        <v>282</v>
      </c>
      <c r="H66" s="562">
        <v>660</v>
      </c>
      <c r="I66" s="563"/>
    </row>
    <row r="67" spans="1:9" x14ac:dyDescent="0.25">
      <c r="A67" s="558"/>
      <c r="B67" s="559" t="s">
        <v>521</v>
      </c>
      <c r="C67" s="559" t="s">
        <v>279</v>
      </c>
      <c r="D67" s="559">
        <v>131</v>
      </c>
      <c r="E67" s="559"/>
      <c r="F67" s="559" t="s">
        <v>526</v>
      </c>
      <c r="G67" s="559" t="s">
        <v>282</v>
      </c>
      <c r="H67" s="562">
        <v>443</v>
      </c>
      <c r="I67" s="563"/>
    </row>
    <row r="68" spans="1:9" x14ac:dyDescent="0.25">
      <c r="A68" s="564" t="s">
        <v>527</v>
      </c>
      <c r="B68" s="560"/>
      <c r="C68" s="560"/>
      <c r="D68" s="560"/>
      <c r="E68" s="560"/>
      <c r="F68" s="560"/>
      <c r="G68" s="560"/>
      <c r="H68" s="565">
        <v>1531</v>
      </c>
      <c r="I68" s="566" t="s">
        <v>290</v>
      </c>
    </row>
    <row r="69" spans="1:9" x14ac:dyDescent="0.25">
      <c r="A69" s="564" t="s">
        <v>528</v>
      </c>
      <c r="B69" s="560"/>
      <c r="C69" s="560"/>
      <c r="D69" s="560"/>
      <c r="E69" s="560"/>
      <c r="F69" s="560"/>
      <c r="G69" s="560"/>
      <c r="H69" s="560"/>
      <c r="I69" s="561"/>
    </row>
    <row r="70" spans="1:9" x14ac:dyDescent="0.25">
      <c r="A70" s="558"/>
      <c r="B70" s="559" t="s">
        <v>295</v>
      </c>
      <c r="C70" s="560"/>
      <c r="D70" s="560"/>
      <c r="E70" s="560"/>
      <c r="F70" s="560"/>
      <c r="G70" s="560"/>
      <c r="H70" s="560"/>
      <c r="I70" s="561"/>
    </row>
    <row r="71" spans="1:9" x14ac:dyDescent="0.25">
      <c r="A71" s="558"/>
      <c r="B71" s="559" t="s">
        <v>520</v>
      </c>
      <c r="C71" s="559" t="s">
        <v>279</v>
      </c>
      <c r="D71" s="559">
        <v>30</v>
      </c>
      <c r="E71" s="559"/>
      <c r="F71" s="559" t="s">
        <v>529</v>
      </c>
      <c r="G71" s="559" t="s">
        <v>282</v>
      </c>
      <c r="H71" s="562">
        <v>439</v>
      </c>
      <c r="I71" s="563"/>
    </row>
    <row r="72" spans="1:9" x14ac:dyDescent="0.25">
      <c r="A72" s="558"/>
      <c r="B72" s="559" t="s">
        <v>494</v>
      </c>
      <c r="C72" s="559" t="s">
        <v>279</v>
      </c>
      <c r="D72" s="559">
        <v>45</v>
      </c>
      <c r="E72" s="559"/>
      <c r="F72" s="559" t="s">
        <v>529</v>
      </c>
      <c r="G72" s="559" t="s">
        <v>282</v>
      </c>
      <c r="H72" s="562">
        <v>661</v>
      </c>
      <c r="I72" s="563"/>
    </row>
    <row r="73" spans="1:9" x14ac:dyDescent="0.25">
      <c r="A73" s="558"/>
      <c r="B73" s="559" t="s">
        <v>521</v>
      </c>
      <c r="C73" s="559" t="s">
        <v>279</v>
      </c>
      <c r="D73" s="559">
        <v>127</v>
      </c>
      <c r="E73" s="559"/>
      <c r="F73" s="559" t="s">
        <v>529</v>
      </c>
      <c r="G73" s="559" t="s">
        <v>282</v>
      </c>
      <c r="H73" s="562">
        <v>418</v>
      </c>
      <c r="I73" s="563"/>
    </row>
    <row r="74" spans="1:9" x14ac:dyDescent="0.25">
      <c r="A74" s="564" t="s">
        <v>530</v>
      </c>
      <c r="B74" s="560"/>
      <c r="C74" s="560"/>
      <c r="D74" s="560"/>
      <c r="E74" s="560"/>
      <c r="F74" s="560"/>
      <c r="G74" s="560"/>
      <c r="H74" s="565">
        <v>1518</v>
      </c>
      <c r="I74" s="566" t="s">
        <v>290</v>
      </c>
    </row>
    <row r="75" spans="1:9" x14ac:dyDescent="0.25">
      <c r="A75" s="564" t="s">
        <v>531</v>
      </c>
      <c r="B75" s="560"/>
      <c r="C75" s="560"/>
      <c r="D75" s="560"/>
      <c r="E75" s="560"/>
      <c r="F75" s="560"/>
      <c r="G75" s="560"/>
      <c r="H75" s="560"/>
      <c r="I75" s="561"/>
    </row>
    <row r="76" spans="1:9" x14ac:dyDescent="0.25">
      <c r="A76" s="558"/>
      <c r="B76" s="559" t="s">
        <v>295</v>
      </c>
      <c r="C76" s="560"/>
      <c r="D76" s="560"/>
      <c r="E76" s="560"/>
      <c r="F76" s="560"/>
      <c r="G76" s="560"/>
      <c r="H76" s="560"/>
      <c r="I76" s="561"/>
    </row>
    <row r="77" spans="1:9" x14ac:dyDescent="0.25">
      <c r="A77" s="558"/>
      <c r="B77" s="559" t="s">
        <v>520</v>
      </c>
      <c r="C77" s="559" t="s">
        <v>279</v>
      </c>
      <c r="D77" s="559">
        <v>21</v>
      </c>
      <c r="E77" s="559"/>
      <c r="F77" s="559" t="s">
        <v>532</v>
      </c>
      <c r="G77" s="559" t="s">
        <v>282</v>
      </c>
      <c r="H77" s="562">
        <v>86</v>
      </c>
      <c r="I77" s="563"/>
    </row>
    <row r="78" spans="1:9" x14ac:dyDescent="0.25">
      <c r="A78" s="558"/>
      <c r="B78" s="559" t="s">
        <v>494</v>
      </c>
      <c r="C78" s="559" t="s">
        <v>279</v>
      </c>
      <c r="D78" s="559">
        <v>54</v>
      </c>
      <c r="E78" s="559"/>
      <c r="F78" s="559" t="s">
        <v>532</v>
      </c>
      <c r="G78" s="559" t="s">
        <v>282</v>
      </c>
      <c r="H78" s="562">
        <v>130</v>
      </c>
      <c r="I78" s="563"/>
    </row>
    <row r="79" spans="1:9" x14ac:dyDescent="0.25">
      <c r="A79" s="558"/>
      <c r="B79" s="559" t="s">
        <v>521</v>
      </c>
      <c r="C79" s="559" t="s">
        <v>279</v>
      </c>
      <c r="D79" s="559">
        <v>136</v>
      </c>
      <c r="E79" s="559"/>
      <c r="F79" s="559" t="s">
        <v>532</v>
      </c>
      <c r="G79" s="559" t="s">
        <v>282</v>
      </c>
      <c r="H79" s="562">
        <v>82</v>
      </c>
      <c r="I79" s="563"/>
    </row>
    <row r="80" spans="1:9" x14ac:dyDescent="0.25">
      <c r="A80" s="564" t="s">
        <v>533</v>
      </c>
      <c r="B80" s="560"/>
      <c r="C80" s="560"/>
      <c r="D80" s="560"/>
      <c r="E80" s="560"/>
      <c r="F80" s="560"/>
      <c r="G80" s="560"/>
      <c r="H80" s="565">
        <v>298</v>
      </c>
      <c r="I80" s="566" t="s">
        <v>290</v>
      </c>
    </row>
    <row r="81" spans="1:9" ht="13" thickBot="1" x14ac:dyDescent="0.3">
      <c r="A81" s="569" t="s">
        <v>534</v>
      </c>
      <c r="B81" s="570"/>
      <c r="C81" s="570"/>
      <c r="D81" s="570"/>
      <c r="E81" s="570"/>
      <c r="F81" s="570"/>
      <c r="G81" s="570"/>
      <c r="H81" s="571">
        <v>12540</v>
      </c>
      <c r="I81" s="572" t="s">
        <v>292</v>
      </c>
    </row>
    <row r="82" spans="1:9" x14ac:dyDescent="0.25">
      <c r="A82" s="534" t="s">
        <v>317</v>
      </c>
    </row>
    <row r="83" spans="1:9" x14ac:dyDescent="0.25">
      <c r="A83" s="534" t="s">
        <v>318</v>
      </c>
    </row>
    <row r="84" spans="1:9" x14ac:dyDescent="0.25">
      <c r="B84" s="535" t="s">
        <v>295</v>
      </c>
    </row>
    <row r="85" spans="1:9" x14ac:dyDescent="0.25">
      <c r="B85" s="535" t="s">
        <v>520</v>
      </c>
      <c r="C85" s="535" t="s">
        <v>279</v>
      </c>
      <c r="D85" s="535">
        <v>36</v>
      </c>
      <c r="E85" s="535"/>
      <c r="F85" s="535" t="s">
        <v>319</v>
      </c>
      <c r="G85" s="535" t="s">
        <v>282</v>
      </c>
      <c r="H85" s="536">
        <v>304</v>
      </c>
      <c r="I85" s="537"/>
    </row>
    <row r="86" spans="1:9" x14ac:dyDescent="0.25">
      <c r="B86" s="535" t="s">
        <v>494</v>
      </c>
      <c r="C86" s="535" t="s">
        <v>279</v>
      </c>
      <c r="D86" s="535">
        <v>47</v>
      </c>
      <c r="E86" s="535"/>
      <c r="F86" s="535" t="s">
        <v>319</v>
      </c>
      <c r="G86" s="535" t="s">
        <v>282</v>
      </c>
      <c r="H86" s="536">
        <v>487</v>
      </c>
      <c r="I86" s="537"/>
    </row>
    <row r="87" spans="1:9" x14ac:dyDescent="0.25">
      <c r="B87" s="535" t="s">
        <v>521</v>
      </c>
      <c r="C87" s="535" t="s">
        <v>279</v>
      </c>
      <c r="D87" s="535">
        <v>129</v>
      </c>
      <c r="E87" s="535"/>
      <c r="F87" s="535" t="s">
        <v>319</v>
      </c>
      <c r="G87" s="535" t="s">
        <v>282</v>
      </c>
      <c r="H87" s="536">
        <v>322</v>
      </c>
      <c r="I87" s="537"/>
    </row>
    <row r="88" spans="1:9" x14ac:dyDescent="0.25">
      <c r="A88" s="534" t="s">
        <v>320</v>
      </c>
      <c r="H88" s="538">
        <v>1113</v>
      </c>
      <c r="I88" s="538"/>
    </row>
    <row r="89" spans="1:9" x14ac:dyDescent="0.25">
      <c r="A89" s="534" t="s">
        <v>321</v>
      </c>
      <c r="H89" s="596">
        <v>1113</v>
      </c>
      <c r="I89" s="538"/>
    </row>
    <row r="90" spans="1:9" x14ac:dyDescent="0.25">
      <c r="A90" s="534" t="s">
        <v>322</v>
      </c>
      <c r="H90" s="538"/>
      <c r="I90" s="538"/>
    </row>
    <row r="91" spans="1:9" x14ac:dyDescent="0.25">
      <c r="A91" s="534" t="s">
        <v>323</v>
      </c>
    </row>
    <row r="92" spans="1:9" x14ac:dyDescent="0.25">
      <c r="A92" s="534" t="s">
        <v>324</v>
      </c>
    </row>
    <row r="93" spans="1:9" x14ac:dyDescent="0.25">
      <c r="A93" s="534" t="s">
        <v>325</v>
      </c>
    </row>
    <row r="94" spans="1:9" x14ac:dyDescent="0.25">
      <c r="B94" s="535" t="s">
        <v>295</v>
      </c>
    </row>
    <row r="95" spans="1:9" x14ac:dyDescent="0.25">
      <c r="B95" s="535" t="s">
        <v>491</v>
      </c>
      <c r="C95" s="535" t="s">
        <v>279</v>
      </c>
      <c r="D95" s="535">
        <v>24</v>
      </c>
      <c r="E95" s="535"/>
      <c r="F95" s="535" t="s">
        <v>326</v>
      </c>
      <c r="G95" s="535" t="s">
        <v>282</v>
      </c>
      <c r="H95" s="536">
        <v>722</v>
      </c>
      <c r="I95" s="537"/>
    </row>
    <row r="96" spans="1:9" x14ac:dyDescent="0.25">
      <c r="B96" s="535" t="s">
        <v>494</v>
      </c>
      <c r="C96" s="535" t="s">
        <v>279</v>
      </c>
      <c r="D96" s="535">
        <v>51</v>
      </c>
      <c r="E96" s="535"/>
      <c r="F96" s="535" t="s">
        <v>326</v>
      </c>
      <c r="G96" s="535" t="s">
        <v>282</v>
      </c>
      <c r="H96" s="536">
        <v>740</v>
      </c>
      <c r="I96" s="537"/>
    </row>
    <row r="97" spans="1:9" x14ac:dyDescent="0.25">
      <c r="A97" s="534" t="s">
        <v>327</v>
      </c>
      <c r="H97" s="538">
        <v>1462</v>
      </c>
      <c r="I97" s="538" t="s">
        <v>290</v>
      </c>
    </row>
    <row r="98" spans="1:9" x14ac:dyDescent="0.25">
      <c r="A98" s="534" t="s">
        <v>328</v>
      </c>
      <c r="H98" s="538">
        <v>1462</v>
      </c>
      <c r="I98" s="538" t="s">
        <v>292</v>
      </c>
    </row>
    <row r="99" spans="1:9" x14ac:dyDescent="0.25">
      <c r="A99" s="534" t="s">
        <v>329</v>
      </c>
    </row>
    <row r="100" spans="1:9" x14ac:dyDescent="0.25">
      <c r="A100" s="534" t="s">
        <v>330</v>
      </c>
    </row>
    <row r="101" spans="1:9" x14ac:dyDescent="0.25">
      <c r="B101" s="535" t="s">
        <v>295</v>
      </c>
    </row>
    <row r="102" spans="1:9" x14ac:dyDescent="0.25">
      <c r="B102" s="535" t="s">
        <v>520</v>
      </c>
      <c r="C102" s="535" t="s">
        <v>279</v>
      </c>
      <c r="D102" s="535">
        <v>20</v>
      </c>
      <c r="E102" s="535"/>
      <c r="F102" s="535" t="s">
        <v>331</v>
      </c>
      <c r="G102" s="535" t="s">
        <v>282</v>
      </c>
      <c r="H102" s="536">
        <v>1470</v>
      </c>
      <c r="I102" s="537"/>
    </row>
    <row r="103" spans="1:9" x14ac:dyDescent="0.25">
      <c r="B103" s="535" t="s">
        <v>494</v>
      </c>
      <c r="C103" s="535" t="s">
        <v>279</v>
      </c>
      <c r="D103" s="535">
        <v>41</v>
      </c>
      <c r="E103" s="535"/>
      <c r="F103" s="535" t="s">
        <v>331</v>
      </c>
      <c r="G103" s="535" t="s">
        <v>282</v>
      </c>
      <c r="H103" s="536">
        <v>2622</v>
      </c>
      <c r="I103" s="537"/>
    </row>
    <row r="104" spans="1:9" x14ac:dyDescent="0.25">
      <c r="B104" s="535" t="s">
        <v>521</v>
      </c>
      <c r="C104" s="535" t="s">
        <v>279</v>
      </c>
      <c r="D104" s="535">
        <v>135</v>
      </c>
      <c r="E104" s="535"/>
      <c r="F104" s="535" t="s">
        <v>331</v>
      </c>
      <c r="G104" s="535" t="s">
        <v>282</v>
      </c>
      <c r="H104" s="536">
        <v>1764</v>
      </c>
      <c r="I104" s="537"/>
    </row>
    <row r="105" spans="1:9" x14ac:dyDescent="0.25">
      <c r="A105" s="534" t="s">
        <v>332</v>
      </c>
      <c r="H105" s="538">
        <v>5856</v>
      </c>
      <c r="I105" s="538" t="s">
        <v>290</v>
      </c>
    </row>
    <row r="106" spans="1:9" x14ac:dyDescent="0.25">
      <c r="A106" s="534" t="s">
        <v>333</v>
      </c>
      <c r="H106" s="596">
        <v>5856</v>
      </c>
      <c r="I106" s="538" t="s">
        <v>292</v>
      </c>
    </row>
    <row r="107" spans="1:9" x14ac:dyDescent="0.25">
      <c r="A107" s="534" t="s">
        <v>334</v>
      </c>
      <c r="H107" s="538">
        <v>7318</v>
      </c>
      <c r="I107" s="538"/>
    </row>
    <row r="108" spans="1:9" x14ac:dyDescent="0.25">
      <c r="A108" s="534" t="s">
        <v>335</v>
      </c>
    </row>
    <row r="109" spans="1:9" x14ac:dyDescent="0.25">
      <c r="A109" s="534" t="s">
        <v>336</v>
      </c>
    </row>
    <row r="110" spans="1:9" x14ac:dyDescent="0.25">
      <c r="B110" s="535" t="s">
        <v>337</v>
      </c>
    </row>
    <row r="111" spans="1:9" x14ac:dyDescent="0.25">
      <c r="A111" s="534" t="s">
        <v>338</v>
      </c>
      <c r="H111" s="538" t="s">
        <v>292</v>
      </c>
      <c r="I111" s="538" t="s">
        <v>292</v>
      </c>
    </row>
    <row r="112" spans="1:9" x14ac:dyDescent="0.25">
      <c r="A112" s="534" t="s">
        <v>339</v>
      </c>
    </row>
    <row r="113" spans="1:9" x14ac:dyDescent="0.25">
      <c r="B113" s="535" t="s">
        <v>337</v>
      </c>
    </row>
    <row r="114" spans="1:9" x14ac:dyDescent="0.25">
      <c r="A114" s="534" t="s">
        <v>340</v>
      </c>
      <c r="H114" s="538" t="s">
        <v>290</v>
      </c>
      <c r="I114" s="538" t="s">
        <v>290</v>
      </c>
    </row>
    <row r="115" spans="1:9" x14ac:dyDescent="0.25">
      <c r="A115" s="534" t="s">
        <v>341</v>
      </c>
    </row>
    <row r="116" spans="1:9" x14ac:dyDescent="0.25">
      <c r="B116" s="535" t="s">
        <v>295</v>
      </c>
    </row>
    <row r="117" spans="1:9" x14ac:dyDescent="0.25">
      <c r="B117" s="535" t="s">
        <v>520</v>
      </c>
      <c r="C117" s="535" t="s">
        <v>279</v>
      </c>
      <c r="D117" s="535">
        <v>31</v>
      </c>
      <c r="E117" s="535"/>
      <c r="F117" s="535" t="s">
        <v>342</v>
      </c>
      <c r="G117" s="535" t="s">
        <v>282</v>
      </c>
      <c r="H117" s="536">
        <v>547</v>
      </c>
      <c r="I117" s="537"/>
    </row>
    <row r="118" spans="1:9" x14ac:dyDescent="0.25">
      <c r="B118" s="535" t="s">
        <v>494</v>
      </c>
      <c r="C118" s="535" t="s">
        <v>279</v>
      </c>
      <c r="D118" s="535">
        <v>55</v>
      </c>
      <c r="E118" s="535"/>
      <c r="F118" s="535" t="s">
        <v>342</v>
      </c>
      <c r="G118" s="535" t="s">
        <v>282</v>
      </c>
      <c r="H118" s="536">
        <v>498</v>
      </c>
      <c r="I118" s="537"/>
    </row>
    <row r="119" spans="1:9" x14ac:dyDescent="0.25">
      <c r="B119" s="535" t="s">
        <v>521</v>
      </c>
      <c r="C119" s="535" t="s">
        <v>279</v>
      </c>
      <c r="D119" s="535">
        <v>125</v>
      </c>
      <c r="E119" s="535"/>
      <c r="F119" s="535" t="s">
        <v>342</v>
      </c>
      <c r="G119" s="535" t="s">
        <v>282</v>
      </c>
      <c r="H119" s="536">
        <v>171</v>
      </c>
      <c r="I119" s="537"/>
    </row>
    <row r="120" spans="1:9" x14ac:dyDescent="0.25">
      <c r="A120" s="534" t="s">
        <v>343</v>
      </c>
      <c r="H120" s="538">
        <v>1216</v>
      </c>
      <c r="I120" s="538" t="s">
        <v>290</v>
      </c>
    </row>
    <row r="121" spans="1:9" x14ac:dyDescent="0.25">
      <c r="A121" s="534" t="s">
        <v>344</v>
      </c>
      <c r="H121" s="596">
        <v>1216</v>
      </c>
      <c r="I121" s="538" t="s">
        <v>292</v>
      </c>
    </row>
    <row r="122" spans="1:9" x14ac:dyDescent="0.25">
      <c r="A122" s="534" t="s">
        <v>345</v>
      </c>
    </row>
    <row r="123" spans="1:9" x14ac:dyDescent="0.25">
      <c r="A123" s="534" t="s">
        <v>346</v>
      </c>
    </row>
    <row r="124" spans="1:9" x14ac:dyDescent="0.25">
      <c r="B124" s="535" t="s">
        <v>295</v>
      </c>
    </row>
    <row r="125" spans="1:9" x14ac:dyDescent="0.25">
      <c r="B125" s="535" t="s">
        <v>520</v>
      </c>
      <c r="C125" s="535" t="s">
        <v>279</v>
      </c>
      <c r="D125" s="535">
        <v>32</v>
      </c>
      <c r="E125" s="535"/>
      <c r="F125" s="535" t="s">
        <v>347</v>
      </c>
      <c r="G125" s="535" t="s">
        <v>282</v>
      </c>
      <c r="H125" s="536">
        <v>341</v>
      </c>
      <c r="I125" s="537"/>
    </row>
    <row r="126" spans="1:9" x14ac:dyDescent="0.25">
      <c r="B126" s="535" t="s">
        <v>494</v>
      </c>
      <c r="C126" s="535" t="s">
        <v>279</v>
      </c>
      <c r="D126" s="535">
        <v>43</v>
      </c>
      <c r="E126" s="535"/>
      <c r="F126" s="535" t="s">
        <v>347</v>
      </c>
      <c r="G126" s="535" t="s">
        <v>282</v>
      </c>
      <c r="H126" s="536">
        <v>180</v>
      </c>
      <c r="I126" s="537"/>
    </row>
    <row r="127" spans="1:9" x14ac:dyDescent="0.25">
      <c r="B127" s="535" t="s">
        <v>521</v>
      </c>
      <c r="C127" s="535" t="s">
        <v>279</v>
      </c>
      <c r="D127" s="535">
        <v>126</v>
      </c>
      <c r="E127" s="535"/>
      <c r="F127" s="535" t="s">
        <v>347</v>
      </c>
      <c r="G127" s="535" t="s">
        <v>282</v>
      </c>
      <c r="H127" s="536">
        <v>232</v>
      </c>
      <c r="I127" s="537"/>
    </row>
    <row r="128" spans="1:9" x14ac:dyDescent="0.25">
      <c r="A128" s="534" t="s">
        <v>348</v>
      </c>
      <c r="H128" s="538">
        <v>753</v>
      </c>
      <c r="I128" s="538" t="s">
        <v>290</v>
      </c>
    </row>
    <row r="129" spans="1:9" x14ac:dyDescent="0.25">
      <c r="A129" s="534" t="s">
        <v>349</v>
      </c>
      <c r="H129" s="596">
        <v>753</v>
      </c>
      <c r="I129" s="538" t="s">
        <v>292</v>
      </c>
    </row>
    <row r="130" spans="1:9" x14ac:dyDescent="0.25">
      <c r="A130" s="534" t="s">
        <v>350</v>
      </c>
    </row>
    <row r="131" spans="1:9" x14ac:dyDescent="0.25">
      <c r="B131" s="535" t="s">
        <v>337</v>
      </c>
    </row>
    <row r="132" spans="1:9" x14ac:dyDescent="0.25">
      <c r="B132" s="535" t="s">
        <v>520</v>
      </c>
      <c r="C132" s="535" t="s">
        <v>279</v>
      </c>
      <c r="D132" s="535">
        <v>28</v>
      </c>
      <c r="E132" s="535"/>
      <c r="F132" s="535" t="s">
        <v>351</v>
      </c>
      <c r="G132" s="535" t="s">
        <v>282</v>
      </c>
      <c r="H132" s="536">
        <v>72</v>
      </c>
      <c r="I132" s="537"/>
    </row>
    <row r="133" spans="1:9" x14ac:dyDescent="0.25">
      <c r="A133" s="534" t="s">
        <v>352</v>
      </c>
      <c r="H133" s="538">
        <v>72</v>
      </c>
      <c r="I133" s="538" t="s">
        <v>292</v>
      </c>
    </row>
    <row r="134" spans="1:9" x14ac:dyDescent="0.25">
      <c r="A134" s="534" t="s">
        <v>353</v>
      </c>
    </row>
    <row r="135" spans="1:9" x14ac:dyDescent="0.25">
      <c r="A135" s="534" t="s">
        <v>354</v>
      </c>
    </row>
    <row r="136" spans="1:9" x14ac:dyDescent="0.25">
      <c r="B136" s="535" t="s">
        <v>295</v>
      </c>
    </row>
    <row r="137" spans="1:9" x14ac:dyDescent="0.25">
      <c r="A137" s="534" t="s">
        <v>355</v>
      </c>
      <c r="H137" s="538" t="s">
        <v>290</v>
      </c>
      <c r="I137" s="538" t="s">
        <v>290</v>
      </c>
    </row>
    <row r="138" spans="1:9" x14ac:dyDescent="0.25">
      <c r="A138" s="534" t="s">
        <v>356</v>
      </c>
      <c r="H138" s="538" t="s">
        <v>292</v>
      </c>
      <c r="I138" s="538" t="s">
        <v>292</v>
      </c>
    </row>
    <row r="139" spans="1:9" x14ac:dyDescent="0.25">
      <c r="A139" s="534" t="s">
        <v>357</v>
      </c>
    </row>
    <row r="140" spans="1:9" x14ac:dyDescent="0.25">
      <c r="B140" s="535" t="s">
        <v>337</v>
      </c>
    </row>
    <row r="141" spans="1:9" x14ac:dyDescent="0.25">
      <c r="B141" s="535" t="s">
        <v>520</v>
      </c>
      <c r="C141" s="535" t="s">
        <v>279</v>
      </c>
      <c r="D141" s="535">
        <v>34</v>
      </c>
      <c r="E141" s="535"/>
      <c r="F141" s="535" t="s">
        <v>358</v>
      </c>
      <c r="G141" s="535" t="s">
        <v>282</v>
      </c>
      <c r="H141" s="536">
        <v>75</v>
      </c>
      <c r="I141" s="537"/>
    </row>
    <row r="142" spans="1:9" x14ac:dyDescent="0.25">
      <c r="B142" s="535" t="s">
        <v>494</v>
      </c>
      <c r="C142" s="535" t="s">
        <v>279</v>
      </c>
      <c r="D142" s="535">
        <v>42</v>
      </c>
      <c r="E142" s="535"/>
      <c r="F142" s="535" t="s">
        <v>358</v>
      </c>
      <c r="G142" s="535" t="s">
        <v>282</v>
      </c>
      <c r="H142" s="536">
        <v>77</v>
      </c>
      <c r="I142" s="537"/>
    </row>
    <row r="143" spans="1:9" x14ac:dyDescent="0.25">
      <c r="B143" s="535" t="s">
        <v>521</v>
      </c>
      <c r="C143" s="535" t="s">
        <v>279</v>
      </c>
      <c r="D143" s="535">
        <v>122</v>
      </c>
      <c r="E143" s="535"/>
      <c r="F143" s="535" t="s">
        <v>358</v>
      </c>
      <c r="G143" s="535" t="s">
        <v>282</v>
      </c>
      <c r="H143" s="536">
        <v>75</v>
      </c>
      <c r="I143" s="537"/>
    </row>
    <row r="144" spans="1:9" x14ac:dyDescent="0.25">
      <c r="A144" s="534" t="s">
        <v>359</v>
      </c>
      <c r="H144" s="538">
        <v>227</v>
      </c>
      <c r="I144" s="538" t="s">
        <v>292</v>
      </c>
    </row>
    <row r="145" spans="1:10" x14ac:dyDescent="0.25">
      <c r="A145" s="534" t="s">
        <v>360</v>
      </c>
      <c r="H145" s="538">
        <v>2268</v>
      </c>
      <c r="I145" s="538"/>
    </row>
    <row r="146" spans="1:10" x14ac:dyDescent="0.25">
      <c r="A146" s="534" t="s">
        <v>361</v>
      </c>
    </row>
    <row r="147" spans="1:10" x14ac:dyDescent="0.25">
      <c r="A147" s="534" t="s">
        <v>362</v>
      </c>
    </row>
    <row r="148" spans="1:10" x14ac:dyDescent="0.25">
      <c r="A148" s="534" t="s">
        <v>363</v>
      </c>
    </row>
    <row r="149" spans="1:10" x14ac:dyDescent="0.25">
      <c r="B149" s="535" t="s">
        <v>295</v>
      </c>
    </row>
    <row r="150" spans="1:10" x14ac:dyDescent="0.25">
      <c r="B150" s="535" t="s">
        <v>535</v>
      </c>
      <c r="C150" s="535" t="s">
        <v>299</v>
      </c>
      <c r="D150" s="535" t="s">
        <v>536</v>
      </c>
      <c r="E150" s="535" t="s">
        <v>366</v>
      </c>
      <c r="F150" s="535" t="s">
        <v>537</v>
      </c>
      <c r="G150" s="535" t="s">
        <v>282</v>
      </c>
      <c r="H150" s="536">
        <v>777.59</v>
      </c>
      <c r="I150" s="537"/>
      <c r="J150" s="601" t="s">
        <v>871</v>
      </c>
    </row>
    <row r="151" spans="1:10" x14ac:dyDescent="0.25">
      <c r="B151" s="535" t="s">
        <v>538</v>
      </c>
      <c r="C151" s="535" t="s">
        <v>299</v>
      </c>
      <c r="D151" s="535" t="s">
        <v>539</v>
      </c>
      <c r="E151" s="535" t="s">
        <v>366</v>
      </c>
      <c r="F151" s="535" t="s">
        <v>540</v>
      </c>
      <c r="G151" s="535" t="s">
        <v>282</v>
      </c>
      <c r="H151" s="536">
        <v>1044.33</v>
      </c>
      <c r="I151" s="537"/>
      <c r="J151" s="601" t="s">
        <v>872</v>
      </c>
    </row>
    <row r="152" spans="1:10" x14ac:dyDescent="0.25">
      <c r="B152" s="535" t="s">
        <v>541</v>
      </c>
      <c r="C152" s="535" t="s">
        <v>299</v>
      </c>
      <c r="D152" s="535" t="s">
        <v>542</v>
      </c>
      <c r="E152" s="535" t="s">
        <v>366</v>
      </c>
      <c r="F152" s="535" t="s">
        <v>543</v>
      </c>
      <c r="G152" s="535" t="s">
        <v>282</v>
      </c>
      <c r="H152" s="536">
        <v>1139.82</v>
      </c>
      <c r="I152" s="537"/>
      <c r="J152" s="601" t="s">
        <v>873</v>
      </c>
    </row>
    <row r="153" spans="1:10" x14ac:dyDescent="0.25">
      <c r="A153" s="534" t="s">
        <v>374</v>
      </c>
      <c r="H153" s="538">
        <v>2961.74</v>
      </c>
      <c r="I153" s="538" t="s">
        <v>290</v>
      </c>
    </row>
    <row r="154" spans="1:10" x14ac:dyDescent="0.25">
      <c r="A154" s="534" t="s">
        <v>375</v>
      </c>
    </row>
    <row r="155" spans="1:10" x14ac:dyDescent="0.25">
      <c r="B155" s="535" t="s">
        <v>295</v>
      </c>
    </row>
    <row r="156" spans="1:10" x14ac:dyDescent="0.25">
      <c r="B156" s="535" t="s">
        <v>520</v>
      </c>
      <c r="C156" s="535" t="s">
        <v>279</v>
      </c>
      <c r="D156" s="535">
        <v>33</v>
      </c>
      <c r="E156" s="535"/>
      <c r="F156" s="535" t="s">
        <v>9</v>
      </c>
      <c r="G156" s="535" t="s">
        <v>282</v>
      </c>
      <c r="H156" s="536">
        <v>312</v>
      </c>
      <c r="I156" s="537"/>
    </row>
    <row r="157" spans="1:10" x14ac:dyDescent="0.25">
      <c r="B157" s="535" t="s">
        <v>494</v>
      </c>
      <c r="C157" s="535" t="s">
        <v>279</v>
      </c>
      <c r="D157" s="535">
        <v>40</v>
      </c>
      <c r="E157" s="535"/>
      <c r="F157" s="535" t="s">
        <v>9</v>
      </c>
      <c r="G157" s="535" t="s">
        <v>282</v>
      </c>
      <c r="H157" s="536">
        <v>310</v>
      </c>
      <c r="I157" s="537"/>
    </row>
    <row r="158" spans="1:10" x14ac:dyDescent="0.25">
      <c r="B158" s="535" t="s">
        <v>521</v>
      </c>
      <c r="C158" s="535" t="s">
        <v>279</v>
      </c>
      <c r="D158" s="535">
        <v>124</v>
      </c>
      <c r="E158" s="535"/>
      <c r="F158" s="535" t="s">
        <v>9</v>
      </c>
      <c r="G158" s="535" t="s">
        <v>282</v>
      </c>
      <c r="H158" s="536">
        <v>483</v>
      </c>
      <c r="I158" s="537"/>
    </row>
    <row r="159" spans="1:10" x14ac:dyDescent="0.25">
      <c r="A159" s="534" t="s">
        <v>376</v>
      </c>
      <c r="H159" s="538">
        <v>1105</v>
      </c>
      <c r="I159" s="538" t="s">
        <v>290</v>
      </c>
    </row>
    <row r="160" spans="1:10" x14ac:dyDescent="0.25">
      <c r="A160" s="534" t="s">
        <v>377</v>
      </c>
      <c r="H160" s="596">
        <v>4066.74</v>
      </c>
      <c r="I160" s="538" t="s">
        <v>292</v>
      </c>
    </row>
    <row r="161" spans="1:10" x14ac:dyDescent="0.25">
      <c r="A161" s="534" t="s">
        <v>378</v>
      </c>
    </row>
    <row r="162" spans="1:10" x14ac:dyDescent="0.25">
      <c r="B162" s="535" t="s">
        <v>337</v>
      </c>
    </row>
    <row r="163" spans="1:10" x14ac:dyDescent="0.25">
      <c r="B163" s="535" t="s">
        <v>544</v>
      </c>
      <c r="C163" s="535" t="s">
        <v>299</v>
      </c>
      <c r="D163" s="535">
        <v>11477759</v>
      </c>
      <c r="E163" s="535" t="s">
        <v>380</v>
      </c>
      <c r="F163" s="535" t="s">
        <v>545</v>
      </c>
      <c r="G163" s="535" t="s">
        <v>282</v>
      </c>
      <c r="H163" s="536">
        <v>133.99</v>
      </c>
      <c r="I163" s="537"/>
      <c r="J163" s="601" t="s">
        <v>874</v>
      </c>
    </row>
    <row r="164" spans="1:10" x14ac:dyDescent="0.25">
      <c r="B164" s="535" t="s">
        <v>546</v>
      </c>
      <c r="C164" s="535" t="s">
        <v>299</v>
      </c>
      <c r="D164" s="535">
        <v>11514722</v>
      </c>
      <c r="E164" s="535" t="s">
        <v>380</v>
      </c>
      <c r="F164" s="535" t="s">
        <v>547</v>
      </c>
      <c r="G164" s="535" t="s">
        <v>282</v>
      </c>
      <c r="H164" s="536">
        <v>139.99</v>
      </c>
      <c r="I164" s="537"/>
      <c r="J164" s="601" t="s">
        <v>875</v>
      </c>
    </row>
    <row r="165" spans="1:10" x14ac:dyDescent="0.25">
      <c r="B165" s="535" t="s">
        <v>548</v>
      </c>
      <c r="C165" s="535" t="s">
        <v>299</v>
      </c>
      <c r="D165" s="535">
        <v>11554926</v>
      </c>
      <c r="E165" s="535" t="s">
        <v>380</v>
      </c>
      <c r="F165" s="535" t="s">
        <v>549</v>
      </c>
      <c r="G165" s="535" t="s">
        <v>282</v>
      </c>
      <c r="H165" s="536">
        <v>119.2</v>
      </c>
      <c r="I165" s="537"/>
      <c r="J165" s="601" t="s">
        <v>876</v>
      </c>
    </row>
    <row r="166" spans="1:10" x14ac:dyDescent="0.25">
      <c r="A166" s="534" t="s">
        <v>385</v>
      </c>
      <c r="H166" s="596">
        <v>393.18</v>
      </c>
      <c r="I166" s="538" t="s">
        <v>292</v>
      </c>
    </row>
    <row r="167" spans="1:10" x14ac:dyDescent="0.25">
      <c r="A167" s="534" t="s">
        <v>386</v>
      </c>
    </row>
    <row r="168" spans="1:10" x14ac:dyDescent="0.25">
      <c r="A168" s="534" t="s">
        <v>388</v>
      </c>
    </row>
    <row r="169" spans="1:10" x14ac:dyDescent="0.25">
      <c r="B169" s="535" t="s">
        <v>295</v>
      </c>
    </row>
    <row r="170" spans="1:10" x14ac:dyDescent="0.25">
      <c r="B170" s="535" t="s">
        <v>520</v>
      </c>
      <c r="C170" s="535" t="s">
        <v>279</v>
      </c>
      <c r="D170" s="535">
        <v>25</v>
      </c>
      <c r="E170" s="535"/>
      <c r="F170" s="535" t="s">
        <v>389</v>
      </c>
      <c r="G170" s="535" t="s">
        <v>282</v>
      </c>
      <c r="H170" s="536">
        <v>589</v>
      </c>
      <c r="I170" s="537"/>
    </row>
    <row r="171" spans="1:10" x14ac:dyDescent="0.25">
      <c r="B171" s="535" t="s">
        <v>494</v>
      </c>
      <c r="C171" s="535" t="s">
        <v>279</v>
      </c>
      <c r="D171" s="535">
        <v>50</v>
      </c>
      <c r="E171" s="535"/>
      <c r="F171" s="535" t="s">
        <v>389</v>
      </c>
      <c r="G171" s="535" t="s">
        <v>282</v>
      </c>
      <c r="H171" s="536">
        <v>649</v>
      </c>
      <c r="I171" s="537"/>
    </row>
    <row r="172" spans="1:10" x14ac:dyDescent="0.25">
      <c r="B172" s="535" t="s">
        <v>521</v>
      </c>
      <c r="C172" s="535" t="s">
        <v>279</v>
      </c>
      <c r="D172" s="535">
        <v>133</v>
      </c>
      <c r="E172" s="535"/>
      <c r="F172" s="535" t="s">
        <v>389</v>
      </c>
      <c r="G172" s="535" t="s">
        <v>282</v>
      </c>
      <c r="H172" s="536">
        <v>533</v>
      </c>
      <c r="I172" s="537"/>
    </row>
    <row r="173" spans="1:10" x14ac:dyDescent="0.25">
      <c r="A173" s="534" t="s">
        <v>390</v>
      </c>
      <c r="H173" s="538">
        <v>1771</v>
      </c>
      <c r="I173" s="538" t="s">
        <v>290</v>
      </c>
    </row>
    <row r="174" spans="1:10" x14ac:dyDescent="0.25">
      <c r="A174" s="534" t="s">
        <v>550</v>
      </c>
      <c r="H174" s="538">
        <v>1771</v>
      </c>
      <c r="I174" s="538" t="s">
        <v>292</v>
      </c>
    </row>
    <row r="175" spans="1:10" x14ac:dyDescent="0.25">
      <c r="A175" s="534" t="s">
        <v>392</v>
      </c>
    </row>
    <row r="176" spans="1:10" x14ac:dyDescent="0.25">
      <c r="B176" s="535" t="s">
        <v>337</v>
      </c>
    </row>
    <row r="177" spans="1:10" x14ac:dyDescent="0.25">
      <c r="B177" s="535" t="s">
        <v>504</v>
      </c>
      <c r="C177" s="535" t="s">
        <v>299</v>
      </c>
      <c r="D177" s="535">
        <v>2511</v>
      </c>
      <c r="E177" s="535" t="s">
        <v>551</v>
      </c>
      <c r="F177" s="535" t="s">
        <v>398</v>
      </c>
      <c r="G177" s="535" t="s">
        <v>282</v>
      </c>
      <c r="H177" s="536">
        <v>3200</v>
      </c>
      <c r="I177" s="537"/>
      <c r="J177" s="601" t="s">
        <v>877</v>
      </c>
    </row>
    <row r="178" spans="1:10" x14ac:dyDescent="0.25">
      <c r="B178" s="535" t="s">
        <v>552</v>
      </c>
      <c r="C178" s="535" t="s">
        <v>299</v>
      </c>
      <c r="D178" s="535">
        <v>2633</v>
      </c>
      <c r="E178" s="535" t="s">
        <v>400</v>
      </c>
      <c r="F178" s="535" t="s">
        <v>401</v>
      </c>
      <c r="G178" s="535" t="s">
        <v>282</v>
      </c>
      <c r="H178" s="536">
        <v>287.5</v>
      </c>
      <c r="I178" s="537"/>
      <c r="J178" s="601" t="s">
        <v>878</v>
      </c>
    </row>
    <row r="179" spans="1:10" x14ac:dyDescent="0.25">
      <c r="B179" s="535" t="s">
        <v>553</v>
      </c>
      <c r="C179" s="535" t="s">
        <v>299</v>
      </c>
      <c r="D179" s="535" t="s">
        <v>554</v>
      </c>
      <c r="E179" s="535" t="s">
        <v>555</v>
      </c>
      <c r="F179" s="535" t="s">
        <v>556</v>
      </c>
      <c r="G179" s="535" t="s">
        <v>282</v>
      </c>
      <c r="H179" s="536">
        <v>400</v>
      </c>
      <c r="I179" s="537"/>
      <c r="J179" s="601" t="s">
        <v>879</v>
      </c>
    </row>
    <row r="180" spans="1:10" x14ac:dyDescent="0.25">
      <c r="B180" s="535" t="s">
        <v>548</v>
      </c>
      <c r="C180" s="535" t="s">
        <v>299</v>
      </c>
      <c r="D180" s="535" t="s">
        <v>557</v>
      </c>
      <c r="E180" s="535" t="s">
        <v>555</v>
      </c>
      <c r="F180" s="535" t="s">
        <v>558</v>
      </c>
      <c r="G180" s="535" t="s">
        <v>282</v>
      </c>
      <c r="H180" s="536">
        <v>400</v>
      </c>
      <c r="I180" s="537"/>
      <c r="J180" s="601" t="s">
        <v>880</v>
      </c>
    </row>
    <row r="181" spans="1:10" x14ac:dyDescent="0.25">
      <c r="A181" s="534" t="s">
        <v>402</v>
      </c>
      <c r="H181" s="538">
        <v>4287.5</v>
      </c>
      <c r="I181" s="538" t="s">
        <v>290</v>
      </c>
    </row>
    <row r="182" spans="1:10" x14ac:dyDescent="0.25">
      <c r="A182" s="534" t="s">
        <v>403</v>
      </c>
    </row>
    <row r="183" spans="1:10" x14ac:dyDescent="0.25">
      <c r="B183" s="535" t="s">
        <v>295</v>
      </c>
    </row>
    <row r="184" spans="1:10" x14ac:dyDescent="0.25">
      <c r="A184" s="534" t="s">
        <v>407</v>
      </c>
      <c r="H184" s="538" t="s">
        <v>290</v>
      </c>
      <c r="I184" s="538" t="s">
        <v>290</v>
      </c>
    </row>
    <row r="185" spans="1:10" x14ac:dyDescent="0.25">
      <c r="A185" s="534" t="s">
        <v>408</v>
      </c>
    </row>
    <row r="186" spans="1:10" x14ac:dyDescent="0.25">
      <c r="B186" s="535" t="s">
        <v>295</v>
      </c>
    </row>
    <row r="187" spans="1:10" x14ac:dyDescent="0.25">
      <c r="B187" s="535" t="s">
        <v>520</v>
      </c>
      <c r="C187" s="535" t="s">
        <v>279</v>
      </c>
      <c r="D187" s="535">
        <v>29</v>
      </c>
      <c r="E187" s="535"/>
      <c r="F187" s="535" t="s">
        <v>409</v>
      </c>
      <c r="G187" s="535" t="s">
        <v>282</v>
      </c>
      <c r="H187" s="536">
        <v>281</v>
      </c>
      <c r="I187" s="537"/>
    </row>
    <row r="188" spans="1:10" x14ac:dyDescent="0.25">
      <c r="B188" s="535" t="s">
        <v>494</v>
      </c>
      <c r="C188" s="535" t="s">
        <v>279</v>
      </c>
      <c r="D188" s="535">
        <v>46</v>
      </c>
      <c r="E188" s="535"/>
      <c r="F188" s="535" t="s">
        <v>409</v>
      </c>
      <c r="G188" s="535" t="s">
        <v>282</v>
      </c>
      <c r="H188" s="536">
        <v>188</v>
      </c>
      <c r="I188" s="537"/>
    </row>
    <row r="189" spans="1:10" x14ac:dyDescent="0.25">
      <c r="B189" s="535" t="s">
        <v>521</v>
      </c>
      <c r="C189" s="535" t="s">
        <v>279</v>
      </c>
      <c r="D189" s="535">
        <v>128</v>
      </c>
      <c r="E189" s="535"/>
      <c r="F189" s="535" t="s">
        <v>409</v>
      </c>
      <c r="G189" s="535" t="s">
        <v>282</v>
      </c>
      <c r="H189" s="536">
        <v>815</v>
      </c>
      <c r="I189" s="537"/>
    </row>
    <row r="190" spans="1:10" x14ac:dyDescent="0.25">
      <c r="A190" s="534" t="s">
        <v>410</v>
      </c>
      <c r="H190" s="596">
        <v>1284</v>
      </c>
      <c r="I190" s="538" t="s">
        <v>290</v>
      </c>
    </row>
    <row r="191" spans="1:10" x14ac:dyDescent="0.25">
      <c r="A191" s="534" t="s">
        <v>411</v>
      </c>
      <c r="H191" s="538">
        <v>5571.5</v>
      </c>
      <c r="I191" s="538" t="s">
        <v>292</v>
      </c>
    </row>
    <row r="192" spans="1:10" x14ac:dyDescent="0.25">
      <c r="A192" s="534" t="s">
        <v>412</v>
      </c>
    </row>
    <row r="193" spans="1:10" x14ac:dyDescent="0.25">
      <c r="B193" s="535" t="s">
        <v>337</v>
      </c>
    </row>
    <row r="194" spans="1:10" x14ac:dyDescent="0.25">
      <c r="B194" s="535" t="s">
        <v>559</v>
      </c>
      <c r="C194" s="535" t="s">
        <v>299</v>
      </c>
      <c r="D194" s="535" t="s">
        <v>560</v>
      </c>
      <c r="E194" s="535" t="s">
        <v>561</v>
      </c>
      <c r="F194" s="535" t="s">
        <v>562</v>
      </c>
      <c r="G194" s="535" t="s">
        <v>282</v>
      </c>
      <c r="H194" s="536">
        <v>118</v>
      </c>
      <c r="I194" s="537"/>
      <c r="J194" s="586" t="s">
        <v>881</v>
      </c>
    </row>
    <row r="195" spans="1:10" x14ac:dyDescent="0.25">
      <c r="A195" s="534" t="s">
        <v>413</v>
      </c>
      <c r="H195" s="596">
        <v>118</v>
      </c>
      <c r="I195" s="538" t="s">
        <v>292</v>
      </c>
    </row>
    <row r="196" spans="1:10" x14ac:dyDescent="0.25">
      <c r="A196" s="534" t="s">
        <v>563</v>
      </c>
    </row>
    <row r="197" spans="1:10" x14ac:dyDescent="0.25">
      <c r="A197" s="534" t="s">
        <v>564</v>
      </c>
    </row>
    <row r="198" spans="1:10" x14ac:dyDescent="0.25">
      <c r="B198" s="535" t="s">
        <v>295</v>
      </c>
    </row>
    <row r="199" spans="1:10" x14ac:dyDescent="0.25">
      <c r="B199" s="535" t="s">
        <v>520</v>
      </c>
      <c r="C199" s="535" t="s">
        <v>279</v>
      </c>
      <c r="D199" s="535">
        <v>37</v>
      </c>
      <c r="E199" s="535"/>
      <c r="F199" s="535" t="s">
        <v>565</v>
      </c>
      <c r="G199" s="535" t="s">
        <v>282</v>
      </c>
      <c r="H199" s="536">
        <v>513</v>
      </c>
      <c r="I199" s="537"/>
    </row>
    <row r="200" spans="1:10" x14ac:dyDescent="0.25">
      <c r="B200" s="535" t="s">
        <v>494</v>
      </c>
      <c r="C200" s="535" t="s">
        <v>279</v>
      </c>
      <c r="D200" s="535">
        <v>48</v>
      </c>
      <c r="E200" s="535"/>
      <c r="F200" s="535" t="s">
        <v>565</v>
      </c>
      <c r="G200" s="535" t="s">
        <v>282</v>
      </c>
      <c r="H200" s="536">
        <v>536</v>
      </c>
      <c r="I200" s="537"/>
    </row>
    <row r="201" spans="1:10" x14ac:dyDescent="0.25">
      <c r="B201" s="535" t="s">
        <v>521</v>
      </c>
      <c r="C201" s="535" t="s">
        <v>279</v>
      </c>
      <c r="D201" s="535">
        <v>130</v>
      </c>
      <c r="E201" s="535"/>
      <c r="F201" s="535" t="s">
        <v>565</v>
      </c>
      <c r="G201" s="535" t="s">
        <v>282</v>
      </c>
      <c r="H201" s="536">
        <v>503</v>
      </c>
      <c r="I201" s="537"/>
    </row>
    <row r="202" spans="1:10" x14ac:dyDescent="0.25">
      <c r="A202" s="534" t="s">
        <v>566</v>
      </c>
      <c r="H202" s="538">
        <v>1552</v>
      </c>
      <c r="I202" s="538" t="s">
        <v>290</v>
      </c>
    </row>
    <row r="203" spans="1:10" x14ac:dyDescent="0.25">
      <c r="A203" s="534" t="s">
        <v>567</v>
      </c>
      <c r="H203" s="538">
        <v>1552</v>
      </c>
      <c r="I203" s="538" t="s">
        <v>292</v>
      </c>
    </row>
    <row r="204" spans="1:10" x14ac:dyDescent="0.25">
      <c r="A204" s="534" t="s">
        <v>414</v>
      </c>
    </row>
    <row r="205" spans="1:10" x14ac:dyDescent="0.25">
      <c r="A205" s="534" t="s">
        <v>415</v>
      </c>
    </row>
    <row r="206" spans="1:10" x14ac:dyDescent="0.25">
      <c r="A206" s="534" t="s">
        <v>416</v>
      </c>
    </row>
    <row r="207" spans="1:10" x14ac:dyDescent="0.25">
      <c r="B207" s="535" t="s">
        <v>277</v>
      </c>
    </row>
    <row r="208" spans="1:10" x14ac:dyDescent="0.25">
      <c r="B208" s="535" t="s">
        <v>520</v>
      </c>
      <c r="C208" s="535" t="s">
        <v>279</v>
      </c>
      <c r="D208" s="535">
        <v>23</v>
      </c>
      <c r="E208" s="535"/>
      <c r="F208" s="535" t="s">
        <v>417</v>
      </c>
      <c r="G208" s="535" t="s">
        <v>282</v>
      </c>
      <c r="H208" s="536">
        <v>1117</v>
      </c>
      <c r="I208" s="537"/>
    </row>
    <row r="209" spans="1:10" x14ac:dyDescent="0.25">
      <c r="B209" s="535" t="s">
        <v>494</v>
      </c>
      <c r="C209" s="535" t="s">
        <v>279</v>
      </c>
      <c r="D209" s="535">
        <v>52</v>
      </c>
      <c r="E209" s="535"/>
      <c r="F209" s="535" t="s">
        <v>417</v>
      </c>
      <c r="G209" s="535" t="s">
        <v>282</v>
      </c>
      <c r="H209" s="536">
        <v>1145</v>
      </c>
      <c r="I209" s="537"/>
    </row>
    <row r="210" spans="1:10" x14ac:dyDescent="0.25">
      <c r="B210" s="535" t="s">
        <v>521</v>
      </c>
      <c r="C210" s="535" t="s">
        <v>279</v>
      </c>
      <c r="D210" s="535">
        <v>134</v>
      </c>
      <c r="E210" s="535"/>
      <c r="F210" s="535" t="s">
        <v>417</v>
      </c>
      <c r="G210" s="535" t="s">
        <v>282</v>
      </c>
      <c r="H210" s="536">
        <v>1117</v>
      </c>
      <c r="I210" s="537"/>
    </row>
    <row r="211" spans="1:10" x14ac:dyDescent="0.25">
      <c r="A211" s="534" t="s">
        <v>418</v>
      </c>
      <c r="H211" s="538">
        <v>3379</v>
      </c>
      <c r="I211" s="538" t="s">
        <v>288</v>
      </c>
    </row>
    <row r="212" spans="1:10" x14ac:dyDescent="0.25">
      <c r="A212" s="534" t="s">
        <v>419</v>
      </c>
      <c r="H212" s="538">
        <v>3379</v>
      </c>
      <c r="I212" s="538" t="s">
        <v>290</v>
      </c>
    </row>
    <row r="213" spans="1:10" x14ac:dyDescent="0.25">
      <c r="A213" s="534" t="s">
        <v>420</v>
      </c>
      <c r="H213" s="538">
        <v>3379</v>
      </c>
      <c r="I213" s="538" t="s">
        <v>292</v>
      </c>
    </row>
    <row r="214" spans="1:10" x14ac:dyDescent="0.25">
      <c r="A214" s="534" t="s">
        <v>421</v>
      </c>
      <c r="H214" s="538">
        <v>16851.419999999998</v>
      </c>
      <c r="I214" s="538"/>
    </row>
    <row r="215" spans="1:10" x14ac:dyDescent="0.25">
      <c r="A215" s="534" t="s">
        <v>422</v>
      </c>
    </row>
    <row r="216" spans="1:10" x14ac:dyDescent="0.25">
      <c r="A216" s="534" t="s">
        <v>423</v>
      </c>
    </row>
    <row r="217" spans="1:10" x14ac:dyDescent="0.25">
      <c r="B217" s="535" t="s">
        <v>337</v>
      </c>
    </row>
    <row r="218" spans="1:10" x14ac:dyDescent="0.25">
      <c r="B218" s="535" t="s">
        <v>568</v>
      </c>
      <c r="C218" s="535" t="s">
        <v>299</v>
      </c>
      <c r="D218" s="535" t="s">
        <v>569</v>
      </c>
      <c r="E218" s="535" t="s">
        <v>454</v>
      </c>
      <c r="F218" s="535" t="s">
        <v>570</v>
      </c>
      <c r="G218" s="535" t="s">
        <v>282</v>
      </c>
      <c r="H218" s="536">
        <v>66.75</v>
      </c>
      <c r="I218" s="537"/>
      <c r="J218" s="601" t="s">
        <v>883</v>
      </c>
    </row>
    <row r="219" spans="1:10" x14ac:dyDescent="0.25">
      <c r="B219" s="535" t="s">
        <v>571</v>
      </c>
      <c r="C219" s="535" t="s">
        <v>299</v>
      </c>
      <c r="D219" s="535"/>
      <c r="E219" s="535" t="s">
        <v>426</v>
      </c>
      <c r="F219" s="535" t="s">
        <v>572</v>
      </c>
      <c r="G219" s="535" t="s">
        <v>282</v>
      </c>
      <c r="H219" s="536">
        <v>59</v>
      </c>
      <c r="I219" s="537"/>
      <c r="J219" s="601" t="s">
        <v>882</v>
      </c>
    </row>
    <row r="220" spans="1:10" x14ac:dyDescent="0.25">
      <c r="B220" s="535" t="s">
        <v>573</v>
      </c>
      <c r="C220" s="535" t="s">
        <v>299</v>
      </c>
      <c r="D220" s="535" t="s">
        <v>574</v>
      </c>
      <c r="E220" s="535" t="s">
        <v>454</v>
      </c>
      <c r="F220" s="535" t="s">
        <v>575</v>
      </c>
      <c r="G220" s="535" t="s">
        <v>282</v>
      </c>
      <c r="H220" s="536">
        <v>16.350000000000001</v>
      </c>
      <c r="I220" s="537"/>
      <c r="J220" s="601" t="s">
        <v>884</v>
      </c>
    </row>
    <row r="221" spans="1:10" x14ac:dyDescent="0.25">
      <c r="A221" s="534" t="s">
        <v>430</v>
      </c>
      <c r="H221" s="596">
        <v>142.1</v>
      </c>
      <c r="I221" s="538" t="s">
        <v>292</v>
      </c>
    </row>
    <row r="222" spans="1:10" x14ac:dyDescent="0.25">
      <c r="A222" s="534" t="s">
        <v>431</v>
      </c>
    </row>
    <row r="223" spans="1:10" x14ac:dyDescent="0.25">
      <c r="B223" s="535" t="s">
        <v>337</v>
      </c>
    </row>
    <row r="224" spans="1:10" x14ac:dyDescent="0.25">
      <c r="A224" s="534" t="s">
        <v>432</v>
      </c>
      <c r="H224" s="538" t="s">
        <v>292</v>
      </c>
      <c r="I224" s="538" t="s">
        <v>292</v>
      </c>
    </row>
    <row r="225" spans="1:10" x14ac:dyDescent="0.25">
      <c r="A225" s="534" t="s">
        <v>433</v>
      </c>
    </row>
    <row r="226" spans="1:10" x14ac:dyDescent="0.25">
      <c r="B226" s="535" t="s">
        <v>337</v>
      </c>
    </row>
    <row r="227" spans="1:10" x14ac:dyDescent="0.25">
      <c r="A227" s="534" t="s">
        <v>434</v>
      </c>
      <c r="H227" s="538" t="s">
        <v>292</v>
      </c>
      <c r="I227" s="538" t="s">
        <v>292</v>
      </c>
    </row>
    <row r="228" spans="1:10" x14ac:dyDescent="0.25">
      <c r="A228" s="534" t="s">
        <v>435</v>
      </c>
    </row>
    <row r="229" spans="1:10" x14ac:dyDescent="0.25">
      <c r="B229" s="535" t="s">
        <v>337</v>
      </c>
    </row>
    <row r="230" spans="1:10" x14ac:dyDescent="0.25">
      <c r="B230" s="535" t="s">
        <v>504</v>
      </c>
      <c r="C230" s="535" t="s">
        <v>299</v>
      </c>
      <c r="D230" s="535" t="s">
        <v>576</v>
      </c>
      <c r="E230" s="535" t="s">
        <v>577</v>
      </c>
      <c r="F230" s="535" t="s">
        <v>578</v>
      </c>
      <c r="G230" s="535" t="s">
        <v>282</v>
      </c>
      <c r="H230" s="536">
        <v>600</v>
      </c>
      <c r="I230" s="537"/>
      <c r="J230" s="601" t="s">
        <v>885</v>
      </c>
    </row>
    <row r="231" spans="1:10" x14ac:dyDescent="0.25">
      <c r="A231" s="534" t="s">
        <v>440</v>
      </c>
      <c r="H231" s="596">
        <v>600</v>
      </c>
      <c r="I231" s="538" t="s">
        <v>292</v>
      </c>
    </row>
    <row r="232" spans="1:10" x14ac:dyDescent="0.25">
      <c r="A232" s="534" t="s">
        <v>441</v>
      </c>
      <c r="H232" s="538">
        <v>742.1</v>
      </c>
      <c r="I232" s="538"/>
    </row>
    <row r="233" spans="1:10" x14ac:dyDescent="0.25">
      <c r="A233" s="534" t="s">
        <v>442</v>
      </c>
    </row>
    <row r="234" spans="1:10" x14ac:dyDescent="0.25">
      <c r="A234" s="534" t="s">
        <v>443</v>
      </c>
    </row>
    <row r="235" spans="1:10" x14ac:dyDescent="0.25">
      <c r="B235" s="535" t="s">
        <v>337</v>
      </c>
    </row>
    <row r="236" spans="1:10" x14ac:dyDescent="0.25">
      <c r="B236" s="535" t="s">
        <v>568</v>
      </c>
      <c r="C236" s="535" t="s">
        <v>299</v>
      </c>
      <c r="D236" s="535" t="s">
        <v>569</v>
      </c>
      <c r="E236" s="535" t="s">
        <v>454</v>
      </c>
      <c r="F236" s="535" t="s">
        <v>457</v>
      </c>
      <c r="G236" s="535" t="s">
        <v>282</v>
      </c>
      <c r="H236" s="536">
        <v>202</v>
      </c>
      <c r="I236" s="537"/>
      <c r="J236" s="601" t="s">
        <v>883</v>
      </c>
    </row>
    <row r="237" spans="1:10" x14ac:dyDescent="0.25">
      <c r="B237" s="535" t="s">
        <v>573</v>
      </c>
      <c r="C237" s="535" t="s">
        <v>299</v>
      </c>
      <c r="D237" s="535" t="s">
        <v>574</v>
      </c>
      <c r="E237" s="535" t="s">
        <v>454</v>
      </c>
      <c r="F237" s="535" t="s">
        <v>457</v>
      </c>
      <c r="G237" s="535" t="s">
        <v>282</v>
      </c>
      <c r="H237" s="536">
        <v>233.65</v>
      </c>
      <c r="I237" s="537"/>
      <c r="J237" s="601" t="s">
        <v>884</v>
      </c>
    </row>
    <row r="238" spans="1:10" x14ac:dyDescent="0.25">
      <c r="A238" s="534" t="s">
        <v>458</v>
      </c>
      <c r="H238" s="596">
        <v>435.65</v>
      </c>
      <c r="I238" s="538" t="s">
        <v>292</v>
      </c>
    </row>
    <row r="239" spans="1:10" x14ac:dyDescent="0.25">
      <c r="A239" s="534" t="s">
        <v>459</v>
      </c>
    </row>
    <row r="240" spans="1:10" x14ac:dyDescent="0.25">
      <c r="B240" s="535" t="s">
        <v>337</v>
      </c>
    </row>
    <row r="241" spans="1:10" x14ac:dyDescent="0.25">
      <c r="B241" s="535" t="s">
        <v>498</v>
      </c>
      <c r="C241" s="535" t="s">
        <v>299</v>
      </c>
      <c r="D241" s="535" t="s">
        <v>579</v>
      </c>
      <c r="E241" s="535" t="s">
        <v>462</v>
      </c>
      <c r="F241" s="535" t="s">
        <v>580</v>
      </c>
      <c r="G241" s="535" t="s">
        <v>282</v>
      </c>
      <c r="H241" s="536">
        <v>10</v>
      </c>
      <c r="I241" s="537"/>
      <c r="J241" s="601" t="s">
        <v>886</v>
      </c>
    </row>
    <row r="242" spans="1:10" x14ac:dyDescent="0.25">
      <c r="B242" s="535" t="s">
        <v>581</v>
      </c>
      <c r="C242" s="535" t="s">
        <v>299</v>
      </c>
      <c r="D242" s="535" t="s">
        <v>582</v>
      </c>
      <c r="E242" s="535" t="s">
        <v>462</v>
      </c>
      <c r="F242" s="535" t="s">
        <v>583</v>
      </c>
      <c r="G242" s="535" t="s">
        <v>282</v>
      </c>
      <c r="H242" s="536">
        <v>20</v>
      </c>
      <c r="I242" s="537"/>
      <c r="J242" s="601" t="s">
        <v>887</v>
      </c>
    </row>
    <row r="243" spans="1:10" x14ac:dyDescent="0.25">
      <c r="A243" s="534" t="s">
        <v>464</v>
      </c>
      <c r="H243" s="538">
        <v>30</v>
      </c>
      <c r="I243" s="538" t="s">
        <v>292</v>
      </c>
    </row>
    <row r="244" spans="1:10" x14ac:dyDescent="0.25">
      <c r="A244" s="534" t="s">
        <v>465</v>
      </c>
    </row>
    <row r="245" spans="1:10" x14ac:dyDescent="0.25">
      <c r="B245" s="535" t="s">
        <v>337</v>
      </c>
    </row>
    <row r="246" spans="1:10" x14ac:dyDescent="0.25">
      <c r="A246" s="534" t="s">
        <v>466</v>
      </c>
      <c r="H246" s="538" t="s">
        <v>292</v>
      </c>
      <c r="I246" s="538" t="s">
        <v>292</v>
      </c>
    </row>
    <row r="247" spans="1:10" x14ac:dyDescent="0.25">
      <c r="A247" s="534" t="s">
        <v>467</v>
      </c>
    </row>
    <row r="248" spans="1:10" x14ac:dyDescent="0.25">
      <c r="B248" s="535" t="s">
        <v>337</v>
      </c>
    </row>
    <row r="249" spans="1:10" x14ac:dyDescent="0.25">
      <c r="A249" s="534" t="s">
        <v>472</v>
      </c>
      <c r="H249" s="538" t="s">
        <v>292</v>
      </c>
      <c r="I249" s="538" t="s">
        <v>292</v>
      </c>
    </row>
    <row r="250" spans="1:10" x14ac:dyDescent="0.25">
      <c r="A250" s="534" t="s">
        <v>473</v>
      </c>
      <c r="H250" s="538">
        <v>465.65</v>
      </c>
      <c r="I250" s="538"/>
    </row>
    <row r="251" spans="1:10" x14ac:dyDescent="0.25">
      <c r="A251" s="534" t="s">
        <v>474</v>
      </c>
    </row>
    <row r="252" spans="1:10" x14ac:dyDescent="0.25">
      <c r="A252" s="534" t="s">
        <v>584</v>
      </c>
    </row>
    <row r="253" spans="1:10" x14ac:dyDescent="0.25">
      <c r="B253" s="535" t="s">
        <v>504</v>
      </c>
      <c r="C253" s="535" t="s">
        <v>299</v>
      </c>
      <c r="D253" s="535">
        <v>70963</v>
      </c>
      <c r="E253" s="535" t="s">
        <v>585</v>
      </c>
      <c r="F253" s="535" t="s">
        <v>586</v>
      </c>
      <c r="G253" s="535" t="s">
        <v>282</v>
      </c>
      <c r="H253" s="536">
        <v>672</v>
      </c>
      <c r="I253" s="537"/>
      <c r="J253" s="586">
        <v>12572</v>
      </c>
    </row>
    <row r="254" spans="1:10" x14ac:dyDescent="0.25">
      <c r="A254" s="534" t="s">
        <v>587</v>
      </c>
      <c r="H254" s="538">
        <v>672</v>
      </c>
      <c r="I254" s="538" t="s">
        <v>292</v>
      </c>
    </row>
    <row r="255" spans="1:10" x14ac:dyDescent="0.25">
      <c r="A255" s="534" t="s">
        <v>475</v>
      </c>
    </row>
    <row r="256" spans="1:10" x14ac:dyDescent="0.25">
      <c r="B256" s="535" t="s">
        <v>337</v>
      </c>
    </row>
    <row r="257" spans="1:9" x14ac:dyDescent="0.25">
      <c r="A257" s="534" t="s">
        <v>479</v>
      </c>
      <c r="H257" s="538" t="s">
        <v>292</v>
      </c>
      <c r="I257" s="538" t="s">
        <v>292</v>
      </c>
    </row>
    <row r="258" spans="1:9" x14ac:dyDescent="0.25">
      <c r="A258" s="534" t="s">
        <v>480</v>
      </c>
      <c r="H258" s="538">
        <v>672</v>
      </c>
      <c r="I258" s="538"/>
    </row>
    <row r="261" spans="1:9" x14ac:dyDescent="0.25">
      <c r="A261" s="707" t="s">
        <v>588</v>
      </c>
      <c r="B261" s="670"/>
      <c r="C261" s="670"/>
      <c r="D261" s="670"/>
      <c r="E261" s="670"/>
      <c r="F261" s="670"/>
      <c r="G261" s="670"/>
      <c r="H261" s="670"/>
      <c r="I261" s="670"/>
    </row>
  </sheetData>
  <mergeCells count="4">
    <mergeCell ref="A1:I1"/>
    <mergeCell ref="A2:I2"/>
    <mergeCell ref="A3:I3"/>
    <mergeCell ref="A261:I261"/>
  </mergeCells>
  <pageMargins left="0.19" right="0.19" top="0.25" bottom="0.45" header="0.253" footer="8.5300000000000001E-2"/>
  <pageSetup paperSize="5" scale="75" fitToHeight="0" orientation="landscape" r:id="rId1"/>
  <headerFooter>
    <oddFooter>&amp;L&amp;8&amp;F  &amp;A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F110"/>
  <sheetViews>
    <sheetView topLeftCell="A31" workbookViewId="0">
      <selection activeCell="C66" sqref="C66"/>
    </sheetView>
  </sheetViews>
  <sheetFormatPr defaultColWidth="9.1796875" defaultRowHeight="12.5" x14ac:dyDescent="0.25"/>
  <cols>
    <col min="1" max="1" width="48.1796875" style="529" customWidth="1"/>
    <col min="2" max="2" width="13.1796875" style="529" customWidth="1"/>
    <col min="3" max="3" width="13.7265625" style="529" customWidth="1"/>
    <col min="4" max="4" width="11.54296875" style="529" customWidth="1"/>
    <col min="5" max="5" width="11.7265625" style="529" customWidth="1"/>
    <col min="6" max="6" width="13.453125" style="529" customWidth="1"/>
    <col min="7" max="16384" width="9.1796875" style="529"/>
  </cols>
  <sheetData>
    <row r="1" spans="1:6" ht="18" x14ac:dyDescent="0.4">
      <c r="A1" s="705" t="s">
        <v>262</v>
      </c>
      <c r="B1" s="670"/>
      <c r="C1" s="670"/>
      <c r="D1" s="670"/>
      <c r="E1" s="670"/>
      <c r="F1" s="670"/>
    </row>
    <row r="2" spans="1:6" ht="18" x14ac:dyDescent="0.4">
      <c r="A2" s="705" t="s">
        <v>589</v>
      </c>
      <c r="B2" s="670"/>
      <c r="C2" s="670"/>
      <c r="D2" s="670"/>
      <c r="E2" s="670"/>
      <c r="F2" s="670"/>
    </row>
    <row r="3" spans="1:6" ht="13" x14ac:dyDescent="0.3">
      <c r="A3" s="706" t="s">
        <v>590</v>
      </c>
      <c r="B3" s="670"/>
      <c r="C3" s="670"/>
      <c r="D3" s="670"/>
      <c r="E3" s="670"/>
      <c r="F3" s="670"/>
    </row>
    <row r="5" spans="1:6" ht="23" x14ac:dyDescent="0.25">
      <c r="A5" s="62"/>
      <c r="B5" s="533" t="s">
        <v>591</v>
      </c>
      <c r="C5" s="533" t="s">
        <v>592</v>
      </c>
      <c r="D5" s="533" t="s">
        <v>593</v>
      </c>
      <c r="E5" s="533" t="s">
        <v>594</v>
      </c>
      <c r="F5" s="533" t="s">
        <v>216</v>
      </c>
    </row>
    <row r="6" spans="1:6" x14ac:dyDescent="0.25">
      <c r="A6" s="534" t="s">
        <v>595</v>
      </c>
      <c r="B6" s="573"/>
      <c r="C6" s="573"/>
      <c r="D6" s="573"/>
      <c r="E6" s="573"/>
      <c r="F6" s="573"/>
    </row>
    <row r="7" spans="1:6" x14ac:dyDescent="0.25">
      <c r="A7" s="534" t="s">
        <v>596</v>
      </c>
      <c r="B7" s="573"/>
      <c r="C7" s="573"/>
      <c r="D7" s="573"/>
      <c r="E7" s="573"/>
      <c r="F7" s="536">
        <f t="shared" ref="F7:F22" si="0">(((B7)+(C7))+(D7))+(E7)</f>
        <v>0</v>
      </c>
    </row>
    <row r="8" spans="1:6" x14ac:dyDescent="0.25">
      <c r="A8" s="534" t="s">
        <v>597</v>
      </c>
      <c r="B8" s="573"/>
      <c r="C8" s="573"/>
      <c r="D8" s="573"/>
      <c r="E8" s="573"/>
      <c r="F8" s="536">
        <f t="shared" si="0"/>
        <v>0</v>
      </c>
    </row>
    <row r="9" spans="1:6" x14ac:dyDescent="0.25">
      <c r="A9" s="534" t="s">
        <v>598</v>
      </c>
      <c r="B9" s="573"/>
      <c r="C9" s="573"/>
      <c r="D9" s="573"/>
      <c r="E9" s="573"/>
      <c r="F9" s="536">
        <f t="shared" si="0"/>
        <v>0</v>
      </c>
    </row>
    <row r="10" spans="1:6" x14ac:dyDescent="0.25">
      <c r="A10" s="534" t="s">
        <v>599</v>
      </c>
      <c r="B10" s="536">
        <f>24567.67</f>
        <v>24567.67</v>
      </c>
      <c r="C10" s="536">
        <f>15583.44</f>
        <v>15583.44</v>
      </c>
      <c r="D10" s="573"/>
      <c r="E10" s="573"/>
      <c r="F10" s="536">
        <f t="shared" si="0"/>
        <v>40151.11</v>
      </c>
    </row>
    <row r="11" spans="1:6" x14ac:dyDescent="0.25">
      <c r="A11" s="534" t="s">
        <v>600</v>
      </c>
      <c r="B11" s="538">
        <f>(B9)+(B10)</f>
        <v>24567.67</v>
      </c>
      <c r="C11" s="538">
        <f>(C9)+(C10)</f>
        <v>15583.44</v>
      </c>
      <c r="D11" s="538">
        <f>(D9)+(D10)</f>
        <v>0</v>
      </c>
      <c r="E11" s="538">
        <f>(E9)+(E10)</f>
        <v>0</v>
      </c>
      <c r="F11" s="538">
        <f t="shared" si="0"/>
        <v>40151.11</v>
      </c>
    </row>
    <row r="12" spans="1:6" x14ac:dyDescent="0.25">
      <c r="A12" s="534" t="s">
        <v>601</v>
      </c>
      <c r="B12" s="536">
        <f>47988.45</f>
        <v>47988.45</v>
      </c>
      <c r="C12" s="536">
        <f>143980.79</f>
        <v>143980.79</v>
      </c>
      <c r="D12" s="573"/>
      <c r="E12" s="573"/>
      <c r="F12" s="536">
        <f t="shared" si="0"/>
        <v>191969.24</v>
      </c>
    </row>
    <row r="13" spans="1:6" x14ac:dyDescent="0.25">
      <c r="A13" s="534" t="s">
        <v>602</v>
      </c>
      <c r="B13" s="538">
        <f>((B8)+(B11))+(B12)</f>
        <v>72556.12</v>
      </c>
      <c r="C13" s="538">
        <f>((C8)+(C11))+(C12)</f>
        <v>159564.23000000001</v>
      </c>
      <c r="D13" s="538">
        <f>((D8)+(D11))+(D12)</f>
        <v>0</v>
      </c>
      <c r="E13" s="538">
        <f>((E8)+(E11))+(E12)</f>
        <v>0</v>
      </c>
      <c r="F13" s="538">
        <f t="shared" si="0"/>
        <v>232120.35</v>
      </c>
    </row>
    <row r="14" spans="1:6" x14ac:dyDescent="0.25">
      <c r="A14" s="534" t="s">
        <v>603</v>
      </c>
      <c r="B14" s="538">
        <f>(B7)+(B13)</f>
        <v>72556.12</v>
      </c>
      <c r="C14" s="538">
        <f>(C7)+(C13)</f>
        <v>159564.23000000001</v>
      </c>
      <c r="D14" s="538">
        <f>(D7)+(D13)</f>
        <v>0</v>
      </c>
      <c r="E14" s="538">
        <f>(E7)+(E13)</f>
        <v>0</v>
      </c>
      <c r="F14" s="538">
        <f t="shared" si="0"/>
        <v>232120.35</v>
      </c>
    </row>
    <row r="15" spans="1:6" x14ac:dyDescent="0.25">
      <c r="A15" s="534" t="s">
        <v>604</v>
      </c>
      <c r="B15" s="573"/>
      <c r="C15" s="573"/>
      <c r="D15" s="573"/>
      <c r="E15" s="573"/>
      <c r="F15" s="536">
        <f t="shared" si="0"/>
        <v>0</v>
      </c>
    </row>
    <row r="16" spans="1:6" x14ac:dyDescent="0.25">
      <c r="A16" s="534" t="s">
        <v>605</v>
      </c>
      <c r="B16" s="536">
        <f>413.29</f>
        <v>413.29</v>
      </c>
      <c r="C16" s="536">
        <f>1538.89</f>
        <v>1538.89</v>
      </c>
      <c r="D16" s="573"/>
      <c r="E16" s="573"/>
      <c r="F16" s="536">
        <f t="shared" si="0"/>
        <v>1952.18</v>
      </c>
    </row>
    <row r="17" spans="1:6" x14ac:dyDescent="0.25">
      <c r="A17" s="534" t="s">
        <v>606</v>
      </c>
      <c r="B17" s="538">
        <f>(B15)+(B16)</f>
        <v>413.29</v>
      </c>
      <c r="C17" s="538">
        <f>(C15)+(C16)</f>
        <v>1538.89</v>
      </c>
      <c r="D17" s="538">
        <f>(D15)+(D16)</f>
        <v>0</v>
      </c>
      <c r="E17" s="538">
        <f>(E15)+(E16)</f>
        <v>0</v>
      </c>
      <c r="F17" s="538">
        <f t="shared" si="0"/>
        <v>1952.18</v>
      </c>
    </row>
    <row r="18" spans="1:6" x14ac:dyDescent="0.25">
      <c r="A18" s="534" t="s">
        <v>607</v>
      </c>
      <c r="B18" s="573"/>
      <c r="C18" s="573"/>
      <c r="D18" s="573"/>
      <c r="E18" s="573"/>
      <c r="F18" s="536">
        <f t="shared" si="0"/>
        <v>0</v>
      </c>
    </row>
    <row r="19" spans="1:6" x14ac:dyDescent="0.25">
      <c r="A19" s="534" t="s">
        <v>608</v>
      </c>
      <c r="B19" s="536">
        <f>0.02</f>
        <v>0.02</v>
      </c>
      <c r="C19" s="573"/>
      <c r="D19" s="573"/>
      <c r="E19" s="573"/>
      <c r="F19" s="536">
        <f t="shared" si="0"/>
        <v>0.02</v>
      </c>
    </row>
    <row r="20" spans="1:6" x14ac:dyDescent="0.25">
      <c r="A20" s="534" t="s">
        <v>609</v>
      </c>
      <c r="B20" s="538">
        <f>(B18)+(B19)</f>
        <v>0.02</v>
      </c>
      <c r="C20" s="538">
        <f>(C18)+(C19)</f>
        <v>0</v>
      </c>
      <c r="D20" s="538">
        <f>(D18)+(D19)</f>
        <v>0</v>
      </c>
      <c r="E20" s="538">
        <f>(E18)+(E19)</f>
        <v>0</v>
      </c>
      <c r="F20" s="538">
        <f t="shared" si="0"/>
        <v>0.02</v>
      </c>
    </row>
    <row r="21" spans="1:6" x14ac:dyDescent="0.25">
      <c r="A21" s="534" t="s">
        <v>610</v>
      </c>
      <c r="B21" s="538">
        <f>((B14)+(B17))+(B20)</f>
        <v>72969.429999999993</v>
      </c>
      <c r="C21" s="538">
        <f>((C14)+(C17))+(C20)</f>
        <v>161103.12000000002</v>
      </c>
      <c r="D21" s="538">
        <f>((D14)+(D17))+(D20)</f>
        <v>0</v>
      </c>
      <c r="E21" s="538">
        <f>((E14)+(E17))+(E20)</f>
        <v>0</v>
      </c>
      <c r="F21" s="538">
        <f t="shared" si="0"/>
        <v>234072.55000000002</v>
      </c>
    </row>
    <row r="22" spans="1:6" x14ac:dyDescent="0.25">
      <c r="A22" s="534" t="s">
        <v>611</v>
      </c>
      <c r="B22" s="538">
        <f>(B21)-(0)</f>
        <v>72969.429999999993</v>
      </c>
      <c r="C22" s="538">
        <f>(C21)-(0)</f>
        <v>161103.12000000002</v>
      </c>
      <c r="D22" s="538">
        <f>(D21)-(0)</f>
        <v>0</v>
      </c>
      <c r="E22" s="538">
        <f>(E21)-(0)</f>
        <v>0</v>
      </c>
      <c r="F22" s="538">
        <f t="shared" si="0"/>
        <v>234072.55000000002</v>
      </c>
    </row>
    <row r="23" spans="1:6" x14ac:dyDescent="0.25">
      <c r="A23" s="534" t="s">
        <v>612</v>
      </c>
      <c r="B23" s="573"/>
      <c r="C23" s="573"/>
      <c r="D23" s="573"/>
      <c r="E23" s="573"/>
      <c r="F23" s="573"/>
    </row>
    <row r="24" spans="1:6" x14ac:dyDescent="0.25">
      <c r="A24" s="534" t="s">
        <v>613</v>
      </c>
      <c r="B24" s="573"/>
      <c r="C24" s="573"/>
      <c r="D24" s="573"/>
      <c r="E24" s="573"/>
      <c r="F24" s="536">
        <f t="shared" ref="F24:F87" si="1">(((B24)+(C24))+(D24))+(E24)</f>
        <v>0</v>
      </c>
    </row>
    <row r="25" spans="1:6" x14ac:dyDescent="0.25">
      <c r="A25" s="534" t="s">
        <v>614</v>
      </c>
      <c r="B25" s="573"/>
      <c r="C25" s="573"/>
      <c r="D25" s="573"/>
      <c r="E25" s="573"/>
      <c r="F25" s="536">
        <f t="shared" si="1"/>
        <v>0</v>
      </c>
    </row>
    <row r="26" spans="1:6" x14ac:dyDescent="0.25">
      <c r="A26" s="534" t="s">
        <v>615</v>
      </c>
      <c r="B26" s="573"/>
      <c r="C26" s="573"/>
      <c r="D26" s="573"/>
      <c r="E26" s="573"/>
      <c r="F26" s="536">
        <f t="shared" si="1"/>
        <v>0</v>
      </c>
    </row>
    <row r="27" spans="1:6" x14ac:dyDescent="0.25">
      <c r="A27" s="534" t="s">
        <v>616</v>
      </c>
      <c r="B27" s="536">
        <f>45929.7</f>
        <v>45929.7</v>
      </c>
      <c r="C27" s="536">
        <f>108979.86</f>
        <v>108979.86</v>
      </c>
      <c r="D27" s="573"/>
      <c r="E27" s="573"/>
      <c r="F27" s="536">
        <f t="shared" si="1"/>
        <v>154909.56</v>
      </c>
    </row>
    <row r="28" spans="1:6" x14ac:dyDescent="0.25">
      <c r="A28" s="534" t="s">
        <v>617</v>
      </c>
      <c r="B28" s="538">
        <f>(B26)+(B27)</f>
        <v>45929.7</v>
      </c>
      <c r="C28" s="538">
        <f>(C26)+(C27)</f>
        <v>108979.86</v>
      </c>
      <c r="D28" s="538">
        <f>(D26)+(D27)</f>
        <v>0</v>
      </c>
      <c r="E28" s="538">
        <f>(E26)+(E27)</f>
        <v>0</v>
      </c>
      <c r="F28" s="538">
        <f t="shared" si="1"/>
        <v>154909.56</v>
      </c>
    </row>
    <row r="29" spans="1:6" x14ac:dyDescent="0.25">
      <c r="A29" s="534" t="s">
        <v>618</v>
      </c>
      <c r="B29" s="538">
        <f>(B25)+(B28)</f>
        <v>45929.7</v>
      </c>
      <c r="C29" s="538">
        <f>(C25)+(C28)</f>
        <v>108979.86</v>
      </c>
      <c r="D29" s="538">
        <f>(D25)+(D28)</f>
        <v>0</v>
      </c>
      <c r="E29" s="538">
        <f>(E25)+(E28)</f>
        <v>0</v>
      </c>
      <c r="F29" s="538">
        <f t="shared" si="1"/>
        <v>154909.56</v>
      </c>
    </row>
    <row r="30" spans="1:6" x14ac:dyDescent="0.25">
      <c r="A30" s="534" t="s">
        <v>619</v>
      </c>
      <c r="B30" s="573"/>
      <c r="C30" s="573"/>
      <c r="D30" s="573"/>
      <c r="E30" s="573"/>
      <c r="F30" s="536">
        <f t="shared" si="1"/>
        <v>0</v>
      </c>
    </row>
    <row r="31" spans="1:6" x14ac:dyDescent="0.25">
      <c r="A31" s="534" t="s">
        <v>620</v>
      </c>
      <c r="B31" s="536">
        <f>16961.97</f>
        <v>16961.97</v>
      </c>
      <c r="C31" s="536">
        <f>19443.45</f>
        <v>19443.45</v>
      </c>
      <c r="D31" s="536">
        <f>6576.97</f>
        <v>6576.97</v>
      </c>
      <c r="E31" s="573"/>
      <c r="F31" s="536">
        <f t="shared" si="1"/>
        <v>42982.39</v>
      </c>
    </row>
    <row r="32" spans="1:6" x14ac:dyDescent="0.25">
      <c r="A32" s="534" t="s">
        <v>621</v>
      </c>
      <c r="B32" s="536">
        <f>977.18</f>
        <v>977.18</v>
      </c>
      <c r="C32" s="536">
        <f>3244.57</f>
        <v>3244.57</v>
      </c>
      <c r="D32" s="536">
        <f>441.72</f>
        <v>441.72</v>
      </c>
      <c r="E32" s="573"/>
      <c r="F32" s="536">
        <f t="shared" si="1"/>
        <v>4663.47</v>
      </c>
    </row>
    <row r="33" spans="1:6" x14ac:dyDescent="0.25">
      <c r="A33" s="534" t="s">
        <v>622</v>
      </c>
      <c r="B33" s="536">
        <f>25.5</f>
        <v>25.5</v>
      </c>
      <c r="C33" s="536">
        <f>25.5</f>
        <v>25.5</v>
      </c>
      <c r="D33" s="573"/>
      <c r="E33" s="573"/>
      <c r="F33" s="536">
        <f t="shared" si="1"/>
        <v>51</v>
      </c>
    </row>
    <row r="34" spans="1:6" x14ac:dyDescent="0.25">
      <c r="A34" s="534" t="s">
        <v>623</v>
      </c>
      <c r="B34" s="536">
        <f>-3208.1</f>
        <v>-3208.1</v>
      </c>
      <c r="C34" s="536">
        <f>-4600.26</f>
        <v>-4600.26</v>
      </c>
      <c r="D34" s="573"/>
      <c r="E34" s="573"/>
      <c r="F34" s="536">
        <f t="shared" si="1"/>
        <v>-7808.3600000000006</v>
      </c>
    </row>
    <row r="35" spans="1:6" x14ac:dyDescent="0.25">
      <c r="A35" s="534" t="s">
        <v>624</v>
      </c>
      <c r="B35" s="536">
        <f>-38.97</f>
        <v>-38.97</v>
      </c>
      <c r="C35" s="536">
        <f>-118.11</f>
        <v>-118.11</v>
      </c>
      <c r="D35" s="573"/>
      <c r="E35" s="573"/>
      <c r="F35" s="536">
        <f t="shared" si="1"/>
        <v>-157.07999999999998</v>
      </c>
    </row>
    <row r="36" spans="1:6" x14ac:dyDescent="0.25">
      <c r="A36" s="534" t="s">
        <v>625</v>
      </c>
      <c r="B36" s="538">
        <f>(((((B30)+(B31))+(B32))+(B33))+(B34))+(B35)</f>
        <v>14717.580000000002</v>
      </c>
      <c r="C36" s="538">
        <f>(((((C30)+(C31))+(C32))+(C33))+(C34))+(C35)</f>
        <v>17995.150000000001</v>
      </c>
      <c r="D36" s="538">
        <f>(((((D30)+(D31))+(D32))+(D33))+(D34))+(D35)</f>
        <v>7018.6900000000005</v>
      </c>
      <c r="E36" s="538">
        <f>(((((E30)+(E31))+(E32))+(E33))+(E34))+(E35)</f>
        <v>0</v>
      </c>
      <c r="F36" s="538">
        <f t="shared" si="1"/>
        <v>39731.420000000006</v>
      </c>
    </row>
    <row r="37" spans="1:6" x14ac:dyDescent="0.25">
      <c r="A37" s="534" t="s">
        <v>626</v>
      </c>
      <c r="B37" s="573"/>
      <c r="C37" s="573"/>
      <c r="D37" s="573"/>
      <c r="E37" s="573"/>
      <c r="F37" s="536">
        <f t="shared" si="1"/>
        <v>0</v>
      </c>
    </row>
    <row r="38" spans="1:6" x14ac:dyDescent="0.25">
      <c r="A38" s="534" t="s">
        <v>627</v>
      </c>
      <c r="B38" s="573"/>
      <c r="C38" s="573"/>
      <c r="D38" s="573"/>
      <c r="E38" s="573"/>
      <c r="F38" s="536">
        <f t="shared" si="1"/>
        <v>0</v>
      </c>
    </row>
    <row r="39" spans="1:6" x14ac:dyDescent="0.25">
      <c r="A39" s="534" t="s">
        <v>628</v>
      </c>
      <c r="B39" s="536">
        <f>1341.42</f>
        <v>1341.42</v>
      </c>
      <c r="C39" s="536">
        <f>2953</f>
        <v>2953</v>
      </c>
      <c r="D39" s="573"/>
      <c r="E39" s="573"/>
      <c r="F39" s="536">
        <f t="shared" si="1"/>
        <v>4294.42</v>
      </c>
    </row>
    <row r="40" spans="1:6" x14ac:dyDescent="0.25">
      <c r="A40" s="534" t="s">
        <v>629</v>
      </c>
      <c r="B40" s="538">
        <f>(B38)+(B39)</f>
        <v>1341.42</v>
      </c>
      <c r="C40" s="538">
        <f>(C38)+(C39)</f>
        <v>2953</v>
      </c>
      <c r="D40" s="538">
        <f>(D38)+(D39)</f>
        <v>0</v>
      </c>
      <c r="E40" s="538">
        <f>(E38)+(E39)</f>
        <v>0</v>
      </c>
      <c r="F40" s="538">
        <f t="shared" si="1"/>
        <v>4294.42</v>
      </c>
    </row>
    <row r="41" spans="1:6" x14ac:dyDescent="0.25">
      <c r="A41" s="534" t="s">
        <v>630</v>
      </c>
      <c r="B41" s="536">
        <f>2608.59</f>
        <v>2608.59</v>
      </c>
      <c r="C41" s="536">
        <f>6240</f>
        <v>6240</v>
      </c>
      <c r="D41" s="573"/>
      <c r="E41" s="573"/>
      <c r="F41" s="536">
        <f t="shared" si="1"/>
        <v>8848.59</v>
      </c>
    </row>
    <row r="42" spans="1:6" x14ac:dyDescent="0.25">
      <c r="A42" s="534" t="s">
        <v>631</v>
      </c>
      <c r="B42" s="536">
        <f>610.19</f>
        <v>610.19000000000005</v>
      </c>
      <c r="C42" s="536">
        <f>1531</f>
        <v>1531</v>
      </c>
      <c r="D42" s="573"/>
      <c r="E42" s="573"/>
      <c r="F42" s="536">
        <f t="shared" si="1"/>
        <v>2141.19</v>
      </c>
    </row>
    <row r="43" spans="1:6" x14ac:dyDescent="0.25">
      <c r="A43" s="534" t="s">
        <v>632</v>
      </c>
      <c r="B43" s="536">
        <f>681.4</f>
        <v>681.4</v>
      </c>
      <c r="C43" s="536">
        <f>1518</f>
        <v>1518</v>
      </c>
      <c r="D43" s="573"/>
      <c r="E43" s="573"/>
      <c r="F43" s="536">
        <f t="shared" si="1"/>
        <v>2199.4</v>
      </c>
    </row>
    <row r="44" spans="1:6" x14ac:dyDescent="0.25">
      <c r="A44" s="534" t="s">
        <v>633</v>
      </c>
      <c r="B44" s="536">
        <f>133.44</f>
        <v>133.44</v>
      </c>
      <c r="C44" s="536">
        <f>298</f>
        <v>298</v>
      </c>
      <c r="D44" s="573"/>
      <c r="E44" s="573"/>
      <c r="F44" s="536">
        <f t="shared" si="1"/>
        <v>431.44</v>
      </c>
    </row>
    <row r="45" spans="1:6" x14ac:dyDescent="0.25">
      <c r="A45" s="534" t="s">
        <v>634</v>
      </c>
      <c r="B45" s="538">
        <f>(((((B37)+(B40))+(B41))+(B42))+(B43))+(B44)</f>
        <v>5375.04</v>
      </c>
      <c r="C45" s="538">
        <f>(((((C37)+(C40))+(C41))+(C42))+(C43))+(C44)</f>
        <v>12540</v>
      </c>
      <c r="D45" s="538">
        <f>(((((D37)+(D40))+(D41))+(D42))+(D43))+(D44)</f>
        <v>0</v>
      </c>
      <c r="E45" s="538">
        <f>(((((E37)+(E40))+(E41))+(E42))+(E43))+(E44)</f>
        <v>0</v>
      </c>
      <c r="F45" s="538">
        <f t="shared" si="1"/>
        <v>17915.04</v>
      </c>
    </row>
    <row r="46" spans="1:6" x14ac:dyDescent="0.25">
      <c r="A46" s="534" t="s">
        <v>635</v>
      </c>
      <c r="B46" s="573"/>
      <c r="C46" s="573"/>
      <c r="D46" s="573"/>
      <c r="E46" s="573"/>
      <c r="F46" s="536">
        <f t="shared" si="1"/>
        <v>0</v>
      </c>
    </row>
    <row r="47" spans="1:6" x14ac:dyDescent="0.25">
      <c r="A47" s="534" t="s">
        <v>636</v>
      </c>
      <c r="B47" s="536">
        <f>536.73</f>
        <v>536.73</v>
      </c>
      <c r="C47" s="536">
        <f>1113</f>
        <v>1113</v>
      </c>
      <c r="D47" s="573"/>
      <c r="E47" s="573"/>
      <c r="F47" s="536">
        <f t="shared" si="1"/>
        <v>1649.73</v>
      </c>
    </row>
    <row r="48" spans="1:6" x14ac:dyDescent="0.25">
      <c r="A48" s="534" t="s">
        <v>637</v>
      </c>
      <c r="B48" s="538">
        <f>(B46)+(B47)</f>
        <v>536.73</v>
      </c>
      <c r="C48" s="538">
        <f>(C46)+(C47)</f>
        <v>1113</v>
      </c>
      <c r="D48" s="538">
        <f>(D46)+(D47)</f>
        <v>0</v>
      </c>
      <c r="E48" s="538">
        <f>(E46)+(E47)</f>
        <v>0</v>
      </c>
      <c r="F48" s="538">
        <f t="shared" si="1"/>
        <v>1649.73</v>
      </c>
    </row>
    <row r="49" spans="1:6" x14ac:dyDescent="0.25">
      <c r="A49" s="534" t="s">
        <v>638</v>
      </c>
      <c r="B49" s="538">
        <f>((((B24)+(B29))+(B36))+(B45))+(B48)</f>
        <v>66559.049999999988</v>
      </c>
      <c r="C49" s="538">
        <f>((((C24)+(C29))+(C36))+(C45))+(C48)</f>
        <v>140628.01</v>
      </c>
      <c r="D49" s="538">
        <f>((((D24)+(D29))+(D36))+(D45))+(D48)</f>
        <v>7018.6900000000005</v>
      </c>
      <c r="E49" s="538">
        <f>((((E24)+(E29))+(E36))+(E45))+(E48)</f>
        <v>0</v>
      </c>
      <c r="F49" s="538">
        <f t="shared" si="1"/>
        <v>214205.75</v>
      </c>
    </row>
    <row r="50" spans="1:6" x14ac:dyDescent="0.25">
      <c r="A50" s="534" t="s">
        <v>639</v>
      </c>
      <c r="B50" s="573"/>
      <c r="C50" s="573"/>
      <c r="D50" s="573"/>
      <c r="E50" s="573"/>
      <c r="F50" s="536">
        <f t="shared" si="1"/>
        <v>0</v>
      </c>
    </row>
    <row r="51" spans="1:6" x14ac:dyDescent="0.25">
      <c r="A51" s="534" t="s">
        <v>640</v>
      </c>
      <c r="B51" s="573"/>
      <c r="C51" s="573"/>
      <c r="D51" s="573"/>
      <c r="E51" s="573"/>
      <c r="F51" s="536">
        <f t="shared" si="1"/>
        <v>0</v>
      </c>
    </row>
    <row r="52" spans="1:6" x14ac:dyDescent="0.25">
      <c r="A52" s="534" t="s">
        <v>641</v>
      </c>
      <c r="B52" s="536">
        <f>393.09</f>
        <v>393.09</v>
      </c>
      <c r="C52" s="536">
        <f>1462</f>
        <v>1462</v>
      </c>
      <c r="D52" s="573"/>
      <c r="E52" s="573"/>
      <c r="F52" s="536">
        <f t="shared" si="1"/>
        <v>1855.09</v>
      </c>
    </row>
    <row r="53" spans="1:6" x14ac:dyDescent="0.25">
      <c r="A53" s="534" t="s">
        <v>642</v>
      </c>
      <c r="B53" s="538">
        <f>(B51)+(B52)</f>
        <v>393.09</v>
      </c>
      <c r="C53" s="538">
        <f>(C51)+(C52)</f>
        <v>1462</v>
      </c>
      <c r="D53" s="538">
        <f>(D51)+(D52)</f>
        <v>0</v>
      </c>
      <c r="E53" s="538">
        <f>(E51)+(E52)</f>
        <v>0</v>
      </c>
      <c r="F53" s="538">
        <f t="shared" si="1"/>
        <v>1855.09</v>
      </c>
    </row>
    <row r="54" spans="1:6" x14ac:dyDescent="0.25">
      <c r="A54" s="534" t="s">
        <v>643</v>
      </c>
      <c r="B54" s="573"/>
      <c r="C54" s="573"/>
      <c r="D54" s="573"/>
      <c r="E54" s="573"/>
      <c r="F54" s="536">
        <f t="shared" si="1"/>
        <v>0</v>
      </c>
    </row>
    <row r="55" spans="1:6" x14ac:dyDescent="0.25">
      <c r="A55" s="534" t="s">
        <v>644</v>
      </c>
      <c r="B55" s="536">
        <f>2565.86</f>
        <v>2565.86</v>
      </c>
      <c r="C55" s="536">
        <f>5856</f>
        <v>5856</v>
      </c>
      <c r="D55" s="573"/>
      <c r="E55" s="573"/>
      <c r="F55" s="536">
        <f t="shared" si="1"/>
        <v>8421.86</v>
      </c>
    </row>
    <row r="56" spans="1:6" x14ac:dyDescent="0.25">
      <c r="A56" s="534" t="s">
        <v>645</v>
      </c>
      <c r="B56" s="538">
        <f>(B54)+(B55)</f>
        <v>2565.86</v>
      </c>
      <c r="C56" s="538">
        <f>(C54)+(C55)</f>
        <v>5856</v>
      </c>
      <c r="D56" s="538">
        <f>(D54)+(D55)</f>
        <v>0</v>
      </c>
      <c r="E56" s="538">
        <f>(E54)+(E55)</f>
        <v>0</v>
      </c>
      <c r="F56" s="538">
        <f t="shared" si="1"/>
        <v>8421.86</v>
      </c>
    </row>
    <row r="57" spans="1:6" x14ac:dyDescent="0.25">
      <c r="A57" s="534" t="s">
        <v>646</v>
      </c>
      <c r="B57" s="538">
        <f>((B50)+(B53))+(B56)</f>
        <v>2958.9500000000003</v>
      </c>
      <c r="C57" s="538">
        <f>((C50)+(C53))+(C56)</f>
        <v>7318</v>
      </c>
      <c r="D57" s="538">
        <f>((D50)+(D53))+(D56)</f>
        <v>0</v>
      </c>
      <c r="E57" s="538">
        <f>((E50)+(E53))+(E56)</f>
        <v>0</v>
      </c>
      <c r="F57" s="538">
        <f t="shared" si="1"/>
        <v>10276.950000000001</v>
      </c>
    </row>
    <row r="58" spans="1:6" x14ac:dyDescent="0.25">
      <c r="A58" s="534" t="s">
        <v>647</v>
      </c>
      <c r="B58" s="573"/>
      <c r="C58" s="573"/>
      <c r="D58" s="573"/>
      <c r="E58" s="573"/>
      <c r="F58" s="536">
        <f t="shared" si="1"/>
        <v>0</v>
      </c>
    </row>
    <row r="59" spans="1:6" x14ac:dyDescent="0.25">
      <c r="A59" s="534" t="s">
        <v>648</v>
      </c>
      <c r="B59" s="573"/>
      <c r="C59" s="573"/>
      <c r="D59" s="573"/>
      <c r="E59" s="573"/>
      <c r="F59" s="536">
        <f t="shared" si="1"/>
        <v>0</v>
      </c>
    </row>
    <row r="60" spans="1:6" x14ac:dyDescent="0.25">
      <c r="A60" s="534" t="s">
        <v>649</v>
      </c>
      <c r="B60" s="536">
        <f>89.58</f>
        <v>89.58</v>
      </c>
      <c r="C60" s="536">
        <f>1216</f>
        <v>1216</v>
      </c>
      <c r="D60" s="573"/>
      <c r="E60" s="573"/>
      <c r="F60" s="536">
        <f t="shared" si="1"/>
        <v>1305.58</v>
      </c>
    </row>
    <row r="61" spans="1:6" x14ac:dyDescent="0.25">
      <c r="A61" s="534" t="s">
        <v>650</v>
      </c>
      <c r="B61" s="538">
        <f>(B59)+(B60)</f>
        <v>89.58</v>
      </c>
      <c r="C61" s="538">
        <f>(C59)+(C60)</f>
        <v>1216</v>
      </c>
      <c r="D61" s="538">
        <f>(D59)+(D60)</f>
        <v>0</v>
      </c>
      <c r="E61" s="538">
        <f>(E59)+(E60)</f>
        <v>0</v>
      </c>
      <c r="F61" s="538">
        <f t="shared" si="1"/>
        <v>1305.58</v>
      </c>
    </row>
    <row r="62" spans="1:6" x14ac:dyDescent="0.25">
      <c r="A62" s="534" t="s">
        <v>651</v>
      </c>
      <c r="B62" s="573"/>
      <c r="C62" s="573"/>
      <c r="D62" s="573"/>
      <c r="E62" s="573"/>
      <c r="F62" s="536">
        <f t="shared" si="1"/>
        <v>0</v>
      </c>
    </row>
    <row r="63" spans="1:6" x14ac:dyDescent="0.25">
      <c r="A63" s="534" t="s">
        <v>652</v>
      </c>
      <c r="B63" s="536">
        <f>249.14</f>
        <v>249.14</v>
      </c>
      <c r="C63" s="536">
        <f>753</f>
        <v>753</v>
      </c>
      <c r="D63" s="573"/>
      <c r="E63" s="573"/>
      <c r="F63" s="536">
        <f t="shared" si="1"/>
        <v>1002.14</v>
      </c>
    </row>
    <row r="64" spans="1:6" x14ac:dyDescent="0.25">
      <c r="A64" s="534" t="s">
        <v>653</v>
      </c>
      <c r="B64" s="538">
        <f>(B62)+(B63)</f>
        <v>249.14</v>
      </c>
      <c r="C64" s="538">
        <f>(C62)+(C63)</f>
        <v>753</v>
      </c>
      <c r="D64" s="538">
        <f>(D62)+(D63)</f>
        <v>0</v>
      </c>
      <c r="E64" s="538">
        <f>(E62)+(E63)</f>
        <v>0</v>
      </c>
      <c r="F64" s="538">
        <f t="shared" si="1"/>
        <v>1002.14</v>
      </c>
    </row>
    <row r="65" spans="1:6" x14ac:dyDescent="0.25">
      <c r="A65" s="534" t="s">
        <v>654</v>
      </c>
      <c r="B65" s="536">
        <f>18</f>
        <v>18</v>
      </c>
      <c r="C65" s="536">
        <f>72</f>
        <v>72</v>
      </c>
      <c r="D65" s="573"/>
      <c r="E65" s="573"/>
      <c r="F65" s="536">
        <f t="shared" si="1"/>
        <v>90</v>
      </c>
    </row>
    <row r="66" spans="1:6" x14ac:dyDescent="0.25">
      <c r="A66" s="534" t="s">
        <v>655</v>
      </c>
      <c r="B66" s="536">
        <f>106.01</f>
        <v>106.01</v>
      </c>
      <c r="C66" s="536">
        <f>227</f>
        <v>227</v>
      </c>
      <c r="D66" s="573"/>
      <c r="E66" s="573"/>
      <c r="F66" s="536">
        <f t="shared" si="1"/>
        <v>333.01</v>
      </c>
    </row>
    <row r="67" spans="1:6" x14ac:dyDescent="0.25">
      <c r="A67" s="534" t="s">
        <v>656</v>
      </c>
      <c r="B67" s="538">
        <f>((((B58)+(B61))+(B64))+(B65))+(B66)</f>
        <v>462.72999999999996</v>
      </c>
      <c r="C67" s="538">
        <f>((((C58)+(C61))+(C64))+(C65))+(C66)</f>
        <v>2268</v>
      </c>
      <c r="D67" s="538">
        <f>((((D58)+(D61))+(D64))+(D65))+(D66)</f>
        <v>0</v>
      </c>
      <c r="E67" s="538">
        <f>((((E58)+(E61))+(E64))+(E65))+(E66)</f>
        <v>0</v>
      </c>
      <c r="F67" s="538">
        <f t="shared" si="1"/>
        <v>2730.73</v>
      </c>
    </row>
    <row r="68" spans="1:6" x14ac:dyDescent="0.25">
      <c r="A68" s="534" t="s">
        <v>657</v>
      </c>
      <c r="B68" s="573"/>
      <c r="C68" s="573"/>
      <c r="D68" s="573"/>
      <c r="E68" s="573"/>
      <c r="F68" s="536">
        <f t="shared" si="1"/>
        <v>0</v>
      </c>
    </row>
    <row r="69" spans="1:6" x14ac:dyDescent="0.25">
      <c r="A69" s="534" t="s">
        <v>658</v>
      </c>
      <c r="B69" s="573"/>
      <c r="C69" s="573"/>
      <c r="D69" s="573"/>
      <c r="E69" s="573"/>
      <c r="F69" s="536">
        <f t="shared" si="1"/>
        <v>0</v>
      </c>
    </row>
    <row r="70" spans="1:6" x14ac:dyDescent="0.25">
      <c r="A70" s="534" t="s">
        <v>659</v>
      </c>
      <c r="B70" s="536">
        <f>3080.88</f>
        <v>3080.88</v>
      </c>
      <c r="C70" s="536">
        <f>2961.74</f>
        <v>2961.74</v>
      </c>
      <c r="D70" s="573"/>
      <c r="E70" s="573"/>
      <c r="F70" s="536">
        <f t="shared" si="1"/>
        <v>6042.62</v>
      </c>
    </row>
    <row r="71" spans="1:6" x14ac:dyDescent="0.25">
      <c r="A71" s="534" t="s">
        <v>660</v>
      </c>
      <c r="B71" s="536">
        <f>410.5</f>
        <v>410.5</v>
      </c>
      <c r="C71" s="536">
        <f>1105</f>
        <v>1105</v>
      </c>
      <c r="D71" s="573"/>
      <c r="E71" s="573"/>
      <c r="F71" s="536">
        <f t="shared" si="1"/>
        <v>1515.5</v>
      </c>
    </row>
    <row r="72" spans="1:6" x14ac:dyDescent="0.25">
      <c r="A72" s="534" t="s">
        <v>661</v>
      </c>
      <c r="B72" s="538">
        <f>((B69)+(B70))+(B71)</f>
        <v>3491.38</v>
      </c>
      <c r="C72" s="538">
        <f>((C69)+(C70))+(C71)</f>
        <v>4066.74</v>
      </c>
      <c r="D72" s="538">
        <f>((D69)+(D70))+(D71)</f>
        <v>0</v>
      </c>
      <c r="E72" s="538">
        <f>((E69)+(E70))+(E71)</f>
        <v>0</v>
      </c>
      <c r="F72" s="538">
        <f t="shared" si="1"/>
        <v>7558.12</v>
      </c>
    </row>
    <row r="73" spans="1:6" x14ac:dyDescent="0.25">
      <c r="A73" s="534" t="s">
        <v>662</v>
      </c>
      <c r="B73" s="536">
        <f>414.99</f>
        <v>414.99</v>
      </c>
      <c r="C73" s="536">
        <f>393.18</f>
        <v>393.18</v>
      </c>
      <c r="D73" s="573"/>
      <c r="E73" s="573"/>
      <c r="F73" s="536">
        <f t="shared" si="1"/>
        <v>808.17000000000007</v>
      </c>
    </row>
    <row r="74" spans="1:6" x14ac:dyDescent="0.25">
      <c r="A74" s="534" t="s">
        <v>663</v>
      </c>
      <c r="B74" s="573"/>
      <c r="C74" s="573"/>
      <c r="D74" s="573"/>
      <c r="E74" s="573"/>
      <c r="F74" s="536">
        <f t="shared" si="1"/>
        <v>0</v>
      </c>
    </row>
    <row r="75" spans="1:6" x14ac:dyDescent="0.25">
      <c r="A75" s="534" t="s">
        <v>664</v>
      </c>
      <c r="B75" s="536">
        <f>803.61</f>
        <v>803.61</v>
      </c>
      <c r="C75" s="536">
        <f>1771</f>
        <v>1771</v>
      </c>
      <c r="D75" s="573"/>
      <c r="E75" s="573"/>
      <c r="F75" s="536">
        <f t="shared" si="1"/>
        <v>2574.61</v>
      </c>
    </row>
    <row r="76" spans="1:6" x14ac:dyDescent="0.25">
      <c r="A76" s="534" t="s">
        <v>665</v>
      </c>
      <c r="B76" s="538">
        <f>(B74)+(B75)</f>
        <v>803.61</v>
      </c>
      <c r="C76" s="538">
        <f>(C74)+(C75)</f>
        <v>1771</v>
      </c>
      <c r="D76" s="538">
        <f>(D74)+(D75)</f>
        <v>0</v>
      </c>
      <c r="E76" s="538">
        <f>(E74)+(E75)</f>
        <v>0</v>
      </c>
      <c r="F76" s="538">
        <f t="shared" si="1"/>
        <v>2574.61</v>
      </c>
    </row>
    <row r="77" spans="1:6" x14ac:dyDescent="0.25">
      <c r="A77" s="534" t="s">
        <v>666</v>
      </c>
      <c r="B77" s="536">
        <f>566.75</f>
        <v>566.75</v>
      </c>
      <c r="C77" s="536">
        <f>4287.5</f>
        <v>4287.5</v>
      </c>
      <c r="D77" s="573"/>
      <c r="E77" s="573"/>
      <c r="F77" s="536">
        <f t="shared" si="1"/>
        <v>4854.25</v>
      </c>
    </row>
    <row r="78" spans="1:6" x14ac:dyDescent="0.25">
      <c r="A78" s="534" t="s">
        <v>667</v>
      </c>
      <c r="B78" s="536">
        <f>193.5</f>
        <v>193.5</v>
      </c>
      <c r="C78" s="573"/>
      <c r="D78" s="573"/>
      <c r="E78" s="573"/>
      <c r="F78" s="536">
        <f t="shared" si="1"/>
        <v>193.5</v>
      </c>
    </row>
    <row r="79" spans="1:6" x14ac:dyDescent="0.25">
      <c r="A79" s="534" t="s">
        <v>668</v>
      </c>
      <c r="B79" s="536">
        <f>397.87</f>
        <v>397.87</v>
      </c>
      <c r="C79" s="536">
        <f>1284</f>
        <v>1284</v>
      </c>
      <c r="D79" s="573"/>
      <c r="E79" s="573"/>
      <c r="F79" s="536">
        <f t="shared" si="1"/>
        <v>1681.87</v>
      </c>
    </row>
    <row r="80" spans="1:6" x14ac:dyDescent="0.25">
      <c r="A80" s="534" t="s">
        <v>669</v>
      </c>
      <c r="B80" s="538">
        <f>((B77)+(B78))+(B79)</f>
        <v>1158.1199999999999</v>
      </c>
      <c r="C80" s="538">
        <f>((C77)+(C78))+(C79)</f>
        <v>5571.5</v>
      </c>
      <c r="D80" s="538">
        <f>((D77)+(D78))+(D79)</f>
        <v>0</v>
      </c>
      <c r="E80" s="538">
        <f>((E77)+(E78))+(E79)</f>
        <v>0</v>
      </c>
      <c r="F80" s="538">
        <f t="shared" si="1"/>
        <v>6729.62</v>
      </c>
    </row>
    <row r="81" spans="1:6" x14ac:dyDescent="0.25">
      <c r="A81" s="534" t="s">
        <v>670</v>
      </c>
      <c r="B81" s="573"/>
      <c r="C81" s="536">
        <f>118</f>
        <v>118</v>
      </c>
      <c r="D81" s="573"/>
      <c r="E81" s="573"/>
      <c r="F81" s="536">
        <f t="shared" si="1"/>
        <v>118</v>
      </c>
    </row>
    <row r="82" spans="1:6" x14ac:dyDescent="0.25">
      <c r="A82" s="534" t="s">
        <v>671</v>
      </c>
      <c r="B82" s="573"/>
      <c r="C82" s="573"/>
      <c r="D82" s="573"/>
      <c r="E82" s="573"/>
      <c r="F82" s="536">
        <f t="shared" si="1"/>
        <v>0</v>
      </c>
    </row>
    <row r="83" spans="1:6" x14ac:dyDescent="0.25">
      <c r="A83" s="534" t="s">
        <v>672</v>
      </c>
      <c r="B83" s="536">
        <f>687</f>
        <v>687</v>
      </c>
      <c r="C83" s="536">
        <f>1552</f>
        <v>1552</v>
      </c>
      <c r="D83" s="573"/>
      <c r="E83" s="573"/>
      <c r="F83" s="536">
        <f t="shared" si="1"/>
        <v>2239</v>
      </c>
    </row>
    <row r="84" spans="1:6" x14ac:dyDescent="0.25">
      <c r="A84" s="534" t="s">
        <v>673</v>
      </c>
      <c r="B84" s="538">
        <f>(B82)+(B83)</f>
        <v>687</v>
      </c>
      <c r="C84" s="538">
        <f>(C82)+(C83)</f>
        <v>1552</v>
      </c>
      <c r="D84" s="538">
        <f>(D82)+(D83)</f>
        <v>0</v>
      </c>
      <c r="E84" s="538">
        <f>(E82)+(E83)</f>
        <v>0</v>
      </c>
      <c r="F84" s="538">
        <f t="shared" si="1"/>
        <v>2239</v>
      </c>
    </row>
    <row r="85" spans="1:6" x14ac:dyDescent="0.25">
      <c r="A85" s="534" t="s">
        <v>674</v>
      </c>
      <c r="B85" s="573"/>
      <c r="C85" s="573"/>
      <c r="D85" s="573"/>
      <c r="E85" s="573"/>
      <c r="F85" s="536">
        <f t="shared" si="1"/>
        <v>0</v>
      </c>
    </row>
    <row r="86" spans="1:6" x14ac:dyDescent="0.25">
      <c r="A86" s="534" t="s">
        <v>675</v>
      </c>
      <c r="B86" s="573"/>
      <c r="C86" s="573"/>
      <c r="D86" s="573"/>
      <c r="E86" s="573"/>
      <c r="F86" s="536">
        <f t="shared" si="1"/>
        <v>0</v>
      </c>
    </row>
    <row r="87" spans="1:6" x14ac:dyDescent="0.25">
      <c r="A87" s="534" t="s">
        <v>676</v>
      </c>
      <c r="B87" s="536">
        <f>1351.28</f>
        <v>1351.28</v>
      </c>
      <c r="C87" s="536">
        <f>3379</f>
        <v>3379</v>
      </c>
      <c r="D87" s="573"/>
      <c r="E87" s="573"/>
      <c r="F87" s="536">
        <f t="shared" si="1"/>
        <v>4730.28</v>
      </c>
    </row>
    <row r="88" spans="1:6" x14ac:dyDescent="0.25">
      <c r="A88" s="534" t="s">
        <v>677</v>
      </c>
      <c r="B88" s="538">
        <f>(B86)+(B87)</f>
        <v>1351.28</v>
      </c>
      <c r="C88" s="538">
        <f>(C86)+(C87)</f>
        <v>3379</v>
      </c>
      <c r="D88" s="538">
        <f>(D86)+(D87)</f>
        <v>0</v>
      </c>
      <c r="E88" s="538">
        <f>(E86)+(E87)</f>
        <v>0</v>
      </c>
      <c r="F88" s="538">
        <f t="shared" ref="F88:F106" si="2">(((B88)+(C88))+(D88))+(E88)</f>
        <v>4730.28</v>
      </c>
    </row>
    <row r="89" spans="1:6" x14ac:dyDescent="0.25">
      <c r="A89" s="534" t="s">
        <v>678</v>
      </c>
      <c r="B89" s="538">
        <f>(B85)+(B88)</f>
        <v>1351.28</v>
      </c>
      <c r="C89" s="538">
        <f>(C85)+(C88)</f>
        <v>3379</v>
      </c>
      <c r="D89" s="538">
        <f>(D85)+(D88)</f>
        <v>0</v>
      </c>
      <c r="E89" s="538">
        <f>(E85)+(E88)</f>
        <v>0</v>
      </c>
      <c r="F89" s="538">
        <f t="shared" si="2"/>
        <v>4730.28</v>
      </c>
    </row>
    <row r="90" spans="1:6" x14ac:dyDescent="0.25">
      <c r="A90" s="534" t="s">
        <v>679</v>
      </c>
      <c r="B90" s="538">
        <f>(((((((B68)+(B72))+(B73))+(B76))+(B80))+(B81))+(B84))+(B89)</f>
        <v>7906.3799999999992</v>
      </c>
      <c r="C90" s="538">
        <f>(((((((C68)+(C72))+(C73))+(C76))+(C80))+(C81))+(C84))+(C89)</f>
        <v>16851.419999999998</v>
      </c>
      <c r="D90" s="538">
        <f>(((((((D68)+(D72))+(D73))+(D76))+(D80))+(D81))+(D84))+(D89)</f>
        <v>0</v>
      </c>
      <c r="E90" s="538">
        <f>(((((((E68)+(E72))+(E73))+(E76))+(E80))+(E81))+(E84))+(E89)</f>
        <v>0</v>
      </c>
      <c r="F90" s="538">
        <f t="shared" si="2"/>
        <v>24757.799999999996</v>
      </c>
    </row>
    <row r="91" spans="1:6" x14ac:dyDescent="0.25">
      <c r="A91" s="534" t="s">
        <v>680</v>
      </c>
      <c r="B91" s="573"/>
      <c r="C91" s="573"/>
      <c r="D91" s="573"/>
      <c r="E91" s="573"/>
      <c r="F91" s="536">
        <f t="shared" si="2"/>
        <v>0</v>
      </c>
    </row>
    <row r="92" spans="1:6" x14ac:dyDescent="0.25">
      <c r="A92" s="534" t="s">
        <v>681</v>
      </c>
      <c r="B92" s="536">
        <f>118</f>
        <v>118</v>
      </c>
      <c r="C92" s="536">
        <f>142.1</f>
        <v>142.1</v>
      </c>
      <c r="D92" s="573"/>
      <c r="E92" s="573"/>
      <c r="F92" s="536">
        <f t="shared" si="2"/>
        <v>260.10000000000002</v>
      </c>
    </row>
    <row r="93" spans="1:6" x14ac:dyDescent="0.25">
      <c r="A93" s="534" t="s">
        <v>682</v>
      </c>
      <c r="B93" s="536">
        <f>560</f>
        <v>560</v>
      </c>
      <c r="C93" s="536">
        <f>600</f>
        <v>600</v>
      </c>
      <c r="D93" s="573"/>
      <c r="E93" s="573"/>
      <c r="F93" s="536">
        <f t="shared" si="2"/>
        <v>1160</v>
      </c>
    </row>
    <row r="94" spans="1:6" x14ac:dyDescent="0.25">
      <c r="A94" s="534" t="s">
        <v>683</v>
      </c>
      <c r="B94" s="538">
        <f>((B91)+(B92))+(B93)</f>
        <v>678</v>
      </c>
      <c r="C94" s="538">
        <f>((C91)+(C92))+(C93)</f>
        <v>742.1</v>
      </c>
      <c r="D94" s="538">
        <f>((D91)+(D92))+(D93)</f>
        <v>0</v>
      </c>
      <c r="E94" s="538">
        <f>((E91)+(E92))+(E93)</f>
        <v>0</v>
      </c>
      <c r="F94" s="538">
        <f t="shared" si="2"/>
        <v>1420.1</v>
      </c>
    </row>
    <row r="95" spans="1:6" x14ac:dyDescent="0.25">
      <c r="A95" s="534" t="s">
        <v>684</v>
      </c>
      <c r="B95" s="573"/>
      <c r="C95" s="573"/>
      <c r="D95" s="573"/>
      <c r="E95" s="573"/>
      <c r="F95" s="536">
        <f t="shared" si="2"/>
        <v>0</v>
      </c>
    </row>
    <row r="96" spans="1:6" x14ac:dyDescent="0.25">
      <c r="A96" s="534" t="s">
        <v>685</v>
      </c>
      <c r="B96" s="536">
        <f>3300.94</f>
        <v>3300.94</v>
      </c>
      <c r="C96" s="536">
        <f>435.65</f>
        <v>435.65</v>
      </c>
      <c r="D96" s="573"/>
      <c r="E96" s="573"/>
      <c r="F96" s="536">
        <f t="shared" si="2"/>
        <v>3736.59</v>
      </c>
    </row>
    <row r="97" spans="1:6" x14ac:dyDescent="0.25">
      <c r="A97" s="534" t="s">
        <v>686</v>
      </c>
      <c r="B97" s="536">
        <f>20</f>
        <v>20</v>
      </c>
      <c r="C97" s="536">
        <f>30</f>
        <v>30</v>
      </c>
      <c r="D97" s="573"/>
      <c r="E97" s="573"/>
      <c r="F97" s="536">
        <f t="shared" si="2"/>
        <v>50</v>
      </c>
    </row>
    <row r="98" spans="1:6" x14ac:dyDescent="0.25">
      <c r="A98" s="534" t="s">
        <v>687</v>
      </c>
      <c r="B98" s="536">
        <f>1690</f>
        <v>1690</v>
      </c>
      <c r="C98" s="573"/>
      <c r="D98" s="536">
        <f>558</f>
        <v>558</v>
      </c>
      <c r="E98" s="573"/>
      <c r="F98" s="536">
        <f t="shared" si="2"/>
        <v>2248</v>
      </c>
    </row>
    <row r="99" spans="1:6" x14ac:dyDescent="0.25">
      <c r="A99" s="534" t="s">
        <v>688</v>
      </c>
      <c r="B99" s="538">
        <f>(((B95)+(B96))+(B97))+(B98)</f>
        <v>5010.9400000000005</v>
      </c>
      <c r="C99" s="538">
        <f>(((C95)+(C96))+(C97))+(C98)</f>
        <v>465.65</v>
      </c>
      <c r="D99" s="538">
        <f>(((D95)+(D96))+(D97))+(D98)</f>
        <v>558</v>
      </c>
      <c r="E99" s="538">
        <f>(((E95)+(E96))+(E97))+(E98)</f>
        <v>0</v>
      </c>
      <c r="F99" s="538">
        <f t="shared" si="2"/>
        <v>6034.59</v>
      </c>
    </row>
    <row r="100" spans="1:6" x14ac:dyDescent="0.25">
      <c r="A100" s="534" t="s">
        <v>689</v>
      </c>
      <c r="B100" s="573"/>
      <c r="C100" s="573"/>
      <c r="D100" s="573"/>
      <c r="E100" s="573"/>
      <c r="F100" s="536">
        <f t="shared" si="2"/>
        <v>0</v>
      </c>
    </row>
    <row r="101" spans="1:6" x14ac:dyDescent="0.25">
      <c r="A101" s="534" t="s">
        <v>690</v>
      </c>
      <c r="B101" s="573"/>
      <c r="C101" s="536">
        <f>672</f>
        <v>672</v>
      </c>
      <c r="D101" s="573"/>
      <c r="E101" s="573"/>
      <c r="F101" s="536">
        <f t="shared" si="2"/>
        <v>672</v>
      </c>
    </row>
    <row r="102" spans="1:6" x14ac:dyDescent="0.25">
      <c r="A102" s="534" t="s">
        <v>691</v>
      </c>
      <c r="B102" s="536">
        <f>550</f>
        <v>550</v>
      </c>
      <c r="C102" s="573"/>
      <c r="D102" s="573"/>
      <c r="E102" s="573"/>
      <c r="F102" s="536">
        <f t="shared" si="2"/>
        <v>550</v>
      </c>
    </row>
    <row r="103" spans="1:6" x14ac:dyDescent="0.25">
      <c r="A103" s="534" t="s">
        <v>692</v>
      </c>
      <c r="B103" s="538">
        <f>((B100)+(B101))+(B102)</f>
        <v>550</v>
      </c>
      <c r="C103" s="538">
        <f>((C100)+(C101))+(C102)</f>
        <v>672</v>
      </c>
      <c r="D103" s="538">
        <f>((D100)+(D101))+(D102)</f>
        <v>0</v>
      </c>
      <c r="E103" s="538">
        <f>((E100)+(E101))+(E102)</f>
        <v>0</v>
      </c>
      <c r="F103" s="538">
        <f t="shared" si="2"/>
        <v>1222</v>
      </c>
    </row>
    <row r="104" spans="1:6" x14ac:dyDescent="0.25">
      <c r="A104" s="534" t="s">
        <v>693</v>
      </c>
      <c r="B104" s="538">
        <f>((((((B49)+(B57))+(B67))+(B90))+(B94))+(B99))+(B103)</f>
        <v>84126.049999999988</v>
      </c>
      <c r="C104" s="538">
        <f>((((((C49)+(C57))+(C67))+(C90))+(C94))+(C99))+(C103)</f>
        <v>168945.18</v>
      </c>
      <c r="D104" s="538">
        <f>((((((D49)+(D57))+(D67))+(D90))+(D94))+(D99))+(D103)</f>
        <v>7576.6900000000005</v>
      </c>
      <c r="E104" s="538">
        <f>((((((E49)+(E57))+(E67))+(E90))+(E94))+(E99))+(E103)</f>
        <v>0</v>
      </c>
      <c r="F104" s="538">
        <f t="shared" si="2"/>
        <v>260647.91999999998</v>
      </c>
    </row>
    <row r="105" spans="1:6" x14ac:dyDescent="0.25">
      <c r="A105" s="534" t="s">
        <v>694</v>
      </c>
      <c r="B105" s="538">
        <f>(B22)-(B104)</f>
        <v>-11156.619999999995</v>
      </c>
      <c r="C105" s="538">
        <f>(C22)-(C104)</f>
        <v>-7842.0599999999686</v>
      </c>
      <c r="D105" s="538">
        <f>(D22)-(D104)</f>
        <v>-7576.6900000000005</v>
      </c>
      <c r="E105" s="538">
        <f>(E22)-(E104)</f>
        <v>0</v>
      </c>
      <c r="F105" s="538">
        <f t="shared" si="2"/>
        <v>-26575.369999999966</v>
      </c>
    </row>
    <row r="106" spans="1:6" x14ac:dyDescent="0.25">
      <c r="A106" s="534" t="s">
        <v>695</v>
      </c>
      <c r="B106" s="538">
        <f>(B105)+(0)</f>
        <v>-11156.619999999995</v>
      </c>
      <c r="C106" s="538">
        <f>(C105)+(0)</f>
        <v>-7842.0599999999686</v>
      </c>
      <c r="D106" s="538">
        <f>(D105)+(0)</f>
        <v>-7576.6900000000005</v>
      </c>
      <c r="E106" s="538">
        <f>(E105)+(0)</f>
        <v>0</v>
      </c>
      <c r="F106" s="538">
        <f t="shared" si="2"/>
        <v>-26575.369999999966</v>
      </c>
    </row>
    <row r="107" spans="1:6" x14ac:dyDescent="0.25">
      <c r="A107" s="534"/>
      <c r="B107" s="573"/>
      <c r="C107" s="573"/>
      <c r="D107" s="573"/>
      <c r="E107" s="573"/>
      <c r="F107" s="573"/>
    </row>
    <row r="110" spans="1:6" x14ac:dyDescent="0.25">
      <c r="A110" s="707" t="s">
        <v>696</v>
      </c>
      <c r="B110" s="670"/>
      <c r="C110" s="670"/>
      <c r="D110" s="670"/>
      <c r="E110" s="670"/>
      <c r="F110" s="670"/>
    </row>
  </sheetData>
  <mergeCells count="4">
    <mergeCell ref="A1:F1"/>
    <mergeCell ref="A2:F2"/>
    <mergeCell ref="A3:F3"/>
    <mergeCell ref="A110:F1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B1:S51"/>
  <sheetViews>
    <sheetView workbookViewId="0">
      <selection activeCell="D21" sqref="D21"/>
    </sheetView>
  </sheetViews>
  <sheetFormatPr defaultColWidth="9.1796875" defaultRowHeight="12.5" x14ac:dyDescent="0.25"/>
  <cols>
    <col min="1" max="1" width="2.7265625" style="529" customWidth="1"/>
    <col min="2" max="2" width="19.453125" style="529" customWidth="1"/>
    <col min="3" max="3" width="17" style="529" customWidth="1"/>
    <col min="4" max="4" width="21.1796875" style="529" customWidth="1"/>
    <col min="5" max="5" width="15" style="423" customWidth="1"/>
    <col min="6" max="6" width="13.81640625" style="529" customWidth="1"/>
    <col min="7" max="7" width="6.81640625" style="529" customWidth="1"/>
    <col min="8" max="12" width="14.7265625" style="529" customWidth="1"/>
    <col min="13" max="13" width="14.7265625" style="422" customWidth="1"/>
    <col min="14" max="14" width="13.453125" style="529" customWidth="1"/>
    <col min="15" max="15" width="12.453125" style="496" customWidth="1"/>
    <col min="16" max="16" width="11.7265625" style="529" customWidth="1"/>
    <col min="17" max="16384" width="9.1796875" style="529"/>
  </cols>
  <sheetData>
    <row r="1" spans="2:15" x14ac:dyDescent="0.25">
      <c r="B1" s="673" t="s">
        <v>215</v>
      </c>
      <c r="C1" s="673"/>
      <c r="D1" s="673"/>
      <c r="E1" s="673"/>
      <c r="F1" s="673"/>
      <c r="G1" s="673"/>
      <c r="H1" s="673"/>
      <c r="I1" s="673"/>
      <c r="J1" s="530"/>
      <c r="K1" s="530"/>
      <c r="L1" s="530"/>
    </row>
    <row r="2" spans="2:15" ht="13" thickBot="1" x14ac:dyDescent="0.3"/>
    <row r="3" spans="2:15" ht="13" thickBot="1" x14ac:dyDescent="0.3">
      <c r="B3" s="674" t="s">
        <v>483</v>
      </c>
      <c r="C3" s="675"/>
      <c r="D3" s="675"/>
      <c r="E3" s="675"/>
      <c r="F3" s="675"/>
      <c r="G3" s="675"/>
      <c r="H3" s="675"/>
      <c r="I3" s="675"/>
      <c r="J3" s="675"/>
      <c r="K3" s="675"/>
      <c r="L3" s="675"/>
      <c r="M3" s="675"/>
    </row>
    <row r="4" spans="2:15" x14ac:dyDescent="0.25">
      <c r="B4" s="530"/>
      <c r="C4" s="530"/>
      <c r="D4" s="530"/>
      <c r="E4" s="424"/>
      <c r="F4" s="530"/>
      <c r="G4" s="530"/>
      <c r="H4" s="530"/>
      <c r="I4" s="530"/>
      <c r="J4" s="530"/>
      <c r="K4" s="530"/>
      <c r="L4" s="530"/>
    </row>
    <row r="5" spans="2:15" x14ac:dyDescent="0.25">
      <c r="B5" s="530"/>
      <c r="C5" s="530"/>
      <c r="D5" s="530"/>
      <c r="E5" s="424"/>
      <c r="F5" s="530"/>
      <c r="G5" s="530"/>
      <c r="H5" s="530"/>
      <c r="I5" s="530"/>
      <c r="J5" s="422"/>
      <c r="K5" s="422"/>
      <c r="L5" s="422"/>
    </row>
    <row r="6" spans="2:15" x14ac:dyDescent="0.25">
      <c r="I6" s="529" t="s">
        <v>216</v>
      </c>
      <c r="J6" s="425"/>
    </row>
    <row r="7" spans="2:15" ht="13" thickBot="1" x14ac:dyDescent="0.3">
      <c r="I7" s="426"/>
      <c r="J7" s="427"/>
      <c r="K7" s="428"/>
      <c r="L7" s="429"/>
      <c r="M7" s="430"/>
      <c r="N7" s="516">
        <v>0.03</v>
      </c>
    </row>
    <row r="8" spans="2:15" ht="13" thickBot="1" x14ac:dyDescent="0.3">
      <c r="E8" s="423" t="s">
        <v>217</v>
      </c>
      <c r="F8" s="431" t="s">
        <v>218</v>
      </c>
      <c r="G8" s="530"/>
      <c r="H8" s="530" t="s">
        <v>484</v>
      </c>
      <c r="I8" s="432" t="s">
        <v>220</v>
      </c>
      <c r="J8" s="434" t="s">
        <v>219</v>
      </c>
      <c r="K8" s="434" t="s">
        <v>221</v>
      </c>
      <c r="L8" s="435" t="s">
        <v>222</v>
      </c>
      <c r="M8" s="436" t="s">
        <v>223</v>
      </c>
      <c r="N8" s="436" t="s">
        <v>261</v>
      </c>
    </row>
    <row r="9" spans="2:15" ht="13" thickBot="1" x14ac:dyDescent="0.3">
      <c r="B9" s="437" t="s">
        <v>185</v>
      </c>
      <c r="C9" s="438">
        <v>3</v>
      </c>
      <c r="D9" s="438"/>
      <c r="E9" s="439"/>
      <c r="F9" s="440"/>
      <c r="G9" s="440">
        <f>F9/E15</f>
        <v>0</v>
      </c>
      <c r="H9" s="441"/>
      <c r="I9" s="442">
        <f>H9*K7</f>
        <v>0</v>
      </c>
      <c r="J9" s="443"/>
      <c r="K9" s="443"/>
      <c r="L9" s="443"/>
      <c r="M9" s="444"/>
      <c r="N9" s="444"/>
    </row>
    <row r="10" spans="2:15" ht="13" thickBot="1" x14ac:dyDescent="0.3">
      <c r="B10" s="445"/>
      <c r="C10" s="425"/>
      <c r="D10" s="529" t="s">
        <v>224</v>
      </c>
      <c r="E10" s="602"/>
      <c r="F10" s="422"/>
      <c r="G10" s="422"/>
      <c r="H10" s="446">
        <v>2361.16</v>
      </c>
      <c r="I10" s="442">
        <v>2361.16</v>
      </c>
      <c r="J10" s="447"/>
      <c r="K10" s="447"/>
      <c r="L10" s="447"/>
      <c r="M10" s="448"/>
      <c r="N10" s="448"/>
    </row>
    <row r="11" spans="2:15" ht="13" thickBot="1" x14ac:dyDescent="0.3">
      <c r="B11" s="445"/>
      <c r="C11" s="425"/>
      <c r="D11" s="529" t="s">
        <v>225</v>
      </c>
      <c r="E11" s="423">
        <v>57717</v>
      </c>
      <c r="F11" s="422"/>
      <c r="G11" s="422"/>
      <c r="H11" s="446">
        <v>18825.240000000002</v>
      </c>
      <c r="I11" s="442">
        <v>18825.240000000002</v>
      </c>
      <c r="J11" s="449"/>
      <c r="K11" s="449"/>
      <c r="L11" s="449"/>
      <c r="M11" s="450"/>
      <c r="N11" s="450">
        <f>I11*$N$7</f>
        <v>564.75720000000001</v>
      </c>
    </row>
    <row r="12" spans="2:15" s="531" customFormat="1" ht="13" thickBot="1" x14ac:dyDescent="0.3">
      <c r="B12" s="445"/>
      <c r="C12" s="425">
        <v>50000</v>
      </c>
      <c r="D12" s="531" t="s">
        <v>697</v>
      </c>
      <c r="E12" s="602">
        <v>50000</v>
      </c>
      <c r="F12" s="422"/>
      <c r="G12" s="422"/>
      <c r="H12" s="446">
        <v>6431.42</v>
      </c>
      <c r="I12" s="442">
        <v>6431.42</v>
      </c>
      <c r="J12" s="449"/>
      <c r="K12" s="449"/>
      <c r="L12" s="449"/>
      <c r="M12" s="450"/>
      <c r="N12" s="450"/>
      <c r="O12" s="496"/>
    </row>
    <row r="13" spans="2:15" x14ac:dyDescent="0.25">
      <c r="B13" s="445"/>
      <c r="C13" s="425"/>
      <c r="D13" s="529" t="s">
        <v>226</v>
      </c>
      <c r="E13" s="594">
        <v>53261</v>
      </c>
      <c r="F13" s="422"/>
      <c r="G13" s="422"/>
      <c r="H13" s="446"/>
      <c r="I13" s="442"/>
      <c r="J13" s="449"/>
      <c r="K13" s="449"/>
      <c r="L13" s="449"/>
      <c r="M13" s="450"/>
      <c r="N13" s="450"/>
    </row>
    <row r="14" spans="2:15" ht="13" thickBot="1" x14ac:dyDescent="0.3">
      <c r="B14" s="445"/>
      <c r="C14" s="425"/>
      <c r="D14" s="529" t="s">
        <v>247</v>
      </c>
      <c r="E14" s="594"/>
      <c r="F14" s="422"/>
      <c r="G14" s="422"/>
      <c r="H14" s="446">
        <v>16004.86</v>
      </c>
      <c r="I14" s="451">
        <v>16004.86</v>
      </c>
      <c r="J14" s="449"/>
      <c r="K14" s="449"/>
      <c r="L14" s="449"/>
      <c r="M14" s="450"/>
      <c r="N14" s="450"/>
      <c r="O14" s="502">
        <f>SUM(I10:I14)</f>
        <v>43622.68</v>
      </c>
    </row>
    <row r="15" spans="2:15" ht="13" thickBot="1" x14ac:dyDescent="0.3">
      <c r="B15" s="445"/>
      <c r="E15" s="452">
        <f>SUM(E10:E14)</f>
        <v>160978</v>
      </c>
      <c r="F15" s="422">
        <v>169561</v>
      </c>
      <c r="G15" s="422"/>
      <c r="H15" s="446"/>
      <c r="I15" s="451"/>
      <c r="J15" s="449"/>
      <c r="K15" s="449"/>
      <c r="L15" s="449"/>
      <c r="M15" s="450"/>
      <c r="N15" s="450"/>
    </row>
    <row r="16" spans="2:15" x14ac:dyDescent="0.25">
      <c r="B16" s="445" t="s">
        <v>186</v>
      </c>
      <c r="C16" s="529">
        <v>3</v>
      </c>
      <c r="D16" s="529" t="s">
        <v>228</v>
      </c>
      <c r="F16" s="422"/>
      <c r="G16" s="422">
        <f>F16/E20</f>
        <v>0</v>
      </c>
      <c r="H16" s="446"/>
      <c r="I16" s="451"/>
      <c r="J16" s="450"/>
      <c r="K16" s="449"/>
      <c r="L16" s="449"/>
      <c r="M16" s="450"/>
      <c r="N16" s="450"/>
    </row>
    <row r="17" spans="2:16" x14ac:dyDescent="0.25">
      <c r="B17" s="445"/>
      <c r="D17" s="529" t="s">
        <v>229</v>
      </c>
      <c r="E17" s="423">
        <v>34413</v>
      </c>
      <c r="F17" s="422"/>
      <c r="G17" s="422"/>
      <c r="H17" s="446">
        <v>11295.73</v>
      </c>
      <c r="I17" s="451">
        <v>11295.73</v>
      </c>
      <c r="J17" s="450"/>
      <c r="K17" s="449"/>
      <c r="L17" s="449"/>
      <c r="M17" s="450"/>
      <c r="N17" s="450">
        <f t="shared" ref="N17:N19" si="0">I17*$N$7</f>
        <v>338.87189999999998</v>
      </c>
    </row>
    <row r="18" spans="2:16" x14ac:dyDescent="0.25">
      <c r="B18" s="445"/>
      <c r="D18" s="529" t="s">
        <v>248</v>
      </c>
      <c r="E18" s="423">
        <v>25872</v>
      </c>
      <c r="F18" s="422"/>
      <c r="G18" s="422"/>
      <c r="H18" s="446">
        <v>7816.23</v>
      </c>
      <c r="I18" s="451">
        <v>7816.23</v>
      </c>
      <c r="J18" s="450"/>
      <c r="K18" s="449"/>
      <c r="L18" s="449"/>
      <c r="M18" s="450"/>
      <c r="N18" s="450">
        <f t="shared" si="0"/>
        <v>234.48689999999999</v>
      </c>
    </row>
    <row r="19" spans="2:16" ht="13" thickBot="1" x14ac:dyDescent="0.3">
      <c r="B19" s="445"/>
      <c r="D19" s="529" t="s">
        <v>230</v>
      </c>
      <c r="E19" s="423">
        <v>26551</v>
      </c>
      <c r="F19" s="422"/>
      <c r="G19" s="422"/>
      <c r="H19" s="446">
        <v>8897.69</v>
      </c>
      <c r="I19" s="451">
        <v>8897.69</v>
      </c>
      <c r="J19" s="450"/>
      <c r="K19" s="449"/>
      <c r="L19" s="449"/>
      <c r="M19" s="450"/>
      <c r="N19" s="450">
        <f t="shared" si="0"/>
        <v>266.9307</v>
      </c>
      <c r="O19" s="502">
        <f>SUM(I17:I19)</f>
        <v>28009.65</v>
      </c>
    </row>
    <row r="20" spans="2:16" ht="13" thickBot="1" x14ac:dyDescent="0.3">
      <c r="B20" s="445"/>
      <c r="E20" s="452">
        <f>SUM(E16:E19)</f>
        <v>86836</v>
      </c>
      <c r="F20" s="422">
        <v>86836</v>
      </c>
      <c r="G20" s="422"/>
      <c r="H20" s="446"/>
      <c r="I20" s="451"/>
      <c r="J20" s="449"/>
      <c r="K20" s="449"/>
      <c r="L20" s="449"/>
      <c r="M20" s="450"/>
      <c r="N20" s="450"/>
      <c r="O20" s="595">
        <f>SUM(O14:O19)</f>
        <v>71632.33</v>
      </c>
    </row>
    <row r="21" spans="2:16" x14ac:dyDescent="0.25">
      <c r="B21" s="445" t="s">
        <v>249</v>
      </c>
      <c r="D21" s="529" t="s">
        <v>233</v>
      </c>
      <c r="F21" s="422"/>
      <c r="G21" s="422"/>
      <c r="H21" s="446">
        <v>3302.5</v>
      </c>
      <c r="I21" s="451"/>
      <c r="J21" s="449"/>
      <c r="K21" s="449"/>
      <c r="L21" s="449"/>
      <c r="M21" s="450">
        <f>H21</f>
        <v>3302.5</v>
      </c>
      <c r="N21" s="450"/>
    </row>
    <row r="22" spans="2:16" x14ac:dyDescent="0.25">
      <c r="B22" s="445"/>
      <c r="F22" s="422"/>
      <c r="G22" s="422"/>
      <c r="H22" s="446"/>
      <c r="I22" s="451"/>
      <c r="J22" s="449"/>
      <c r="K22" s="449"/>
      <c r="L22" s="449"/>
      <c r="M22" s="450"/>
      <c r="N22" s="450"/>
    </row>
    <row r="23" spans="2:16" x14ac:dyDescent="0.25">
      <c r="B23" s="445"/>
      <c r="E23" s="453"/>
      <c r="F23" s="422"/>
      <c r="G23" s="422"/>
      <c r="H23" s="446"/>
      <c r="I23" s="451"/>
      <c r="J23" s="449"/>
      <c r="K23" s="449"/>
      <c r="L23" s="449"/>
      <c r="M23" s="450"/>
      <c r="N23" s="450">
        <f t="shared" ref="N23:N30" si="1">I23*$N$7</f>
        <v>0</v>
      </c>
    </row>
    <row r="24" spans="2:16" x14ac:dyDescent="0.25">
      <c r="B24" s="445" t="s">
        <v>231</v>
      </c>
      <c r="C24" s="529">
        <v>0.5</v>
      </c>
      <c r="D24" s="529" t="s">
        <v>232</v>
      </c>
      <c r="E24" s="423">
        <v>19800</v>
      </c>
      <c r="F24" s="422">
        <v>19800</v>
      </c>
      <c r="G24" s="422">
        <f>F24/E24</f>
        <v>1</v>
      </c>
      <c r="H24" s="446">
        <v>6083.9</v>
      </c>
      <c r="I24" s="597">
        <v>6083.9</v>
      </c>
      <c r="J24" s="449"/>
      <c r="K24" s="449"/>
      <c r="L24" s="449"/>
      <c r="M24" s="450"/>
      <c r="N24" s="450">
        <f t="shared" si="1"/>
        <v>182.517</v>
      </c>
      <c r="O24" s="502">
        <f>N24</f>
        <v>182.517</v>
      </c>
    </row>
    <row r="25" spans="2:16" x14ac:dyDescent="0.25">
      <c r="B25" s="445"/>
      <c r="F25" s="422"/>
      <c r="G25" s="422"/>
      <c r="H25" s="446"/>
      <c r="I25" s="451"/>
      <c r="J25" s="449"/>
      <c r="K25" s="449"/>
      <c r="L25" s="449"/>
      <c r="M25" s="450"/>
      <c r="N25" s="450">
        <f t="shared" si="1"/>
        <v>0</v>
      </c>
    </row>
    <row r="26" spans="2:16" x14ac:dyDescent="0.25">
      <c r="B26" s="445" t="s">
        <v>234</v>
      </c>
      <c r="D26" s="529" t="s">
        <v>235</v>
      </c>
      <c r="F26" s="422"/>
      <c r="G26" s="422">
        <v>1</v>
      </c>
      <c r="H26" s="446">
        <v>3112.8</v>
      </c>
      <c r="I26" s="597">
        <v>3112.8</v>
      </c>
      <c r="J26" s="449"/>
      <c r="K26" s="449"/>
      <c r="L26" s="449"/>
      <c r="M26" s="604"/>
      <c r="N26" s="450">
        <f t="shared" si="1"/>
        <v>93.384</v>
      </c>
      <c r="O26" s="502">
        <f>SUM(N24:N26)</f>
        <v>275.90100000000001</v>
      </c>
      <c r="P26" s="502">
        <f>SUM(O19:O26)</f>
        <v>100100.39800000002</v>
      </c>
    </row>
    <row r="27" spans="2:16" x14ac:dyDescent="0.25">
      <c r="B27" s="445"/>
      <c r="F27" s="422"/>
      <c r="G27" s="422"/>
      <c r="H27" s="446"/>
      <c r="I27" s="451"/>
      <c r="J27" s="449"/>
      <c r="K27" s="449"/>
      <c r="L27" s="449"/>
      <c r="M27" s="450"/>
      <c r="N27" s="450">
        <f t="shared" si="1"/>
        <v>0</v>
      </c>
    </row>
    <row r="28" spans="2:16" x14ac:dyDescent="0.25">
      <c r="B28" s="445" t="s">
        <v>191</v>
      </c>
      <c r="C28" s="529">
        <v>1</v>
      </c>
      <c r="D28" s="529" t="s">
        <v>236</v>
      </c>
      <c r="E28" s="423">
        <v>30076</v>
      </c>
      <c r="F28" s="422">
        <v>24552</v>
      </c>
      <c r="G28" s="422">
        <f>F28/E28</f>
        <v>0.81633195903710598</v>
      </c>
      <c r="H28" s="446">
        <v>7954.52</v>
      </c>
      <c r="I28" s="597">
        <f>H28*G28</f>
        <v>6493.5288947998406</v>
      </c>
      <c r="J28" s="449">
        <f>H28-I28</f>
        <v>1460.9911052001598</v>
      </c>
      <c r="K28" s="449"/>
      <c r="L28" s="449"/>
      <c r="M28" s="450"/>
      <c r="N28" s="450">
        <f t="shared" si="1"/>
        <v>194.8058668439952</v>
      </c>
      <c r="O28" s="496" t="s">
        <v>260</v>
      </c>
    </row>
    <row r="29" spans="2:16" x14ac:dyDescent="0.25">
      <c r="B29" s="445"/>
      <c r="F29" s="422"/>
      <c r="G29" s="422"/>
      <c r="H29" s="446"/>
      <c r="I29" s="451"/>
      <c r="J29" s="449"/>
      <c r="K29" s="449"/>
      <c r="L29" s="449"/>
      <c r="M29" s="450"/>
      <c r="N29" s="450">
        <f t="shared" si="1"/>
        <v>0</v>
      </c>
    </row>
    <row r="30" spans="2:16" ht="13" thickBot="1" x14ac:dyDescent="0.3">
      <c r="B30" s="445" t="s">
        <v>237</v>
      </c>
      <c r="C30" s="529">
        <v>0.5</v>
      </c>
      <c r="D30" s="529" t="s">
        <v>238</v>
      </c>
      <c r="E30" s="423">
        <v>19549</v>
      </c>
      <c r="F30" s="422">
        <v>7500</v>
      </c>
      <c r="G30" s="422">
        <f>F30/E30</f>
        <v>0.38365133766433068</v>
      </c>
      <c r="H30" s="455">
        <v>3717.23</v>
      </c>
      <c r="I30" s="597">
        <f>H30*G30</f>
        <v>1426.12026190598</v>
      </c>
      <c r="J30" s="449">
        <f>H30-I30</f>
        <v>2291.10973809402</v>
      </c>
      <c r="K30" s="449"/>
      <c r="L30" s="449"/>
      <c r="M30" s="450"/>
      <c r="N30" s="450">
        <f t="shared" si="1"/>
        <v>42.783607857179398</v>
      </c>
      <c r="O30" s="496" t="s">
        <v>260</v>
      </c>
    </row>
    <row r="31" spans="2:16" ht="13" thickBot="1" x14ac:dyDescent="0.3">
      <c r="B31" s="456"/>
      <c r="C31" s="457"/>
      <c r="D31" s="457"/>
      <c r="E31" s="458"/>
      <c r="F31" s="459">
        <f>SUM(F9:F30)</f>
        <v>308249</v>
      </c>
      <c r="G31" s="460"/>
      <c r="H31" s="461">
        <f>SUM(H9:H30)</f>
        <v>95803.28</v>
      </c>
      <c r="I31" s="462">
        <f>SUM(I9:I30)</f>
        <v>88748.67915670581</v>
      </c>
      <c r="J31" s="459">
        <f>SUM(J9:J30)</f>
        <v>3752.1008432941799</v>
      </c>
      <c r="K31" s="459">
        <f>SUM(K9:K30)</f>
        <v>0</v>
      </c>
      <c r="L31" s="459"/>
      <c r="M31" s="459">
        <f>SUM(M9:M30)</f>
        <v>3302.5</v>
      </c>
      <c r="N31" s="459">
        <f>SUM(N9:N30)</f>
        <v>1918.5371747011745</v>
      </c>
    </row>
    <row r="32" spans="2:16" ht="13" thickBot="1" x14ac:dyDescent="0.3">
      <c r="B32" s="445"/>
      <c r="F32" s="422"/>
      <c r="G32" s="422"/>
      <c r="H32" s="422"/>
      <c r="I32" s="463"/>
      <c r="J32" s="464"/>
      <c r="K32" s="464"/>
      <c r="L32" s="464"/>
      <c r="M32" s="465"/>
      <c r="N32" s="465"/>
    </row>
    <row r="33" spans="2:19" x14ac:dyDescent="0.25">
      <c r="B33" s="437"/>
      <c r="C33" s="438"/>
      <c r="D33" s="438"/>
      <c r="E33" s="439"/>
      <c r="F33" s="440"/>
      <c r="G33" s="440"/>
      <c r="H33" s="466"/>
      <c r="I33" s="467"/>
      <c r="J33" s="470"/>
      <c r="K33" s="470"/>
      <c r="L33" s="470"/>
      <c r="M33" s="471"/>
      <c r="N33" s="471"/>
    </row>
    <row r="34" spans="2:19" x14ac:dyDescent="0.25">
      <c r="B34" s="445" t="s">
        <v>239</v>
      </c>
      <c r="C34" s="529">
        <v>1</v>
      </c>
      <c r="D34" s="529" t="s">
        <v>240</v>
      </c>
      <c r="E34" s="423">
        <v>70000</v>
      </c>
      <c r="F34" s="422">
        <v>57580</v>
      </c>
      <c r="G34" s="422">
        <f>F34/E34</f>
        <v>0.82257142857142862</v>
      </c>
      <c r="H34" s="446">
        <v>18846.169999999998</v>
      </c>
      <c r="I34" s="597">
        <f t="shared" ref="I34:I40" si="2">H34*G34</f>
        <v>15502.320979999999</v>
      </c>
      <c r="J34" s="449">
        <f t="shared" ref="J34:J40" si="3">H34-I34</f>
        <v>3343.8490199999997</v>
      </c>
      <c r="K34" s="449"/>
      <c r="L34" s="449"/>
      <c r="M34" s="450"/>
      <c r="N34" s="450">
        <f t="shared" ref="N34:N40" si="4">I34*$N$7</f>
        <v>465.06962939999994</v>
      </c>
      <c r="O34" s="423">
        <f>N34*G34</f>
        <v>382.55298944074281</v>
      </c>
    </row>
    <row r="35" spans="2:19" x14ac:dyDescent="0.25">
      <c r="B35" s="445"/>
      <c r="F35" s="422"/>
      <c r="G35" s="422"/>
      <c r="H35" s="446"/>
      <c r="I35" s="451"/>
      <c r="J35" s="449"/>
      <c r="K35" s="449"/>
      <c r="L35" s="449"/>
      <c r="M35" s="450"/>
      <c r="N35" s="450">
        <f t="shared" si="4"/>
        <v>0</v>
      </c>
      <c r="O35" s="423"/>
    </row>
    <row r="36" spans="2:19" x14ac:dyDescent="0.25">
      <c r="B36" s="445" t="s">
        <v>241</v>
      </c>
      <c r="C36" s="529">
        <v>0.5</v>
      </c>
      <c r="D36" s="529" t="s">
        <v>242</v>
      </c>
      <c r="E36" s="423">
        <v>10000</v>
      </c>
      <c r="F36" s="422">
        <v>3837</v>
      </c>
      <c r="G36" s="422">
        <f>F36/E36</f>
        <v>0.38369999999999999</v>
      </c>
      <c r="H36" s="446"/>
      <c r="I36" s="451">
        <f t="shared" si="2"/>
        <v>0</v>
      </c>
      <c r="J36" s="449">
        <f t="shared" si="3"/>
        <v>0</v>
      </c>
      <c r="K36" s="449"/>
      <c r="L36" s="449"/>
      <c r="M36" s="450"/>
      <c r="N36" s="450">
        <f t="shared" si="4"/>
        <v>0</v>
      </c>
      <c r="O36" s="423" t="s">
        <v>260</v>
      </c>
    </row>
    <row r="37" spans="2:19" x14ac:dyDescent="0.25">
      <c r="B37" s="445"/>
      <c r="F37" s="422"/>
      <c r="G37" s="422"/>
      <c r="H37" s="446"/>
      <c r="I37" s="451"/>
      <c r="J37" s="449"/>
      <c r="K37" s="449"/>
      <c r="L37" s="449"/>
      <c r="M37" s="450"/>
      <c r="N37" s="450">
        <f t="shared" si="4"/>
        <v>0</v>
      </c>
    </row>
    <row r="38" spans="2:19" x14ac:dyDescent="0.25">
      <c r="B38" s="445" t="s">
        <v>195</v>
      </c>
      <c r="C38" s="529">
        <v>1</v>
      </c>
      <c r="D38" s="529" t="s">
        <v>243</v>
      </c>
      <c r="E38" s="423">
        <v>22000</v>
      </c>
      <c r="F38" s="422">
        <v>8441</v>
      </c>
      <c r="G38" s="422">
        <f>F38/E38</f>
        <v>0.38368181818181818</v>
      </c>
      <c r="H38" s="446">
        <v>4472</v>
      </c>
      <c r="I38" s="597">
        <f t="shared" si="2"/>
        <v>1715.8250909090909</v>
      </c>
      <c r="J38" s="449">
        <f t="shared" si="3"/>
        <v>2756.1749090909088</v>
      </c>
      <c r="K38" s="449"/>
      <c r="L38" s="449"/>
      <c r="M38" s="450"/>
      <c r="N38" s="450">
        <f t="shared" si="4"/>
        <v>51.474752727272723</v>
      </c>
      <c r="O38" s="496" t="s">
        <v>260</v>
      </c>
    </row>
    <row r="39" spans="2:19" x14ac:dyDescent="0.25">
      <c r="B39" s="445"/>
      <c r="F39" s="422"/>
      <c r="G39" s="422"/>
      <c r="H39" s="446"/>
      <c r="I39" s="451"/>
      <c r="J39" s="449"/>
      <c r="K39" s="449"/>
      <c r="L39" s="449"/>
      <c r="M39" s="450"/>
      <c r="N39" s="450">
        <f t="shared" si="4"/>
        <v>0</v>
      </c>
    </row>
    <row r="40" spans="2:19" ht="13" thickBot="1" x14ac:dyDescent="0.3">
      <c r="B40" s="445" t="s">
        <v>196</v>
      </c>
      <c r="D40" s="529" t="s">
        <v>244</v>
      </c>
      <c r="E40" s="423">
        <v>20000</v>
      </c>
      <c r="F40" s="422">
        <v>15347</v>
      </c>
      <c r="G40" s="422">
        <f>F40/E40</f>
        <v>0.76734999999999998</v>
      </c>
      <c r="H40" s="455">
        <v>7840</v>
      </c>
      <c r="I40" s="451">
        <f t="shared" si="2"/>
        <v>6016.0239999999994</v>
      </c>
      <c r="J40" s="449">
        <f t="shared" si="3"/>
        <v>1823.9760000000006</v>
      </c>
      <c r="K40" s="449"/>
      <c r="L40" s="449"/>
      <c r="M40" s="450"/>
      <c r="N40" s="450">
        <f t="shared" si="4"/>
        <v>180.48071999999996</v>
      </c>
      <c r="O40" s="496" t="s">
        <v>260</v>
      </c>
    </row>
    <row r="41" spans="2:19" ht="13" thickBot="1" x14ac:dyDescent="0.3">
      <c r="B41" s="456"/>
      <c r="C41" s="457"/>
      <c r="D41" s="457"/>
      <c r="E41" s="458"/>
      <c r="F41" s="459">
        <f>SUM(F34:F40)</f>
        <v>85205</v>
      </c>
      <c r="G41" s="460"/>
      <c r="H41" s="461">
        <f>SUM(H34:H40)</f>
        <v>31158.17</v>
      </c>
      <c r="I41" s="472">
        <f>SUM(I34:I40)</f>
        <v>23234.170070909087</v>
      </c>
      <c r="J41" s="459">
        <f t="shared" ref="J41:N41" si="5">SUM(J34:J40)</f>
        <v>7923.9999290909091</v>
      </c>
      <c r="K41" s="459">
        <f t="shared" si="5"/>
        <v>0</v>
      </c>
      <c r="L41" s="459">
        <f t="shared" si="5"/>
        <v>0</v>
      </c>
      <c r="M41" s="459">
        <f t="shared" si="5"/>
        <v>0</v>
      </c>
      <c r="N41" s="459">
        <f t="shared" si="5"/>
        <v>697.0251021272727</v>
      </c>
    </row>
    <row r="42" spans="2:19" ht="13" thickBot="1" x14ac:dyDescent="0.3">
      <c r="B42" s="445"/>
      <c r="F42" s="422"/>
      <c r="G42" s="422"/>
      <c r="H42" s="422"/>
      <c r="I42" s="473"/>
      <c r="J42" s="464"/>
      <c r="K42" s="464"/>
      <c r="L42" s="464"/>
      <c r="M42" s="465"/>
      <c r="N42" s="465"/>
    </row>
    <row r="43" spans="2:19" ht="6.75" customHeight="1" x14ac:dyDescent="0.25">
      <c r="B43" s="437"/>
      <c r="C43" s="438"/>
      <c r="D43" s="438"/>
      <c r="E43" s="439"/>
      <c r="F43" s="440"/>
      <c r="G43" s="440"/>
      <c r="H43" s="440"/>
      <c r="I43" s="475"/>
      <c r="J43" s="470"/>
      <c r="K43" s="470"/>
      <c r="L43" s="470"/>
      <c r="M43" s="471"/>
      <c r="N43" s="471"/>
    </row>
    <row r="44" spans="2:19" ht="6.75" customHeight="1" x14ac:dyDescent="0.25">
      <c r="B44" s="445"/>
      <c r="F44" s="422"/>
      <c r="G44" s="422"/>
      <c r="H44" s="422"/>
      <c r="I44" s="476"/>
      <c r="J44" s="478"/>
      <c r="K44" s="478"/>
      <c r="L44" s="478"/>
      <c r="M44" s="479"/>
      <c r="N44" s="479"/>
    </row>
    <row r="45" spans="2:19" ht="6.75" customHeight="1" thickBot="1" x14ac:dyDescent="0.3">
      <c r="B45" s="456"/>
      <c r="C45" s="457"/>
      <c r="D45" s="457"/>
      <c r="E45" s="458"/>
      <c r="F45" s="480"/>
      <c r="G45" s="480"/>
      <c r="H45" s="480"/>
      <c r="I45" s="481"/>
      <c r="J45" s="482"/>
      <c r="K45" s="482"/>
      <c r="L45" s="482"/>
      <c r="M45" s="483"/>
      <c r="N45" s="483"/>
    </row>
    <row r="46" spans="2:19" ht="13" thickBot="1" x14ac:dyDescent="0.3">
      <c r="F46" s="484">
        <f>SUM(F43:F45)</f>
        <v>0</v>
      </c>
      <c r="G46" s="484"/>
      <c r="H46" s="484"/>
      <c r="I46" s="484">
        <f>SUM(I43:I45)</f>
        <v>0</v>
      </c>
      <c r="J46" s="486"/>
      <c r="K46" s="486"/>
      <c r="L46" s="486"/>
      <c r="M46" s="485">
        <f>SUM(M43:M45)</f>
        <v>0</v>
      </c>
      <c r="N46" s="485">
        <f>SUM(N43:N45)</f>
        <v>0</v>
      </c>
    </row>
    <row r="47" spans="2:19" ht="13" thickBot="1" x14ac:dyDescent="0.3">
      <c r="F47" s="422"/>
      <c r="G47" s="422"/>
      <c r="H47" s="422"/>
      <c r="I47" s="487"/>
      <c r="J47" s="488"/>
      <c r="K47" s="488"/>
      <c r="L47" s="488"/>
      <c r="M47" s="488"/>
      <c r="N47" s="488"/>
    </row>
    <row r="48" spans="2:19" ht="13" thickBot="1" x14ac:dyDescent="0.3">
      <c r="F48" s="489">
        <f>F31+F41+F46</f>
        <v>393454</v>
      </c>
      <c r="G48" s="490"/>
      <c r="H48" s="491">
        <f>H31+H41+H46</f>
        <v>126961.45</v>
      </c>
      <c r="I48" s="490">
        <f>I31+I41+I46</f>
        <v>111982.8492276149</v>
      </c>
      <c r="J48" s="489">
        <f t="shared" ref="J48:N48" si="6">J31+J41+J46</f>
        <v>11676.100772385089</v>
      </c>
      <c r="K48" s="489">
        <f t="shared" si="6"/>
        <v>0</v>
      </c>
      <c r="L48" s="489">
        <f t="shared" si="6"/>
        <v>0</v>
      </c>
      <c r="M48" s="489">
        <f t="shared" si="6"/>
        <v>3302.5</v>
      </c>
      <c r="N48" s="489">
        <f t="shared" si="6"/>
        <v>2615.5622768284475</v>
      </c>
      <c r="S48" s="529" t="s">
        <v>868</v>
      </c>
    </row>
    <row r="49" spans="6:19" ht="13" thickBot="1" x14ac:dyDescent="0.3">
      <c r="F49" s="422"/>
      <c r="G49" s="422"/>
      <c r="H49" s="422"/>
      <c r="I49" s="492" t="s">
        <v>220</v>
      </c>
      <c r="J49" s="493" t="s">
        <v>219</v>
      </c>
      <c r="K49" s="493" t="s">
        <v>221</v>
      </c>
      <c r="L49" s="433" t="str">
        <f>L8</f>
        <v>Facilites</v>
      </c>
      <c r="M49" s="494" t="s">
        <v>223</v>
      </c>
      <c r="S49" s="529" t="s">
        <v>869</v>
      </c>
    </row>
    <row r="50" spans="6:19" x14ac:dyDescent="0.25">
      <c r="F50" s="422"/>
      <c r="G50" s="422"/>
      <c r="H50" s="422"/>
      <c r="I50" s="422"/>
      <c r="J50" s="422"/>
      <c r="K50" s="422"/>
      <c r="L50" s="422"/>
    </row>
    <row r="51" spans="6:19" x14ac:dyDescent="0.25">
      <c r="F51" s="422"/>
      <c r="G51" s="422"/>
      <c r="H51" s="422"/>
      <c r="I51" s="422"/>
      <c r="J51" s="495">
        <f>J48/$H$48</f>
        <v>9.1965716935220015E-2</v>
      </c>
      <c r="K51" s="495">
        <f>K48/$H$48</f>
        <v>0</v>
      </c>
      <c r="L51" s="495">
        <f>L48/$H$48</f>
        <v>0</v>
      </c>
      <c r="M51" s="495">
        <f>M48/$H$48</f>
        <v>2.6011832725602931E-2</v>
      </c>
    </row>
  </sheetData>
  <mergeCells count="2">
    <mergeCell ref="B1:I1"/>
    <mergeCell ref="B3:M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N190"/>
  <sheetViews>
    <sheetView topLeftCell="C61" workbookViewId="0">
      <selection activeCell="H32" sqref="H32"/>
    </sheetView>
  </sheetViews>
  <sheetFormatPr defaultColWidth="9.1796875" defaultRowHeight="12.5" x14ac:dyDescent="0.25"/>
  <cols>
    <col min="1" max="1" width="18.7265625" style="531" hidden="1" customWidth="1"/>
    <col min="2" max="2" width="16.453125" style="531" hidden="1" customWidth="1"/>
    <col min="3" max="3" width="29.453125" style="531" bestFit="1" customWidth="1"/>
    <col min="4" max="4" width="28" style="531" bestFit="1" customWidth="1"/>
    <col min="5" max="5" width="12.81640625" style="532" bestFit="1" customWidth="1"/>
    <col min="6" max="7" width="14" style="532" customWidth="1"/>
    <col min="8" max="8" width="12.81640625" style="575" bestFit="1" customWidth="1"/>
    <col min="9" max="9" width="7.54296875" style="576" customWidth="1"/>
    <col min="10" max="10" width="11.7265625" style="531" bestFit="1" customWidth="1"/>
    <col min="11" max="11" width="36.453125" style="531" hidden="1" customWidth="1"/>
    <col min="12" max="12" width="16.453125" style="531" hidden="1" customWidth="1"/>
    <col min="13" max="13" width="8.1796875" style="531" hidden="1" customWidth="1"/>
    <col min="14" max="16384" width="9.1796875" style="531"/>
  </cols>
  <sheetData>
    <row r="1" spans="1:14" ht="18.5" x14ac:dyDescent="0.45">
      <c r="C1" s="574" t="s">
        <v>698</v>
      </c>
    </row>
    <row r="2" spans="1:14" ht="18.5" x14ac:dyDescent="0.45">
      <c r="C2" s="574" t="s">
        <v>699</v>
      </c>
    </row>
    <row r="3" spans="1:14" ht="18.5" x14ac:dyDescent="0.45">
      <c r="C3" s="577" t="s">
        <v>700</v>
      </c>
    </row>
    <row r="4" spans="1:14" x14ac:dyDescent="0.25">
      <c r="H4" s="578"/>
    </row>
    <row r="5" spans="1:14" s="584" customFormat="1" ht="15.5" x14ac:dyDescent="0.35">
      <c r="A5" s="579" t="s">
        <v>701</v>
      </c>
      <c r="B5" s="579" t="s">
        <v>702</v>
      </c>
      <c r="C5" s="580" t="s">
        <v>703</v>
      </c>
      <c r="D5" s="580" t="s">
        <v>704</v>
      </c>
      <c r="E5" s="581" t="s">
        <v>705</v>
      </c>
      <c r="F5" s="581" t="s">
        <v>706</v>
      </c>
      <c r="G5" s="581" t="s">
        <v>707</v>
      </c>
      <c r="H5" s="582" t="s">
        <v>708</v>
      </c>
      <c r="I5" s="583" t="s">
        <v>709</v>
      </c>
      <c r="J5" s="580" t="s">
        <v>710</v>
      </c>
      <c r="K5" s="580" t="s">
        <v>711</v>
      </c>
      <c r="L5" s="580" t="s">
        <v>712</v>
      </c>
      <c r="M5" s="579" t="s">
        <v>713</v>
      </c>
      <c r="N5" s="579"/>
    </row>
    <row r="6" spans="1:14" x14ac:dyDescent="0.25">
      <c r="A6" s="531" t="s">
        <v>220</v>
      </c>
      <c r="B6" s="531" t="s">
        <v>714</v>
      </c>
      <c r="C6" s="531" t="s">
        <v>715</v>
      </c>
      <c r="D6" s="531" t="s">
        <v>196</v>
      </c>
      <c r="E6" s="585">
        <v>43742</v>
      </c>
      <c r="F6" s="585">
        <v>43723</v>
      </c>
      <c r="G6" s="585">
        <v>43736</v>
      </c>
      <c r="H6" s="575">
        <v>560</v>
      </c>
      <c r="I6" s="576">
        <v>40</v>
      </c>
      <c r="J6" s="586">
        <v>209886773</v>
      </c>
      <c r="K6" s="531" t="s">
        <v>716</v>
      </c>
      <c r="L6" s="531" t="s">
        <v>717</v>
      </c>
    </row>
    <row r="7" spans="1:14" x14ac:dyDescent="0.25">
      <c r="A7" s="531" t="s">
        <v>220</v>
      </c>
      <c r="B7" s="531" t="s">
        <v>714</v>
      </c>
      <c r="C7" s="531" t="s">
        <v>715</v>
      </c>
      <c r="D7" s="531" t="s">
        <v>196</v>
      </c>
      <c r="E7" s="585">
        <v>43742</v>
      </c>
      <c r="F7" s="585">
        <v>43723</v>
      </c>
      <c r="G7" s="585">
        <v>43736</v>
      </c>
      <c r="H7" s="575">
        <v>560</v>
      </c>
      <c r="I7" s="576">
        <v>40</v>
      </c>
      <c r="J7" s="586">
        <v>209886773</v>
      </c>
      <c r="K7" s="531" t="s">
        <v>718</v>
      </c>
      <c r="L7" s="531" t="s">
        <v>717</v>
      </c>
    </row>
    <row r="8" spans="1:14" x14ac:dyDescent="0.25">
      <c r="A8" s="531" t="s">
        <v>220</v>
      </c>
      <c r="B8" s="531" t="s">
        <v>714</v>
      </c>
      <c r="C8" s="531" t="s">
        <v>715</v>
      </c>
      <c r="D8" s="531" t="s">
        <v>196</v>
      </c>
      <c r="E8" s="585">
        <v>43756</v>
      </c>
      <c r="F8" s="585">
        <v>43737</v>
      </c>
      <c r="G8" s="585">
        <v>43750</v>
      </c>
      <c r="H8" s="575">
        <v>562.62</v>
      </c>
      <c r="I8" s="576">
        <v>40.119999999999997</v>
      </c>
      <c r="J8" s="586">
        <v>212386264</v>
      </c>
      <c r="K8" s="531" t="s">
        <v>719</v>
      </c>
      <c r="L8" s="531" t="s">
        <v>720</v>
      </c>
    </row>
    <row r="9" spans="1:14" x14ac:dyDescent="0.25">
      <c r="A9" s="531" t="s">
        <v>220</v>
      </c>
      <c r="B9" s="531" t="s">
        <v>714</v>
      </c>
      <c r="C9" s="531" t="s">
        <v>715</v>
      </c>
      <c r="D9" s="531" t="s">
        <v>196</v>
      </c>
      <c r="E9" s="585">
        <v>43756</v>
      </c>
      <c r="F9" s="585">
        <v>43737</v>
      </c>
      <c r="G9" s="585">
        <v>43750</v>
      </c>
      <c r="H9" s="575">
        <v>562.63</v>
      </c>
      <c r="I9" s="576">
        <v>40.130000000000003</v>
      </c>
      <c r="J9" s="586">
        <v>212386264</v>
      </c>
      <c r="K9" s="531" t="s">
        <v>721</v>
      </c>
      <c r="L9" s="531" t="s">
        <v>720</v>
      </c>
    </row>
    <row r="10" spans="1:14" x14ac:dyDescent="0.25">
      <c r="A10" s="531" t="s">
        <v>220</v>
      </c>
      <c r="B10" s="531" t="s">
        <v>714</v>
      </c>
      <c r="C10" s="531" t="s">
        <v>715</v>
      </c>
      <c r="D10" s="531" t="s">
        <v>196</v>
      </c>
      <c r="E10" s="585">
        <v>43770</v>
      </c>
      <c r="F10" s="585">
        <v>43751</v>
      </c>
      <c r="G10" s="585">
        <v>43764</v>
      </c>
      <c r="H10" s="575">
        <v>560</v>
      </c>
      <c r="I10" s="576">
        <v>40</v>
      </c>
      <c r="J10" s="586">
        <v>214643815</v>
      </c>
      <c r="K10" s="531" t="s">
        <v>722</v>
      </c>
      <c r="L10" s="531" t="s">
        <v>723</v>
      </c>
    </row>
    <row r="11" spans="1:14" x14ac:dyDescent="0.25">
      <c r="A11" s="531" t="s">
        <v>220</v>
      </c>
      <c r="B11" s="531" t="s">
        <v>714</v>
      </c>
      <c r="C11" s="531" t="s">
        <v>715</v>
      </c>
      <c r="D11" s="531" t="s">
        <v>196</v>
      </c>
      <c r="E11" s="585">
        <v>43770</v>
      </c>
      <c r="F11" s="585">
        <v>43751</v>
      </c>
      <c r="G11" s="585">
        <v>43764</v>
      </c>
      <c r="H11" s="575">
        <v>560</v>
      </c>
      <c r="I11" s="576">
        <v>40</v>
      </c>
      <c r="J11" s="586">
        <v>214643815</v>
      </c>
      <c r="K11" s="531" t="s">
        <v>724</v>
      </c>
      <c r="L11" s="531" t="s">
        <v>723</v>
      </c>
    </row>
    <row r="12" spans="1:14" x14ac:dyDescent="0.25">
      <c r="A12" s="531" t="s">
        <v>220</v>
      </c>
      <c r="B12" s="531" t="s">
        <v>714</v>
      </c>
      <c r="C12" s="531" t="s">
        <v>715</v>
      </c>
      <c r="D12" s="531" t="s">
        <v>196</v>
      </c>
      <c r="E12" s="585">
        <v>43784</v>
      </c>
      <c r="F12" s="585">
        <v>43765</v>
      </c>
      <c r="G12" s="585">
        <v>43778</v>
      </c>
      <c r="H12" s="575">
        <v>560</v>
      </c>
      <c r="I12" s="576">
        <v>40</v>
      </c>
      <c r="J12" s="586">
        <v>216803173</v>
      </c>
      <c r="K12" s="531" t="s">
        <v>725</v>
      </c>
      <c r="L12" s="531" t="s">
        <v>726</v>
      </c>
    </row>
    <row r="13" spans="1:14" x14ac:dyDescent="0.25">
      <c r="A13" s="531" t="s">
        <v>220</v>
      </c>
      <c r="B13" s="531" t="s">
        <v>714</v>
      </c>
      <c r="C13" s="531" t="s">
        <v>715</v>
      </c>
      <c r="D13" s="531" t="s">
        <v>196</v>
      </c>
      <c r="E13" s="585">
        <v>43784</v>
      </c>
      <c r="F13" s="585">
        <v>43765</v>
      </c>
      <c r="G13" s="585">
        <v>43778</v>
      </c>
      <c r="H13" s="575">
        <v>560</v>
      </c>
      <c r="I13" s="576">
        <v>40</v>
      </c>
      <c r="J13" s="586">
        <v>216803173</v>
      </c>
      <c r="K13" s="531" t="s">
        <v>727</v>
      </c>
      <c r="L13" s="531" t="s">
        <v>726</v>
      </c>
    </row>
    <row r="14" spans="1:14" x14ac:dyDescent="0.25">
      <c r="A14" s="531" t="s">
        <v>220</v>
      </c>
      <c r="B14" s="531" t="s">
        <v>714</v>
      </c>
      <c r="C14" s="531" t="s">
        <v>715</v>
      </c>
      <c r="D14" s="531" t="s">
        <v>196</v>
      </c>
      <c r="E14" s="585">
        <v>43798</v>
      </c>
      <c r="F14" s="585">
        <v>43779</v>
      </c>
      <c r="G14" s="585">
        <v>43792</v>
      </c>
      <c r="H14" s="575">
        <v>560</v>
      </c>
      <c r="I14" s="576">
        <v>40</v>
      </c>
      <c r="J14" s="586">
        <v>219435869</v>
      </c>
      <c r="K14" s="531" t="s">
        <v>728</v>
      </c>
      <c r="L14" s="531" t="s">
        <v>729</v>
      </c>
    </row>
    <row r="15" spans="1:14" x14ac:dyDescent="0.25">
      <c r="A15" s="531" t="s">
        <v>220</v>
      </c>
      <c r="B15" s="531" t="s">
        <v>714</v>
      </c>
      <c r="C15" s="531" t="s">
        <v>715</v>
      </c>
      <c r="D15" s="531" t="s">
        <v>196</v>
      </c>
      <c r="E15" s="585">
        <v>43798</v>
      </c>
      <c r="F15" s="585">
        <v>43779</v>
      </c>
      <c r="G15" s="585">
        <v>43792</v>
      </c>
      <c r="H15" s="575">
        <v>560</v>
      </c>
      <c r="I15" s="576">
        <v>40</v>
      </c>
      <c r="J15" s="586">
        <v>219435869</v>
      </c>
      <c r="K15" s="531" t="s">
        <v>730</v>
      </c>
      <c r="L15" s="531" t="s">
        <v>729</v>
      </c>
    </row>
    <row r="16" spans="1:14" x14ac:dyDescent="0.25">
      <c r="A16" s="531" t="s">
        <v>220</v>
      </c>
      <c r="B16" s="531" t="s">
        <v>714</v>
      </c>
      <c r="C16" s="531" t="s">
        <v>715</v>
      </c>
      <c r="D16" s="531" t="s">
        <v>196</v>
      </c>
      <c r="E16" s="585">
        <v>43812</v>
      </c>
      <c r="F16" s="585">
        <v>43793</v>
      </c>
      <c r="G16" s="585">
        <v>43806</v>
      </c>
      <c r="H16" s="575">
        <v>560</v>
      </c>
      <c r="I16" s="576">
        <v>40</v>
      </c>
      <c r="J16" s="586">
        <v>221999735</v>
      </c>
      <c r="K16" s="531" t="s">
        <v>731</v>
      </c>
      <c r="L16" s="531" t="s">
        <v>732</v>
      </c>
    </row>
    <row r="17" spans="1:12" x14ac:dyDescent="0.25">
      <c r="A17" s="531" t="s">
        <v>220</v>
      </c>
      <c r="B17" s="531" t="s">
        <v>714</v>
      </c>
      <c r="C17" s="531" t="s">
        <v>715</v>
      </c>
      <c r="D17" s="531" t="s">
        <v>196</v>
      </c>
      <c r="E17" s="585">
        <v>43812</v>
      </c>
      <c r="F17" s="585">
        <v>43793</v>
      </c>
      <c r="G17" s="585">
        <v>43806</v>
      </c>
      <c r="H17" s="575">
        <v>560</v>
      </c>
      <c r="I17" s="576">
        <v>40</v>
      </c>
      <c r="J17" s="586">
        <v>221999735</v>
      </c>
      <c r="K17" s="531" t="s">
        <v>733</v>
      </c>
      <c r="L17" s="531" t="s">
        <v>732</v>
      </c>
    </row>
    <row r="18" spans="1:12" x14ac:dyDescent="0.25">
      <c r="A18" s="531" t="s">
        <v>220</v>
      </c>
      <c r="B18" s="531" t="s">
        <v>714</v>
      </c>
      <c r="C18" s="531" t="s">
        <v>715</v>
      </c>
      <c r="D18" s="531" t="s">
        <v>196</v>
      </c>
      <c r="E18" s="585">
        <v>43826</v>
      </c>
      <c r="F18" s="585">
        <v>43807</v>
      </c>
      <c r="G18" s="585">
        <v>43820</v>
      </c>
      <c r="H18" s="575">
        <v>562.62</v>
      </c>
      <c r="I18" s="576">
        <v>40.119999999999997</v>
      </c>
      <c r="J18" s="586">
        <v>223886743</v>
      </c>
      <c r="K18" s="531" t="s">
        <v>734</v>
      </c>
      <c r="L18" s="531" t="s">
        <v>735</v>
      </c>
    </row>
    <row r="19" spans="1:12" x14ac:dyDescent="0.25">
      <c r="A19" s="531" t="s">
        <v>220</v>
      </c>
      <c r="B19" s="531" t="s">
        <v>714</v>
      </c>
      <c r="C19" s="531" t="s">
        <v>715</v>
      </c>
      <c r="D19" s="531" t="s">
        <v>196</v>
      </c>
      <c r="E19" s="585">
        <v>43826</v>
      </c>
      <c r="F19" s="585">
        <v>43807</v>
      </c>
      <c r="G19" s="585">
        <v>43820</v>
      </c>
      <c r="H19" s="587">
        <v>562.63</v>
      </c>
      <c r="I19" s="576">
        <v>40.130000000000003</v>
      </c>
      <c r="J19" s="586">
        <v>223886743</v>
      </c>
      <c r="K19" s="531" t="s">
        <v>736</v>
      </c>
      <c r="L19" s="531" t="s">
        <v>735</v>
      </c>
    </row>
    <row r="20" spans="1:12" ht="14.5" x14ac:dyDescent="0.35">
      <c r="E20" s="585"/>
      <c r="F20" s="585"/>
      <c r="G20" s="585"/>
      <c r="H20" s="588">
        <f>SUM(H6:H19)</f>
        <v>7850.5</v>
      </c>
      <c r="J20" s="586"/>
    </row>
    <row r="21" spans="1:12" ht="14.5" x14ac:dyDescent="0.35">
      <c r="E21" s="585"/>
      <c r="F21" s="589" t="s">
        <v>737</v>
      </c>
      <c r="G21" s="585"/>
      <c r="H21" s="588">
        <v>-10.5</v>
      </c>
      <c r="J21" s="586"/>
    </row>
    <row r="22" spans="1:12" ht="15" thickBot="1" x14ac:dyDescent="0.4">
      <c r="E22" s="585"/>
      <c r="F22" s="585"/>
      <c r="G22" s="585"/>
      <c r="H22" s="598">
        <f>SUM(H20:H21)</f>
        <v>7840</v>
      </c>
      <c r="J22" s="586"/>
    </row>
    <row r="23" spans="1:12" ht="13" thickTop="1" x14ac:dyDescent="0.25">
      <c r="E23" s="585"/>
      <c r="F23" s="585"/>
      <c r="G23" s="585"/>
      <c r="J23" s="586"/>
    </row>
    <row r="24" spans="1:12" x14ac:dyDescent="0.25">
      <c r="E24" s="585"/>
      <c r="F24" s="585"/>
      <c r="G24" s="585"/>
      <c r="J24" s="586"/>
    </row>
    <row r="25" spans="1:12" x14ac:dyDescent="0.25">
      <c r="A25" s="531" t="s">
        <v>220</v>
      </c>
      <c r="B25" s="531" t="s">
        <v>738</v>
      </c>
      <c r="C25" s="531" t="s">
        <v>739</v>
      </c>
      <c r="D25" s="531" t="s">
        <v>195</v>
      </c>
      <c r="E25" s="585">
        <v>43742</v>
      </c>
      <c r="F25" s="585">
        <v>43723</v>
      </c>
      <c r="G25" s="585">
        <v>43736</v>
      </c>
      <c r="H25" s="575">
        <v>650</v>
      </c>
      <c r="I25" s="576">
        <v>50</v>
      </c>
      <c r="J25" s="586">
        <v>209886774</v>
      </c>
      <c r="K25" s="531" t="s">
        <v>740</v>
      </c>
      <c r="L25" s="531" t="s">
        <v>717</v>
      </c>
    </row>
    <row r="26" spans="1:12" x14ac:dyDescent="0.25">
      <c r="A26" s="531" t="s">
        <v>220</v>
      </c>
      <c r="B26" s="531" t="s">
        <v>738</v>
      </c>
      <c r="C26" s="531" t="s">
        <v>739</v>
      </c>
      <c r="D26" s="531" t="s">
        <v>195</v>
      </c>
      <c r="E26" s="585">
        <v>43756</v>
      </c>
      <c r="F26" s="585">
        <v>43737</v>
      </c>
      <c r="G26" s="585">
        <v>43750</v>
      </c>
      <c r="H26" s="575">
        <v>650</v>
      </c>
      <c r="I26" s="576">
        <v>50</v>
      </c>
      <c r="J26" s="586">
        <v>212386265</v>
      </c>
      <c r="K26" s="531" t="s">
        <v>741</v>
      </c>
      <c r="L26" s="531" t="s">
        <v>720</v>
      </c>
    </row>
    <row r="27" spans="1:12" x14ac:dyDescent="0.25">
      <c r="A27" s="531" t="s">
        <v>220</v>
      </c>
      <c r="B27" s="531" t="s">
        <v>738</v>
      </c>
      <c r="C27" s="531" t="s">
        <v>739</v>
      </c>
      <c r="D27" s="531" t="s">
        <v>195</v>
      </c>
      <c r="E27" s="585">
        <v>43770</v>
      </c>
      <c r="F27" s="585">
        <v>43751</v>
      </c>
      <c r="G27" s="585">
        <v>43764</v>
      </c>
      <c r="H27" s="575">
        <v>650</v>
      </c>
      <c r="I27" s="576">
        <v>50</v>
      </c>
      <c r="J27" s="586">
        <v>214643816</v>
      </c>
      <c r="K27" s="531" t="s">
        <v>742</v>
      </c>
      <c r="L27" s="531" t="s">
        <v>723</v>
      </c>
    </row>
    <row r="28" spans="1:12" x14ac:dyDescent="0.25">
      <c r="A28" s="531" t="s">
        <v>220</v>
      </c>
      <c r="B28" s="531" t="s">
        <v>738</v>
      </c>
      <c r="C28" s="531" t="s">
        <v>739</v>
      </c>
      <c r="D28" s="531" t="s">
        <v>195</v>
      </c>
      <c r="E28" s="585">
        <v>43784</v>
      </c>
      <c r="F28" s="585">
        <v>43765</v>
      </c>
      <c r="G28" s="585">
        <v>43778</v>
      </c>
      <c r="H28" s="575">
        <v>650</v>
      </c>
      <c r="I28" s="576">
        <v>50</v>
      </c>
      <c r="J28" s="586">
        <v>216803174</v>
      </c>
      <c r="K28" s="531" t="s">
        <v>743</v>
      </c>
      <c r="L28" s="531" t="s">
        <v>726</v>
      </c>
    </row>
    <row r="29" spans="1:12" x14ac:dyDescent="0.25">
      <c r="A29" s="531" t="s">
        <v>220</v>
      </c>
      <c r="B29" s="531" t="s">
        <v>738</v>
      </c>
      <c r="C29" s="531" t="s">
        <v>739</v>
      </c>
      <c r="D29" s="531" t="s">
        <v>195</v>
      </c>
      <c r="E29" s="585">
        <v>43798</v>
      </c>
      <c r="F29" s="585">
        <v>43779</v>
      </c>
      <c r="G29" s="585">
        <v>43792</v>
      </c>
      <c r="H29" s="575">
        <v>650</v>
      </c>
      <c r="I29" s="576">
        <v>50</v>
      </c>
      <c r="J29" s="586">
        <v>219435870</v>
      </c>
      <c r="K29" s="531" t="s">
        <v>744</v>
      </c>
      <c r="L29" s="531" t="s">
        <v>729</v>
      </c>
    </row>
    <row r="30" spans="1:12" x14ac:dyDescent="0.25">
      <c r="A30" s="531" t="s">
        <v>220</v>
      </c>
      <c r="B30" s="531" t="s">
        <v>738</v>
      </c>
      <c r="C30" s="531" t="s">
        <v>739</v>
      </c>
      <c r="D30" s="531" t="s">
        <v>195</v>
      </c>
      <c r="E30" s="585">
        <v>43812</v>
      </c>
      <c r="F30" s="585">
        <v>43793</v>
      </c>
      <c r="G30" s="585">
        <v>43806</v>
      </c>
      <c r="H30" s="575">
        <v>572</v>
      </c>
      <c r="I30" s="576">
        <v>44</v>
      </c>
      <c r="J30" s="586">
        <v>221999736</v>
      </c>
      <c r="K30" s="531" t="s">
        <v>745</v>
      </c>
      <c r="L30" s="531" t="s">
        <v>732</v>
      </c>
    </row>
    <row r="31" spans="1:12" x14ac:dyDescent="0.25">
      <c r="A31" s="531" t="s">
        <v>220</v>
      </c>
      <c r="B31" s="531" t="s">
        <v>738</v>
      </c>
      <c r="C31" s="531" t="s">
        <v>739</v>
      </c>
      <c r="D31" s="531" t="s">
        <v>195</v>
      </c>
      <c r="E31" s="585">
        <v>43826</v>
      </c>
      <c r="F31" s="585">
        <v>43807</v>
      </c>
      <c r="G31" s="585">
        <v>43820</v>
      </c>
      <c r="H31" s="587">
        <v>650</v>
      </c>
      <c r="I31" s="576">
        <v>50</v>
      </c>
      <c r="J31" s="586">
        <v>223886744</v>
      </c>
      <c r="K31" s="531" t="s">
        <v>746</v>
      </c>
      <c r="L31" s="531" t="s">
        <v>735</v>
      </c>
    </row>
    <row r="32" spans="1:12" ht="14.5" x14ac:dyDescent="0.35">
      <c r="E32" s="585"/>
      <c r="F32" s="585"/>
      <c r="G32" s="585"/>
      <c r="H32" s="599">
        <f>SUM(H25:H31)</f>
        <v>4472</v>
      </c>
      <c r="J32" s="586"/>
    </row>
    <row r="33" spans="1:12" x14ac:dyDescent="0.25">
      <c r="E33" s="585"/>
      <c r="F33" s="585"/>
      <c r="G33" s="585"/>
      <c r="J33" s="586"/>
    </row>
    <row r="34" spans="1:12" x14ac:dyDescent="0.25">
      <c r="E34" s="585"/>
      <c r="F34" s="585"/>
      <c r="G34" s="585"/>
      <c r="J34" s="586"/>
    </row>
    <row r="35" spans="1:12" x14ac:dyDescent="0.25">
      <c r="E35" s="585"/>
      <c r="F35" s="585"/>
      <c r="G35" s="585"/>
      <c r="J35" s="586"/>
    </row>
    <row r="36" spans="1:12" x14ac:dyDescent="0.25">
      <c r="E36" s="585"/>
      <c r="F36" s="585"/>
      <c r="G36" s="585"/>
      <c r="J36" s="586"/>
    </row>
    <row r="37" spans="1:12" x14ac:dyDescent="0.25">
      <c r="E37" s="585"/>
      <c r="F37" s="585"/>
      <c r="G37" s="585"/>
      <c r="J37" s="586"/>
    </row>
    <row r="38" spans="1:12" x14ac:dyDescent="0.25">
      <c r="E38" s="585"/>
      <c r="F38" s="585"/>
      <c r="G38" s="585"/>
      <c r="J38" s="586"/>
    </row>
    <row r="39" spans="1:12" x14ac:dyDescent="0.25">
      <c r="E39" s="585"/>
      <c r="F39" s="585"/>
      <c r="G39" s="585"/>
      <c r="J39" s="586"/>
    </row>
    <row r="40" spans="1:12" x14ac:dyDescent="0.25">
      <c r="E40" s="585"/>
      <c r="F40" s="585"/>
      <c r="G40" s="585"/>
      <c r="J40" s="586"/>
    </row>
    <row r="41" spans="1:12" x14ac:dyDescent="0.25">
      <c r="A41" s="531" t="s">
        <v>747</v>
      </c>
      <c r="B41" s="531" t="s">
        <v>748</v>
      </c>
      <c r="C41" s="531" t="s">
        <v>749</v>
      </c>
      <c r="D41" s="531" t="s">
        <v>750</v>
      </c>
      <c r="E41" s="585">
        <v>43742</v>
      </c>
      <c r="F41" s="585">
        <v>43723</v>
      </c>
      <c r="G41" s="585">
        <v>43736</v>
      </c>
      <c r="H41" s="575">
        <v>495</v>
      </c>
      <c r="I41" s="576">
        <v>49.5</v>
      </c>
      <c r="J41" s="586">
        <v>209886775</v>
      </c>
      <c r="K41" s="531" t="s">
        <v>751</v>
      </c>
      <c r="L41" s="531" t="s">
        <v>717</v>
      </c>
    </row>
    <row r="42" spans="1:12" x14ac:dyDescent="0.25">
      <c r="A42" s="531" t="s">
        <v>747</v>
      </c>
      <c r="B42" s="531" t="s">
        <v>748</v>
      </c>
      <c r="C42" s="531" t="s">
        <v>749</v>
      </c>
      <c r="D42" s="531" t="s">
        <v>750</v>
      </c>
      <c r="E42" s="585">
        <v>43756</v>
      </c>
      <c r="F42" s="585">
        <v>43737</v>
      </c>
      <c r="G42" s="585">
        <v>43750</v>
      </c>
      <c r="H42" s="575">
        <v>617.5</v>
      </c>
      <c r="I42" s="576">
        <v>61.75</v>
      </c>
      <c r="J42" s="586">
        <v>212386266</v>
      </c>
      <c r="K42" s="531" t="s">
        <v>752</v>
      </c>
      <c r="L42" s="531" t="s">
        <v>720</v>
      </c>
    </row>
    <row r="43" spans="1:12" x14ac:dyDescent="0.25">
      <c r="A43" s="531" t="s">
        <v>747</v>
      </c>
      <c r="B43" s="531" t="s">
        <v>748</v>
      </c>
      <c r="C43" s="531" t="s">
        <v>749</v>
      </c>
      <c r="D43" s="531" t="s">
        <v>750</v>
      </c>
      <c r="E43" s="585">
        <v>43770</v>
      </c>
      <c r="F43" s="585">
        <v>43751</v>
      </c>
      <c r="G43" s="585">
        <v>43764</v>
      </c>
      <c r="H43" s="575">
        <v>423.3</v>
      </c>
      <c r="I43" s="576">
        <v>42.33</v>
      </c>
      <c r="J43" s="586">
        <v>214643817</v>
      </c>
      <c r="K43" s="531" t="s">
        <v>753</v>
      </c>
      <c r="L43" s="531" t="s">
        <v>723</v>
      </c>
    </row>
    <row r="44" spans="1:12" x14ac:dyDescent="0.25">
      <c r="A44" s="531" t="s">
        <v>747</v>
      </c>
      <c r="B44" s="531" t="s">
        <v>748</v>
      </c>
      <c r="C44" s="531" t="s">
        <v>749</v>
      </c>
      <c r="D44" s="531" t="s">
        <v>750</v>
      </c>
      <c r="E44" s="585">
        <v>43784</v>
      </c>
      <c r="F44" s="585">
        <v>43765</v>
      </c>
      <c r="G44" s="585">
        <v>43778</v>
      </c>
      <c r="H44" s="575">
        <v>460</v>
      </c>
      <c r="I44" s="576">
        <v>46</v>
      </c>
      <c r="J44" s="586">
        <v>216803175</v>
      </c>
      <c r="K44" s="531" t="s">
        <v>754</v>
      </c>
      <c r="L44" s="531" t="s">
        <v>726</v>
      </c>
    </row>
    <row r="45" spans="1:12" x14ac:dyDescent="0.25">
      <c r="A45" s="531" t="s">
        <v>747</v>
      </c>
      <c r="B45" s="531" t="s">
        <v>748</v>
      </c>
      <c r="C45" s="531" t="s">
        <v>749</v>
      </c>
      <c r="D45" s="531" t="s">
        <v>750</v>
      </c>
      <c r="E45" s="585">
        <v>43798</v>
      </c>
      <c r="F45" s="585">
        <v>43779</v>
      </c>
      <c r="G45" s="585">
        <v>43792</v>
      </c>
      <c r="H45" s="575">
        <v>325</v>
      </c>
      <c r="I45" s="576">
        <v>32.5</v>
      </c>
      <c r="J45" s="586">
        <v>219435871</v>
      </c>
      <c r="K45" s="531" t="s">
        <v>755</v>
      </c>
      <c r="L45" s="531" t="s">
        <v>729</v>
      </c>
    </row>
    <row r="46" spans="1:12" x14ac:dyDescent="0.25">
      <c r="A46" s="531" t="s">
        <v>747</v>
      </c>
      <c r="B46" s="531" t="s">
        <v>748</v>
      </c>
      <c r="C46" s="531" t="s">
        <v>749</v>
      </c>
      <c r="D46" s="531" t="s">
        <v>750</v>
      </c>
      <c r="E46" s="585">
        <v>43812</v>
      </c>
      <c r="F46" s="585">
        <v>43793</v>
      </c>
      <c r="G46" s="585">
        <v>43806</v>
      </c>
      <c r="H46" s="575">
        <v>282.5</v>
      </c>
      <c r="I46" s="576">
        <v>28.25</v>
      </c>
      <c r="J46" s="586">
        <v>221999737</v>
      </c>
      <c r="K46" s="531" t="s">
        <v>756</v>
      </c>
      <c r="L46" s="531" t="s">
        <v>732</v>
      </c>
    </row>
    <row r="47" spans="1:12" x14ac:dyDescent="0.25">
      <c r="A47" s="531" t="s">
        <v>747</v>
      </c>
      <c r="B47" s="531" t="s">
        <v>748</v>
      </c>
      <c r="C47" s="531" t="s">
        <v>749</v>
      </c>
      <c r="D47" s="531" t="s">
        <v>750</v>
      </c>
      <c r="E47" s="585">
        <v>43826</v>
      </c>
      <c r="F47" s="585">
        <v>43807</v>
      </c>
      <c r="G47" s="585">
        <v>43820</v>
      </c>
      <c r="H47" s="587">
        <v>520</v>
      </c>
      <c r="I47" s="576">
        <v>52</v>
      </c>
      <c r="J47" s="586">
        <v>223886745</v>
      </c>
      <c r="K47" s="531" t="s">
        <v>757</v>
      </c>
      <c r="L47" s="531" t="s">
        <v>735</v>
      </c>
    </row>
    <row r="48" spans="1:12" ht="14.5" x14ac:dyDescent="0.35">
      <c r="E48" s="585"/>
      <c r="F48" s="585"/>
      <c r="G48" s="585"/>
      <c r="H48" s="588">
        <f>SUM(H41:H47)</f>
        <v>3123.3</v>
      </c>
      <c r="J48" s="586"/>
    </row>
    <row r="49" spans="1:12" ht="14.5" x14ac:dyDescent="0.35">
      <c r="E49" s="585"/>
      <c r="F49" s="589" t="s">
        <v>737</v>
      </c>
      <c r="G49" s="585"/>
      <c r="H49" s="588">
        <v>-10.5</v>
      </c>
      <c r="J49" s="586"/>
    </row>
    <row r="50" spans="1:12" ht="15" thickBot="1" x14ac:dyDescent="0.4">
      <c r="E50" s="585"/>
      <c r="F50" s="585"/>
      <c r="G50" s="585"/>
      <c r="H50" s="590">
        <f>SUM(H48:H49)</f>
        <v>3112.8</v>
      </c>
      <c r="J50" s="586"/>
    </row>
    <row r="51" spans="1:12" ht="13" thickTop="1" x14ac:dyDescent="0.25">
      <c r="E51" s="585"/>
      <c r="F51" s="585"/>
      <c r="G51" s="585"/>
      <c r="J51" s="586"/>
    </row>
    <row r="52" spans="1:12" x14ac:dyDescent="0.25">
      <c r="A52" s="531" t="s">
        <v>220</v>
      </c>
      <c r="B52" s="531" t="s">
        <v>758</v>
      </c>
      <c r="C52" s="531" t="s">
        <v>759</v>
      </c>
      <c r="D52" s="531" t="s">
        <v>187</v>
      </c>
      <c r="E52" s="585">
        <v>43742</v>
      </c>
      <c r="F52" s="585">
        <v>43723</v>
      </c>
      <c r="G52" s="585">
        <v>43736</v>
      </c>
      <c r="H52" s="575">
        <v>1367.23</v>
      </c>
      <c r="I52" s="576">
        <v>65</v>
      </c>
      <c r="J52" s="586">
        <v>209886776</v>
      </c>
      <c r="K52" s="531" t="s">
        <v>760</v>
      </c>
      <c r="L52" s="531" t="s">
        <v>717</v>
      </c>
    </row>
    <row r="53" spans="1:12" x14ac:dyDescent="0.25">
      <c r="A53" s="531" t="s">
        <v>220</v>
      </c>
      <c r="B53" s="531" t="s">
        <v>758</v>
      </c>
      <c r="C53" s="531" t="s">
        <v>759</v>
      </c>
      <c r="D53" s="531" t="s">
        <v>187</v>
      </c>
      <c r="E53" s="585">
        <v>43756</v>
      </c>
      <c r="F53" s="585">
        <v>43737</v>
      </c>
      <c r="G53" s="585">
        <v>43750</v>
      </c>
      <c r="H53" s="575">
        <v>1357.23</v>
      </c>
      <c r="I53" s="576">
        <v>65</v>
      </c>
      <c r="J53" s="586">
        <v>212386267</v>
      </c>
      <c r="K53" s="531" t="s">
        <v>761</v>
      </c>
      <c r="L53" s="531" t="s">
        <v>720</v>
      </c>
    </row>
    <row r="54" spans="1:12" x14ac:dyDescent="0.25">
      <c r="A54" s="531" t="s">
        <v>220</v>
      </c>
      <c r="B54" s="531" t="s">
        <v>758</v>
      </c>
      <c r="C54" s="531" t="s">
        <v>759</v>
      </c>
      <c r="D54" s="531" t="s">
        <v>187</v>
      </c>
      <c r="E54" s="585">
        <v>43770</v>
      </c>
      <c r="F54" s="585">
        <v>43751</v>
      </c>
      <c r="G54" s="585">
        <v>43764</v>
      </c>
      <c r="H54" s="575">
        <v>1384.31</v>
      </c>
      <c r="I54" s="576">
        <v>65</v>
      </c>
      <c r="J54" s="586">
        <v>214643818</v>
      </c>
      <c r="K54" s="531" t="s">
        <v>762</v>
      </c>
      <c r="L54" s="531" t="s">
        <v>723</v>
      </c>
    </row>
    <row r="55" spans="1:12" x14ac:dyDescent="0.25">
      <c r="A55" s="531" t="s">
        <v>220</v>
      </c>
      <c r="B55" s="531" t="s">
        <v>758</v>
      </c>
      <c r="C55" s="531" t="s">
        <v>759</v>
      </c>
      <c r="D55" s="531" t="s">
        <v>187</v>
      </c>
      <c r="E55" s="585">
        <v>43784</v>
      </c>
      <c r="F55" s="585">
        <v>43765</v>
      </c>
      <c r="G55" s="585">
        <v>43778</v>
      </c>
      <c r="H55" s="575">
        <v>1327.23</v>
      </c>
      <c r="I55" s="576">
        <v>65</v>
      </c>
      <c r="J55" s="586">
        <v>216803176</v>
      </c>
      <c r="K55" s="531" t="s">
        <v>763</v>
      </c>
      <c r="L55" s="531" t="s">
        <v>726</v>
      </c>
    </row>
    <row r="56" spans="1:12" x14ac:dyDescent="0.25">
      <c r="A56" s="531" t="s">
        <v>220</v>
      </c>
      <c r="B56" s="531" t="s">
        <v>758</v>
      </c>
      <c r="C56" s="531" t="s">
        <v>759</v>
      </c>
      <c r="D56" s="531" t="s">
        <v>187</v>
      </c>
      <c r="E56" s="585">
        <v>43798</v>
      </c>
      <c r="F56" s="585">
        <v>43779</v>
      </c>
      <c r="G56" s="585">
        <v>43792</v>
      </c>
      <c r="H56" s="575">
        <v>1347.23</v>
      </c>
      <c r="I56" s="576">
        <v>65</v>
      </c>
      <c r="J56" s="586">
        <v>219435872</v>
      </c>
      <c r="K56" s="531" t="s">
        <v>764</v>
      </c>
      <c r="L56" s="531" t="s">
        <v>729</v>
      </c>
    </row>
    <row r="57" spans="1:12" x14ac:dyDescent="0.25">
      <c r="A57" s="531" t="s">
        <v>220</v>
      </c>
      <c r="B57" s="531" t="s">
        <v>758</v>
      </c>
      <c r="C57" s="531" t="s">
        <v>759</v>
      </c>
      <c r="D57" s="531" t="s">
        <v>187</v>
      </c>
      <c r="E57" s="585">
        <v>43812</v>
      </c>
      <c r="F57" s="585">
        <v>43793</v>
      </c>
      <c r="G57" s="585">
        <v>43806</v>
      </c>
      <c r="H57" s="575">
        <v>1347.23</v>
      </c>
      <c r="I57" s="576">
        <v>65</v>
      </c>
      <c r="J57" s="586">
        <v>221999738</v>
      </c>
      <c r="K57" s="531" t="s">
        <v>765</v>
      </c>
      <c r="L57" s="531" t="s">
        <v>732</v>
      </c>
    </row>
    <row r="58" spans="1:12" x14ac:dyDescent="0.25">
      <c r="A58" s="531" t="s">
        <v>220</v>
      </c>
      <c r="B58" s="531" t="s">
        <v>758</v>
      </c>
      <c r="C58" s="531" t="s">
        <v>759</v>
      </c>
      <c r="D58" s="531" t="s">
        <v>187</v>
      </c>
      <c r="E58" s="585">
        <v>43826</v>
      </c>
      <c r="F58" s="585">
        <v>43807</v>
      </c>
      <c r="G58" s="585">
        <v>43820</v>
      </c>
      <c r="H58" s="587">
        <v>1367.23</v>
      </c>
      <c r="I58" s="576">
        <v>65</v>
      </c>
      <c r="J58" s="586">
        <v>223886746</v>
      </c>
      <c r="K58" s="531" t="s">
        <v>766</v>
      </c>
      <c r="L58" s="531" t="s">
        <v>735</v>
      </c>
    </row>
    <row r="59" spans="1:12" ht="14.5" x14ac:dyDescent="0.35">
      <c r="E59" s="585"/>
      <c r="F59" s="585"/>
      <c r="G59" s="585"/>
      <c r="H59" s="588">
        <f>SUM(H52:H58)</f>
        <v>9497.6899999999987</v>
      </c>
      <c r="J59" s="586"/>
    </row>
    <row r="60" spans="1:12" ht="14.5" x14ac:dyDescent="0.35">
      <c r="E60" s="585"/>
      <c r="F60" s="591" t="s">
        <v>767</v>
      </c>
      <c r="G60" s="585"/>
      <c r="H60" s="588">
        <v>-570</v>
      </c>
      <c r="J60" s="586"/>
    </row>
    <row r="61" spans="1:12" ht="14.5" x14ac:dyDescent="0.35">
      <c r="E61" s="585"/>
      <c r="F61" s="591" t="s">
        <v>768</v>
      </c>
      <c r="G61" s="585"/>
      <c r="H61" s="588">
        <v>-30</v>
      </c>
      <c r="J61" s="586"/>
    </row>
    <row r="62" spans="1:12" ht="15" thickBot="1" x14ac:dyDescent="0.4">
      <c r="E62" s="585"/>
      <c r="F62" s="585"/>
      <c r="G62" s="585"/>
      <c r="H62" s="590">
        <f>SUM(H59:H61)</f>
        <v>8897.6899999999987</v>
      </c>
      <c r="J62" s="586"/>
    </row>
    <row r="63" spans="1:12" ht="13" thickTop="1" x14ac:dyDescent="0.25">
      <c r="E63" s="585"/>
      <c r="F63" s="585"/>
      <c r="G63" s="585"/>
      <c r="J63" s="586"/>
    </row>
    <row r="64" spans="1:12" x14ac:dyDescent="0.25">
      <c r="E64" s="585"/>
      <c r="F64" s="585"/>
      <c r="G64" s="585"/>
      <c r="J64" s="586"/>
    </row>
    <row r="65" spans="1:12" x14ac:dyDescent="0.25">
      <c r="A65" s="531" t="s">
        <v>220</v>
      </c>
      <c r="B65" s="531" t="s">
        <v>769</v>
      </c>
      <c r="C65" s="531" t="s">
        <v>770</v>
      </c>
      <c r="D65" s="531" t="s">
        <v>771</v>
      </c>
      <c r="E65" s="585">
        <v>43742</v>
      </c>
      <c r="F65" s="585">
        <v>43723</v>
      </c>
      <c r="G65" s="585">
        <v>43736</v>
      </c>
      <c r="H65" s="575">
        <v>2692.31</v>
      </c>
      <c r="I65" s="576">
        <v>70</v>
      </c>
      <c r="J65" s="586">
        <v>209886779</v>
      </c>
      <c r="K65" s="531" t="s">
        <v>772</v>
      </c>
      <c r="L65" s="531" t="s">
        <v>717</v>
      </c>
    </row>
    <row r="66" spans="1:12" x14ac:dyDescent="0.25">
      <c r="A66" s="531" t="s">
        <v>220</v>
      </c>
      <c r="B66" s="531" t="s">
        <v>769</v>
      </c>
      <c r="C66" s="531" t="s">
        <v>770</v>
      </c>
      <c r="D66" s="531" t="s">
        <v>771</v>
      </c>
      <c r="E66" s="585">
        <v>43756</v>
      </c>
      <c r="F66" s="585">
        <v>43737</v>
      </c>
      <c r="G66" s="585">
        <v>43750</v>
      </c>
      <c r="H66" s="575">
        <v>2692.31</v>
      </c>
      <c r="I66" s="576">
        <v>70</v>
      </c>
      <c r="J66" s="586">
        <v>212386270</v>
      </c>
      <c r="K66" s="531" t="s">
        <v>773</v>
      </c>
      <c r="L66" s="531" t="s">
        <v>720</v>
      </c>
    </row>
    <row r="67" spans="1:12" x14ac:dyDescent="0.25">
      <c r="A67" s="531" t="s">
        <v>220</v>
      </c>
      <c r="B67" s="531" t="s">
        <v>769</v>
      </c>
      <c r="C67" s="531" t="s">
        <v>770</v>
      </c>
      <c r="D67" s="531" t="s">
        <v>771</v>
      </c>
      <c r="E67" s="585">
        <v>43770</v>
      </c>
      <c r="F67" s="585">
        <v>43751</v>
      </c>
      <c r="G67" s="585">
        <v>43764</v>
      </c>
      <c r="H67" s="575">
        <v>2692.31</v>
      </c>
      <c r="I67" s="576">
        <v>70</v>
      </c>
      <c r="J67" s="586">
        <v>214643821</v>
      </c>
      <c r="K67" s="531" t="s">
        <v>774</v>
      </c>
      <c r="L67" s="531" t="s">
        <v>723</v>
      </c>
    </row>
    <row r="68" spans="1:12" x14ac:dyDescent="0.25">
      <c r="A68" s="531" t="s">
        <v>220</v>
      </c>
      <c r="B68" s="531" t="s">
        <v>769</v>
      </c>
      <c r="C68" s="531" t="s">
        <v>770</v>
      </c>
      <c r="D68" s="531" t="s">
        <v>771</v>
      </c>
      <c r="E68" s="585">
        <v>43784</v>
      </c>
      <c r="F68" s="585">
        <v>43765</v>
      </c>
      <c r="G68" s="585">
        <v>43778</v>
      </c>
      <c r="H68" s="575">
        <v>2692.31</v>
      </c>
      <c r="I68" s="576">
        <v>70</v>
      </c>
      <c r="J68" s="586">
        <v>216803179</v>
      </c>
      <c r="K68" s="531" t="s">
        <v>775</v>
      </c>
      <c r="L68" s="531" t="s">
        <v>726</v>
      </c>
    </row>
    <row r="69" spans="1:12" x14ac:dyDescent="0.25">
      <c r="A69" s="531" t="s">
        <v>220</v>
      </c>
      <c r="B69" s="531" t="s">
        <v>769</v>
      </c>
      <c r="C69" s="531" t="s">
        <v>770</v>
      </c>
      <c r="D69" s="531" t="s">
        <v>771</v>
      </c>
      <c r="E69" s="585">
        <v>43798</v>
      </c>
      <c r="F69" s="585">
        <v>43779</v>
      </c>
      <c r="G69" s="585">
        <v>43792</v>
      </c>
      <c r="H69" s="575">
        <v>2692.31</v>
      </c>
      <c r="I69" s="576">
        <v>70</v>
      </c>
      <c r="J69" s="586">
        <v>219435875</v>
      </c>
      <c r="K69" s="531" t="s">
        <v>776</v>
      </c>
      <c r="L69" s="531" t="s">
        <v>729</v>
      </c>
    </row>
    <row r="70" spans="1:12" x14ac:dyDescent="0.25">
      <c r="A70" s="531" t="s">
        <v>220</v>
      </c>
      <c r="B70" s="531" t="s">
        <v>769</v>
      </c>
      <c r="C70" s="531" t="s">
        <v>770</v>
      </c>
      <c r="D70" s="531" t="s">
        <v>771</v>
      </c>
      <c r="E70" s="585">
        <v>43812</v>
      </c>
      <c r="F70" s="585">
        <v>43793</v>
      </c>
      <c r="G70" s="585">
        <v>43806</v>
      </c>
      <c r="H70" s="575">
        <v>2692.31</v>
      </c>
      <c r="I70" s="576">
        <v>70</v>
      </c>
      <c r="J70" s="586">
        <v>221999741</v>
      </c>
      <c r="K70" s="531" t="s">
        <v>777</v>
      </c>
      <c r="L70" s="531" t="s">
        <v>732</v>
      </c>
    </row>
    <row r="71" spans="1:12" x14ac:dyDescent="0.25">
      <c r="A71" s="531" t="s">
        <v>220</v>
      </c>
      <c r="B71" s="531" t="s">
        <v>769</v>
      </c>
      <c r="C71" s="531" t="s">
        <v>770</v>
      </c>
      <c r="D71" s="531" t="s">
        <v>771</v>
      </c>
      <c r="E71" s="585">
        <v>43826</v>
      </c>
      <c r="F71" s="585">
        <v>43807</v>
      </c>
      <c r="G71" s="585">
        <v>43820</v>
      </c>
      <c r="H71" s="587">
        <v>2692.31</v>
      </c>
      <c r="I71" s="576">
        <v>70</v>
      </c>
      <c r="J71" s="586">
        <v>223886749</v>
      </c>
      <c r="K71" s="531" t="s">
        <v>778</v>
      </c>
      <c r="L71" s="531" t="s">
        <v>735</v>
      </c>
    </row>
    <row r="72" spans="1:12" ht="14.5" x14ac:dyDescent="0.35">
      <c r="E72" s="585"/>
      <c r="F72" s="585"/>
      <c r="G72" s="585"/>
      <c r="H72" s="588">
        <f>SUM(H65:H71)</f>
        <v>18846.169999999998</v>
      </c>
      <c r="J72" s="586"/>
    </row>
    <row r="73" spans="1:12" x14ac:dyDescent="0.25">
      <c r="E73" s="585"/>
      <c r="F73" s="585"/>
      <c r="G73" s="585"/>
      <c r="J73" s="586"/>
    </row>
    <row r="74" spans="1:12" x14ac:dyDescent="0.25">
      <c r="E74" s="585"/>
      <c r="F74" s="585"/>
      <c r="G74" s="585"/>
      <c r="J74" s="586"/>
    </row>
    <row r="75" spans="1:12" x14ac:dyDescent="0.25">
      <c r="E75" s="585"/>
      <c r="F75" s="585"/>
      <c r="G75" s="585"/>
      <c r="J75" s="586"/>
    </row>
    <row r="76" spans="1:12" x14ac:dyDescent="0.25">
      <c r="A76" s="531" t="s">
        <v>220</v>
      </c>
      <c r="B76" s="531" t="s">
        <v>779</v>
      </c>
      <c r="C76" s="531" t="s">
        <v>780</v>
      </c>
      <c r="D76" s="531" t="s">
        <v>781</v>
      </c>
      <c r="E76" s="585">
        <v>43742</v>
      </c>
      <c r="F76" s="585">
        <v>43723</v>
      </c>
      <c r="G76" s="585">
        <v>43736</v>
      </c>
      <c r="H76" s="575">
        <v>2279.21</v>
      </c>
      <c r="I76" s="576">
        <v>64.25</v>
      </c>
      <c r="J76" s="586">
        <v>209886785</v>
      </c>
      <c r="K76" s="531" t="s">
        <v>782</v>
      </c>
      <c r="L76" s="531" t="s">
        <v>717</v>
      </c>
    </row>
    <row r="77" spans="1:12" x14ac:dyDescent="0.25">
      <c r="A77" s="531" t="s">
        <v>220</v>
      </c>
      <c r="B77" s="531" t="s">
        <v>779</v>
      </c>
      <c r="C77" s="531" t="s">
        <v>780</v>
      </c>
      <c r="D77" s="531" t="s">
        <v>781</v>
      </c>
      <c r="E77" s="585">
        <v>43756</v>
      </c>
      <c r="F77" s="585">
        <v>43737</v>
      </c>
      <c r="G77" s="585">
        <v>43750</v>
      </c>
      <c r="H77" s="575">
        <v>2305.8200000000002</v>
      </c>
      <c r="I77" s="576">
        <v>65</v>
      </c>
      <c r="J77" s="586">
        <v>212386276</v>
      </c>
      <c r="K77" s="531" t="s">
        <v>783</v>
      </c>
      <c r="L77" s="531" t="s">
        <v>720</v>
      </c>
    </row>
    <row r="78" spans="1:12" x14ac:dyDescent="0.25">
      <c r="A78" s="531" t="s">
        <v>220</v>
      </c>
      <c r="B78" s="531" t="s">
        <v>779</v>
      </c>
      <c r="C78" s="531" t="s">
        <v>780</v>
      </c>
      <c r="D78" s="531" t="s">
        <v>781</v>
      </c>
      <c r="E78" s="585">
        <v>43770</v>
      </c>
      <c r="F78" s="585">
        <v>43751</v>
      </c>
      <c r="G78" s="585">
        <v>43764</v>
      </c>
      <c r="H78" s="575">
        <v>2305.8200000000002</v>
      </c>
      <c r="I78" s="576">
        <v>65</v>
      </c>
      <c r="J78" s="586">
        <v>214643827</v>
      </c>
      <c r="K78" s="531" t="s">
        <v>784</v>
      </c>
      <c r="L78" s="531" t="s">
        <v>723</v>
      </c>
    </row>
    <row r="79" spans="1:12" x14ac:dyDescent="0.25">
      <c r="A79" s="531" t="s">
        <v>220</v>
      </c>
      <c r="B79" s="531" t="s">
        <v>779</v>
      </c>
      <c r="C79" s="531" t="s">
        <v>780</v>
      </c>
      <c r="D79" s="531" t="s">
        <v>781</v>
      </c>
      <c r="E79" s="585">
        <v>43784</v>
      </c>
      <c r="F79" s="585">
        <v>43765</v>
      </c>
      <c r="G79" s="585">
        <v>43778</v>
      </c>
      <c r="H79" s="575">
        <v>2305.8200000000002</v>
      </c>
      <c r="I79" s="576">
        <v>65</v>
      </c>
      <c r="J79" s="586">
        <v>216803185</v>
      </c>
      <c r="K79" s="531" t="s">
        <v>785</v>
      </c>
      <c r="L79" s="531" t="s">
        <v>726</v>
      </c>
    </row>
    <row r="80" spans="1:12" x14ac:dyDescent="0.25">
      <c r="A80" s="531" t="s">
        <v>220</v>
      </c>
      <c r="B80" s="531" t="s">
        <v>779</v>
      </c>
      <c r="C80" s="531" t="s">
        <v>780</v>
      </c>
      <c r="D80" s="531" t="s">
        <v>781</v>
      </c>
      <c r="E80" s="585">
        <v>43798</v>
      </c>
      <c r="F80" s="585">
        <v>43779</v>
      </c>
      <c r="G80" s="585">
        <v>43792</v>
      </c>
      <c r="H80" s="575">
        <v>2279.21</v>
      </c>
      <c r="I80" s="576">
        <v>64.25</v>
      </c>
      <c r="J80" s="586">
        <v>219435881</v>
      </c>
      <c r="K80" s="531" t="s">
        <v>786</v>
      </c>
      <c r="L80" s="531" t="s">
        <v>729</v>
      </c>
    </row>
    <row r="81" spans="1:12" x14ac:dyDescent="0.25">
      <c r="A81" s="531" t="s">
        <v>220</v>
      </c>
      <c r="B81" s="531" t="s">
        <v>779</v>
      </c>
      <c r="C81" s="531" t="s">
        <v>780</v>
      </c>
      <c r="D81" s="531" t="s">
        <v>781</v>
      </c>
      <c r="E81" s="585">
        <v>43812</v>
      </c>
      <c r="F81" s="585">
        <v>43793</v>
      </c>
      <c r="G81" s="585">
        <v>43806</v>
      </c>
      <c r="H81" s="575">
        <v>2223.16</v>
      </c>
      <c r="I81" s="576">
        <v>62.67</v>
      </c>
      <c r="J81" s="586">
        <v>221999748</v>
      </c>
      <c r="K81" s="531" t="s">
        <v>787</v>
      </c>
      <c r="L81" s="531" t="s">
        <v>732</v>
      </c>
    </row>
    <row r="82" spans="1:12" x14ac:dyDescent="0.25">
      <c r="A82" s="531" t="s">
        <v>220</v>
      </c>
      <c r="B82" s="531" t="s">
        <v>779</v>
      </c>
      <c r="C82" s="531" t="s">
        <v>780</v>
      </c>
      <c r="D82" s="531" t="s">
        <v>781</v>
      </c>
      <c r="E82" s="585">
        <v>43826</v>
      </c>
      <c r="F82" s="585">
        <v>43807</v>
      </c>
      <c r="G82" s="585">
        <v>43820</v>
      </c>
      <c r="H82" s="587">
        <v>2305.8200000000002</v>
      </c>
      <c r="I82" s="576">
        <v>65</v>
      </c>
      <c r="J82" s="586">
        <v>223886756</v>
      </c>
      <c r="K82" s="531" t="s">
        <v>788</v>
      </c>
      <c r="L82" s="531" t="s">
        <v>735</v>
      </c>
    </row>
    <row r="83" spans="1:12" ht="14.5" x14ac:dyDescent="0.35">
      <c r="E83" s="585"/>
      <c r="F83" s="585"/>
      <c r="G83" s="585"/>
      <c r="H83" s="588">
        <f>SUM(H76:H82)</f>
        <v>16004.86</v>
      </c>
      <c r="J83" s="586"/>
    </row>
    <row r="84" spans="1:12" x14ac:dyDescent="0.25">
      <c r="E84" s="585"/>
      <c r="F84" s="585"/>
      <c r="G84" s="585"/>
      <c r="J84" s="586"/>
    </row>
    <row r="85" spans="1:12" x14ac:dyDescent="0.25">
      <c r="E85" s="585"/>
      <c r="F85" s="585"/>
      <c r="G85" s="585"/>
      <c r="J85" s="586"/>
    </row>
    <row r="86" spans="1:12" x14ac:dyDescent="0.25">
      <c r="E86" s="585"/>
      <c r="F86" s="585"/>
      <c r="G86" s="585"/>
      <c r="J86" s="586"/>
    </row>
    <row r="87" spans="1:12" x14ac:dyDescent="0.25">
      <c r="A87" s="531" t="s">
        <v>220</v>
      </c>
      <c r="B87" s="531" t="s">
        <v>789</v>
      </c>
      <c r="C87" s="531" t="s">
        <v>790</v>
      </c>
      <c r="D87" s="531" t="s">
        <v>791</v>
      </c>
      <c r="E87" s="585">
        <v>43742</v>
      </c>
      <c r="F87" s="585">
        <v>43723</v>
      </c>
      <c r="G87" s="585">
        <v>43736</v>
      </c>
      <c r="H87" s="575">
        <v>2361.16</v>
      </c>
      <c r="I87" s="576">
        <v>56.25</v>
      </c>
      <c r="J87" s="586">
        <v>209886787</v>
      </c>
      <c r="K87" s="531" t="s">
        <v>792</v>
      </c>
      <c r="L87" s="531" t="s">
        <v>717</v>
      </c>
    </row>
    <row r="88" spans="1:12" x14ac:dyDescent="0.25">
      <c r="E88" s="585"/>
      <c r="F88" s="585"/>
      <c r="G88" s="585"/>
      <c r="J88" s="586"/>
    </row>
    <row r="89" spans="1:12" x14ac:dyDescent="0.25">
      <c r="E89" s="585"/>
      <c r="F89" s="585"/>
      <c r="G89" s="585"/>
      <c r="J89" s="586"/>
    </row>
    <row r="90" spans="1:12" x14ac:dyDescent="0.25">
      <c r="E90" s="585"/>
      <c r="F90" s="585"/>
      <c r="G90" s="585"/>
      <c r="J90" s="586"/>
    </row>
    <row r="91" spans="1:12" x14ac:dyDescent="0.25">
      <c r="E91" s="585"/>
      <c r="F91" s="585"/>
      <c r="G91" s="585"/>
      <c r="J91" s="586"/>
    </row>
    <row r="92" spans="1:12" x14ac:dyDescent="0.25">
      <c r="A92" s="531" t="s">
        <v>220</v>
      </c>
      <c r="B92" s="531" t="s">
        <v>793</v>
      </c>
      <c r="C92" s="531" t="s">
        <v>794</v>
      </c>
      <c r="D92" s="531" t="s">
        <v>795</v>
      </c>
      <c r="E92" s="585">
        <v>43742</v>
      </c>
      <c r="F92" s="585">
        <v>43723</v>
      </c>
      <c r="G92" s="585">
        <v>43736</v>
      </c>
      <c r="H92" s="575">
        <v>877.83</v>
      </c>
      <c r="I92" s="576">
        <v>65</v>
      </c>
      <c r="J92" s="586">
        <v>209886791</v>
      </c>
      <c r="K92" s="531" t="s">
        <v>796</v>
      </c>
      <c r="L92" s="531" t="s">
        <v>717</v>
      </c>
    </row>
    <row r="93" spans="1:12" x14ac:dyDescent="0.25">
      <c r="A93" s="531" t="s">
        <v>220</v>
      </c>
      <c r="B93" s="531" t="s">
        <v>793</v>
      </c>
      <c r="C93" s="531" t="s">
        <v>794</v>
      </c>
      <c r="D93" s="531" t="s">
        <v>795</v>
      </c>
      <c r="E93" s="585">
        <v>43756</v>
      </c>
      <c r="F93" s="585">
        <v>43737</v>
      </c>
      <c r="G93" s="585">
        <v>43750</v>
      </c>
      <c r="H93" s="575">
        <v>1176</v>
      </c>
      <c r="I93" s="576">
        <v>65</v>
      </c>
      <c r="J93" s="586">
        <v>212386281</v>
      </c>
      <c r="K93" s="531" t="s">
        <v>797</v>
      </c>
      <c r="L93" s="531" t="s">
        <v>720</v>
      </c>
    </row>
    <row r="94" spans="1:12" x14ac:dyDescent="0.25">
      <c r="A94" s="531" t="s">
        <v>220</v>
      </c>
      <c r="B94" s="531" t="s">
        <v>793</v>
      </c>
      <c r="C94" s="531" t="s">
        <v>794</v>
      </c>
      <c r="D94" s="531" t="s">
        <v>795</v>
      </c>
      <c r="E94" s="585">
        <v>43770</v>
      </c>
      <c r="F94" s="585">
        <v>43751</v>
      </c>
      <c r="G94" s="585">
        <v>43764</v>
      </c>
      <c r="H94" s="575">
        <v>1176</v>
      </c>
      <c r="I94" s="576">
        <v>65</v>
      </c>
      <c r="J94" s="586">
        <v>214643832</v>
      </c>
      <c r="K94" s="531" t="s">
        <v>798</v>
      </c>
      <c r="L94" s="531" t="s">
        <v>723</v>
      </c>
    </row>
    <row r="95" spans="1:12" x14ac:dyDescent="0.25">
      <c r="A95" s="531" t="s">
        <v>220</v>
      </c>
      <c r="B95" s="531" t="s">
        <v>793</v>
      </c>
      <c r="C95" s="531" t="s">
        <v>794</v>
      </c>
      <c r="D95" s="531" t="s">
        <v>795</v>
      </c>
      <c r="E95" s="585">
        <v>43784</v>
      </c>
      <c r="F95" s="585">
        <v>43765</v>
      </c>
      <c r="G95" s="585">
        <v>43778</v>
      </c>
      <c r="H95" s="575">
        <v>1058.4000000000001</v>
      </c>
      <c r="I95" s="576">
        <v>58.5</v>
      </c>
      <c r="J95" s="586">
        <v>216803190</v>
      </c>
      <c r="K95" s="531" t="s">
        <v>799</v>
      </c>
      <c r="L95" s="531" t="s">
        <v>726</v>
      </c>
    </row>
    <row r="96" spans="1:12" x14ac:dyDescent="0.25">
      <c r="A96" s="531" t="s">
        <v>220</v>
      </c>
      <c r="B96" s="531" t="s">
        <v>793</v>
      </c>
      <c r="C96" s="531" t="s">
        <v>794</v>
      </c>
      <c r="D96" s="531" t="s">
        <v>795</v>
      </c>
      <c r="E96" s="585">
        <v>43798</v>
      </c>
      <c r="F96" s="585">
        <v>43779</v>
      </c>
      <c r="G96" s="585">
        <v>43792</v>
      </c>
      <c r="H96" s="575">
        <v>1176</v>
      </c>
      <c r="I96" s="576">
        <v>65</v>
      </c>
      <c r="J96" s="586">
        <v>219435886</v>
      </c>
      <c r="K96" s="531" t="s">
        <v>800</v>
      </c>
      <c r="L96" s="531" t="s">
        <v>729</v>
      </c>
    </row>
    <row r="97" spans="1:12" x14ac:dyDescent="0.25">
      <c r="A97" s="531" t="s">
        <v>220</v>
      </c>
      <c r="B97" s="531" t="s">
        <v>793</v>
      </c>
      <c r="C97" s="531" t="s">
        <v>794</v>
      </c>
      <c r="D97" s="531" t="s">
        <v>795</v>
      </c>
      <c r="E97" s="585">
        <v>43812</v>
      </c>
      <c r="F97" s="585">
        <v>43793</v>
      </c>
      <c r="G97" s="585">
        <v>43806</v>
      </c>
      <c r="H97" s="575">
        <v>1176</v>
      </c>
      <c r="I97" s="576">
        <v>65</v>
      </c>
      <c r="J97" s="586">
        <v>221999753</v>
      </c>
      <c r="K97" s="531" t="s">
        <v>801</v>
      </c>
      <c r="L97" s="531" t="s">
        <v>732</v>
      </c>
    </row>
    <row r="98" spans="1:12" x14ac:dyDescent="0.25">
      <c r="A98" s="531" t="s">
        <v>220</v>
      </c>
      <c r="B98" s="531" t="s">
        <v>793</v>
      </c>
      <c r="C98" s="531" t="s">
        <v>794</v>
      </c>
      <c r="D98" s="531" t="s">
        <v>795</v>
      </c>
      <c r="E98" s="585">
        <v>43826</v>
      </c>
      <c r="F98" s="585">
        <v>43807</v>
      </c>
      <c r="G98" s="585">
        <v>43820</v>
      </c>
      <c r="H98" s="587">
        <v>1176</v>
      </c>
      <c r="I98" s="576">
        <v>65</v>
      </c>
      <c r="J98" s="586">
        <v>223886761</v>
      </c>
      <c r="K98" s="531" t="s">
        <v>802</v>
      </c>
      <c r="L98" s="531" t="s">
        <v>735</v>
      </c>
    </row>
    <row r="99" spans="1:12" ht="14.5" x14ac:dyDescent="0.35">
      <c r="E99" s="585"/>
      <c r="F99" s="585"/>
      <c r="G99" s="585"/>
      <c r="H99" s="588">
        <f>SUM(H92:H98)</f>
        <v>7816.23</v>
      </c>
      <c r="J99" s="586"/>
    </row>
    <row r="100" spans="1:12" x14ac:dyDescent="0.25">
      <c r="E100" s="585"/>
      <c r="F100" s="585"/>
      <c r="G100" s="585"/>
      <c r="J100" s="586"/>
    </row>
    <row r="101" spans="1:12" x14ac:dyDescent="0.25">
      <c r="E101" s="585"/>
      <c r="F101" s="585"/>
      <c r="G101" s="585"/>
      <c r="J101" s="586"/>
    </row>
    <row r="102" spans="1:12" x14ac:dyDescent="0.25">
      <c r="A102" s="531" t="s">
        <v>220</v>
      </c>
      <c r="B102" s="531" t="s">
        <v>803</v>
      </c>
      <c r="C102" s="531" t="s">
        <v>804</v>
      </c>
      <c r="D102" s="531" t="s">
        <v>191</v>
      </c>
      <c r="E102" s="585">
        <v>43742</v>
      </c>
      <c r="F102" s="585">
        <v>43723</v>
      </c>
      <c r="G102" s="585">
        <v>43736</v>
      </c>
      <c r="H102" s="575">
        <v>1236.3599999999999</v>
      </c>
      <c r="I102" s="576">
        <v>70</v>
      </c>
      <c r="J102" s="586">
        <v>209886793</v>
      </c>
      <c r="K102" s="531" t="s">
        <v>805</v>
      </c>
      <c r="L102" s="531" t="s">
        <v>717</v>
      </c>
    </row>
    <row r="103" spans="1:12" x14ac:dyDescent="0.25">
      <c r="A103" s="531" t="s">
        <v>220</v>
      </c>
      <c r="B103" s="531" t="s">
        <v>803</v>
      </c>
      <c r="C103" s="531" t="s">
        <v>804</v>
      </c>
      <c r="D103" s="531" t="s">
        <v>191</v>
      </c>
      <c r="E103" s="585">
        <v>43756</v>
      </c>
      <c r="F103" s="585">
        <v>43737</v>
      </c>
      <c r="G103" s="585">
        <v>43750</v>
      </c>
      <c r="H103" s="575">
        <v>1236.3599999999999</v>
      </c>
      <c r="I103" s="576">
        <v>70</v>
      </c>
      <c r="J103" s="586">
        <v>212386283</v>
      </c>
      <c r="K103" s="531" t="s">
        <v>806</v>
      </c>
      <c r="L103" s="531" t="s">
        <v>720</v>
      </c>
    </row>
    <row r="104" spans="1:12" x14ac:dyDescent="0.25">
      <c r="A104" s="531" t="s">
        <v>220</v>
      </c>
      <c r="B104" s="531" t="s">
        <v>803</v>
      </c>
      <c r="C104" s="531" t="s">
        <v>804</v>
      </c>
      <c r="D104" s="531" t="s">
        <v>191</v>
      </c>
      <c r="E104" s="585">
        <v>43770</v>
      </c>
      <c r="F104" s="585">
        <v>43751</v>
      </c>
      <c r="G104" s="585">
        <v>43764</v>
      </c>
      <c r="H104" s="575">
        <v>1216.3599999999999</v>
      </c>
      <c r="I104" s="576">
        <v>70</v>
      </c>
      <c r="J104" s="586">
        <v>214643835</v>
      </c>
      <c r="K104" s="531" t="s">
        <v>807</v>
      </c>
      <c r="L104" s="531" t="s">
        <v>723</v>
      </c>
    </row>
    <row r="105" spans="1:12" x14ac:dyDescent="0.25">
      <c r="A105" s="531" t="s">
        <v>220</v>
      </c>
      <c r="B105" s="531" t="s">
        <v>803</v>
      </c>
      <c r="C105" s="531" t="s">
        <v>804</v>
      </c>
      <c r="D105" s="531" t="s">
        <v>191</v>
      </c>
      <c r="E105" s="585">
        <v>43784</v>
      </c>
      <c r="F105" s="585">
        <v>43765</v>
      </c>
      <c r="G105" s="585">
        <v>43778</v>
      </c>
      <c r="H105" s="575">
        <v>1216.3599999999999</v>
      </c>
      <c r="I105" s="576">
        <v>70</v>
      </c>
      <c r="J105" s="586">
        <v>216803193</v>
      </c>
      <c r="K105" s="531" t="s">
        <v>808</v>
      </c>
      <c r="L105" s="531" t="s">
        <v>726</v>
      </c>
    </row>
    <row r="106" spans="1:12" x14ac:dyDescent="0.25">
      <c r="A106" s="531" t="s">
        <v>220</v>
      </c>
      <c r="B106" s="531" t="s">
        <v>803</v>
      </c>
      <c r="C106" s="531" t="s">
        <v>804</v>
      </c>
      <c r="D106" s="531" t="s">
        <v>191</v>
      </c>
      <c r="E106" s="585">
        <v>43798</v>
      </c>
      <c r="F106" s="585">
        <v>43779</v>
      </c>
      <c r="G106" s="585">
        <v>43792</v>
      </c>
      <c r="H106" s="575">
        <v>1216.3599999999999</v>
      </c>
      <c r="I106" s="576">
        <v>70</v>
      </c>
      <c r="J106" s="586">
        <v>219435889</v>
      </c>
      <c r="K106" s="531" t="s">
        <v>809</v>
      </c>
      <c r="L106" s="531" t="s">
        <v>729</v>
      </c>
    </row>
    <row r="107" spans="1:12" x14ac:dyDescent="0.25">
      <c r="A107" s="531" t="s">
        <v>220</v>
      </c>
      <c r="B107" s="531" t="s">
        <v>803</v>
      </c>
      <c r="C107" s="531" t="s">
        <v>804</v>
      </c>
      <c r="D107" s="531" t="s">
        <v>191</v>
      </c>
      <c r="E107" s="585">
        <v>43812</v>
      </c>
      <c r="F107" s="585">
        <v>43793</v>
      </c>
      <c r="G107" s="585">
        <v>43806</v>
      </c>
      <c r="H107" s="575">
        <v>1196.3599999999999</v>
      </c>
      <c r="I107" s="576">
        <v>70</v>
      </c>
      <c r="J107" s="586">
        <v>221999756</v>
      </c>
      <c r="K107" s="531" t="s">
        <v>810</v>
      </c>
      <c r="L107" s="531" t="s">
        <v>732</v>
      </c>
    </row>
    <row r="108" spans="1:12" x14ac:dyDescent="0.25">
      <c r="A108" s="531" t="s">
        <v>220</v>
      </c>
      <c r="B108" s="531" t="s">
        <v>803</v>
      </c>
      <c r="C108" s="531" t="s">
        <v>804</v>
      </c>
      <c r="D108" s="531" t="s">
        <v>191</v>
      </c>
      <c r="E108" s="585">
        <v>43826</v>
      </c>
      <c r="F108" s="585">
        <v>43807</v>
      </c>
      <c r="G108" s="585">
        <v>43820</v>
      </c>
      <c r="H108" s="587">
        <v>1236.3599999999999</v>
      </c>
      <c r="I108" s="576">
        <v>70</v>
      </c>
      <c r="J108" s="586">
        <v>223886764</v>
      </c>
      <c r="K108" s="531" t="s">
        <v>811</v>
      </c>
      <c r="L108" s="531" t="s">
        <v>735</v>
      </c>
    </row>
    <row r="109" spans="1:12" ht="14.5" x14ac:dyDescent="0.35">
      <c r="E109" s="585"/>
      <c r="F109" s="585"/>
      <c r="G109" s="585"/>
      <c r="H109" s="588">
        <f>SUM(H102:H108)</f>
        <v>8554.5199999999986</v>
      </c>
      <c r="J109" s="586"/>
    </row>
    <row r="110" spans="1:12" ht="14.5" x14ac:dyDescent="0.35">
      <c r="E110" s="585"/>
      <c r="F110" s="591" t="s">
        <v>768</v>
      </c>
      <c r="G110" s="585"/>
      <c r="H110" s="588">
        <v>-600</v>
      </c>
      <c r="J110" s="586"/>
    </row>
    <row r="111" spans="1:12" ht="15" thickBot="1" x14ac:dyDescent="0.4">
      <c r="E111" s="585"/>
      <c r="F111" s="585"/>
      <c r="G111" s="585"/>
      <c r="H111" s="590">
        <f>SUM(H109:H110)</f>
        <v>7954.5199999999986</v>
      </c>
      <c r="J111" s="586"/>
    </row>
    <row r="112" spans="1:12" ht="15" thickTop="1" x14ac:dyDescent="0.35">
      <c r="E112" s="585"/>
      <c r="F112" s="585"/>
      <c r="G112" s="585"/>
      <c r="H112" s="592"/>
      <c r="J112" s="586"/>
    </row>
    <row r="113" spans="1:12" x14ac:dyDescent="0.25">
      <c r="A113" s="531" t="s">
        <v>220</v>
      </c>
      <c r="B113" s="531" t="s">
        <v>812</v>
      </c>
      <c r="C113" s="531" t="s">
        <v>813</v>
      </c>
      <c r="D113" s="531" t="s">
        <v>180</v>
      </c>
      <c r="E113" s="585">
        <v>43770</v>
      </c>
      <c r="F113" s="585">
        <v>43751</v>
      </c>
      <c r="G113" s="585">
        <v>43764</v>
      </c>
      <c r="H113" s="575">
        <v>1261.81</v>
      </c>
      <c r="I113" s="576">
        <v>58.58</v>
      </c>
      <c r="J113" s="586">
        <v>214643836</v>
      </c>
      <c r="K113" s="531" t="s">
        <v>814</v>
      </c>
      <c r="L113" s="531" t="s">
        <v>723</v>
      </c>
    </row>
    <row r="114" spans="1:12" x14ac:dyDescent="0.25">
      <c r="A114" s="531" t="s">
        <v>220</v>
      </c>
      <c r="B114" s="531" t="s">
        <v>812</v>
      </c>
      <c r="C114" s="531" t="s">
        <v>813</v>
      </c>
      <c r="D114" s="531" t="s">
        <v>180</v>
      </c>
      <c r="E114" s="585">
        <v>43784</v>
      </c>
      <c r="F114" s="585">
        <v>43765</v>
      </c>
      <c r="G114" s="585">
        <v>43778</v>
      </c>
      <c r="H114" s="575">
        <v>1114.7</v>
      </c>
      <c r="I114" s="576">
        <v>51.75</v>
      </c>
      <c r="J114" s="586">
        <v>216803194</v>
      </c>
      <c r="K114" s="531" t="s">
        <v>815</v>
      </c>
      <c r="L114" s="531" t="s">
        <v>726</v>
      </c>
    </row>
    <row r="115" spans="1:12" x14ac:dyDescent="0.25">
      <c r="A115" s="531" t="s">
        <v>220</v>
      </c>
      <c r="B115" s="531" t="s">
        <v>812</v>
      </c>
      <c r="C115" s="531" t="s">
        <v>813</v>
      </c>
      <c r="D115" s="531" t="s">
        <v>180</v>
      </c>
      <c r="E115" s="585">
        <v>43798</v>
      </c>
      <c r="F115" s="585">
        <v>43779</v>
      </c>
      <c r="G115" s="585">
        <v>43792</v>
      </c>
      <c r="H115" s="575">
        <v>1400.1</v>
      </c>
      <c r="I115" s="576">
        <v>65</v>
      </c>
      <c r="J115" s="586">
        <v>219435890</v>
      </c>
      <c r="K115" s="531" t="s">
        <v>816</v>
      </c>
      <c r="L115" s="531" t="s">
        <v>729</v>
      </c>
    </row>
    <row r="116" spans="1:12" x14ac:dyDescent="0.25">
      <c r="A116" s="531" t="s">
        <v>220</v>
      </c>
      <c r="B116" s="531" t="s">
        <v>812</v>
      </c>
      <c r="C116" s="531" t="s">
        <v>813</v>
      </c>
      <c r="D116" s="531" t="s">
        <v>180</v>
      </c>
      <c r="E116" s="585">
        <v>43812</v>
      </c>
      <c r="F116" s="585">
        <v>43793</v>
      </c>
      <c r="G116" s="585">
        <v>43806</v>
      </c>
      <c r="H116" s="575">
        <v>1260.0899999999999</v>
      </c>
      <c r="I116" s="576">
        <v>58.5</v>
      </c>
      <c r="J116" s="586">
        <v>221999757</v>
      </c>
      <c r="K116" s="531" t="s">
        <v>817</v>
      </c>
      <c r="L116" s="531" t="s">
        <v>732</v>
      </c>
    </row>
    <row r="117" spans="1:12" x14ac:dyDescent="0.25">
      <c r="A117" s="531" t="s">
        <v>220</v>
      </c>
      <c r="B117" s="531" t="s">
        <v>812</v>
      </c>
      <c r="C117" s="531" t="s">
        <v>813</v>
      </c>
      <c r="D117" s="531" t="s">
        <v>180</v>
      </c>
      <c r="E117" s="585">
        <v>43826</v>
      </c>
      <c r="F117" s="585">
        <v>43807</v>
      </c>
      <c r="G117" s="585">
        <v>43820</v>
      </c>
      <c r="H117" s="587">
        <v>1394.72</v>
      </c>
      <c r="I117" s="576">
        <v>64.75</v>
      </c>
      <c r="J117" s="586">
        <v>223886765</v>
      </c>
      <c r="K117" s="531" t="s">
        <v>818</v>
      </c>
      <c r="L117" s="531" t="s">
        <v>735</v>
      </c>
    </row>
    <row r="118" spans="1:12" ht="14.5" x14ac:dyDescent="0.35">
      <c r="E118" s="585"/>
      <c r="F118" s="585"/>
      <c r="G118" s="585"/>
      <c r="H118" s="588">
        <f>SUM(H113:H117)</f>
        <v>6431.42</v>
      </c>
      <c r="J118" s="586"/>
    </row>
    <row r="119" spans="1:12" ht="14.5" x14ac:dyDescent="0.35">
      <c r="E119" s="585"/>
      <c r="F119" s="591"/>
      <c r="G119" s="585"/>
      <c r="H119" s="592"/>
      <c r="J119" s="586"/>
    </row>
    <row r="120" spans="1:12" x14ac:dyDescent="0.25">
      <c r="A120" s="531" t="s">
        <v>220</v>
      </c>
      <c r="B120" s="531" t="s">
        <v>819</v>
      </c>
      <c r="C120" s="531" t="s">
        <v>820</v>
      </c>
      <c r="D120" s="531" t="s">
        <v>821</v>
      </c>
      <c r="E120" s="585">
        <v>43742</v>
      </c>
      <c r="F120" s="585">
        <v>43723</v>
      </c>
      <c r="G120" s="585">
        <v>43736</v>
      </c>
      <c r="H120" s="575">
        <v>987.08</v>
      </c>
      <c r="I120" s="576">
        <v>53.5</v>
      </c>
      <c r="J120" s="586">
        <v>209886795</v>
      </c>
      <c r="K120" s="531" t="s">
        <v>822</v>
      </c>
      <c r="L120" s="531" t="s">
        <v>717</v>
      </c>
    </row>
    <row r="121" spans="1:12" x14ac:dyDescent="0.25">
      <c r="A121" s="531" t="s">
        <v>220</v>
      </c>
      <c r="B121" s="531" t="s">
        <v>819</v>
      </c>
      <c r="C121" s="531" t="s">
        <v>820</v>
      </c>
      <c r="D121" s="531" t="s">
        <v>821</v>
      </c>
      <c r="E121" s="585">
        <v>43756</v>
      </c>
      <c r="F121" s="585">
        <v>43737</v>
      </c>
      <c r="G121" s="585">
        <v>43750</v>
      </c>
      <c r="H121" s="575">
        <v>1010.14</v>
      </c>
      <c r="I121" s="576">
        <v>54.75</v>
      </c>
      <c r="J121" s="586">
        <v>212386285</v>
      </c>
      <c r="K121" s="531" t="s">
        <v>823</v>
      </c>
      <c r="L121" s="531" t="s">
        <v>720</v>
      </c>
    </row>
    <row r="122" spans="1:12" x14ac:dyDescent="0.25">
      <c r="A122" s="531" t="s">
        <v>220</v>
      </c>
      <c r="B122" s="531" t="s">
        <v>819</v>
      </c>
      <c r="C122" s="531" t="s">
        <v>820</v>
      </c>
      <c r="D122" s="531" t="s">
        <v>821</v>
      </c>
      <c r="E122" s="585">
        <v>43770</v>
      </c>
      <c r="F122" s="585">
        <v>43751</v>
      </c>
      <c r="G122" s="585">
        <v>43764</v>
      </c>
      <c r="H122" s="575">
        <v>811.8</v>
      </c>
      <c r="I122" s="576">
        <v>44</v>
      </c>
      <c r="J122" s="586">
        <v>214643838</v>
      </c>
      <c r="K122" s="531" t="s">
        <v>824</v>
      </c>
      <c r="L122" s="531" t="s">
        <v>723</v>
      </c>
    </row>
    <row r="123" spans="1:12" x14ac:dyDescent="0.25">
      <c r="A123" s="531" t="s">
        <v>220</v>
      </c>
      <c r="B123" s="531" t="s">
        <v>819</v>
      </c>
      <c r="C123" s="531" t="s">
        <v>820</v>
      </c>
      <c r="D123" s="531" t="s">
        <v>821</v>
      </c>
      <c r="E123" s="585">
        <v>43784</v>
      </c>
      <c r="F123" s="585">
        <v>43765</v>
      </c>
      <c r="G123" s="585">
        <v>43778</v>
      </c>
      <c r="H123" s="575">
        <v>779.51</v>
      </c>
      <c r="I123" s="576">
        <v>42.25</v>
      </c>
      <c r="J123" s="586">
        <v>216803196</v>
      </c>
      <c r="K123" s="531" t="s">
        <v>825</v>
      </c>
      <c r="L123" s="531" t="s">
        <v>726</v>
      </c>
    </row>
    <row r="124" spans="1:12" x14ac:dyDescent="0.25">
      <c r="A124" s="531" t="s">
        <v>220</v>
      </c>
      <c r="B124" s="531" t="s">
        <v>819</v>
      </c>
      <c r="C124" s="531" t="s">
        <v>820</v>
      </c>
      <c r="D124" s="531" t="s">
        <v>821</v>
      </c>
      <c r="E124" s="585">
        <v>43798</v>
      </c>
      <c r="F124" s="585">
        <v>43779</v>
      </c>
      <c r="G124" s="585">
        <v>43792</v>
      </c>
      <c r="H124" s="575">
        <v>710.33</v>
      </c>
      <c r="I124" s="576">
        <v>38.5</v>
      </c>
      <c r="J124" s="586">
        <v>219435892</v>
      </c>
      <c r="K124" s="531" t="s">
        <v>826</v>
      </c>
      <c r="L124" s="531" t="s">
        <v>729</v>
      </c>
    </row>
    <row r="125" spans="1:12" x14ac:dyDescent="0.25">
      <c r="A125" s="531" t="s">
        <v>220</v>
      </c>
      <c r="B125" s="531" t="s">
        <v>819</v>
      </c>
      <c r="C125" s="531" t="s">
        <v>820</v>
      </c>
      <c r="D125" s="531" t="s">
        <v>821</v>
      </c>
      <c r="E125" s="585">
        <v>43812</v>
      </c>
      <c r="F125" s="585">
        <v>43793</v>
      </c>
      <c r="G125" s="585">
        <v>43806</v>
      </c>
      <c r="H125" s="575">
        <v>788.74</v>
      </c>
      <c r="I125" s="576">
        <v>42.75</v>
      </c>
      <c r="J125" s="586">
        <v>221999759</v>
      </c>
      <c r="K125" s="531" t="s">
        <v>827</v>
      </c>
      <c r="L125" s="531" t="s">
        <v>732</v>
      </c>
    </row>
    <row r="126" spans="1:12" x14ac:dyDescent="0.25">
      <c r="A126" s="531" t="s">
        <v>220</v>
      </c>
      <c r="B126" s="531" t="s">
        <v>819</v>
      </c>
      <c r="C126" s="531" t="s">
        <v>820</v>
      </c>
      <c r="D126" s="531" t="s">
        <v>821</v>
      </c>
      <c r="E126" s="585">
        <v>43826</v>
      </c>
      <c r="F126" s="585">
        <v>43807</v>
      </c>
      <c r="G126" s="585">
        <v>43820</v>
      </c>
      <c r="H126" s="587">
        <v>996.3</v>
      </c>
      <c r="I126" s="576">
        <v>54</v>
      </c>
      <c r="J126" s="586">
        <v>223886767</v>
      </c>
      <c r="K126" s="531" t="s">
        <v>828</v>
      </c>
      <c r="L126" s="531" t="s">
        <v>735</v>
      </c>
    </row>
    <row r="127" spans="1:12" ht="14.5" x14ac:dyDescent="0.35">
      <c r="E127" s="585"/>
      <c r="F127" s="585"/>
      <c r="G127" s="585"/>
      <c r="H127" s="588">
        <f>SUM(H120:H126)</f>
        <v>6083.9</v>
      </c>
      <c r="J127" s="586"/>
    </row>
    <row r="128" spans="1:12" ht="14.5" x14ac:dyDescent="0.35">
      <c r="E128" s="585"/>
      <c r="F128" s="591"/>
      <c r="G128" s="585"/>
      <c r="H128" s="592"/>
      <c r="J128" s="586"/>
    </row>
    <row r="129" spans="1:12" x14ac:dyDescent="0.25">
      <c r="A129" s="531" t="s">
        <v>220</v>
      </c>
      <c r="B129" s="531" t="s">
        <v>829</v>
      </c>
      <c r="C129" s="531" t="s">
        <v>830</v>
      </c>
      <c r="D129" s="531" t="s">
        <v>831</v>
      </c>
      <c r="E129" s="585">
        <v>43742</v>
      </c>
      <c r="F129" s="585">
        <v>43723</v>
      </c>
      <c r="G129" s="585">
        <v>43736</v>
      </c>
      <c r="H129" s="575">
        <v>2684.05</v>
      </c>
      <c r="I129" s="576">
        <v>65</v>
      </c>
      <c r="J129" s="586">
        <v>209886798</v>
      </c>
      <c r="K129" s="531" t="s">
        <v>832</v>
      </c>
      <c r="L129" s="531" t="s">
        <v>717</v>
      </c>
    </row>
    <row r="130" spans="1:12" x14ac:dyDescent="0.25">
      <c r="A130" s="531" t="s">
        <v>220</v>
      </c>
      <c r="B130" s="531" t="s">
        <v>829</v>
      </c>
      <c r="C130" s="531" t="s">
        <v>830</v>
      </c>
      <c r="D130" s="531" t="s">
        <v>831</v>
      </c>
      <c r="E130" s="585">
        <v>43756</v>
      </c>
      <c r="F130" s="585">
        <v>43737</v>
      </c>
      <c r="G130" s="585">
        <v>43750</v>
      </c>
      <c r="H130" s="575">
        <v>2684.05</v>
      </c>
      <c r="I130" s="576">
        <v>65</v>
      </c>
      <c r="J130" s="586">
        <v>212386288</v>
      </c>
      <c r="K130" s="531" t="s">
        <v>833</v>
      </c>
      <c r="L130" s="531" t="s">
        <v>720</v>
      </c>
    </row>
    <row r="131" spans="1:12" x14ac:dyDescent="0.25">
      <c r="A131" s="531" t="s">
        <v>220</v>
      </c>
      <c r="B131" s="531" t="s">
        <v>829</v>
      </c>
      <c r="C131" s="531" t="s">
        <v>830</v>
      </c>
      <c r="D131" s="531" t="s">
        <v>831</v>
      </c>
      <c r="E131" s="585">
        <v>43770</v>
      </c>
      <c r="F131" s="585">
        <v>43751</v>
      </c>
      <c r="G131" s="585">
        <v>43764</v>
      </c>
      <c r="H131" s="575">
        <v>2720.94</v>
      </c>
      <c r="I131" s="576">
        <v>65</v>
      </c>
      <c r="J131" s="586">
        <v>214643841</v>
      </c>
      <c r="K131" s="531" t="s">
        <v>834</v>
      </c>
      <c r="L131" s="531" t="s">
        <v>723</v>
      </c>
    </row>
    <row r="132" spans="1:12" x14ac:dyDescent="0.25">
      <c r="A132" s="531" t="s">
        <v>220</v>
      </c>
      <c r="B132" s="531" t="s">
        <v>829</v>
      </c>
      <c r="C132" s="531" t="s">
        <v>830</v>
      </c>
      <c r="D132" s="531" t="s">
        <v>831</v>
      </c>
      <c r="E132" s="585">
        <v>43784</v>
      </c>
      <c r="F132" s="585">
        <v>43765</v>
      </c>
      <c r="G132" s="585">
        <v>43778</v>
      </c>
      <c r="H132" s="575">
        <v>2684.05</v>
      </c>
      <c r="I132" s="576">
        <v>65</v>
      </c>
      <c r="J132" s="586">
        <v>216803199</v>
      </c>
      <c r="K132" s="531" t="s">
        <v>835</v>
      </c>
      <c r="L132" s="531" t="s">
        <v>726</v>
      </c>
    </row>
    <row r="133" spans="1:12" x14ac:dyDescent="0.25">
      <c r="A133" s="531" t="s">
        <v>220</v>
      </c>
      <c r="B133" s="531" t="s">
        <v>829</v>
      </c>
      <c r="C133" s="531" t="s">
        <v>830</v>
      </c>
      <c r="D133" s="531" t="s">
        <v>831</v>
      </c>
      <c r="E133" s="585">
        <v>43798</v>
      </c>
      <c r="F133" s="585">
        <v>43779</v>
      </c>
      <c r="G133" s="585">
        <v>43792</v>
      </c>
      <c r="H133" s="575">
        <v>2684.05</v>
      </c>
      <c r="I133" s="576">
        <v>65</v>
      </c>
      <c r="J133" s="586">
        <v>219435895</v>
      </c>
      <c r="K133" s="531" t="s">
        <v>836</v>
      </c>
      <c r="L133" s="531" t="s">
        <v>729</v>
      </c>
    </row>
    <row r="134" spans="1:12" x14ac:dyDescent="0.25">
      <c r="A134" s="531" t="s">
        <v>220</v>
      </c>
      <c r="B134" s="531" t="s">
        <v>829</v>
      </c>
      <c r="C134" s="531" t="s">
        <v>830</v>
      </c>
      <c r="D134" s="531" t="s">
        <v>831</v>
      </c>
      <c r="E134" s="585">
        <v>43812</v>
      </c>
      <c r="F134" s="585">
        <v>43793</v>
      </c>
      <c r="G134" s="585">
        <v>43806</v>
      </c>
      <c r="H134" s="575">
        <v>2684.05</v>
      </c>
      <c r="I134" s="576">
        <v>65</v>
      </c>
      <c r="J134" s="586">
        <v>221999762</v>
      </c>
      <c r="K134" s="531" t="s">
        <v>837</v>
      </c>
      <c r="L134" s="531" t="s">
        <v>732</v>
      </c>
    </row>
    <row r="135" spans="1:12" x14ac:dyDescent="0.25">
      <c r="A135" s="531" t="s">
        <v>220</v>
      </c>
      <c r="B135" s="531" t="s">
        <v>829</v>
      </c>
      <c r="C135" s="531" t="s">
        <v>830</v>
      </c>
      <c r="D135" s="531" t="s">
        <v>831</v>
      </c>
      <c r="E135" s="585">
        <v>43826</v>
      </c>
      <c r="F135" s="585">
        <v>43807</v>
      </c>
      <c r="G135" s="585">
        <v>43820</v>
      </c>
      <c r="H135" s="587">
        <v>2684.05</v>
      </c>
      <c r="I135" s="576">
        <v>65</v>
      </c>
      <c r="J135" s="586">
        <v>223886770</v>
      </c>
      <c r="K135" s="531" t="s">
        <v>838</v>
      </c>
      <c r="L135" s="531" t="s">
        <v>735</v>
      </c>
    </row>
    <row r="136" spans="1:12" ht="14.5" x14ac:dyDescent="0.35">
      <c r="E136" s="585"/>
      <c r="F136" s="585"/>
      <c r="G136" s="585"/>
      <c r="H136" s="588">
        <f>SUM(H129:H135)</f>
        <v>18825.239999999998</v>
      </c>
      <c r="J136" s="586"/>
    </row>
    <row r="137" spans="1:12" ht="14.5" x14ac:dyDescent="0.35">
      <c r="E137" s="585"/>
      <c r="F137" s="591"/>
      <c r="G137" s="585"/>
      <c r="H137" s="592"/>
      <c r="J137" s="586"/>
    </row>
    <row r="138" spans="1:12" x14ac:dyDescent="0.25">
      <c r="E138" s="585"/>
      <c r="F138" s="585"/>
      <c r="G138" s="585"/>
      <c r="J138" s="586"/>
    </row>
    <row r="139" spans="1:12" x14ac:dyDescent="0.25">
      <c r="A139" s="531" t="s">
        <v>220</v>
      </c>
      <c r="B139" s="531" t="s">
        <v>839</v>
      </c>
      <c r="C139" s="531" t="s">
        <v>840</v>
      </c>
      <c r="D139" s="531" t="s">
        <v>187</v>
      </c>
      <c r="E139" s="585">
        <v>43742</v>
      </c>
      <c r="F139" s="585">
        <v>43723</v>
      </c>
      <c r="G139" s="585">
        <v>43736</v>
      </c>
      <c r="H139" s="575">
        <v>1572.92</v>
      </c>
      <c r="I139" s="576">
        <v>62.25</v>
      </c>
      <c r="J139" s="586">
        <v>209886799</v>
      </c>
      <c r="K139" s="531" t="s">
        <v>841</v>
      </c>
      <c r="L139" s="531" t="s">
        <v>717</v>
      </c>
    </row>
    <row r="140" spans="1:12" x14ac:dyDescent="0.25">
      <c r="A140" s="531" t="s">
        <v>220</v>
      </c>
      <c r="B140" s="531" t="s">
        <v>839</v>
      </c>
      <c r="C140" s="531" t="s">
        <v>840</v>
      </c>
      <c r="D140" s="531" t="s">
        <v>187</v>
      </c>
      <c r="E140" s="585">
        <v>43756</v>
      </c>
      <c r="F140" s="585">
        <v>43737</v>
      </c>
      <c r="G140" s="585">
        <v>43750</v>
      </c>
      <c r="H140" s="575">
        <v>1629.78</v>
      </c>
      <c r="I140" s="576">
        <v>64.5</v>
      </c>
      <c r="J140" s="586">
        <v>212386289</v>
      </c>
      <c r="K140" s="531" t="s">
        <v>842</v>
      </c>
      <c r="L140" s="531" t="s">
        <v>720</v>
      </c>
    </row>
    <row r="141" spans="1:12" x14ac:dyDescent="0.25">
      <c r="A141" s="531" t="s">
        <v>220</v>
      </c>
      <c r="B141" s="531" t="s">
        <v>839</v>
      </c>
      <c r="C141" s="531" t="s">
        <v>840</v>
      </c>
      <c r="D141" s="531" t="s">
        <v>187</v>
      </c>
      <c r="E141" s="585">
        <v>43770</v>
      </c>
      <c r="F141" s="585">
        <v>43751</v>
      </c>
      <c r="G141" s="585">
        <v>43764</v>
      </c>
      <c r="H141" s="575">
        <v>1632.8</v>
      </c>
      <c r="I141" s="576">
        <v>63.25</v>
      </c>
      <c r="J141" s="586">
        <v>214643842</v>
      </c>
      <c r="K141" s="531" t="s">
        <v>843</v>
      </c>
      <c r="L141" s="531" t="s">
        <v>723</v>
      </c>
    </row>
    <row r="142" spans="1:12" x14ac:dyDescent="0.25">
      <c r="A142" s="531" t="s">
        <v>220</v>
      </c>
      <c r="B142" s="531" t="s">
        <v>839</v>
      </c>
      <c r="C142" s="531" t="s">
        <v>840</v>
      </c>
      <c r="D142" s="531" t="s">
        <v>187</v>
      </c>
      <c r="E142" s="585">
        <v>43784</v>
      </c>
      <c r="F142" s="585">
        <v>43765</v>
      </c>
      <c r="G142" s="585">
        <v>43778</v>
      </c>
      <c r="H142" s="575">
        <v>1636.09</v>
      </c>
      <c r="I142" s="576">
        <v>64.75</v>
      </c>
      <c r="J142" s="586">
        <v>216803200</v>
      </c>
      <c r="K142" s="531" t="s">
        <v>844</v>
      </c>
      <c r="L142" s="531" t="s">
        <v>726</v>
      </c>
    </row>
    <row r="143" spans="1:12" x14ac:dyDescent="0.25">
      <c r="A143" s="531" t="s">
        <v>220</v>
      </c>
      <c r="B143" s="531" t="s">
        <v>839</v>
      </c>
      <c r="C143" s="531" t="s">
        <v>840</v>
      </c>
      <c r="D143" s="531" t="s">
        <v>187</v>
      </c>
      <c r="E143" s="585">
        <v>43798</v>
      </c>
      <c r="F143" s="585">
        <v>43779</v>
      </c>
      <c r="G143" s="585">
        <v>43792</v>
      </c>
      <c r="H143" s="575">
        <v>1611.08</v>
      </c>
      <c r="I143" s="576">
        <v>63.76</v>
      </c>
      <c r="J143" s="586">
        <v>219435896</v>
      </c>
      <c r="K143" s="531" t="s">
        <v>845</v>
      </c>
      <c r="L143" s="531" t="s">
        <v>729</v>
      </c>
    </row>
    <row r="144" spans="1:12" x14ac:dyDescent="0.25">
      <c r="A144" s="531" t="s">
        <v>220</v>
      </c>
      <c r="B144" s="531" t="s">
        <v>839</v>
      </c>
      <c r="C144" s="531" t="s">
        <v>840</v>
      </c>
      <c r="D144" s="531" t="s">
        <v>187</v>
      </c>
      <c r="E144" s="585">
        <v>43812</v>
      </c>
      <c r="F144" s="585">
        <v>43793</v>
      </c>
      <c r="G144" s="585">
        <v>43806</v>
      </c>
      <c r="H144" s="575">
        <v>1621.44</v>
      </c>
      <c r="I144" s="576">
        <v>64.17</v>
      </c>
      <c r="J144" s="586">
        <v>221999763</v>
      </c>
      <c r="K144" s="531" t="s">
        <v>846</v>
      </c>
      <c r="L144" s="531" t="s">
        <v>732</v>
      </c>
    </row>
    <row r="145" spans="1:12" x14ac:dyDescent="0.25">
      <c r="A145" s="531" t="s">
        <v>220</v>
      </c>
      <c r="B145" s="531" t="s">
        <v>839</v>
      </c>
      <c r="C145" s="531" t="s">
        <v>840</v>
      </c>
      <c r="D145" s="531" t="s">
        <v>187</v>
      </c>
      <c r="E145" s="585">
        <v>43826</v>
      </c>
      <c r="F145" s="585">
        <v>43807</v>
      </c>
      <c r="G145" s="585">
        <v>43820</v>
      </c>
      <c r="H145" s="587">
        <v>1591.62</v>
      </c>
      <c r="I145" s="576">
        <v>62.99</v>
      </c>
      <c r="J145" s="586">
        <v>223886771</v>
      </c>
      <c r="K145" s="531" t="s">
        <v>847</v>
      </c>
      <c r="L145" s="531" t="s">
        <v>735</v>
      </c>
    </row>
    <row r="146" spans="1:12" ht="14.5" x14ac:dyDescent="0.35">
      <c r="E146" s="585"/>
      <c r="F146" s="585"/>
      <c r="G146" s="585"/>
      <c r="H146" s="588">
        <f>SUM(H139:H145)</f>
        <v>11295.73</v>
      </c>
      <c r="J146" s="586"/>
    </row>
    <row r="147" spans="1:12" ht="14.5" x14ac:dyDescent="0.35">
      <c r="E147" s="585"/>
      <c r="F147" s="591"/>
      <c r="G147" s="585"/>
      <c r="H147" s="592"/>
      <c r="J147" s="586"/>
    </row>
    <row r="148" spans="1:12" x14ac:dyDescent="0.25">
      <c r="E148" s="585"/>
      <c r="F148" s="585"/>
      <c r="G148" s="585"/>
      <c r="J148" s="586"/>
    </row>
    <row r="149" spans="1:12" x14ac:dyDescent="0.25">
      <c r="A149" s="531" t="s">
        <v>220</v>
      </c>
      <c r="B149" s="531" t="s">
        <v>848</v>
      </c>
      <c r="C149" s="531" t="s">
        <v>849</v>
      </c>
      <c r="D149" s="531" t="s">
        <v>850</v>
      </c>
      <c r="E149" s="585">
        <v>43742</v>
      </c>
      <c r="F149" s="585">
        <v>43723</v>
      </c>
      <c r="G149" s="585">
        <v>43736</v>
      </c>
      <c r="H149" s="575">
        <v>568.70000000000005</v>
      </c>
      <c r="I149" s="576">
        <v>55</v>
      </c>
      <c r="J149" s="586">
        <v>209886800</v>
      </c>
      <c r="K149" s="531" t="s">
        <v>851</v>
      </c>
      <c r="L149" s="531" t="s">
        <v>717</v>
      </c>
    </row>
    <row r="150" spans="1:12" x14ac:dyDescent="0.25">
      <c r="A150" s="531" t="s">
        <v>220</v>
      </c>
      <c r="B150" s="531" t="s">
        <v>848</v>
      </c>
      <c r="C150" s="531" t="s">
        <v>849</v>
      </c>
      <c r="D150" s="531" t="s">
        <v>850</v>
      </c>
      <c r="E150" s="585">
        <v>43756</v>
      </c>
      <c r="F150" s="585">
        <v>43737</v>
      </c>
      <c r="G150" s="585">
        <v>43750</v>
      </c>
      <c r="H150" s="575">
        <v>568.70000000000005</v>
      </c>
      <c r="I150" s="576">
        <v>55</v>
      </c>
      <c r="J150" s="586">
        <v>212386290</v>
      </c>
      <c r="K150" s="531" t="s">
        <v>852</v>
      </c>
      <c r="L150" s="531" t="s">
        <v>720</v>
      </c>
    </row>
    <row r="151" spans="1:12" x14ac:dyDescent="0.25">
      <c r="A151" s="531" t="s">
        <v>220</v>
      </c>
      <c r="B151" s="531" t="s">
        <v>848</v>
      </c>
      <c r="C151" s="531" t="s">
        <v>849</v>
      </c>
      <c r="D151" s="531" t="s">
        <v>850</v>
      </c>
      <c r="E151" s="585">
        <v>43770</v>
      </c>
      <c r="F151" s="585">
        <v>43751</v>
      </c>
      <c r="G151" s="585">
        <v>43764</v>
      </c>
      <c r="H151" s="575">
        <v>511.83</v>
      </c>
      <c r="I151" s="576">
        <v>49.5</v>
      </c>
      <c r="J151" s="586">
        <v>214643843</v>
      </c>
      <c r="K151" s="531" t="s">
        <v>853</v>
      </c>
      <c r="L151" s="531" t="s">
        <v>723</v>
      </c>
    </row>
    <row r="152" spans="1:12" x14ac:dyDescent="0.25">
      <c r="A152" s="531" t="s">
        <v>220</v>
      </c>
      <c r="B152" s="531" t="s">
        <v>848</v>
      </c>
      <c r="C152" s="531" t="s">
        <v>849</v>
      </c>
      <c r="D152" s="531" t="s">
        <v>850</v>
      </c>
      <c r="E152" s="585">
        <v>43784</v>
      </c>
      <c r="F152" s="585">
        <v>43765</v>
      </c>
      <c r="G152" s="585">
        <v>43778</v>
      </c>
      <c r="H152" s="575">
        <v>589.38</v>
      </c>
      <c r="I152" s="576">
        <v>57</v>
      </c>
      <c r="J152" s="586">
        <v>216803201</v>
      </c>
      <c r="K152" s="531" t="s">
        <v>854</v>
      </c>
      <c r="L152" s="531" t="s">
        <v>726</v>
      </c>
    </row>
    <row r="153" spans="1:12" x14ac:dyDescent="0.25">
      <c r="A153" s="531" t="s">
        <v>220</v>
      </c>
      <c r="B153" s="531" t="s">
        <v>848</v>
      </c>
      <c r="C153" s="531" t="s">
        <v>849</v>
      </c>
      <c r="D153" s="531" t="s">
        <v>850</v>
      </c>
      <c r="E153" s="585">
        <v>43798</v>
      </c>
      <c r="F153" s="585">
        <v>43779</v>
      </c>
      <c r="G153" s="585">
        <v>43792</v>
      </c>
      <c r="H153" s="575">
        <v>454.96</v>
      </c>
      <c r="I153" s="576">
        <v>44</v>
      </c>
      <c r="J153" s="586">
        <v>219435897</v>
      </c>
      <c r="K153" s="531" t="s">
        <v>855</v>
      </c>
      <c r="L153" s="531" t="s">
        <v>729</v>
      </c>
    </row>
    <row r="154" spans="1:12" x14ac:dyDescent="0.25">
      <c r="A154" s="531" t="s">
        <v>220</v>
      </c>
      <c r="B154" s="531" t="s">
        <v>848</v>
      </c>
      <c r="C154" s="531" t="s">
        <v>849</v>
      </c>
      <c r="D154" s="531" t="s">
        <v>850</v>
      </c>
      <c r="E154" s="585">
        <v>43812</v>
      </c>
      <c r="F154" s="585">
        <v>43793</v>
      </c>
      <c r="G154" s="585">
        <v>43806</v>
      </c>
      <c r="H154" s="575">
        <v>454.96</v>
      </c>
      <c r="I154" s="576">
        <v>44</v>
      </c>
      <c r="J154" s="586">
        <v>221999764</v>
      </c>
      <c r="K154" s="531" t="s">
        <v>856</v>
      </c>
      <c r="L154" s="531" t="s">
        <v>732</v>
      </c>
    </row>
    <row r="155" spans="1:12" x14ac:dyDescent="0.25">
      <c r="A155" s="531" t="s">
        <v>220</v>
      </c>
      <c r="B155" s="531" t="s">
        <v>848</v>
      </c>
      <c r="C155" s="531" t="s">
        <v>849</v>
      </c>
      <c r="D155" s="531" t="s">
        <v>850</v>
      </c>
      <c r="E155" s="585">
        <v>43826</v>
      </c>
      <c r="F155" s="585">
        <v>43807</v>
      </c>
      <c r="G155" s="585">
        <v>43820</v>
      </c>
      <c r="H155" s="587">
        <v>568.70000000000005</v>
      </c>
      <c r="I155" s="576">
        <v>55</v>
      </c>
      <c r="J155" s="586">
        <v>223886772</v>
      </c>
      <c r="K155" s="531" t="s">
        <v>857</v>
      </c>
      <c r="L155" s="531" t="s">
        <v>735</v>
      </c>
    </row>
    <row r="156" spans="1:12" ht="14.5" x14ac:dyDescent="0.35">
      <c r="E156" s="585"/>
      <c r="F156" s="585"/>
      <c r="G156" s="585"/>
      <c r="H156" s="588">
        <f>SUM(H149:H155)</f>
        <v>3717.2300000000005</v>
      </c>
      <c r="J156" s="586"/>
    </row>
    <row r="157" spans="1:12" x14ac:dyDescent="0.25">
      <c r="E157" s="585"/>
      <c r="F157" s="585"/>
      <c r="G157" s="585"/>
      <c r="J157" s="586"/>
    </row>
    <row r="158" spans="1:12" x14ac:dyDescent="0.25">
      <c r="E158" s="585"/>
      <c r="F158" s="585"/>
      <c r="G158" s="585"/>
      <c r="J158" s="586"/>
    </row>
    <row r="159" spans="1:12" x14ac:dyDescent="0.25">
      <c r="E159" s="585"/>
      <c r="F159" s="585"/>
      <c r="G159" s="585"/>
      <c r="J159" s="586"/>
    </row>
    <row r="160" spans="1:12" x14ac:dyDescent="0.25">
      <c r="A160" s="531" t="s">
        <v>220</v>
      </c>
      <c r="B160" s="531" t="s">
        <v>858</v>
      </c>
      <c r="C160" s="531" t="s">
        <v>859</v>
      </c>
      <c r="D160" s="531" t="s">
        <v>860</v>
      </c>
      <c r="E160" s="585">
        <v>43742</v>
      </c>
      <c r="F160" s="585">
        <v>43723</v>
      </c>
      <c r="G160" s="585">
        <v>43736</v>
      </c>
      <c r="H160" s="575">
        <v>585</v>
      </c>
      <c r="I160" s="576">
        <v>58.5</v>
      </c>
      <c r="J160" s="586">
        <v>209886803</v>
      </c>
      <c r="K160" s="531" t="s">
        <v>861</v>
      </c>
      <c r="L160" s="531" t="s">
        <v>717</v>
      </c>
    </row>
    <row r="161" spans="1:12" x14ac:dyDescent="0.25">
      <c r="A161" s="531" t="s">
        <v>220</v>
      </c>
      <c r="B161" s="531" t="s">
        <v>858</v>
      </c>
      <c r="C161" s="531" t="s">
        <v>859</v>
      </c>
      <c r="D161" s="531" t="s">
        <v>860</v>
      </c>
      <c r="E161" s="585">
        <v>43756</v>
      </c>
      <c r="F161" s="585">
        <v>43737</v>
      </c>
      <c r="G161" s="585">
        <v>43750</v>
      </c>
      <c r="H161" s="575">
        <v>535</v>
      </c>
      <c r="I161" s="576">
        <v>53.5</v>
      </c>
      <c r="J161" s="586">
        <v>212386293</v>
      </c>
      <c r="K161" s="531" t="s">
        <v>862</v>
      </c>
      <c r="L161" s="531" t="s">
        <v>720</v>
      </c>
    </row>
    <row r="162" spans="1:12" x14ac:dyDescent="0.25">
      <c r="A162" s="531" t="s">
        <v>220</v>
      </c>
      <c r="B162" s="531" t="s">
        <v>858</v>
      </c>
      <c r="C162" s="531" t="s">
        <v>859</v>
      </c>
      <c r="D162" s="531" t="s">
        <v>860</v>
      </c>
      <c r="E162" s="585">
        <v>43770</v>
      </c>
      <c r="F162" s="585">
        <v>43751</v>
      </c>
      <c r="G162" s="585">
        <v>43764</v>
      </c>
      <c r="H162" s="575">
        <v>460</v>
      </c>
      <c r="I162" s="576">
        <v>46</v>
      </c>
      <c r="J162" s="586">
        <v>214643846</v>
      </c>
      <c r="K162" s="531" t="s">
        <v>863</v>
      </c>
      <c r="L162" s="531" t="s">
        <v>723</v>
      </c>
    </row>
    <row r="163" spans="1:12" x14ac:dyDescent="0.25">
      <c r="A163" s="531" t="s">
        <v>220</v>
      </c>
      <c r="B163" s="531" t="s">
        <v>858</v>
      </c>
      <c r="C163" s="531" t="s">
        <v>859</v>
      </c>
      <c r="D163" s="531" t="s">
        <v>860</v>
      </c>
      <c r="E163" s="585">
        <v>43784</v>
      </c>
      <c r="F163" s="585">
        <v>43765</v>
      </c>
      <c r="G163" s="585">
        <v>43778</v>
      </c>
      <c r="H163" s="575">
        <v>430</v>
      </c>
      <c r="I163" s="576">
        <v>43</v>
      </c>
      <c r="J163" s="586">
        <v>216803204</v>
      </c>
      <c r="K163" s="531" t="s">
        <v>864</v>
      </c>
      <c r="L163" s="531" t="s">
        <v>726</v>
      </c>
    </row>
    <row r="164" spans="1:12" x14ac:dyDescent="0.25">
      <c r="A164" s="531" t="s">
        <v>220</v>
      </c>
      <c r="B164" s="531" t="s">
        <v>858</v>
      </c>
      <c r="C164" s="531" t="s">
        <v>859</v>
      </c>
      <c r="D164" s="531" t="s">
        <v>860</v>
      </c>
      <c r="E164" s="585">
        <v>43798</v>
      </c>
      <c r="F164" s="585">
        <v>43779</v>
      </c>
      <c r="G164" s="585">
        <v>43792</v>
      </c>
      <c r="H164" s="575">
        <v>405</v>
      </c>
      <c r="I164" s="576">
        <v>40.5</v>
      </c>
      <c r="J164" s="586">
        <v>219435900</v>
      </c>
      <c r="K164" s="531" t="s">
        <v>865</v>
      </c>
      <c r="L164" s="531" t="s">
        <v>729</v>
      </c>
    </row>
    <row r="165" spans="1:12" x14ac:dyDescent="0.25">
      <c r="A165" s="531" t="s">
        <v>220</v>
      </c>
      <c r="B165" s="531" t="s">
        <v>858</v>
      </c>
      <c r="C165" s="531" t="s">
        <v>859</v>
      </c>
      <c r="D165" s="531" t="s">
        <v>860</v>
      </c>
      <c r="E165" s="585">
        <v>43812</v>
      </c>
      <c r="F165" s="585">
        <v>43793</v>
      </c>
      <c r="G165" s="585">
        <v>43806</v>
      </c>
      <c r="H165" s="575">
        <v>377.5</v>
      </c>
      <c r="I165" s="576">
        <v>37.75</v>
      </c>
      <c r="J165" s="586">
        <v>221999767</v>
      </c>
      <c r="K165" s="531" t="s">
        <v>866</v>
      </c>
      <c r="L165" s="531" t="s">
        <v>732</v>
      </c>
    </row>
    <row r="166" spans="1:12" x14ac:dyDescent="0.25">
      <c r="A166" s="531" t="s">
        <v>220</v>
      </c>
      <c r="B166" s="531" t="s">
        <v>858</v>
      </c>
      <c r="C166" s="531" t="s">
        <v>859</v>
      </c>
      <c r="D166" s="531" t="s">
        <v>860</v>
      </c>
      <c r="E166" s="585">
        <v>43826</v>
      </c>
      <c r="F166" s="585">
        <v>43807</v>
      </c>
      <c r="G166" s="585">
        <v>43820</v>
      </c>
      <c r="H166" s="587">
        <v>510</v>
      </c>
      <c r="I166" s="576">
        <v>51</v>
      </c>
      <c r="J166" s="586">
        <v>223886776</v>
      </c>
      <c r="K166" s="531" t="s">
        <v>867</v>
      </c>
      <c r="L166" s="531" t="s">
        <v>735</v>
      </c>
    </row>
    <row r="167" spans="1:12" ht="14.5" x14ac:dyDescent="0.35">
      <c r="E167" s="585"/>
      <c r="F167" s="585"/>
      <c r="G167" s="585"/>
      <c r="H167" s="588">
        <f>SUM(H160:H166)</f>
        <v>3302.5</v>
      </c>
      <c r="J167" s="586"/>
    </row>
    <row r="168" spans="1:12" ht="15" thickBot="1" x14ac:dyDescent="0.4">
      <c r="E168" s="585"/>
      <c r="F168" s="585"/>
      <c r="G168" s="585"/>
      <c r="H168" s="588"/>
      <c r="J168" s="586"/>
    </row>
    <row r="169" spans="1:12" ht="15" thickBot="1" x14ac:dyDescent="0.4">
      <c r="E169" s="585"/>
      <c r="F169" s="585"/>
      <c r="G169" s="585"/>
      <c r="H169" s="593">
        <f>H167+H156+H146+H136+H127+H118+H111+H99+H87+H83+H62+H50+H32+H22+H72</f>
        <v>126961.45</v>
      </c>
      <c r="J169" s="586"/>
    </row>
    <row r="170" spans="1:12" ht="14.5" x14ac:dyDescent="0.35">
      <c r="E170" s="585"/>
      <c r="F170" s="585"/>
      <c r="G170" s="585"/>
      <c r="H170" s="588"/>
      <c r="J170" s="586"/>
    </row>
    <row r="171" spans="1:12" ht="14.5" x14ac:dyDescent="0.35">
      <c r="E171" s="585"/>
      <c r="F171" s="585"/>
      <c r="G171" s="585"/>
      <c r="H171" s="588"/>
      <c r="J171" s="586"/>
    </row>
    <row r="172" spans="1:12" ht="14.5" x14ac:dyDescent="0.35">
      <c r="E172" s="585"/>
      <c r="F172" s="585"/>
      <c r="G172" s="585"/>
      <c r="H172" s="588"/>
      <c r="J172" s="586"/>
    </row>
    <row r="173" spans="1:12" ht="14.5" x14ac:dyDescent="0.35">
      <c r="E173" s="585"/>
      <c r="F173" s="585"/>
      <c r="G173" s="585"/>
      <c r="H173" s="588"/>
      <c r="J173" s="586"/>
    </row>
    <row r="174" spans="1:12" ht="14.5" x14ac:dyDescent="0.35">
      <c r="E174" s="585"/>
      <c r="F174" s="585"/>
      <c r="G174" s="585"/>
      <c r="H174" s="588"/>
      <c r="J174" s="586"/>
    </row>
    <row r="175" spans="1:12" ht="14.5" x14ac:dyDescent="0.35">
      <c r="E175" s="585"/>
      <c r="F175" s="585"/>
      <c r="G175" s="585"/>
      <c r="H175" s="588"/>
      <c r="J175" s="586"/>
    </row>
    <row r="176" spans="1:12" ht="14.5" x14ac:dyDescent="0.35">
      <c r="E176" s="585"/>
      <c r="F176" s="585"/>
      <c r="G176" s="585"/>
      <c r="H176" s="588"/>
      <c r="J176" s="586"/>
    </row>
    <row r="177" spans="5:10" ht="14.5" x14ac:dyDescent="0.35">
      <c r="E177" s="585"/>
      <c r="F177" s="585"/>
      <c r="G177" s="585"/>
      <c r="H177" s="588"/>
      <c r="J177" s="586"/>
    </row>
    <row r="178" spans="5:10" ht="14.5" x14ac:dyDescent="0.35">
      <c r="E178" s="585"/>
      <c r="F178" s="585"/>
      <c r="G178" s="585"/>
      <c r="H178" s="588"/>
      <c r="J178" s="586"/>
    </row>
    <row r="179" spans="5:10" ht="14.5" x14ac:dyDescent="0.35">
      <c r="E179" s="585"/>
      <c r="F179" s="585"/>
      <c r="G179" s="585"/>
      <c r="H179" s="588"/>
      <c r="J179" s="586"/>
    </row>
    <row r="180" spans="5:10" ht="14.5" x14ac:dyDescent="0.35">
      <c r="E180" s="585"/>
      <c r="F180" s="585"/>
      <c r="G180" s="585"/>
      <c r="H180" s="588"/>
      <c r="J180" s="586"/>
    </row>
    <row r="181" spans="5:10" ht="14.5" x14ac:dyDescent="0.35">
      <c r="E181" s="585"/>
      <c r="F181" s="585"/>
      <c r="G181" s="585"/>
      <c r="H181" s="588"/>
      <c r="J181" s="586"/>
    </row>
    <row r="182" spans="5:10" ht="14.5" x14ac:dyDescent="0.35">
      <c r="E182" s="585"/>
      <c r="F182" s="585"/>
      <c r="G182" s="585"/>
      <c r="H182" s="588"/>
      <c r="J182" s="586"/>
    </row>
    <row r="183" spans="5:10" ht="14.5" x14ac:dyDescent="0.35">
      <c r="E183" s="585"/>
      <c r="F183" s="585"/>
      <c r="G183" s="585"/>
      <c r="H183" s="588"/>
      <c r="J183" s="586"/>
    </row>
    <row r="184" spans="5:10" x14ac:dyDescent="0.25">
      <c r="E184" s="585"/>
      <c r="F184" s="585"/>
      <c r="G184" s="585"/>
      <c r="J184" s="586"/>
    </row>
    <row r="185" spans="5:10" x14ac:dyDescent="0.25">
      <c r="E185" s="585"/>
      <c r="F185" s="585"/>
      <c r="G185" s="585"/>
      <c r="J185" s="586"/>
    </row>
    <row r="186" spans="5:10" x14ac:dyDescent="0.25">
      <c r="E186" s="585"/>
      <c r="F186" s="585"/>
      <c r="G186" s="585"/>
      <c r="J186" s="586"/>
    </row>
    <row r="187" spans="5:10" x14ac:dyDescent="0.25">
      <c r="E187" s="585"/>
      <c r="F187" s="585"/>
      <c r="G187" s="585"/>
      <c r="J187" s="586"/>
    </row>
    <row r="188" spans="5:10" x14ac:dyDescent="0.25">
      <c r="E188" s="585"/>
      <c r="F188" s="585"/>
      <c r="G188" s="585"/>
      <c r="J188" s="586"/>
    </row>
    <row r="189" spans="5:10" x14ac:dyDescent="0.25">
      <c r="E189" s="585"/>
      <c r="F189" s="585"/>
      <c r="G189" s="585"/>
      <c r="J189" s="586"/>
    </row>
    <row r="190" spans="5:10" x14ac:dyDescent="0.25">
      <c r="E190" s="585"/>
      <c r="F190" s="585"/>
      <c r="G190" s="585"/>
      <c r="J190" s="58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B1:Q44"/>
  <sheetViews>
    <sheetView workbookViewId="0">
      <selection activeCell="D13" sqref="D13"/>
    </sheetView>
  </sheetViews>
  <sheetFormatPr defaultColWidth="9.1796875" defaultRowHeight="12.5" x14ac:dyDescent="0.25"/>
  <cols>
    <col min="1" max="1" width="2.7265625" style="529" customWidth="1"/>
    <col min="2" max="2" width="21.81640625" style="529" customWidth="1"/>
    <col min="3" max="4" width="19.7265625" style="529" customWidth="1"/>
    <col min="5" max="5" width="13.7265625" style="529" customWidth="1"/>
    <col min="6" max="8" width="14.7265625" style="529" customWidth="1"/>
    <col min="9" max="9" width="1.81640625" style="529" customWidth="1"/>
    <col min="10" max="11" width="14" style="529" customWidth="1"/>
    <col min="12" max="13" width="14.7265625" style="529" customWidth="1"/>
    <col min="14" max="14" width="15.453125" style="529" customWidth="1"/>
    <col min="15" max="15" width="9.1796875" style="423"/>
    <col min="16" max="16" width="13.54296875" style="423" customWidth="1"/>
    <col min="17" max="17" width="12.81640625" style="496" customWidth="1"/>
    <col min="18" max="16384" width="9.1796875" style="529"/>
  </cols>
  <sheetData>
    <row r="1" spans="2:17" x14ac:dyDescent="0.25">
      <c r="B1" s="673" t="s">
        <v>215</v>
      </c>
      <c r="C1" s="673"/>
      <c r="D1" s="673"/>
      <c r="E1" s="673"/>
      <c r="F1" s="673"/>
      <c r="G1" s="530"/>
      <c r="H1" s="530"/>
      <c r="L1" s="530"/>
      <c r="M1" s="530"/>
    </row>
    <row r="2" spans="2:17" ht="13" thickBot="1" x14ac:dyDescent="0.3"/>
    <row r="3" spans="2:17" ht="13" thickBot="1" x14ac:dyDescent="0.3">
      <c r="B3" s="674" t="s">
        <v>483</v>
      </c>
      <c r="C3" s="675"/>
      <c r="D3" s="675"/>
      <c r="E3" s="675"/>
      <c r="F3" s="675"/>
      <c r="G3" s="675"/>
      <c r="H3" s="675"/>
      <c r="I3" s="675"/>
      <c r="J3" s="675"/>
      <c r="K3" s="675"/>
      <c r="L3" s="675"/>
      <c r="M3" s="675"/>
    </row>
    <row r="4" spans="2:17" x14ac:dyDescent="0.25">
      <c r="B4" s="530"/>
      <c r="C4" s="530"/>
      <c r="D4" s="530"/>
      <c r="E4" s="530"/>
      <c r="F4" s="530"/>
      <c r="G4" s="530"/>
      <c r="H4" s="530"/>
      <c r="L4" s="530"/>
      <c r="M4" s="530"/>
    </row>
    <row r="5" spans="2:17" x14ac:dyDescent="0.25">
      <c r="B5" s="530"/>
      <c r="C5" s="530"/>
      <c r="D5" s="530"/>
      <c r="E5" s="530"/>
      <c r="F5" s="530"/>
      <c r="G5" s="530"/>
      <c r="H5" s="530"/>
      <c r="L5" s="530"/>
      <c r="M5" s="530"/>
    </row>
    <row r="6" spans="2:17" x14ac:dyDescent="0.25">
      <c r="F6" s="529" t="s">
        <v>216</v>
      </c>
      <c r="M6" s="497">
        <f>SUM(M9:M15)</f>
        <v>181.3</v>
      </c>
    </row>
    <row r="7" spans="2:17" ht="13" thickBot="1" x14ac:dyDescent="0.3">
      <c r="E7" s="529" t="s">
        <v>251</v>
      </c>
      <c r="J7" s="529" t="s">
        <v>252</v>
      </c>
      <c r="N7" s="529" t="s">
        <v>216</v>
      </c>
      <c r="O7" s="423" t="s">
        <v>253</v>
      </c>
      <c r="P7" s="423" t="s">
        <v>254</v>
      </c>
    </row>
    <row r="8" spans="2:17" ht="13" thickBot="1" x14ac:dyDescent="0.3">
      <c r="D8" s="431" t="s">
        <v>218</v>
      </c>
      <c r="E8" s="498" t="s">
        <v>485</v>
      </c>
      <c r="F8" s="432" t="s">
        <v>486</v>
      </c>
      <c r="G8" s="433" t="s">
        <v>487</v>
      </c>
      <c r="H8" s="493" t="s">
        <v>488</v>
      </c>
      <c r="J8" s="498" t="s">
        <v>485</v>
      </c>
      <c r="K8" s="432" t="s">
        <v>486</v>
      </c>
      <c r="L8" s="433" t="s">
        <v>487</v>
      </c>
      <c r="M8" s="493" t="s">
        <v>488</v>
      </c>
      <c r="N8" s="498" t="s">
        <v>485</v>
      </c>
    </row>
    <row r="9" spans="2:17" x14ac:dyDescent="0.25">
      <c r="B9" s="437" t="s">
        <v>185</v>
      </c>
      <c r="C9" s="438" t="s">
        <v>255</v>
      </c>
      <c r="D9" s="440">
        <v>46750</v>
      </c>
      <c r="E9" s="474">
        <f>SUM(F9:H9)</f>
        <v>-287.44</v>
      </c>
      <c r="F9" s="514">
        <v>-287.44</v>
      </c>
      <c r="G9" s="515"/>
      <c r="H9" s="469"/>
      <c r="J9" s="474">
        <f>SUM(K9:M9)</f>
        <v>37.76</v>
      </c>
      <c r="K9" s="499">
        <v>37.76</v>
      </c>
      <c r="L9" s="499"/>
      <c r="M9" s="469"/>
      <c r="N9" s="474">
        <f>E9+J9</f>
        <v>-249.68</v>
      </c>
      <c r="O9" s="423">
        <v>1</v>
      </c>
      <c r="P9" s="423">
        <f>N9*O9</f>
        <v>-249.68</v>
      </c>
    </row>
    <row r="10" spans="2:17" x14ac:dyDescent="0.25">
      <c r="B10" s="445"/>
      <c r="C10" s="529" t="s">
        <v>225</v>
      </c>
      <c r="D10" s="422"/>
      <c r="E10" s="474">
        <f>SUM(F10:H10)</f>
        <v>2306.8200000000002</v>
      </c>
      <c r="F10" s="501">
        <v>768.94</v>
      </c>
      <c r="G10" s="501">
        <v>768.94</v>
      </c>
      <c r="H10" s="501">
        <v>768.94</v>
      </c>
      <c r="J10" s="474">
        <f>SUM(K10:M10)</f>
        <v>111.13999999999999</v>
      </c>
      <c r="K10" s="501">
        <v>37.76</v>
      </c>
      <c r="L10" s="501">
        <v>37.76</v>
      </c>
      <c r="M10" s="477">
        <v>35.619999999999997</v>
      </c>
      <c r="N10" s="474">
        <f t="shared" ref="N10:N25" si="0">E10+J10</f>
        <v>2417.96</v>
      </c>
      <c r="O10" s="423">
        <v>1</v>
      </c>
      <c r="P10" s="423">
        <f t="shared" ref="P10:P40" si="1">N10*O10</f>
        <v>2417.96</v>
      </c>
      <c r="Q10" s="502"/>
    </row>
    <row r="11" spans="2:17" x14ac:dyDescent="0.25">
      <c r="B11" s="606"/>
      <c r="C11" s="531" t="s">
        <v>247</v>
      </c>
      <c r="D11" s="606" t="s">
        <v>888</v>
      </c>
      <c r="E11" s="474">
        <f t="shared" ref="E11:E25" si="2">SUM(F11:H11)</f>
        <v>4040.1000000000004</v>
      </c>
      <c r="F11" s="501">
        <v>1346.7</v>
      </c>
      <c r="G11" s="501">
        <v>1346.7</v>
      </c>
      <c r="H11" s="501">
        <v>1346.7</v>
      </c>
      <c r="J11" s="474">
        <f t="shared" ref="J11:J25" si="3">SUM(K11:M11)</f>
        <v>64.349999999999994</v>
      </c>
      <c r="K11" s="501"/>
      <c r="L11" s="501"/>
      <c r="M11" s="477">
        <v>64.349999999999994</v>
      </c>
      <c r="N11" s="474">
        <f t="shared" si="0"/>
        <v>4104.4500000000007</v>
      </c>
      <c r="P11" s="423">
        <f t="shared" si="1"/>
        <v>0</v>
      </c>
    </row>
    <row r="12" spans="2:17" x14ac:dyDescent="0.25">
      <c r="B12" s="445"/>
      <c r="D12" s="422"/>
      <c r="E12" s="474">
        <f t="shared" si="2"/>
        <v>0</v>
      </c>
      <c r="F12" s="501"/>
      <c r="G12" s="501"/>
      <c r="H12" s="501"/>
      <c r="J12" s="474">
        <f t="shared" si="3"/>
        <v>0</v>
      </c>
      <c r="K12" s="501"/>
      <c r="L12" s="501"/>
      <c r="M12" s="477"/>
      <c r="N12" s="474">
        <f t="shared" si="0"/>
        <v>0</v>
      </c>
      <c r="P12" s="423">
        <f t="shared" si="1"/>
        <v>0</v>
      </c>
    </row>
    <row r="13" spans="2:17" x14ac:dyDescent="0.25">
      <c r="B13" s="445" t="s">
        <v>186</v>
      </c>
      <c r="C13" s="529" t="s">
        <v>228</v>
      </c>
      <c r="D13" s="607" t="s">
        <v>889</v>
      </c>
      <c r="E13" s="474">
        <f t="shared" si="2"/>
        <v>0</v>
      </c>
      <c r="F13" s="501"/>
      <c r="G13" s="501"/>
      <c r="H13" s="501"/>
      <c r="J13" s="474">
        <f t="shared" si="3"/>
        <v>111.13999999999999</v>
      </c>
      <c r="K13" s="501">
        <v>37.76</v>
      </c>
      <c r="L13" s="501">
        <v>37.76</v>
      </c>
      <c r="M13" s="477">
        <v>35.619999999999997</v>
      </c>
      <c r="N13" s="474">
        <f t="shared" si="0"/>
        <v>111.13999999999999</v>
      </c>
      <c r="O13" s="423">
        <v>1</v>
      </c>
      <c r="P13" s="423">
        <f t="shared" si="1"/>
        <v>111.13999999999999</v>
      </c>
    </row>
    <row r="14" spans="2:17" x14ac:dyDescent="0.25">
      <c r="B14" s="445"/>
      <c r="C14" s="529" t="s">
        <v>229</v>
      </c>
      <c r="D14" s="422"/>
      <c r="E14" s="474">
        <f t="shared" si="2"/>
        <v>3205.0499999999997</v>
      </c>
      <c r="F14" s="501">
        <v>1068.3499999999999</v>
      </c>
      <c r="G14" s="501">
        <v>1068.3499999999999</v>
      </c>
      <c r="H14" s="501">
        <v>1068.3499999999999</v>
      </c>
      <c r="J14" s="474">
        <f t="shared" si="3"/>
        <v>121.22999999999999</v>
      </c>
      <c r="K14" s="501">
        <v>37.76</v>
      </c>
      <c r="L14" s="501">
        <v>37.76</v>
      </c>
      <c r="M14" s="477">
        <v>45.71</v>
      </c>
      <c r="N14" s="474">
        <f t="shared" si="0"/>
        <v>3326.2799999999997</v>
      </c>
      <c r="O14" s="423">
        <v>1</v>
      </c>
      <c r="P14" s="423">
        <f t="shared" si="1"/>
        <v>3326.2799999999997</v>
      </c>
    </row>
    <row r="15" spans="2:17" x14ac:dyDescent="0.25">
      <c r="B15" s="445"/>
      <c r="C15" s="529" t="s">
        <v>230</v>
      </c>
      <c r="D15" s="422"/>
      <c r="E15" s="474">
        <f t="shared" si="2"/>
        <v>2596.41</v>
      </c>
      <c r="F15" s="501">
        <v>865.47</v>
      </c>
      <c r="G15" s="501">
        <v>865.47</v>
      </c>
      <c r="H15" s="501">
        <v>865.47</v>
      </c>
      <c r="J15" s="474">
        <f t="shared" si="3"/>
        <v>0</v>
      </c>
      <c r="K15" s="501"/>
      <c r="L15" s="501"/>
      <c r="M15" s="477"/>
      <c r="N15" s="474">
        <f t="shared" si="0"/>
        <v>2596.41</v>
      </c>
      <c r="O15" s="423">
        <v>1</v>
      </c>
      <c r="P15" s="423">
        <f t="shared" si="1"/>
        <v>2596.41</v>
      </c>
      <c r="Q15" s="595">
        <f>SUM(P9:P15)</f>
        <v>8202.11</v>
      </c>
    </row>
    <row r="16" spans="2:17" x14ac:dyDescent="0.25">
      <c r="B16" s="445"/>
      <c r="D16" s="422"/>
      <c r="E16" s="474">
        <f t="shared" si="2"/>
        <v>0</v>
      </c>
      <c r="F16" s="501"/>
      <c r="G16" s="501"/>
      <c r="H16" s="501"/>
      <c r="J16" s="474">
        <f t="shared" si="3"/>
        <v>0</v>
      </c>
      <c r="K16" s="501"/>
      <c r="L16" s="501"/>
      <c r="M16" s="477"/>
      <c r="N16" s="474">
        <f t="shared" si="0"/>
        <v>0</v>
      </c>
      <c r="P16" s="423">
        <f t="shared" si="1"/>
        <v>0</v>
      </c>
      <c r="Q16" s="502"/>
    </row>
    <row r="17" spans="2:17" x14ac:dyDescent="0.25">
      <c r="B17" s="445" t="s">
        <v>231</v>
      </c>
      <c r="C17" s="529" t="s">
        <v>232</v>
      </c>
      <c r="D17" s="422">
        <v>0</v>
      </c>
      <c r="E17" s="474">
        <f t="shared" si="2"/>
        <v>0</v>
      </c>
      <c r="F17" s="501"/>
      <c r="G17" s="501"/>
      <c r="H17" s="501"/>
      <c r="J17" s="474">
        <f t="shared" si="3"/>
        <v>0</v>
      </c>
      <c r="K17" s="501"/>
      <c r="L17" s="501"/>
      <c r="M17" s="477"/>
      <c r="N17" s="474">
        <f t="shared" si="0"/>
        <v>0</v>
      </c>
      <c r="P17" s="423">
        <f t="shared" si="1"/>
        <v>0</v>
      </c>
    </row>
    <row r="18" spans="2:17" x14ac:dyDescent="0.25">
      <c r="B18" s="445"/>
      <c r="C18" s="529" t="s">
        <v>235</v>
      </c>
      <c r="D18" s="422"/>
      <c r="E18" s="474">
        <f t="shared" si="2"/>
        <v>0</v>
      </c>
      <c r="F18" s="501"/>
      <c r="G18" s="501"/>
      <c r="H18" s="501"/>
      <c r="J18" s="474">
        <f t="shared" si="3"/>
        <v>0</v>
      </c>
      <c r="K18" s="501"/>
      <c r="L18" s="501"/>
      <c r="M18" s="477"/>
      <c r="N18" s="474">
        <f t="shared" si="0"/>
        <v>0</v>
      </c>
      <c r="P18" s="423">
        <f t="shared" si="1"/>
        <v>0</v>
      </c>
    </row>
    <row r="19" spans="2:17" x14ac:dyDescent="0.25">
      <c r="B19" s="445"/>
      <c r="C19" s="529" t="s">
        <v>233</v>
      </c>
      <c r="D19" s="422"/>
      <c r="E19" s="474">
        <f t="shared" si="2"/>
        <v>0</v>
      </c>
      <c r="F19" s="501"/>
      <c r="G19" s="501"/>
      <c r="H19" s="501"/>
      <c r="J19" s="474">
        <f t="shared" si="3"/>
        <v>0</v>
      </c>
      <c r="K19" s="501"/>
      <c r="L19" s="501"/>
      <c r="M19" s="477"/>
      <c r="N19" s="474">
        <f t="shared" si="0"/>
        <v>0</v>
      </c>
      <c r="P19" s="423">
        <f t="shared" si="1"/>
        <v>0</v>
      </c>
    </row>
    <row r="20" spans="2:17" x14ac:dyDescent="0.25">
      <c r="B20" s="445"/>
      <c r="D20" s="422"/>
      <c r="E20" s="474">
        <f t="shared" si="2"/>
        <v>0</v>
      </c>
      <c r="F20" s="501"/>
      <c r="G20" s="501"/>
      <c r="H20" s="501"/>
      <c r="J20" s="474">
        <f t="shared" si="3"/>
        <v>0</v>
      </c>
      <c r="K20" s="501"/>
      <c r="L20" s="501"/>
      <c r="M20" s="477"/>
      <c r="N20" s="474">
        <f t="shared" si="0"/>
        <v>0</v>
      </c>
      <c r="P20" s="423">
        <f t="shared" si="1"/>
        <v>0</v>
      </c>
    </row>
    <row r="21" spans="2:17" x14ac:dyDescent="0.25">
      <c r="B21" s="445" t="s">
        <v>234</v>
      </c>
      <c r="C21" s="529" t="s">
        <v>256</v>
      </c>
      <c r="D21" s="422">
        <v>0</v>
      </c>
      <c r="E21" s="474">
        <f t="shared" si="2"/>
        <v>0</v>
      </c>
      <c r="F21" s="501"/>
      <c r="G21" s="501"/>
      <c r="H21" s="501"/>
      <c r="J21" s="474">
        <f t="shared" si="3"/>
        <v>0</v>
      </c>
      <c r="K21" s="501"/>
      <c r="L21" s="501"/>
      <c r="M21" s="477"/>
      <c r="N21" s="474">
        <f t="shared" si="0"/>
        <v>0</v>
      </c>
      <c r="P21" s="423">
        <f t="shared" si="1"/>
        <v>0</v>
      </c>
    </row>
    <row r="22" spans="2:17" x14ac:dyDescent="0.25">
      <c r="B22" s="445"/>
      <c r="D22" s="422"/>
      <c r="E22" s="474">
        <f t="shared" si="2"/>
        <v>0</v>
      </c>
      <c r="F22" s="501"/>
      <c r="G22" s="501"/>
      <c r="H22" s="501"/>
      <c r="J22" s="474">
        <f t="shared" si="3"/>
        <v>0</v>
      </c>
      <c r="K22" s="501"/>
      <c r="L22" s="501"/>
      <c r="M22" s="477"/>
      <c r="N22" s="474">
        <f t="shared" si="0"/>
        <v>0</v>
      </c>
      <c r="P22" s="423">
        <f t="shared" si="1"/>
        <v>0</v>
      </c>
    </row>
    <row r="23" spans="2:17" x14ac:dyDescent="0.25">
      <c r="B23" s="445" t="s">
        <v>191</v>
      </c>
      <c r="C23" s="529" t="s">
        <v>236</v>
      </c>
      <c r="D23" s="422">
        <v>0</v>
      </c>
      <c r="E23" s="474">
        <f t="shared" si="2"/>
        <v>2756.64</v>
      </c>
      <c r="F23" s="501">
        <v>918.88</v>
      </c>
      <c r="G23" s="501">
        <v>918.88</v>
      </c>
      <c r="H23" s="501">
        <v>918.88</v>
      </c>
      <c r="J23" s="474">
        <f t="shared" si="3"/>
        <v>0</v>
      </c>
      <c r="K23" s="501"/>
      <c r="L23" s="501"/>
      <c r="M23" s="477"/>
      <c r="N23" s="474">
        <f t="shared" si="0"/>
        <v>2756.64</v>
      </c>
      <c r="O23" s="423">
        <v>1</v>
      </c>
      <c r="P23" s="423">
        <f t="shared" si="1"/>
        <v>2756.64</v>
      </c>
      <c r="Q23" s="496" t="s">
        <v>260</v>
      </c>
    </row>
    <row r="24" spans="2:17" x14ac:dyDescent="0.25">
      <c r="B24" s="445"/>
      <c r="D24" s="422">
        <v>0</v>
      </c>
      <c r="E24" s="474">
        <f t="shared" si="2"/>
        <v>0</v>
      </c>
      <c r="F24" s="501"/>
      <c r="G24" s="454"/>
      <c r="H24" s="477"/>
      <c r="J24" s="474">
        <f t="shared" si="3"/>
        <v>0</v>
      </c>
      <c r="K24" s="501"/>
      <c r="L24" s="501"/>
      <c r="M24" s="477"/>
      <c r="N24" s="474">
        <f t="shared" si="0"/>
        <v>0</v>
      </c>
      <c r="P24" s="423">
        <f t="shared" si="1"/>
        <v>0</v>
      </c>
    </row>
    <row r="25" spans="2:17" x14ac:dyDescent="0.25">
      <c r="B25" s="445" t="s">
        <v>237</v>
      </c>
      <c r="C25" s="529" t="s">
        <v>238</v>
      </c>
      <c r="D25" s="422">
        <v>0</v>
      </c>
      <c r="E25" s="474">
        <f t="shared" si="2"/>
        <v>0</v>
      </c>
      <c r="F25" s="501"/>
      <c r="G25" s="454"/>
      <c r="H25" s="477"/>
      <c r="J25" s="474">
        <f t="shared" si="3"/>
        <v>0</v>
      </c>
      <c r="K25" s="501"/>
      <c r="L25" s="501"/>
      <c r="M25" s="477"/>
      <c r="N25" s="474">
        <f t="shared" si="0"/>
        <v>0</v>
      </c>
      <c r="P25" s="423">
        <f t="shared" si="1"/>
        <v>0</v>
      </c>
    </row>
    <row r="26" spans="2:17" ht="13" thickBot="1" x14ac:dyDescent="0.3">
      <c r="B26" s="456"/>
      <c r="C26" s="457"/>
      <c r="D26" s="459">
        <f>SUM(D9:D25)</f>
        <v>46750</v>
      </c>
      <c r="E26" s="503">
        <f>SUM(E9:E25)</f>
        <v>14617.58</v>
      </c>
      <c r="F26" s="459">
        <f>SUM(F9:F25)</f>
        <v>4680.9000000000005</v>
      </c>
      <c r="G26" s="459">
        <f t="shared" ref="G26:H26" si="4">SUM(G9:G25)</f>
        <v>4968.34</v>
      </c>
      <c r="H26" s="459">
        <f t="shared" si="4"/>
        <v>4968.34</v>
      </c>
      <c r="J26" s="503">
        <f>SUM(J9:J25)</f>
        <v>445.62</v>
      </c>
      <c r="K26" s="459">
        <f>SUM(K9:K25)</f>
        <v>151.04</v>
      </c>
      <c r="L26" s="459">
        <f t="shared" ref="L26:M26" si="5">SUM(L9:L25)</f>
        <v>113.28</v>
      </c>
      <c r="M26" s="504">
        <f t="shared" si="5"/>
        <v>181.3</v>
      </c>
      <c r="N26" s="505">
        <f>SUM(N9:N25)</f>
        <v>15063.2</v>
      </c>
      <c r="O26" s="505"/>
      <c r="P26" s="505">
        <f t="shared" ref="P26" si="6">SUM(P9:P25)</f>
        <v>10958.75</v>
      </c>
    </row>
    <row r="27" spans="2:17" ht="13" thickBot="1" x14ac:dyDescent="0.3">
      <c r="B27" s="445"/>
      <c r="D27" s="422"/>
      <c r="E27" s="422"/>
      <c r="F27" s="506"/>
      <c r="G27" s="464"/>
      <c r="H27" s="464"/>
      <c r="J27" s="422"/>
      <c r="K27" s="506"/>
      <c r="L27" s="464"/>
      <c r="M27" s="464"/>
      <c r="N27" s="422"/>
      <c r="P27" s="423">
        <f t="shared" si="1"/>
        <v>0</v>
      </c>
    </row>
    <row r="28" spans="2:17" x14ac:dyDescent="0.25">
      <c r="B28" s="437"/>
      <c r="C28" s="438"/>
      <c r="D28" s="440"/>
      <c r="E28" s="500"/>
      <c r="F28" s="499"/>
      <c r="G28" s="468"/>
      <c r="H28" s="469"/>
      <c r="J28" s="500"/>
      <c r="K28" s="499"/>
      <c r="L28" s="499"/>
      <c r="M28" s="499"/>
      <c r="N28" s="474">
        <f t="shared" ref="N28:N35" si="7">E28+J28</f>
        <v>0</v>
      </c>
      <c r="P28" s="423">
        <f t="shared" si="1"/>
        <v>0</v>
      </c>
    </row>
    <row r="29" spans="2:17" x14ac:dyDescent="0.25">
      <c r="B29" s="445" t="s">
        <v>239</v>
      </c>
      <c r="C29" s="529" t="s">
        <v>240</v>
      </c>
      <c r="D29" s="422">
        <v>4220</v>
      </c>
      <c r="E29" s="474">
        <f t="shared" ref="E29:E35" si="8">SUM(F29:H29)</f>
        <v>4825.8900000000003</v>
      </c>
      <c r="F29" s="501">
        <v>1608.63</v>
      </c>
      <c r="G29" s="501">
        <v>1608.63</v>
      </c>
      <c r="H29" s="501">
        <v>1608.63</v>
      </c>
      <c r="J29" s="474">
        <f t="shared" ref="J29:J35" si="9">SUM(K29:M29)</f>
        <v>200.76999999999998</v>
      </c>
      <c r="K29" s="501">
        <v>68.209999999999994</v>
      </c>
      <c r="L29" s="501">
        <v>68.209999999999994</v>
      </c>
      <c r="M29" s="501">
        <v>64.349999999999994</v>
      </c>
      <c r="N29" s="474">
        <f t="shared" si="7"/>
        <v>5026.66</v>
      </c>
      <c r="O29" s="422">
        <f>'Salary Alloc Q1'!G33</f>
        <v>0.82257142857142862</v>
      </c>
      <c r="P29" s="594">
        <f t="shared" si="1"/>
        <v>4134.786897142857</v>
      </c>
    </row>
    <row r="30" spans="2:17" x14ac:dyDescent="0.25">
      <c r="B30" s="445"/>
      <c r="D30" s="422"/>
      <c r="E30" s="474">
        <f t="shared" si="8"/>
        <v>0</v>
      </c>
      <c r="F30" s="501"/>
      <c r="G30" s="501"/>
      <c r="H30" s="501"/>
      <c r="J30" s="474">
        <f t="shared" si="9"/>
        <v>0</v>
      </c>
      <c r="K30" s="501"/>
      <c r="L30" s="501"/>
      <c r="M30" s="501"/>
      <c r="N30" s="474">
        <f t="shared" si="7"/>
        <v>0</v>
      </c>
      <c r="O30" s="422"/>
      <c r="P30" s="423">
        <f t="shared" si="1"/>
        <v>0</v>
      </c>
    </row>
    <row r="31" spans="2:17" x14ac:dyDescent="0.25">
      <c r="B31" s="445" t="s">
        <v>241</v>
      </c>
      <c r="C31" s="529" t="s">
        <v>242</v>
      </c>
      <c r="D31" s="422">
        <v>2406</v>
      </c>
      <c r="E31" s="474"/>
      <c r="F31" s="501"/>
      <c r="G31" s="501"/>
      <c r="H31" s="501"/>
      <c r="J31" s="474">
        <f t="shared" si="9"/>
        <v>0</v>
      </c>
      <c r="K31" s="501"/>
      <c r="L31" s="501"/>
      <c r="M31" s="501"/>
      <c r="N31" s="474">
        <f t="shared" si="7"/>
        <v>0</v>
      </c>
      <c r="O31" s="422">
        <f>'Salary Alloc Q1'!G35</f>
        <v>0.38369999999999999</v>
      </c>
      <c r="P31" s="423">
        <f t="shared" si="1"/>
        <v>0</v>
      </c>
      <c r="Q31" s="496" t="s">
        <v>260</v>
      </c>
    </row>
    <row r="32" spans="2:17" x14ac:dyDescent="0.25">
      <c r="B32" s="445"/>
      <c r="D32" s="422"/>
      <c r="E32" s="474">
        <f t="shared" si="8"/>
        <v>0</v>
      </c>
      <c r="F32" s="501"/>
      <c r="G32" s="454"/>
      <c r="H32" s="477"/>
      <c r="J32" s="474">
        <f t="shared" si="9"/>
        <v>0</v>
      </c>
      <c r="K32" s="501"/>
      <c r="L32" s="501"/>
      <c r="M32" s="501"/>
      <c r="N32" s="474">
        <f t="shared" si="7"/>
        <v>0</v>
      </c>
      <c r="O32" s="422"/>
      <c r="P32" s="423">
        <f t="shared" si="1"/>
        <v>0</v>
      </c>
    </row>
    <row r="33" spans="2:16" x14ac:dyDescent="0.25">
      <c r="B33" s="445" t="s">
        <v>195</v>
      </c>
      <c r="C33" s="529" t="s">
        <v>257</v>
      </c>
      <c r="D33" s="422"/>
      <c r="E33" s="474">
        <f t="shared" si="8"/>
        <v>0</v>
      </c>
      <c r="F33" s="501"/>
      <c r="G33" s="454"/>
      <c r="H33" s="477"/>
      <c r="J33" s="474">
        <f t="shared" si="9"/>
        <v>0</v>
      </c>
      <c r="K33" s="501"/>
      <c r="L33" s="501"/>
      <c r="M33" s="501"/>
      <c r="N33" s="474">
        <f t="shared" si="7"/>
        <v>0</v>
      </c>
      <c r="O33" s="422"/>
      <c r="P33" s="423">
        <f t="shared" si="1"/>
        <v>0</v>
      </c>
    </row>
    <row r="34" spans="2:16" x14ac:dyDescent="0.25">
      <c r="B34" s="445"/>
      <c r="D34" s="422"/>
      <c r="E34" s="474">
        <f t="shared" si="8"/>
        <v>0</v>
      </c>
      <c r="F34" s="501"/>
      <c r="H34" s="477"/>
      <c r="J34" s="474">
        <f t="shared" si="9"/>
        <v>0</v>
      </c>
      <c r="K34" s="501"/>
      <c r="L34" s="501"/>
      <c r="M34" s="501"/>
      <c r="N34" s="474">
        <f t="shared" si="7"/>
        <v>0</v>
      </c>
      <c r="O34" s="422"/>
      <c r="P34" s="423">
        <f t="shared" si="1"/>
        <v>0</v>
      </c>
    </row>
    <row r="35" spans="2:16" x14ac:dyDescent="0.25">
      <c r="B35" s="445" t="s">
        <v>196</v>
      </c>
      <c r="C35" s="529" t="s">
        <v>244</v>
      </c>
      <c r="D35" s="422"/>
      <c r="E35" s="474">
        <f t="shared" si="8"/>
        <v>0</v>
      </c>
      <c r="F35" s="501"/>
      <c r="G35" s="454"/>
      <c r="H35" s="477"/>
      <c r="J35" s="474">
        <f t="shared" si="9"/>
        <v>0</v>
      </c>
      <c r="K35" s="501"/>
      <c r="L35" s="501"/>
      <c r="M35" s="501"/>
      <c r="N35" s="474">
        <f t="shared" si="7"/>
        <v>0</v>
      </c>
      <c r="O35" s="422"/>
      <c r="P35" s="423">
        <f t="shared" si="1"/>
        <v>0</v>
      </c>
    </row>
    <row r="36" spans="2:16" ht="13" thickBot="1" x14ac:dyDescent="0.3">
      <c r="B36" s="456"/>
      <c r="C36" s="457"/>
      <c r="D36" s="459">
        <f>SUM(D29:D35)</f>
        <v>6626</v>
      </c>
      <c r="E36" s="503">
        <f>SUM(E29:E35)</f>
        <v>4825.8900000000003</v>
      </c>
      <c r="F36" s="459">
        <f>SUM(F29:F35)</f>
        <v>1608.63</v>
      </c>
      <c r="G36" s="459">
        <f>SUM(G29:G35)</f>
        <v>1608.63</v>
      </c>
      <c r="H36" s="459">
        <f>SUM(H29:H35)</f>
        <v>1608.63</v>
      </c>
      <c r="J36" s="503">
        <f>SUM(J29:J35)</f>
        <v>200.76999999999998</v>
      </c>
      <c r="K36" s="459">
        <f>SUM(K29:K35)</f>
        <v>68.209999999999994</v>
      </c>
      <c r="L36" s="459">
        <f>SUM(L29:L35)</f>
        <v>68.209999999999994</v>
      </c>
      <c r="M36" s="459">
        <f>SUM(M29:M35)</f>
        <v>64.349999999999994</v>
      </c>
      <c r="N36" s="503">
        <f>SUM(N29:N35)</f>
        <v>5026.66</v>
      </c>
      <c r="O36" s="503"/>
      <c r="P36" s="503">
        <f t="shared" ref="P36" si="10">SUM(P29:P35)</f>
        <v>4134.786897142857</v>
      </c>
    </row>
    <row r="37" spans="2:16" ht="13" thickBot="1" x14ac:dyDescent="0.3">
      <c r="B37" s="445"/>
      <c r="D37" s="422"/>
      <c r="E37" s="422"/>
      <c r="F37" s="506"/>
      <c r="G37" s="464"/>
      <c r="H37" s="464"/>
      <c r="J37" s="422"/>
      <c r="K37" s="506"/>
      <c r="L37" s="464"/>
      <c r="M37" s="464"/>
      <c r="N37" s="422"/>
      <c r="P37" s="423">
        <f t="shared" si="1"/>
        <v>0</v>
      </c>
    </row>
    <row r="38" spans="2:16" x14ac:dyDescent="0.25">
      <c r="B38" s="437"/>
      <c r="C38" s="438"/>
      <c r="D38" s="440"/>
      <c r="E38" s="440"/>
      <c r="F38" s="507"/>
      <c r="G38" s="470"/>
      <c r="H38" s="470"/>
      <c r="J38" s="440"/>
      <c r="K38" s="507"/>
      <c r="L38" s="470"/>
      <c r="M38" s="470"/>
      <c r="N38" s="440"/>
      <c r="P38" s="423">
        <f t="shared" si="1"/>
        <v>0</v>
      </c>
    </row>
    <row r="39" spans="2:16" x14ac:dyDescent="0.25">
      <c r="B39" s="445"/>
      <c r="D39" s="422"/>
      <c r="E39" s="422"/>
      <c r="F39" s="508"/>
      <c r="G39" s="478"/>
      <c r="H39" s="478"/>
      <c r="J39" s="422"/>
      <c r="K39" s="508"/>
      <c r="L39" s="478"/>
      <c r="M39" s="478"/>
      <c r="N39" s="422"/>
      <c r="P39" s="423">
        <f t="shared" si="1"/>
        <v>0</v>
      </c>
    </row>
    <row r="40" spans="2:16" ht="13" thickBot="1" x14ac:dyDescent="0.3">
      <c r="B40" s="456"/>
      <c r="C40" s="457"/>
      <c r="D40" s="480"/>
      <c r="E40" s="480"/>
      <c r="F40" s="509"/>
      <c r="G40" s="482"/>
      <c r="H40" s="482"/>
      <c r="J40" s="480"/>
      <c r="K40" s="509"/>
      <c r="L40" s="482"/>
      <c r="M40" s="482"/>
      <c r="N40" s="480"/>
      <c r="P40" s="423">
        <f t="shared" si="1"/>
        <v>0</v>
      </c>
    </row>
    <row r="41" spans="2:16" ht="13" thickBot="1" x14ac:dyDescent="0.3">
      <c r="D41" s="484">
        <f>SUM(D38:D40)</f>
        <v>0</v>
      </c>
      <c r="E41" s="484"/>
      <c r="F41" s="484">
        <f>SUM(F38:F40)</f>
        <v>0</v>
      </c>
      <c r="G41" s="486"/>
      <c r="H41" s="486"/>
      <c r="J41" s="484"/>
      <c r="K41" s="484">
        <f>SUM(K38:K40)</f>
        <v>0</v>
      </c>
      <c r="L41" s="486"/>
      <c r="M41" s="486"/>
      <c r="N41" s="484"/>
    </row>
    <row r="42" spans="2:16" ht="13" thickBot="1" x14ac:dyDescent="0.3">
      <c r="D42" s="422"/>
      <c r="E42" s="422"/>
      <c r="F42" s="488"/>
      <c r="G42" s="488"/>
      <c r="H42" s="488"/>
      <c r="J42" s="422"/>
      <c r="K42" s="488"/>
      <c r="L42" s="488"/>
      <c r="M42" s="488"/>
      <c r="N42" s="422"/>
    </row>
    <row r="43" spans="2:16" ht="13" thickBot="1" x14ac:dyDescent="0.3">
      <c r="D43" s="489">
        <f>D26+D36+D41</f>
        <v>53376</v>
      </c>
      <c r="E43" s="510">
        <f>E26+E36+E41</f>
        <v>19443.47</v>
      </c>
      <c r="F43" s="511">
        <f>F26+F36+F41</f>
        <v>6289.5300000000007</v>
      </c>
      <c r="G43" s="511">
        <f>G26+G36+G41</f>
        <v>6576.97</v>
      </c>
      <c r="H43" s="511">
        <f>H26+H36+H41</f>
        <v>6576.97</v>
      </c>
      <c r="J43" s="510">
        <f>J26+J36+J41</f>
        <v>646.39</v>
      </c>
      <c r="K43" s="512">
        <f>K26+K36+K41</f>
        <v>219.25</v>
      </c>
      <c r="L43" s="512">
        <f>L26+L36+L41</f>
        <v>181.49</v>
      </c>
      <c r="M43" s="512">
        <f>M26+M36+M41</f>
        <v>245.65</v>
      </c>
      <c r="N43" s="513">
        <f>N26+N36+N41</f>
        <v>20089.86</v>
      </c>
      <c r="O43" s="510">
        <f t="shared" ref="O43:P43" si="11">O26+O36+O41</f>
        <v>0</v>
      </c>
      <c r="P43" s="510">
        <f t="shared" si="11"/>
        <v>15093.536897142858</v>
      </c>
    </row>
    <row r="44" spans="2:16" ht="13" thickBot="1" x14ac:dyDescent="0.3">
      <c r="D44" s="422"/>
      <c r="E44" s="422"/>
      <c r="F44" s="432"/>
      <c r="G44" s="432"/>
      <c r="H44" s="432"/>
      <c r="J44" s="422"/>
      <c r="K44" s="432"/>
      <c r="L44" s="432"/>
      <c r="M44" s="432"/>
      <c r="N44" s="422"/>
    </row>
  </sheetData>
  <mergeCells count="2">
    <mergeCell ref="B1:F1"/>
    <mergeCell ref="B3:M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8"/>
  <sheetViews>
    <sheetView zoomScaleNormal="100" zoomScalePageLayoutView="75" workbookViewId="0">
      <selection activeCell="E7" sqref="E7"/>
    </sheetView>
  </sheetViews>
  <sheetFormatPr defaultColWidth="9.1796875" defaultRowHeight="12.5" x14ac:dyDescent="0.25"/>
  <cols>
    <col min="1" max="1" width="36" style="1" customWidth="1"/>
    <col min="2" max="2" width="12.54296875" style="1" customWidth="1"/>
    <col min="3" max="3" width="17.26953125" style="89" customWidth="1"/>
    <col min="4" max="4" width="14.1796875" style="1" customWidth="1"/>
    <col min="5" max="6" width="17" style="1" customWidth="1"/>
    <col min="7" max="7" width="14.453125" style="1" customWidth="1"/>
    <col min="8" max="8" width="14.1796875" style="1" customWidth="1"/>
    <col min="9" max="9" width="15.1796875" style="1" customWidth="1"/>
    <col min="10" max="10" width="16.1796875" style="1" customWidth="1"/>
    <col min="11" max="12" width="17.1796875" style="1" customWidth="1"/>
    <col min="13" max="13" width="13.54296875" style="1" customWidth="1"/>
    <col min="14" max="14" width="11.7265625" style="1" customWidth="1"/>
    <col min="15" max="16384" width="9.1796875" style="1"/>
  </cols>
  <sheetData>
    <row r="1" spans="1:14" ht="14.25" customHeight="1" thickBot="1" x14ac:dyDescent="0.3">
      <c r="K1" s="648" t="s">
        <v>54</v>
      </c>
      <c r="L1" s="648"/>
      <c r="M1" s="649"/>
      <c r="N1" s="105">
        <f>'Quarter 1'!M1</f>
        <v>45</v>
      </c>
    </row>
    <row r="2" spans="1:14" ht="15" customHeight="1" x14ac:dyDescent="0.25">
      <c r="D2" s="663" t="s">
        <v>89</v>
      </c>
      <c r="E2" s="683" t="s">
        <v>53</v>
      </c>
      <c r="F2" s="666" t="s">
        <v>52</v>
      </c>
      <c r="G2" s="666" t="s">
        <v>51</v>
      </c>
      <c r="H2" s="666" t="s">
        <v>76</v>
      </c>
      <c r="I2" s="711" t="s">
        <v>85</v>
      </c>
      <c r="J2" s="666" t="s">
        <v>88</v>
      </c>
      <c r="K2" s="650" t="s">
        <v>50</v>
      </c>
      <c r="L2" s="650"/>
      <c r="M2" s="651"/>
      <c r="N2" s="106">
        <f>'Quarter 1'!M2</f>
        <v>0.76729999999999998</v>
      </c>
    </row>
    <row r="3" spans="1:14" ht="18" customHeight="1" thickBot="1" x14ac:dyDescent="0.45">
      <c r="A3" s="41" t="s">
        <v>106</v>
      </c>
      <c r="D3" s="664"/>
      <c r="E3" s="684"/>
      <c r="F3" s="667"/>
      <c r="G3" s="667"/>
      <c r="H3" s="667"/>
      <c r="I3" s="712"/>
      <c r="J3" s="667"/>
      <c r="K3" s="650" t="s">
        <v>86</v>
      </c>
      <c r="L3" s="650"/>
      <c r="M3" s="651"/>
      <c r="N3" s="106">
        <f>'Quarter 1'!M3</f>
        <v>0</v>
      </c>
    </row>
    <row r="4" spans="1:14" ht="18.75" customHeight="1" thickBot="1" x14ac:dyDescent="0.4">
      <c r="C4" s="27" t="s">
        <v>48</v>
      </c>
      <c r="D4" s="664"/>
      <c r="E4" s="685"/>
      <c r="F4" s="668"/>
      <c r="G4" s="668"/>
      <c r="H4" s="668"/>
      <c r="I4" s="712"/>
      <c r="J4" s="668"/>
      <c r="K4" s="650" t="s">
        <v>80</v>
      </c>
      <c r="L4" s="650"/>
      <c r="M4" s="651"/>
      <c r="N4" s="106"/>
    </row>
    <row r="5" spans="1:14" ht="29.25" customHeight="1" thickBot="1" x14ac:dyDescent="0.4">
      <c r="A5" s="609" t="s">
        <v>47</v>
      </c>
      <c r="B5" s="610"/>
      <c r="C5" s="176" t="s">
        <v>98</v>
      </c>
      <c r="D5" s="127"/>
      <c r="E5" s="26" t="s">
        <v>59</v>
      </c>
      <c r="F5" s="26" t="s">
        <v>59</v>
      </c>
      <c r="G5" s="109"/>
      <c r="H5" s="109"/>
      <c r="I5" s="26" t="s">
        <v>59</v>
      </c>
      <c r="J5" s="37" t="s">
        <v>46</v>
      </c>
      <c r="K5" s="24" t="s">
        <v>45</v>
      </c>
      <c r="L5" s="616" t="s">
        <v>44</v>
      </c>
      <c r="M5" s="616"/>
      <c r="N5" s="676"/>
    </row>
    <row r="6" spans="1:14" ht="19.5" customHeight="1" thickBot="1" x14ac:dyDescent="0.4">
      <c r="A6" s="714" t="s">
        <v>43</v>
      </c>
      <c r="B6" s="715"/>
      <c r="C6" s="715"/>
      <c r="D6" s="715"/>
      <c r="E6" s="715"/>
      <c r="F6" s="715"/>
      <c r="G6" s="715"/>
      <c r="H6" s="715"/>
      <c r="I6" s="715"/>
      <c r="J6" s="715"/>
      <c r="K6" s="715"/>
      <c r="L6" s="715"/>
      <c r="M6" s="715"/>
      <c r="N6" s="716"/>
    </row>
    <row r="7" spans="1:14" ht="14" x14ac:dyDescent="0.3">
      <c r="A7" s="694" t="s">
        <v>42</v>
      </c>
      <c r="B7" s="695"/>
      <c r="C7" s="67">
        <f>'Quarter 2'!J7</f>
        <v>122486.32</v>
      </c>
      <c r="D7" s="111">
        <f>C7/(A$63-C$13-C$14)*D$5*D$65</f>
        <v>0</v>
      </c>
      <c r="E7" s="796">
        <v>0</v>
      </c>
      <c r="F7" s="128">
        <f>SUM(C7:D7)-E7</f>
        <v>122486.32</v>
      </c>
      <c r="G7" s="9"/>
      <c r="H7" s="91"/>
      <c r="I7" s="177"/>
      <c r="J7" s="120">
        <f>IF(I7&gt;E7,0,I7-E7)</f>
        <v>0</v>
      </c>
      <c r="K7" s="71">
        <f>IF(I7&gt;0,(C7+D7+G7-I7),F7+G7)</f>
        <v>122486.32</v>
      </c>
      <c r="L7" s="677"/>
      <c r="M7" s="677"/>
      <c r="N7" s="678"/>
    </row>
    <row r="8" spans="1:14" ht="14" x14ac:dyDescent="0.3">
      <c r="A8" s="679" t="s">
        <v>41</v>
      </c>
      <c r="B8" s="680"/>
      <c r="C8" s="67">
        <f>'Quarter 2'!J8</f>
        <v>54126.35</v>
      </c>
      <c r="D8" s="111">
        <f t="shared" ref="D8:D12" si="0">C8/(A$63-C$13-C$14)*D$5*D$65</f>
        <v>0</v>
      </c>
      <c r="E8" s="797">
        <v>0</v>
      </c>
      <c r="F8" s="116">
        <f t="shared" ref="F8:F25" si="1">SUM(C8:D8)-E8</f>
        <v>54126.35</v>
      </c>
      <c r="G8" s="9"/>
      <c r="H8" s="29"/>
      <c r="I8" s="168"/>
      <c r="J8" s="120">
        <f t="shared" ref="J8:J25" si="2">IF(I8&gt;E8,0,I8-E8)</f>
        <v>0</v>
      </c>
      <c r="K8" s="71">
        <f t="shared" ref="K8:K25" si="3">IF(I8&gt;0,(C8+D8+G8-I8),F8+G8)</f>
        <v>54126.35</v>
      </c>
      <c r="L8" s="646"/>
      <c r="M8" s="646"/>
      <c r="N8" s="647"/>
    </row>
    <row r="9" spans="1:14" ht="14" x14ac:dyDescent="0.3">
      <c r="A9" s="679" t="s">
        <v>40</v>
      </c>
      <c r="B9" s="680"/>
      <c r="C9" s="67">
        <f>'Quarter 2'!J9</f>
        <v>12853.1</v>
      </c>
      <c r="D9" s="111">
        <f t="shared" si="0"/>
        <v>0</v>
      </c>
      <c r="E9" s="797">
        <v>0</v>
      </c>
      <c r="F9" s="116">
        <f t="shared" si="1"/>
        <v>12853.1</v>
      </c>
      <c r="G9" s="9"/>
      <c r="H9" s="29"/>
      <c r="I9" s="168"/>
      <c r="J9" s="120">
        <f t="shared" si="2"/>
        <v>0</v>
      </c>
      <c r="K9" s="71">
        <f t="shared" si="3"/>
        <v>12853.1</v>
      </c>
      <c r="L9" s="646"/>
      <c r="M9" s="646"/>
      <c r="N9" s="647"/>
    </row>
    <row r="10" spans="1:14" ht="14" x14ac:dyDescent="0.3">
      <c r="A10" s="679" t="s">
        <v>39</v>
      </c>
      <c r="B10" s="680"/>
      <c r="C10" s="67">
        <f>'Quarter 2'!J10</f>
        <v>19224.75</v>
      </c>
      <c r="D10" s="111">
        <f t="shared" si="0"/>
        <v>0</v>
      </c>
      <c r="E10" s="797">
        <v>19065.57</v>
      </c>
      <c r="F10" s="116">
        <f t="shared" si="1"/>
        <v>159.18000000000029</v>
      </c>
      <c r="G10" s="9"/>
      <c r="H10" s="29"/>
      <c r="I10" s="168"/>
      <c r="J10" s="120">
        <f t="shared" si="2"/>
        <v>-19065.57</v>
      </c>
      <c r="K10" s="71">
        <f t="shared" si="3"/>
        <v>159.18000000000029</v>
      </c>
      <c r="L10" s="646"/>
      <c r="M10" s="646"/>
      <c r="N10" s="647"/>
    </row>
    <row r="11" spans="1:14" ht="14" x14ac:dyDescent="0.3">
      <c r="A11" s="679" t="s">
        <v>38</v>
      </c>
      <c r="B11" s="680"/>
      <c r="C11" s="67">
        <f>'Quarter 2'!J11</f>
        <v>-338</v>
      </c>
      <c r="D11" s="111">
        <f t="shared" si="0"/>
        <v>0</v>
      </c>
      <c r="E11" s="797">
        <v>0</v>
      </c>
      <c r="F11" s="116">
        <f t="shared" si="1"/>
        <v>-338</v>
      </c>
      <c r="G11" s="9"/>
      <c r="H11" s="29"/>
      <c r="I11" s="168"/>
      <c r="J11" s="120">
        <f t="shared" si="2"/>
        <v>0</v>
      </c>
      <c r="K11" s="71">
        <f t="shared" si="3"/>
        <v>-338</v>
      </c>
      <c r="L11" s="646"/>
      <c r="M11" s="646"/>
      <c r="N11" s="647"/>
    </row>
    <row r="12" spans="1:14" ht="14" x14ac:dyDescent="0.3">
      <c r="A12" s="679" t="s">
        <v>37</v>
      </c>
      <c r="B12" s="680"/>
      <c r="C12" s="67">
        <f>'Quarter 2'!J12</f>
        <v>1687.1999999999998</v>
      </c>
      <c r="D12" s="111">
        <f t="shared" si="0"/>
        <v>0</v>
      </c>
      <c r="E12" s="797">
        <v>0</v>
      </c>
      <c r="F12" s="116">
        <f t="shared" si="1"/>
        <v>1687.1999999999998</v>
      </c>
      <c r="G12" s="9"/>
      <c r="H12" s="29"/>
      <c r="I12" s="168"/>
      <c r="J12" s="120">
        <f t="shared" si="2"/>
        <v>0</v>
      </c>
      <c r="K12" s="71">
        <f t="shared" si="3"/>
        <v>1687.1999999999998</v>
      </c>
      <c r="L12" s="702"/>
      <c r="M12" s="646"/>
      <c r="N12" s="647"/>
    </row>
    <row r="13" spans="1:14" ht="14" x14ac:dyDescent="0.3">
      <c r="A13" s="679" t="s">
        <v>36</v>
      </c>
      <c r="B13" s="680"/>
      <c r="C13" s="67">
        <f>'Quarter 2'!J13</f>
        <v>3533</v>
      </c>
      <c r="D13" s="46"/>
      <c r="E13" s="797">
        <v>3573.47</v>
      </c>
      <c r="F13" s="116">
        <f t="shared" si="1"/>
        <v>-40.4699999999998</v>
      </c>
      <c r="G13" s="9"/>
      <c r="H13" s="29"/>
      <c r="I13" s="168"/>
      <c r="J13" s="120">
        <f t="shared" si="2"/>
        <v>-3573.47</v>
      </c>
      <c r="K13" s="71">
        <f t="shared" si="3"/>
        <v>-40.4699999999998</v>
      </c>
      <c r="L13" s="702"/>
      <c r="M13" s="646"/>
      <c r="N13" s="647"/>
    </row>
    <row r="14" spans="1:14" ht="14" x14ac:dyDescent="0.3">
      <c r="A14" s="679" t="s">
        <v>35</v>
      </c>
      <c r="B14" s="680"/>
      <c r="C14" s="67">
        <f>'Quarter 2'!J14</f>
        <v>3000</v>
      </c>
      <c r="D14" s="46"/>
      <c r="E14" s="797">
        <v>2195.9499999999998</v>
      </c>
      <c r="F14" s="116">
        <f t="shared" si="1"/>
        <v>804.05000000000018</v>
      </c>
      <c r="G14" s="9"/>
      <c r="H14" s="29"/>
      <c r="I14" s="168"/>
      <c r="J14" s="120">
        <f t="shared" si="2"/>
        <v>-2195.9499999999998</v>
      </c>
      <c r="K14" s="71">
        <f t="shared" si="3"/>
        <v>804.05000000000018</v>
      </c>
      <c r="L14" s="646"/>
      <c r="M14" s="646"/>
      <c r="N14" s="647"/>
    </row>
    <row r="15" spans="1:14" ht="14" x14ac:dyDescent="0.3">
      <c r="A15" s="679" t="s">
        <v>34</v>
      </c>
      <c r="B15" s="680"/>
      <c r="C15" s="67">
        <f>'Quarter 2'!J15</f>
        <v>3340</v>
      </c>
      <c r="D15" s="111">
        <f t="shared" ref="D15:D25" si="4">C15/(A$63-C$13-C$14)*D$5*D$65</f>
        <v>0</v>
      </c>
      <c r="E15" s="797">
        <v>300</v>
      </c>
      <c r="F15" s="116">
        <f t="shared" si="1"/>
        <v>3040</v>
      </c>
      <c r="G15" s="9"/>
      <c r="H15" s="29"/>
      <c r="I15" s="168"/>
      <c r="J15" s="120">
        <f t="shared" si="2"/>
        <v>-300</v>
      </c>
      <c r="K15" s="71">
        <f t="shared" si="3"/>
        <v>3040</v>
      </c>
      <c r="L15" s="646"/>
      <c r="M15" s="646"/>
      <c r="N15" s="647"/>
    </row>
    <row r="16" spans="1:14" ht="14" x14ac:dyDescent="0.3">
      <c r="A16" s="679" t="s">
        <v>33</v>
      </c>
      <c r="B16" s="680"/>
      <c r="C16" s="67">
        <f>'Quarter 2'!J16</f>
        <v>13188.269038632996</v>
      </c>
      <c r="D16" s="111">
        <f t="shared" si="4"/>
        <v>0</v>
      </c>
      <c r="E16" s="797">
        <v>0</v>
      </c>
      <c r="F16" s="116">
        <f t="shared" si="1"/>
        <v>13188.269038632996</v>
      </c>
      <c r="G16" s="9"/>
      <c r="H16" s="29"/>
      <c r="I16" s="168"/>
      <c r="J16" s="120">
        <f t="shared" si="2"/>
        <v>0</v>
      </c>
      <c r="K16" s="71">
        <f t="shared" si="3"/>
        <v>13188.269038632996</v>
      </c>
      <c r="L16" s="646"/>
      <c r="M16" s="646"/>
      <c r="N16" s="647"/>
    </row>
    <row r="17" spans="1:14" ht="14" x14ac:dyDescent="0.3">
      <c r="A17" s="679" t="s">
        <v>32</v>
      </c>
      <c r="B17" s="680"/>
      <c r="C17" s="67">
        <f>'Quarter 2'!J17</f>
        <v>0</v>
      </c>
      <c r="D17" s="111">
        <f t="shared" si="4"/>
        <v>0</v>
      </c>
      <c r="E17" s="797">
        <v>19065.57</v>
      </c>
      <c r="F17" s="116">
        <f t="shared" si="1"/>
        <v>-19065.57</v>
      </c>
      <c r="G17" s="9"/>
      <c r="H17" s="29"/>
      <c r="I17" s="168"/>
      <c r="J17" s="120">
        <f t="shared" si="2"/>
        <v>-19065.57</v>
      </c>
      <c r="K17" s="71">
        <f t="shared" si="3"/>
        <v>-19065.57</v>
      </c>
      <c r="L17" s="646"/>
      <c r="M17" s="646"/>
      <c r="N17" s="647"/>
    </row>
    <row r="18" spans="1:14" ht="28.5" customHeight="1" x14ac:dyDescent="0.3">
      <c r="A18" s="700" t="s">
        <v>31</v>
      </c>
      <c r="B18" s="701"/>
      <c r="C18" s="67">
        <f>'Quarter 2'!J18</f>
        <v>0</v>
      </c>
      <c r="D18" s="111">
        <f t="shared" si="4"/>
        <v>0</v>
      </c>
      <c r="E18" s="10">
        <v>0</v>
      </c>
      <c r="F18" s="116">
        <f t="shared" si="1"/>
        <v>0</v>
      </c>
      <c r="G18" s="9"/>
      <c r="H18" s="29"/>
      <c r="I18" s="168"/>
      <c r="J18" s="120">
        <f t="shared" si="2"/>
        <v>0</v>
      </c>
      <c r="K18" s="71">
        <f t="shared" si="3"/>
        <v>0</v>
      </c>
      <c r="L18" s="646"/>
      <c r="M18" s="646"/>
      <c r="N18" s="647"/>
    </row>
    <row r="19" spans="1:14" ht="14" x14ac:dyDescent="0.3">
      <c r="A19" s="679" t="s">
        <v>30</v>
      </c>
      <c r="B19" s="680"/>
      <c r="C19" s="67">
        <f>'Quarter 2'!J19</f>
        <v>5650.338542754942</v>
      </c>
      <c r="D19" s="111">
        <f t="shared" si="4"/>
        <v>0</v>
      </c>
      <c r="E19" s="797">
        <v>0</v>
      </c>
      <c r="F19" s="116">
        <f t="shared" si="1"/>
        <v>5650.338542754942</v>
      </c>
      <c r="G19" s="9"/>
      <c r="H19" s="29"/>
      <c r="I19" s="168"/>
      <c r="J19" s="120">
        <f t="shared" si="2"/>
        <v>0</v>
      </c>
      <c r="K19" s="71">
        <f t="shared" si="3"/>
        <v>5650.338542754942</v>
      </c>
      <c r="L19" s="646"/>
      <c r="M19" s="646"/>
      <c r="N19" s="647"/>
    </row>
    <row r="20" spans="1:14" ht="14" x14ac:dyDescent="0.3">
      <c r="A20" s="679" t="s">
        <v>29</v>
      </c>
      <c r="B20" s="680"/>
      <c r="C20" s="67">
        <f>'Quarter 2'!J20</f>
        <v>0</v>
      </c>
      <c r="D20" s="111">
        <f t="shared" si="4"/>
        <v>0</v>
      </c>
      <c r="E20" s="797">
        <v>0</v>
      </c>
      <c r="F20" s="116">
        <f t="shared" si="1"/>
        <v>0</v>
      </c>
      <c r="G20" s="9"/>
      <c r="H20" s="29"/>
      <c r="I20" s="168"/>
      <c r="J20" s="120">
        <f t="shared" si="2"/>
        <v>0</v>
      </c>
      <c r="K20" s="71">
        <f t="shared" si="3"/>
        <v>0</v>
      </c>
      <c r="L20" s="646"/>
      <c r="M20" s="646"/>
      <c r="N20" s="647"/>
    </row>
    <row r="21" spans="1:14" ht="14" x14ac:dyDescent="0.3">
      <c r="A21" s="679" t="s">
        <v>28</v>
      </c>
      <c r="B21" s="680"/>
      <c r="C21" s="67">
        <f>'Quarter 2'!J21</f>
        <v>0</v>
      </c>
      <c r="D21" s="111">
        <f t="shared" si="4"/>
        <v>0</v>
      </c>
      <c r="E21" s="797">
        <v>19065.57</v>
      </c>
      <c r="F21" s="116">
        <f t="shared" si="1"/>
        <v>-19065.57</v>
      </c>
      <c r="G21" s="9"/>
      <c r="H21" s="29"/>
      <c r="I21" s="168"/>
      <c r="J21" s="120">
        <f t="shared" si="2"/>
        <v>-19065.57</v>
      </c>
      <c r="K21" s="71">
        <f t="shared" si="3"/>
        <v>-19065.57</v>
      </c>
      <c r="L21" s="646"/>
      <c r="M21" s="646"/>
      <c r="N21" s="647"/>
    </row>
    <row r="22" spans="1:14" ht="14" x14ac:dyDescent="0.3">
      <c r="A22" s="679" t="s">
        <v>20</v>
      </c>
      <c r="B22" s="680"/>
      <c r="C22" s="67">
        <f>'Quarter 2'!J22</f>
        <v>13191.391410046053</v>
      </c>
      <c r="D22" s="111">
        <f t="shared" si="4"/>
        <v>0</v>
      </c>
      <c r="E22" s="10">
        <v>0</v>
      </c>
      <c r="F22" s="116">
        <f t="shared" si="1"/>
        <v>13191.391410046053</v>
      </c>
      <c r="G22" s="9"/>
      <c r="H22" s="29"/>
      <c r="I22" s="168"/>
      <c r="J22" s="120">
        <f t="shared" si="2"/>
        <v>0</v>
      </c>
      <c r="K22" s="71">
        <f t="shared" si="3"/>
        <v>13191.391410046053</v>
      </c>
      <c r="L22" s="646"/>
      <c r="M22" s="646"/>
      <c r="N22" s="647"/>
    </row>
    <row r="23" spans="1:14" ht="14" x14ac:dyDescent="0.3">
      <c r="A23" s="679" t="s">
        <v>19</v>
      </c>
      <c r="B23" s="680"/>
      <c r="C23" s="67">
        <f>'Quarter 2'!J23</f>
        <v>3085.1124749301262</v>
      </c>
      <c r="D23" s="111">
        <f t="shared" si="4"/>
        <v>0</v>
      </c>
      <c r="E23" s="10">
        <v>0</v>
      </c>
      <c r="F23" s="116">
        <f t="shared" si="1"/>
        <v>3085.1124749301262</v>
      </c>
      <c r="G23" s="9"/>
      <c r="H23" s="29"/>
      <c r="I23" s="168"/>
      <c r="J23" s="120">
        <f t="shared" si="2"/>
        <v>0</v>
      </c>
      <c r="K23" s="71">
        <f t="shared" si="3"/>
        <v>3085.1124749301262</v>
      </c>
      <c r="L23" s="646"/>
      <c r="M23" s="646"/>
      <c r="N23" s="647"/>
    </row>
    <row r="24" spans="1:14" ht="14" x14ac:dyDescent="0.3">
      <c r="A24" s="679" t="s">
        <v>18</v>
      </c>
      <c r="B24" s="680"/>
      <c r="C24" s="67">
        <f>'Quarter 2'!J24</f>
        <v>5957.4585722788634</v>
      </c>
      <c r="D24" s="111">
        <f t="shared" si="4"/>
        <v>0</v>
      </c>
      <c r="E24" s="10">
        <v>0</v>
      </c>
      <c r="F24" s="116">
        <f t="shared" si="1"/>
        <v>5957.4585722788634</v>
      </c>
      <c r="G24" s="9"/>
      <c r="H24" s="29"/>
      <c r="I24" s="168"/>
      <c r="J24" s="120">
        <f t="shared" si="2"/>
        <v>0</v>
      </c>
      <c r="K24" s="71">
        <f t="shared" si="3"/>
        <v>5957.4585722788634</v>
      </c>
      <c r="L24" s="646"/>
      <c r="M24" s="646"/>
      <c r="N24" s="647"/>
    </row>
    <row r="25" spans="1:14" ht="14" x14ac:dyDescent="0.3">
      <c r="A25" s="679" t="s">
        <v>17</v>
      </c>
      <c r="B25" s="680"/>
      <c r="C25" s="67">
        <f>'Quarter 2'!J25</f>
        <v>1063.83188790694</v>
      </c>
      <c r="D25" s="111">
        <f t="shared" si="4"/>
        <v>0</v>
      </c>
      <c r="E25" s="20">
        <v>0</v>
      </c>
      <c r="F25" s="116">
        <f t="shared" si="1"/>
        <v>1063.83188790694</v>
      </c>
      <c r="G25" s="9"/>
      <c r="H25" s="29"/>
      <c r="I25" s="168"/>
      <c r="J25" s="120">
        <f t="shared" si="2"/>
        <v>0</v>
      </c>
      <c r="K25" s="71">
        <f t="shared" si="3"/>
        <v>1063.83188790694</v>
      </c>
      <c r="L25" s="702"/>
      <c r="M25" s="646"/>
      <c r="N25" s="647"/>
    </row>
    <row r="26" spans="1:14" ht="18.75" customHeight="1" thickBot="1" x14ac:dyDescent="0.4">
      <c r="A26" s="97" t="s">
        <v>27</v>
      </c>
      <c r="B26" s="98"/>
      <c r="C26" s="162">
        <f>SUM(C7:C25)</f>
        <v>262049.12192654997</v>
      </c>
      <c r="D26" s="99"/>
      <c r="E26" s="99">
        <f>SUM(E7:E25)</f>
        <v>63266.13</v>
      </c>
      <c r="F26" s="99">
        <f>SUM(F7:F25)</f>
        <v>198782.99192654993</v>
      </c>
      <c r="G26" s="163"/>
      <c r="H26" s="99"/>
      <c r="I26" s="164">
        <f>SUM(I7:I25)</f>
        <v>0</v>
      </c>
      <c r="J26" s="165">
        <f>SUM(J7:J25)</f>
        <v>-63266.13</v>
      </c>
      <c r="K26" s="99">
        <f>SUM(K7:K25)</f>
        <v>198782.99192654993</v>
      </c>
      <c r="L26" s="696"/>
      <c r="M26" s="696"/>
      <c r="N26" s="697"/>
    </row>
    <row r="27" spans="1:14" ht="18" customHeight="1" thickBot="1" x14ac:dyDescent="0.55000000000000004">
      <c r="A27" s="708" t="s">
        <v>81</v>
      </c>
      <c r="B27" s="709"/>
      <c r="C27" s="709"/>
      <c r="D27" s="709"/>
      <c r="E27" s="709"/>
      <c r="F27" s="709"/>
      <c r="G27" s="709"/>
      <c r="H27" s="709"/>
      <c r="I27" s="709"/>
      <c r="J27" s="709"/>
      <c r="K27" s="709"/>
      <c r="L27" s="709"/>
      <c r="M27" s="709"/>
      <c r="N27" s="710"/>
    </row>
    <row r="28" spans="1:14" ht="14" x14ac:dyDescent="0.3">
      <c r="A28" s="694" t="s">
        <v>26</v>
      </c>
      <c r="B28" s="695"/>
      <c r="C28" s="67">
        <f>'Quarter 2'!J28</f>
        <v>15393.515754693877</v>
      </c>
      <c r="D28" s="111">
        <f t="shared" ref="D28:D39" si="5">C28/(A$63-C$13-C$14)*D$5*D$65</f>
        <v>0</v>
      </c>
      <c r="E28" s="796">
        <v>0</v>
      </c>
      <c r="F28" s="128">
        <f t="shared" ref="F28:F62" si="6">SUM(C28:D28)-E28</f>
        <v>15393.515754693877</v>
      </c>
      <c r="G28" s="9"/>
      <c r="H28" s="91"/>
      <c r="I28" s="168"/>
      <c r="J28" s="120">
        <f t="shared" ref="J28:J39" si="7">IF(I28&gt;E28,0,I28-E28)</f>
        <v>0</v>
      </c>
      <c r="K28" s="71">
        <f t="shared" ref="K28:K39" si="8">IF(I28&gt;0,(C28+D28+G28-I28),F28+G28)</f>
        <v>15393.515754693877</v>
      </c>
      <c r="L28" s="713"/>
      <c r="M28" s="677"/>
      <c r="N28" s="678"/>
    </row>
    <row r="29" spans="1:14" ht="14" x14ac:dyDescent="0.3">
      <c r="A29" s="679" t="s">
        <v>25</v>
      </c>
      <c r="B29" s="680"/>
      <c r="C29" s="67">
        <f>'Quarter 2'!J29</f>
        <v>-337.81632653061206</v>
      </c>
      <c r="D29" s="111">
        <f t="shared" si="5"/>
        <v>0</v>
      </c>
      <c r="E29" s="796">
        <v>19065.57</v>
      </c>
      <c r="F29" s="116">
        <f t="shared" si="6"/>
        <v>-19403.386326530614</v>
      </c>
      <c r="G29" s="9"/>
      <c r="H29" s="29"/>
      <c r="I29" s="168"/>
      <c r="J29" s="120">
        <f t="shared" si="7"/>
        <v>-19065.57</v>
      </c>
      <c r="K29" s="71">
        <f t="shared" si="8"/>
        <v>-19403.386326530614</v>
      </c>
      <c r="L29" s="646"/>
      <c r="M29" s="646"/>
      <c r="N29" s="647"/>
    </row>
    <row r="30" spans="1:14" ht="15.5" x14ac:dyDescent="0.35">
      <c r="A30" s="679" t="s">
        <v>24</v>
      </c>
      <c r="B30" s="680"/>
      <c r="C30" s="67">
        <f>'Quarter 2'!J30</f>
        <v>507.73469387755085</v>
      </c>
      <c r="D30" s="111">
        <f t="shared" si="5"/>
        <v>0</v>
      </c>
      <c r="E30" s="798">
        <v>0</v>
      </c>
      <c r="F30" s="116">
        <f t="shared" si="6"/>
        <v>507.73469387755085</v>
      </c>
      <c r="G30" s="9"/>
      <c r="H30" s="29"/>
      <c r="I30" s="168"/>
      <c r="J30" s="120">
        <f t="shared" si="7"/>
        <v>0</v>
      </c>
      <c r="K30" s="71">
        <f t="shared" si="8"/>
        <v>507.73469387755085</v>
      </c>
      <c r="L30" s="646"/>
      <c r="M30" s="646"/>
      <c r="N30" s="647"/>
    </row>
    <row r="31" spans="1:14" ht="15.5" x14ac:dyDescent="0.35">
      <c r="A31" s="679" t="s">
        <v>23</v>
      </c>
      <c r="B31" s="680"/>
      <c r="C31" s="67">
        <f>'Quarter 2'!J31</f>
        <v>0</v>
      </c>
      <c r="D31" s="111">
        <f t="shared" si="5"/>
        <v>0</v>
      </c>
      <c r="E31" s="798">
        <v>19065.57</v>
      </c>
      <c r="F31" s="116">
        <f t="shared" si="6"/>
        <v>-19065.57</v>
      </c>
      <c r="G31" s="9"/>
      <c r="H31" s="29"/>
      <c r="I31" s="168"/>
      <c r="J31" s="120">
        <f t="shared" si="7"/>
        <v>-19065.57</v>
      </c>
      <c r="K31" s="71">
        <f t="shared" si="8"/>
        <v>-19065.57</v>
      </c>
      <c r="L31" s="646"/>
      <c r="M31" s="646"/>
      <c r="N31" s="647"/>
    </row>
    <row r="32" spans="1:14" ht="15.5" x14ac:dyDescent="0.35">
      <c r="A32" s="679" t="s">
        <v>22</v>
      </c>
      <c r="B32" s="680"/>
      <c r="C32" s="67">
        <f>'Quarter 2'!J32</f>
        <v>5228.9912356215209</v>
      </c>
      <c r="D32" s="111">
        <f t="shared" si="5"/>
        <v>0</v>
      </c>
      <c r="E32" s="798">
        <v>0</v>
      </c>
      <c r="F32" s="116">
        <f t="shared" si="6"/>
        <v>5228.9912356215209</v>
      </c>
      <c r="G32" s="9"/>
      <c r="H32" s="29"/>
      <c r="I32" s="168"/>
      <c r="J32" s="120">
        <f t="shared" si="7"/>
        <v>0</v>
      </c>
      <c r="K32" s="71">
        <f t="shared" si="8"/>
        <v>5228.9912356215209</v>
      </c>
      <c r="L32" s="646"/>
      <c r="M32" s="646"/>
      <c r="N32" s="647"/>
    </row>
    <row r="33" spans="1:14" ht="15.5" x14ac:dyDescent="0.35">
      <c r="A33" s="679" t="s">
        <v>21</v>
      </c>
      <c r="B33" s="680"/>
      <c r="C33" s="67">
        <f>'Quarter 2'!J33</f>
        <v>0</v>
      </c>
      <c r="D33" s="111">
        <f t="shared" si="5"/>
        <v>0</v>
      </c>
      <c r="E33" s="798">
        <v>19065.57</v>
      </c>
      <c r="F33" s="116">
        <f t="shared" si="6"/>
        <v>-19065.57</v>
      </c>
      <c r="G33" s="9"/>
      <c r="H33" s="29"/>
      <c r="I33" s="168"/>
      <c r="J33" s="120">
        <f t="shared" si="7"/>
        <v>-19065.57</v>
      </c>
      <c r="K33" s="71">
        <f t="shared" si="8"/>
        <v>-19065.57</v>
      </c>
      <c r="L33" s="634"/>
      <c r="M33" s="646"/>
      <c r="N33" s="647"/>
    </row>
    <row r="34" spans="1:14" ht="15.5" x14ac:dyDescent="0.35">
      <c r="A34" s="679" t="s">
        <v>83</v>
      </c>
      <c r="B34" s="680"/>
      <c r="C34" s="67">
        <f>'Quarter 2'!J34</f>
        <v>4173.914775510204</v>
      </c>
      <c r="D34" s="111">
        <f t="shared" si="5"/>
        <v>0</v>
      </c>
      <c r="E34" s="798">
        <v>0</v>
      </c>
      <c r="F34" s="116">
        <f t="shared" si="6"/>
        <v>4173.914775510204</v>
      </c>
      <c r="G34" s="9"/>
      <c r="H34" s="29"/>
      <c r="I34" s="168"/>
      <c r="J34" s="120">
        <f t="shared" si="7"/>
        <v>0</v>
      </c>
      <c r="K34" s="71">
        <f t="shared" si="8"/>
        <v>4173.914775510204</v>
      </c>
      <c r="L34" s="646"/>
      <c r="M34" s="646"/>
      <c r="N34" s="647"/>
    </row>
    <row r="35" spans="1:14" ht="15.5" x14ac:dyDescent="0.35">
      <c r="A35" s="679" t="s">
        <v>84</v>
      </c>
      <c r="B35" s="680"/>
      <c r="C35" s="67">
        <f>'Quarter 2'!J35</f>
        <v>0</v>
      </c>
      <c r="D35" s="111">
        <f t="shared" si="5"/>
        <v>0</v>
      </c>
      <c r="E35" s="798">
        <v>19065.57</v>
      </c>
      <c r="F35" s="116">
        <f t="shared" si="6"/>
        <v>-19065.57</v>
      </c>
      <c r="G35" s="9"/>
      <c r="H35" s="29"/>
      <c r="I35" s="168"/>
      <c r="J35" s="120">
        <f t="shared" si="7"/>
        <v>-19065.57</v>
      </c>
      <c r="K35" s="71">
        <f t="shared" si="8"/>
        <v>-19065.57</v>
      </c>
      <c r="L35" s="646"/>
      <c r="M35" s="646"/>
      <c r="N35" s="647"/>
    </row>
    <row r="36" spans="1:14" ht="14" x14ac:dyDescent="0.3">
      <c r="A36" s="679" t="s">
        <v>20</v>
      </c>
      <c r="B36" s="680"/>
      <c r="C36" s="67">
        <f>'Quarter 2'!J36</f>
        <v>1568.8577005015961</v>
      </c>
      <c r="D36" s="111">
        <f t="shared" si="5"/>
        <v>0</v>
      </c>
      <c r="E36" s="10">
        <v>0</v>
      </c>
      <c r="F36" s="116">
        <f t="shared" si="6"/>
        <v>1568.8577005015961</v>
      </c>
      <c r="G36" s="9"/>
      <c r="H36" s="29"/>
      <c r="I36" s="168"/>
      <c r="J36" s="120">
        <f t="shared" si="7"/>
        <v>0</v>
      </c>
      <c r="K36" s="71">
        <f t="shared" si="8"/>
        <v>1568.8577005015961</v>
      </c>
      <c r="L36" s="646"/>
      <c r="M36" s="646"/>
      <c r="N36" s="647"/>
    </row>
    <row r="37" spans="1:14" ht="14" x14ac:dyDescent="0.3">
      <c r="A37" s="679" t="s">
        <v>19</v>
      </c>
      <c r="B37" s="680"/>
      <c r="C37" s="67">
        <f>'Quarter 2'!J37</f>
        <v>366.91026866569587</v>
      </c>
      <c r="D37" s="111">
        <f t="shared" si="5"/>
        <v>0</v>
      </c>
      <c r="E37" s="10">
        <v>0</v>
      </c>
      <c r="F37" s="116">
        <f t="shared" si="6"/>
        <v>366.91026866569587</v>
      </c>
      <c r="G37" s="9"/>
      <c r="H37" s="29"/>
      <c r="I37" s="168"/>
      <c r="J37" s="120">
        <f t="shared" si="7"/>
        <v>0</v>
      </c>
      <c r="K37" s="71">
        <f t="shared" si="8"/>
        <v>366.91026866569587</v>
      </c>
      <c r="L37" s="646"/>
      <c r="M37" s="646"/>
      <c r="N37" s="647"/>
    </row>
    <row r="38" spans="1:14" ht="14" x14ac:dyDescent="0.3">
      <c r="A38" s="679" t="s">
        <v>18</v>
      </c>
      <c r="B38" s="680"/>
      <c r="C38" s="67">
        <f>'Quarter 2'!J38</f>
        <v>708.51638087168851</v>
      </c>
      <c r="D38" s="111">
        <f t="shared" si="5"/>
        <v>0</v>
      </c>
      <c r="E38" s="10">
        <v>0</v>
      </c>
      <c r="F38" s="116">
        <f t="shared" si="6"/>
        <v>708.51638087168851</v>
      </c>
      <c r="G38" s="9"/>
      <c r="H38" s="29"/>
      <c r="I38" s="168"/>
      <c r="J38" s="120">
        <f t="shared" si="7"/>
        <v>0</v>
      </c>
      <c r="K38" s="71">
        <f t="shared" si="8"/>
        <v>708.51638087168851</v>
      </c>
      <c r="L38" s="646"/>
      <c r="M38" s="646"/>
      <c r="N38" s="647"/>
    </row>
    <row r="39" spans="1:14" ht="14.5" thickBot="1" x14ac:dyDescent="0.35">
      <c r="A39" s="687" t="s">
        <v>17</v>
      </c>
      <c r="B39" s="688"/>
      <c r="C39" s="132">
        <f>'Quarter 2'!J39</f>
        <v>126.52078229851578</v>
      </c>
      <c r="D39" s="133">
        <f t="shared" si="5"/>
        <v>0</v>
      </c>
      <c r="E39" s="20">
        <v>0</v>
      </c>
      <c r="F39" s="134">
        <f t="shared" si="6"/>
        <v>126.52078229851578</v>
      </c>
      <c r="G39" s="19"/>
      <c r="H39" s="95"/>
      <c r="I39" s="168"/>
      <c r="J39" s="120">
        <f t="shared" si="7"/>
        <v>0</v>
      </c>
      <c r="K39" s="135">
        <f t="shared" si="8"/>
        <v>126.52078229851578</v>
      </c>
      <c r="L39" s="696"/>
      <c r="M39" s="696"/>
      <c r="N39" s="697"/>
    </row>
    <row r="40" spans="1:14" ht="18" customHeight="1" thickBot="1" x14ac:dyDescent="0.55000000000000004">
      <c r="A40" s="93" t="s">
        <v>82</v>
      </c>
      <c r="B40" s="18"/>
      <c r="C40" s="78"/>
      <c r="D40" s="18"/>
      <c r="E40" s="18"/>
      <c r="F40" s="18"/>
      <c r="G40" s="18"/>
      <c r="H40" s="18"/>
      <c r="I40" s="18"/>
      <c r="J40" s="18"/>
      <c r="K40" s="18"/>
      <c r="L40" s="18"/>
      <c r="M40" s="18"/>
      <c r="N40" s="17"/>
    </row>
    <row r="41" spans="1:14" ht="15.5" x14ac:dyDescent="0.35">
      <c r="A41" s="694" t="s">
        <v>16</v>
      </c>
      <c r="B41" s="695"/>
      <c r="C41" s="67">
        <f>'Quarter 2'!J41</f>
        <v>45560.914285714287</v>
      </c>
      <c r="D41" s="111">
        <f t="shared" ref="D41:D62" si="9">C41/(A$63-C$13-C$14)*D$5*D$65</f>
        <v>0</v>
      </c>
      <c r="E41" s="33">
        <v>0</v>
      </c>
      <c r="F41" s="128">
        <f t="shared" si="6"/>
        <v>45560.914285714287</v>
      </c>
      <c r="G41" s="9"/>
      <c r="H41" s="91"/>
      <c r="I41" s="168"/>
      <c r="J41" s="120">
        <f t="shared" ref="J41:J62" si="10">IF(I41&gt;E41,0,I41-E41)</f>
        <v>0</v>
      </c>
      <c r="K41" s="71">
        <f t="shared" ref="K41:K62" si="11">IF(I41&gt;0,(C41+D41+G41-I41),F41+G41)</f>
        <v>45560.914285714287</v>
      </c>
      <c r="L41" s="677"/>
      <c r="M41" s="677"/>
      <c r="N41" s="678"/>
    </row>
    <row r="42" spans="1:14" ht="15.5" x14ac:dyDescent="0.35">
      <c r="A42" s="679" t="s">
        <v>15</v>
      </c>
      <c r="B42" s="680"/>
      <c r="C42" s="67">
        <f>'Quarter 2'!J42</f>
        <v>983.38775510204096</v>
      </c>
      <c r="D42" s="111">
        <f t="shared" si="9"/>
        <v>0</v>
      </c>
      <c r="E42" s="32">
        <v>0</v>
      </c>
      <c r="F42" s="116">
        <f t="shared" si="6"/>
        <v>983.38775510204096</v>
      </c>
      <c r="G42" s="9"/>
      <c r="H42" s="29"/>
      <c r="I42" s="168"/>
      <c r="J42" s="120">
        <f t="shared" si="10"/>
        <v>0</v>
      </c>
      <c r="K42" s="71">
        <f t="shared" si="11"/>
        <v>983.38775510204096</v>
      </c>
      <c r="L42" s="646"/>
      <c r="M42" s="646"/>
      <c r="N42" s="647"/>
    </row>
    <row r="43" spans="1:14" ht="15.5" x14ac:dyDescent="0.35">
      <c r="A43" s="679" t="s">
        <v>14</v>
      </c>
      <c r="B43" s="680"/>
      <c r="C43" s="67">
        <f>'Quarter 2'!J43</f>
        <v>1568.0408163265306</v>
      </c>
      <c r="D43" s="111">
        <f t="shared" si="9"/>
        <v>0</v>
      </c>
      <c r="E43" s="798">
        <v>940</v>
      </c>
      <c r="F43" s="116">
        <f t="shared" si="6"/>
        <v>628.0408163265306</v>
      </c>
      <c r="G43" s="9"/>
      <c r="H43" s="29"/>
      <c r="I43" s="168"/>
      <c r="J43" s="120">
        <f t="shared" si="10"/>
        <v>-940</v>
      </c>
      <c r="K43" s="71">
        <f t="shared" si="11"/>
        <v>628.0408163265306</v>
      </c>
      <c r="L43" s="646"/>
      <c r="M43" s="646"/>
      <c r="N43" s="647"/>
    </row>
    <row r="44" spans="1:14" ht="15.5" x14ac:dyDescent="0.35">
      <c r="A44" s="679" t="s">
        <v>13</v>
      </c>
      <c r="B44" s="680"/>
      <c r="C44" s="67">
        <f>'Quarter 2'!J44</f>
        <v>467.34693877551024</v>
      </c>
      <c r="D44" s="111">
        <f t="shared" si="9"/>
        <v>0</v>
      </c>
      <c r="E44" s="32">
        <v>0</v>
      </c>
      <c r="F44" s="116">
        <f t="shared" si="6"/>
        <v>467.34693877551024</v>
      </c>
      <c r="G44" s="9"/>
      <c r="H44" s="29"/>
      <c r="I44" s="168"/>
      <c r="J44" s="120">
        <f t="shared" si="10"/>
        <v>0</v>
      </c>
      <c r="K44" s="71">
        <f t="shared" si="11"/>
        <v>467.34693877551024</v>
      </c>
      <c r="L44" s="646"/>
      <c r="M44" s="646"/>
      <c r="N44" s="647"/>
    </row>
    <row r="45" spans="1:14" ht="15.5" x14ac:dyDescent="0.35">
      <c r="A45" s="679" t="s">
        <v>12</v>
      </c>
      <c r="B45" s="680"/>
      <c r="C45" s="67">
        <f>'Quarter 2'!J45</f>
        <v>477.34693877551024</v>
      </c>
      <c r="D45" s="111">
        <f t="shared" si="9"/>
        <v>0</v>
      </c>
      <c r="E45" s="798">
        <v>1366.77</v>
      </c>
      <c r="F45" s="116">
        <f t="shared" si="6"/>
        <v>-889.42306122448974</v>
      </c>
      <c r="G45" s="9"/>
      <c r="H45" s="29"/>
      <c r="I45" s="168"/>
      <c r="J45" s="120">
        <f t="shared" si="10"/>
        <v>-1366.77</v>
      </c>
      <c r="K45" s="71">
        <f t="shared" si="11"/>
        <v>-889.42306122448974</v>
      </c>
      <c r="L45" s="646"/>
      <c r="M45" s="646"/>
      <c r="N45" s="647"/>
    </row>
    <row r="46" spans="1:14" ht="15.5" x14ac:dyDescent="0.35">
      <c r="A46" s="679" t="s">
        <v>11</v>
      </c>
      <c r="B46" s="680"/>
      <c r="C46" s="67">
        <f>'Quarter 2'!J46</f>
        <v>383.67346938775512</v>
      </c>
      <c r="D46" s="111">
        <f t="shared" si="9"/>
        <v>0</v>
      </c>
      <c r="E46" s="798">
        <v>174.75</v>
      </c>
      <c r="F46" s="116">
        <f t="shared" si="6"/>
        <v>208.92346938775512</v>
      </c>
      <c r="G46" s="9"/>
      <c r="H46" s="29"/>
      <c r="I46" s="168"/>
      <c r="J46" s="120">
        <f t="shared" si="10"/>
        <v>-174.75</v>
      </c>
      <c r="K46" s="71">
        <f t="shared" si="11"/>
        <v>208.92346938775512</v>
      </c>
      <c r="L46" s="646"/>
      <c r="M46" s="646"/>
      <c r="N46" s="647"/>
    </row>
    <row r="47" spans="1:14" ht="15.5" x14ac:dyDescent="0.35">
      <c r="A47" s="679" t="s">
        <v>10</v>
      </c>
      <c r="B47" s="680"/>
      <c r="C47" s="67">
        <f>'Quarter 2'!J47</f>
        <v>3151.7346938775509</v>
      </c>
      <c r="D47" s="111">
        <f t="shared" si="9"/>
        <v>0</v>
      </c>
      <c r="E47" s="798">
        <v>3886.84</v>
      </c>
      <c r="F47" s="116">
        <f t="shared" si="6"/>
        <v>-735.10530612244929</v>
      </c>
      <c r="G47" s="9"/>
      <c r="H47" s="29"/>
      <c r="I47" s="168"/>
      <c r="J47" s="120">
        <f t="shared" si="10"/>
        <v>-3886.84</v>
      </c>
      <c r="K47" s="71">
        <f t="shared" si="11"/>
        <v>-735.10530612244929</v>
      </c>
      <c r="L47" s="646"/>
      <c r="M47" s="646"/>
      <c r="N47" s="647"/>
    </row>
    <row r="48" spans="1:14" ht="15.5" x14ac:dyDescent="0.35">
      <c r="A48" s="679" t="s">
        <v>9</v>
      </c>
      <c r="B48" s="680"/>
      <c r="C48" s="67">
        <f>'Quarter 2'!J48</f>
        <v>-692.53061224489829</v>
      </c>
      <c r="D48" s="111">
        <f t="shared" si="9"/>
        <v>0</v>
      </c>
      <c r="E48" s="798">
        <v>4035.57</v>
      </c>
      <c r="F48" s="116">
        <f t="shared" si="6"/>
        <v>-4728.100612244898</v>
      </c>
      <c r="G48" s="9"/>
      <c r="H48" s="29"/>
      <c r="I48" s="168"/>
      <c r="J48" s="120">
        <f t="shared" si="10"/>
        <v>-4035.57</v>
      </c>
      <c r="K48" s="71">
        <f t="shared" si="11"/>
        <v>-4728.100612244898</v>
      </c>
      <c r="L48" s="646"/>
      <c r="M48" s="646"/>
      <c r="N48" s="647"/>
    </row>
    <row r="49" spans="1:14" ht="15.5" x14ac:dyDescent="0.35">
      <c r="A49" s="679" t="s">
        <v>8</v>
      </c>
      <c r="B49" s="680"/>
      <c r="C49" s="67">
        <f>'Quarter 2'!J49</f>
        <v>686.16326530612241</v>
      </c>
      <c r="D49" s="111">
        <f t="shared" si="9"/>
        <v>0</v>
      </c>
      <c r="E49" s="798">
        <v>756</v>
      </c>
      <c r="F49" s="116">
        <f t="shared" si="6"/>
        <v>-69.836734693877588</v>
      </c>
      <c r="G49" s="9"/>
      <c r="H49" s="29"/>
      <c r="I49" s="168"/>
      <c r="J49" s="120">
        <f t="shared" si="10"/>
        <v>-756</v>
      </c>
      <c r="K49" s="71">
        <f t="shared" si="11"/>
        <v>-69.836734693877588</v>
      </c>
      <c r="L49" s="646"/>
      <c r="M49" s="646"/>
      <c r="N49" s="647"/>
    </row>
    <row r="50" spans="1:14" ht="15.5" x14ac:dyDescent="0.35">
      <c r="A50" s="679" t="s">
        <v>7</v>
      </c>
      <c r="B50" s="680"/>
      <c r="C50" s="67">
        <f>'Quarter 2'!J50</f>
        <v>112.9387755102041</v>
      </c>
      <c r="D50" s="111">
        <f t="shared" si="9"/>
        <v>0</v>
      </c>
      <c r="E50" s="798">
        <v>1178.8499999999999</v>
      </c>
      <c r="F50" s="116">
        <f t="shared" si="6"/>
        <v>-1065.9112244897958</v>
      </c>
      <c r="G50" s="9"/>
      <c r="H50" s="29"/>
      <c r="I50" s="168"/>
      <c r="J50" s="120">
        <f t="shared" si="10"/>
        <v>-1178.8499999999999</v>
      </c>
      <c r="K50" s="71">
        <f t="shared" si="11"/>
        <v>-1065.9112244897958</v>
      </c>
      <c r="L50" s="646"/>
      <c r="M50" s="646"/>
      <c r="N50" s="647"/>
    </row>
    <row r="51" spans="1:14" ht="15.5" x14ac:dyDescent="0.35">
      <c r="A51" s="679" t="s">
        <v>6</v>
      </c>
      <c r="B51" s="680"/>
      <c r="C51" s="67">
        <f>'Quarter 2'!J51</f>
        <v>-797.91836734693879</v>
      </c>
      <c r="D51" s="111">
        <f t="shared" si="9"/>
        <v>0</v>
      </c>
      <c r="E51" s="798">
        <v>2908</v>
      </c>
      <c r="F51" s="116">
        <f t="shared" si="6"/>
        <v>-3705.9183673469388</v>
      </c>
      <c r="G51" s="9"/>
      <c r="H51" s="29"/>
      <c r="I51" s="168"/>
      <c r="J51" s="120">
        <f t="shared" si="10"/>
        <v>-2908</v>
      </c>
      <c r="K51" s="71">
        <f t="shared" si="11"/>
        <v>-3705.9183673469388</v>
      </c>
      <c r="L51" s="646"/>
      <c r="M51" s="646"/>
      <c r="N51" s="647"/>
    </row>
    <row r="52" spans="1:14" ht="15.5" x14ac:dyDescent="0.35">
      <c r="A52" s="679" t="s">
        <v>5</v>
      </c>
      <c r="B52" s="680"/>
      <c r="C52" s="67">
        <f>'Quarter 2'!J52</f>
        <v>-3050.5714285714284</v>
      </c>
      <c r="D52" s="111">
        <f t="shared" si="9"/>
        <v>0</v>
      </c>
      <c r="E52" s="798">
        <v>3266</v>
      </c>
      <c r="F52" s="116">
        <f t="shared" si="6"/>
        <v>-6316.5714285714284</v>
      </c>
      <c r="G52" s="9"/>
      <c r="H52" s="29"/>
      <c r="I52" s="168"/>
      <c r="J52" s="120">
        <f t="shared" si="10"/>
        <v>-3266</v>
      </c>
      <c r="K52" s="71">
        <f t="shared" si="11"/>
        <v>-6316.5714285714284</v>
      </c>
      <c r="L52" s="646"/>
      <c r="M52" s="646"/>
      <c r="N52" s="647"/>
    </row>
    <row r="53" spans="1:14" ht="15.5" x14ac:dyDescent="0.35">
      <c r="A53" s="679" t="s">
        <v>4</v>
      </c>
      <c r="B53" s="680"/>
      <c r="C53" s="67">
        <f>'Quarter 2'!J53</f>
        <v>-115.30612244897952</v>
      </c>
      <c r="D53" s="111">
        <f t="shared" si="9"/>
        <v>0</v>
      </c>
      <c r="E53" s="798">
        <v>792</v>
      </c>
      <c r="F53" s="116">
        <f t="shared" si="6"/>
        <v>-907.30612244897952</v>
      </c>
      <c r="G53" s="9"/>
      <c r="H53" s="29"/>
      <c r="I53" s="168"/>
      <c r="J53" s="120">
        <f t="shared" si="10"/>
        <v>-792</v>
      </c>
      <c r="K53" s="71">
        <f t="shared" si="11"/>
        <v>-907.30612244897952</v>
      </c>
      <c r="L53" s="646"/>
      <c r="M53" s="646"/>
      <c r="N53" s="647"/>
    </row>
    <row r="54" spans="1:14" ht="15.5" x14ac:dyDescent="0.35">
      <c r="A54" s="679" t="s">
        <v>3</v>
      </c>
      <c r="B54" s="680"/>
      <c r="C54" s="67">
        <f>'Quarter 2'!J54</f>
        <v>383.67346938775512</v>
      </c>
      <c r="D54" s="111">
        <f t="shared" si="9"/>
        <v>0</v>
      </c>
      <c r="E54" s="32">
        <v>0</v>
      </c>
      <c r="F54" s="116">
        <f t="shared" si="6"/>
        <v>383.67346938775512</v>
      </c>
      <c r="G54" s="9"/>
      <c r="H54" s="29"/>
      <c r="I54" s="168"/>
      <c r="J54" s="120">
        <f t="shared" si="10"/>
        <v>0</v>
      </c>
      <c r="K54" s="71">
        <f t="shared" si="11"/>
        <v>383.67346938775512</v>
      </c>
      <c r="L54" s="646"/>
      <c r="M54" s="646"/>
      <c r="N54" s="647"/>
    </row>
    <row r="55" spans="1:14" ht="15.5" x14ac:dyDescent="0.35">
      <c r="A55" s="679" t="s">
        <v>2</v>
      </c>
      <c r="B55" s="680"/>
      <c r="C55" s="67">
        <f>'Quarter 2'!J55</f>
        <v>116</v>
      </c>
      <c r="D55" s="111">
        <f t="shared" si="9"/>
        <v>0</v>
      </c>
      <c r="E55" s="798">
        <v>164.3</v>
      </c>
      <c r="F55" s="116">
        <f t="shared" si="6"/>
        <v>-48.300000000000011</v>
      </c>
      <c r="G55" s="9"/>
      <c r="H55" s="29"/>
      <c r="I55" s="168"/>
      <c r="J55" s="120">
        <f t="shared" si="10"/>
        <v>-164.3</v>
      </c>
      <c r="K55" s="71">
        <f t="shared" si="11"/>
        <v>-48.300000000000011</v>
      </c>
      <c r="L55" s="646"/>
      <c r="M55" s="646"/>
      <c r="N55" s="647"/>
    </row>
    <row r="56" spans="1:14" ht="15.5" x14ac:dyDescent="0.35">
      <c r="A56" s="679" t="s">
        <v>55</v>
      </c>
      <c r="B56" s="680"/>
      <c r="C56" s="67">
        <f>'Quarter 2'!J56</f>
        <v>0</v>
      </c>
      <c r="D56" s="111">
        <f t="shared" si="9"/>
        <v>0</v>
      </c>
      <c r="E56" s="32">
        <v>0</v>
      </c>
      <c r="F56" s="116">
        <f t="shared" si="6"/>
        <v>0</v>
      </c>
      <c r="G56" s="9"/>
      <c r="H56" s="29"/>
      <c r="I56" s="168"/>
      <c r="J56" s="120">
        <f t="shared" si="10"/>
        <v>0</v>
      </c>
      <c r="K56" s="71">
        <f t="shared" si="11"/>
        <v>0</v>
      </c>
      <c r="L56" s="646"/>
      <c r="M56" s="646"/>
      <c r="N56" s="647"/>
    </row>
    <row r="57" spans="1:14" ht="15.5" x14ac:dyDescent="0.35">
      <c r="A57" s="679" t="str">
        <f>'Quarter 2'!A57:B57</f>
        <v>(Insert item name or brief description on this line.)</v>
      </c>
      <c r="B57" s="680"/>
      <c r="C57" s="67">
        <f>'Quarter 2'!J57</f>
        <v>0</v>
      </c>
      <c r="D57" s="111">
        <f t="shared" si="9"/>
        <v>0</v>
      </c>
      <c r="E57" s="32">
        <v>0</v>
      </c>
      <c r="F57" s="116">
        <f t="shared" si="6"/>
        <v>0</v>
      </c>
      <c r="G57" s="9"/>
      <c r="H57" s="29"/>
      <c r="I57" s="168"/>
      <c r="J57" s="120">
        <f t="shared" si="10"/>
        <v>0</v>
      </c>
      <c r="K57" s="71">
        <f t="shared" si="11"/>
        <v>0</v>
      </c>
      <c r="L57" s="646"/>
      <c r="M57" s="646"/>
      <c r="N57" s="647"/>
    </row>
    <row r="58" spans="1:14" ht="15.5" x14ac:dyDescent="0.35">
      <c r="A58" s="679" t="str">
        <f>'Quarter 2'!A58:B58</f>
        <v>(Insert item name or brief description on this line.)</v>
      </c>
      <c r="B58" s="680"/>
      <c r="C58" s="67">
        <f>'Quarter 2'!J58</f>
        <v>0</v>
      </c>
      <c r="D58" s="111">
        <f t="shared" si="9"/>
        <v>0</v>
      </c>
      <c r="E58" s="32">
        <v>0</v>
      </c>
      <c r="F58" s="116">
        <f t="shared" si="6"/>
        <v>0</v>
      </c>
      <c r="G58" s="9"/>
      <c r="H58" s="29"/>
      <c r="I58" s="168"/>
      <c r="J58" s="120">
        <f t="shared" si="10"/>
        <v>0</v>
      </c>
      <c r="K58" s="71">
        <f t="shared" si="11"/>
        <v>0</v>
      </c>
      <c r="L58" s="646"/>
      <c r="M58" s="646"/>
      <c r="N58" s="647"/>
    </row>
    <row r="59" spans="1:14" ht="15.5" x14ac:dyDescent="0.35">
      <c r="A59" s="679" t="str">
        <f>'Quarter 2'!A59:B59</f>
        <v>(Insert item name or brief description on this line.)</v>
      </c>
      <c r="B59" s="680"/>
      <c r="C59" s="67">
        <f>'Quarter 2'!J59</f>
        <v>0</v>
      </c>
      <c r="D59" s="111">
        <f t="shared" si="9"/>
        <v>0</v>
      </c>
      <c r="E59" s="32">
        <v>0</v>
      </c>
      <c r="F59" s="116">
        <f t="shared" si="6"/>
        <v>0</v>
      </c>
      <c r="G59" s="9"/>
      <c r="H59" s="29"/>
      <c r="I59" s="168"/>
      <c r="J59" s="120">
        <f t="shared" si="10"/>
        <v>0</v>
      </c>
      <c r="K59" s="71">
        <f t="shared" si="11"/>
        <v>0</v>
      </c>
      <c r="L59" s="646"/>
      <c r="M59" s="646"/>
      <c r="N59" s="647"/>
    </row>
    <row r="60" spans="1:14" ht="15.5" x14ac:dyDescent="0.35">
      <c r="A60" s="679" t="str">
        <f>'Quarter 2'!A60:B60</f>
        <v>(Insert item name or brief description on this line.)</v>
      </c>
      <c r="B60" s="680"/>
      <c r="C60" s="67">
        <f>'Quarter 2'!J60</f>
        <v>0</v>
      </c>
      <c r="D60" s="111">
        <f t="shared" si="9"/>
        <v>0</v>
      </c>
      <c r="E60" s="32">
        <v>0</v>
      </c>
      <c r="F60" s="116">
        <f t="shared" si="6"/>
        <v>0</v>
      </c>
      <c r="G60" s="9"/>
      <c r="H60" s="29"/>
      <c r="I60" s="168"/>
      <c r="J60" s="120">
        <f t="shared" si="10"/>
        <v>0</v>
      </c>
      <c r="K60" s="71">
        <f t="shared" si="11"/>
        <v>0</v>
      </c>
      <c r="L60" s="646"/>
      <c r="M60" s="646"/>
      <c r="N60" s="647"/>
    </row>
    <row r="61" spans="1:14" ht="15.5" x14ac:dyDescent="0.35">
      <c r="A61" s="679" t="str">
        <f>'Quarter 2'!A61:B61</f>
        <v>(Insert item name or brief description on this line.)</v>
      </c>
      <c r="B61" s="680"/>
      <c r="C61" s="67">
        <f>'Quarter 2'!J61</f>
        <v>0</v>
      </c>
      <c r="D61" s="111">
        <f t="shared" si="9"/>
        <v>0</v>
      </c>
      <c r="E61" s="32">
        <v>0</v>
      </c>
      <c r="F61" s="116">
        <f t="shared" si="6"/>
        <v>0</v>
      </c>
      <c r="G61" s="9"/>
      <c r="H61" s="29"/>
      <c r="I61" s="168"/>
      <c r="J61" s="120">
        <f t="shared" si="10"/>
        <v>0</v>
      </c>
      <c r="K61" s="71">
        <f t="shared" si="11"/>
        <v>0</v>
      </c>
      <c r="L61" s="646"/>
      <c r="M61" s="646"/>
      <c r="N61" s="647"/>
    </row>
    <row r="62" spans="1:14" ht="15.5" x14ac:dyDescent="0.35">
      <c r="A62" s="698"/>
      <c r="B62" s="699"/>
      <c r="C62" s="67">
        <f>'Quarter 2'!J62</f>
        <v>0</v>
      </c>
      <c r="D62" s="111">
        <f t="shared" si="9"/>
        <v>0</v>
      </c>
      <c r="E62" s="32"/>
      <c r="F62" s="116">
        <f t="shared" si="6"/>
        <v>0</v>
      </c>
      <c r="G62" s="9"/>
      <c r="H62" s="29"/>
      <c r="I62" s="168"/>
      <c r="J62" s="120">
        <f t="shared" si="10"/>
        <v>0</v>
      </c>
      <c r="K62" s="71">
        <f t="shared" si="11"/>
        <v>0</v>
      </c>
      <c r="L62" s="646"/>
      <c r="M62" s="646"/>
      <c r="N62" s="647"/>
    </row>
    <row r="63" spans="1:14" ht="15.5" x14ac:dyDescent="0.35">
      <c r="A63" s="625">
        <f>SUM(C7:C25,C28:C39,C41:C62)</f>
        <v>339021.16106961091</v>
      </c>
      <c r="B63" s="626"/>
      <c r="C63" s="627"/>
      <c r="D63" s="44">
        <f>SUM(D7:D25,D28:D39,D41:D62)</f>
        <v>0</v>
      </c>
      <c r="E63" s="5"/>
      <c r="F63" s="5"/>
      <c r="G63" s="129"/>
      <c r="H63" s="5"/>
      <c r="I63" s="130"/>
      <c r="J63" s="121"/>
      <c r="K63" s="5"/>
      <c r="L63" s="646"/>
      <c r="M63" s="646"/>
      <c r="N63" s="647"/>
    </row>
    <row r="64" spans="1:14" ht="15.75" customHeight="1" thickBot="1" x14ac:dyDescent="0.4">
      <c r="A64" s="622" t="s">
        <v>0</v>
      </c>
      <c r="B64" s="623"/>
      <c r="C64" s="624"/>
      <c r="D64" s="43"/>
      <c r="E64" s="3">
        <f t="shared" ref="E64:K64" si="12">SUM(E7:E25,E28:E63)</f>
        <v>158997.49</v>
      </c>
      <c r="F64" s="3">
        <f t="shared" si="12"/>
        <v>180023.67106961098</v>
      </c>
      <c r="G64" s="9">
        <f>SUM(G7:G25,G28:G39,G41:G62)</f>
        <v>0</v>
      </c>
      <c r="H64" s="29">
        <f>SUM(H7:H25,H28:H39,H41:H62)</f>
        <v>0</v>
      </c>
      <c r="I64" s="131">
        <f t="shared" si="12"/>
        <v>0</v>
      </c>
      <c r="J64" s="3">
        <f t="shared" si="12"/>
        <v>-158997.49</v>
      </c>
      <c r="K64" s="3">
        <f t="shared" si="12"/>
        <v>180023.67106961098</v>
      </c>
      <c r="L64" s="635"/>
      <c r="M64" s="635"/>
      <c r="N64" s="636"/>
    </row>
    <row r="65" spans="3:5" ht="14" x14ac:dyDescent="0.3">
      <c r="C65" s="112">
        <f>'Quarter 1'!C65</f>
        <v>819.62242158353297</v>
      </c>
      <c r="D65" s="113">
        <f>'Quarter 1'!D65</f>
        <v>1346.0373693058884</v>
      </c>
      <c r="E65" s="122"/>
    </row>
    <row r="66" spans="3:5" x14ac:dyDescent="0.25">
      <c r="C66" s="115"/>
      <c r="D66" s="115"/>
      <c r="E66" s="115"/>
    </row>
    <row r="67" spans="3:5" x14ac:dyDescent="0.25">
      <c r="C67" s="114"/>
      <c r="D67" s="114"/>
      <c r="E67" s="115"/>
    </row>
    <row r="68" spans="3:5" x14ac:dyDescent="0.25">
      <c r="C68" s="114"/>
      <c r="D68" s="115"/>
      <c r="E68" s="115"/>
    </row>
  </sheetData>
  <sheetProtection algorithmName="SHA-512" hashValue="I5FMb2QB8BGIHCFUPcrfbf15cQPfYn1ITPe+j79pVuJPfzX5YDLEBUy3YyGvkbkJDTsaaZh+g4/KwaNDboPCEw==" saltValue="Z0URCThz058kPz5q/AwQWA==" spinCount="100000" sheet="1" objects="1" scenarios="1"/>
  <mergeCells count="126">
    <mergeCell ref="A13:B13"/>
    <mergeCell ref="A7:B7"/>
    <mergeCell ref="A8:B8"/>
    <mergeCell ref="A9:B9"/>
    <mergeCell ref="L15:N15"/>
    <mergeCell ref="L16:N16"/>
    <mergeCell ref="L18:N18"/>
    <mergeCell ref="L19:N19"/>
    <mergeCell ref="A18:B18"/>
    <mergeCell ref="L17:N17"/>
    <mergeCell ref="A12:B12"/>
    <mergeCell ref="L43:N43"/>
    <mergeCell ref="H2:H4"/>
    <mergeCell ref="L21:N21"/>
    <mergeCell ref="A6:N6"/>
    <mergeCell ref="K3:M3"/>
    <mergeCell ref="A5:B5"/>
    <mergeCell ref="L11:N11"/>
    <mergeCell ref="A20:B20"/>
    <mergeCell ref="A10:B10"/>
    <mergeCell ref="A11:B11"/>
    <mergeCell ref="A19:B19"/>
    <mergeCell ref="A15:B15"/>
    <mergeCell ref="A16:B16"/>
    <mergeCell ref="A17:B17"/>
    <mergeCell ref="L12:N12"/>
    <mergeCell ref="L13:N13"/>
    <mergeCell ref="L14:N14"/>
    <mergeCell ref="A23:B23"/>
    <mergeCell ref="A24:B24"/>
    <mergeCell ref="L5:N5"/>
    <mergeCell ref="L7:N7"/>
    <mergeCell ref="L8:N8"/>
    <mergeCell ref="L9:N9"/>
    <mergeCell ref="L10:N10"/>
    <mergeCell ref="L31:N31"/>
    <mergeCell ref="L32:N32"/>
    <mergeCell ref="L29:N29"/>
    <mergeCell ref="L30:N30"/>
    <mergeCell ref="L34:N34"/>
    <mergeCell ref="L35:N35"/>
    <mergeCell ref="D2:D4"/>
    <mergeCell ref="K1:M1"/>
    <mergeCell ref="K2:M2"/>
    <mergeCell ref="I2:I4"/>
    <mergeCell ref="J2:J4"/>
    <mergeCell ref="E2:E4"/>
    <mergeCell ref="F2:F4"/>
    <mergeCell ref="L28:N28"/>
    <mergeCell ref="A52:B52"/>
    <mergeCell ref="A32:B32"/>
    <mergeCell ref="A33:B33"/>
    <mergeCell ref="A14:B14"/>
    <mergeCell ref="L20:N20"/>
    <mergeCell ref="L22:N22"/>
    <mergeCell ref="K4:M4"/>
    <mergeCell ref="G2:G4"/>
    <mergeCell ref="A53:B53"/>
    <mergeCell ref="A37:B37"/>
    <mergeCell ref="A46:B46"/>
    <mergeCell ref="A42:B42"/>
    <mergeCell ref="A43:B43"/>
    <mergeCell ref="A41:B41"/>
    <mergeCell ref="A47:B47"/>
    <mergeCell ref="L39:N39"/>
    <mergeCell ref="L36:N36"/>
    <mergeCell ref="L33:N33"/>
    <mergeCell ref="L41:N41"/>
    <mergeCell ref="L42:N42"/>
    <mergeCell ref="A38:B38"/>
    <mergeCell ref="A45:B45"/>
    <mergeCell ref="A48:B48"/>
    <mergeCell ref="A49:B49"/>
    <mergeCell ref="L45:N45"/>
    <mergeCell ref="A21:B21"/>
    <mergeCell ref="A27:N27"/>
    <mergeCell ref="L23:N23"/>
    <mergeCell ref="L24:N24"/>
    <mergeCell ref="L25:N25"/>
    <mergeCell ref="L26:N26"/>
    <mergeCell ref="A50:B50"/>
    <mergeCell ref="A51:B51"/>
    <mergeCell ref="L46:N46"/>
    <mergeCell ref="A44:B44"/>
    <mergeCell ref="A31:B31"/>
    <mergeCell ref="A30:B30"/>
    <mergeCell ref="A29:B29"/>
    <mergeCell ref="A39:B39"/>
    <mergeCell ref="A28:B28"/>
    <mergeCell ref="A25:B25"/>
    <mergeCell ref="A22:B22"/>
    <mergeCell ref="A36:B36"/>
    <mergeCell ref="A34:B34"/>
    <mergeCell ref="A35:B35"/>
    <mergeCell ref="L44:N44"/>
    <mergeCell ref="L37:N37"/>
    <mergeCell ref="L38:N38"/>
    <mergeCell ref="A64:C64"/>
    <mergeCell ref="A54:B54"/>
    <mergeCell ref="A55:B55"/>
    <mergeCell ref="A61:B61"/>
    <mergeCell ref="A62:B62"/>
    <mergeCell ref="A60:B60"/>
    <mergeCell ref="A56:B56"/>
    <mergeCell ref="A57:B57"/>
    <mergeCell ref="A58:B58"/>
    <mergeCell ref="A63:C63"/>
    <mergeCell ref="A59:B59"/>
    <mergeCell ref="L64:N64"/>
    <mergeCell ref="L47:N47"/>
    <mergeCell ref="L48:N48"/>
    <mergeCell ref="L49:N49"/>
    <mergeCell ref="L56:N56"/>
    <mergeCell ref="L50:N50"/>
    <mergeCell ref="L54:N54"/>
    <mergeCell ref="L55:N55"/>
    <mergeCell ref="L59:N59"/>
    <mergeCell ref="L51:N51"/>
    <mergeCell ref="L62:N62"/>
    <mergeCell ref="L63:N63"/>
    <mergeCell ref="L60:N60"/>
    <mergeCell ref="L61:N61"/>
    <mergeCell ref="L57:N57"/>
    <mergeCell ref="L58:N58"/>
    <mergeCell ref="L52:N52"/>
    <mergeCell ref="L53:N53"/>
  </mergeCells>
  <printOptions horizontalCentered="1"/>
  <pageMargins left="0.25" right="0.25" top="0.61250000000000004" bottom="0.38750000000000001" header="0.3" footer="0.3"/>
  <pageSetup paperSize="5" scale="75" orientation="landscape" r:id="rId1"/>
  <headerFooter>
    <oddHeader>&amp;C&amp;F</oddHeader>
  </headerFooter>
  <rowBreaks count="1" manualBreakCount="1">
    <brk id="2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4"/>
  <sheetViews>
    <sheetView tabSelected="1" topLeftCell="A7" workbookViewId="0">
      <selection activeCell="A25" sqref="A25"/>
    </sheetView>
  </sheetViews>
  <sheetFormatPr defaultRowHeight="12.5" x14ac:dyDescent="0.25"/>
  <cols>
    <col min="1" max="1" width="61.90625" style="608" customWidth="1"/>
    <col min="2" max="2" width="9.453125" style="608" customWidth="1"/>
    <col min="3" max="3" width="12" style="608" customWidth="1"/>
    <col min="4" max="4" width="14.6328125" style="608" customWidth="1"/>
    <col min="5" max="5" width="41.26953125" style="608" customWidth="1"/>
    <col min="6" max="6" width="18.90625" style="608" customWidth="1"/>
    <col min="7" max="7" width="9.453125" style="608" customWidth="1"/>
    <col min="8" max="8" width="64.453125" style="608" customWidth="1"/>
    <col min="9" max="9" width="34.36328125" style="608" customWidth="1"/>
    <col min="10" max="10" width="11.1796875" style="608" customWidth="1"/>
    <col min="11" max="11" width="8.6328125" style="608" customWidth="1"/>
    <col min="12" max="16384" width="8.7265625" style="608"/>
  </cols>
  <sheetData>
    <row r="1" spans="1:11" ht="18" x14ac:dyDescent="0.4">
      <c r="A1" s="669" t="s">
        <v>262</v>
      </c>
      <c r="B1" s="670"/>
      <c r="C1" s="670"/>
      <c r="D1" s="670"/>
      <c r="E1" s="670"/>
      <c r="F1" s="670"/>
      <c r="G1" s="670"/>
      <c r="H1" s="670"/>
      <c r="I1" s="670"/>
      <c r="J1" s="670"/>
      <c r="K1" s="670"/>
    </row>
    <row r="2" spans="1:11" ht="18" x14ac:dyDescent="0.4">
      <c r="A2" s="669" t="s">
        <v>890</v>
      </c>
      <c r="B2" s="670"/>
      <c r="C2" s="670"/>
      <c r="D2" s="670"/>
      <c r="E2" s="670"/>
      <c r="F2" s="670"/>
      <c r="G2" s="670"/>
      <c r="H2" s="670"/>
      <c r="I2" s="670"/>
      <c r="J2" s="670"/>
      <c r="K2" s="670"/>
    </row>
    <row r="3" spans="1:11" ht="13" x14ac:dyDescent="0.3">
      <c r="A3" s="671" t="s">
        <v>891</v>
      </c>
      <c r="B3" s="670"/>
      <c r="C3" s="670"/>
      <c r="D3" s="670"/>
      <c r="E3" s="670"/>
      <c r="F3" s="670"/>
      <c r="G3" s="670"/>
      <c r="H3" s="670"/>
      <c r="I3" s="670"/>
      <c r="J3" s="670"/>
      <c r="K3" s="670"/>
    </row>
    <row r="5" spans="1:11" ht="23" x14ac:dyDescent="0.25">
      <c r="B5" s="518" t="s">
        <v>265</v>
      </c>
      <c r="C5" s="518" t="s">
        <v>266</v>
      </c>
      <c r="D5" s="518" t="s">
        <v>267</v>
      </c>
      <c r="E5" s="518" t="s">
        <v>268</v>
      </c>
      <c r="F5" s="518" t="s">
        <v>892</v>
      </c>
      <c r="G5" s="518" t="s">
        <v>270</v>
      </c>
      <c r="H5" s="518" t="s">
        <v>269</v>
      </c>
      <c r="I5" s="518" t="s">
        <v>893</v>
      </c>
      <c r="J5" s="518" t="s">
        <v>894</v>
      </c>
      <c r="K5" s="518" t="s">
        <v>895</v>
      </c>
    </row>
    <row r="6" spans="1:11" x14ac:dyDescent="0.25">
      <c r="A6" s="519" t="s">
        <v>896</v>
      </c>
    </row>
    <row r="7" spans="1:11" x14ac:dyDescent="0.25">
      <c r="A7" s="519" t="s">
        <v>897</v>
      </c>
    </row>
    <row r="8" spans="1:11" x14ac:dyDescent="0.25">
      <c r="A8" s="519" t="s">
        <v>898</v>
      </c>
    </row>
    <row r="9" spans="1:11" x14ac:dyDescent="0.25">
      <c r="A9" s="519" t="s">
        <v>899</v>
      </c>
    </row>
    <row r="10" spans="1:11" x14ac:dyDescent="0.25">
      <c r="A10" s="519" t="s">
        <v>900</v>
      </c>
    </row>
    <row r="11" spans="1:11" x14ac:dyDescent="0.25">
      <c r="B11" s="520" t="s">
        <v>901</v>
      </c>
      <c r="C11" s="520" t="s">
        <v>902</v>
      </c>
      <c r="D11" s="520">
        <v>201995</v>
      </c>
      <c r="E11" s="520" t="s">
        <v>903</v>
      </c>
      <c r="F11" s="520" t="s">
        <v>904</v>
      </c>
      <c r="G11" s="520" t="s">
        <v>282</v>
      </c>
      <c r="H11" s="520" t="s">
        <v>905</v>
      </c>
      <c r="I11" s="520" t="s">
        <v>906</v>
      </c>
      <c r="J11" s="521">
        <v>57003.89</v>
      </c>
      <c r="K11" s="521">
        <v>57003.89</v>
      </c>
    </row>
    <row r="12" spans="1:11" x14ac:dyDescent="0.25">
      <c r="B12" s="520" t="s">
        <v>907</v>
      </c>
      <c r="C12" s="520" t="s">
        <v>902</v>
      </c>
      <c r="D12" s="520">
        <v>202003</v>
      </c>
      <c r="E12" s="520" t="s">
        <v>903</v>
      </c>
      <c r="F12" s="520" t="s">
        <v>904</v>
      </c>
      <c r="G12" s="520" t="s">
        <v>282</v>
      </c>
      <c r="H12" s="520" t="s">
        <v>908</v>
      </c>
      <c r="I12" s="520" t="s">
        <v>906</v>
      </c>
      <c r="J12" s="521">
        <v>57003.89</v>
      </c>
      <c r="K12" s="521">
        <v>114007.78</v>
      </c>
    </row>
    <row r="13" spans="1:11" x14ac:dyDescent="0.25">
      <c r="B13" s="520" t="s">
        <v>909</v>
      </c>
      <c r="C13" s="520" t="s">
        <v>902</v>
      </c>
      <c r="D13" s="520">
        <v>202016</v>
      </c>
      <c r="E13" s="520" t="s">
        <v>903</v>
      </c>
      <c r="F13" s="520" t="s">
        <v>904</v>
      </c>
      <c r="G13" s="520" t="s">
        <v>282</v>
      </c>
      <c r="H13" s="520" t="s">
        <v>910</v>
      </c>
      <c r="I13" s="520" t="s">
        <v>906</v>
      </c>
      <c r="J13" s="521">
        <v>57003.89</v>
      </c>
      <c r="K13" s="521">
        <v>171011.67</v>
      </c>
    </row>
    <row r="14" spans="1:11" x14ac:dyDescent="0.25">
      <c r="A14" s="519" t="s">
        <v>911</v>
      </c>
      <c r="J14" s="523">
        <v>171011.67</v>
      </c>
    </row>
    <row r="15" spans="1:11" x14ac:dyDescent="0.25">
      <c r="A15" s="519" t="s">
        <v>912</v>
      </c>
      <c r="J15" s="523">
        <v>171011.67</v>
      </c>
    </row>
    <row r="16" spans="1:11" x14ac:dyDescent="0.25">
      <c r="A16" s="519" t="s">
        <v>913</v>
      </c>
      <c r="J16" s="523">
        <v>171011.67</v>
      </c>
    </row>
    <row r="17" spans="1:11" x14ac:dyDescent="0.25">
      <c r="A17" s="519" t="s">
        <v>914</v>
      </c>
      <c r="J17" s="523">
        <v>171011.67</v>
      </c>
    </row>
    <row r="18" spans="1:11" x14ac:dyDescent="0.25">
      <c r="A18" s="519" t="s">
        <v>915</v>
      </c>
    </row>
    <row r="19" spans="1:11" x14ac:dyDescent="0.25">
      <c r="A19" s="519" t="s">
        <v>916</v>
      </c>
    </row>
    <row r="20" spans="1:11" x14ac:dyDescent="0.25">
      <c r="A20" s="519" t="s">
        <v>917</v>
      </c>
    </row>
    <row r="21" spans="1:11" x14ac:dyDescent="0.25">
      <c r="A21" s="519" t="s">
        <v>918</v>
      </c>
    </row>
    <row r="22" spans="1:11" x14ac:dyDescent="0.25">
      <c r="A22" s="519" t="s">
        <v>919</v>
      </c>
    </row>
    <row r="23" spans="1:11" x14ac:dyDescent="0.25">
      <c r="B23" s="520" t="s">
        <v>920</v>
      </c>
      <c r="C23" s="520" t="s">
        <v>279</v>
      </c>
      <c r="D23" s="520">
        <v>212</v>
      </c>
      <c r="E23" s="520"/>
      <c r="F23" s="520"/>
      <c r="G23" s="520" t="s">
        <v>282</v>
      </c>
      <c r="H23" s="520"/>
      <c r="I23" s="795" t="s">
        <v>921</v>
      </c>
      <c r="J23" s="521">
        <v>31259</v>
      </c>
      <c r="K23" s="521">
        <v>31259</v>
      </c>
    </row>
    <row r="24" spans="1:11" x14ac:dyDescent="0.25">
      <c r="B24" s="520" t="s">
        <v>922</v>
      </c>
      <c r="C24" s="520" t="s">
        <v>279</v>
      </c>
      <c r="D24" s="520">
        <v>288</v>
      </c>
      <c r="E24" s="520"/>
      <c r="F24" s="520"/>
      <c r="G24" s="520" t="s">
        <v>282</v>
      </c>
      <c r="H24" s="520"/>
      <c r="I24" s="795" t="s">
        <v>921</v>
      </c>
      <c r="J24" s="521">
        <v>32417</v>
      </c>
      <c r="K24" s="521">
        <v>63676</v>
      </c>
    </row>
    <row r="25" spans="1:11" x14ac:dyDescent="0.25">
      <c r="A25" s="519" t="s">
        <v>923</v>
      </c>
      <c r="J25" s="523">
        <v>63676</v>
      </c>
    </row>
    <row r="26" spans="1:11" x14ac:dyDescent="0.25">
      <c r="A26" s="519" t="s">
        <v>924</v>
      </c>
      <c r="J26" s="523">
        <v>63676</v>
      </c>
    </row>
    <row r="27" spans="1:11" x14ac:dyDescent="0.25">
      <c r="A27" s="519" t="s">
        <v>925</v>
      </c>
      <c r="J27" s="523">
        <v>63676</v>
      </c>
    </row>
    <row r="28" spans="1:11" x14ac:dyDescent="0.25">
      <c r="A28" s="519" t="s">
        <v>926</v>
      </c>
    </row>
    <row r="29" spans="1:11" x14ac:dyDescent="0.25">
      <c r="A29" s="519" t="s">
        <v>927</v>
      </c>
    </row>
    <row r="30" spans="1:11" x14ac:dyDescent="0.25">
      <c r="B30" s="520" t="s">
        <v>901</v>
      </c>
      <c r="C30" s="520" t="s">
        <v>299</v>
      </c>
      <c r="D30" s="520">
        <v>293105697</v>
      </c>
      <c r="E30" s="520" t="s">
        <v>300</v>
      </c>
      <c r="F30" s="520"/>
      <c r="G30" s="520" t="s">
        <v>282</v>
      </c>
      <c r="H30" s="520" t="s">
        <v>928</v>
      </c>
      <c r="I30" s="520" t="s">
        <v>929</v>
      </c>
      <c r="J30" s="521">
        <v>6576.97</v>
      </c>
      <c r="K30" s="521">
        <v>6576.97</v>
      </c>
    </row>
    <row r="31" spans="1:11" x14ac:dyDescent="0.25">
      <c r="B31" s="520" t="s">
        <v>907</v>
      </c>
      <c r="C31" s="520" t="s">
        <v>299</v>
      </c>
      <c r="D31" s="520">
        <v>293308978</v>
      </c>
      <c r="E31" s="520" t="s">
        <v>300</v>
      </c>
      <c r="F31" s="520"/>
      <c r="G31" s="520" t="s">
        <v>282</v>
      </c>
      <c r="H31" s="520" t="s">
        <v>930</v>
      </c>
      <c r="I31" s="520" t="s">
        <v>929</v>
      </c>
      <c r="J31" s="521">
        <v>6576.97</v>
      </c>
      <c r="K31" s="521">
        <v>13153.94</v>
      </c>
    </row>
    <row r="32" spans="1:11" x14ac:dyDescent="0.25">
      <c r="B32" s="520" t="s">
        <v>909</v>
      </c>
      <c r="C32" s="520" t="s">
        <v>299</v>
      </c>
      <c r="D32" s="520">
        <v>293512262</v>
      </c>
      <c r="E32" s="520" t="s">
        <v>300</v>
      </c>
      <c r="F32" s="520"/>
      <c r="G32" s="520" t="s">
        <v>282</v>
      </c>
      <c r="H32" s="520" t="s">
        <v>931</v>
      </c>
      <c r="I32" s="520" t="s">
        <v>929</v>
      </c>
      <c r="J32" s="521">
        <v>6576.97</v>
      </c>
      <c r="K32" s="521">
        <v>19730.91</v>
      </c>
    </row>
    <row r="33" spans="1:11" x14ac:dyDescent="0.25">
      <c r="A33" s="519" t="s">
        <v>932</v>
      </c>
      <c r="J33" s="523">
        <v>19730.91</v>
      </c>
    </row>
    <row r="34" spans="1:11" x14ac:dyDescent="0.25">
      <c r="A34" s="519" t="s">
        <v>933</v>
      </c>
    </row>
    <row r="35" spans="1:11" x14ac:dyDescent="0.25">
      <c r="B35" s="520" t="s">
        <v>901</v>
      </c>
      <c r="C35" s="520" t="s">
        <v>299</v>
      </c>
      <c r="D35" s="520" t="s">
        <v>934</v>
      </c>
      <c r="E35" s="520" t="s">
        <v>306</v>
      </c>
      <c r="F35" s="520"/>
      <c r="G35" s="520" t="s">
        <v>282</v>
      </c>
      <c r="H35" s="520" t="s">
        <v>506</v>
      </c>
      <c r="I35" s="520" t="s">
        <v>929</v>
      </c>
      <c r="J35" s="521">
        <v>441.72</v>
      </c>
      <c r="K35" s="521">
        <v>441.72</v>
      </c>
    </row>
    <row r="36" spans="1:11" x14ac:dyDescent="0.25">
      <c r="B36" s="520" t="s">
        <v>907</v>
      </c>
      <c r="C36" s="520" t="s">
        <v>299</v>
      </c>
      <c r="D36" s="520" t="s">
        <v>935</v>
      </c>
      <c r="E36" s="520" t="s">
        <v>306</v>
      </c>
      <c r="F36" s="520"/>
      <c r="G36" s="520" t="s">
        <v>282</v>
      </c>
      <c r="H36" s="520" t="s">
        <v>506</v>
      </c>
      <c r="I36" s="520" t="s">
        <v>929</v>
      </c>
      <c r="J36" s="521">
        <v>441.72</v>
      </c>
      <c r="K36" s="521">
        <v>883.44</v>
      </c>
    </row>
    <row r="37" spans="1:11" x14ac:dyDescent="0.25">
      <c r="B37" s="520" t="s">
        <v>909</v>
      </c>
      <c r="C37" s="520" t="s">
        <v>299</v>
      </c>
      <c r="D37" s="520" t="s">
        <v>936</v>
      </c>
      <c r="E37" s="520" t="s">
        <v>306</v>
      </c>
      <c r="F37" s="520"/>
      <c r="G37" s="520" t="s">
        <v>282</v>
      </c>
      <c r="H37" s="520" t="s">
        <v>506</v>
      </c>
      <c r="I37" s="520" t="s">
        <v>929</v>
      </c>
      <c r="J37" s="521">
        <v>441.72</v>
      </c>
      <c r="K37" s="521">
        <v>1325.16</v>
      </c>
    </row>
    <row r="38" spans="1:11" x14ac:dyDescent="0.25">
      <c r="A38" s="519" t="s">
        <v>937</v>
      </c>
      <c r="J38" s="523">
        <v>1325.16</v>
      </c>
    </row>
    <row r="39" spans="1:11" x14ac:dyDescent="0.25">
      <c r="A39" s="519" t="s">
        <v>938</v>
      </c>
    </row>
    <row r="40" spans="1:11" x14ac:dyDescent="0.25">
      <c r="B40" s="520" t="s">
        <v>939</v>
      </c>
      <c r="C40" s="520" t="s">
        <v>299</v>
      </c>
      <c r="D40" s="520" t="s">
        <v>940</v>
      </c>
      <c r="E40" s="520" t="s">
        <v>511</v>
      </c>
      <c r="F40" s="520"/>
      <c r="G40" s="520" t="s">
        <v>282</v>
      </c>
      <c r="H40" s="520" t="s">
        <v>941</v>
      </c>
      <c r="I40" s="520" t="s">
        <v>929</v>
      </c>
      <c r="J40" s="521">
        <v>25.5</v>
      </c>
      <c r="K40" s="521">
        <v>25.5</v>
      </c>
    </row>
    <row r="41" spans="1:11" x14ac:dyDescent="0.25">
      <c r="A41" s="519" t="s">
        <v>942</v>
      </c>
      <c r="J41" s="523">
        <v>25.5</v>
      </c>
    </row>
    <row r="42" spans="1:11" x14ac:dyDescent="0.25">
      <c r="A42" s="519" t="s">
        <v>943</v>
      </c>
    </row>
    <row r="43" spans="1:11" x14ac:dyDescent="0.25">
      <c r="B43" s="520" t="s">
        <v>920</v>
      </c>
      <c r="C43" s="520" t="s">
        <v>279</v>
      </c>
      <c r="D43" s="520">
        <v>213</v>
      </c>
      <c r="E43" s="520"/>
      <c r="F43" s="520"/>
      <c r="G43" s="520" t="s">
        <v>282</v>
      </c>
      <c r="H43" s="520" t="s">
        <v>515</v>
      </c>
      <c r="I43" s="795" t="s">
        <v>921</v>
      </c>
      <c r="J43" s="521">
        <v>-981.45</v>
      </c>
      <c r="K43" s="521">
        <v>-981.45</v>
      </c>
    </row>
    <row r="44" spans="1:11" x14ac:dyDescent="0.25">
      <c r="B44" s="520" t="s">
        <v>922</v>
      </c>
      <c r="C44" s="520" t="s">
        <v>279</v>
      </c>
      <c r="D44" s="520">
        <v>289</v>
      </c>
      <c r="E44" s="520"/>
      <c r="F44" s="520"/>
      <c r="G44" s="520" t="s">
        <v>282</v>
      </c>
      <c r="H44" s="520" t="s">
        <v>515</v>
      </c>
      <c r="I44" s="795" t="s">
        <v>921</v>
      </c>
      <c r="J44" s="521">
        <v>-981.45</v>
      </c>
      <c r="K44" s="521">
        <v>-1962.9</v>
      </c>
    </row>
    <row r="45" spans="1:11" x14ac:dyDescent="0.25">
      <c r="A45" s="519" t="s">
        <v>944</v>
      </c>
      <c r="J45" s="523">
        <v>-1962.9</v>
      </c>
    </row>
    <row r="46" spans="1:11" x14ac:dyDescent="0.25">
      <c r="A46" s="519" t="s">
        <v>945</v>
      </c>
    </row>
    <row r="47" spans="1:11" x14ac:dyDescent="0.25">
      <c r="B47" s="520" t="s">
        <v>920</v>
      </c>
      <c r="C47" s="520" t="s">
        <v>279</v>
      </c>
      <c r="D47" s="520">
        <v>214</v>
      </c>
      <c r="E47" s="520"/>
      <c r="F47" s="520"/>
      <c r="G47" s="520" t="s">
        <v>282</v>
      </c>
      <c r="H47" s="520" t="s">
        <v>518</v>
      </c>
      <c r="I47" s="795" t="s">
        <v>921</v>
      </c>
      <c r="J47" s="521">
        <v>-26.55</v>
      </c>
      <c r="K47" s="521">
        <v>-26.55</v>
      </c>
    </row>
    <row r="48" spans="1:11" x14ac:dyDescent="0.25">
      <c r="B48" s="520" t="s">
        <v>922</v>
      </c>
      <c r="C48" s="520" t="s">
        <v>279</v>
      </c>
      <c r="D48" s="520">
        <v>290</v>
      </c>
      <c r="E48" s="520"/>
      <c r="F48" s="520"/>
      <c r="G48" s="520" t="s">
        <v>282</v>
      </c>
      <c r="H48" s="520" t="s">
        <v>518</v>
      </c>
      <c r="I48" s="795" t="s">
        <v>921</v>
      </c>
      <c r="J48" s="521">
        <v>-26.55</v>
      </c>
      <c r="K48" s="521">
        <v>-53.1</v>
      </c>
    </row>
    <row r="49" spans="1:11" x14ac:dyDescent="0.25">
      <c r="A49" s="519" t="s">
        <v>946</v>
      </c>
      <c r="J49" s="523">
        <v>-53.1</v>
      </c>
    </row>
    <row r="50" spans="1:11" x14ac:dyDescent="0.25">
      <c r="A50" s="519" t="s">
        <v>947</v>
      </c>
      <c r="J50" s="523">
        <v>19065.57</v>
      </c>
    </row>
    <row r="51" spans="1:11" x14ac:dyDescent="0.25">
      <c r="A51" s="519" t="s">
        <v>948</v>
      </c>
    </row>
    <row r="52" spans="1:11" x14ac:dyDescent="0.25">
      <c r="A52" s="519" t="s">
        <v>949</v>
      </c>
    </row>
    <row r="53" spans="1:11" x14ac:dyDescent="0.25">
      <c r="A53" s="519" t="s">
        <v>950</v>
      </c>
    </row>
    <row r="54" spans="1:11" x14ac:dyDescent="0.25">
      <c r="B54" s="520" t="s">
        <v>920</v>
      </c>
      <c r="C54" s="520" t="s">
        <v>279</v>
      </c>
      <c r="D54" s="520">
        <v>233</v>
      </c>
      <c r="E54" s="520"/>
      <c r="F54" s="520"/>
      <c r="G54" s="520" t="s">
        <v>282</v>
      </c>
      <c r="H54" s="520" t="s">
        <v>313</v>
      </c>
      <c r="I54" s="795" t="s">
        <v>921</v>
      </c>
      <c r="J54" s="521">
        <v>840</v>
      </c>
      <c r="K54" s="521">
        <v>840</v>
      </c>
    </row>
    <row r="55" spans="1:11" x14ac:dyDescent="0.25">
      <c r="B55" s="520" t="s">
        <v>951</v>
      </c>
      <c r="C55" s="520" t="s">
        <v>279</v>
      </c>
      <c r="D55" s="520">
        <v>248</v>
      </c>
      <c r="E55" s="520"/>
      <c r="F55" s="520"/>
      <c r="G55" s="520" t="s">
        <v>282</v>
      </c>
      <c r="H55" s="520" t="s">
        <v>313</v>
      </c>
      <c r="I55" s="795" t="s">
        <v>921</v>
      </c>
      <c r="J55" s="521">
        <v>840</v>
      </c>
      <c r="K55" s="521">
        <v>1680</v>
      </c>
    </row>
    <row r="56" spans="1:11" x14ac:dyDescent="0.25">
      <c r="A56" s="519" t="s">
        <v>952</v>
      </c>
      <c r="J56" s="523">
        <v>1680</v>
      </c>
    </row>
    <row r="57" spans="1:11" x14ac:dyDescent="0.25">
      <c r="A57" s="519" t="s">
        <v>953</v>
      </c>
      <c r="J57" s="523">
        <v>1680</v>
      </c>
    </row>
    <row r="58" spans="1:11" x14ac:dyDescent="0.25">
      <c r="A58" s="519" t="s">
        <v>954</v>
      </c>
    </row>
    <row r="59" spans="1:11" x14ac:dyDescent="0.25">
      <c r="B59" s="520" t="s">
        <v>955</v>
      </c>
      <c r="C59" s="520" t="s">
        <v>279</v>
      </c>
      <c r="D59" s="520">
        <v>229</v>
      </c>
      <c r="E59" s="520"/>
      <c r="F59" s="520"/>
      <c r="G59" s="520" t="s">
        <v>282</v>
      </c>
      <c r="H59" s="520" t="s">
        <v>523</v>
      </c>
      <c r="I59" s="795" t="s">
        <v>921</v>
      </c>
      <c r="J59" s="521">
        <v>1885</v>
      </c>
      <c r="K59" s="521">
        <v>1885</v>
      </c>
    </row>
    <row r="60" spans="1:11" x14ac:dyDescent="0.25">
      <c r="B60" s="520" t="s">
        <v>951</v>
      </c>
      <c r="C60" s="520" t="s">
        <v>279</v>
      </c>
      <c r="D60" s="520">
        <v>287</v>
      </c>
      <c r="E60" s="520"/>
      <c r="F60" s="520"/>
      <c r="G60" s="520" t="s">
        <v>282</v>
      </c>
      <c r="H60" s="520" t="s">
        <v>523</v>
      </c>
      <c r="I60" s="795" t="s">
        <v>921</v>
      </c>
      <c r="J60" s="521">
        <v>1946</v>
      </c>
      <c r="K60" s="521">
        <v>3831</v>
      </c>
    </row>
    <row r="61" spans="1:11" x14ac:dyDescent="0.25">
      <c r="A61" s="519" t="s">
        <v>956</v>
      </c>
      <c r="J61" s="523">
        <v>3831</v>
      </c>
    </row>
    <row r="62" spans="1:11" x14ac:dyDescent="0.25">
      <c r="A62" s="519" t="s">
        <v>957</v>
      </c>
    </row>
    <row r="63" spans="1:11" x14ac:dyDescent="0.25">
      <c r="B63" s="520" t="s">
        <v>955</v>
      </c>
      <c r="C63" s="520" t="s">
        <v>279</v>
      </c>
      <c r="D63" s="520">
        <v>230</v>
      </c>
      <c r="E63" s="520"/>
      <c r="F63" s="520"/>
      <c r="G63" s="520" t="s">
        <v>282</v>
      </c>
      <c r="H63" s="520" t="s">
        <v>526</v>
      </c>
      <c r="I63" s="795" t="s">
        <v>921</v>
      </c>
      <c r="J63" s="521">
        <v>441</v>
      </c>
      <c r="K63" s="521">
        <v>441</v>
      </c>
    </row>
    <row r="64" spans="1:11" x14ac:dyDescent="0.25">
      <c r="B64" s="520" t="s">
        <v>951</v>
      </c>
      <c r="C64" s="520" t="s">
        <v>279</v>
      </c>
      <c r="D64" s="520">
        <v>283</v>
      </c>
      <c r="E64" s="520"/>
      <c r="F64" s="520"/>
      <c r="G64" s="520" t="s">
        <v>282</v>
      </c>
      <c r="H64" s="520" t="s">
        <v>526</v>
      </c>
      <c r="I64" s="795" t="s">
        <v>921</v>
      </c>
      <c r="J64" s="521">
        <v>455</v>
      </c>
      <c r="K64" s="521">
        <v>896</v>
      </c>
    </row>
    <row r="65" spans="1:11" x14ac:dyDescent="0.25">
      <c r="A65" s="519" t="s">
        <v>958</v>
      </c>
      <c r="J65" s="523">
        <v>896</v>
      </c>
    </row>
    <row r="66" spans="1:11" x14ac:dyDescent="0.25">
      <c r="A66" s="519" t="s">
        <v>959</v>
      </c>
    </row>
    <row r="67" spans="1:11" x14ac:dyDescent="0.25">
      <c r="B67" s="520" t="s">
        <v>920</v>
      </c>
      <c r="C67" s="520" t="s">
        <v>279</v>
      </c>
      <c r="D67" s="520">
        <v>232</v>
      </c>
      <c r="E67" s="520"/>
      <c r="F67" s="520"/>
      <c r="G67" s="520" t="s">
        <v>282</v>
      </c>
      <c r="H67" s="520" t="s">
        <v>529</v>
      </c>
      <c r="I67" s="795" t="s">
        <v>921</v>
      </c>
      <c r="J67" s="521">
        <v>875</v>
      </c>
      <c r="K67" s="521">
        <v>875</v>
      </c>
    </row>
    <row r="68" spans="1:11" x14ac:dyDescent="0.25">
      <c r="B68" s="520" t="s">
        <v>951</v>
      </c>
      <c r="C68" s="520" t="s">
        <v>279</v>
      </c>
      <c r="D68" s="520">
        <v>285</v>
      </c>
      <c r="E68" s="520"/>
      <c r="F68" s="520"/>
      <c r="G68" s="520" t="s">
        <v>282</v>
      </c>
      <c r="H68" s="520" t="s">
        <v>529</v>
      </c>
      <c r="I68" s="795" t="s">
        <v>921</v>
      </c>
      <c r="J68" s="521">
        <v>906</v>
      </c>
      <c r="K68" s="521">
        <v>1781</v>
      </c>
    </row>
    <row r="69" spans="1:11" x14ac:dyDescent="0.25">
      <c r="A69" s="519" t="s">
        <v>960</v>
      </c>
      <c r="J69" s="523">
        <v>1781</v>
      </c>
    </row>
    <row r="70" spans="1:11" x14ac:dyDescent="0.25">
      <c r="A70" s="519" t="s">
        <v>961</v>
      </c>
    </row>
    <row r="71" spans="1:11" x14ac:dyDescent="0.25">
      <c r="B71" s="520" t="s">
        <v>955</v>
      </c>
      <c r="C71" s="520" t="s">
        <v>279</v>
      </c>
      <c r="D71" s="520">
        <v>228</v>
      </c>
      <c r="E71" s="520"/>
      <c r="F71" s="520"/>
      <c r="G71" s="520" t="s">
        <v>282</v>
      </c>
      <c r="H71" s="520" t="s">
        <v>532</v>
      </c>
      <c r="I71" s="795" t="s">
        <v>921</v>
      </c>
      <c r="J71" s="521">
        <v>172</v>
      </c>
      <c r="K71" s="521">
        <v>172</v>
      </c>
    </row>
    <row r="72" spans="1:11" x14ac:dyDescent="0.25">
      <c r="B72" s="520" t="s">
        <v>951</v>
      </c>
      <c r="C72" s="520" t="s">
        <v>279</v>
      </c>
      <c r="D72" s="520">
        <v>286</v>
      </c>
      <c r="E72" s="520"/>
      <c r="F72" s="520"/>
      <c r="G72" s="520" t="s">
        <v>282</v>
      </c>
      <c r="H72" s="520" t="s">
        <v>532</v>
      </c>
      <c r="I72" s="795" t="s">
        <v>921</v>
      </c>
      <c r="J72" s="521">
        <v>178</v>
      </c>
      <c r="K72" s="521">
        <v>350</v>
      </c>
    </row>
    <row r="73" spans="1:11" x14ac:dyDescent="0.25">
      <c r="A73" s="519" t="s">
        <v>962</v>
      </c>
      <c r="J73" s="523">
        <v>350</v>
      </c>
    </row>
    <row r="74" spans="1:11" x14ac:dyDescent="0.25">
      <c r="A74" s="519" t="s">
        <v>963</v>
      </c>
      <c r="J74" s="523">
        <v>8538</v>
      </c>
    </row>
    <row r="75" spans="1:11" x14ac:dyDescent="0.25">
      <c r="A75" s="519" t="s">
        <v>964</v>
      </c>
    </row>
    <row r="76" spans="1:11" x14ac:dyDescent="0.25">
      <c r="A76" s="519" t="s">
        <v>965</v>
      </c>
    </row>
    <row r="77" spans="1:11" x14ac:dyDescent="0.25">
      <c r="B77" s="520" t="s">
        <v>955</v>
      </c>
      <c r="C77" s="520" t="s">
        <v>279</v>
      </c>
      <c r="D77" s="520">
        <v>231</v>
      </c>
      <c r="E77" s="520"/>
      <c r="F77" s="520"/>
      <c r="G77" s="520" t="s">
        <v>282</v>
      </c>
      <c r="H77" s="520" t="s">
        <v>319</v>
      </c>
      <c r="I77" s="795" t="s">
        <v>921</v>
      </c>
      <c r="J77" s="521">
        <v>437</v>
      </c>
      <c r="K77" s="521">
        <v>437</v>
      </c>
    </row>
    <row r="78" spans="1:11" x14ac:dyDescent="0.25">
      <c r="B78" s="520" t="s">
        <v>951</v>
      </c>
      <c r="C78" s="520" t="s">
        <v>279</v>
      </c>
      <c r="D78" s="520">
        <v>284</v>
      </c>
      <c r="E78" s="520"/>
      <c r="F78" s="520"/>
      <c r="G78" s="520" t="s">
        <v>282</v>
      </c>
      <c r="H78" s="520" t="s">
        <v>319</v>
      </c>
      <c r="I78" s="795" t="s">
        <v>921</v>
      </c>
      <c r="J78" s="521">
        <v>355</v>
      </c>
      <c r="K78" s="521">
        <v>792</v>
      </c>
    </row>
    <row r="79" spans="1:11" x14ac:dyDescent="0.25">
      <c r="A79" s="519" t="s">
        <v>966</v>
      </c>
      <c r="J79" s="523">
        <v>792</v>
      </c>
    </row>
    <row r="80" spans="1:11" x14ac:dyDescent="0.25">
      <c r="A80" s="519" t="s">
        <v>967</v>
      </c>
      <c r="J80" s="523">
        <v>792</v>
      </c>
    </row>
    <row r="81" spans="1:11" x14ac:dyDescent="0.25">
      <c r="A81" s="519" t="s">
        <v>968</v>
      </c>
      <c r="J81" s="523">
        <v>92071.57</v>
      </c>
    </row>
    <row r="82" spans="1:11" x14ac:dyDescent="0.25">
      <c r="A82" s="519" t="s">
        <v>969</v>
      </c>
    </row>
    <row r="83" spans="1:11" x14ac:dyDescent="0.25">
      <c r="A83" s="519" t="s">
        <v>970</v>
      </c>
    </row>
    <row r="84" spans="1:11" x14ac:dyDescent="0.25">
      <c r="A84" s="519" t="s">
        <v>971</v>
      </c>
    </row>
    <row r="85" spans="1:11" x14ac:dyDescent="0.25">
      <c r="B85" s="520" t="s">
        <v>920</v>
      </c>
      <c r="C85" s="520" t="s">
        <v>279</v>
      </c>
      <c r="D85" s="520">
        <v>235</v>
      </c>
      <c r="E85" s="520"/>
      <c r="F85" s="520"/>
      <c r="G85" s="520" t="s">
        <v>282</v>
      </c>
      <c r="H85" s="520" t="s">
        <v>326</v>
      </c>
      <c r="I85" s="795" t="s">
        <v>921</v>
      </c>
      <c r="J85" s="521">
        <v>1002</v>
      </c>
      <c r="K85" s="521">
        <v>1002</v>
      </c>
    </row>
    <row r="86" spans="1:11" x14ac:dyDescent="0.25">
      <c r="B86" s="520" t="s">
        <v>951</v>
      </c>
      <c r="C86" s="520" t="s">
        <v>279</v>
      </c>
      <c r="D86" s="520">
        <v>268</v>
      </c>
      <c r="E86" s="520"/>
      <c r="F86" s="520"/>
      <c r="G86" s="520" t="s">
        <v>282</v>
      </c>
      <c r="H86" s="520" t="s">
        <v>326</v>
      </c>
      <c r="I86" s="795" t="s">
        <v>921</v>
      </c>
      <c r="J86" s="521">
        <v>1002</v>
      </c>
      <c r="K86" s="521">
        <v>2004</v>
      </c>
    </row>
    <row r="87" spans="1:11" x14ac:dyDescent="0.25">
      <c r="A87" s="519" t="s">
        <v>972</v>
      </c>
      <c r="J87" s="523">
        <v>2004</v>
      </c>
    </row>
    <row r="88" spans="1:11" x14ac:dyDescent="0.25">
      <c r="A88" s="519" t="s">
        <v>973</v>
      </c>
      <c r="J88" s="523">
        <v>2004</v>
      </c>
    </row>
    <row r="89" spans="1:11" x14ac:dyDescent="0.25">
      <c r="A89" s="519" t="s">
        <v>974</v>
      </c>
    </row>
    <row r="90" spans="1:11" x14ac:dyDescent="0.25">
      <c r="A90" s="519" t="s">
        <v>975</v>
      </c>
    </row>
    <row r="91" spans="1:11" x14ac:dyDescent="0.25">
      <c r="B91" s="520" t="s">
        <v>920</v>
      </c>
      <c r="C91" s="520" t="s">
        <v>279</v>
      </c>
      <c r="D91" s="520">
        <v>234</v>
      </c>
      <c r="E91" s="520"/>
      <c r="F91" s="520"/>
      <c r="G91" s="520" t="s">
        <v>282</v>
      </c>
      <c r="H91" s="520" t="s">
        <v>976</v>
      </c>
      <c r="I91" s="795" t="s">
        <v>921</v>
      </c>
      <c r="J91" s="521">
        <v>1633</v>
      </c>
      <c r="K91" s="521">
        <v>1633</v>
      </c>
    </row>
    <row r="92" spans="1:11" x14ac:dyDescent="0.25">
      <c r="B92" s="520" t="s">
        <v>951</v>
      </c>
      <c r="C92" s="520" t="s">
        <v>279</v>
      </c>
      <c r="D92" s="520">
        <v>270</v>
      </c>
      <c r="E92" s="520"/>
      <c r="F92" s="520"/>
      <c r="G92" s="520" t="s">
        <v>282</v>
      </c>
      <c r="H92" s="520" t="s">
        <v>976</v>
      </c>
      <c r="I92" s="795" t="s">
        <v>921</v>
      </c>
      <c r="J92" s="521">
        <v>1633</v>
      </c>
      <c r="K92" s="521">
        <v>3266</v>
      </c>
    </row>
    <row r="93" spans="1:11" x14ac:dyDescent="0.25">
      <c r="A93" s="519" t="s">
        <v>977</v>
      </c>
      <c r="J93" s="523">
        <v>3266</v>
      </c>
    </row>
    <row r="94" spans="1:11" x14ac:dyDescent="0.25">
      <c r="A94" s="519" t="s">
        <v>978</v>
      </c>
      <c r="J94" s="523">
        <v>3266</v>
      </c>
    </row>
    <row r="95" spans="1:11" x14ac:dyDescent="0.25">
      <c r="A95" s="519" t="s">
        <v>979</v>
      </c>
      <c r="J95" s="523">
        <v>5270</v>
      </c>
    </row>
    <row r="96" spans="1:11" x14ac:dyDescent="0.25">
      <c r="A96" s="519" t="s">
        <v>980</v>
      </c>
    </row>
    <row r="97" spans="1:11" x14ac:dyDescent="0.25">
      <c r="A97" s="519" t="s">
        <v>981</v>
      </c>
    </row>
    <row r="98" spans="1:11" x14ac:dyDescent="0.25">
      <c r="B98" s="520" t="s">
        <v>982</v>
      </c>
      <c r="C98" s="520" t="s">
        <v>299</v>
      </c>
      <c r="D98" s="520" t="s">
        <v>983</v>
      </c>
      <c r="E98" s="520" t="s">
        <v>454</v>
      </c>
      <c r="F98" s="520" t="s">
        <v>904</v>
      </c>
      <c r="G98" s="520" t="s">
        <v>282</v>
      </c>
      <c r="H98" s="520" t="s">
        <v>984</v>
      </c>
      <c r="I98" s="520" t="s">
        <v>929</v>
      </c>
      <c r="J98" s="521">
        <v>174.75</v>
      </c>
      <c r="K98" s="521">
        <v>174.75</v>
      </c>
    </row>
    <row r="99" spans="1:11" x14ac:dyDescent="0.25">
      <c r="A99" s="519" t="s">
        <v>985</v>
      </c>
      <c r="J99" s="523">
        <v>174.75</v>
      </c>
    </row>
    <row r="100" spans="1:11" x14ac:dyDescent="0.25">
      <c r="A100" s="519" t="s">
        <v>986</v>
      </c>
    </row>
    <row r="101" spans="1:11" x14ac:dyDescent="0.25">
      <c r="A101" s="519" t="s">
        <v>987</v>
      </c>
    </row>
    <row r="102" spans="1:11" x14ac:dyDescent="0.25">
      <c r="B102" s="520" t="s">
        <v>920</v>
      </c>
      <c r="C102" s="520" t="s">
        <v>279</v>
      </c>
      <c r="D102" s="520">
        <v>237</v>
      </c>
      <c r="E102" s="520"/>
      <c r="F102" s="520"/>
      <c r="G102" s="520" t="s">
        <v>282</v>
      </c>
      <c r="H102" s="520" t="s">
        <v>342</v>
      </c>
      <c r="I102" s="795" t="s">
        <v>921</v>
      </c>
      <c r="J102" s="521">
        <v>825</v>
      </c>
      <c r="K102" s="521">
        <v>825</v>
      </c>
    </row>
    <row r="103" spans="1:11" x14ac:dyDescent="0.25">
      <c r="A103" s="519" t="s">
        <v>988</v>
      </c>
      <c r="J103" s="523">
        <v>825</v>
      </c>
    </row>
    <row r="104" spans="1:11" x14ac:dyDescent="0.25">
      <c r="A104" s="519" t="s">
        <v>989</v>
      </c>
      <c r="J104" s="523">
        <v>825</v>
      </c>
    </row>
    <row r="105" spans="1:11" x14ac:dyDescent="0.25">
      <c r="A105" s="519" t="s">
        <v>990</v>
      </c>
    </row>
    <row r="106" spans="1:11" x14ac:dyDescent="0.25">
      <c r="A106" s="519" t="s">
        <v>991</v>
      </c>
    </row>
    <row r="107" spans="1:11" x14ac:dyDescent="0.25">
      <c r="B107" s="520" t="s">
        <v>920</v>
      </c>
      <c r="C107" s="520" t="s">
        <v>279</v>
      </c>
      <c r="D107" s="520">
        <v>238</v>
      </c>
      <c r="E107" s="520"/>
      <c r="F107" s="520"/>
      <c r="G107" s="520" t="s">
        <v>282</v>
      </c>
      <c r="H107" s="520" t="s">
        <v>347</v>
      </c>
      <c r="I107" s="795" t="s">
        <v>921</v>
      </c>
      <c r="J107" s="521">
        <v>352</v>
      </c>
      <c r="K107" s="521">
        <v>352</v>
      </c>
    </row>
    <row r="108" spans="1:11" x14ac:dyDescent="0.25">
      <c r="B108" s="520" t="s">
        <v>951</v>
      </c>
      <c r="C108" s="520" t="s">
        <v>279</v>
      </c>
      <c r="D108" s="520">
        <v>266</v>
      </c>
      <c r="E108" s="520"/>
      <c r="F108" s="520"/>
      <c r="G108" s="520" t="s">
        <v>282</v>
      </c>
      <c r="H108" s="520" t="s">
        <v>347</v>
      </c>
      <c r="I108" s="795" t="s">
        <v>921</v>
      </c>
      <c r="J108" s="521">
        <v>404</v>
      </c>
      <c r="K108" s="521">
        <v>756</v>
      </c>
    </row>
    <row r="109" spans="1:11" x14ac:dyDescent="0.25">
      <c r="A109" s="519" t="s">
        <v>992</v>
      </c>
      <c r="J109" s="523">
        <v>756</v>
      </c>
    </row>
    <row r="110" spans="1:11" x14ac:dyDescent="0.25">
      <c r="A110" s="519" t="s">
        <v>993</v>
      </c>
      <c r="J110" s="523">
        <v>756</v>
      </c>
    </row>
    <row r="111" spans="1:11" x14ac:dyDescent="0.25">
      <c r="A111" s="519" t="s">
        <v>994</v>
      </c>
    </row>
    <row r="112" spans="1:11" x14ac:dyDescent="0.25">
      <c r="B112" s="520" t="s">
        <v>920</v>
      </c>
      <c r="C112" s="520" t="s">
        <v>279</v>
      </c>
      <c r="D112" s="520">
        <v>236</v>
      </c>
      <c r="E112" s="520"/>
      <c r="F112" s="520"/>
      <c r="G112" s="520" t="s">
        <v>282</v>
      </c>
      <c r="H112" s="520" t="s">
        <v>351</v>
      </c>
      <c r="I112" s="795" t="s">
        <v>921</v>
      </c>
      <c r="J112" s="521">
        <v>0</v>
      </c>
      <c r="K112" s="521">
        <v>0</v>
      </c>
    </row>
    <row r="113" spans="1:11" x14ac:dyDescent="0.25">
      <c r="B113" s="520" t="s">
        <v>951</v>
      </c>
      <c r="C113" s="520" t="s">
        <v>279</v>
      </c>
      <c r="D113" s="520">
        <v>267</v>
      </c>
      <c r="E113" s="520"/>
      <c r="F113" s="520"/>
      <c r="G113" s="520" t="s">
        <v>282</v>
      </c>
      <c r="H113" s="520" t="s">
        <v>351</v>
      </c>
      <c r="I113" s="795" t="s">
        <v>921</v>
      </c>
      <c r="J113" s="521">
        <v>115</v>
      </c>
      <c r="K113" s="521">
        <v>115</v>
      </c>
    </row>
    <row r="114" spans="1:11" x14ac:dyDescent="0.25">
      <c r="A114" s="519" t="s">
        <v>995</v>
      </c>
      <c r="J114" s="523">
        <v>115</v>
      </c>
    </row>
    <row r="115" spans="1:11" x14ac:dyDescent="0.25">
      <c r="A115" s="519" t="s">
        <v>996</v>
      </c>
    </row>
    <row r="116" spans="1:11" x14ac:dyDescent="0.25">
      <c r="B116" s="520" t="s">
        <v>920</v>
      </c>
      <c r="C116" s="520" t="s">
        <v>279</v>
      </c>
      <c r="D116" s="520">
        <v>239</v>
      </c>
      <c r="E116" s="520"/>
      <c r="F116" s="520"/>
      <c r="G116" s="520" t="s">
        <v>282</v>
      </c>
      <c r="H116" s="520" t="s">
        <v>358</v>
      </c>
      <c r="I116" s="795" t="s">
        <v>921</v>
      </c>
      <c r="J116" s="521">
        <v>104</v>
      </c>
      <c r="K116" s="521">
        <v>104</v>
      </c>
    </row>
    <row r="117" spans="1:11" x14ac:dyDescent="0.25">
      <c r="B117" s="520" t="s">
        <v>951</v>
      </c>
      <c r="C117" s="520" t="s">
        <v>279</v>
      </c>
      <c r="D117" s="520">
        <v>265</v>
      </c>
      <c r="E117" s="520"/>
      <c r="F117" s="520"/>
      <c r="G117" s="520" t="s">
        <v>282</v>
      </c>
      <c r="H117" s="520" t="s">
        <v>358</v>
      </c>
      <c r="I117" s="795" t="s">
        <v>921</v>
      </c>
      <c r="J117" s="521">
        <v>104</v>
      </c>
      <c r="K117" s="521">
        <v>208</v>
      </c>
    </row>
    <row r="118" spans="1:11" x14ac:dyDescent="0.25">
      <c r="A118" s="519" t="s">
        <v>997</v>
      </c>
      <c r="J118" s="523">
        <v>208</v>
      </c>
    </row>
    <row r="119" spans="1:11" x14ac:dyDescent="0.25">
      <c r="A119" s="519" t="s">
        <v>998</v>
      </c>
      <c r="J119" s="523">
        <v>2078.75</v>
      </c>
    </row>
    <row r="120" spans="1:11" x14ac:dyDescent="0.25">
      <c r="A120" s="519" t="s">
        <v>999</v>
      </c>
    </row>
    <row r="121" spans="1:11" x14ac:dyDescent="0.25">
      <c r="A121" s="519" t="s">
        <v>1000</v>
      </c>
    </row>
    <row r="122" spans="1:11" x14ac:dyDescent="0.25">
      <c r="A122" s="519" t="s">
        <v>1001</v>
      </c>
    </row>
    <row r="123" spans="1:11" x14ac:dyDescent="0.25">
      <c r="B123" s="520" t="s">
        <v>1002</v>
      </c>
      <c r="C123" s="520" t="s">
        <v>299</v>
      </c>
      <c r="D123" s="520" t="s">
        <v>1003</v>
      </c>
      <c r="E123" s="520" t="s">
        <v>366</v>
      </c>
      <c r="F123" s="520" t="s">
        <v>904</v>
      </c>
      <c r="G123" s="520" t="s">
        <v>282</v>
      </c>
      <c r="H123" s="520" t="s">
        <v>1004</v>
      </c>
      <c r="I123" s="520" t="s">
        <v>929</v>
      </c>
      <c r="J123" s="521">
        <v>1565.45</v>
      </c>
      <c r="K123" s="521">
        <v>1565.45</v>
      </c>
    </row>
    <row r="124" spans="1:11" x14ac:dyDescent="0.25">
      <c r="B124" s="520" t="s">
        <v>1005</v>
      </c>
      <c r="C124" s="520" t="s">
        <v>299</v>
      </c>
      <c r="D124" s="520" t="s">
        <v>1006</v>
      </c>
      <c r="E124" s="520" t="s">
        <v>366</v>
      </c>
      <c r="F124" s="520" t="s">
        <v>904</v>
      </c>
      <c r="G124" s="520" t="s">
        <v>282</v>
      </c>
      <c r="H124" s="520" t="s">
        <v>1007</v>
      </c>
      <c r="I124" s="520" t="s">
        <v>929</v>
      </c>
      <c r="J124" s="521">
        <v>1313.12</v>
      </c>
      <c r="K124" s="521">
        <v>2878.57</v>
      </c>
    </row>
    <row r="125" spans="1:11" x14ac:dyDescent="0.25">
      <c r="A125" s="519" t="s">
        <v>1008</v>
      </c>
      <c r="J125" s="523">
        <v>2878.57</v>
      </c>
    </row>
    <row r="126" spans="1:11" x14ac:dyDescent="0.25">
      <c r="A126" s="519" t="s">
        <v>1009</v>
      </c>
    </row>
    <row r="127" spans="1:11" x14ac:dyDescent="0.25">
      <c r="B127" s="520" t="s">
        <v>955</v>
      </c>
      <c r="C127" s="520" t="s">
        <v>279</v>
      </c>
      <c r="D127" s="520">
        <v>242</v>
      </c>
      <c r="E127" s="520"/>
      <c r="F127" s="520"/>
      <c r="G127" s="520" t="s">
        <v>282</v>
      </c>
      <c r="H127" s="520" t="s">
        <v>9</v>
      </c>
      <c r="I127" s="795" t="s">
        <v>921</v>
      </c>
      <c r="J127" s="521">
        <v>590</v>
      </c>
      <c r="K127" s="521">
        <v>590</v>
      </c>
    </row>
    <row r="128" spans="1:11" x14ac:dyDescent="0.25">
      <c r="B128" s="520" t="s">
        <v>951</v>
      </c>
      <c r="C128" s="520" t="s">
        <v>279</v>
      </c>
      <c r="D128" s="520">
        <v>277</v>
      </c>
      <c r="E128" s="520"/>
      <c r="F128" s="520"/>
      <c r="G128" s="520" t="s">
        <v>282</v>
      </c>
      <c r="H128" s="520" t="s">
        <v>9</v>
      </c>
      <c r="I128" s="795" t="s">
        <v>921</v>
      </c>
      <c r="J128" s="521">
        <v>567</v>
      </c>
      <c r="K128" s="521">
        <v>1157</v>
      </c>
    </row>
    <row r="129" spans="1:11" x14ac:dyDescent="0.25">
      <c r="A129" s="519" t="s">
        <v>1010</v>
      </c>
      <c r="J129" s="523">
        <v>1157</v>
      </c>
    </row>
    <row r="130" spans="1:11" x14ac:dyDescent="0.25">
      <c r="A130" s="519" t="s">
        <v>1011</v>
      </c>
      <c r="J130" s="523">
        <v>4035.57</v>
      </c>
    </row>
    <row r="131" spans="1:11" x14ac:dyDescent="0.25">
      <c r="A131" s="519" t="s">
        <v>1012</v>
      </c>
    </row>
    <row r="132" spans="1:11" x14ac:dyDescent="0.25">
      <c r="B132" s="520" t="s">
        <v>1013</v>
      </c>
      <c r="C132" s="520" t="s">
        <v>299</v>
      </c>
      <c r="D132" s="520">
        <v>11591177</v>
      </c>
      <c r="E132" s="520" t="s">
        <v>380</v>
      </c>
      <c r="F132" s="520" t="s">
        <v>1014</v>
      </c>
      <c r="G132" s="520" t="s">
        <v>282</v>
      </c>
      <c r="H132" s="520" t="s">
        <v>1015</v>
      </c>
      <c r="I132" s="520" t="s">
        <v>929</v>
      </c>
      <c r="J132" s="521">
        <v>102.86</v>
      </c>
      <c r="K132" s="521">
        <v>102.86</v>
      </c>
    </row>
    <row r="133" spans="1:11" x14ac:dyDescent="0.25">
      <c r="B133" s="520" t="s">
        <v>1016</v>
      </c>
      <c r="C133" s="520" t="s">
        <v>299</v>
      </c>
      <c r="D133" s="520">
        <v>11629453</v>
      </c>
      <c r="E133" s="520" t="s">
        <v>380</v>
      </c>
      <c r="F133" s="520" t="s">
        <v>1014</v>
      </c>
      <c r="G133" s="520" t="s">
        <v>282</v>
      </c>
      <c r="H133" s="520" t="s">
        <v>1017</v>
      </c>
      <c r="I133" s="520" t="s">
        <v>929</v>
      </c>
      <c r="J133" s="521">
        <v>145.33000000000001</v>
      </c>
      <c r="K133" s="521">
        <v>248.19</v>
      </c>
    </row>
    <row r="134" spans="1:11" x14ac:dyDescent="0.25">
      <c r="A134" s="519" t="s">
        <v>1018</v>
      </c>
      <c r="J134" s="523">
        <v>248.19</v>
      </c>
    </row>
    <row r="135" spans="1:11" x14ac:dyDescent="0.25">
      <c r="A135" s="519" t="s">
        <v>1019</v>
      </c>
    </row>
    <row r="136" spans="1:11" x14ac:dyDescent="0.25">
      <c r="A136" s="519" t="s">
        <v>1020</v>
      </c>
    </row>
    <row r="137" spans="1:11" x14ac:dyDescent="0.25">
      <c r="B137" s="520" t="s">
        <v>920</v>
      </c>
      <c r="C137" s="520" t="s">
        <v>279</v>
      </c>
      <c r="D137" s="520">
        <v>243</v>
      </c>
      <c r="E137" s="520"/>
      <c r="F137" s="520"/>
      <c r="G137" s="520" t="s">
        <v>282</v>
      </c>
      <c r="H137" s="520" t="s">
        <v>389</v>
      </c>
      <c r="I137" s="795" t="s">
        <v>921</v>
      </c>
      <c r="J137" s="521">
        <v>746</v>
      </c>
      <c r="K137" s="521">
        <v>746</v>
      </c>
    </row>
    <row r="138" spans="1:11" x14ac:dyDescent="0.25">
      <c r="B138" s="520" t="s">
        <v>951</v>
      </c>
      <c r="C138" s="520" t="s">
        <v>279</v>
      </c>
      <c r="D138" s="520">
        <v>274</v>
      </c>
      <c r="E138" s="520"/>
      <c r="F138" s="520"/>
      <c r="G138" s="520" t="s">
        <v>282</v>
      </c>
      <c r="H138" s="520" t="s">
        <v>389</v>
      </c>
      <c r="I138" s="795" t="s">
        <v>921</v>
      </c>
      <c r="J138" s="521">
        <v>694</v>
      </c>
      <c r="K138" s="521">
        <v>1440</v>
      </c>
    </row>
    <row r="139" spans="1:11" x14ac:dyDescent="0.25">
      <c r="A139" s="519" t="s">
        <v>1021</v>
      </c>
      <c r="J139" s="523">
        <v>1440</v>
      </c>
    </row>
    <row r="140" spans="1:11" x14ac:dyDescent="0.25">
      <c r="A140" s="519" t="s">
        <v>1022</v>
      </c>
      <c r="J140" s="523">
        <v>1440</v>
      </c>
    </row>
    <row r="141" spans="1:11" x14ac:dyDescent="0.25">
      <c r="A141" s="519" t="s">
        <v>1023</v>
      </c>
    </row>
    <row r="142" spans="1:11" x14ac:dyDescent="0.25">
      <c r="B142" s="520" t="s">
        <v>1024</v>
      </c>
      <c r="C142" s="520" t="s">
        <v>299</v>
      </c>
      <c r="D142" s="520">
        <v>820</v>
      </c>
      <c r="E142" s="520" t="s">
        <v>1025</v>
      </c>
      <c r="F142" s="520" t="s">
        <v>904</v>
      </c>
      <c r="G142" s="520" t="s">
        <v>282</v>
      </c>
      <c r="H142" s="520" t="s">
        <v>1026</v>
      </c>
      <c r="I142" s="520" t="s">
        <v>929</v>
      </c>
      <c r="J142" s="521">
        <v>1675</v>
      </c>
      <c r="K142" s="521">
        <v>1675</v>
      </c>
    </row>
    <row r="143" spans="1:11" x14ac:dyDescent="0.25">
      <c r="B143" s="520" t="s">
        <v>982</v>
      </c>
      <c r="C143" s="520" t="s">
        <v>299</v>
      </c>
      <c r="D143" s="520" t="s">
        <v>983</v>
      </c>
      <c r="E143" s="520" t="s">
        <v>454</v>
      </c>
      <c r="F143" s="520" t="s">
        <v>904</v>
      </c>
      <c r="G143" s="520" t="s">
        <v>282</v>
      </c>
      <c r="H143" s="520" t="s">
        <v>1027</v>
      </c>
      <c r="I143" s="520" t="s">
        <v>929</v>
      </c>
      <c r="J143" s="521">
        <v>4.99</v>
      </c>
      <c r="K143" s="521">
        <v>1679.99</v>
      </c>
    </row>
    <row r="144" spans="1:11" x14ac:dyDescent="0.25">
      <c r="A144" s="519" t="s">
        <v>1028</v>
      </c>
      <c r="J144" s="523">
        <v>1679.99</v>
      </c>
    </row>
    <row r="145" spans="1:11" x14ac:dyDescent="0.25">
      <c r="A145" s="519" t="s">
        <v>1029</v>
      </c>
    </row>
    <row r="146" spans="1:11" x14ac:dyDescent="0.25">
      <c r="B146" s="520" t="s">
        <v>1030</v>
      </c>
      <c r="C146" s="520" t="s">
        <v>299</v>
      </c>
      <c r="D146" s="520">
        <v>179492</v>
      </c>
      <c r="E146" s="520" t="s">
        <v>405</v>
      </c>
      <c r="F146" s="520" t="s">
        <v>904</v>
      </c>
      <c r="G146" s="520" t="s">
        <v>282</v>
      </c>
      <c r="H146" s="520" t="s">
        <v>1031</v>
      </c>
      <c r="I146" s="520" t="s">
        <v>929</v>
      </c>
      <c r="J146" s="521">
        <v>345</v>
      </c>
      <c r="K146" s="521">
        <v>345</v>
      </c>
    </row>
    <row r="147" spans="1:11" x14ac:dyDescent="0.25">
      <c r="B147" s="520" t="s">
        <v>1030</v>
      </c>
      <c r="C147" s="520" t="s">
        <v>299</v>
      </c>
      <c r="D147" s="520">
        <v>179477</v>
      </c>
      <c r="E147" s="520" t="s">
        <v>405</v>
      </c>
      <c r="F147" s="520" t="s">
        <v>904</v>
      </c>
      <c r="G147" s="520" t="s">
        <v>282</v>
      </c>
      <c r="H147" s="520" t="s">
        <v>1032</v>
      </c>
      <c r="I147" s="520" t="s">
        <v>929</v>
      </c>
      <c r="J147" s="521">
        <v>340</v>
      </c>
      <c r="K147" s="521">
        <v>685</v>
      </c>
    </row>
    <row r="148" spans="1:11" x14ac:dyDescent="0.25">
      <c r="B148" s="520" t="s">
        <v>1030</v>
      </c>
      <c r="C148" s="520" t="s">
        <v>299</v>
      </c>
      <c r="D148" s="520">
        <v>179478</v>
      </c>
      <c r="E148" s="520" t="s">
        <v>405</v>
      </c>
      <c r="F148" s="520" t="s">
        <v>904</v>
      </c>
      <c r="G148" s="520" t="s">
        <v>282</v>
      </c>
      <c r="H148" s="520" t="s">
        <v>1033</v>
      </c>
      <c r="I148" s="520" t="s">
        <v>929</v>
      </c>
      <c r="J148" s="521">
        <v>296.85000000000002</v>
      </c>
      <c r="K148" s="521">
        <v>981.85</v>
      </c>
    </row>
    <row r="149" spans="1:11" x14ac:dyDescent="0.25">
      <c r="B149" s="520" t="s">
        <v>1030</v>
      </c>
      <c r="C149" s="520" t="s">
        <v>299</v>
      </c>
      <c r="D149" s="520">
        <v>179491</v>
      </c>
      <c r="E149" s="520" t="s">
        <v>405</v>
      </c>
      <c r="F149" s="520" t="s">
        <v>904</v>
      </c>
      <c r="G149" s="520" t="s">
        <v>282</v>
      </c>
      <c r="H149" s="520" t="s">
        <v>1034</v>
      </c>
      <c r="I149" s="520" t="s">
        <v>929</v>
      </c>
      <c r="J149" s="521">
        <v>197</v>
      </c>
      <c r="K149" s="521">
        <v>1178.8499999999999</v>
      </c>
    </row>
    <row r="150" spans="1:11" x14ac:dyDescent="0.25">
      <c r="A150" s="519" t="s">
        <v>1035</v>
      </c>
      <c r="J150" s="523">
        <v>1178.8499999999999</v>
      </c>
    </row>
    <row r="151" spans="1:11" x14ac:dyDescent="0.25">
      <c r="A151" s="519" t="s">
        <v>1036</v>
      </c>
    </row>
    <row r="152" spans="1:11" x14ac:dyDescent="0.25">
      <c r="B152" s="520" t="s">
        <v>1037</v>
      </c>
      <c r="C152" s="520" t="s">
        <v>279</v>
      </c>
      <c r="D152" s="520">
        <v>280</v>
      </c>
      <c r="E152" s="520"/>
      <c r="F152" s="520"/>
      <c r="G152" s="520" t="s">
        <v>282</v>
      </c>
      <c r="H152" s="520" t="s">
        <v>409</v>
      </c>
      <c r="I152" s="795" t="s">
        <v>921</v>
      </c>
      <c r="J152" s="521">
        <v>514</v>
      </c>
      <c r="K152" s="521">
        <v>514</v>
      </c>
    </row>
    <row r="153" spans="1:11" x14ac:dyDescent="0.25">
      <c r="B153" s="520" t="s">
        <v>922</v>
      </c>
      <c r="C153" s="520" t="s">
        <v>279</v>
      </c>
      <c r="D153" s="520">
        <v>281</v>
      </c>
      <c r="E153" s="520"/>
      <c r="F153" s="520"/>
      <c r="G153" s="520" t="s">
        <v>282</v>
      </c>
      <c r="H153" s="520" t="s">
        <v>409</v>
      </c>
      <c r="I153" s="795" t="s">
        <v>921</v>
      </c>
      <c r="J153" s="521">
        <v>514</v>
      </c>
      <c r="K153" s="521">
        <v>1028</v>
      </c>
    </row>
    <row r="154" spans="1:11" x14ac:dyDescent="0.25">
      <c r="A154" s="519" t="s">
        <v>1038</v>
      </c>
      <c r="J154" s="523">
        <v>1028</v>
      </c>
    </row>
    <row r="155" spans="1:11" x14ac:dyDescent="0.25">
      <c r="A155" s="519" t="s">
        <v>1039</v>
      </c>
      <c r="J155" s="523">
        <v>3886.84</v>
      </c>
    </row>
    <row r="156" spans="1:11" x14ac:dyDescent="0.25">
      <c r="A156" s="519" t="s">
        <v>1040</v>
      </c>
    </row>
    <row r="157" spans="1:11" x14ac:dyDescent="0.25">
      <c r="B157" s="520" t="s">
        <v>1041</v>
      </c>
      <c r="C157" s="520" t="s">
        <v>299</v>
      </c>
      <c r="D157" s="520" t="s">
        <v>1042</v>
      </c>
      <c r="E157" s="520" t="s">
        <v>1043</v>
      </c>
      <c r="F157" s="520" t="s">
        <v>904</v>
      </c>
      <c r="G157" s="520" t="s">
        <v>282</v>
      </c>
      <c r="H157" s="520" t="s">
        <v>1044</v>
      </c>
      <c r="I157" s="520" t="s">
        <v>929</v>
      </c>
      <c r="J157" s="521">
        <v>430</v>
      </c>
      <c r="K157" s="521">
        <v>430</v>
      </c>
    </row>
    <row r="158" spans="1:11" x14ac:dyDescent="0.25">
      <c r="B158" s="520" t="s">
        <v>1041</v>
      </c>
      <c r="C158" s="520" t="s">
        <v>299</v>
      </c>
      <c r="D158" s="520" t="s">
        <v>1045</v>
      </c>
      <c r="E158" s="520" t="s">
        <v>1043</v>
      </c>
      <c r="F158" s="520" t="s">
        <v>904</v>
      </c>
      <c r="G158" s="520" t="s">
        <v>282</v>
      </c>
      <c r="H158" s="520" t="s">
        <v>1044</v>
      </c>
      <c r="I158" s="520" t="s">
        <v>929</v>
      </c>
      <c r="J158" s="521">
        <v>936.77</v>
      </c>
      <c r="K158" s="521">
        <v>1366.77</v>
      </c>
    </row>
    <row r="159" spans="1:11" x14ac:dyDescent="0.25">
      <c r="A159" s="519" t="s">
        <v>1046</v>
      </c>
      <c r="J159" s="523">
        <v>1366.77</v>
      </c>
    </row>
    <row r="160" spans="1:11" x14ac:dyDescent="0.25">
      <c r="A160" s="519" t="s">
        <v>1047</v>
      </c>
    </row>
    <row r="161" spans="1:11" x14ac:dyDescent="0.25">
      <c r="A161" s="519" t="s">
        <v>1048</v>
      </c>
    </row>
    <row r="162" spans="1:11" x14ac:dyDescent="0.25">
      <c r="B162" s="520" t="s">
        <v>1037</v>
      </c>
      <c r="C162" s="520" t="s">
        <v>279</v>
      </c>
      <c r="D162" s="520">
        <v>244</v>
      </c>
      <c r="E162" s="520"/>
      <c r="F162" s="520"/>
      <c r="G162" s="520" t="s">
        <v>282</v>
      </c>
      <c r="H162" s="520" t="s">
        <v>565</v>
      </c>
      <c r="I162" s="795" t="s">
        <v>921</v>
      </c>
      <c r="J162" s="521">
        <v>617</v>
      </c>
      <c r="K162" s="521">
        <v>617</v>
      </c>
    </row>
    <row r="163" spans="1:11" x14ac:dyDescent="0.25">
      <c r="B163" s="520" t="s">
        <v>951</v>
      </c>
      <c r="C163" s="520" t="s">
        <v>279</v>
      </c>
      <c r="D163" s="520">
        <v>276</v>
      </c>
      <c r="E163" s="520"/>
      <c r="F163" s="520"/>
      <c r="G163" s="520" t="s">
        <v>282</v>
      </c>
      <c r="H163" s="520" t="s">
        <v>565</v>
      </c>
      <c r="I163" s="795" t="s">
        <v>921</v>
      </c>
      <c r="J163" s="521">
        <v>615</v>
      </c>
      <c r="K163" s="521">
        <v>1232</v>
      </c>
    </row>
    <row r="164" spans="1:11" x14ac:dyDescent="0.25">
      <c r="A164" s="519" t="s">
        <v>1049</v>
      </c>
      <c r="J164" s="523">
        <v>1232</v>
      </c>
    </row>
    <row r="165" spans="1:11" x14ac:dyDescent="0.25">
      <c r="A165" s="519" t="s">
        <v>1050</v>
      </c>
      <c r="J165" s="523">
        <v>1232</v>
      </c>
    </row>
    <row r="166" spans="1:11" x14ac:dyDescent="0.25">
      <c r="A166" s="519" t="s">
        <v>1051</v>
      </c>
    </row>
    <row r="167" spans="1:11" x14ac:dyDescent="0.25">
      <c r="A167" s="519" t="s">
        <v>1052</v>
      </c>
    </row>
    <row r="168" spans="1:11" x14ac:dyDescent="0.25">
      <c r="A168" s="519" t="s">
        <v>1053</v>
      </c>
    </row>
    <row r="169" spans="1:11" x14ac:dyDescent="0.25">
      <c r="B169" s="520" t="s">
        <v>920</v>
      </c>
      <c r="C169" s="520" t="s">
        <v>279</v>
      </c>
      <c r="D169" s="520">
        <v>240</v>
      </c>
      <c r="E169" s="520"/>
      <c r="F169" s="520"/>
      <c r="G169" s="520" t="s">
        <v>282</v>
      </c>
      <c r="H169" s="520" t="s">
        <v>417</v>
      </c>
      <c r="I169" s="795" t="s">
        <v>921</v>
      </c>
      <c r="J169" s="521">
        <v>1454</v>
      </c>
      <c r="K169" s="521">
        <v>1454</v>
      </c>
    </row>
    <row r="170" spans="1:11" x14ac:dyDescent="0.25">
      <c r="B170" s="520" t="s">
        <v>951</v>
      </c>
      <c r="C170" s="520" t="s">
        <v>279</v>
      </c>
      <c r="D170" s="520">
        <v>273</v>
      </c>
      <c r="E170" s="520"/>
      <c r="F170" s="520"/>
      <c r="G170" s="520" t="s">
        <v>282</v>
      </c>
      <c r="H170" s="520" t="s">
        <v>417</v>
      </c>
      <c r="I170" s="795" t="s">
        <v>921</v>
      </c>
      <c r="J170" s="521">
        <v>1454</v>
      </c>
      <c r="K170" s="521">
        <v>2908</v>
      </c>
    </row>
    <row r="171" spans="1:11" x14ac:dyDescent="0.25">
      <c r="A171" s="519" t="s">
        <v>1054</v>
      </c>
      <c r="J171" s="523">
        <v>2908</v>
      </c>
    </row>
    <row r="172" spans="1:11" x14ac:dyDescent="0.25">
      <c r="A172" s="519" t="s">
        <v>1055</v>
      </c>
      <c r="J172" s="523">
        <v>2908</v>
      </c>
    </row>
    <row r="173" spans="1:11" x14ac:dyDescent="0.25">
      <c r="A173" s="519" t="s">
        <v>1056</v>
      </c>
      <c r="J173" s="523">
        <v>2908</v>
      </c>
    </row>
    <row r="174" spans="1:11" x14ac:dyDescent="0.25">
      <c r="A174" s="519" t="s">
        <v>1057</v>
      </c>
      <c r="J174" s="523">
        <v>15117.37</v>
      </c>
    </row>
    <row r="175" spans="1:11" x14ac:dyDescent="0.25">
      <c r="A175" s="519" t="s">
        <v>1058</v>
      </c>
    </row>
    <row r="176" spans="1:11" x14ac:dyDescent="0.25">
      <c r="A176" s="519" t="s">
        <v>1059</v>
      </c>
    </row>
    <row r="177" spans="1:11" x14ac:dyDescent="0.25">
      <c r="B177" s="520" t="s">
        <v>1060</v>
      </c>
      <c r="C177" s="520" t="s">
        <v>299</v>
      </c>
      <c r="D177" s="520" t="s">
        <v>1061</v>
      </c>
      <c r="E177" s="520" t="s">
        <v>426</v>
      </c>
      <c r="F177" s="520" t="s">
        <v>904</v>
      </c>
      <c r="G177" s="520" t="s">
        <v>282</v>
      </c>
      <c r="H177" s="520" t="s">
        <v>1062</v>
      </c>
      <c r="I177" s="520" t="s">
        <v>929</v>
      </c>
      <c r="J177" s="521">
        <v>40</v>
      </c>
      <c r="K177" s="521">
        <v>40</v>
      </c>
    </row>
    <row r="178" spans="1:11" x14ac:dyDescent="0.25">
      <c r="B178" s="520" t="s">
        <v>982</v>
      </c>
      <c r="C178" s="520" t="s">
        <v>299</v>
      </c>
      <c r="D178" s="520" t="s">
        <v>983</v>
      </c>
      <c r="E178" s="520" t="s">
        <v>454</v>
      </c>
      <c r="F178" s="520" t="s">
        <v>904</v>
      </c>
      <c r="G178" s="520" t="s">
        <v>282</v>
      </c>
      <c r="H178" s="520" t="s">
        <v>1063</v>
      </c>
      <c r="I178" s="520" t="s">
        <v>929</v>
      </c>
      <c r="J178" s="521">
        <v>124.3</v>
      </c>
      <c r="K178" s="521">
        <v>164.3</v>
      </c>
    </row>
    <row r="179" spans="1:11" x14ac:dyDescent="0.25">
      <c r="A179" s="519" t="s">
        <v>1064</v>
      </c>
      <c r="J179" s="523">
        <v>164.3</v>
      </c>
    </row>
    <row r="180" spans="1:11" x14ac:dyDescent="0.25">
      <c r="A180" s="519" t="s">
        <v>1065</v>
      </c>
    </row>
    <row r="181" spans="1:11" x14ac:dyDescent="0.25">
      <c r="B181" s="520" t="s">
        <v>982</v>
      </c>
      <c r="C181" s="520" t="s">
        <v>299</v>
      </c>
      <c r="D181" s="520" t="s">
        <v>983</v>
      </c>
      <c r="E181" s="520" t="s">
        <v>454</v>
      </c>
      <c r="F181" s="520" t="s">
        <v>904</v>
      </c>
      <c r="G181" s="520" t="s">
        <v>282</v>
      </c>
      <c r="H181" s="520" t="s">
        <v>1066</v>
      </c>
      <c r="I181" s="520" t="s">
        <v>929</v>
      </c>
      <c r="J181" s="521">
        <v>72.86</v>
      </c>
      <c r="K181" s="521">
        <v>72.86</v>
      </c>
    </row>
    <row r="182" spans="1:11" x14ac:dyDescent="0.25">
      <c r="A182" s="519" t="s">
        <v>1067</v>
      </c>
      <c r="J182" s="523">
        <v>72.86</v>
      </c>
    </row>
    <row r="183" spans="1:11" x14ac:dyDescent="0.25">
      <c r="A183" s="519" t="s">
        <v>1068</v>
      </c>
    </row>
    <row r="184" spans="1:11" x14ac:dyDescent="0.25">
      <c r="B184" s="520" t="s">
        <v>1069</v>
      </c>
      <c r="C184" s="520" t="s">
        <v>299</v>
      </c>
      <c r="D184" s="520">
        <v>3</v>
      </c>
      <c r="E184" s="520" t="s">
        <v>1070</v>
      </c>
      <c r="F184" s="520" t="s">
        <v>904</v>
      </c>
      <c r="G184" s="520" t="s">
        <v>282</v>
      </c>
      <c r="H184" s="520" t="s">
        <v>1071</v>
      </c>
      <c r="I184" s="520" t="s">
        <v>929</v>
      </c>
      <c r="J184" s="521">
        <v>300</v>
      </c>
      <c r="K184" s="521">
        <v>300</v>
      </c>
    </row>
    <row r="185" spans="1:11" x14ac:dyDescent="0.25">
      <c r="A185" s="519" t="s">
        <v>1072</v>
      </c>
      <c r="J185" s="523">
        <v>300</v>
      </c>
    </row>
    <row r="186" spans="1:11" x14ac:dyDescent="0.25">
      <c r="A186" s="519" t="s">
        <v>1073</v>
      </c>
      <c r="J186" s="523">
        <v>537.16</v>
      </c>
    </row>
    <row r="187" spans="1:11" x14ac:dyDescent="0.25">
      <c r="A187" s="519" t="s">
        <v>1074</v>
      </c>
    </row>
    <row r="188" spans="1:11" x14ac:dyDescent="0.25">
      <c r="A188" s="519" t="s">
        <v>1075</v>
      </c>
    </row>
    <row r="189" spans="1:11" x14ac:dyDescent="0.25">
      <c r="B189" s="520" t="s">
        <v>1076</v>
      </c>
      <c r="C189" s="520" t="s">
        <v>299</v>
      </c>
      <c r="D189" s="520" t="s">
        <v>1077</v>
      </c>
      <c r="E189" s="520" t="s">
        <v>1078</v>
      </c>
      <c r="F189" s="520" t="s">
        <v>904</v>
      </c>
      <c r="G189" s="520" t="s">
        <v>282</v>
      </c>
      <c r="H189" s="520" t="s">
        <v>1079</v>
      </c>
      <c r="I189" s="520" t="s">
        <v>929</v>
      </c>
      <c r="J189" s="521">
        <v>555.38</v>
      </c>
      <c r="K189" s="521">
        <v>555.38</v>
      </c>
    </row>
    <row r="190" spans="1:11" x14ac:dyDescent="0.25">
      <c r="B190" s="520" t="s">
        <v>1013</v>
      </c>
      <c r="C190" s="520" t="s">
        <v>299</v>
      </c>
      <c r="D190" s="520" t="s">
        <v>1080</v>
      </c>
      <c r="E190" s="520" t="s">
        <v>1078</v>
      </c>
      <c r="F190" s="520" t="s">
        <v>904</v>
      </c>
      <c r="G190" s="520" t="s">
        <v>282</v>
      </c>
      <c r="H190" s="520" t="s">
        <v>1079</v>
      </c>
      <c r="I190" s="520" t="s">
        <v>929</v>
      </c>
      <c r="J190" s="521">
        <v>10.18</v>
      </c>
      <c r="K190" s="521">
        <v>565.55999999999995</v>
      </c>
    </row>
    <row r="191" spans="1:11" x14ac:dyDescent="0.25">
      <c r="B191" s="520" t="s">
        <v>1024</v>
      </c>
      <c r="C191" s="520" t="s">
        <v>299</v>
      </c>
      <c r="D191" s="520">
        <v>5376537</v>
      </c>
      <c r="E191" s="520" t="s">
        <v>445</v>
      </c>
      <c r="F191" s="520" t="s">
        <v>904</v>
      </c>
      <c r="G191" s="520" t="s">
        <v>282</v>
      </c>
      <c r="H191" s="520" t="s">
        <v>1081</v>
      </c>
      <c r="I191" s="520" t="s">
        <v>929</v>
      </c>
      <c r="J191" s="521">
        <v>569.5</v>
      </c>
      <c r="K191" s="521">
        <v>1135.06</v>
      </c>
    </row>
    <row r="192" spans="1:11" x14ac:dyDescent="0.25">
      <c r="B192" s="520" t="s">
        <v>1082</v>
      </c>
      <c r="C192" s="520" t="s">
        <v>299</v>
      </c>
      <c r="D192" s="520">
        <v>5383800</v>
      </c>
      <c r="E192" s="520" t="s">
        <v>445</v>
      </c>
      <c r="F192" s="520" t="s">
        <v>904</v>
      </c>
      <c r="G192" s="520" t="s">
        <v>282</v>
      </c>
      <c r="H192" s="520" t="s">
        <v>1083</v>
      </c>
      <c r="I192" s="520" t="s">
        <v>929</v>
      </c>
      <c r="J192" s="521">
        <v>1401.74</v>
      </c>
      <c r="K192" s="521">
        <v>2536.8000000000002</v>
      </c>
    </row>
    <row r="193" spans="1:11" x14ac:dyDescent="0.25">
      <c r="B193" s="520" t="s">
        <v>1084</v>
      </c>
      <c r="C193" s="520" t="s">
        <v>299</v>
      </c>
      <c r="D193" s="520">
        <v>5406199</v>
      </c>
      <c r="E193" s="520" t="s">
        <v>445</v>
      </c>
      <c r="F193" s="520" t="s">
        <v>904</v>
      </c>
      <c r="G193" s="520" t="s">
        <v>282</v>
      </c>
      <c r="H193" s="520" t="s">
        <v>1085</v>
      </c>
      <c r="I193" s="520" t="s">
        <v>929</v>
      </c>
      <c r="J193" s="521">
        <v>1036.67</v>
      </c>
      <c r="K193" s="521">
        <v>3573.47</v>
      </c>
    </row>
    <row r="194" spans="1:11" x14ac:dyDescent="0.25">
      <c r="A194" s="519" t="s">
        <v>1086</v>
      </c>
      <c r="J194" s="523">
        <v>3573.47</v>
      </c>
    </row>
    <row r="195" spans="1:11" x14ac:dyDescent="0.25">
      <c r="A195" s="519" t="s">
        <v>1087</v>
      </c>
    </row>
    <row r="196" spans="1:11" x14ac:dyDescent="0.25">
      <c r="B196" s="520" t="s">
        <v>1024</v>
      </c>
      <c r="C196" s="520" t="s">
        <v>299</v>
      </c>
      <c r="D196" s="520">
        <v>5373879</v>
      </c>
      <c r="E196" s="520" t="s">
        <v>445</v>
      </c>
      <c r="F196" s="520" t="s">
        <v>904</v>
      </c>
      <c r="G196" s="520" t="s">
        <v>282</v>
      </c>
      <c r="H196" s="520" t="s">
        <v>1088</v>
      </c>
      <c r="I196" s="520" t="s">
        <v>929</v>
      </c>
      <c r="J196" s="521">
        <v>2195.9499999999998</v>
      </c>
      <c r="K196" s="521">
        <v>2195.9499999999998</v>
      </c>
    </row>
    <row r="197" spans="1:11" x14ac:dyDescent="0.25">
      <c r="A197" s="519" t="s">
        <v>1089</v>
      </c>
      <c r="J197" s="523">
        <v>2195.9499999999998</v>
      </c>
    </row>
    <row r="198" spans="1:11" x14ac:dyDescent="0.25">
      <c r="A198" s="519" t="s">
        <v>1090</v>
      </c>
    </row>
    <row r="199" spans="1:11" x14ac:dyDescent="0.25">
      <c r="B199" s="520" t="s">
        <v>1091</v>
      </c>
      <c r="C199" s="520" t="s">
        <v>299</v>
      </c>
      <c r="D199" s="520"/>
      <c r="E199" s="520" t="s">
        <v>462</v>
      </c>
      <c r="F199" s="520" t="s">
        <v>904</v>
      </c>
      <c r="G199" s="520" t="s">
        <v>282</v>
      </c>
      <c r="H199" s="520" t="s">
        <v>1092</v>
      </c>
      <c r="I199" s="520" t="s">
        <v>929</v>
      </c>
      <c r="J199" s="521">
        <v>10</v>
      </c>
      <c r="K199" s="521">
        <v>10</v>
      </c>
    </row>
    <row r="200" spans="1:11" x14ac:dyDescent="0.25">
      <c r="A200" s="519" t="s">
        <v>1093</v>
      </c>
      <c r="J200" s="523">
        <v>10</v>
      </c>
    </row>
    <row r="201" spans="1:11" x14ac:dyDescent="0.25">
      <c r="A201" s="519" t="s">
        <v>1094</v>
      </c>
    </row>
    <row r="202" spans="1:11" x14ac:dyDescent="0.25">
      <c r="B202" s="520" t="s">
        <v>1095</v>
      </c>
      <c r="C202" s="520" t="s">
        <v>299</v>
      </c>
      <c r="D202" s="520" t="s">
        <v>1096</v>
      </c>
      <c r="E202" s="520" t="s">
        <v>1097</v>
      </c>
      <c r="F202" s="520"/>
      <c r="G202" s="520" t="s">
        <v>282</v>
      </c>
      <c r="H202" s="520" t="s">
        <v>1098</v>
      </c>
      <c r="I202" s="520" t="s">
        <v>929</v>
      </c>
      <c r="J202" s="521">
        <v>558</v>
      </c>
      <c r="K202" s="521">
        <v>558</v>
      </c>
    </row>
    <row r="203" spans="1:11" x14ac:dyDescent="0.25">
      <c r="A203" s="519" t="s">
        <v>1099</v>
      </c>
      <c r="J203" s="523">
        <v>558</v>
      </c>
    </row>
    <row r="204" spans="1:11" x14ac:dyDescent="0.25">
      <c r="A204" s="519" t="s">
        <v>1100</v>
      </c>
      <c r="J204" s="523">
        <v>6337.42</v>
      </c>
    </row>
    <row r="205" spans="1:11" x14ac:dyDescent="0.25">
      <c r="A205" s="519" t="s">
        <v>1101</v>
      </c>
    </row>
    <row r="206" spans="1:11" x14ac:dyDescent="0.25">
      <c r="A206" s="519" t="s">
        <v>1102</v>
      </c>
    </row>
    <row r="207" spans="1:11" x14ac:dyDescent="0.25">
      <c r="B207" s="520" t="s">
        <v>1103</v>
      </c>
      <c r="C207" s="520" t="s">
        <v>299</v>
      </c>
      <c r="D207" s="520" t="s">
        <v>1104</v>
      </c>
      <c r="E207" s="520" t="s">
        <v>1105</v>
      </c>
      <c r="F207" s="520" t="s">
        <v>904</v>
      </c>
      <c r="G207" s="520" t="s">
        <v>282</v>
      </c>
      <c r="H207" s="520" t="s">
        <v>1106</v>
      </c>
      <c r="I207" s="520" t="s">
        <v>929</v>
      </c>
      <c r="J207" s="521">
        <v>700</v>
      </c>
      <c r="K207" s="521">
        <v>700</v>
      </c>
    </row>
    <row r="208" spans="1:11" x14ac:dyDescent="0.25">
      <c r="A208" s="519" t="s">
        <v>1107</v>
      </c>
      <c r="J208" s="523">
        <v>700</v>
      </c>
    </row>
    <row r="209" spans="1:11" x14ac:dyDescent="0.25">
      <c r="A209" s="519" t="s">
        <v>1108</v>
      </c>
      <c r="J209" s="523">
        <v>700</v>
      </c>
    </row>
    <row r="210" spans="1:11" x14ac:dyDescent="0.25">
      <c r="A210" s="519" t="s">
        <v>1109</v>
      </c>
      <c r="J210" s="523">
        <v>122112.27</v>
      </c>
    </row>
    <row r="211" spans="1:11" x14ac:dyDescent="0.25">
      <c r="A211" s="519" t="s">
        <v>695</v>
      </c>
      <c r="J211" s="523">
        <v>48899.4</v>
      </c>
    </row>
    <row r="214" spans="1:11" x14ac:dyDescent="0.25">
      <c r="A214" s="672" t="s">
        <v>1110</v>
      </c>
      <c r="B214" s="670"/>
      <c r="C214" s="670"/>
      <c r="D214" s="670"/>
      <c r="E214" s="670"/>
      <c r="F214" s="670"/>
      <c r="G214" s="670"/>
      <c r="H214" s="670"/>
      <c r="I214" s="670"/>
      <c r="J214" s="670"/>
      <c r="K214" s="670"/>
    </row>
  </sheetData>
  <mergeCells count="4">
    <mergeCell ref="A1:K1"/>
    <mergeCell ref="A2:K2"/>
    <mergeCell ref="A3:K3"/>
    <mergeCell ref="A214:K2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Views>
    <sheetView zoomScaleNormal="100" zoomScalePageLayoutView="75" workbookViewId="0">
      <selection activeCell="D5" sqref="D5"/>
    </sheetView>
  </sheetViews>
  <sheetFormatPr defaultColWidth="9.1796875" defaultRowHeight="12.5" x14ac:dyDescent="0.25"/>
  <cols>
    <col min="1" max="1" width="30.54296875" style="1" customWidth="1"/>
    <col min="2" max="2" width="8.81640625" style="1" customWidth="1"/>
    <col min="3" max="3" width="17.26953125" style="1" customWidth="1"/>
    <col min="4" max="4" width="14" style="1" customWidth="1"/>
    <col min="5" max="5" width="15.54296875" style="1" customWidth="1"/>
    <col min="6" max="6" width="14.7265625" style="1" customWidth="1"/>
    <col min="7" max="7" width="14.453125" style="1" hidden="1" customWidth="1"/>
    <col min="8" max="8" width="13" style="1" customWidth="1"/>
    <col min="9" max="9" width="13.54296875" style="1" hidden="1" customWidth="1"/>
    <col min="10" max="11" width="14.453125" style="1" customWidth="1"/>
    <col min="12" max="12" width="16.1796875" style="1" customWidth="1"/>
    <col min="13" max="13" width="17.1796875" style="1" customWidth="1"/>
    <col min="14" max="14" width="13.54296875" style="1" customWidth="1"/>
    <col min="15" max="15" width="11.7265625" style="1" customWidth="1"/>
    <col min="16" max="16384" width="9.1796875" style="1"/>
  </cols>
  <sheetData>
    <row r="1" spans="1:15" ht="14.25" customHeight="1" thickBot="1" x14ac:dyDescent="0.3">
      <c r="L1" s="648" t="s">
        <v>54</v>
      </c>
      <c r="M1" s="648"/>
      <c r="N1" s="649"/>
      <c r="O1" s="104">
        <f>'Quarter 1'!M1</f>
        <v>45</v>
      </c>
    </row>
    <row r="2" spans="1:15" ht="15" customHeight="1" x14ac:dyDescent="0.25">
      <c r="D2" s="663" t="s">
        <v>90</v>
      </c>
      <c r="E2" s="683" t="s">
        <v>53</v>
      </c>
      <c r="F2" s="666" t="s">
        <v>52</v>
      </c>
      <c r="G2" s="717" t="s">
        <v>51</v>
      </c>
      <c r="H2" s="666" t="s">
        <v>76</v>
      </c>
      <c r="I2" s="666" t="s">
        <v>77</v>
      </c>
      <c r="J2" s="711" t="s">
        <v>93</v>
      </c>
      <c r="K2" s="666" t="s">
        <v>61</v>
      </c>
      <c r="L2" s="650" t="s">
        <v>50</v>
      </c>
      <c r="M2" s="650"/>
      <c r="N2" s="651"/>
      <c r="O2" s="48">
        <f>'Quarter 1'!M2</f>
        <v>0.76729999999999998</v>
      </c>
    </row>
    <row r="3" spans="1:15" ht="18" customHeight="1" thickBot="1" x14ac:dyDescent="0.45">
      <c r="A3" s="110" t="s">
        <v>105</v>
      </c>
      <c r="D3" s="664"/>
      <c r="E3" s="684"/>
      <c r="F3" s="667"/>
      <c r="G3" s="718"/>
      <c r="H3" s="667"/>
      <c r="I3" s="667"/>
      <c r="J3" s="712"/>
      <c r="K3" s="667"/>
      <c r="L3" s="650" t="s">
        <v>86</v>
      </c>
      <c r="M3" s="650"/>
      <c r="N3" s="651"/>
      <c r="O3" s="48">
        <f>'Quarter 1'!M3</f>
        <v>0</v>
      </c>
    </row>
    <row r="4" spans="1:15" ht="18.75" customHeight="1" thickBot="1" x14ac:dyDescent="0.4">
      <c r="C4" s="27" t="s">
        <v>48</v>
      </c>
      <c r="D4" s="664"/>
      <c r="E4" s="685"/>
      <c r="F4" s="668"/>
      <c r="G4" s="719"/>
      <c r="H4" s="668"/>
      <c r="I4" s="668"/>
      <c r="J4" s="712"/>
      <c r="K4" s="668"/>
      <c r="L4" s="650" t="s">
        <v>80</v>
      </c>
      <c r="M4" s="650"/>
      <c r="N4" s="651"/>
      <c r="O4" s="48">
        <f>'Quarter 1'!M4</f>
        <v>0</v>
      </c>
    </row>
    <row r="5" spans="1:15" ht="19.5" customHeight="1" thickBot="1" x14ac:dyDescent="0.4">
      <c r="A5" s="609" t="s">
        <v>47</v>
      </c>
      <c r="B5" s="610"/>
      <c r="C5" s="92" t="s">
        <v>98</v>
      </c>
      <c r="D5" s="47">
        <v>0</v>
      </c>
      <c r="E5" s="26" t="s">
        <v>60</v>
      </c>
      <c r="F5" s="26" t="s">
        <v>60</v>
      </c>
      <c r="G5" s="26"/>
      <c r="H5" s="79"/>
      <c r="I5" s="102"/>
      <c r="J5" s="26" t="s">
        <v>60</v>
      </c>
      <c r="K5" s="37" t="s">
        <v>46</v>
      </c>
      <c r="L5" s="24" t="s">
        <v>45</v>
      </c>
      <c r="M5" s="616" t="s">
        <v>44</v>
      </c>
      <c r="N5" s="616"/>
      <c r="O5" s="722"/>
    </row>
    <row r="6" spans="1:15" ht="19.5" customHeight="1" thickBot="1" x14ac:dyDescent="0.4">
      <c r="A6" s="714" t="s">
        <v>43</v>
      </c>
      <c r="B6" s="715"/>
      <c r="C6" s="715"/>
      <c r="D6" s="715"/>
      <c r="E6" s="715"/>
      <c r="F6" s="715"/>
      <c r="G6" s="715"/>
      <c r="H6" s="715"/>
      <c r="I6" s="715"/>
      <c r="J6" s="715"/>
      <c r="K6" s="715"/>
      <c r="L6" s="715"/>
      <c r="M6" s="715"/>
      <c r="N6" s="715"/>
      <c r="O6" s="716"/>
    </row>
    <row r="7" spans="1:15" ht="14" x14ac:dyDescent="0.3">
      <c r="A7" s="694" t="s">
        <v>42</v>
      </c>
      <c r="B7" s="695"/>
      <c r="C7" s="14">
        <f>'Quarter 3'!K7</f>
        <v>122486.32</v>
      </c>
      <c r="D7" s="111">
        <f>C7/(A$63-C$13-C$14)*D$5*D$65</f>
        <v>0</v>
      </c>
      <c r="E7" s="16"/>
      <c r="F7" s="45"/>
      <c r="G7" s="9"/>
      <c r="H7" s="91"/>
      <c r="I7" s="91">
        <f t="shared" ref="I7:I25" si="0">IF(G7=0,F7+H7,F7+G7)</f>
        <v>0</v>
      </c>
      <c r="J7" s="168"/>
      <c r="K7" s="8">
        <f t="shared" ref="K7:K25" si="1">J7-E7</f>
        <v>0</v>
      </c>
      <c r="L7" s="71">
        <f t="shared" ref="L7:L25" si="2">+(C7+G7)-J7</f>
        <v>122486.32</v>
      </c>
      <c r="M7" s="677"/>
      <c r="N7" s="677"/>
      <c r="O7" s="678"/>
    </row>
    <row r="8" spans="1:15" ht="14" x14ac:dyDescent="0.3">
      <c r="A8" s="679" t="s">
        <v>41</v>
      </c>
      <c r="B8" s="680"/>
      <c r="C8" s="14">
        <f>'Quarter 3'!K8</f>
        <v>54126.35</v>
      </c>
      <c r="D8" s="111">
        <f t="shared" ref="D8:D25" si="3">C8/(A$63-C$13-C$14)*D$5*D$65</f>
        <v>0</v>
      </c>
      <c r="E8" s="10"/>
      <c r="F8" s="45"/>
      <c r="G8" s="9"/>
      <c r="H8" s="29"/>
      <c r="I8" s="91">
        <f t="shared" si="0"/>
        <v>0</v>
      </c>
      <c r="J8" s="168"/>
      <c r="K8" s="8">
        <f t="shared" si="1"/>
        <v>0</v>
      </c>
      <c r="L8" s="71">
        <f t="shared" si="2"/>
        <v>54126.35</v>
      </c>
      <c r="M8" s="646"/>
      <c r="N8" s="646"/>
      <c r="O8" s="647"/>
    </row>
    <row r="9" spans="1:15" ht="14" x14ac:dyDescent="0.3">
      <c r="A9" s="679" t="s">
        <v>40</v>
      </c>
      <c r="B9" s="680"/>
      <c r="C9" s="14">
        <f>'Quarter 3'!K9</f>
        <v>12853.1</v>
      </c>
      <c r="D9" s="111">
        <f t="shared" si="3"/>
        <v>0</v>
      </c>
      <c r="E9" s="10"/>
      <c r="F9" s="45"/>
      <c r="G9" s="9"/>
      <c r="H9" s="29"/>
      <c r="I9" s="91">
        <f t="shared" si="0"/>
        <v>0</v>
      </c>
      <c r="J9" s="168"/>
      <c r="K9" s="8">
        <f t="shared" si="1"/>
        <v>0</v>
      </c>
      <c r="L9" s="71">
        <f t="shared" si="2"/>
        <v>12853.1</v>
      </c>
      <c r="M9" s="646"/>
      <c r="N9" s="646"/>
      <c r="O9" s="647"/>
    </row>
    <row r="10" spans="1:15" ht="14" x14ac:dyDescent="0.3">
      <c r="A10" s="679" t="s">
        <v>39</v>
      </c>
      <c r="B10" s="680"/>
      <c r="C10" s="14">
        <f>'Quarter 3'!K10</f>
        <v>159.18000000000029</v>
      </c>
      <c r="D10" s="111">
        <f t="shared" si="3"/>
        <v>0</v>
      </c>
      <c r="E10" s="10"/>
      <c r="F10" s="45"/>
      <c r="G10" s="9"/>
      <c r="H10" s="29"/>
      <c r="I10" s="91">
        <f t="shared" si="0"/>
        <v>0</v>
      </c>
      <c r="J10" s="168"/>
      <c r="K10" s="8">
        <f t="shared" si="1"/>
        <v>0</v>
      </c>
      <c r="L10" s="71">
        <f t="shared" si="2"/>
        <v>159.18000000000029</v>
      </c>
      <c r="M10" s="646"/>
      <c r="N10" s="646"/>
      <c r="O10" s="647"/>
    </row>
    <row r="11" spans="1:15" ht="14" x14ac:dyDescent="0.3">
      <c r="A11" s="679" t="s">
        <v>38</v>
      </c>
      <c r="B11" s="680"/>
      <c r="C11" s="14">
        <f>'Quarter 3'!K11</f>
        <v>-338</v>
      </c>
      <c r="D11" s="111">
        <f t="shared" si="3"/>
        <v>0</v>
      </c>
      <c r="E11" s="10"/>
      <c r="F11" s="45"/>
      <c r="G11" s="9"/>
      <c r="H11" s="29"/>
      <c r="I11" s="91">
        <f t="shared" si="0"/>
        <v>0</v>
      </c>
      <c r="J11" s="168"/>
      <c r="K11" s="8">
        <f t="shared" si="1"/>
        <v>0</v>
      </c>
      <c r="L11" s="71">
        <f t="shared" si="2"/>
        <v>-338</v>
      </c>
      <c r="M11" s="646"/>
      <c r="N11" s="646"/>
      <c r="O11" s="647"/>
    </row>
    <row r="12" spans="1:15" ht="14" x14ac:dyDescent="0.3">
      <c r="A12" s="679" t="s">
        <v>37</v>
      </c>
      <c r="B12" s="680"/>
      <c r="C12" s="14">
        <f>'Quarter 3'!K12</f>
        <v>1687.1999999999998</v>
      </c>
      <c r="D12" s="111">
        <f t="shared" si="3"/>
        <v>0</v>
      </c>
      <c r="E12" s="10"/>
      <c r="F12" s="45"/>
      <c r="G12" s="9"/>
      <c r="H12" s="29"/>
      <c r="I12" s="91">
        <f t="shared" si="0"/>
        <v>0</v>
      </c>
      <c r="J12" s="168"/>
      <c r="K12" s="8">
        <f t="shared" si="1"/>
        <v>0</v>
      </c>
      <c r="L12" s="71">
        <f t="shared" si="2"/>
        <v>1687.1999999999998</v>
      </c>
      <c r="M12" s="646"/>
      <c r="N12" s="646"/>
      <c r="O12" s="647"/>
    </row>
    <row r="13" spans="1:15" s="50" customFormat="1" ht="14" x14ac:dyDescent="0.3">
      <c r="A13" s="679" t="s">
        <v>36</v>
      </c>
      <c r="B13" s="680"/>
      <c r="C13" s="14">
        <f>'Quarter 3'!K13</f>
        <v>-40.4699999999998</v>
      </c>
      <c r="D13" s="111">
        <f t="shared" si="3"/>
        <v>0</v>
      </c>
      <c r="E13" s="12"/>
      <c r="F13" s="45"/>
      <c r="G13" s="11"/>
      <c r="H13" s="36"/>
      <c r="I13" s="91">
        <f t="shared" si="0"/>
        <v>0</v>
      </c>
      <c r="J13" s="168"/>
      <c r="K13" s="8">
        <f t="shared" si="1"/>
        <v>0</v>
      </c>
      <c r="L13" s="71">
        <f t="shared" si="2"/>
        <v>-40.4699999999998</v>
      </c>
      <c r="M13" s="681"/>
      <c r="N13" s="681"/>
      <c r="O13" s="682"/>
    </row>
    <row r="14" spans="1:15" s="50" customFormat="1" ht="14" x14ac:dyDescent="0.3">
      <c r="A14" s="679" t="s">
        <v>35</v>
      </c>
      <c r="B14" s="680"/>
      <c r="C14" s="14">
        <f>'Quarter 3'!K14</f>
        <v>804.05000000000018</v>
      </c>
      <c r="D14" s="111">
        <f t="shared" si="3"/>
        <v>0</v>
      </c>
      <c r="E14" s="12"/>
      <c r="F14" s="45"/>
      <c r="G14" s="11"/>
      <c r="H14" s="36"/>
      <c r="I14" s="91">
        <f t="shared" si="0"/>
        <v>0</v>
      </c>
      <c r="J14" s="168"/>
      <c r="K14" s="8">
        <f t="shared" si="1"/>
        <v>0</v>
      </c>
      <c r="L14" s="71">
        <f t="shared" si="2"/>
        <v>804.05000000000018</v>
      </c>
      <c r="M14" s="681"/>
      <c r="N14" s="681"/>
      <c r="O14" s="682"/>
    </row>
    <row r="15" spans="1:15" ht="14" x14ac:dyDescent="0.3">
      <c r="A15" s="679" t="s">
        <v>34</v>
      </c>
      <c r="B15" s="680"/>
      <c r="C15" s="14">
        <f>'Quarter 3'!K15</f>
        <v>3040</v>
      </c>
      <c r="D15" s="111">
        <f t="shared" si="3"/>
        <v>0</v>
      </c>
      <c r="E15" s="10"/>
      <c r="F15" s="45"/>
      <c r="G15" s="9"/>
      <c r="H15" s="29"/>
      <c r="I15" s="91">
        <f t="shared" si="0"/>
        <v>0</v>
      </c>
      <c r="J15" s="168"/>
      <c r="K15" s="8">
        <f t="shared" si="1"/>
        <v>0</v>
      </c>
      <c r="L15" s="71">
        <f t="shared" si="2"/>
        <v>3040</v>
      </c>
      <c r="M15" s="646"/>
      <c r="N15" s="646"/>
      <c r="O15" s="647"/>
    </row>
    <row r="16" spans="1:15" ht="14" x14ac:dyDescent="0.3">
      <c r="A16" s="679" t="s">
        <v>33</v>
      </c>
      <c r="B16" s="680"/>
      <c r="C16" s="14">
        <f>'Quarter 3'!K16</f>
        <v>13188.269038632996</v>
      </c>
      <c r="D16" s="111">
        <f t="shared" si="3"/>
        <v>0</v>
      </c>
      <c r="E16" s="10"/>
      <c r="F16" s="45"/>
      <c r="G16" s="9"/>
      <c r="H16" s="29"/>
      <c r="I16" s="91">
        <f t="shared" si="0"/>
        <v>0</v>
      </c>
      <c r="J16" s="168"/>
      <c r="K16" s="8">
        <f t="shared" si="1"/>
        <v>0</v>
      </c>
      <c r="L16" s="71">
        <f t="shared" si="2"/>
        <v>13188.269038632996</v>
      </c>
      <c r="M16" s="646"/>
      <c r="N16" s="646"/>
      <c r="O16" s="647"/>
    </row>
    <row r="17" spans="1:15" ht="14" x14ac:dyDescent="0.3">
      <c r="A17" s="679" t="s">
        <v>32</v>
      </c>
      <c r="B17" s="680"/>
      <c r="C17" s="14">
        <f>'Quarter 3'!K17</f>
        <v>-19065.57</v>
      </c>
      <c r="D17" s="111">
        <f t="shared" si="3"/>
        <v>0</v>
      </c>
      <c r="E17" s="10"/>
      <c r="F17" s="45"/>
      <c r="G17" s="9"/>
      <c r="H17" s="29"/>
      <c r="I17" s="91">
        <f t="shared" si="0"/>
        <v>0</v>
      </c>
      <c r="J17" s="168"/>
      <c r="K17" s="8">
        <f t="shared" si="1"/>
        <v>0</v>
      </c>
      <c r="L17" s="71">
        <f t="shared" si="2"/>
        <v>-19065.57</v>
      </c>
      <c r="M17" s="646"/>
      <c r="N17" s="646"/>
      <c r="O17" s="647"/>
    </row>
    <row r="18" spans="1:15" ht="30" customHeight="1" x14ac:dyDescent="0.3">
      <c r="A18" s="700" t="s">
        <v>31</v>
      </c>
      <c r="B18" s="701"/>
      <c r="C18" s="14">
        <f>'Quarter 3'!K18</f>
        <v>0</v>
      </c>
      <c r="D18" s="111">
        <f t="shared" si="3"/>
        <v>0</v>
      </c>
      <c r="E18" s="10"/>
      <c r="F18" s="45"/>
      <c r="G18" s="9"/>
      <c r="H18" s="29"/>
      <c r="I18" s="91">
        <f t="shared" si="0"/>
        <v>0</v>
      </c>
      <c r="J18" s="168"/>
      <c r="K18" s="8">
        <f t="shared" si="1"/>
        <v>0</v>
      </c>
      <c r="L18" s="71">
        <f t="shared" si="2"/>
        <v>0</v>
      </c>
      <c r="M18" s="646"/>
      <c r="N18" s="646"/>
      <c r="O18" s="647"/>
    </row>
    <row r="19" spans="1:15" ht="14" x14ac:dyDescent="0.3">
      <c r="A19" s="679" t="s">
        <v>30</v>
      </c>
      <c r="B19" s="680"/>
      <c r="C19" s="14">
        <f>'Quarter 3'!K19</f>
        <v>5650.338542754942</v>
      </c>
      <c r="D19" s="111">
        <f t="shared" si="3"/>
        <v>0</v>
      </c>
      <c r="E19" s="10"/>
      <c r="F19" s="45"/>
      <c r="G19" s="9"/>
      <c r="H19" s="29"/>
      <c r="I19" s="91">
        <f t="shared" si="0"/>
        <v>0</v>
      </c>
      <c r="J19" s="168"/>
      <c r="K19" s="8">
        <f t="shared" si="1"/>
        <v>0</v>
      </c>
      <c r="L19" s="71">
        <f t="shared" si="2"/>
        <v>5650.338542754942</v>
      </c>
      <c r="M19" s="646"/>
      <c r="N19" s="646"/>
      <c r="O19" s="647"/>
    </row>
    <row r="20" spans="1:15" ht="14" x14ac:dyDescent="0.3">
      <c r="A20" s="679" t="s">
        <v>29</v>
      </c>
      <c r="B20" s="680"/>
      <c r="C20" s="14">
        <f>'Quarter 3'!K20</f>
        <v>0</v>
      </c>
      <c r="D20" s="111">
        <f t="shared" si="3"/>
        <v>0</v>
      </c>
      <c r="E20" s="10"/>
      <c r="F20" s="45"/>
      <c r="G20" s="9"/>
      <c r="H20" s="29"/>
      <c r="I20" s="91">
        <f t="shared" si="0"/>
        <v>0</v>
      </c>
      <c r="J20" s="168"/>
      <c r="K20" s="8">
        <f t="shared" si="1"/>
        <v>0</v>
      </c>
      <c r="L20" s="71">
        <f t="shared" si="2"/>
        <v>0</v>
      </c>
      <c r="M20" s="646"/>
      <c r="N20" s="646"/>
      <c r="O20" s="647"/>
    </row>
    <row r="21" spans="1:15" ht="14" x14ac:dyDescent="0.3">
      <c r="A21" s="679" t="s">
        <v>28</v>
      </c>
      <c r="B21" s="680"/>
      <c r="C21" s="14">
        <f>'Quarter 3'!K21</f>
        <v>-19065.57</v>
      </c>
      <c r="D21" s="111">
        <f t="shared" si="3"/>
        <v>0</v>
      </c>
      <c r="E21" s="10"/>
      <c r="F21" s="45"/>
      <c r="G21" s="9"/>
      <c r="H21" s="29"/>
      <c r="I21" s="91">
        <f t="shared" si="0"/>
        <v>0</v>
      </c>
      <c r="J21" s="168"/>
      <c r="K21" s="8">
        <f t="shared" si="1"/>
        <v>0</v>
      </c>
      <c r="L21" s="71">
        <f t="shared" si="2"/>
        <v>-19065.57</v>
      </c>
      <c r="M21" s="646"/>
      <c r="N21" s="646"/>
      <c r="O21" s="647"/>
    </row>
    <row r="22" spans="1:15" ht="14" x14ac:dyDescent="0.3">
      <c r="A22" s="679" t="s">
        <v>20</v>
      </c>
      <c r="B22" s="680"/>
      <c r="C22" s="14">
        <f>'Quarter 3'!K22</f>
        <v>13191.391410046053</v>
      </c>
      <c r="D22" s="111">
        <f t="shared" si="3"/>
        <v>0</v>
      </c>
      <c r="E22" s="10"/>
      <c r="F22" s="45"/>
      <c r="G22" s="9"/>
      <c r="H22" s="29"/>
      <c r="I22" s="91">
        <f t="shared" si="0"/>
        <v>0</v>
      </c>
      <c r="J22" s="168"/>
      <c r="K22" s="8">
        <f t="shared" si="1"/>
        <v>0</v>
      </c>
      <c r="L22" s="71">
        <f t="shared" si="2"/>
        <v>13191.391410046053</v>
      </c>
      <c r="M22" s="646"/>
      <c r="N22" s="646"/>
      <c r="O22" s="647"/>
    </row>
    <row r="23" spans="1:15" ht="14" x14ac:dyDescent="0.3">
      <c r="A23" s="679" t="s">
        <v>19</v>
      </c>
      <c r="B23" s="680"/>
      <c r="C23" s="14">
        <f>'Quarter 3'!K23</f>
        <v>3085.1124749301262</v>
      </c>
      <c r="D23" s="111">
        <f t="shared" si="3"/>
        <v>0</v>
      </c>
      <c r="E23" s="10"/>
      <c r="F23" s="45"/>
      <c r="G23" s="9"/>
      <c r="H23" s="29"/>
      <c r="I23" s="91">
        <f t="shared" si="0"/>
        <v>0</v>
      </c>
      <c r="J23" s="168"/>
      <c r="K23" s="8">
        <f t="shared" si="1"/>
        <v>0</v>
      </c>
      <c r="L23" s="71">
        <f t="shared" si="2"/>
        <v>3085.1124749301262</v>
      </c>
      <c r="M23" s="646"/>
      <c r="N23" s="646"/>
      <c r="O23" s="647"/>
    </row>
    <row r="24" spans="1:15" ht="14" x14ac:dyDescent="0.3">
      <c r="A24" s="679" t="s">
        <v>18</v>
      </c>
      <c r="B24" s="680"/>
      <c r="C24" s="14">
        <f>'Quarter 3'!K24</f>
        <v>5957.4585722788634</v>
      </c>
      <c r="D24" s="111">
        <f t="shared" si="3"/>
        <v>0</v>
      </c>
      <c r="E24" s="10"/>
      <c r="F24" s="45"/>
      <c r="G24" s="9"/>
      <c r="H24" s="29"/>
      <c r="I24" s="91">
        <f t="shared" si="0"/>
        <v>0</v>
      </c>
      <c r="J24" s="168"/>
      <c r="K24" s="8">
        <f t="shared" si="1"/>
        <v>0</v>
      </c>
      <c r="L24" s="71">
        <f t="shared" si="2"/>
        <v>5957.4585722788634</v>
      </c>
      <c r="M24" s="646"/>
      <c r="N24" s="646"/>
      <c r="O24" s="647"/>
    </row>
    <row r="25" spans="1:15" ht="14" x14ac:dyDescent="0.3">
      <c r="A25" s="679" t="s">
        <v>17</v>
      </c>
      <c r="B25" s="680"/>
      <c r="C25" s="14">
        <f>'Quarter 3'!K25</f>
        <v>1063.83188790694</v>
      </c>
      <c r="D25" s="111">
        <f t="shared" si="3"/>
        <v>0</v>
      </c>
      <c r="E25" s="20"/>
      <c r="F25" s="45"/>
      <c r="G25" s="19"/>
      <c r="H25" s="29"/>
      <c r="I25" s="91">
        <f t="shared" si="0"/>
        <v>0</v>
      </c>
      <c r="J25" s="168"/>
      <c r="K25" s="8">
        <f t="shared" si="1"/>
        <v>0</v>
      </c>
      <c r="L25" s="71">
        <f t="shared" si="2"/>
        <v>1063.83188790694</v>
      </c>
      <c r="M25" s="646"/>
      <c r="N25" s="646"/>
      <c r="O25" s="647"/>
    </row>
    <row r="26" spans="1:15" ht="18.75" customHeight="1" thickBot="1" x14ac:dyDescent="0.4">
      <c r="A26" s="97" t="s">
        <v>27</v>
      </c>
      <c r="B26" s="98"/>
      <c r="C26" s="99">
        <f t="shared" ref="C26:L26" si="4">SUM(C7:C25)</f>
        <v>198782.99192654993</v>
      </c>
      <c r="D26" s="111"/>
      <c r="E26" s="99">
        <f t="shared" si="4"/>
        <v>0</v>
      </c>
      <c r="F26" s="99">
        <f t="shared" si="4"/>
        <v>0</v>
      </c>
      <c r="G26" s="100">
        <f t="shared" si="4"/>
        <v>0</v>
      </c>
      <c r="H26" s="100">
        <f t="shared" si="4"/>
        <v>0</v>
      </c>
      <c r="I26" s="100">
        <f t="shared" si="4"/>
        <v>0</v>
      </c>
      <c r="J26" s="101">
        <f t="shared" si="4"/>
        <v>0</v>
      </c>
      <c r="K26" s="99">
        <f t="shared" si="4"/>
        <v>0</v>
      </c>
      <c r="L26" s="107">
        <f t="shared" si="4"/>
        <v>198782.99192654993</v>
      </c>
      <c r="M26" s="696"/>
      <c r="N26" s="696"/>
      <c r="O26" s="697"/>
    </row>
    <row r="27" spans="1:15" ht="18" customHeight="1" thickBot="1" x14ac:dyDescent="0.55000000000000004">
      <c r="A27" s="708" t="s">
        <v>81</v>
      </c>
      <c r="B27" s="709"/>
      <c r="C27" s="709"/>
      <c r="D27" s="709"/>
      <c r="E27" s="709"/>
      <c r="F27" s="709"/>
      <c r="G27" s="709"/>
      <c r="H27" s="709"/>
      <c r="I27" s="709"/>
      <c r="J27" s="709"/>
      <c r="K27" s="709"/>
      <c r="L27" s="709"/>
      <c r="M27" s="709"/>
      <c r="N27" s="709"/>
      <c r="O27" s="710"/>
    </row>
    <row r="28" spans="1:15" ht="14" x14ac:dyDescent="0.3">
      <c r="A28" s="694" t="s">
        <v>26</v>
      </c>
      <c r="B28" s="695"/>
      <c r="C28" s="14">
        <f>'Quarter 3'!K28</f>
        <v>15393.515754693877</v>
      </c>
      <c r="D28" s="111">
        <f t="shared" ref="D28:D39" si="5">C28/(A$63-C$13-C$14)*D$5*D$65</f>
        <v>0</v>
      </c>
      <c r="E28" s="16"/>
      <c r="F28" s="45"/>
      <c r="G28" s="9"/>
      <c r="H28" s="91"/>
      <c r="I28" s="91">
        <f t="shared" ref="I28:I39" si="6">IF(G28=0,F28+H28,F28+G28)</f>
        <v>0</v>
      </c>
      <c r="J28" s="168"/>
      <c r="K28" s="8">
        <f>J28-E28</f>
        <v>0</v>
      </c>
      <c r="L28" s="71">
        <f t="shared" ref="L28:L39" si="7">+(C28+G28)-J28</f>
        <v>15393.515754693877</v>
      </c>
      <c r="M28" s="713"/>
      <c r="N28" s="677"/>
      <c r="O28" s="678"/>
    </row>
    <row r="29" spans="1:15" ht="14" x14ac:dyDescent="0.3">
      <c r="A29" s="679" t="s">
        <v>25</v>
      </c>
      <c r="B29" s="680"/>
      <c r="C29" s="14">
        <f>'Quarter 3'!K29</f>
        <v>-19403.386326530614</v>
      </c>
      <c r="D29" s="111">
        <f t="shared" si="5"/>
        <v>0</v>
      </c>
      <c r="E29" s="16"/>
      <c r="F29" s="45"/>
      <c r="G29" s="9"/>
      <c r="H29" s="29"/>
      <c r="I29" s="91">
        <f t="shared" si="6"/>
        <v>0</v>
      </c>
      <c r="J29" s="168"/>
      <c r="K29" s="8">
        <f>J29-E29</f>
        <v>0</v>
      </c>
      <c r="L29" s="71">
        <f t="shared" si="7"/>
        <v>-19403.386326530614</v>
      </c>
      <c r="M29" s="646"/>
      <c r="N29" s="646"/>
      <c r="O29" s="647"/>
    </row>
    <row r="30" spans="1:15" ht="15.5" x14ac:dyDescent="0.35">
      <c r="A30" s="679" t="s">
        <v>24</v>
      </c>
      <c r="B30" s="680"/>
      <c r="C30" s="14">
        <f>'Quarter 3'!K30</f>
        <v>507.73469387755085</v>
      </c>
      <c r="D30" s="111">
        <f t="shared" si="5"/>
        <v>0</v>
      </c>
      <c r="E30" s="32"/>
      <c r="F30" s="45"/>
      <c r="G30" s="9"/>
      <c r="H30" s="29"/>
      <c r="I30" s="91">
        <f t="shared" si="6"/>
        <v>0</v>
      </c>
      <c r="J30" s="168"/>
      <c r="K30" s="8">
        <f>J30-E30</f>
        <v>0</v>
      </c>
      <c r="L30" s="71">
        <f t="shared" si="7"/>
        <v>507.73469387755085</v>
      </c>
      <c r="M30" s="646"/>
      <c r="N30" s="646"/>
      <c r="O30" s="647"/>
    </row>
    <row r="31" spans="1:15" ht="15.5" x14ac:dyDescent="0.35">
      <c r="A31" s="679" t="s">
        <v>23</v>
      </c>
      <c r="B31" s="680"/>
      <c r="C31" s="14">
        <f>'Quarter 3'!K31</f>
        <v>-19065.57</v>
      </c>
      <c r="D31" s="111">
        <f t="shared" si="5"/>
        <v>0</v>
      </c>
      <c r="E31" s="32"/>
      <c r="F31" s="45"/>
      <c r="G31" s="9"/>
      <c r="H31" s="29"/>
      <c r="I31" s="91">
        <f t="shared" si="6"/>
        <v>0</v>
      </c>
      <c r="J31" s="168"/>
      <c r="K31" s="8">
        <f>J31-E31</f>
        <v>0</v>
      </c>
      <c r="L31" s="71">
        <f t="shared" si="7"/>
        <v>-19065.57</v>
      </c>
      <c r="M31" s="646"/>
      <c r="N31" s="646"/>
      <c r="O31" s="647"/>
    </row>
    <row r="32" spans="1:15" ht="15.5" x14ac:dyDescent="0.35">
      <c r="A32" s="679" t="s">
        <v>22</v>
      </c>
      <c r="B32" s="680"/>
      <c r="C32" s="14">
        <f>'Quarter 3'!K32</f>
        <v>5228.9912356215209</v>
      </c>
      <c r="D32" s="111">
        <f t="shared" si="5"/>
        <v>0</v>
      </c>
      <c r="E32" s="32"/>
      <c r="F32" s="45"/>
      <c r="G32" s="9"/>
      <c r="H32" s="29"/>
      <c r="I32" s="91">
        <f t="shared" si="6"/>
        <v>0</v>
      </c>
      <c r="J32" s="168"/>
      <c r="K32" s="8">
        <f>J32-E32</f>
        <v>0</v>
      </c>
      <c r="L32" s="71">
        <f t="shared" si="7"/>
        <v>5228.9912356215209</v>
      </c>
      <c r="M32" s="646"/>
      <c r="N32" s="646"/>
      <c r="O32" s="647"/>
    </row>
    <row r="33" spans="1:15" ht="15.5" x14ac:dyDescent="0.35">
      <c r="A33" s="679" t="s">
        <v>21</v>
      </c>
      <c r="B33" s="680"/>
      <c r="C33" s="14">
        <f>'Quarter 3'!K33</f>
        <v>-19065.57</v>
      </c>
      <c r="D33" s="111">
        <f t="shared" si="5"/>
        <v>0</v>
      </c>
      <c r="E33" s="32"/>
      <c r="F33" s="45"/>
      <c r="G33" s="9"/>
      <c r="H33" s="29"/>
      <c r="I33" s="91">
        <f t="shared" si="6"/>
        <v>0</v>
      </c>
      <c r="J33" s="168"/>
      <c r="K33" s="8">
        <f t="shared" ref="K33:K34" si="8">J33-E33</f>
        <v>0</v>
      </c>
      <c r="L33" s="71">
        <f t="shared" si="7"/>
        <v>-19065.57</v>
      </c>
      <c r="M33" s="646"/>
      <c r="N33" s="646"/>
      <c r="O33" s="647"/>
    </row>
    <row r="34" spans="1:15" ht="15.5" x14ac:dyDescent="0.35">
      <c r="A34" s="679" t="s">
        <v>83</v>
      </c>
      <c r="B34" s="680"/>
      <c r="C34" s="14">
        <f>'Quarter 3'!K34</f>
        <v>4173.914775510204</v>
      </c>
      <c r="D34" s="111">
        <f t="shared" si="5"/>
        <v>0</v>
      </c>
      <c r="E34" s="32"/>
      <c r="F34" s="45"/>
      <c r="G34" s="9"/>
      <c r="H34" s="29"/>
      <c r="I34" s="91">
        <f t="shared" si="6"/>
        <v>0</v>
      </c>
      <c r="J34" s="168"/>
      <c r="K34" s="8">
        <f t="shared" si="8"/>
        <v>0</v>
      </c>
      <c r="L34" s="71">
        <f t="shared" si="7"/>
        <v>4173.914775510204</v>
      </c>
      <c r="M34" s="646"/>
      <c r="N34" s="646"/>
      <c r="O34" s="647"/>
    </row>
    <row r="35" spans="1:15" ht="15.5" x14ac:dyDescent="0.35">
      <c r="A35" s="679" t="s">
        <v>84</v>
      </c>
      <c r="B35" s="680"/>
      <c r="C35" s="14">
        <f>'Quarter 3'!K35</f>
        <v>-19065.57</v>
      </c>
      <c r="D35" s="111">
        <f t="shared" si="5"/>
        <v>0</v>
      </c>
      <c r="E35" s="32"/>
      <c r="F35" s="45"/>
      <c r="G35" s="9"/>
      <c r="H35" s="29"/>
      <c r="I35" s="91">
        <f t="shared" si="6"/>
        <v>0</v>
      </c>
      <c r="J35" s="168"/>
      <c r="K35" s="8">
        <f>C35-I35</f>
        <v>-19065.57</v>
      </c>
      <c r="L35" s="71">
        <f t="shared" si="7"/>
        <v>-19065.57</v>
      </c>
      <c r="M35" s="646"/>
      <c r="N35" s="646"/>
      <c r="O35" s="647"/>
    </row>
    <row r="36" spans="1:15" ht="14" x14ac:dyDescent="0.3">
      <c r="A36" s="679" t="s">
        <v>20</v>
      </c>
      <c r="B36" s="680"/>
      <c r="C36" s="14">
        <f>'Quarter 3'!K36</f>
        <v>1568.8577005015961</v>
      </c>
      <c r="D36" s="111">
        <f t="shared" si="5"/>
        <v>0</v>
      </c>
      <c r="E36" s="10"/>
      <c r="F36" s="45"/>
      <c r="G36" s="9"/>
      <c r="H36" s="29"/>
      <c r="I36" s="91">
        <f t="shared" si="6"/>
        <v>0</v>
      </c>
      <c r="J36" s="168"/>
      <c r="K36" s="8">
        <f>J36-E36</f>
        <v>0</v>
      </c>
      <c r="L36" s="71">
        <f t="shared" si="7"/>
        <v>1568.8577005015961</v>
      </c>
      <c r="M36" s="646"/>
      <c r="N36" s="646"/>
      <c r="O36" s="647"/>
    </row>
    <row r="37" spans="1:15" ht="14" x14ac:dyDescent="0.3">
      <c r="A37" s="679" t="s">
        <v>19</v>
      </c>
      <c r="B37" s="680"/>
      <c r="C37" s="14">
        <f>'Quarter 3'!K37</f>
        <v>366.91026866569587</v>
      </c>
      <c r="D37" s="111">
        <f t="shared" si="5"/>
        <v>0</v>
      </c>
      <c r="E37" s="10"/>
      <c r="F37" s="45"/>
      <c r="G37" s="9"/>
      <c r="H37" s="29"/>
      <c r="I37" s="91">
        <f t="shared" si="6"/>
        <v>0</v>
      </c>
      <c r="J37" s="168"/>
      <c r="K37" s="8">
        <f>J37-E37</f>
        <v>0</v>
      </c>
      <c r="L37" s="71">
        <f t="shared" si="7"/>
        <v>366.91026866569587</v>
      </c>
      <c r="M37" s="646"/>
      <c r="N37" s="646"/>
      <c r="O37" s="647"/>
    </row>
    <row r="38" spans="1:15" ht="14" x14ac:dyDescent="0.3">
      <c r="A38" s="679" t="s">
        <v>18</v>
      </c>
      <c r="B38" s="680"/>
      <c r="C38" s="14">
        <f>'Quarter 3'!K38</f>
        <v>708.51638087168851</v>
      </c>
      <c r="D38" s="111">
        <f t="shared" si="5"/>
        <v>0</v>
      </c>
      <c r="E38" s="10"/>
      <c r="F38" s="45"/>
      <c r="G38" s="9"/>
      <c r="H38" s="29"/>
      <c r="I38" s="91">
        <f t="shared" si="6"/>
        <v>0</v>
      </c>
      <c r="J38" s="168"/>
      <c r="K38" s="8">
        <f>J38-E38</f>
        <v>0</v>
      </c>
      <c r="L38" s="71">
        <f t="shared" si="7"/>
        <v>708.51638087168851</v>
      </c>
      <c r="M38" s="646"/>
      <c r="N38" s="646"/>
      <c r="O38" s="647"/>
    </row>
    <row r="39" spans="1:15" ht="14.5" thickBot="1" x14ac:dyDescent="0.35">
      <c r="A39" s="687" t="s">
        <v>17</v>
      </c>
      <c r="B39" s="688"/>
      <c r="C39" s="34">
        <f>'Quarter 3'!K39</f>
        <v>126.52078229851578</v>
      </c>
      <c r="D39" s="111">
        <f t="shared" si="5"/>
        <v>0</v>
      </c>
      <c r="E39" s="20"/>
      <c r="F39" s="45"/>
      <c r="G39" s="19"/>
      <c r="H39" s="95"/>
      <c r="I39" s="91">
        <f t="shared" si="6"/>
        <v>0</v>
      </c>
      <c r="J39" s="168"/>
      <c r="K39" s="96">
        <f>J39-E39</f>
        <v>0</v>
      </c>
      <c r="L39" s="71">
        <f t="shared" si="7"/>
        <v>126.52078229851578</v>
      </c>
      <c r="M39" s="696"/>
      <c r="N39" s="696"/>
      <c r="O39" s="697"/>
    </row>
    <row r="40" spans="1:15" ht="18" customHeight="1" thickBot="1" x14ac:dyDescent="0.55000000000000004">
      <c r="A40" s="93" t="s">
        <v>82</v>
      </c>
      <c r="B40" s="18"/>
      <c r="C40" s="18"/>
      <c r="D40" s="18"/>
      <c r="E40" s="18"/>
      <c r="F40" s="18"/>
      <c r="G40" s="18"/>
      <c r="H40" s="18"/>
      <c r="I40" s="18"/>
      <c r="J40" s="18"/>
      <c r="K40" s="18"/>
      <c r="L40" s="18"/>
      <c r="M40" s="18"/>
      <c r="N40" s="18"/>
      <c r="O40" s="17"/>
    </row>
    <row r="41" spans="1:15" ht="15.5" x14ac:dyDescent="0.35">
      <c r="A41" s="694" t="s">
        <v>16</v>
      </c>
      <c r="B41" s="695"/>
      <c r="C41" s="14">
        <f>'Quarter 3'!K41</f>
        <v>45560.914285714287</v>
      </c>
      <c r="D41" s="111">
        <f t="shared" ref="D41:D62" si="9">C41/(A$63-C$13-C$14)*D$5*D$65</f>
        <v>0</v>
      </c>
      <c r="E41" s="33"/>
      <c r="F41" s="45"/>
      <c r="G41" s="9"/>
      <c r="H41" s="91"/>
      <c r="I41" s="91">
        <f t="shared" ref="I41:I62" si="10">IF(G41=0,F41+H41,F41+G41)</f>
        <v>0</v>
      </c>
      <c r="J41" s="168"/>
      <c r="K41" s="8">
        <f t="shared" ref="K41:K60" si="11">J41-E41</f>
        <v>0</v>
      </c>
      <c r="L41" s="71">
        <f t="shared" ref="L41:L58" si="12">+(C41+G41)-J41</f>
        <v>45560.914285714287</v>
      </c>
      <c r="M41" s="677"/>
      <c r="N41" s="677"/>
      <c r="O41" s="678"/>
    </row>
    <row r="42" spans="1:15" ht="15.5" x14ac:dyDescent="0.35">
      <c r="A42" s="679" t="s">
        <v>15</v>
      </c>
      <c r="B42" s="680"/>
      <c r="C42" s="14">
        <f>'Quarter 3'!K42</f>
        <v>983.38775510204096</v>
      </c>
      <c r="D42" s="111">
        <f t="shared" si="9"/>
        <v>0</v>
      </c>
      <c r="E42" s="32"/>
      <c r="F42" s="45"/>
      <c r="G42" s="9"/>
      <c r="H42" s="29"/>
      <c r="I42" s="91">
        <f t="shared" si="10"/>
        <v>0</v>
      </c>
      <c r="J42" s="168"/>
      <c r="K42" s="8">
        <f t="shared" si="11"/>
        <v>0</v>
      </c>
      <c r="L42" s="71">
        <f t="shared" si="12"/>
        <v>983.38775510204096</v>
      </c>
      <c r="M42" s="646"/>
      <c r="N42" s="646"/>
      <c r="O42" s="647"/>
    </row>
    <row r="43" spans="1:15" ht="15.5" x14ac:dyDescent="0.35">
      <c r="A43" s="679" t="s">
        <v>14</v>
      </c>
      <c r="B43" s="680"/>
      <c r="C43" s="14">
        <f>'Quarter 3'!K43</f>
        <v>628.0408163265306</v>
      </c>
      <c r="D43" s="111">
        <f t="shared" si="9"/>
        <v>0</v>
      </c>
      <c r="E43" s="32"/>
      <c r="F43" s="45"/>
      <c r="G43" s="9"/>
      <c r="H43" s="29"/>
      <c r="I43" s="91">
        <f t="shared" si="10"/>
        <v>0</v>
      </c>
      <c r="J43" s="168"/>
      <c r="K43" s="8">
        <f t="shared" si="11"/>
        <v>0</v>
      </c>
      <c r="L43" s="71">
        <f t="shared" si="12"/>
        <v>628.0408163265306</v>
      </c>
      <c r="M43" s="646"/>
      <c r="N43" s="646"/>
      <c r="O43" s="647"/>
    </row>
    <row r="44" spans="1:15" ht="15.5" x14ac:dyDescent="0.35">
      <c r="A44" s="679" t="s">
        <v>13</v>
      </c>
      <c r="B44" s="680"/>
      <c r="C44" s="14">
        <f>'Quarter 3'!K44</f>
        <v>467.34693877551024</v>
      </c>
      <c r="D44" s="111">
        <f t="shared" si="9"/>
        <v>0</v>
      </c>
      <c r="E44" s="32"/>
      <c r="F44" s="45"/>
      <c r="G44" s="9"/>
      <c r="H44" s="29"/>
      <c r="I44" s="91">
        <f t="shared" si="10"/>
        <v>0</v>
      </c>
      <c r="J44" s="168"/>
      <c r="K44" s="8">
        <f t="shared" si="11"/>
        <v>0</v>
      </c>
      <c r="L44" s="71">
        <f t="shared" si="12"/>
        <v>467.34693877551024</v>
      </c>
      <c r="M44" s="646"/>
      <c r="N44" s="646"/>
      <c r="O44" s="647"/>
    </row>
    <row r="45" spans="1:15" ht="15.5" x14ac:dyDescent="0.35">
      <c r="A45" s="679" t="s">
        <v>12</v>
      </c>
      <c r="B45" s="680"/>
      <c r="C45" s="14">
        <f>'Quarter 3'!K45</f>
        <v>-889.42306122448974</v>
      </c>
      <c r="D45" s="111">
        <f t="shared" si="9"/>
        <v>0</v>
      </c>
      <c r="E45" s="32"/>
      <c r="F45" s="45"/>
      <c r="G45" s="9"/>
      <c r="H45" s="29"/>
      <c r="I45" s="91">
        <f t="shared" si="10"/>
        <v>0</v>
      </c>
      <c r="J45" s="168"/>
      <c r="K45" s="8">
        <f t="shared" si="11"/>
        <v>0</v>
      </c>
      <c r="L45" s="71">
        <f t="shared" si="12"/>
        <v>-889.42306122448974</v>
      </c>
      <c r="M45" s="646"/>
      <c r="N45" s="646"/>
      <c r="O45" s="647"/>
    </row>
    <row r="46" spans="1:15" ht="15.5" x14ac:dyDescent="0.35">
      <c r="A46" s="679" t="s">
        <v>11</v>
      </c>
      <c r="B46" s="680"/>
      <c r="C46" s="14">
        <f>'Quarter 3'!K46</f>
        <v>208.92346938775512</v>
      </c>
      <c r="D46" s="111">
        <f t="shared" si="9"/>
        <v>0</v>
      </c>
      <c r="E46" s="32"/>
      <c r="F46" s="45"/>
      <c r="G46" s="9"/>
      <c r="H46" s="29"/>
      <c r="I46" s="91">
        <f t="shared" si="10"/>
        <v>0</v>
      </c>
      <c r="J46" s="168"/>
      <c r="K46" s="8">
        <f t="shared" si="11"/>
        <v>0</v>
      </c>
      <c r="L46" s="71">
        <f t="shared" si="12"/>
        <v>208.92346938775512</v>
      </c>
      <c r="M46" s="646"/>
      <c r="N46" s="646"/>
      <c r="O46" s="647"/>
    </row>
    <row r="47" spans="1:15" ht="15.5" x14ac:dyDescent="0.35">
      <c r="A47" s="679" t="s">
        <v>10</v>
      </c>
      <c r="B47" s="680"/>
      <c r="C47" s="14">
        <f>'Quarter 3'!K47</f>
        <v>-735.10530612244929</v>
      </c>
      <c r="D47" s="111">
        <f t="shared" si="9"/>
        <v>0</v>
      </c>
      <c r="E47" s="32"/>
      <c r="F47" s="45"/>
      <c r="G47" s="9"/>
      <c r="H47" s="29"/>
      <c r="I47" s="91">
        <f t="shared" si="10"/>
        <v>0</v>
      </c>
      <c r="J47" s="168"/>
      <c r="K47" s="8">
        <f t="shared" si="11"/>
        <v>0</v>
      </c>
      <c r="L47" s="71">
        <f t="shared" si="12"/>
        <v>-735.10530612244929</v>
      </c>
      <c r="M47" s="646"/>
      <c r="N47" s="646"/>
      <c r="O47" s="647"/>
    </row>
    <row r="48" spans="1:15" ht="15.5" x14ac:dyDescent="0.35">
      <c r="A48" s="679" t="s">
        <v>9</v>
      </c>
      <c r="B48" s="680"/>
      <c r="C48" s="14">
        <f>'Quarter 3'!K48</f>
        <v>-4728.100612244898</v>
      </c>
      <c r="D48" s="111">
        <f t="shared" si="9"/>
        <v>0</v>
      </c>
      <c r="E48" s="32"/>
      <c r="F48" s="45"/>
      <c r="G48" s="9"/>
      <c r="H48" s="29"/>
      <c r="I48" s="91">
        <f t="shared" si="10"/>
        <v>0</v>
      </c>
      <c r="J48" s="168"/>
      <c r="K48" s="8">
        <f t="shared" si="11"/>
        <v>0</v>
      </c>
      <c r="L48" s="71">
        <f t="shared" si="12"/>
        <v>-4728.100612244898</v>
      </c>
      <c r="M48" s="646"/>
      <c r="N48" s="646"/>
      <c r="O48" s="647"/>
    </row>
    <row r="49" spans="1:15" ht="15.5" x14ac:dyDescent="0.35">
      <c r="A49" s="679" t="s">
        <v>8</v>
      </c>
      <c r="B49" s="680"/>
      <c r="C49" s="14">
        <f>'Quarter 3'!K49</f>
        <v>-69.836734693877588</v>
      </c>
      <c r="D49" s="111">
        <f t="shared" si="9"/>
        <v>0</v>
      </c>
      <c r="E49" s="32"/>
      <c r="F49" s="45"/>
      <c r="G49" s="9"/>
      <c r="H49" s="29"/>
      <c r="I49" s="91">
        <f t="shared" si="10"/>
        <v>0</v>
      </c>
      <c r="J49" s="168"/>
      <c r="K49" s="8">
        <f t="shared" si="11"/>
        <v>0</v>
      </c>
      <c r="L49" s="71">
        <f t="shared" si="12"/>
        <v>-69.836734693877588</v>
      </c>
      <c r="M49" s="646"/>
      <c r="N49" s="646"/>
      <c r="O49" s="647"/>
    </row>
    <row r="50" spans="1:15" ht="15.5" x14ac:dyDescent="0.35">
      <c r="A50" s="679" t="s">
        <v>7</v>
      </c>
      <c r="B50" s="680"/>
      <c r="C50" s="14">
        <f>'Quarter 3'!K50</f>
        <v>-1065.9112244897958</v>
      </c>
      <c r="D50" s="111">
        <f t="shared" si="9"/>
        <v>0</v>
      </c>
      <c r="E50" s="32"/>
      <c r="F50" s="45"/>
      <c r="G50" s="9"/>
      <c r="H50" s="29"/>
      <c r="I50" s="91">
        <f t="shared" si="10"/>
        <v>0</v>
      </c>
      <c r="J50" s="168"/>
      <c r="K50" s="8">
        <f t="shared" si="11"/>
        <v>0</v>
      </c>
      <c r="L50" s="71">
        <f t="shared" si="12"/>
        <v>-1065.9112244897958</v>
      </c>
      <c r="M50" s="646"/>
      <c r="N50" s="646"/>
      <c r="O50" s="647"/>
    </row>
    <row r="51" spans="1:15" ht="15.5" x14ac:dyDescent="0.35">
      <c r="A51" s="679" t="s">
        <v>6</v>
      </c>
      <c r="B51" s="680"/>
      <c r="C51" s="14">
        <f>'Quarter 3'!K51</f>
        <v>-3705.9183673469388</v>
      </c>
      <c r="D51" s="111">
        <f t="shared" si="9"/>
        <v>0</v>
      </c>
      <c r="E51" s="32"/>
      <c r="F51" s="45"/>
      <c r="G51" s="9"/>
      <c r="H51" s="29"/>
      <c r="I51" s="91">
        <f t="shared" si="10"/>
        <v>0</v>
      </c>
      <c r="J51" s="168"/>
      <c r="K51" s="8">
        <f t="shared" si="11"/>
        <v>0</v>
      </c>
      <c r="L51" s="71">
        <f t="shared" si="12"/>
        <v>-3705.9183673469388</v>
      </c>
      <c r="M51" s="646"/>
      <c r="N51" s="646"/>
      <c r="O51" s="647"/>
    </row>
    <row r="52" spans="1:15" ht="15.5" x14ac:dyDescent="0.35">
      <c r="A52" s="679" t="s">
        <v>5</v>
      </c>
      <c r="B52" s="680"/>
      <c r="C52" s="14">
        <f>'Quarter 3'!K52</f>
        <v>-6316.5714285714284</v>
      </c>
      <c r="D52" s="111">
        <f t="shared" si="9"/>
        <v>0</v>
      </c>
      <c r="E52" s="32"/>
      <c r="F52" s="45"/>
      <c r="G52" s="9"/>
      <c r="H52" s="29"/>
      <c r="I52" s="91">
        <f t="shared" si="10"/>
        <v>0</v>
      </c>
      <c r="J52" s="168"/>
      <c r="K52" s="8">
        <f t="shared" si="11"/>
        <v>0</v>
      </c>
      <c r="L52" s="71">
        <f t="shared" si="12"/>
        <v>-6316.5714285714284</v>
      </c>
      <c r="M52" s="646"/>
      <c r="N52" s="646"/>
      <c r="O52" s="647"/>
    </row>
    <row r="53" spans="1:15" ht="15.5" x14ac:dyDescent="0.35">
      <c r="A53" s="679" t="s">
        <v>4</v>
      </c>
      <c r="B53" s="680"/>
      <c r="C53" s="14">
        <f>'Quarter 3'!K53</f>
        <v>-907.30612244897952</v>
      </c>
      <c r="D53" s="111">
        <f t="shared" si="9"/>
        <v>0</v>
      </c>
      <c r="E53" s="32"/>
      <c r="F53" s="45"/>
      <c r="G53" s="9"/>
      <c r="H53" s="29"/>
      <c r="I53" s="91">
        <f t="shared" si="10"/>
        <v>0</v>
      </c>
      <c r="J53" s="168"/>
      <c r="K53" s="8">
        <f t="shared" si="11"/>
        <v>0</v>
      </c>
      <c r="L53" s="71">
        <f t="shared" si="12"/>
        <v>-907.30612244897952</v>
      </c>
      <c r="M53" s="646"/>
      <c r="N53" s="646"/>
      <c r="O53" s="647"/>
    </row>
    <row r="54" spans="1:15" ht="15.5" x14ac:dyDescent="0.35">
      <c r="A54" s="679" t="s">
        <v>3</v>
      </c>
      <c r="B54" s="680"/>
      <c r="C54" s="14">
        <f>'Quarter 3'!K54</f>
        <v>383.67346938775512</v>
      </c>
      <c r="D54" s="111">
        <f t="shared" si="9"/>
        <v>0</v>
      </c>
      <c r="E54" s="32"/>
      <c r="F54" s="45"/>
      <c r="G54" s="9"/>
      <c r="H54" s="29"/>
      <c r="I54" s="91">
        <f t="shared" si="10"/>
        <v>0</v>
      </c>
      <c r="J54" s="168"/>
      <c r="K54" s="8">
        <f t="shared" si="11"/>
        <v>0</v>
      </c>
      <c r="L54" s="71">
        <f t="shared" si="12"/>
        <v>383.67346938775512</v>
      </c>
      <c r="M54" s="646"/>
      <c r="N54" s="646"/>
      <c r="O54" s="647"/>
    </row>
    <row r="55" spans="1:15" ht="15.5" x14ac:dyDescent="0.35">
      <c r="A55" s="679" t="s">
        <v>2</v>
      </c>
      <c r="B55" s="680"/>
      <c r="C55" s="14">
        <f>'Quarter 3'!K55</f>
        <v>-48.300000000000011</v>
      </c>
      <c r="D55" s="111">
        <f t="shared" si="9"/>
        <v>0</v>
      </c>
      <c r="E55" s="32"/>
      <c r="F55" s="45"/>
      <c r="G55" s="9"/>
      <c r="H55" s="29"/>
      <c r="I55" s="91">
        <f t="shared" si="10"/>
        <v>0</v>
      </c>
      <c r="J55" s="168"/>
      <c r="K55" s="8">
        <f t="shared" si="11"/>
        <v>0</v>
      </c>
      <c r="L55" s="71">
        <f t="shared" si="12"/>
        <v>-48.300000000000011</v>
      </c>
      <c r="M55" s="646"/>
      <c r="N55" s="646"/>
      <c r="O55" s="647"/>
    </row>
    <row r="56" spans="1:15" ht="15.5" x14ac:dyDescent="0.35">
      <c r="A56" s="679" t="s">
        <v>55</v>
      </c>
      <c r="B56" s="680"/>
      <c r="C56" s="14">
        <f>'Quarter 3'!K56</f>
        <v>0</v>
      </c>
      <c r="D56" s="111">
        <f t="shared" si="9"/>
        <v>0</v>
      </c>
      <c r="E56" s="32"/>
      <c r="F56" s="45"/>
      <c r="G56" s="9"/>
      <c r="H56" s="29"/>
      <c r="I56" s="91">
        <f t="shared" si="10"/>
        <v>0</v>
      </c>
      <c r="J56" s="168"/>
      <c r="K56" s="8">
        <f t="shared" si="11"/>
        <v>0</v>
      </c>
      <c r="L56" s="71">
        <f t="shared" si="12"/>
        <v>0</v>
      </c>
      <c r="M56" s="646"/>
      <c r="N56" s="646"/>
      <c r="O56" s="647"/>
    </row>
    <row r="57" spans="1:15" ht="15.5" x14ac:dyDescent="0.35">
      <c r="A57" s="679" t="str">
        <f>'Quarter 3'!A57:B57</f>
        <v>(Insert item name or brief description on this line.)</v>
      </c>
      <c r="B57" s="680"/>
      <c r="C57" s="14">
        <f>'Quarter 3'!K57</f>
        <v>0</v>
      </c>
      <c r="D57" s="111">
        <f t="shared" si="9"/>
        <v>0</v>
      </c>
      <c r="E57" s="32"/>
      <c r="F57" s="45"/>
      <c r="G57" s="9"/>
      <c r="H57" s="29"/>
      <c r="I57" s="91">
        <f t="shared" si="10"/>
        <v>0</v>
      </c>
      <c r="J57" s="168"/>
      <c r="K57" s="8">
        <f t="shared" si="11"/>
        <v>0</v>
      </c>
      <c r="L57" s="71">
        <f t="shared" si="12"/>
        <v>0</v>
      </c>
      <c r="M57" s="646"/>
      <c r="N57" s="646"/>
      <c r="O57" s="647"/>
    </row>
    <row r="58" spans="1:15" ht="15.5" x14ac:dyDescent="0.35">
      <c r="A58" s="679" t="str">
        <f>'Quarter 3'!A58:B58</f>
        <v>(Insert item name or brief description on this line.)</v>
      </c>
      <c r="B58" s="680"/>
      <c r="C58" s="14">
        <f>'Quarter 3'!K58</f>
        <v>0</v>
      </c>
      <c r="D58" s="111">
        <f t="shared" si="9"/>
        <v>0</v>
      </c>
      <c r="E58" s="31"/>
      <c r="F58" s="45"/>
      <c r="G58" s="9"/>
      <c r="H58" s="36"/>
      <c r="I58" s="91">
        <f t="shared" si="10"/>
        <v>0</v>
      </c>
      <c r="J58" s="168"/>
      <c r="K58" s="8">
        <f t="shared" si="11"/>
        <v>0</v>
      </c>
      <c r="L58" s="71">
        <f t="shared" si="12"/>
        <v>0</v>
      </c>
      <c r="M58" s="646"/>
      <c r="N58" s="646"/>
      <c r="O58" s="647"/>
    </row>
    <row r="59" spans="1:15" ht="15.5" x14ac:dyDescent="0.35">
      <c r="A59" s="679" t="str">
        <f>'Quarter 3'!A59:B59</f>
        <v>(Insert item name or brief description on this line.)</v>
      </c>
      <c r="B59" s="680"/>
      <c r="C59" s="14">
        <f>'Quarter 3'!K59</f>
        <v>0</v>
      </c>
      <c r="D59" s="111">
        <f t="shared" si="9"/>
        <v>0</v>
      </c>
      <c r="E59" s="31"/>
      <c r="F59" s="45"/>
      <c r="G59" s="9"/>
      <c r="H59" s="36"/>
      <c r="I59" s="91">
        <f t="shared" si="10"/>
        <v>0</v>
      </c>
      <c r="J59" s="168"/>
      <c r="K59" s="8">
        <f t="shared" si="11"/>
        <v>0</v>
      </c>
      <c r="L59" s="71">
        <f>IF(J59&gt;0,(C59+D59+G59-J59),(F59+H59))</f>
        <v>0</v>
      </c>
      <c r="M59" s="646"/>
      <c r="N59" s="646"/>
      <c r="O59" s="647"/>
    </row>
    <row r="60" spans="1:15" ht="15.5" x14ac:dyDescent="0.35">
      <c r="A60" s="679" t="str">
        <f>'Quarter 3'!A60:B60</f>
        <v>(Insert item name or brief description on this line.)</v>
      </c>
      <c r="B60" s="680"/>
      <c r="C60" s="14">
        <f>'Quarter 3'!K60</f>
        <v>0</v>
      </c>
      <c r="D60" s="111">
        <f t="shared" si="9"/>
        <v>0</v>
      </c>
      <c r="E60" s="30"/>
      <c r="F60" s="45"/>
      <c r="G60" s="9"/>
      <c r="H60" s="29"/>
      <c r="I60" s="91">
        <f t="shared" si="10"/>
        <v>0</v>
      </c>
      <c r="J60" s="168"/>
      <c r="K60" s="8">
        <f t="shared" si="11"/>
        <v>0</v>
      </c>
      <c r="L60" s="71">
        <f>IF(J60&gt;0,(C60+D60+G60-J60),(F60+H60))</f>
        <v>0</v>
      </c>
      <c r="M60" s="646"/>
      <c r="N60" s="646"/>
      <c r="O60" s="647"/>
    </row>
    <row r="61" spans="1:15" ht="15.5" x14ac:dyDescent="0.35">
      <c r="A61" s="679" t="str">
        <f>'Quarter 3'!A61:B61</f>
        <v>(Insert item name or brief description on this line.)</v>
      </c>
      <c r="B61" s="680"/>
      <c r="C61" s="14">
        <f>'Quarter 3'!K61</f>
        <v>0</v>
      </c>
      <c r="D61" s="111">
        <f t="shared" si="9"/>
        <v>0</v>
      </c>
      <c r="E61" s="30"/>
      <c r="F61" s="45"/>
      <c r="G61" s="9"/>
      <c r="H61" s="29"/>
      <c r="I61" s="91">
        <f t="shared" si="10"/>
        <v>0</v>
      </c>
      <c r="J61" s="168"/>
      <c r="K61" s="8">
        <f>IF(J61&gt;E61,0,J61-E61)</f>
        <v>0</v>
      </c>
      <c r="L61" s="71">
        <f>IF(J61&gt;0,(C61+D61+G61-J61),(F61+H61))</f>
        <v>0</v>
      </c>
      <c r="M61" s="646"/>
      <c r="N61" s="646"/>
      <c r="O61" s="647"/>
    </row>
    <row r="62" spans="1:15" ht="15.5" x14ac:dyDescent="0.35">
      <c r="A62" s="698"/>
      <c r="B62" s="699"/>
      <c r="C62" s="49">
        <f>'Quarter 3'!K62</f>
        <v>0</v>
      </c>
      <c r="D62" s="111">
        <f t="shared" si="9"/>
        <v>0</v>
      </c>
      <c r="E62" s="30"/>
      <c r="F62" s="45"/>
      <c r="G62" s="9"/>
      <c r="H62" s="29"/>
      <c r="I62" s="91">
        <f t="shared" si="10"/>
        <v>0</v>
      </c>
      <c r="J62" s="168"/>
      <c r="K62" s="8">
        <f>IF(J62&gt;E62,0,J62-E62)</f>
        <v>0</v>
      </c>
      <c r="L62" s="71">
        <f>IF(J62&gt;0,(C62+D62+G62-J62),(F62+H62))</f>
        <v>0</v>
      </c>
      <c r="M62" s="646"/>
      <c r="N62" s="646"/>
      <c r="O62" s="647"/>
    </row>
    <row r="63" spans="1:15" ht="15.5" x14ac:dyDescent="0.35">
      <c r="A63" s="625">
        <f>SUM(C7:C25,C28:C39,C41:C62)</f>
        <v>180023.67106961098</v>
      </c>
      <c r="B63" s="626"/>
      <c r="C63" s="627"/>
      <c r="D63" s="108">
        <f>SUM(D41:D62,D28:D39,D7:D25)</f>
        <v>0</v>
      </c>
      <c r="E63" s="5"/>
      <c r="F63" s="5"/>
      <c r="G63" s="5"/>
      <c r="H63" s="5"/>
      <c r="I63" s="5"/>
      <c r="J63" s="5"/>
      <c r="K63" s="5"/>
      <c r="L63" s="5"/>
      <c r="M63" s="646"/>
      <c r="N63" s="646"/>
      <c r="O63" s="647"/>
    </row>
    <row r="64" spans="1:15" ht="15.75" customHeight="1" thickBot="1" x14ac:dyDescent="0.35">
      <c r="A64" s="622" t="s">
        <v>0</v>
      </c>
      <c r="B64" s="623"/>
      <c r="C64" s="624"/>
      <c r="D64" s="4">
        <f>D65*D5</f>
        <v>0</v>
      </c>
      <c r="E64" s="103">
        <f t="shared" ref="E64:L64" si="13">SUM(E7:E25,E28:E63)</f>
        <v>0</v>
      </c>
      <c r="F64" s="123">
        <f t="shared" si="13"/>
        <v>0</v>
      </c>
      <c r="G64" s="103">
        <f t="shared" si="13"/>
        <v>0</v>
      </c>
      <c r="H64" s="103">
        <f t="shared" si="13"/>
        <v>0</v>
      </c>
      <c r="I64" s="123">
        <f t="shared" si="13"/>
        <v>0</v>
      </c>
      <c r="J64" s="103">
        <f t="shared" si="13"/>
        <v>0</v>
      </c>
      <c r="K64" s="103">
        <f t="shared" si="13"/>
        <v>-19065.57</v>
      </c>
      <c r="L64" s="103">
        <f t="shared" si="13"/>
        <v>180023.67106961098</v>
      </c>
      <c r="M64" s="720"/>
      <c r="N64" s="720"/>
      <c r="O64" s="721"/>
    </row>
    <row r="65" spans="3:5" ht="14" x14ac:dyDescent="0.3">
      <c r="C65" s="112">
        <v>1417.8010133601301</v>
      </c>
      <c r="D65" s="113">
        <f>'Quarter 1'!D65</f>
        <v>1346.0373693058884</v>
      </c>
      <c r="E65" s="112">
        <f>'Quarter 1'!D65</f>
        <v>1346.0373693058884</v>
      </c>
    </row>
    <row r="67" spans="3:5" x14ac:dyDescent="0.25">
      <c r="C67" s="89"/>
      <c r="D67" s="89"/>
    </row>
    <row r="68" spans="3:5" x14ac:dyDescent="0.25">
      <c r="C68" s="89"/>
      <c r="D68" s="89"/>
    </row>
  </sheetData>
  <sheetProtection algorithmName="SHA-512" hashValue="IWahxbUJOFEdMk8kKYZdR8uiAc/0C1Yk4QDVjAEAMvDkucpwOXV+ijmUG/N4/nrVIetzTCa1wjDH+QGGYZMdCQ==" saltValue="MGDKJk+Q1QhhQEsJU2RqCQ==" spinCount="100000" sheet="1" selectLockedCells="1"/>
  <mergeCells count="127">
    <mergeCell ref="A5:B5"/>
    <mergeCell ref="M17:O17"/>
    <mergeCell ref="M5:O5"/>
    <mergeCell ref="M7:O7"/>
    <mergeCell ref="A15:B15"/>
    <mergeCell ref="A16:B16"/>
    <mergeCell ref="A19:B19"/>
    <mergeCell ref="A13:B13"/>
    <mergeCell ref="A6:O6"/>
    <mergeCell ref="A7:B7"/>
    <mergeCell ref="A14:B14"/>
    <mergeCell ref="A17:B17"/>
    <mergeCell ref="M12:O12"/>
    <mergeCell ref="M13:O13"/>
    <mergeCell ref="M8:O8"/>
    <mergeCell ref="M9:O9"/>
    <mergeCell ref="M10:O10"/>
    <mergeCell ref="M11:O11"/>
    <mergeCell ref="M14:O14"/>
    <mergeCell ref="A12:B12"/>
    <mergeCell ref="A8:B8"/>
    <mergeCell ref="A9:B9"/>
    <mergeCell ref="A10:B10"/>
    <mergeCell ref="A11:B11"/>
    <mergeCell ref="M16:O16"/>
    <mergeCell ref="M18:O18"/>
    <mergeCell ref="M26:O26"/>
    <mergeCell ref="M28:O28"/>
    <mergeCell ref="M19:O19"/>
    <mergeCell ref="M20:O20"/>
    <mergeCell ref="A57:B57"/>
    <mergeCell ref="A53:B53"/>
    <mergeCell ref="A24:B24"/>
    <mergeCell ref="A41:B41"/>
    <mergeCell ref="A32:B32"/>
    <mergeCell ref="A28:B28"/>
    <mergeCell ref="A20:B20"/>
    <mergeCell ref="A18:B18"/>
    <mergeCell ref="A37:B37"/>
    <mergeCell ref="A44:B44"/>
    <mergeCell ref="A45:B45"/>
    <mergeCell ref="A36:B36"/>
    <mergeCell ref="A47:B47"/>
    <mergeCell ref="A25:B25"/>
    <mergeCell ref="A22:B22"/>
    <mergeCell ref="A23:B23"/>
    <mergeCell ref="A38:B38"/>
    <mergeCell ref="M22:O22"/>
    <mergeCell ref="M15:O15"/>
    <mergeCell ref="M21:O21"/>
    <mergeCell ref="A21:B21"/>
    <mergeCell ref="A64:C64"/>
    <mergeCell ref="A54:B54"/>
    <mergeCell ref="A55:B55"/>
    <mergeCell ref="A61:B61"/>
    <mergeCell ref="A62:B62"/>
    <mergeCell ref="A30:B30"/>
    <mergeCell ref="A39:B39"/>
    <mergeCell ref="A31:B31"/>
    <mergeCell ref="A60:B60"/>
    <mergeCell ref="A63:C63"/>
    <mergeCell ref="A59:B59"/>
    <mergeCell ref="A58:B58"/>
    <mergeCell ref="A56:B56"/>
    <mergeCell ref="A48:B48"/>
    <mergeCell ref="A49:B49"/>
    <mergeCell ref="A50:B50"/>
    <mergeCell ref="A51:B51"/>
    <mergeCell ref="A52:B52"/>
    <mergeCell ref="A46:B46"/>
    <mergeCell ref="A42:B42"/>
    <mergeCell ref="A43:B43"/>
    <mergeCell ref="M23:O23"/>
    <mergeCell ref="M24:O24"/>
    <mergeCell ref="M31:O31"/>
    <mergeCell ref="A33:B33"/>
    <mergeCell ref="M32:O32"/>
    <mergeCell ref="M33:O33"/>
    <mergeCell ref="M29:O29"/>
    <mergeCell ref="M30:O30"/>
    <mergeCell ref="M25:O25"/>
    <mergeCell ref="M38:O38"/>
    <mergeCell ref="M39:O39"/>
    <mergeCell ref="M36:O36"/>
    <mergeCell ref="M37:O37"/>
    <mergeCell ref="M41:O41"/>
    <mergeCell ref="A27:O27"/>
    <mergeCell ref="A29:B29"/>
    <mergeCell ref="M42:O42"/>
    <mergeCell ref="M43:O43"/>
    <mergeCell ref="A34:B34"/>
    <mergeCell ref="A35:B35"/>
    <mergeCell ref="M34:O34"/>
    <mergeCell ref="M35:O35"/>
    <mergeCell ref="M44:O44"/>
    <mergeCell ref="M45:O45"/>
    <mergeCell ref="M51:O51"/>
    <mergeCell ref="M62:O62"/>
    <mergeCell ref="M46:O46"/>
    <mergeCell ref="M52:O52"/>
    <mergeCell ref="M53:O53"/>
    <mergeCell ref="M64:O64"/>
    <mergeCell ref="M47:O47"/>
    <mergeCell ref="M48:O48"/>
    <mergeCell ref="M49:O49"/>
    <mergeCell ref="M56:O56"/>
    <mergeCell ref="M63:O63"/>
    <mergeCell ref="M60:O60"/>
    <mergeCell ref="M61:O61"/>
    <mergeCell ref="M57:O57"/>
    <mergeCell ref="M58:O58"/>
    <mergeCell ref="M55:O55"/>
    <mergeCell ref="M59:O59"/>
    <mergeCell ref="M50:O50"/>
    <mergeCell ref="M54:O54"/>
    <mergeCell ref="L4:N4"/>
    <mergeCell ref="D2:D4"/>
    <mergeCell ref="L3:N3"/>
    <mergeCell ref="L1:N1"/>
    <mergeCell ref="L2:N2"/>
    <mergeCell ref="J2:J4"/>
    <mergeCell ref="K2:K4"/>
    <mergeCell ref="E2:E4"/>
    <mergeCell ref="F2:F4"/>
    <mergeCell ref="G2:G4"/>
    <mergeCell ref="H2:H4"/>
    <mergeCell ref="I2:I4"/>
  </mergeCells>
  <printOptions horizontalCentered="1"/>
  <pageMargins left="0.25" right="0.25" top="0.61250000000000004" bottom="0.38750000000000001" header="0.3" footer="0.3"/>
  <pageSetup paperSize="5" scale="81" orientation="landscape" r:id="rId1"/>
  <headerFooter>
    <oddHeader>&amp;C&amp;F</oddHeader>
  </headerFooter>
  <rowBreaks count="1" manualBreakCount="1">
    <brk id="26"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zoomScale="120" zoomScaleNormal="120" zoomScalePageLayoutView="75" workbookViewId="0">
      <selection activeCell="D7" sqref="D7"/>
    </sheetView>
  </sheetViews>
  <sheetFormatPr defaultColWidth="15.453125" defaultRowHeight="12.5" x14ac:dyDescent="0.25"/>
  <cols>
    <col min="1" max="2" width="15.453125" style="1"/>
    <col min="3" max="3" width="15.453125" style="323"/>
    <col min="4" max="7" width="15.453125" style="1"/>
    <col min="8" max="8" width="15.453125" style="124"/>
    <col min="9" max="16384" width="15.453125" style="1"/>
  </cols>
  <sheetData>
    <row r="1" spans="1:14" ht="16.5" customHeight="1" x14ac:dyDescent="0.3">
      <c r="A1" s="28"/>
      <c r="B1" s="59"/>
      <c r="C1" s="320"/>
      <c r="D1" s="59"/>
      <c r="E1" s="59"/>
      <c r="F1" s="59"/>
      <c r="J1" s="648" t="s">
        <v>54</v>
      </c>
      <c r="K1" s="648"/>
      <c r="L1" s="649"/>
      <c r="M1" s="42">
        <f>'Quarter 1'!M1</f>
        <v>45</v>
      </c>
      <c r="N1" s="60"/>
    </row>
    <row r="2" spans="1:14" ht="16.5" customHeight="1" thickBot="1" x14ac:dyDescent="0.35">
      <c r="A2" s="28"/>
      <c r="B2" s="59"/>
      <c r="C2" s="320"/>
      <c r="D2" s="59"/>
      <c r="E2" s="59"/>
      <c r="F2" s="59"/>
      <c r="J2" s="650" t="s">
        <v>50</v>
      </c>
      <c r="K2" s="650"/>
      <c r="L2" s="651"/>
      <c r="M2" s="48">
        <f>'Quarter 1'!M2</f>
        <v>0.76729999999999998</v>
      </c>
    </row>
    <row r="3" spans="1:14" ht="18" customHeight="1" thickBot="1" x14ac:dyDescent="0.35">
      <c r="A3" s="746"/>
      <c r="B3" s="747"/>
      <c r="C3" s="666" t="s">
        <v>48</v>
      </c>
      <c r="D3" s="666" t="s">
        <v>99</v>
      </c>
      <c r="E3" s="666" t="s">
        <v>100</v>
      </c>
      <c r="F3" s="666" t="s">
        <v>102</v>
      </c>
      <c r="G3" s="666" t="s">
        <v>101</v>
      </c>
      <c r="I3" s="58"/>
      <c r="J3" s="650" t="s">
        <v>86</v>
      </c>
      <c r="K3" s="650"/>
      <c r="L3" s="651"/>
      <c r="M3" s="48">
        <f>'Quarter 1'!M3</f>
        <v>0</v>
      </c>
    </row>
    <row r="4" spans="1:14" ht="14.25" customHeight="1" thickBot="1" x14ac:dyDescent="0.35">
      <c r="A4" s="748"/>
      <c r="B4" s="748"/>
      <c r="C4" s="667"/>
      <c r="D4" s="667"/>
      <c r="E4" s="667"/>
      <c r="F4" s="667"/>
      <c r="G4" s="667"/>
      <c r="H4" s="737" t="s">
        <v>87</v>
      </c>
      <c r="I4" s="58"/>
      <c r="J4" s="650" t="s">
        <v>80</v>
      </c>
      <c r="K4" s="650"/>
      <c r="L4" s="651"/>
      <c r="M4" s="48">
        <v>0</v>
      </c>
    </row>
    <row r="5" spans="1:14" ht="14.25" customHeight="1" thickBot="1" x14ac:dyDescent="0.35">
      <c r="A5" s="609" t="s">
        <v>47</v>
      </c>
      <c r="B5" s="610"/>
      <c r="C5" s="749"/>
      <c r="D5" s="667"/>
      <c r="E5" s="667"/>
      <c r="F5" s="667"/>
      <c r="G5" s="667"/>
      <c r="H5" s="738"/>
      <c r="I5" s="57" t="s">
        <v>62</v>
      </c>
      <c r="J5" s="24" t="s">
        <v>45</v>
      </c>
      <c r="K5" s="616" t="s">
        <v>44</v>
      </c>
      <c r="L5" s="616"/>
      <c r="M5" s="722"/>
    </row>
    <row r="6" spans="1:14" ht="14.25" customHeight="1" x14ac:dyDescent="0.3">
      <c r="A6" s="617" t="s">
        <v>92</v>
      </c>
      <c r="B6" s="618"/>
      <c r="C6" s="618"/>
      <c r="D6" s="618"/>
      <c r="E6" s="618"/>
      <c r="F6" s="618"/>
      <c r="G6" s="618"/>
      <c r="H6" s="703"/>
      <c r="I6" s="618"/>
      <c r="J6" s="618"/>
      <c r="K6" s="618"/>
      <c r="L6" s="618"/>
      <c r="M6" s="704"/>
    </row>
    <row r="7" spans="1:14" ht="14" x14ac:dyDescent="0.3">
      <c r="A7" s="750" t="s">
        <v>42</v>
      </c>
      <c r="B7" s="751"/>
      <c r="C7" s="321">
        <f>'Quarter 1'!C7</f>
        <v>169561</v>
      </c>
      <c r="D7" s="55">
        <f>IF('Quarter 1'!H7&lt;=0,'Quarter 1'!E7,'Quarter 1'!H7)</f>
        <v>3452</v>
      </c>
      <c r="E7" s="55">
        <f>IF('Quarter 2'!H7&lt;=0,'Quarter 2'!E7,'Quarter 2'!H7)</f>
        <v>43622.68</v>
      </c>
      <c r="F7" s="55">
        <f>IF('Quarter 3'!H7&lt;=0,'Quarter 3'!E7,'Quarter 3'!H7)</f>
        <v>0</v>
      </c>
      <c r="G7" s="55">
        <f>IF('Quarter 4'!H7&lt;=0,'Quarter 4'!E7,'Quarter 4'!H7)</f>
        <v>0</v>
      </c>
      <c r="H7" s="125">
        <f>SUM('Quarter 1'!G7,'Quarter 2'!G7,'Quarter 3'!G7,'Quarter 4'!G7)</f>
        <v>0</v>
      </c>
      <c r="I7" s="52">
        <f t="shared" ref="I7:I25" si="0">SUM(D7:G7)</f>
        <v>47074.68</v>
      </c>
      <c r="J7" s="15">
        <f>(C7+H7)-SUM(D7:G7)</f>
        <v>122486.32</v>
      </c>
      <c r="K7" s="744"/>
      <c r="L7" s="744"/>
      <c r="M7" s="745"/>
    </row>
    <row r="8" spans="1:14" ht="14" x14ac:dyDescent="0.3">
      <c r="A8" s="730" t="s">
        <v>41</v>
      </c>
      <c r="B8" s="731"/>
      <c r="C8" s="321">
        <f>'Quarter 1'!C8</f>
        <v>86836</v>
      </c>
      <c r="D8" s="55">
        <f>IF('Quarter 1'!H8&lt;=0,'Quarter 1'!E8,'Quarter 1'!H8)</f>
        <v>4700</v>
      </c>
      <c r="E8" s="55">
        <f>+'Quarter 2'!E8</f>
        <v>28009.65</v>
      </c>
      <c r="F8" s="55">
        <f>+'Quarter 3'!I8</f>
        <v>0</v>
      </c>
      <c r="G8" s="55">
        <f>+'Quarter 4'!J8</f>
        <v>0</v>
      </c>
      <c r="H8" s="125">
        <f>SUM('Quarter 1'!G8,'Quarter 2'!G8,'Quarter 3'!G8,'Quarter 4'!G8)</f>
        <v>0</v>
      </c>
      <c r="I8" s="52">
        <f t="shared" si="0"/>
        <v>32709.65</v>
      </c>
      <c r="J8" s="15">
        <f t="shared" ref="J8:J25" si="1">(C8+H8)-SUM(D8:G8)</f>
        <v>54126.35</v>
      </c>
      <c r="K8" s="723"/>
      <c r="L8" s="723"/>
      <c r="M8" s="724"/>
    </row>
    <row r="9" spans="1:14" ht="14" x14ac:dyDescent="0.3">
      <c r="A9" s="730" t="s">
        <v>40</v>
      </c>
      <c r="B9" s="731"/>
      <c r="C9" s="321">
        <f>'Quarter 1'!C9</f>
        <v>19800</v>
      </c>
      <c r="D9" s="55">
        <f>IF('Quarter 1'!H9&lt;=0,'Quarter 1'!E9,'Quarter 1'!H9)</f>
        <v>863</v>
      </c>
      <c r="E9" s="55">
        <f>+'Quarter 2'!E9</f>
        <v>6083.9</v>
      </c>
      <c r="F9" s="55">
        <f>+'Quarter 3'!I9</f>
        <v>0</v>
      </c>
      <c r="G9" s="55">
        <f>+'Quarter 4'!J9</f>
        <v>0</v>
      </c>
      <c r="H9" s="125">
        <f>SUM('Quarter 1'!G9,'Quarter 2'!G9,'Quarter 3'!G9,'Quarter 4'!G9)</f>
        <v>0</v>
      </c>
      <c r="I9" s="52">
        <f t="shared" si="0"/>
        <v>6946.9</v>
      </c>
      <c r="J9" s="15">
        <f t="shared" si="1"/>
        <v>12853.1</v>
      </c>
      <c r="K9" s="723"/>
      <c r="L9" s="723"/>
      <c r="M9" s="724"/>
    </row>
    <row r="10" spans="1:14" ht="14" x14ac:dyDescent="0.3">
      <c r="A10" s="730" t="s">
        <v>39</v>
      </c>
      <c r="B10" s="731"/>
      <c r="C10" s="321">
        <f>'Quarter 1'!C10</f>
        <v>38599.75</v>
      </c>
      <c r="D10" s="55">
        <f>IF('Quarter 1'!H10&lt;=0,'Quarter 1'!E10,'Quarter 1'!H10)</f>
        <v>11173</v>
      </c>
      <c r="E10" s="55">
        <f>+'Quarter 2'!E10</f>
        <v>8202</v>
      </c>
      <c r="F10" s="55">
        <f>+'Quarter 3'!I10</f>
        <v>0</v>
      </c>
      <c r="G10" s="55">
        <f>+'Quarter 4'!J10</f>
        <v>0</v>
      </c>
      <c r="H10" s="125">
        <f>SUM('Quarter 1'!G10,'Quarter 2'!G10,'Quarter 3'!G10,'Quarter 4'!G10)</f>
        <v>0</v>
      </c>
      <c r="I10" s="52">
        <f t="shared" si="0"/>
        <v>19375</v>
      </c>
      <c r="J10" s="15">
        <f t="shared" si="1"/>
        <v>19224.75</v>
      </c>
      <c r="K10" s="723"/>
      <c r="L10" s="723"/>
      <c r="M10" s="724"/>
    </row>
    <row r="11" spans="1:14" ht="14" x14ac:dyDescent="0.3">
      <c r="A11" s="730" t="s">
        <v>38</v>
      </c>
      <c r="B11" s="731"/>
      <c r="C11" s="321">
        <f>'Quarter 1'!C11</f>
        <v>3000</v>
      </c>
      <c r="D11" s="55">
        <f>IF('Quarter 1'!H11&lt;=0,'Quarter 1'!E11,'Quarter 1'!H11)</f>
        <v>3338</v>
      </c>
      <c r="E11" s="55">
        <f>+'Quarter 2'!E11</f>
        <v>0</v>
      </c>
      <c r="F11" s="55">
        <f>+'Quarter 3'!I11</f>
        <v>0</v>
      </c>
      <c r="G11" s="55">
        <f>+'Quarter 4'!J11</f>
        <v>0</v>
      </c>
      <c r="H11" s="125">
        <f>SUM('Quarter 1'!G11,'Quarter 2'!G11,'Quarter 3'!G11,'Quarter 4'!G11)</f>
        <v>0</v>
      </c>
      <c r="I11" s="52">
        <f t="shared" si="0"/>
        <v>3338</v>
      </c>
      <c r="J11" s="15">
        <f t="shared" si="1"/>
        <v>-338</v>
      </c>
      <c r="K11" s="723"/>
      <c r="L11" s="723"/>
      <c r="M11" s="724"/>
    </row>
    <row r="12" spans="1:14" ht="14" x14ac:dyDescent="0.3">
      <c r="A12" s="730" t="s">
        <v>37</v>
      </c>
      <c r="B12" s="731"/>
      <c r="C12" s="321">
        <f>'Quarter 1'!C12</f>
        <v>4800</v>
      </c>
      <c r="D12" s="55">
        <f>IF('Quarter 1'!H12&lt;=0,'Quarter 1'!E12,'Quarter 1'!H12)</f>
        <v>0</v>
      </c>
      <c r="E12" s="55">
        <f>+'Quarter 2'!E12</f>
        <v>3112.8</v>
      </c>
      <c r="F12" s="55">
        <f>+'Quarter 3'!I12</f>
        <v>0</v>
      </c>
      <c r="G12" s="55">
        <f>+'Quarter 4'!J12</f>
        <v>0</v>
      </c>
      <c r="H12" s="125">
        <f>SUM('Quarter 1'!G12,'Quarter 2'!G12,'Quarter 3'!G12,'Quarter 4'!G12)</f>
        <v>0</v>
      </c>
      <c r="I12" s="52">
        <f t="shared" si="0"/>
        <v>3112.8</v>
      </c>
      <c r="J12" s="15">
        <f t="shared" si="1"/>
        <v>1687.1999999999998</v>
      </c>
      <c r="K12" s="723"/>
      <c r="L12" s="723"/>
      <c r="M12" s="724"/>
    </row>
    <row r="13" spans="1:14" ht="14" x14ac:dyDescent="0.3">
      <c r="A13" s="730" t="s">
        <v>36</v>
      </c>
      <c r="B13" s="731"/>
      <c r="C13" s="321">
        <f>'Quarter 1'!C13</f>
        <v>6000</v>
      </c>
      <c r="D13" s="55">
        <f>IF('Quarter 1'!H13&lt;=0,'Quarter 1'!E13,'Quarter 1'!H13)</f>
        <v>2031</v>
      </c>
      <c r="E13" s="55">
        <f>+'Quarter 2'!E13</f>
        <v>436</v>
      </c>
      <c r="F13" s="55">
        <f>+'Quarter 3'!I13</f>
        <v>0</v>
      </c>
      <c r="G13" s="55">
        <f>+'Quarter 4'!J13</f>
        <v>0</v>
      </c>
      <c r="H13" s="125">
        <f>SUM('Quarter 1'!G13,'Quarter 2'!G13,'Quarter 3'!G13,'Quarter 4'!G13)</f>
        <v>0</v>
      </c>
      <c r="I13" s="52">
        <f t="shared" si="0"/>
        <v>2467</v>
      </c>
      <c r="J13" s="15">
        <f t="shared" si="1"/>
        <v>3533</v>
      </c>
      <c r="K13" s="723"/>
      <c r="L13" s="723"/>
      <c r="M13" s="724"/>
    </row>
    <row r="14" spans="1:14" ht="14" x14ac:dyDescent="0.3">
      <c r="A14" s="730" t="s">
        <v>35</v>
      </c>
      <c r="B14" s="731"/>
      <c r="C14" s="321">
        <f>'Quarter 1'!C14</f>
        <v>3000</v>
      </c>
      <c r="D14" s="55">
        <f>IF('Quarter 1'!H14&lt;=0,'Quarter 1'!E14,'Quarter 1'!H14)</f>
        <v>0</v>
      </c>
      <c r="E14" s="55">
        <f>+'Quarter 2'!E14</f>
        <v>0</v>
      </c>
      <c r="F14" s="55">
        <f>+'Quarter 3'!I14</f>
        <v>0</v>
      </c>
      <c r="G14" s="55">
        <f>+'Quarter 4'!J14</f>
        <v>0</v>
      </c>
      <c r="H14" s="125">
        <f>SUM('Quarter 1'!G14,'Quarter 2'!G14,'Quarter 3'!G14,'Quarter 4'!G14)</f>
        <v>0</v>
      </c>
      <c r="I14" s="52">
        <f t="shared" si="0"/>
        <v>0</v>
      </c>
      <c r="J14" s="15">
        <f t="shared" si="1"/>
        <v>3000</v>
      </c>
      <c r="K14" s="723"/>
      <c r="L14" s="723"/>
      <c r="M14" s="724"/>
    </row>
    <row r="15" spans="1:14" ht="14" x14ac:dyDescent="0.3">
      <c r="A15" s="730" t="s">
        <v>34</v>
      </c>
      <c r="B15" s="731"/>
      <c r="C15" s="321">
        <f>'Quarter 1'!C15</f>
        <v>4500</v>
      </c>
      <c r="D15" s="55">
        <f>IF('Quarter 1'!H15&lt;=0,'Quarter 1'!E15,'Quarter 1'!H15)</f>
        <v>560</v>
      </c>
      <c r="E15" s="55">
        <f>+'Quarter 2'!E15</f>
        <v>600</v>
      </c>
      <c r="F15" s="55">
        <f>+'Quarter 3'!I15</f>
        <v>0</v>
      </c>
      <c r="G15" s="55">
        <f>+'Quarter 4'!J15</f>
        <v>0</v>
      </c>
      <c r="H15" s="125">
        <f>SUM('Quarter 1'!G15,'Quarter 2'!G15,'Quarter 3'!G15,'Quarter 4'!G15)</f>
        <v>0</v>
      </c>
      <c r="I15" s="52">
        <f t="shared" si="0"/>
        <v>1160</v>
      </c>
      <c r="J15" s="15">
        <f t="shared" si="1"/>
        <v>3340</v>
      </c>
      <c r="K15" s="723"/>
      <c r="L15" s="723"/>
      <c r="M15" s="724"/>
    </row>
    <row r="16" spans="1:14" ht="14" x14ac:dyDescent="0.3">
      <c r="A16" s="730" t="s">
        <v>33</v>
      </c>
      <c r="B16" s="731"/>
      <c r="C16" s="321">
        <f>'Quarter 1'!C16</f>
        <v>24551.797933432837</v>
      </c>
      <c r="D16" s="55">
        <f>IF('Quarter 1'!H16&lt;=0,'Quarter 1'!E16,'Quarter 1'!H16)</f>
        <v>4870</v>
      </c>
      <c r="E16" s="55">
        <f>+'Quarter 2'!E16</f>
        <v>6493.5288947998406</v>
      </c>
      <c r="F16" s="55">
        <f>+'Quarter 3'!I16</f>
        <v>0</v>
      </c>
      <c r="G16" s="55">
        <f>+'Quarter 4'!J16</f>
        <v>0</v>
      </c>
      <c r="H16" s="125">
        <f>SUM('Quarter 1'!G16,'Quarter 2'!G16,'Quarter 3'!G16,'Quarter 4'!G16)</f>
        <v>0</v>
      </c>
      <c r="I16" s="52">
        <f t="shared" si="0"/>
        <v>11363.528894799842</v>
      </c>
      <c r="J16" s="15">
        <f t="shared" si="1"/>
        <v>13188.269038632996</v>
      </c>
      <c r="K16" s="723"/>
      <c r="L16" s="723"/>
      <c r="M16" s="724"/>
    </row>
    <row r="17" spans="1:13" ht="14" x14ac:dyDescent="0.3">
      <c r="A17" s="734" t="s">
        <v>32</v>
      </c>
      <c r="B17" s="735"/>
      <c r="C17" s="321">
        <f>'Quarter 1'!C17</f>
        <v>0</v>
      </c>
      <c r="D17" s="55">
        <f>IF('Quarter 1'!H17&lt;=0,'Quarter 1'!E17,'Quarter 1'!H17)</f>
        <v>0</v>
      </c>
      <c r="E17" s="55">
        <f>+'Quarter 2'!E17</f>
        <v>0</v>
      </c>
      <c r="F17" s="55">
        <f>+'Quarter 3'!I17</f>
        <v>0</v>
      </c>
      <c r="G17" s="55">
        <f>+'Quarter 4'!J17</f>
        <v>0</v>
      </c>
      <c r="H17" s="125">
        <f>SUM('Quarter 1'!G17,'Quarter 2'!G17,'Quarter 3'!G17,'Quarter 4'!G17)</f>
        <v>0</v>
      </c>
      <c r="I17" s="52">
        <f t="shared" si="0"/>
        <v>0</v>
      </c>
      <c r="J17" s="15">
        <f t="shared" si="1"/>
        <v>0</v>
      </c>
      <c r="K17" s="723"/>
      <c r="L17" s="723"/>
      <c r="M17" s="724"/>
    </row>
    <row r="18" spans="1:13" ht="28.5" customHeight="1" x14ac:dyDescent="0.3">
      <c r="A18" s="732" t="s">
        <v>31</v>
      </c>
      <c r="B18" s="733"/>
      <c r="C18" s="321">
        <f>'Quarter 1'!C18</f>
        <v>0</v>
      </c>
      <c r="D18" s="55">
        <f>IF('Quarter 1'!H18&lt;=0,'Quarter 1'!E18,'Quarter 1'!H18)</f>
        <v>0</v>
      </c>
      <c r="E18" s="55">
        <f>+'Quarter 2'!E18</f>
        <v>0</v>
      </c>
      <c r="F18" s="55">
        <f>+'Quarter 3'!I18</f>
        <v>0</v>
      </c>
      <c r="G18" s="55">
        <f>+'Quarter 4'!J18</f>
        <v>0</v>
      </c>
      <c r="H18" s="125">
        <f>SUM('Quarter 1'!G18,'Quarter 2'!G18,'Quarter 3'!G18,'Quarter 4'!G18)</f>
        <v>0</v>
      </c>
      <c r="I18" s="52">
        <f t="shared" si="0"/>
        <v>0</v>
      </c>
      <c r="J18" s="15">
        <f t="shared" si="1"/>
        <v>0</v>
      </c>
      <c r="K18" s="723"/>
      <c r="L18" s="723"/>
      <c r="M18" s="724"/>
    </row>
    <row r="19" spans="1:13" ht="14" x14ac:dyDescent="0.3">
      <c r="A19" s="734" t="s">
        <v>30</v>
      </c>
      <c r="B19" s="735"/>
      <c r="C19" s="321">
        <f>'Quarter 1'!C19</f>
        <v>7500.4588046609224</v>
      </c>
      <c r="D19" s="55">
        <f>IF('Quarter 1'!H19&lt;=0,'Quarter 1'!E19,'Quarter 1'!H19)</f>
        <v>424</v>
      </c>
      <c r="E19" s="55">
        <f>+'Quarter 2'!E19</f>
        <v>1426.12026190598</v>
      </c>
      <c r="F19" s="55">
        <f>+'Quarter 3'!I19</f>
        <v>0</v>
      </c>
      <c r="G19" s="55">
        <f>+'Quarter 4'!J19</f>
        <v>0</v>
      </c>
      <c r="H19" s="125">
        <f>SUM('Quarter 1'!G19,'Quarter 2'!G19,'Quarter 3'!G19,'Quarter 4'!G19)</f>
        <v>0</v>
      </c>
      <c r="I19" s="52">
        <f t="shared" si="0"/>
        <v>1850.12026190598</v>
      </c>
      <c r="J19" s="15">
        <f t="shared" si="1"/>
        <v>5650.338542754942</v>
      </c>
      <c r="K19" s="723"/>
      <c r="L19" s="723"/>
      <c r="M19" s="724"/>
    </row>
    <row r="20" spans="1:13" ht="14" x14ac:dyDescent="0.3">
      <c r="A20" s="734" t="s">
        <v>29</v>
      </c>
      <c r="B20" s="735"/>
      <c r="C20" s="321">
        <f>'Quarter 1'!C20</f>
        <v>0</v>
      </c>
      <c r="D20" s="55">
        <f>IF('Quarter 1'!H20&lt;=0,'Quarter 1'!E20,'Quarter 1'!H20)</f>
        <v>0</v>
      </c>
      <c r="E20" s="55">
        <f>+'Quarter 2'!E20</f>
        <v>0</v>
      </c>
      <c r="F20" s="55">
        <f>+'Quarter 3'!I20</f>
        <v>0</v>
      </c>
      <c r="G20" s="55">
        <f>+'Quarter 4'!J20</f>
        <v>0</v>
      </c>
      <c r="H20" s="125">
        <f>SUM('Quarter 1'!G20,'Quarter 2'!G20,'Quarter 3'!G20,'Quarter 4'!G20)</f>
        <v>0</v>
      </c>
      <c r="I20" s="52">
        <f t="shared" si="0"/>
        <v>0</v>
      </c>
      <c r="J20" s="15">
        <f t="shared" si="1"/>
        <v>0</v>
      </c>
      <c r="K20" s="723"/>
      <c r="L20" s="723"/>
      <c r="M20" s="724"/>
    </row>
    <row r="21" spans="1:13" ht="14" x14ac:dyDescent="0.3">
      <c r="A21" s="734" t="s">
        <v>28</v>
      </c>
      <c r="B21" s="735"/>
      <c r="C21" s="321">
        <f>'Quarter 1'!C21</f>
        <v>0</v>
      </c>
      <c r="D21" s="55">
        <f>IF('Quarter 1'!H21&lt;=0,'Quarter 1'!E21,'Quarter 1'!H21)</f>
        <v>0</v>
      </c>
      <c r="E21" s="55">
        <f>+'Quarter 2'!E21</f>
        <v>0</v>
      </c>
      <c r="F21" s="55">
        <f>+'Quarter 3'!I21</f>
        <v>0</v>
      </c>
      <c r="G21" s="55">
        <f>+'Quarter 4'!J21</f>
        <v>0</v>
      </c>
      <c r="H21" s="125">
        <f>SUM('Quarter 1'!G21,'Quarter 2'!G21,'Quarter 3'!G21,'Quarter 4'!G21)</f>
        <v>0</v>
      </c>
      <c r="I21" s="52">
        <f t="shared" si="0"/>
        <v>0</v>
      </c>
      <c r="J21" s="15">
        <f t="shared" si="1"/>
        <v>0</v>
      </c>
      <c r="K21" s="723"/>
      <c r="L21" s="723"/>
      <c r="M21" s="724"/>
    </row>
    <row r="22" spans="1:13" ht="14" x14ac:dyDescent="0.3">
      <c r="A22" s="734" t="s">
        <v>20</v>
      </c>
      <c r="B22" s="735"/>
      <c r="C22" s="321">
        <f>'Quarter 1'!C22</f>
        <v>19595.053917761816</v>
      </c>
      <c r="D22" s="55">
        <f>IF('Quarter 1'!H22&lt;=0,'Quarter 1'!E22,'Quarter 1'!H22)</f>
        <v>1094.2380000000001</v>
      </c>
      <c r="E22" s="55">
        <f>+'Quarter 2'!E22</f>
        <v>5309.4245077157602</v>
      </c>
      <c r="F22" s="55">
        <f>+'Quarter 3'!I22</f>
        <v>0</v>
      </c>
      <c r="G22" s="55">
        <f>+'Quarter 4'!J22</f>
        <v>0</v>
      </c>
      <c r="H22" s="125">
        <f>SUM('Quarter 1'!G22,'Quarter 2'!G22,'Quarter 3'!G22,'Quarter 4'!G22)</f>
        <v>0</v>
      </c>
      <c r="I22" s="52">
        <f t="shared" si="0"/>
        <v>6403.6625077157605</v>
      </c>
      <c r="J22" s="15">
        <f t="shared" si="1"/>
        <v>13191.391410046055</v>
      </c>
      <c r="K22" s="723"/>
      <c r="L22" s="723"/>
      <c r="M22" s="724"/>
    </row>
    <row r="23" spans="1:13" ht="14" x14ac:dyDescent="0.3">
      <c r="A23" s="734" t="s">
        <v>19</v>
      </c>
      <c r="B23" s="735"/>
      <c r="C23" s="321">
        <f>'Quarter 1'!C23</f>
        <v>4582.7142227023605</v>
      </c>
      <c r="D23" s="55">
        <f>IF('Quarter 1'!H23&lt;=0,'Quarter 1'!E23,'Quarter 1'!H23)</f>
        <v>255.88150000000002</v>
      </c>
      <c r="E23" s="55">
        <f>+'Quarter 2'!E23</f>
        <v>1241.7202477722342</v>
      </c>
      <c r="F23" s="55">
        <f>+'Quarter 3'!I23</f>
        <v>0</v>
      </c>
      <c r="G23" s="55">
        <f>+'Quarter 4'!J23</f>
        <v>0</v>
      </c>
      <c r="H23" s="125">
        <f>SUM('Quarter 1'!G23,'Quarter 2'!G23,'Quarter 3'!G23,'Quarter 4'!G23)</f>
        <v>0</v>
      </c>
      <c r="I23" s="52">
        <f t="shared" si="0"/>
        <v>1497.6017477722341</v>
      </c>
      <c r="J23" s="15">
        <f t="shared" si="1"/>
        <v>3085.1124749301262</v>
      </c>
      <c r="K23" s="723"/>
      <c r="L23" s="723"/>
      <c r="M23" s="724"/>
    </row>
    <row r="24" spans="1:13" ht="14" x14ac:dyDescent="0.3">
      <c r="A24" s="734" t="s">
        <v>18</v>
      </c>
      <c r="B24" s="735"/>
      <c r="C24" s="321">
        <f>'Quarter 1'!C24</f>
        <v>8849.3791886666259</v>
      </c>
      <c r="D24" s="55">
        <f>IF('Quarter 1'!H24&lt;=0,'Quarter 1'!E24,'Quarter 1'!H24)</f>
        <v>494.11599999999999</v>
      </c>
      <c r="E24" s="55">
        <f>+'Quarter 2'!E24</f>
        <v>2397.8046163877625</v>
      </c>
      <c r="F24" s="55">
        <f>+'Quarter 3'!I24</f>
        <v>0</v>
      </c>
      <c r="G24" s="55">
        <f>+'Quarter 4'!J24</f>
        <v>0</v>
      </c>
      <c r="H24" s="125">
        <f>SUM('Quarter 1'!G24,'Quarter 2'!G24,'Quarter 3'!G24,'Quarter 4'!G24)</f>
        <v>0</v>
      </c>
      <c r="I24" s="52">
        <f t="shared" si="0"/>
        <v>2891.9206163877625</v>
      </c>
      <c r="J24" s="15">
        <f t="shared" si="1"/>
        <v>5957.4585722788634</v>
      </c>
      <c r="K24" s="723"/>
      <c r="L24" s="723"/>
      <c r="M24" s="724"/>
    </row>
    <row r="25" spans="1:13" ht="14" x14ac:dyDescent="0.3">
      <c r="A25" s="734" t="s">
        <v>17</v>
      </c>
      <c r="B25" s="735"/>
      <c r="C25" s="321">
        <f>'Quarter 1'!C25</f>
        <v>1580.246283690469</v>
      </c>
      <c r="D25" s="55">
        <f>IF('Quarter 1'!H25&lt;=0,'Quarter 1'!E25,'Quarter 1'!H25)</f>
        <v>88.234999999999999</v>
      </c>
      <c r="E25" s="55">
        <f>+'Quarter 2'!E25</f>
        <v>428.17939578352906</v>
      </c>
      <c r="F25" s="55">
        <f>+'Quarter 3'!I25</f>
        <v>0</v>
      </c>
      <c r="G25" s="55">
        <f>+'Quarter 4'!J25</f>
        <v>0</v>
      </c>
      <c r="H25" s="125">
        <f>SUM('Quarter 1'!G25,'Quarter 2'!G25,'Quarter 3'!G25,'Quarter 4'!G25)</f>
        <v>0</v>
      </c>
      <c r="I25" s="56">
        <f t="shared" si="0"/>
        <v>516.41439578352902</v>
      </c>
      <c r="J25" s="15">
        <f t="shared" si="1"/>
        <v>1063.83188790694</v>
      </c>
      <c r="K25" s="736"/>
      <c r="L25" s="723"/>
      <c r="M25" s="724"/>
    </row>
    <row r="26" spans="1:13" ht="18.75" customHeight="1" x14ac:dyDescent="0.35">
      <c r="A26" s="739" t="s">
        <v>27</v>
      </c>
      <c r="B26" s="740"/>
      <c r="C26" s="322">
        <f t="shared" ref="C26:J26" si="2">SUM(C7:C25)</f>
        <v>402756.40035091509</v>
      </c>
      <c r="D26" s="13">
        <f t="shared" si="2"/>
        <v>33343.470500000003</v>
      </c>
      <c r="E26" s="13">
        <f t="shared" si="2"/>
        <v>107363.80792436509</v>
      </c>
      <c r="F26" s="13">
        <f t="shared" si="2"/>
        <v>0</v>
      </c>
      <c r="G26" s="13">
        <f t="shared" si="2"/>
        <v>0</v>
      </c>
      <c r="H26" s="13"/>
      <c r="I26" s="13">
        <f t="shared" si="2"/>
        <v>140707.2784243651</v>
      </c>
      <c r="J26" s="13">
        <f t="shared" si="2"/>
        <v>262049.12192654997</v>
      </c>
      <c r="K26" s="723"/>
      <c r="L26" s="723"/>
      <c r="M26" s="724"/>
    </row>
    <row r="27" spans="1:13" ht="18" customHeight="1" x14ac:dyDescent="0.5">
      <c r="A27" s="741" t="s">
        <v>81</v>
      </c>
      <c r="B27" s="742"/>
      <c r="C27" s="742"/>
      <c r="D27" s="742"/>
      <c r="E27" s="742"/>
      <c r="F27" s="742"/>
      <c r="G27" s="742"/>
      <c r="H27" s="742"/>
      <c r="I27" s="742"/>
      <c r="J27" s="742"/>
      <c r="K27" s="742"/>
      <c r="L27" s="742"/>
      <c r="M27" s="743"/>
    </row>
    <row r="28" spans="1:13" ht="14" x14ac:dyDescent="0.3">
      <c r="A28" s="734" t="s">
        <v>26</v>
      </c>
      <c r="B28" s="735"/>
      <c r="C28" s="321">
        <f>'Quarter 1'!C28</f>
        <v>44183.836734693876</v>
      </c>
      <c r="D28" s="55">
        <f>+'Quarter 1'!E28</f>
        <v>13288</v>
      </c>
      <c r="E28" s="55">
        <f>+'Quarter 2'!E28</f>
        <v>15502.320979999999</v>
      </c>
      <c r="F28" s="55">
        <f>+'Quarter 3'!I28</f>
        <v>0</v>
      </c>
      <c r="G28" s="55">
        <f>+'Quarter 4'!J28</f>
        <v>0</v>
      </c>
      <c r="H28" s="125">
        <f>SUM('Quarter 1'!G28,'Quarter 2'!G28,'Quarter 3'!G28,'Quarter 4'!G28)</f>
        <v>0</v>
      </c>
      <c r="I28" s="52">
        <f t="shared" ref="I28:I39" si="3">SUM(D28:G28)</f>
        <v>28790.320979999997</v>
      </c>
      <c r="J28" s="15">
        <f t="shared" ref="J28:J39" si="4">(C28+H28)-SUM(D28:G28)</f>
        <v>15393.515754693879</v>
      </c>
      <c r="K28" s="736"/>
      <c r="L28" s="723"/>
      <c r="M28" s="724"/>
    </row>
    <row r="29" spans="1:13" ht="14" x14ac:dyDescent="0.3">
      <c r="A29" s="734" t="s">
        <v>25</v>
      </c>
      <c r="B29" s="735"/>
      <c r="C29" s="321">
        <f>'Quarter 1'!C29</f>
        <v>8103.1836734693879</v>
      </c>
      <c r="D29" s="55">
        <f>+'Quarter 1'!E29</f>
        <v>4306</v>
      </c>
      <c r="E29" s="55">
        <f>+'Quarter 2'!E29</f>
        <v>4135</v>
      </c>
      <c r="F29" s="55">
        <f>+'Quarter 3'!I29</f>
        <v>0</v>
      </c>
      <c r="G29" s="55">
        <f>+'Quarter 4'!J29</f>
        <v>0</v>
      </c>
      <c r="H29" s="125">
        <f>SUM('Quarter 1'!G29,'Quarter 2'!G29,'Quarter 3'!G29,'Quarter 4'!G29)</f>
        <v>0</v>
      </c>
      <c r="I29" s="52">
        <f t="shared" si="3"/>
        <v>8441</v>
      </c>
      <c r="J29" s="15">
        <f t="shared" si="4"/>
        <v>-337.81632653061206</v>
      </c>
      <c r="K29" s="723"/>
      <c r="L29" s="723"/>
      <c r="M29" s="724"/>
    </row>
    <row r="30" spans="1:13" ht="14" x14ac:dyDescent="0.3">
      <c r="A30" s="730" t="s">
        <v>24</v>
      </c>
      <c r="B30" s="731"/>
      <c r="C30" s="321">
        <f>'Quarter 1'!C30</f>
        <v>3836.7346938775509</v>
      </c>
      <c r="D30" s="55">
        <f>+'Quarter 1'!E30</f>
        <v>3329</v>
      </c>
      <c r="E30" s="55">
        <f>+'Quarter 2'!E30</f>
        <v>0</v>
      </c>
      <c r="F30" s="55">
        <f>+'Quarter 3'!I30</f>
        <v>0</v>
      </c>
      <c r="G30" s="55">
        <f>+'Quarter 4'!J30</f>
        <v>0</v>
      </c>
      <c r="H30" s="125">
        <f>SUM('Quarter 1'!G30,'Quarter 2'!G30,'Quarter 3'!G30,'Quarter 4'!G30)</f>
        <v>0</v>
      </c>
      <c r="I30" s="52">
        <f t="shared" si="3"/>
        <v>3329</v>
      </c>
      <c r="J30" s="15">
        <f t="shared" si="4"/>
        <v>507.73469387755085</v>
      </c>
      <c r="K30" s="723"/>
      <c r="L30" s="723"/>
      <c r="M30" s="724"/>
    </row>
    <row r="31" spans="1:13" ht="14" x14ac:dyDescent="0.3">
      <c r="A31" s="730" t="s">
        <v>23</v>
      </c>
      <c r="B31" s="731"/>
      <c r="C31" s="321">
        <f>'Quarter 1'!C31</f>
        <v>0</v>
      </c>
      <c r="D31" s="55">
        <f>+'Quarter 1'!E31</f>
        <v>0</v>
      </c>
      <c r="E31" s="55">
        <f>+'Quarter 2'!E31</f>
        <v>0</v>
      </c>
      <c r="F31" s="55">
        <f>+'Quarter 3'!I31</f>
        <v>0</v>
      </c>
      <c r="G31" s="55">
        <f>+'Quarter 4'!J31</f>
        <v>0</v>
      </c>
      <c r="H31" s="125">
        <f>SUM('Quarter 1'!G31,'Quarter 2'!G31,'Quarter 3'!G31,'Quarter 4'!G31)</f>
        <v>0</v>
      </c>
      <c r="I31" s="52">
        <f t="shared" si="3"/>
        <v>0</v>
      </c>
      <c r="J31" s="15">
        <f t="shared" si="4"/>
        <v>0</v>
      </c>
      <c r="K31" s="723"/>
      <c r="L31" s="723"/>
      <c r="M31" s="724"/>
    </row>
    <row r="32" spans="1:13" ht="14" x14ac:dyDescent="0.3">
      <c r="A32" s="730" t="s">
        <v>22</v>
      </c>
      <c r="B32" s="731"/>
      <c r="C32" s="321">
        <f>'Quarter 1'!C32</f>
        <v>8440.8163265306121</v>
      </c>
      <c r="D32" s="55">
        <f>+'Quarter 1'!E32</f>
        <v>1496</v>
      </c>
      <c r="E32" s="55">
        <f>+'Quarter 2'!E32</f>
        <v>1715.8250909090909</v>
      </c>
      <c r="F32" s="55">
        <f>+'Quarter 3'!I32</f>
        <v>0</v>
      </c>
      <c r="G32" s="55">
        <f>+'Quarter 4'!J32</f>
        <v>0</v>
      </c>
      <c r="H32" s="125">
        <f>SUM('Quarter 1'!G32,'Quarter 2'!G32,'Quarter 3'!G32,'Quarter 4'!G32)</f>
        <v>0</v>
      </c>
      <c r="I32" s="52">
        <f t="shared" si="3"/>
        <v>3211.8250909090912</v>
      </c>
      <c r="J32" s="15">
        <f t="shared" si="4"/>
        <v>5228.9912356215209</v>
      </c>
      <c r="K32" s="723"/>
      <c r="L32" s="723"/>
      <c r="M32" s="724"/>
    </row>
    <row r="33" spans="1:13" ht="14" x14ac:dyDescent="0.3">
      <c r="A33" s="730" t="s">
        <v>21</v>
      </c>
      <c r="B33" s="731"/>
      <c r="C33" s="321">
        <f>'Quarter 1'!C33</f>
        <v>0</v>
      </c>
      <c r="D33" s="55">
        <f>+'Quarter 1'!E33</f>
        <v>0</v>
      </c>
      <c r="E33" s="55">
        <f>+'Quarter 2'!E33</f>
        <v>0</v>
      </c>
      <c r="F33" s="55">
        <f>+'Quarter 3'!I33</f>
        <v>0</v>
      </c>
      <c r="G33" s="55">
        <f>+'Quarter 4'!J33</f>
        <v>0</v>
      </c>
      <c r="H33" s="125">
        <f>SUM('Quarter 1'!G33,'Quarter 2'!G33,'Quarter 3'!G33,'Quarter 4'!G33)</f>
        <v>0</v>
      </c>
      <c r="I33" s="52">
        <f t="shared" si="3"/>
        <v>0</v>
      </c>
      <c r="J33" s="15">
        <f t="shared" si="4"/>
        <v>0</v>
      </c>
      <c r="K33" s="723"/>
      <c r="L33" s="723"/>
      <c r="M33" s="724"/>
    </row>
    <row r="34" spans="1:13" ht="14" x14ac:dyDescent="0.3">
      <c r="A34" s="730" t="s">
        <v>83</v>
      </c>
      <c r="B34" s="731"/>
      <c r="C34" s="321">
        <f>'Quarter 1'!C34</f>
        <v>15346.938775510203</v>
      </c>
      <c r="D34" s="55">
        <f>+'Quarter 1'!E34</f>
        <v>5157</v>
      </c>
      <c r="E34" s="55">
        <f>+'Quarter 2'!E34</f>
        <v>6016.0239999999994</v>
      </c>
      <c r="F34" s="55">
        <f>+'Quarter 3'!I34</f>
        <v>0</v>
      </c>
      <c r="G34" s="55">
        <f>+'Quarter 4'!J34</f>
        <v>0</v>
      </c>
      <c r="H34" s="125">
        <f>SUM('Quarter 1'!G34,'Quarter 2'!G34,'Quarter 3'!G34,'Quarter 4'!G34)</f>
        <v>0</v>
      </c>
      <c r="I34" s="52">
        <f t="shared" ref="I34:I35" si="5">SUM(D34:G34)</f>
        <v>11173.023999999999</v>
      </c>
      <c r="J34" s="15">
        <f t="shared" si="4"/>
        <v>4173.914775510204</v>
      </c>
      <c r="K34" s="723"/>
      <c r="L34" s="723"/>
      <c r="M34" s="724"/>
    </row>
    <row r="35" spans="1:13" ht="14" x14ac:dyDescent="0.3">
      <c r="A35" s="730" t="s">
        <v>84</v>
      </c>
      <c r="B35" s="731"/>
      <c r="C35" s="321">
        <f>'Quarter 1'!C35</f>
        <v>0</v>
      </c>
      <c r="D35" s="55">
        <f>+'Quarter 1'!E35</f>
        <v>0</v>
      </c>
      <c r="E35" s="55">
        <f>+'Quarter 2'!E35</f>
        <v>0</v>
      </c>
      <c r="F35" s="55">
        <f>+'Quarter 3'!I35</f>
        <v>0</v>
      </c>
      <c r="G35" s="55">
        <f>+'Quarter 4'!J35</f>
        <v>0</v>
      </c>
      <c r="H35" s="125">
        <f>SUM('Quarter 1'!G35,'Quarter 2'!G35,'Quarter 3'!G35,'Quarter 4'!G35)</f>
        <v>0</v>
      </c>
      <c r="I35" s="52">
        <f t="shared" si="5"/>
        <v>0</v>
      </c>
      <c r="J35" s="15">
        <f t="shared" si="4"/>
        <v>0</v>
      </c>
      <c r="K35" s="723"/>
      <c r="L35" s="723"/>
      <c r="M35" s="724"/>
    </row>
    <row r="36" spans="1:13" ht="14" x14ac:dyDescent="0.3">
      <c r="A36" s="730" t="s">
        <v>20</v>
      </c>
      <c r="B36" s="731"/>
      <c r="C36" s="321">
        <f>'Quarter 1'!C36</f>
        <v>4452.1162448979594</v>
      </c>
      <c r="D36" s="55">
        <f>+'Quarter 1'!E36</f>
        <v>1442.74</v>
      </c>
      <c r="E36" s="55">
        <f>+'Quarter 2'!E36</f>
        <v>1440.5185443963635</v>
      </c>
      <c r="F36" s="55">
        <f>+'Quarter 3'!I36</f>
        <v>0</v>
      </c>
      <c r="G36" s="55">
        <f>+'Quarter 4'!J36</f>
        <v>0</v>
      </c>
      <c r="H36" s="125">
        <f>SUM('Quarter 1'!G36,'Quarter 2'!G36,'Quarter 3'!G36,'Quarter 4'!G36)</f>
        <v>0</v>
      </c>
      <c r="I36" s="52">
        <f t="shared" si="3"/>
        <v>2883.2585443963635</v>
      </c>
      <c r="J36" s="15">
        <f t="shared" si="4"/>
        <v>1568.8577005015959</v>
      </c>
      <c r="K36" s="723"/>
      <c r="L36" s="723"/>
      <c r="M36" s="724"/>
    </row>
    <row r="37" spans="1:13" ht="14" x14ac:dyDescent="0.3">
      <c r="A37" s="730" t="s">
        <v>19</v>
      </c>
      <c r="B37" s="731"/>
      <c r="C37" s="321">
        <f>'Quarter 1'!C37</f>
        <v>1041.2207346938776</v>
      </c>
      <c r="D37" s="55">
        <f>+'Quarter 1'!E37</f>
        <v>337.41500000000002</v>
      </c>
      <c r="E37" s="55">
        <f>+'Quarter 2'!E37</f>
        <v>336.89546602818177</v>
      </c>
      <c r="F37" s="55">
        <f>+'Quarter 3'!I37</f>
        <v>0</v>
      </c>
      <c r="G37" s="55">
        <f>+'Quarter 4'!J37</f>
        <v>0</v>
      </c>
      <c r="H37" s="125">
        <f>SUM('Quarter 1'!G37,'Quarter 2'!G37,'Quarter 3'!G37,'Quarter 4'!G37)</f>
        <v>0</v>
      </c>
      <c r="I37" s="52">
        <f t="shared" si="3"/>
        <v>674.31046602818174</v>
      </c>
      <c r="J37" s="15">
        <f t="shared" si="4"/>
        <v>366.91026866569587</v>
      </c>
      <c r="K37" s="723"/>
      <c r="L37" s="723"/>
      <c r="M37" s="724"/>
    </row>
    <row r="38" spans="1:13" ht="14" x14ac:dyDescent="0.3">
      <c r="A38" s="730" t="s">
        <v>18</v>
      </c>
      <c r="B38" s="731"/>
      <c r="C38" s="321">
        <f>'Quarter 1'!C38</f>
        <v>2010.633142857143</v>
      </c>
      <c r="D38" s="55">
        <f>+'Quarter 1'!E38</f>
        <v>651.56000000000006</v>
      </c>
      <c r="E38" s="55">
        <f>+'Quarter 2'!E38</f>
        <v>650.5567619854545</v>
      </c>
      <c r="F38" s="55">
        <f>+'Quarter 3'!I38</f>
        <v>0</v>
      </c>
      <c r="G38" s="55">
        <f>+'Quarter 4'!J38</f>
        <v>0</v>
      </c>
      <c r="H38" s="125">
        <f>SUM('Quarter 1'!G38,'Quarter 2'!G38,'Quarter 3'!G38,'Quarter 4'!G38)</f>
        <v>0</v>
      </c>
      <c r="I38" s="52">
        <f t="shared" si="3"/>
        <v>1302.1167619854546</v>
      </c>
      <c r="J38" s="15">
        <f t="shared" si="4"/>
        <v>708.5163808716884</v>
      </c>
      <c r="K38" s="723"/>
      <c r="L38" s="723"/>
      <c r="M38" s="724"/>
    </row>
    <row r="39" spans="1:13" ht="14" x14ac:dyDescent="0.3">
      <c r="A39" s="730" t="s">
        <v>17</v>
      </c>
      <c r="B39" s="731"/>
      <c r="C39" s="321">
        <f>'Quarter 1'!C39</f>
        <v>359.04163265306124</v>
      </c>
      <c r="D39" s="55">
        <f>+'Quarter 1'!E39</f>
        <v>116.35000000000001</v>
      </c>
      <c r="E39" s="55">
        <f>+'Quarter 2'!E39</f>
        <v>116.17085035454544</v>
      </c>
      <c r="F39" s="55">
        <f>+'Quarter 3'!I39</f>
        <v>0</v>
      </c>
      <c r="G39" s="55">
        <f>+'Quarter 4'!J39</f>
        <v>0</v>
      </c>
      <c r="H39" s="125">
        <f>SUM('Quarter 1'!G39,'Quarter 2'!G39,'Quarter 3'!G39,'Quarter 4'!G39)</f>
        <v>0</v>
      </c>
      <c r="I39" s="52">
        <f t="shared" si="3"/>
        <v>232.52085035454544</v>
      </c>
      <c r="J39" s="15">
        <f t="shared" si="4"/>
        <v>126.5207822985158</v>
      </c>
      <c r="K39" s="723"/>
      <c r="L39" s="723"/>
      <c r="M39" s="724"/>
    </row>
    <row r="40" spans="1:13" ht="18" customHeight="1" x14ac:dyDescent="0.5">
      <c r="A40" s="727" t="s">
        <v>82</v>
      </c>
      <c r="B40" s="728"/>
      <c r="C40" s="728"/>
      <c r="D40" s="728"/>
      <c r="E40" s="728"/>
      <c r="F40" s="728"/>
      <c r="G40" s="728"/>
      <c r="H40" s="728"/>
      <c r="I40" s="728"/>
      <c r="J40" s="728"/>
      <c r="K40" s="728"/>
      <c r="L40" s="728"/>
      <c r="M40" s="729"/>
    </row>
    <row r="41" spans="1:13" ht="14" x14ac:dyDescent="0.3">
      <c r="A41" s="730" t="s">
        <v>16</v>
      </c>
      <c r="B41" s="731"/>
      <c r="C41" s="321">
        <f>'Quarter 1'!C41</f>
        <v>91120.914285714287</v>
      </c>
      <c r="D41" s="55">
        <f>+'Quarter 1'!E41</f>
        <v>22780</v>
      </c>
      <c r="E41" s="55">
        <f>+'Quarter 2'!E41</f>
        <v>22780</v>
      </c>
      <c r="F41" s="55">
        <f>+'Quarter 3'!I41</f>
        <v>0</v>
      </c>
      <c r="G41" s="55">
        <f>+'Quarter 4'!J41</f>
        <v>0</v>
      </c>
      <c r="H41" s="125">
        <f>SUM('Quarter 1'!G41,'Quarter 2'!G41,'Quarter 3'!G41,'Quarter 4'!G41)</f>
        <v>0</v>
      </c>
      <c r="I41" s="52">
        <f t="shared" ref="I41:I62" si="6">SUM(D41:G41)</f>
        <v>45560</v>
      </c>
      <c r="J41" s="15">
        <f t="shared" ref="J41:J57" si="7">(C41+H41)-SUM(D41:G41)</f>
        <v>45560.914285714287</v>
      </c>
      <c r="K41" s="723"/>
      <c r="L41" s="723"/>
      <c r="M41" s="724"/>
    </row>
    <row r="42" spans="1:13" ht="14" x14ac:dyDescent="0.3">
      <c r="A42" s="730" t="s">
        <v>15</v>
      </c>
      <c r="B42" s="731"/>
      <c r="C42" s="321">
        <f>'Quarter 1'!C42</f>
        <v>3069.387755102041</v>
      </c>
      <c r="D42" s="55">
        <f>+'Quarter 1'!E42</f>
        <v>802</v>
      </c>
      <c r="E42" s="55">
        <f>+'Quarter 2'!E42</f>
        <v>1284</v>
      </c>
      <c r="F42" s="55">
        <f>+'Quarter 3'!I42</f>
        <v>0</v>
      </c>
      <c r="G42" s="55">
        <f>+'Quarter 4'!J42</f>
        <v>0</v>
      </c>
      <c r="H42" s="125">
        <f>SUM('Quarter 1'!G42,'Quarter 2'!G42,'Quarter 3'!G42,'Quarter 4'!G42)</f>
        <v>0</v>
      </c>
      <c r="I42" s="52">
        <f t="shared" si="6"/>
        <v>2086</v>
      </c>
      <c r="J42" s="15">
        <f t="shared" si="7"/>
        <v>983.38775510204096</v>
      </c>
      <c r="K42" s="723"/>
      <c r="L42" s="723"/>
      <c r="M42" s="724"/>
    </row>
    <row r="43" spans="1:13" ht="14" x14ac:dyDescent="0.3">
      <c r="A43" s="730" t="s">
        <v>14</v>
      </c>
      <c r="B43" s="731"/>
      <c r="C43" s="321">
        <f>'Quarter 1'!C43</f>
        <v>2302.0408163265306</v>
      </c>
      <c r="D43" s="55">
        <f>+'Quarter 1'!E43</f>
        <v>18</v>
      </c>
      <c r="E43" s="55">
        <f>+'Quarter 2'!E43</f>
        <v>716</v>
      </c>
      <c r="F43" s="55">
        <f>+'Quarter 3'!I43</f>
        <v>0</v>
      </c>
      <c r="G43" s="55">
        <f>+'Quarter 4'!J43</f>
        <v>0</v>
      </c>
      <c r="H43" s="125">
        <f>SUM('Quarter 1'!G43,'Quarter 2'!G43,'Quarter 3'!G43,'Quarter 4'!G43)</f>
        <v>0</v>
      </c>
      <c r="I43" s="52">
        <f t="shared" si="6"/>
        <v>734</v>
      </c>
      <c r="J43" s="15">
        <f t="shared" si="7"/>
        <v>1568.0408163265306</v>
      </c>
      <c r="K43" s="723"/>
      <c r="L43" s="723"/>
      <c r="M43" s="724"/>
    </row>
    <row r="44" spans="1:13" ht="14" x14ac:dyDescent="0.3">
      <c r="A44" s="730" t="s">
        <v>13</v>
      </c>
      <c r="B44" s="731"/>
      <c r="C44" s="321">
        <f>'Quarter 1'!C44</f>
        <v>767.34693877551024</v>
      </c>
      <c r="D44" s="55">
        <f>+'Quarter 1'!E44</f>
        <v>0</v>
      </c>
      <c r="E44" s="55">
        <f>+'Quarter 2'!E44</f>
        <v>300</v>
      </c>
      <c r="F44" s="55">
        <f>+'Quarter 3'!I44</f>
        <v>0</v>
      </c>
      <c r="G44" s="55">
        <f>+'Quarter 4'!J44</f>
        <v>0</v>
      </c>
      <c r="H44" s="125">
        <f>SUM('Quarter 1'!G44,'Quarter 2'!G44,'Quarter 3'!G44,'Quarter 4'!G44)</f>
        <v>0</v>
      </c>
      <c r="I44" s="52">
        <f t="shared" si="6"/>
        <v>300</v>
      </c>
      <c r="J44" s="15">
        <f t="shared" si="7"/>
        <v>467.34693877551024</v>
      </c>
      <c r="K44" s="723"/>
      <c r="L44" s="723"/>
      <c r="M44" s="724"/>
    </row>
    <row r="45" spans="1:13" ht="14" x14ac:dyDescent="0.3">
      <c r="A45" s="730" t="s">
        <v>12</v>
      </c>
      <c r="B45" s="731"/>
      <c r="C45" s="321">
        <f>'Quarter 1'!C45</f>
        <v>767.34693877551024</v>
      </c>
      <c r="D45" s="55">
        <f>+'Quarter 1'!E45</f>
        <v>90</v>
      </c>
      <c r="E45" s="55">
        <f>+'Quarter 2'!E45</f>
        <v>200</v>
      </c>
      <c r="F45" s="55">
        <f>+'Quarter 3'!I45</f>
        <v>0</v>
      </c>
      <c r="G45" s="55">
        <f>+'Quarter 4'!J45</f>
        <v>0</v>
      </c>
      <c r="H45" s="125">
        <f>SUM('Quarter 1'!G45,'Quarter 2'!G45,'Quarter 3'!G45,'Quarter 4'!G45)</f>
        <v>0</v>
      </c>
      <c r="I45" s="52">
        <f t="shared" si="6"/>
        <v>290</v>
      </c>
      <c r="J45" s="15">
        <f t="shared" si="7"/>
        <v>477.34693877551024</v>
      </c>
      <c r="K45" s="723"/>
      <c r="L45" s="723"/>
      <c r="M45" s="724"/>
    </row>
    <row r="46" spans="1:13" ht="14" x14ac:dyDescent="0.3">
      <c r="A46" s="730" t="s">
        <v>11</v>
      </c>
      <c r="B46" s="731"/>
      <c r="C46" s="321">
        <f>'Quarter 1'!C46</f>
        <v>383.67346938775512</v>
      </c>
      <c r="D46" s="55">
        <f>+'Quarter 1'!E46</f>
        <v>0</v>
      </c>
      <c r="E46" s="55">
        <f>+'Quarter 2'!E46</f>
        <v>0</v>
      </c>
      <c r="F46" s="55">
        <f>+'Quarter 3'!I46</f>
        <v>0</v>
      </c>
      <c r="G46" s="55">
        <f>+'Quarter 4'!J46</f>
        <v>0</v>
      </c>
      <c r="H46" s="125">
        <f>SUM('Quarter 1'!G46,'Quarter 2'!G46,'Quarter 3'!G46,'Quarter 4'!G46)</f>
        <v>0</v>
      </c>
      <c r="I46" s="52">
        <f t="shared" si="6"/>
        <v>0</v>
      </c>
      <c r="J46" s="15">
        <f t="shared" si="7"/>
        <v>383.67346938775512</v>
      </c>
      <c r="K46" s="723"/>
      <c r="L46" s="723"/>
      <c r="M46" s="724"/>
    </row>
    <row r="47" spans="1:13" ht="14" x14ac:dyDescent="0.3">
      <c r="A47" s="730" t="s">
        <v>10</v>
      </c>
      <c r="B47" s="731"/>
      <c r="C47" s="321">
        <f>'Quarter 1'!C47</f>
        <v>3836.7346938775509</v>
      </c>
      <c r="D47" s="55">
        <f>+'Quarter 1'!E47</f>
        <v>567</v>
      </c>
      <c r="E47" s="55">
        <f>+'Quarter 2'!E47</f>
        <v>118</v>
      </c>
      <c r="F47" s="55">
        <f>+'Quarter 3'!I47</f>
        <v>0</v>
      </c>
      <c r="G47" s="55">
        <f>+'Quarter 4'!J47</f>
        <v>0</v>
      </c>
      <c r="H47" s="125">
        <f>SUM('Quarter 1'!G47,'Quarter 2'!G47,'Quarter 3'!G47,'Quarter 4'!G47)</f>
        <v>0</v>
      </c>
      <c r="I47" s="52">
        <f t="shared" si="6"/>
        <v>685</v>
      </c>
      <c r="J47" s="15">
        <f t="shared" si="7"/>
        <v>3151.7346938775509</v>
      </c>
      <c r="K47" s="723"/>
      <c r="L47" s="723"/>
      <c r="M47" s="724"/>
    </row>
    <row r="48" spans="1:13" ht="14" x14ac:dyDescent="0.3">
      <c r="A48" s="730" t="s">
        <v>9</v>
      </c>
      <c r="B48" s="731"/>
      <c r="C48" s="321">
        <f>'Quarter 1'!C48</f>
        <v>7673.4693877551017</v>
      </c>
      <c r="D48" s="55">
        <f>+'Quarter 1'!E48</f>
        <v>3906</v>
      </c>
      <c r="E48" s="55">
        <f>+'Quarter 2'!E48</f>
        <v>4460</v>
      </c>
      <c r="F48" s="55">
        <f>+'Quarter 3'!I48</f>
        <v>0</v>
      </c>
      <c r="G48" s="55">
        <f>+'Quarter 4'!J48</f>
        <v>0</v>
      </c>
      <c r="H48" s="125">
        <f>SUM('Quarter 1'!G48,'Quarter 2'!G48,'Quarter 3'!G48,'Quarter 4'!G48)</f>
        <v>0</v>
      </c>
      <c r="I48" s="52">
        <f t="shared" si="6"/>
        <v>8366</v>
      </c>
      <c r="J48" s="15">
        <f t="shared" si="7"/>
        <v>-692.53061224489829</v>
      </c>
      <c r="K48" s="723"/>
      <c r="L48" s="723"/>
      <c r="M48" s="724"/>
    </row>
    <row r="49" spans="1:13" ht="14" x14ac:dyDescent="0.3">
      <c r="A49" s="730" t="s">
        <v>8</v>
      </c>
      <c r="B49" s="731"/>
      <c r="C49" s="321">
        <f>'Quarter 1'!C49</f>
        <v>1688.1632653061224</v>
      </c>
      <c r="D49" s="55">
        <f>+'Quarter 1'!E49</f>
        <v>249</v>
      </c>
      <c r="E49" s="55">
        <f>+'Quarter 2'!E49</f>
        <v>753</v>
      </c>
      <c r="F49" s="55">
        <f>+'Quarter 3'!I49</f>
        <v>0</v>
      </c>
      <c r="G49" s="55">
        <f>+'Quarter 4'!J49</f>
        <v>0</v>
      </c>
      <c r="H49" s="125">
        <f>SUM('Quarter 1'!G49,'Quarter 2'!G49,'Quarter 3'!G49,'Quarter 4'!G49)</f>
        <v>0</v>
      </c>
      <c r="I49" s="52">
        <f t="shared" si="6"/>
        <v>1002</v>
      </c>
      <c r="J49" s="15">
        <f t="shared" si="7"/>
        <v>686.16326530612241</v>
      </c>
      <c r="K49" s="723"/>
      <c r="L49" s="723"/>
      <c r="M49" s="724"/>
    </row>
    <row r="50" spans="1:13" ht="14" x14ac:dyDescent="0.3">
      <c r="A50" s="730" t="s">
        <v>7</v>
      </c>
      <c r="B50" s="731"/>
      <c r="C50" s="321">
        <f>'Quarter 1'!C50</f>
        <v>306.9387755102041</v>
      </c>
      <c r="D50" s="55">
        <f>+'Quarter 1'!E50</f>
        <v>194</v>
      </c>
      <c r="E50" s="55">
        <f>+'Quarter 2'!E50</f>
        <v>0</v>
      </c>
      <c r="F50" s="55">
        <f>+'Quarter 3'!I50</f>
        <v>0</v>
      </c>
      <c r="G50" s="55">
        <f>+'Quarter 4'!J50</f>
        <v>0</v>
      </c>
      <c r="H50" s="125">
        <f>SUM('Quarter 1'!G50,'Quarter 2'!G50,'Quarter 3'!G50,'Quarter 4'!G50)</f>
        <v>0</v>
      </c>
      <c r="I50" s="52">
        <f t="shared" si="6"/>
        <v>194</v>
      </c>
      <c r="J50" s="15">
        <f t="shared" si="7"/>
        <v>112.9387755102041</v>
      </c>
      <c r="K50" s="723"/>
      <c r="L50" s="723"/>
      <c r="M50" s="724"/>
    </row>
    <row r="51" spans="1:13" ht="14" x14ac:dyDescent="0.3">
      <c r="A51" s="730" t="s">
        <v>6</v>
      </c>
      <c r="B51" s="731"/>
      <c r="C51" s="321">
        <f>'Quarter 1'!C51</f>
        <v>4604.0816326530612</v>
      </c>
      <c r="D51" s="55">
        <f>+'Quarter 1'!E51</f>
        <v>1351</v>
      </c>
      <c r="E51" s="55">
        <f>+'Quarter 2'!E51</f>
        <v>4051</v>
      </c>
      <c r="F51" s="55">
        <f>+'Quarter 3'!I51</f>
        <v>0</v>
      </c>
      <c r="G51" s="55">
        <f>+'Quarter 4'!J51</f>
        <v>0</v>
      </c>
      <c r="H51" s="125">
        <f>SUM('Quarter 1'!G51,'Quarter 2'!G51,'Quarter 3'!G51,'Quarter 4'!G51)</f>
        <v>0</v>
      </c>
      <c r="I51" s="52">
        <f t="shared" si="6"/>
        <v>5402</v>
      </c>
      <c r="J51" s="15">
        <f t="shared" si="7"/>
        <v>-797.91836734693879</v>
      </c>
      <c r="K51" s="723"/>
      <c r="L51" s="723"/>
      <c r="M51" s="724"/>
    </row>
    <row r="52" spans="1:13" ht="14" x14ac:dyDescent="0.3">
      <c r="A52" s="730" t="s">
        <v>5</v>
      </c>
      <c r="B52" s="731"/>
      <c r="C52" s="321">
        <f>'Quarter 1'!C52</f>
        <v>5371.4285714285716</v>
      </c>
      <c r="D52" s="55">
        <f>+'Quarter 1'!E52</f>
        <v>2566</v>
      </c>
      <c r="E52" s="55">
        <f>+'Quarter 2'!E52</f>
        <v>5856</v>
      </c>
      <c r="F52" s="55">
        <f>+'Quarter 3'!I52</f>
        <v>0</v>
      </c>
      <c r="G52" s="55">
        <f>+'Quarter 4'!J52</f>
        <v>0</v>
      </c>
      <c r="H52" s="125">
        <f>SUM('Quarter 1'!G52,'Quarter 2'!G52,'Quarter 3'!G52,'Quarter 4'!G52)</f>
        <v>0</v>
      </c>
      <c r="I52" s="52">
        <f t="shared" si="6"/>
        <v>8422</v>
      </c>
      <c r="J52" s="15">
        <f t="shared" si="7"/>
        <v>-3050.5714285714284</v>
      </c>
      <c r="K52" s="723"/>
      <c r="L52" s="723"/>
      <c r="M52" s="724"/>
    </row>
    <row r="53" spans="1:13" ht="14" x14ac:dyDescent="0.3">
      <c r="A53" s="730" t="s">
        <v>4</v>
      </c>
      <c r="B53" s="731"/>
      <c r="C53" s="321">
        <f>'Quarter 1'!C53</f>
        <v>1534.6938775510205</v>
      </c>
      <c r="D53" s="55">
        <f>+'Quarter 1'!E53</f>
        <v>537</v>
      </c>
      <c r="E53" s="55">
        <f>+'Quarter 2'!E53</f>
        <v>1113</v>
      </c>
      <c r="F53" s="55">
        <f>+'Quarter 3'!I53</f>
        <v>0</v>
      </c>
      <c r="G53" s="55">
        <f>+'Quarter 4'!J53</f>
        <v>0</v>
      </c>
      <c r="H53" s="125">
        <f>SUM('Quarter 1'!G53,'Quarter 2'!G53,'Quarter 3'!G53,'Quarter 4'!G53)</f>
        <v>0</v>
      </c>
      <c r="I53" s="52">
        <f t="shared" si="6"/>
        <v>1650</v>
      </c>
      <c r="J53" s="15">
        <f t="shared" si="7"/>
        <v>-115.30612244897952</v>
      </c>
      <c r="K53" s="723"/>
      <c r="L53" s="723"/>
      <c r="M53" s="724"/>
    </row>
    <row r="54" spans="1:13" ht="14" x14ac:dyDescent="0.3">
      <c r="A54" s="730" t="s">
        <v>3</v>
      </c>
      <c r="B54" s="731"/>
      <c r="C54" s="321">
        <f>'Quarter 1'!C54</f>
        <v>383.67346938775512</v>
      </c>
      <c r="D54" s="55">
        <f>+'Quarter 1'!E54</f>
        <v>0</v>
      </c>
      <c r="E54" s="55">
        <f>+'Quarter 2'!E54</f>
        <v>0</v>
      </c>
      <c r="F54" s="55">
        <f>+'Quarter 3'!I54</f>
        <v>0</v>
      </c>
      <c r="G54" s="55">
        <f>+'Quarter 4'!J54</f>
        <v>0</v>
      </c>
      <c r="H54" s="125">
        <f>SUM('Quarter 1'!G54,'Quarter 2'!G54,'Quarter 3'!G54,'Quarter 4'!G54)</f>
        <v>0</v>
      </c>
      <c r="I54" s="52">
        <f t="shared" si="6"/>
        <v>0</v>
      </c>
      <c r="J54" s="15">
        <f t="shared" si="7"/>
        <v>383.67346938775512</v>
      </c>
      <c r="K54" s="723"/>
      <c r="L54" s="723"/>
      <c r="M54" s="724"/>
    </row>
    <row r="55" spans="1:13" ht="14" x14ac:dyDescent="0.3">
      <c r="A55" s="730" t="s">
        <v>2</v>
      </c>
      <c r="B55" s="731"/>
      <c r="C55" s="321">
        <f>'Quarter 1'!C55</f>
        <v>376</v>
      </c>
      <c r="D55" s="55">
        <f>+'Quarter 1'!E55</f>
        <v>118</v>
      </c>
      <c r="E55" s="55">
        <f>+'Quarter 2'!E55</f>
        <v>142</v>
      </c>
      <c r="F55" s="55">
        <f>+'Quarter 3'!I55</f>
        <v>0</v>
      </c>
      <c r="G55" s="55">
        <f>+'Quarter 4'!J55</f>
        <v>0</v>
      </c>
      <c r="H55" s="125">
        <f>SUM('Quarter 1'!G55,'Quarter 2'!G55,'Quarter 3'!G55,'Quarter 4'!G55)</f>
        <v>0</v>
      </c>
      <c r="I55" s="52">
        <f t="shared" si="6"/>
        <v>260</v>
      </c>
      <c r="J55" s="15">
        <f t="shared" si="7"/>
        <v>116</v>
      </c>
      <c r="K55" s="723"/>
      <c r="L55" s="723"/>
      <c r="M55" s="724"/>
    </row>
    <row r="56" spans="1:13" ht="14" x14ac:dyDescent="0.3">
      <c r="A56" s="730" t="s">
        <v>55</v>
      </c>
      <c r="B56" s="731"/>
      <c r="C56" s="321">
        <f>'Quarter 1'!C56</f>
        <v>0</v>
      </c>
      <c r="D56" s="55">
        <f>+'Quarter 1'!E56</f>
        <v>0</v>
      </c>
      <c r="E56" s="55">
        <f>+'Quarter 2'!E56</f>
        <v>0</v>
      </c>
      <c r="F56" s="55">
        <f>+'Quarter 3'!I56</f>
        <v>0</v>
      </c>
      <c r="G56" s="55">
        <f>+'Quarter 4'!J56</f>
        <v>0</v>
      </c>
      <c r="H56" s="125">
        <f>SUM('Quarter 1'!G56,'Quarter 2'!G56,'Quarter 3'!G56,'Quarter 4'!G56)</f>
        <v>0</v>
      </c>
      <c r="I56" s="52">
        <f t="shared" si="6"/>
        <v>0</v>
      </c>
      <c r="J56" s="15">
        <f t="shared" si="7"/>
        <v>0</v>
      </c>
      <c r="K56" s="723"/>
      <c r="L56" s="723"/>
      <c r="M56" s="724"/>
    </row>
    <row r="57" spans="1:13" ht="14" x14ac:dyDescent="0.3">
      <c r="A57" s="730" t="str">
        <f>'Quarter 1'!A57:B57</f>
        <v>(Insert item name or brief description on this line.)</v>
      </c>
      <c r="B57" s="731"/>
      <c r="C57" s="321">
        <f>'Quarter 1'!C57</f>
        <v>0</v>
      </c>
      <c r="D57" s="55">
        <f>+'Quarter 1'!E57</f>
        <v>0</v>
      </c>
      <c r="E57" s="55">
        <f>+'Quarter 2'!E57</f>
        <v>0</v>
      </c>
      <c r="F57" s="55">
        <f>+'Quarter 3'!I57</f>
        <v>0</v>
      </c>
      <c r="G57" s="55">
        <f>+'Quarter 4'!J57</f>
        <v>0</v>
      </c>
      <c r="H57" s="125">
        <f>SUM('Quarter 1'!G57,'Quarter 2'!G57,'Quarter 3'!G57,'Quarter 4'!G57)</f>
        <v>0</v>
      </c>
      <c r="I57" s="52">
        <f t="shared" si="6"/>
        <v>0</v>
      </c>
      <c r="J57" s="15">
        <f t="shared" si="7"/>
        <v>0</v>
      </c>
      <c r="K57" s="723"/>
      <c r="L57" s="723"/>
      <c r="M57" s="724"/>
    </row>
    <row r="58" spans="1:13" ht="14" x14ac:dyDescent="0.3">
      <c r="A58" s="730" t="str">
        <f>'Quarter 1'!A58:B58</f>
        <v>(Insert item name or brief description on this line.)</v>
      </c>
      <c r="B58" s="731"/>
      <c r="C58" s="321">
        <f>'Quarter 1'!C58</f>
        <v>0</v>
      </c>
      <c r="D58" s="55">
        <f>+'Quarter 1'!E58</f>
        <v>0</v>
      </c>
      <c r="E58" s="55">
        <f>+'Quarter 2'!E58</f>
        <v>0</v>
      </c>
      <c r="F58" s="55">
        <f>IF('Quarter 3'!$I58&gt;0,'Quarter 3'!$I58,'Quarter 3'!$E58)</f>
        <v>0</v>
      </c>
      <c r="G58" s="55">
        <f>'Quarter 4'!J58</f>
        <v>0</v>
      </c>
      <c r="H58" s="125">
        <f>SUM('Quarter 1'!G58,'Quarter 2'!G58,'Quarter 3'!G58,'Quarter 4'!G58)</f>
        <v>0</v>
      </c>
      <c r="I58" s="52">
        <f t="shared" si="6"/>
        <v>0</v>
      </c>
      <c r="J58" s="54">
        <f t="shared" ref="J58:J62" si="8">C58-SUM(D58:G58)</f>
        <v>0</v>
      </c>
      <c r="K58" s="723"/>
      <c r="L58" s="723"/>
      <c r="M58" s="724"/>
    </row>
    <row r="59" spans="1:13" ht="14" x14ac:dyDescent="0.3">
      <c r="A59" s="730" t="str">
        <f>'Quarter 1'!A59:B59</f>
        <v>(Insert item name or brief description on this line.)</v>
      </c>
      <c r="B59" s="731"/>
      <c r="C59" s="321">
        <f>'Quarter 1'!C59</f>
        <v>0</v>
      </c>
      <c r="D59" s="55">
        <f>+'Quarter 1'!E59</f>
        <v>0</v>
      </c>
      <c r="E59" s="55">
        <f>+'Quarter 2'!E59</f>
        <v>0</v>
      </c>
      <c r="F59" s="55">
        <f>IF('Quarter 3'!$I59&gt;0,'Quarter 3'!$I59,'Quarter 3'!$E59)</f>
        <v>0</v>
      </c>
      <c r="G59" s="55">
        <f>'Quarter 4'!J59</f>
        <v>0</v>
      </c>
      <c r="H59" s="125">
        <f>SUM('Quarter 1'!G59,'Quarter 2'!G59,'Quarter 3'!G59,'Quarter 4'!G59)</f>
        <v>0</v>
      </c>
      <c r="I59" s="52">
        <f t="shared" si="6"/>
        <v>0</v>
      </c>
      <c r="J59" s="54">
        <f t="shared" si="8"/>
        <v>0</v>
      </c>
      <c r="K59" s="723"/>
      <c r="L59" s="723"/>
      <c r="M59" s="724"/>
    </row>
    <row r="60" spans="1:13" ht="14" x14ac:dyDescent="0.3">
      <c r="A60" s="730" t="str">
        <f>'Quarter 1'!A60:B60</f>
        <v>(Insert item name or brief description on this line.)</v>
      </c>
      <c r="B60" s="731"/>
      <c r="C60" s="321">
        <f>'Quarter 1'!C60</f>
        <v>0</v>
      </c>
      <c r="D60" s="55">
        <f>+'Quarter 1'!E60</f>
        <v>0</v>
      </c>
      <c r="E60" s="55">
        <f>+'Quarter 2'!E60</f>
        <v>0</v>
      </c>
      <c r="F60" s="55">
        <f>IF('Quarter 3'!$I60&gt;0,'Quarter 3'!$I60,'Quarter 3'!$E60)</f>
        <v>0</v>
      </c>
      <c r="G60" s="55">
        <f>'Quarter 4'!J60</f>
        <v>0</v>
      </c>
      <c r="H60" s="125">
        <f>SUM('Quarter 1'!G60,'Quarter 2'!G60,'Quarter 3'!G60,'Quarter 4'!G60)</f>
        <v>0</v>
      </c>
      <c r="I60" s="52">
        <f t="shared" si="6"/>
        <v>0</v>
      </c>
      <c r="J60" s="15">
        <f t="shared" si="8"/>
        <v>0</v>
      </c>
      <c r="K60" s="723"/>
      <c r="L60" s="723"/>
      <c r="M60" s="724"/>
    </row>
    <row r="61" spans="1:13" ht="14" x14ac:dyDescent="0.3">
      <c r="A61" s="730" t="str">
        <f>'Quarter 1'!A61:B61</f>
        <v>(Insert item name or brief description on this line.)</v>
      </c>
      <c r="B61" s="731"/>
      <c r="C61" s="321">
        <f>'Quarter 1'!C61</f>
        <v>0</v>
      </c>
      <c r="D61" s="55">
        <f>+'Quarter 1'!E61</f>
        <v>0</v>
      </c>
      <c r="E61" s="55">
        <f>+'Quarter 2'!E61</f>
        <v>0</v>
      </c>
      <c r="F61" s="55">
        <f>IF('Quarter 3'!$I61&gt;0,'Quarter 3'!$I61,'Quarter 3'!$E61)</f>
        <v>0</v>
      </c>
      <c r="G61" s="55">
        <f>'Quarter 4'!J61</f>
        <v>0</v>
      </c>
      <c r="H61" s="125">
        <f>SUM('Quarter 1'!G61,'Quarter 2'!G61,'Quarter 3'!G61,'Quarter 4'!G61)</f>
        <v>0</v>
      </c>
      <c r="I61" s="52">
        <f t="shared" si="6"/>
        <v>0</v>
      </c>
      <c r="J61" s="15">
        <f t="shared" si="8"/>
        <v>0</v>
      </c>
      <c r="K61" s="723"/>
      <c r="L61" s="723"/>
      <c r="M61" s="724"/>
    </row>
    <row r="62" spans="1:13" ht="14" x14ac:dyDescent="0.3">
      <c r="A62" s="730"/>
      <c r="B62" s="731"/>
      <c r="C62" s="321">
        <f>'Quarter 1'!C62</f>
        <v>0</v>
      </c>
      <c r="D62" s="55">
        <f>+'Quarter 1'!E62</f>
        <v>0</v>
      </c>
      <c r="E62" s="55">
        <f>+'Quarter 2'!E62</f>
        <v>0</v>
      </c>
      <c r="F62" s="55">
        <f>IF('Quarter 3'!$I62&gt;0,'Quarter 3'!$I62,'Quarter 3'!$E62)</f>
        <v>0</v>
      </c>
      <c r="G62" s="53">
        <f>IF('Quarter 4'!$J62&lt;=0,'Quarter 4'!$E62,'Quarter 4'!$J62)</f>
        <v>0</v>
      </c>
      <c r="H62" s="125">
        <f>SUM('Quarter 1'!G62,'Quarter 2'!G62,'Quarter 3'!G62,'Quarter 4'!G62)</f>
        <v>0</v>
      </c>
      <c r="I62" s="52">
        <f t="shared" si="6"/>
        <v>0</v>
      </c>
      <c r="J62" s="15">
        <f t="shared" si="8"/>
        <v>0</v>
      </c>
      <c r="K62" s="723"/>
      <c r="L62" s="723"/>
      <c r="M62" s="724"/>
    </row>
    <row r="63" spans="1:13" ht="14" x14ac:dyDescent="0.3">
      <c r="A63" s="625">
        <f>SUM(C7:C25,C28:C39,C41:C62)</f>
        <v>614716.81618764973</v>
      </c>
      <c r="B63" s="626"/>
      <c r="C63" s="627"/>
      <c r="D63" s="51"/>
      <c r="E63" s="51"/>
      <c r="F63" s="51"/>
      <c r="G63" s="51"/>
      <c r="H63" s="126"/>
      <c r="I63" s="51"/>
      <c r="J63" s="51"/>
      <c r="K63" s="723"/>
      <c r="L63" s="723"/>
      <c r="M63" s="724"/>
    </row>
    <row r="64" spans="1:13" ht="15.75" customHeight="1" thickBot="1" x14ac:dyDescent="0.35">
      <c r="A64" s="622" t="s">
        <v>0</v>
      </c>
      <c r="B64" s="623"/>
      <c r="C64" s="624"/>
      <c r="D64" s="103">
        <f t="shared" ref="D64:J64" si="9">SUM(D7:D25,D28:D63)</f>
        <v>96645.535499999998</v>
      </c>
      <c r="E64" s="103">
        <f t="shared" si="9"/>
        <v>179050.11961803871</v>
      </c>
      <c r="F64" s="103">
        <f t="shared" si="9"/>
        <v>0</v>
      </c>
      <c r="G64" s="103">
        <f t="shared" si="9"/>
        <v>0</v>
      </c>
      <c r="H64" s="123">
        <f>SUM(H41:H62,H28:H39,H7:H25)</f>
        <v>0</v>
      </c>
      <c r="I64" s="123">
        <f t="shared" si="9"/>
        <v>275695.65511803876</v>
      </c>
      <c r="J64" s="103">
        <f t="shared" si="9"/>
        <v>339021.16106961091</v>
      </c>
      <c r="K64" s="725"/>
      <c r="L64" s="725"/>
      <c r="M64" s="726"/>
    </row>
  </sheetData>
  <sheetProtection algorithmName="SHA-512" hashValue="5+iMIaLdu7+YTDuDokyvd4zddeiFjM4btTxeYdJ2JAq1zyXdLSmGt0Vkqo1boxaTotcx64cLEfBuI9dtz4nXkw==" saltValue="O5hINbFsCW00o1/BAZCCYQ==" spinCount="100000" sheet="1" selectLockedCells="1"/>
  <mergeCells count="129">
    <mergeCell ref="K7:M7"/>
    <mergeCell ref="J2:L2"/>
    <mergeCell ref="A6:M6"/>
    <mergeCell ref="J3:L3"/>
    <mergeCell ref="A3:B3"/>
    <mergeCell ref="A4:B4"/>
    <mergeCell ref="A5:B5"/>
    <mergeCell ref="D3:D5"/>
    <mergeCell ref="E3:E5"/>
    <mergeCell ref="F3:F5"/>
    <mergeCell ref="C3:C5"/>
    <mergeCell ref="K5:M5"/>
    <mergeCell ref="A7:B7"/>
    <mergeCell ref="J1:L1"/>
    <mergeCell ref="G3:G5"/>
    <mergeCell ref="J4:L4"/>
    <mergeCell ref="H4:H5"/>
    <mergeCell ref="A8:B8"/>
    <mergeCell ref="A9:B9"/>
    <mergeCell ref="A10:B10"/>
    <mergeCell ref="A37:B37"/>
    <mergeCell ref="A19:B19"/>
    <mergeCell ref="K9:M9"/>
    <mergeCell ref="K10:M10"/>
    <mergeCell ref="K13:M13"/>
    <mergeCell ref="K12:M12"/>
    <mergeCell ref="K14:M14"/>
    <mergeCell ref="K26:M26"/>
    <mergeCell ref="A26:B26"/>
    <mergeCell ref="A27:M27"/>
    <mergeCell ref="A31:B31"/>
    <mergeCell ref="A11:B11"/>
    <mergeCell ref="A12:B12"/>
    <mergeCell ref="A13:B13"/>
    <mergeCell ref="A14:B14"/>
    <mergeCell ref="K11:M11"/>
    <mergeCell ref="K8:M8"/>
    <mergeCell ref="A29:B29"/>
    <mergeCell ref="K17:M17"/>
    <mergeCell ref="A20:B20"/>
    <mergeCell ref="A39:B39"/>
    <mergeCell ref="A38:B38"/>
    <mergeCell ref="K18:M18"/>
    <mergeCell ref="K19:M19"/>
    <mergeCell ref="K20:M20"/>
    <mergeCell ref="K21:M21"/>
    <mergeCell ref="K22:M22"/>
    <mergeCell ref="K23:M23"/>
    <mergeCell ref="K28:M28"/>
    <mergeCell ref="K32:M32"/>
    <mergeCell ref="K33:M33"/>
    <mergeCell ref="A32:B32"/>
    <mergeCell ref="A34:B34"/>
    <mergeCell ref="A35:B35"/>
    <mergeCell ref="K34:M34"/>
    <mergeCell ref="K35:M35"/>
    <mergeCell ref="A15:B15"/>
    <mergeCell ref="A16:B16"/>
    <mergeCell ref="A18:B18"/>
    <mergeCell ref="A17:B17"/>
    <mergeCell ref="A21:B21"/>
    <mergeCell ref="A28:B28"/>
    <mergeCell ref="K15:M15"/>
    <mergeCell ref="K16:M16"/>
    <mergeCell ref="A22:B22"/>
    <mergeCell ref="K25:M25"/>
    <mergeCell ref="A23:B23"/>
    <mergeCell ref="A24:B24"/>
    <mergeCell ref="A25:B25"/>
    <mergeCell ref="K24:M24"/>
    <mergeCell ref="A63:C63"/>
    <mergeCell ref="A57:B57"/>
    <mergeCell ref="A58:B58"/>
    <mergeCell ref="A56:B56"/>
    <mergeCell ref="A46:B46"/>
    <mergeCell ref="A45:B45"/>
    <mergeCell ref="A30:B30"/>
    <mergeCell ref="A64:C64"/>
    <mergeCell ref="A54:B54"/>
    <mergeCell ref="A55:B55"/>
    <mergeCell ref="A61:B61"/>
    <mergeCell ref="A62:B62"/>
    <mergeCell ref="A60:B60"/>
    <mergeCell ref="A52:B52"/>
    <mergeCell ref="A33:B33"/>
    <mergeCell ref="A53:B53"/>
    <mergeCell ref="A43:B43"/>
    <mergeCell ref="A59:B59"/>
    <mergeCell ref="A48:B48"/>
    <mergeCell ref="A49:B49"/>
    <mergeCell ref="A50:B50"/>
    <mergeCell ref="A51:B51"/>
    <mergeCell ref="A47:B47"/>
    <mergeCell ref="A42:B42"/>
    <mergeCell ref="K41:M41"/>
    <mergeCell ref="K46:M46"/>
    <mergeCell ref="K36:M36"/>
    <mergeCell ref="K37:M37"/>
    <mergeCell ref="K39:M39"/>
    <mergeCell ref="K38:M38"/>
    <mergeCell ref="K42:M42"/>
    <mergeCell ref="A40:M40"/>
    <mergeCell ref="A41:B41"/>
    <mergeCell ref="A36:B36"/>
    <mergeCell ref="A44:B44"/>
    <mergeCell ref="K53:M53"/>
    <mergeCell ref="K45:M45"/>
    <mergeCell ref="K29:M29"/>
    <mergeCell ref="K31:M31"/>
    <mergeCell ref="K43:M43"/>
    <mergeCell ref="K44:M44"/>
    <mergeCell ref="K49:M49"/>
    <mergeCell ref="K64:M64"/>
    <mergeCell ref="K54:M54"/>
    <mergeCell ref="K55:M55"/>
    <mergeCell ref="K56:M56"/>
    <mergeCell ref="K57:M57"/>
    <mergeCell ref="K62:M62"/>
    <mergeCell ref="K59:M59"/>
    <mergeCell ref="K61:M61"/>
    <mergeCell ref="K58:M58"/>
    <mergeCell ref="K60:M60"/>
    <mergeCell ref="K63:M63"/>
    <mergeCell ref="K51:M51"/>
    <mergeCell ref="K52:M52"/>
    <mergeCell ref="K50:M50"/>
    <mergeCell ref="K30:M30"/>
    <mergeCell ref="K47:M47"/>
    <mergeCell ref="K48:M48"/>
  </mergeCells>
  <printOptions horizontalCentered="1"/>
  <pageMargins left="0.25" right="0.25" top="0.61250000000000004" bottom="0.38750000000000001" header="0.3" footer="0.3"/>
  <pageSetup paperSize="5" scale="84" orientation="landscape" r:id="rId1"/>
  <headerFooter>
    <oddHeader>&amp;C&amp;F</oddHeader>
  </headerFooter>
  <rowBreaks count="1" manualBreakCount="1">
    <brk id="26" max="16383"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AV65"/>
  <sheetViews>
    <sheetView showGridLines="0" showWhiteSpace="0" topLeftCell="A23" zoomScaleNormal="100" zoomScalePageLayoutView="130" workbookViewId="0">
      <selection activeCell="F49" sqref="F49"/>
    </sheetView>
  </sheetViews>
  <sheetFormatPr defaultRowHeight="13" x14ac:dyDescent="0.3"/>
  <cols>
    <col min="1" max="1" width="32" customWidth="1"/>
    <col min="2" max="2" width="23.81640625" customWidth="1"/>
    <col min="3" max="3" width="20.26953125" style="349" customWidth="1"/>
    <col min="4" max="7" width="12.7265625" style="350" customWidth="1"/>
    <col min="8" max="9" width="12.7265625" style="325" customWidth="1"/>
    <col min="11" max="11" width="12.1796875" customWidth="1"/>
    <col min="12" max="12" width="11" bestFit="1" customWidth="1"/>
  </cols>
  <sheetData>
    <row r="1" spans="1:48" ht="31" thickTop="1" thickBot="1" x14ac:dyDescent="0.65">
      <c r="A1" s="755" t="s">
        <v>170</v>
      </c>
      <c r="B1" s="756"/>
      <c r="C1" s="756"/>
      <c r="D1" s="757"/>
      <c r="E1" s="756"/>
      <c r="F1" s="756"/>
      <c r="G1" s="756"/>
      <c r="H1" s="756"/>
      <c r="I1" s="756"/>
      <c r="J1" s="758"/>
      <c r="K1" s="325"/>
      <c r="L1" s="326"/>
      <c r="M1" s="326"/>
      <c r="N1" s="326"/>
      <c r="O1" s="326"/>
      <c r="P1" s="326"/>
      <c r="Q1" s="326"/>
      <c r="R1" s="326"/>
      <c r="S1" s="326"/>
      <c r="T1" s="326"/>
      <c r="U1" s="326"/>
      <c r="V1" s="326"/>
      <c r="W1" s="326"/>
      <c r="X1" s="327"/>
      <c r="Y1" s="327"/>
      <c r="Z1" s="327"/>
      <c r="AA1" s="327"/>
      <c r="AB1" s="327"/>
      <c r="AC1" s="327"/>
      <c r="AD1" s="327"/>
      <c r="AE1" s="327"/>
      <c r="AF1" s="327"/>
      <c r="AG1" s="327"/>
      <c r="AH1" s="327"/>
      <c r="AI1" s="327"/>
      <c r="AJ1" s="327"/>
      <c r="AK1" s="327"/>
      <c r="AL1" s="327"/>
      <c r="AM1" s="327"/>
      <c r="AN1" s="327"/>
      <c r="AO1" s="327"/>
      <c r="AP1" s="327"/>
      <c r="AQ1" s="327"/>
      <c r="AR1" s="327"/>
      <c r="AS1" s="327"/>
      <c r="AT1" s="327"/>
      <c r="AU1" s="327"/>
      <c r="AV1" s="327"/>
    </row>
    <row r="2" spans="1:48" ht="13.5" thickTop="1" x14ac:dyDescent="0.3">
      <c r="A2" s="328"/>
      <c r="B2" s="329"/>
      <c r="C2" s="330"/>
      <c r="D2" s="331"/>
      <c r="E2" s="332"/>
      <c r="F2" s="333"/>
      <c r="G2" s="333"/>
      <c r="H2" s="333"/>
      <c r="I2" s="333"/>
      <c r="J2" s="334"/>
      <c r="K2" s="325"/>
    </row>
    <row r="3" spans="1:48" ht="13.5" thickBot="1" x14ac:dyDescent="0.35">
      <c r="A3" s="328" t="s">
        <v>171</v>
      </c>
      <c r="B3" s="335" t="str">
        <f>'[1]CACFP Worksheet'!B4:D4</f>
        <v>Newark</v>
      </c>
      <c r="C3" s="336"/>
      <c r="D3" s="337" t="s">
        <v>172</v>
      </c>
      <c r="E3" s="338"/>
      <c r="F3" s="339" t="str">
        <f>'[1]CACFP Worksheet'!B5</f>
        <v>Urban League Of Essex County</v>
      </c>
      <c r="G3" s="340"/>
      <c r="H3" s="340"/>
      <c r="I3" s="340"/>
      <c r="J3" s="341"/>
      <c r="K3" s="325"/>
    </row>
    <row r="4" spans="1:48" x14ac:dyDescent="0.3">
      <c r="A4" s="342"/>
      <c r="B4" s="342"/>
      <c r="C4" s="343"/>
      <c r="D4" s="344"/>
      <c r="E4" s="345"/>
      <c r="F4" s="346"/>
      <c r="G4" s="347"/>
      <c r="H4" s="345"/>
      <c r="I4" s="345"/>
      <c r="J4" s="348"/>
      <c r="K4" s="348"/>
    </row>
    <row r="5" spans="1:48" x14ac:dyDescent="0.3">
      <c r="A5" s="342"/>
      <c r="B5" s="342"/>
      <c r="C5" s="343"/>
      <c r="D5" s="344"/>
      <c r="E5" s="345"/>
      <c r="F5" s="346"/>
      <c r="G5" s="347"/>
      <c r="H5" s="345"/>
      <c r="I5" s="345"/>
      <c r="J5" s="348"/>
      <c r="K5" s="348"/>
    </row>
    <row r="6" spans="1:48" x14ac:dyDescent="0.3">
      <c r="A6" s="342"/>
      <c r="B6" s="342"/>
      <c r="C6" s="343"/>
      <c r="D6" s="344"/>
      <c r="E6" s="345"/>
      <c r="F6" s="346"/>
      <c r="G6" s="347"/>
      <c r="H6" s="345"/>
      <c r="I6" s="345"/>
      <c r="J6" s="348"/>
      <c r="K6" s="348"/>
    </row>
    <row r="7" spans="1:48" x14ac:dyDescent="0.3">
      <c r="A7" s="342"/>
      <c r="B7" s="342"/>
      <c r="C7" s="343"/>
      <c r="D7" s="344"/>
      <c r="E7" s="345"/>
      <c r="F7" s="346"/>
      <c r="G7" s="347"/>
      <c r="H7" s="345"/>
      <c r="I7" s="345"/>
      <c r="J7" s="348"/>
      <c r="K7" s="348"/>
    </row>
    <row r="8" spans="1:48" x14ac:dyDescent="0.3">
      <c r="A8" s="342"/>
      <c r="B8" s="342"/>
      <c r="C8" s="343"/>
      <c r="D8" s="344"/>
      <c r="E8" s="345"/>
      <c r="F8" s="346"/>
      <c r="G8" s="347"/>
      <c r="H8" s="345"/>
      <c r="I8" s="345"/>
      <c r="J8" s="348"/>
      <c r="K8" s="348"/>
    </row>
    <row r="9" spans="1:48" x14ac:dyDescent="0.3">
      <c r="A9" s="342"/>
      <c r="B9" s="342"/>
      <c r="C9" s="343"/>
      <c r="D9" s="344"/>
      <c r="E9" s="345"/>
      <c r="F9" s="346"/>
      <c r="G9" s="347"/>
      <c r="H9" s="345"/>
      <c r="I9" s="345"/>
      <c r="J9" s="348"/>
      <c r="K9" s="348"/>
    </row>
    <row r="10" spans="1:48" x14ac:dyDescent="0.3">
      <c r="A10" s="342"/>
      <c r="B10" s="342"/>
      <c r="C10" s="343"/>
      <c r="D10" s="344"/>
      <c r="E10" s="345"/>
      <c r="F10" s="346"/>
      <c r="G10" s="347"/>
      <c r="H10" s="345"/>
      <c r="I10" s="345"/>
      <c r="J10" s="348"/>
      <c r="K10" s="348"/>
    </row>
    <row r="11" spans="1:48" x14ac:dyDescent="0.3">
      <c r="A11" s="342"/>
      <c r="B11" s="342"/>
      <c r="C11" s="343"/>
      <c r="D11" s="344"/>
      <c r="E11" s="345"/>
      <c r="F11" s="346"/>
      <c r="G11" s="347"/>
      <c r="H11" s="345"/>
      <c r="I11" s="345"/>
      <c r="J11" s="348"/>
      <c r="K11" s="348"/>
    </row>
    <row r="12" spans="1:48" x14ac:dyDescent="0.3">
      <c r="A12" s="342"/>
      <c r="B12" s="342"/>
      <c r="C12" s="343"/>
      <c r="D12" s="344"/>
      <c r="E12" s="345"/>
      <c r="F12" s="346"/>
      <c r="G12" s="347"/>
      <c r="H12" s="345"/>
      <c r="I12" s="345"/>
      <c r="J12" s="348"/>
      <c r="K12" s="348"/>
    </row>
    <row r="13" spans="1:48" x14ac:dyDescent="0.3">
      <c r="A13" s="342"/>
      <c r="B13" s="342"/>
      <c r="C13" s="343"/>
      <c r="D13" s="344"/>
      <c r="E13" s="345"/>
      <c r="F13" s="346"/>
      <c r="G13" s="347"/>
      <c r="H13" s="345"/>
      <c r="I13" s="345"/>
      <c r="J13" s="348"/>
      <c r="K13" s="348"/>
    </row>
    <row r="14" spans="1:48" x14ac:dyDescent="0.3">
      <c r="C14"/>
      <c r="D14" s="349"/>
      <c r="H14" s="350"/>
      <c r="I14" s="350"/>
      <c r="J14" s="325"/>
      <c r="K14" s="325"/>
    </row>
    <row r="15" spans="1:48" s="351" customFormat="1" x14ac:dyDescent="0.3">
      <c r="A15"/>
      <c r="B15"/>
      <c r="C15"/>
      <c r="D15" s="349"/>
      <c r="E15" s="350"/>
      <c r="F15" s="350"/>
      <c r="G15" s="350"/>
      <c r="H15" s="350"/>
      <c r="I15" s="350"/>
      <c r="J15" s="325"/>
      <c r="K15" s="325"/>
    </row>
    <row r="16" spans="1:48" ht="39" x14ac:dyDescent="0.3">
      <c r="A16" s="352" t="s">
        <v>173</v>
      </c>
      <c r="B16" s="352" t="s">
        <v>174</v>
      </c>
      <c r="C16" s="352" t="s">
        <v>175</v>
      </c>
      <c r="D16" s="353" t="s">
        <v>176</v>
      </c>
      <c r="E16" s="354" t="s">
        <v>177</v>
      </c>
      <c r="F16" s="355" t="s">
        <v>208</v>
      </c>
      <c r="G16" s="355" t="s">
        <v>178</v>
      </c>
      <c r="H16" s="355" t="s">
        <v>209</v>
      </c>
      <c r="I16" s="355" t="s">
        <v>210</v>
      </c>
      <c r="J16" s="355" t="s">
        <v>211</v>
      </c>
      <c r="K16" s="759" t="s">
        <v>212</v>
      </c>
    </row>
    <row r="17" spans="1:12" ht="15" customHeight="1" x14ac:dyDescent="0.3">
      <c r="A17" s="356" t="s">
        <v>179</v>
      </c>
      <c r="B17" s="356"/>
      <c r="C17" s="356" t="s">
        <v>180</v>
      </c>
      <c r="D17" s="357">
        <v>1</v>
      </c>
      <c r="E17" s="358" t="s">
        <v>181</v>
      </c>
      <c r="F17" s="359">
        <v>50000</v>
      </c>
      <c r="G17" s="359">
        <v>9000</v>
      </c>
      <c r="H17" s="359">
        <f>F17*1.16</f>
        <v>57999.999999999993</v>
      </c>
      <c r="I17" s="359"/>
      <c r="J17" s="359">
        <v>9000</v>
      </c>
      <c r="K17" s="760"/>
    </row>
    <row r="18" spans="1:12" ht="15" customHeight="1" x14ac:dyDescent="0.3">
      <c r="A18" s="356" t="s">
        <v>182</v>
      </c>
      <c r="B18" s="356"/>
      <c r="C18" s="356" t="s">
        <v>183</v>
      </c>
      <c r="D18" s="357">
        <v>1</v>
      </c>
      <c r="E18" s="358" t="s">
        <v>184</v>
      </c>
      <c r="F18" s="359">
        <v>45000</v>
      </c>
      <c r="G18" s="359">
        <v>6250</v>
      </c>
      <c r="H18" s="359">
        <f>F18*1.16</f>
        <v>52200</v>
      </c>
      <c r="I18" s="359"/>
      <c r="J18" s="359">
        <v>6406</v>
      </c>
      <c r="K18" s="761"/>
    </row>
    <row r="19" spans="1:12" ht="14.5" x14ac:dyDescent="0.35">
      <c r="A19" s="752" t="s">
        <v>185</v>
      </c>
      <c r="B19" s="753"/>
      <c r="C19" s="753"/>
      <c r="D19" s="753"/>
      <c r="E19" s="753"/>
      <c r="F19" s="753"/>
      <c r="G19" s="753"/>
      <c r="H19" s="753"/>
      <c r="I19" s="753"/>
      <c r="J19" s="754"/>
      <c r="K19" s="238"/>
    </row>
    <row r="20" spans="1:12" ht="14.5" x14ac:dyDescent="0.35">
      <c r="A20" s="360" t="str">
        <f>'[1]4 Teachers'!C5&amp;" "&amp;'[1]4 Teachers'!B5</f>
        <v xml:space="preserve">Jhonny  Janvier </v>
      </c>
      <c r="B20" s="360" t="str">
        <f>'[1]4 Teachers'!A5</f>
        <v>Urban League</v>
      </c>
      <c r="C20" s="360" t="s">
        <v>180</v>
      </c>
      <c r="D20" s="361">
        <f>'[1]4 Teachers'!H5</f>
        <v>1</v>
      </c>
      <c r="E20" s="362">
        <f>'[1]4 Teachers'!G5</f>
        <v>9</v>
      </c>
      <c r="F20" s="363">
        <f>'[1]4 Teachers'!I5</f>
        <v>58583</v>
      </c>
      <c r="G20" s="364"/>
      <c r="H20" s="365"/>
      <c r="I20" s="365">
        <f>F20</f>
        <v>58583</v>
      </c>
      <c r="J20" s="364"/>
      <c r="K20" s="239">
        <f>'[1]4 Teachers'!N5</f>
        <v>1465</v>
      </c>
    </row>
    <row r="21" spans="1:12" ht="14.5" x14ac:dyDescent="0.35">
      <c r="A21" s="360" t="str">
        <f>'[1]4 Teachers'!C6&amp;" "&amp;'[1]4 Teachers'!B6</f>
        <v xml:space="preserve">Bertrilla  Simmons </v>
      </c>
      <c r="B21" s="360" t="str">
        <f>'[1]4 Teachers'!A6</f>
        <v xml:space="preserve">Urban League </v>
      </c>
      <c r="C21" s="360" t="s">
        <v>180</v>
      </c>
      <c r="D21" s="361">
        <f>'[1]4 Teachers'!H6</f>
        <v>1</v>
      </c>
      <c r="E21" s="362">
        <f>'[1]4 Teachers'!G6</f>
        <v>9</v>
      </c>
      <c r="F21" s="363">
        <f>'[1]4 Teachers'!I6</f>
        <v>57717</v>
      </c>
      <c r="G21" s="364"/>
      <c r="H21" s="365"/>
      <c r="I21" s="365">
        <f t="shared" ref="I21:I22" si="0">F21</f>
        <v>57717</v>
      </c>
      <c r="J21" s="364"/>
      <c r="K21" s="239">
        <f>'[1]4 Teachers'!N6</f>
        <v>1443</v>
      </c>
    </row>
    <row r="22" spans="1:12" ht="14.5" x14ac:dyDescent="0.35">
      <c r="A22" s="360" t="str">
        <f>'[1]4 Teachers'!C7&amp;" "&amp;'[1]4 Teachers'!B7</f>
        <v>Melissa  Thorpe</v>
      </c>
      <c r="B22" s="360" t="str">
        <f>'[1]4 Teachers'!A7</f>
        <v xml:space="preserve">Urban League </v>
      </c>
      <c r="C22" s="360" t="s">
        <v>180</v>
      </c>
      <c r="D22" s="361" t="e">
        <f>'[1]4 Teachers'!H8</f>
        <v>#REF!</v>
      </c>
      <c r="E22" s="362">
        <f>'[1]4 Teachers'!G7</f>
        <v>9</v>
      </c>
      <c r="F22" s="363">
        <f>'[1]4 Teachers'!I7</f>
        <v>53261</v>
      </c>
      <c r="G22" s="364"/>
      <c r="H22" s="365"/>
      <c r="I22" s="365">
        <f t="shared" si="0"/>
        <v>53261</v>
      </c>
      <c r="J22" s="364"/>
      <c r="K22" s="239">
        <f>'[1]4 Teachers'!N8</f>
        <v>0</v>
      </c>
    </row>
    <row r="23" spans="1:12" ht="14.5" x14ac:dyDescent="0.35">
      <c r="A23" s="240"/>
      <c r="B23" s="240"/>
      <c r="C23" s="240"/>
      <c r="D23" s="241" t="e">
        <f>SUM(D20:D22)</f>
        <v>#REF!</v>
      </c>
      <c r="E23" s="242"/>
      <c r="F23" s="243"/>
      <c r="G23" s="244"/>
      <c r="H23" s="245"/>
      <c r="I23" s="246">
        <f>SUM(I20:I22)</f>
        <v>169561</v>
      </c>
      <c r="J23" s="244"/>
      <c r="K23" s="239"/>
      <c r="L23" s="367"/>
    </row>
    <row r="24" spans="1:12" ht="15" customHeight="1" x14ac:dyDescent="0.3">
      <c r="A24" s="752" t="s">
        <v>186</v>
      </c>
      <c r="B24" s="753"/>
      <c r="C24" s="753"/>
      <c r="D24" s="753"/>
      <c r="E24" s="753"/>
      <c r="F24" s="753"/>
      <c r="G24" s="753"/>
      <c r="H24" s="753"/>
      <c r="I24" s="753"/>
      <c r="J24" s="753"/>
      <c r="K24" s="754"/>
    </row>
    <row r="25" spans="1:12" ht="14.5" x14ac:dyDescent="0.35">
      <c r="A25" s="360" t="str">
        <f>'[1]4a Teacher Assistants'!C5&amp;" "&amp;'[1]4a Teacher Assistants'!B5</f>
        <v>Robin Stewart</v>
      </c>
      <c r="B25" s="360" t="str">
        <f>'[1]4a Teacher Assistants'!A5</f>
        <v>Urban League</v>
      </c>
      <c r="C25" s="360" t="s">
        <v>187</v>
      </c>
      <c r="D25" s="361">
        <f>'[1]4a Teacher Assistants'!G5</f>
        <v>1</v>
      </c>
      <c r="E25" s="362">
        <f>'[1]4a Teacher Assistants'!F5</f>
        <v>0</v>
      </c>
      <c r="F25" s="368">
        <f>'[1]4a Teacher Assistants'!H5</f>
        <v>34413</v>
      </c>
      <c r="G25" s="364"/>
      <c r="H25" s="365"/>
      <c r="I25" s="365">
        <f>F25</f>
        <v>34413</v>
      </c>
      <c r="J25" s="364"/>
      <c r="K25" s="239">
        <f>'[1]4a Teacher Assistants'!M5</f>
        <v>1720</v>
      </c>
    </row>
    <row r="26" spans="1:12" ht="14.5" x14ac:dyDescent="0.35">
      <c r="A26" s="360" t="str">
        <f>'[1]4a Teacher Assistants'!C6&amp;" "&amp;'[1]4a Teacher Assistants'!B6</f>
        <v>Wynora Hill</v>
      </c>
      <c r="B26" s="360" t="str">
        <f>'[1]4a Teacher Assistants'!A6</f>
        <v>Urban League</v>
      </c>
      <c r="C26" s="360" t="s">
        <v>187</v>
      </c>
      <c r="D26" s="361">
        <f>'[1]4a Teacher Assistants'!G6</f>
        <v>1</v>
      </c>
      <c r="E26" s="362">
        <f>'[1]4a Teacher Assistants'!F6</f>
        <v>0</v>
      </c>
      <c r="F26" s="368">
        <f>'[1]4a Teacher Assistants'!H6</f>
        <v>25872</v>
      </c>
      <c r="G26" s="364"/>
      <c r="H26" s="365"/>
      <c r="I26" s="365">
        <f t="shared" ref="I26:I27" si="1">F26</f>
        <v>25872</v>
      </c>
      <c r="J26" s="364"/>
      <c r="K26" s="239">
        <f>'[1]4a Teacher Assistants'!M6</f>
        <v>1294</v>
      </c>
    </row>
    <row r="27" spans="1:12" ht="14.5" x14ac:dyDescent="0.35">
      <c r="A27" s="360" t="str">
        <f>'[1]4a Teacher Assistants'!C7&amp;" "&amp;'[1]4a Teacher Assistants'!B7</f>
        <v>Roni Bryant</v>
      </c>
      <c r="B27" s="360" t="str">
        <f>'[1]4a Teacher Assistants'!A7</f>
        <v>Urban League</v>
      </c>
      <c r="C27" s="360" t="s">
        <v>187</v>
      </c>
      <c r="D27" s="361">
        <f>'[1]4a Teacher Assistants'!G7</f>
        <v>1</v>
      </c>
      <c r="E27" s="362">
        <f>'[1]4a Teacher Assistants'!F7</f>
        <v>0</v>
      </c>
      <c r="F27" s="368">
        <f>'[1]4a Teacher Assistants'!H7</f>
        <v>26551</v>
      </c>
      <c r="G27" s="364"/>
      <c r="H27" s="365"/>
      <c r="I27" s="365">
        <f t="shared" si="1"/>
        <v>26551</v>
      </c>
      <c r="J27" s="364"/>
      <c r="K27" s="239">
        <f>'[1]4a Teacher Assistants'!M7</f>
        <v>1328</v>
      </c>
    </row>
    <row r="28" spans="1:12" ht="14.5" x14ac:dyDescent="0.35">
      <c r="A28" s="360"/>
      <c r="B28" s="360"/>
      <c r="C28" s="360"/>
      <c r="D28" s="241">
        <f>SUM(D25:D27)</f>
        <v>3</v>
      </c>
      <c r="E28" s="242"/>
      <c r="F28" s="243"/>
      <c r="G28" s="244"/>
      <c r="H28" s="245"/>
      <c r="I28" s="246">
        <f>SUM(I25:I27)</f>
        <v>86836</v>
      </c>
      <c r="J28" s="364"/>
      <c r="K28" s="239"/>
      <c r="L28" s="367"/>
    </row>
    <row r="29" spans="1:12" ht="14.5" x14ac:dyDescent="0.35">
      <c r="A29" s="752" t="s">
        <v>188</v>
      </c>
      <c r="B29" s="753"/>
      <c r="C29" s="753"/>
      <c r="D29" s="753"/>
      <c r="E29" s="753"/>
      <c r="F29" s="753"/>
      <c r="G29" s="753"/>
      <c r="H29" s="753"/>
      <c r="I29" s="753"/>
      <c r="J29" s="754"/>
      <c r="K29" s="238"/>
    </row>
    <row r="30" spans="1:12" ht="14.5" x14ac:dyDescent="0.35">
      <c r="A30" s="360" t="str">
        <f>'[1]4b Floater Teacher Assistants'!C5&amp;" "&amp;'[1]4b Floater Teacher Assistants'!B5</f>
        <v>Sharaini Rambaran</v>
      </c>
      <c r="B30" s="360" t="str">
        <f>'[1]4b Floater Teacher Assistants'!A5</f>
        <v>Urban League</v>
      </c>
      <c r="C30" s="360" t="s">
        <v>189</v>
      </c>
      <c r="D30" s="247">
        <f>'[1]4b Floater Teacher Assistants'!G5</f>
        <v>1</v>
      </c>
      <c r="E30" s="178">
        <f>'[1]4b Floater Teacher Assistants'!F5</f>
        <v>2</v>
      </c>
      <c r="F30" s="248">
        <f>'[1]4b Floater Teacher Assistants'!H5</f>
        <v>19800</v>
      </c>
      <c r="G30" s="412"/>
      <c r="H30" s="249"/>
      <c r="I30" s="249">
        <f>F30</f>
        <v>19800</v>
      </c>
      <c r="J30" s="369"/>
      <c r="K30" s="250">
        <f>'[1]4b Floater Teacher Assistants'!M5</f>
        <v>495</v>
      </c>
      <c r="L30" s="367"/>
    </row>
    <row r="31" spans="1:12" ht="14.5" x14ac:dyDescent="0.35">
      <c r="A31" s="360"/>
      <c r="B31" s="360"/>
      <c r="C31" s="360"/>
      <c r="D31" s="247"/>
      <c r="E31" s="411"/>
      <c r="F31" s="248"/>
      <c r="G31" s="412"/>
      <c r="H31" s="249"/>
      <c r="I31" s="249"/>
      <c r="J31" s="369"/>
      <c r="K31" s="250"/>
      <c r="L31" s="367"/>
    </row>
    <row r="32" spans="1:12" ht="14.5" x14ac:dyDescent="0.35">
      <c r="A32" s="360"/>
      <c r="B32" s="360"/>
      <c r="C32" s="360"/>
      <c r="D32" s="241">
        <f>SUM(D30:D31)</f>
        <v>1</v>
      </c>
      <c r="E32" s="242"/>
      <c r="F32" s="243"/>
      <c r="G32" s="244"/>
      <c r="H32" s="245"/>
      <c r="I32" s="246">
        <f>SUM(I30:I31)</f>
        <v>19800</v>
      </c>
      <c r="J32" s="364"/>
      <c r="K32" s="239"/>
      <c r="L32" s="367"/>
    </row>
    <row r="33" spans="1:12" ht="39.5" x14ac:dyDescent="0.35">
      <c r="A33" s="352" t="s">
        <v>173</v>
      </c>
      <c r="B33" s="352" t="s">
        <v>174</v>
      </c>
      <c r="C33" s="352" t="s">
        <v>175</v>
      </c>
      <c r="D33" s="353" t="s">
        <v>176</v>
      </c>
      <c r="E33" s="354" t="s">
        <v>177</v>
      </c>
      <c r="F33" s="355" t="s">
        <v>208</v>
      </c>
      <c r="G33" s="355" t="s">
        <v>178</v>
      </c>
      <c r="H33" s="355" t="s">
        <v>209</v>
      </c>
      <c r="I33" s="355" t="s">
        <v>210</v>
      </c>
      <c r="J33" s="355" t="s">
        <v>211</v>
      </c>
      <c r="K33" s="239"/>
      <c r="L33" s="367"/>
    </row>
    <row r="34" spans="1:12" ht="14.5" x14ac:dyDescent="0.35">
      <c r="A34" s="752" t="s">
        <v>190</v>
      </c>
      <c r="B34" s="753"/>
      <c r="C34" s="753"/>
      <c r="D34" s="753"/>
      <c r="E34" s="753"/>
      <c r="F34" s="753"/>
      <c r="G34" s="753"/>
      <c r="H34" s="753"/>
      <c r="I34" s="753"/>
      <c r="J34" s="754"/>
      <c r="K34" s="238"/>
    </row>
    <row r="35" spans="1:12" ht="14.5" x14ac:dyDescent="0.35">
      <c r="A35" s="360" t="str">
        <f>'[1]4c Family Worker'!$C$5&amp;" "&amp;'[1]4c Family Worker'!$B$5</f>
        <v>Daphne L McMillian</v>
      </c>
      <c r="B35" s="360" t="str">
        <f>'[1]4c Family Worker'!$A$5</f>
        <v>Urban League</v>
      </c>
      <c r="C35" s="360" t="s">
        <v>191</v>
      </c>
      <c r="D35" s="361">
        <f>'[1]4c Family Worker'!$G$5</f>
        <v>1</v>
      </c>
      <c r="E35" s="370">
        <f>'[1]4c Family Worker'!$F$5</f>
        <v>20</v>
      </c>
      <c r="F35" s="368">
        <v>21224</v>
      </c>
      <c r="G35" s="364"/>
      <c r="H35" s="365">
        <f>I35/0.8163</f>
        <v>30075.952468455223</v>
      </c>
      <c r="I35" s="365">
        <v>24551</v>
      </c>
      <c r="J35" s="364"/>
      <c r="K35" s="239">
        <f>'[1]4c Family Worker'!N5</f>
        <v>1842</v>
      </c>
      <c r="L35" s="367"/>
    </row>
    <row r="36" spans="1:12" ht="14.5" x14ac:dyDescent="0.35">
      <c r="A36" s="360" t="e">
        <f>'[1]4c Family Worker'!$C$6&amp;" "&amp;'[1]4c Family Worker'!$B$6</f>
        <v>#REF!</v>
      </c>
      <c r="B36" s="360" t="e">
        <f>'[1]4c Family Worker'!$A$6</f>
        <v>#REF!</v>
      </c>
      <c r="C36" s="413" t="s">
        <v>191</v>
      </c>
      <c r="D36" s="361" t="e">
        <f>'[1]4c Family Worker'!$G$6</f>
        <v>#REF!</v>
      </c>
      <c r="E36" s="370" t="e">
        <f>'[1]4c Family Worker'!$F$6</f>
        <v>#REF!</v>
      </c>
      <c r="F36" s="368" t="e">
        <f>'[1]4c Family Worker'!$H$6</f>
        <v>#REF!</v>
      </c>
      <c r="G36" s="364"/>
      <c r="H36" s="365" t="e">
        <f>I36/0.8163</f>
        <v>#REF!</v>
      </c>
      <c r="I36" s="365" t="e">
        <f>F36</f>
        <v>#REF!</v>
      </c>
      <c r="J36" s="364"/>
      <c r="K36" s="239">
        <f>'[1]4c Family Worker'!N6</f>
        <v>0</v>
      </c>
      <c r="L36" s="367" t="e">
        <f t="shared" ref="L36:L38" si="2">IF(D36&gt;0,D36*H36," ")</f>
        <v>#REF!</v>
      </c>
    </row>
    <row r="37" spans="1:12" ht="14.5" x14ac:dyDescent="0.35">
      <c r="A37" s="360"/>
      <c r="B37" s="360"/>
      <c r="C37" s="360"/>
      <c r="D37" s="361"/>
      <c r="E37" s="372"/>
      <c r="F37" s="368"/>
      <c r="G37" s="364"/>
      <c r="H37" s="365"/>
      <c r="I37" s="365"/>
      <c r="J37" s="364"/>
      <c r="K37" s="239"/>
      <c r="L37" t="str">
        <f t="shared" si="2"/>
        <v xml:space="preserve"> </v>
      </c>
    </row>
    <row r="38" spans="1:12" ht="14.5" x14ac:dyDescent="0.35">
      <c r="A38" s="360"/>
      <c r="B38" s="360"/>
      <c r="C38" s="360"/>
      <c r="D38" s="361"/>
      <c r="E38" s="372"/>
      <c r="F38" s="368"/>
      <c r="G38" s="364"/>
      <c r="H38" s="365"/>
      <c r="I38" s="365"/>
      <c r="J38" s="364"/>
      <c r="K38" s="239"/>
      <c r="L38" t="str">
        <f t="shared" si="2"/>
        <v xml:space="preserve"> </v>
      </c>
    </row>
    <row r="39" spans="1:12" ht="14.5" x14ac:dyDescent="0.35">
      <c r="A39" s="240"/>
      <c r="B39" s="240"/>
      <c r="C39" s="240"/>
      <c r="D39" s="251" t="e">
        <f>SUM(D35:D38)</f>
        <v>#REF!</v>
      </c>
      <c r="E39" s="242"/>
      <c r="F39" s="252"/>
      <c r="G39" s="244"/>
      <c r="H39" s="245" t="e">
        <f>SUM(H35:H38)</f>
        <v>#REF!</v>
      </c>
      <c r="I39" s="245"/>
      <c r="J39" s="244"/>
      <c r="K39" s="239"/>
      <c r="L39" s="371"/>
    </row>
    <row r="40" spans="1:12" x14ac:dyDescent="0.3">
      <c r="A40" s="752" t="s">
        <v>192</v>
      </c>
      <c r="B40" s="753"/>
      <c r="C40" s="753"/>
      <c r="D40" s="753"/>
      <c r="E40" s="753"/>
      <c r="F40" s="753"/>
      <c r="G40" s="753"/>
      <c r="H40" s="753"/>
      <c r="I40" s="753"/>
      <c r="J40" s="754"/>
      <c r="L40" t="str">
        <f>IF(D40&gt;0,D40*H40," ")</f>
        <v xml:space="preserve"> </v>
      </c>
    </row>
    <row r="41" spans="1:12" x14ac:dyDescent="0.3">
      <c r="A41" s="360" t="s">
        <v>201</v>
      </c>
      <c r="B41" s="377" t="s">
        <v>202</v>
      </c>
      <c r="C41" s="360" t="s">
        <v>199</v>
      </c>
      <c r="D41" s="361">
        <v>1</v>
      </c>
      <c r="E41" s="372" t="str">
        <f>'[1]Director Salary Scale'!B11</f>
        <v>Tier 3*</v>
      </c>
      <c r="F41" s="368">
        <v>57580</v>
      </c>
      <c r="G41" s="364"/>
      <c r="H41" s="365">
        <v>57580</v>
      </c>
      <c r="I41" s="365">
        <f>H41*0.7673</f>
        <v>44181.133999999998</v>
      </c>
      <c r="J41" s="364"/>
    </row>
    <row r="42" spans="1:12" x14ac:dyDescent="0.3">
      <c r="A42" s="360"/>
      <c r="B42" s="360"/>
      <c r="C42" s="360"/>
      <c r="D42" s="361"/>
      <c r="E42" s="372"/>
      <c r="F42" s="368"/>
      <c r="G42" s="364"/>
      <c r="H42" s="365"/>
      <c r="I42" s="365"/>
      <c r="J42" s="364"/>
    </row>
    <row r="43" spans="1:12" x14ac:dyDescent="0.3">
      <c r="A43" s="360"/>
      <c r="B43" s="360"/>
      <c r="C43" s="360"/>
      <c r="D43" s="373">
        <f>SUM(D41:D42)</f>
        <v>1</v>
      </c>
      <c r="E43" s="374"/>
      <c r="F43" s="368"/>
      <c r="G43" s="364"/>
      <c r="H43" s="375">
        <f>SUM(H41:H42)</f>
        <v>57580</v>
      </c>
      <c r="I43" s="365"/>
      <c r="J43" s="364"/>
      <c r="K43" s="376"/>
    </row>
    <row r="44" spans="1:12" x14ac:dyDescent="0.3">
      <c r="A44" s="752" t="s">
        <v>193</v>
      </c>
      <c r="B44" s="753"/>
      <c r="C44" s="753"/>
      <c r="D44" s="753"/>
      <c r="E44" s="753"/>
      <c r="F44" s="753"/>
      <c r="G44" s="753"/>
      <c r="H44" s="753"/>
      <c r="I44" s="753"/>
      <c r="J44" s="754"/>
      <c r="L44" t="str">
        <f t="shared" ref="L44:L60" si="3">IF(D44&gt;0,D44*H44," ")</f>
        <v xml:space="preserve"> </v>
      </c>
    </row>
    <row r="45" spans="1:12" x14ac:dyDescent="0.3">
      <c r="A45" s="360" t="s">
        <v>203</v>
      </c>
      <c r="B45" s="360" t="s">
        <v>202</v>
      </c>
      <c r="C45" s="360"/>
      <c r="D45" s="416">
        <v>0.5</v>
      </c>
      <c r="E45" s="372">
        <v>0</v>
      </c>
      <c r="F45" s="368">
        <v>15000</v>
      </c>
      <c r="G45" s="364"/>
      <c r="H45" s="365">
        <f>I45/0.7673</f>
        <v>19549.06816108432</v>
      </c>
      <c r="I45" s="365">
        <v>15000</v>
      </c>
      <c r="J45" s="364"/>
      <c r="L45">
        <f t="shared" si="3"/>
        <v>9774.5340805421602</v>
      </c>
    </row>
    <row r="46" spans="1:12" x14ac:dyDescent="0.3">
      <c r="A46" s="360"/>
      <c r="B46" s="377"/>
      <c r="C46" s="360"/>
      <c r="D46" s="361"/>
      <c r="E46" s="372"/>
      <c r="F46" s="368"/>
      <c r="G46" s="364"/>
      <c r="H46" s="365"/>
      <c r="I46" s="365"/>
      <c r="J46" s="364"/>
      <c r="L46" t="str">
        <f t="shared" si="3"/>
        <v xml:space="preserve"> </v>
      </c>
    </row>
    <row r="47" spans="1:12" x14ac:dyDescent="0.3">
      <c r="A47" s="360"/>
      <c r="B47" s="360"/>
      <c r="C47" s="360"/>
      <c r="D47" s="361"/>
      <c r="E47" s="372"/>
      <c r="F47" s="368"/>
      <c r="G47" s="364"/>
      <c r="H47" s="365"/>
      <c r="I47" s="365"/>
      <c r="J47" s="364"/>
      <c r="L47" t="str">
        <f t="shared" si="3"/>
        <v xml:space="preserve"> </v>
      </c>
    </row>
    <row r="48" spans="1:12" x14ac:dyDescent="0.3">
      <c r="A48" s="752" t="s">
        <v>194</v>
      </c>
      <c r="B48" s="753"/>
      <c r="C48" s="753"/>
      <c r="D48" s="753"/>
      <c r="E48" s="753"/>
      <c r="F48" s="753"/>
      <c r="G48" s="753"/>
      <c r="H48" s="753"/>
      <c r="I48" s="753"/>
      <c r="J48" s="754"/>
      <c r="L48" t="str">
        <f t="shared" si="3"/>
        <v xml:space="preserve"> </v>
      </c>
    </row>
    <row r="49" spans="1:12" x14ac:dyDescent="0.3">
      <c r="A49" s="417"/>
      <c r="B49" s="360" t="s">
        <v>202</v>
      </c>
      <c r="C49" s="360" t="s">
        <v>204</v>
      </c>
      <c r="D49" s="416">
        <v>0.5</v>
      </c>
      <c r="E49" s="372">
        <v>0</v>
      </c>
      <c r="F49" s="368">
        <v>18000</v>
      </c>
      <c r="G49" s="364"/>
      <c r="H49" s="365">
        <f t="shared" ref="H49" si="4">I49/0.7673</f>
        <v>23458.881793301185</v>
      </c>
      <c r="I49" s="365">
        <v>18000</v>
      </c>
      <c r="J49" s="364"/>
      <c r="L49">
        <f t="shared" si="3"/>
        <v>11729.440896650593</v>
      </c>
    </row>
    <row r="50" spans="1:12" x14ac:dyDescent="0.3">
      <c r="A50" s="360"/>
      <c r="B50" s="360"/>
      <c r="C50" s="360"/>
      <c r="D50" s="361"/>
      <c r="E50" s="378"/>
      <c r="F50" s="368"/>
      <c r="G50" s="364"/>
      <c r="H50" s="365"/>
      <c r="I50" s="365"/>
      <c r="J50" s="364"/>
      <c r="L50" t="str">
        <f t="shared" si="3"/>
        <v xml:space="preserve"> </v>
      </c>
    </row>
    <row r="51" spans="1:12" x14ac:dyDescent="0.3">
      <c r="A51" s="360"/>
      <c r="B51" s="360"/>
      <c r="C51" s="360"/>
      <c r="D51" s="361"/>
      <c r="E51" s="378"/>
      <c r="F51" s="368"/>
      <c r="G51" s="364"/>
      <c r="H51" s="365"/>
      <c r="I51" s="365"/>
      <c r="J51" s="364"/>
      <c r="L51" t="str">
        <f t="shared" si="3"/>
        <v xml:space="preserve"> </v>
      </c>
    </row>
    <row r="52" spans="1:12" x14ac:dyDescent="0.3">
      <c r="A52" s="752" t="s">
        <v>195</v>
      </c>
      <c r="B52" s="753"/>
      <c r="C52" s="753"/>
      <c r="D52" s="753"/>
      <c r="E52" s="753"/>
      <c r="F52" s="753"/>
      <c r="G52" s="753"/>
      <c r="H52" s="753"/>
      <c r="I52" s="753"/>
      <c r="J52" s="754"/>
      <c r="L52" t="str">
        <f t="shared" si="3"/>
        <v xml:space="preserve"> </v>
      </c>
    </row>
    <row r="53" spans="1:12" x14ac:dyDescent="0.3">
      <c r="A53" s="417"/>
      <c r="B53" s="360" t="s">
        <v>202</v>
      </c>
      <c r="C53" s="360" t="s">
        <v>205</v>
      </c>
      <c r="D53" s="416">
        <v>0.5</v>
      </c>
      <c r="E53" s="372">
        <v>0</v>
      </c>
      <c r="F53" s="368">
        <v>22000</v>
      </c>
      <c r="G53" s="364"/>
      <c r="H53" s="365">
        <f>I53/0.7673</f>
        <v>28671.966636257006</v>
      </c>
      <c r="I53" s="365">
        <v>22000</v>
      </c>
      <c r="J53" s="364"/>
      <c r="L53">
        <f t="shared" si="3"/>
        <v>14335.983318128503</v>
      </c>
    </row>
    <row r="54" spans="1:12" x14ac:dyDescent="0.3">
      <c r="A54" s="360"/>
      <c r="B54" s="377"/>
      <c r="C54" s="360"/>
      <c r="D54" s="361"/>
      <c r="E54" s="372"/>
      <c r="F54" s="368"/>
      <c r="G54" s="364"/>
      <c r="H54" s="365"/>
      <c r="I54" s="365"/>
      <c r="J54" s="364"/>
      <c r="L54" s="366"/>
    </row>
    <row r="55" spans="1:12" x14ac:dyDescent="0.3">
      <c r="A55" s="360"/>
      <c r="B55" s="360"/>
      <c r="C55" s="360"/>
      <c r="D55" s="361"/>
      <c r="E55" s="372"/>
      <c r="F55" s="368"/>
      <c r="G55" s="364"/>
      <c r="H55" s="365"/>
      <c r="I55" s="365"/>
      <c r="J55" s="364"/>
      <c r="L55" t="str">
        <f t="shared" si="3"/>
        <v xml:space="preserve"> </v>
      </c>
    </row>
    <row r="56" spans="1:12" x14ac:dyDescent="0.3">
      <c r="A56" s="360"/>
      <c r="B56" s="360"/>
      <c r="C56" s="360"/>
      <c r="D56" s="361"/>
      <c r="E56" s="378"/>
      <c r="F56" s="368"/>
      <c r="G56" s="364"/>
      <c r="H56" s="365"/>
      <c r="I56" s="365"/>
      <c r="J56" s="364"/>
      <c r="L56" t="str">
        <f t="shared" si="3"/>
        <v xml:space="preserve"> </v>
      </c>
    </row>
    <row r="57" spans="1:12" x14ac:dyDescent="0.3">
      <c r="A57" s="752" t="s">
        <v>196</v>
      </c>
      <c r="B57" s="753"/>
      <c r="C57" s="753"/>
      <c r="D57" s="753"/>
      <c r="E57" s="753"/>
      <c r="F57" s="753"/>
      <c r="G57" s="753"/>
      <c r="H57" s="753"/>
      <c r="I57" s="753"/>
      <c r="J57" s="754"/>
      <c r="L57" t="str">
        <f t="shared" si="3"/>
        <v xml:space="preserve"> </v>
      </c>
    </row>
    <row r="58" spans="1:12" x14ac:dyDescent="0.3">
      <c r="A58" s="360" t="s">
        <v>206</v>
      </c>
      <c r="B58" s="360" t="s">
        <v>202</v>
      </c>
      <c r="C58" s="360" t="s">
        <v>207</v>
      </c>
      <c r="D58" s="361">
        <v>1</v>
      </c>
      <c r="E58" s="372">
        <v>0</v>
      </c>
      <c r="F58" s="368">
        <v>19760</v>
      </c>
      <c r="G58" s="364"/>
      <c r="H58" s="365">
        <f>I58/0.7673</f>
        <v>25752.639124201745</v>
      </c>
      <c r="I58" s="365">
        <v>19760</v>
      </c>
      <c r="J58" s="364"/>
      <c r="L58">
        <f t="shared" si="3"/>
        <v>25752.639124201745</v>
      </c>
    </row>
    <row r="59" spans="1:12" x14ac:dyDescent="0.3">
      <c r="A59" s="360"/>
      <c r="B59" s="360"/>
      <c r="C59" s="360"/>
      <c r="D59" s="361"/>
      <c r="E59" s="372"/>
      <c r="F59" s="368"/>
      <c r="G59" s="364"/>
      <c r="H59" s="365">
        <f t="shared" ref="H59" si="5">I59/0.7673</f>
        <v>0</v>
      </c>
      <c r="I59" s="365"/>
      <c r="J59" s="364"/>
      <c r="L59" t="str">
        <f t="shared" si="3"/>
        <v xml:space="preserve"> </v>
      </c>
    </row>
    <row r="60" spans="1:12" x14ac:dyDescent="0.3">
      <c r="A60" s="360"/>
      <c r="B60" s="360"/>
      <c r="C60" s="360"/>
      <c r="D60" s="361"/>
      <c r="E60" s="372"/>
      <c r="F60" s="368"/>
      <c r="G60" s="364"/>
      <c r="H60" s="365"/>
      <c r="I60" s="365"/>
      <c r="J60" s="364"/>
      <c r="L60" t="str">
        <f t="shared" si="3"/>
        <v xml:space="preserve"> </v>
      </c>
    </row>
    <row r="61" spans="1:12" x14ac:dyDescent="0.3">
      <c r="A61" s="752" t="s">
        <v>197</v>
      </c>
      <c r="B61" s="753"/>
      <c r="C61" s="753"/>
      <c r="D61" s="753"/>
      <c r="E61" s="753"/>
      <c r="F61" s="753"/>
      <c r="G61" s="753"/>
      <c r="H61" s="753"/>
      <c r="I61" s="753"/>
      <c r="J61" s="754"/>
    </row>
    <row r="62" spans="1:12" x14ac:dyDescent="0.3">
      <c r="A62" s="360"/>
      <c r="B62" s="377"/>
      <c r="C62" s="360"/>
      <c r="D62" s="361"/>
      <c r="E62" s="378"/>
      <c r="F62" s="368"/>
      <c r="G62" s="364"/>
      <c r="H62" s="365">
        <f t="shared" ref="H62:H65" si="6">I62/0.7673</f>
        <v>0</v>
      </c>
      <c r="I62" s="365"/>
      <c r="J62" s="364"/>
    </row>
    <row r="63" spans="1:12" x14ac:dyDescent="0.3">
      <c r="A63" s="360"/>
      <c r="B63" s="377"/>
      <c r="C63" s="360"/>
      <c r="D63" s="361"/>
      <c r="E63" s="378"/>
      <c r="F63" s="368"/>
      <c r="G63" s="364"/>
      <c r="H63" s="365">
        <f t="shared" si="6"/>
        <v>0</v>
      </c>
      <c r="I63" s="365"/>
      <c r="J63" s="364"/>
    </row>
    <row r="64" spans="1:12" x14ac:dyDescent="0.3">
      <c r="A64" s="360"/>
      <c r="B64" s="360"/>
      <c r="C64" s="360"/>
      <c r="D64" s="361"/>
      <c r="E64" s="378"/>
      <c r="F64" s="368"/>
      <c r="G64" s="364"/>
      <c r="H64" s="365">
        <f t="shared" si="6"/>
        <v>0</v>
      </c>
      <c r="I64" s="365"/>
      <c r="J64" s="364"/>
    </row>
    <row r="65" spans="1:10" x14ac:dyDescent="0.3">
      <c r="A65" s="360"/>
      <c r="B65" s="360"/>
      <c r="C65" s="360"/>
      <c r="D65" s="361"/>
      <c r="E65" s="378"/>
      <c r="F65" s="368"/>
      <c r="G65" s="364"/>
      <c r="H65" s="365">
        <f t="shared" si="6"/>
        <v>0</v>
      </c>
      <c r="I65" s="365"/>
      <c r="J65" s="364"/>
    </row>
  </sheetData>
  <sheetProtection algorithmName="SHA-512" hashValue="BRGgNg81zvmCCEabTNh0kAucQ4R3eZUN8Bgad7iaIq4HW3+8DPSVAJuFoXxInM3q0MtErEnYAgtrNymYSHou6A==" saltValue="mxzBwUw9L/8Jr2QwWnSUng==" spinCount="100000" sheet="1" formatCells="0" insertRows="0"/>
  <mergeCells count="12">
    <mergeCell ref="A34:J34"/>
    <mergeCell ref="A1:J1"/>
    <mergeCell ref="K16:K18"/>
    <mergeCell ref="A19:J19"/>
    <mergeCell ref="A24:K24"/>
    <mergeCell ref="A29:J29"/>
    <mergeCell ref="A61:J61"/>
    <mergeCell ref="A40:J40"/>
    <mergeCell ref="A44:J44"/>
    <mergeCell ref="A48:J48"/>
    <mergeCell ref="A52:J52"/>
    <mergeCell ref="A57:J57"/>
  </mergeCells>
  <pageMargins left="0.20833333333333301" right="0.30833333333333302" top="0.203125" bottom="0.3359375" header="0.5" footer="0.1640625"/>
  <pageSetup scale="71" orientation="landscape" r:id="rId1"/>
  <headerFooter alignWithMargins="0">
    <oddFooter>&amp;RLast modified on &amp;D, &amp;T</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K1152"/>
  <sheetViews>
    <sheetView showGridLines="0" topLeftCell="A71" zoomScale="70" zoomScaleNormal="70" zoomScaleSheetLayoutView="75" workbookViewId="0">
      <selection activeCell="E54" sqref="E54"/>
    </sheetView>
  </sheetViews>
  <sheetFormatPr defaultColWidth="9.1796875" defaultRowHeight="12.5" x14ac:dyDescent="0.25"/>
  <cols>
    <col min="1" max="1" width="14" style="255" customWidth="1"/>
    <col min="2" max="2" width="22.7265625" style="255" customWidth="1"/>
    <col min="3" max="3" width="20.54296875" style="255" customWidth="1"/>
    <col min="4" max="4" width="15.81640625" style="193" customWidth="1"/>
    <col min="5" max="5" width="15.81640625" style="140" customWidth="1"/>
    <col min="6" max="7" width="15.81640625" style="193" customWidth="1"/>
    <col min="8" max="8" width="16.1796875" style="140" customWidth="1"/>
    <col min="9" max="9" width="33.1796875" style="140" customWidth="1"/>
    <col min="10" max="10" width="57" style="379" bestFit="1" customWidth="1"/>
    <col min="11" max="16384" width="9.1796875" style="253"/>
  </cols>
  <sheetData>
    <row r="1" spans="1:11" ht="30" customHeight="1" x14ac:dyDescent="0.4">
      <c r="A1" s="762" t="s">
        <v>213</v>
      </c>
      <c r="B1" s="762"/>
      <c r="C1" s="762"/>
      <c r="D1" s="762"/>
      <c r="E1" s="762"/>
      <c r="F1" s="762"/>
      <c r="G1" s="762"/>
      <c r="H1" s="762"/>
      <c r="I1" s="762"/>
    </row>
    <row r="2" spans="1:11" ht="12.75" customHeight="1" x14ac:dyDescent="0.3">
      <c r="A2" s="254"/>
      <c r="B2" s="254"/>
      <c r="C2" s="254"/>
      <c r="D2" s="185"/>
      <c r="E2" s="139"/>
      <c r="F2" s="185"/>
      <c r="G2" s="186"/>
      <c r="H2" s="139"/>
      <c r="I2" s="139"/>
      <c r="K2" s="187"/>
    </row>
    <row r="3" spans="1:11" ht="13" x14ac:dyDescent="0.3">
      <c r="D3" s="256"/>
      <c r="F3" s="188"/>
      <c r="G3" s="189"/>
      <c r="H3" s="253"/>
      <c r="I3" s="141"/>
      <c r="K3" s="187"/>
    </row>
    <row r="4" spans="1:11" ht="18" customHeight="1" x14ac:dyDescent="0.35">
      <c r="A4" s="257" t="s">
        <v>107</v>
      </c>
      <c r="B4" s="258"/>
      <c r="C4" s="258"/>
      <c r="D4" s="258"/>
      <c r="E4" s="380">
        <v>3</v>
      </c>
      <c r="F4" s="763" t="s">
        <v>108</v>
      </c>
      <c r="G4" s="764"/>
      <c r="H4" s="765" t="str">
        <f>'[1]Schedule A Personnel'!B3</f>
        <v>Newark</v>
      </c>
      <c r="I4" s="766"/>
      <c r="J4" s="312"/>
    </row>
    <row r="5" spans="1:11" ht="18" customHeight="1" x14ac:dyDescent="0.35">
      <c r="A5" s="257" t="s">
        <v>109</v>
      </c>
      <c r="B5" s="258"/>
      <c r="C5" s="258"/>
      <c r="D5" s="258"/>
      <c r="E5" s="190">
        <f>E4*15</f>
        <v>45</v>
      </c>
      <c r="F5" s="763" t="s">
        <v>110</v>
      </c>
      <c r="G5" s="764"/>
      <c r="H5" s="765" t="str">
        <f>'[1]Schedule A Personnel'!F3</f>
        <v>Urban League Of Essex County</v>
      </c>
      <c r="I5" s="766"/>
      <c r="J5" s="312"/>
    </row>
    <row r="6" spans="1:11" ht="18" customHeight="1" x14ac:dyDescent="0.35">
      <c r="A6" s="259" t="s">
        <v>111</v>
      </c>
      <c r="B6" s="260"/>
      <c r="C6" s="260"/>
      <c r="D6" s="260"/>
      <c r="E6" s="380"/>
      <c r="F6" s="763" t="s">
        <v>112</v>
      </c>
      <c r="G6" s="764"/>
      <c r="H6" s="767" t="s">
        <v>166</v>
      </c>
      <c r="I6" s="767"/>
      <c r="J6" s="312"/>
    </row>
    <row r="7" spans="1:11" ht="18" customHeight="1" x14ac:dyDescent="0.35">
      <c r="A7" s="257" t="s">
        <v>114</v>
      </c>
      <c r="B7" s="258"/>
      <c r="C7" s="258"/>
      <c r="D7" s="258"/>
      <c r="E7" s="191">
        <f>E8/15</f>
        <v>0</v>
      </c>
      <c r="F7" s="763" t="s">
        <v>115</v>
      </c>
      <c r="G7" s="764"/>
      <c r="H7" s="767" t="s">
        <v>116</v>
      </c>
      <c r="I7" s="767"/>
      <c r="J7" s="312"/>
    </row>
    <row r="8" spans="1:11" ht="18" customHeight="1" x14ac:dyDescent="0.35">
      <c r="A8" s="257" t="s">
        <v>117</v>
      </c>
      <c r="B8" s="258"/>
      <c r="C8" s="258"/>
      <c r="D8" s="258"/>
      <c r="E8" s="380"/>
      <c r="F8" s="775" t="s">
        <v>118</v>
      </c>
      <c r="G8" s="776"/>
      <c r="H8" s="767" t="s">
        <v>163</v>
      </c>
      <c r="I8" s="767"/>
      <c r="J8" s="312"/>
    </row>
    <row r="9" spans="1:11" ht="18" customHeight="1" x14ac:dyDescent="0.35">
      <c r="D9" s="256"/>
      <c r="F9" s="777" t="s">
        <v>120</v>
      </c>
      <c r="G9" s="764"/>
      <c r="H9" s="767"/>
      <c r="I9" s="767"/>
      <c r="J9" s="312"/>
    </row>
    <row r="10" spans="1:11" ht="25.5" customHeight="1" x14ac:dyDescent="0.3">
      <c r="D10" s="256"/>
      <c r="F10" s="192"/>
      <c r="G10" s="414"/>
      <c r="H10" s="414"/>
      <c r="I10" s="415"/>
      <c r="J10" s="312"/>
    </row>
    <row r="11" spans="1:11" ht="18" customHeight="1" x14ac:dyDescent="0.35">
      <c r="A11" s="257" t="s">
        <v>121</v>
      </c>
      <c r="B11" s="258"/>
      <c r="C11" s="258"/>
      <c r="D11" s="258"/>
      <c r="E11" s="380">
        <v>188</v>
      </c>
      <c r="G11" s="192"/>
      <c r="I11" s="194"/>
      <c r="J11" s="312"/>
    </row>
    <row r="12" spans="1:11" ht="18" customHeight="1" x14ac:dyDescent="0.35">
      <c r="A12" s="257" t="s">
        <v>122</v>
      </c>
      <c r="B12" s="258"/>
      <c r="C12" s="258"/>
      <c r="D12" s="258"/>
      <c r="E12" s="195">
        <f>E11/245</f>
        <v>0.76734693877551019</v>
      </c>
      <c r="F12" s="192"/>
      <c r="G12" s="192"/>
      <c r="I12" s="194"/>
      <c r="J12" s="312"/>
    </row>
    <row r="13" spans="1:11" ht="13" x14ac:dyDescent="0.3">
      <c r="D13" s="256"/>
      <c r="F13" s="188"/>
      <c r="G13" s="189"/>
      <c r="H13" s="253"/>
      <c r="I13" s="141"/>
      <c r="J13" s="418"/>
      <c r="K13" s="187"/>
    </row>
    <row r="14" spans="1:11" ht="32.25" customHeight="1" x14ac:dyDescent="0.4">
      <c r="A14" s="778" t="s">
        <v>123</v>
      </c>
      <c r="B14" s="779"/>
      <c r="C14" s="779"/>
      <c r="D14" s="779"/>
      <c r="E14" s="779"/>
      <c r="F14" s="779"/>
      <c r="G14" s="780"/>
      <c r="H14" s="781">
        <f>45*13660</f>
        <v>614700</v>
      </c>
      <c r="I14" s="781"/>
      <c r="J14" s="419"/>
      <c r="K14" s="187"/>
    </row>
    <row r="15" spans="1:11" ht="56.5" customHeight="1" x14ac:dyDescent="0.3">
      <c r="A15" s="768" t="s">
        <v>124</v>
      </c>
      <c r="B15" s="769"/>
      <c r="C15" s="770"/>
      <c r="D15" s="196" t="s">
        <v>125</v>
      </c>
      <c r="E15" s="145" t="s">
        <v>126</v>
      </c>
      <c r="F15" s="197" t="s">
        <v>127</v>
      </c>
      <c r="G15" s="198"/>
      <c r="H15" s="771" t="s">
        <v>128</v>
      </c>
      <c r="I15" s="772"/>
      <c r="J15" s="419"/>
      <c r="K15" s="187"/>
    </row>
    <row r="16" spans="1:11" x14ac:dyDescent="0.25">
      <c r="A16" s="261"/>
      <c r="B16" s="262"/>
      <c r="C16" s="262"/>
      <c r="D16" s="199"/>
      <c r="E16" s="146"/>
      <c r="F16" s="200"/>
      <c r="G16" s="200"/>
      <c r="H16" s="263"/>
      <c r="I16" s="264"/>
      <c r="K16" s="187"/>
    </row>
    <row r="17" spans="1:11" ht="18" x14ac:dyDescent="0.4">
      <c r="A17" s="265" t="s">
        <v>129</v>
      </c>
      <c r="B17" s="266"/>
      <c r="C17" s="266"/>
      <c r="D17" s="201"/>
      <c r="E17" s="147"/>
      <c r="F17" s="202"/>
      <c r="G17" s="202"/>
      <c r="H17" s="267"/>
      <c r="I17" s="268"/>
      <c r="K17" s="187"/>
    </row>
    <row r="18" spans="1:11" ht="17.5" x14ac:dyDescent="0.35">
      <c r="A18" s="269" t="s">
        <v>130</v>
      </c>
      <c r="B18" s="270"/>
      <c r="C18" s="271"/>
      <c r="D18" s="313">
        <f>E4</f>
        <v>3</v>
      </c>
      <c r="E18" s="381">
        <f>AVERAGE('[1]Schedule A Personnel'!I20:I22)</f>
        <v>56520.333333333336</v>
      </c>
      <c r="F18" s="203">
        <f>E5/(E5+E6)</f>
        <v>1</v>
      </c>
      <c r="G18" s="204"/>
      <c r="H18" s="773">
        <f>+D18*E18*F18</f>
        <v>169561</v>
      </c>
      <c r="I18" s="774"/>
      <c r="K18" s="187"/>
    </row>
    <row r="19" spans="1:11" ht="17.5" x14ac:dyDescent="0.35">
      <c r="A19" s="269"/>
      <c r="B19" s="270"/>
      <c r="C19" s="270"/>
      <c r="D19" s="314"/>
      <c r="E19" s="148"/>
      <c r="F19" s="205"/>
      <c r="G19" s="206"/>
      <c r="H19" s="155"/>
      <c r="I19" s="409"/>
      <c r="K19" s="207"/>
    </row>
    <row r="20" spans="1:11" ht="17.5" x14ac:dyDescent="0.35">
      <c r="A20" s="269" t="s">
        <v>131</v>
      </c>
      <c r="B20" s="270"/>
      <c r="C20" s="271"/>
      <c r="D20" s="315">
        <f>E4</f>
        <v>3</v>
      </c>
      <c r="E20" s="381">
        <f>AVERAGE('[1]4a Teacher Assistants'!H5:H7)</f>
        <v>28945.333333333332</v>
      </c>
      <c r="F20" s="203">
        <f>E5/(E5+E6)</f>
        <v>1</v>
      </c>
      <c r="G20" s="204"/>
      <c r="H20" s="773">
        <f>+D20*E20*F20</f>
        <v>86836</v>
      </c>
      <c r="I20" s="774"/>
      <c r="K20" s="187"/>
    </row>
    <row r="21" spans="1:11" ht="17.5" x14ac:dyDescent="0.35">
      <c r="A21" s="272" t="s">
        <v>40</v>
      </c>
      <c r="B21" s="273"/>
      <c r="C21" s="274"/>
      <c r="D21" s="382">
        <f>'[1]Schedule A Personnel'!D30</f>
        <v>1</v>
      </c>
      <c r="E21" s="383">
        <f>'[1]4b Floater Teacher Assistants'!H5</f>
        <v>19800</v>
      </c>
      <c r="F21" s="203">
        <f>E5/(E5+E6)</f>
        <v>1</v>
      </c>
      <c r="G21" s="204"/>
      <c r="H21" s="773">
        <f>+D21*E21*F21</f>
        <v>19800</v>
      </c>
      <c r="I21" s="774"/>
      <c r="K21" s="187"/>
    </row>
    <row r="22" spans="1:11" ht="17.5" x14ac:dyDescent="0.35">
      <c r="A22" s="275"/>
      <c r="B22" s="276"/>
      <c r="C22" s="276"/>
      <c r="D22" s="276"/>
      <c r="E22" s="276"/>
      <c r="F22" s="276"/>
      <c r="G22" s="277"/>
      <c r="H22" s="277"/>
      <c r="I22" s="278"/>
      <c r="K22" s="187"/>
    </row>
    <row r="23" spans="1:11" ht="17.5" x14ac:dyDescent="0.35">
      <c r="A23" s="279" t="s">
        <v>132</v>
      </c>
      <c r="B23" s="280"/>
      <c r="C23" s="281"/>
      <c r="D23" s="382">
        <f>SUM(D18:D21)</f>
        <v>7</v>
      </c>
      <c r="E23" s="384">
        <v>5514.25</v>
      </c>
      <c r="F23" s="203">
        <f>E5/(E5+E6)</f>
        <v>1</v>
      </c>
      <c r="G23" s="204"/>
      <c r="H23" s="773">
        <f>+D23*E23*F23</f>
        <v>38599.75</v>
      </c>
      <c r="I23" s="774"/>
      <c r="K23" s="187"/>
    </row>
    <row r="24" spans="1:11" ht="17.5" x14ac:dyDescent="0.35">
      <c r="A24" s="269"/>
      <c r="B24" s="270"/>
      <c r="C24" s="270"/>
      <c r="D24" s="210"/>
      <c r="E24" s="148"/>
      <c r="F24" s="208"/>
      <c r="G24" s="209"/>
      <c r="H24" s="155"/>
      <c r="I24" s="409"/>
      <c r="K24" s="187"/>
    </row>
    <row r="25" spans="1:11" ht="17.5" x14ac:dyDescent="0.35">
      <c r="A25" s="269" t="s">
        <v>133</v>
      </c>
      <c r="B25" s="270"/>
      <c r="C25" s="271"/>
      <c r="D25" s="316">
        <f>D18</f>
        <v>3</v>
      </c>
      <c r="E25" s="381">
        <v>1000</v>
      </c>
      <c r="F25" s="203">
        <f>E5/(E5+E6)</f>
        <v>1</v>
      </c>
      <c r="G25" s="204"/>
      <c r="H25" s="773">
        <f>+D25*E25*F25</f>
        <v>3000</v>
      </c>
      <c r="I25" s="774"/>
      <c r="K25" s="187"/>
    </row>
    <row r="26" spans="1:11" ht="17.5" x14ac:dyDescent="0.35">
      <c r="A26" s="269" t="s">
        <v>134</v>
      </c>
      <c r="B26" s="270"/>
      <c r="C26" s="271"/>
      <c r="D26" s="316">
        <f>D20+D21</f>
        <v>4</v>
      </c>
      <c r="E26" s="381">
        <v>1200</v>
      </c>
      <c r="F26" s="203">
        <f>E5/(E5+E6)</f>
        <v>1</v>
      </c>
      <c r="G26" s="204"/>
      <c r="H26" s="773">
        <f>+D26*E26*F26</f>
        <v>4800</v>
      </c>
      <c r="I26" s="774"/>
      <c r="K26" s="187"/>
    </row>
    <row r="27" spans="1:11" ht="17.5" x14ac:dyDescent="0.35">
      <c r="A27" s="269"/>
      <c r="B27" s="270"/>
      <c r="C27" s="270"/>
      <c r="D27" s="210"/>
      <c r="E27" s="148"/>
      <c r="F27" s="210"/>
      <c r="G27" s="211"/>
      <c r="H27" s="155"/>
      <c r="I27" s="409"/>
      <c r="K27" s="187"/>
    </row>
    <row r="28" spans="1:11" ht="17.5" x14ac:dyDescent="0.35">
      <c r="A28" s="269" t="s">
        <v>36</v>
      </c>
      <c r="B28" s="270"/>
      <c r="C28" s="271"/>
      <c r="D28" s="317">
        <f>E4</f>
        <v>3</v>
      </c>
      <c r="E28" s="385">
        <v>2000</v>
      </c>
      <c r="F28" s="203">
        <f>E5/(E5+E6)</f>
        <v>1</v>
      </c>
      <c r="G28" s="204"/>
      <c r="H28" s="773">
        <f>+D28*E28*F28</f>
        <v>6000</v>
      </c>
      <c r="I28" s="774"/>
      <c r="K28" s="187"/>
    </row>
    <row r="29" spans="1:11" s="282" customFormat="1" ht="17.5" x14ac:dyDescent="0.35">
      <c r="A29" s="269" t="s">
        <v>35</v>
      </c>
      <c r="B29" s="270"/>
      <c r="C29" s="271"/>
      <c r="D29" s="317">
        <f>E4</f>
        <v>3</v>
      </c>
      <c r="E29" s="385">
        <v>1000</v>
      </c>
      <c r="F29" s="203">
        <f>E5/(E5+E6)</f>
        <v>1</v>
      </c>
      <c r="G29" s="204"/>
      <c r="H29" s="773">
        <f>+D29*E29*F29</f>
        <v>3000</v>
      </c>
      <c r="I29" s="774"/>
      <c r="J29" s="386"/>
      <c r="K29" s="187"/>
    </row>
    <row r="30" spans="1:11" ht="17.5" x14ac:dyDescent="0.35">
      <c r="A30" s="269" t="s">
        <v>34</v>
      </c>
      <c r="B30" s="270"/>
      <c r="C30" s="271"/>
      <c r="D30" s="317">
        <f>E5</f>
        <v>45</v>
      </c>
      <c r="E30" s="385">
        <v>100</v>
      </c>
      <c r="F30" s="203">
        <v>1</v>
      </c>
      <c r="G30" s="204"/>
      <c r="H30" s="773">
        <f>+D30*E30*F30</f>
        <v>4500</v>
      </c>
      <c r="I30" s="774"/>
      <c r="K30" s="187"/>
    </row>
    <row r="31" spans="1:11" ht="17.5" x14ac:dyDescent="0.35">
      <c r="A31" s="269"/>
      <c r="B31" s="270"/>
      <c r="C31" s="270"/>
      <c r="D31" s="210"/>
      <c r="E31" s="148"/>
      <c r="F31" s="208"/>
      <c r="G31" s="209"/>
      <c r="H31" s="149"/>
      <c r="I31" s="150"/>
      <c r="K31" s="187"/>
    </row>
    <row r="32" spans="1:11" ht="17.5" x14ac:dyDescent="0.35">
      <c r="A32" s="269" t="s">
        <v>33</v>
      </c>
      <c r="B32" s="270"/>
      <c r="C32" s="271"/>
      <c r="D32" s="410">
        <f>E5/45</f>
        <v>1</v>
      </c>
      <c r="E32" s="381">
        <f>'[1]Schedule A Personnel'!H35</f>
        <v>30075.952468455223</v>
      </c>
      <c r="F32" s="387">
        <f>200/245</f>
        <v>0.81632653061224492</v>
      </c>
      <c r="G32" s="204"/>
      <c r="H32" s="773">
        <f>+D32*E32*F32</f>
        <v>24551.797933432837</v>
      </c>
      <c r="I32" s="774"/>
      <c r="J32" s="388"/>
    </row>
    <row r="33" spans="1:9" ht="17.5" x14ac:dyDescent="0.35">
      <c r="A33" s="269" t="s">
        <v>32</v>
      </c>
      <c r="B33" s="270"/>
      <c r="C33" s="270"/>
      <c r="D33" s="382"/>
      <c r="E33" s="381"/>
      <c r="F33" s="387">
        <v>1</v>
      </c>
      <c r="G33" s="204"/>
      <c r="H33" s="773">
        <f>+D33*E33*F33</f>
        <v>0</v>
      </c>
      <c r="I33" s="774"/>
    </row>
    <row r="34" spans="1:9" ht="17.5" x14ac:dyDescent="0.35">
      <c r="A34" s="269"/>
      <c r="B34" s="270"/>
      <c r="C34" s="270"/>
      <c r="D34" s="210"/>
      <c r="E34" s="148"/>
      <c r="F34" s="208"/>
      <c r="G34" s="208"/>
      <c r="H34" s="149"/>
      <c r="I34" s="150"/>
    </row>
    <row r="35" spans="1:9" ht="39" x14ac:dyDescent="0.3">
      <c r="A35" s="768" t="s">
        <v>124</v>
      </c>
      <c r="B35" s="769"/>
      <c r="C35" s="770"/>
      <c r="D35" s="196" t="s">
        <v>125</v>
      </c>
      <c r="E35" s="145" t="s">
        <v>126</v>
      </c>
      <c r="F35" s="212" t="s">
        <v>135</v>
      </c>
      <c r="G35" s="212" t="s">
        <v>80</v>
      </c>
      <c r="H35" s="771" t="s">
        <v>128</v>
      </c>
      <c r="I35" s="772"/>
    </row>
    <row r="36" spans="1:9" ht="18" x14ac:dyDescent="0.4">
      <c r="A36" s="782" t="s">
        <v>136</v>
      </c>
      <c r="B36" s="783"/>
      <c r="C36" s="783"/>
      <c r="D36" s="783"/>
      <c r="E36" s="783"/>
      <c r="F36" s="783"/>
      <c r="G36" s="783"/>
      <c r="H36" s="783"/>
      <c r="I36" s="784"/>
    </row>
    <row r="37" spans="1:9" ht="17.5" x14ac:dyDescent="0.35">
      <c r="A37" s="269" t="s">
        <v>137</v>
      </c>
      <c r="B37" s="270"/>
      <c r="C37" s="271"/>
      <c r="D37" s="213"/>
      <c r="E37" s="389"/>
      <c r="F37" s="214">
        <v>1</v>
      </c>
      <c r="G37" s="204"/>
      <c r="H37" s="773">
        <f>E37*F37</f>
        <v>0</v>
      </c>
      <c r="I37" s="774"/>
    </row>
    <row r="38" spans="1:9" ht="17.5" x14ac:dyDescent="0.35">
      <c r="A38" s="269" t="s">
        <v>30</v>
      </c>
      <c r="B38" s="270"/>
      <c r="C38" s="271"/>
      <c r="D38" s="382">
        <v>0.5</v>
      </c>
      <c r="E38" s="420">
        <f>'[1]Schedule A Personnel'!$H$45</f>
        <v>19549.06816108432</v>
      </c>
      <c r="F38" s="214">
        <f>E12</f>
        <v>0.76734693877551019</v>
      </c>
      <c r="G38" s="203">
        <f>E5/(E5+E6+E8)</f>
        <v>1</v>
      </c>
      <c r="H38" s="773">
        <f>+D38*E38*F38*G38</f>
        <v>7500.4588046609224</v>
      </c>
      <c r="I38" s="774"/>
    </row>
    <row r="39" spans="1:9" ht="17.5" x14ac:dyDescent="0.35">
      <c r="A39" s="269" t="s">
        <v>138</v>
      </c>
      <c r="B39" s="270"/>
      <c r="C39" s="271"/>
      <c r="D39" s="382"/>
      <c r="E39" s="381"/>
      <c r="F39" s="214">
        <f>E12</f>
        <v>0.76734693877551019</v>
      </c>
      <c r="G39" s="203">
        <f>E5/(E5+E6+E8)</f>
        <v>1</v>
      </c>
      <c r="H39" s="773">
        <f>+D39*E39*F39*G39</f>
        <v>0</v>
      </c>
      <c r="I39" s="774"/>
    </row>
    <row r="40" spans="1:9" ht="17.5" x14ac:dyDescent="0.35">
      <c r="A40" s="272" t="s">
        <v>139</v>
      </c>
      <c r="B40" s="273"/>
      <c r="C40" s="274"/>
      <c r="D40" s="382"/>
      <c r="E40" s="381"/>
      <c r="F40" s="215">
        <f>E12</f>
        <v>0.76734693877551019</v>
      </c>
      <c r="G40" s="203">
        <f>E5/(E5+E6+E8)</f>
        <v>1</v>
      </c>
      <c r="H40" s="773">
        <f>+D40*E40*F40*G40</f>
        <v>0</v>
      </c>
      <c r="I40" s="774"/>
    </row>
    <row r="41" spans="1:9" ht="17.5" x14ac:dyDescent="0.35">
      <c r="A41" s="272" t="s">
        <v>140</v>
      </c>
      <c r="B41" s="273"/>
      <c r="C41" s="274"/>
      <c r="D41" s="382"/>
      <c r="E41" s="381"/>
      <c r="F41" s="215">
        <f>E12</f>
        <v>0.76734693877551019</v>
      </c>
      <c r="G41" s="203">
        <f>E5/(E5+E6+E8)</f>
        <v>1</v>
      </c>
      <c r="H41" s="773">
        <f>+D41*E41*F41*G41</f>
        <v>0</v>
      </c>
      <c r="I41" s="774"/>
    </row>
    <row r="42" spans="1:9" ht="17.5" x14ac:dyDescent="0.35">
      <c r="A42" s="269"/>
      <c r="B42" s="270"/>
      <c r="C42" s="270"/>
      <c r="D42" s="210"/>
      <c r="E42" s="148"/>
      <c r="F42" s="208"/>
      <c r="G42" s="208"/>
      <c r="H42" s="149"/>
      <c r="I42" s="150"/>
    </row>
    <row r="43" spans="1:9" ht="18" x14ac:dyDescent="0.4">
      <c r="A43" s="283" t="s">
        <v>141</v>
      </c>
      <c r="B43" s="270"/>
      <c r="C43" s="270"/>
      <c r="D43" s="216"/>
      <c r="E43" s="151"/>
      <c r="F43" s="217"/>
      <c r="G43" s="217"/>
      <c r="H43" s="149"/>
      <c r="I43" s="150"/>
    </row>
    <row r="44" spans="1:9" ht="17.5" x14ac:dyDescent="0.35">
      <c r="A44" s="269" t="s">
        <v>20</v>
      </c>
      <c r="B44" s="270"/>
      <c r="C44" s="270"/>
      <c r="D44" s="218"/>
      <c r="E44" s="218"/>
      <c r="F44" s="218"/>
      <c r="G44" s="218"/>
      <c r="H44" s="773">
        <f>(H18+H20+H21+H25+H26+H32+H38+H40)*0.062</f>
        <v>19595.053917761816</v>
      </c>
      <c r="I44" s="774"/>
    </row>
    <row r="45" spans="1:9" ht="17.5" x14ac:dyDescent="0.35">
      <c r="A45" s="269" t="s">
        <v>19</v>
      </c>
      <c r="B45" s="270"/>
      <c r="C45" s="270"/>
      <c r="D45" s="218"/>
      <c r="E45" s="218"/>
      <c r="F45" s="218"/>
      <c r="G45" s="218"/>
      <c r="H45" s="773">
        <f>(H18+H20+H21+H25+H26+H32+H38+H40)*0.0145</f>
        <v>4582.7142227023605</v>
      </c>
      <c r="I45" s="774"/>
    </row>
    <row r="46" spans="1:9" ht="17.5" x14ac:dyDescent="0.35">
      <c r="A46" s="269" t="s">
        <v>18</v>
      </c>
      <c r="B46" s="270"/>
      <c r="C46" s="270"/>
      <c r="D46" s="218"/>
      <c r="E46" s="218"/>
      <c r="F46" s="218"/>
      <c r="G46" s="218"/>
      <c r="H46" s="773">
        <f>(H18+H20+H21+H25+H26+H32+H38+H40)*0.028</f>
        <v>8849.3791886666259</v>
      </c>
      <c r="I46" s="774"/>
    </row>
    <row r="47" spans="1:9" ht="17.5" x14ac:dyDescent="0.35">
      <c r="A47" s="269" t="s">
        <v>17</v>
      </c>
      <c r="B47" s="270"/>
      <c r="C47" s="270"/>
      <c r="D47" s="218"/>
      <c r="E47" s="218"/>
      <c r="F47" s="218"/>
      <c r="G47" s="218"/>
      <c r="H47" s="773">
        <f>(H18+H20+H21+H25+H26+H32+H38+H40)*0.005</f>
        <v>1580.246283690469</v>
      </c>
      <c r="I47" s="774"/>
    </row>
    <row r="48" spans="1:9" ht="17.5" x14ac:dyDescent="0.35">
      <c r="A48" s="284"/>
      <c r="B48"/>
      <c r="C48"/>
      <c r="D48"/>
      <c r="E48"/>
      <c r="F48" s="1"/>
      <c r="G48" s="1"/>
      <c r="H48" s="219"/>
      <c r="I48" s="219"/>
    </row>
    <row r="49" spans="1:11" ht="18" x14ac:dyDescent="0.4">
      <c r="A49" s="285" t="s">
        <v>142</v>
      </c>
      <c r="B49" s="286"/>
      <c r="C49" s="286"/>
      <c r="D49" s="220"/>
      <c r="E49" s="142"/>
      <c r="F49" s="221"/>
      <c r="G49" s="222"/>
      <c r="H49" s="785">
        <f>H47+H46+H45+H44+H41+H40+H39+H38+H37+H33+H32+H30+H29+H28+H26+H25+H23+H21+H20+H18</f>
        <v>402756.40035091504</v>
      </c>
      <c r="I49" s="786"/>
    </row>
    <row r="50" spans="1:11" ht="39" x14ac:dyDescent="0.3">
      <c r="A50" s="768" t="s">
        <v>124</v>
      </c>
      <c r="B50" s="769"/>
      <c r="C50" s="770"/>
      <c r="D50" s="196" t="s">
        <v>143</v>
      </c>
      <c r="E50" s="145" t="s">
        <v>128</v>
      </c>
      <c r="F50" s="212" t="s">
        <v>135</v>
      </c>
      <c r="G50" s="212" t="s">
        <v>80</v>
      </c>
      <c r="H50" s="771" t="s">
        <v>128</v>
      </c>
      <c r="I50" s="772"/>
      <c r="K50" s="187"/>
    </row>
    <row r="51" spans="1:11" x14ac:dyDescent="0.25">
      <c r="A51" s="261"/>
      <c r="B51" s="262"/>
      <c r="C51" s="262"/>
      <c r="D51" s="199"/>
      <c r="E51" s="146"/>
      <c r="F51" s="200"/>
      <c r="G51" s="200"/>
      <c r="H51" s="263"/>
      <c r="I51" s="264"/>
      <c r="K51" s="187"/>
    </row>
    <row r="52" spans="1:11" ht="18" x14ac:dyDescent="0.4">
      <c r="A52" s="265" t="s">
        <v>144</v>
      </c>
      <c r="B52" s="287"/>
      <c r="C52" s="287"/>
      <c r="D52" s="223"/>
      <c r="E52" s="152"/>
      <c r="F52" s="224"/>
      <c r="G52" s="224"/>
      <c r="H52" s="153"/>
      <c r="I52" s="154"/>
    </row>
    <row r="53" spans="1:11" ht="18" x14ac:dyDescent="0.4">
      <c r="A53" s="787" t="s">
        <v>145</v>
      </c>
      <c r="B53" s="788"/>
      <c r="C53" s="788"/>
      <c r="D53" s="788"/>
      <c r="E53" s="788"/>
      <c r="F53" s="788"/>
      <c r="G53" s="788"/>
      <c r="H53" s="788"/>
      <c r="I53" s="789"/>
    </row>
    <row r="54" spans="1:11" ht="18" x14ac:dyDescent="0.4">
      <c r="A54" s="288" t="s">
        <v>26</v>
      </c>
      <c r="B54" s="289"/>
      <c r="C54" s="290"/>
      <c r="D54" s="390">
        <v>1</v>
      </c>
      <c r="E54" s="381">
        <v>57580</v>
      </c>
      <c r="F54" s="391">
        <f t="shared" ref="F54:F59" si="0">E$12</f>
        <v>0.76734693877551019</v>
      </c>
      <c r="G54" s="203">
        <f>E5/(E5+E6+E8)</f>
        <v>1</v>
      </c>
      <c r="H54" s="773">
        <f t="shared" ref="H54:H59" si="1">D54*E54*F54*G54</f>
        <v>44183.836734693876</v>
      </c>
      <c r="I54" s="774"/>
      <c r="J54" s="388"/>
    </row>
    <row r="55" spans="1:11" ht="18" x14ac:dyDescent="0.4">
      <c r="A55" s="291" t="s">
        <v>25</v>
      </c>
      <c r="B55" s="292"/>
      <c r="C55" s="293"/>
      <c r="D55" s="390">
        <v>1</v>
      </c>
      <c r="E55" s="381">
        <v>10560</v>
      </c>
      <c r="F55" s="391">
        <f t="shared" si="0"/>
        <v>0.76734693877551019</v>
      </c>
      <c r="G55" s="203">
        <f>E5/(E5+E6+E8)</f>
        <v>1</v>
      </c>
      <c r="H55" s="773">
        <f t="shared" si="1"/>
        <v>8103.1836734693879</v>
      </c>
      <c r="I55" s="774"/>
      <c r="J55" s="388"/>
    </row>
    <row r="56" spans="1:11" ht="17.5" x14ac:dyDescent="0.35">
      <c r="A56" s="790" t="s">
        <v>24</v>
      </c>
      <c r="B56" s="791"/>
      <c r="C56" s="792"/>
      <c r="D56" s="390">
        <v>0.5</v>
      </c>
      <c r="E56" s="420">
        <v>10000</v>
      </c>
      <c r="F56" s="391">
        <f t="shared" si="0"/>
        <v>0.76734693877551019</v>
      </c>
      <c r="G56" s="203">
        <f>E5/(E5+E6+E8)</f>
        <v>1</v>
      </c>
      <c r="H56" s="793">
        <f t="shared" si="1"/>
        <v>3836.7346938775509</v>
      </c>
      <c r="I56" s="793"/>
      <c r="J56" s="388"/>
    </row>
    <row r="57" spans="1:11" ht="17.5" x14ac:dyDescent="0.35">
      <c r="A57" s="790" t="s">
        <v>23</v>
      </c>
      <c r="B57" s="791"/>
      <c r="C57" s="792"/>
      <c r="D57" s="390">
        <v>0.5</v>
      </c>
      <c r="E57" s="381">
        <v>0</v>
      </c>
      <c r="F57" s="391">
        <f t="shared" si="0"/>
        <v>0.76734693877551019</v>
      </c>
      <c r="G57" s="203">
        <f>E5/(E5+E6+E8)</f>
        <v>1</v>
      </c>
      <c r="H57" s="793">
        <f t="shared" si="1"/>
        <v>0</v>
      </c>
      <c r="I57" s="793"/>
      <c r="J57" s="388"/>
    </row>
    <row r="58" spans="1:11" ht="17.5" x14ac:dyDescent="0.35">
      <c r="A58" s="790" t="s">
        <v>146</v>
      </c>
      <c r="B58" s="791"/>
      <c r="C58" s="792"/>
      <c r="D58" s="390">
        <v>0.5</v>
      </c>
      <c r="E58" s="420">
        <v>22000</v>
      </c>
      <c r="F58" s="391">
        <f t="shared" si="0"/>
        <v>0.76734693877551019</v>
      </c>
      <c r="G58" s="203">
        <f>E5/(E5+E6+E8)</f>
        <v>1</v>
      </c>
      <c r="H58" s="793">
        <f t="shared" si="1"/>
        <v>8440.8163265306121</v>
      </c>
      <c r="I58" s="793"/>
      <c r="J58" s="388"/>
    </row>
    <row r="59" spans="1:11" ht="17.25" customHeight="1" x14ac:dyDescent="0.35">
      <c r="A59" s="790" t="s">
        <v>147</v>
      </c>
      <c r="B59" s="791"/>
      <c r="C59" s="792"/>
      <c r="D59" s="390"/>
      <c r="E59" s="381"/>
      <c r="F59" s="391">
        <f t="shared" si="0"/>
        <v>0.76734693877551019</v>
      </c>
      <c r="G59" s="203">
        <f>E5/(E5+E6+E8)</f>
        <v>1</v>
      </c>
      <c r="H59" s="793">
        <f t="shared" si="1"/>
        <v>0</v>
      </c>
      <c r="I59" s="793"/>
      <c r="J59" s="388"/>
    </row>
    <row r="60" spans="1:11" ht="17.5" x14ac:dyDescent="0.35">
      <c r="A60" s="790" t="s">
        <v>83</v>
      </c>
      <c r="B60" s="791"/>
      <c r="C60" s="792"/>
      <c r="D60" s="390">
        <v>1</v>
      </c>
      <c r="E60" s="420">
        <v>20000</v>
      </c>
      <c r="F60" s="391">
        <f>E$12</f>
        <v>0.76734693877551019</v>
      </c>
      <c r="G60" s="203">
        <f>E5/(E5+E6+E8)</f>
        <v>1</v>
      </c>
      <c r="H60" s="793">
        <f>D60*E60*F60*G60</f>
        <v>15346.938775510203</v>
      </c>
      <c r="I60" s="793"/>
    </row>
    <row r="61" spans="1:11" ht="17.25" customHeight="1" x14ac:dyDescent="0.35">
      <c r="A61" s="790" t="s">
        <v>148</v>
      </c>
      <c r="B61" s="791"/>
      <c r="C61" s="792"/>
      <c r="D61" s="390"/>
      <c r="E61" s="381"/>
      <c r="F61" s="391">
        <f>E12</f>
        <v>0.76734693877551019</v>
      </c>
      <c r="G61" s="203">
        <f>E5/(E5+E6+E8)</f>
        <v>1</v>
      </c>
      <c r="H61" s="793">
        <f>D61*E61*F61*G61</f>
        <v>0</v>
      </c>
      <c r="I61" s="793"/>
    </row>
    <row r="62" spans="1:11" ht="17.5" x14ac:dyDescent="0.35">
      <c r="A62" s="790" t="s">
        <v>20</v>
      </c>
      <c r="B62" s="791"/>
      <c r="C62" s="792"/>
      <c r="D62" s="225"/>
      <c r="E62" s="157"/>
      <c r="F62" s="226"/>
      <c r="G62" s="227"/>
      <c r="H62" s="793">
        <f>(H56+H58+H54+H60)*0.062</f>
        <v>4452.1162448979594</v>
      </c>
      <c r="I62" s="793"/>
      <c r="J62" s="392"/>
    </row>
    <row r="63" spans="1:11" s="294" customFormat="1" ht="17.5" x14ac:dyDescent="0.35">
      <c r="A63" s="790" t="s">
        <v>19</v>
      </c>
      <c r="B63" s="791"/>
      <c r="C63" s="792"/>
      <c r="D63" s="225"/>
      <c r="E63" s="157"/>
      <c r="F63" s="226"/>
      <c r="G63" s="227"/>
      <c r="H63" s="793">
        <f>(H56+H58+H54+H60)*0.0145</f>
        <v>1041.2207346938776</v>
      </c>
      <c r="I63" s="793"/>
      <c r="J63" s="393"/>
    </row>
    <row r="64" spans="1:11" s="294" customFormat="1" ht="17.5" x14ac:dyDescent="0.35">
      <c r="A64" s="790" t="s">
        <v>18</v>
      </c>
      <c r="B64" s="791"/>
      <c r="C64" s="792"/>
      <c r="D64" s="225"/>
      <c r="E64" s="157"/>
      <c r="F64" s="226"/>
      <c r="G64" s="227"/>
      <c r="H64" s="793">
        <f>(H56+H58+H54+H60)*0.028</f>
        <v>2010.633142857143</v>
      </c>
      <c r="I64" s="793"/>
      <c r="J64" s="393"/>
    </row>
    <row r="65" spans="1:11" s="294" customFormat="1" ht="17.5" x14ac:dyDescent="0.35">
      <c r="A65" s="790" t="s">
        <v>17</v>
      </c>
      <c r="B65" s="791"/>
      <c r="C65" s="792"/>
      <c r="D65" s="225"/>
      <c r="E65" s="157"/>
      <c r="F65" s="226"/>
      <c r="G65" s="227"/>
      <c r="H65" s="793">
        <f>(H56+H58+H54+H60)*0.005</f>
        <v>359.04163265306124</v>
      </c>
      <c r="I65" s="793"/>
      <c r="J65" s="393"/>
    </row>
    <row r="66" spans="1:11" ht="18" x14ac:dyDescent="0.4">
      <c r="A66" s="787"/>
      <c r="B66" s="788"/>
      <c r="C66" s="788"/>
      <c r="D66" s="788"/>
      <c r="E66" s="788"/>
      <c r="F66" s="788"/>
      <c r="G66" s="788"/>
      <c r="H66" s="788"/>
      <c r="I66" s="789"/>
    </row>
    <row r="67" spans="1:11" ht="39" x14ac:dyDescent="0.3">
      <c r="A67" s="768" t="s">
        <v>124</v>
      </c>
      <c r="B67" s="769"/>
      <c r="C67" s="770"/>
      <c r="D67" s="196"/>
      <c r="E67" s="145" t="s">
        <v>128</v>
      </c>
      <c r="F67" s="212" t="s">
        <v>135</v>
      </c>
      <c r="G67" s="212" t="s">
        <v>80</v>
      </c>
      <c r="H67" s="771" t="s">
        <v>128</v>
      </c>
      <c r="I67" s="772"/>
      <c r="K67" s="187"/>
    </row>
    <row r="68" spans="1:11" s="294" customFormat="1" ht="18" x14ac:dyDescent="0.4">
      <c r="A68" s="295" t="s">
        <v>149</v>
      </c>
      <c r="B68" s="296"/>
      <c r="C68" s="296"/>
      <c r="D68" s="296"/>
      <c r="E68" s="296"/>
      <c r="F68" s="228"/>
      <c r="G68" s="228"/>
      <c r="H68" s="296"/>
      <c r="I68" s="297"/>
      <c r="J68" s="393"/>
    </row>
    <row r="69" spans="1:11" ht="18" x14ac:dyDescent="0.4">
      <c r="A69" s="288" t="s">
        <v>16</v>
      </c>
      <c r="B69" s="290"/>
      <c r="C69" s="298"/>
      <c r="D69" s="229"/>
      <c r="E69" s="384">
        <v>118748</v>
      </c>
      <c r="F69" s="391">
        <f t="shared" ref="F69" si="2">E$12</f>
        <v>0.76734693877551019</v>
      </c>
      <c r="G69" s="230">
        <f>E5/(E5+E6+E8)</f>
        <v>1</v>
      </c>
      <c r="H69" s="773">
        <f>E69*F69*G69</f>
        <v>91120.914285714287</v>
      </c>
      <c r="I69" s="774"/>
      <c r="J69" s="388"/>
    </row>
    <row r="70" spans="1:11" ht="18" x14ac:dyDescent="0.4">
      <c r="A70" s="787"/>
      <c r="B70" s="788"/>
      <c r="C70" s="788"/>
      <c r="D70" s="788"/>
      <c r="E70" s="788"/>
      <c r="F70" s="788"/>
      <c r="G70" s="788"/>
      <c r="H70" s="788"/>
      <c r="I70" s="789"/>
    </row>
    <row r="71" spans="1:11" ht="39" x14ac:dyDescent="0.3">
      <c r="A71" s="768" t="s">
        <v>124</v>
      </c>
      <c r="B71" s="769"/>
      <c r="C71" s="770"/>
      <c r="D71" s="196"/>
      <c r="E71" s="145" t="s">
        <v>128</v>
      </c>
      <c r="F71" s="212" t="s">
        <v>135</v>
      </c>
      <c r="G71" s="212" t="s">
        <v>80</v>
      </c>
      <c r="H71" s="771" t="s">
        <v>128</v>
      </c>
      <c r="I71" s="772"/>
      <c r="K71" s="187"/>
    </row>
    <row r="72" spans="1:11" s="294" customFormat="1" ht="18" x14ac:dyDescent="0.4">
      <c r="A72" s="295" t="s">
        <v>150</v>
      </c>
      <c r="B72" s="296"/>
      <c r="C72" s="296"/>
      <c r="D72" s="296"/>
      <c r="E72" s="296"/>
      <c r="F72" s="228"/>
      <c r="G72" s="228"/>
      <c r="H72" s="296"/>
      <c r="I72" s="297"/>
      <c r="J72" s="393"/>
    </row>
    <row r="73" spans="1:11" s="294" customFormat="1" ht="17.5" x14ac:dyDescent="0.35">
      <c r="A73" s="790" t="s">
        <v>15</v>
      </c>
      <c r="B73" s="791"/>
      <c r="C73" s="792"/>
      <c r="D73" s="225"/>
      <c r="E73" s="384">
        <v>4000</v>
      </c>
      <c r="F73" s="391">
        <f t="shared" ref="F73:F86" si="3">E$12</f>
        <v>0.76734693877551019</v>
      </c>
      <c r="G73" s="203">
        <f>E5/(E5+E6+E8)</f>
        <v>1</v>
      </c>
      <c r="H73" s="793">
        <f>E73*F73*G73</f>
        <v>3069.387755102041</v>
      </c>
      <c r="I73" s="793"/>
      <c r="J73" s="393"/>
    </row>
    <row r="74" spans="1:11" s="294" customFormat="1" ht="17.5" x14ac:dyDescent="0.35">
      <c r="A74" s="790" t="s">
        <v>14</v>
      </c>
      <c r="B74" s="791"/>
      <c r="C74" s="792"/>
      <c r="D74" s="225"/>
      <c r="E74" s="384">
        <v>3000</v>
      </c>
      <c r="F74" s="391">
        <f t="shared" si="3"/>
        <v>0.76734693877551019</v>
      </c>
      <c r="G74" s="203">
        <f>E5/(E5+E6+E8)</f>
        <v>1</v>
      </c>
      <c r="H74" s="793">
        <f>E74*F74*G74</f>
        <v>2302.0408163265306</v>
      </c>
      <c r="I74" s="793"/>
      <c r="J74" s="393"/>
    </row>
    <row r="75" spans="1:11" s="294" customFormat="1" ht="17.5" x14ac:dyDescent="0.35">
      <c r="A75" s="790" t="s">
        <v>13</v>
      </c>
      <c r="B75" s="791"/>
      <c r="C75" s="792"/>
      <c r="D75" s="225"/>
      <c r="E75" s="384">
        <v>1000</v>
      </c>
      <c r="F75" s="391">
        <f t="shared" si="3"/>
        <v>0.76734693877551019</v>
      </c>
      <c r="G75" s="203">
        <f>E5/(E5+E6+E8)</f>
        <v>1</v>
      </c>
      <c r="H75" s="793">
        <f t="shared" ref="H75:H86" si="4">E75*F75*G75</f>
        <v>767.34693877551024</v>
      </c>
      <c r="I75" s="793"/>
      <c r="J75" s="393"/>
    </row>
    <row r="76" spans="1:11" s="294" customFormat="1" ht="17.5" x14ac:dyDescent="0.35">
      <c r="A76" s="790" t="s">
        <v>12</v>
      </c>
      <c r="B76" s="791"/>
      <c r="C76" s="792"/>
      <c r="D76" s="225"/>
      <c r="E76" s="384">
        <v>1000</v>
      </c>
      <c r="F76" s="391">
        <f t="shared" si="3"/>
        <v>0.76734693877551019</v>
      </c>
      <c r="G76" s="203">
        <f>E5/(E5+E6+E8)</f>
        <v>1</v>
      </c>
      <c r="H76" s="793">
        <f>E76*F76*G76</f>
        <v>767.34693877551024</v>
      </c>
      <c r="I76" s="793"/>
      <c r="J76" s="393"/>
    </row>
    <row r="77" spans="1:11" s="294" customFormat="1" ht="17.5" x14ac:dyDescent="0.35">
      <c r="A77" s="790" t="s">
        <v>11</v>
      </c>
      <c r="B77" s="791"/>
      <c r="C77" s="792"/>
      <c r="D77" s="225"/>
      <c r="E77" s="384">
        <v>500</v>
      </c>
      <c r="F77" s="391">
        <f t="shared" si="3"/>
        <v>0.76734693877551019</v>
      </c>
      <c r="G77" s="203">
        <f>E5/(E5+E6+E8)</f>
        <v>1</v>
      </c>
      <c r="H77" s="793">
        <f t="shared" si="4"/>
        <v>383.67346938775512</v>
      </c>
      <c r="I77" s="793"/>
      <c r="J77" s="393"/>
    </row>
    <row r="78" spans="1:11" s="294" customFormat="1" ht="16.5" customHeight="1" x14ac:dyDescent="0.35">
      <c r="A78" s="790" t="s">
        <v>10</v>
      </c>
      <c r="B78" s="791"/>
      <c r="C78" s="792"/>
      <c r="D78" s="225"/>
      <c r="E78" s="384">
        <v>5000</v>
      </c>
      <c r="F78" s="391">
        <f t="shared" si="3"/>
        <v>0.76734693877551019</v>
      </c>
      <c r="G78" s="203">
        <f>E5/(E5+E6+E8)</f>
        <v>1</v>
      </c>
      <c r="H78" s="793">
        <f t="shared" si="4"/>
        <v>3836.7346938775509</v>
      </c>
      <c r="I78" s="793"/>
      <c r="J78" s="393"/>
    </row>
    <row r="79" spans="1:11" s="294" customFormat="1" ht="17.5" x14ac:dyDescent="0.35">
      <c r="A79" s="790" t="s">
        <v>9</v>
      </c>
      <c r="B79" s="791"/>
      <c r="C79" s="792"/>
      <c r="D79" s="225"/>
      <c r="E79" s="384">
        <v>10000</v>
      </c>
      <c r="F79" s="391">
        <f t="shared" si="3"/>
        <v>0.76734693877551019</v>
      </c>
      <c r="G79" s="203">
        <f>E5/(E5+E6+E8)</f>
        <v>1</v>
      </c>
      <c r="H79" s="793">
        <f t="shared" si="4"/>
        <v>7673.4693877551017</v>
      </c>
      <c r="I79" s="793"/>
      <c r="J79" s="388"/>
    </row>
    <row r="80" spans="1:11" s="294" customFormat="1" ht="17.5" x14ac:dyDescent="0.35">
      <c r="A80" s="790" t="s">
        <v>8</v>
      </c>
      <c r="B80" s="791"/>
      <c r="C80" s="792"/>
      <c r="D80" s="225"/>
      <c r="E80" s="394">
        <v>2200</v>
      </c>
      <c r="F80" s="391">
        <f t="shared" si="3"/>
        <v>0.76734693877551019</v>
      </c>
      <c r="G80" s="203">
        <f>E5/(E5+E6+E8)</f>
        <v>1</v>
      </c>
      <c r="H80" s="793">
        <f t="shared" si="4"/>
        <v>1688.1632653061224</v>
      </c>
      <c r="I80" s="793"/>
      <c r="J80" s="388"/>
    </row>
    <row r="81" spans="1:10" s="294" customFormat="1" ht="17.5" x14ac:dyDescent="0.35">
      <c r="A81" s="790" t="s">
        <v>151</v>
      </c>
      <c r="B81" s="791"/>
      <c r="C81" s="792"/>
      <c r="D81" s="225"/>
      <c r="E81" s="384">
        <v>400</v>
      </c>
      <c r="F81" s="391">
        <f t="shared" si="3"/>
        <v>0.76734693877551019</v>
      </c>
      <c r="G81" s="203">
        <f>E5/(E5+E6+E8)</f>
        <v>1</v>
      </c>
      <c r="H81" s="793">
        <f t="shared" si="4"/>
        <v>306.9387755102041</v>
      </c>
      <c r="I81" s="793"/>
      <c r="J81" s="393"/>
    </row>
    <row r="82" spans="1:10" s="294" customFormat="1" ht="17.5" x14ac:dyDescent="0.35">
      <c r="A82" s="790" t="s">
        <v>6</v>
      </c>
      <c r="B82" s="791"/>
      <c r="C82" s="792"/>
      <c r="D82" s="225"/>
      <c r="E82" s="384">
        <v>6000</v>
      </c>
      <c r="F82" s="391">
        <f t="shared" si="3"/>
        <v>0.76734693877551019</v>
      </c>
      <c r="G82" s="203">
        <f>E5/(E5+E6+E8)</f>
        <v>1</v>
      </c>
      <c r="H82" s="793">
        <f t="shared" si="4"/>
        <v>4604.0816326530612</v>
      </c>
      <c r="I82" s="793"/>
      <c r="J82" s="393"/>
    </row>
    <row r="83" spans="1:10" s="294" customFormat="1" ht="17.5" x14ac:dyDescent="0.35">
      <c r="A83" s="790" t="s">
        <v>5</v>
      </c>
      <c r="B83" s="791"/>
      <c r="C83" s="792"/>
      <c r="D83" s="225"/>
      <c r="E83" s="384">
        <v>7000</v>
      </c>
      <c r="F83" s="391">
        <f t="shared" si="3"/>
        <v>0.76734693877551019</v>
      </c>
      <c r="G83" s="203">
        <f>E5/(E5+E6+E8)</f>
        <v>1</v>
      </c>
      <c r="H83" s="793">
        <f t="shared" si="4"/>
        <v>5371.4285714285716</v>
      </c>
      <c r="I83" s="793"/>
      <c r="J83" s="393"/>
    </row>
    <row r="84" spans="1:10" s="294" customFormat="1" ht="17.5" x14ac:dyDescent="0.35">
      <c r="A84" s="790" t="s">
        <v>4</v>
      </c>
      <c r="B84" s="791"/>
      <c r="C84" s="792"/>
      <c r="D84" s="225"/>
      <c r="E84" s="384">
        <v>2000</v>
      </c>
      <c r="F84" s="391">
        <f t="shared" si="3"/>
        <v>0.76734693877551019</v>
      </c>
      <c r="G84" s="203">
        <f>E5/(E5+E6+E8)</f>
        <v>1</v>
      </c>
      <c r="H84" s="793">
        <f t="shared" si="4"/>
        <v>1534.6938775510205</v>
      </c>
      <c r="I84" s="793"/>
      <c r="J84" s="393"/>
    </row>
    <row r="85" spans="1:10" s="294" customFormat="1" ht="17.5" x14ac:dyDescent="0.35">
      <c r="A85" s="790" t="s">
        <v>3</v>
      </c>
      <c r="B85" s="791"/>
      <c r="C85" s="792"/>
      <c r="D85" s="225"/>
      <c r="E85" s="384">
        <v>500</v>
      </c>
      <c r="F85" s="391">
        <f t="shared" si="3"/>
        <v>0.76734693877551019</v>
      </c>
      <c r="G85" s="203">
        <f>E5/(E5+E6+E8)</f>
        <v>1</v>
      </c>
      <c r="H85" s="793">
        <f t="shared" si="4"/>
        <v>383.67346938775512</v>
      </c>
      <c r="I85" s="793"/>
      <c r="J85" s="393"/>
    </row>
    <row r="86" spans="1:10" s="294" customFormat="1" ht="17.5" x14ac:dyDescent="0.35">
      <c r="A86" s="790" t="s">
        <v>2</v>
      </c>
      <c r="B86" s="791"/>
      <c r="C86" s="792"/>
      <c r="D86" s="225"/>
      <c r="E86" s="384">
        <v>490</v>
      </c>
      <c r="F86" s="391">
        <f t="shared" si="3"/>
        <v>0.76734693877551019</v>
      </c>
      <c r="G86" s="214">
        <f>E5/(E5+E6+E8)</f>
        <v>1</v>
      </c>
      <c r="H86" s="793">
        <f t="shared" si="4"/>
        <v>376</v>
      </c>
      <c r="I86" s="793"/>
      <c r="J86" s="393"/>
    </row>
    <row r="87" spans="1:10" s="294" customFormat="1" ht="17.5" x14ac:dyDescent="0.35">
      <c r="A87" s="790" t="s">
        <v>152</v>
      </c>
      <c r="B87" s="791"/>
      <c r="C87" s="792"/>
      <c r="D87" s="225"/>
      <c r="E87" s="384"/>
      <c r="F87" s="203">
        <v>1</v>
      </c>
      <c r="G87" s="203">
        <v>1</v>
      </c>
      <c r="H87" s="793">
        <f>E87*F87*G87</f>
        <v>0</v>
      </c>
      <c r="I87" s="793"/>
      <c r="J87" s="393"/>
    </row>
    <row r="88" spans="1:10" s="294" customFormat="1" ht="18" x14ac:dyDescent="0.4">
      <c r="A88" s="299" t="s">
        <v>153</v>
      </c>
      <c r="B88" s="299"/>
      <c r="C88" s="299"/>
      <c r="D88" s="231"/>
      <c r="E88" s="158"/>
      <c r="F88" s="232"/>
      <c r="G88" s="232"/>
      <c r="H88" s="794">
        <f>SUM(H73:I87)+SUM(H54:I65)+H69</f>
        <v>211960.4158367347</v>
      </c>
      <c r="I88" s="794"/>
      <c r="J88" s="393"/>
    </row>
    <row r="89" spans="1:10" s="294" customFormat="1" ht="18" x14ac:dyDescent="0.4">
      <c r="A89" s="305"/>
      <c r="B89" s="306"/>
      <c r="C89" s="306"/>
      <c r="D89" s="318"/>
      <c r="E89" s="156"/>
      <c r="F89" s="236"/>
      <c r="G89" s="236"/>
      <c r="H89" s="143"/>
      <c r="I89" s="319"/>
      <c r="J89" s="393"/>
    </row>
    <row r="90" spans="1:10" s="294" customFormat="1" ht="18" x14ac:dyDescent="0.4">
      <c r="A90" s="300" t="s">
        <v>154</v>
      </c>
      <c r="B90" s="301"/>
      <c r="C90" s="301"/>
      <c r="D90" s="233"/>
      <c r="E90" s="144"/>
      <c r="F90" s="234"/>
      <c r="G90" s="234"/>
      <c r="H90" s="302"/>
      <c r="I90" s="303"/>
      <c r="J90" s="393"/>
    </row>
    <row r="91" spans="1:10" s="294" customFormat="1" ht="17.5" x14ac:dyDescent="0.35">
      <c r="A91" s="395" t="s">
        <v>198</v>
      </c>
      <c r="B91" s="396"/>
      <c r="C91" s="396"/>
      <c r="D91" s="396"/>
      <c r="E91" s="396"/>
      <c r="F91" s="397"/>
      <c r="G91" s="387">
        <f t="shared" ref="G91:G95" si="5">$E$12</f>
        <v>0.76734693877551019</v>
      </c>
      <c r="H91" s="214">
        <f>$E$5/($E$5+$E$6+$E$8)</f>
        <v>1</v>
      </c>
      <c r="I91" s="389">
        <f>F91*G91*H91</f>
        <v>0</v>
      </c>
      <c r="J91" s="388"/>
    </row>
    <row r="92" spans="1:10" s="304" customFormat="1" ht="17.5" x14ac:dyDescent="0.35">
      <c r="A92" s="395" t="s">
        <v>198</v>
      </c>
      <c r="B92" s="396"/>
      <c r="C92" s="396"/>
      <c r="D92" s="396"/>
      <c r="E92" s="396"/>
      <c r="F92" s="397"/>
      <c r="G92" s="387">
        <f t="shared" si="5"/>
        <v>0.76734693877551019</v>
      </c>
      <c r="H92" s="214">
        <f t="shared" ref="H92:H95" si="6">$E$5/($E$5+$E$6+$E$8)</f>
        <v>1</v>
      </c>
      <c r="I92" s="389">
        <f t="shared" ref="I92:I95" si="7">F92*G92*H92</f>
        <v>0</v>
      </c>
      <c r="J92" s="398"/>
    </row>
    <row r="93" spans="1:10" s="304" customFormat="1" ht="17.5" x14ac:dyDescent="0.35">
      <c r="A93" s="395" t="s">
        <v>198</v>
      </c>
      <c r="B93" s="396"/>
      <c r="C93" s="396"/>
      <c r="D93" s="396"/>
      <c r="E93" s="396"/>
      <c r="F93" s="397"/>
      <c r="G93" s="387">
        <f t="shared" si="5"/>
        <v>0.76734693877551019</v>
      </c>
      <c r="H93" s="214">
        <f t="shared" si="6"/>
        <v>1</v>
      </c>
      <c r="I93" s="389">
        <f t="shared" si="7"/>
        <v>0</v>
      </c>
      <c r="J93" s="398"/>
    </row>
    <row r="94" spans="1:10" s="304" customFormat="1" ht="17.5" x14ac:dyDescent="0.35">
      <c r="A94" s="395" t="s">
        <v>198</v>
      </c>
      <c r="B94" s="396"/>
      <c r="C94" s="396"/>
      <c r="D94" s="396"/>
      <c r="E94" s="396"/>
      <c r="F94" s="397"/>
      <c r="G94" s="387">
        <f t="shared" si="5"/>
        <v>0.76734693877551019</v>
      </c>
      <c r="H94" s="214">
        <f t="shared" si="6"/>
        <v>1</v>
      </c>
      <c r="I94" s="389">
        <f t="shared" si="7"/>
        <v>0</v>
      </c>
      <c r="J94" s="398"/>
    </row>
    <row r="95" spans="1:10" s="304" customFormat="1" ht="17.5" x14ac:dyDescent="0.35">
      <c r="A95" s="395" t="s">
        <v>198</v>
      </c>
      <c r="B95" s="396"/>
      <c r="C95" s="396"/>
      <c r="D95" s="396"/>
      <c r="E95" s="396"/>
      <c r="F95" s="397"/>
      <c r="G95" s="387">
        <f t="shared" si="5"/>
        <v>0.76734693877551019</v>
      </c>
      <c r="H95" s="214">
        <f t="shared" si="6"/>
        <v>1</v>
      </c>
      <c r="I95" s="389">
        <f t="shared" si="7"/>
        <v>0</v>
      </c>
      <c r="J95" s="399"/>
    </row>
    <row r="96" spans="1:10" s="304" customFormat="1" ht="18" x14ac:dyDescent="0.4">
      <c r="A96" s="305" t="s">
        <v>155</v>
      </c>
      <c r="B96" s="306"/>
      <c r="C96" s="306"/>
      <c r="D96" s="235"/>
      <c r="E96" s="156"/>
      <c r="F96" s="236"/>
      <c r="G96" s="236"/>
      <c r="H96" s="159"/>
      <c r="I96" s="161">
        <f>SUM(I91:I95)</f>
        <v>0</v>
      </c>
      <c r="J96" s="399"/>
    </row>
    <row r="97" spans="1:10" ht="18" x14ac:dyDescent="0.4">
      <c r="A97" s="275"/>
      <c r="B97" s="276"/>
      <c r="C97" s="276"/>
      <c r="D97" s="216"/>
      <c r="E97" s="151"/>
      <c r="F97" s="217"/>
      <c r="G97" s="217"/>
      <c r="H97" s="307"/>
      <c r="I97" s="160"/>
    </row>
    <row r="98" spans="1:10" ht="18" x14ac:dyDescent="0.4">
      <c r="A98" s="300" t="s">
        <v>156</v>
      </c>
      <c r="B98" s="301"/>
      <c r="C98" s="301"/>
      <c r="D98" s="237"/>
      <c r="E98" s="144"/>
      <c r="F98" s="234"/>
      <c r="G98" s="234"/>
      <c r="H98" s="302"/>
      <c r="I98" s="308"/>
    </row>
    <row r="99" spans="1:10" ht="18" x14ac:dyDescent="0.4">
      <c r="A99" s="285" t="s">
        <v>157</v>
      </c>
      <c r="B99" s="286"/>
      <c r="C99" s="286"/>
      <c r="D99" s="220"/>
      <c r="E99" s="142"/>
      <c r="F99" s="221"/>
      <c r="G99" s="221"/>
      <c r="H99" s="143"/>
      <c r="I99" s="161">
        <f>H49+H88+I96</f>
        <v>614716.81618764973</v>
      </c>
      <c r="J99" s="400"/>
    </row>
    <row r="100" spans="1:10" ht="18" x14ac:dyDescent="0.4">
      <c r="A100" s="285" t="s">
        <v>158</v>
      </c>
      <c r="B100" s="286"/>
      <c r="C100" s="286"/>
      <c r="D100" s="220"/>
      <c r="E100" s="142"/>
      <c r="F100" s="221"/>
      <c r="G100" s="221"/>
      <c r="H100" s="143"/>
      <c r="I100" s="161">
        <f>I99/E5</f>
        <v>13660.373693058882</v>
      </c>
      <c r="J100" s="400"/>
    </row>
    <row r="101" spans="1:10" ht="18" x14ac:dyDescent="0.4">
      <c r="A101" s="401" t="str">
        <f>IF(I99&gt;I101,"UNBALANCED BUDGET MUST REDUCE BUDGET-PROVIDER PROGRAM TOTALS"," ")</f>
        <v xml:space="preserve"> </v>
      </c>
      <c r="B101" s="402"/>
      <c r="C101" s="402"/>
      <c r="D101" s="402"/>
      <c r="E101" s="402"/>
      <c r="F101" s="402"/>
      <c r="G101" s="402"/>
      <c r="H101" s="403">
        <f>IF(I99&gt;I101,I101-I99,0)</f>
        <v>0</v>
      </c>
      <c r="I101" s="309">
        <v>614717</v>
      </c>
      <c r="J101" s="388"/>
    </row>
    <row r="102" spans="1:10" s="304" customFormat="1" ht="18" x14ac:dyDescent="0.4">
      <c r="A102" s="300" t="s">
        <v>159</v>
      </c>
      <c r="B102" s="301"/>
      <c r="C102" s="301"/>
      <c r="D102" s="237"/>
      <c r="E102" s="144"/>
      <c r="F102" s="234"/>
      <c r="G102" s="234"/>
      <c r="H102" s="302"/>
      <c r="I102" s="310"/>
      <c r="J102" s="399"/>
    </row>
    <row r="103" spans="1:10" s="304" customFormat="1" ht="17.5" x14ac:dyDescent="0.35">
      <c r="A103" s="404" t="str">
        <f>A28</f>
        <v>Classroom Materials and Supplies</v>
      </c>
      <c r="B103" s="405"/>
      <c r="C103" s="405"/>
      <c r="D103" s="406"/>
      <c r="E103" s="407"/>
      <c r="F103" s="408"/>
      <c r="G103" s="408"/>
      <c r="H103" s="407"/>
      <c r="I103" s="389">
        <f>-H28</f>
        <v>-6000</v>
      </c>
      <c r="J103" s="399"/>
    </row>
    <row r="104" spans="1:10" ht="17.5" x14ac:dyDescent="0.35">
      <c r="A104" s="404" t="str">
        <f t="shared" ref="A104" si="8">A29</f>
        <v>Classroom Technology</v>
      </c>
      <c r="B104" s="405"/>
      <c r="C104" s="405"/>
      <c r="D104" s="406"/>
      <c r="E104" s="407"/>
      <c r="F104" s="408"/>
      <c r="G104" s="408"/>
      <c r="H104" s="407"/>
      <c r="I104" s="389">
        <f t="shared" ref="I104" si="9">-H29</f>
        <v>-3000</v>
      </c>
    </row>
    <row r="105" spans="1:10" ht="17.5" x14ac:dyDescent="0.35">
      <c r="A105" s="404" t="s">
        <v>160</v>
      </c>
      <c r="B105" s="405"/>
      <c r="C105" s="405"/>
      <c r="D105" s="406"/>
      <c r="E105" s="407"/>
      <c r="F105" s="408"/>
      <c r="G105" s="408"/>
      <c r="H105" s="407">
        <f>I105/3</f>
        <v>-15567.644557823129</v>
      </c>
      <c r="I105" s="389">
        <f>-H23-H33-H39-H41-H55-H57-H59-H61</f>
        <v>-46702.933673469386</v>
      </c>
    </row>
    <row r="106" spans="1:10" ht="17.5" x14ac:dyDescent="0.35">
      <c r="A106" s="405" t="s">
        <v>169</v>
      </c>
      <c r="B106" s="405"/>
      <c r="C106" s="405"/>
      <c r="D106" s="406"/>
      <c r="E106" s="407"/>
      <c r="F106" s="408"/>
      <c r="G106" s="408"/>
      <c r="H106" s="407"/>
      <c r="I106" s="389" t="e">
        <f>SUM('[1]Schedule A Personnel'!K20:K39)</f>
        <v>#REF!</v>
      </c>
    </row>
    <row r="107" spans="1:10" ht="17.5" x14ac:dyDescent="0.35">
      <c r="A107" s="405" t="s">
        <v>214</v>
      </c>
      <c r="B107" s="405"/>
      <c r="C107" s="405"/>
      <c r="D107" s="406"/>
      <c r="E107" s="407"/>
      <c r="F107" s="408"/>
      <c r="G107" s="408"/>
      <c r="H107" s="407"/>
      <c r="I107" s="389" t="e">
        <f>I106*0.15</f>
        <v>#REF!</v>
      </c>
    </row>
    <row r="108" spans="1:10" ht="18" x14ac:dyDescent="0.4">
      <c r="A108" s="285" t="s">
        <v>161</v>
      </c>
      <c r="B108" s="286"/>
      <c r="C108" s="286"/>
      <c r="D108" s="220"/>
      <c r="E108" s="142"/>
      <c r="F108" s="221"/>
      <c r="G108" s="221"/>
      <c r="H108" s="143"/>
      <c r="I108" s="161" t="e">
        <f>I99+SUM(I103:I107)</f>
        <v>#REF!</v>
      </c>
      <c r="J108" s="388"/>
    </row>
    <row r="109" spans="1:10" ht="18" x14ac:dyDescent="0.4">
      <c r="A109" s="285" t="s">
        <v>162</v>
      </c>
      <c r="B109" s="286"/>
      <c r="C109" s="286"/>
      <c r="D109" s="220"/>
      <c r="E109" s="142"/>
      <c r="F109" s="221"/>
      <c r="G109" s="221"/>
      <c r="H109" s="143"/>
      <c r="I109" s="161" t="e">
        <f>I108/E5</f>
        <v>#REF!</v>
      </c>
    </row>
    <row r="110" spans="1:10" x14ac:dyDescent="0.25">
      <c r="B110" s="311"/>
      <c r="E110" s="253"/>
      <c r="H110" s="253"/>
      <c r="I110" s="253"/>
    </row>
    <row r="111" spans="1:10" x14ac:dyDescent="0.25">
      <c r="B111" s="311"/>
      <c r="J111" s="187"/>
    </row>
    <row r="112" spans="1:10" x14ac:dyDescent="0.25">
      <c r="B112" s="311"/>
      <c r="J112" s="187" t="s">
        <v>163</v>
      </c>
    </row>
    <row r="113" spans="2:10" x14ac:dyDescent="0.25">
      <c r="B113" s="311"/>
      <c r="J113" s="187" t="s">
        <v>164</v>
      </c>
    </row>
    <row r="114" spans="2:10" x14ac:dyDescent="0.25">
      <c r="B114" s="311"/>
      <c r="J114" s="187" t="s">
        <v>119</v>
      </c>
    </row>
    <row r="115" spans="2:10" x14ac:dyDescent="0.25">
      <c r="B115" s="311"/>
      <c r="J115" s="187" t="s">
        <v>113</v>
      </c>
    </row>
    <row r="116" spans="2:10" x14ac:dyDescent="0.25">
      <c r="B116" s="311"/>
      <c r="J116" s="187" t="s">
        <v>165</v>
      </c>
    </row>
    <row r="117" spans="2:10" x14ac:dyDescent="0.25">
      <c r="B117" s="311"/>
      <c r="J117" s="187" t="s">
        <v>166</v>
      </c>
    </row>
    <row r="118" spans="2:10" x14ac:dyDescent="0.25">
      <c r="B118" s="311"/>
      <c r="J118" s="187" t="s">
        <v>116</v>
      </c>
    </row>
    <row r="119" spans="2:10" x14ac:dyDescent="0.25">
      <c r="B119" s="311"/>
      <c r="J119" s="187" t="s">
        <v>167</v>
      </c>
    </row>
    <row r="120" spans="2:10" x14ac:dyDescent="0.25">
      <c r="B120" s="311"/>
      <c r="J120" s="187" t="s">
        <v>168</v>
      </c>
    </row>
    <row r="121" spans="2:10" x14ac:dyDescent="0.25">
      <c r="B121" s="311"/>
      <c r="J121" s="187"/>
    </row>
    <row r="122" spans="2:10" x14ac:dyDescent="0.25">
      <c r="B122" s="311"/>
      <c r="J122" s="187"/>
    </row>
    <row r="123" spans="2:10" x14ac:dyDescent="0.25">
      <c r="B123" s="311"/>
      <c r="J123" s="187"/>
    </row>
    <row r="124" spans="2:10" x14ac:dyDescent="0.25">
      <c r="B124" s="311"/>
      <c r="J124" s="187"/>
    </row>
    <row r="125" spans="2:10" x14ac:dyDescent="0.25">
      <c r="B125" s="311"/>
      <c r="J125" s="187"/>
    </row>
    <row r="126" spans="2:10" x14ac:dyDescent="0.25">
      <c r="B126" s="311"/>
    </row>
    <row r="127" spans="2:10" x14ac:dyDescent="0.25">
      <c r="B127" s="311"/>
    </row>
    <row r="128" spans="2:10" x14ac:dyDescent="0.25">
      <c r="B128" s="311"/>
    </row>
    <row r="129" spans="2:2" x14ac:dyDescent="0.25">
      <c r="B129" s="311"/>
    </row>
    <row r="130" spans="2:2" x14ac:dyDescent="0.25">
      <c r="B130" s="311"/>
    </row>
    <row r="131" spans="2:2" x14ac:dyDescent="0.25">
      <c r="B131" s="311"/>
    </row>
    <row r="132" spans="2:2" x14ac:dyDescent="0.25">
      <c r="B132" s="311"/>
    </row>
    <row r="133" spans="2:2" x14ac:dyDescent="0.25">
      <c r="B133" s="311"/>
    </row>
    <row r="134" spans="2:2" x14ac:dyDescent="0.25">
      <c r="B134" s="311"/>
    </row>
    <row r="135" spans="2:2" x14ac:dyDescent="0.25">
      <c r="B135" s="311"/>
    </row>
    <row r="136" spans="2:2" x14ac:dyDescent="0.25">
      <c r="B136" s="311"/>
    </row>
    <row r="137" spans="2:2" x14ac:dyDescent="0.25">
      <c r="B137" s="311"/>
    </row>
    <row r="138" spans="2:2" x14ac:dyDescent="0.25">
      <c r="B138" s="311"/>
    </row>
    <row r="139" spans="2:2" x14ac:dyDescent="0.25">
      <c r="B139" s="311"/>
    </row>
    <row r="140" spans="2:2" x14ac:dyDescent="0.25">
      <c r="B140" s="311"/>
    </row>
    <row r="141" spans="2:2" x14ac:dyDescent="0.25">
      <c r="B141" s="311"/>
    </row>
    <row r="142" spans="2:2" x14ac:dyDescent="0.25">
      <c r="B142" s="311"/>
    </row>
    <row r="143" spans="2:2" x14ac:dyDescent="0.25">
      <c r="B143" s="311"/>
    </row>
    <row r="144" spans="2:2" x14ac:dyDescent="0.25">
      <c r="B144" s="311"/>
    </row>
    <row r="145" spans="2:2" x14ac:dyDescent="0.25">
      <c r="B145" s="311"/>
    </row>
    <row r="146" spans="2:2" x14ac:dyDescent="0.25">
      <c r="B146" s="311"/>
    </row>
    <row r="147" spans="2:2" x14ac:dyDescent="0.25">
      <c r="B147" s="311"/>
    </row>
    <row r="148" spans="2:2" x14ac:dyDescent="0.25">
      <c r="B148" s="311"/>
    </row>
    <row r="149" spans="2:2" x14ac:dyDescent="0.25">
      <c r="B149" s="311"/>
    </row>
    <row r="150" spans="2:2" x14ac:dyDescent="0.25">
      <c r="B150" s="311"/>
    </row>
    <row r="151" spans="2:2" x14ac:dyDescent="0.25">
      <c r="B151" s="311"/>
    </row>
    <row r="152" spans="2:2" x14ac:dyDescent="0.25">
      <c r="B152" s="311"/>
    </row>
    <row r="153" spans="2:2" x14ac:dyDescent="0.25">
      <c r="B153" s="311"/>
    </row>
    <row r="154" spans="2:2" x14ac:dyDescent="0.25">
      <c r="B154" s="311"/>
    </row>
    <row r="155" spans="2:2" x14ac:dyDescent="0.25">
      <c r="B155" s="311"/>
    </row>
    <row r="156" spans="2:2" x14ac:dyDescent="0.25">
      <c r="B156" s="311"/>
    </row>
    <row r="157" spans="2:2" x14ac:dyDescent="0.25">
      <c r="B157" s="311"/>
    </row>
    <row r="158" spans="2:2" x14ac:dyDescent="0.25">
      <c r="B158" s="311"/>
    </row>
    <row r="159" spans="2:2" x14ac:dyDescent="0.25">
      <c r="B159" s="311"/>
    </row>
    <row r="160" spans="2:2" x14ac:dyDescent="0.25">
      <c r="B160" s="311"/>
    </row>
    <row r="161" spans="2:2" x14ac:dyDescent="0.25">
      <c r="B161" s="311"/>
    </row>
    <row r="162" spans="2:2" x14ac:dyDescent="0.25">
      <c r="B162" s="311"/>
    </row>
    <row r="163" spans="2:2" x14ac:dyDescent="0.25">
      <c r="B163" s="311"/>
    </row>
    <row r="164" spans="2:2" x14ac:dyDescent="0.25">
      <c r="B164" s="311"/>
    </row>
    <row r="165" spans="2:2" x14ac:dyDescent="0.25">
      <c r="B165" s="311"/>
    </row>
    <row r="166" spans="2:2" x14ac:dyDescent="0.25">
      <c r="B166" s="311"/>
    </row>
    <row r="167" spans="2:2" x14ac:dyDescent="0.25">
      <c r="B167" s="311"/>
    </row>
    <row r="168" spans="2:2" x14ac:dyDescent="0.25">
      <c r="B168" s="311"/>
    </row>
    <row r="169" spans="2:2" x14ac:dyDescent="0.25">
      <c r="B169" s="311"/>
    </row>
    <row r="170" spans="2:2" x14ac:dyDescent="0.25">
      <c r="B170" s="311"/>
    </row>
    <row r="171" spans="2:2" x14ac:dyDescent="0.25">
      <c r="B171" s="311"/>
    </row>
    <row r="172" spans="2:2" x14ac:dyDescent="0.25">
      <c r="B172" s="311"/>
    </row>
    <row r="173" spans="2:2" x14ac:dyDescent="0.25">
      <c r="B173" s="311"/>
    </row>
    <row r="174" spans="2:2" x14ac:dyDescent="0.25">
      <c r="B174" s="311"/>
    </row>
    <row r="175" spans="2:2" x14ac:dyDescent="0.25">
      <c r="B175" s="311"/>
    </row>
    <row r="176" spans="2:2" x14ac:dyDescent="0.25">
      <c r="B176" s="311"/>
    </row>
    <row r="177" spans="2:2" x14ac:dyDescent="0.25">
      <c r="B177" s="311"/>
    </row>
    <row r="178" spans="2:2" x14ac:dyDescent="0.25">
      <c r="B178" s="311"/>
    </row>
    <row r="179" spans="2:2" x14ac:dyDescent="0.25">
      <c r="B179" s="311"/>
    </row>
    <row r="180" spans="2:2" x14ac:dyDescent="0.25">
      <c r="B180" s="311"/>
    </row>
    <row r="181" spans="2:2" x14ac:dyDescent="0.25">
      <c r="B181" s="311"/>
    </row>
    <row r="182" spans="2:2" x14ac:dyDescent="0.25">
      <c r="B182" s="311"/>
    </row>
    <row r="183" spans="2:2" x14ac:dyDescent="0.25">
      <c r="B183" s="311"/>
    </row>
    <row r="184" spans="2:2" x14ac:dyDescent="0.25">
      <c r="B184" s="311"/>
    </row>
    <row r="185" spans="2:2" x14ac:dyDescent="0.25">
      <c r="B185" s="311"/>
    </row>
    <row r="186" spans="2:2" x14ac:dyDescent="0.25">
      <c r="B186" s="311"/>
    </row>
    <row r="187" spans="2:2" x14ac:dyDescent="0.25">
      <c r="B187" s="311"/>
    </row>
    <row r="188" spans="2:2" x14ac:dyDescent="0.25">
      <c r="B188" s="311"/>
    </row>
    <row r="189" spans="2:2" x14ac:dyDescent="0.25">
      <c r="B189" s="311"/>
    </row>
    <row r="190" spans="2:2" x14ac:dyDescent="0.25">
      <c r="B190" s="311"/>
    </row>
    <row r="191" spans="2:2" x14ac:dyDescent="0.25">
      <c r="B191" s="311"/>
    </row>
    <row r="192" spans="2:2" x14ac:dyDescent="0.25">
      <c r="B192" s="311"/>
    </row>
    <row r="193" spans="2:2" x14ac:dyDescent="0.25">
      <c r="B193" s="311"/>
    </row>
    <row r="194" spans="2:2" x14ac:dyDescent="0.25">
      <c r="B194" s="311"/>
    </row>
    <row r="195" spans="2:2" x14ac:dyDescent="0.25">
      <c r="B195" s="311"/>
    </row>
    <row r="196" spans="2:2" x14ac:dyDescent="0.25">
      <c r="B196" s="311"/>
    </row>
    <row r="197" spans="2:2" x14ac:dyDescent="0.25">
      <c r="B197" s="311"/>
    </row>
    <row r="198" spans="2:2" x14ac:dyDescent="0.25">
      <c r="B198" s="311"/>
    </row>
    <row r="199" spans="2:2" x14ac:dyDescent="0.25">
      <c r="B199" s="311"/>
    </row>
    <row r="200" spans="2:2" x14ac:dyDescent="0.25">
      <c r="B200" s="311"/>
    </row>
    <row r="201" spans="2:2" x14ac:dyDescent="0.25">
      <c r="B201" s="311"/>
    </row>
    <row r="202" spans="2:2" x14ac:dyDescent="0.25">
      <c r="B202" s="311"/>
    </row>
    <row r="203" spans="2:2" x14ac:dyDescent="0.25">
      <c r="B203" s="311"/>
    </row>
    <row r="204" spans="2:2" x14ac:dyDescent="0.25">
      <c r="B204" s="311"/>
    </row>
    <row r="205" spans="2:2" x14ac:dyDescent="0.25">
      <c r="B205" s="311"/>
    </row>
    <row r="206" spans="2:2" x14ac:dyDescent="0.25">
      <c r="B206" s="311"/>
    </row>
    <row r="207" spans="2:2" x14ac:dyDescent="0.25">
      <c r="B207" s="311"/>
    </row>
    <row r="208" spans="2:2" x14ac:dyDescent="0.25">
      <c r="B208" s="311"/>
    </row>
    <row r="209" spans="2:2" x14ac:dyDescent="0.25">
      <c r="B209" s="311"/>
    </row>
    <row r="210" spans="2:2" x14ac:dyDescent="0.25">
      <c r="B210" s="311"/>
    </row>
    <row r="211" spans="2:2" x14ac:dyDescent="0.25">
      <c r="B211" s="311"/>
    </row>
    <row r="212" spans="2:2" x14ac:dyDescent="0.25">
      <c r="B212" s="311"/>
    </row>
    <row r="213" spans="2:2" x14ac:dyDescent="0.25">
      <c r="B213" s="311"/>
    </row>
    <row r="214" spans="2:2" x14ac:dyDescent="0.25">
      <c r="B214" s="311"/>
    </row>
    <row r="215" spans="2:2" x14ac:dyDescent="0.25">
      <c r="B215" s="311"/>
    </row>
    <row r="216" spans="2:2" x14ac:dyDescent="0.25">
      <c r="B216" s="311"/>
    </row>
    <row r="217" spans="2:2" x14ac:dyDescent="0.25">
      <c r="B217" s="311"/>
    </row>
    <row r="218" spans="2:2" x14ac:dyDescent="0.25">
      <c r="B218" s="311"/>
    </row>
    <row r="219" spans="2:2" x14ac:dyDescent="0.25">
      <c r="B219" s="311"/>
    </row>
    <row r="220" spans="2:2" x14ac:dyDescent="0.25">
      <c r="B220" s="311"/>
    </row>
    <row r="221" spans="2:2" x14ac:dyDescent="0.25">
      <c r="B221" s="311"/>
    </row>
    <row r="222" spans="2:2" x14ac:dyDescent="0.25">
      <c r="B222" s="311"/>
    </row>
    <row r="223" spans="2:2" x14ac:dyDescent="0.25">
      <c r="B223" s="311"/>
    </row>
    <row r="224" spans="2:2" x14ac:dyDescent="0.25">
      <c r="B224" s="311"/>
    </row>
    <row r="225" spans="2:2" x14ac:dyDescent="0.25">
      <c r="B225" s="311"/>
    </row>
    <row r="226" spans="2:2" x14ac:dyDescent="0.25">
      <c r="B226" s="311"/>
    </row>
    <row r="227" spans="2:2" x14ac:dyDescent="0.25">
      <c r="B227" s="311"/>
    </row>
    <row r="228" spans="2:2" x14ac:dyDescent="0.25">
      <c r="B228" s="311"/>
    </row>
    <row r="229" spans="2:2" x14ac:dyDescent="0.25">
      <c r="B229" s="311"/>
    </row>
    <row r="230" spans="2:2" x14ac:dyDescent="0.25">
      <c r="B230" s="311"/>
    </row>
    <row r="231" spans="2:2" x14ac:dyDescent="0.25">
      <c r="B231" s="311"/>
    </row>
    <row r="232" spans="2:2" x14ac:dyDescent="0.25">
      <c r="B232" s="311"/>
    </row>
    <row r="233" spans="2:2" x14ac:dyDescent="0.25">
      <c r="B233" s="311"/>
    </row>
    <row r="234" spans="2:2" x14ac:dyDescent="0.25">
      <c r="B234" s="311"/>
    </row>
    <row r="235" spans="2:2" x14ac:dyDescent="0.25">
      <c r="B235" s="311"/>
    </row>
    <row r="236" spans="2:2" x14ac:dyDescent="0.25">
      <c r="B236" s="311"/>
    </row>
    <row r="237" spans="2:2" x14ac:dyDescent="0.25">
      <c r="B237" s="311"/>
    </row>
    <row r="238" spans="2:2" x14ac:dyDescent="0.25">
      <c r="B238" s="311"/>
    </row>
    <row r="239" spans="2:2" x14ac:dyDescent="0.25">
      <c r="B239" s="311"/>
    </row>
    <row r="240" spans="2:2" x14ac:dyDescent="0.25">
      <c r="B240" s="311"/>
    </row>
    <row r="241" spans="2:2" x14ac:dyDescent="0.25">
      <c r="B241" s="311"/>
    </row>
    <row r="242" spans="2:2" x14ac:dyDescent="0.25">
      <c r="B242" s="311"/>
    </row>
    <row r="243" spans="2:2" x14ac:dyDescent="0.25">
      <c r="B243" s="311"/>
    </row>
    <row r="244" spans="2:2" x14ac:dyDescent="0.25">
      <c r="B244" s="311"/>
    </row>
    <row r="245" spans="2:2" x14ac:dyDescent="0.25">
      <c r="B245" s="311"/>
    </row>
    <row r="246" spans="2:2" x14ac:dyDescent="0.25">
      <c r="B246" s="311"/>
    </row>
    <row r="247" spans="2:2" x14ac:dyDescent="0.25">
      <c r="B247" s="311"/>
    </row>
    <row r="248" spans="2:2" x14ac:dyDescent="0.25">
      <c r="B248" s="311"/>
    </row>
    <row r="249" spans="2:2" x14ac:dyDescent="0.25">
      <c r="B249" s="311"/>
    </row>
    <row r="250" spans="2:2" x14ac:dyDescent="0.25">
      <c r="B250" s="311"/>
    </row>
    <row r="251" spans="2:2" x14ac:dyDescent="0.25">
      <c r="B251" s="311"/>
    </row>
    <row r="252" spans="2:2" x14ac:dyDescent="0.25">
      <c r="B252" s="311"/>
    </row>
    <row r="253" spans="2:2" x14ac:dyDescent="0.25">
      <c r="B253" s="311"/>
    </row>
    <row r="254" spans="2:2" x14ac:dyDescent="0.25">
      <c r="B254" s="311"/>
    </row>
    <row r="255" spans="2:2" x14ac:dyDescent="0.25">
      <c r="B255" s="311"/>
    </row>
    <row r="256" spans="2:2" x14ac:dyDescent="0.25">
      <c r="B256" s="311"/>
    </row>
    <row r="257" spans="2:2" x14ac:dyDescent="0.25">
      <c r="B257" s="311"/>
    </row>
    <row r="258" spans="2:2" x14ac:dyDescent="0.25">
      <c r="B258" s="311"/>
    </row>
    <row r="259" spans="2:2" x14ac:dyDescent="0.25">
      <c r="B259" s="311"/>
    </row>
    <row r="260" spans="2:2" x14ac:dyDescent="0.25">
      <c r="B260" s="311"/>
    </row>
    <row r="261" spans="2:2" x14ac:dyDescent="0.25">
      <c r="B261" s="311"/>
    </row>
    <row r="262" spans="2:2" x14ac:dyDescent="0.25">
      <c r="B262" s="311"/>
    </row>
    <row r="263" spans="2:2" x14ac:dyDescent="0.25">
      <c r="B263" s="311"/>
    </row>
    <row r="264" spans="2:2" x14ac:dyDescent="0.25">
      <c r="B264" s="311"/>
    </row>
    <row r="265" spans="2:2" x14ac:dyDescent="0.25">
      <c r="B265" s="311"/>
    </row>
    <row r="266" spans="2:2" x14ac:dyDescent="0.25">
      <c r="B266" s="311"/>
    </row>
    <row r="267" spans="2:2" x14ac:dyDescent="0.25">
      <c r="B267" s="311"/>
    </row>
    <row r="268" spans="2:2" x14ac:dyDescent="0.25">
      <c r="B268" s="311"/>
    </row>
    <row r="269" spans="2:2" x14ac:dyDescent="0.25">
      <c r="B269" s="311"/>
    </row>
    <row r="270" spans="2:2" x14ac:dyDescent="0.25">
      <c r="B270" s="311"/>
    </row>
    <row r="271" spans="2:2" x14ac:dyDescent="0.25">
      <c r="B271" s="311"/>
    </row>
    <row r="272" spans="2:2" x14ac:dyDescent="0.25">
      <c r="B272" s="311"/>
    </row>
    <row r="273" spans="2:2" x14ac:dyDescent="0.25">
      <c r="B273" s="311"/>
    </row>
    <row r="274" spans="2:2" x14ac:dyDescent="0.25">
      <c r="B274" s="311"/>
    </row>
    <row r="275" spans="2:2" x14ac:dyDescent="0.25">
      <c r="B275" s="311"/>
    </row>
    <row r="276" spans="2:2" x14ac:dyDescent="0.25">
      <c r="B276" s="311"/>
    </row>
    <row r="277" spans="2:2" x14ac:dyDescent="0.25">
      <c r="B277" s="311"/>
    </row>
    <row r="278" spans="2:2" x14ac:dyDescent="0.25">
      <c r="B278" s="311"/>
    </row>
    <row r="279" spans="2:2" x14ac:dyDescent="0.25">
      <c r="B279" s="311"/>
    </row>
    <row r="280" spans="2:2" x14ac:dyDescent="0.25">
      <c r="B280" s="311"/>
    </row>
    <row r="281" spans="2:2" x14ac:dyDescent="0.25">
      <c r="B281" s="311"/>
    </row>
    <row r="282" spans="2:2" x14ac:dyDescent="0.25">
      <c r="B282" s="311"/>
    </row>
    <row r="283" spans="2:2" x14ac:dyDescent="0.25">
      <c r="B283" s="311"/>
    </row>
    <row r="284" spans="2:2" x14ac:dyDescent="0.25">
      <c r="B284" s="311"/>
    </row>
    <row r="285" spans="2:2" x14ac:dyDescent="0.25">
      <c r="B285" s="311"/>
    </row>
    <row r="286" spans="2:2" x14ac:dyDescent="0.25">
      <c r="B286" s="311"/>
    </row>
    <row r="287" spans="2:2" x14ac:dyDescent="0.25">
      <c r="B287" s="311"/>
    </row>
    <row r="288" spans="2:2" x14ac:dyDescent="0.25">
      <c r="B288" s="311"/>
    </row>
    <row r="289" spans="2:2" x14ac:dyDescent="0.25">
      <c r="B289" s="311"/>
    </row>
    <row r="290" spans="2:2" x14ac:dyDescent="0.25">
      <c r="B290" s="311"/>
    </row>
    <row r="291" spans="2:2" x14ac:dyDescent="0.25">
      <c r="B291" s="311"/>
    </row>
    <row r="292" spans="2:2" x14ac:dyDescent="0.25">
      <c r="B292" s="311"/>
    </row>
    <row r="293" spans="2:2" x14ac:dyDescent="0.25">
      <c r="B293" s="311"/>
    </row>
    <row r="294" spans="2:2" x14ac:dyDescent="0.25">
      <c r="B294" s="311"/>
    </row>
    <row r="295" spans="2:2" x14ac:dyDescent="0.25">
      <c r="B295" s="311"/>
    </row>
    <row r="296" spans="2:2" x14ac:dyDescent="0.25">
      <c r="B296" s="311"/>
    </row>
    <row r="297" spans="2:2" x14ac:dyDescent="0.25">
      <c r="B297" s="311"/>
    </row>
    <row r="298" spans="2:2" x14ac:dyDescent="0.25">
      <c r="B298" s="311"/>
    </row>
    <row r="299" spans="2:2" x14ac:dyDescent="0.25">
      <c r="B299" s="311"/>
    </row>
    <row r="300" spans="2:2" x14ac:dyDescent="0.25">
      <c r="B300" s="311"/>
    </row>
    <row r="301" spans="2:2" x14ac:dyDescent="0.25">
      <c r="B301" s="311"/>
    </row>
    <row r="302" spans="2:2" x14ac:dyDescent="0.25">
      <c r="B302" s="311"/>
    </row>
    <row r="303" spans="2:2" x14ac:dyDescent="0.25">
      <c r="B303" s="311"/>
    </row>
    <row r="304" spans="2:2" x14ac:dyDescent="0.25">
      <c r="B304" s="311"/>
    </row>
    <row r="305" spans="2:2" x14ac:dyDescent="0.25">
      <c r="B305" s="311"/>
    </row>
    <row r="306" spans="2:2" x14ac:dyDescent="0.25">
      <c r="B306" s="311"/>
    </row>
    <row r="307" spans="2:2" x14ac:dyDescent="0.25">
      <c r="B307" s="311"/>
    </row>
    <row r="308" spans="2:2" x14ac:dyDescent="0.25">
      <c r="B308" s="311"/>
    </row>
    <row r="309" spans="2:2" x14ac:dyDescent="0.25">
      <c r="B309" s="311"/>
    </row>
    <row r="310" spans="2:2" x14ac:dyDescent="0.25">
      <c r="B310" s="311"/>
    </row>
    <row r="311" spans="2:2" x14ac:dyDescent="0.25">
      <c r="B311" s="311"/>
    </row>
    <row r="312" spans="2:2" x14ac:dyDescent="0.25">
      <c r="B312" s="311"/>
    </row>
    <row r="313" spans="2:2" x14ac:dyDescent="0.25">
      <c r="B313" s="311"/>
    </row>
    <row r="314" spans="2:2" x14ac:dyDescent="0.25">
      <c r="B314" s="311"/>
    </row>
    <row r="315" spans="2:2" x14ac:dyDescent="0.25">
      <c r="B315" s="311"/>
    </row>
    <row r="316" spans="2:2" x14ac:dyDescent="0.25">
      <c r="B316" s="311"/>
    </row>
    <row r="317" spans="2:2" x14ac:dyDescent="0.25">
      <c r="B317" s="311"/>
    </row>
    <row r="318" spans="2:2" x14ac:dyDescent="0.25">
      <c r="B318" s="311"/>
    </row>
    <row r="319" spans="2:2" x14ac:dyDescent="0.25">
      <c r="B319" s="311"/>
    </row>
    <row r="320" spans="2:2" x14ac:dyDescent="0.25">
      <c r="B320" s="311"/>
    </row>
    <row r="321" spans="2:2" x14ac:dyDescent="0.25">
      <c r="B321" s="311"/>
    </row>
    <row r="322" spans="2:2" x14ac:dyDescent="0.25">
      <c r="B322" s="311"/>
    </row>
    <row r="323" spans="2:2" x14ac:dyDescent="0.25">
      <c r="B323" s="311"/>
    </row>
    <row r="324" spans="2:2" x14ac:dyDescent="0.25">
      <c r="B324" s="311"/>
    </row>
    <row r="325" spans="2:2" x14ac:dyDescent="0.25">
      <c r="B325" s="311"/>
    </row>
    <row r="326" spans="2:2" x14ac:dyDescent="0.25">
      <c r="B326" s="311"/>
    </row>
    <row r="327" spans="2:2" x14ac:dyDescent="0.25">
      <c r="B327" s="311"/>
    </row>
    <row r="328" spans="2:2" x14ac:dyDescent="0.25">
      <c r="B328" s="311"/>
    </row>
    <row r="329" spans="2:2" x14ac:dyDescent="0.25">
      <c r="B329" s="311"/>
    </row>
    <row r="330" spans="2:2" x14ac:dyDescent="0.25">
      <c r="B330" s="311"/>
    </row>
    <row r="331" spans="2:2" x14ac:dyDescent="0.25">
      <c r="B331" s="311"/>
    </row>
    <row r="332" spans="2:2" x14ac:dyDescent="0.25">
      <c r="B332" s="311"/>
    </row>
    <row r="333" spans="2:2" x14ac:dyDescent="0.25">
      <c r="B333" s="311"/>
    </row>
    <row r="334" spans="2:2" x14ac:dyDescent="0.25">
      <c r="B334" s="311"/>
    </row>
    <row r="335" spans="2:2" x14ac:dyDescent="0.25">
      <c r="B335" s="311"/>
    </row>
    <row r="336" spans="2:2" x14ac:dyDescent="0.25">
      <c r="B336" s="311"/>
    </row>
    <row r="337" spans="2:2" x14ac:dyDescent="0.25">
      <c r="B337" s="311"/>
    </row>
    <row r="338" spans="2:2" x14ac:dyDescent="0.25">
      <c r="B338" s="311"/>
    </row>
    <row r="339" spans="2:2" x14ac:dyDescent="0.25">
      <c r="B339" s="311"/>
    </row>
    <row r="340" spans="2:2" x14ac:dyDescent="0.25">
      <c r="B340" s="311"/>
    </row>
    <row r="341" spans="2:2" x14ac:dyDescent="0.25">
      <c r="B341" s="311"/>
    </row>
    <row r="342" spans="2:2" x14ac:dyDescent="0.25">
      <c r="B342" s="311"/>
    </row>
    <row r="343" spans="2:2" x14ac:dyDescent="0.25">
      <c r="B343" s="311"/>
    </row>
    <row r="344" spans="2:2" x14ac:dyDescent="0.25">
      <c r="B344" s="311"/>
    </row>
    <row r="345" spans="2:2" x14ac:dyDescent="0.25">
      <c r="B345" s="311"/>
    </row>
    <row r="346" spans="2:2" x14ac:dyDescent="0.25">
      <c r="B346" s="311"/>
    </row>
    <row r="347" spans="2:2" x14ac:dyDescent="0.25">
      <c r="B347" s="311"/>
    </row>
    <row r="348" spans="2:2" x14ac:dyDescent="0.25">
      <c r="B348" s="311"/>
    </row>
    <row r="349" spans="2:2" x14ac:dyDescent="0.25">
      <c r="B349" s="311"/>
    </row>
    <row r="350" spans="2:2" x14ac:dyDescent="0.25">
      <c r="B350" s="311"/>
    </row>
    <row r="351" spans="2:2" x14ac:dyDescent="0.25">
      <c r="B351" s="311"/>
    </row>
    <row r="352" spans="2:2" x14ac:dyDescent="0.25">
      <c r="B352" s="311"/>
    </row>
    <row r="353" spans="2:2" x14ac:dyDescent="0.25">
      <c r="B353" s="311"/>
    </row>
    <row r="354" spans="2:2" x14ac:dyDescent="0.25">
      <c r="B354" s="311"/>
    </row>
    <row r="355" spans="2:2" x14ac:dyDescent="0.25">
      <c r="B355" s="311"/>
    </row>
    <row r="356" spans="2:2" x14ac:dyDescent="0.25">
      <c r="B356" s="311"/>
    </row>
    <row r="357" spans="2:2" x14ac:dyDescent="0.25">
      <c r="B357" s="311"/>
    </row>
    <row r="358" spans="2:2" x14ac:dyDescent="0.25">
      <c r="B358" s="311"/>
    </row>
    <row r="359" spans="2:2" x14ac:dyDescent="0.25">
      <c r="B359" s="311"/>
    </row>
    <row r="360" spans="2:2" x14ac:dyDescent="0.25">
      <c r="B360" s="311"/>
    </row>
    <row r="361" spans="2:2" x14ac:dyDescent="0.25">
      <c r="B361" s="311"/>
    </row>
    <row r="362" spans="2:2" x14ac:dyDescent="0.25">
      <c r="B362" s="311"/>
    </row>
    <row r="363" spans="2:2" x14ac:dyDescent="0.25">
      <c r="B363" s="311"/>
    </row>
    <row r="364" spans="2:2" x14ac:dyDescent="0.25">
      <c r="B364" s="311"/>
    </row>
    <row r="365" spans="2:2" x14ac:dyDescent="0.25">
      <c r="B365" s="311"/>
    </row>
    <row r="366" spans="2:2" x14ac:dyDescent="0.25">
      <c r="B366" s="311"/>
    </row>
    <row r="367" spans="2:2" x14ac:dyDescent="0.25">
      <c r="B367" s="311"/>
    </row>
    <row r="368" spans="2:2" x14ac:dyDescent="0.25">
      <c r="B368" s="311"/>
    </row>
    <row r="369" spans="2:2" x14ac:dyDescent="0.25">
      <c r="B369" s="311"/>
    </row>
    <row r="370" spans="2:2" x14ac:dyDescent="0.25">
      <c r="B370" s="311"/>
    </row>
    <row r="371" spans="2:2" x14ac:dyDescent="0.25">
      <c r="B371" s="311"/>
    </row>
    <row r="372" spans="2:2" x14ac:dyDescent="0.25">
      <c r="B372" s="311"/>
    </row>
    <row r="373" spans="2:2" x14ac:dyDescent="0.25">
      <c r="B373" s="311"/>
    </row>
    <row r="374" spans="2:2" x14ac:dyDescent="0.25">
      <c r="B374" s="311"/>
    </row>
    <row r="375" spans="2:2" x14ac:dyDescent="0.25">
      <c r="B375" s="311"/>
    </row>
    <row r="376" spans="2:2" x14ac:dyDescent="0.25">
      <c r="B376" s="311"/>
    </row>
    <row r="377" spans="2:2" x14ac:dyDescent="0.25">
      <c r="B377" s="311"/>
    </row>
    <row r="378" spans="2:2" x14ac:dyDescent="0.25">
      <c r="B378" s="311"/>
    </row>
    <row r="379" spans="2:2" x14ac:dyDescent="0.25">
      <c r="B379" s="311"/>
    </row>
    <row r="380" spans="2:2" x14ac:dyDescent="0.25">
      <c r="B380" s="311"/>
    </row>
    <row r="381" spans="2:2" x14ac:dyDescent="0.25">
      <c r="B381" s="311"/>
    </row>
    <row r="382" spans="2:2" x14ac:dyDescent="0.25">
      <c r="B382" s="311"/>
    </row>
    <row r="383" spans="2:2" x14ac:dyDescent="0.25">
      <c r="B383" s="311"/>
    </row>
    <row r="384" spans="2:2" x14ac:dyDescent="0.25">
      <c r="B384" s="311"/>
    </row>
    <row r="385" spans="2:2" x14ac:dyDescent="0.25">
      <c r="B385" s="311"/>
    </row>
    <row r="386" spans="2:2" x14ac:dyDescent="0.25">
      <c r="B386" s="311"/>
    </row>
    <row r="387" spans="2:2" x14ac:dyDescent="0.25">
      <c r="B387" s="311"/>
    </row>
    <row r="388" spans="2:2" x14ac:dyDescent="0.25">
      <c r="B388" s="311"/>
    </row>
    <row r="389" spans="2:2" x14ac:dyDescent="0.25">
      <c r="B389" s="311"/>
    </row>
    <row r="390" spans="2:2" x14ac:dyDescent="0.25">
      <c r="B390" s="311"/>
    </row>
    <row r="391" spans="2:2" x14ac:dyDescent="0.25">
      <c r="B391" s="311"/>
    </row>
    <row r="392" spans="2:2" x14ac:dyDescent="0.25">
      <c r="B392" s="311"/>
    </row>
    <row r="393" spans="2:2" x14ac:dyDescent="0.25">
      <c r="B393" s="311"/>
    </row>
    <row r="394" spans="2:2" x14ac:dyDescent="0.25">
      <c r="B394" s="311"/>
    </row>
    <row r="395" spans="2:2" x14ac:dyDescent="0.25">
      <c r="B395" s="311"/>
    </row>
    <row r="396" spans="2:2" x14ac:dyDescent="0.25">
      <c r="B396" s="311"/>
    </row>
    <row r="397" spans="2:2" x14ac:dyDescent="0.25">
      <c r="B397" s="311"/>
    </row>
    <row r="398" spans="2:2" x14ac:dyDescent="0.25">
      <c r="B398" s="311"/>
    </row>
    <row r="399" spans="2:2" x14ac:dyDescent="0.25">
      <c r="B399" s="311"/>
    </row>
    <row r="400" spans="2:2" x14ac:dyDescent="0.25">
      <c r="B400" s="311"/>
    </row>
    <row r="401" spans="2:2" x14ac:dyDescent="0.25">
      <c r="B401" s="311"/>
    </row>
    <row r="402" spans="2:2" x14ac:dyDescent="0.25">
      <c r="B402" s="311"/>
    </row>
    <row r="403" spans="2:2" x14ac:dyDescent="0.25">
      <c r="B403" s="311"/>
    </row>
    <row r="404" spans="2:2" x14ac:dyDescent="0.25">
      <c r="B404" s="311"/>
    </row>
    <row r="405" spans="2:2" x14ac:dyDescent="0.25">
      <c r="B405" s="311"/>
    </row>
    <row r="406" spans="2:2" x14ac:dyDescent="0.25">
      <c r="B406" s="311"/>
    </row>
    <row r="407" spans="2:2" x14ac:dyDescent="0.25">
      <c r="B407" s="311"/>
    </row>
    <row r="408" spans="2:2" x14ac:dyDescent="0.25">
      <c r="B408" s="311"/>
    </row>
    <row r="409" spans="2:2" x14ac:dyDescent="0.25">
      <c r="B409" s="311"/>
    </row>
    <row r="410" spans="2:2" x14ac:dyDescent="0.25">
      <c r="B410" s="311"/>
    </row>
    <row r="411" spans="2:2" x14ac:dyDescent="0.25">
      <c r="B411" s="311"/>
    </row>
    <row r="412" spans="2:2" x14ac:dyDescent="0.25">
      <c r="B412" s="311"/>
    </row>
    <row r="413" spans="2:2" x14ac:dyDescent="0.25">
      <c r="B413" s="311"/>
    </row>
    <row r="414" spans="2:2" x14ac:dyDescent="0.25">
      <c r="B414" s="311"/>
    </row>
    <row r="415" spans="2:2" x14ac:dyDescent="0.25">
      <c r="B415" s="311"/>
    </row>
    <row r="416" spans="2:2" x14ac:dyDescent="0.25">
      <c r="B416" s="311"/>
    </row>
    <row r="417" spans="2:2" x14ac:dyDescent="0.25">
      <c r="B417" s="311"/>
    </row>
    <row r="418" spans="2:2" x14ac:dyDescent="0.25">
      <c r="B418" s="311"/>
    </row>
    <row r="419" spans="2:2" x14ac:dyDescent="0.25">
      <c r="B419" s="311"/>
    </row>
    <row r="420" spans="2:2" x14ac:dyDescent="0.25">
      <c r="B420" s="311"/>
    </row>
    <row r="421" spans="2:2" x14ac:dyDescent="0.25">
      <c r="B421" s="311"/>
    </row>
    <row r="422" spans="2:2" x14ac:dyDescent="0.25">
      <c r="B422" s="311"/>
    </row>
    <row r="423" spans="2:2" x14ac:dyDescent="0.25">
      <c r="B423" s="311"/>
    </row>
    <row r="424" spans="2:2" x14ac:dyDescent="0.25">
      <c r="B424" s="311"/>
    </row>
    <row r="425" spans="2:2" x14ac:dyDescent="0.25">
      <c r="B425" s="311"/>
    </row>
    <row r="426" spans="2:2" x14ac:dyDescent="0.25">
      <c r="B426" s="311"/>
    </row>
    <row r="427" spans="2:2" x14ac:dyDescent="0.25">
      <c r="B427" s="311"/>
    </row>
    <row r="428" spans="2:2" x14ac:dyDescent="0.25">
      <c r="B428" s="311"/>
    </row>
    <row r="429" spans="2:2" x14ac:dyDescent="0.25">
      <c r="B429" s="311"/>
    </row>
    <row r="430" spans="2:2" x14ac:dyDescent="0.25">
      <c r="B430" s="311"/>
    </row>
    <row r="431" spans="2:2" x14ac:dyDescent="0.25">
      <c r="B431" s="311"/>
    </row>
    <row r="432" spans="2:2" x14ac:dyDescent="0.25">
      <c r="B432" s="311"/>
    </row>
    <row r="433" spans="2:2" x14ac:dyDescent="0.25">
      <c r="B433" s="311"/>
    </row>
    <row r="434" spans="2:2" x14ac:dyDescent="0.25">
      <c r="B434" s="311"/>
    </row>
    <row r="435" spans="2:2" x14ac:dyDescent="0.25">
      <c r="B435" s="311"/>
    </row>
    <row r="436" spans="2:2" x14ac:dyDescent="0.25">
      <c r="B436" s="311"/>
    </row>
    <row r="437" spans="2:2" x14ac:dyDescent="0.25">
      <c r="B437" s="311"/>
    </row>
    <row r="438" spans="2:2" x14ac:dyDescent="0.25">
      <c r="B438" s="311"/>
    </row>
    <row r="439" spans="2:2" x14ac:dyDescent="0.25">
      <c r="B439" s="311"/>
    </row>
    <row r="440" spans="2:2" x14ac:dyDescent="0.25">
      <c r="B440" s="311"/>
    </row>
    <row r="441" spans="2:2" x14ac:dyDescent="0.25">
      <c r="B441" s="311"/>
    </row>
    <row r="442" spans="2:2" x14ac:dyDescent="0.25">
      <c r="B442" s="311"/>
    </row>
    <row r="443" spans="2:2" x14ac:dyDescent="0.25">
      <c r="B443" s="311"/>
    </row>
    <row r="444" spans="2:2" x14ac:dyDescent="0.25">
      <c r="B444" s="311"/>
    </row>
    <row r="445" spans="2:2" x14ac:dyDescent="0.25">
      <c r="B445" s="311"/>
    </row>
    <row r="446" spans="2:2" x14ac:dyDescent="0.25">
      <c r="B446" s="311"/>
    </row>
    <row r="447" spans="2:2" x14ac:dyDescent="0.25">
      <c r="B447" s="311"/>
    </row>
    <row r="448" spans="2:2" x14ac:dyDescent="0.25">
      <c r="B448" s="311"/>
    </row>
    <row r="449" spans="2:2" x14ac:dyDescent="0.25">
      <c r="B449" s="311"/>
    </row>
    <row r="450" spans="2:2" x14ac:dyDescent="0.25">
      <c r="B450" s="311"/>
    </row>
    <row r="451" spans="2:2" x14ac:dyDescent="0.25">
      <c r="B451" s="311"/>
    </row>
    <row r="452" spans="2:2" x14ac:dyDescent="0.25">
      <c r="B452" s="311"/>
    </row>
    <row r="453" spans="2:2" x14ac:dyDescent="0.25">
      <c r="B453" s="311"/>
    </row>
    <row r="454" spans="2:2" x14ac:dyDescent="0.25">
      <c r="B454" s="311"/>
    </row>
    <row r="455" spans="2:2" x14ac:dyDescent="0.25">
      <c r="B455" s="311"/>
    </row>
    <row r="456" spans="2:2" x14ac:dyDescent="0.25">
      <c r="B456" s="311"/>
    </row>
    <row r="457" spans="2:2" x14ac:dyDescent="0.25">
      <c r="B457" s="311"/>
    </row>
    <row r="458" spans="2:2" x14ac:dyDescent="0.25">
      <c r="B458" s="311"/>
    </row>
    <row r="459" spans="2:2" x14ac:dyDescent="0.25">
      <c r="B459" s="311"/>
    </row>
    <row r="460" spans="2:2" x14ac:dyDescent="0.25">
      <c r="B460" s="311"/>
    </row>
    <row r="461" spans="2:2" x14ac:dyDescent="0.25">
      <c r="B461" s="311"/>
    </row>
    <row r="462" spans="2:2" x14ac:dyDescent="0.25">
      <c r="B462" s="311"/>
    </row>
    <row r="463" spans="2:2" x14ac:dyDescent="0.25">
      <c r="B463" s="311"/>
    </row>
    <row r="464" spans="2:2" x14ac:dyDescent="0.25">
      <c r="B464" s="311"/>
    </row>
    <row r="465" spans="2:2" x14ac:dyDescent="0.25">
      <c r="B465" s="311"/>
    </row>
    <row r="466" spans="2:2" x14ac:dyDescent="0.25">
      <c r="B466" s="311"/>
    </row>
    <row r="467" spans="2:2" x14ac:dyDescent="0.25">
      <c r="B467" s="311"/>
    </row>
    <row r="468" spans="2:2" x14ac:dyDescent="0.25">
      <c r="B468" s="311"/>
    </row>
    <row r="469" spans="2:2" x14ac:dyDescent="0.25">
      <c r="B469" s="311"/>
    </row>
    <row r="470" spans="2:2" x14ac:dyDescent="0.25">
      <c r="B470" s="311"/>
    </row>
    <row r="471" spans="2:2" x14ac:dyDescent="0.25">
      <c r="B471" s="311"/>
    </row>
    <row r="472" spans="2:2" x14ac:dyDescent="0.25">
      <c r="B472" s="311"/>
    </row>
    <row r="473" spans="2:2" x14ac:dyDescent="0.25">
      <c r="B473" s="311"/>
    </row>
    <row r="474" spans="2:2" x14ac:dyDescent="0.25">
      <c r="B474" s="311"/>
    </row>
    <row r="475" spans="2:2" x14ac:dyDescent="0.25">
      <c r="B475" s="311"/>
    </row>
    <row r="476" spans="2:2" x14ac:dyDescent="0.25">
      <c r="B476" s="311"/>
    </row>
    <row r="477" spans="2:2" x14ac:dyDescent="0.25">
      <c r="B477" s="311"/>
    </row>
    <row r="478" spans="2:2" x14ac:dyDescent="0.25">
      <c r="B478" s="311"/>
    </row>
    <row r="479" spans="2:2" x14ac:dyDescent="0.25">
      <c r="B479" s="311"/>
    </row>
    <row r="480" spans="2:2" x14ac:dyDescent="0.25">
      <c r="B480" s="311"/>
    </row>
    <row r="481" spans="2:2" x14ac:dyDescent="0.25">
      <c r="B481" s="311"/>
    </row>
    <row r="482" spans="2:2" x14ac:dyDescent="0.25">
      <c r="B482" s="311"/>
    </row>
    <row r="483" spans="2:2" x14ac:dyDescent="0.25">
      <c r="B483" s="311"/>
    </row>
    <row r="484" spans="2:2" x14ac:dyDescent="0.25">
      <c r="B484" s="311"/>
    </row>
    <row r="485" spans="2:2" x14ac:dyDescent="0.25">
      <c r="B485" s="311"/>
    </row>
    <row r="486" spans="2:2" x14ac:dyDescent="0.25">
      <c r="B486" s="311"/>
    </row>
    <row r="487" spans="2:2" x14ac:dyDescent="0.25">
      <c r="B487" s="311"/>
    </row>
    <row r="488" spans="2:2" x14ac:dyDescent="0.25">
      <c r="B488" s="311"/>
    </row>
    <row r="489" spans="2:2" x14ac:dyDescent="0.25">
      <c r="B489" s="311"/>
    </row>
    <row r="490" spans="2:2" x14ac:dyDescent="0.25">
      <c r="B490" s="311"/>
    </row>
    <row r="491" spans="2:2" x14ac:dyDescent="0.25">
      <c r="B491" s="311"/>
    </row>
    <row r="492" spans="2:2" x14ac:dyDescent="0.25">
      <c r="B492" s="311"/>
    </row>
    <row r="493" spans="2:2" x14ac:dyDescent="0.25">
      <c r="B493" s="311"/>
    </row>
    <row r="494" spans="2:2" x14ac:dyDescent="0.25">
      <c r="B494" s="311"/>
    </row>
    <row r="495" spans="2:2" x14ac:dyDescent="0.25">
      <c r="B495" s="311"/>
    </row>
    <row r="496" spans="2:2" x14ac:dyDescent="0.25">
      <c r="B496" s="311"/>
    </row>
    <row r="497" spans="2:2" x14ac:dyDescent="0.25">
      <c r="B497" s="311"/>
    </row>
    <row r="498" spans="2:2" x14ac:dyDescent="0.25">
      <c r="B498" s="311"/>
    </row>
    <row r="499" spans="2:2" x14ac:dyDescent="0.25">
      <c r="B499" s="311"/>
    </row>
    <row r="500" spans="2:2" x14ac:dyDescent="0.25">
      <c r="B500" s="311"/>
    </row>
    <row r="501" spans="2:2" x14ac:dyDescent="0.25">
      <c r="B501" s="311"/>
    </row>
    <row r="502" spans="2:2" x14ac:dyDescent="0.25">
      <c r="B502" s="311"/>
    </row>
    <row r="503" spans="2:2" x14ac:dyDescent="0.25">
      <c r="B503" s="311"/>
    </row>
    <row r="504" spans="2:2" x14ac:dyDescent="0.25">
      <c r="B504" s="311"/>
    </row>
    <row r="505" spans="2:2" x14ac:dyDescent="0.25">
      <c r="B505" s="311"/>
    </row>
    <row r="506" spans="2:2" x14ac:dyDescent="0.25">
      <c r="B506" s="311"/>
    </row>
    <row r="507" spans="2:2" x14ac:dyDescent="0.25">
      <c r="B507" s="311"/>
    </row>
    <row r="508" spans="2:2" x14ac:dyDescent="0.25">
      <c r="B508" s="311"/>
    </row>
    <row r="509" spans="2:2" x14ac:dyDescent="0.25">
      <c r="B509" s="311"/>
    </row>
    <row r="510" spans="2:2" x14ac:dyDescent="0.25">
      <c r="B510" s="311"/>
    </row>
    <row r="511" spans="2:2" x14ac:dyDescent="0.25">
      <c r="B511" s="311"/>
    </row>
    <row r="512" spans="2:2" x14ac:dyDescent="0.25">
      <c r="B512" s="311"/>
    </row>
    <row r="513" spans="2:2" x14ac:dyDescent="0.25">
      <c r="B513" s="311"/>
    </row>
    <row r="514" spans="2:2" x14ac:dyDescent="0.25">
      <c r="B514" s="311"/>
    </row>
    <row r="515" spans="2:2" x14ac:dyDescent="0.25">
      <c r="B515" s="311"/>
    </row>
    <row r="516" spans="2:2" x14ac:dyDescent="0.25">
      <c r="B516" s="311"/>
    </row>
    <row r="517" spans="2:2" x14ac:dyDescent="0.25">
      <c r="B517" s="311"/>
    </row>
    <row r="518" spans="2:2" x14ac:dyDescent="0.25">
      <c r="B518" s="311"/>
    </row>
    <row r="519" spans="2:2" x14ac:dyDescent="0.25">
      <c r="B519" s="311"/>
    </row>
    <row r="520" spans="2:2" x14ac:dyDescent="0.25">
      <c r="B520" s="311"/>
    </row>
    <row r="521" spans="2:2" x14ac:dyDescent="0.25">
      <c r="B521" s="311"/>
    </row>
    <row r="522" spans="2:2" x14ac:dyDescent="0.25">
      <c r="B522" s="311"/>
    </row>
    <row r="523" spans="2:2" x14ac:dyDescent="0.25">
      <c r="B523" s="311"/>
    </row>
    <row r="524" spans="2:2" x14ac:dyDescent="0.25">
      <c r="B524" s="311"/>
    </row>
    <row r="525" spans="2:2" x14ac:dyDescent="0.25">
      <c r="B525" s="311"/>
    </row>
    <row r="526" spans="2:2" x14ac:dyDescent="0.25">
      <c r="B526" s="311"/>
    </row>
    <row r="527" spans="2:2" x14ac:dyDescent="0.25">
      <c r="B527" s="311"/>
    </row>
    <row r="528" spans="2:2" x14ac:dyDescent="0.25">
      <c r="B528" s="311"/>
    </row>
    <row r="529" spans="2:2" x14ac:dyDescent="0.25">
      <c r="B529" s="311"/>
    </row>
    <row r="530" spans="2:2" x14ac:dyDescent="0.25">
      <c r="B530" s="311"/>
    </row>
    <row r="531" spans="2:2" x14ac:dyDescent="0.25">
      <c r="B531" s="311"/>
    </row>
    <row r="532" spans="2:2" x14ac:dyDescent="0.25">
      <c r="B532" s="311"/>
    </row>
    <row r="533" spans="2:2" x14ac:dyDescent="0.25">
      <c r="B533" s="311"/>
    </row>
    <row r="534" spans="2:2" x14ac:dyDescent="0.25">
      <c r="B534" s="311"/>
    </row>
    <row r="535" spans="2:2" x14ac:dyDescent="0.25">
      <c r="B535" s="311"/>
    </row>
    <row r="536" spans="2:2" x14ac:dyDescent="0.25">
      <c r="B536" s="311"/>
    </row>
    <row r="537" spans="2:2" x14ac:dyDescent="0.25">
      <c r="B537" s="311"/>
    </row>
    <row r="538" spans="2:2" x14ac:dyDescent="0.25">
      <c r="B538" s="311"/>
    </row>
    <row r="539" spans="2:2" x14ac:dyDescent="0.25">
      <c r="B539" s="311"/>
    </row>
    <row r="540" spans="2:2" x14ac:dyDescent="0.25">
      <c r="B540" s="311"/>
    </row>
    <row r="541" spans="2:2" x14ac:dyDescent="0.25">
      <c r="B541" s="311"/>
    </row>
    <row r="542" spans="2:2" x14ac:dyDescent="0.25">
      <c r="B542" s="311"/>
    </row>
    <row r="543" spans="2:2" x14ac:dyDescent="0.25">
      <c r="B543" s="311"/>
    </row>
    <row r="544" spans="2:2" x14ac:dyDescent="0.25">
      <c r="B544" s="311"/>
    </row>
    <row r="545" spans="2:2" x14ac:dyDescent="0.25">
      <c r="B545" s="311"/>
    </row>
    <row r="546" spans="2:2" x14ac:dyDescent="0.25">
      <c r="B546" s="311"/>
    </row>
    <row r="547" spans="2:2" x14ac:dyDescent="0.25">
      <c r="B547" s="311"/>
    </row>
    <row r="548" spans="2:2" x14ac:dyDescent="0.25">
      <c r="B548" s="311"/>
    </row>
    <row r="549" spans="2:2" x14ac:dyDescent="0.25">
      <c r="B549" s="311"/>
    </row>
    <row r="550" spans="2:2" x14ac:dyDescent="0.25">
      <c r="B550" s="311"/>
    </row>
    <row r="551" spans="2:2" x14ac:dyDescent="0.25">
      <c r="B551" s="311"/>
    </row>
    <row r="552" spans="2:2" x14ac:dyDescent="0.25">
      <c r="B552" s="311"/>
    </row>
    <row r="553" spans="2:2" x14ac:dyDescent="0.25">
      <c r="B553" s="311"/>
    </row>
    <row r="554" spans="2:2" x14ac:dyDescent="0.25">
      <c r="B554" s="311"/>
    </row>
    <row r="555" spans="2:2" x14ac:dyDescent="0.25">
      <c r="B555" s="311"/>
    </row>
    <row r="556" spans="2:2" x14ac:dyDescent="0.25">
      <c r="B556" s="311"/>
    </row>
    <row r="557" spans="2:2" x14ac:dyDescent="0.25">
      <c r="B557" s="311"/>
    </row>
    <row r="558" spans="2:2" x14ac:dyDescent="0.25">
      <c r="B558" s="311"/>
    </row>
    <row r="559" spans="2:2" x14ac:dyDescent="0.25">
      <c r="B559" s="311"/>
    </row>
    <row r="560" spans="2:2" x14ac:dyDescent="0.25">
      <c r="B560" s="311"/>
    </row>
    <row r="561" spans="2:2" x14ac:dyDescent="0.25">
      <c r="B561" s="311"/>
    </row>
    <row r="562" spans="2:2" x14ac:dyDescent="0.25">
      <c r="B562" s="311"/>
    </row>
    <row r="563" spans="2:2" x14ac:dyDescent="0.25">
      <c r="B563" s="311"/>
    </row>
    <row r="564" spans="2:2" x14ac:dyDescent="0.25">
      <c r="B564" s="311"/>
    </row>
    <row r="565" spans="2:2" x14ac:dyDescent="0.25">
      <c r="B565" s="311"/>
    </row>
    <row r="566" spans="2:2" x14ac:dyDescent="0.25">
      <c r="B566" s="311"/>
    </row>
    <row r="567" spans="2:2" x14ac:dyDescent="0.25">
      <c r="B567" s="311"/>
    </row>
    <row r="568" spans="2:2" x14ac:dyDescent="0.25">
      <c r="B568" s="311"/>
    </row>
    <row r="569" spans="2:2" x14ac:dyDescent="0.25">
      <c r="B569" s="311"/>
    </row>
    <row r="570" spans="2:2" x14ac:dyDescent="0.25">
      <c r="B570" s="311"/>
    </row>
    <row r="571" spans="2:2" x14ac:dyDescent="0.25">
      <c r="B571" s="311"/>
    </row>
    <row r="572" spans="2:2" x14ac:dyDescent="0.25">
      <c r="B572" s="311"/>
    </row>
    <row r="573" spans="2:2" x14ac:dyDescent="0.25">
      <c r="B573" s="311"/>
    </row>
    <row r="574" spans="2:2" x14ac:dyDescent="0.25">
      <c r="B574" s="311"/>
    </row>
    <row r="575" spans="2:2" x14ac:dyDescent="0.25">
      <c r="B575" s="311"/>
    </row>
    <row r="576" spans="2:2" x14ac:dyDescent="0.25">
      <c r="B576" s="311"/>
    </row>
    <row r="577" spans="2:2" x14ac:dyDescent="0.25">
      <c r="B577" s="311"/>
    </row>
    <row r="578" spans="2:2" x14ac:dyDescent="0.25">
      <c r="B578" s="311"/>
    </row>
    <row r="579" spans="2:2" x14ac:dyDescent="0.25">
      <c r="B579" s="311"/>
    </row>
    <row r="580" spans="2:2" x14ac:dyDescent="0.25">
      <c r="B580" s="311"/>
    </row>
    <row r="581" spans="2:2" x14ac:dyDescent="0.25">
      <c r="B581" s="311"/>
    </row>
    <row r="582" spans="2:2" x14ac:dyDescent="0.25">
      <c r="B582" s="311"/>
    </row>
    <row r="583" spans="2:2" x14ac:dyDescent="0.25">
      <c r="B583" s="311"/>
    </row>
    <row r="584" spans="2:2" x14ac:dyDescent="0.25">
      <c r="B584" s="311"/>
    </row>
    <row r="585" spans="2:2" x14ac:dyDescent="0.25">
      <c r="B585" s="311"/>
    </row>
    <row r="586" spans="2:2" x14ac:dyDescent="0.25">
      <c r="B586" s="311"/>
    </row>
    <row r="587" spans="2:2" x14ac:dyDescent="0.25">
      <c r="B587" s="311"/>
    </row>
    <row r="588" spans="2:2" x14ac:dyDescent="0.25">
      <c r="B588" s="311"/>
    </row>
    <row r="589" spans="2:2" x14ac:dyDescent="0.25">
      <c r="B589" s="311"/>
    </row>
    <row r="590" spans="2:2" x14ac:dyDescent="0.25">
      <c r="B590" s="311"/>
    </row>
    <row r="591" spans="2:2" x14ac:dyDescent="0.25">
      <c r="B591" s="311"/>
    </row>
    <row r="592" spans="2:2" x14ac:dyDescent="0.25">
      <c r="B592" s="311"/>
    </row>
    <row r="593" spans="2:2" x14ac:dyDescent="0.25">
      <c r="B593" s="311"/>
    </row>
    <row r="594" spans="2:2" x14ac:dyDescent="0.25">
      <c r="B594" s="311"/>
    </row>
    <row r="595" spans="2:2" x14ac:dyDescent="0.25">
      <c r="B595" s="311"/>
    </row>
    <row r="596" spans="2:2" x14ac:dyDescent="0.25">
      <c r="B596" s="311"/>
    </row>
    <row r="597" spans="2:2" x14ac:dyDescent="0.25">
      <c r="B597" s="311"/>
    </row>
    <row r="598" spans="2:2" x14ac:dyDescent="0.25">
      <c r="B598" s="311"/>
    </row>
    <row r="599" spans="2:2" x14ac:dyDescent="0.25">
      <c r="B599" s="311"/>
    </row>
    <row r="600" spans="2:2" x14ac:dyDescent="0.25">
      <c r="B600" s="311"/>
    </row>
    <row r="601" spans="2:2" x14ac:dyDescent="0.25">
      <c r="B601" s="311"/>
    </row>
    <row r="602" spans="2:2" x14ac:dyDescent="0.25">
      <c r="B602" s="311"/>
    </row>
    <row r="603" spans="2:2" x14ac:dyDescent="0.25">
      <c r="B603" s="311"/>
    </row>
    <row r="604" spans="2:2" x14ac:dyDescent="0.25">
      <c r="B604" s="311"/>
    </row>
    <row r="605" spans="2:2" x14ac:dyDescent="0.25">
      <c r="B605" s="311"/>
    </row>
    <row r="606" spans="2:2" x14ac:dyDescent="0.25">
      <c r="B606" s="311"/>
    </row>
    <row r="607" spans="2:2" x14ac:dyDescent="0.25">
      <c r="B607" s="311"/>
    </row>
    <row r="608" spans="2:2" x14ac:dyDescent="0.25">
      <c r="B608" s="311"/>
    </row>
    <row r="609" spans="2:2" x14ac:dyDescent="0.25">
      <c r="B609" s="311"/>
    </row>
    <row r="610" spans="2:2" x14ac:dyDescent="0.25">
      <c r="B610" s="311"/>
    </row>
    <row r="611" spans="2:2" x14ac:dyDescent="0.25">
      <c r="B611" s="311"/>
    </row>
    <row r="612" spans="2:2" x14ac:dyDescent="0.25">
      <c r="B612" s="311"/>
    </row>
    <row r="613" spans="2:2" x14ac:dyDescent="0.25">
      <c r="B613" s="311"/>
    </row>
    <row r="614" spans="2:2" x14ac:dyDescent="0.25">
      <c r="B614" s="311"/>
    </row>
    <row r="615" spans="2:2" x14ac:dyDescent="0.25">
      <c r="B615" s="311"/>
    </row>
    <row r="616" spans="2:2" x14ac:dyDescent="0.25">
      <c r="B616" s="311"/>
    </row>
    <row r="617" spans="2:2" x14ac:dyDescent="0.25">
      <c r="B617" s="311"/>
    </row>
    <row r="618" spans="2:2" x14ac:dyDescent="0.25">
      <c r="B618" s="311"/>
    </row>
    <row r="619" spans="2:2" x14ac:dyDescent="0.25">
      <c r="B619" s="311"/>
    </row>
    <row r="620" spans="2:2" x14ac:dyDescent="0.25">
      <c r="B620" s="311"/>
    </row>
    <row r="621" spans="2:2" x14ac:dyDescent="0.25">
      <c r="B621" s="311"/>
    </row>
    <row r="622" spans="2:2" x14ac:dyDescent="0.25">
      <c r="B622" s="311"/>
    </row>
    <row r="623" spans="2:2" x14ac:dyDescent="0.25">
      <c r="B623" s="311"/>
    </row>
    <row r="624" spans="2:2" x14ac:dyDescent="0.25">
      <c r="B624" s="311"/>
    </row>
    <row r="625" spans="2:2" x14ac:dyDescent="0.25">
      <c r="B625" s="311"/>
    </row>
    <row r="626" spans="2:2" x14ac:dyDescent="0.25">
      <c r="B626" s="311"/>
    </row>
    <row r="627" spans="2:2" x14ac:dyDescent="0.25">
      <c r="B627" s="311"/>
    </row>
    <row r="628" spans="2:2" x14ac:dyDescent="0.25">
      <c r="B628" s="311"/>
    </row>
    <row r="629" spans="2:2" x14ac:dyDescent="0.25">
      <c r="B629" s="311"/>
    </row>
    <row r="630" spans="2:2" x14ac:dyDescent="0.25">
      <c r="B630" s="311"/>
    </row>
    <row r="631" spans="2:2" x14ac:dyDescent="0.25">
      <c r="B631" s="311"/>
    </row>
    <row r="632" spans="2:2" x14ac:dyDescent="0.25">
      <c r="B632" s="311"/>
    </row>
    <row r="633" spans="2:2" x14ac:dyDescent="0.25">
      <c r="B633" s="311"/>
    </row>
    <row r="634" spans="2:2" x14ac:dyDescent="0.25">
      <c r="B634" s="311"/>
    </row>
    <row r="635" spans="2:2" x14ac:dyDescent="0.25">
      <c r="B635" s="311"/>
    </row>
    <row r="636" spans="2:2" x14ac:dyDescent="0.25">
      <c r="B636" s="311"/>
    </row>
    <row r="637" spans="2:2" x14ac:dyDescent="0.25">
      <c r="B637" s="311"/>
    </row>
    <row r="638" spans="2:2" x14ac:dyDescent="0.25">
      <c r="B638" s="311"/>
    </row>
    <row r="639" spans="2:2" x14ac:dyDescent="0.25">
      <c r="B639" s="311"/>
    </row>
    <row r="640" spans="2:2" x14ac:dyDescent="0.25">
      <c r="B640" s="311"/>
    </row>
    <row r="641" spans="2:2" x14ac:dyDescent="0.25">
      <c r="B641" s="311"/>
    </row>
    <row r="642" spans="2:2" x14ac:dyDescent="0.25">
      <c r="B642" s="311"/>
    </row>
    <row r="643" spans="2:2" x14ac:dyDescent="0.25">
      <c r="B643" s="311"/>
    </row>
    <row r="644" spans="2:2" x14ac:dyDescent="0.25">
      <c r="B644" s="311"/>
    </row>
    <row r="645" spans="2:2" x14ac:dyDescent="0.25">
      <c r="B645" s="311"/>
    </row>
    <row r="646" spans="2:2" x14ac:dyDescent="0.25">
      <c r="B646" s="311"/>
    </row>
    <row r="647" spans="2:2" x14ac:dyDescent="0.25">
      <c r="B647" s="311"/>
    </row>
    <row r="648" spans="2:2" x14ac:dyDescent="0.25">
      <c r="B648" s="311"/>
    </row>
    <row r="649" spans="2:2" x14ac:dyDescent="0.25">
      <c r="B649" s="311"/>
    </row>
    <row r="650" spans="2:2" x14ac:dyDescent="0.25">
      <c r="B650" s="311"/>
    </row>
    <row r="651" spans="2:2" x14ac:dyDescent="0.25">
      <c r="B651" s="311"/>
    </row>
    <row r="652" spans="2:2" x14ac:dyDescent="0.25">
      <c r="B652" s="311"/>
    </row>
    <row r="653" spans="2:2" x14ac:dyDescent="0.25">
      <c r="B653" s="311"/>
    </row>
    <row r="654" spans="2:2" x14ac:dyDescent="0.25">
      <c r="B654" s="311"/>
    </row>
    <row r="655" spans="2:2" x14ac:dyDescent="0.25">
      <c r="B655" s="311"/>
    </row>
    <row r="656" spans="2:2" x14ac:dyDescent="0.25">
      <c r="B656" s="311"/>
    </row>
    <row r="657" spans="2:2" x14ac:dyDescent="0.25">
      <c r="B657" s="311"/>
    </row>
    <row r="658" spans="2:2" x14ac:dyDescent="0.25">
      <c r="B658" s="311"/>
    </row>
    <row r="659" spans="2:2" x14ac:dyDescent="0.25">
      <c r="B659" s="311"/>
    </row>
    <row r="660" spans="2:2" x14ac:dyDescent="0.25">
      <c r="B660" s="311"/>
    </row>
    <row r="661" spans="2:2" x14ac:dyDescent="0.25">
      <c r="B661" s="311"/>
    </row>
    <row r="662" spans="2:2" x14ac:dyDescent="0.25">
      <c r="B662" s="311"/>
    </row>
    <row r="663" spans="2:2" x14ac:dyDescent="0.25">
      <c r="B663" s="311"/>
    </row>
    <row r="664" spans="2:2" x14ac:dyDescent="0.25">
      <c r="B664" s="311"/>
    </row>
    <row r="665" spans="2:2" x14ac:dyDescent="0.25">
      <c r="B665" s="311"/>
    </row>
    <row r="666" spans="2:2" x14ac:dyDescent="0.25">
      <c r="B666" s="311"/>
    </row>
    <row r="667" spans="2:2" x14ac:dyDescent="0.25">
      <c r="B667" s="311"/>
    </row>
    <row r="668" spans="2:2" x14ac:dyDescent="0.25">
      <c r="B668" s="311"/>
    </row>
    <row r="669" spans="2:2" x14ac:dyDescent="0.25">
      <c r="B669" s="311"/>
    </row>
    <row r="670" spans="2:2" x14ac:dyDescent="0.25">
      <c r="B670" s="311"/>
    </row>
    <row r="671" spans="2:2" x14ac:dyDescent="0.25">
      <c r="B671" s="311"/>
    </row>
    <row r="672" spans="2:2" x14ac:dyDescent="0.25">
      <c r="B672" s="311"/>
    </row>
    <row r="673" spans="2:2" x14ac:dyDescent="0.25">
      <c r="B673" s="311"/>
    </row>
    <row r="674" spans="2:2" x14ac:dyDescent="0.25">
      <c r="B674" s="311"/>
    </row>
    <row r="675" spans="2:2" x14ac:dyDescent="0.25">
      <c r="B675" s="311"/>
    </row>
    <row r="676" spans="2:2" x14ac:dyDescent="0.25">
      <c r="B676" s="311"/>
    </row>
    <row r="677" spans="2:2" x14ac:dyDescent="0.25">
      <c r="B677" s="311"/>
    </row>
    <row r="678" spans="2:2" x14ac:dyDescent="0.25">
      <c r="B678" s="311"/>
    </row>
    <row r="679" spans="2:2" x14ac:dyDescent="0.25">
      <c r="B679" s="311"/>
    </row>
    <row r="680" spans="2:2" x14ac:dyDescent="0.25">
      <c r="B680" s="311"/>
    </row>
    <row r="681" spans="2:2" x14ac:dyDescent="0.25">
      <c r="B681" s="311"/>
    </row>
    <row r="682" spans="2:2" x14ac:dyDescent="0.25">
      <c r="B682" s="311"/>
    </row>
    <row r="683" spans="2:2" x14ac:dyDescent="0.25">
      <c r="B683" s="311"/>
    </row>
    <row r="684" spans="2:2" x14ac:dyDescent="0.25">
      <c r="B684" s="311"/>
    </row>
    <row r="685" spans="2:2" x14ac:dyDescent="0.25">
      <c r="B685" s="311"/>
    </row>
    <row r="686" spans="2:2" x14ac:dyDescent="0.25">
      <c r="B686" s="311"/>
    </row>
    <row r="687" spans="2:2" x14ac:dyDescent="0.25">
      <c r="B687" s="311"/>
    </row>
    <row r="688" spans="2:2" x14ac:dyDescent="0.25">
      <c r="B688" s="311"/>
    </row>
    <row r="689" spans="2:2" x14ac:dyDescent="0.25">
      <c r="B689" s="311"/>
    </row>
    <row r="690" spans="2:2" x14ac:dyDescent="0.25">
      <c r="B690" s="311"/>
    </row>
    <row r="691" spans="2:2" x14ac:dyDescent="0.25">
      <c r="B691" s="311"/>
    </row>
    <row r="692" spans="2:2" x14ac:dyDescent="0.25">
      <c r="B692" s="311"/>
    </row>
    <row r="693" spans="2:2" x14ac:dyDescent="0.25">
      <c r="B693" s="311"/>
    </row>
    <row r="694" spans="2:2" x14ac:dyDescent="0.25">
      <c r="B694" s="311"/>
    </row>
    <row r="695" spans="2:2" x14ac:dyDescent="0.25">
      <c r="B695" s="311"/>
    </row>
    <row r="696" spans="2:2" x14ac:dyDescent="0.25">
      <c r="B696" s="311"/>
    </row>
    <row r="697" spans="2:2" x14ac:dyDescent="0.25">
      <c r="B697" s="311"/>
    </row>
    <row r="698" spans="2:2" x14ac:dyDescent="0.25">
      <c r="B698" s="311"/>
    </row>
    <row r="699" spans="2:2" x14ac:dyDescent="0.25">
      <c r="B699" s="311"/>
    </row>
    <row r="700" spans="2:2" x14ac:dyDescent="0.25">
      <c r="B700" s="311"/>
    </row>
    <row r="701" spans="2:2" x14ac:dyDescent="0.25">
      <c r="B701" s="311"/>
    </row>
    <row r="702" spans="2:2" x14ac:dyDescent="0.25">
      <c r="B702" s="311"/>
    </row>
    <row r="703" spans="2:2" x14ac:dyDescent="0.25">
      <c r="B703" s="311"/>
    </row>
    <row r="704" spans="2:2" x14ac:dyDescent="0.25">
      <c r="B704" s="311"/>
    </row>
    <row r="705" spans="2:2" x14ac:dyDescent="0.25">
      <c r="B705" s="311"/>
    </row>
    <row r="706" spans="2:2" x14ac:dyDescent="0.25">
      <c r="B706" s="311"/>
    </row>
    <row r="707" spans="2:2" x14ac:dyDescent="0.25">
      <c r="B707" s="311"/>
    </row>
    <row r="708" spans="2:2" x14ac:dyDescent="0.25">
      <c r="B708" s="311"/>
    </row>
    <row r="709" spans="2:2" x14ac:dyDescent="0.25">
      <c r="B709" s="311"/>
    </row>
    <row r="710" spans="2:2" x14ac:dyDescent="0.25">
      <c r="B710" s="311"/>
    </row>
    <row r="711" spans="2:2" x14ac:dyDescent="0.25">
      <c r="B711" s="311"/>
    </row>
    <row r="712" spans="2:2" x14ac:dyDescent="0.25">
      <c r="B712" s="311"/>
    </row>
    <row r="713" spans="2:2" x14ac:dyDescent="0.25">
      <c r="B713" s="311"/>
    </row>
    <row r="714" spans="2:2" x14ac:dyDescent="0.25">
      <c r="B714" s="311"/>
    </row>
    <row r="715" spans="2:2" x14ac:dyDescent="0.25">
      <c r="B715" s="311"/>
    </row>
    <row r="716" spans="2:2" x14ac:dyDescent="0.25">
      <c r="B716" s="311"/>
    </row>
    <row r="717" spans="2:2" x14ac:dyDescent="0.25">
      <c r="B717" s="311"/>
    </row>
    <row r="718" spans="2:2" x14ac:dyDescent="0.25">
      <c r="B718" s="311"/>
    </row>
    <row r="719" spans="2:2" x14ac:dyDescent="0.25">
      <c r="B719" s="311"/>
    </row>
    <row r="720" spans="2:2" x14ac:dyDescent="0.25">
      <c r="B720" s="311"/>
    </row>
    <row r="721" spans="2:2" x14ac:dyDescent="0.25">
      <c r="B721" s="311"/>
    </row>
    <row r="722" spans="2:2" x14ac:dyDescent="0.25">
      <c r="B722" s="311"/>
    </row>
    <row r="723" spans="2:2" x14ac:dyDescent="0.25">
      <c r="B723" s="311"/>
    </row>
    <row r="724" spans="2:2" x14ac:dyDescent="0.25">
      <c r="B724" s="311"/>
    </row>
    <row r="725" spans="2:2" x14ac:dyDescent="0.25">
      <c r="B725" s="311"/>
    </row>
    <row r="726" spans="2:2" x14ac:dyDescent="0.25">
      <c r="B726" s="311"/>
    </row>
    <row r="727" spans="2:2" x14ac:dyDescent="0.25">
      <c r="B727" s="311"/>
    </row>
    <row r="728" spans="2:2" x14ac:dyDescent="0.25">
      <c r="B728" s="311"/>
    </row>
    <row r="729" spans="2:2" x14ac:dyDescent="0.25">
      <c r="B729" s="311"/>
    </row>
    <row r="730" spans="2:2" x14ac:dyDescent="0.25">
      <c r="B730" s="311"/>
    </row>
    <row r="731" spans="2:2" x14ac:dyDescent="0.25">
      <c r="B731" s="311"/>
    </row>
    <row r="732" spans="2:2" x14ac:dyDescent="0.25">
      <c r="B732" s="311"/>
    </row>
    <row r="733" spans="2:2" x14ac:dyDescent="0.25">
      <c r="B733" s="311"/>
    </row>
    <row r="734" spans="2:2" x14ac:dyDescent="0.25">
      <c r="B734" s="311"/>
    </row>
    <row r="735" spans="2:2" x14ac:dyDescent="0.25">
      <c r="B735" s="311"/>
    </row>
    <row r="736" spans="2:2" x14ac:dyDescent="0.25">
      <c r="B736" s="311"/>
    </row>
    <row r="737" spans="2:2" x14ac:dyDescent="0.25">
      <c r="B737" s="311"/>
    </row>
    <row r="738" spans="2:2" x14ac:dyDescent="0.25">
      <c r="B738" s="311"/>
    </row>
    <row r="739" spans="2:2" x14ac:dyDescent="0.25">
      <c r="B739" s="311"/>
    </row>
    <row r="740" spans="2:2" x14ac:dyDescent="0.25">
      <c r="B740" s="311"/>
    </row>
    <row r="741" spans="2:2" x14ac:dyDescent="0.25">
      <c r="B741" s="311"/>
    </row>
    <row r="742" spans="2:2" x14ac:dyDescent="0.25">
      <c r="B742" s="311"/>
    </row>
    <row r="743" spans="2:2" x14ac:dyDescent="0.25">
      <c r="B743" s="311"/>
    </row>
    <row r="744" spans="2:2" x14ac:dyDescent="0.25">
      <c r="B744" s="311"/>
    </row>
    <row r="745" spans="2:2" x14ac:dyDescent="0.25">
      <c r="B745" s="311"/>
    </row>
    <row r="746" spans="2:2" x14ac:dyDescent="0.25">
      <c r="B746" s="311"/>
    </row>
    <row r="747" spans="2:2" x14ac:dyDescent="0.25">
      <c r="B747" s="311"/>
    </row>
    <row r="748" spans="2:2" x14ac:dyDescent="0.25">
      <c r="B748" s="311"/>
    </row>
    <row r="749" spans="2:2" x14ac:dyDescent="0.25">
      <c r="B749" s="311"/>
    </row>
    <row r="750" spans="2:2" x14ac:dyDescent="0.25">
      <c r="B750" s="311"/>
    </row>
    <row r="751" spans="2:2" x14ac:dyDescent="0.25">
      <c r="B751" s="311"/>
    </row>
    <row r="752" spans="2:2" x14ac:dyDescent="0.25">
      <c r="B752" s="311"/>
    </row>
    <row r="753" spans="2:2" x14ac:dyDescent="0.25">
      <c r="B753" s="311"/>
    </row>
    <row r="754" spans="2:2" x14ac:dyDescent="0.25">
      <c r="B754" s="311"/>
    </row>
    <row r="755" spans="2:2" x14ac:dyDescent="0.25">
      <c r="B755" s="311"/>
    </row>
    <row r="756" spans="2:2" x14ac:dyDescent="0.25">
      <c r="B756" s="311"/>
    </row>
    <row r="757" spans="2:2" x14ac:dyDescent="0.25">
      <c r="B757" s="311"/>
    </row>
    <row r="758" spans="2:2" x14ac:dyDescent="0.25">
      <c r="B758" s="311"/>
    </row>
    <row r="759" spans="2:2" x14ac:dyDescent="0.25">
      <c r="B759" s="311"/>
    </row>
    <row r="760" spans="2:2" x14ac:dyDescent="0.25">
      <c r="B760" s="311"/>
    </row>
    <row r="761" spans="2:2" x14ac:dyDescent="0.25">
      <c r="B761" s="311"/>
    </row>
    <row r="762" spans="2:2" x14ac:dyDescent="0.25">
      <c r="B762" s="311"/>
    </row>
    <row r="763" spans="2:2" x14ac:dyDescent="0.25">
      <c r="B763" s="311"/>
    </row>
    <row r="764" spans="2:2" x14ac:dyDescent="0.25">
      <c r="B764" s="311"/>
    </row>
    <row r="765" spans="2:2" x14ac:dyDescent="0.25">
      <c r="B765" s="311"/>
    </row>
    <row r="766" spans="2:2" x14ac:dyDescent="0.25">
      <c r="B766" s="311"/>
    </row>
    <row r="767" spans="2:2" x14ac:dyDescent="0.25">
      <c r="B767" s="311"/>
    </row>
    <row r="768" spans="2:2" x14ac:dyDescent="0.25">
      <c r="B768" s="311"/>
    </row>
    <row r="769" spans="2:2" x14ac:dyDescent="0.25">
      <c r="B769" s="311"/>
    </row>
    <row r="770" spans="2:2" x14ac:dyDescent="0.25">
      <c r="B770" s="311"/>
    </row>
    <row r="771" spans="2:2" x14ac:dyDescent="0.25">
      <c r="B771" s="311"/>
    </row>
    <row r="772" spans="2:2" x14ac:dyDescent="0.25">
      <c r="B772" s="311"/>
    </row>
    <row r="773" spans="2:2" x14ac:dyDescent="0.25">
      <c r="B773" s="311"/>
    </row>
    <row r="774" spans="2:2" x14ac:dyDescent="0.25">
      <c r="B774" s="311"/>
    </row>
    <row r="775" spans="2:2" x14ac:dyDescent="0.25">
      <c r="B775" s="311"/>
    </row>
    <row r="776" spans="2:2" x14ac:dyDescent="0.25">
      <c r="B776" s="311"/>
    </row>
    <row r="777" spans="2:2" x14ac:dyDescent="0.25">
      <c r="B777" s="311"/>
    </row>
    <row r="778" spans="2:2" x14ac:dyDescent="0.25">
      <c r="B778" s="311"/>
    </row>
    <row r="779" spans="2:2" x14ac:dyDescent="0.25">
      <c r="B779" s="311"/>
    </row>
    <row r="780" spans="2:2" x14ac:dyDescent="0.25">
      <c r="B780" s="311"/>
    </row>
    <row r="781" spans="2:2" x14ac:dyDescent="0.25">
      <c r="B781" s="311"/>
    </row>
    <row r="782" spans="2:2" x14ac:dyDescent="0.25">
      <c r="B782" s="311"/>
    </row>
    <row r="783" spans="2:2" x14ac:dyDescent="0.25">
      <c r="B783" s="311"/>
    </row>
    <row r="784" spans="2:2" x14ac:dyDescent="0.25">
      <c r="B784" s="311"/>
    </row>
    <row r="785" spans="2:2" x14ac:dyDescent="0.25">
      <c r="B785" s="311"/>
    </row>
    <row r="786" spans="2:2" x14ac:dyDescent="0.25">
      <c r="B786" s="311"/>
    </row>
    <row r="787" spans="2:2" x14ac:dyDescent="0.25">
      <c r="B787" s="311"/>
    </row>
    <row r="788" spans="2:2" x14ac:dyDescent="0.25">
      <c r="B788" s="311"/>
    </row>
    <row r="789" spans="2:2" x14ac:dyDescent="0.25">
      <c r="B789" s="311"/>
    </row>
    <row r="790" spans="2:2" x14ac:dyDescent="0.25">
      <c r="B790" s="311"/>
    </row>
    <row r="791" spans="2:2" x14ac:dyDescent="0.25">
      <c r="B791" s="311"/>
    </row>
    <row r="792" spans="2:2" x14ac:dyDescent="0.25">
      <c r="B792" s="311"/>
    </row>
    <row r="793" spans="2:2" x14ac:dyDescent="0.25">
      <c r="B793" s="311"/>
    </row>
    <row r="794" spans="2:2" x14ac:dyDescent="0.25">
      <c r="B794" s="311"/>
    </row>
    <row r="795" spans="2:2" x14ac:dyDescent="0.25">
      <c r="B795" s="311"/>
    </row>
    <row r="796" spans="2:2" x14ac:dyDescent="0.25">
      <c r="B796" s="311"/>
    </row>
    <row r="797" spans="2:2" x14ac:dyDescent="0.25">
      <c r="B797" s="311"/>
    </row>
    <row r="798" spans="2:2" x14ac:dyDescent="0.25">
      <c r="B798" s="311"/>
    </row>
    <row r="799" spans="2:2" x14ac:dyDescent="0.25">
      <c r="B799" s="311"/>
    </row>
    <row r="800" spans="2:2" x14ac:dyDescent="0.25">
      <c r="B800" s="311"/>
    </row>
    <row r="801" spans="2:2" x14ac:dyDescent="0.25">
      <c r="B801" s="311"/>
    </row>
    <row r="802" spans="2:2" x14ac:dyDescent="0.25">
      <c r="B802" s="311"/>
    </row>
    <row r="803" spans="2:2" x14ac:dyDescent="0.25">
      <c r="B803" s="311"/>
    </row>
    <row r="804" spans="2:2" x14ac:dyDescent="0.25">
      <c r="B804" s="311"/>
    </row>
    <row r="805" spans="2:2" x14ac:dyDescent="0.25">
      <c r="B805" s="311"/>
    </row>
    <row r="806" spans="2:2" x14ac:dyDescent="0.25">
      <c r="B806" s="311"/>
    </row>
    <row r="807" spans="2:2" x14ac:dyDescent="0.25">
      <c r="B807" s="311"/>
    </row>
    <row r="808" spans="2:2" x14ac:dyDescent="0.25">
      <c r="B808" s="311"/>
    </row>
    <row r="809" spans="2:2" x14ac:dyDescent="0.25">
      <c r="B809" s="311"/>
    </row>
    <row r="810" spans="2:2" x14ac:dyDescent="0.25">
      <c r="B810" s="311"/>
    </row>
    <row r="811" spans="2:2" x14ac:dyDescent="0.25">
      <c r="B811" s="311"/>
    </row>
    <row r="812" spans="2:2" x14ac:dyDescent="0.25">
      <c r="B812" s="311"/>
    </row>
    <row r="813" spans="2:2" x14ac:dyDescent="0.25">
      <c r="B813" s="311"/>
    </row>
    <row r="814" spans="2:2" x14ac:dyDescent="0.25">
      <c r="B814" s="311"/>
    </row>
    <row r="815" spans="2:2" x14ac:dyDescent="0.25">
      <c r="B815" s="311"/>
    </row>
    <row r="816" spans="2:2" x14ac:dyDescent="0.25">
      <c r="B816" s="311"/>
    </row>
    <row r="817" spans="2:2" x14ac:dyDescent="0.25">
      <c r="B817" s="311"/>
    </row>
    <row r="818" spans="2:2" x14ac:dyDescent="0.25">
      <c r="B818" s="311"/>
    </row>
    <row r="819" spans="2:2" x14ac:dyDescent="0.25">
      <c r="B819" s="311"/>
    </row>
    <row r="820" spans="2:2" x14ac:dyDescent="0.25">
      <c r="B820" s="311"/>
    </row>
    <row r="821" spans="2:2" x14ac:dyDescent="0.25">
      <c r="B821" s="311"/>
    </row>
    <row r="822" spans="2:2" x14ac:dyDescent="0.25">
      <c r="B822" s="311"/>
    </row>
    <row r="823" spans="2:2" x14ac:dyDescent="0.25">
      <c r="B823" s="311"/>
    </row>
    <row r="824" spans="2:2" x14ac:dyDescent="0.25">
      <c r="B824" s="311"/>
    </row>
    <row r="825" spans="2:2" x14ac:dyDescent="0.25">
      <c r="B825" s="311"/>
    </row>
    <row r="826" spans="2:2" x14ac:dyDescent="0.25">
      <c r="B826" s="311"/>
    </row>
    <row r="827" spans="2:2" x14ac:dyDescent="0.25">
      <c r="B827" s="311"/>
    </row>
    <row r="828" spans="2:2" x14ac:dyDescent="0.25">
      <c r="B828" s="311"/>
    </row>
    <row r="829" spans="2:2" x14ac:dyDescent="0.25">
      <c r="B829" s="311"/>
    </row>
    <row r="830" spans="2:2" x14ac:dyDescent="0.25">
      <c r="B830" s="311"/>
    </row>
    <row r="831" spans="2:2" x14ac:dyDescent="0.25">
      <c r="B831" s="311"/>
    </row>
    <row r="832" spans="2:2" x14ac:dyDescent="0.25">
      <c r="B832" s="311"/>
    </row>
    <row r="833" spans="2:2" x14ac:dyDescent="0.25">
      <c r="B833" s="311"/>
    </row>
    <row r="834" spans="2:2" x14ac:dyDescent="0.25">
      <c r="B834" s="311"/>
    </row>
    <row r="835" spans="2:2" x14ac:dyDescent="0.25">
      <c r="B835" s="311"/>
    </row>
    <row r="836" spans="2:2" x14ac:dyDescent="0.25">
      <c r="B836" s="311"/>
    </row>
    <row r="837" spans="2:2" x14ac:dyDescent="0.25">
      <c r="B837" s="311"/>
    </row>
    <row r="838" spans="2:2" x14ac:dyDescent="0.25">
      <c r="B838" s="311"/>
    </row>
    <row r="839" spans="2:2" x14ac:dyDescent="0.25">
      <c r="B839" s="311"/>
    </row>
    <row r="840" spans="2:2" x14ac:dyDescent="0.25">
      <c r="B840" s="311"/>
    </row>
    <row r="841" spans="2:2" x14ac:dyDescent="0.25">
      <c r="B841" s="311"/>
    </row>
    <row r="842" spans="2:2" x14ac:dyDescent="0.25">
      <c r="B842" s="311"/>
    </row>
    <row r="843" spans="2:2" x14ac:dyDescent="0.25">
      <c r="B843" s="311"/>
    </row>
    <row r="844" spans="2:2" x14ac:dyDescent="0.25">
      <c r="B844" s="311"/>
    </row>
    <row r="845" spans="2:2" x14ac:dyDescent="0.25">
      <c r="B845" s="311"/>
    </row>
    <row r="846" spans="2:2" x14ac:dyDescent="0.25">
      <c r="B846" s="311"/>
    </row>
    <row r="847" spans="2:2" x14ac:dyDescent="0.25">
      <c r="B847" s="311"/>
    </row>
    <row r="848" spans="2:2" x14ac:dyDescent="0.25">
      <c r="B848" s="311"/>
    </row>
    <row r="849" spans="2:2" x14ac:dyDescent="0.25">
      <c r="B849" s="311"/>
    </row>
    <row r="850" spans="2:2" x14ac:dyDescent="0.25">
      <c r="B850" s="311"/>
    </row>
    <row r="851" spans="2:2" x14ac:dyDescent="0.25">
      <c r="B851" s="311"/>
    </row>
    <row r="852" spans="2:2" x14ac:dyDescent="0.25">
      <c r="B852" s="311"/>
    </row>
    <row r="853" spans="2:2" x14ac:dyDescent="0.25">
      <c r="B853" s="311"/>
    </row>
    <row r="854" spans="2:2" x14ac:dyDescent="0.25">
      <c r="B854" s="311"/>
    </row>
    <row r="855" spans="2:2" x14ac:dyDescent="0.25">
      <c r="B855" s="311"/>
    </row>
    <row r="856" spans="2:2" x14ac:dyDescent="0.25">
      <c r="B856" s="311"/>
    </row>
    <row r="857" spans="2:2" x14ac:dyDescent="0.25">
      <c r="B857" s="311"/>
    </row>
    <row r="858" spans="2:2" x14ac:dyDescent="0.25">
      <c r="B858" s="311"/>
    </row>
    <row r="859" spans="2:2" x14ac:dyDescent="0.25">
      <c r="B859" s="311"/>
    </row>
    <row r="860" spans="2:2" x14ac:dyDescent="0.25">
      <c r="B860" s="311"/>
    </row>
    <row r="861" spans="2:2" x14ac:dyDescent="0.25">
      <c r="B861" s="311"/>
    </row>
    <row r="862" spans="2:2" x14ac:dyDescent="0.25">
      <c r="B862" s="311"/>
    </row>
    <row r="863" spans="2:2" x14ac:dyDescent="0.25">
      <c r="B863" s="311"/>
    </row>
    <row r="864" spans="2:2" x14ac:dyDescent="0.25">
      <c r="B864" s="311"/>
    </row>
    <row r="865" spans="2:2" x14ac:dyDescent="0.25">
      <c r="B865" s="311"/>
    </row>
    <row r="866" spans="2:2" x14ac:dyDescent="0.25">
      <c r="B866" s="311"/>
    </row>
    <row r="867" spans="2:2" x14ac:dyDescent="0.25">
      <c r="B867" s="311"/>
    </row>
    <row r="868" spans="2:2" x14ac:dyDescent="0.25">
      <c r="B868" s="311"/>
    </row>
    <row r="869" spans="2:2" x14ac:dyDescent="0.25">
      <c r="B869" s="311"/>
    </row>
    <row r="870" spans="2:2" x14ac:dyDescent="0.25">
      <c r="B870" s="311"/>
    </row>
    <row r="871" spans="2:2" x14ac:dyDescent="0.25">
      <c r="B871" s="311"/>
    </row>
    <row r="872" spans="2:2" x14ac:dyDescent="0.25">
      <c r="B872" s="311"/>
    </row>
    <row r="873" spans="2:2" x14ac:dyDescent="0.25">
      <c r="B873" s="311"/>
    </row>
    <row r="874" spans="2:2" x14ac:dyDescent="0.25">
      <c r="B874" s="311"/>
    </row>
    <row r="875" spans="2:2" x14ac:dyDescent="0.25">
      <c r="B875" s="311"/>
    </row>
    <row r="876" spans="2:2" x14ac:dyDescent="0.25">
      <c r="B876" s="311"/>
    </row>
    <row r="877" spans="2:2" x14ac:dyDescent="0.25">
      <c r="B877" s="311"/>
    </row>
    <row r="878" spans="2:2" x14ac:dyDescent="0.25">
      <c r="B878" s="311"/>
    </row>
    <row r="879" spans="2:2" x14ac:dyDescent="0.25">
      <c r="B879" s="311"/>
    </row>
    <row r="880" spans="2:2" x14ac:dyDescent="0.25">
      <c r="B880" s="311"/>
    </row>
    <row r="881" spans="2:2" x14ac:dyDescent="0.25">
      <c r="B881" s="311"/>
    </row>
    <row r="882" spans="2:2" x14ac:dyDescent="0.25">
      <c r="B882" s="311"/>
    </row>
    <row r="883" spans="2:2" x14ac:dyDescent="0.25">
      <c r="B883" s="311"/>
    </row>
    <row r="884" spans="2:2" x14ac:dyDescent="0.25">
      <c r="B884" s="311"/>
    </row>
    <row r="885" spans="2:2" x14ac:dyDescent="0.25">
      <c r="B885" s="311"/>
    </row>
    <row r="886" spans="2:2" x14ac:dyDescent="0.25">
      <c r="B886" s="311"/>
    </row>
    <row r="887" spans="2:2" x14ac:dyDescent="0.25">
      <c r="B887" s="311"/>
    </row>
    <row r="888" spans="2:2" x14ac:dyDescent="0.25">
      <c r="B888" s="311"/>
    </row>
    <row r="889" spans="2:2" x14ac:dyDescent="0.25">
      <c r="B889" s="311"/>
    </row>
    <row r="890" spans="2:2" x14ac:dyDescent="0.25">
      <c r="B890" s="311"/>
    </row>
    <row r="891" spans="2:2" x14ac:dyDescent="0.25">
      <c r="B891" s="311"/>
    </row>
    <row r="892" spans="2:2" x14ac:dyDescent="0.25">
      <c r="B892" s="311"/>
    </row>
    <row r="893" spans="2:2" x14ac:dyDescent="0.25">
      <c r="B893" s="311"/>
    </row>
    <row r="894" spans="2:2" x14ac:dyDescent="0.25">
      <c r="B894" s="311"/>
    </row>
    <row r="895" spans="2:2" x14ac:dyDescent="0.25">
      <c r="B895" s="311"/>
    </row>
    <row r="896" spans="2:2" x14ac:dyDescent="0.25">
      <c r="B896" s="311"/>
    </row>
    <row r="897" spans="2:2" x14ac:dyDescent="0.25">
      <c r="B897" s="311"/>
    </row>
    <row r="898" spans="2:2" x14ac:dyDescent="0.25">
      <c r="B898" s="311"/>
    </row>
    <row r="899" spans="2:2" x14ac:dyDescent="0.25">
      <c r="B899" s="311"/>
    </row>
    <row r="900" spans="2:2" x14ac:dyDescent="0.25">
      <c r="B900" s="311"/>
    </row>
    <row r="901" spans="2:2" x14ac:dyDescent="0.25">
      <c r="B901" s="311"/>
    </row>
    <row r="902" spans="2:2" x14ac:dyDescent="0.25">
      <c r="B902" s="311"/>
    </row>
    <row r="903" spans="2:2" x14ac:dyDescent="0.25">
      <c r="B903" s="311"/>
    </row>
    <row r="904" spans="2:2" x14ac:dyDescent="0.25">
      <c r="B904" s="311"/>
    </row>
    <row r="905" spans="2:2" x14ac:dyDescent="0.25">
      <c r="B905" s="311"/>
    </row>
    <row r="906" spans="2:2" x14ac:dyDescent="0.25">
      <c r="B906" s="311"/>
    </row>
    <row r="907" spans="2:2" x14ac:dyDescent="0.25">
      <c r="B907" s="311"/>
    </row>
    <row r="908" spans="2:2" x14ac:dyDescent="0.25">
      <c r="B908" s="311"/>
    </row>
    <row r="909" spans="2:2" x14ac:dyDescent="0.25">
      <c r="B909" s="311"/>
    </row>
    <row r="910" spans="2:2" x14ac:dyDescent="0.25">
      <c r="B910" s="311"/>
    </row>
    <row r="911" spans="2:2" x14ac:dyDescent="0.25">
      <c r="B911" s="311"/>
    </row>
    <row r="912" spans="2:2" x14ac:dyDescent="0.25">
      <c r="B912" s="311"/>
    </row>
    <row r="913" spans="2:2" x14ac:dyDescent="0.25">
      <c r="B913" s="311"/>
    </row>
    <row r="914" spans="2:2" x14ac:dyDescent="0.25">
      <c r="B914" s="311"/>
    </row>
    <row r="915" spans="2:2" x14ac:dyDescent="0.25">
      <c r="B915" s="311"/>
    </row>
    <row r="916" spans="2:2" x14ac:dyDescent="0.25">
      <c r="B916" s="311"/>
    </row>
    <row r="917" spans="2:2" x14ac:dyDescent="0.25">
      <c r="B917" s="311"/>
    </row>
    <row r="918" spans="2:2" x14ac:dyDescent="0.25">
      <c r="B918" s="311"/>
    </row>
    <row r="919" spans="2:2" x14ac:dyDescent="0.25">
      <c r="B919" s="311"/>
    </row>
    <row r="920" spans="2:2" x14ac:dyDescent="0.25">
      <c r="B920" s="311"/>
    </row>
    <row r="921" spans="2:2" x14ac:dyDescent="0.25">
      <c r="B921" s="311"/>
    </row>
    <row r="922" spans="2:2" x14ac:dyDescent="0.25">
      <c r="B922" s="311"/>
    </row>
    <row r="923" spans="2:2" x14ac:dyDescent="0.25">
      <c r="B923" s="311"/>
    </row>
    <row r="924" spans="2:2" x14ac:dyDescent="0.25">
      <c r="B924" s="311"/>
    </row>
    <row r="925" spans="2:2" x14ac:dyDescent="0.25">
      <c r="B925" s="311"/>
    </row>
    <row r="926" spans="2:2" x14ac:dyDescent="0.25">
      <c r="B926" s="311"/>
    </row>
    <row r="927" spans="2:2" x14ac:dyDescent="0.25">
      <c r="B927" s="311"/>
    </row>
    <row r="928" spans="2:2" x14ac:dyDescent="0.25">
      <c r="B928" s="311"/>
    </row>
    <row r="929" spans="2:2" x14ac:dyDescent="0.25">
      <c r="B929" s="311"/>
    </row>
    <row r="930" spans="2:2" x14ac:dyDescent="0.25">
      <c r="B930" s="311"/>
    </row>
    <row r="931" spans="2:2" x14ac:dyDescent="0.25">
      <c r="B931" s="311"/>
    </row>
    <row r="932" spans="2:2" x14ac:dyDescent="0.25">
      <c r="B932" s="311"/>
    </row>
    <row r="933" spans="2:2" x14ac:dyDescent="0.25">
      <c r="B933" s="311"/>
    </row>
    <row r="934" spans="2:2" x14ac:dyDescent="0.25">
      <c r="B934" s="311"/>
    </row>
    <row r="935" spans="2:2" x14ac:dyDescent="0.25">
      <c r="B935" s="311"/>
    </row>
    <row r="936" spans="2:2" x14ac:dyDescent="0.25">
      <c r="B936" s="311"/>
    </row>
    <row r="937" spans="2:2" x14ac:dyDescent="0.25">
      <c r="B937" s="311"/>
    </row>
    <row r="938" spans="2:2" x14ac:dyDescent="0.25">
      <c r="B938" s="311"/>
    </row>
    <row r="939" spans="2:2" x14ac:dyDescent="0.25">
      <c r="B939" s="311"/>
    </row>
    <row r="940" spans="2:2" x14ac:dyDescent="0.25">
      <c r="B940" s="311"/>
    </row>
    <row r="941" spans="2:2" x14ac:dyDescent="0.25">
      <c r="B941" s="311"/>
    </row>
    <row r="942" spans="2:2" x14ac:dyDescent="0.25">
      <c r="B942" s="311"/>
    </row>
    <row r="943" spans="2:2" x14ac:dyDescent="0.25">
      <c r="B943" s="311"/>
    </row>
    <row r="944" spans="2:2" x14ac:dyDescent="0.25">
      <c r="B944" s="311"/>
    </row>
    <row r="945" spans="2:2" x14ac:dyDescent="0.25">
      <c r="B945" s="311"/>
    </row>
    <row r="946" spans="2:2" x14ac:dyDescent="0.25">
      <c r="B946" s="311"/>
    </row>
    <row r="947" spans="2:2" x14ac:dyDescent="0.25">
      <c r="B947" s="311"/>
    </row>
    <row r="948" spans="2:2" x14ac:dyDescent="0.25">
      <c r="B948" s="311"/>
    </row>
    <row r="949" spans="2:2" x14ac:dyDescent="0.25">
      <c r="B949" s="311"/>
    </row>
    <row r="950" spans="2:2" x14ac:dyDescent="0.25">
      <c r="B950" s="311"/>
    </row>
    <row r="951" spans="2:2" x14ac:dyDescent="0.25">
      <c r="B951" s="311"/>
    </row>
    <row r="952" spans="2:2" x14ac:dyDescent="0.25">
      <c r="B952" s="311"/>
    </row>
    <row r="953" spans="2:2" x14ac:dyDescent="0.25">
      <c r="B953" s="311"/>
    </row>
    <row r="954" spans="2:2" x14ac:dyDescent="0.25">
      <c r="B954" s="311"/>
    </row>
    <row r="955" spans="2:2" x14ac:dyDescent="0.25">
      <c r="B955" s="311"/>
    </row>
    <row r="956" spans="2:2" x14ac:dyDescent="0.25">
      <c r="B956" s="311"/>
    </row>
    <row r="957" spans="2:2" x14ac:dyDescent="0.25">
      <c r="B957" s="311"/>
    </row>
    <row r="958" spans="2:2" x14ac:dyDescent="0.25">
      <c r="B958" s="311"/>
    </row>
    <row r="959" spans="2:2" x14ac:dyDescent="0.25">
      <c r="B959" s="311"/>
    </row>
    <row r="960" spans="2:2" x14ac:dyDescent="0.25">
      <c r="B960" s="311"/>
    </row>
    <row r="961" spans="2:2" x14ac:dyDescent="0.25">
      <c r="B961" s="311"/>
    </row>
    <row r="962" spans="2:2" x14ac:dyDescent="0.25">
      <c r="B962" s="311"/>
    </row>
    <row r="963" spans="2:2" x14ac:dyDescent="0.25">
      <c r="B963" s="311"/>
    </row>
    <row r="964" spans="2:2" x14ac:dyDescent="0.25">
      <c r="B964" s="311"/>
    </row>
    <row r="965" spans="2:2" x14ac:dyDescent="0.25">
      <c r="B965" s="311"/>
    </row>
    <row r="966" spans="2:2" x14ac:dyDescent="0.25">
      <c r="B966" s="311"/>
    </row>
    <row r="967" spans="2:2" x14ac:dyDescent="0.25">
      <c r="B967" s="311"/>
    </row>
    <row r="968" spans="2:2" x14ac:dyDescent="0.25">
      <c r="B968" s="311"/>
    </row>
    <row r="969" spans="2:2" x14ac:dyDescent="0.25">
      <c r="B969" s="311"/>
    </row>
    <row r="970" spans="2:2" x14ac:dyDescent="0.25">
      <c r="B970" s="311"/>
    </row>
    <row r="971" spans="2:2" x14ac:dyDescent="0.25">
      <c r="B971" s="311"/>
    </row>
    <row r="972" spans="2:2" x14ac:dyDescent="0.25">
      <c r="B972" s="311"/>
    </row>
    <row r="973" spans="2:2" x14ac:dyDescent="0.25">
      <c r="B973" s="311"/>
    </row>
    <row r="974" spans="2:2" x14ac:dyDescent="0.25">
      <c r="B974" s="311"/>
    </row>
    <row r="975" spans="2:2" x14ac:dyDescent="0.25">
      <c r="B975" s="311"/>
    </row>
    <row r="976" spans="2:2" x14ac:dyDescent="0.25">
      <c r="B976" s="311"/>
    </row>
    <row r="977" spans="2:2" x14ac:dyDescent="0.25">
      <c r="B977" s="311"/>
    </row>
    <row r="978" spans="2:2" x14ac:dyDescent="0.25">
      <c r="B978" s="311"/>
    </row>
    <row r="979" spans="2:2" x14ac:dyDescent="0.25">
      <c r="B979" s="311"/>
    </row>
    <row r="980" spans="2:2" x14ac:dyDescent="0.25">
      <c r="B980" s="311"/>
    </row>
    <row r="981" spans="2:2" x14ac:dyDescent="0.25">
      <c r="B981" s="311"/>
    </row>
    <row r="982" spans="2:2" x14ac:dyDescent="0.25">
      <c r="B982" s="311"/>
    </row>
    <row r="983" spans="2:2" x14ac:dyDescent="0.25">
      <c r="B983" s="311"/>
    </row>
    <row r="984" spans="2:2" x14ac:dyDescent="0.25">
      <c r="B984" s="311"/>
    </row>
    <row r="985" spans="2:2" x14ac:dyDescent="0.25">
      <c r="B985" s="311"/>
    </row>
    <row r="986" spans="2:2" x14ac:dyDescent="0.25">
      <c r="B986" s="311"/>
    </row>
    <row r="987" spans="2:2" x14ac:dyDescent="0.25">
      <c r="B987" s="311"/>
    </row>
    <row r="988" spans="2:2" x14ac:dyDescent="0.25">
      <c r="B988" s="311"/>
    </row>
    <row r="989" spans="2:2" x14ac:dyDescent="0.25">
      <c r="B989" s="311"/>
    </row>
    <row r="990" spans="2:2" x14ac:dyDescent="0.25">
      <c r="B990" s="311"/>
    </row>
    <row r="991" spans="2:2" x14ac:dyDescent="0.25">
      <c r="B991" s="311"/>
    </row>
    <row r="992" spans="2:2" x14ac:dyDescent="0.25">
      <c r="B992" s="311"/>
    </row>
    <row r="993" spans="2:2" x14ac:dyDescent="0.25">
      <c r="B993" s="311"/>
    </row>
    <row r="994" spans="2:2" x14ac:dyDescent="0.25">
      <c r="B994" s="311"/>
    </row>
    <row r="995" spans="2:2" x14ac:dyDescent="0.25">
      <c r="B995" s="311"/>
    </row>
    <row r="996" spans="2:2" x14ac:dyDescent="0.25">
      <c r="B996" s="311"/>
    </row>
    <row r="997" spans="2:2" x14ac:dyDescent="0.25">
      <c r="B997" s="311"/>
    </row>
    <row r="998" spans="2:2" x14ac:dyDescent="0.25">
      <c r="B998" s="311"/>
    </row>
    <row r="999" spans="2:2" x14ac:dyDescent="0.25">
      <c r="B999" s="311"/>
    </row>
    <row r="1000" spans="2:2" x14ac:dyDescent="0.25">
      <c r="B1000" s="311"/>
    </row>
    <row r="1001" spans="2:2" x14ac:dyDescent="0.25">
      <c r="B1001" s="311"/>
    </row>
    <row r="1002" spans="2:2" x14ac:dyDescent="0.25">
      <c r="B1002" s="311"/>
    </row>
    <row r="1003" spans="2:2" x14ac:dyDescent="0.25">
      <c r="B1003" s="311"/>
    </row>
    <row r="1004" spans="2:2" x14ac:dyDescent="0.25">
      <c r="B1004" s="311"/>
    </row>
    <row r="1005" spans="2:2" x14ac:dyDescent="0.25">
      <c r="B1005" s="311"/>
    </row>
    <row r="1006" spans="2:2" x14ac:dyDescent="0.25">
      <c r="B1006" s="311"/>
    </row>
    <row r="1007" spans="2:2" x14ac:dyDescent="0.25">
      <c r="B1007" s="311"/>
    </row>
    <row r="1008" spans="2:2" x14ac:dyDescent="0.25">
      <c r="B1008" s="311"/>
    </row>
    <row r="1009" spans="2:2" x14ac:dyDescent="0.25">
      <c r="B1009" s="311"/>
    </row>
    <row r="1010" spans="2:2" x14ac:dyDescent="0.25">
      <c r="B1010" s="311"/>
    </row>
    <row r="1011" spans="2:2" x14ac:dyDescent="0.25">
      <c r="B1011" s="311"/>
    </row>
    <row r="1012" spans="2:2" x14ac:dyDescent="0.25">
      <c r="B1012" s="311"/>
    </row>
    <row r="1013" spans="2:2" x14ac:dyDescent="0.25">
      <c r="B1013" s="311"/>
    </row>
    <row r="1014" spans="2:2" x14ac:dyDescent="0.25">
      <c r="B1014" s="311"/>
    </row>
    <row r="1015" spans="2:2" x14ac:dyDescent="0.25">
      <c r="B1015" s="311"/>
    </row>
    <row r="1016" spans="2:2" x14ac:dyDescent="0.25">
      <c r="B1016" s="311"/>
    </row>
    <row r="1017" spans="2:2" x14ac:dyDescent="0.25">
      <c r="B1017" s="311"/>
    </row>
    <row r="1018" spans="2:2" x14ac:dyDescent="0.25">
      <c r="B1018" s="311"/>
    </row>
    <row r="1019" spans="2:2" x14ac:dyDescent="0.25">
      <c r="B1019" s="311"/>
    </row>
    <row r="1020" spans="2:2" x14ac:dyDescent="0.25">
      <c r="B1020" s="311"/>
    </row>
    <row r="1021" spans="2:2" x14ac:dyDescent="0.25">
      <c r="B1021" s="311"/>
    </row>
    <row r="1022" spans="2:2" x14ac:dyDescent="0.25">
      <c r="B1022" s="311"/>
    </row>
    <row r="1023" spans="2:2" x14ac:dyDescent="0.25">
      <c r="B1023" s="311"/>
    </row>
    <row r="1024" spans="2:2" x14ac:dyDescent="0.25">
      <c r="B1024" s="311"/>
    </row>
    <row r="1025" spans="2:2" x14ac:dyDescent="0.25">
      <c r="B1025" s="311"/>
    </row>
    <row r="1026" spans="2:2" x14ac:dyDescent="0.25">
      <c r="B1026" s="311"/>
    </row>
    <row r="1027" spans="2:2" x14ac:dyDescent="0.25">
      <c r="B1027" s="311"/>
    </row>
    <row r="1028" spans="2:2" x14ac:dyDescent="0.25">
      <c r="B1028" s="311"/>
    </row>
    <row r="1029" spans="2:2" x14ac:dyDescent="0.25">
      <c r="B1029" s="311"/>
    </row>
    <row r="1030" spans="2:2" x14ac:dyDescent="0.25">
      <c r="B1030" s="311"/>
    </row>
    <row r="1031" spans="2:2" x14ac:dyDescent="0.25">
      <c r="B1031" s="311"/>
    </row>
    <row r="1032" spans="2:2" x14ac:dyDescent="0.25">
      <c r="B1032" s="311"/>
    </row>
    <row r="1033" spans="2:2" x14ac:dyDescent="0.25">
      <c r="B1033" s="311"/>
    </row>
    <row r="1034" spans="2:2" x14ac:dyDescent="0.25">
      <c r="B1034" s="311"/>
    </row>
    <row r="1035" spans="2:2" x14ac:dyDescent="0.25">
      <c r="B1035" s="311"/>
    </row>
    <row r="1036" spans="2:2" x14ac:dyDescent="0.25">
      <c r="B1036" s="311"/>
    </row>
    <row r="1037" spans="2:2" x14ac:dyDescent="0.25">
      <c r="B1037" s="311"/>
    </row>
    <row r="1038" spans="2:2" x14ac:dyDescent="0.25">
      <c r="B1038" s="311"/>
    </row>
    <row r="1039" spans="2:2" x14ac:dyDescent="0.25">
      <c r="B1039" s="311"/>
    </row>
    <row r="1040" spans="2:2" x14ac:dyDescent="0.25">
      <c r="B1040" s="311"/>
    </row>
    <row r="1041" spans="2:2" x14ac:dyDescent="0.25">
      <c r="B1041" s="311"/>
    </row>
    <row r="1042" spans="2:2" x14ac:dyDescent="0.25">
      <c r="B1042" s="311"/>
    </row>
    <row r="1043" spans="2:2" x14ac:dyDescent="0.25">
      <c r="B1043" s="311"/>
    </row>
    <row r="1044" spans="2:2" x14ac:dyDescent="0.25">
      <c r="B1044" s="311"/>
    </row>
    <row r="1045" spans="2:2" x14ac:dyDescent="0.25">
      <c r="B1045" s="311"/>
    </row>
    <row r="1046" spans="2:2" x14ac:dyDescent="0.25">
      <c r="B1046" s="311"/>
    </row>
    <row r="1047" spans="2:2" x14ac:dyDescent="0.25">
      <c r="B1047" s="311"/>
    </row>
    <row r="1048" spans="2:2" x14ac:dyDescent="0.25">
      <c r="B1048" s="311"/>
    </row>
    <row r="1049" spans="2:2" x14ac:dyDescent="0.25">
      <c r="B1049" s="311"/>
    </row>
    <row r="1050" spans="2:2" x14ac:dyDescent="0.25">
      <c r="B1050" s="311"/>
    </row>
    <row r="1051" spans="2:2" x14ac:dyDescent="0.25">
      <c r="B1051" s="311"/>
    </row>
    <row r="1052" spans="2:2" x14ac:dyDescent="0.25">
      <c r="B1052" s="311"/>
    </row>
    <row r="1053" spans="2:2" x14ac:dyDescent="0.25">
      <c r="B1053" s="311"/>
    </row>
    <row r="1054" spans="2:2" x14ac:dyDescent="0.25">
      <c r="B1054" s="311"/>
    </row>
    <row r="1055" spans="2:2" x14ac:dyDescent="0.25">
      <c r="B1055" s="311"/>
    </row>
    <row r="1056" spans="2:2" x14ac:dyDescent="0.25">
      <c r="B1056" s="311"/>
    </row>
    <row r="1057" spans="2:2" x14ac:dyDescent="0.25">
      <c r="B1057" s="311"/>
    </row>
    <row r="1058" spans="2:2" x14ac:dyDescent="0.25">
      <c r="B1058" s="311"/>
    </row>
    <row r="1059" spans="2:2" x14ac:dyDescent="0.25">
      <c r="B1059" s="311"/>
    </row>
    <row r="1060" spans="2:2" x14ac:dyDescent="0.25">
      <c r="B1060" s="311"/>
    </row>
    <row r="1061" spans="2:2" x14ac:dyDescent="0.25">
      <c r="B1061" s="311"/>
    </row>
    <row r="1062" spans="2:2" x14ac:dyDescent="0.25">
      <c r="B1062" s="311"/>
    </row>
    <row r="1063" spans="2:2" x14ac:dyDescent="0.25">
      <c r="B1063" s="311"/>
    </row>
    <row r="1064" spans="2:2" x14ac:dyDescent="0.25">
      <c r="B1064" s="311"/>
    </row>
    <row r="1065" spans="2:2" x14ac:dyDescent="0.25">
      <c r="B1065" s="311"/>
    </row>
    <row r="1066" spans="2:2" x14ac:dyDescent="0.25">
      <c r="B1066" s="311"/>
    </row>
    <row r="1067" spans="2:2" x14ac:dyDescent="0.25">
      <c r="B1067" s="311"/>
    </row>
    <row r="1068" spans="2:2" x14ac:dyDescent="0.25">
      <c r="B1068" s="311"/>
    </row>
    <row r="1069" spans="2:2" x14ac:dyDescent="0.25">
      <c r="B1069" s="311"/>
    </row>
    <row r="1070" spans="2:2" x14ac:dyDescent="0.25">
      <c r="B1070" s="311"/>
    </row>
    <row r="1071" spans="2:2" x14ac:dyDescent="0.25">
      <c r="B1071" s="311"/>
    </row>
    <row r="1072" spans="2:2" x14ac:dyDescent="0.25">
      <c r="B1072" s="311"/>
    </row>
    <row r="1073" spans="2:2" x14ac:dyDescent="0.25">
      <c r="B1073" s="311"/>
    </row>
    <row r="1074" spans="2:2" x14ac:dyDescent="0.25">
      <c r="B1074" s="311"/>
    </row>
    <row r="1075" spans="2:2" x14ac:dyDescent="0.25">
      <c r="B1075" s="311"/>
    </row>
    <row r="1076" spans="2:2" x14ac:dyDescent="0.25">
      <c r="B1076" s="311"/>
    </row>
    <row r="1077" spans="2:2" x14ac:dyDescent="0.25">
      <c r="B1077" s="311"/>
    </row>
    <row r="1078" spans="2:2" x14ac:dyDescent="0.25">
      <c r="B1078" s="311"/>
    </row>
    <row r="1079" spans="2:2" x14ac:dyDescent="0.25">
      <c r="B1079" s="311"/>
    </row>
    <row r="1080" spans="2:2" x14ac:dyDescent="0.25">
      <c r="B1080" s="311"/>
    </row>
    <row r="1081" spans="2:2" x14ac:dyDescent="0.25">
      <c r="B1081" s="311"/>
    </row>
    <row r="1082" spans="2:2" x14ac:dyDescent="0.25">
      <c r="B1082" s="311"/>
    </row>
    <row r="1083" spans="2:2" x14ac:dyDescent="0.25">
      <c r="B1083" s="311"/>
    </row>
    <row r="1084" spans="2:2" x14ac:dyDescent="0.25">
      <c r="B1084" s="311"/>
    </row>
    <row r="1085" spans="2:2" x14ac:dyDescent="0.25">
      <c r="B1085" s="311"/>
    </row>
    <row r="1086" spans="2:2" x14ac:dyDescent="0.25">
      <c r="B1086" s="311"/>
    </row>
    <row r="1087" spans="2:2" x14ac:dyDescent="0.25">
      <c r="B1087" s="311"/>
    </row>
    <row r="1088" spans="2:2" x14ac:dyDescent="0.25">
      <c r="B1088" s="311"/>
    </row>
    <row r="1089" spans="2:2" x14ac:dyDescent="0.25">
      <c r="B1089" s="311"/>
    </row>
    <row r="1090" spans="2:2" x14ac:dyDescent="0.25">
      <c r="B1090" s="311"/>
    </row>
    <row r="1091" spans="2:2" x14ac:dyDescent="0.25">
      <c r="B1091" s="311"/>
    </row>
    <row r="1092" spans="2:2" x14ac:dyDescent="0.25">
      <c r="B1092" s="311"/>
    </row>
    <row r="1093" spans="2:2" x14ac:dyDescent="0.25">
      <c r="B1093" s="311"/>
    </row>
    <row r="1094" spans="2:2" x14ac:dyDescent="0.25">
      <c r="B1094" s="311"/>
    </row>
    <row r="1095" spans="2:2" x14ac:dyDescent="0.25">
      <c r="B1095" s="311"/>
    </row>
    <row r="1096" spans="2:2" x14ac:dyDescent="0.25">
      <c r="B1096" s="311"/>
    </row>
    <row r="1097" spans="2:2" x14ac:dyDescent="0.25">
      <c r="B1097" s="311"/>
    </row>
    <row r="1098" spans="2:2" x14ac:dyDescent="0.25">
      <c r="B1098" s="311"/>
    </row>
    <row r="1099" spans="2:2" x14ac:dyDescent="0.25">
      <c r="B1099" s="311"/>
    </row>
    <row r="1100" spans="2:2" x14ac:dyDescent="0.25">
      <c r="B1100" s="311"/>
    </row>
    <row r="1101" spans="2:2" x14ac:dyDescent="0.25">
      <c r="B1101" s="311"/>
    </row>
    <row r="1102" spans="2:2" x14ac:dyDescent="0.25">
      <c r="B1102" s="311"/>
    </row>
    <row r="1103" spans="2:2" x14ac:dyDescent="0.25">
      <c r="B1103" s="311"/>
    </row>
    <row r="1104" spans="2:2" x14ac:dyDescent="0.25">
      <c r="B1104" s="311"/>
    </row>
    <row r="1105" spans="2:2" x14ac:dyDescent="0.25">
      <c r="B1105" s="311"/>
    </row>
    <row r="1106" spans="2:2" x14ac:dyDescent="0.25">
      <c r="B1106" s="311"/>
    </row>
    <row r="1107" spans="2:2" x14ac:dyDescent="0.25">
      <c r="B1107" s="311"/>
    </row>
    <row r="1108" spans="2:2" x14ac:dyDescent="0.25">
      <c r="B1108" s="311"/>
    </row>
    <row r="1109" spans="2:2" x14ac:dyDescent="0.25">
      <c r="B1109" s="311"/>
    </row>
    <row r="1110" spans="2:2" x14ac:dyDescent="0.25">
      <c r="B1110" s="311"/>
    </row>
    <row r="1111" spans="2:2" x14ac:dyDescent="0.25">
      <c r="B1111" s="311"/>
    </row>
    <row r="1112" spans="2:2" x14ac:dyDescent="0.25">
      <c r="B1112" s="311"/>
    </row>
    <row r="1113" spans="2:2" x14ac:dyDescent="0.25">
      <c r="B1113" s="311"/>
    </row>
    <row r="1114" spans="2:2" x14ac:dyDescent="0.25">
      <c r="B1114" s="311"/>
    </row>
    <row r="1115" spans="2:2" x14ac:dyDescent="0.25">
      <c r="B1115" s="311"/>
    </row>
    <row r="1116" spans="2:2" x14ac:dyDescent="0.25">
      <c r="B1116" s="311"/>
    </row>
    <row r="1117" spans="2:2" x14ac:dyDescent="0.25">
      <c r="B1117" s="311"/>
    </row>
    <row r="1118" spans="2:2" x14ac:dyDescent="0.25">
      <c r="B1118" s="311"/>
    </row>
    <row r="1119" spans="2:2" x14ac:dyDescent="0.25">
      <c r="B1119" s="311"/>
    </row>
    <row r="1120" spans="2:2" x14ac:dyDescent="0.25">
      <c r="B1120" s="311"/>
    </row>
    <row r="1121" spans="2:2" x14ac:dyDescent="0.25">
      <c r="B1121" s="311"/>
    </row>
    <row r="1122" spans="2:2" x14ac:dyDescent="0.25">
      <c r="B1122" s="311"/>
    </row>
    <row r="1123" spans="2:2" x14ac:dyDescent="0.25">
      <c r="B1123" s="311"/>
    </row>
    <row r="1124" spans="2:2" x14ac:dyDescent="0.25">
      <c r="B1124" s="311"/>
    </row>
    <row r="1125" spans="2:2" x14ac:dyDescent="0.25">
      <c r="B1125" s="311"/>
    </row>
    <row r="1126" spans="2:2" x14ac:dyDescent="0.25">
      <c r="B1126" s="311"/>
    </row>
    <row r="1127" spans="2:2" x14ac:dyDescent="0.25">
      <c r="B1127" s="311"/>
    </row>
    <row r="1128" spans="2:2" x14ac:dyDescent="0.25">
      <c r="B1128" s="311"/>
    </row>
    <row r="1129" spans="2:2" x14ac:dyDescent="0.25">
      <c r="B1129" s="311"/>
    </row>
    <row r="1130" spans="2:2" x14ac:dyDescent="0.25">
      <c r="B1130" s="311"/>
    </row>
    <row r="1131" spans="2:2" x14ac:dyDescent="0.25">
      <c r="B1131" s="311"/>
    </row>
    <row r="1132" spans="2:2" x14ac:dyDescent="0.25">
      <c r="B1132" s="311"/>
    </row>
    <row r="1133" spans="2:2" x14ac:dyDescent="0.25">
      <c r="B1133" s="311"/>
    </row>
    <row r="1134" spans="2:2" x14ac:dyDescent="0.25">
      <c r="B1134" s="311"/>
    </row>
    <row r="1135" spans="2:2" x14ac:dyDescent="0.25">
      <c r="B1135" s="311"/>
    </row>
    <row r="1136" spans="2:2" x14ac:dyDescent="0.25">
      <c r="B1136" s="311"/>
    </row>
    <row r="1137" spans="2:2" x14ac:dyDescent="0.25">
      <c r="B1137" s="311"/>
    </row>
    <row r="1138" spans="2:2" x14ac:dyDescent="0.25">
      <c r="B1138" s="311"/>
    </row>
    <row r="1139" spans="2:2" x14ac:dyDescent="0.25">
      <c r="B1139" s="311"/>
    </row>
    <row r="1140" spans="2:2" x14ac:dyDescent="0.25">
      <c r="B1140" s="311"/>
    </row>
    <row r="1141" spans="2:2" x14ac:dyDescent="0.25">
      <c r="B1141" s="311"/>
    </row>
    <row r="1142" spans="2:2" x14ac:dyDescent="0.25">
      <c r="B1142" s="311"/>
    </row>
    <row r="1143" spans="2:2" x14ac:dyDescent="0.25">
      <c r="B1143" s="311"/>
    </row>
    <row r="1144" spans="2:2" x14ac:dyDescent="0.25">
      <c r="B1144" s="311"/>
    </row>
    <row r="1145" spans="2:2" x14ac:dyDescent="0.25">
      <c r="B1145" s="311"/>
    </row>
    <row r="1146" spans="2:2" x14ac:dyDescent="0.25">
      <c r="B1146" s="311"/>
    </row>
    <row r="1147" spans="2:2" x14ac:dyDescent="0.25">
      <c r="B1147" s="311"/>
    </row>
    <row r="1148" spans="2:2" x14ac:dyDescent="0.25">
      <c r="B1148" s="311"/>
    </row>
    <row r="1149" spans="2:2" x14ac:dyDescent="0.25">
      <c r="B1149" s="311"/>
    </row>
    <row r="1150" spans="2:2" x14ac:dyDescent="0.25">
      <c r="B1150" s="311"/>
    </row>
    <row r="1151" spans="2:2" x14ac:dyDescent="0.25">
      <c r="B1151" s="311"/>
    </row>
    <row r="1152" spans="2:2" x14ac:dyDescent="0.25">
      <c r="B1152" s="311"/>
    </row>
  </sheetData>
  <sheetProtection algorithmName="SHA-512" hashValue="QJG8K44CtBYpVNKFhLM4ONoibNpYyKtUJPPoVQUnyg0XUFH5gjBm+Txnntdpz6c//0idKokX7xZHhJFbAXjt4Q==" saltValue="bk3dlElPigQBYML3RPl8fQ==" spinCount="100000" sheet="1" formatCells="0" selectLockedCells="1" pivotTables="0"/>
  <mergeCells count="104">
    <mergeCell ref="A86:C86"/>
    <mergeCell ref="H86:I86"/>
    <mergeCell ref="A87:C87"/>
    <mergeCell ref="H87:I87"/>
    <mergeCell ref="H88:I88"/>
    <mergeCell ref="A83:C83"/>
    <mergeCell ref="H83:I83"/>
    <mergeCell ref="A84:C84"/>
    <mergeCell ref="H84:I84"/>
    <mergeCell ref="A85:C85"/>
    <mergeCell ref="H85:I85"/>
    <mergeCell ref="A80:C80"/>
    <mergeCell ref="H80:I80"/>
    <mergeCell ref="A81:C81"/>
    <mergeCell ref="H81:I81"/>
    <mergeCell ref="A82:C82"/>
    <mergeCell ref="H82:I82"/>
    <mergeCell ref="A77:C77"/>
    <mergeCell ref="H77:I77"/>
    <mergeCell ref="A78:C78"/>
    <mergeCell ref="H78:I78"/>
    <mergeCell ref="A79:C79"/>
    <mergeCell ref="H79:I79"/>
    <mergeCell ref="A74:C74"/>
    <mergeCell ref="H74:I74"/>
    <mergeCell ref="A75:C75"/>
    <mergeCell ref="H75:I75"/>
    <mergeCell ref="A76:C76"/>
    <mergeCell ref="H76:I76"/>
    <mergeCell ref="H69:I69"/>
    <mergeCell ref="A70:I70"/>
    <mergeCell ref="A71:C71"/>
    <mergeCell ref="H71:I71"/>
    <mergeCell ref="A73:C73"/>
    <mergeCell ref="H73:I73"/>
    <mergeCell ref="A64:C64"/>
    <mergeCell ref="H64:I64"/>
    <mergeCell ref="A65:C65"/>
    <mergeCell ref="H65:I65"/>
    <mergeCell ref="A66:I66"/>
    <mergeCell ref="A67:C67"/>
    <mergeCell ref="H67:I67"/>
    <mergeCell ref="A61:C61"/>
    <mergeCell ref="H61:I61"/>
    <mergeCell ref="A62:C62"/>
    <mergeCell ref="H62:I62"/>
    <mergeCell ref="A63:C63"/>
    <mergeCell ref="H63:I63"/>
    <mergeCell ref="A58:C58"/>
    <mergeCell ref="H58:I58"/>
    <mergeCell ref="A59:C59"/>
    <mergeCell ref="H59:I59"/>
    <mergeCell ref="A60:C60"/>
    <mergeCell ref="H60:I60"/>
    <mergeCell ref="H54:I54"/>
    <mergeCell ref="H55:I55"/>
    <mergeCell ref="A56:C56"/>
    <mergeCell ref="H56:I56"/>
    <mergeCell ref="A57:C57"/>
    <mergeCell ref="H57:I57"/>
    <mergeCell ref="H46:I46"/>
    <mergeCell ref="H47:I47"/>
    <mergeCell ref="H49:I49"/>
    <mergeCell ref="A50:C50"/>
    <mergeCell ref="H50:I50"/>
    <mergeCell ref="A53:I53"/>
    <mergeCell ref="H38:I38"/>
    <mergeCell ref="H39:I39"/>
    <mergeCell ref="H40:I40"/>
    <mergeCell ref="H41:I41"/>
    <mergeCell ref="H44:I44"/>
    <mergeCell ref="H45:I45"/>
    <mergeCell ref="H32:I32"/>
    <mergeCell ref="H33:I33"/>
    <mergeCell ref="A35:C35"/>
    <mergeCell ref="H35:I35"/>
    <mergeCell ref="A36:I36"/>
    <mergeCell ref="H37:I37"/>
    <mergeCell ref="H23:I23"/>
    <mergeCell ref="H25:I25"/>
    <mergeCell ref="H26:I26"/>
    <mergeCell ref="H28:I28"/>
    <mergeCell ref="H29:I29"/>
    <mergeCell ref="H30:I30"/>
    <mergeCell ref="H18:I18"/>
    <mergeCell ref="H20:I20"/>
    <mergeCell ref="H21:I21"/>
    <mergeCell ref="F7:G7"/>
    <mergeCell ref="H7:I7"/>
    <mergeCell ref="F8:G8"/>
    <mergeCell ref="H8:I8"/>
    <mergeCell ref="F9:G9"/>
    <mergeCell ref="H9:I9"/>
    <mergeCell ref="A14:G14"/>
    <mergeCell ref="H14:I14"/>
    <mergeCell ref="A1:I1"/>
    <mergeCell ref="F4:G4"/>
    <mergeCell ref="H4:I4"/>
    <mergeCell ref="F5:G5"/>
    <mergeCell ref="H5:I5"/>
    <mergeCell ref="F6:G6"/>
    <mergeCell ref="H6:I6"/>
    <mergeCell ref="A15:C15"/>
    <mergeCell ref="H15:I15"/>
  </mergeCells>
  <dataValidations disablePrompts="1" count="3">
    <dataValidation type="list" allowBlank="1" showInputMessage="1" showErrorMessage="1" sqref="H8:I8">
      <formula1>$J$112:$J$114</formula1>
    </dataValidation>
    <dataValidation type="list" allowBlank="1" showInputMessage="1" showErrorMessage="1" sqref="H6:I6">
      <formula1>$J$115:$J$117</formula1>
    </dataValidation>
    <dataValidation type="list" allowBlank="1" showInputMessage="1" showErrorMessage="1" sqref="H7:I7">
      <formula1>$J$118:$J$120</formula1>
    </dataValidation>
  </dataValidations>
  <printOptions horizontalCentered="1"/>
  <pageMargins left="0.28000000000000003" right="0.34" top="0.5" bottom="0.75" header="0.3" footer="0.3"/>
  <pageSetup scale="58" orientation="portrait" useFirstPageNumber="1" r:id="rId1"/>
  <headerFooter differentFirst="1" alignWithMargins="0">
    <oddHeader>&amp;R&amp;"MS Sans Serif,Bold"&amp;F</oddHeader>
    <oddFooter>&amp;RLast modified on &amp;D, &amp;T</oddFooter>
    <firstFooter>&amp;R&amp;Z&amp;F</firstFooter>
  </headerFooter>
  <rowBreaks count="1" manualBreakCount="1">
    <brk id="49" max="8" man="1"/>
  </rowBreak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view="pageLayout" zoomScaleNormal="100" workbookViewId="0">
      <selection activeCell="J16" sqref="J16"/>
    </sheetView>
  </sheetViews>
  <sheetFormatPr defaultRowHeight="12.5" x14ac:dyDescent="0.25"/>
  <cols>
    <col min="1" max="1" width="15" bestFit="1" customWidth="1"/>
  </cols>
  <sheetData>
    <row r="1" spans="1:13" ht="33.75" customHeight="1" x14ac:dyDescent="0.25">
      <c r="A1" s="62" t="s">
        <v>75</v>
      </c>
      <c r="B1">
        <v>45</v>
      </c>
    </row>
    <row r="2" spans="1:13" ht="30.75" customHeight="1" x14ac:dyDescent="0.25">
      <c r="A2" s="66" t="s">
        <v>63</v>
      </c>
      <c r="B2" s="324" t="s">
        <v>200</v>
      </c>
      <c r="C2" s="324"/>
      <c r="D2" s="324"/>
      <c r="E2" s="324"/>
      <c r="F2" s="324"/>
      <c r="G2" s="324"/>
      <c r="H2" s="324"/>
      <c r="I2" s="324"/>
      <c r="J2" s="324"/>
      <c r="K2" s="324"/>
      <c r="L2" s="324"/>
    </row>
    <row r="3" spans="1:13" ht="16" customHeight="1" x14ac:dyDescent="0.3">
      <c r="A3" s="61" t="s">
        <v>64</v>
      </c>
      <c r="B3" s="63"/>
      <c r="C3" s="63"/>
      <c r="D3" s="63"/>
      <c r="E3" s="63"/>
      <c r="F3" s="63"/>
      <c r="G3" s="63"/>
      <c r="H3" s="63"/>
      <c r="I3" s="63"/>
      <c r="J3" s="63"/>
      <c r="K3" s="63"/>
      <c r="L3" s="63"/>
    </row>
    <row r="4" spans="1:13" ht="16" customHeight="1" x14ac:dyDescent="0.3">
      <c r="A4" s="61" t="s">
        <v>65</v>
      </c>
      <c r="B4" s="63"/>
      <c r="C4" s="63"/>
      <c r="D4" s="63"/>
      <c r="E4" s="63"/>
      <c r="F4" s="63"/>
      <c r="G4" s="63"/>
      <c r="H4" s="63"/>
      <c r="I4" s="63"/>
      <c r="J4" s="63"/>
      <c r="K4" s="63"/>
      <c r="L4" s="63"/>
    </row>
    <row r="5" spans="1:13" ht="16" customHeight="1" x14ac:dyDescent="0.3">
      <c r="A5" s="61" t="s">
        <v>66</v>
      </c>
      <c r="B5" s="63"/>
      <c r="C5" s="63"/>
      <c r="D5" s="63"/>
      <c r="E5" s="63"/>
      <c r="F5" s="63"/>
      <c r="G5" s="63"/>
      <c r="H5" s="63"/>
      <c r="I5" s="63"/>
      <c r="J5" s="63"/>
      <c r="K5" s="63"/>
      <c r="L5" s="63"/>
    </row>
    <row r="6" spans="1:13" ht="16" customHeight="1" x14ac:dyDescent="0.3">
      <c r="A6" s="61" t="s">
        <v>67</v>
      </c>
      <c r="B6" s="63"/>
      <c r="C6" s="63"/>
      <c r="D6" s="63"/>
      <c r="E6" s="63"/>
      <c r="F6" s="63"/>
      <c r="G6" s="63"/>
      <c r="H6" s="63"/>
      <c r="I6" s="63"/>
      <c r="J6" s="63"/>
      <c r="K6" s="63"/>
      <c r="L6" s="63"/>
    </row>
    <row r="7" spans="1:13" ht="16" customHeight="1" x14ac:dyDescent="0.3">
      <c r="A7" s="61" t="s">
        <v>68</v>
      </c>
      <c r="B7" s="63"/>
      <c r="C7" s="63"/>
      <c r="D7" s="63"/>
      <c r="E7" s="63"/>
      <c r="F7" s="63"/>
      <c r="G7" s="63"/>
      <c r="H7" s="63"/>
      <c r="I7" s="63"/>
      <c r="J7" s="63"/>
      <c r="K7" s="63"/>
      <c r="L7" s="63"/>
    </row>
    <row r="8" spans="1:13" ht="16" customHeight="1" x14ac:dyDescent="0.3">
      <c r="A8" s="61" t="s">
        <v>69</v>
      </c>
      <c r="B8" s="63"/>
      <c r="C8" s="63"/>
      <c r="D8" s="63"/>
      <c r="E8" s="63"/>
      <c r="F8" s="63"/>
      <c r="G8" s="63"/>
      <c r="H8" s="63"/>
      <c r="I8" s="63"/>
      <c r="J8" s="63"/>
      <c r="K8" s="63"/>
      <c r="L8" s="63"/>
    </row>
    <row r="9" spans="1:13" ht="16" customHeight="1" x14ac:dyDescent="0.3">
      <c r="A9" s="61" t="s">
        <v>70</v>
      </c>
      <c r="B9" s="63"/>
      <c r="C9" s="63"/>
      <c r="D9" s="63"/>
      <c r="E9" s="63"/>
      <c r="F9" s="63"/>
      <c r="G9" s="63"/>
      <c r="H9" s="63"/>
      <c r="I9" s="63"/>
      <c r="J9" s="63"/>
      <c r="K9" s="63"/>
      <c r="L9" s="63"/>
    </row>
    <row r="10" spans="1:13" ht="16" customHeight="1" x14ac:dyDescent="0.3">
      <c r="A10" s="61" t="s">
        <v>71</v>
      </c>
      <c r="B10" s="63"/>
      <c r="C10" s="63"/>
      <c r="D10" s="63"/>
      <c r="E10" s="63"/>
      <c r="F10" s="63"/>
      <c r="G10" s="63"/>
      <c r="H10" s="63"/>
      <c r="I10" s="63"/>
      <c r="J10" s="63"/>
      <c r="K10" s="63"/>
      <c r="L10" s="63"/>
    </row>
    <row r="11" spans="1:13" ht="16" customHeight="1" x14ac:dyDescent="0.3">
      <c r="A11" s="61" t="s">
        <v>72</v>
      </c>
      <c r="B11" s="63"/>
      <c r="C11" s="63"/>
      <c r="D11" s="63"/>
      <c r="E11" s="63"/>
      <c r="F11" s="63"/>
      <c r="G11" s="63"/>
      <c r="H11" s="63"/>
      <c r="I11" s="63"/>
      <c r="J11" s="63"/>
      <c r="K11" s="63"/>
      <c r="L11" s="63"/>
    </row>
    <row r="12" spans="1:13" ht="16" customHeight="1" x14ac:dyDescent="0.3">
      <c r="A12" s="61" t="s">
        <v>73</v>
      </c>
      <c r="B12" s="64"/>
      <c r="C12" s="64"/>
      <c r="D12" s="64"/>
      <c r="E12" s="64"/>
      <c r="F12" s="64"/>
      <c r="G12" s="64"/>
      <c r="H12" s="64"/>
      <c r="I12" s="64"/>
      <c r="J12" s="64"/>
      <c r="K12" s="64"/>
      <c r="L12" s="64"/>
    </row>
    <row r="13" spans="1:13" ht="16" customHeight="1" x14ac:dyDescent="0.25">
      <c r="B13" s="63"/>
      <c r="C13" s="63"/>
      <c r="D13" s="63"/>
      <c r="E13" s="63"/>
      <c r="F13" s="63"/>
      <c r="G13" s="63"/>
      <c r="H13" s="63"/>
      <c r="I13" s="63"/>
      <c r="J13" s="63"/>
      <c r="K13" s="63"/>
      <c r="L13" s="63"/>
    </row>
    <row r="14" spans="1:13" ht="16" customHeight="1" x14ac:dyDescent="0.25">
      <c r="A14" t="s">
        <v>74</v>
      </c>
      <c r="B14" s="63">
        <f>SUM(B3:B12)</f>
        <v>0</v>
      </c>
      <c r="C14" s="63">
        <f t="shared" ref="C14:L14" si="0">SUM(C3:C12)</f>
        <v>0</v>
      </c>
      <c r="D14" s="63">
        <f t="shared" si="0"/>
        <v>0</v>
      </c>
      <c r="E14" s="63">
        <f t="shared" si="0"/>
        <v>0</v>
      </c>
      <c r="F14" s="63">
        <f t="shared" si="0"/>
        <v>0</v>
      </c>
      <c r="G14" s="63">
        <f t="shared" si="0"/>
        <v>0</v>
      </c>
      <c r="H14" s="63">
        <f t="shared" si="0"/>
        <v>0</v>
      </c>
      <c r="I14" s="63">
        <f t="shared" si="0"/>
        <v>0</v>
      </c>
      <c r="J14" s="63">
        <f t="shared" si="0"/>
        <v>0</v>
      </c>
      <c r="K14" s="63">
        <f t="shared" si="0"/>
        <v>0</v>
      </c>
      <c r="L14" s="63">
        <f t="shared" si="0"/>
        <v>0</v>
      </c>
      <c r="M14" s="65">
        <f>SUM(B14:L14)</f>
        <v>0</v>
      </c>
    </row>
    <row r="15" spans="1:13" ht="16" customHeight="1" x14ac:dyDescent="0.25"/>
    <row r="16" spans="1:13" ht="16" customHeight="1" x14ac:dyDescent="0.25"/>
    <row r="17" ht="16" customHeight="1" x14ac:dyDescent="0.25"/>
  </sheetData>
  <pageMargins left="0.25" right="0.25" top="0.61250000000000004" bottom="0.38750000000000001" header="0.3" footer="0.3"/>
  <pageSetup paperSize="5" scale="90" orientation="landscape" r:id="rId1"/>
  <headerFooter>
    <oddHeader>&amp;C&amp;F</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105DBBEFF17B4F8A92A5F968B7829E" ma:contentTypeVersion="12" ma:contentTypeDescription="Create a new document." ma:contentTypeScope="" ma:versionID="b673b3f655e65447dbf2ea0c98c51ccc">
  <xsd:schema xmlns:xsd="http://www.w3.org/2001/XMLSchema" xmlns:xs="http://www.w3.org/2001/XMLSchema" xmlns:p="http://schemas.microsoft.com/office/2006/metadata/properties" xmlns:ns3="0bd01695-ff6e-408f-a85e-4b68f8fbc739" xmlns:ns4="da649f4b-3950-432b-b80f-41e5fc3f1ebe" targetNamespace="http://schemas.microsoft.com/office/2006/metadata/properties" ma:root="true" ma:fieldsID="f001dd2a23d342e5ba7c40678999f5b4" ns3:_="" ns4:_="">
    <xsd:import namespace="0bd01695-ff6e-408f-a85e-4b68f8fbc739"/>
    <xsd:import namespace="da649f4b-3950-432b-b80f-41e5fc3f1ebe"/>
    <xsd:element name="properties">
      <xsd:complexType>
        <xsd:sequence>
          <xsd:element name="documentManagement">
            <xsd:complexType>
              <xsd:all>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d01695-ff6e-408f-a85e-4b68f8fbc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a649f4b-3950-432b-b80f-41e5fc3f1eb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6C96FF-53E8-4068-BCAD-F5B2B4C3F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d01695-ff6e-408f-a85e-4b68f8fbc739"/>
    <ds:schemaRef ds:uri="da649f4b-3950-432b-b80f-41e5fc3f1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9D34B4-7C68-4A73-BDF7-58CF716E73A2}">
  <ds:schemaRefs>
    <ds:schemaRef ds:uri="http://schemas.microsoft.com/sharepoint/v3/contenttype/forms"/>
  </ds:schemaRefs>
</ds:datastoreItem>
</file>

<file path=customXml/itemProps3.xml><?xml version="1.0" encoding="utf-8"?>
<ds:datastoreItem xmlns:ds="http://schemas.openxmlformats.org/officeDocument/2006/customXml" ds:itemID="{9583A745-24C0-4B1E-9FC5-07E5A19E1B08}">
  <ds:schemaRefs>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schemas.microsoft.com/office/infopath/2007/PartnerControls"/>
    <ds:schemaRef ds:uri="da649f4b-3950-432b-b80f-41e5fc3f1ebe"/>
    <ds:schemaRef ds:uri="http://www.w3.org/XML/1998/namespace"/>
    <ds:schemaRef ds:uri="0bd01695-ff6e-408f-a85e-4b68f8fbc739"/>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14</vt:i4>
      </vt:variant>
    </vt:vector>
  </HeadingPairs>
  <TitlesOfParts>
    <vt:vector size="31" baseType="lpstr">
      <vt:lpstr>Quarter 1</vt:lpstr>
      <vt:lpstr>GL Q1</vt:lpstr>
      <vt:lpstr>Salary Alloc Q1</vt:lpstr>
      <vt:lpstr>Benefit Q1</vt:lpstr>
      <vt:lpstr>Quarter 2</vt:lpstr>
      <vt:lpstr>GL Q2</vt:lpstr>
      <vt:lpstr>P and L </vt:lpstr>
      <vt:lpstr>Salary Report Q2</vt:lpstr>
      <vt:lpstr>Salary Details</vt:lpstr>
      <vt:lpstr>Benefits Q2</vt:lpstr>
      <vt:lpstr>Quarter 3</vt:lpstr>
      <vt:lpstr>PL Qrt 3</vt:lpstr>
      <vt:lpstr>Quarter 4</vt:lpstr>
      <vt:lpstr>Quarter 1 - 4</vt:lpstr>
      <vt:lpstr>Schedule A Personnel</vt:lpstr>
      <vt:lpstr>Provider Planning Budget</vt:lpstr>
      <vt:lpstr>Monthly Enrollment Tracker</vt:lpstr>
      <vt:lpstr>'GL Q2'!Print_Area</vt:lpstr>
      <vt:lpstr>'Provider Planning Budget'!Print_Area</vt:lpstr>
      <vt:lpstr>'Quarter 1'!Print_Area</vt:lpstr>
      <vt:lpstr>'Quarter 2'!Print_Area</vt:lpstr>
      <vt:lpstr>'Quarter 3'!Print_Area</vt:lpstr>
      <vt:lpstr>'Quarter 4'!Print_Area</vt:lpstr>
      <vt:lpstr>'Schedule A Personnel'!Print_Area</vt:lpstr>
      <vt:lpstr>'GL Q2'!Print_Titles</vt:lpstr>
      <vt:lpstr>'Quarter 1'!Print_Titles</vt:lpstr>
      <vt:lpstr>'Quarter 1 - 4'!Print_Titles</vt:lpstr>
      <vt:lpstr>'Quarter 2'!Print_Titles</vt:lpstr>
      <vt:lpstr>'Quarter 3'!Print_Titles</vt:lpstr>
      <vt:lpstr>'Quarter 4'!Print_Titles</vt:lpstr>
      <vt:lpstr>'Schedule A Personnel'!Print_Titles</vt:lpstr>
    </vt:vector>
  </TitlesOfParts>
  <Company>nps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mdukes</dc:creator>
  <cp:lastModifiedBy>Peter Schmitt</cp:lastModifiedBy>
  <cp:lastPrinted>2020-01-22T20:14:14Z</cp:lastPrinted>
  <dcterms:created xsi:type="dcterms:W3CDTF">2010-08-19T20:20:03Z</dcterms:created>
  <dcterms:modified xsi:type="dcterms:W3CDTF">2020-03-28T12:27:18Z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0x01010046105DBBEFF17B4F8A92A5F968B7829E</vt:lpwstr>
  </property>
</Properties>
</file>