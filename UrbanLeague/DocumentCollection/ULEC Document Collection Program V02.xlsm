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eter\Documents\Associates\Projects\Townsend\UrbanLeague\DocumentCollection\"/>
    </mc:Choice>
  </mc:AlternateContent>
  <bookViews>
    <workbookView xWindow="0" yWindow="0" windowWidth="19200" windowHeight="7160" activeTab="3"/>
  </bookViews>
  <sheets>
    <sheet name="Main" sheetId="1" r:id="rId1"/>
    <sheet name="PL" sheetId="2" r:id="rId2"/>
    <sheet name="Sheet1" sheetId="5" r:id="rId3"/>
    <sheet name="Attachments" sheetId="3" r:id="rId4"/>
    <sheet name="Files" sheetId="4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8" i="2" l="1"/>
  <c r="H17" i="2"/>
  <c r="H13" i="2"/>
  <c r="H10" i="2"/>
</calcChain>
</file>

<file path=xl/sharedStrings.xml><?xml version="1.0" encoding="utf-8"?>
<sst xmlns="http://schemas.openxmlformats.org/spreadsheetml/2006/main" count="2464" uniqueCount="1185">
  <si>
    <t>URBAN LEAGUE OF ESSEX COUNTY</t>
  </si>
  <si>
    <t>950 Allocated Expenses Detail by  Account</t>
  </si>
  <si>
    <t>November 2019</t>
  </si>
  <si>
    <t>Date</t>
  </si>
  <si>
    <t>Transaction Type</t>
  </si>
  <si>
    <t>Num</t>
  </si>
  <si>
    <t>Name</t>
  </si>
  <si>
    <t>Class</t>
  </si>
  <si>
    <t>Memo/Description</t>
  </si>
  <si>
    <t>Amount</t>
  </si>
  <si>
    <t>Check</t>
  </si>
  <si>
    <t>7500 Contract Service Expenses</t>
  </si>
  <si>
    <t xml:space="preserve">   7515 IT Support</t>
  </si>
  <si>
    <t>Bill</t>
  </si>
  <si>
    <t>Sharp Electronics Corporation</t>
  </si>
  <si>
    <t>950 Allocated Cost</t>
  </si>
  <si>
    <t>Help Desk support/maintenance for November 2019</t>
  </si>
  <si>
    <t xml:space="preserve">      Total for 7515 IT Support</t>
  </si>
  <si>
    <t xml:space="preserve">   7520 Audit  Fees</t>
  </si>
  <si>
    <t>11/01/2019</t>
  </si>
  <si>
    <t>11.01.19OO</t>
  </si>
  <si>
    <t>Olugbenga Olabintan</t>
  </si>
  <si>
    <t>Final Payment for 2018 Audit &amp; 990's</t>
  </si>
  <si>
    <t xml:space="preserve">   7520 Accounting Fees</t>
  </si>
  <si>
    <t>11/06/2019</t>
  </si>
  <si>
    <t>Patricia  Mise</t>
  </si>
  <si>
    <t>Accounting Consulting Services - 10/25/19 - 11/06/19</t>
  </si>
  <si>
    <t>11/20/2019</t>
  </si>
  <si>
    <t>Accounting Consulting Services - 11/07/19 - 11/20/19</t>
  </si>
  <si>
    <t xml:space="preserve">   Total for 7520 Accounting Fees</t>
  </si>
  <si>
    <t>Total for 7500 Contract Service Expenses</t>
  </si>
  <si>
    <t>8100 Operating Expenses</t>
  </si>
  <si>
    <t xml:space="preserve">   8110 Supplies</t>
  </si>
  <si>
    <t>11/14/2019</t>
  </si>
  <si>
    <t>19K0429958465</t>
  </si>
  <si>
    <t>ReadyRefresh by Nestle</t>
  </si>
  <si>
    <t>Water Delivery 10/13/19 - 11/12/19</t>
  </si>
  <si>
    <t>11/25/2019</t>
  </si>
  <si>
    <t>J1226439</t>
  </si>
  <si>
    <t>American Paper &amp; Supplies</t>
  </si>
  <si>
    <t>Maintenance Supplies</t>
  </si>
  <si>
    <t xml:space="preserve">   Total for 8110 Supplies</t>
  </si>
  <si>
    <t xml:space="preserve">   8130 Telephone &amp; Telecommunications</t>
  </si>
  <si>
    <t xml:space="preserve">      8133 Verizon</t>
  </si>
  <si>
    <t>11.01.19VR</t>
  </si>
  <si>
    <t>Verizon</t>
  </si>
  <si>
    <t>Telephone Charges October 2019</t>
  </si>
  <si>
    <t>Online</t>
  </si>
  <si>
    <t>11/10/2019</t>
  </si>
  <si>
    <t>11.10.19VR</t>
  </si>
  <si>
    <t>Telephone Charges November 2019</t>
  </si>
  <si>
    <t xml:space="preserve">      Total for 8133 Verizon</t>
  </si>
  <si>
    <t xml:space="preserve">   Total for 8130 Telephone &amp; Telecommunications</t>
  </si>
  <si>
    <t xml:space="preserve">   8190 Internet/Web/Hosting Fees</t>
  </si>
  <si>
    <t>11/11/2019</t>
  </si>
  <si>
    <t>Expense</t>
  </si>
  <si>
    <t>11.11.19MSFT</t>
  </si>
  <si>
    <t>MICROSOFT CORPORATION</t>
  </si>
  <si>
    <t>Monthly Microsoft Office 365 Subscription</t>
  </si>
  <si>
    <t>Credit Card</t>
  </si>
  <si>
    <t xml:space="preserve">   Total for 8190 Internet/Web/Hosting Fees</t>
  </si>
  <si>
    <t>Total for 8100 Operating Expenses</t>
  </si>
  <si>
    <t xml:space="preserve">   8210 Utilities</t>
  </si>
  <si>
    <t xml:space="preserve">      8210.2 506 Utilities</t>
  </si>
  <si>
    <t>11/15/2019</t>
  </si>
  <si>
    <t>602906353519</t>
  </si>
  <si>
    <t>PSE&amp;G</t>
  </si>
  <si>
    <t>Gas &amp; Electric - 506 Central Ave Apt # 1    10/16/19 - 11/13/19</t>
  </si>
  <si>
    <t>601306203758</t>
  </si>
  <si>
    <t>Gas &amp; Electric - 506 Central Ave Apt # D   10/16/19 - 11/13/19</t>
  </si>
  <si>
    <t>601306203736</t>
  </si>
  <si>
    <t>Gas &amp; Electric - 506 Central Ave Apt # B    10/16/19 - 11/13/19</t>
  </si>
  <si>
    <t>601306203767</t>
  </si>
  <si>
    <t>Gas &amp; Electric - 506 Central Ave Apt # A     10/16/19 - 11/13/19</t>
  </si>
  <si>
    <t xml:space="preserve">      Total for 8210.2 506 Utilities</t>
  </si>
  <si>
    <t xml:space="preserve">      8210.3 508 Utilities</t>
  </si>
  <si>
    <t>605604356243</t>
  </si>
  <si>
    <t>Acct # 66 264 956 07 - 508 Central Ave for 10/16/19 - 11/14/19</t>
  </si>
  <si>
    <t xml:space="preserve">      Total for 8210.3 508 Utilities</t>
  </si>
  <si>
    <t xml:space="preserve">   Total for 8210 Utilities</t>
  </si>
  <si>
    <t xml:space="preserve">   8220 Equipment Rental, Repair &amp; Maintenance</t>
  </si>
  <si>
    <t xml:space="preserve">      8221 Copier Lease</t>
  </si>
  <si>
    <t>11/08/2019</t>
  </si>
  <si>
    <t>CIT</t>
  </si>
  <si>
    <t>Copier Lease - 508 Central Ave 900-0239284-000</t>
  </si>
  <si>
    <t>11/29/2019</t>
  </si>
  <si>
    <t>Copier Lease - Nov 2019 900-0298832-000</t>
  </si>
  <si>
    <t xml:space="preserve">      Total for 8221 Copier Lease</t>
  </si>
  <si>
    <t xml:space="preserve">      8222 Copy Fees</t>
  </si>
  <si>
    <t>55K1509174</t>
  </si>
  <si>
    <t>Duplitron - Kyocera</t>
  </si>
  <si>
    <t>Contract Base Rate Charge</t>
  </si>
  <si>
    <t xml:space="preserve">      Total for 8222 Copy Fees</t>
  </si>
  <si>
    <t xml:space="preserve">      8227 Equipment Rental</t>
  </si>
  <si>
    <t>3309975869</t>
  </si>
  <si>
    <t>Pitney Bowes</t>
  </si>
  <si>
    <t>Lease Invoice Billing Period 10/30/2019- 1/29/20</t>
  </si>
  <si>
    <t xml:space="preserve">      Total for 8227 Equipment Rental</t>
  </si>
  <si>
    <t xml:space="preserve">   8230 Building Repair &amp; Maintenance</t>
  </si>
  <si>
    <t xml:space="preserve">      8233 Trash Removal</t>
  </si>
  <si>
    <t>Cali Carting</t>
  </si>
  <si>
    <t>Dumping - Trash Removal Services - November  2019</t>
  </si>
  <si>
    <t xml:space="preserve">      Total for 8233 Trash Removal</t>
  </si>
  <si>
    <t xml:space="preserve">      8235 Exterminating</t>
  </si>
  <si>
    <t>11/05/2019</t>
  </si>
  <si>
    <t>Nationwide Pest Management</t>
  </si>
  <si>
    <t>Monthly Pest Control Services - Nov 2019</t>
  </si>
  <si>
    <t xml:space="preserve">      Total for 8235 Exterminating</t>
  </si>
  <si>
    <t xml:space="preserve">   Total for 8230 Building Repair &amp; Maintenance</t>
  </si>
  <si>
    <t xml:space="preserve">   8250 Mortgage Interest Expense</t>
  </si>
  <si>
    <t>11.08.19_X9010</t>
  </si>
  <si>
    <t>TD Bank, N.A.</t>
  </si>
  <si>
    <t>Oct 2019 Mortgage Payment for 508 Central Ave</t>
  </si>
  <si>
    <t>EFT</t>
  </si>
  <si>
    <t xml:space="preserve">   Total for 8250 Mortgage Interest Expense</t>
  </si>
  <si>
    <t>USJP Generate Backup Documents</t>
  </si>
  <si>
    <t>Source</t>
  </si>
  <si>
    <t>Destination</t>
  </si>
  <si>
    <t>P. Schmitt</t>
  </si>
  <si>
    <t xml:space="preserve">Files Merged to </t>
  </si>
  <si>
    <t>PDF Name</t>
  </si>
  <si>
    <t>Salaries.pdf</t>
  </si>
  <si>
    <t>THUMBNAIL</t>
  </si>
  <si>
    <t>TYPE</t>
  </si>
  <si>
    <t>NAME</t>
  </si>
  <si>
    <t>SIZE</t>
  </si>
  <si>
    <t>UPLOADED</t>
  </si>
  <si>
    <t>LINKS</t>
  </si>
  <si>
    <t>NOTE</t>
  </si>
  <si>
    <t>ACTION</t>
  </si>
  <si>
    <t>Image</t>
  </si>
  <si>
    <t>Receipt_20200210160246</t>
  </si>
  <si>
    <t>73.71 KB</t>
  </si>
  <si>
    <t>Expense: $12.24 - CHICKPEA NEWARK NJ</t>
  </si>
  <si>
    <t>Download</t>
  </si>
  <si>
    <t>NO PREVIEW AVAILABLE</t>
  </si>
  <si>
    <t>PDF</t>
  </si>
  <si>
    <t>01.07.20 Program For Parents $4,419.04</t>
  </si>
  <si>
    <t>276.27 KB</t>
  </si>
  <si>
    <t>Payment: $4,419.04 - Program for Parents</t>
  </si>
  <si>
    <t>01.03.20 Stripe $488.70 Susanne Peticolas</t>
  </si>
  <si>
    <t>97.34 KB</t>
  </si>
  <si>
    <t>Payment Stripe: $488.70 - Susanne Peticolas</t>
  </si>
  <si>
    <t>01.2020 Child Food Cash in Lieu $229.19</t>
  </si>
  <si>
    <t>5.99 KB</t>
  </si>
  <si>
    <t>Invoice 202002: $229.19 - CHILD AND ADULT FOOD PROGRAM</t>
  </si>
  <si>
    <t>01.2020 Child Food $4,748.22</t>
  </si>
  <si>
    <t>Invoice 202001: $4,748.22 - CHILD AND ADULT FOOD PROGRAM</t>
  </si>
  <si>
    <t>Sampson Check #102 $10,116</t>
  </si>
  <si>
    <t>485.26 KB</t>
  </si>
  <si>
    <t>Check 102: $10,116.00 - Sampson Development Group, LLC</t>
  </si>
  <si>
    <t>01.15.20 Annamaria Porcaro $700 2019 Board Donation</t>
  </si>
  <si>
    <t>122.78 KB</t>
  </si>
  <si>
    <t>Payment 2115: $700.00 - ANNAMARIA PORCARO</t>
  </si>
  <si>
    <t>01.13.20 Pre-School $743.55</t>
  </si>
  <si>
    <t>256.45 KB</t>
  </si>
  <si>
    <t>Deposit: $743.55 - Parent Co-pays (Various) (deleted)</t>
  </si>
  <si>
    <t>01.10.20 Pre-School $30</t>
  </si>
  <si>
    <t>77.71 KB</t>
  </si>
  <si>
    <t>Deposit: $30.00 - Parent Co-pays (Various) (deleted)</t>
  </si>
  <si>
    <t>01.09.20 Pre-School $600</t>
  </si>
  <si>
    <t>91.59 KB</t>
  </si>
  <si>
    <t>Deposit: $600.00 - Parent Co-pays (Various) (deleted)</t>
  </si>
  <si>
    <t>01.08.20 Pre-School $100</t>
  </si>
  <si>
    <t>79.86 KB</t>
  </si>
  <si>
    <t>Deposit: $100.00 - Parent Co-pays (Various) (deleted)</t>
  </si>
  <si>
    <t>01.08.20 Horizon BCBSNJ $4,569.37</t>
  </si>
  <si>
    <t>197.65 KB</t>
  </si>
  <si>
    <t>Deposit: $4,569.37 - Horizon Blue Cross Blue Shield (deleted)</t>
  </si>
  <si>
    <t>01.08.20 Victoria Fdn $205,000</t>
  </si>
  <si>
    <t>487.15 KB</t>
  </si>
  <si>
    <t>Deposit: $205,000.00 - Grants/Contracts:Victoria Foundation</t>
  </si>
  <si>
    <t>01.08.20 Providence Abstract 228 Fairmount $165,491.20</t>
  </si>
  <si>
    <t>251.85 KB</t>
  </si>
  <si>
    <t>Deposit: $165,491.20 - Providence (deleted)</t>
  </si>
  <si>
    <t>01.08.20 BOA Rewards $3.40</t>
  </si>
  <si>
    <t>84.20 KB</t>
  </si>
  <si>
    <t>Deposit: $3.40 - The Bank of America (deleted)</t>
  </si>
  <si>
    <t>01.08.20 Eka Associates Gala Ad $125</t>
  </si>
  <si>
    <t>296.03 KB</t>
  </si>
  <si>
    <t>Deposit: $125.00 - EKA Associates P.A. (deleted)</t>
  </si>
  <si>
    <t>01.07.20 Pre-School $111.06</t>
  </si>
  <si>
    <t>93.86 KB</t>
  </si>
  <si>
    <t>Deposit: $111.06 - Parent Co-pays (Various) (deleted)</t>
  </si>
  <si>
    <t>01.03.20 Paycom 0K296 $317.56</t>
  </si>
  <si>
    <t>91.61 KB</t>
  </si>
  <si>
    <t>Deposit: $317.56 - Paycom Payroll, LLC</t>
  </si>
  <si>
    <t>01.02.20 BOA Rewards $330.07</t>
  </si>
  <si>
    <t>82.45 KB</t>
  </si>
  <si>
    <t>Deposit: $330.07 - The Bank of America (deleted)</t>
  </si>
  <si>
    <t>12.16.19 Capital One Housing $10,000</t>
  </si>
  <si>
    <t>151.10 KB</t>
  </si>
  <si>
    <t>Deposit: $10,000.00 - Capital One Services, LLC (deleted)</t>
  </si>
  <si>
    <t>12.16.19 Capital One SaveUp2 $20,000</t>
  </si>
  <si>
    <t>158.75 KB</t>
  </si>
  <si>
    <t>Deposit: $20,000.00 - Capital One Services, LLC (deleted)</t>
  </si>
  <si>
    <t>12.17.19 $412 Pre-School</t>
  </si>
  <si>
    <t>349.82 KB</t>
  </si>
  <si>
    <t>Deposit: $412.00 - Parent Co-pays (Various) (deleted)</t>
  </si>
  <si>
    <t>12.17.19 $1,643.51 Paycom 0K296 Refund</t>
  </si>
  <si>
    <t>468.70 KB</t>
  </si>
  <si>
    <t>Deposit: $1,643.51 - Paycom Payroll, LLC</t>
  </si>
  <si>
    <t>12.19.19 Dodge $19,500</t>
  </si>
  <si>
    <t>226.29 KB</t>
  </si>
  <si>
    <t>Deposit: $19,500.00 - Dodge Foundation (deleted)</t>
  </si>
  <si>
    <t>12.19.19 Paycom $338.02</t>
  </si>
  <si>
    <t>155.95 KB</t>
  </si>
  <si>
    <t>Deposit: $338.02 - Paycom Payroll, LLC</t>
  </si>
  <si>
    <t>12.20.19 Pre-School Wrap $53</t>
  </si>
  <si>
    <t>197.84 KB</t>
  </si>
  <si>
    <t>Deposit: $53.00 - Parent Co-pays (Various) (deleted)</t>
  </si>
  <si>
    <t>12.20.19 Paycom 0K296 $801.12</t>
  </si>
  <si>
    <t>167.37 KB</t>
  </si>
  <si>
    <t>Deposit: $801.12 - Paycom Payroll, LLC</t>
  </si>
  <si>
    <t>12.23.19 NPS Abbott $57,003.89</t>
  </si>
  <si>
    <t>758.09 KB</t>
  </si>
  <si>
    <t>Deposit: $57,003.89 - Grants/Contracts:Newark Public Schools (Abbott)</t>
  </si>
  <si>
    <t>12.23.19 Wells Fargo $82,500</t>
  </si>
  <si>
    <t>662.98 KB</t>
  </si>
  <si>
    <t>Deposit: $82,500.00 - Grants/Contracts:Wells Fargo Regional Foundation</t>
  </si>
  <si>
    <t>12.23.19 Effective Alarm Gala $125</t>
  </si>
  <si>
    <t>491.58 KB</t>
  </si>
  <si>
    <t>Deposit: $125.00 - Effective Alarm</t>
  </si>
  <si>
    <t>12.23.19 David Williams $250</t>
  </si>
  <si>
    <t>763.08 KB</t>
  </si>
  <si>
    <t>Deposit: $250.00 - David Williams (deleted)</t>
  </si>
  <si>
    <t>12.23.19 Pre-School $287.95</t>
  </si>
  <si>
    <t>304.97 KB</t>
  </si>
  <si>
    <t>Deposit: $287.95 - Parent Co-pays (Various) (deleted)</t>
  </si>
  <si>
    <t>12.23.19 Kelly X. Lu $25,000</t>
  </si>
  <si>
    <t>692.38 KB</t>
  </si>
  <si>
    <t>Deposit: $25,000.00 - Kelly X. Lu (deleted)</t>
  </si>
  <si>
    <t>12.24.19 Program For Parents $5,008.44</t>
  </si>
  <si>
    <t>269.03 KB</t>
  </si>
  <si>
    <t>Deposit: $5,008.44 - Program for Parents</t>
  </si>
  <si>
    <t>12.26.19 NUL-USJP $36,596.43</t>
  </si>
  <si>
    <t>341.75 KB</t>
  </si>
  <si>
    <t>Deposit: $36,596.43 - National Urban League</t>
  </si>
  <si>
    <t>12.27.19 Program for Parents $23.38</t>
  </si>
  <si>
    <t>81.81 KB</t>
  </si>
  <si>
    <t>Deposit: $23.38 - Programs for Parents</t>
  </si>
  <si>
    <t>12.27.19 Program for Parents $7.30</t>
  </si>
  <si>
    <t>80.21 KB</t>
  </si>
  <si>
    <t>Deposit: $7.30 - Programs for Parents</t>
  </si>
  <si>
    <t>12.26.19 CCFP Cash in Lieu $165.06</t>
  </si>
  <si>
    <t>82.61 KB</t>
  </si>
  <si>
    <t>Deposit: $165.06 - CHILD AND ADULT FOOD PROGRAM</t>
  </si>
  <si>
    <t>12.26.19 CCFP $3,449.98</t>
  </si>
  <si>
    <t>82.18 KB</t>
  </si>
  <si>
    <t>Deposit: $3,449.98 - CHILD AND ADULT FOOD PROGRAM</t>
  </si>
  <si>
    <t>0K296 Cash Requirements 12.02.19</t>
  </si>
  <si>
    <t>201.97 KB</t>
  </si>
  <si>
    <t>Journal 00000000000098: $0.00</t>
  </si>
  <si>
    <t>Journal 00000000000187: $0.00</t>
  </si>
  <si>
    <t>Journal 00000000000188: $0.00</t>
  </si>
  <si>
    <t>Journal 00000000000189: $0.00</t>
  </si>
  <si>
    <t>USJP Participants Check_Register_12.02.19</t>
  </si>
  <si>
    <t>216.84 KB</t>
  </si>
  <si>
    <t>USJP Participants Check_Register_12.30.19</t>
  </si>
  <si>
    <t>220.55 KB</t>
  </si>
  <si>
    <t>Journal 00000000000149: $0.00</t>
  </si>
  <si>
    <t>0K296 Cash Requirements 12.30.19</t>
  </si>
  <si>
    <t>203.22 KB</t>
  </si>
  <si>
    <t>USJP Participants Check_Register_12.16.19</t>
  </si>
  <si>
    <t>221.04 KB</t>
  </si>
  <si>
    <t>Journal 00000000000099: $0.00</t>
  </si>
  <si>
    <t>0K296 Cash Req 12.13.19 Pay Date 12.16.19 $55,724.28</t>
  </si>
  <si>
    <t>76.69 KB</t>
  </si>
  <si>
    <t>CACFP Receivable Dec 2019</t>
  </si>
  <si>
    <t>Floyd 12.12.19 $5,500</t>
  </si>
  <si>
    <t>307.15 KB</t>
  </si>
  <si>
    <t>12.12.19 $10,000 Turrell Fund</t>
  </si>
  <si>
    <t>244.75 KB</t>
  </si>
  <si>
    <t>Deposit: $10,000.00 - Turrell Fund (deleted)</t>
  </si>
  <si>
    <t>12.13.19 $475 Pre-School CC Payment</t>
  </si>
  <si>
    <t>93.03 KB</t>
  </si>
  <si>
    <t>Deposit: $475.00 - Parent Co-pays (Various) (deleted)</t>
  </si>
  <si>
    <t>11.06.19 NUL Wells Fargo $7,500</t>
  </si>
  <si>
    <t>84.61 KB</t>
  </si>
  <si>
    <t>Deposit: $7,500.00 - NUL-Wells Fargo</t>
  </si>
  <si>
    <t>11.15.19 Verizon $100,000</t>
  </si>
  <si>
    <t>78.26 KB</t>
  </si>
  <si>
    <t>Deposit: $100,000.00 - Verizon Foundation (deleted)</t>
  </si>
  <si>
    <t>11.25.19 Pre-School $75.40</t>
  </si>
  <si>
    <t>136.07 KB</t>
  </si>
  <si>
    <t>Deposit: $75.40 - Parent Co-pays (Various) (deleted)</t>
  </si>
  <si>
    <t>11.27.19 State of NJ Food $5,346.30</t>
  </si>
  <si>
    <t>100.61 KB</t>
  </si>
  <si>
    <t>Deposit: $5,346.30 - CHILD AND ADULT FOOD PROGRAM</t>
  </si>
  <si>
    <t>11.27.19 State of NJ Food Cash $240.83</t>
  </si>
  <si>
    <t>96.09 KB</t>
  </si>
  <si>
    <t>Deposit: $240.83 - CHILD AND ADULT FOOD PROGRAM</t>
  </si>
  <si>
    <t>11.26.19 BOA Rewards $2,998.79</t>
  </si>
  <si>
    <t>84.99 KB</t>
  </si>
  <si>
    <t>Deposit: $2,998.79 - The Bank of America (deleted)</t>
  </si>
  <si>
    <t>11.25.19 Combined Deposit $76,769.89</t>
  </si>
  <si>
    <t>1.79 MB</t>
  </si>
  <si>
    <t>Deposit: $76,769.89</t>
  </si>
  <si>
    <t>11.24.19 Verizon $26</t>
  </si>
  <si>
    <t>81.70 KB</t>
  </si>
  <si>
    <t>Deposit: $26.00 - Verizon/Contribution</t>
  </si>
  <si>
    <t>11.21.19 Stripe $146.10</t>
  </si>
  <si>
    <t>81.61 KB</t>
  </si>
  <si>
    <t>Deposit: $146.10 - Stripe Des (deleted)</t>
  </si>
  <si>
    <t>11.20.19 Pre-School $175</t>
  </si>
  <si>
    <t>140.51 KB</t>
  </si>
  <si>
    <t>Deposit: $175.00 - Parent Co-pays (Various) (deleted)</t>
  </si>
  <si>
    <t>11.15.19 NUL HUD PARS $11,187.25</t>
  </si>
  <si>
    <t>83.15 KB</t>
  </si>
  <si>
    <t>Deposit: $11,187.25 - Grants/Contracts:NUL - HUD Comprehensive Conseling</t>
  </si>
  <si>
    <t>11.15.19 Pre-School $200.53</t>
  </si>
  <si>
    <t>126.29 KB</t>
  </si>
  <si>
    <t>Deposit: $200.53 - Parent Co-pays (Various) (deleted)</t>
  </si>
  <si>
    <t>11.18.19 Pre-School $80</t>
  </si>
  <si>
    <t>114.79 KB</t>
  </si>
  <si>
    <t>Deposit: $80.00 - Parent Co-pays (Various) (deleted)</t>
  </si>
  <si>
    <t>12.10.19 $475 Pre-School CC Payment</t>
  </si>
  <si>
    <t>12.12.19 $2,600 M&amp;T Chart. Fdn</t>
  </si>
  <si>
    <t>195.18 KB</t>
  </si>
  <si>
    <t>Deposit: $2,600.00 - M&amp;T Charitable Foundation (deleted)</t>
  </si>
  <si>
    <t>12.12.19 3,750 Ironbound Comm.</t>
  </si>
  <si>
    <t>149.55 KB</t>
  </si>
  <si>
    <t>Deposit: $3,750.00 - Ironbound Community Corp (deleted)</t>
  </si>
  <si>
    <t>ULEC Consultant Letter of Agreement_JFK.v3_10.1.19 (1) (002)</t>
  </si>
  <si>
    <t>177.96 KB</t>
  </si>
  <si>
    <t>12.12.19 $2,400 M&amp;T Bank</t>
  </si>
  <si>
    <t>182.11 KB</t>
  </si>
  <si>
    <t>Deposit: $2,400.00 - M&amp;T Bank (deleted)</t>
  </si>
  <si>
    <t>CIT Invoice_34497802</t>
  </si>
  <si>
    <t>97.08 KB</t>
  </si>
  <si>
    <t>Bill 34497802: $167.66 - CIT</t>
  </si>
  <si>
    <t>12.10.19 $400 Pre-School CC Payment</t>
  </si>
  <si>
    <t>83.74 KB</t>
  </si>
  <si>
    <t>Deposit: $400.00 - Parent Co-pays (Various) (deleted)</t>
  </si>
  <si>
    <t>12.10.19 PFP $5,116.28</t>
  </si>
  <si>
    <t>252.21 KB</t>
  </si>
  <si>
    <t>Payment: $5,116.28 - Program for Parents</t>
  </si>
  <si>
    <t>12.09.19 $100 Pre-School CC Payment</t>
  </si>
  <si>
    <t>148.35 KB</t>
  </si>
  <si>
    <t>12.06.19 $3.71 BOA Rewards</t>
  </si>
  <si>
    <t>80.64 KB</t>
  </si>
  <si>
    <t>Deposit: $3.71 - The Bank of America (deleted)</t>
  </si>
  <si>
    <t>12.06.19 $30 Frontstream</t>
  </si>
  <si>
    <t>225.44 KB</t>
  </si>
  <si>
    <t>Deposit: $30.00 - Frontstream (deleted)</t>
  </si>
  <si>
    <t>12.06.19 $44,517.48 ESG</t>
  </si>
  <si>
    <t>231.89 KB</t>
  </si>
  <si>
    <t>Deposit: $44,517.48 - Grants/Contracts:City of Newark_ESG.</t>
  </si>
  <si>
    <t>12.05.19 $338.02 Paycom DD Return K296</t>
  </si>
  <si>
    <t>218.63 KB</t>
  </si>
  <si>
    <t>12.05.19 $475 Pre-School CC Payment</t>
  </si>
  <si>
    <t>136.51 KB</t>
  </si>
  <si>
    <t>12.05.19 $10,000 Santander Bank</t>
  </si>
  <si>
    <t>82.30 KB</t>
  </si>
  <si>
    <t>Deposit: $10,000.00 - Santander Bank (deleted)</t>
  </si>
  <si>
    <t>12.04.19 $350 Pre-School CC Payment</t>
  </si>
  <si>
    <t>Deposit: $350.00 - Parent Co-pays (Various) (deleted)</t>
  </si>
  <si>
    <t>12.04.19 $26,143.39 NUL Oct USJP</t>
  </si>
  <si>
    <t>223.82 KB</t>
  </si>
  <si>
    <t>Deposit: $26,143.39 - NUL-USJP (deleted)</t>
  </si>
  <si>
    <t>12.03.19 $12,518.92 State of NJ NRTC-16</t>
  </si>
  <si>
    <t>81.07 KB</t>
  </si>
  <si>
    <t>Deposit: $12,518.92 - State of New Jersey</t>
  </si>
  <si>
    <t>12.03.19 $15,884.06 State of NJ NRTC-19</t>
  </si>
  <si>
    <t>82.71 KB</t>
  </si>
  <si>
    <t>Deposit: $15,884.06 - State of New Jersey</t>
  </si>
  <si>
    <t>TD Bank 11.08.19 $3,498.78</t>
  </si>
  <si>
    <t>57.35 KB</t>
  </si>
  <si>
    <t>Expense 11.08.19_X9010: $3,498.78 - TD Bank, N.A.</t>
  </si>
  <si>
    <t>Expense 12.09.19TD_X9010: $3,498.78 - TD Bank, N.A.</t>
  </si>
  <si>
    <t>USJP CASHREQUIREMENT_11.18.19</t>
  </si>
  <si>
    <t>201.52 KB</t>
  </si>
  <si>
    <t>Journal 00000000000061: $0.00</t>
  </si>
  <si>
    <t>USJP Participant Check Register 11.18.19</t>
  </si>
  <si>
    <t>209.08 KB</t>
  </si>
  <si>
    <t>USJP Participant Check Register 11.04.19</t>
  </si>
  <si>
    <t>213.66 KB</t>
  </si>
  <si>
    <t>Journal 00000000000060: $0.00</t>
  </si>
  <si>
    <t>USJP CASHREQUIREMENT_11.04.19</t>
  </si>
  <si>
    <t>202.61 KB</t>
  </si>
  <si>
    <t>11.15.19 Gala Provident Bank $750</t>
  </si>
  <si>
    <t>291.85 KB</t>
  </si>
  <si>
    <t>Deposit: $750.00 - Provident Bank (deleted)</t>
  </si>
  <si>
    <t>11.15.19 Gala TD Bank $2,500</t>
  </si>
  <si>
    <t>354.33 KB</t>
  </si>
  <si>
    <t>Deposit: $2,500.00 - TD Bank (deleted)</t>
  </si>
  <si>
    <t>11.14.19 TD Bank $60,000</t>
  </si>
  <si>
    <t>143.23 KB</t>
  </si>
  <si>
    <t>Deposit: $60,000.00 - TD Bank (deleted)</t>
  </si>
  <si>
    <t>Julio Colon Transfer $7,500 NRTC 9183</t>
  </si>
  <si>
    <t>49.02 KB</t>
  </si>
  <si>
    <t>Transfer: $7,500.00</t>
  </si>
  <si>
    <t>Julio Colon 11.14.19 $7,500_1559</t>
  </si>
  <si>
    <t>315.99 KB</t>
  </si>
  <si>
    <t>11.01.19 Pre-School $310</t>
  </si>
  <si>
    <t>670.60 KB</t>
  </si>
  <si>
    <t>Deposit: $310.00 - Parent Co-pays (Various) (deleted)</t>
  </si>
  <si>
    <t>11.12.19 PFP $4,596.31</t>
  </si>
  <si>
    <t>1.91 MB</t>
  </si>
  <si>
    <t>Payment: $4,596.31 - Program for Parents</t>
  </si>
  <si>
    <t>11.12.19 State of NJ NRTC16 $ 5,428.58</t>
  </si>
  <si>
    <t>555.73 KB</t>
  </si>
  <si>
    <t>Deposit: $5,428.58 - Grants/Contracts:NRTC:State of N.J. -NRTC 2016</t>
  </si>
  <si>
    <t>11.07.19 BOA Rewards $ 2.50</t>
  </si>
  <si>
    <t>740.44 KB</t>
  </si>
  <si>
    <t>Deposit: $2.50 - The Bank of America (deleted)</t>
  </si>
  <si>
    <t>11.04.19 Pre-School Private Pay &amp; Wrap $ 574.80</t>
  </si>
  <si>
    <t>934.40 KB</t>
  </si>
  <si>
    <t>Deposit: $574.80 - Parent Co-pays (Various) (deleted)</t>
  </si>
  <si>
    <t>11.04.19 Gala A.Saling $500</t>
  </si>
  <si>
    <t>692.18 KB</t>
  </si>
  <si>
    <t>Deposit: $500.00 - Alison Saling</t>
  </si>
  <si>
    <t>11.04.19 Pre-School Co-Pay, Private Pay &amp; Wrap $905</t>
  </si>
  <si>
    <t>986.60 KB</t>
  </si>
  <si>
    <t>Deposit: $905.00 - Parent Co-pays (Various) (deleted)</t>
  </si>
  <si>
    <t>11.01.19 Lifetouch $34.64</t>
  </si>
  <si>
    <t>853.80 KB</t>
  </si>
  <si>
    <t>Deposit: $34.64 - Lifetouch (deleted)</t>
  </si>
  <si>
    <t>11.01.19 Pre-School Co-Pay &amp; Wrap $154.95</t>
  </si>
  <si>
    <t>767.54 KB</t>
  </si>
  <si>
    <t>Deposit: $154.95 - Parent Co-pays (Various) (deleted)</t>
  </si>
  <si>
    <t>11.01.19 Gala A.Sneed-Godfrey $1,000</t>
  </si>
  <si>
    <t>710.89 KB</t>
  </si>
  <si>
    <t>Deposit: $1,000.00 - ANNIE GODFREY (deleted)</t>
  </si>
  <si>
    <t>11.01.19 Gala Event Brite $275</t>
  </si>
  <si>
    <t>857.87 KB</t>
  </si>
  <si>
    <t>Deposit: $275.00 - Eventbrite (deleted)</t>
  </si>
  <si>
    <t>11.01.19 NUL-USJP $27,796.01</t>
  </si>
  <si>
    <t>989.88 KB</t>
  </si>
  <si>
    <t>Deposit: $27,796.01 - Grants/Contracts:NUL- MWP</t>
  </si>
  <si>
    <t>Pitney Bowes 11.01.19 $177.18_12653</t>
  </si>
  <si>
    <t>388.56 KB</t>
  </si>
  <si>
    <t>NHTF 10.31.19 $80,000</t>
  </si>
  <si>
    <t>532.16 KB</t>
  </si>
  <si>
    <t>Deposit: $80,000.00 - NHTF-Newark Housing Trust Fund</t>
  </si>
  <si>
    <t>CCFP 10.30.19 Cash in Lieu $431.23</t>
  </si>
  <si>
    <t>532.99 KB</t>
  </si>
  <si>
    <t>Deposit: $431.23 - CHILD AND ADULT FOOD PROGRAM</t>
  </si>
  <si>
    <t>CCFP 10.30.19 $5,327.72</t>
  </si>
  <si>
    <t>528.35 KB</t>
  </si>
  <si>
    <t>Deposit: $5,327.72 - CHILD AND ADULT FOOD PROGRAM</t>
  </si>
  <si>
    <t>CCFP 10.30.19 Cash in Lieu $222.06</t>
  </si>
  <si>
    <t>527.86 KB</t>
  </si>
  <si>
    <t>Deposit: $222.06 - CHILD AND ADULT FOOD PROGRAM</t>
  </si>
  <si>
    <t>CCFP 10.30.19 $9,132.14</t>
  </si>
  <si>
    <t>527.70 KB</t>
  </si>
  <si>
    <t>Deposit: $9,132.14 - CHILD AND ADULT FOOD PROGRAM</t>
  </si>
  <si>
    <t>Verizon 10.25.19 $10,000</t>
  </si>
  <si>
    <t>512.09 KB</t>
  </si>
  <si>
    <t>Deposit: $10,000.00 - Verizon Foundation (deleted)</t>
  </si>
  <si>
    <t>Gala 10.22.19 $500</t>
  </si>
  <si>
    <t>81.30 KB</t>
  </si>
  <si>
    <t>Deposit: $500.00 - Rodney Dickens (deleted)</t>
  </si>
  <si>
    <t>Gala 10.23.19 $500</t>
  </si>
  <si>
    <t>79.84 KB</t>
  </si>
  <si>
    <t>Deposit: $500.00 - Marci Peyser (deleted)</t>
  </si>
  <si>
    <t>Gala 10.25.19 $1,300</t>
  </si>
  <si>
    <t>80.04 KB</t>
  </si>
  <si>
    <t>Deposit: $1,300.00</t>
  </si>
  <si>
    <t>Gala 10.29.19 $425</t>
  </si>
  <si>
    <t>77.08 KB</t>
  </si>
  <si>
    <t>Deposit: $425.00</t>
  </si>
  <si>
    <t>Spreadsheet</t>
  </si>
  <si>
    <t>October 2019 Online Gala Registrations</t>
  </si>
  <si>
    <t>12.98 KB</t>
  </si>
  <si>
    <t>Co-Pmt 10.30.19 $75.57</t>
  </si>
  <si>
    <t>117.87 KB</t>
  </si>
  <si>
    <t>Deposit: $75.57 - Parent Co-pays (Various) (deleted)</t>
  </si>
  <si>
    <t>PNC Financial Group 10.29.19 $2,500</t>
  </si>
  <si>
    <t>180.61 KB</t>
  </si>
  <si>
    <t>Deposit: $2,500.00 - PNC Bank. (deleted)</t>
  </si>
  <si>
    <t>Phila Insurance 10.29.19 $2,552.50</t>
  </si>
  <si>
    <t>165.63 KB</t>
  </si>
  <si>
    <t>Deposit: $2,552.50 - PHILADELPHIA Indemnity Insurance Co. (deleted)</t>
  </si>
  <si>
    <t>Prudential 10.29.19 $150,000</t>
  </si>
  <si>
    <t>157.58 KB</t>
  </si>
  <si>
    <t>Deposit: $150,000.00 - Grants/Contracts:The Prudential Foundation</t>
  </si>
  <si>
    <t>PFP 10.29.19 $4,836.41</t>
  </si>
  <si>
    <t>1.84 MB</t>
  </si>
  <si>
    <t>Deposit: $4,836.41 - Programs for Parents</t>
  </si>
  <si>
    <t>Thriftworks 10.28.19 $81</t>
  </si>
  <si>
    <t>511.14 KB</t>
  </si>
  <si>
    <t>Deposit: $81.00 - ThriftWorks (deleted)</t>
  </si>
  <si>
    <t>City of Nwk ESG 10.24.19 $8,619</t>
  </si>
  <si>
    <t>1.04 MB</t>
  </si>
  <si>
    <t>Deposit: $8,619.00 - Grants/Contracts:City of Newark_ESG.</t>
  </si>
  <si>
    <t>Newark Pulic Schools-Abbott 10.24.19 $56,988.45</t>
  </si>
  <si>
    <t>1.05 MB</t>
  </si>
  <si>
    <t>Deposit: $56,988.45 - Grants/Contracts:Newark Public Schools (Abbott)</t>
  </si>
  <si>
    <t>Private Pay 10.23.19 $250</t>
  </si>
  <si>
    <t>635.02 KB</t>
  </si>
  <si>
    <t>Deposit: $250.00 - Parent Co-pays (Various) (deleted)</t>
  </si>
  <si>
    <t>Abbott Wrap 10.21.19 $30</t>
  </si>
  <si>
    <t>632.53 KB</t>
  </si>
  <si>
    <t>Thriftworks 10.21.19 $112</t>
  </si>
  <si>
    <t>501.78 KB</t>
  </si>
  <si>
    <t>Deposit: $112.00 - Grants/Contracts:Social Enterprise</t>
  </si>
  <si>
    <t>NUL-USJP 10.18.19 $29,982.37</t>
  </si>
  <si>
    <t>1001.72 KB</t>
  </si>
  <si>
    <t>Deposit: $29,982.37 - NUL-USJP (deleted)</t>
  </si>
  <si>
    <t>PFP Wrap Fees 10.17.19 $16.32</t>
  </si>
  <si>
    <t>506.00 KB</t>
  </si>
  <si>
    <t>Deposit: $16.32 - Program for Parents</t>
  </si>
  <si>
    <t>PFP Fees 10.17.19 $21.57</t>
  </si>
  <si>
    <t>508.89 KB</t>
  </si>
  <si>
    <t>Deposit: $21.57 - Program for Parents</t>
  </si>
  <si>
    <t>CCFP 10.17.19 Cash in Lieu $128.25</t>
  </si>
  <si>
    <t>1.02 MB</t>
  </si>
  <si>
    <t>Deposit: $128.25 - CHILD AND ADULT FOOD PROGRAM</t>
  </si>
  <si>
    <t>CCFP 10.17.19 Cash in Lieu $139.18</t>
  </si>
  <si>
    <t>Deposit: $139.18 - CHILD AND ADULT FOOD PROGRAM</t>
  </si>
  <si>
    <t>Pre-School 10.17.19 $150</t>
  </si>
  <si>
    <t>642.40 KB</t>
  </si>
  <si>
    <t>Deposit: $150.00 - Parent Co-pays (Various) (deleted)</t>
  </si>
  <si>
    <t>CCFP 10.17.19 $2,906.29</t>
  </si>
  <si>
    <t>1.03 MB</t>
  </si>
  <si>
    <t>Deposit: $2,906.29 - CHILD AND ADULT FOOD PROGRAM</t>
  </si>
  <si>
    <t>CCFP 10.17.19 $3,049.51</t>
  </si>
  <si>
    <t>Deposit: $3,049.51 - CHILD AND ADULT FOOD PROGRAM</t>
  </si>
  <si>
    <t>DYFS 10.17.19 $4,993</t>
  </si>
  <si>
    <t>509.59 KB</t>
  </si>
  <si>
    <t>Deposit: $4,993.00 - Grants/Contracts:DYFS- Life Skills</t>
  </si>
  <si>
    <t>Wrap Fees 10.16.19 $36.35</t>
  </si>
  <si>
    <t>761.21 KB</t>
  </si>
  <si>
    <t>Deposit: $36.35 - Parent Co-pays (Various) (deleted)</t>
  </si>
  <si>
    <t>Vendor Refunds 10.16.19 $186.59</t>
  </si>
  <si>
    <t>855.00 KB</t>
  </si>
  <si>
    <t>Deposit: $186.59</t>
  </si>
  <si>
    <t>Pre_School 10.16.19 $789.20</t>
  </si>
  <si>
    <t>1.29 MB</t>
  </si>
  <si>
    <t>Deposit: $789.20 - Parent Co-pays (Various) (deleted)</t>
  </si>
  <si>
    <t>TD Charitable Fdn 10.16.19 $10,000</t>
  </si>
  <si>
    <t>718.77 KB</t>
  </si>
  <si>
    <t>Deposit: $10,000.00 - TD Charitable Foundation (deleted)</t>
  </si>
  <si>
    <t>Newark Alliance 10.16.19 $95,000</t>
  </si>
  <si>
    <t>777.81 KB</t>
  </si>
  <si>
    <t>Deposit: $95,000.00 - NEWARK ALLIANCE (deleted)</t>
  </si>
  <si>
    <t>Thriftworks 10.15.19 $44</t>
  </si>
  <si>
    <t>496.71 KB</t>
  </si>
  <si>
    <t>Deposit: $44.00 - Grants/Contracts:Social Enterprise</t>
  </si>
  <si>
    <t>Pre-School 10.15.19 $105.57</t>
  </si>
  <si>
    <t>886.29 KB</t>
  </si>
  <si>
    <t>Deposit: $105.57 - Parent Co-pays (Various) (deleted)</t>
  </si>
  <si>
    <t>PFP 10.15.19 $5,402.18</t>
  </si>
  <si>
    <t>1.56 MB</t>
  </si>
  <si>
    <t>Deposit: $5,402.18 - Program for Parents</t>
  </si>
  <si>
    <t>Abbott Wrap 10.11.19 $30</t>
  </si>
  <si>
    <t>640.84 KB</t>
  </si>
  <si>
    <t>Thriftworks 10.11.19 $35.00</t>
  </si>
  <si>
    <t>511.76 KB</t>
  </si>
  <si>
    <t>Deposit: $35.00 - ThriftWorks (deleted)</t>
  </si>
  <si>
    <t>Paycom 10.11.19 $129.22</t>
  </si>
  <si>
    <t>1.47 MB</t>
  </si>
  <si>
    <t>Deposit: $129.22 - Paycom Payroll, LLC</t>
  </si>
  <si>
    <t>BOA Transfer 10.11.19 $105,000</t>
  </si>
  <si>
    <t>516.62 KB</t>
  </si>
  <si>
    <t>Transfer: $105,000.00</t>
  </si>
  <si>
    <t>BOA 10.09.19 $2.01</t>
  </si>
  <si>
    <t>742.67 KB</t>
  </si>
  <si>
    <t>Deposit: $2.01 - The Bank of America (deleted)</t>
  </si>
  <si>
    <t>Wrap 10.09.19 $30.00 Bryce Peacock</t>
  </si>
  <si>
    <t>634.32 KB</t>
  </si>
  <si>
    <t>Thriftworks 10.09.19 $68.50</t>
  </si>
  <si>
    <t>519.75 KB</t>
  </si>
  <si>
    <t>Deposit: $68.50 - Grants/Contracts:Social Enterprise</t>
  </si>
  <si>
    <t>City of Newark 10.09.19 $12,600.00</t>
  </si>
  <si>
    <t>1009.10 KB</t>
  </si>
  <si>
    <t>Deposit: $12,600.00 - City of Newark (deleted)</t>
  </si>
  <si>
    <t>NUL 10.09.19 $21,282.96</t>
  </si>
  <si>
    <t>989.90 KB</t>
  </si>
  <si>
    <t>Deposit: $21,282.96 - NUL-USJP (deleted)</t>
  </si>
  <si>
    <t>Co-Pmt 10.07.19 $150.00</t>
  </si>
  <si>
    <t>634.71 KB</t>
  </si>
  <si>
    <t>Thriftworks 10.07.19 $17.50</t>
  </si>
  <si>
    <t>526.49 KB</t>
  </si>
  <si>
    <t>Deposit: $17.50 - ThriftWorks (deleted)</t>
  </si>
  <si>
    <t>Thriftworks 10.03.19 $20.00</t>
  </si>
  <si>
    <t>529.78 KB</t>
  </si>
  <si>
    <t>Deposit: $20.00 - ThriftWorks (deleted)</t>
  </si>
  <si>
    <t>Co-Pmt 10.02.19 $400.00</t>
  </si>
  <si>
    <t>642.53 KB</t>
  </si>
  <si>
    <t>Co-Pmt 10.01.19 $68.70</t>
  </si>
  <si>
    <t>541.04 KB</t>
  </si>
  <si>
    <t>Deposit: $68.70 - Parent Co-pays (Various) (deleted)</t>
  </si>
  <si>
    <t>Thriftworks 10.01.19 $50.00</t>
  </si>
  <si>
    <t>535.73 KB</t>
  </si>
  <si>
    <t>Deposit: $50.00 - ThriftWorks (deleted)</t>
  </si>
  <si>
    <t>PFP 10.01.19 $1,737.13</t>
  </si>
  <si>
    <t>1.38 MB</t>
  </si>
  <si>
    <t>Deposit: $1,737.13 - Program for Parents</t>
  </si>
  <si>
    <t>352.61 KB</t>
  </si>
  <si>
    <t>Transfer: $56,988.45</t>
  </si>
  <si>
    <t>634.27 KB</t>
  </si>
  <si>
    <t>626.90 KB</t>
  </si>
  <si>
    <t>641.83 KB</t>
  </si>
  <si>
    <t>887.30 KB</t>
  </si>
  <si>
    <t>183.29 KB</t>
  </si>
  <si>
    <t>Newark Pulic Schools-Abbott 10.24.19 $81,556.12</t>
  </si>
  <si>
    <t>346.17 KB</t>
  </si>
  <si>
    <t>Deposit: $81,556.12 - Grants/Contracts:Newark Public Schools (Abbott)</t>
  </si>
  <si>
    <t>Leaguers 10.24.19 $29,547.75 -Final Payment</t>
  </si>
  <si>
    <t>306.72 KB</t>
  </si>
  <si>
    <t>Deposit: $29,547.75 - The LEAGUERS, INC (deleted)</t>
  </si>
  <si>
    <t>AFLAC Invoice_HTX16_090143</t>
  </si>
  <si>
    <t>86.64 KB</t>
  </si>
  <si>
    <t>Bill Payment 10.29.19AFLAC: $390.96 - AFLAC</t>
  </si>
  <si>
    <t>AFLAC PMT 10.25.19</t>
  </si>
  <si>
    <t>74.03 KB</t>
  </si>
  <si>
    <t>159.93 KB</t>
  </si>
  <si>
    <t>186.27 KB</t>
  </si>
  <si>
    <t>183.90 KB</t>
  </si>
  <si>
    <t>474.73 KB</t>
  </si>
  <si>
    <t>ULEC USJP Invoice #2 PY 19</t>
  </si>
  <si>
    <t>112.28 KB</t>
  </si>
  <si>
    <t>Pre-School Cash Deposit 10.16.19 $789.20</t>
  </si>
  <si>
    <t>227.92 KB</t>
  </si>
  <si>
    <t>76.27 KB</t>
  </si>
  <si>
    <t>Abbott Wrap 10.16.19 $36.35</t>
  </si>
  <si>
    <t>77.45 KB</t>
  </si>
  <si>
    <t>Wightman &amp; WB Mason</t>
  </si>
  <si>
    <t>128.34 KB</t>
  </si>
  <si>
    <t>251.90 KB</t>
  </si>
  <si>
    <t>75.02 KB</t>
  </si>
  <si>
    <t>May 2019 Credit Card Analysis Report</t>
  </si>
  <si>
    <t>2.45 MB</t>
  </si>
  <si>
    <t>Journal 05.20 VISA CC: $0.00</t>
  </si>
  <si>
    <t>April 2019 Credit Card Analysis Report</t>
  </si>
  <si>
    <t>863.17 KB</t>
  </si>
  <si>
    <t>Journal 04.30 VISA CC: $0.00</t>
  </si>
  <si>
    <t>73.20 KB</t>
  </si>
  <si>
    <t>105.74 KB</t>
  </si>
  <si>
    <t>74.70 KB</t>
  </si>
  <si>
    <t>March 2019 Credit Card Analysis Report</t>
  </si>
  <si>
    <t>1.10 MB</t>
  </si>
  <si>
    <t>Journal 03.31 Visa CC: $0.00</t>
  </si>
  <si>
    <t>Americorp 10.09.19 $1,156.00</t>
  </si>
  <si>
    <t>2.23 MB</t>
  </si>
  <si>
    <t>Deposit: $1,156.00 - Americorp (deleted)</t>
  </si>
  <si>
    <t>276.78 KB</t>
  </si>
  <si>
    <t>88.02 KB</t>
  </si>
  <si>
    <t>86.40 KB</t>
  </si>
  <si>
    <t>Leslie Brown $30 Thriftworks Purchase 6.20.19</t>
  </si>
  <si>
    <t>187.78 KB</t>
  </si>
  <si>
    <t>Journal 00000000000295: $0.00</t>
  </si>
  <si>
    <t>84.40 KB</t>
  </si>
  <si>
    <t>81.98 KB</t>
  </si>
  <si>
    <t>ULEC 09.30.19 $40,000.00</t>
  </si>
  <si>
    <t>209.55 KB</t>
  </si>
  <si>
    <t>Deposit: $40,000.00 - ULEC - admin (deleted)</t>
  </si>
  <si>
    <t>jennifer Reed 10.03.19 $6250.00</t>
  </si>
  <si>
    <t>1.06 MB</t>
  </si>
  <si>
    <t>Bill 1542: $6,250.00 - Jennifer Reed</t>
  </si>
  <si>
    <t>300.75 KB</t>
  </si>
  <si>
    <t>79.56 KB</t>
  </si>
  <si>
    <t>X3973 BOA Sept 2019 $150K Trsf to X9183 on 09.05.19</t>
  </si>
  <si>
    <t>431.27 KB</t>
  </si>
  <si>
    <t>Transfer: $150,000.00</t>
  </si>
  <si>
    <t>Co-Pmt 09.30.19 $50.00</t>
  </si>
  <si>
    <t>88.26 KB</t>
  </si>
  <si>
    <t>Deposit: $50.00 - Parent Co-pays (Various) (deleted)</t>
  </si>
  <si>
    <t>BOA 10.01.19</t>
  </si>
  <si>
    <t>333.78 KB</t>
  </si>
  <si>
    <t>Transfer: $12,547.43</t>
  </si>
  <si>
    <t>Thriftworks 09.30.19 $45.00</t>
  </si>
  <si>
    <t>74.25 KB</t>
  </si>
  <si>
    <t>Deposit: $45.00 - ThriftWorks (deleted)</t>
  </si>
  <si>
    <t>Thriftworks 09.30.19 $65.00</t>
  </si>
  <si>
    <t>74.55 KB</t>
  </si>
  <si>
    <t>Deposit: $65.00 - ThriftWorks (deleted)</t>
  </si>
  <si>
    <t>Victoria Foundation 09.30.19 $100K</t>
  </si>
  <si>
    <t>113.24 KB</t>
  </si>
  <si>
    <t>Deposit: $100,000.00 - Grants/Contracts:Victoria Foundation</t>
  </si>
  <si>
    <t>Victoria Foundation, 09.30.19 $100.000.00</t>
  </si>
  <si>
    <t>95.39 KB</t>
  </si>
  <si>
    <t>Paycom 09.16.19 $273.13</t>
  </si>
  <si>
    <t>273.49 KB</t>
  </si>
  <si>
    <t>Deposit: $273.13 - Paycom Payroll, LLC</t>
  </si>
  <si>
    <t>202.22 KB</t>
  </si>
  <si>
    <t>Thriftworks 09.27.19 $78.98</t>
  </si>
  <si>
    <t>87.89 KB</t>
  </si>
  <si>
    <t>Deposit: $78.98 - ThriftWorks (deleted)</t>
  </si>
  <si>
    <t>Nat'l Urban League 09.27.19 $45,902.44</t>
  </si>
  <si>
    <t>92.18 KB</t>
  </si>
  <si>
    <t>Deposit: $45,902.44 - Grants/Contracts:NUL- MWP</t>
  </si>
  <si>
    <t>203.69 KB</t>
  </si>
  <si>
    <t>199.09 KB</t>
  </si>
  <si>
    <t>ULEC 09.04.19 $150,000.00</t>
  </si>
  <si>
    <t>238.54 KB</t>
  </si>
  <si>
    <t>Deposit: $150,000.00 - ULEC - admin (deleted)</t>
  </si>
  <si>
    <t>Thriftworks 09.26.19 $5.00</t>
  </si>
  <si>
    <t>80.32 KB</t>
  </si>
  <si>
    <t>Deposit: $5.00 - ThriftWorks (deleted)</t>
  </si>
  <si>
    <t>Co-Pmt 09.24.19 $250.00</t>
  </si>
  <si>
    <t>80.31 KB</t>
  </si>
  <si>
    <t>Co-Pmt 09.20.19 $151.84</t>
  </si>
  <si>
    <t>90.78 KB</t>
  </si>
  <si>
    <t>Deposit: $151.84 - Parent Co-pays (Various) (deleted)</t>
  </si>
  <si>
    <t>Co-Pmt 09.25.19 $125.00</t>
  </si>
  <si>
    <t>87.34 KB</t>
  </si>
  <si>
    <t>Deposit: $125.00 - Parent Co-pays (Various) (deleted)</t>
  </si>
  <si>
    <t>Thriftworks 09.24.19 $205.00</t>
  </si>
  <si>
    <t>80.58 KB</t>
  </si>
  <si>
    <t>Deposit: $205.00 - ThriftWorks (deleted)</t>
  </si>
  <si>
    <t>PSE&amp;G 09.23.19 $3,500.00</t>
  </si>
  <si>
    <t>156.84 KB</t>
  </si>
  <si>
    <t>Deposit: $3,500.00 - PSEG Foundation</t>
  </si>
  <si>
    <t>Prudential 09.23.19 $10,000.00</t>
  </si>
  <si>
    <t>157.03 KB</t>
  </si>
  <si>
    <t>Deposit: $10,000.00 - Prudential (deleted)</t>
  </si>
  <si>
    <t>BOA 09.20.19 $25,000.00</t>
  </si>
  <si>
    <t>84.12 KB</t>
  </si>
  <si>
    <t>Deposit: $25,000.00 - The Bank of America (deleted)</t>
  </si>
  <si>
    <t>Thriftworks 09.23.19 $79.00</t>
  </si>
  <si>
    <t>83.99 KB</t>
  </si>
  <si>
    <t>Deposit: $79.00 - ThriftWorks (deleted)</t>
  </si>
  <si>
    <t>LISC 09.19.19 $2,239.00</t>
  </si>
  <si>
    <t>85.83 KB</t>
  </si>
  <si>
    <t>Deposit: $2,239.00 - LISC-Local Initiatives Support (deleted)</t>
  </si>
  <si>
    <t>81.40 KB</t>
  </si>
  <si>
    <t>Americorp 09.19.19 $41,746.00</t>
  </si>
  <si>
    <t>92.71 KB</t>
  </si>
  <si>
    <t>Deposit: $41,746.00 - Grants/Contracts:Americorps- All Grants</t>
  </si>
  <si>
    <t>Thriftwork 09.19.19 $38.00</t>
  </si>
  <si>
    <t>84.26 KB</t>
  </si>
  <si>
    <t>Deposit: $38.00 - ThriftWorks (deleted)</t>
  </si>
  <si>
    <t>City of Newark 09.19.19 $28,998.00</t>
  </si>
  <si>
    <t>313.27 KB</t>
  </si>
  <si>
    <t>Deposit: $28,998.00 - Grants/Contracts:City of Newark-Home</t>
  </si>
  <si>
    <t>State of NJ 09.18.19 $4,993.00</t>
  </si>
  <si>
    <t>Deposit: $4,993.00 - State of New Jersey-DCF (deleted)</t>
  </si>
  <si>
    <t>Thriftworks 09.18.19 $63.50</t>
  </si>
  <si>
    <t>83.42 KB</t>
  </si>
  <si>
    <t>Deposit: $63.50 - ThriftWorks (deleted)</t>
  </si>
  <si>
    <t>PFP 09.17.19 $230.68</t>
  </si>
  <si>
    <t>170.60 KB</t>
  </si>
  <si>
    <t>Deposit: $230.68 - Program for Parents</t>
  </si>
  <si>
    <t>Thriftworks 09.16.19 $21.96</t>
  </si>
  <si>
    <t>82.56 KB</t>
  </si>
  <si>
    <t>Deposit: $21.96 - ThriftWorks (deleted)</t>
  </si>
  <si>
    <t>Harmelin &amp; Assoc, Inc. 4.25.19 $350.00</t>
  </si>
  <si>
    <t>236.92 KB</t>
  </si>
  <si>
    <t>Deposit: $350.00 - Harmelin &amp; Associates, Inc. (deleted)</t>
  </si>
  <si>
    <t>Jack &amp; Jill 09.16.19 $5,000.00</t>
  </si>
  <si>
    <t>413.03 KB</t>
  </si>
  <si>
    <t>Deposit: $5,000.00 - The Jack and Jill of America Foundation (deleted)</t>
  </si>
  <si>
    <t>EHS (Toddler) 09.10.19 $100.00</t>
  </si>
  <si>
    <t>106.99 KB</t>
  </si>
  <si>
    <t>Thriftworks 09.13.19 $17.00</t>
  </si>
  <si>
    <t>82.29 KB</t>
  </si>
  <si>
    <t>Deposit: $17.00 - ThriftWorks (deleted)</t>
  </si>
  <si>
    <t>State of NJ 09.10.19 $15,287.02</t>
  </si>
  <si>
    <t>87.95 KB</t>
  </si>
  <si>
    <t>Deposit: $15,287.02 - Grants/Contracts:NRTC:State of N.J. -NRTC 2016</t>
  </si>
  <si>
    <t>Thriftworks 09.09.19 $46.17</t>
  </si>
  <si>
    <t>91.19 KB</t>
  </si>
  <si>
    <t>Deposit: $46.17 - ThriftWorks (deleted)</t>
  </si>
  <si>
    <t>BOA 09.09.19 $1.77</t>
  </si>
  <si>
    <t>136.84 KB</t>
  </si>
  <si>
    <t>Deposit: $1.77 - The Bank of America (deleted)</t>
  </si>
  <si>
    <t>172.01 KB</t>
  </si>
  <si>
    <t>State of NJ 09.05.19 $3,254.63</t>
  </si>
  <si>
    <t>93.53 KB</t>
  </si>
  <si>
    <t>Deposit: $3,254.63 - Grants/Contracts:State of New Jersey/Food</t>
  </si>
  <si>
    <t>State of NJ 09.05.19 $140.30</t>
  </si>
  <si>
    <t>92.49 KB</t>
  </si>
  <si>
    <t>Deposit: $140.30 - Grants/Contracts:State of New Jersey/Food</t>
  </si>
  <si>
    <t>PFP 09.03.19 $10,277.63</t>
  </si>
  <si>
    <t>304.58 KB</t>
  </si>
  <si>
    <t>Deposit: $10,277.63 - Program for Parents</t>
  </si>
  <si>
    <t>Wells Fargo Found 09.05.19 $25,000.00</t>
  </si>
  <si>
    <t>153.96 KB</t>
  </si>
  <si>
    <t>Deposit: $25,000.00 - Grants/Contracts:Wells Fargo Regional Foundation</t>
  </si>
  <si>
    <t>Thriftworks 09.03.19 $35.00</t>
  </si>
  <si>
    <t>83.76 KB</t>
  </si>
  <si>
    <t>Thriftworks 09.04.19 $804.50</t>
  </si>
  <si>
    <t>402.89 KB</t>
  </si>
  <si>
    <t>Deposit: $804.50 - ThriftWorks (deleted)</t>
  </si>
  <si>
    <t>Paycom 08.27.19 $530.50</t>
  </si>
  <si>
    <t>143.33 KB</t>
  </si>
  <si>
    <t>Deposit: $530.30 - Paycom Payroll, LLC</t>
  </si>
  <si>
    <t>State of NJ, Faith Based Initiative 08.29.19 $5K</t>
  </si>
  <si>
    <t>92.61 KB</t>
  </si>
  <si>
    <t>Deposit: $5,000.00 - State of NJ - Faith Based Initiative</t>
  </si>
  <si>
    <t>State of NJ, Faith Base Init 08.29.19 $5,000</t>
  </si>
  <si>
    <t>92.37 KB</t>
  </si>
  <si>
    <t>Thriftworks 08.29.19 $6.03</t>
  </si>
  <si>
    <t>87.56 KB</t>
  </si>
  <si>
    <t>Deposit: $6.03 - ThriftWorks (deleted)</t>
  </si>
  <si>
    <t>403B Contributions 07.12.19 Payroll</t>
  </si>
  <si>
    <t>46.59 KB</t>
  </si>
  <si>
    <t>Bill 07.12.19403B: $2,146.36 - Mutual of America</t>
  </si>
  <si>
    <t>403B Loan Repayment 07.12.19 Payroll</t>
  </si>
  <si>
    <t>175.84 KB</t>
  </si>
  <si>
    <t>Bill 07.12.19403BLOAN: $278.67 - Mutual of America</t>
  </si>
  <si>
    <t>State of New Jersey 08.28.19 $114.24</t>
  </si>
  <si>
    <t>87.42 KB</t>
  </si>
  <si>
    <t>Deposit: $114.24 - Grants/Contracts:State of New Jersey/Food</t>
  </si>
  <si>
    <t>State of New Jersey 08.29.19 $2,676.94</t>
  </si>
  <si>
    <t>89.63 KB</t>
  </si>
  <si>
    <t>Deposit: $2,676.94 - Grants/Contracts:State of New Jersey/Food</t>
  </si>
  <si>
    <t>Township of Irvington 08.28.19 $19,000.00</t>
  </si>
  <si>
    <t>767.05 KB</t>
  </si>
  <si>
    <t>Deposit: $19,000.00 - Township of Irvington (deleted)</t>
  </si>
  <si>
    <t>TD Bank 08.08.19 $3,498.78</t>
  </si>
  <si>
    <t>59.07 KB</t>
  </si>
  <si>
    <t>Expense 08.08.19_X9010: $3,498.78 - TD Bank, N.A.</t>
  </si>
  <si>
    <t>Expense 09.09.19_X9010: $3,498.78 - TD Bank, N.A.</t>
  </si>
  <si>
    <t>Participant Wages 08.26.19 08.01.19 - 08.14.19</t>
  </si>
  <si>
    <t>212.76 KB</t>
  </si>
  <si>
    <t>Journal 00000000000162: $0.00</t>
  </si>
  <si>
    <t>Participant Cash Req 08.26.19 08.01.19 - 08.14.19</t>
  </si>
  <si>
    <t>212.74 KB</t>
  </si>
  <si>
    <t>Summer Camp 08.19.19 $330.68</t>
  </si>
  <si>
    <t>195.13 KB</t>
  </si>
  <si>
    <t>Deposit: $330.68</t>
  </si>
  <si>
    <t>Bowman Consulting 08.26.19 $1,000</t>
  </si>
  <si>
    <t>185.28 KB</t>
  </si>
  <si>
    <t>Deposit: $1,000.00 - Bowman Consulting Group (deleted)</t>
  </si>
  <si>
    <t>Thriftworks 08.26.19 $54.50</t>
  </si>
  <si>
    <t>83.88 KB</t>
  </si>
  <si>
    <t>Deposit: $54.50 - ThriftWorks (deleted)</t>
  </si>
  <si>
    <t>Summer Camp 08.09.19 $84.98</t>
  </si>
  <si>
    <t>89.78 KB</t>
  </si>
  <si>
    <t>Deposit: $84.98 - ULEC Summer Camp (deleted)</t>
  </si>
  <si>
    <t>E.E. Williams Locksmith 08.22.19 $180_1469</t>
  </si>
  <si>
    <t>224.34 KB</t>
  </si>
  <si>
    <t>harmelin &amp; Assoc. 08.23.19 $350.00</t>
  </si>
  <si>
    <t>149.46 KB</t>
  </si>
  <si>
    <t>The fund for New Jersey 08.23.19 $3.000.00</t>
  </si>
  <si>
    <t>281.50 KB</t>
  </si>
  <si>
    <t>Deposit: $3,000.00 - The Fund for New Jersey (deleted)</t>
  </si>
  <si>
    <t>Verizon Foundation 08.23.19 $30.00</t>
  </si>
  <si>
    <t>152.09 KB</t>
  </si>
  <si>
    <t>Deposit: $30.00 - Verizon Foundation (deleted)</t>
  </si>
  <si>
    <t>Trans-America's 08.23.19 $1,070.40</t>
  </si>
  <si>
    <t>214.08 KB</t>
  </si>
  <si>
    <t>Deposit: $1,070.40 - Trans-Americas Trading Co. (deleted)</t>
  </si>
  <si>
    <t>Summer Camp 08.16.19 $100</t>
  </si>
  <si>
    <t>148.84 KB</t>
  </si>
  <si>
    <t>Deposit: $100.00 - ULEC Summer Camp (deleted)</t>
  </si>
  <si>
    <t>Summer Camp 08.16.19 $100.00</t>
  </si>
  <si>
    <t>364.16 KB</t>
  </si>
  <si>
    <t>South Ward Children's Alliance 07.25.19 $1,000</t>
  </si>
  <si>
    <t>355.69 KB</t>
  </si>
  <si>
    <t>Deposit: $1,000.00 - South Ward Children's Alliance /SWCA (deleted)</t>
  </si>
  <si>
    <t>Tracy Boyland</t>
  </si>
  <si>
    <t>433.11 KB</t>
  </si>
  <si>
    <t>Vendor: Tracy L Boyland</t>
  </si>
  <si>
    <t>PFP 08.20.19 $12,605.77</t>
  </si>
  <si>
    <t>554.23 KB</t>
  </si>
  <si>
    <t>Deposit: $12,605.77 - Program for Parents</t>
  </si>
  <si>
    <t>PFP 08.20.19 $6,528.83</t>
  </si>
  <si>
    <t>358.66 KB</t>
  </si>
  <si>
    <t>Deposit: $6,528.83 - Programs for Parents</t>
  </si>
  <si>
    <t>State of NJ 08.19.19 $4,993.00</t>
  </si>
  <si>
    <t>86.63 KB</t>
  </si>
  <si>
    <t>Thriftworks 08.19.19 $56.00</t>
  </si>
  <si>
    <t>81.71 KB</t>
  </si>
  <si>
    <t>Deposit: $56.00 - ThriftWorks (deleted)</t>
  </si>
  <si>
    <t>United States Treasury 08.21.19 $40.62</t>
  </si>
  <si>
    <t>614.52 KB</t>
  </si>
  <si>
    <t>Deposit: $40.62 - UNITED STATES TREASURY (deleted)</t>
  </si>
  <si>
    <t>Summer Camp 08.21.19 $2,776.00</t>
  </si>
  <si>
    <t>172.20 KB</t>
  </si>
  <si>
    <t>Deposit: $2,776.00 - ULEC Summer Camp (deleted)</t>
  </si>
  <si>
    <t>Co-Pmt 08.21.19 $325.28</t>
  </si>
  <si>
    <t>377.86 KB</t>
  </si>
  <si>
    <t>Deposit: $325.28 - Parent Co-pays (Various) (deleted)</t>
  </si>
  <si>
    <t>Thriftworks 08.14.19 $774.18</t>
  </si>
  <si>
    <t>579.92 KB</t>
  </si>
  <si>
    <t>Deposit: $774.18 - ThriftWorks (deleted)</t>
  </si>
  <si>
    <t>309.23 KB</t>
  </si>
  <si>
    <t>AFLAC July 2019 Invoice_HTX16_808800</t>
  </si>
  <si>
    <t>305.30 KB</t>
  </si>
  <si>
    <t>Bill 808800: $566.48 - AFLAC</t>
  </si>
  <si>
    <t>Bill 235586: $465.96 - AFLAC</t>
  </si>
  <si>
    <t>JPM Chase Found 08.09.19 $5,000.00</t>
  </si>
  <si>
    <t>33.39 KB</t>
  </si>
  <si>
    <t>Deposit: $5,000.00 - JPMorgan Chase Foundation (deleted)</t>
  </si>
  <si>
    <t>Ironbound Community Corp 08.12.19 $3,750.00</t>
  </si>
  <si>
    <t>347.19 KB</t>
  </si>
  <si>
    <t>315.01 KB</t>
  </si>
  <si>
    <t>BOA -08.09.19 $4.18</t>
  </si>
  <si>
    <t>130.63 KB</t>
  </si>
  <si>
    <t>Deposit: $4.18 - The Bank of America (deleted)</t>
  </si>
  <si>
    <t>06-17-2019_CFInvoice_CF10100</t>
  </si>
  <si>
    <t>44.71 KB</t>
  </si>
  <si>
    <t>Bill Payment 07.01.19LISC: $616.95 - Local Initiatives Support Corp.</t>
  </si>
  <si>
    <t>06-17-2019_RegInvoice_ACH13517</t>
  </si>
  <si>
    <t>16.72 KB</t>
  </si>
  <si>
    <t>Summer Camp 08.09.19 $3,100.00</t>
  </si>
  <si>
    <t>252.76 KB</t>
  </si>
  <si>
    <t>Deposit: $3,100.00 - ULEC Summer Camp (deleted)</t>
  </si>
  <si>
    <t>NUL 08.08.19 $39,961.82</t>
  </si>
  <si>
    <t>103.44 KB</t>
  </si>
  <si>
    <t>Deposit: $39,961.82 - NUL-USJP (deleted)</t>
  </si>
  <si>
    <t>Summer Camp 08.07.19 $400.00</t>
  </si>
  <si>
    <t>102.72 KB</t>
  </si>
  <si>
    <t>Deposit: $400.00</t>
  </si>
  <si>
    <t>Summer Camp 08.01.19 $68.80</t>
  </si>
  <si>
    <t>93.68 KB</t>
  </si>
  <si>
    <t>Deposit: $68.80 - ULEC Summer Camp (deleted)</t>
  </si>
  <si>
    <t>Summer Camp 08.05.19 $34.36</t>
  </si>
  <si>
    <t>93.64 KB</t>
  </si>
  <si>
    <t>Deposit: $34.36 - ULEC Summer Camp (deleted)</t>
  </si>
  <si>
    <t>Truist 08.08.19 $45.00</t>
  </si>
  <si>
    <t>139.55 KB</t>
  </si>
  <si>
    <t>Deposit: $45.00 - TRUIST (deleted)</t>
  </si>
  <si>
    <t>PFP 08.04.19 $11,644.00</t>
  </si>
  <si>
    <t>420.77 KB</t>
  </si>
  <si>
    <t>Deposit: $11,644.00 - Program for Parents</t>
  </si>
  <si>
    <t>PFP 08.06.19 $10,017.90</t>
  </si>
  <si>
    <t>369.42 KB</t>
  </si>
  <si>
    <t>Deposit: $10,017.90 - Program for Parents</t>
  </si>
  <si>
    <t>Tavonna Lewis</t>
  </si>
  <si>
    <t>84.14 KB</t>
  </si>
  <si>
    <t>Vendor: Ms. Tavonna Lewis</t>
  </si>
  <si>
    <t>File Path</t>
  </si>
  <si>
    <t>File Name</t>
  </si>
  <si>
    <t>File Extension</t>
  </si>
  <si>
    <t>pdf</t>
  </si>
  <si>
    <t>01.10.20 Pre-School $30.pdf</t>
  </si>
  <si>
    <t>01.09.20 Pre-School $600.pdf</t>
  </si>
  <si>
    <t>01.13.20 Pre-School $743.55.pdf</t>
  </si>
  <si>
    <t>Receipt_20200210160246.jpg</t>
  </si>
  <si>
    <t>jpg</t>
  </si>
  <si>
    <t>01.2020 Child Food $4,748.22.pdf</t>
  </si>
  <si>
    <t>01.2020 Child Food Cash in Lieu $229.19.pdf</t>
  </si>
  <si>
    <t>01.15.20 Annamaria Porcaro $700 2019 Board Donation.pdf</t>
  </si>
  <si>
    <t>01.03.20 Stripe $488.70 Susanne Peticolas.pdf</t>
  </si>
  <si>
    <t>01.07.20 Program For Parents $4,419.04.pdf</t>
  </si>
  <si>
    <t>AttachmentList.xlsx</t>
  </si>
  <si>
    <t>xlsx</t>
  </si>
  <si>
    <t>File Row</t>
  </si>
  <si>
    <t>File</t>
  </si>
  <si>
    <t>Bill 12715: $5,500.00 - Floyd D Townsend</t>
  </si>
  <si>
    <t>Bill 12812: $6,250.00 - Jennifer Reed</t>
  </si>
  <si>
    <t>Bill 12662: $177.18 - Pitney Bowes</t>
  </si>
  <si>
    <t>Bill 12641: $5,500.00 - Floyd D Townsend</t>
  </si>
  <si>
    <t>Pitney Bowes 11.01.19 $177.18_12653.pdf</t>
  </si>
  <si>
    <t>C:\Users\Peter\Documents\Associates\Projects\Townsend\UrbanLeague\DocumentCollection\DocumentRepository</t>
  </si>
  <si>
    <t>C:\Users\Peter\Documents\Associates\Projects\Townsend\UrbanLeague\DocumentCollection\DocumentRepository\Check\Check #102 Sampson Development Group, LLC $10,116.00\Pitney Bowes 11.01.19 $177.18_12653.pdf</t>
  </si>
  <si>
    <t>C:\Users\Peter\Documents\Associates\Projects\Townsend\UrbanLeague\DocumentCollection\DocumentRepository\Deposit\Deposit Parent Co-pays (Various) (deleted) $30.00\01.10.20 Pre-School $30.pdf</t>
  </si>
  <si>
    <t>C:\Users\Peter\Documents\Associates\Projects\Townsend\UrbanLeague\DocumentCollection\DocumentRepository\Deposit\Deposit Parent Co-pays (Various) (deleted) $600.00\01.09.20 Pre-School $600.pdf</t>
  </si>
  <si>
    <t>C:\Users\Peter\Documents\Associates\Projects\Townsend\UrbanLeague\DocumentCollection\DocumentRepository\Deposit\Deposit Parent Co-pays (Various) (deleted) $743.55\01.13.20 Pre-School $743.55.pdf</t>
  </si>
  <si>
    <t>C:\Users\Peter\Documents\Associates\Projects\Townsend\UrbanLeague\DocumentCollection\DocumentRepository\Expense\Expense CHICKPEA                 NEWARK       NJ $12.24\Receipt_20200210160246.jpg</t>
  </si>
  <si>
    <t>C:\Users\Peter\Documents\Associates\Projects\Townsend\UrbanLeague\DocumentCollection\DocumentRepository\Invoice\Invoice #202001 CHILD AND ADULT FOOD PROGRAM $4,748.22\01.2020 Child Food $4,748.22.pdf</t>
  </si>
  <si>
    <t>C:\Users\Peter\Documents\Associates\Projects\Townsend\UrbanLeague\DocumentCollection\DocumentRepository\Invoice\Invoice #202002 CHILD AND ADULT FOOD PROGRAM $229.19\01.2020 Child Food Cash in Lieu $229.19.pdf</t>
  </si>
  <si>
    <t>C:\Users\Peter\Documents\Associates\Projects\Townsend\UrbanLeague\DocumentCollection\DocumentRepository\Payment\Payment #2115 ANNAMARIA PORCARO $700.00\01.15.20 Annamaria Porcaro $700 2019 Board Donation.pdf</t>
  </si>
  <si>
    <t>C:\Users\Peter\Documents\Associates\Projects\Townsend\UrbanLeague\DocumentCollection\DocumentRepository\Payment\Payment #Stripe Susanne Peticolas $488.70\01.03.20 Stripe $488.70 Susanne Peticolas.pdf</t>
  </si>
  <si>
    <t>C:\Users\Peter\Documents\Associates\Projects\Townsend\UrbanLeague\DocumentCollection\DocumentRepository\Payment\Payment Program for Parents $4,419.04\01.07.20 Program For Parents $4,419.04.pdf</t>
  </si>
  <si>
    <t>C:\Users\Peter\Documents\Associates\Projects\Townsend\UrbanLeague\DocumentCollection\DocumentRepository\AttachmentList.xlsx</t>
  </si>
  <si>
    <t>C:\Users\Peter\Documents\Associates\Projects\Townsend\UrbanLeague\DocumentCollection\Salaries.pdf</t>
  </si>
  <si>
    <t>C:\Users\Peter\Documents\Associates\Projects\Townsend\UrbanLeague\DocumentCollection\ReportingDocument\</t>
  </si>
  <si>
    <t xml:space="preserve"> </t>
  </si>
  <si>
    <t>Files To Merge</t>
  </si>
  <si>
    <t>Version 02</t>
  </si>
  <si>
    <t>Generic Tools to collect and merge pdf backup documents</t>
  </si>
  <si>
    <t>Documentation</t>
  </si>
  <si>
    <t>1. Review and correct the input parameters</t>
  </si>
  <si>
    <t>Source (C9): folder with all attachments</t>
  </si>
  <si>
    <t>Destination (C10): folder to collect report documents</t>
  </si>
  <si>
    <t>PDF Name: Name of pdf that contains merged files</t>
  </si>
  <si>
    <t>This pdf is in the same folder than this report</t>
  </si>
  <si>
    <t>2. Press all 6 buttons in a row</t>
  </si>
  <si>
    <t>Before merge, you can add more pdf files into the destination</t>
  </si>
  <si>
    <t>Profit and Loss Detail</t>
  </si>
  <si>
    <t>January 2020</t>
  </si>
  <si>
    <t>Location</t>
  </si>
  <si>
    <t>Split</t>
  </si>
  <si>
    <t>Balance</t>
  </si>
  <si>
    <t>Ordinary Income/Expenses</t>
  </si>
  <si>
    <t xml:space="preserve">   Income</t>
  </si>
  <si>
    <t xml:space="preserve">      4500 Revenue from Government Grants</t>
  </si>
  <si>
    <t xml:space="preserve">         4520 Federal Grants</t>
  </si>
  <si>
    <t xml:space="preserve">            4521.1 USJP - Payroll Reimb</t>
  </si>
  <si>
    <t>01/13/2020</t>
  </si>
  <si>
    <t>Journal Entry</t>
  </si>
  <si>
    <t>451 USJP Program</t>
  </si>
  <si>
    <t>USJP Participant Payroll</t>
  </si>
  <si>
    <t>-Split-</t>
  </si>
  <si>
    <t>01/27/2020</t>
  </si>
  <si>
    <t xml:space="preserve">            Total for 4521.1 USJP - Payroll Reimb</t>
  </si>
  <si>
    <t xml:space="preserve">         Total for 4520 Federal Grants</t>
  </si>
  <si>
    <t xml:space="preserve">      Total for 4500 Revenue from Government Grants</t>
  </si>
  <si>
    <t xml:space="preserve">   Total for Income</t>
  </si>
  <si>
    <t xml:space="preserve">   Expenses</t>
  </si>
  <si>
    <t xml:space="preserve">      7100 Participant Salaries &amp; Wages</t>
  </si>
  <si>
    <t xml:space="preserve">         7112 Participant Wages - USJP</t>
  </si>
  <si>
    <t>USJP Participant Wages - 1/13/20</t>
  </si>
  <si>
    <t>USJP Participant Wages - 1/27/20</t>
  </si>
  <si>
    <t xml:space="preserve">            Total for 7112 Participant Wages - USJP</t>
  </si>
  <si>
    <t xml:space="preserve">            7112.1 USJP Manual Checks</t>
  </si>
  <si>
    <t>01/03/2020</t>
  </si>
  <si>
    <t>Deposit</t>
  </si>
  <si>
    <t>Paycom Payroll, LLC</t>
  </si>
  <si>
    <t>USJP Payroll Participant Return - Edythe Walker stale check              
 20-01-03</t>
  </si>
  <si>
    <t>1010 Cash:Checking Active:Bank of America:BOA Operating Acct 3973</t>
  </si>
  <si>
    <t>12.20.19EW</t>
  </si>
  <si>
    <t>Edythe Walker</t>
  </si>
  <si>
    <t>508 Central Avenue</t>
  </si>
  <si>
    <t>Re-issue pay check from 6/17/19 payroll - Check returned as undeliverable by postal service</t>
  </si>
  <si>
    <t>2000 Accounts Payable</t>
  </si>
  <si>
    <t>Reginald Williams</t>
  </si>
  <si>
    <t>USJP Participant owed 32 hours for training from 12/19/19 - 01/01/22. Check Date 01/13/20 not previously paid.</t>
  </si>
  <si>
    <t>01/17/2020</t>
  </si>
  <si>
    <t>Olivia Wicker</t>
  </si>
  <si>
    <t>Not included on the payroll spreadsheet 12.19.19 - 01.01.20</t>
  </si>
  <si>
    <t>Patricia Borden</t>
  </si>
  <si>
    <t>Not added on payroll spreadsheet for payment 12.19.19-01.01.20</t>
  </si>
  <si>
    <t>01/30/2020</t>
  </si>
  <si>
    <t>Refund for 0K296-USJP Overpayment pf Payroll for Manual Checks     20-01-49</t>
  </si>
  <si>
    <t xml:space="preserve">            Total for 7112.1 USJP Manual Checks</t>
  </si>
  <si>
    <t xml:space="preserve">         Total for 7112 Participant Wages - USJP with sub-accounts</t>
  </si>
  <si>
    <t xml:space="preserve">         7120 Payroll Taxes</t>
  </si>
  <si>
    <t>USJP Employer Liability</t>
  </si>
  <si>
    <t xml:space="preserve">         Total for 7120 Payroll Taxes</t>
  </si>
  <si>
    <t xml:space="preserve">         7130 Worker's Compensation - USJP</t>
  </si>
  <si>
    <t>01/31/2020</t>
  </si>
  <si>
    <t>Workers Comp Alloc</t>
  </si>
  <si>
    <t xml:space="preserve">         Total for 7130 Worker's Compensation - USJP</t>
  </si>
  <si>
    <t xml:space="preserve">         7132 Payroll Expenses - Fees</t>
  </si>
  <si>
    <t>USJP Payroll Fee</t>
  </si>
  <si>
    <t xml:space="preserve">         Total for 7132 Payroll Expenses - Fees</t>
  </si>
  <si>
    <t xml:space="preserve">      Total for 7100 Participant Salaries &amp; Wages</t>
  </si>
  <si>
    <t xml:space="preserve">      7200 Salaries &amp; Related Expenses</t>
  </si>
  <si>
    <t xml:space="preserve">         7220 Salaries &amp; Wages</t>
  </si>
  <si>
    <t xml:space="preserve">            7222 Staff</t>
  </si>
  <si>
    <t xml:space="preserve">            Total for 7222 Staff</t>
  </si>
  <si>
    <t xml:space="preserve">         Total for 7220 Salaries &amp; Wages</t>
  </si>
  <si>
    <t xml:space="preserve">         7240 Employee Benefits</t>
  </si>
  <si>
    <t xml:space="preserve">            7241 Health Insurance</t>
  </si>
  <si>
    <t>01/02/2020</t>
  </si>
  <si>
    <t>Horizon Blue Cross Blue Shield of NJ</t>
  </si>
  <si>
    <t>To record Horizon Exp. Billing Period    01/15/20 - 02/15/20</t>
  </si>
  <si>
    <t xml:space="preserve">            Total for 7241 Health Insurance</t>
  </si>
  <si>
    <t xml:space="preserve">            7242 Life and Dental Insurance</t>
  </si>
  <si>
    <t>01.01.20PL</t>
  </si>
  <si>
    <t>Principal Financial Group</t>
  </si>
  <si>
    <t>Life, Dental &amp; AD&amp;D</t>
  </si>
  <si>
    <t xml:space="preserve">            Total for 7242 Life and Dental Insurance</t>
  </si>
  <si>
    <t xml:space="preserve">            7244 Employee Contrib - Health</t>
  </si>
  <si>
    <t>Employee Medical Contrib</t>
  </si>
  <si>
    <t xml:space="preserve">            Total for 7244 Employee Contrib - Health</t>
  </si>
  <si>
    <t xml:space="preserve">            7247 Emp-ee Contrib -Dental</t>
  </si>
  <si>
    <t>Employee Dental Contrib</t>
  </si>
  <si>
    <t xml:space="preserve">            Total for 7247 Emp-ee Contrib -Dental</t>
  </si>
  <si>
    <t xml:space="preserve">         Total for 7240 Employee Benefits</t>
  </si>
  <si>
    <t xml:space="preserve">         7250 Payroll Taxes, etc.</t>
  </si>
  <si>
    <t xml:space="preserve">            7245 Worker's Compensation Insurance</t>
  </si>
  <si>
    <t xml:space="preserve">               7248 Allocated W Comp</t>
  </si>
  <si>
    <t xml:space="preserve">               Total for 7248 Allocated W Comp</t>
  </si>
  <si>
    <t xml:space="preserve">            Total for 7245 Worker's Compensation Insurance</t>
  </si>
  <si>
    <t xml:space="preserve">            7251 Social Security</t>
  </si>
  <si>
    <t>Fica</t>
  </si>
  <si>
    <t xml:space="preserve">            Total for 7251 Social Security</t>
  </si>
  <si>
    <t xml:space="preserve">            7252 Medicare</t>
  </si>
  <si>
    <t>Medi Alloc</t>
  </si>
  <si>
    <t xml:space="preserve">            Total for 7252 Medicare</t>
  </si>
  <si>
    <t xml:space="preserve">            7253 Unemployment</t>
  </si>
  <si>
    <t>SUI Alloc</t>
  </si>
  <si>
    <t xml:space="preserve">            Total for 7253 Unemployment</t>
  </si>
  <si>
    <t xml:space="preserve">            7254 Disability</t>
  </si>
  <si>
    <t>Disability Alloc</t>
  </si>
  <si>
    <t xml:space="preserve">            Total for 7254 Disability</t>
  </si>
  <si>
    <t xml:space="preserve">         Total for 7250 Payroll Taxes, etc.</t>
  </si>
  <si>
    <t xml:space="preserve">         7260 Payroll Service Fees</t>
  </si>
  <si>
    <t xml:space="preserve">            7260.1 Allocated Payroll Fees</t>
  </si>
  <si>
    <t>Payroll Fees</t>
  </si>
  <si>
    <t xml:space="preserve">            Total for 7260.1 Allocated Payroll Fees</t>
  </si>
  <si>
    <t xml:space="preserve">         Total for 7260 Payroll Service Fees</t>
  </si>
  <si>
    <t xml:space="preserve">      Total for 7200 Salaries &amp; Related Expenses</t>
  </si>
  <si>
    <t xml:space="preserve">      7500 Contract Service Expenses</t>
  </si>
  <si>
    <t xml:space="preserve">         7515 IT Support</t>
  </si>
  <si>
    <t xml:space="preserve">            7515.5 Allocated IT consultants</t>
  </si>
  <si>
    <t>IT Consultants</t>
  </si>
  <si>
    <t xml:space="preserve">            Total for 7515.5 Allocated IT consultants</t>
  </si>
  <si>
    <t xml:space="preserve">         Total for 7515 IT Support</t>
  </si>
  <si>
    <t xml:space="preserve">         7520 Accounting Fees</t>
  </si>
  <si>
    <t xml:space="preserve">            7521 Allocated Acctg and Audit</t>
  </si>
  <si>
    <t>Allocated Acctg</t>
  </si>
  <si>
    <t xml:space="preserve">            Total for 7521 Allocated Acctg and Audit</t>
  </si>
  <si>
    <t xml:space="preserve">         Total for 7520 Accounting Fees</t>
  </si>
  <si>
    <t xml:space="preserve">         7540 Instructors/Consultants/Subs</t>
  </si>
  <si>
    <t>12.27.19AC</t>
  </si>
  <si>
    <t>Anthony Clark</t>
  </si>
  <si>
    <t>506 Central Ave</t>
  </si>
  <si>
    <t>Business Development  12/16/19 - 12/27/19</t>
  </si>
  <si>
    <t>01/16/2020</t>
  </si>
  <si>
    <t>12.30.19AC</t>
  </si>
  <si>
    <t>Business Development  thru 12/31/19</t>
  </si>
  <si>
    <t>01.17.20AC</t>
  </si>
  <si>
    <t>Business Development 01/13/20 - 01/17/20</t>
  </si>
  <si>
    <t xml:space="preserve">         Total for 7540 Instructors/Consultants/Subs</t>
  </si>
  <si>
    <t xml:space="preserve">      Total for 7500 Contract Service Expenses</t>
  </si>
  <si>
    <t xml:space="preserve">      8100 Operating Expenses</t>
  </si>
  <si>
    <t xml:space="preserve">         8110 Supplies</t>
  </si>
  <si>
    <t>7303329877-0-1</t>
  </si>
  <si>
    <t>Staples Advantage</t>
  </si>
  <si>
    <t>USJP Supplies</t>
  </si>
  <si>
    <t xml:space="preserve">            Total for 8110 Supplies</t>
  </si>
  <si>
    <t xml:space="preserve">            8112 Alloc Supplies</t>
  </si>
  <si>
    <t>Supplies Alloc</t>
  </si>
  <si>
    <t xml:space="preserve">            Total for 8112 Alloc Supplies</t>
  </si>
  <si>
    <t xml:space="preserve">         Total for 8110 Supplies with sub-accounts</t>
  </si>
  <si>
    <t xml:space="preserve">         8130 Telephone &amp; Telecommunications</t>
  </si>
  <si>
    <t xml:space="preserve">            8132 Cell Phone Services</t>
  </si>
  <si>
    <t>9844201970</t>
  </si>
  <si>
    <t>Verizon Wireless</t>
  </si>
  <si>
    <t>Monthly Hotspot Data</t>
  </si>
  <si>
    <t>9846278391</t>
  </si>
  <si>
    <t xml:space="preserve">            Total for 8132 Cell Phone Services</t>
  </si>
  <si>
    <t xml:space="preserve">            8135 Telephone</t>
  </si>
  <si>
    <t>EFAX.COM</t>
  </si>
  <si>
    <t>J2  EFAX SERVICES</t>
  </si>
  <si>
    <t>2150 Credit Cards:Visa Card-8978</t>
  </si>
  <si>
    <t>01/20/2020</t>
  </si>
  <si>
    <t xml:space="preserve">            Total for 8135 Telephone</t>
  </si>
  <si>
    <t xml:space="preserve">            8135.5 Allocated Telephone</t>
  </si>
  <si>
    <t>Telephone</t>
  </si>
  <si>
    <t xml:space="preserve">            Total for 8135.5 Allocated Telephone</t>
  </si>
  <si>
    <t xml:space="preserve">         Total for 8130 Telephone &amp; Telecommunications</t>
  </si>
  <si>
    <t xml:space="preserve">         8140 Postage &amp; Shipping</t>
  </si>
  <si>
    <t>6-882-69113</t>
  </si>
  <si>
    <t>FedEx</t>
  </si>
  <si>
    <t>USJP - Returned Tabe Test Booklets to Data Recognition</t>
  </si>
  <si>
    <t xml:space="preserve">         Total for 8140 Postage &amp; Shipping</t>
  </si>
  <si>
    <t xml:space="preserve">         8191 Web Hosting Alloc</t>
  </si>
  <si>
    <t>Web hosting</t>
  </si>
  <si>
    <t xml:space="preserve">         Total for 8191 Web Hosting Alloc</t>
  </si>
  <si>
    <t xml:space="preserve">      Total for 8100 Operating Expenses</t>
  </si>
  <si>
    <t xml:space="preserve">      8200 Facility &amp; Equipment Expenses</t>
  </si>
  <si>
    <t xml:space="preserve">         8205 Rent, Parking, Other Occupancy</t>
  </si>
  <si>
    <t>Center for Transformative Work</t>
  </si>
  <si>
    <t>USJP - Rent Expense  January 2020</t>
  </si>
  <si>
    <t xml:space="preserve">         Total for 8205 Rent, Parking, Other Occupancy</t>
  </si>
  <si>
    <t xml:space="preserve">         8210 Utilities</t>
  </si>
  <si>
    <t xml:space="preserve">            8210.5 Allocated Utilities</t>
  </si>
  <si>
    <t>Utilities</t>
  </si>
  <si>
    <t xml:space="preserve">            Total for 8210.5 Allocated Utilities</t>
  </si>
  <si>
    <t xml:space="preserve">         Total for 8210 Utilities</t>
  </si>
  <si>
    <t xml:space="preserve">         8220 Equipment Rental, Repair &amp; Maintenance</t>
  </si>
  <si>
    <t xml:space="preserve">            8229.1 Allocated Cost</t>
  </si>
  <si>
    <t>Equipment Leases</t>
  </si>
  <si>
    <t xml:space="preserve">            Total for 8229.1 Allocated Cost</t>
  </si>
  <si>
    <t xml:space="preserve">         Total for 8220 Equipment Rental, Repair &amp; Maintenance</t>
  </si>
  <si>
    <t xml:space="preserve">         8230 Building Repair &amp; Maintenance</t>
  </si>
  <si>
    <t xml:space="preserve">            8239 Alloc Repairs and Maint</t>
  </si>
  <si>
    <t>Repairs</t>
  </si>
  <si>
    <t xml:space="preserve">            Total for 8239 Alloc Repairs and Maint</t>
  </si>
  <si>
    <t xml:space="preserve">         Total for 8230 Building Repair &amp; Maintenance</t>
  </si>
  <si>
    <t xml:space="preserve">         8250 Mortgage Interest Expense</t>
  </si>
  <si>
    <t xml:space="preserve">            8250.1 Allocated Mortgage Interest</t>
  </si>
  <si>
    <t>Mortgage Interest</t>
  </si>
  <si>
    <t xml:space="preserve">            Total for 8250.1 Allocated Mortgage Interest</t>
  </si>
  <si>
    <t xml:space="preserve">         Total for 8250 Mortgage Interest Expense</t>
  </si>
  <si>
    <t xml:space="preserve">         8260 Property Insurance</t>
  </si>
  <si>
    <t xml:space="preserve">            8264 Other</t>
  </si>
  <si>
    <t xml:space="preserve">               8266 Allocated Insurance</t>
  </si>
  <si>
    <t>Gen Insur Alloc</t>
  </si>
  <si>
    <t xml:space="preserve">               Total for 8266 Allocated Insurance</t>
  </si>
  <si>
    <t xml:space="preserve">            Total for 8264 Other</t>
  </si>
  <si>
    <t xml:space="preserve">         Total for 8260 Property Insurance</t>
  </si>
  <si>
    <t xml:space="preserve">      Total for 8200 Facility &amp; Equipment Expenses</t>
  </si>
  <si>
    <t xml:space="preserve">      8300 Travel &amp; Meetings Expenses</t>
  </si>
  <si>
    <t xml:space="preserve">         8310 Transportation &amp; Parking</t>
  </si>
  <si>
    <t>City of Paterson Parking Authority</t>
  </si>
  <si>
    <t>Parking Permit for Jan. 2020</t>
  </si>
  <si>
    <t xml:space="preserve">         Total for 8310 Transportation &amp; Parking</t>
  </si>
  <si>
    <t xml:space="preserve">      Total for 8300 Travel &amp; Meetings Expenses</t>
  </si>
  <si>
    <t xml:space="preserve">      8400 Other Client Specific Expenses</t>
  </si>
  <si>
    <t xml:space="preserve">         8435 GED &amp; ABE Classes</t>
  </si>
  <si>
    <t>01/22/2020</t>
  </si>
  <si>
    <t>DATA Recognition Corporation</t>
  </si>
  <si>
    <t>Tabe Test Score-ez</t>
  </si>
  <si>
    <t xml:space="preserve">         Total for 8435 GED &amp; ABE Classes</t>
  </si>
  <si>
    <t xml:space="preserve">      Total for 8400 Other Client Specific Expenses</t>
  </si>
  <si>
    <t xml:space="preserve">   Total for Expenses</t>
  </si>
  <si>
    <t>Net Income</t>
  </si>
  <si>
    <t>Thursday, Feb 13, 2020 12:11:24 PM GMT-8 - Cash Basis</t>
  </si>
  <si>
    <t>C:\Users\Peter\Documents\Associates\Projects\Townsend\UrbanLeague\DocumentCollection\DocumentRepository\Check\Check #102 Sampson Development Group, LLC $10,116.00\Sampson Check #102 $10,116.pdf</t>
  </si>
  <si>
    <t>Sampson Check #102 $10,116.pdf</t>
  </si>
  <si>
    <t>Pitney Bowes 11.01.19 $177.18_12653 - Copy (2).pdf</t>
  </si>
  <si>
    <t>Pitney Bowes 11.01.19 $177.18_12653 - Copy (3).pdf</t>
  </si>
  <si>
    <t>Pitney Bowes 11.01.19 $177.18_12653 - Copy.pdf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</si>
</sst>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0\ _€"/>
    <numFmt numFmtId="165" formatCode="&quot;$&quot;* #,##0.00\ _€"/>
  </numFmts>
  <fonts count="1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indexed="8"/>
      <name val="Arial"/>
      <family val="2"/>
    </font>
    <font>
      <b/>
      <sz val="10"/>
      <color indexed="8"/>
      <name val="Arial"/>
      <family val="2"/>
    </font>
    <font>
      <b/>
      <sz val="9"/>
      <color indexed="8"/>
      <name val="Arial"/>
      <family val="2"/>
    </font>
    <font>
      <b/>
      <sz val="8"/>
      <color indexed="8"/>
      <name val="Arial"/>
      <family val="2"/>
    </font>
    <font>
      <sz val="11"/>
      <color indexed="8"/>
      <name val="Calibri"/>
      <family val="2"/>
      <scheme val="minor"/>
    </font>
    <font>
      <sz val="8"/>
      <color indexed="8"/>
      <name val="Arial"/>
      <family val="2"/>
    </font>
    <font>
      <b/>
      <sz val="1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6" fillId="0" borderId="0"/>
  </cellStyleXfs>
  <cellXfs count="38">
    <xf numFmtId="0" fontId="0" fillId="0" borderId="0" xfId="0"/>
    <xf numFmtId="0" fontId="0" fillId="0" borderId="0" xfId="0" applyAlignment="1"/>
    <xf numFmtId="0" fontId="0" fillId="0" borderId="1" xfId="0" applyBorder="1" applyAlignment="1">
      <alignment wrapText="1"/>
    </xf>
    <xf numFmtId="0" fontId="4" fillId="0" borderId="1" xfId="0" applyFont="1" applyBorder="1" applyAlignment="1">
      <alignment horizontal="center" wrapText="1"/>
    </xf>
    <xf numFmtId="0" fontId="4" fillId="0" borderId="1" xfId="0" applyFont="1" applyBorder="1" applyAlignment="1">
      <alignment horizontal="left" wrapText="1"/>
    </xf>
    <xf numFmtId="0" fontId="0" fillId="0" borderId="0" xfId="0" applyAlignment="1">
      <alignment wrapText="1"/>
    </xf>
    <xf numFmtId="0" fontId="0" fillId="0" borderId="0" xfId="0" applyBorder="1" applyAlignment="1">
      <alignment wrapText="1"/>
    </xf>
    <xf numFmtId="0" fontId="4" fillId="0" borderId="0" xfId="0" applyFont="1" applyBorder="1" applyAlignment="1">
      <alignment horizontal="center" wrapText="1"/>
    </xf>
    <xf numFmtId="0" fontId="4" fillId="0" borderId="0" xfId="0" applyFont="1" applyBorder="1" applyAlignment="1">
      <alignment horizontal="left" wrapText="1"/>
    </xf>
    <xf numFmtId="0" fontId="5" fillId="0" borderId="0" xfId="0" applyFont="1" applyAlignment="1"/>
    <xf numFmtId="0" fontId="0" fillId="0" borderId="0" xfId="0" applyAlignment="1">
      <alignment horizontal="left"/>
    </xf>
    <xf numFmtId="0" fontId="5" fillId="0" borderId="0" xfId="0" applyFont="1"/>
    <xf numFmtId="0" fontId="6" fillId="0" borderId="0" xfId="1" applyAlignment="1">
      <alignment horizontal="left"/>
    </xf>
    <xf numFmtId="14" fontId="7" fillId="0" borderId="0" xfId="0" applyNumberFormat="1" applyFont="1" applyAlignment="1">
      <alignment horizontal="left"/>
    </xf>
    <xf numFmtId="0" fontId="7" fillId="0" borderId="0" xfId="0" applyFont="1" applyAlignment="1">
      <alignment horizontal="left"/>
    </xf>
    <xf numFmtId="164" fontId="7" fillId="0" borderId="0" xfId="0" applyNumberFormat="1" applyFont="1" applyAlignment="1">
      <alignment horizontal="right"/>
    </xf>
    <xf numFmtId="165" fontId="5" fillId="0" borderId="2" xfId="0" applyNumberFormat="1" applyFont="1" applyBorder="1" applyAlignment="1">
      <alignment horizontal="right"/>
    </xf>
    <xf numFmtId="165" fontId="5" fillId="0" borderId="0" xfId="0" applyNumberFormat="1" applyFont="1" applyBorder="1" applyAlignment="1">
      <alignment horizontal="right"/>
    </xf>
    <xf numFmtId="0" fontId="7" fillId="0" borderId="0" xfId="0" applyFont="1" applyAlignment="1"/>
    <xf numFmtId="0" fontId="1" fillId="2" borderId="0" xfId="0" applyFont="1" applyFill="1"/>
    <xf numFmtId="14" fontId="1" fillId="2" borderId="0" xfId="0" applyNumberFormat="1" applyFont="1" applyFill="1"/>
    <xf numFmtId="0" fontId="11" fillId="3" borderId="0" xfId="0" applyFont="1" applyFill="1"/>
    <xf numFmtId="0" fontId="0" fillId="4" borderId="0" xfId="0" applyFill="1"/>
    <xf numFmtId="0" fontId="1" fillId="2" borderId="0" xfId="0" applyFont="1" applyFill="1" applyAlignment="1">
      <alignment horizontal="left"/>
    </xf>
    <xf numFmtId="0" fontId="9" fillId="2" borderId="0" xfId="0" applyFont="1" applyFill="1" applyAlignment="1">
      <alignment horizontal="left"/>
    </xf>
    <xf numFmtId="0" fontId="8" fillId="2" borderId="0" xfId="0" applyFont="1" applyFill="1" applyAlignment="1">
      <alignment horizontal="left"/>
    </xf>
    <xf numFmtId="0" fontId="11" fillId="3" borderId="0" xfId="0" applyFont="1" applyFill="1" applyAlignment="1">
      <alignment horizontal="left"/>
    </xf>
    <xf numFmtId="0" fontId="0" fillId="5" borderId="0" xfId="0" applyFill="1"/>
    <xf numFmtId="0" fontId="0" fillId="4" borderId="0" xfId="0" applyFont="1" applyFill="1"/>
    <xf numFmtId="0" fontId="5" fillId="0" borderId="0" xfId="0" applyFont="1" applyAlignment="1">
      <alignment horizontal="left" wrapText="1"/>
    </xf>
    <xf numFmtId="0" fontId="7" fillId="0" borderId="0" xfId="0" applyFont="1" applyAlignment="1">
      <alignment horizontal="left" wrapText="1"/>
    </xf>
    <xf numFmtId="0" fontId="7" fillId="0" borderId="0" xfId="0" quotePrefix="1" applyFont="1" applyAlignment="1">
      <alignment horizontal="left" wrapText="1"/>
    </xf>
    <xf numFmtId="164" fontId="7" fillId="0" borderId="0" xfId="0" applyNumberFormat="1" applyFont="1" applyAlignment="1">
      <alignment horizontal="right" wrapText="1"/>
    </xf>
    <xf numFmtId="165" fontId="5" fillId="0" borderId="2" xfId="0" applyNumberFormat="1" applyFont="1" applyBorder="1" applyAlignment="1">
      <alignment horizontal="right" wrapText="1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/>
    <xf numFmtId="0" fontId="7" fillId="0" borderId="0" xfId="0" applyFont="1" applyAlignment="1">
      <alignment horizontal="center"/>
    </xf>
  </cellXfs>
  <cellStyles count="2">
    <cellStyle name="Normal" xfId="0" builtinId="0"/>
    <cellStyle name="Normal 2 8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584200</xdr:colOff>
          <xdr:row>11</xdr:row>
          <xdr:rowOff>158750</xdr:rowOff>
        </xdr:from>
        <xdr:to>
          <xdr:col>5</xdr:col>
          <xdr:colOff>425450</xdr:colOff>
          <xdr:row>13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References in P/L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11</xdr:row>
          <xdr:rowOff>158750</xdr:rowOff>
        </xdr:from>
        <xdr:to>
          <xdr:col>18</xdr:col>
          <xdr:colOff>171450</xdr:colOff>
          <xdr:row>13</xdr:row>
          <xdr:rowOff>63500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Files Into One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609600</xdr:colOff>
          <xdr:row>11</xdr:row>
          <xdr:rowOff>158750</xdr:rowOff>
        </xdr:from>
        <xdr:to>
          <xdr:col>8</xdr:col>
          <xdr:colOff>330200</xdr:colOff>
          <xdr:row>13</xdr:row>
          <xdr:rowOff>63500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List of All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11</xdr:row>
          <xdr:rowOff>158750</xdr:rowOff>
        </xdr:from>
        <xdr:to>
          <xdr:col>11</xdr:col>
          <xdr:colOff>450850</xdr:colOff>
          <xdr:row>13</xdr:row>
          <xdr:rowOff>63500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Match File with Check Number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25400</xdr:colOff>
          <xdr:row>11</xdr:row>
          <xdr:rowOff>158750</xdr:rowOff>
        </xdr:from>
        <xdr:to>
          <xdr:col>15</xdr:col>
          <xdr:colOff>88900</xdr:colOff>
          <xdr:row>13</xdr:row>
          <xdr:rowOff>63500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Files iinto Destination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11</xdr:row>
          <xdr:rowOff>158750</xdr:rowOff>
        </xdr:from>
        <xdr:to>
          <xdr:col>2</xdr:col>
          <xdr:colOff>406400</xdr:colOff>
          <xdr:row>13</xdr:row>
          <xdr:rowOff>63500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ain"/>
  <dimension ref="A1:W37"/>
  <sheetViews>
    <sheetView topLeftCell="A7" zoomScale="85" zoomScaleNormal="85" workbookViewId="0">
      <selection activeCell="H17" sqref="H17:K20"/>
    </sheetView>
  </sheetViews>
  <sheetFormatPr defaultRowHeight="14.5" x14ac:dyDescent="0.35"/>
  <cols>
    <col min="1" max="1" width="10.36328125" bestFit="1" customWidth="1"/>
    <col min="2" max="2" width="12.26953125" style="10" customWidth="1"/>
    <col min="7" max="7" width="14.54296875" customWidth="1"/>
    <col min="8" max="8" width="14.1796875" customWidth="1"/>
    <col min="11" max="11" width="10.453125" bestFit="1" customWidth="1"/>
  </cols>
  <sheetData>
    <row r="1" spans="1:23" x14ac:dyDescent="0.35">
      <c r="A1" s="19"/>
      <c r="B1" s="23"/>
      <c r="C1" s="19"/>
      <c r="D1" s="19"/>
      <c r="E1" s="19"/>
      <c r="F1" s="19"/>
      <c r="G1" s="19"/>
      <c r="H1" s="19"/>
      <c r="I1" s="19"/>
      <c r="J1" s="19"/>
      <c r="K1" s="19" t="s">
        <v>118</v>
      </c>
      <c r="L1" s="19"/>
      <c r="M1" s="28"/>
      <c r="N1" s="28" t="s">
        <v>958</v>
      </c>
      <c r="O1" s="28"/>
      <c r="P1" s="28"/>
      <c r="Q1" s="28"/>
      <c r="R1" s="28"/>
      <c r="S1" s="28"/>
      <c r="T1" s="28"/>
      <c r="U1" s="22"/>
      <c r="V1" s="22"/>
      <c r="W1" s="22"/>
    </row>
    <row r="2" spans="1:23" x14ac:dyDescent="0.35">
      <c r="A2" s="19"/>
      <c r="B2" s="23"/>
      <c r="C2" s="19"/>
      <c r="D2" s="19"/>
      <c r="E2" s="19"/>
      <c r="F2" s="19"/>
      <c r="G2" s="19"/>
      <c r="H2" s="19"/>
      <c r="I2" s="19"/>
      <c r="J2" s="19"/>
      <c r="K2" s="20">
        <v>43811</v>
      </c>
      <c r="L2" s="19"/>
      <c r="M2" s="28"/>
      <c r="N2" s="28" t="s">
        <v>959</v>
      </c>
      <c r="O2" s="28"/>
      <c r="P2" s="28"/>
      <c r="Q2" s="28"/>
      <c r="R2" s="28"/>
      <c r="S2" s="28"/>
      <c r="T2" s="28"/>
      <c r="U2" s="22"/>
      <c r="V2" s="22"/>
      <c r="W2" s="22"/>
    </row>
    <row r="3" spans="1:23" ht="21" x14ac:dyDescent="0.5">
      <c r="A3" s="19"/>
      <c r="B3" s="24" t="s">
        <v>115</v>
      </c>
      <c r="C3" s="19"/>
      <c r="D3" s="19"/>
      <c r="E3" s="19"/>
      <c r="F3" s="19"/>
      <c r="G3" s="19"/>
      <c r="H3" s="19"/>
      <c r="I3" s="19"/>
      <c r="J3" s="19"/>
      <c r="K3" s="19" t="s">
        <v>956</v>
      </c>
      <c r="L3" s="19"/>
      <c r="M3" s="28"/>
      <c r="N3" s="28"/>
      <c r="O3" s="28" t="s">
        <v>960</v>
      </c>
      <c r="P3" s="28"/>
      <c r="Q3" s="28"/>
      <c r="R3" s="28"/>
      <c r="S3" s="28"/>
      <c r="T3" s="28"/>
      <c r="U3" s="22"/>
      <c r="V3" s="22"/>
      <c r="W3" s="22"/>
    </row>
    <row r="4" spans="1:23" x14ac:dyDescent="0.35">
      <c r="A4" s="19"/>
      <c r="B4" s="23"/>
      <c r="C4" s="19"/>
      <c r="D4" s="19"/>
      <c r="E4" s="19"/>
      <c r="F4" s="19"/>
      <c r="G4" s="19"/>
      <c r="H4" s="19"/>
      <c r="I4" s="19"/>
      <c r="J4" s="19"/>
      <c r="K4" s="19"/>
      <c r="L4" s="19"/>
      <c r="M4" s="28"/>
      <c r="N4" s="28"/>
      <c r="O4" s="28" t="s">
        <v>961</v>
      </c>
      <c r="P4" s="28"/>
      <c r="Q4" s="28"/>
      <c r="R4" s="28"/>
      <c r="S4" s="28"/>
      <c r="T4" s="28"/>
      <c r="U4" s="22"/>
      <c r="V4" s="22"/>
      <c r="W4" s="22"/>
    </row>
    <row r="5" spans="1:23" ht="15.5" x14ac:dyDescent="0.35">
      <c r="A5" s="19"/>
      <c r="B5" s="25" t="s">
        <v>957</v>
      </c>
      <c r="C5" s="19"/>
      <c r="D5" s="19"/>
      <c r="E5" s="19"/>
      <c r="F5" s="19"/>
      <c r="G5" s="19"/>
      <c r="H5" s="19"/>
      <c r="I5" s="19"/>
      <c r="J5" s="19"/>
      <c r="K5" s="19"/>
      <c r="L5" s="19"/>
      <c r="M5" s="28"/>
      <c r="N5" s="28"/>
      <c r="O5" s="28" t="s">
        <v>962</v>
      </c>
      <c r="P5" s="28"/>
      <c r="Q5" s="28"/>
      <c r="R5" s="28"/>
      <c r="S5" s="28"/>
      <c r="T5" s="28"/>
      <c r="U5" s="22"/>
      <c r="V5" s="22"/>
      <c r="W5" s="22"/>
    </row>
    <row r="6" spans="1:23" ht="15.5" x14ac:dyDescent="0.35">
      <c r="A6" s="19"/>
      <c r="B6" s="25"/>
      <c r="C6" s="19"/>
      <c r="D6" s="19"/>
      <c r="E6" s="19"/>
      <c r="F6" s="19"/>
      <c r="G6" s="19"/>
      <c r="H6" s="19"/>
      <c r="I6" s="19"/>
      <c r="J6" s="19"/>
      <c r="K6" s="19"/>
      <c r="L6" s="19"/>
      <c r="M6" s="28"/>
      <c r="N6" s="28"/>
      <c r="O6" s="28"/>
      <c r="P6" s="28" t="s">
        <v>963</v>
      </c>
      <c r="Q6" s="28"/>
      <c r="R6" s="28"/>
      <c r="S6" s="28"/>
      <c r="T6" s="28"/>
      <c r="U6" s="22"/>
      <c r="V6" s="22"/>
      <c r="W6" s="22"/>
    </row>
    <row r="7" spans="1:23" x14ac:dyDescent="0.35">
      <c r="A7" s="19"/>
      <c r="B7" s="23"/>
      <c r="C7" s="19"/>
      <c r="D7" s="19"/>
      <c r="E7" s="19"/>
      <c r="F7" s="19"/>
      <c r="G7" s="19"/>
      <c r="H7" s="19"/>
      <c r="I7" s="19"/>
      <c r="J7" s="19"/>
      <c r="K7" s="19"/>
      <c r="L7" s="19"/>
      <c r="M7" s="28"/>
      <c r="N7" s="28" t="s">
        <v>964</v>
      </c>
      <c r="O7" s="28"/>
      <c r="P7" s="28"/>
      <c r="Q7" s="28"/>
      <c r="R7" s="28"/>
      <c r="S7" s="28"/>
      <c r="T7" s="28"/>
      <c r="U7" s="22"/>
      <c r="V7" s="22"/>
      <c r="W7" s="22"/>
    </row>
    <row r="8" spans="1:23" x14ac:dyDescent="0.35">
      <c r="A8" s="19"/>
      <c r="B8" s="23"/>
      <c r="C8" s="19"/>
      <c r="D8" s="19"/>
      <c r="E8" s="19"/>
      <c r="F8" s="19"/>
      <c r="G8" s="19"/>
      <c r="H8" s="19"/>
      <c r="I8" s="19"/>
      <c r="J8" s="19"/>
      <c r="K8" s="19"/>
      <c r="L8" s="19"/>
      <c r="M8" s="28"/>
      <c r="N8" s="28"/>
      <c r="O8" s="28" t="s">
        <v>965</v>
      </c>
      <c r="P8" s="28"/>
      <c r="Q8" s="28"/>
      <c r="R8" s="28"/>
      <c r="S8" s="28"/>
      <c r="T8" s="28"/>
      <c r="U8" s="22"/>
      <c r="V8" s="22"/>
      <c r="W8" s="22"/>
    </row>
    <row r="9" spans="1:23" x14ac:dyDescent="0.35">
      <c r="A9" s="19"/>
      <c r="B9" s="23" t="s">
        <v>116</v>
      </c>
      <c r="C9" s="19" t="s">
        <v>940</v>
      </c>
      <c r="D9" s="19"/>
      <c r="E9" s="19"/>
      <c r="F9" s="19"/>
      <c r="G9" s="19"/>
      <c r="H9" s="19"/>
      <c r="I9" s="19"/>
      <c r="J9" s="19"/>
      <c r="K9" s="19"/>
      <c r="L9" s="19"/>
      <c r="M9" s="28"/>
      <c r="N9" s="28"/>
      <c r="O9" s="28"/>
      <c r="P9" s="28"/>
      <c r="Q9" s="28"/>
      <c r="R9" s="28"/>
      <c r="S9" s="28"/>
      <c r="T9" s="22"/>
      <c r="U9" s="22"/>
      <c r="V9" s="22"/>
      <c r="W9" s="22"/>
    </row>
    <row r="10" spans="1:23" x14ac:dyDescent="0.35">
      <c r="A10" s="19"/>
      <c r="B10" s="23" t="s">
        <v>117</v>
      </c>
      <c r="C10" s="19" t="s">
        <v>953</v>
      </c>
      <c r="D10" s="19"/>
      <c r="E10" s="19"/>
      <c r="F10" s="19"/>
      <c r="G10" s="19"/>
      <c r="H10" s="19"/>
      <c r="I10" s="19"/>
      <c r="J10" s="19"/>
      <c r="K10" s="19"/>
      <c r="L10" s="19"/>
      <c r="M10" s="28"/>
      <c r="N10" s="28"/>
      <c r="O10" s="28"/>
      <c r="P10" s="28"/>
      <c r="Q10" s="28"/>
      <c r="R10" s="28"/>
      <c r="S10" s="28"/>
      <c r="T10" s="22"/>
      <c r="U10" s="22"/>
      <c r="V10" s="22"/>
      <c r="W10" s="22"/>
    </row>
    <row r="11" spans="1:23" x14ac:dyDescent="0.35">
      <c r="A11" s="19"/>
      <c r="B11" s="23" t="s">
        <v>120</v>
      </c>
      <c r="C11" s="19" t="s">
        <v>121</v>
      </c>
      <c r="D11" s="19"/>
      <c r="E11" s="19"/>
      <c r="F11" s="19"/>
      <c r="G11" s="19"/>
      <c r="H11" s="19"/>
      <c r="I11" s="19"/>
      <c r="J11" s="19"/>
      <c r="K11" s="19"/>
      <c r="L11" s="19"/>
      <c r="M11" s="28"/>
      <c r="N11" s="28"/>
      <c r="O11" s="28"/>
      <c r="P11" s="28"/>
      <c r="Q11" s="28"/>
      <c r="R11" s="28"/>
      <c r="S11" s="28"/>
      <c r="T11" s="22"/>
      <c r="U11" s="22"/>
      <c r="V11" s="22"/>
      <c r="W11" s="22"/>
    </row>
    <row r="12" spans="1:23" x14ac:dyDescent="0.35">
      <c r="A12" s="19"/>
      <c r="B12" s="23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</row>
    <row r="13" spans="1:23" x14ac:dyDescent="0.35">
      <c r="A13" s="19"/>
      <c r="B13" s="23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</row>
    <row r="14" spans="1:23" ht="27" customHeight="1" x14ac:dyDescent="0.35">
      <c r="A14" s="19"/>
      <c r="B14" s="23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</row>
    <row r="16" spans="1:23" x14ac:dyDescent="0.35">
      <c r="A16" s="26"/>
      <c r="B16" s="26" t="s">
        <v>5</v>
      </c>
      <c r="C16" s="21" t="s">
        <v>933</v>
      </c>
      <c r="D16" s="21" t="s">
        <v>934</v>
      </c>
      <c r="E16" s="21"/>
      <c r="F16" s="21"/>
      <c r="G16" s="22" t="s">
        <v>955</v>
      </c>
      <c r="H16" s="27" t="s">
        <v>119</v>
      </c>
      <c r="I16" s="27" t="s">
        <v>952</v>
      </c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</row>
    <row r="17" spans="2:8" x14ac:dyDescent="0.35">
      <c r="B17" s="10">
        <v>12715</v>
      </c>
      <c r="C17">
        <v>54</v>
      </c>
      <c r="D17" t="s">
        <v>269</v>
      </c>
      <c r="F17" t="s">
        <v>954</v>
      </c>
      <c r="H17" t="s">
        <v>1182</v>
      </c>
    </row>
    <row r="18" spans="2:8" x14ac:dyDescent="0.35">
      <c r="B18" s="10">
        <v>12714</v>
      </c>
      <c r="H18" t="s">
        <v>1183</v>
      </c>
    </row>
    <row r="19" spans="2:8" x14ac:dyDescent="0.35">
      <c r="B19" s="10">
        <v>12662</v>
      </c>
      <c r="C19">
        <v>113</v>
      </c>
      <c r="D19" t="s">
        <v>430</v>
      </c>
      <c r="F19" t="s">
        <v>954</v>
      </c>
      <c r="G19" t="s">
        <v>939</v>
      </c>
      <c r="H19" t="s">
        <v>1184</v>
      </c>
    </row>
    <row r="20" spans="2:8" x14ac:dyDescent="0.35">
      <c r="B20" s="10">
        <v>12764</v>
      </c>
      <c r="H20" t="s">
        <v>939</v>
      </c>
    </row>
    <row r="21" spans="2:8" x14ac:dyDescent="0.35">
      <c r="B21" s="10">
        <v>12812</v>
      </c>
      <c r="C21">
        <v>74</v>
      </c>
      <c r="D21" t="s">
        <v>323</v>
      </c>
      <c r="F21" t="s">
        <v>954</v>
      </c>
    </row>
    <row r="22" spans="2:8" x14ac:dyDescent="0.35">
      <c r="B22" s="10">
        <v>12805</v>
      </c>
    </row>
    <row r="23" spans="2:8" x14ac:dyDescent="0.35">
      <c r="B23" s="10" t="s">
        <v>47</v>
      </c>
    </row>
    <row r="24" spans="2:8" x14ac:dyDescent="0.35">
      <c r="B24" s="10">
        <v>12711</v>
      </c>
    </row>
    <row r="25" spans="2:8" x14ac:dyDescent="0.35">
      <c r="B25" s="10" t="s">
        <v>59</v>
      </c>
    </row>
    <row r="26" spans="2:8" x14ac:dyDescent="0.35">
      <c r="B26" s="10">
        <v>12826</v>
      </c>
    </row>
    <row r="27" spans="2:8" x14ac:dyDescent="0.35">
      <c r="B27" s="10">
        <v>12826</v>
      </c>
    </row>
    <row r="28" spans="2:8" x14ac:dyDescent="0.35">
      <c r="B28" s="10">
        <v>12826</v>
      </c>
    </row>
    <row r="29" spans="2:8" x14ac:dyDescent="0.35">
      <c r="B29" s="10">
        <v>12826</v>
      </c>
    </row>
    <row r="30" spans="2:8" x14ac:dyDescent="0.35">
      <c r="B30" s="10">
        <v>12815</v>
      </c>
    </row>
    <row r="31" spans="2:8" x14ac:dyDescent="0.35">
      <c r="B31" s="10">
        <v>12707</v>
      </c>
    </row>
    <row r="32" spans="2:8" x14ac:dyDescent="0.35">
      <c r="B32" s="10">
        <v>12814</v>
      </c>
    </row>
    <row r="33" spans="2:2" x14ac:dyDescent="0.35">
      <c r="B33" s="10">
        <v>12716</v>
      </c>
    </row>
    <row r="34" spans="2:2" x14ac:dyDescent="0.35">
      <c r="B34" s="10">
        <v>12653</v>
      </c>
    </row>
    <row r="35" spans="2:2" x14ac:dyDescent="0.35">
      <c r="B35" s="10">
        <v>12652</v>
      </c>
    </row>
    <row r="36" spans="2:2" x14ac:dyDescent="0.35">
      <c r="B36" s="10">
        <v>12717</v>
      </c>
    </row>
    <row r="37" spans="2:2" x14ac:dyDescent="0.35">
      <c r="B37" s="10" t="s">
        <v>113</v>
      </c>
    </row>
  </sheetData>
  <sortState ref="G17">
    <sortCondition ref="G17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laries_click">
                <anchor moveWithCells="1" sizeWithCells="1">
                  <from>
                    <xdr:col>2</xdr:col>
                    <xdr:colOff>584200</xdr:colOff>
                    <xdr:row>11</xdr:row>
                    <xdr:rowOff>158750</xdr:rowOff>
                  </from>
                  <to>
                    <xdr:col>5</xdr:col>
                    <xdr:colOff>425450</xdr:colOff>
                    <xdr:row>13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ergePDF_Click">
                <anchor moveWithCells="1" sizeWithCells="1">
                  <from>
                    <xdr:col>15</xdr:col>
                    <xdr:colOff>266700</xdr:colOff>
                    <xdr:row>11</xdr:row>
                    <xdr:rowOff>158750</xdr:rowOff>
                  </from>
                  <to>
                    <xdr:col>18</xdr:col>
                    <xdr:colOff>171450</xdr:colOff>
                    <xdr:row>13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getListOfFiles_Click">
                <anchor moveWithCells="1" sizeWithCells="1">
                  <from>
                    <xdr:col>5</xdr:col>
                    <xdr:colOff>609600</xdr:colOff>
                    <xdr:row>11</xdr:row>
                    <xdr:rowOff>158750</xdr:rowOff>
                  </from>
                  <to>
                    <xdr:col>8</xdr:col>
                    <xdr:colOff>330200</xdr:colOff>
                    <xdr:row>13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matchFileWithCheckNumber_Click">
                <anchor moveWithCells="1" sizeWithCells="1">
                  <from>
                    <xdr:col>8</xdr:col>
                    <xdr:colOff>508000</xdr:colOff>
                    <xdr:row>11</xdr:row>
                    <xdr:rowOff>158750</xdr:rowOff>
                  </from>
                  <to>
                    <xdr:col>11</xdr:col>
                    <xdr:colOff>450850</xdr:colOff>
                    <xdr:row>13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opyFilesIntoDestination_Click">
                <anchor moveWithCells="1" sizeWithCells="1">
                  <from>
                    <xdr:col>12</xdr:col>
                    <xdr:colOff>25400</xdr:colOff>
                    <xdr:row>11</xdr:row>
                    <xdr:rowOff>158750</xdr:rowOff>
                  </from>
                  <to>
                    <xdr:col>15</xdr:col>
                    <xdr:colOff>88900</xdr:colOff>
                    <xdr:row>13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ClearResultRange_Click">
                <anchor moveWithCells="1" sizeWithCells="1">
                  <from>
                    <xdr:col>0</xdr:col>
                    <xdr:colOff>571500</xdr:colOff>
                    <xdr:row>11</xdr:row>
                    <xdr:rowOff>158750</xdr:rowOff>
                  </from>
                  <to>
                    <xdr:col>2</xdr:col>
                    <xdr:colOff>406400</xdr:colOff>
                    <xdr:row>13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PL"/>
  <dimension ref="A1:I111"/>
  <sheetViews>
    <sheetView workbookViewId="0">
      <selection activeCell="I16" sqref="I16"/>
    </sheetView>
  </sheetViews>
  <sheetFormatPr defaultColWidth="9.1796875" defaultRowHeight="14.5" x14ac:dyDescent="0.35"/>
  <cols>
    <col min="1" max="1" width="2.453125" style="1" customWidth="1"/>
    <col min="2" max="2" width="9.453125" style="1" customWidth="1"/>
    <col min="3" max="3" width="12" style="1" customWidth="1"/>
    <col min="4" max="4" width="12.81640625" style="1" customWidth="1"/>
    <col min="5" max="5" width="23.1796875" style="1" customWidth="1"/>
    <col min="6" max="6" width="16.26953125" style="1" hidden="1" customWidth="1"/>
    <col min="7" max="7" width="49.54296875" style="1" customWidth="1"/>
    <col min="8" max="8" width="11.1796875" style="1" customWidth="1"/>
    <col min="9" max="9" width="9.1796875" style="10"/>
    <col min="10" max="16384" width="9.1796875" style="1"/>
  </cols>
  <sheetData>
    <row r="1" spans="1:9" ht="18" x14ac:dyDescent="0.4">
      <c r="A1" s="34" t="s">
        <v>0</v>
      </c>
      <c r="B1" s="34"/>
      <c r="C1" s="34"/>
      <c r="D1" s="34"/>
      <c r="E1" s="34"/>
      <c r="F1" s="34"/>
      <c r="G1" s="34"/>
      <c r="H1" s="34"/>
      <c r="I1" s="34"/>
    </row>
    <row r="2" spans="1:9" ht="18" x14ac:dyDescent="0.4">
      <c r="A2" s="34" t="s">
        <v>1</v>
      </c>
      <c r="B2" s="34"/>
      <c r="C2" s="34"/>
      <c r="D2" s="34"/>
      <c r="E2" s="34"/>
      <c r="F2" s="34"/>
      <c r="G2" s="34"/>
      <c r="H2" s="34"/>
      <c r="I2" s="34"/>
    </row>
    <row r="3" spans="1:9" x14ac:dyDescent="0.35">
      <c r="A3" s="35" t="s">
        <v>2</v>
      </c>
      <c r="B3" s="35"/>
      <c r="C3" s="35"/>
      <c r="D3" s="35"/>
      <c r="E3" s="35"/>
      <c r="F3" s="35"/>
      <c r="G3" s="35"/>
      <c r="H3" s="35"/>
      <c r="I3" s="35"/>
    </row>
    <row r="5" spans="1:9" s="5" customFormat="1" ht="24" x14ac:dyDescent="0.35">
      <c r="A5" s="2"/>
      <c r="B5" s="3" t="s">
        <v>3</v>
      </c>
      <c r="C5" s="4" t="s">
        <v>4</v>
      </c>
      <c r="D5" s="4" t="s">
        <v>5</v>
      </c>
      <c r="E5" s="4" t="s">
        <v>6</v>
      </c>
      <c r="F5" s="4" t="s">
        <v>7</v>
      </c>
      <c r="G5" s="4" t="s">
        <v>8</v>
      </c>
      <c r="H5" s="3" t="s">
        <v>9</v>
      </c>
      <c r="I5" s="4" t="s">
        <v>10</v>
      </c>
    </row>
    <row r="6" spans="1:9" s="5" customFormat="1" x14ac:dyDescent="0.35">
      <c r="A6" s="6"/>
      <c r="B6" s="7"/>
      <c r="C6" s="8"/>
      <c r="D6" s="8"/>
      <c r="E6" s="8"/>
      <c r="F6" s="8"/>
      <c r="G6" s="8"/>
      <c r="H6" s="7"/>
      <c r="I6" s="8"/>
    </row>
    <row r="7" spans="1:9" x14ac:dyDescent="0.35">
      <c r="A7" s="9" t="s">
        <v>11</v>
      </c>
    </row>
    <row r="8" spans="1:9" customFormat="1" x14ac:dyDescent="0.35">
      <c r="A8" s="11" t="s">
        <v>12</v>
      </c>
      <c r="I8" s="12"/>
    </row>
    <row r="9" spans="1:9" customFormat="1" x14ac:dyDescent="0.35">
      <c r="B9" s="13">
        <v>43777</v>
      </c>
      <c r="C9" s="14" t="s">
        <v>13</v>
      </c>
      <c r="D9" s="14">
        <v>9002358790</v>
      </c>
      <c r="E9" s="14" t="s">
        <v>14</v>
      </c>
      <c r="F9" s="14" t="s">
        <v>15</v>
      </c>
      <c r="G9" s="14" t="s">
        <v>16</v>
      </c>
      <c r="H9" s="15">
        <v>3006</v>
      </c>
      <c r="I9" s="14">
        <v>12715</v>
      </c>
    </row>
    <row r="10" spans="1:9" customFormat="1" x14ac:dyDescent="0.35">
      <c r="A10" s="11" t="s">
        <v>17</v>
      </c>
      <c r="H10" s="16">
        <f>SUM(H9)</f>
        <v>3006</v>
      </c>
      <c r="I10" s="12"/>
    </row>
    <row r="11" spans="1:9" x14ac:dyDescent="0.35">
      <c r="A11" s="9" t="s">
        <v>18</v>
      </c>
      <c r="I11" s="14"/>
    </row>
    <row r="12" spans="1:9" x14ac:dyDescent="0.35">
      <c r="B12" s="14" t="s">
        <v>19</v>
      </c>
      <c r="C12" s="14" t="s">
        <v>13</v>
      </c>
      <c r="D12" s="14" t="s">
        <v>20</v>
      </c>
      <c r="E12" s="14" t="s">
        <v>21</v>
      </c>
      <c r="F12" s="14" t="s">
        <v>15</v>
      </c>
      <c r="G12" s="14" t="s">
        <v>22</v>
      </c>
      <c r="H12" s="15">
        <v>6000</v>
      </c>
      <c r="I12" s="14">
        <v>12714</v>
      </c>
    </row>
    <row r="13" spans="1:9" x14ac:dyDescent="0.35">
      <c r="B13" s="14"/>
      <c r="C13" s="14"/>
      <c r="D13" s="14"/>
      <c r="E13" s="14"/>
      <c r="F13" s="14"/>
      <c r="G13" s="14"/>
      <c r="H13" s="16">
        <f>SUM(H12)</f>
        <v>6000</v>
      </c>
      <c r="I13" s="14"/>
    </row>
    <row r="14" spans="1:9" x14ac:dyDescent="0.35">
      <c r="A14" s="9" t="s">
        <v>23</v>
      </c>
      <c r="B14" s="14"/>
      <c r="C14" s="14"/>
      <c r="D14" s="14"/>
      <c r="E14" s="14"/>
      <c r="F14" s="14"/>
      <c r="G14" s="14"/>
      <c r="H14" s="15"/>
      <c r="I14" s="14"/>
    </row>
    <row r="15" spans="1:9" x14ac:dyDescent="0.35">
      <c r="B15" s="14" t="s">
        <v>24</v>
      </c>
      <c r="C15" s="14" t="s">
        <v>13</v>
      </c>
      <c r="D15" s="14">
        <v>20191101</v>
      </c>
      <c r="E15" s="14" t="s">
        <v>25</v>
      </c>
      <c r="F15" s="14" t="s">
        <v>15</v>
      </c>
      <c r="G15" s="14" t="s">
        <v>26</v>
      </c>
      <c r="H15" s="15">
        <v>2205</v>
      </c>
      <c r="I15" s="14">
        <v>12662</v>
      </c>
    </row>
    <row r="16" spans="1:9" x14ac:dyDescent="0.35">
      <c r="B16" s="14" t="s">
        <v>27</v>
      </c>
      <c r="C16" s="14" t="s">
        <v>13</v>
      </c>
      <c r="D16" s="14">
        <v>20191102</v>
      </c>
      <c r="E16" s="14" t="s">
        <v>25</v>
      </c>
      <c r="F16" s="14" t="s">
        <v>15</v>
      </c>
      <c r="G16" s="14" t="s">
        <v>28</v>
      </c>
      <c r="H16" s="15">
        <v>2450</v>
      </c>
      <c r="I16" s="14">
        <v>12764</v>
      </c>
    </row>
    <row r="17" spans="1:9" x14ac:dyDescent="0.35">
      <c r="A17" s="9" t="s">
        <v>29</v>
      </c>
      <c r="H17" s="16">
        <f>SUM(H15:H16)</f>
        <v>4655</v>
      </c>
      <c r="I17" s="14"/>
    </row>
    <row r="18" spans="1:9" x14ac:dyDescent="0.35">
      <c r="A18" s="9" t="s">
        <v>30</v>
      </c>
      <c r="H18" s="16">
        <f>+H10+H13+H17</f>
        <v>13661</v>
      </c>
      <c r="I18" s="14"/>
    </row>
    <row r="19" spans="1:9" x14ac:dyDescent="0.35">
      <c r="A19" s="9"/>
      <c r="H19" s="17"/>
      <c r="I19" s="14"/>
    </row>
    <row r="20" spans="1:9" x14ac:dyDescent="0.35">
      <c r="A20" s="9" t="s">
        <v>31</v>
      </c>
      <c r="I20" s="14"/>
    </row>
    <row r="21" spans="1:9" x14ac:dyDescent="0.35">
      <c r="A21" s="9" t="s">
        <v>32</v>
      </c>
      <c r="I21" s="14"/>
    </row>
    <row r="22" spans="1:9" x14ac:dyDescent="0.35">
      <c r="B22" s="14" t="s">
        <v>33</v>
      </c>
      <c r="C22" s="14" t="s">
        <v>13</v>
      </c>
      <c r="D22" s="14" t="s">
        <v>34</v>
      </c>
      <c r="E22" s="14" t="s">
        <v>35</v>
      </c>
      <c r="F22" s="14" t="s">
        <v>15</v>
      </c>
      <c r="G22" s="14" t="s">
        <v>36</v>
      </c>
      <c r="H22" s="15">
        <v>399.79</v>
      </c>
      <c r="I22" s="14">
        <v>12812</v>
      </c>
    </row>
    <row r="23" spans="1:9" x14ac:dyDescent="0.35">
      <c r="B23" s="14" t="s">
        <v>37</v>
      </c>
      <c r="C23" s="14" t="s">
        <v>13</v>
      </c>
      <c r="D23" s="14" t="s">
        <v>38</v>
      </c>
      <c r="E23" s="14" t="s">
        <v>39</v>
      </c>
      <c r="F23" s="14" t="s">
        <v>15</v>
      </c>
      <c r="G23" s="14" t="s">
        <v>40</v>
      </c>
      <c r="H23" s="15">
        <v>1622.66</v>
      </c>
      <c r="I23" s="14">
        <v>12805</v>
      </c>
    </row>
    <row r="24" spans="1:9" x14ac:dyDescent="0.35">
      <c r="A24" s="9" t="s">
        <v>41</v>
      </c>
      <c r="H24" s="16">
        <v>2022.45</v>
      </c>
      <c r="I24" s="14"/>
    </row>
    <row r="25" spans="1:9" x14ac:dyDescent="0.35">
      <c r="A25" s="9"/>
      <c r="H25" s="17"/>
      <c r="I25" s="14"/>
    </row>
    <row r="26" spans="1:9" x14ac:dyDescent="0.35">
      <c r="A26" s="9" t="s">
        <v>42</v>
      </c>
      <c r="I26" s="14"/>
    </row>
    <row r="27" spans="1:9" x14ac:dyDescent="0.35">
      <c r="A27" s="9" t="s">
        <v>43</v>
      </c>
      <c r="I27" s="14"/>
    </row>
    <row r="28" spans="1:9" x14ac:dyDescent="0.35">
      <c r="B28" s="14" t="s">
        <v>19</v>
      </c>
      <c r="C28" s="14" t="s">
        <v>13</v>
      </c>
      <c r="D28" s="14" t="s">
        <v>44</v>
      </c>
      <c r="E28" s="14" t="s">
        <v>45</v>
      </c>
      <c r="F28" s="14" t="s">
        <v>15</v>
      </c>
      <c r="G28" s="14" t="s">
        <v>46</v>
      </c>
      <c r="H28" s="15">
        <v>363.38</v>
      </c>
      <c r="I28" s="14" t="s">
        <v>47</v>
      </c>
    </row>
    <row r="29" spans="1:9" x14ac:dyDescent="0.35">
      <c r="B29" s="14" t="s">
        <v>48</v>
      </c>
      <c r="C29" s="14" t="s">
        <v>13</v>
      </c>
      <c r="D29" s="14" t="s">
        <v>49</v>
      </c>
      <c r="E29" s="14" t="s">
        <v>45</v>
      </c>
      <c r="F29" s="14" t="s">
        <v>15</v>
      </c>
      <c r="G29" s="14" t="s">
        <v>50</v>
      </c>
      <c r="H29" s="15">
        <v>369.95</v>
      </c>
      <c r="I29" s="14">
        <v>12711</v>
      </c>
    </row>
    <row r="30" spans="1:9" x14ac:dyDescent="0.35">
      <c r="A30" s="9" t="s">
        <v>51</v>
      </c>
      <c r="H30" s="16">
        <v>733.33</v>
      </c>
      <c r="I30" s="14"/>
    </row>
    <row r="31" spans="1:9" x14ac:dyDescent="0.35">
      <c r="A31" s="9" t="s">
        <v>52</v>
      </c>
      <c r="H31" s="16">
        <v>733.33</v>
      </c>
      <c r="I31" s="14"/>
    </row>
    <row r="32" spans="1:9" x14ac:dyDescent="0.35">
      <c r="A32" s="9"/>
      <c r="H32" s="17"/>
      <c r="I32" s="14"/>
    </row>
    <row r="33" spans="1:9" x14ac:dyDescent="0.35">
      <c r="A33" s="9" t="s">
        <v>53</v>
      </c>
      <c r="I33" s="14"/>
    </row>
    <row r="34" spans="1:9" x14ac:dyDescent="0.35">
      <c r="B34" s="14" t="s">
        <v>54</v>
      </c>
      <c r="C34" s="14" t="s">
        <v>55</v>
      </c>
      <c r="D34" s="14" t="s">
        <v>56</v>
      </c>
      <c r="E34" s="14" t="s">
        <v>57</v>
      </c>
      <c r="F34" s="14" t="s">
        <v>15</v>
      </c>
      <c r="G34" s="14" t="s">
        <v>58</v>
      </c>
      <c r="H34" s="15">
        <v>312</v>
      </c>
      <c r="I34" s="14" t="s">
        <v>59</v>
      </c>
    </row>
    <row r="35" spans="1:9" x14ac:dyDescent="0.35">
      <c r="A35" s="9" t="s">
        <v>60</v>
      </c>
      <c r="H35" s="16">
        <v>312</v>
      </c>
      <c r="I35" s="14"/>
    </row>
    <row r="36" spans="1:9" x14ac:dyDescent="0.35">
      <c r="A36" s="9" t="s">
        <v>61</v>
      </c>
      <c r="H36" s="16">
        <v>3067.78</v>
      </c>
      <c r="I36" s="14"/>
    </row>
    <row r="37" spans="1:9" x14ac:dyDescent="0.35">
      <c r="A37" s="9"/>
    </row>
    <row r="38" spans="1:9" x14ac:dyDescent="0.35">
      <c r="B38" s="14"/>
      <c r="C38" s="14"/>
      <c r="D38" s="14"/>
      <c r="E38" s="14"/>
      <c r="F38" s="14"/>
      <c r="G38" s="14"/>
      <c r="H38" s="15"/>
      <c r="I38" s="14"/>
    </row>
    <row r="39" spans="1:9" x14ac:dyDescent="0.35">
      <c r="A39" s="9" t="s">
        <v>62</v>
      </c>
      <c r="I39" s="14"/>
    </row>
    <row r="40" spans="1:9" x14ac:dyDescent="0.35">
      <c r="A40" s="9" t="s">
        <v>63</v>
      </c>
      <c r="I40" s="14"/>
    </row>
    <row r="41" spans="1:9" x14ac:dyDescent="0.35">
      <c r="B41" s="14" t="s">
        <v>64</v>
      </c>
      <c r="C41" s="14" t="s">
        <v>13</v>
      </c>
      <c r="D41" s="14" t="s">
        <v>65</v>
      </c>
      <c r="E41" s="14" t="s">
        <v>66</v>
      </c>
      <c r="F41" s="14" t="s">
        <v>15</v>
      </c>
      <c r="G41" s="14" t="s">
        <v>67</v>
      </c>
      <c r="H41" s="15">
        <v>266.24</v>
      </c>
      <c r="I41" s="14">
        <v>12826</v>
      </c>
    </row>
    <row r="42" spans="1:9" x14ac:dyDescent="0.35">
      <c r="B42" s="14" t="s">
        <v>64</v>
      </c>
      <c r="C42" s="14" t="s">
        <v>13</v>
      </c>
      <c r="D42" s="14" t="s">
        <v>68</v>
      </c>
      <c r="E42" s="14" t="s">
        <v>66</v>
      </c>
      <c r="F42" s="14" t="s">
        <v>15</v>
      </c>
      <c r="G42" s="14" t="s">
        <v>69</v>
      </c>
      <c r="H42" s="15">
        <v>164.2</v>
      </c>
      <c r="I42" s="14">
        <v>12826</v>
      </c>
    </row>
    <row r="43" spans="1:9" x14ac:dyDescent="0.35">
      <c r="B43" s="14" t="s">
        <v>64</v>
      </c>
      <c r="C43" s="14" t="s">
        <v>13</v>
      </c>
      <c r="D43" s="14" t="s">
        <v>70</v>
      </c>
      <c r="E43" s="14" t="s">
        <v>66</v>
      </c>
      <c r="F43" s="14" t="s">
        <v>15</v>
      </c>
      <c r="G43" s="14" t="s">
        <v>71</v>
      </c>
      <c r="H43" s="15">
        <v>67.95</v>
      </c>
      <c r="I43" s="14">
        <v>12826</v>
      </c>
    </row>
    <row r="44" spans="1:9" x14ac:dyDescent="0.35">
      <c r="B44" s="14" t="s">
        <v>64</v>
      </c>
      <c r="C44" s="14" t="s">
        <v>13</v>
      </c>
      <c r="D44" s="14" t="s">
        <v>72</v>
      </c>
      <c r="E44" s="14" t="s">
        <v>66</v>
      </c>
      <c r="F44" s="14" t="s">
        <v>15</v>
      </c>
      <c r="G44" s="14" t="s">
        <v>73</v>
      </c>
      <c r="H44" s="15">
        <v>14.38</v>
      </c>
      <c r="I44" s="14">
        <v>12826</v>
      </c>
    </row>
    <row r="45" spans="1:9" x14ac:dyDescent="0.35">
      <c r="A45" s="9" t="s">
        <v>74</v>
      </c>
      <c r="H45" s="16">
        <v>512.77</v>
      </c>
      <c r="I45" s="14"/>
    </row>
    <row r="46" spans="1:9" x14ac:dyDescent="0.35">
      <c r="A46" s="9" t="s">
        <v>75</v>
      </c>
      <c r="I46" s="14"/>
    </row>
    <row r="47" spans="1:9" x14ac:dyDescent="0.35">
      <c r="B47" s="14" t="s">
        <v>27</v>
      </c>
      <c r="C47" s="14" t="s">
        <v>13</v>
      </c>
      <c r="D47" s="14" t="s">
        <v>76</v>
      </c>
      <c r="E47" s="14" t="s">
        <v>66</v>
      </c>
      <c r="F47" s="14" t="s">
        <v>15</v>
      </c>
      <c r="G47" s="14" t="s">
        <v>77</v>
      </c>
      <c r="H47" s="15">
        <v>747.93</v>
      </c>
      <c r="I47" s="14">
        <v>12815</v>
      </c>
    </row>
    <row r="48" spans="1:9" x14ac:dyDescent="0.35">
      <c r="A48" s="9" t="s">
        <v>78</v>
      </c>
      <c r="H48" s="16">
        <v>747.93</v>
      </c>
      <c r="I48" s="14"/>
    </row>
    <row r="49" spans="1:9" x14ac:dyDescent="0.35">
      <c r="A49" s="9" t="s">
        <v>79</v>
      </c>
      <c r="H49" s="16">
        <v>1260.7</v>
      </c>
      <c r="I49" s="14"/>
    </row>
    <row r="50" spans="1:9" x14ac:dyDescent="0.35">
      <c r="A50" s="9" t="s">
        <v>80</v>
      </c>
      <c r="I50" s="14"/>
    </row>
    <row r="51" spans="1:9" x14ac:dyDescent="0.35">
      <c r="A51" s="9" t="s">
        <v>81</v>
      </c>
      <c r="I51" s="14"/>
    </row>
    <row r="52" spans="1:9" x14ac:dyDescent="0.35">
      <c r="B52" s="14" t="s">
        <v>82</v>
      </c>
      <c r="C52" s="14" t="s">
        <v>13</v>
      </c>
      <c r="D52" s="14">
        <v>34300511</v>
      </c>
      <c r="E52" s="14" t="s">
        <v>83</v>
      </c>
      <c r="F52" s="14" t="s">
        <v>15</v>
      </c>
      <c r="G52" s="14" t="s">
        <v>84</v>
      </c>
      <c r="H52" s="15">
        <v>1580.66</v>
      </c>
      <c r="I52" s="14">
        <v>12707</v>
      </c>
    </row>
    <row r="53" spans="1:9" x14ac:dyDescent="0.35">
      <c r="B53" s="14" t="s">
        <v>85</v>
      </c>
      <c r="C53" s="14" t="s">
        <v>13</v>
      </c>
      <c r="D53" s="14">
        <v>34435684</v>
      </c>
      <c r="E53" s="14" t="s">
        <v>83</v>
      </c>
      <c r="F53" s="14" t="s">
        <v>15</v>
      </c>
      <c r="G53" s="14" t="s">
        <v>86</v>
      </c>
      <c r="H53" s="15">
        <v>639.42999999999995</v>
      </c>
      <c r="I53" s="14">
        <v>12814</v>
      </c>
    </row>
    <row r="54" spans="1:9" x14ac:dyDescent="0.35">
      <c r="A54" s="9" t="s">
        <v>87</v>
      </c>
      <c r="H54" s="16">
        <v>2220.09</v>
      </c>
      <c r="I54" s="14"/>
    </row>
    <row r="55" spans="1:9" x14ac:dyDescent="0.35">
      <c r="A55" s="9" t="s">
        <v>88</v>
      </c>
      <c r="I55" s="14"/>
    </row>
    <row r="56" spans="1:9" x14ac:dyDescent="0.35">
      <c r="B56" s="14" t="s">
        <v>19</v>
      </c>
      <c r="C56" s="14" t="s">
        <v>13</v>
      </c>
      <c r="D56" s="14" t="s">
        <v>89</v>
      </c>
      <c r="E56" s="14" t="s">
        <v>90</v>
      </c>
      <c r="F56" s="14" t="s">
        <v>15</v>
      </c>
      <c r="G56" s="14" t="s">
        <v>91</v>
      </c>
      <c r="H56" s="15">
        <v>240</v>
      </c>
      <c r="I56" s="14">
        <v>12716</v>
      </c>
    </row>
    <row r="57" spans="1:9" x14ac:dyDescent="0.35">
      <c r="A57" s="9" t="s">
        <v>92</v>
      </c>
      <c r="H57" s="16">
        <v>240</v>
      </c>
      <c r="I57" s="14"/>
    </row>
    <row r="58" spans="1:9" x14ac:dyDescent="0.35">
      <c r="A58" s="9" t="s">
        <v>93</v>
      </c>
      <c r="I58" s="14"/>
    </row>
    <row r="59" spans="1:9" x14ac:dyDescent="0.35">
      <c r="B59" s="14" t="s">
        <v>19</v>
      </c>
      <c r="C59" s="14" t="s">
        <v>13</v>
      </c>
      <c r="D59" s="14" t="s">
        <v>94</v>
      </c>
      <c r="E59" s="14" t="s">
        <v>95</v>
      </c>
      <c r="F59" s="14" t="s">
        <v>15</v>
      </c>
      <c r="G59" s="14" t="s">
        <v>96</v>
      </c>
      <c r="H59" s="15">
        <v>177.18</v>
      </c>
      <c r="I59" s="14">
        <v>12653</v>
      </c>
    </row>
    <row r="60" spans="1:9" x14ac:dyDescent="0.35">
      <c r="A60" s="9" t="s">
        <v>97</v>
      </c>
      <c r="H60" s="16">
        <v>177.18</v>
      </c>
      <c r="I60" s="14"/>
    </row>
    <row r="61" spans="1:9" x14ac:dyDescent="0.35">
      <c r="A61" s="9" t="s">
        <v>98</v>
      </c>
      <c r="I61" s="14"/>
    </row>
    <row r="62" spans="1:9" x14ac:dyDescent="0.35">
      <c r="A62" s="9" t="s">
        <v>99</v>
      </c>
    </row>
    <row r="63" spans="1:9" x14ac:dyDescent="0.35">
      <c r="B63" s="14" t="s">
        <v>19</v>
      </c>
      <c r="C63" s="14" t="s">
        <v>13</v>
      </c>
      <c r="D63" s="14">
        <v>202604</v>
      </c>
      <c r="E63" s="14" t="s">
        <v>100</v>
      </c>
      <c r="F63" s="14" t="s">
        <v>15</v>
      </c>
      <c r="G63" s="14" t="s">
        <v>101</v>
      </c>
      <c r="H63" s="15">
        <v>409.51</v>
      </c>
      <c r="I63" s="14">
        <v>12652</v>
      </c>
    </row>
    <row r="64" spans="1:9" x14ac:dyDescent="0.35">
      <c r="A64" s="9" t="s">
        <v>102</v>
      </c>
      <c r="H64" s="16">
        <v>409.51</v>
      </c>
      <c r="I64" s="14"/>
    </row>
    <row r="65" spans="1:9" x14ac:dyDescent="0.35">
      <c r="A65" s="9" t="s">
        <v>103</v>
      </c>
      <c r="I65" s="14"/>
    </row>
    <row r="66" spans="1:9" x14ac:dyDescent="0.35">
      <c r="B66" s="14" t="s">
        <v>104</v>
      </c>
      <c r="C66" s="14" t="s">
        <v>13</v>
      </c>
      <c r="D66" s="14">
        <v>114712</v>
      </c>
      <c r="E66" s="14" t="s">
        <v>105</v>
      </c>
      <c r="F66" s="14" t="s">
        <v>15</v>
      </c>
      <c r="G66" s="14" t="s">
        <v>106</v>
      </c>
      <c r="H66" s="15">
        <v>355</v>
      </c>
      <c r="I66" s="14">
        <v>12717</v>
      </c>
    </row>
    <row r="67" spans="1:9" x14ac:dyDescent="0.35">
      <c r="A67" s="9" t="s">
        <v>107</v>
      </c>
      <c r="H67" s="16">
        <v>355</v>
      </c>
      <c r="I67" s="14"/>
    </row>
    <row r="68" spans="1:9" x14ac:dyDescent="0.35">
      <c r="A68" s="9" t="s">
        <v>108</v>
      </c>
      <c r="H68" s="16">
        <v>764.51</v>
      </c>
      <c r="I68" s="14"/>
    </row>
    <row r="69" spans="1:9" x14ac:dyDescent="0.35">
      <c r="A69" s="9" t="s">
        <v>109</v>
      </c>
      <c r="I69" s="14"/>
    </row>
    <row r="70" spans="1:9" x14ac:dyDescent="0.35">
      <c r="B70" s="14" t="s">
        <v>82</v>
      </c>
      <c r="C70" s="14" t="s">
        <v>55</v>
      </c>
      <c r="D70" s="14" t="s">
        <v>110</v>
      </c>
      <c r="E70" s="14" t="s">
        <v>111</v>
      </c>
      <c r="F70" s="14" t="s">
        <v>15</v>
      </c>
      <c r="G70" s="14" t="s">
        <v>112</v>
      </c>
      <c r="H70" s="15">
        <v>1985.57</v>
      </c>
      <c r="I70" s="14" t="s">
        <v>113</v>
      </c>
    </row>
    <row r="71" spans="1:9" x14ac:dyDescent="0.35">
      <c r="A71" s="9" t="s">
        <v>114</v>
      </c>
      <c r="H71" s="16">
        <v>1985.57</v>
      </c>
      <c r="I71" s="14"/>
    </row>
    <row r="72" spans="1:9" x14ac:dyDescent="0.35">
      <c r="A72" s="9"/>
    </row>
    <row r="73" spans="1:9" x14ac:dyDescent="0.35">
      <c r="B73" s="14"/>
      <c r="C73" s="14"/>
      <c r="D73" s="14"/>
      <c r="E73" s="14"/>
      <c r="F73" s="14"/>
      <c r="G73" s="14"/>
      <c r="H73" s="15"/>
      <c r="I73" s="14"/>
    </row>
    <row r="74" spans="1:9" x14ac:dyDescent="0.35">
      <c r="A74" s="9"/>
      <c r="H74" s="17"/>
      <c r="I74" s="14"/>
    </row>
    <row r="75" spans="1:9" x14ac:dyDescent="0.35">
      <c r="A75" s="9"/>
      <c r="H75" s="17"/>
      <c r="I75" s="14"/>
    </row>
    <row r="76" spans="1:9" x14ac:dyDescent="0.35">
      <c r="I76" s="14"/>
    </row>
    <row r="77" spans="1:9" x14ac:dyDescent="0.35">
      <c r="I77" s="14"/>
    </row>
    <row r="78" spans="1:9" x14ac:dyDescent="0.35">
      <c r="A78" s="18"/>
      <c r="I78" s="14"/>
    </row>
    <row r="79" spans="1:9" x14ac:dyDescent="0.35">
      <c r="I79" s="14"/>
    </row>
    <row r="80" spans="1:9" x14ac:dyDescent="0.35">
      <c r="I80" s="14"/>
    </row>
    <row r="81" spans="9:9" x14ac:dyDescent="0.35">
      <c r="I81" s="14"/>
    </row>
    <row r="82" spans="9:9" x14ac:dyDescent="0.35">
      <c r="I82" s="14"/>
    </row>
    <row r="83" spans="9:9" x14ac:dyDescent="0.35">
      <c r="I83" s="14"/>
    </row>
    <row r="84" spans="9:9" x14ac:dyDescent="0.35">
      <c r="I84" s="14"/>
    </row>
    <row r="85" spans="9:9" x14ac:dyDescent="0.35">
      <c r="I85" s="14"/>
    </row>
    <row r="86" spans="9:9" x14ac:dyDescent="0.35">
      <c r="I86" s="14"/>
    </row>
    <row r="87" spans="9:9" x14ac:dyDescent="0.35">
      <c r="I87" s="14"/>
    </row>
    <row r="88" spans="9:9" x14ac:dyDescent="0.35">
      <c r="I88" s="14"/>
    </row>
    <row r="89" spans="9:9" x14ac:dyDescent="0.35">
      <c r="I89" s="14"/>
    </row>
    <row r="90" spans="9:9" x14ac:dyDescent="0.35">
      <c r="I90" s="14"/>
    </row>
    <row r="91" spans="9:9" x14ac:dyDescent="0.35">
      <c r="I91" s="14"/>
    </row>
    <row r="92" spans="9:9" x14ac:dyDescent="0.35">
      <c r="I92" s="14"/>
    </row>
    <row r="93" spans="9:9" x14ac:dyDescent="0.35">
      <c r="I93" s="14"/>
    </row>
    <row r="94" spans="9:9" x14ac:dyDescent="0.35">
      <c r="I94" s="14"/>
    </row>
    <row r="95" spans="9:9" x14ac:dyDescent="0.35">
      <c r="I95" s="14"/>
    </row>
    <row r="96" spans="9:9" x14ac:dyDescent="0.35">
      <c r="I96" s="14"/>
    </row>
    <row r="97" spans="9:9" x14ac:dyDescent="0.35">
      <c r="I97" s="14"/>
    </row>
    <row r="98" spans="9:9" x14ac:dyDescent="0.35">
      <c r="I98" s="14"/>
    </row>
    <row r="99" spans="9:9" x14ac:dyDescent="0.35">
      <c r="I99" s="14"/>
    </row>
    <row r="100" spans="9:9" x14ac:dyDescent="0.35">
      <c r="I100" s="14"/>
    </row>
    <row r="101" spans="9:9" x14ac:dyDescent="0.35">
      <c r="I101" s="14"/>
    </row>
    <row r="102" spans="9:9" x14ac:dyDescent="0.35">
      <c r="I102" s="14"/>
    </row>
    <row r="103" spans="9:9" x14ac:dyDescent="0.35">
      <c r="I103" s="14"/>
    </row>
    <row r="104" spans="9:9" x14ac:dyDescent="0.35">
      <c r="I104" s="14"/>
    </row>
    <row r="105" spans="9:9" x14ac:dyDescent="0.35">
      <c r="I105" s="14"/>
    </row>
    <row r="106" spans="9:9" x14ac:dyDescent="0.35">
      <c r="I106" s="14"/>
    </row>
    <row r="107" spans="9:9" x14ac:dyDescent="0.35">
      <c r="I107" s="14"/>
    </row>
    <row r="108" spans="9:9" x14ac:dyDescent="0.35">
      <c r="I108" s="14"/>
    </row>
    <row r="109" spans="9:9" x14ac:dyDescent="0.35">
      <c r="I109" s="14"/>
    </row>
    <row r="110" spans="9:9" x14ac:dyDescent="0.35">
      <c r="I110" s="14"/>
    </row>
    <row r="111" spans="9:9" x14ac:dyDescent="0.35">
      <c r="I111" s="14"/>
    </row>
  </sheetData>
  <mergeCells count="3">
    <mergeCell ref="A1:I1"/>
    <mergeCell ref="A2:I2"/>
    <mergeCell ref="A3:I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87"/>
  <sheetViews>
    <sheetView workbookViewId="0">
      <selection sqref="A1:XFD1048576"/>
    </sheetView>
  </sheetViews>
  <sheetFormatPr defaultRowHeight="14.5" x14ac:dyDescent="0.35"/>
  <cols>
    <col min="1" max="1" width="57.54296875" customWidth="1"/>
    <col min="2" max="2" width="9.453125" customWidth="1"/>
    <col min="3" max="3" width="12" customWidth="1"/>
    <col min="4" max="4" width="12.90625" customWidth="1"/>
    <col min="5" max="5" width="31.81640625" customWidth="1"/>
    <col min="6" max="6" width="16.36328125" customWidth="1"/>
    <col min="7" max="7" width="14.6328125" customWidth="1"/>
    <col min="8" max="8" width="86.81640625" customWidth="1"/>
    <col min="9" max="9" width="56.7265625" customWidth="1"/>
    <col min="10" max="10" width="11.1796875" customWidth="1"/>
    <col min="11" max="11" width="8.6328125" customWidth="1"/>
  </cols>
  <sheetData>
    <row r="1" spans="1:11" ht="18" x14ac:dyDescent="0.4">
      <c r="A1" s="34" t="s">
        <v>0</v>
      </c>
      <c r="B1" s="36"/>
      <c r="C1" s="36"/>
      <c r="D1" s="36"/>
      <c r="E1" s="36"/>
      <c r="F1" s="36"/>
      <c r="G1" s="36"/>
      <c r="H1" s="36"/>
      <c r="I1" s="36"/>
      <c r="J1" s="36"/>
      <c r="K1" s="36"/>
    </row>
    <row r="2" spans="1:11" ht="18" x14ac:dyDescent="0.4">
      <c r="A2" s="34" t="s">
        <v>966</v>
      </c>
      <c r="B2" s="36"/>
      <c r="C2" s="36"/>
      <c r="D2" s="36"/>
      <c r="E2" s="36"/>
      <c r="F2" s="36"/>
      <c r="G2" s="36"/>
      <c r="H2" s="36"/>
      <c r="I2" s="36"/>
      <c r="J2" s="36"/>
      <c r="K2" s="36"/>
    </row>
    <row r="3" spans="1:11" x14ac:dyDescent="0.35">
      <c r="A3" s="35" t="s">
        <v>967</v>
      </c>
      <c r="B3" s="36"/>
      <c r="C3" s="36"/>
      <c r="D3" s="36"/>
      <c r="E3" s="36"/>
      <c r="F3" s="36"/>
      <c r="G3" s="36"/>
      <c r="H3" s="36"/>
      <c r="I3" s="36"/>
      <c r="J3" s="36"/>
      <c r="K3" s="36"/>
    </row>
    <row r="5" spans="1:11" ht="24" x14ac:dyDescent="0.35">
      <c r="B5" s="3" t="s">
        <v>3</v>
      </c>
      <c r="C5" s="3" t="s">
        <v>4</v>
      </c>
      <c r="D5" s="3" t="s">
        <v>5</v>
      </c>
      <c r="E5" s="3" t="s">
        <v>6</v>
      </c>
      <c r="F5" s="3" t="s">
        <v>968</v>
      </c>
      <c r="G5" s="3" t="s">
        <v>7</v>
      </c>
      <c r="H5" s="3" t="s">
        <v>8</v>
      </c>
      <c r="I5" s="3" t="s">
        <v>969</v>
      </c>
      <c r="J5" s="3" t="s">
        <v>9</v>
      </c>
      <c r="K5" s="3" t="s">
        <v>970</v>
      </c>
    </row>
    <row r="6" spans="1:11" x14ac:dyDescent="0.35">
      <c r="A6" s="29" t="s">
        <v>971</v>
      </c>
    </row>
    <row r="7" spans="1:11" x14ac:dyDescent="0.35">
      <c r="A7" s="29" t="s">
        <v>972</v>
      </c>
    </row>
    <row r="8" spans="1:11" x14ac:dyDescent="0.35">
      <c r="A8" s="29" t="s">
        <v>973</v>
      </c>
    </row>
    <row r="9" spans="1:11" x14ac:dyDescent="0.35">
      <c r="A9" s="29" t="s">
        <v>974</v>
      </c>
    </row>
    <row r="10" spans="1:11" x14ac:dyDescent="0.35">
      <c r="A10" s="29" t="s">
        <v>975</v>
      </c>
    </row>
    <row r="11" spans="1:11" x14ac:dyDescent="0.35">
      <c r="B11" s="30" t="s">
        <v>976</v>
      </c>
      <c r="C11" s="30" t="s">
        <v>977</v>
      </c>
      <c r="D11" s="30">
        <v>187</v>
      </c>
      <c r="E11" s="30"/>
      <c r="F11" s="30"/>
      <c r="G11" s="30" t="s">
        <v>978</v>
      </c>
      <c r="H11" s="30" t="s">
        <v>979</v>
      </c>
      <c r="I11" s="31" t="s">
        <v>980</v>
      </c>
      <c r="J11" s="32">
        <v>51390.42</v>
      </c>
      <c r="K11" s="32">
        <v>51390.42</v>
      </c>
    </row>
    <row r="12" spans="1:11" x14ac:dyDescent="0.35">
      <c r="B12" s="30" t="s">
        <v>981</v>
      </c>
      <c r="C12" s="30" t="s">
        <v>977</v>
      </c>
      <c r="D12" s="30">
        <v>188</v>
      </c>
      <c r="E12" s="30"/>
      <c r="F12" s="30"/>
      <c r="G12" s="30" t="s">
        <v>978</v>
      </c>
      <c r="H12" s="30" t="s">
        <v>979</v>
      </c>
      <c r="I12" s="31" t="s">
        <v>980</v>
      </c>
      <c r="J12" s="32">
        <v>74600.149999999994</v>
      </c>
      <c r="K12" s="32">
        <v>125990.57</v>
      </c>
    </row>
    <row r="13" spans="1:11" x14ac:dyDescent="0.35">
      <c r="B13" s="30" t="s">
        <v>981</v>
      </c>
      <c r="C13" s="30" t="s">
        <v>977</v>
      </c>
      <c r="D13" s="30">
        <v>188</v>
      </c>
      <c r="E13" s="30"/>
      <c r="F13" s="30"/>
      <c r="G13" s="30" t="s">
        <v>978</v>
      </c>
      <c r="H13" s="30" t="s">
        <v>979</v>
      </c>
      <c r="I13" s="31" t="s">
        <v>980</v>
      </c>
      <c r="J13" s="32">
        <v>50</v>
      </c>
      <c r="K13" s="32">
        <v>126040.57</v>
      </c>
    </row>
    <row r="14" spans="1:11" x14ac:dyDescent="0.35">
      <c r="A14" s="29" t="s">
        <v>982</v>
      </c>
      <c r="J14" s="33">
        <v>126040.57</v>
      </c>
    </row>
    <row r="15" spans="1:11" x14ac:dyDescent="0.35">
      <c r="A15" s="29" t="s">
        <v>983</v>
      </c>
      <c r="J15" s="33">
        <v>126040.57</v>
      </c>
    </row>
    <row r="16" spans="1:11" x14ac:dyDescent="0.35">
      <c r="A16" s="29" t="s">
        <v>984</v>
      </c>
      <c r="J16" s="33">
        <v>126040.57</v>
      </c>
    </row>
    <row r="17" spans="1:11" x14ac:dyDescent="0.35">
      <c r="A17" s="29" t="s">
        <v>985</v>
      </c>
      <c r="J17" s="33">
        <v>126040.57</v>
      </c>
    </row>
    <row r="18" spans="1:11" x14ac:dyDescent="0.35">
      <c r="A18" s="29" t="s">
        <v>986</v>
      </c>
    </row>
    <row r="19" spans="1:11" x14ac:dyDescent="0.35">
      <c r="A19" s="29" t="s">
        <v>987</v>
      </c>
    </row>
    <row r="20" spans="1:11" x14ac:dyDescent="0.35">
      <c r="A20" s="29" t="s">
        <v>988</v>
      </c>
    </row>
    <row r="21" spans="1:11" x14ac:dyDescent="0.35">
      <c r="B21" s="30" t="s">
        <v>976</v>
      </c>
      <c r="C21" s="30" t="s">
        <v>977</v>
      </c>
      <c r="D21" s="30">
        <v>187</v>
      </c>
      <c r="E21" s="30"/>
      <c r="F21" s="30"/>
      <c r="G21" s="30" t="s">
        <v>978</v>
      </c>
      <c r="H21" s="30" t="s">
        <v>989</v>
      </c>
      <c r="I21" s="31" t="s">
        <v>980</v>
      </c>
      <c r="J21" s="32">
        <v>47287.5</v>
      </c>
      <c r="K21" s="32">
        <v>47287.5</v>
      </c>
    </row>
    <row r="22" spans="1:11" x14ac:dyDescent="0.35">
      <c r="B22" s="30" t="s">
        <v>981</v>
      </c>
      <c r="C22" s="30" t="s">
        <v>977</v>
      </c>
      <c r="D22" s="30">
        <v>188</v>
      </c>
      <c r="E22" s="30"/>
      <c r="F22" s="30"/>
      <c r="G22" s="30" t="s">
        <v>978</v>
      </c>
      <c r="H22" s="30" t="s">
        <v>990</v>
      </c>
      <c r="I22" s="31" t="s">
        <v>980</v>
      </c>
      <c r="J22" s="32">
        <v>67080.75</v>
      </c>
      <c r="K22" s="32">
        <v>114368.25</v>
      </c>
    </row>
    <row r="23" spans="1:11" x14ac:dyDescent="0.35">
      <c r="A23" s="29" t="s">
        <v>991</v>
      </c>
      <c r="J23" s="33">
        <v>114368.25</v>
      </c>
    </row>
    <row r="24" spans="1:11" x14ac:dyDescent="0.35">
      <c r="A24" s="29" t="s">
        <v>992</v>
      </c>
    </row>
    <row r="25" spans="1:11" ht="21.5" x14ac:dyDescent="0.35">
      <c r="B25" s="30" t="s">
        <v>993</v>
      </c>
      <c r="C25" s="30" t="s">
        <v>994</v>
      </c>
      <c r="D25" s="30"/>
      <c r="E25" s="30" t="s">
        <v>995</v>
      </c>
      <c r="F25" s="30"/>
      <c r="G25" s="30" t="s">
        <v>978</v>
      </c>
      <c r="H25" s="30" t="s">
        <v>996</v>
      </c>
      <c r="I25" s="30" t="s">
        <v>997</v>
      </c>
      <c r="J25" s="32">
        <v>-317.56</v>
      </c>
      <c r="K25" s="32">
        <v>-317.56</v>
      </c>
    </row>
    <row r="26" spans="1:11" x14ac:dyDescent="0.35">
      <c r="B26" s="30" t="s">
        <v>993</v>
      </c>
      <c r="C26" s="30" t="s">
        <v>13</v>
      </c>
      <c r="D26" s="30" t="s">
        <v>998</v>
      </c>
      <c r="E26" s="30" t="s">
        <v>999</v>
      </c>
      <c r="F26" s="30" t="s">
        <v>1000</v>
      </c>
      <c r="G26" s="30" t="s">
        <v>978</v>
      </c>
      <c r="H26" s="30" t="s">
        <v>1001</v>
      </c>
      <c r="I26" s="30" t="s">
        <v>1002</v>
      </c>
      <c r="J26" s="32">
        <v>317.56</v>
      </c>
      <c r="K26" s="32">
        <v>0</v>
      </c>
    </row>
    <row r="27" spans="1:11" x14ac:dyDescent="0.35">
      <c r="B27" s="30" t="s">
        <v>976</v>
      </c>
      <c r="C27" s="30" t="s">
        <v>10</v>
      </c>
      <c r="D27" s="30">
        <v>12899</v>
      </c>
      <c r="E27" s="30" t="s">
        <v>1003</v>
      </c>
      <c r="F27" s="30"/>
      <c r="G27" s="30" t="s">
        <v>978</v>
      </c>
      <c r="H27" s="30" t="s">
        <v>1004</v>
      </c>
      <c r="I27" s="30" t="s">
        <v>997</v>
      </c>
      <c r="J27" s="32">
        <v>241.36</v>
      </c>
      <c r="K27" s="32">
        <v>241.36</v>
      </c>
    </row>
    <row r="28" spans="1:11" x14ac:dyDescent="0.35">
      <c r="B28" s="30" t="s">
        <v>1005</v>
      </c>
      <c r="C28" s="30" t="s">
        <v>10</v>
      </c>
      <c r="D28" s="30">
        <v>12940</v>
      </c>
      <c r="E28" s="30" t="s">
        <v>1006</v>
      </c>
      <c r="F28" s="30"/>
      <c r="G28" s="30" t="s">
        <v>978</v>
      </c>
      <c r="H28" s="30" t="s">
        <v>1007</v>
      </c>
      <c r="I28" s="30" t="s">
        <v>997</v>
      </c>
      <c r="J28" s="32">
        <v>183.69</v>
      </c>
      <c r="K28" s="32">
        <v>425.05</v>
      </c>
    </row>
    <row r="29" spans="1:11" x14ac:dyDescent="0.35">
      <c r="B29" s="30" t="s">
        <v>1005</v>
      </c>
      <c r="C29" s="30" t="s">
        <v>13</v>
      </c>
      <c r="D29" s="30"/>
      <c r="E29" s="30" t="s">
        <v>1008</v>
      </c>
      <c r="F29" s="30"/>
      <c r="G29" s="30" t="s">
        <v>978</v>
      </c>
      <c r="H29" s="30" t="s">
        <v>1009</v>
      </c>
      <c r="I29" s="30" t="s">
        <v>1002</v>
      </c>
      <c r="J29" s="32">
        <v>313.17</v>
      </c>
      <c r="K29" s="32">
        <v>738.22</v>
      </c>
    </row>
    <row r="30" spans="1:11" x14ac:dyDescent="0.35">
      <c r="B30" s="30" t="s">
        <v>1010</v>
      </c>
      <c r="C30" s="30" t="s">
        <v>994</v>
      </c>
      <c r="D30" s="30"/>
      <c r="E30" s="30" t="s">
        <v>995</v>
      </c>
      <c r="F30" s="30"/>
      <c r="G30" s="30" t="s">
        <v>978</v>
      </c>
      <c r="H30" s="30" t="s">
        <v>1011</v>
      </c>
      <c r="I30" s="30" t="s">
        <v>997</v>
      </c>
      <c r="J30" s="32">
        <v>-738.22</v>
      </c>
      <c r="K30" s="32">
        <v>0</v>
      </c>
    </row>
    <row r="31" spans="1:11" x14ac:dyDescent="0.35">
      <c r="A31" s="29" t="s">
        <v>1012</v>
      </c>
      <c r="J31" s="33">
        <v>0</v>
      </c>
    </row>
    <row r="32" spans="1:11" x14ac:dyDescent="0.35">
      <c r="A32" s="29" t="s">
        <v>1013</v>
      </c>
      <c r="J32" s="33">
        <v>114368.25</v>
      </c>
    </row>
    <row r="33" spans="1:11" x14ac:dyDescent="0.35">
      <c r="A33" s="29" t="s">
        <v>1014</v>
      </c>
    </row>
    <row r="34" spans="1:11" x14ac:dyDescent="0.35">
      <c r="B34" s="30" t="s">
        <v>976</v>
      </c>
      <c r="C34" s="30" t="s">
        <v>977</v>
      </c>
      <c r="D34" s="30">
        <v>187</v>
      </c>
      <c r="E34" s="30"/>
      <c r="F34" s="30"/>
      <c r="G34" s="30" t="s">
        <v>978</v>
      </c>
      <c r="H34" s="30" t="s">
        <v>1015</v>
      </c>
      <c r="I34" s="31" t="s">
        <v>980</v>
      </c>
      <c r="J34" s="32">
        <v>3637.8</v>
      </c>
      <c r="K34" s="32">
        <v>3637.8</v>
      </c>
    </row>
    <row r="35" spans="1:11" x14ac:dyDescent="0.35">
      <c r="B35" s="30" t="s">
        <v>981</v>
      </c>
      <c r="C35" s="30" t="s">
        <v>977</v>
      </c>
      <c r="D35" s="30">
        <v>188</v>
      </c>
      <c r="E35" s="30"/>
      <c r="F35" s="30"/>
      <c r="G35" s="30" t="s">
        <v>978</v>
      </c>
      <c r="H35" s="30" t="s">
        <v>1015</v>
      </c>
      <c r="I35" s="31" t="s">
        <v>980</v>
      </c>
      <c r="J35" s="32">
        <v>5131.71</v>
      </c>
      <c r="K35" s="32">
        <v>8769.51</v>
      </c>
    </row>
    <row r="36" spans="1:11" x14ac:dyDescent="0.35">
      <c r="A36" s="29" t="s">
        <v>1016</v>
      </c>
      <c r="J36" s="33">
        <v>8769.51</v>
      </c>
    </row>
    <row r="37" spans="1:11" x14ac:dyDescent="0.35">
      <c r="A37" s="29" t="s">
        <v>1017</v>
      </c>
    </row>
    <row r="38" spans="1:11" x14ac:dyDescent="0.35">
      <c r="B38" s="30" t="s">
        <v>1018</v>
      </c>
      <c r="C38" s="30" t="s">
        <v>977</v>
      </c>
      <c r="D38" s="30">
        <v>204</v>
      </c>
      <c r="E38" s="30"/>
      <c r="F38" s="30"/>
      <c r="G38" s="30" t="s">
        <v>978</v>
      </c>
      <c r="H38" s="30" t="s">
        <v>1019</v>
      </c>
      <c r="I38" s="31" t="s">
        <v>980</v>
      </c>
      <c r="J38" s="32">
        <v>3064</v>
      </c>
      <c r="K38" s="32">
        <v>3064</v>
      </c>
    </row>
    <row r="39" spans="1:11" x14ac:dyDescent="0.35">
      <c r="A39" s="29" t="s">
        <v>1020</v>
      </c>
      <c r="J39" s="33">
        <v>3064</v>
      </c>
    </row>
    <row r="40" spans="1:11" x14ac:dyDescent="0.35">
      <c r="A40" s="29" t="s">
        <v>1021</v>
      </c>
    </row>
    <row r="41" spans="1:11" x14ac:dyDescent="0.35">
      <c r="B41" s="30" t="s">
        <v>976</v>
      </c>
      <c r="C41" s="30" t="s">
        <v>977</v>
      </c>
      <c r="D41" s="30">
        <v>187</v>
      </c>
      <c r="E41" s="30"/>
      <c r="F41" s="30"/>
      <c r="G41" s="30" t="s">
        <v>978</v>
      </c>
      <c r="H41" s="30" t="s">
        <v>1022</v>
      </c>
      <c r="I41" s="31" t="s">
        <v>980</v>
      </c>
      <c r="J41" s="32">
        <v>465.12</v>
      </c>
      <c r="K41" s="32">
        <v>465.12</v>
      </c>
    </row>
    <row r="42" spans="1:11" x14ac:dyDescent="0.35">
      <c r="B42" s="30" t="s">
        <v>981</v>
      </c>
      <c r="C42" s="30" t="s">
        <v>977</v>
      </c>
      <c r="D42" s="30">
        <v>188</v>
      </c>
      <c r="E42" s="30"/>
      <c r="F42" s="30"/>
      <c r="G42" s="30" t="s">
        <v>978</v>
      </c>
      <c r="H42" s="30" t="s">
        <v>1022</v>
      </c>
      <c r="I42" s="31" t="s">
        <v>980</v>
      </c>
      <c r="J42" s="32">
        <v>2437.69</v>
      </c>
      <c r="K42" s="32">
        <v>2902.81</v>
      </c>
    </row>
    <row r="43" spans="1:11" x14ac:dyDescent="0.35">
      <c r="A43" s="29" t="s">
        <v>1023</v>
      </c>
      <c r="J43" s="33">
        <v>2902.81</v>
      </c>
    </row>
    <row r="44" spans="1:11" x14ac:dyDescent="0.35">
      <c r="A44" s="29" t="s">
        <v>1024</v>
      </c>
      <c r="J44" s="33">
        <v>129104.57</v>
      </c>
    </row>
    <row r="45" spans="1:11" x14ac:dyDescent="0.35">
      <c r="A45" s="29" t="s">
        <v>1025</v>
      </c>
    </row>
    <row r="46" spans="1:11" x14ac:dyDescent="0.35">
      <c r="A46" s="29" t="s">
        <v>1026</v>
      </c>
    </row>
    <row r="47" spans="1:11" x14ac:dyDescent="0.35">
      <c r="A47" s="29" t="s">
        <v>1027</v>
      </c>
    </row>
    <row r="48" spans="1:11" x14ac:dyDescent="0.35">
      <c r="B48" s="30" t="s">
        <v>1018</v>
      </c>
      <c r="C48" s="30" t="s">
        <v>977</v>
      </c>
      <c r="D48" s="30">
        <v>212</v>
      </c>
      <c r="E48" s="30"/>
      <c r="F48" s="30"/>
      <c r="G48" s="30" t="s">
        <v>978</v>
      </c>
      <c r="H48" s="30"/>
      <c r="I48" s="31" t="s">
        <v>980</v>
      </c>
      <c r="J48" s="32">
        <v>17825</v>
      </c>
      <c r="K48" s="32">
        <v>17825</v>
      </c>
    </row>
    <row r="49" spans="1:11" x14ac:dyDescent="0.35">
      <c r="A49" s="29" t="s">
        <v>1028</v>
      </c>
      <c r="J49" s="33">
        <v>17825</v>
      </c>
    </row>
    <row r="50" spans="1:11" x14ac:dyDescent="0.35">
      <c r="A50" s="29" t="s">
        <v>1029</v>
      </c>
      <c r="J50" s="33">
        <v>17825</v>
      </c>
    </row>
    <row r="51" spans="1:11" x14ac:dyDescent="0.35">
      <c r="A51" s="29" t="s">
        <v>1030</v>
      </c>
    </row>
    <row r="52" spans="1:11" x14ac:dyDescent="0.35">
      <c r="A52" s="29" t="s">
        <v>1031</v>
      </c>
    </row>
    <row r="53" spans="1:11" x14ac:dyDescent="0.35">
      <c r="B53" s="30" t="s">
        <v>1032</v>
      </c>
      <c r="C53" s="30" t="s">
        <v>13</v>
      </c>
      <c r="D53" s="30">
        <v>293105697</v>
      </c>
      <c r="E53" s="30" t="s">
        <v>1033</v>
      </c>
      <c r="F53" s="30"/>
      <c r="G53" s="30" t="s">
        <v>978</v>
      </c>
      <c r="H53" s="30" t="s">
        <v>1034</v>
      </c>
      <c r="I53" s="30" t="s">
        <v>1002</v>
      </c>
      <c r="J53" s="32">
        <v>3581.26</v>
      </c>
      <c r="K53" s="32">
        <v>3581.26</v>
      </c>
    </row>
    <row r="54" spans="1:11" x14ac:dyDescent="0.35">
      <c r="A54" s="29" t="s">
        <v>1035</v>
      </c>
      <c r="J54" s="33">
        <v>3581.26</v>
      </c>
    </row>
    <row r="55" spans="1:11" x14ac:dyDescent="0.35">
      <c r="A55" s="29" t="s">
        <v>1036</v>
      </c>
    </row>
    <row r="56" spans="1:11" x14ac:dyDescent="0.35">
      <c r="B56" s="30" t="s">
        <v>1032</v>
      </c>
      <c r="C56" s="30" t="s">
        <v>13</v>
      </c>
      <c r="D56" s="30" t="s">
        <v>1037</v>
      </c>
      <c r="E56" s="30" t="s">
        <v>1038</v>
      </c>
      <c r="F56" s="30"/>
      <c r="G56" s="30" t="s">
        <v>978</v>
      </c>
      <c r="H56" s="30" t="s">
        <v>1039</v>
      </c>
      <c r="I56" s="30" t="s">
        <v>1002</v>
      </c>
      <c r="J56" s="32">
        <v>235.2</v>
      </c>
      <c r="K56" s="32">
        <v>235.2</v>
      </c>
    </row>
    <row r="57" spans="1:11" x14ac:dyDescent="0.35">
      <c r="A57" s="29" t="s">
        <v>1040</v>
      </c>
      <c r="J57" s="33">
        <v>235.2</v>
      </c>
    </row>
    <row r="58" spans="1:11" x14ac:dyDescent="0.35">
      <c r="A58" s="29" t="s">
        <v>1041</v>
      </c>
    </row>
    <row r="59" spans="1:11" x14ac:dyDescent="0.35">
      <c r="B59" s="30" t="s">
        <v>1018</v>
      </c>
      <c r="C59" s="30" t="s">
        <v>977</v>
      </c>
      <c r="D59" s="30">
        <v>213</v>
      </c>
      <c r="E59" s="30"/>
      <c r="F59" s="30"/>
      <c r="G59" s="30" t="s">
        <v>978</v>
      </c>
      <c r="H59" s="30" t="s">
        <v>1042</v>
      </c>
      <c r="I59" s="31" t="s">
        <v>980</v>
      </c>
      <c r="J59" s="32">
        <v>-661.17</v>
      </c>
      <c r="K59" s="32">
        <v>-661.17</v>
      </c>
    </row>
    <row r="60" spans="1:11" x14ac:dyDescent="0.35">
      <c r="A60" s="29" t="s">
        <v>1043</v>
      </c>
      <c r="J60" s="33">
        <v>-661.17</v>
      </c>
    </row>
    <row r="61" spans="1:11" x14ac:dyDescent="0.35">
      <c r="A61" s="29" t="s">
        <v>1044</v>
      </c>
    </row>
    <row r="62" spans="1:11" x14ac:dyDescent="0.35">
      <c r="B62" s="30" t="s">
        <v>1018</v>
      </c>
      <c r="C62" s="30" t="s">
        <v>977</v>
      </c>
      <c r="D62" s="30">
        <v>214</v>
      </c>
      <c r="E62" s="30"/>
      <c r="F62" s="30"/>
      <c r="G62" s="30" t="s">
        <v>978</v>
      </c>
      <c r="H62" s="30" t="s">
        <v>1045</v>
      </c>
      <c r="I62" s="31" t="s">
        <v>980</v>
      </c>
      <c r="J62" s="32">
        <v>-43.56</v>
      </c>
      <c r="K62" s="32">
        <v>-43.56</v>
      </c>
    </row>
    <row r="63" spans="1:11" x14ac:dyDescent="0.35">
      <c r="A63" s="29" t="s">
        <v>1046</v>
      </c>
      <c r="J63" s="33">
        <v>-43.56</v>
      </c>
    </row>
    <row r="64" spans="1:11" x14ac:dyDescent="0.35">
      <c r="A64" s="29" t="s">
        <v>1047</v>
      </c>
      <c r="J64" s="33">
        <v>3111.73</v>
      </c>
    </row>
    <row r="65" spans="1:11" x14ac:dyDescent="0.35">
      <c r="A65" s="29" t="s">
        <v>1048</v>
      </c>
    </row>
    <row r="66" spans="1:11" x14ac:dyDescent="0.35">
      <c r="A66" s="29" t="s">
        <v>1049</v>
      </c>
    </row>
    <row r="67" spans="1:11" x14ac:dyDescent="0.35">
      <c r="A67" s="29" t="s">
        <v>1050</v>
      </c>
    </row>
    <row r="68" spans="1:11" x14ac:dyDescent="0.35">
      <c r="B68" s="30" t="s">
        <v>1018</v>
      </c>
      <c r="C68" s="30" t="s">
        <v>977</v>
      </c>
      <c r="D68" s="30">
        <v>204</v>
      </c>
      <c r="E68" s="30"/>
      <c r="F68" s="30"/>
      <c r="G68" s="30" t="s">
        <v>978</v>
      </c>
      <c r="H68" s="30" t="s">
        <v>1019</v>
      </c>
      <c r="I68" s="31" t="s">
        <v>980</v>
      </c>
      <c r="J68" s="32">
        <v>120</v>
      </c>
      <c r="K68" s="32">
        <v>120</v>
      </c>
    </row>
    <row r="69" spans="1:11" x14ac:dyDescent="0.35">
      <c r="A69" s="29" t="s">
        <v>1051</v>
      </c>
      <c r="J69" s="33">
        <v>120</v>
      </c>
    </row>
    <row r="70" spans="1:11" x14ac:dyDescent="0.35">
      <c r="A70" s="29" t="s">
        <v>1052</v>
      </c>
      <c r="J70" s="33">
        <v>120</v>
      </c>
    </row>
    <row r="71" spans="1:11" x14ac:dyDescent="0.35">
      <c r="A71" s="29" t="s">
        <v>1053</v>
      </c>
    </row>
    <row r="72" spans="1:11" x14ac:dyDescent="0.35">
      <c r="B72" s="30" t="s">
        <v>1010</v>
      </c>
      <c r="C72" s="30" t="s">
        <v>977</v>
      </c>
      <c r="D72" s="30">
        <v>199</v>
      </c>
      <c r="E72" s="30"/>
      <c r="F72" s="30"/>
      <c r="G72" s="30" t="s">
        <v>978</v>
      </c>
      <c r="H72" s="30" t="s">
        <v>1054</v>
      </c>
      <c r="I72" s="31" t="s">
        <v>980</v>
      </c>
      <c r="J72" s="32">
        <v>270</v>
      </c>
      <c r="K72" s="32">
        <v>270</v>
      </c>
    </row>
    <row r="73" spans="1:11" x14ac:dyDescent="0.35">
      <c r="A73" s="29" t="s">
        <v>1055</v>
      </c>
      <c r="J73" s="33">
        <v>270</v>
      </c>
    </row>
    <row r="74" spans="1:11" x14ac:dyDescent="0.35">
      <c r="A74" s="29" t="s">
        <v>1056</v>
      </c>
    </row>
    <row r="75" spans="1:11" x14ac:dyDescent="0.35">
      <c r="B75" s="30" t="s">
        <v>1010</v>
      </c>
      <c r="C75" s="30" t="s">
        <v>977</v>
      </c>
      <c r="D75" s="30">
        <v>201</v>
      </c>
      <c r="E75" s="30"/>
      <c r="F75" s="30"/>
      <c r="G75" s="30" t="s">
        <v>978</v>
      </c>
      <c r="H75" s="30" t="s">
        <v>1057</v>
      </c>
      <c r="I75" s="31" t="s">
        <v>980</v>
      </c>
      <c r="J75" s="32">
        <v>63</v>
      </c>
      <c r="K75" s="32">
        <v>63</v>
      </c>
    </row>
    <row r="76" spans="1:11" x14ac:dyDescent="0.35">
      <c r="A76" s="29" t="s">
        <v>1058</v>
      </c>
      <c r="J76" s="33">
        <v>63</v>
      </c>
    </row>
    <row r="77" spans="1:11" x14ac:dyDescent="0.35">
      <c r="A77" s="29" t="s">
        <v>1059</v>
      </c>
    </row>
    <row r="78" spans="1:11" x14ac:dyDescent="0.35">
      <c r="B78" s="30" t="s">
        <v>1018</v>
      </c>
      <c r="C78" s="30" t="s">
        <v>977</v>
      </c>
      <c r="D78" s="30">
        <v>203</v>
      </c>
      <c r="E78" s="30"/>
      <c r="F78" s="30"/>
      <c r="G78" s="30" t="s">
        <v>978</v>
      </c>
      <c r="H78" s="30" t="s">
        <v>1060</v>
      </c>
      <c r="I78" s="31" t="s">
        <v>980</v>
      </c>
      <c r="J78" s="32">
        <v>125</v>
      </c>
      <c r="K78" s="32">
        <v>125</v>
      </c>
    </row>
    <row r="79" spans="1:11" x14ac:dyDescent="0.35">
      <c r="A79" s="29" t="s">
        <v>1061</v>
      </c>
      <c r="J79" s="33">
        <v>125</v>
      </c>
    </row>
    <row r="80" spans="1:11" x14ac:dyDescent="0.35">
      <c r="A80" s="29" t="s">
        <v>1062</v>
      </c>
    </row>
    <row r="81" spans="1:11" x14ac:dyDescent="0.35">
      <c r="B81" s="30" t="s">
        <v>1010</v>
      </c>
      <c r="C81" s="30" t="s">
        <v>977</v>
      </c>
      <c r="D81" s="30">
        <v>198</v>
      </c>
      <c r="E81" s="30"/>
      <c r="F81" s="30"/>
      <c r="G81" s="30" t="s">
        <v>978</v>
      </c>
      <c r="H81" s="30" t="s">
        <v>1063</v>
      </c>
      <c r="I81" s="31" t="s">
        <v>980</v>
      </c>
      <c r="J81" s="32">
        <v>25</v>
      </c>
      <c r="K81" s="32">
        <v>25</v>
      </c>
    </row>
    <row r="82" spans="1:11" x14ac:dyDescent="0.35">
      <c r="A82" s="29" t="s">
        <v>1064</v>
      </c>
      <c r="J82" s="33">
        <v>25</v>
      </c>
    </row>
    <row r="83" spans="1:11" x14ac:dyDescent="0.35">
      <c r="A83" s="29" t="s">
        <v>1065</v>
      </c>
      <c r="J83" s="33">
        <v>603</v>
      </c>
    </row>
    <row r="84" spans="1:11" x14ac:dyDescent="0.35">
      <c r="A84" s="29" t="s">
        <v>1066</v>
      </c>
    </row>
    <row r="85" spans="1:11" x14ac:dyDescent="0.35">
      <c r="A85" s="29" t="s">
        <v>1067</v>
      </c>
    </row>
    <row r="86" spans="1:11" x14ac:dyDescent="0.35">
      <c r="B86" s="30" t="s">
        <v>1010</v>
      </c>
      <c r="C86" s="30" t="s">
        <v>977</v>
      </c>
      <c r="D86" s="30">
        <v>202</v>
      </c>
      <c r="E86" s="30"/>
      <c r="F86" s="30"/>
      <c r="G86" s="30" t="s">
        <v>978</v>
      </c>
      <c r="H86" s="30" t="s">
        <v>1068</v>
      </c>
      <c r="I86" s="31" t="s">
        <v>980</v>
      </c>
      <c r="J86" s="32">
        <v>63</v>
      </c>
      <c r="K86" s="32">
        <v>63</v>
      </c>
    </row>
    <row r="87" spans="1:11" x14ac:dyDescent="0.35">
      <c r="A87" s="29" t="s">
        <v>1069</v>
      </c>
      <c r="J87" s="33">
        <v>63</v>
      </c>
    </row>
    <row r="88" spans="1:11" x14ac:dyDescent="0.35">
      <c r="A88" s="29" t="s">
        <v>1070</v>
      </c>
      <c r="J88" s="33">
        <v>63</v>
      </c>
    </row>
    <row r="89" spans="1:11" x14ac:dyDescent="0.35">
      <c r="A89" s="29" t="s">
        <v>1071</v>
      </c>
      <c r="J89" s="33">
        <v>21602.73</v>
      </c>
    </row>
    <row r="90" spans="1:11" x14ac:dyDescent="0.35">
      <c r="A90" s="29" t="s">
        <v>1072</v>
      </c>
    </row>
    <row r="91" spans="1:11" x14ac:dyDescent="0.35">
      <c r="A91" s="29" t="s">
        <v>1073</v>
      </c>
    </row>
    <row r="92" spans="1:11" x14ac:dyDescent="0.35">
      <c r="A92" s="29" t="s">
        <v>1074</v>
      </c>
    </row>
    <row r="93" spans="1:11" x14ac:dyDescent="0.35">
      <c r="B93" s="30" t="s">
        <v>1018</v>
      </c>
      <c r="C93" s="30" t="s">
        <v>977</v>
      </c>
      <c r="D93" s="30">
        <v>194</v>
      </c>
      <c r="E93" s="30"/>
      <c r="F93" s="30"/>
      <c r="G93" s="30" t="s">
        <v>978</v>
      </c>
      <c r="H93" s="30" t="s">
        <v>1075</v>
      </c>
      <c r="I93" s="31" t="s">
        <v>980</v>
      </c>
      <c r="J93" s="32">
        <v>167</v>
      </c>
      <c r="K93" s="32">
        <v>167</v>
      </c>
    </row>
    <row r="94" spans="1:11" x14ac:dyDescent="0.35">
      <c r="A94" s="29" t="s">
        <v>1076</v>
      </c>
      <c r="J94" s="33">
        <v>167</v>
      </c>
    </row>
    <row r="95" spans="1:11" x14ac:dyDescent="0.35">
      <c r="A95" s="29" t="s">
        <v>1077</v>
      </c>
      <c r="J95" s="33">
        <v>167</v>
      </c>
    </row>
    <row r="96" spans="1:11" x14ac:dyDescent="0.35">
      <c r="A96" s="29" t="s">
        <v>1078</v>
      </c>
    </row>
    <row r="97" spans="1:11" x14ac:dyDescent="0.35">
      <c r="A97" s="29" t="s">
        <v>1079</v>
      </c>
    </row>
    <row r="98" spans="1:11" x14ac:dyDescent="0.35">
      <c r="B98" s="30" t="s">
        <v>1018</v>
      </c>
      <c r="C98" s="30" t="s">
        <v>977</v>
      </c>
      <c r="D98" s="30">
        <v>205</v>
      </c>
      <c r="E98" s="30"/>
      <c r="F98" s="30"/>
      <c r="G98" s="30" t="s">
        <v>978</v>
      </c>
      <c r="H98" s="30" t="s">
        <v>1080</v>
      </c>
      <c r="I98" s="31" t="s">
        <v>980</v>
      </c>
      <c r="J98" s="32">
        <v>272</v>
      </c>
      <c r="K98" s="32">
        <v>272</v>
      </c>
    </row>
    <row r="99" spans="1:11" x14ac:dyDescent="0.35">
      <c r="A99" s="29" t="s">
        <v>1081</v>
      </c>
      <c r="J99" s="33">
        <v>272</v>
      </c>
    </row>
    <row r="100" spans="1:11" x14ac:dyDescent="0.35">
      <c r="A100" s="29" t="s">
        <v>1082</v>
      </c>
      <c r="J100" s="33">
        <v>272</v>
      </c>
    </row>
    <row r="101" spans="1:11" x14ac:dyDescent="0.35">
      <c r="A101" s="29" t="s">
        <v>1083</v>
      </c>
    </row>
    <row r="102" spans="1:11" x14ac:dyDescent="0.35">
      <c r="B102" s="30" t="s">
        <v>1032</v>
      </c>
      <c r="C102" s="30" t="s">
        <v>13</v>
      </c>
      <c r="D102" s="30" t="s">
        <v>1084</v>
      </c>
      <c r="E102" s="30" t="s">
        <v>1085</v>
      </c>
      <c r="F102" s="30" t="s">
        <v>1086</v>
      </c>
      <c r="G102" s="30" t="s">
        <v>978</v>
      </c>
      <c r="H102" s="30" t="s">
        <v>1087</v>
      </c>
      <c r="I102" s="30" t="s">
        <v>1002</v>
      </c>
      <c r="J102" s="32">
        <v>1710</v>
      </c>
      <c r="K102" s="32">
        <v>1710</v>
      </c>
    </row>
    <row r="103" spans="1:11" x14ac:dyDescent="0.35">
      <c r="B103" s="30" t="s">
        <v>1088</v>
      </c>
      <c r="C103" s="30" t="s">
        <v>13</v>
      </c>
      <c r="D103" s="30" t="s">
        <v>1089</v>
      </c>
      <c r="E103" s="30" t="s">
        <v>1085</v>
      </c>
      <c r="F103" s="30" t="s">
        <v>1086</v>
      </c>
      <c r="G103" s="30" t="s">
        <v>978</v>
      </c>
      <c r="H103" s="30" t="s">
        <v>1090</v>
      </c>
      <c r="I103" s="30" t="s">
        <v>1002</v>
      </c>
      <c r="J103" s="32">
        <v>375</v>
      </c>
      <c r="K103" s="32">
        <v>2085</v>
      </c>
    </row>
    <row r="104" spans="1:11" x14ac:dyDescent="0.35">
      <c r="B104" s="30" t="s">
        <v>1010</v>
      </c>
      <c r="C104" s="30" t="s">
        <v>13</v>
      </c>
      <c r="D104" s="30" t="s">
        <v>1091</v>
      </c>
      <c r="E104" s="30" t="s">
        <v>1085</v>
      </c>
      <c r="F104" s="30" t="s">
        <v>1086</v>
      </c>
      <c r="G104" s="30" t="s">
        <v>978</v>
      </c>
      <c r="H104" s="30" t="s">
        <v>1092</v>
      </c>
      <c r="I104" s="30" t="s">
        <v>1002</v>
      </c>
      <c r="J104" s="32">
        <v>900</v>
      </c>
      <c r="K104" s="32">
        <v>2985</v>
      </c>
    </row>
    <row r="105" spans="1:11" x14ac:dyDescent="0.35">
      <c r="A105" s="29" t="s">
        <v>1093</v>
      </c>
      <c r="J105" s="33">
        <v>2985</v>
      </c>
    </row>
    <row r="106" spans="1:11" x14ac:dyDescent="0.35">
      <c r="A106" s="29" t="s">
        <v>1094</v>
      </c>
      <c r="J106" s="33">
        <v>3424</v>
      </c>
    </row>
    <row r="107" spans="1:11" x14ac:dyDescent="0.35">
      <c r="A107" s="29" t="s">
        <v>1095</v>
      </c>
    </row>
    <row r="108" spans="1:11" x14ac:dyDescent="0.35">
      <c r="A108" s="29" t="s">
        <v>1096</v>
      </c>
    </row>
    <row r="109" spans="1:11" x14ac:dyDescent="0.35">
      <c r="B109" s="30" t="s">
        <v>1010</v>
      </c>
      <c r="C109" s="30" t="s">
        <v>13</v>
      </c>
      <c r="D109" s="30" t="s">
        <v>1097</v>
      </c>
      <c r="E109" s="30" t="s">
        <v>1098</v>
      </c>
      <c r="F109" s="30" t="s">
        <v>1000</v>
      </c>
      <c r="G109" s="30" t="s">
        <v>978</v>
      </c>
      <c r="H109" s="30" t="s">
        <v>1099</v>
      </c>
      <c r="I109" s="30" t="s">
        <v>1002</v>
      </c>
      <c r="J109" s="32">
        <v>465.27</v>
      </c>
      <c r="K109" s="32">
        <v>465.27</v>
      </c>
    </row>
    <row r="110" spans="1:11" x14ac:dyDescent="0.35">
      <c r="A110" s="29" t="s">
        <v>1100</v>
      </c>
      <c r="J110" s="33">
        <v>465.27</v>
      </c>
    </row>
    <row r="111" spans="1:11" x14ac:dyDescent="0.35">
      <c r="A111" s="29" t="s">
        <v>1101</v>
      </c>
    </row>
    <row r="112" spans="1:11" x14ac:dyDescent="0.35">
      <c r="B112" s="30" t="s">
        <v>1018</v>
      </c>
      <c r="C112" s="30" t="s">
        <v>977</v>
      </c>
      <c r="D112" s="30">
        <v>195</v>
      </c>
      <c r="E112" s="30"/>
      <c r="F112" s="30"/>
      <c r="G112" s="30" t="s">
        <v>978</v>
      </c>
      <c r="H112" s="30" t="s">
        <v>1102</v>
      </c>
      <c r="I112" s="31" t="s">
        <v>980</v>
      </c>
      <c r="J112" s="32">
        <v>138</v>
      </c>
      <c r="K112" s="32">
        <v>138</v>
      </c>
    </row>
    <row r="113" spans="1:11" x14ac:dyDescent="0.35">
      <c r="A113" s="29" t="s">
        <v>1103</v>
      </c>
      <c r="J113" s="33">
        <v>138</v>
      </c>
    </row>
    <row r="114" spans="1:11" x14ac:dyDescent="0.35">
      <c r="A114" s="29" t="s">
        <v>1104</v>
      </c>
      <c r="J114" s="33">
        <v>603.27</v>
      </c>
    </row>
    <row r="115" spans="1:11" x14ac:dyDescent="0.35">
      <c r="A115" s="29" t="s">
        <v>1105</v>
      </c>
    </row>
    <row r="116" spans="1:11" x14ac:dyDescent="0.35">
      <c r="A116" s="29" t="s">
        <v>1106</v>
      </c>
    </row>
    <row r="117" spans="1:11" x14ac:dyDescent="0.35">
      <c r="B117" s="30" t="s">
        <v>1032</v>
      </c>
      <c r="C117" s="30" t="s">
        <v>13</v>
      </c>
      <c r="D117" s="30" t="s">
        <v>1107</v>
      </c>
      <c r="E117" s="30" t="s">
        <v>1108</v>
      </c>
      <c r="F117" s="30"/>
      <c r="G117" s="30" t="s">
        <v>978</v>
      </c>
      <c r="H117" s="30" t="s">
        <v>1109</v>
      </c>
      <c r="I117" s="30" t="s">
        <v>1002</v>
      </c>
      <c r="J117" s="32">
        <v>134.91999999999999</v>
      </c>
      <c r="K117" s="32">
        <v>134.91999999999999</v>
      </c>
    </row>
    <row r="118" spans="1:11" x14ac:dyDescent="0.35">
      <c r="B118" s="30" t="s">
        <v>1010</v>
      </c>
      <c r="C118" s="30" t="s">
        <v>13</v>
      </c>
      <c r="D118" s="30" t="s">
        <v>1110</v>
      </c>
      <c r="E118" s="30" t="s">
        <v>1108</v>
      </c>
      <c r="F118" s="30"/>
      <c r="G118" s="30" t="s">
        <v>978</v>
      </c>
      <c r="H118" s="30" t="s">
        <v>1109</v>
      </c>
      <c r="I118" s="30" t="s">
        <v>1002</v>
      </c>
      <c r="J118" s="32">
        <v>135.02000000000001</v>
      </c>
      <c r="K118" s="32">
        <v>269.94</v>
      </c>
    </row>
    <row r="119" spans="1:11" x14ac:dyDescent="0.35">
      <c r="A119" s="29" t="s">
        <v>1111</v>
      </c>
      <c r="J119" s="33">
        <v>269.94</v>
      </c>
    </row>
    <row r="120" spans="1:11" x14ac:dyDescent="0.35">
      <c r="A120" s="29" t="s">
        <v>1112</v>
      </c>
    </row>
    <row r="121" spans="1:11" x14ac:dyDescent="0.35">
      <c r="B121" s="30" t="s">
        <v>976</v>
      </c>
      <c r="C121" s="30" t="s">
        <v>55</v>
      </c>
      <c r="D121" s="30"/>
      <c r="E121" s="30" t="s">
        <v>1113</v>
      </c>
      <c r="F121" s="30"/>
      <c r="G121" s="30" t="s">
        <v>978</v>
      </c>
      <c r="H121" s="30" t="s">
        <v>1114</v>
      </c>
      <c r="I121" s="30" t="s">
        <v>1115</v>
      </c>
      <c r="J121" s="32">
        <v>16.95</v>
      </c>
      <c r="K121" s="32">
        <v>16.95</v>
      </c>
    </row>
    <row r="122" spans="1:11" x14ac:dyDescent="0.35">
      <c r="B122" s="30" t="s">
        <v>1005</v>
      </c>
      <c r="C122" s="30" t="s">
        <v>55</v>
      </c>
      <c r="D122" s="30"/>
      <c r="E122" s="30" t="s">
        <v>1113</v>
      </c>
      <c r="F122" s="30"/>
      <c r="G122" s="30" t="s">
        <v>978</v>
      </c>
      <c r="H122" s="30" t="s">
        <v>1114</v>
      </c>
      <c r="I122" s="30" t="s">
        <v>1115</v>
      </c>
      <c r="J122" s="32">
        <v>16.95</v>
      </c>
      <c r="K122" s="32">
        <v>33.9</v>
      </c>
    </row>
    <row r="123" spans="1:11" x14ac:dyDescent="0.35">
      <c r="B123" s="30" t="s">
        <v>1116</v>
      </c>
      <c r="C123" s="30" t="s">
        <v>55</v>
      </c>
      <c r="D123" s="30"/>
      <c r="E123" s="30" t="s">
        <v>1113</v>
      </c>
      <c r="F123" s="30"/>
      <c r="G123" s="30" t="s">
        <v>978</v>
      </c>
      <c r="H123" s="30" t="s">
        <v>1114</v>
      </c>
      <c r="I123" s="30" t="s">
        <v>1115</v>
      </c>
      <c r="J123" s="32">
        <v>21.9</v>
      </c>
      <c r="K123" s="32">
        <v>55.8</v>
      </c>
    </row>
    <row r="124" spans="1:11" x14ac:dyDescent="0.35">
      <c r="A124" s="29" t="s">
        <v>1117</v>
      </c>
      <c r="J124" s="33">
        <v>55.8</v>
      </c>
    </row>
    <row r="125" spans="1:11" x14ac:dyDescent="0.35">
      <c r="A125" s="29" t="s">
        <v>1118</v>
      </c>
    </row>
    <row r="126" spans="1:11" x14ac:dyDescent="0.35">
      <c r="B126" s="30" t="s">
        <v>1018</v>
      </c>
      <c r="C126" s="30" t="s">
        <v>977</v>
      </c>
      <c r="D126" s="30">
        <v>197</v>
      </c>
      <c r="E126" s="30"/>
      <c r="F126" s="30"/>
      <c r="G126" s="30" t="s">
        <v>978</v>
      </c>
      <c r="H126" s="30" t="s">
        <v>1119</v>
      </c>
      <c r="I126" s="31" t="s">
        <v>980</v>
      </c>
      <c r="J126" s="32">
        <v>59</v>
      </c>
      <c r="K126" s="32">
        <v>59</v>
      </c>
    </row>
    <row r="127" spans="1:11" x14ac:dyDescent="0.35">
      <c r="A127" s="29" t="s">
        <v>1120</v>
      </c>
      <c r="J127" s="33">
        <v>59</v>
      </c>
    </row>
    <row r="128" spans="1:11" x14ac:dyDescent="0.35">
      <c r="A128" s="29" t="s">
        <v>1121</v>
      </c>
      <c r="J128" s="33">
        <v>384.74</v>
      </c>
    </row>
    <row r="129" spans="1:11" x14ac:dyDescent="0.35">
      <c r="A129" s="29" t="s">
        <v>1122</v>
      </c>
    </row>
    <row r="130" spans="1:11" x14ac:dyDescent="0.35">
      <c r="B130" s="30" t="s">
        <v>993</v>
      </c>
      <c r="C130" s="30" t="s">
        <v>13</v>
      </c>
      <c r="D130" s="30" t="s">
        <v>1123</v>
      </c>
      <c r="E130" s="30" t="s">
        <v>1124</v>
      </c>
      <c r="F130" s="30"/>
      <c r="G130" s="30" t="s">
        <v>978</v>
      </c>
      <c r="H130" s="30" t="s">
        <v>1125</v>
      </c>
      <c r="I130" s="30" t="s">
        <v>1002</v>
      </c>
      <c r="J130" s="32">
        <v>64.58</v>
      </c>
      <c r="K130" s="32">
        <v>64.58</v>
      </c>
    </row>
    <row r="131" spans="1:11" x14ac:dyDescent="0.35">
      <c r="A131" s="29" t="s">
        <v>1126</v>
      </c>
      <c r="J131" s="33">
        <v>64.58</v>
      </c>
    </row>
    <row r="132" spans="1:11" x14ac:dyDescent="0.35">
      <c r="A132" s="29" t="s">
        <v>1127</v>
      </c>
    </row>
    <row r="133" spans="1:11" x14ac:dyDescent="0.35">
      <c r="B133" s="30" t="s">
        <v>1018</v>
      </c>
      <c r="C133" s="30" t="s">
        <v>977</v>
      </c>
      <c r="D133" s="30">
        <v>200</v>
      </c>
      <c r="E133" s="30"/>
      <c r="F133" s="30"/>
      <c r="G133" s="30" t="s">
        <v>978</v>
      </c>
      <c r="H133" s="30" t="s">
        <v>1128</v>
      </c>
      <c r="I133" s="31" t="s">
        <v>980</v>
      </c>
      <c r="J133" s="32">
        <v>17</v>
      </c>
      <c r="K133" s="32">
        <v>17</v>
      </c>
    </row>
    <row r="134" spans="1:11" x14ac:dyDescent="0.35">
      <c r="A134" s="29" t="s">
        <v>1129</v>
      </c>
      <c r="J134" s="33">
        <v>17</v>
      </c>
    </row>
    <row r="135" spans="1:11" x14ac:dyDescent="0.35">
      <c r="A135" s="29" t="s">
        <v>1130</v>
      </c>
      <c r="J135" s="33">
        <v>1069.5899999999999</v>
      </c>
    </row>
    <row r="136" spans="1:11" x14ac:dyDescent="0.35">
      <c r="A136" s="29" t="s">
        <v>1131</v>
      </c>
    </row>
    <row r="137" spans="1:11" x14ac:dyDescent="0.35">
      <c r="A137" s="29" t="s">
        <v>1132</v>
      </c>
    </row>
    <row r="138" spans="1:11" x14ac:dyDescent="0.35">
      <c r="B138" s="30" t="s">
        <v>1032</v>
      </c>
      <c r="C138" s="30" t="s">
        <v>13</v>
      </c>
      <c r="D138" s="30">
        <v>2027</v>
      </c>
      <c r="E138" s="30" t="s">
        <v>1133</v>
      </c>
      <c r="F138" s="30"/>
      <c r="G138" s="30" t="s">
        <v>978</v>
      </c>
      <c r="H138" s="30" t="s">
        <v>1134</v>
      </c>
      <c r="I138" s="30" t="s">
        <v>1002</v>
      </c>
      <c r="J138" s="32">
        <v>648</v>
      </c>
      <c r="K138" s="32">
        <v>648</v>
      </c>
    </row>
    <row r="139" spans="1:11" x14ac:dyDescent="0.35">
      <c r="A139" s="29" t="s">
        <v>1135</v>
      </c>
      <c r="J139" s="33">
        <v>648</v>
      </c>
    </row>
    <row r="140" spans="1:11" x14ac:dyDescent="0.35">
      <c r="A140" s="29" t="s">
        <v>1136</v>
      </c>
    </row>
    <row r="141" spans="1:11" x14ac:dyDescent="0.35">
      <c r="A141" s="29" t="s">
        <v>1137</v>
      </c>
    </row>
    <row r="142" spans="1:11" x14ac:dyDescent="0.35">
      <c r="B142" s="30" t="s">
        <v>1010</v>
      </c>
      <c r="C142" s="30" t="s">
        <v>977</v>
      </c>
      <c r="D142" s="30">
        <v>208</v>
      </c>
      <c r="E142" s="30"/>
      <c r="F142" s="30"/>
      <c r="G142" s="30" t="s">
        <v>978</v>
      </c>
      <c r="H142" s="30" t="s">
        <v>1138</v>
      </c>
      <c r="I142" s="31" t="s">
        <v>980</v>
      </c>
      <c r="J142" s="32">
        <v>59</v>
      </c>
      <c r="K142" s="32">
        <v>59</v>
      </c>
    </row>
    <row r="143" spans="1:11" x14ac:dyDescent="0.35">
      <c r="B143" s="30" t="s">
        <v>1010</v>
      </c>
      <c r="C143" s="30" t="s">
        <v>977</v>
      </c>
      <c r="D143" s="30">
        <v>208</v>
      </c>
      <c r="E143" s="30"/>
      <c r="F143" s="30"/>
      <c r="G143" s="30" t="s">
        <v>978</v>
      </c>
      <c r="H143" s="30" t="s">
        <v>1138</v>
      </c>
      <c r="I143" s="31" t="s">
        <v>980</v>
      </c>
      <c r="J143" s="32">
        <v>59</v>
      </c>
      <c r="K143" s="32">
        <v>118</v>
      </c>
    </row>
    <row r="144" spans="1:11" x14ac:dyDescent="0.35">
      <c r="A144" s="29" t="s">
        <v>1139</v>
      </c>
      <c r="J144" s="33">
        <v>118</v>
      </c>
    </row>
    <row r="145" spans="1:11" x14ac:dyDescent="0.35">
      <c r="A145" s="29" t="s">
        <v>1140</v>
      </c>
      <c r="J145" s="33">
        <v>118</v>
      </c>
    </row>
    <row r="146" spans="1:11" x14ac:dyDescent="0.35">
      <c r="A146" s="29" t="s">
        <v>1141</v>
      </c>
    </row>
    <row r="147" spans="1:11" x14ac:dyDescent="0.35">
      <c r="A147" s="29" t="s">
        <v>1142</v>
      </c>
    </row>
    <row r="148" spans="1:11" x14ac:dyDescent="0.35">
      <c r="B148" s="30" t="s">
        <v>1018</v>
      </c>
      <c r="C148" s="30" t="s">
        <v>977</v>
      </c>
      <c r="D148" s="30">
        <v>211</v>
      </c>
      <c r="E148" s="30"/>
      <c r="F148" s="30"/>
      <c r="G148" s="30" t="s">
        <v>978</v>
      </c>
      <c r="H148" s="30" t="s">
        <v>1143</v>
      </c>
      <c r="I148" s="31" t="s">
        <v>980</v>
      </c>
      <c r="J148" s="32">
        <v>75</v>
      </c>
      <c r="K148" s="32">
        <v>75</v>
      </c>
    </row>
    <row r="149" spans="1:11" x14ac:dyDescent="0.35">
      <c r="B149" s="30" t="s">
        <v>1018</v>
      </c>
      <c r="C149" s="30" t="s">
        <v>977</v>
      </c>
      <c r="D149" s="30">
        <v>211</v>
      </c>
      <c r="E149" s="30"/>
      <c r="F149" s="30"/>
      <c r="G149" s="30" t="s">
        <v>978</v>
      </c>
      <c r="H149" s="30" t="s">
        <v>1143</v>
      </c>
      <c r="I149" s="31" t="s">
        <v>980</v>
      </c>
      <c r="J149" s="32">
        <v>75</v>
      </c>
      <c r="K149" s="32">
        <v>150</v>
      </c>
    </row>
    <row r="150" spans="1:11" x14ac:dyDescent="0.35">
      <c r="A150" s="29" t="s">
        <v>1144</v>
      </c>
      <c r="J150" s="33">
        <v>150</v>
      </c>
    </row>
    <row r="151" spans="1:11" x14ac:dyDescent="0.35">
      <c r="A151" s="29" t="s">
        <v>1145</v>
      </c>
      <c r="J151" s="33">
        <v>150</v>
      </c>
    </row>
    <row r="152" spans="1:11" x14ac:dyDescent="0.35">
      <c r="A152" s="29" t="s">
        <v>1146</v>
      </c>
    </row>
    <row r="153" spans="1:11" x14ac:dyDescent="0.35">
      <c r="A153" s="29" t="s">
        <v>1147</v>
      </c>
    </row>
    <row r="154" spans="1:11" x14ac:dyDescent="0.35">
      <c r="B154" s="30" t="s">
        <v>1116</v>
      </c>
      <c r="C154" s="30" t="s">
        <v>977</v>
      </c>
      <c r="D154" s="30">
        <v>209</v>
      </c>
      <c r="E154" s="30"/>
      <c r="F154" s="30"/>
      <c r="G154" s="30" t="s">
        <v>978</v>
      </c>
      <c r="H154" s="30" t="s">
        <v>1148</v>
      </c>
      <c r="I154" s="31" t="s">
        <v>980</v>
      </c>
      <c r="J154" s="32">
        <v>50</v>
      </c>
      <c r="K154" s="32">
        <v>50</v>
      </c>
    </row>
    <row r="155" spans="1:11" x14ac:dyDescent="0.35">
      <c r="B155" s="30" t="s">
        <v>1116</v>
      </c>
      <c r="C155" s="30" t="s">
        <v>977</v>
      </c>
      <c r="D155" s="30">
        <v>209</v>
      </c>
      <c r="E155" s="30"/>
      <c r="F155" s="30"/>
      <c r="G155" s="30" t="s">
        <v>978</v>
      </c>
      <c r="H155" s="30" t="s">
        <v>1148</v>
      </c>
      <c r="I155" s="31" t="s">
        <v>980</v>
      </c>
      <c r="J155" s="32">
        <v>50</v>
      </c>
      <c r="K155" s="32">
        <v>100</v>
      </c>
    </row>
    <row r="156" spans="1:11" x14ac:dyDescent="0.35">
      <c r="A156" s="29" t="s">
        <v>1149</v>
      </c>
      <c r="J156" s="33">
        <v>100</v>
      </c>
    </row>
    <row r="157" spans="1:11" x14ac:dyDescent="0.35">
      <c r="A157" s="29" t="s">
        <v>1150</v>
      </c>
      <c r="J157" s="33">
        <v>100</v>
      </c>
    </row>
    <row r="158" spans="1:11" x14ac:dyDescent="0.35">
      <c r="A158" s="29" t="s">
        <v>1151</v>
      </c>
    </row>
    <row r="159" spans="1:11" x14ac:dyDescent="0.35">
      <c r="A159" s="29" t="s">
        <v>1152</v>
      </c>
    </row>
    <row r="160" spans="1:11" x14ac:dyDescent="0.35">
      <c r="B160" s="30" t="s">
        <v>1116</v>
      </c>
      <c r="C160" s="30" t="s">
        <v>977</v>
      </c>
      <c r="D160" s="30">
        <v>210</v>
      </c>
      <c r="E160" s="30"/>
      <c r="F160" s="30"/>
      <c r="G160" s="30" t="s">
        <v>978</v>
      </c>
      <c r="H160" s="30" t="s">
        <v>1153</v>
      </c>
      <c r="I160" s="31" t="s">
        <v>980</v>
      </c>
      <c r="J160" s="32">
        <v>62</v>
      </c>
      <c r="K160" s="32">
        <v>62</v>
      </c>
    </row>
    <row r="161" spans="1:11" x14ac:dyDescent="0.35">
      <c r="B161" s="30" t="s">
        <v>1116</v>
      </c>
      <c r="C161" s="30" t="s">
        <v>977</v>
      </c>
      <c r="D161" s="30">
        <v>210</v>
      </c>
      <c r="E161" s="30"/>
      <c r="F161" s="30"/>
      <c r="G161" s="30" t="s">
        <v>978</v>
      </c>
      <c r="H161" s="30" t="s">
        <v>1153</v>
      </c>
      <c r="I161" s="31" t="s">
        <v>980</v>
      </c>
      <c r="J161" s="32">
        <v>62</v>
      </c>
      <c r="K161" s="32">
        <v>124</v>
      </c>
    </row>
    <row r="162" spans="1:11" x14ac:dyDescent="0.35">
      <c r="A162" s="29" t="s">
        <v>1154</v>
      </c>
      <c r="J162" s="33">
        <v>124</v>
      </c>
    </row>
    <row r="163" spans="1:11" x14ac:dyDescent="0.35">
      <c r="A163" s="29" t="s">
        <v>1155</v>
      </c>
      <c r="J163" s="33">
        <v>124</v>
      </c>
    </row>
    <row r="164" spans="1:11" x14ac:dyDescent="0.35">
      <c r="A164" s="29" t="s">
        <v>1156</v>
      </c>
    </row>
    <row r="165" spans="1:11" x14ac:dyDescent="0.35">
      <c r="A165" s="29" t="s">
        <v>1157</v>
      </c>
    </row>
    <row r="166" spans="1:11" x14ac:dyDescent="0.35">
      <c r="A166" s="29" t="s">
        <v>1158</v>
      </c>
    </row>
    <row r="167" spans="1:11" x14ac:dyDescent="0.35">
      <c r="B167" s="30" t="s">
        <v>1018</v>
      </c>
      <c r="C167" s="30" t="s">
        <v>977</v>
      </c>
      <c r="D167" s="30">
        <v>206</v>
      </c>
      <c r="E167" s="30"/>
      <c r="F167" s="30"/>
      <c r="G167" s="30" t="s">
        <v>978</v>
      </c>
      <c r="H167" s="30" t="s">
        <v>1159</v>
      </c>
      <c r="I167" s="31" t="s">
        <v>980</v>
      </c>
      <c r="J167" s="32">
        <v>145</v>
      </c>
      <c r="K167" s="32">
        <v>145</v>
      </c>
    </row>
    <row r="168" spans="1:11" x14ac:dyDescent="0.35">
      <c r="B168" s="30" t="s">
        <v>1018</v>
      </c>
      <c r="C168" s="30" t="s">
        <v>977</v>
      </c>
      <c r="D168" s="30">
        <v>206</v>
      </c>
      <c r="E168" s="30"/>
      <c r="F168" s="30"/>
      <c r="G168" s="30" t="s">
        <v>978</v>
      </c>
      <c r="H168" s="30" t="s">
        <v>1159</v>
      </c>
      <c r="I168" s="31" t="s">
        <v>980</v>
      </c>
      <c r="J168" s="32">
        <v>145</v>
      </c>
      <c r="K168" s="32">
        <v>290</v>
      </c>
    </row>
    <row r="169" spans="1:11" x14ac:dyDescent="0.35">
      <c r="A169" s="29" t="s">
        <v>1160</v>
      </c>
      <c r="J169" s="33">
        <v>290</v>
      </c>
    </row>
    <row r="170" spans="1:11" x14ac:dyDescent="0.35">
      <c r="A170" s="29" t="s">
        <v>1161</v>
      </c>
      <c r="J170" s="33">
        <v>290</v>
      </c>
    </row>
    <row r="171" spans="1:11" x14ac:dyDescent="0.35">
      <c r="A171" s="29" t="s">
        <v>1162</v>
      </c>
      <c r="J171" s="33">
        <v>290</v>
      </c>
    </row>
    <row r="172" spans="1:11" x14ac:dyDescent="0.35">
      <c r="A172" s="29" t="s">
        <v>1163</v>
      </c>
      <c r="J172" s="33">
        <v>1430</v>
      </c>
    </row>
    <row r="173" spans="1:11" x14ac:dyDescent="0.35">
      <c r="A173" s="29" t="s">
        <v>1164</v>
      </c>
    </row>
    <row r="174" spans="1:11" x14ac:dyDescent="0.35">
      <c r="A174" s="29" t="s">
        <v>1165</v>
      </c>
    </row>
    <row r="175" spans="1:11" x14ac:dyDescent="0.35">
      <c r="B175" s="30" t="s">
        <v>1088</v>
      </c>
      <c r="C175" s="30" t="s">
        <v>13</v>
      </c>
      <c r="D175" s="30">
        <v>11228</v>
      </c>
      <c r="E175" s="30" t="s">
        <v>1166</v>
      </c>
      <c r="F175" s="30"/>
      <c r="G175" s="30" t="s">
        <v>978</v>
      </c>
      <c r="H175" s="30" t="s">
        <v>1167</v>
      </c>
      <c r="I175" s="30" t="s">
        <v>1002</v>
      </c>
      <c r="J175" s="32">
        <v>150</v>
      </c>
      <c r="K175" s="32">
        <v>150</v>
      </c>
    </row>
    <row r="176" spans="1:11" x14ac:dyDescent="0.35">
      <c r="A176" s="29" t="s">
        <v>1168</v>
      </c>
      <c r="J176" s="33">
        <v>150</v>
      </c>
    </row>
    <row r="177" spans="1:11" x14ac:dyDescent="0.35">
      <c r="A177" s="29" t="s">
        <v>1169</v>
      </c>
      <c r="J177" s="33">
        <v>150</v>
      </c>
    </row>
    <row r="178" spans="1:11" x14ac:dyDescent="0.35">
      <c r="A178" s="29" t="s">
        <v>1170</v>
      </c>
    </row>
    <row r="179" spans="1:11" x14ac:dyDescent="0.35">
      <c r="A179" s="29" t="s">
        <v>1171</v>
      </c>
    </row>
    <row r="180" spans="1:11" x14ac:dyDescent="0.35">
      <c r="B180" s="30" t="s">
        <v>1172</v>
      </c>
      <c r="C180" s="30" t="s">
        <v>13</v>
      </c>
      <c r="D180" s="30">
        <v>138575</v>
      </c>
      <c r="E180" s="30" t="s">
        <v>1173</v>
      </c>
      <c r="F180" s="30"/>
      <c r="G180" s="30" t="s">
        <v>978</v>
      </c>
      <c r="H180" s="30" t="s">
        <v>1174</v>
      </c>
      <c r="I180" s="30" t="s">
        <v>1002</v>
      </c>
      <c r="J180" s="32">
        <v>732.89</v>
      </c>
      <c r="K180" s="32">
        <v>732.89</v>
      </c>
    </row>
    <row r="181" spans="1:11" x14ac:dyDescent="0.35">
      <c r="A181" s="29" t="s">
        <v>1175</v>
      </c>
      <c r="J181" s="33">
        <v>732.89</v>
      </c>
    </row>
    <row r="182" spans="1:11" x14ac:dyDescent="0.35">
      <c r="A182" s="29" t="s">
        <v>1176</v>
      </c>
      <c r="J182" s="33">
        <v>732.89</v>
      </c>
    </row>
    <row r="183" spans="1:11" x14ac:dyDescent="0.35">
      <c r="A183" s="29" t="s">
        <v>1177</v>
      </c>
      <c r="J183" s="33">
        <v>157513.78</v>
      </c>
    </row>
    <row r="184" spans="1:11" x14ac:dyDescent="0.35">
      <c r="A184" s="29" t="s">
        <v>1178</v>
      </c>
      <c r="J184" s="33">
        <v>-31473.21</v>
      </c>
    </row>
    <row r="187" spans="1:11" x14ac:dyDescent="0.35">
      <c r="A187" s="37" t="s">
        <v>1179</v>
      </c>
      <c r="B187" s="36"/>
      <c r="C187" s="36"/>
      <c r="D187" s="36"/>
      <c r="E187" s="36"/>
      <c r="F187" s="36"/>
      <c r="G187" s="36"/>
      <c r="H187" s="36"/>
      <c r="I187" s="36"/>
      <c r="J187" s="36"/>
      <c r="K187" s="36"/>
    </row>
  </sheetData>
  <mergeCells count="4">
    <mergeCell ref="A1:K1"/>
    <mergeCell ref="A2:K2"/>
    <mergeCell ref="A3:K3"/>
    <mergeCell ref="A187:K18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Attachments"/>
  <dimension ref="A1:H311"/>
  <sheetViews>
    <sheetView tabSelected="1" topLeftCell="A19" workbookViewId="0">
      <selection activeCell="C60" sqref="C60"/>
    </sheetView>
  </sheetViews>
  <sheetFormatPr defaultRowHeight="14.5" x14ac:dyDescent="0.35"/>
  <cols>
    <col min="1" max="1" width="21.08984375" bestFit="1" customWidth="1"/>
    <col min="2" max="2" width="11.1796875" bestFit="1" customWidth="1"/>
    <col min="3" max="3" width="53" bestFit="1" customWidth="1"/>
    <col min="4" max="4" width="9.90625" bestFit="1" customWidth="1"/>
    <col min="5" max="5" width="10" bestFit="1" customWidth="1"/>
    <col min="6" max="6" width="65.36328125" bestFit="1" customWidth="1"/>
    <col min="7" max="7" width="5.453125" bestFit="1" customWidth="1"/>
    <col min="8" max="8" width="9.36328125" bestFit="1" customWidth="1"/>
  </cols>
  <sheetData>
    <row r="1" spans="1:8" x14ac:dyDescent="0.35">
      <c r="A1" t="s">
        <v>122</v>
      </c>
      <c r="B1" t="s">
        <v>123</v>
      </c>
      <c r="C1" t="s">
        <v>124</v>
      </c>
      <c r="D1" t="s">
        <v>125</v>
      </c>
      <c r="E1" t="s">
        <v>126</v>
      </c>
      <c r="F1" t="s">
        <v>127</v>
      </c>
      <c r="G1" t="s">
        <v>128</v>
      </c>
      <c r="H1" t="s">
        <v>129</v>
      </c>
    </row>
    <row r="2" spans="1:8" x14ac:dyDescent="0.35">
      <c r="B2" t="s">
        <v>130</v>
      </c>
      <c r="C2" t="s">
        <v>131</v>
      </c>
      <c r="D2" t="s">
        <v>132</v>
      </c>
      <c r="E2">
        <v>43871</v>
      </c>
      <c r="F2" t="s">
        <v>133</v>
      </c>
      <c r="H2" t="s">
        <v>134</v>
      </c>
    </row>
    <row r="3" spans="1:8" x14ac:dyDescent="0.35">
      <c r="A3" t="s">
        <v>135</v>
      </c>
      <c r="B3" t="s">
        <v>136</v>
      </c>
      <c r="C3" t="s">
        <v>137</v>
      </c>
      <c r="D3" t="s">
        <v>138</v>
      </c>
      <c r="E3">
        <v>43867</v>
      </c>
      <c r="F3" t="s">
        <v>139</v>
      </c>
      <c r="H3" t="s">
        <v>134</v>
      </c>
    </row>
    <row r="4" spans="1:8" x14ac:dyDescent="0.35">
      <c r="A4" t="s">
        <v>135</v>
      </c>
      <c r="B4" t="s">
        <v>136</v>
      </c>
      <c r="C4" t="s">
        <v>140</v>
      </c>
      <c r="D4" t="s">
        <v>141</v>
      </c>
      <c r="E4">
        <v>43867</v>
      </c>
      <c r="F4" t="s">
        <v>142</v>
      </c>
      <c r="H4" t="s">
        <v>134</v>
      </c>
    </row>
    <row r="5" spans="1:8" x14ac:dyDescent="0.35">
      <c r="A5" t="s">
        <v>135</v>
      </c>
      <c r="B5" t="s">
        <v>136</v>
      </c>
      <c r="C5" t="s">
        <v>143</v>
      </c>
      <c r="D5" t="s">
        <v>144</v>
      </c>
      <c r="E5">
        <v>43867</v>
      </c>
      <c r="F5" t="s">
        <v>145</v>
      </c>
      <c r="H5" t="s">
        <v>134</v>
      </c>
    </row>
    <row r="6" spans="1:8" x14ac:dyDescent="0.35">
      <c r="A6" t="s">
        <v>135</v>
      </c>
      <c r="B6" t="s">
        <v>136</v>
      </c>
      <c r="C6" t="s">
        <v>146</v>
      </c>
      <c r="D6" t="s">
        <v>144</v>
      </c>
      <c r="E6">
        <v>43867</v>
      </c>
      <c r="F6" t="s">
        <v>147</v>
      </c>
      <c r="H6" t="s">
        <v>134</v>
      </c>
    </row>
    <row r="7" spans="1:8" x14ac:dyDescent="0.35">
      <c r="A7" t="s">
        <v>135</v>
      </c>
      <c r="B7" t="s">
        <v>136</v>
      </c>
      <c r="C7" t="s">
        <v>148</v>
      </c>
      <c r="D7" t="s">
        <v>149</v>
      </c>
      <c r="E7">
        <v>43866</v>
      </c>
      <c r="F7" t="s">
        <v>150</v>
      </c>
      <c r="H7" t="s">
        <v>134</v>
      </c>
    </row>
    <row r="8" spans="1:8" x14ac:dyDescent="0.35">
      <c r="A8" t="s">
        <v>135</v>
      </c>
      <c r="B8" t="s">
        <v>136</v>
      </c>
      <c r="C8" t="s">
        <v>151</v>
      </c>
      <c r="D8" t="s">
        <v>152</v>
      </c>
      <c r="E8">
        <v>43851</v>
      </c>
      <c r="F8" t="s">
        <v>153</v>
      </c>
      <c r="H8" t="s">
        <v>134</v>
      </c>
    </row>
    <row r="9" spans="1:8" x14ac:dyDescent="0.35">
      <c r="A9" t="s">
        <v>135</v>
      </c>
      <c r="B9" t="s">
        <v>136</v>
      </c>
      <c r="C9" t="s">
        <v>154</v>
      </c>
      <c r="D9" t="s">
        <v>155</v>
      </c>
      <c r="E9">
        <v>43845</v>
      </c>
      <c r="F9" t="s">
        <v>156</v>
      </c>
      <c r="H9" t="s">
        <v>134</v>
      </c>
    </row>
    <row r="10" spans="1:8" x14ac:dyDescent="0.35">
      <c r="A10" t="s">
        <v>135</v>
      </c>
      <c r="B10" t="s">
        <v>136</v>
      </c>
      <c r="C10" t="s">
        <v>157</v>
      </c>
      <c r="D10" t="s">
        <v>158</v>
      </c>
      <c r="E10">
        <v>43844</v>
      </c>
      <c r="F10" t="s">
        <v>159</v>
      </c>
      <c r="H10" t="s">
        <v>134</v>
      </c>
    </row>
    <row r="11" spans="1:8" x14ac:dyDescent="0.35">
      <c r="A11" t="s">
        <v>135</v>
      </c>
      <c r="B11" t="s">
        <v>136</v>
      </c>
      <c r="C11" t="s">
        <v>160</v>
      </c>
      <c r="D11" t="s">
        <v>161</v>
      </c>
      <c r="E11">
        <v>43844</v>
      </c>
      <c r="F11" t="s">
        <v>162</v>
      </c>
      <c r="H11" t="s">
        <v>134</v>
      </c>
    </row>
    <row r="12" spans="1:8" x14ac:dyDescent="0.35">
      <c r="A12" t="s">
        <v>135</v>
      </c>
      <c r="B12" t="s">
        <v>136</v>
      </c>
      <c r="C12" t="s">
        <v>163</v>
      </c>
      <c r="D12" t="s">
        <v>164</v>
      </c>
      <c r="E12">
        <v>43844</v>
      </c>
      <c r="F12" t="s">
        <v>165</v>
      </c>
      <c r="H12" t="s">
        <v>134</v>
      </c>
    </row>
    <row r="13" spans="1:8" x14ac:dyDescent="0.35">
      <c r="A13" t="s">
        <v>135</v>
      </c>
      <c r="B13" t="s">
        <v>136</v>
      </c>
      <c r="C13" t="s">
        <v>166</v>
      </c>
      <c r="D13" t="s">
        <v>167</v>
      </c>
      <c r="E13">
        <v>43842</v>
      </c>
      <c r="F13" t="s">
        <v>168</v>
      </c>
      <c r="H13" t="s">
        <v>134</v>
      </c>
    </row>
    <row r="14" spans="1:8" x14ac:dyDescent="0.35">
      <c r="A14" t="s">
        <v>135</v>
      </c>
      <c r="B14" t="s">
        <v>136</v>
      </c>
      <c r="C14" t="s">
        <v>169</v>
      </c>
      <c r="D14" t="s">
        <v>170</v>
      </c>
      <c r="E14">
        <v>43842</v>
      </c>
      <c r="F14" t="s">
        <v>171</v>
      </c>
      <c r="H14" t="s">
        <v>134</v>
      </c>
    </row>
    <row r="15" spans="1:8" x14ac:dyDescent="0.35">
      <c r="A15" t="s">
        <v>135</v>
      </c>
      <c r="B15" t="s">
        <v>136</v>
      </c>
      <c r="C15" t="s">
        <v>172</v>
      </c>
      <c r="D15" t="s">
        <v>173</v>
      </c>
      <c r="E15">
        <v>43842</v>
      </c>
      <c r="F15" t="s">
        <v>174</v>
      </c>
      <c r="H15" t="s">
        <v>134</v>
      </c>
    </row>
    <row r="16" spans="1:8" x14ac:dyDescent="0.35">
      <c r="A16" t="s">
        <v>135</v>
      </c>
      <c r="B16" t="s">
        <v>136</v>
      </c>
      <c r="C16" t="s">
        <v>175</v>
      </c>
      <c r="D16" t="s">
        <v>176</v>
      </c>
      <c r="E16">
        <v>43842</v>
      </c>
      <c r="F16" t="s">
        <v>177</v>
      </c>
      <c r="H16" t="s">
        <v>134</v>
      </c>
    </row>
    <row r="17" spans="1:8" x14ac:dyDescent="0.35">
      <c r="A17" t="s">
        <v>135</v>
      </c>
      <c r="B17" t="s">
        <v>136</v>
      </c>
      <c r="C17" t="s">
        <v>178</v>
      </c>
      <c r="D17" t="s">
        <v>179</v>
      </c>
      <c r="E17">
        <v>43842</v>
      </c>
      <c r="F17" t="s">
        <v>180</v>
      </c>
      <c r="H17" t="s">
        <v>134</v>
      </c>
    </row>
    <row r="18" spans="1:8" x14ac:dyDescent="0.35">
      <c r="A18" t="s">
        <v>135</v>
      </c>
      <c r="B18" t="s">
        <v>136</v>
      </c>
      <c r="C18" t="s">
        <v>181</v>
      </c>
      <c r="D18" t="s">
        <v>182</v>
      </c>
      <c r="E18">
        <v>43842</v>
      </c>
      <c r="F18" t="s">
        <v>183</v>
      </c>
      <c r="H18" t="s">
        <v>134</v>
      </c>
    </row>
    <row r="19" spans="1:8" x14ac:dyDescent="0.35">
      <c r="A19" t="s">
        <v>135</v>
      </c>
      <c r="B19" t="s">
        <v>136</v>
      </c>
      <c r="C19" t="s">
        <v>184</v>
      </c>
      <c r="D19" t="s">
        <v>185</v>
      </c>
      <c r="E19">
        <v>43842</v>
      </c>
      <c r="F19" t="s">
        <v>186</v>
      </c>
      <c r="H19" t="s">
        <v>134</v>
      </c>
    </row>
    <row r="20" spans="1:8" x14ac:dyDescent="0.35">
      <c r="A20" t="s">
        <v>135</v>
      </c>
      <c r="B20" t="s">
        <v>136</v>
      </c>
      <c r="C20" t="s">
        <v>187</v>
      </c>
      <c r="D20" t="s">
        <v>188</v>
      </c>
      <c r="E20">
        <v>43842</v>
      </c>
      <c r="F20" t="s">
        <v>189</v>
      </c>
      <c r="H20" t="s">
        <v>134</v>
      </c>
    </row>
    <row r="21" spans="1:8" x14ac:dyDescent="0.35">
      <c r="A21" t="s">
        <v>135</v>
      </c>
      <c r="B21" t="s">
        <v>136</v>
      </c>
      <c r="C21" t="s">
        <v>190</v>
      </c>
      <c r="D21" t="s">
        <v>191</v>
      </c>
      <c r="E21">
        <v>43842</v>
      </c>
      <c r="F21" t="s">
        <v>192</v>
      </c>
      <c r="H21" t="s">
        <v>134</v>
      </c>
    </row>
    <row r="22" spans="1:8" x14ac:dyDescent="0.35">
      <c r="A22" t="s">
        <v>135</v>
      </c>
      <c r="B22" t="s">
        <v>136</v>
      </c>
      <c r="C22" t="s">
        <v>193</v>
      </c>
      <c r="D22" t="s">
        <v>194</v>
      </c>
      <c r="E22">
        <v>43842</v>
      </c>
      <c r="F22" t="s">
        <v>195</v>
      </c>
      <c r="H22" t="s">
        <v>134</v>
      </c>
    </row>
    <row r="23" spans="1:8" x14ac:dyDescent="0.35">
      <c r="A23" t="s">
        <v>135</v>
      </c>
      <c r="B23" t="s">
        <v>136</v>
      </c>
      <c r="C23" t="s">
        <v>196</v>
      </c>
      <c r="D23" t="s">
        <v>197</v>
      </c>
      <c r="E23">
        <v>43842</v>
      </c>
      <c r="F23" t="s">
        <v>198</v>
      </c>
      <c r="H23" t="s">
        <v>134</v>
      </c>
    </row>
    <row r="24" spans="1:8" x14ac:dyDescent="0.35">
      <c r="A24" t="s">
        <v>135</v>
      </c>
      <c r="B24" t="s">
        <v>136</v>
      </c>
      <c r="C24" t="s">
        <v>199</v>
      </c>
      <c r="D24" t="s">
        <v>200</v>
      </c>
      <c r="E24">
        <v>43842</v>
      </c>
      <c r="F24" t="s">
        <v>201</v>
      </c>
      <c r="H24" t="s">
        <v>134</v>
      </c>
    </row>
    <row r="25" spans="1:8" x14ac:dyDescent="0.35">
      <c r="A25" t="s">
        <v>135</v>
      </c>
      <c r="B25" t="s">
        <v>136</v>
      </c>
      <c r="C25" t="s">
        <v>202</v>
      </c>
      <c r="D25" t="s">
        <v>203</v>
      </c>
      <c r="E25">
        <v>43842</v>
      </c>
      <c r="F25" t="s">
        <v>204</v>
      </c>
      <c r="H25" t="s">
        <v>134</v>
      </c>
    </row>
    <row r="26" spans="1:8" x14ac:dyDescent="0.35">
      <c r="A26" t="s">
        <v>135</v>
      </c>
      <c r="B26" t="s">
        <v>136</v>
      </c>
      <c r="C26" t="s">
        <v>205</v>
      </c>
      <c r="D26" t="s">
        <v>206</v>
      </c>
      <c r="E26">
        <v>43842</v>
      </c>
      <c r="F26" t="s">
        <v>207</v>
      </c>
      <c r="H26" t="s">
        <v>134</v>
      </c>
    </row>
    <row r="27" spans="1:8" x14ac:dyDescent="0.35">
      <c r="A27" t="s">
        <v>135</v>
      </c>
      <c r="B27" t="s">
        <v>136</v>
      </c>
      <c r="C27" t="s">
        <v>208</v>
      </c>
      <c r="D27" t="s">
        <v>209</v>
      </c>
      <c r="E27">
        <v>43842</v>
      </c>
      <c r="F27" t="s">
        <v>210</v>
      </c>
      <c r="H27" t="s">
        <v>134</v>
      </c>
    </row>
    <row r="28" spans="1:8" x14ac:dyDescent="0.35">
      <c r="A28" t="s">
        <v>135</v>
      </c>
      <c r="B28" t="s">
        <v>136</v>
      </c>
      <c r="C28" t="s">
        <v>211</v>
      </c>
      <c r="D28" t="s">
        <v>212</v>
      </c>
      <c r="E28">
        <v>43842</v>
      </c>
      <c r="F28" t="s">
        <v>213</v>
      </c>
      <c r="H28" t="s">
        <v>134</v>
      </c>
    </row>
    <row r="29" spans="1:8" x14ac:dyDescent="0.35">
      <c r="A29" t="s">
        <v>135</v>
      </c>
      <c r="B29" t="s">
        <v>136</v>
      </c>
      <c r="C29" t="s">
        <v>214</v>
      </c>
      <c r="D29" t="s">
        <v>215</v>
      </c>
      <c r="E29">
        <v>43842</v>
      </c>
      <c r="F29" t="s">
        <v>216</v>
      </c>
      <c r="H29" t="s">
        <v>134</v>
      </c>
    </row>
    <row r="30" spans="1:8" x14ac:dyDescent="0.35">
      <c r="A30" t="s">
        <v>135</v>
      </c>
      <c r="B30" t="s">
        <v>136</v>
      </c>
      <c r="C30" t="s">
        <v>217</v>
      </c>
      <c r="D30" t="s">
        <v>218</v>
      </c>
      <c r="E30">
        <v>43842</v>
      </c>
      <c r="F30" t="s">
        <v>219</v>
      </c>
      <c r="H30" t="s">
        <v>134</v>
      </c>
    </row>
    <row r="31" spans="1:8" x14ac:dyDescent="0.35">
      <c r="A31" t="s">
        <v>135</v>
      </c>
      <c r="B31" t="s">
        <v>136</v>
      </c>
      <c r="C31" t="s">
        <v>220</v>
      </c>
      <c r="D31" t="s">
        <v>221</v>
      </c>
      <c r="E31">
        <v>43842</v>
      </c>
      <c r="F31" t="s">
        <v>222</v>
      </c>
      <c r="H31" t="s">
        <v>134</v>
      </c>
    </row>
    <row r="32" spans="1:8" x14ac:dyDescent="0.35">
      <c r="A32" t="s">
        <v>135</v>
      </c>
      <c r="B32" t="s">
        <v>136</v>
      </c>
      <c r="C32" t="s">
        <v>223</v>
      </c>
      <c r="D32" t="s">
        <v>224</v>
      </c>
      <c r="E32">
        <v>43842</v>
      </c>
      <c r="F32" t="s">
        <v>225</v>
      </c>
      <c r="H32" t="s">
        <v>134</v>
      </c>
    </row>
    <row r="33" spans="1:8" x14ac:dyDescent="0.35">
      <c r="A33" t="s">
        <v>135</v>
      </c>
      <c r="B33" t="s">
        <v>136</v>
      </c>
      <c r="C33" t="s">
        <v>226</v>
      </c>
      <c r="D33" t="s">
        <v>227</v>
      </c>
      <c r="E33">
        <v>43842</v>
      </c>
      <c r="F33" t="s">
        <v>228</v>
      </c>
      <c r="H33" t="s">
        <v>134</v>
      </c>
    </row>
    <row r="34" spans="1:8" x14ac:dyDescent="0.35">
      <c r="A34" t="s">
        <v>135</v>
      </c>
      <c r="B34" t="s">
        <v>136</v>
      </c>
      <c r="C34" t="s">
        <v>229</v>
      </c>
      <c r="D34" t="s">
        <v>230</v>
      </c>
      <c r="E34">
        <v>43842</v>
      </c>
      <c r="F34" t="s">
        <v>231</v>
      </c>
      <c r="H34" t="s">
        <v>134</v>
      </c>
    </row>
    <row r="35" spans="1:8" x14ac:dyDescent="0.35">
      <c r="A35" t="s">
        <v>135</v>
      </c>
      <c r="B35" t="s">
        <v>136</v>
      </c>
      <c r="C35" t="s">
        <v>232</v>
      </c>
      <c r="D35" t="s">
        <v>233</v>
      </c>
      <c r="E35">
        <v>43842</v>
      </c>
      <c r="F35" t="s">
        <v>234</v>
      </c>
      <c r="H35" t="s">
        <v>134</v>
      </c>
    </row>
    <row r="36" spans="1:8" x14ac:dyDescent="0.35">
      <c r="A36" t="s">
        <v>135</v>
      </c>
      <c r="B36" t="s">
        <v>136</v>
      </c>
      <c r="C36" t="s">
        <v>235</v>
      </c>
      <c r="D36" t="s">
        <v>236</v>
      </c>
      <c r="E36">
        <v>43842</v>
      </c>
      <c r="F36" t="s">
        <v>237</v>
      </c>
      <c r="H36" t="s">
        <v>134</v>
      </c>
    </row>
    <row r="37" spans="1:8" x14ac:dyDescent="0.35">
      <c r="A37" t="s">
        <v>135</v>
      </c>
      <c r="B37" t="s">
        <v>136</v>
      </c>
      <c r="C37" t="s">
        <v>238</v>
      </c>
      <c r="D37" t="s">
        <v>239</v>
      </c>
      <c r="E37">
        <v>43842</v>
      </c>
      <c r="F37" t="s">
        <v>240</v>
      </c>
      <c r="H37" t="s">
        <v>134</v>
      </c>
    </row>
    <row r="38" spans="1:8" x14ac:dyDescent="0.35">
      <c r="A38" t="s">
        <v>135</v>
      </c>
      <c r="B38" t="s">
        <v>136</v>
      </c>
      <c r="C38" t="s">
        <v>241</v>
      </c>
      <c r="D38" t="s">
        <v>242</v>
      </c>
      <c r="E38">
        <v>43842</v>
      </c>
      <c r="F38" t="s">
        <v>243</v>
      </c>
      <c r="H38" t="s">
        <v>134</v>
      </c>
    </row>
    <row r="39" spans="1:8" x14ac:dyDescent="0.35">
      <c r="A39" t="s">
        <v>135</v>
      </c>
      <c r="B39" t="s">
        <v>136</v>
      </c>
      <c r="C39" t="s">
        <v>244</v>
      </c>
      <c r="D39" t="s">
        <v>245</v>
      </c>
      <c r="E39">
        <v>43842</v>
      </c>
      <c r="F39" t="s">
        <v>246</v>
      </c>
      <c r="H39" t="s">
        <v>134</v>
      </c>
    </row>
    <row r="40" spans="1:8" x14ac:dyDescent="0.35">
      <c r="A40" t="s">
        <v>135</v>
      </c>
      <c r="B40" t="s">
        <v>136</v>
      </c>
      <c r="C40" t="s">
        <v>247</v>
      </c>
      <c r="D40" t="s">
        <v>248</v>
      </c>
      <c r="E40">
        <v>43842</v>
      </c>
      <c r="F40" t="s">
        <v>249</v>
      </c>
      <c r="H40" t="s">
        <v>134</v>
      </c>
    </row>
    <row r="41" spans="1:8" x14ac:dyDescent="0.35">
      <c r="A41" t="s">
        <v>135</v>
      </c>
      <c r="B41" t="s">
        <v>136</v>
      </c>
      <c r="C41" t="s">
        <v>250</v>
      </c>
      <c r="D41" t="s">
        <v>251</v>
      </c>
      <c r="E41">
        <v>43839</v>
      </c>
      <c r="F41" t="s">
        <v>252</v>
      </c>
      <c r="H41" t="s">
        <v>134</v>
      </c>
    </row>
    <row r="42" spans="1:8" x14ac:dyDescent="0.35">
      <c r="F42" t="s">
        <v>253</v>
      </c>
    </row>
    <row r="43" spans="1:8" x14ac:dyDescent="0.35">
      <c r="F43" t="s">
        <v>254</v>
      </c>
    </row>
    <row r="44" spans="1:8" x14ac:dyDescent="0.35">
      <c r="F44" t="s">
        <v>255</v>
      </c>
    </row>
    <row r="45" spans="1:8" x14ac:dyDescent="0.35">
      <c r="A45" t="s">
        <v>135</v>
      </c>
      <c r="B45" t="s">
        <v>136</v>
      </c>
      <c r="C45" t="s">
        <v>256</v>
      </c>
      <c r="D45" t="s">
        <v>257</v>
      </c>
      <c r="E45">
        <v>43839</v>
      </c>
      <c r="F45" t="s">
        <v>252</v>
      </c>
      <c r="H45" t="s">
        <v>134</v>
      </c>
    </row>
    <row r="46" spans="1:8" x14ac:dyDescent="0.35">
      <c r="F46" t="s">
        <v>253</v>
      </c>
    </row>
    <row r="47" spans="1:8" x14ac:dyDescent="0.35">
      <c r="F47" t="s">
        <v>254</v>
      </c>
    </row>
    <row r="48" spans="1:8" x14ac:dyDescent="0.35">
      <c r="F48" t="s">
        <v>255</v>
      </c>
    </row>
    <row r="49" spans="1:8" x14ac:dyDescent="0.35">
      <c r="A49" t="s">
        <v>135</v>
      </c>
      <c r="B49" t="s">
        <v>136</v>
      </c>
      <c r="C49" t="s">
        <v>258</v>
      </c>
      <c r="D49" t="s">
        <v>259</v>
      </c>
      <c r="E49">
        <v>43839</v>
      </c>
      <c r="F49" t="s">
        <v>260</v>
      </c>
      <c r="H49" t="s">
        <v>134</v>
      </c>
    </row>
    <row r="50" spans="1:8" x14ac:dyDescent="0.35">
      <c r="A50" t="s">
        <v>135</v>
      </c>
      <c r="B50" t="s">
        <v>136</v>
      </c>
      <c r="C50" t="s">
        <v>261</v>
      </c>
      <c r="D50" t="s">
        <v>262</v>
      </c>
      <c r="E50">
        <v>43839</v>
      </c>
      <c r="F50" t="s">
        <v>260</v>
      </c>
      <c r="H50" t="s">
        <v>134</v>
      </c>
    </row>
    <row r="51" spans="1:8" x14ac:dyDescent="0.35">
      <c r="A51" t="s">
        <v>135</v>
      </c>
      <c r="B51" t="s">
        <v>136</v>
      </c>
      <c r="C51" t="s">
        <v>263</v>
      </c>
      <c r="D51" t="s">
        <v>264</v>
      </c>
      <c r="E51">
        <v>43839</v>
      </c>
      <c r="F51" t="s">
        <v>265</v>
      </c>
      <c r="H51" t="s">
        <v>134</v>
      </c>
    </row>
    <row r="52" spans="1:8" x14ac:dyDescent="0.35">
      <c r="A52" t="s">
        <v>135</v>
      </c>
      <c r="B52" t="s">
        <v>136</v>
      </c>
      <c r="C52" t="s">
        <v>266</v>
      </c>
      <c r="D52" t="s">
        <v>267</v>
      </c>
      <c r="E52">
        <v>43839</v>
      </c>
      <c r="F52" t="s">
        <v>265</v>
      </c>
      <c r="H52" t="s">
        <v>134</v>
      </c>
    </row>
    <row r="53" spans="1:8" x14ac:dyDescent="0.35">
      <c r="A53" t="s">
        <v>135</v>
      </c>
      <c r="B53" t="s">
        <v>136</v>
      </c>
      <c r="C53" t="s">
        <v>268</v>
      </c>
      <c r="D53" t="s">
        <v>144</v>
      </c>
      <c r="E53">
        <v>43834</v>
      </c>
      <c r="H53" t="s">
        <v>134</v>
      </c>
    </row>
    <row r="54" spans="1:8" x14ac:dyDescent="0.35">
      <c r="A54" t="s">
        <v>135</v>
      </c>
      <c r="B54" t="s">
        <v>136</v>
      </c>
      <c r="C54" t="s">
        <v>269</v>
      </c>
      <c r="D54" t="s">
        <v>270</v>
      </c>
      <c r="E54">
        <v>43817</v>
      </c>
      <c r="F54" t="s">
        <v>935</v>
      </c>
      <c r="H54" t="s">
        <v>134</v>
      </c>
    </row>
    <row r="55" spans="1:8" x14ac:dyDescent="0.35">
      <c r="F55" t="s">
        <v>938</v>
      </c>
    </row>
    <row r="56" spans="1:8" x14ac:dyDescent="0.35">
      <c r="A56" t="s">
        <v>135</v>
      </c>
      <c r="B56" t="s">
        <v>136</v>
      </c>
      <c r="C56" t="s">
        <v>271</v>
      </c>
      <c r="D56" t="s">
        <v>272</v>
      </c>
      <c r="E56">
        <v>43817</v>
      </c>
      <c r="F56" t="s">
        <v>273</v>
      </c>
      <c r="H56" t="s">
        <v>134</v>
      </c>
    </row>
    <row r="57" spans="1:8" x14ac:dyDescent="0.35">
      <c r="A57" t="s">
        <v>135</v>
      </c>
      <c r="B57" t="s">
        <v>136</v>
      </c>
      <c r="C57" t="s">
        <v>274</v>
      </c>
      <c r="D57" t="s">
        <v>275</v>
      </c>
      <c r="E57">
        <v>43817</v>
      </c>
      <c r="F57" t="s">
        <v>276</v>
      </c>
      <c r="H57" t="s">
        <v>134</v>
      </c>
    </row>
    <row r="58" spans="1:8" x14ac:dyDescent="0.35">
      <c r="A58" t="s">
        <v>135</v>
      </c>
      <c r="B58" t="s">
        <v>136</v>
      </c>
      <c r="C58" t="s">
        <v>277</v>
      </c>
      <c r="D58" t="s">
        <v>278</v>
      </c>
      <c r="E58">
        <v>43817</v>
      </c>
      <c r="F58" t="s">
        <v>279</v>
      </c>
      <c r="H58" t="s">
        <v>134</v>
      </c>
    </row>
    <row r="59" spans="1:8" x14ac:dyDescent="0.35">
      <c r="A59" t="s">
        <v>135</v>
      </c>
      <c r="B59" t="s">
        <v>136</v>
      </c>
      <c r="C59" t="s">
        <v>280</v>
      </c>
      <c r="D59" t="s">
        <v>281</v>
      </c>
      <c r="E59">
        <v>43817</v>
      </c>
      <c r="F59" t="s">
        <v>282</v>
      </c>
      <c r="H59" t="s">
        <v>134</v>
      </c>
    </row>
    <row r="60" spans="1:8" x14ac:dyDescent="0.35">
      <c r="A60" t="s">
        <v>135</v>
      </c>
      <c r="B60" t="s">
        <v>136</v>
      </c>
      <c r="C60" t="s">
        <v>283</v>
      </c>
      <c r="D60" t="s">
        <v>284</v>
      </c>
      <c r="E60">
        <v>43817</v>
      </c>
      <c r="F60" t="s">
        <v>285</v>
      </c>
      <c r="H60" t="s">
        <v>134</v>
      </c>
    </row>
    <row r="61" spans="1:8" x14ac:dyDescent="0.35">
      <c r="A61" t="s">
        <v>135</v>
      </c>
      <c r="B61" t="s">
        <v>136</v>
      </c>
      <c r="C61" t="s">
        <v>286</v>
      </c>
      <c r="D61" t="s">
        <v>287</v>
      </c>
      <c r="E61">
        <v>43817</v>
      </c>
      <c r="F61" t="s">
        <v>288</v>
      </c>
      <c r="H61" t="s">
        <v>134</v>
      </c>
    </row>
    <row r="62" spans="1:8" x14ac:dyDescent="0.35">
      <c r="A62" t="s">
        <v>135</v>
      </c>
      <c r="B62" t="s">
        <v>136</v>
      </c>
      <c r="C62" t="s">
        <v>289</v>
      </c>
      <c r="D62" t="s">
        <v>290</v>
      </c>
      <c r="E62">
        <v>43817</v>
      </c>
      <c r="F62" t="s">
        <v>291</v>
      </c>
      <c r="H62" t="s">
        <v>134</v>
      </c>
    </row>
    <row r="63" spans="1:8" x14ac:dyDescent="0.35">
      <c r="A63" t="s">
        <v>135</v>
      </c>
      <c r="B63" t="s">
        <v>136</v>
      </c>
      <c r="C63" t="s">
        <v>292</v>
      </c>
      <c r="D63" t="s">
        <v>293</v>
      </c>
      <c r="E63">
        <v>43817</v>
      </c>
      <c r="F63" t="s">
        <v>294</v>
      </c>
      <c r="H63" t="s">
        <v>134</v>
      </c>
    </row>
    <row r="64" spans="1:8" x14ac:dyDescent="0.35">
      <c r="A64" t="s">
        <v>135</v>
      </c>
      <c r="B64" t="s">
        <v>136</v>
      </c>
      <c r="C64" t="s">
        <v>295</v>
      </c>
      <c r="D64" t="s">
        <v>296</v>
      </c>
      <c r="E64">
        <v>43817</v>
      </c>
      <c r="F64" t="s">
        <v>297</v>
      </c>
      <c r="H64" t="s">
        <v>134</v>
      </c>
    </row>
    <row r="65" spans="1:8" x14ac:dyDescent="0.35">
      <c r="A65" t="s">
        <v>135</v>
      </c>
      <c r="B65" t="s">
        <v>136</v>
      </c>
      <c r="C65" t="s">
        <v>298</v>
      </c>
      <c r="D65" t="s">
        <v>299</v>
      </c>
      <c r="E65">
        <v>43817</v>
      </c>
      <c r="F65" t="s">
        <v>300</v>
      </c>
      <c r="H65" t="s">
        <v>134</v>
      </c>
    </row>
    <row r="66" spans="1:8" x14ac:dyDescent="0.35">
      <c r="A66" t="s">
        <v>135</v>
      </c>
      <c r="B66" t="s">
        <v>136</v>
      </c>
      <c r="C66" t="s">
        <v>301</v>
      </c>
      <c r="D66" t="s">
        <v>302</v>
      </c>
      <c r="E66">
        <v>43817</v>
      </c>
      <c r="F66" t="s">
        <v>303</v>
      </c>
      <c r="H66" t="s">
        <v>134</v>
      </c>
    </row>
    <row r="67" spans="1:8" x14ac:dyDescent="0.35">
      <c r="A67" t="s">
        <v>135</v>
      </c>
      <c r="B67" t="s">
        <v>136</v>
      </c>
      <c r="C67" t="s">
        <v>304</v>
      </c>
      <c r="D67" t="s">
        <v>305</v>
      </c>
      <c r="E67">
        <v>43817</v>
      </c>
      <c r="F67" t="s">
        <v>306</v>
      </c>
      <c r="H67" t="s">
        <v>134</v>
      </c>
    </row>
    <row r="68" spans="1:8" x14ac:dyDescent="0.35">
      <c r="A68" t="s">
        <v>135</v>
      </c>
      <c r="B68" t="s">
        <v>136</v>
      </c>
      <c r="C68" t="s">
        <v>307</v>
      </c>
      <c r="D68" t="s">
        <v>308</v>
      </c>
      <c r="E68">
        <v>43817</v>
      </c>
      <c r="F68" t="s">
        <v>309</v>
      </c>
      <c r="H68" t="s">
        <v>134</v>
      </c>
    </row>
    <row r="69" spans="1:8" x14ac:dyDescent="0.35">
      <c r="A69" t="s">
        <v>135</v>
      </c>
      <c r="B69" t="s">
        <v>136</v>
      </c>
      <c r="C69" t="s">
        <v>310</v>
      </c>
      <c r="D69" t="s">
        <v>311</v>
      </c>
      <c r="E69">
        <v>43817</v>
      </c>
      <c r="F69" t="s">
        <v>312</v>
      </c>
      <c r="H69" t="s">
        <v>134</v>
      </c>
    </row>
    <row r="70" spans="1:8" x14ac:dyDescent="0.35">
      <c r="A70" t="s">
        <v>135</v>
      </c>
      <c r="B70" t="s">
        <v>136</v>
      </c>
      <c r="C70" t="s">
        <v>313</v>
      </c>
      <c r="D70" t="s">
        <v>314</v>
      </c>
      <c r="E70">
        <v>43817</v>
      </c>
      <c r="F70" t="s">
        <v>315</v>
      </c>
      <c r="H70" t="s">
        <v>134</v>
      </c>
    </row>
    <row r="71" spans="1:8" x14ac:dyDescent="0.35">
      <c r="A71" t="s">
        <v>135</v>
      </c>
      <c r="B71" t="s">
        <v>136</v>
      </c>
      <c r="C71" t="s">
        <v>316</v>
      </c>
      <c r="D71" t="s">
        <v>275</v>
      </c>
      <c r="E71">
        <v>43817</v>
      </c>
      <c r="H71" t="s">
        <v>134</v>
      </c>
    </row>
    <row r="72" spans="1:8" x14ac:dyDescent="0.35">
      <c r="A72" t="s">
        <v>135</v>
      </c>
      <c r="B72" t="s">
        <v>136</v>
      </c>
      <c r="C72" t="s">
        <v>317</v>
      </c>
      <c r="D72" t="s">
        <v>318</v>
      </c>
      <c r="E72">
        <v>43817</v>
      </c>
      <c r="F72" t="s">
        <v>319</v>
      </c>
      <c r="H72" t="s">
        <v>134</v>
      </c>
    </row>
    <row r="73" spans="1:8" x14ac:dyDescent="0.35">
      <c r="A73" t="s">
        <v>135</v>
      </c>
      <c r="B73" t="s">
        <v>136</v>
      </c>
      <c r="C73" t="s">
        <v>320</v>
      </c>
      <c r="D73" t="s">
        <v>321</v>
      </c>
      <c r="E73">
        <v>43817</v>
      </c>
      <c r="F73" t="s">
        <v>322</v>
      </c>
      <c r="H73" t="s">
        <v>134</v>
      </c>
    </row>
    <row r="74" spans="1:8" x14ac:dyDescent="0.35">
      <c r="A74" t="s">
        <v>135</v>
      </c>
      <c r="B74" t="s">
        <v>136</v>
      </c>
      <c r="C74" t="s">
        <v>323</v>
      </c>
      <c r="D74" t="s">
        <v>324</v>
      </c>
      <c r="E74">
        <v>43817</v>
      </c>
      <c r="F74" t="s">
        <v>936</v>
      </c>
      <c r="H74" t="s">
        <v>134</v>
      </c>
    </row>
    <row r="75" spans="1:8" x14ac:dyDescent="0.35">
      <c r="A75" t="s">
        <v>135</v>
      </c>
      <c r="B75" t="s">
        <v>136</v>
      </c>
      <c r="C75" t="s">
        <v>325</v>
      </c>
      <c r="D75" t="s">
        <v>326</v>
      </c>
      <c r="E75">
        <v>43817</v>
      </c>
      <c r="F75" t="s">
        <v>327</v>
      </c>
      <c r="H75" t="s">
        <v>134</v>
      </c>
    </row>
    <row r="76" spans="1:8" x14ac:dyDescent="0.35">
      <c r="A76" t="s">
        <v>135</v>
      </c>
      <c r="B76" t="s">
        <v>136</v>
      </c>
      <c r="C76" t="s">
        <v>328</v>
      </c>
      <c r="D76" t="s">
        <v>329</v>
      </c>
      <c r="E76">
        <v>43813</v>
      </c>
      <c r="F76" t="s">
        <v>330</v>
      </c>
      <c r="H76" t="s">
        <v>134</v>
      </c>
    </row>
    <row r="77" spans="1:8" x14ac:dyDescent="0.35">
      <c r="A77" t="s">
        <v>135</v>
      </c>
      <c r="B77" t="s">
        <v>136</v>
      </c>
      <c r="C77" t="s">
        <v>331</v>
      </c>
      <c r="D77" t="s">
        <v>332</v>
      </c>
      <c r="E77">
        <v>43812</v>
      </c>
      <c r="F77" t="s">
        <v>333</v>
      </c>
      <c r="H77" t="s">
        <v>134</v>
      </c>
    </row>
    <row r="78" spans="1:8" x14ac:dyDescent="0.35">
      <c r="A78" t="s">
        <v>135</v>
      </c>
      <c r="B78" t="s">
        <v>136</v>
      </c>
      <c r="C78" t="s">
        <v>334</v>
      </c>
      <c r="D78" t="s">
        <v>335</v>
      </c>
      <c r="E78">
        <v>43812</v>
      </c>
      <c r="F78" t="s">
        <v>336</v>
      </c>
      <c r="H78" t="s">
        <v>134</v>
      </c>
    </row>
    <row r="79" spans="1:8" x14ac:dyDescent="0.35">
      <c r="A79" t="s">
        <v>135</v>
      </c>
      <c r="B79" t="s">
        <v>136</v>
      </c>
      <c r="C79" t="s">
        <v>337</v>
      </c>
      <c r="D79" t="s">
        <v>338</v>
      </c>
      <c r="E79">
        <v>43812</v>
      </c>
      <c r="F79" t="s">
        <v>165</v>
      </c>
      <c r="H79" t="s">
        <v>134</v>
      </c>
    </row>
    <row r="80" spans="1:8" x14ac:dyDescent="0.35">
      <c r="A80" t="s">
        <v>135</v>
      </c>
      <c r="B80" t="s">
        <v>136</v>
      </c>
      <c r="C80" t="s">
        <v>339</v>
      </c>
      <c r="D80" t="s">
        <v>340</v>
      </c>
      <c r="E80">
        <v>43812</v>
      </c>
      <c r="F80" t="s">
        <v>341</v>
      </c>
      <c r="H80" t="s">
        <v>134</v>
      </c>
    </row>
    <row r="81" spans="1:8" x14ac:dyDescent="0.35">
      <c r="A81" t="s">
        <v>135</v>
      </c>
      <c r="B81" t="s">
        <v>136</v>
      </c>
      <c r="C81" t="s">
        <v>342</v>
      </c>
      <c r="D81" t="s">
        <v>343</v>
      </c>
      <c r="E81">
        <v>43812</v>
      </c>
      <c r="F81" t="s">
        <v>344</v>
      </c>
      <c r="H81" t="s">
        <v>134</v>
      </c>
    </row>
    <row r="82" spans="1:8" x14ac:dyDescent="0.35">
      <c r="A82" t="s">
        <v>135</v>
      </c>
      <c r="B82" t="s">
        <v>136</v>
      </c>
      <c r="C82" t="s">
        <v>345</v>
      </c>
      <c r="D82" t="s">
        <v>346</v>
      </c>
      <c r="E82">
        <v>43812</v>
      </c>
      <c r="F82" t="s">
        <v>347</v>
      </c>
      <c r="H82" t="s">
        <v>134</v>
      </c>
    </row>
    <row r="83" spans="1:8" x14ac:dyDescent="0.35">
      <c r="A83" t="s">
        <v>135</v>
      </c>
      <c r="B83" t="s">
        <v>136</v>
      </c>
      <c r="C83" t="s">
        <v>348</v>
      </c>
      <c r="D83" t="s">
        <v>349</v>
      </c>
      <c r="E83">
        <v>43812</v>
      </c>
      <c r="F83" t="s">
        <v>207</v>
      </c>
      <c r="H83" t="s">
        <v>134</v>
      </c>
    </row>
    <row r="84" spans="1:8" x14ac:dyDescent="0.35">
      <c r="A84" t="s">
        <v>135</v>
      </c>
      <c r="B84" t="s">
        <v>136</v>
      </c>
      <c r="C84" t="s">
        <v>350</v>
      </c>
      <c r="D84" t="s">
        <v>351</v>
      </c>
      <c r="E84">
        <v>43812</v>
      </c>
      <c r="F84" t="s">
        <v>276</v>
      </c>
      <c r="H84" t="s">
        <v>134</v>
      </c>
    </row>
    <row r="85" spans="1:8" x14ac:dyDescent="0.35">
      <c r="A85" t="s">
        <v>135</v>
      </c>
      <c r="B85" t="s">
        <v>136</v>
      </c>
      <c r="C85" t="s">
        <v>352</v>
      </c>
      <c r="D85" t="s">
        <v>353</v>
      </c>
      <c r="E85">
        <v>43812</v>
      </c>
      <c r="F85" t="s">
        <v>354</v>
      </c>
      <c r="H85" t="s">
        <v>134</v>
      </c>
    </row>
    <row r="86" spans="1:8" x14ac:dyDescent="0.35">
      <c r="A86" t="s">
        <v>135</v>
      </c>
      <c r="B86" t="s">
        <v>136</v>
      </c>
      <c r="C86" t="s">
        <v>355</v>
      </c>
      <c r="D86" t="s">
        <v>167</v>
      </c>
      <c r="E86">
        <v>43812</v>
      </c>
      <c r="F86" t="s">
        <v>356</v>
      </c>
      <c r="H86" t="s">
        <v>134</v>
      </c>
    </row>
    <row r="87" spans="1:8" x14ac:dyDescent="0.35">
      <c r="A87" t="s">
        <v>135</v>
      </c>
      <c r="B87" t="s">
        <v>136</v>
      </c>
      <c r="C87" t="s">
        <v>357</v>
      </c>
      <c r="D87" t="s">
        <v>358</v>
      </c>
      <c r="E87">
        <v>43812</v>
      </c>
      <c r="F87" t="s">
        <v>359</v>
      </c>
      <c r="H87" t="s">
        <v>134</v>
      </c>
    </row>
    <row r="88" spans="1:8" x14ac:dyDescent="0.35">
      <c r="A88" t="s">
        <v>135</v>
      </c>
      <c r="B88" t="s">
        <v>136</v>
      </c>
      <c r="C88" t="s">
        <v>360</v>
      </c>
      <c r="D88" t="s">
        <v>361</v>
      </c>
      <c r="E88">
        <v>43812</v>
      </c>
      <c r="F88" t="s">
        <v>362</v>
      </c>
      <c r="H88" t="s">
        <v>134</v>
      </c>
    </row>
    <row r="89" spans="1:8" x14ac:dyDescent="0.35">
      <c r="A89" t="s">
        <v>135</v>
      </c>
      <c r="B89" t="s">
        <v>136</v>
      </c>
      <c r="C89" t="s">
        <v>363</v>
      </c>
      <c r="D89" t="s">
        <v>364</v>
      </c>
      <c r="E89">
        <v>43812</v>
      </c>
      <c r="F89" t="s">
        <v>365</v>
      </c>
      <c r="H89" t="s">
        <v>134</v>
      </c>
    </row>
    <row r="90" spans="1:8" x14ac:dyDescent="0.35">
      <c r="A90" t="s">
        <v>135</v>
      </c>
      <c r="B90" t="s">
        <v>136</v>
      </c>
      <c r="C90" t="s">
        <v>366</v>
      </c>
      <c r="D90" t="s">
        <v>367</v>
      </c>
      <c r="E90">
        <v>43804</v>
      </c>
      <c r="F90" t="s">
        <v>368</v>
      </c>
      <c r="H90" t="s">
        <v>134</v>
      </c>
    </row>
    <row r="91" spans="1:8" x14ac:dyDescent="0.35">
      <c r="F91" t="s">
        <v>369</v>
      </c>
    </row>
    <row r="92" spans="1:8" x14ac:dyDescent="0.35">
      <c r="A92" t="s">
        <v>135</v>
      </c>
      <c r="B92" t="s">
        <v>136</v>
      </c>
      <c r="C92" t="s">
        <v>370</v>
      </c>
      <c r="D92" t="s">
        <v>371</v>
      </c>
      <c r="E92">
        <v>43803</v>
      </c>
      <c r="F92" t="s">
        <v>372</v>
      </c>
      <c r="H92" t="s">
        <v>134</v>
      </c>
    </row>
    <row r="93" spans="1:8" x14ac:dyDescent="0.35">
      <c r="A93" t="s">
        <v>135</v>
      </c>
      <c r="B93" t="s">
        <v>136</v>
      </c>
      <c r="C93" t="s">
        <v>373</v>
      </c>
      <c r="D93" t="s">
        <v>374</v>
      </c>
      <c r="E93">
        <v>43803</v>
      </c>
      <c r="F93" t="s">
        <v>372</v>
      </c>
      <c r="H93" t="s">
        <v>134</v>
      </c>
    </row>
    <row r="94" spans="1:8" x14ac:dyDescent="0.35">
      <c r="A94" t="s">
        <v>135</v>
      </c>
      <c r="B94" t="s">
        <v>136</v>
      </c>
      <c r="C94" t="s">
        <v>375</v>
      </c>
      <c r="D94" t="s">
        <v>376</v>
      </c>
      <c r="E94">
        <v>43803</v>
      </c>
      <c r="F94" t="s">
        <v>377</v>
      </c>
      <c r="H94" t="s">
        <v>134</v>
      </c>
    </row>
    <row r="95" spans="1:8" x14ac:dyDescent="0.35">
      <c r="A95" t="s">
        <v>135</v>
      </c>
      <c r="B95" t="s">
        <v>136</v>
      </c>
      <c r="C95" t="s">
        <v>378</v>
      </c>
      <c r="D95" t="s">
        <v>379</v>
      </c>
      <c r="E95">
        <v>43803</v>
      </c>
      <c r="F95" t="s">
        <v>377</v>
      </c>
      <c r="H95" t="s">
        <v>134</v>
      </c>
    </row>
    <row r="96" spans="1:8" x14ac:dyDescent="0.35">
      <c r="A96" t="s">
        <v>135</v>
      </c>
      <c r="B96" t="s">
        <v>136</v>
      </c>
      <c r="C96" t="s">
        <v>380</v>
      </c>
      <c r="D96" t="s">
        <v>381</v>
      </c>
      <c r="E96">
        <v>43784</v>
      </c>
      <c r="F96" t="s">
        <v>382</v>
      </c>
      <c r="H96" t="s">
        <v>134</v>
      </c>
    </row>
    <row r="97" spans="1:8" x14ac:dyDescent="0.35">
      <c r="A97" t="s">
        <v>135</v>
      </c>
      <c r="B97" t="s">
        <v>136</v>
      </c>
      <c r="C97" t="s">
        <v>383</v>
      </c>
      <c r="D97" t="s">
        <v>384</v>
      </c>
      <c r="E97">
        <v>43784</v>
      </c>
      <c r="F97" t="s">
        <v>385</v>
      </c>
      <c r="H97" t="s">
        <v>134</v>
      </c>
    </row>
    <row r="98" spans="1:8" x14ac:dyDescent="0.35">
      <c r="A98" t="s">
        <v>135</v>
      </c>
      <c r="B98" t="s">
        <v>136</v>
      </c>
      <c r="C98" t="s">
        <v>386</v>
      </c>
      <c r="D98" t="s">
        <v>387</v>
      </c>
      <c r="E98">
        <v>43784</v>
      </c>
      <c r="F98" t="s">
        <v>388</v>
      </c>
      <c r="H98" t="s">
        <v>134</v>
      </c>
    </row>
    <row r="99" spans="1:8" x14ac:dyDescent="0.35">
      <c r="A99" t="s">
        <v>135</v>
      </c>
      <c r="B99" t="s">
        <v>136</v>
      </c>
      <c r="C99" t="s">
        <v>389</v>
      </c>
      <c r="D99" t="s">
        <v>390</v>
      </c>
      <c r="E99">
        <v>43783</v>
      </c>
      <c r="F99" t="s">
        <v>391</v>
      </c>
      <c r="H99" t="s">
        <v>134</v>
      </c>
    </row>
    <row r="100" spans="1:8" x14ac:dyDescent="0.35">
      <c r="A100" t="s">
        <v>135</v>
      </c>
      <c r="B100" t="s">
        <v>136</v>
      </c>
      <c r="C100" t="s">
        <v>392</v>
      </c>
      <c r="D100" t="s">
        <v>393</v>
      </c>
      <c r="E100">
        <v>43783</v>
      </c>
      <c r="F100" t="s">
        <v>391</v>
      </c>
      <c r="H100" t="s">
        <v>134</v>
      </c>
    </row>
    <row r="101" spans="1:8" x14ac:dyDescent="0.35">
      <c r="A101" t="s">
        <v>135</v>
      </c>
      <c r="B101" t="s">
        <v>136</v>
      </c>
      <c r="C101" t="s">
        <v>394</v>
      </c>
      <c r="D101" t="s">
        <v>395</v>
      </c>
      <c r="E101">
        <v>43783</v>
      </c>
      <c r="F101" t="s">
        <v>396</v>
      </c>
      <c r="H101" t="s">
        <v>134</v>
      </c>
    </row>
    <row r="102" spans="1:8" x14ac:dyDescent="0.35">
      <c r="A102" t="s">
        <v>135</v>
      </c>
      <c r="B102" t="s">
        <v>136</v>
      </c>
      <c r="C102" t="s">
        <v>397</v>
      </c>
      <c r="D102" t="s">
        <v>398</v>
      </c>
      <c r="E102">
        <v>43783</v>
      </c>
      <c r="F102" t="s">
        <v>399</v>
      </c>
      <c r="H102" t="s">
        <v>134</v>
      </c>
    </row>
    <row r="103" spans="1:8" x14ac:dyDescent="0.35">
      <c r="A103" t="s">
        <v>135</v>
      </c>
      <c r="B103" t="s">
        <v>136</v>
      </c>
      <c r="C103" t="s">
        <v>400</v>
      </c>
      <c r="D103" t="s">
        <v>401</v>
      </c>
      <c r="E103">
        <v>43783</v>
      </c>
      <c r="F103" t="s">
        <v>402</v>
      </c>
      <c r="H103" t="s">
        <v>134</v>
      </c>
    </row>
    <row r="104" spans="1:8" x14ac:dyDescent="0.35">
      <c r="A104" t="s">
        <v>135</v>
      </c>
      <c r="B104" t="s">
        <v>136</v>
      </c>
      <c r="C104" t="s">
        <v>403</v>
      </c>
      <c r="D104" t="s">
        <v>404</v>
      </c>
      <c r="E104">
        <v>43783</v>
      </c>
      <c r="F104" t="s">
        <v>405</v>
      </c>
      <c r="H104" t="s">
        <v>134</v>
      </c>
    </row>
    <row r="105" spans="1:8" x14ac:dyDescent="0.35">
      <c r="A105" t="s">
        <v>135</v>
      </c>
      <c r="B105" t="s">
        <v>136</v>
      </c>
      <c r="C105" t="s">
        <v>406</v>
      </c>
      <c r="D105" t="s">
        <v>407</v>
      </c>
      <c r="E105">
        <v>43783</v>
      </c>
      <c r="F105" t="s">
        <v>408</v>
      </c>
      <c r="H105" t="s">
        <v>134</v>
      </c>
    </row>
    <row r="106" spans="1:8" x14ac:dyDescent="0.35">
      <c r="A106" t="s">
        <v>135</v>
      </c>
      <c r="B106" t="s">
        <v>136</v>
      </c>
      <c r="C106" t="s">
        <v>409</v>
      </c>
      <c r="D106" t="s">
        <v>410</v>
      </c>
      <c r="E106">
        <v>43783</v>
      </c>
      <c r="F106" t="s">
        <v>411</v>
      </c>
      <c r="H106" t="s">
        <v>134</v>
      </c>
    </row>
    <row r="107" spans="1:8" x14ac:dyDescent="0.35">
      <c r="A107" t="s">
        <v>135</v>
      </c>
      <c r="B107" t="s">
        <v>136</v>
      </c>
      <c r="C107" t="s">
        <v>412</v>
      </c>
      <c r="D107" t="s">
        <v>413</v>
      </c>
      <c r="E107">
        <v>43783</v>
      </c>
      <c r="F107" t="s">
        <v>414</v>
      </c>
      <c r="H107" t="s">
        <v>134</v>
      </c>
    </row>
    <row r="108" spans="1:8" x14ac:dyDescent="0.35">
      <c r="A108" t="s">
        <v>135</v>
      </c>
      <c r="B108" t="s">
        <v>136</v>
      </c>
      <c r="C108" t="s">
        <v>415</v>
      </c>
      <c r="D108" t="s">
        <v>416</v>
      </c>
      <c r="E108">
        <v>43783</v>
      </c>
      <c r="F108" t="s">
        <v>417</v>
      </c>
      <c r="H108" t="s">
        <v>134</v>
      </c>
    </row>
    <row r="109" spans="1:8" x14ac:dyDescent="0.35">
      <c r="A109" t="s">
        <v>135</v>
      </c>
      <c r="B109" t="s">
        <v>136</v>
      </c>
      <c r="C109" t="s">
        <v>418</v>
      </c>
      <c r="D109" t="s">
        <v>419</v>
      </c>
      <c r="E109">
        <v>43783</v>
      </c>
      <c r="F109" t="s">
        <v>420</v>
      </c>
      <c r="H109" t="s">
        <v>134</v>
      </c>
    </row>
    <row r="110" spans="1:8" x14ac:dyDescent="0.35">
      <c r="A110" t="s">
        <v>135</v>
      </c>
      <c r="B110" t="s">
        <v>136</v>
      </c>
      <c r="C110" t="s">
        <v>421</v>
      </c>
      <c r="D110" t="s">
        <v>422</v>
      </c>
      <c r="E110">
        <v>43783</v>
      </c>
      <c r="F110" t="s">
        <v>423</v>
      </c>
      <c r="H110" t="s">
        <v>134</v>
      </c>
    </row>
    <row r="111" spans="1:8" x14ac:dyDescent="0.35">
      <c r="A111" t="s">
        <v>135</v>
      </c>
      <c r="B111" t="s">
        <v>136</v>
      </c>
      <c r="C111" t="s">
        <v>424</v>
      </c>
      <c r="D111" t="s">
        <v>425</v>
      </c>
      <c r="E111">
        <v>43783</v>
      </c>
      <c r="F111" t="s">
        <v>426</v>
      </c>
      <c r="H111" t="s">
        <v>134</v>
      </c>
    </row>
    <row r="112" spans="1:8" x14ac:dyDescent="0.35">
      <c r="A112" t="s">
        <v>135</v>
      </c>
      <c r="B112" t="s">
        <v>136</v>
      </c>
      <c r="C112" t="s">
        <v>427</v>
      </c>
      <c r="D112" t="s">
        <v>428</v>
      </c>
      <c r="E112">
        <v>43783</v>
      </c>
      <c r="F112" t="s">
        <v>429</v>
      </c>
      <c r="H112" t="s">
        <v>134</v>
      </c>
    </row>
    <row r="113" spans="1:8" x14ac:dyDescent="0.35">
      <c r="A113" t="s">
        <v>135</v>
      </c>
      <c r="B113" t="s">
        <v>136</v>
      </c>
      <c r="C113" t="s">
        <v>430</v>
      </c>
      <c r="D113" t="s">
        <v>431</v>
      </c>
      <c r="E113">
        <v>43783</v>
      </c>
      <c r="F113" t="s">
        <v>937</v>
      </c>
      <c r="H113" t="s">
        <v>134</v>
      </c>
    </row>
    <row r="114" spans="1:8" x14ac:dyDescent="0.35">
      <c r="A114" t="s">
        <v>135</v>
      </c>
      <c r="B114" t="s">
        <v>136</v>
      </c>
      <c r="C114" t="s">
        <v>432</v>
      </c>
      <c r="D114" t="s">
        <v>433</v>
      </c>
      <c r="E114">
        <v>43773</v>
      </c>
      <c r="F114" t="s">
        <v>434</v>
      </c>
      <c r="H114" t="s">
        <v>134</v>
      </c>
    </row>
    <row r="115" spans="1:8" x14ac:dyDescent="0.35">
      <c r="A115" t="s">
        <v>135</v>
      </c>
      <c r="B115" t="s">
        <v>136</v>
      </c>
      <c r="C115" t="s">
        <v>435</v>
      </c>
      <c r="D115" t="s">
        <v>436</v>
      </c>
      <c r="E115">
        <v>43773</v>
      </c>
      <c r="F115" t="s">
        <v>437</v>
      </c>
      <c r="H115" t="s">
        <v>134</v>
      </c>
    </row>
    <row r="116" spans="1:8" x14ac:dyDescent="0.35">
      <c r="A116" t="s">
        <v>135</v>
      </c>
      <c r="B116" t="s">
        <v>136</v>
      </c>
      <c r="C116" t="s">
        <v>438</v>
      </c>
      <c r="D116" t="s">
        <v>439</v>
      </c>
      <c r="E116">
        <v>43773</v>
      </c>
      <c r="F116" t="s">
        <v>440</v>
      </c>
      <c r="H116" t="s">
        <v>134</v>
      </c>
    </row>
    <row r="117" spans="1:8" x14ac:dyDescent="0.35">
      <c r="A117" t="s">
        <v>135</v>
      </c>
      <c r="B117" t="s">
        <v>136</v>
      </c>
      <c r="C117" t="s">
        <v>441</v>
      </c>
      <c r="D117" t="s">
        <v>442</v>
      </c>
      <c r="E117">
        <v>43773</v>
      </c>
      <c r="F117" t="s">
        <v>443</v>
      </c>
      <c r="H117" t="s">
        <v>134</v>
      </c>
    </row>
    <row r="118" spans="1:8" x14ac:dyDescent="0.35">
      <c r="A118" t="s">
        <v>135</v>
      </c>
      <c r="B118" t="s">
        <v>136</v>
      </c>
      <c r="C118" t="s">
        <v>444</v>
      </c>
      <c r="D118" t="s">
        <v>445</v>
      </c>
      <c r="E118">
        <v>43773</v>
      </c>
      <c r="F118" t="s">
        <v>446</v>
      </c>
      <c r="H118" t="s">
        <v>134</v>
      </c>
    </row>
    <row r="119" spans="1:8" x14ac:dyDescent="0.35">
      <c r="A119" t="s">
        <v>135</v>
      </c>
      <c r="B119" t="s">
        <v>136</v>
      </c>
      <c r="C119" t="s">
        <v>447</v>
      </c>
      <c r="D119" t="s">
        <v>448</v>
      </c>
      <c r="E119">
        <v>43773</v>
      </c>
      <c r="F119" t="s">
        <v>449</v>
      </c>
      <c r="H119" t="s">
        <v>134</v>
      </c>
    </row>
    <row r="120" spans="1:8" x14ac:dyDescent="0.35">
      <c r="A120" t="s">
        <v>135</v>
      </c>
      <c r="B120" t="s">
        <v>136</v>
      </c>
      <c r="C120" t="s">
        <v>450</v>
      </c>
      <c r="D120" t="s">
        <v>451</v>
      </c>
      <c r="E120">
        <v>43773</v>
      </c>
      <c r="F120" t="s">
        <v>452</v>
      </c>
      <c r="H120" t="s">
        <v>134</v>
      </c>
    </row>
    <row r="121" spans="1:8" x14ac:dyDescent="0.35">
      <c r="A121" t="s">
        <v>135</v>
      </c>
      <c r="B121" t="s">
        <v>136</v>
      </c>
      <c r="C121" t="s">
        <v>453</v>
      </c>
      <c r="D121" t="s">
        <v>454</v>
      </c>
      <c r="E121">
        <v>43773</v>
      </c>
      <c r="F121" t="s">
        <v>455</v>
      </c>
      <c r="H121" t="s">
        <v>134</v>
      </c>
    </row>
    <row r="122" spans="1:8" x14ac:dyDescent="0.35">
      <c r="A122" t="s">
        <v>135</v>
      </c>
      <c r="B122" t="s">
        <v>136</v>
      </c>
      <c r="C122" t="s">
        <v>456</v>
      </c>
      <c r="D122" t="s">
        <v>457</v>
      </c>
      <c r="E122">
        <v>43773</v>
      </c>
      <c r="F122" t="s">
        <v>458</v>
      </c>
      <c r="H122" t="s">
        <v>134</v>
      </c>
    </row>
    <row r="123" spans="1:8" x14ac:dyDescent="0.35">
      <c r="A123" t="s">
        <v>135</v>
      </c>
      <c r="B123" t="s">
        <v>136</v>
      </c>
      <c r="C123" t="s">
        <v>459</v>
      </c>
      <c r="D123" t="s">
        <v>460</v>
      </c>
      <c r="E123">
        <v>43773</v>
      </c>
      <c r="F123" t="s">
        <v>461</v>
      </c>
      <c r="H123" t="s">
        <v>134</v>
      </c>
    </row>
    <row r="124" spans="1:8" x14ac:dyDescent="0.35">
      <c r="A124" t="s">
        <v>135</v>
      </c>
      <c r="B124" t="s">
        <v>462</v>
      </c>
      <c r="C124" t="s">
        <v>463</v>
      </c>
      <c r="D124" t="s">
        <v>464</v>
      </c>
      <c r="E124">
        <v>43773</v>
      </c>
      <c r="F124" t="s">
        <v>461</v>
      </c>
      <c r="H124" t="s">
        <v>134</v>
      </c>
    </row>
    <row r="125" spans="1:8" x14ac:dyDescent="0.35">
      <c r="A125" t="s">
        <v>135</v>
      </c>
      <c r="B125" t="s">
        <v>136</v>
      </c>
      <c r="C125" t="s">
        <v>465</v>
      </c>
      <c r="D125" t="s">
        <v>466</v>
      </c>
      <c r="E125">
        <v>43773</v>
      </c>
      <c r="F125" t="s">
        <v>467</v>
      </c>
      <c r="H125" t="s">
        <v>134</v>
      </c>
    </row>
    <row r="126" spans="1:8" x14ac:dyDescent="0.35">
      <c r="A126" t="s">
        <v>135</v>
      </c>
      <c r="B126" t="s">
        <v>136</v>
      </c>
      <c r="C126" t="s">
        <v>468</v>
      </c>
      <c r="D126" t="s">
        <v>469</v>
      </c>
      <c r="E126">
        <v>43768</v>
      </c>
      <c r="F126" t="s">
        <v>470</v>
      </c>
      <c r="H126" t="s">
        <v>134</v>
      </c>
    </row>
    <row r="127" spans="1:8" x14ac:dyDescent="0.35">
      <c r="A127" t="s">
        <v>135</v>
      </c>
      <c r="B127" t="s">
        <v>136</v>
      </c>
      <c r="C127" t="s">
        <v>471</v>
      </c>
      <c r="D127" t="s">
        <v>472</v>
      </c>
      <c r="E127">
        <v>43768</v>
      </c>
      <c r="F127" t="s">
        <v>473</v>
      </c>
      <c r="H127" t="s">
        <v>134</v>
      </c>
    </row>
    <row r="128" spans="1:8" x14ac:dyDescent="0.35">
      <c r="A128" t="s">
        <v>135</v>
      </c>
      <c r="B128" t="s">
        <v>136</v>
      </c>
      <c r="C128" t="s">
        <v>474</v>
      </c>
      <c r="D128" t="s">
        <v>475</v>
      </c>
      <c r="E128">
        <v>43768</v>
      </c>
      <c r="F128" t="s">
        <v>476</v>
      </c>
      <c r="H128" t="s">
        <v>134</v>
      </c>
    </row>
    <row r="129" spans="1:8" x14ac:dyDescent="0.35">
      <c r="A129" t="s">
        <v>135</v>
      </c>
      <c r="B129" t="s">
        <v>136</v>
      </c>
      <c r="C129" t="s">
        <v>477</v>
      </c>
      <c r="D129" t="s">
        <v>478</v>
      </c>
      <c r="E129">
        <v>43768</v>
      </c>
      <c r="F129" t="s">
        <v>479</v>
      </c>
      <c r="H129" t="s">
        <v>134</v>
      </c>
    </row>
    <row r="130" spans="1:8" x14ac:dyDescent="0.35">
      <c r="A130" t="s">
        <v>135</v>
      </c>
      <c r="B130" t="s">
        <v>136</v>
      </c>
      <c r="C130" t="s">
        <v>480</v>
      </c>
      <c r="D130" t="s">
        <v>481</v>
      </c>
      <c r="E130">
        <v>43768</v>
      </c>
      <c r="F130" t="s">
        <v>482</v>
      </c>
      <c r="H130" t="s">
        <v>134</v>
      </c>
    </row>
    <row r="131" spans="1:8" x14ac:dyDescent="0.35">
      <c r="A131" t="s">
        <v>135</v>
      </c>
      <c r="B131" t="s">
        <v>136</v>
      </c>
      <c r="C131" t="s">
        <v>483</v>
      </c>
      <c r="D131" t="s">
        <v>484</v>
      </c>
      <c r="E131">
        <v>43766</v>
      </c>
      <c r="F131" t="s">
        <v>485</v>
      </c>
      <c r="H131" t="s">
        <v>134</v>
      </c>
    </row>
    <row r="132" spans="1:8" x14ac:dyDescent="0.35">
      <c r="A132" t="s">
        <v>135</v>
      </c>
      <c r="B132" t="s">
        <v>136</v>
      </c>
      <c r="C132" t="s">
        <v>486</v>
      </c>
      <c r="D132" t="s">
        <v>487</v>
      </c>
      <c r="E132">
        <v>43766</v>
      </c>
      <c r="F132" t="s">
        <v>488</v>
      </c>
      <c r="H132" t="s">
        <v>134</v>
      </c>
    </row>
    <row r="133" spans="1:8" x14ac:dyDescent="0.35">
      <c r="A133" t="s">
        <v>135</v>
      </c>
      <c r="B133" t="s">
        <v>136</v>
      </c>
      <c r="C133" t="s">
        <v>489</v>
      </c>
      <c r="D133" t="s">
        <v>490</v>
      </c>
      <c r="E133">
        <v>43766</v>
      </c>
      <c r="F133" t="s">
        <v>491</v>
      </c>
      <c r="H133" t="s">
        <v>134</v>
      </c>
    </row>
    <row r="134" spans="1:8" x14ac:dyDescent="0.35">
      <c r="A134" t="s">
        <v>135</v>
      </c>
      <c r="B134" t="s">
        <v>136</v>
      </c>
      <c r="C134" t="s">
        <v>492</v>
      </c>
      <c r="D134" t="s">
        <v>493</v>
      </c>
      <c r="E134">
        <v>43766</v>
      </c>
      <c r="F134" t="s">
        <v>159</v>
      </c>
      <c r="H134" t="s">
        <v>134</v>
      </c>
    </row>
    <row r="135" spans="1:8" x14ac:dyDescent="0.35">
      <c r="A135" t="s">
        <v>135</v>
      </c>
      <c r="B135" t="s">
        <v>136</v>
      </c>
      <c r="C135" t="s">
        <v>494</v>
      </c>
      <c r="D135" t="s">
        <v>495</v>
      </c>
      <c r="E135">
        <v>43766</v>
      </c>
      <c r="F135" t="s">
        <v>496</v>
      </c>
      <c r="H135" t="s">
        <v>134</v>
      </c>
    </row>
    <row r="136" spans="1:8" x14ac:dyDescent="0.35">
      <c r="A136" t="s">
        <v>135</v>
      </c>
      <c r="B136" t="s">
        <v>136</v>
      </c>
      <c r="C136" t="s">
        <v>497</v>
      </c>
      <c r="D136" t="s">
        <v>498</v>
      </c>
      <c r="E136">
        <v>43766</v>
      </c>
      <c r="F136" t="s">
        <v>499</v>
      </c>
      <c r="H136" t="s">
        <v>134</v>
      </c>
    </row>
    <row r="137" spans="1:8" x14ac:dyDescent="0.35">
      <c r="A137" t="s">
        <v>135</v>
      </c>
      <c r="B137" t="s">
        <v>136</v>
      </c>
      <c r="C137" t="s">
        <v>500</v>
      </c>
      <c r="D137" t="s">
        <v>501</v>
      </c>
      <c r="E137">
        <v>43766</v>
      </c>
      <c r="F137" t="s">
        <v>502</v>
      </c>
      <c r="H137" t="s">
        <v>134</v>
      </c>
    </row>
    <row r="138" spans="1:8" x14ac:dyDescent="0.35">
      <c r="A138" t="s">
        <v>135</v>
      </c>
      <c r="B138" t="s">
        <v>136</v>
      </c>
      <c r="C138" t="s">
        <v>503</v>
      </c>
      <c r="D138" t="s">
        <v>504</v>
      </c>
      <c r="E138">
        <v>43766</v>
      </c>
      <c r="F138" t="s">
        <v>505</v>
      </c>
      <c r="H138" t="s">
        <v>134</v>
      </c>
    </row>
    <row r="139" spans="1:8" x14ac:dyDescent="0.35">
      <c r="A139" t="s">
        <v>135</v>
      </c>
      <c r="B139" t="s">
        <v>136</v>
      </c>
      <c r="C139" t="s">
        <v>506</v>
      </c>
      <c r="D139" t="s">
        <v>507</v>
      </c>
      <c r="E139">
        <v>43766</v>
      </c>
      <c r="F139" t="s">
        <v>508</v>
      </c>
      <c r="H139" t="s">
        <v>134</v>
      </c>
    </row>
    <row r="140" spans="1:8" x14ac:dyDescent="0.35">
      <c r="A140" t="s">
        <v>135</v>
      </c>
      <c r="B140" t="s">
        <v>136</v>
      </c>
      <c r="C140" t="s">
        <v>509</v>
      </c>
      <c r="D140" t="s">
        <v>507</v>
      </c>
      <c r="E140">
        <v>43766</v>
      </c>
      <c r="F140" t="s">
        <v>510</v>
      </c>
      <c r="H140" t="s">
        <v>134</v>
      </c>
    </row>
    <row r="141" spans="1:8" x14ac:dyDescent="0.35">
      <c r="A141" t="s">
        <v>135</v>
      </c>
      <c r="B141" t="s">
        <v>136</v>
      </c>
      <c r="C141" t="s">
        <v>511</v>
      </c>
      <c r="D141" t="s">
        <v>512</v>
      </c>
      <c r="E141">
        <v>43766</v>
      </c>
      <c r="F141" t="s">
        <v>513</v>
      </c>
      <c r="H141" t="s">
        <v>134</v>
      </c>
    </row>
    <row r="142" spans="1:8" x14ac:dyDescent="0.35">
      <c r="A142" t="s">
        <v>135</v>
      </c>
      <c r="B142" t="s">
        <v>136</v>
      </c>
      <c r="C142" t="s">
        <v>514</v>
      </c>
      <c r="D142" t="s">
        <v>515</v>
      </c>
      <c r="E142">
        <v>43766</v>
      </c>
      <c r="F142" t="s">
        <v>516</v>
      </c>
      <c r="H142" t="s">
        <v>134</v>
      </c>
    </row>
    <row r="143" spans="1:8" x14ac:dyDescent="0.35">
      <c r="A143" t="s">
        <v>135</v>
      </c>
      <c r="B143" t="s">
        <v>136</v>
      </c>
      <c r="C143" t="s">
        <v>517</v>
      </c>
      <c r="D143" t="s">
        <v>515</v>
      </c>
      <c r="E143">
        <v>43766</v>
      </c>
      <c r="F143" t="s">
        <v>518</v>
      </c>
      <c r="H143" t="s">
        <v>134</v>
      </c>
    </row>
    <row r="144" spans="1:8" x14ac:dyDescent="0.35">
      <c r="A144" t="s">
        <v>135</v>
      </c>
      <c r="B144" t="s">
        <v>136</v>
      </c>
      <c r="C144" t="s">
        <v>519</v>
      </c>
      <c r="D144" t="s">
        <v>520</v>
      </c>
      <c r="E144">
        <v>43766</v>
      </c>
      <c r="F144" t="s">
        <v>521</v>
      </c>
      <c r="H144" t="s">
        <v>134</v>
      </c>
    </row>
    <row r="145" spans="1:8" x14ac:dyDescent="0.35">
      <c r="A145" t="s">
        <v>135</v>
      </c>
      <c r="B145" t="s">
        <v>136</v>
      </c>
      <c r="C145" t="s">
        <v>522</v>
      </c>
      <c r="D145" t="s">
        <v>523</v>
      </c>
      <c r="E145">
        <v>43766</v>
      </c>
      <c r="F145" t="s">
        <v>524</v>
      </c>
      <c r="H145" t="s">
        <v>134</v>
      </c>
    </row>
    <row r="146" spans="1:8" x14ac:dyDescent="0.35">
      <c r="A146" t="s">
        <v>135</v>
      </c>
      <c r="B146" t="s">
        <v>136</v>
      </c>
      <c r="C146" t="s">
        <v>525</v>
      </c>
      <c r="D146" t="s">
        <v>526</v>
      </c>
      <c r="E146">
        <v>43766</v>
      </c>
      <c r="F146" t="s">
        <v>527</v>
      </c>
      <c r="H146" t="s">
        <v>134</v>
      </c>
    </row>
    <row r="147" spans="1:8" x14ac:dyDescent="0.35">
      <c r="A147" t="s">
        <v>135</v>
      </c>
      <c r="B147" t="s">
        <v>136</v>
      </c>
      <c r="C147" t="s">
        <v>528</v>
      </c>
      <c r="D147" t="s">
        <v>529</v>
      </c>
      <c r="E147">
        <v>43766</v>
      </c>
      <c r="F147" t="s">
        <v>530</v>
      </c>
      <c r="H147" t="s">
        <v>134</v>
      </c>
    </row>
    <row r="148" spans="1:8" x14ac:dyDescent="0.35">
      <c r="A148" t="s">
        <v>135</v>
      </c>
      <c r="B148" t="s">
        <v>136</v>
      </c>
      <c r="C148" t="s">
        <v>531</v>
      </c>
      <c r="D148" t="s">
        <v>532</v>
      </c>
      <c r="E148">
        <v>43766</v>
      </c>
      <c r="F148" t="s">
        <v>533</v>
      </c>
      <c r="H148" t="s">
        <v>134</v>
      </c>
    </row>
    <row r="149" spans="1:8" x14ac:dyDescent="0.35">
      <c r="A149" t="s">
        <v>135</v>
      </c>
      <c r="B149" t="s">
        <v>136</v>
      </c>
      <c r="C149" t="s">
        <v>534</v>
      </c>
      <c r="D149" t="s">
        <v>535</v>
      </c>
      <c r="E149">
        <v>43766</v>
      </c>
      <c r="F149" t="s">
        <v>536</v>
      </c>
      <c r="H149" t="s">
        <v>134</v>
      </c>
    </row>
    <row r="150" spans="1:8" x14ac:dyDescent="0.35">
      <c r="A150" t="s">
        <v>135</v>
      </c>
      <c r="B150" t="s">
        <v>136</v>
      </c>
      <c r="C150" t="s">
        <v>537</v>
      </c>
      <c r="D150" t="s">
        <v>538</v>
      </c>
      <c r="E150">
        <v>43766</v>
      </c>
      <c r="F150" t="s">
        <v>539</v>
      </c>
      <c r="H150" t="s">
        <v>134</v>
      </c>
    </row>
    <row r="151" spans="1:8" x14ac:dyDescent="0.35">
      <c r="A151" t="s">
        <v>135</v>
      </c>
      <c r="B151" t="s">
        <v>136</v>
      </c>
      <c r="C151" t="s">
        <v>540</v>
      </c>
      <c r="D151" t="s">
        <v>541</v>
      </c>
      <c r="E151">
        <v>43766</v>
      </c>
      <c r="F151" t="s">
        <v>542</v>
      </c>
      <c r="H151" t="s">
        <v>134</v>
      </c>
    </row>
    <row r="152" spans="1:8" x14ac:dyDescent="0.35">
      <c r="A152" t="s">
        <v>135</v>
      </c>
      <c r="B152" t="s">
        <v>136</v>
      </c>
      <c r="C152" t="s">
        <v>543</v>
      </c>
      <c r="D152" t="s">
        <v>544</v>
      </c>
      <c r="E152">
        <v>43766</v>
      </c>
      <c r="F152" t="s">
        <v>545</v>
      </c>
      <c r="H152" t="s">
        <v>134</v>
      </c>
    </row>
    <row r="153" spans="1:8" x14ac:dyDescent="0.35">
      <c r="A153" t="s">
        <v>135</v>
      </c>
      <c r="B153" t="s">
        <v>136</v>
      </c>
      <c r="C153" t="s">
        <v>546</v>
      </c>
      <c r="D153" t="s">
        <v>547</v>
      </c>
      <c r="E153">
        <v>43766</v>
      </c>
      <c r="F153" t="s">
        <v>159</v>
      </c>
      <c r="H153" t="s">
        <v>134</v>
      </c>
    </row>
    <row r="154" spans="1:8" x14ac:dyDescent="0.35">
      <c r="A154" t="s">
        <v>135</v>
      </c>
      <c r="B154" t="s">
        <v>136</v>
      </c>
      <c r="C154" t="s">
        <v>548</v>
      </c>
      <c r="D154" t="s">
        <v>549</v>
      </c>
      <c r="E154">
        <v>43766</v>
      </c>
      <c r="F154" t="s">
        <v>550</v>
      </c>
      <c r="H154" t="s">
        <v>134</v>
      </c>
    </row>
    <row r="155" spans="1:8" x14ac:dyDescent="0.35">
      <c r="A155" t="s">
        <v>135</v>
      </c>
      <c r="B155" t="s">
        <v>136</v>
      </c>
      <c r="C155" t="s">
        <v>551</v>
      </c>
      <c r="D155" t="s">
        <v>552</v>
      </c>
      <c r="E155">
        <v>43766</v>
      </c>
      <c r="F155" t="s">
        <v>553</v>
      </c>
      <c r="H155" t="s">
        <v>134</v>
      </c>
    </row>
    <row r="156" spans="1:8" x14ac:dyDescent="0.35">
      <c r="A156" t="s">
        <v>135</v>
      </c>
      <c r="B156" t="s">
        <v>136</v>
      </c>
      <c r="C156" t="s">
        <v>554</v>
      </c>
      <c r="D156" t="s">
        <v>555</v>
      </c>
      <c r="E156">
        <v>43766</v>
      </c>
      <c r="F156" t="s">
        <v>556</v>
      </c>
      <c r="H156" t="s">
        <v>134</v>
      </c>
    </row>
    <row r="157" spans="1:8" x14ac:dyDescent="0.35">
      <c r="A157" t="s">
        <v>135</v>
      </c>
      <c r="B157" t="s">
        <v>136</v>
      </c>
      <c r="C157" t="s">
        <v>557</v>
      </c>
      <c r="D157" t="s">
        <v>558</v>
      </c>
      <c r="E157">
        <v>43766</v>
      </c>
      <c r="F157" t="s">
        <v>559</v>
      </c>
      <c r="H157" t="s">
        <v>134</v>
      </c>
    </row>
    <row r="158" spans="1:8" x14ac:dyDescent="0.35">
      <c r="A158" t="s">
        <v>135</v>
      </c>
      <c r="B158" t="s">
        <v>136</v>
      </c>
      <c r="C158" t="s">
        <v>560</v>
      </c>
      <c r="D158" t="s">
        <v>561</v>
      </c>
      <c r="E158">
        <v>43766</v>
      </c>
      <c r="F158" t="s">
        <v>159</v>
      </c>
      <c r="H158" t="s">
        <v>134</v>
      </c>
    </row>
    <row r="159" spans="1:8" x14ac:dyDescent="0.35">
      <c r="A159" t="s">
        <v>135</v>
      </c>
      <c r="B159" t="s">
        <v>136</v>
      </c>
      <c r="C159" t="s">
        <v>562</v>
      </c>
      <c r="D159" t="s">
        <v>563</v>
      </c>
      <c r="E159">
        <v>43766</v>
      </c>
      <c r="F159" t="s">
        <v>564</v>
      </c>
      <c r="H159" t="s">
        <v>134</v>
      </c>
    </row>
    <row r="160" spans="1:8" x14ac:dyDescent="0.35">
      <c r="A160" t="s">
        <v>135</v>
      </c>
      <c r="B160" t="s">
        <v>136</v>
      </c>
      <c r="C160" t="s">
        <v>565</v>
      </c>
      <c r="D160" t="s">
        <v>566</v>
      </c>
      <c r="E160">
        <v>43766</v>
      </c>
      <c r="F160" t="s">
        <v>567</v>
      </c>
      <c r="H160" t="s">
        <v>134</v>
      </c>
    </row>
    <row r="161" spans="1:8" x14ac:dyDescent="0.35">
      <c r="A161" t="s">
        <v>135</v>
      </c>
      <c r="B161" t="s">
        <v>136</v>
      </c>
      <c r="C161" t="s">
        <v>568</v>
      </c>
      <c r="D161" t="s">
        <v>569</v>
      </c>
      <c r="E161">
        <v>43766</v>
      </c>
      <c r="F161" t="s">
        <v>570</v>
      </c>
      <c r="H161" t="s">
        <v>134</v>
      </c>
    </row>
    <row r="162" spans="1:8" x14ac:dyDescent="0.35">
      <c r="A162" t="s">
        <v>135</v>
      </c>
      <c r="B162" t="s">
        <v>136</v>
      </c>
      <c r="C162" t="s">
        <v>571</v>
      </c>
      <c r="D162" t="s">
        <v>572</v>
      </c>
      <c r="E162">
        <v>43766</v>
      </c>
      <c r="F162" t="s">
        <v>513</v>
      </c>
      <c r="H162" t="s">
        <v>134</v>
      </c>
    </row>
    <row r="163" spans="1:8" x14ac:dyDescent="0.35">
      <c r="A163" t="s">
        <v>135</v>
      </c>
      <c r="B163" t="s">
        <v>136</v>
      </c>
      <c r="C163" t="s">
        <v>573</v>
      </c>
      <c r="D163" t="s">
        <v>574</v>
      </c>
      <c r="E163">
        <v>43766</v>
      </c>
      <c r="F163" t="s">
        <v>575</v>
      </c>
      <c r="H163" t="s">
        <v>134</v>
      </c>
    </row>
    <row r="164" spans="1:8" x14ac:dyDescent="0.35">
      <c r="A164" t="s">
        <v>135</v>
      </c>
      <c r="B164" t="s">
        <v>136</v>
      </c>
      <c r="C164" t="s">
        <v>576</v>
      </c>
      <c r="D164" t="s">
        <v>577</v>
      </c>
      <c r="E164">
        <v>43766</v>
      </c>
      <c r="F164" t="s">
        <v>578</v>
      </c>
      <c r="H164" t="s">
        <v>134</v>
      </c>
    </row>
    <row r="165" spans="1:8" x14ac:dyDescent="0.35">
      <c r="A165" t="s">
        <v>135</v>
      </c>
      <c r="B165" t="s">
        <v>136</v>
      </c>
      <c r="C165" t="s">
        <v>579</v>
      </c>
      <c r="D165" t="s">
        <v>580</v>
      </c>
      <c r="E165">
        <v>43766</v>
      </c>
      <c r="F165" t="s">
        <v>333</v>
      </c>
      <c r="H165" t="s">
        <v>134</v>
      </c>
    </row>
    <row r="166" spans="1:8" x14ac:dyDescent="0.35">
      <c r="A166" t="s">
        <v>135</v>
      </c>
      <c r="B166" t="s">
        <v>136</v>
      </c>
      <c r="C166" t="s">
        <v>581</v>
      </c>
      <c r="D166" t="s">
        <v>582</v>
      </c>
      <c r="E166">
        <v>43766</v>
      </c>
      <c r="F166" t="s">
        <v>583</v>
      </c>
      <c r="H166" t="s">
        <v>134</v>
      </c>
    </row>
    <row r="167" spans="1:8" x14ac:dyDescent="0.35">
      <c r="A167" t="s">
        <v>135</v>
      </c>
      <c r="B167" t="s">
        <v>136</v>
      </c>
      <c r="C167" t="s">
        <v>584</v>
      </c>
      <c r="D167" t="s">
        <v>585</v>
      </c>
      <c r="E167">
        <v>43766</v>
      </c>
      <c r="F167" t="s">
        <v>586</v>
      </c>
      <c r="H167" t="s">
        <v>134</v>
      </c>
    </row>
    <row r="168" spans="1:8" x14ac:dyDescent="0.35">
      <c r="A168" t="s">
        <v>135</v>
      </c>
      <c r="B168" t="s">
        <v>136</v>
      </c>
      <c r="C168" t="s">
        <v>587</v>
      </c>
      <c r="D168" t="s">
        <v>588</v>
      </c>
      <c r="E168">
        <v>43766</v>
      </c>
      <c r="F168" t="s">
        <v>589</v>
      </c>
      <c r="H168" t="s">
        <v>134</v>
      </c>
    </row>
    <row r="169" spans="1:8" x14ac:dyDescent="0.35">
      <c r="A169" t="s">
        <v>135</v>
      </c>
      <c r="B169" t="s">
        <v>136</v>
      </c>
      <c r="C169" t="s">
        <v>486</v>
      </c>
      <c r="D169" t="s">
        <v>590</v>
      </c>
      <c r="E169">
        <v>43763</v>
      </c>
      <c r="F169" t="s">
        <v>591</v>
      </c>
      <c r="H169" t="s">
        <v>134</v>
      </c>
    </row>
    <row r="170" spans="1:8" x14ac:dyDescent="0.35">
      <c r="A170" t="s">
        <v>135</v>
      </c>
      <c r="B170" t="s">
        <v>136</v>
      </c>
      <c r="C170" t="s">
        <v>489</v>
      </c>
      <c r="D170" t="s">
        <v>592</v>
      </c>
      <c r="E170">
        <v>43763</v>
      </c>
      <c r="H170" t="s">
        <v>134</v>
      </c>
    </row>
    <row r="171" spans="1:8" x14ac:dyDescent="0.35">
      <c r="A171" t="s">
        <v>135</v>
      </c>
      <c r="B171" t="s">
        <v>136</v>
      </c>
      <c r="C171" t="s">
        <v>492</v>
      </c>
      <c r="D171" t="s">
        <v>593</v>
      </c>
      <c r="E171">
        <v>43763</v>
      </c>
      <c r="H171" t="s">
        <v>134</v>
      </c>
    </row>
    <row r="172" spans="1:8" x14ac:dyDescent="0.35">
      <c r="A172" t="s">
        <v>135</v>
      </c>
      <c r="B172" t="s">
        <v>136</v>
      </c>
      <c r="C172" t="s">
        <v>511</v>
      </c>
      <c r="D172" t="s">
        <v>594</v>
      </c>
      <c r="E172">
        <v>43763</v>
      </c>
      <c r="H172" t="s">
        <v>134</v>
      </c>
    </row>
    <row r="173" spans="1:8" x14ac:dyDescent="0.35">
      <c r="A173" t="s">
        <v>135</v>
      </c>
      <c r="B173" t="s">
        <v>136</v>
      </c>
      <c r="C173" t="s">
        <v>540</v>
      </c>
      <c r="D173" t="s">
        <v>595</v>
      </c>
      <c r="E173">
        <v>43763</v>
      </c>
      <c r="H173" t="s">
        <v>134</v>
      </c>
    </row>
    <row r="174" spans="1:8" x14ac:dyDescent="0.35">
      <c r="A174" t="s">
        <v>135</v>
      </c>
      <c r="B174" t="s">
        <v>136</v>
      </c>
      <c r="C174" t="s">
        <v>546</v>
      </c>
      <c r="D174" t="s">
        <v>596</v>
      </c>
      <c r="E174">
        <v>43763</v>
      </c>
      <c r="H174" t="s">
        <v>134</v>
      </c>
    </row>
    <row r="175" spans="1:8" x14ac:dyDescent="0.35">
      <c r="A175" t="s">
        <v>135</v>
      </c>
      <c r="B175" t="s">
        <v>136</v>
      </c>
      <c r="C175" t="s">
        <v>486</v>
      </c>
      <c r="D175" t="s">
        <v>590</v>
      </c>
      <c r="E175">
        <v>43763</v>
      </c>
      <c r="H175" t="s">
        <v>134</v>
      </c>
    </row>
    <row r="176" spans="1:8" x14ac:dyDescent="0.35">
      <c r="A176" t="s">
        <v>135</v>
      </c>
      <c r="B176" t="s">
        <v>136</v>
      </c>
      <c r="C176" t="s">
        <v>597</v>
      </c>
      <c r="D176" t="s">
        <v>598</v>
      </c>
      <c r="E176">
        <v>43763</v>
      </c>
      <c r="F176" t="s">
        <v>599</v>
      </c>
      <c r="H176" t="s">
        <v>134</v>
      </c>
    </row>
    <row r="177" spans="1:8" x14ac:dyDescent="0.35">
      <c r="A177" t="s">
        <v>135</v>
      </c>
      <c r="B177" t="s">
        <v>136</v>
      </c>
      <c r="C177" t="s">
        <v>597</v>
      </c>
      <c r="D177" t="s">
        <v>598</v>
      </c>
      <c r="E177">
        <v>43763</v>
      </c>
      <c r="H177" t="s">
        <v>134</v>
      </c>
    </row>
    <row r="178" spans="1:8" x14ac:dyDescent="0.35">
      <c r="A178" t="s">
        <v>135</v>
      </c>
      <c r="B178" t="s">
        <v>136</v>
      </c>
      <c r="C178" t="s">
        <v>600</v>
      </c>
      <c r="D178" t="s">
        <v>601</v>
      </c>
      <c r="E178">
        <v>43763</v>
      </c>
      <c r="F178" t="s">
        <v>602</v>
      </c>
      <c r="H178" t="s">
        <v>134</v>
      </c>
    </row>
    <row r="179" spans="1:8" x14ac:dyDescent="0.35">
      <c r="A179" t="s">
        <v>135</v>
      </c>
      <c r="B179" t="s">
        <v>136</v>
      </c>
      <c r="C179" t="s">
        <v>603</v>
      </c>
      <c r="D179" t="s">
        <v>604</v>
      </c>
      <c r="E179">
        <v>43762</v>
      </c>
      <c r="F179" t="s">
        <v>605</v>
      </c>
      <c r="H179" t="s">
        <v>134</v>
      </c>
    </row>
    <row r="180" spans="1:8" x14ac:dyDescent="0.35">
      <c r="A180" t="s">
        <v>135</v>
      </c>
      <c r="B180" t="s">
        <v>136</v>
      </c>
      <c r="C180" t="s">
        <v>606</v>
      </c>
      <c r="D180" t="s">
        <v>607</v>
      </c>
      <c r="E180">
        <v>43762</v>
      </c>
      <c r="F180" t="s">
        <v>605</v>
      </c>
      <c r="H180" t="s">
        <v>134</v>
      </c>
    </row>
    <row r="181" spans="1:8" x14ac:dyDescent="0.35">
      <c r="A181" t="s">
        <v>135</v>
      </c>
      <c r="B181" t="s">
        <v>136</v>
      </c>
      <c r="C181" t="s">
        <v>483</v>
      </c>
      <c r="D181" t="s">
        <v>608</v>
      </c>
      <c r="E181">
        <v>43762</v>
      </c>
      <c r="H181" t="s">
        <v>134</v>
      </c>
    </row>
    <row r="182" spans="1:8" x14ac:dyDescent="0.35">
      <c r="A182" t="s">
        <v>135</v>
      </c>
      <c r="B182" t="s">
        <v>136</v>
      </c>
      <c r="C182" t="s">
        <v>560</v>
      </c>
      <c r="D182" t="s">
        <v>609</v>
      </c>
      <c r="E182">
        <v>43762</v>
      </c>
      <c r="H182" t="s">
        <v>134</v>
      </c>
    </row>
    <row r="183" spans="1:8" x14ac:dyDescent="0.35">
      <c r="A183" t="s">
        <v>135</v>
      </c>
      <c r="B183" t="s">
        <v>136</v>
      </c>
      <c r="C183" t="s">
        <v>571</v>
      </c>
      <c r="D183" t="s">
        <v>610</v>
      </c>
      <c r="E183">
        <v>43762</v>
      </c>
      <c r="H183" t="s">
        <v>134</v>
      </c>
    </row>
    <row r="184" spans="1:8" x14ac:dyDescent="0.35">
      <c r="A184" t="s">
        <v>135</v>
      </c>
      <c r="B184" t="s">
        <v>136</v>
      </c>
      <c r="C184" t="s">
        <v>543</v>
      </c>
      <c r="D184" t="s">
        <v>611</v>
      </c>
      <c r="E184">
        <v>43761</v>
      </c>
      <c r="H184" t="s">
        <v>134</v>
      </c>
    </row>
    <row r="185" spans="1:8" x14ac:dyDescent="0.35">
      <c r="A185" t="s">
        <v>135</v>
      </c>
      <c r="B185" t="s">
        <v>136</v>
      </c>
      <c r="C185" t="s">
        <v>612</v>
      </c>
      <c r="D185" t="s">
        <v>613</v>
      </c>
      <c r="E185">
        <v>43760</v>
      </c>
      <c r="H185" t="s">
        <v>134</v>
      </c>
    </row>
    <row r="186" spans="1:8" x14ac:dyDescent="0.35">
      <c r="A186" t="s">
        <v>135</v>
      </c>
      <c r="B186" t="s">
        <v>136</v>
      </c>
      <c r="C186" t="s">
        <v>614</v>
      </c>
      <c r="D186" t="s">
        <v>615</v>
      </c>
      <c r="E186">
        <v>43760</v>
      </c>
      <c r="H186" t="s">
        <v>134</v>
      </c>
    </row>
    <row r="187" spans="1:8" x14ac:dyDescent="0.35">
      <c r="A187" t="s">
        <v>135</v>
      </c>
      <c r="B187" t="s">
        <v>136</v>
      </c>
      <c r="C187" t="s">
        <v>531</v>
      </c>
      <c r="D187" t="s">
        <v>616</v>
      </c>
      <c r="E187">
        <v>43760</v>
      </c>
      <c r="H187" t="s">
        <v>134</v>
      </c>
    </row>
    <row r="188" spans="1:8" x14ac:dyDescent="0.35">
      <c r="A188" t="s">
        <v>135</v>
      </c>
      <c r="B188" t="s">
        <v>136</v>
      </c>
      <c r="C188" t="s">
        <v>617</v>
      </c>
      <c r="D188" t="s">
        <v>618</v>
      </c>
      <c r="E188">
        <v>43760</v>
      </c>
      <c r="H188" t="s">
        <v>134</v>
      </c>
    </row>
    <row r="189" spans="1:8" x14ac:dyDescent="0.35">
      <c r="A189" t="s">
        <v>135</v>
      </c>
      <c r="B189" t="s">
        <v>136</v>
      </c>
      <c r="C189" t="s">
        <v>619</v>
      </c>
      <c r="D189" t="s">
        <v>620</v>
      </c>
      <c r="E189">
        <v>43760</v>
      </c>
      <c r="H189" t="s">
        <v>134</v>
      </c>
    </row>
    <row r="190" spans="1:8" x14ac:dyDescent="0.35">
      <c r="A190" t="s">
        <v>135</v>
      </c>
      <c r="B190" t="s">
        <v>136</v>
      </c>
      <c r="C190" t="s">
        <v>551</v>
      </c>
      <c r="D190" t="s">
        <v>621</v>
      </c>
      <c r="E190">
        <v>43755</v>
      </c>
      <c r="H190" t="s">
        <v>134</v>
      </c>
    </row>
    <row r="191" spans="1:8" x14ac:dyDescent="0.35">
      <c r="A191" t="s">
        <v>135</v>
      </c>
      <c r="B191" t="s">
        <v>136</v>
      </c>
      <c r="C191" t="s">
        <v>548</v>
      </c>
      <c r="D191" t="s">
        <v>622</v>
      </c>
      <c r="E191">
        <v>43752</v>
      </c>
      <c r="H191" t="s">
        <v>134</v>
      </c>
    </row>
    <row r="192" spans="1:8" x14ac:dyDescent="0.35">
      <c r="A192" t="s">
        <v>135</v>
      </c>
      <c r="B192" t="s">
        <v>136</v>
      </c>
      <c r="C192" t="s">
        <v>623</v>
      </c>
      <c r="D192" t="s">
        <v>624</v>
      </c>
      <c r="E192">
        <v>43749</v>
      </c>
      <c r="F192" t="s">
        <v>625</v>
      </c>
      <c r="H192" t="s">
        <v>134</v>
      </c>
    </row>
    <row r="193" spans="1:8" x14ac:dyDescent="0.35">
      <c r="A193" t="s">
        <v>135</v>
      </c>
      <c r="B193" t="s">
        <v>136</v>
      </c>
      <c r="C193" t="s">
        <v>626</v>
      </c>
      <c r="D193" t="s">
        <v>627</v>
      </c>
      <c r="E193">
        <v>43748</v>
      </c>
      <c r="F193" t="s">
        <v>628</v>
      </c>
      <c r="H193" t="s">
        <v>134</v>
      </c>
    </row>
    <row r="194" spans="1:8" x14ac:dyDescent="0.35">
      <c r="A194" t="s">
        <v>135</v>
      </c>
      <c r="B194" t="s">
        <v>136</v>
      </c>
      <c r="C194" t="s">
        <v>568</v>
      </c>
      <c r="D194" t="s">
        <v>629</v>
      </c>
      <c r="E194">
        <v>43748</v>
      </c>
      <c r="H194" t="s">
        <v>134</v>
      </c>
    </row>
    <row r="195" spans="1:8" x14ac:dyDescent="0.35">
      <c r="A195" t="s">
        <v>135</v>
      </c>
      <c r="B195" t="s">
        <v>136</v>
      </c>
      <c r="C195" t="s">
        <v>557</v>
      </c>
      <c r="D195" t="s">
        <v>630</v>
      </c>
      <c r="E195">
        <v>43748</v>
      </c>
      <c r="H195" t="s">
        <v>134</v>
      </c>
    </row>
    <row r="196" spans="1:8" x14ac:dyDescent="0.35">
      <c r="A196" t="s">
        <v>135</v>
      </c>
      <c r="B196" t="s">
        <v>136</v>
      </c>
      <c r="C196" t="s">
        <v>562</v>
      </c>
      <c r="D196" t="s">
        <v>631</v>
      </c>
      <c r="E196">
        <v>43748</v>
      </c>
      <c r="H196" t="s">
        <v>134</v>
      </c>
    </row>
    <row r="197" spans="1:8" x14ac:dyDescent="0.35">
      <c r="A197" t="s">
        <v>135</v>
      </c>
      <c r="B197" t="s">
        <v>136</v>
      </c>
      <c r="C197" t="s">
        <v>632</v>
      </c>
      <c r="D197" t="s">
        <v>633</v>
      </c>
      <c r="E197">
        <v>43748</v>
      </c>
      <c r="F197" t="s">
        <v>634</v>
      </c>
      <c r="H197" t="s">
        <v>134</v>
      </c>
    </row>
    <row r="198" spans="1:8" x14ac:dyDescent="0.35">
      <c r="A198" t="s">
        <v>135</v>
      </c>
      <c r="B198" t="s">
        <v>136</v>
      </c>
      <c r="C198" t="s">
        <v>635</v>
      </c>
      <c r="D198" t="s">
        <v>636</v>
      </c>
      <c r="E198">
        <v>43747</v>
      </c>
      <c r="F198" t="s">
        <v>637</v>
      </c>
      <c r="H198" t="s">
        <v>134</v>
      </c>
    </row>
    <row r="199" spans="1:8" x14ac:dyDescent="0.35">
      <c r="A199" t="s">
        <v>135</v>
      </c>
      <c r="B199" t="s">
        <v>136</v>
      </c>
      <c r="C199" t="s">
        <v>565</v>
      </c>
      <c r="D199" t="s">
        <v>638</v>
      </c>
      <c r="E199">
        <v>43747</v>
      </c>
      <c r="H199" t="s">
        <v>134</v>
      </c>
    </row>
    <row r="200" spans="1:8" x14ac:dyDescent="0.35">
      <c r="A200" t="s">
        <v>135</v>
      </c>
      <c r="B200" t="s">
        <v>136</v>
      </c>
      <c r="C200" t="s">
        <v>579</v>
      </c>
      <c r="D200" t="s">
        <v>639</v>
      </c>
      <c r="E200">
        <v>43747</v>
      </c>
      <c r="H200" t="s">
        <v>134</v>
      </c>
    </row>
    <row r="201" spans="1:8" x14ac:dyDescent="0.35">
      <c r="A201" t="s">
        <v>135</v>
      </c>
      <c r="B201" t="s">
        <v>136</v>
      </c>
      <c r="C201" t="s">
        <v>581</v>
      </c>
      <c r="D201" t="s">
        <v>640</v>
      </c>
      <c r="E201">
        <v>43747</v>
      </c>
      <c r="H201" t="s">
        <v>134</v>
      </c>
    </row>
    <row r="202" spans="1:8" x14ac:dyDescent="0.35">
      <c r="A202" t="s">
        <v>135</v>
      </c>
      <c r="B202" t="s">
        <v>136</v>
      </c>
      <c r="C202" t="s">
        <v>641</v>
      </c>
      <c r="D202" t="s">
        <v>642</v>
      </c>
      <c r="E202">
        <v>43747</v>
      </c>
      <c r="F202" t="s">
        <v>643</v>
      </c>
      <c r="H202" t="s">
        <v>134</v>
      </c>
    </row>
    <row r="203" spans="1:8" x14ac:dyDescent="0.35">
      <c r="A203" t="s">
        <v>135</v>
      </c>
      <c r="B203" t="s">
        <v>136</v>
      </c>
      <c r="C203" t="s">
        <v>573</v>
      </c>
      <c r="D203" t="s">
        <v>644</v>
      </c>
      <c r="E203">
        <v>43746</v>
      </c>
      <c r="H203" t="s">
        <v>134</v>
      </c>
    </row>
    <row r="204" spans="1:8" x14ac:dyDescent="0.35">
      <c r="A204" t="s">
        <v>135</v>
      </c>
      <c r="B204" t="s">
        <v>136</v>
      </c>
      <c r="C204" t="s">
        <v>576</v>
      </c>
      <c r="D204" t="s">
        <v>645</v>
      </c>
      <c r="E204">
        <v>43742</v>
      </c>
      <c r="H204" t="s">
        <v>134</v>
      </c>
    </row>
    <row r="205" spans="1:8" x14ac:dyDescent="0.35">
      <c r="A205" t="s">
        <v>135</v>
      </c>
      <c r="B205" t="s">
        <v>136</v>
      </c>
      <c r="C205" t="s">
        <v>646</v>
      </c>
      <c r="D205" t="s">
        <v>647</v>
      </c>
      <c r="E205">
        <v>43741</v>
      </c>
      <c r="F205" t="s">
        <v>648</v>
      </c>
      <c r="H205" t="s">
        <v>134</v>
      </c>
    </row>
    <row r="206" spans="1:8" x14ac:dyDescent="0.35">
      <c r="A206" t="s">
        <v>135</v>
      </c>
      <c r="B206" t="s">
        <v>136</v>
      </c>
      <c r="C206" t="s">
        <v>649</v>
      </c>
      <c r="D206" t="s">
        <v>650</v>
      </c>
      <c r="E206">
        <v>43741</v>
      </c>
      <c r="F206" t="s">
        <v>651</v>
      </c>
      <c r="H206" t="s">
        <v>134</v>
      </c>
    </row>
    <row r="207" spans="1:8" x14ac:dyDescent="0.35">
      <c r="A207" t="s">
        <v>135</v>
      </c>
      <c r="B207" t="s">
        <v>136</v>
      </c>
      <c r="C207" t="s">
        <v>587</v>
      </c>
      <c r="D207" t="s">
        <v>652</v>
      </c>
      <c r="E207">
        <v>43741</v>
      </c>
      <c r="H207" t="s">
        <v>134</v>
      </c>
    </row>
    <row r="208" spans="1:8" x14ac:dyDescent="0.35">
      <c r="A208" t="s">
        <v>135</v>
      </c>
      <c r="B208" t="s">
        <v>136</v>
      </c>
      <c r="C208" t="s">
        <v>584</v>
      </c>
      <c r="D208" t="s">
        <v>653</v>
      </c>
      <c r="E208">
        <v>43741</v>
      </c>
      <c r="H208" t="s">
        <v>134</v>
      </c>
    </row>
    <row r="209" spans="1:8" x14ac:dyDescent="0.35">
      <c r="A209" t="s">
        <v>135</v>
      </c>
      <c r="B209" t="s">
        <v>136</v>
      </c>
      <c r="C209" t="s">
        <v>654</v>
      </c>
      <c r="D209" t="s">
        <v>655</v>
      </c>
      <c r="E209">
        <v>43740</v>
      </c>
      <c r="F209" t="s">
        <v>656</v>
      </c>
      <c r="H209" t="s">
        <v>134</v>
      </c>
    </row>
    <row r="210" spans="1:8" x14ac:dyDescent="0.35">
      <c r="A210" t="s">
        <v>135</v>
      </c>
      <c r="B210" t="s">
        <v>136</v>
      </c>
      <c r="C210" t="s">
        <v>657</v>
      </c>
      <c r="D210" t="s">
        <v>658</v>
      </c>
      <c r="E210">
        <v>43739</v>
      </c>
      <c r="F210" t="s">
        <v>659</v>
      </c>
      <c r="H210" t="s">
        <v>134</v>
      </c>
    </row>
    <row r="211" spans="1:8" x14ac:dyDescent="0.35">
      <c r="A211" t="s">
        <v>135</v>
      </c>
      <c r="B211" t="s">
        <v>136</v>
      </c>
      <c r="C211" t="s">
        <v>660</v>
      </c>
      <c r="D211" t="s">
        <v>661</v>
      </c>
      <c r="E211">
        <v>43739</v>
      </c>
      <c r="F211" t="s">
        <v>662</v>
      </c>
      <c r="H211" t="s">
        <v>134</v>
      </c>
    </row>
    <row r="212" spans="1:8" x14ac:dyDescent="0.35">
      <c r="A212" t="s">
        <v>135</v>
      </c>
      <c r="B212" t="s">
        <v>136</v>
      </c>
      <c r="C212" t="s">
        <v>663</v>
      </c>
      <c r="D212" t="s">
        <v>664</v>
      </c>
      <c r="E212">
        <v>43739</v>
      </c>
      <c r="F212" t="s">
        <v>665</v>
      </c>
      <c r="H212" t="s">
        <v>134</v>
      </c>
    </row>
    <row r="213" spans="1:8" x14ac:dyDescent="0.35">
      <c r="A213" t="s">
        <v>135</v>
      </c>
      <c r="B213" t="s">
        <v>136</v>
      </c>
      <c r="C213" t="s">
        <v>666</v>
      </c>
      <c r="D213" t="s">
        <v>667</v>
      </c>
      <c r="E213">
        <v>43739</v>
      </c>
      <c r="F213" t="s">
        <v>668</v>
      </c>
      <c r="H213" t="s">
        <v>134</v>
      </c>
    </row>
    <row r="214" spans="1:8" x14ac:dyDescent="0.35">
      <c r="A214" t="s">
        <v>135</v>
      </c>
      <c r="B214" t="s">
        <v>136</v>
      </c>
      <c r="C214" t="s">
        <v>669</v>
      </c>
      <c r="D214" t="s">
        <v>670</v>
      </c>
      <c r="E214">
        <v>43738</v>
      </c>
      <c r="F214" t="s">
        <v>671</v>
      </c>
      <c r="H214" t="s">
        <v>134</v>
      </c>
    </row>
    <row r="215" spans="1:8" x14ac:dyDescent="0.35">
      <c r="A215" t="s">
        <v>135</v>
      </c>
      <c r="B215" t="s">
        <v>136</v>
      </c>
      <c r="C215" t="s">
        <v>672</v>
      </c>
      <c r="D215" t="s">
        <v>673</v>
      </c>
      <c r="E215">
        <v>43738</v>
      </c>
      <c r="H215" t="s">
        <v>134</v>
      </c>
    </row>
    <row r="216" spans="1:8" x14ac:dyDescent="0.35">
      <c r="A216" t="s">
        <v>135</v>
      </c>
      <c r="B216" t="s">
        <v>136</v>
      </c>
      <c r="C216" t="s">
        <v>674</v>
      </c>
      <c r="D216" t="s">
        <v>675</v>
      </c>
      <c r="E216">
        <v>43738</v>
      </c>
      <c r="F216" t="s">
        <v>676</v>
      </c>
      <c r="H216" t="s">
        <v>134</v>
      </c>
    </row>
    <row r="217" spans="1:8" x14ac:dyDescent="0.35">
      <c r="A217" t="s">
        <v>135</v>
      </c>
      <c r="B217" t="s">
        <v>136</v>
      </c>
      <c r="C217" t="s">
        <v>674</v>
      </c>
      <c r="D217" t="s">
        <v>675</v>
      </c>
      <c r="E217">
        <v>43738</v>
      </c>
      <c r="H217" t="s">
        <v>134</v>
      </c>
    </row>
    <row r="218" spans="1:8" x14ac:dyDescent="0.35">
      <c r="A218" t="s">
        <v>135</v>
      </c>
      <c r="B218" t="s">
        <v>136</v>
      </c>
      <c r="C218" t="s">
        <v>646</v>
      </c>
      <c r="D218" t="s">
        <v>677</v>
      </c>
      <c r="E218">
        <v>43738</v>
      </c>
      <c r="H218" t="s">
        <v>134</v>
      </c>
    </row>
    <row r="219" spans="1:8" x14ac:dyDescent="0.35">
      <c r="A219" t="s">
        <v>135</v>
      </c>
      <c r="B219" t="s">
        <v>136</v>
      </c>
      <c r="C219" t="s">
        <v>678</v>
      </c>
      <c r="D219" t="s">
        <v>679</v>
      </c>
      <c r="E219">
        <v>43738</v>
      </c>
      <c r="F219" t="s">
        <v>680</v>
      </c>
      <c r="H219" t="s">
        <v>134</v>
      </c>
    </row>
    <row r="220" spans="1:8" x14ac:dyDescent="0.35">
      <c r="A220" t="s">
        <v>135</v>
      </c>
      <c r="B220" t="s">
        <v>136</v>
      </c>
      <c r="C220" t="s">
        <v>681</v>
      </c>
      <c r="D220" t="s">
        <v>682</v>
      </c>
      <c r="E220">
        <v>43738</v>
      </c>
      <c r="F220" t="s">
        <v>683</v>
      </c>
      <c r="H220" t="s">
        <v>134</v>
      </c>
    </row>
    <row r="221" spans="1:8" x14ac:dyDescent="0.35">
      <c r="A221" t="s">
        <v>135</v>
      </c>
      <c r="B221" t="s">
        <v>136</v>
      </c>
      <c r="C221" t="s">
        <v>646</v>
      </c>
      <c r="D221" t="s">
        <v>684</v>
      </c>
      <c r="E221">
        <v>43738</v>
      </c>
      <c r="H221" t="s">
        <v>134</v>
      </c>
    </row>
    <row r="222" spans="1:8" x14ac:dyDescent="0.35">
      <c r="A222" t="s">
        <v>135</v>
      </c>
      <c r="B222" t="s">
        <v>136</v>
      </c>
      <c r="C222" t="s">
        <v>646</v>
      </c>
      <c r="D222" t="s">
        <v>685</v>
      </c>
      <c r="E222">
        <v>43738</v>
      </c>
      <c r="H222" t="s">
        <v>134</v>
      </c>
    </row>
    <row r="223" spans="1:8" x14ac:dyDescent="0.35">
      <c r="A223" t="s">
        <v>135</v>
      </c>
      <c r="B223" t="s">
        <v>136</v>
      </c>
      <c r="C223" t="s">
        <v>686</v>
      </c>
      <c r="D223" t="s">
        <v>687</v>
      </c>
      <c r="E223">
        <v>43738</v>
      </c>
      <c r="F223" t="s">
        <v>688</v>
      </c>
      <c r="H223" t="s">
        <v>134</v>
      </c>
    </row>
    <row r="224" spans="1:8" x14ac:dyDescent="0.35">
      <c r="A224" t="s">
        <v>135</v>
      </c>
      <c r="B224" t="s">
        <v>136</v>
      </c>
      <c r="C224" t="s">
        <v>689</v>
      </c>
      <c r="D224" t="s">
        <v>690</v>
      </c>
      <c r="E224">
        <v>43735</v>
      </c>
      <c r="F224" t="s">
        <v>691</v>
      </c>
      <c r="H224" t="s">
        <v>134</v>
      </c>
    </row>
    <row r="225" spans="1:8" x14ac:dyDescent="0.35">
      <c r="A225" t="s">
        <v>135</v>
      </c>
      <c r="B225" t="s">
        <v>136</v>
      </c>
      <c r="C225" t="s">
        <v>692</v>
      </c>
      <c r="D225" t="s">
        <v>693</v>
      </c>
      <c r="E225">
        <v>43735</v>
      </c>
      <c r="F225" t="s">
        <v>491</v>
      </c>
      <c r="H225" t="s">
        <v>134</v>
      </c>
    </row>
    <row r="226" spans="1:8" x14ac:dyDescent="0.35">
      <c r="A226" t="s">
        <v>135</v>
      </c>
      <c r="B226" t="s">
        <v>136</v>
      </c>
      <c r="C226" t="s">
        <v>694</v>
      </c>
      <c r="D226" t="s">
        <v>695</v>
      </c>
      <c r="E226">
        <v>43735</v>
      </c>
      <c r="F226" t="s">
        <v>696</v>
      </c>
      <c r="H226" t="s">
        <v>134</v>
      </c>
    </row>
    <row r="227" spans="1:8" x14ac:dyDescent="0.35">
      <c r="A227" t="s">
        <v>135</v>
      </c>
      <c r="B227" t="s">
        <v>136</v>
      </c>
      <c r="C227" t="s">
        <v>697</v>
      </c>
      <c r="D227" t="s">
        <v>698</v>
      </c>
      <c r="E227">
        <v>43735</v>
      </c>
      <c r="F227" t="s">
        <v>699</v>
      </c>
      <c r="H227" t="s">
        <v>134</v>
      </c>
    </row>
    <row r="228" spans="1:8" x14ac:dyDescent="0.35">
      <c r="A228" t="s">
        <v>135</v>
      </c>
      <c r="B228" t="s">
        <v>136</v>
      </c>
      <c r="C228" t="s">
        <v>700</v>
      </c>
      <c r="D228" t="s">
        <v>701</v>
      </c>
      <c r="E228">
        <v>43733</v>
      </c>
      <c r="F228" t="s">
        <v>702</v>
      </c>
      <c r="H228" t="s">
        <v>134</v>
      </c>
    </row>
    <row r="229" spans="1:8" x14ac:dyDescent="0.35">
      <c r="A229" t="s">
        <v>135</v>
      </c>
      <c r="B229" t="s">
        <v>136</v>
      </c>
      <c r="C229" t="s">
        <v>703</v>
      </c>
      <c r="D229" t="s">
        <v>704</v>
      </c>
      <c r="E229">
        <v>43732</v>
      </c>
      <c r="F229" t="s">
        <v>705</v>
      </c>
      <c r="H229" t="s">
        <v>134</v>
      </c>
    </row>
    <row r="230" spans="1:8" x14ac:dyDescent="0.35">
      <c r="A230" t="s">
        <v>135</v>
      </c>
      <c r="B230" t="s">
        <v>136</v>
      </c>
      <c r="C230" t="s">
        <v>706</v>
      </c>
      <c r="D230" t="s">
        <v>707</v>
      </c>
      <c r="E230">
        <v>43732</v>
      </c>
      <c r="F230" t="s">
        <v>708</v>
      </c>
      <c r="H230" t="s">
        <v>134</v>
      </c>
    </row>
    <row r="231" spans="1:8" x14ac:dyDescent="0.35">
      <c r="A231" t="s">
        <v>135</v>
      </c>
      <c r="B231" t="s">
        <v>136</v>
      </c>
      <c r="C231" t="s">
        <v>709</v>
      </c>
      <c r="D231" t="s">
        <v>710</v>
      </c>
      <c r="E231">
        <v>43732</v>
      </c>
      <c r="F231" t="s">
        <v>711</v>
      </c>
      <c r="H231" t="s">
        <v>134</v>
      </c>
    </row>
    <row r="232" spans="1:8" x14ac:dyDescent="0.35">
      <c r="A232" t="s">
        <v>135</v>
      </c>
      <c r="B232" t="s">
        <v>136</v>
      </c>
      <c r="C232" t="s">
        <v>712</v>
      </c>
      <c r="D232" t="s">
        <v>713</v>
      </c>
      <c r="E232">
        <v>43732</v>
      </c>
      <c r="F232" t="s">
        <v>714</v>
      </c>
      <c r="H232" t="s">
        <v>134</v>
      </c>
    </row>
    <row r="233" spans="1:8" x14ac:dyDescent="0.35">
      <c r="A233" t="s">
        <v>135</v>
      </c>
      <c r="B233" t="s">
        <v>136</v>
      </c>
      <c r="C233" t="s">
        <v>715</v>
      </c>
      <c r="D233" t="s">
        <v>716</v>
      </c>
      <c r="E233">
        <v>43728</v>
      </c>
      <c r="F233" t="s">
        <v>717</v>
      </c>
      <c r="H233" t="s">
        <v>134</v>
      </c>
    </row>
    <row r="234" spans="1:8" x14ac:dyDescent="0.35">
      <c r="A234" t="s">
        <v>135</v>
      </c>
      <c r="B234" t="s">
        <v>136</v>
      </c>
      <c r="C234" t="s">
        <v>715</v>
      </c>
      <c r="D234" t="s">
        <v>718</v>
      </c>
      <c r="E234">
        <v>43728</v>
      </c>
      <c r="H234" t="s">
        <v>134</v>
      </c>
    </row>
    <row r="235" spans="1:8" x14ac:dyDescent="0.35">
      <c r="A235" t="s">
        <v>135</v>
      </c>
      <c r="B235" t="s">
        <v>136</v>
      </c>
      <c r="C235" t="s">
        <v>719</v>
      </c>
      <c r="D235" t="s">
        <v>720</v>
      </c>
      <c r="E235">
        <v>43728</v>
      </c>
      <c r="F235" t="s">
        <v>721</v>
      </c>
      <c r="H235" t="s">
        <v>134</v>
      </c>
    </row>
    <row r="236" spans="1:8" x14ac:dyDescent="0.35">
      <c r="A236" t="s">
        <v>135</v>
      </c>
      <c r="B236" t="s">
        <v>136</v>
      </c>
      <c r="C236" t="s">
        <v>722</v>
      </c>
      <c r="D236" t="s">
        <v>723</v>
      </c>
      <c r="E236">
        <v>43728</v>
      </c>
      <c r="F236" t="s">
        <v>724</v>
      </c>
      <c r="H236" t="s">
        <v>134</v>
      </c>
    </row>
    <row r="237" spans="1:8" x14ac:dyDescent="0.35">
      <c r="A237" t="s">
        <v>135</v>
      </c>
      <c r="B237" t="s">
        <v>136</v>
      </c>
      <c r="C237" t="s">
        <v>725</v>
      </c>
      <c r="D237" t="s">
        <v>726</v>
      </c>
      <c r="E237">
        <v>43727</v>
      </c>
      <c r="F237" t="s">
        <v>727</v>
      </c>
      <c r="H237" t="s">
        <v>134</v>
      </c>
    </row>
    <row r="238" spans="1:8" x14ac:dyDescent="0.35">
      <c r="A238" t="s">
        <v>135</v>
      </c>
      <c r="B238" t="s">
        <v>136</v>
      </c>
      <c r="C238" t="s">
        <v>728</v>
      </c>
      <c r="D238" t="s">
        <v>698</v>
      </c>
      <c r="E238">
        <v>43727</v>
      </c>
      <c r="F238" t="s">
        <v>729</v>
      </c>
      <c r="H238" t="s">
        <v>134</v>
      </c>
    </row>
    <row r="239" spans="1:8" x14ac:dyDescent="0.35">
      <c r="A239" t="s">
        <v>135</v>
      </c>
      <c r="B239" t="s">
        <v>136</v>
      </c>
      <c r="C239" t="s">
        <v>730</v>
      </c>
      <c r="D239" t="s">
        <v>731</v>
      </c>
      <c r="E239">
        <v>43727</v>
      </c>
      <c r="F239" t="s">
        <v>732</v>
      </c>
      <c r="H239" t="s">
        <v>134</v>
      </c>
    </row>
    <row r="240" spans="1:8" x14ac:dyDescent="0.35">
      <c r="A240" t="s">
        <v>135</v>
      </c>
      <c r="B240" t="s">
        <v>136</v>
      </c>
      <c r="C240" t="s">
        <v>733</v>
      </c>
      <c r="D240" t="s">
        <v>734</v>
      </c>
      <c r="E240">
        <v>43726</v>
      </c>
      <c r="F240" t="s">
        <v>735</v>
      </c>
      <c r="H240" t="s">
        <v>134</v>
      </c>
    </row>
    <row r="241" spans="1:8" x14ac:dyDescent="0.35">
      <c r="A241" t="s">
        <v>135</v>
      </c>
      <c r="B241" t="s">
        <v>136</v>
      </c>
      <c r="C241" t="s">
        <v>736</v>
      </c>
      <c r="D241" t="s">
        <v>737</v>
      </c>
      <c r="E241">
        <v>43725</v>
      </c>
      <c r="F241" t="s">
        <v>738</v>
      </c>
      <c r="H241" t="s">
        <v>134</v>
      </c>
    </row>
    <row r="242" spans="1:8" x14ac:dyDescent="0.35">
      <c r="A242" t="s">
        <v>135</v>
      </c>
      <c r="B242" t="s">
        <v>136</v>
      </c>
      <c r="C242" t="s">
        <v>739</v>
      </c>
      <c r="D242" t="s">
        <v>740</v>
      </c>
      <c r="E242">
        <v>43724</v>
      </c>
      <c r="F242" t="s">
        <v>741</v>
      </c>
      <c r="H242" t="s">
        <v>134</v>
      </c>
    </row>
    <row r="243" spans="1:8" x14ac:dyDescent="0.35">
      <c r="A243" t="s">
        <v>135</v>
      </c>
      <c r="B243" t="s">
        <v>136</v>
      </c>
      <c r="C243" t="s">
        <v>742</v>
      </c>
      <c r="D243" t="s">
        <v>743</v>
      </c>
      <c r="E243">
        <v>43724</v>
      </c>
      <c r="F243" t="s">
        <v>744</v>
      </c>
      <c r="H243" t="s">
        <v>134</v>
      </c>
    </row>
    <row r="244" spans="1:8" x14ac:dyDescent="0.35">
      <c r="A244" t="s">
        <v>135</v>
      </c>
      <c r="B244" t="s">
        <v>136</v>
      </c>
      <c r="C244" t="s">
        <v>745</v>
      </c>
      <c r="D244" t="s">
        <v>746</v>
      </c>
      <c r="E244">
        <v>43724</v>
      </c>
      <c r="F244" t="s">
        <v>165</v>
      </c>
      <c r="H244" t="s">
        <v>134</v>
      </c>
    </row>
    <row r="245" spans="1:8" x14ac:dyDescent="0.35">
      <c r="A245" t="s">
        <v>135</v>
      </c>
      <c r="B245" t="s">
        <v>136</v>
      </c>
      <c r="C245" t="s">
        <v>747</v>
      </c>
      <c r="D245" t="s">
        <v>748</v>
      </c>
      <c r="E245">
        <v>43724</v>
      </c>
      <c r="F245" t="s">
        <v>749</v>
      </c>
      <c r="H245" t="s">
        <v>134</v>
      </c>
    </row>
    <row r="246" spans="1:8" x14ac:dyDescent="0.35">
      <c r="A246" t="s">
        <v>135</v>
      </c>
      <c r="B246" t="s">
        <v>136</v>
      </c>
      <c r="C246" t="s">
        <v>750</v>
      </c>
      <c r="D246" t="s">
        <v>751</v>
      </c>
      <c r="E246">
        <v>43720</v>
      </c>
      <c r="F246" t="s">
        <v>752</v>
      </c>
      <c r="H246" t="s">
        <v>134</v>
      </c>
    </row>
    <row r="247" spans="1:8" x14ac:dyDescent="0.35">
      <c r="A247" t="s">
        <v>135</v>
      </c>
      <c r="B247" t="s">
        <v>136</v>
      </c>
      <c r="C247" t="s">
        <v>753</v>
      </c>
      <c r="D247" t="s">
        <v>754</v>
      </c>
      <c r="E247">
        <v>43718</v>
      </c>
      <c r="F247" t="s">
        <v>755</v>
      </c>
      <c r="H247" t="s">
        <v>134</v>
      </c>
    </row>
    <row r="248" spans="1:8" x14ac:dyDescent="0.35">
      <c r="A248" t="s">
        <v>135</v>
      </c>
      <c r="B248" t="s">
        <v>136</v>
      </c>
      <c r="C248" t="s">
        <v>756</v>
      </c>
      <c r="D248" t="s">
        <v>757</v>
      </c>
      <c r="E248">
        <v>43718</v>
      </c>
      <c r="F248" t="s">
        <v>758</v>
      </c>
      <c r="H248" t="s">
        <v>134</v>
      </c>
    </row>
    <row r="249" spans="1:8" x14ac:dyDescent="0.35">
      <c r="A249" t="s">
        <v>135</v>
      </c>
      <c r="B249" t="s">
        <v>136</v>
      </c>
      <c r="C249" t="s">
        <v>756</v>
      </c>
      <c r="D249" t="s">
        <v>759</v>
      </c>
      <c r="E249">
        <v>43718</v>
      </c>
      <c r="H249" t="s">
        <v>134</v>
      </c>
    </row>
    <row r="250" spans="1:8" x14ac:dyDescent="0.35">
      <c r="A250" t="s">
        <v>135</v>
      </c>
      <c r="B250" t="s">
        <v>136</v>
      </c>
      <c r="C250" t="s">
        <v>760</v>
      </c>
      <c r="D250" t="s">
        <v>761</v>
      </c>
      <c r="E250">
        <v>43714</v>
      </c>
      <c r="F250" t="s">
        <v>762</v>
      </c>
      <c r="H250" t="s">
        <v>134</v>
      </c>
    </row>
    <row r="251" spans="1:8" x14ac:dyDescent="0.35">
      <c r="A251" t="s">
        <v>135</v>
      </c>
      <c r="B251" t="s">
        <v>136</v>
      </c>
      <c r="C251" t="s">
        <v>763</v>
      </c>
      <c r="D251" t="s">
        <v>764</v>
      </c>
      <c r="E251">
        <v>43714</v>
      </c>
      <c r="F251" t="s">
        <v>765</v>
      </c>
      <c r="H251" t="s">
        <v>134</v>
      </c>
    </row>
    <row r="252" spans="1:8" x14ac:dyDescent="0.35">
      <c r="A252" t="s">
        <v>135</v>
      </c>
      <c r="B252" t="s">
        <v>136</v>
      </c>
      <c r="C252" t="s">
        <v>766</v>
      </c>
      <c r="D252" t="s">
        <v>767</v>
      </c>
      <c r="E252">
        <v>43713</v>
      </c>
      <c r="F252" t="s">
        <v>768</v>
      </c>
      <c r="H252" t="s">
        <v>134</v>
      </c>
    </row>
    <row r="253" spans="1:8" x14ac:dyDescent="0.35">
      <c r="A253" t="s">
        <v>135</v>
      </c>
      <c r="B253" t="s">
        <v>136</v>
      </c>
      <c r="C253" t="s">
        <v>769</v>
      </c>
      <c r="D253" t="s">
        <v>770</v>
      </c>
      <c r="E253">
        <v>43713</v>
      </c>
      <c r="F253" t="s">
        <v>771</v>
      </c>
      <c r="H253" t="s">
        <v>134</v>
      </c>
    </row>
    <row r="254" spans="1:8" x14ac:dyDescent="0.35">
      <c r="A254" t="s">
        <v>135</v>
      </c>
      <c r="B254" t="s">
        <v>136</v>
      </c>
      <c r="C254" t="s">
        <v>772</v>
      </c>
      <c r="D254" t="s">
        <v>773</v>
      </c>
      <c r="E254">
        <v>43713</v>
      </c>
      <c r="F254" t="s">
        <v>550</v>
      </c>
      <c r="H254" t="s">
        <v>134</v>
      </c>
    </row>
    <row r="255" spans="1:8" x14ac:dyDescent="0.35">
      <c r="A255" t="s">
        <v>135</v>
      </c>
      <c r="B255" t="s">
        <v>136</v>
      </c>
      <c r="C255" t="s">
        <v>774</v>
      </c>
      <c r="D255" t="s">
        <v>775</v>
      </c>
      <c r="E255">
        <v>43712</v>
      </c>
      <c r="F255" t="s">
        <v>776</v>
      </c>
      <c r="H255" t="s">
        <v>134</v>
      </c>
    </row>
    <row r="256" spans="1:8" x14ac:dyDescent="0.35">
      <c r="A256" t="s">
        <v>135</v>
      </c>
      <c r="B256" t="s">
        <v>136</v>
      </c>
      <c r="C256" t="s">
        <v>777</v>
      </c>
      <c r="D256" t="s">
        <v>778</v>
      </c>
      <c r="E256">
        <v>43711</v>
      </c>
      <c r="F256" t="s">
        <v>779</v>
      </c>
      <c r="H256" t="s">
        <v>134</v>
      </c>
    </row>
    <row r="257" spans="1:8" x14ac:dyDescent="0.35">
      <c r="A257" t="s">
        <v>135</v>
      </c>
      <c r="B257" t="s">
        <v>136</v>
      </c>
      <c r="C257" t="s">
        <v>780</v>
      </c>
      <c r="D257" t="s">
        <v>781</v>
      </c>
      <c r="E257">
        <v>43707</v>
      </c>
      <c r="F257" t="s">
        <v>782</v>
      </c>
      <c r="H257" t="s">
        <v>134</v>
      </c>
    </row>
    <row r="258" spans="1:8" x14ac:dyDescent="0.35">
      <c r="A258" t="s">
        <v>135</v>
      </c>
      <c r="B258" t="s">
        <v>136</v>
      </c>
      <c r="C258" t="s">
        <v>783</v>
      </c>
      <c r="D258" t="s">
        <v>784</v>
      </c>
      <c r="E258">
        <v>43707</v>
      </c>
      <c r="H258" t="s">
        <v>134</v>
      </c>
    </row>
    <row r="259" spans="1:8" x14ac:dyDescent="0.35">
      <c r="A259" t="s">
        <v>135</v>
      </c>
      <c r="B259" t="s">
        <v>136</v>
      </c>
      <c r="C259" t="s">
        <v>785</v>
      </c>
      <c r="D259" t="s">
        <v>786</v>
      </c>
      <c r="E259">
        <v>43707</v>
      </c>
      <c r="F259" t="s">
        <v>787</v>
      </c>
      <c r="H259" t="s">
        <v>134</v>
      </c>
    </row>
    <row r="260" spans="1:8" x14ac:dyDescent="0.35">
      <c r="A260" t="s">
        <v>135</v>
      </c>
      <c r="B260" t="s">
        <v>136</v>
      </c>
      <c r="C260" t="s">
        <v>788</v>
      </c>
      <c r="D260" t="s">
        <v>789</v>
      </c>
      <c r="E260">
        <v>43707</v>
      </c>
      <c r="F260" t="s">
        <v>790</v>
      </c>
      <c r="H260" t="s">
        <v>134</v>
      </c>
    </row>
    <row r="261" spans="1:8" x14ac:dyDescent="0.35">
      <c r="A261" t="s">
        <v>135</v>
      </c>
      <c r="B261" t="s">
        <v>136</v>
      </c>
      <c r="C261" t="s">
        <v>791</v>
      </c>
      <c r="D261" t="s">
        <v>792</v>
      </c>
      <c r="E261">
        <v>43707</v>
      </c>
      <c r="F261" t="s">
        <v>793</v>
      </c>
      <c r="H261" t="s">
        <v>134</v>
      </c>
    </row>
    <row r="262" spans="1:8" x14ac:dyDescent="0.35">
      <c r="A262" t="s">
        <v>135</v>
      </c>
      <c r="B262" t="s">
        <v>136</v>
      </c>
      <c r="C262" t="s">
        <v>794</v>
      </c>
      <c r="D262" t="s">
        <v>795</v>
      </c>
      <c r="E262">
        <v>43706</v>
      </c>
      <c r="F262" t="s">
        <v>796</v>
      </c>
      <c r="H262" t="s">
        <v>134</v>
      </c>
    </row>
    <row r="263" spans="1:8" x14ac:dyDescent="0.35">
      <c r="A263" t="s">
        <v>135</v>
      </c>
      <c r="B263" t="s">
        <v>136</v>
      </c>
      <c r="C263" t="s">
        <v>797</v>
      </c>
      <c r="D263" t="s">
        <v>798</v>
      </c>
      <c r="E263">
        <v>43706</v>
      </c>
      <c r="F263" t="s">
        <v>799</v>
      </c>
      <c r="H263" t="s">
        <v>134</v>
      </c>
    </row>
    <row r="264" spans="1:8" x14ac:dyDescent="0.35">
      <c r="A264" t="s">
        <v>135</v>
      </c>
      <c r="B264" t="s">
        <v>136</v>
      </c>
      <c r="C264" t="s">
        <v>800</v>
      </c>
      <c r="D264" t="s">
        <v>801</v>
      </c>
      <c r="E264">
        <v>43705</v>
      </c>
      <c r="F264" t="s">
        <v>802</v>
      </c>
      <c r="H264" t="s">
        <v>134</v>
      </c>
    </row>
    <row r="265" spans="1:8" x14ac:dyDescent="0.35">
      <c r="A265" t="s">
        <v>135</v>
      </c>
      <c r="B265" t="s">
        <v>136</v>
      </c>
      <c r="C265" t="s">
        <v>803</v>
      </c>
      <c r="D265" t="s">
        <v>804</v>
      </c>
      <c r="E265">
        <v>43704</v>
      </c>
      <c r="F265" t="s">
        <v>805</v>
      </c>
      <c r="H265" t="s">
        <v>134</v>
      </c>
    </row>
    <row r="266" spans="1:8" x14ac:dyDescent="0.35">
      <c r="F266" t="s">
        <v>806</v>
      </c>
    </row>
    <row r="267" spans="1:8" x14ac:dyDescent="0.35">
      <c r="A267" t="s">
        <v>135</v>
      </c>
      <c r="B267" t="s">
        <v>136</v>
      </c>
      <c r="C267" t="s">
        <v>807</v>
      </c>
      <c r="D267" t="s">
        <v>808</v>
      </c>
      <c r="E267">
        <v>43704</v>
      </c>
      <c r="F267" t="s">
        <v>809</v>
      </c>
      <c r="H267" t="s">
        <v>134</v>
      </c>
    </row>
    <row r="268" spans="1:8" x14ac:dyDescent="0.35">
      <c r="A268" t="s">
        <v>135</v>
      </c>
      <c r="B268" t="s">
        <v>136</v>
      </c>
      <c r="C268" t="s">
        <v>810</v>
      </c>
      <c r="D268" t="s">
        <v>811</v>
      </c>
      <c r="E268">
        <v>43704</v>
      </c>
      <c r="F268" t="s">
        <v>809</v>
      </c>
      <c r="H268" t="s">
        <v>134</v>
      </c>
    </row>
    <row r="269" spans="1:8" x14ac:dyDescent="0.35">
      <c r="A269" t="s">
        <v>135</v>
      </c>
      <c r="B269" t="s">
        <v>136</v>
      </c>
      <c r="C269" t="s">
        <v>812</v>
      </c>
      <c r="D269" t="s">
        <v>813</v>
      </c>
      <c r="E269">
        <v>43704</v>
      </c>
      <c r="F269" t="s">
        <v>814</v>
      </c>
      <c r="H269" t="s">
        <v>134</v>
      </c>
    </row>
    <row r="270" spans="1:8" x14ac:dyDescent="0.35">
      <c r="A270" t="s">
        <v>135</v>
      </c>
      <c r="B270" t="s">
        <v>136</v>
      </c>
      <c r="C270" t="s">
        <v>812</v>
      </c>
      <c r="D270" t="s">
        <v>813</v>
      </c>
      <c r="E270">
        <v>43704</v>
      </c>
      <c r="H270" t="s">
        <v>134</v>
      </c>
    </row>
    <row r="271" spans="1:8" x14ac:dyDescent="0.35">
      <c r="A271" t="s">
        <v>135</v>
      </c>
      <c r="B271" t="s">
        <v>136</v>
      </c>
      <c r="C271" t="s">
        <v>815</v>
      </c>
      <c r="D271" t="s">
        <v>816</v>
      </c>
      <c r="E271">
        <v>43704</v>
      </c>
      <c r="F271" t="s">
        <v>817</v>
      </c>
      <c r="H271" t="s">
        <v>134</v>
      </c>
    </row>
    <row r="272" spans="1:8" x14ac:dyDescent="0.35">
      <c r="A272" t="s">
        <v>135</v>
      </c>
      <c r="B272" t="s">
        <v>136</v>
      </c>
      <c r="C272" t="s">
        <v>818</v>
      </c>
      <c r="D272" t="s">
        <v>819</v>
      </c>
      <c r="E272">
        <v>43704</v>
      </c>
      <c r="F272" t="s">
        <v>820</v>
      </c>
      <c r="H272" t="s">
        <v>134</v>
      </c>
    </row>
    <row r="273" spans="1:8" x14ac:dyDescent="0.35">
      <c r="A273" t="s">
        <v>135</v>
      </c>
      <c r="B273" t="s">
        <v>136</v>
      </c>
      <c r="C273" t="s">
        <v>821</v>
      </c>
      <c r="D273" t="s">
        <v>822</v>
      </c>
      <c r="E273">
        <v>43704</v>
      </c>
      <c r="F273" t="s">
        <v>823</v>
      </c>
      <c r="H273" t="s">
        <v>134</v>
      </c>
    </row>
    <row r="274" spans="1:8" x14ac:dyDescent="0.35">
      <c r="A274" t="s">
        <v>135</v>
      </c>
      <c r="B274" t="s">
        <v>136</v>
      </c>
      <c r="C274" t="s">
        <v>824</v>
      </c>
      <c r="D274" t="s">
        <v>825</v>
      </c>
      <c r="E274">
        <v>43703</v>
      </c>
      <c r="H274" t="s">
        <v>134</v>
      </c>
    </row>
    <row r="275" spans="1:8" x14ac:dyDescent="0.35">
      <c r="A275" t="s">
        <v>135</v>
      </c>
      <c r="B275" t="s">
        <v>136</v>
      </c>
      <c r="C275" t="s">
        <v>815</v>
      </c>
      <c r="D275" t="s">
        <v>816</v>
      </c>
      <c r="E275">
        <v>43703</v>
      </c>
      <c r="H275" t="s">
        <v>134</v>
      </c>
    </row>
    <row r="276" spans="1:8" x14ac:dyDescent="0.35">
      <c r="A276" t="s">
        <v>135</v>
      </c>
      <c r="B276" t="s">
        <v>136</v>
      </c>
      <c r="C276" t="s">
        <v>826</v>
      </c>
      <c r="D276" t="s">
        <v>827</v>
      </c>
      <c r="E276">
        <v>43700</v>
      </c>
      <c r="F276" t="s">
        <v>741</v>
      </c>
      <c r="H276" t="s">
        <v>134</v>
      </c>
    </row>
    <row r="277" spans="1:8" x14ac:dyDescent="0.35">
      <c r="A277" t="s">
        <v>135</v>
      </c>
      <c r="B277" t="s">
        <v>136</v>
      </c>
      <c r="C277" t="s">
        <v>828</v>
      </c>
      <c r="D277" t="s">
        <v>829</v>
      </c>
      <c r="E277">
        <v>43700</v>
      </c>
      <c r="F277" t="s">
        <v>830</v>
      </c>
      <c r="H277" t="s">
        <v>134</v>
      </c>
    </row>
    <row r="278" spans="1:8" x14ac:dyDescent="0.35">
      <c r="A278" t="s">
        <v>135</v>
      </c>
      <c r="B278" t="s">
        <v>136</v>
      </c>
      <c r="C278" t="s">
        <v>831</v>
      </c>
      <c r="D278" t="s">
        <v>832</v>
      </c>
      <c r="E278">
        <v>43700</v>
      </c>
      <c r="F278" t="s">
        <v>833</v>
      </c>
      <c r="H278" t="s">
        <v>134</v>
      </c>
    </row>
    <row r="279" spans="1:8" x14ac:dyDescent="0.35">
      <c r="A279" t="s">
        <v>135</v>
      </c>
      <c r="B279" t="s">
        <v>136</v>
      </c>
      <c r="C279" t="s">
        <v>834</v>
      </c>
      <c r="D279" t="s">
        <v>835</v>
      </c>
      <c r="E279">
        <v>43700</v>
      </c>
      <c r="F279" t="s">
        <v>836</v>
      </c>
      <c r="H279" t="s">
        <v>134</v>
      </c>
    </row>
    <row r="280" spans="1:8" x14ac:dyDescent="0.35">
      <c r="A280" t="s">
        <v>135</v>
      </c>
      <c r="B280" t="s">
        <v>136</v>
      </c>
      <c r="C280" t="s">
        <v>837</v>
      </c>
      <c r="D280" t="s">
        <v>838</v>
      </c>
      <c r="E280">
        <v>43699</v>
      </c>
      <c r="F280" t="s">
        <v>839</v>
      </c>
      <c r="H280" t="s">
        <v>134</v>
      </c>
    </row>
    <row r="281" spans="1:8" x14ac:dyDescent="0.35">
      <c r="A281" t="s">
        <v>135</v>
      </c>
      <c r="B281" t="s">
        <v>136</v>
      </c>
      <c r="C281" t="s">
        <v>840</v>
      </c>
      <c r="D281" t="s">
        <v>841</v>
      </c>
      <c r="E281">
        <v>43699</v>
      </c>
      <c r="H281" t="s">
        <v>134</v>
      </c>
    </row>
    <row r="282" spans="1:8" x14ac:dyDescent="0.35">
      <c r="A282" t="s">
        <v>135</v>
      </c>
      <c r="B282" t="s">
        <v>136</v>
      </c>
      <c r="C282" t="s">
        <v>840</v>
      </c>
      <c r="D282" t="s">
        <v>841</v>
      </c>
      <c r="E282">
        <v>43699</v>
      </c>
      <c r="H282" t="s">
        <v>134</v>
      </c>
    </row>
    <row r="283" spans="1:8" x14ac:dyDescent="0.35">
      <c r="A283" t="s">
        <v>135</v>
      </c>
      <c r="B283" t="s">
        <v>136</v>
      </c>
      <c r="C283" t="s">
        <v>842</v>
      </c>
      <c r="D283" t="s">
        <v>843</v>
      </c>
      <c r="E283">
        <v>43699</v>
      </c>
      <c r="F283" t="s">
        <v>844</v>
      </c>
      <c r="H283" t="s">
        <v>134</v>
      </c>
    </row>
    <row r="284" spans="1:8" x14ac:dyDescent="0.35">
      <c r="A284" t="s">
        <v>135</v>
      </c>
      <c r="B284" t="s">
        <v>136</v>
      </c>
      <c r="C284" t="s">
        <v>845</v>
      </c>
      <c r="D284" t="s">
        <v>846</v>
      </c>
      <c r="E284">
        <v>43699</v>
      </c>
      <c r="F284" t="s">
        <v>847</v>
      </c>
      <c r="H284" t="s">
        <v>134</v>
      </c>
    </row>
    <row r="285" spans="1:8" x14ac:dyDescent="0.35">
      <c r="A285" t="s">
        <v>135</v>
      </c>
      <c r="B285" t="s">
        <v>136</v>
      </c>
      <c r="C285" t="s">
        <v>848</v>
      </c>
      <c r="D285" t="s">
        <v>849</v>
      </c>
      <c r="E285">
        <v>43698</v>
      </c>
      <c r="F285" t="s">
        <v>850</v>
      </c>
      <c r="H285" t="s">
        <v>134</v>
      </c>
    </row>
    <row r="286" spans="1:8" x14ac:dyDescent="0.35">
      <c r="A286" t="s">
        <v>135</v>
      </c>
      <c r="B286" t="s">
        <v>136</v>
      </c>
      <c r="C286" t="s">
        <v>851</v>
      </c>
      <c r="D286" t="s">
        <v>852</v>
      </c>
      <c r="E286">
        <v>43698</v>
      </c>
      <c r="F286" t="s">
        <v>853</v>
      </c>
      <c r="H286" t="s">
        <v>134</v>
      </c>
    </row>
    <row r="287" spans="1:8" x14ac:dyDescent="0.35">
      <c r="A287" t="s">
        <v>135</v>
      </c>
      <c r="B287" t="s">
        <v>136</v>
      </c>
      <c r="C287" t="s">
        <v>854</v>
      </c>
      <c r="D287" t="s">
        <v>855</v>
      </c>
      <c r="E287">
        <v>43698</v>
      </c>
      <c r="F287" t="s">
        <v>729</v>
      </c>
      <c r="H287" t="s">
        <v>134</v>
      </c>
    </row>
    <row r="288" spans="1:8" x14ac:dyDescent="0.35">
      <c r="A288" t="s">
        <v>135</v>
      </c>
      <c r="B288" t="s">
        <v>136</v>
      </c>
      <c r="C288" t="s">
        <v>856</v>
      </c>
      <c r="D288" t="s">
        <v>857</v>
      </c>
      <c r="E288">
        <v>43698</v>
      </c>
      <c r="F288" t="s">
        <v>858</v>
      </c>
      <c r="H288" t="s">
        <v>134</v>
      </c>
    </row>
    <row r="289" spans="1:8" x14ac:dyDescent="0.35">
      <c r="A289" t="s">
        <v>135</v>
      </c>
      <c r="B289" t="s">
        <v>136</v>
      </c>
      <c r="C289" t="s">
        <v>859</v>
      </c>
      <c r="D289" t="s">
        <v>860</v>
      </c>
      <c r="E289">
        <v>43698</v>
      </c>
      <c r="F289" t="s">
        <v>861</v>
      </c>
      <c r="H289" t="s">
        <v>134</v>
      </c>
    </row>
    <row r="290" spans="1:8" x14ac:dyDescent="0.35">
      <c r="A290" t="s">
        <v>135</v>
      </c>
      <c r="B290" t="s">
        <v>136</v>
      </c>
      <c r="C290" t="s">
        <v>862</v>
      </c>
      <c r="D290" t="s">
        <v>863</v>
      </c>
      <c r="E290">
        <v>43698</v>
      </c>
      <c r="F290" t="s">
        <v>864</v>
      </c>
      <c r="H290" t="s">
        <v>134</v>
      </c>
    </row>
    <row r="291" spans="1:8" x14ac:dyDescent="0.35">
      <c r="A291" t="s">
        <v>135</v>
      </c>
      <c r="B291" t="s">
        <v>136</v>
      </c>
      <c r="C291" t="s">
        <v>865</v>
      </c>
      <c r="D291" t="s">
        <v>866</v>
      </c>
      <c r="E291">
        <v>43698</v>
      </c>
      <c r="F291" t="s">
        <v>867</v>
      </c>
      <c r="H291" t="s">
        <v>134</v>
      </c>
    </row>
    <row r="292" spans="1:8" x14ac:dyDescent="0.35">
      <c r="A292" t="s">
        <v>135</v>
      </c>
      <c r="B292" t="s">
        <v>136</v>
      </c>
      <c r="C292" t="s">
        <v>821</v>
      </c>
      <c r="D292" t="s">
        <v>822</v>
      </c>
      <c r="E292">
        <v>43693</v>
      </c>
      <c r="H292" t="s">
        <v>134</v>
      </c>
    </row>
    <row r="293" spans="1:8" x14ac:dyDescent="0.35">
      <c r="A293" t="s">
        <v>135</v>
      </c>
      <c r="B293" t="s">
        <v>136</v>
      </c>
      <c r="C293" t="s">
        <v>868</v>
      </c>
      <c r="D293" t="s">
        <v>869</v>
      </c>
      <c r="E293">
        <v>43691</v>
      </c>
      <c r="F293" t="s">
        <v>870</v>
      </c>
      <c r="H293" t="s">
        <v>134</v>
      </c>
    </row>
    <row r="294" spans="1:8" x14ac:dyDescent="0.35">
      <c r="A294" t="s">
        <v>135</v>
      </c>
      <c r="B294" t="s">
        <v>136</v>
      </c>
      <c r="C294" t="s">
        <v>868</v>
      </c>
      <c r="D294" t="s">
        <v>871</v>
      </c>
      <c r="E294">
        <v>43691</v>
      </c>
      <c r="H294" t="s">
        <v>134</v>
      </c>
    </row>
    <row r="295" spans="1:8" x14ac:dyDescent="0.35">
      <c r="A295" t="s">
        <v>135</v>
      </c>
      <c r="B295" t="s">
        <v>136</v>
      </c>
      <c r="C295" t="s">
        <v>872</v>
      </c>
      <c r="D295" t="s">
        <v>873</v>
      </c>
      <c r="E295">
        <v>43689</v>
      </c>
      <c r="F295" t="s">
        <v>874</v>
      </c>
      <c r="H295" t="s">
        <v>134</v>
      </c>
    </row>
    <row r="296" spans="1:8" x14ac:dyDescent="0.35">
      <c r="F296" t="s">
        <v>875</v>
      </c>
    </row>
    <row r="297" spans="1:8" x14ac:dyDescent="0.35">
      <c r="A297" t="s">
        <v>135</v>
      </c>
      <c r="B297" t="s">
        <v>136</v>
      </c>
      <c r="C297" t="s">
        <v>876</v>
      </c>
      <c r="D297" t="s">
        <v>877</v>
      </c>
      <c r="E297">
        <v>43689</v>
      </c>
      <c r="F297" t="s">
        <v>878</v>
      </c>
      <c r="H297" t="s">
        <v>134</v>
      </c>
    </row>
    <row r="298" spans="1:8" x14ac:dyDescent="0.35">
      <c r="A298" t="s">
        <v>135</v>
      </c>
      <c r="B298" t="s">
        <v>136</v>
      </c>
      <c r="C298" t="s">
        <v>879</v>
      </c>
      <c r="D298" t="s">
        <v>880</v>
      </c>
      <c r="E298">
        <v>43689</v>
      </c>
      <c r="F298" t="s">
        <v>322</v>
      </c>
      <c r="H298" t="s">
        <v>134</v>
      </c>
    </row>
    <row r="299" spans="1:8" x14ac:dyDescent="0.35">
      <c r="A299" t="s">
        <v>135</v>
      </c>
      <c r="B299" t="s">
        <v>136</v>
      </c>
      <c r="C299" t="s">
        <v>879</v>
      </c>
      <c r="D299" t="s">
        <v>881</v>
      </c>
      <c r="E299">
        <v>43689</v>
      </c>
      <c r="H299" t="s">
        <v>134</v>
      </c>
    </row>
    <row r="300" spans="1:8" x14ac:dyDescent="0.35">
      <c r="A300" t="s">
        <v>135</v>
      </c>
      <c r="B300" t="s">
        <v>136</v>
      </c>
      <c r="C300" t="s">
        <v>882</v>
      </c>
      <c r="D300" t="s">
        <v>883</v>
      </c>
      <c r="E300">
        <v>43689</v>
      </c>
      <c r="F300" t="s">
        <v>884</v>
      </c>
      <c r="H300" t="s">
        <v>134</v>
      </c>
    </row>
    <row r="301" spans="1:8" x14ac:dyDescent="0.35">
      <c r="A301" t="s">
        <v>135</v>
      </c>
      <c r="B301" t="s">
        <v>136</v>
      </c>
      <c r="C301" t="s">
        <v>885</v>
      </c>
      <c r="D301" t="s">
        <v>886</v>
      </c>
      <c r="E301">
        <v>43689</v>
      </c>
      <c r="F301" t="s">
        <v>887</v>
      </c>
      <c r="H301" t="s">
        <v>134</v>
      </c>
    </row>
    <row r="302" spans="1:8" x14ac:dyDescent="0.35">
      <c r="A302" t="s">
        <v>135</v>
      </c>
      <c r="B302" t="s">
        <v>136</v>
      </c>
      <c r="C302" t="s">
        <v>888</v>
      </c>
      <c r="D302" t="s">
        <v>889</v>
      </c>
      <c r="E302">
        <v>43689</v>
      </c>
      <c r="H302" t="s">
        <v>134</v>
      </c>
    </row>
    <row r="303" spans="1:8" x14ac:dyDescent="0.35">
      <c r="A303" t="s">
        <v>135</v>
      </c>
      <c r="B303" t="s">
        <v>136</v>
      </c>
      <c r="C303" t="s">
        <v>890</v>
      </c>
      <c r="D303" t="s">
        <v>891</v>
      </c>
      <c r="E303">
        <v>43686</v>
      </c>
      <c r="F303" t="s">
        <v>892</v>
      </c>
      <c r="H303" t="s">
        <v>134</v>
      </c>
    </row>
    <row r="304" spans="1:8" x14ac:dyDescent="0.35">
      <c r="A304" t="s">
        <v>135</v>
      </c>
      <c r="B304" t="s">
        <v>136</v>
      </c>
      <c r="C304" t="s">
        <v>893</v>
      </c>
      <c r="D304" t="s">
        <v>894</v>
      </c>
      <c r="E304">
        <v>43686</v>
      </c>
      <c r="F304" t="s">
        <v>895</v>
      </c>
      <c r="H304" t="s">
        <v>134</v>
      </c>
    </row>
    <row r="305" spans="1:8" x14ac:dyDescent="0.35">
      <c r="A305" t="s">
        <v>135</v>
      </c>
      <c r="B305" t="s">
        <v>136</v>
      </c>
      <c r="C305" t="s">
        <v>896</v>
      </c>
      <c r="D305" t="s">
        <v>897</v>
      </c>
      <c r="E305">
        <v>43685</v>
      </c>
      <c r="F305" t="s">
        <v>898</v>
      </c>
      <c r="H305" t="s">
        <v>134</v>
      </c>
    </row>
    <row r="306" spans="1:8" x14ac:dyDescent="0.35">
      <c r="A306" t="s">
        <v>135</v>
      </c>
      <c r="B306" t="s">
        <v>136</v>
      </c>
      <c r="C306" t="s">
        <v>899</v>
      </c>
      <c r="D306" t="s">
        <v>900</v>
      </c>
      <c r="E306">
        <v>43685</v>
      </c>
      <c r="F306" t="s">
        <v>901</v>
      </c>
      <c r="H306" t="s">
        <v>134</v>
      </c>
    </row>
    <row r="307" spans="1:8" x14ac:dyDescent="0.35">
      <c r="A307" t="s">
        <v>135</v>
      </c>
      <c r="B307" t="s">
        <v>136</v>
      </c>
      <c r="C307" t="s">
        <v>902</v>
      </c>
      <c r="D307" t="s">
        <v>903</v>
      </c>
      <c r="E307">
        <v>43685</v>
      </c>
      <c r="F307" t="s">
        <v>904</v>
      </c>
      <c r="H307" t="s">
        <v>134</v>
      </c>
    </row>
    <row r="308" spans="1:8" x14ac:dyDescent="0.35">
      <c r="A308" t="s">
        <v>135</v>
      </c>
      <c r="B308" t="s">
        <v>136</v>
      </c>
      <c r="C308" t="s">
        <v>905</v>
      </c>
      <c r="D308" t="s">
        <v>906</v>
      </c>
      <c r="E308">
        <v>43685</v>
      </c>
      <c r="F308" t="s">
        <v>907</v>
      </c>
      <c r="H308" t="s">
        <v>134</v>
      </c>
    </row>
    <row r="309" spans="1:8" x14ac:dyDescent="0.35">
      <c r="A309" t="s">
        <v>135</v>
      </c>
      <c r="B309" t="s">
        <v>136</v>
      </c>
      <c r="C309" t="s">
        <v>908</v>
      </c>
      <c r="D309" t="s">
        <v>909</v>
      </c>
      <c r="E309">
        <v>43685</v>
      </c>
      <c r="F309" t="s">
        <v>910</v>
      </c>
      <c r="H309" t="s">
        <v>134</v>
      </c>
    </row>
    <row r="310" spans="1:8" x14ac:dyDescent="0.35">
      <c r="A310" t="s">
        <v>135</v>
      </c>
      <c r="B310" t="s">
        <v>136</v>
      </c>
      <c r="C310" t="s">
        <v>911</v>
      </c>
      <c r="D310" t="s">
        <v>912</v>
      </c>
      <c r="E310">
        <v>43685</v>
      </c>
      <c r="F310" t="s">
        <v>913</v>
      </c>
      <c r="H310" t="s">
        <v>134</v>
      </c>
    </row>
    <row r="311" spans="1:8" x14ac:dyDescent="0.35">
      <c r="A311" t="s">
        <v>135</v>
      </c>
      <c r="B311" t="s">
        <v>136</v>
      </c>
      <c r="C311" t="s">
        <v>914</v>
      </c>
      <c r="D311" t="s">
        <v>915</v>
      </c>
      <c r="E311">
        <v>43683</v>
      </c>
      <c r="F311" t="s">
        <v>916</v>
      </c>
      <c r="H311" t="s">
        <v>134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Files"/>
  <dimension ref="A1:C13"/>
  <sheetViews>
    <sheetView workbookViewId="0">
      <selection activeCell="B1" sqref="B1"/>
    </sheetView>
  </sheetViews>
  <sheetFormatPr defaultRowHeight="14.5" x14ac:dyDescent="0.35"/>
  <cols>
    <col min="2" max="2" width="51.26953125" bestFit="1" customWidth="1"/>
    <col min="3" max="3" width="12.1796875" bestFit="1" customWidth="1"/>
  </cols>
  <sheetData>
    <row r="1" spans="1:3" x14ac:dyDescent="0.35">
      <c r="A1" t="s">
        <v>917</v>
      </c>
      <c r="B1" t="s">
        <v>918</v>
      </c>
      <c r="C1" t="s">
        <v>919</v>
      </c>
    </row>
    <row r="2" spans="1:3" x14ac:dyDescent="0.35">
      <c r="A2" t="s">
        <v>941</v>
      </c>
      <c r="B2" t="s">
        <v>939</v>
      </c>
      <c r="C2" t="s">
        <v>920</v>
      </c>
    </row>
    <row r="3" spans="1:3" x14ac:dyDescent="0.35">
      <c r="A3" t="s">
        <v>1180</v>
      </c>
      <c r="B3" t="s">
        <v>1181</v>
      </c>
      <c r="C3" t="s">
        <v>920</v>
      </c>
    </row>
    <row r="4" spans="1:3" x14ac:dyDescent="0.35">
      <c r="A4" t="s">
        <v>942</v>
      </c>
      <c r="B4" t="s">
        <v>921</v>
      </c>
      <c r="C4" t="s">
        <v>920</v>
      </c>
    </row>
    <row r="5" spans="1:3" x14ac:dyDescent="0.35">
      <c r="A5" t="s">
        <v>943</v>
      </c>
      <c r="B5" t="s">
        <v>922</v>
      </c>
      <c r="C5" t="s">
        <v>920</v>
      </c>
    </row>
    <row r="6" spans="1:3" x14ac:dyDescent="0.35">
      <c r="A6" t="s">
        <v>944</v>
      </c>
      <c r="B6" t="s">
        <v>923</v>
      </c>
      <c r="C6" t="s">
        <v>920</v>
      </c>
    </row>
    <row r="7" spans="1:3" x14ac:dyDescent="0.35">
      <c r="A7" t="s">
        <v>945</v>
      </c>
      <c r="B7" t="s">
        <v>924</v>
      </c>
      <c r="C7" t="s">
        <v>925</v>
      </c>
    </row>
    <row r="8" spans="1:3" x14ac:dyDescent="0.35">
      <c r="A8" t="s">
        <v>946</v>
      </c>
      <c r="B8" t="s">
        <v>926</v>
      </c>
      <c r="C8" t="s">
        <v>920</v>
      </c>
    </row>
    <row r="9" spans="1:3" x14ac:dyDescent="0.35">
      <c r="A9" t="s">
        <v>947</v>
      </c>
      <c r="B9" t="s">
        <v>927</v>
      </c>
      <c r="C9" t="s">
        <v>920</v>
      </c>
    </row>
    <row r="10" spans="1:3" x14ac:dyDescent="0.35">
      <c r="A10" t="s">
        <v>948</v>
      </c>
      <c r="B10" t="s">
        <v>928</v>
      </c>
      <c r="C10" t="s">
        <v>920</v>
      </c>
    </row>
    <row r="11" spans="1:3" x14ac:dyDescent="0.35">
      <c r="A11" t="s">
        <v>949</v>
      </c>
      <c r="B11" t="s">
        <v>929</v>
      </c>
      <c r="C11" t="s">
        <v>920</v>
      </c>
    </row>
    <row r="12" spans="1:3" x14ac:dyDescent="0.35">
      <c r="A12" t="s">
        <v>950</v>
      </c>
      <c r="B12" t="s">
        <v>930</v>
      </c>
      <c r="C12" t="s">
        <v>920</v>
      </c>
    </row>
    <row r="13" spans="1:3" x14ac:dyDescent="0.35">
      <c r="A13" t="s">
        <v>951</v>
      </c>
      <c r="B13" t="s">
        <v>931</v>
      </c>
      <c r="C13" t="s">
        <v>932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PL</vt:lpstr>
      <vt:lpstr>Sheet1</vt:lpstr>
      <vt:lpstr>Attachments</vt:lpstr>
      <vt:lpstr>Files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Schmitt</dc:creator>
  <cp:lastModifiedBy>Peter Schmitt</cp:lastModifiedBy>
  <dcterms:created xsi:type="dcterms:W3CDTF">2019-12-15T13:31:45Z</dcterms:created>
  <dcterms:modified xsi:type="dcterms:W3CDTF">2020-02-17T20:19:51Z</dcterms:modified>
</cp:coreProperties>
</file>