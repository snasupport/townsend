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mise\Desktop\"/>
    </mc:Choice>
  </mc:AlternateContent>
  <xr:revisionPtr revIDLastSave="0" documentId="13_ncr:1_{240A05AC-1520-4023-AFBE-A2ADADD9F91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Transaction Detail by Account" sheetId="1" r:id="rId1"/>
  </sheets>
  <definedNames>
    <definedName name="_xlnm.Print_Area" localSheetId="0">'Transaction Detail by Account'!$A$1:$H$62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50" i="1" l="1"/>
  <c r="G56" i="1"/>
  <c r="G61" i="1"/>
  <c r="G39" i="1"/>
  <c r="G33" i="1"/>
  <c r="G41" i="1" s="1"/>
</calcChain>
</file>

<file path=xl/sharedStrings.xml><?xml version="1.0" encoding="utf-8"?>
<sst xmlns="http://schemas.openxmlformats.org/spreadsheetml/2006/main" count="188" uniqueCount="104">
  <si>
    <t>Date</t>
  </si>
  <si>
    <t>Transaction Type</t>
  </si>
  <si>
    <t>Num</t>
  </si>
  <si>
    <t>Name</t>
  </si>
  <si>
    <t>Amount</t>
  </si>
  <si>
    <t>Memo/Description</t>
  </si>
  <si>
    <t xml:space="preserve">         1010 BOA Operating Acct 3973</t>
  </si>
  <si>
    <t>Bill Payment (Check)</t>
  </si>
  <si>
    <t>03/11/2020</t>
  </si>
  <si>
    <t>Sharp Electronics Corporation</t>
  </si>
  <si>
    <t>Act# 811920  IT Support/Help Desk March 2020</t>
  </si>
  <si>
    <t>The Marilyn Center Limited Liability Company</t>
  </si>
  <si>
    <t>451 - Specialized Training Chemical Dependency Assoc</t>
  </si>
  <si>
    <t>Patricia Mise</t>
  </si>
  <si>
    <t>950 - Allocated 02/27/20 - 03/11/20</t>
  </si>
  <si>
    <t>Staples Advantage</t>
  </si>
  <si>
    <t>Various -Office Supplies</t>
  </si>
  <si>
    <t>Anthony Clark</t>
  </si>
  <si>
    <t>460: Business Development 02/24/20 - 02/28/20</t>
  </si>
  <si>
    <t>Renaissance Services, Inc.</t>
  </si>
  <si>
    <t>222-Newark Kids Code Recruitment</t>
  </si>
  <si>
    <t>E-Cubed Consulting, LLC</t>
  </si>
  <si>
    <t>950 Phone System Support - 3/19 - 6/19</t>
  </si>
  <si>
    <t>PSE&amp;G</t>
  </si>
  <si>
    <t>335- 152 Littleton Ave ACCT#73 766 329 05</t>
  </si>
  <si>
    <t>Agee Associates, LLC</t>
  </si>
  <si>
    <t>620 - Accounting Services - 03/02/20-03/12/20</t>
  </si>
  <si>
    <t>Verizon</t>
  </si>
  <si>
    <t>950 Allocated Acct#  356-165-807-0001-39</t>
  </si>
  <si>
    <t>Center for Transformative Work</t>
  </si>
  <si>
    <t>451 USJP - Rent for March 2020</t>
  </si>
  <si>
    <t>GJT ENTERPRISES LLC</t>
  </si>
  <si>
    <t>573 - VITA Tax Preparation 02/22/20 - 03/06/20</t>
  </si>
  <si>
    <t>Cali Carting</t>
  </si>
  <si>
    <t>950 Trash Removal Services</t>
  </si>
  <si>
    <t>New Jersey State Chamber of Commerce</t>
  </si>
  <si>
    <t>610-83rd Annual Walk to Washington Dinner</t>
  </si>
  <si>
    <t>Charles Love</t>
  </si>
  <si>
    <t>460- Job Readiness Consultant   02/24/20 - 03/06/20</t>
  </si>
  <si>
    <t>Effective Alarm</t>
  </si>
  <si>
    <t>Intrusion Monitoring 508 Central Ave., 2nd Qtr 2020</t>
  </si>
  <si>
    <t>ITD Information and Data Technology LLC</t>
  </si>
  <si>
    <t>452 -Lic. Issued-Grant Progr. 1/0-5/31/20</t>
  </si>
  <si>
    <t>Horizon Blue Cross Blue Shield of NJ</t>
  </si>
  <si>
    <t>Employee. Health Insurance  03/15/20 - 04/15/20</t>
  </si>
  <si>
    <t>Patricia Sermon</t>
  </si>
  <si>
    <t>Reimbursement 02/20/20</t>
  </si>
  <si>
    <t>FedEx</t>
  </si>
  <si>
    <t>Overnight FedEx to NJ Dept of Labor &amp; Workforce</t>
  </si>
  <si>
    <t>Professional Account Management. LLC</t>
  </si>
  <si>
    <t>041: Violation # T12194856172701 lIC#U24KLR</t>
  </si>
  <si>
    <t>Business Development Consortium</t>
  </si>
  <si>
    <t>222-Enrollment Recruitment Flyer for Coding Prog.</t>
  </si>
  <si>
    <t>570 - Reimbursement for items purchased</t>
  </si>
  <si>
    <t>CIT</t>
  </si>
  <si>
    <t>368 Act # 900-0264269-000 Printer Lease</t>
  </si>
  <si>
    <t>City of Paterson Parking Authority</t>
  </si>
  <si>
    <t>451 - Parking Permit for March 2020</t>
  </si>
  <si>
    <t>Dearborn Life Insurance Co.</t>
  </si>
  <si>
    <t>Acct # MJ00256-Life Ins. 03/01/20 - 05/31/20</t>
  </si>
  <si>
    <t>Keturah Muhammad</t>
  </si>
  <si>
    <t>573 - Consultant Services 02/24/20-03/06/20</t>
  </si>
  <si>
    <t>Pitney Bowes</t>
  </si>
  <si>
    <t>950 - Lease 04/30/20-07/30/20</t>
  </si>
  <si>
    <t>950 -Office Supplies</t>
  </si>
  <si>
    <t>03/12/2020</t>
  </si>
  <si>
    <t>Paycom</t>
  </si>
  <si>
    <t>600 - Closed Americorps - 0WF91</t>
  </si>
  <si>
    <t>Urban League of Essex County</t>
  </si>
  <si>
    <t>600 - LOC - Payoff 3/20</t>
  </si>
  <si>
    <t>PRINTING DELITE INC</t>
  </si>
  <si>
    <t>761 Gala Journals</t>
  </si>
  <si>
    <t>Optimum</t>
  </si>
  <si>
    <t>041 -  07844-281669-01-8  03/08/20 - 04/07/20</t>
  </si>
  <si>
    <t xml:space="preserve">         Total for 1010 BOA Operating Acct 3973</t>
  </si>
  <si>
    <t xml:space="preserve">         1012 BOA -  Abbott Checking - 9170</t>
  </si>
  <si>
    <t>Genuine Food Lab LLC</t>
  </si>
  <si>
    <t>111F Abbott Meals for Feb 2020</t>
  </si>
  <si>
    <t>Heather Wilson</t>
  </si>
  <si>
    <t>111 Abbott Petty Cash Replenishment &amp; Program Suppl</t>
  </si>
  <si>
    <t>112.1- Toddler classroom writing board</t>
  </si>
  <si>
    <t xml:space="preserve">         Total for 1012 BOA -  Abbott Checking - 9170</t>
  </si>
  <si>
    <t xml:space="preserve">         1014 BOA- NRTC Checking 9183</t>
  </si>
  <si>
    <t>03/05/2020</t>
  </si>
  <si>
    <t>Homework Construction</t>
  </si>
  <si>
    <t>Payment #2 204 S 6th St. Rehab Project</t>
  </si>
  <si>
    <t>OCA Architects</t>
  </si>
  <si>
    <t>369 : Conceptual Plan Design 3rd Payment</t>
  </si>
  <si>
    <t>Sampson Development Group, LLC</t>
  </si>
  <si>
    <t>338 NHTF - 479 S.14th St.</t>
  </si>
  <si>
    <t xml:space="preserve">         Total for 1014 BOA- NRTC Checking 9183</t>
  </si>
  <si>
    <t>Tuesday, Mar 17, 2020 07:49:09 AM GMT-7 - Accrual Basis</t>
  </si>
  <si>
    <t>URBAN LEAGUE OF ESSEX COUNTY</t>
  </si>
  <si>
    <t>Outstanding Checks from Previous check runs</t>
  </si>
  <si>
    <t>Rutgers</t>
  </si>
  <si>
    <t>Fariha Tasneem</t>
  </si>
  <si>
    <t>Dell</t>
  </si>
  <si>
    <t>Irene Cerna</t>
  </si>
  <si>
    <t>Cleared BOA</t>
  </si>
  <si>
    <r>
      <t xml:space="preserve">         Total for 1010 BOA Operating Acct 3973 -</t>
    </r>
    <r>
      <rPr>
        <b/>
        <sz val="8"/>
        <color rgb="FFFF0000"/>
        <rFont val="Arial"/>
        <family val="2"/>
      </rPr>
      <t>Checks that cleared as of 03/17/2020</t>
    </r>
  </si>
  <si>
    <t>Check Register March 4-17, 2020</t>
  </si>
  <si>
    <t>Estimated Payroll for Robbins &amp; ULEC</t>
  </si>
  <si>
    <t>Total  for checks from 2/27/20 that haven't cleared</t>
  </si>
  <si>
    <t>Estimated Balance needed in Operating account at 3/17/20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</si>
</sst>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#,##0.00\ _€"/>
    <numFmt numFmtId="165" formatCode="&quot;$&quot;* #,##0.00\ _€"/>
  </numFmts>
  <fonts count="11" x14ac:knownFonts="1">
    <font>
      <sz val="11"/>
      <color indexed="8"/>
      <name val="Calibri"/>
      <family val="2"/>
      <scheme val="minor"/>
    </font>
    <font>
      <b/>
      <sz val="9"/>
      <color indexed="8"/>
      <name val="Arial"/>
    </font>
    <font>
      <b/>
      <sz val="8"/>
      <color indexed="8"/>
      <name val="Arial"/>
    </font>
    <font>
      <sz val="8"/>
      <color indexed="8"/>
      <name val="Arial"/>
    </font>
    <font>
      <b/>
      <sz val="14"/>
      <color indexed="8"/>
      <name val="Arial"/>
    </font>
    <font>
      <sz val="11"/>
      <color rgb="FFFF0000"/>
      <name val="Calibri"/>
      <family val="2"/>
      <scheme val="minor"/>
    </font>
    <font>
      <sz val="8"/>
      <color indexed="8"/>
      <name val="Arial"/>
      <family val="2"/>
    </font>
    <font>
      <b/>
      <sz val="8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8"/>
      <color indexed="8"/>
      <name val="Arial"/>
      <family val="2"/>
    </font>
    <font>
      <b/>
      <sz val="14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0" xfId="0" applyFont="1" applyAlignment="1">
      <alignment horizontal="center"/>
    </xf>
    <xf numFmtId="0" fontId="3" fillId="0" borderId="0" xfId="0" applyFont="1" applyAlignment="1"/>
    <xf numFmtId="0" fontId="0" fillId="0" borderId="0" xfId="0" applyAlignment="1"/>
    <xf numFmtId="0" fontId="1" fillId="0" borderId="1" xfId="0" applyFont="1" applyBorder="1" applyAlignment="1">
      <alignment horizontal="center"/>
    </xf>
    <xf numFmtId="0" fontId="2" fillId="0" borderId="0" xfId="0" applyFont="1" applyAlignment="1"/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right"/>
    </xf>
    <xf numFmtId="165" fontId="2" fillId="0" borderId="2" xfId="0" applyNumberFormat="1" applyFont="1" applyBorder="1" applyAlignment="1">
      <alignment horizontal="right"/>
    </xf>
    <xf numFmtId="165" fontId="2" fillId="0" borderId="0" xfId="0" applyNumberFormat="1" applyFont="1" applyBorder="1" applyAlignment="1">
      <alignment horizontal="right"/>
    </xf>
    <xf numFmtId="165" fontId="6" fillId="0" borderId="0" xfId="0" applyNumberFormat="1" applyFont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0" fontId="5" fillId="0" borderId="0" xfId="0" applyFont="1" applyAlignment="1"/>
    <xf numFmtId="0" fontId="7" fillId="0" borderId="0" xfId="0" applyFont="1" applyAlignment="1">
      <alignment horizontal="left"/>
    </xf>
    <xf numFmtId="0" fontId="8" fillId="0" borderId="0" xfId="0" applyFont="1" applyAlignment="1"/>
    <xf numFmtId="165" fontId="2" fillId="0" borderId="1" xfId="0" applyNumberFormat="1" applyFont="1" applyBorder="1" applyAlignment="1">
      <alignment horizontal="right"/>
    </xf>
    <xf numFmtId="164" fontId="3" fillId="0" borderId="0" xfId="0" applyNumberFormat="1" applyFont="1" applyFill="1" applyAlignment="1">
      <alignment horizontal="right"/>
    </xf>
    <xf numFmtId="14" fontId="6" fillId="0" borderId="0" xfId="0" applyNumberFormat="1" applyFont="1" applyAlignment="1">
      <alignment horizontal="left"/>
    </xf>
    <xf numFmtId="0" fontId="9" fillId="0" borderId="0" xfId="0" applyFont="1" applyAlignment="1"/>
    <xf numFmtId="0" fontId="10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44" fontId="7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7"/>
  <sheetViews>
    <sheetView tabSelected="1" workbookViewId="0">
      <pane ySplit="4" topLeftCell="A5" activePane="bottomLeft" state="frozen"/>
      <selection pane="bottomLeft" sqref="A1:H1"/>
    </sheetView>
  </sheetViews>
  <sheetFormatPr defaultRowHeight="15" x14ac:dyDescent="0.25"/>
  <cols>
    <col min="1" max="1" width="2.140625" style="3" customWidth="1"/>
    <col min="2" max="2" width="12.85546875" style="3" customWidth="1"/>
    <col min="3" max="3" width="18" style="3" hidden="1" customWidth="1"/>
    <col min="4" max="4" width="10.85546875" style="3" bestFit="1" customWidth="1"/>
    <col min="5" max="5" width="15.42578125" style="3" customWidth="1"/>
    <col min="6" max="6" width="38.7109375" style="3" customWidth="1"/>
    <col min="7" max="7" width="12.85546875" style="3" customWidth="1"/>
    <col min="8" max="8" width="46.42578125" style="3" customWidth="1"/>
    <col min="9" max="16384" width="9.140625" style="3"/>
  </cols>
  <sheetData>
    <row r="1" spans="1:8" ht="18" x14ac:dyDescent="0.25">
      <c r="A1" s="1" t="s">
        <v>92</v>
      </c>
      <c r="B1" s="1"/>
      <c r="C1" s="1"/>
      <c r="D1" s="1"/>
      <c r="E1" s="1"/>
      <c r="F1" s="1"/>
      <c r="G1" s="1"/>
      <c r="H1" s="1"/>
    </row>
    <row r="2" spans="1:8" ht="18" x14ac:dyDescent="0.25">
      <c r="A2" s="19" t="s">
        <v>100</v>
      </c>
      <c r="B2" s="1"/>
      <c r="C2" s="1"/>
      <c r="D2" s="1"/>
      <c r="E2" s="1"/>
      <c r="F2" s="1"/>
      <c r="G2" s="1"/>
      <c r="H2" s="1"/>
    </row>
    <row r="4" spans="1:8" x14ac:dyDescent="0.25">
      <c r="A4" s="20"/>
      <c r="B4" s="21" t="s">
        <v>0</v>
      </c>
      <c r="C4" s="21" t="s">
        <v>1</v>
      </c>
      <c r="D4" s="21"/>
      <c r="E4" s="21" t="s">
        <v>2</v>
      </c>
      <c r="F4" s="21" t="s">
        <v>3</v>
      </c>
      <c r="G4" s="4" t="s">
        <v>4</v>
      </c>
      <c r="H4" s="4" t="s">
        <v>5</v>
      </c>
    </row>
    <row r="5" spans="1:8" x14ac:dyDescent="0.25">
      <c r="A5" s="5" t="s">
        <v>6</v>
      </c>
    </row>
    <row r="6" spans="1:8" x14ac:dyDescent="0.25">
      <c r="B6" s="6" t="s">
        <v>8</v>
      </c>
      <c r="C6" s="6" t="s">
        <v>7</v>
      </c>
      <c r="D6" s="6"/>
      <c r="E6" s="6">
        <v>13024</v>
      </c>
      <c r="F6" s="6" t="s">
        <v>21</v>
      </c>
      <c r="G6" s="7">
        <v>1400</v>
      </c>
      <c r="H6" s="6" t="s">
        <v>22</v>
      </c>
    </row>
    <row r="7" spans="1:8" x14ac:dyDescent="0.25">
      <c r="B7" s="6" t="s">
        <v>8</v>
      </c>
      <c r="C7" s="6" t="s">
        <v>7</v>
      </c>
      <c r="D7" s="6"/>
      <c r="E7" s="6">
        <v>13025</v>
      </c>
      <c r="F7" s="6" t="s">
        <v>58</v>
      </c>
      <c r="G7" s="7">
        <v>153</v>
      </c>
      <c r="H7" s="6" t="s">
        <v>59</v>
      </c>
    </row>
    <row r="8" spans="1:8" x14ac:dyDescent="0.25">
      <c r="B8" s="6" t="s">
        <v>8</v>
      </c>
      <c r="C8" s="6" t="s">
        <v>7</v>
      </c>
      <c r="D8" s="6"/>
      <c r="E8" s="6">
        <v>13026</v>
      </c>
      <c r="F8" s="6" t="s">
        <v>33</v>
      </c>
      <c r="G8" s="7">
        <v>596</v>
      </c>
      <c r="H8" s="6" t="s">
        <v>34</v>
      </c>
    </row>
    <row r="9" spans="1:8" x14ac:dyDescent="0.25">
      <c r="B9" s="6" t="s">
        <v>8</v>
      </c>
      <c r="C9" s="6" t="s">
        <v>7</v>
      </c>
      <c r="D9" s="6"/>
      <c r="E9" s="6">
        <v>13027</v>
      </c>
      <c r="F9" s="6" t="s">
        <v>41</v>
      </c>
      <c r="G9" s="7">
        <v>4000</v>
      </c>
      <c r="H9" s="6" t="s">
        <v>42</v>
      </c>
    </row>
    <row r="10" spans="1:8" x14ac:dyDescent="0.25">
      <c r="B10" s="6" t="s">
        <v>8</v>
      </c>
      <c r="C10" s="6" t="s">
        <v>7</v>
      </c>
      <c r="D10" s="6"/>
      <c r="E10" s="6">
        <v>13028</v>
      </c>
      <c r="F10" s="6" t="s">
        <v>62</v>
      </c>
      <c r="G10" s="7">
        <v>196.17</v>
      </c>
      <c r="H10" s="6" t="s">
        <v>63</v>
      </c>
    </row>
    <row r="11" spans="1:8" x14ac:dyDescent="0.25">
      <c r="B11" s="6" t="s">
        <v>8</v>
      </c>
      <c r="C11" s="6" t="s">
        <v>7</v>
      </c>
      <c r="D11" s="6"/>
      <c r="E11" s="6">
        <v>13029</v>
      </c>
      <c r="F11" s="6" t="s">
        <v>23</v>
      </c>
      <c r="G11" s="7">
        <v>826.59</v>
      </c>
      <c r="H11" s="6" t="s">
        <v>24</v>
      </c>
    </row>
    <row r="12" spans="1:8" x14ac:dyDescent="0.25">
      <c r="B12" s="6" t="s">
        <v>8</v>
      </c>
      <c r="C12" s="6" t="s">
        <v>7</v>
      </c>
      <c r="D12" s="6"/>
      <c r="E12" s="6">
        <v>13030</v>
      </c>
      <c r="F12" s="6" t="s">
        <v>35</v>
      </c>
      <c r="G12" s="7">
        <v>499</v>
      </c>
      <c r="H12" s="6" t="s">
        <v>36</v>
      </c>
    </row>
    <row r="13" spans="1:8" x14ac:dyDescent="0.25">
      <c r="B13" s="6" t="s">
        <v>8</v>
      </c>
      <c r="C13" s="6" t="s">
        <v>7</v>
      </c>
      <c r="D13" s="6"/>
      <c r="E13" s="6">
        <v>13031</v>
      </c>
      <c r="F13" s="6" t="s">
        <v>51</v>
      </c>
      <c r="G13" s="7">
        <v>55</v>
      </c>
      <c r="H13" s="6" t="s">
        <v>52</v>
      </c>
    </row>
    <row r="14" spans="1:8" x14ac:dyDescent="0.25">
      <c r="B14" s="6" t="s">
        <v>8</v>
      </c>
      <c r="C14" s="6" t="s">
        <v>7</v>
      </c>
      <c r="D14" s="6"/>
      <c r="E14" s="6">
        <v>13032</v>
      </c>
      <c r="F14" s="6" t="s">
        <v>19</v>
      </c>
      <c r="G14" s="7">
        <v>1500</v>
      </c>
      <c r="H14" s="6" t="s">
        <v>20</v>
      </c>
    </row>
    <row r="15" spans="1:8" x14ac:dyDescent="0.25">
      <c r="B15" s="6" t="s">
        <v>8</v>
      </c>
      <c r="C15" s="6" t="s">
        <v>7</v>
      </c>
      <c r="D15" s="6"/>
      <c r="E15" s="6">
        <v>13033</v>
      </c>
      <c r="F15" s="6" t="s">
        <v>54</v>
      </c>
      <c r="G15" s="7">
        <v>136.47999999999999</v>
      </c>
      <c r="H15" s="6" t="s">
        <v>55</v>
      </c>
    </row>
    <row r="16" spans="1:8" x14ac:dyDescent="0.25">
      <c r="B16" s="6" t="s">
        <v>8</v>
      </c>
      <c r="C16" s="6" t="s">
        <v>7</v>
      </c>
      <c r="D16" s="6"/>
      <c r="E16" s="6">
        <v>13034</v>
      </c>
      <c r="F16" s="6" t="s">
        <v>43</v>
      </c>
      <c r="G16" s="7">
        <v>20016.22</v>
      </c>
      <c r="H16" s="6" t="s">
        <v>44</v>
      </c>
    </row>
    <row r="17" spans="2:8" x14ac:dyDescent="0.25">
      <c r="B17" s="6" t="s">
        <v>8</v>
      </c>
      <c r="C17" s="6" t="s">
        <v>7</v>
      </c>
      <c r="D17" s="6"/>
      <c r="E17" s="6">
        <v>13035</v>
      </c>
      <c r="F17" s="6" t="s">
        <v>49</v>
      </c>
      <c r="G17" s="7">
        <v>51.5</v>
      </c>
      <c r="H17" s="6" t="s">
        <v>50</v>
      </c>
    </row>
    <row r="18" spans="2:8" x14ac:dyDescent="0.25">
      <c r="B18" s="6" t="s">
        <v>8</v>
      </c>
      <c r="C18" s="6" t="s">
        <v>7</v>
      </c>
      <c r="D18" s="6"/>
      <c r="E18" s="6">
        <v>13036</v>
      </c>
      <c r="F18" s="6" t="s">
        <v>11</v>
      </c>
      <c r="G18" s="7">
        <v>2520</v>
      </c>
      <c r="H18" s="6" t="s">
        <v>12</v>
      </c>
    </row>
    <row r="19" spans="2:8" x14ac:dyDescent="0.25">
      <c r="B19" s="6" t="s">
        <v>8</v>
      </c>
      <c r="C19" s="6" t="s">
        <v>7</v>
      </c>
      <c r="D19" s="6"/>
      <c r="E19" s="6">
        <v>13037</v>
      </c>
      <c r="F19" s="6" t="s">
        <v>45</v>
      </c>
      <c r="G19" s="7">
        <v>116.59</v>
      </c>
      <c r="H19" s="6" t="s">
        <v>53</v>
      </c>
    </row>
    <row r="20" spans="2:8" x14ac:dyDescent="0.25">
      <c r="B20" s="6" t="s">
        <v>8</v>
      </c>
      <c r="C20" s="6" t="s">
        <v>7</v>
      </c>
      <c r="D20" s="6"/>
      <c r="E20" s="6">
        <v>13038</v>
      </c>
      <c r="F20" s="6" t="s">
        <v>9</v>
      </c>
      <c r="G20" s="7">
        <v>3006</v>
      </c>
      <c r="H20" s="6" t="s">
        <v>10</v>
      </c>
    </row>
    <row r="21" spans="2:8" x14ac:dyDescent="0.25">
      <c r="B21" s="6" t="s">
        <v>8</v>
      </c>
      <c r="C21" s="6" t="s">
        <v>7</v>
      </c>
      <c r="D21" s="6"/>
      <c r="E21" s="6">
        <v>13039</v>
      </c>
      <c r="F21" s="6" t="s">
        <v>15</v>
      </c>
      <c r="G21" s="7">
        <v>367.5</v>
      </c>
      <c r="H21" s="6" t="s">
        <v>64</v>
      </c>
    </row>
    <row r="22" spans="2:8" x14ac:dyDescent="0.25">
      <c r="B22" s="6" t="s">
        <v>8</v>
      </c>
      <c r="C22" s="6" t="s">
        <v>7</v>
      </c>
      <c r="D22" s="6"/>
      <c r="E22" s="6">
        <v>13040</v>
      </c>
      <c r="F22" s="6" t="s">
        <v>60</v>
      </c>
      <c r="G22" s="7">
        <v>196</v>
      </c>
      <c r="H22" s="6" t="s">
        <v>61</v>
      </c>
    </row>
    <row r="23" spans="2:8" x14ac:dyDescent="0.25">
      <c r="B23" s="6" t="s">
        <v>8</v>
      </c>
      <c r="C23" s="6" t="s">
        <v>7</v>
      </c>
      <c r="D23" s="6"/>
      <c r="E23" s="6">
        <v>13042</v>
      </c>
      <c r="F23" s="6" t="s">
        <v>39</v>
      </c>
      <c r="G23" s="7">
        <v>405</v>
      </c>
      <c r="H23" s="6" t="s">
        <v>40</v>
      </c>
    </row>
    <row r="24" spans="2:8" x14ac:dyDescent="0.25">
      <c r="B24" s="6" t="s">
        <v>8</v>
      </c>
      <c r="C24" s="6" t="s">
        <v>7</v>
      </c>
      <c r="D24" s="6"/>
      <c r="E24" s="6">
        <v>13043</v>
      </c>
      <c r="F24" s="6" t="s">
        <v>15</v>
      </c>
      <c r="G24" s="7">
        <v>1922.13</v>
      </c>
      <c r="H24" s="6" t="s">
        <v>16</v>
      </c>
    </row>
    <row r="25" spans="2:8" x14ac:dyDescent="0.25">
      <c r="B25" s="6" t="s">
        <v>8</v>
      </c>
      <c r="C25" s="6" t="s">
        <v>7</v>
      </c>
      <c r="D25" s="6"/>
      <c r="E25" s="6">
        <v>13046</v>
      </c>
      <c r="F25" s="6" t="s">
        <v>29</v>
      </c>
      <c r="G25" s="7">
        <v>648</v>
      </c>
      <c r="H25" s="6" t="s">
        <v>30</v>
      </c>
    </row>
    <row r="26" spans="2:8" x14ac:dyDescent="0.25">
      <c r="B26" s="6" t="s">
        <v>8</v>
      </c>
      <c r="C26" s="6" t="s">
        <v>7</v>
      </c>
      <c r="D26" s="6"/>
      <c r="E26" s="6">
        <v>13047</v>
      </c>
      <c r="F26" s="6" t="s">
        <v>56</v>
      </c>
      <c r="G26" s="7">
        <v>150</v>
      </c>
      <c r="H26" s="6" t="s">
        <v>57</v>
      </c>
    </row>
    <row r="27" spans="2:8" x14ac:dyDescent="0.25">
      <c r="B27" s="6" t="s">
        <v>8</v>
      </c>
      <c r="C27" s="6" t="s">
        <v>7</v>
      </c>
      <c r="D27" s="6"/>
      <c r="E27" s="6">
        <v>13048</v>
      </c>
      <c r="F27" s="6" t="s">
        <v>27</v>
      </c>
      <c r="G27" s="7">
        <v>724.55</v>
      </c>
      <c r="H27" s="6" t="s">
        <v>28</v>
      </c>
    </row>
    <row r="28" spans="2:8" x14ac:dyDescent="0.25">
      <c r="B28" s="6" t="s">
        <v>8</v>
      </c>
      <c r="C28" s="6" t="s">
        <v>7</v>
      </c>
      <c r="D28" s="6"/>
      <c r="E28" s="6">
        <v>13049</v>
      </c>
      <c r="F28" s="6" t="s">
        <v>47</v>
      </c>
      <c r="G28" s="7">
        <v>35.76</v>
      </c>
      <c r="H28" s="6" t="s">
        <v>48</v>
      </c>
    </row>
    <row r="29" spans="2:8" x14ac:dyDescent="0.25">
      <c r="B29" s="6" t="s">
        <v>8</v>
      </c>
      <c r="C29" s="6" t="s">
        <v>7</v>
      </c>
      <c r="D29" s="6"/>
      <c r="E29" s="6">
        <v>13221</v>
      </c>
      <c r="F29" s="6" t="s">
        <v>45</v>
      </c>
      <c r="G29" s="7">
        <v>384.63</v>
      </c>
      <c r="H29" s="6" t="s">
        <v>46</v>
      </c>
    </row>
    <row r="30" spans="2:8" x14ac:dyDescent="0.25">
      <c r="B30" s="6" t="s">
        <v>65</v>
      </c>
      <c r="C30" s="6" t="s">
        <v>7</v>
      </c>
      <c r="D30" s="6"/>
      <c r="E30" s="6">
        <v>13224</v>
      </c>
      <c r="F30" s="6" t="s">
        <v>70</v>
      </c>
      <c r="G30" s="7">
        <v>3640</v>
      </c>
      <c r="H30" s="6" t="s">
        <v>71</v>
      </c>
    </row>
    <row r="31" spans="2:8" x14ac:dyDescent="0.25">
      <c r="B31" s="6" t="s">
        <v>65</v>
      </c>
      <c r="C31" s="6" t="s">
        <v>7</v>
      </c>
      <c r="D31" s="6"/>
      <c r="E31" s="6">
        <v>13225</v>
      </c>
      <c r="F31" s="6" t="s">
        <v>66</v>
      </c>
      <c r="G31" s="7">
        <v>170</v>
      </c>
      <c r="H31" s="6" t="s">
        <v>67</v>
      </c>
    </row>
    <row r="32" spans="2:8" x14ac:dyDescent="0.25">
      <c r="B32" s="6" t="s">
        <v>65</v>
      </c>
      <c r="C32" s="6" t="s">
        <v>7</v>
      </c>
      <c r="D32" s="6"/>
      <c r="E32" s="6">
        <v>13226</v>
      </c>
      <c r="F32" s="6" t="s">
        <v>72</v>
      </c>
      <c r="G32" s="7">
        <v>199.56</v>
      </c>
      <c r="H32" s="6" t="s">
        <v>73</v>
      </c>
    </row>
    <row r="33" spans="1:8" x14ac:dyDescent="0.25">
      <c r="A33" s="5" t="s">
        <v>74</v>
      </c>
      <c r="G33" s="8">
        <f>SUM(G6:G32)</f>
        <v>43915.68</v>
      </c>
    </row>
    <row r="34" spans="1:8" x14ac:dyDescent="0.25">
      <c r="A34" s="5" t="s">
        <v>93</v>
      </c>
      <c r="G34" s="9"/>
    </row>
    <row r="35" spans="1:8" x14ac:dyDescent="0.25">
      <c r="A35" s="5"/>
      <c r="B35" s="17">
        <v>43829</v>
      </c>
      <c r="E35" s="6">
        <v>12861</v>
      </c>
      <c r="F35" s="6" t="s">
        <v>94</v>
      </c>
      <c r="G35" s="10">
        <v>20000</v>
      </c>
    </row>
    <row r="36" spans="1:8" x14ac:dyDescent="0.25">
      <c r="A36" s="5"/>
      <c r="B36" s="17">
        <v>43874</v>
      </c>
      <c r="E36" s="6">
        <v>12960</v>
      </c>
      <c r="F36" s="6" t="s">
        <v>97</v>
      </c>
      <c r="G36" s="10">
        <v>86.82</v>
      </c>
    </row>
    <row r="37" spans="1:8" x14ac:dyDescent="0.25">
      <c r="A37" s="5"/>
      <c r="B37" s="17">
        <v>43888</v>
      </c>
      <c r="E37" s="6">
        <v>12993</v>
      </c>
      <c r="F37" s="6" t="s">
        <v>95</v>
      </c>
      <c r="G37" s="10">
        <v>400</v>
      </c>
    </row>
    <row r="38" spans="1:8" x14ac:dyDescent="0.25">
      <c r="A38" s="5"/>
      <c r="B38" s="17">
        <v>43888</v>
      </c>
      <c r="E38" s="6">
        <v>13015</v>
      </c>
      <c r="F38" s="6" t="s">
        <v>96</v>
      </c>
      <c r="G38" s="11">
        <v>25930.5</v>
      </c>
    </row>
    <row r="39" spans="1:8" x14ac:dyDescent="0.25">
      <c r="A39" s="5"/>
      <c r="E39" s="3" t="s">
        <v>102</v>
      </c>
      <c r="G39" s="8">
        <f>SUM(G35:G38)</f>
        <v>46417.32</v>
      </c>
    </row>
    <row r="40" spans="1:8" x14ac:dyDescent="0.25">
      <c r="A40" s="5"/>
      <c r="E40" s="3" t="s">
        <v>101</v>
      </c>
      <c r="G40" s="15">
        <v>65000</v>
      </c>
    </row>
    <row r="41" spans="1:8" ht="15.75" thickBot="1" x14ac:dyDescent="0.3">
      <c r="A41" s="5"/>
      <c r="E41" s="12" t="s">
        <v>103</v>
      </c>
      <c r="F41" s="12"/>
      <c r="G41" s="22">
        <f>+G33+G39+G40</f>
        <v>155333</v>
      </c>
    </row>
    <row r="42" spans="1:8" ht="15.75" thickTop="1" x14ac:dyDescent="0.25">
      <c r="A42" s="5"/>
      <c r="G42" s="9"/>
    </row>
    <row r="43" spans="1:8" x14ac:dyDescent="0.25">
      <c r="B43" s="6"/>
      <c r="C43" s="6"/>
      <c r="D43" s="6"/>
      <c r="E43" s="6"/>
      <c r="F43" s="6"/>
      <c r="G43" s="7"/>
      <c r="H43" s="6"/>
    </row>
    <row r="44" spans="1:8" x14ac:dyDescent="0.25">
      <c r="B44" s="6" t="s">
        <v>8</v>
      </c>
      <c r="C44" s="6" t="s">
        <v>7</v>
      </c>
      <c r="D44" s="13" t="s">
        <v>98</v>
      </c>
      <c r="E44" s="6">
        <v>13041</v>
      </c>
      <c r="F44" s="6" t="s">
        <v>31</v>
      </c>
      <c r="G44" s="16">
        <v>645</v>
      </c>
      <c r="H44" s="6" t="s">
        <v>32</v>
      </c>
    </row>
    <row r="45" spans="1:8" x14ac:dyDescent="0.25">
      <c r="B45" s="6" t="s">
        <v>8</v>
      </c>
      <c r="C45" s="6" t="s">
        <v>7</v>
      </c>
      <c r="D45" s="13" t="s">
        <v>98</v>
      </c>
      <c r="E45" s="6">
        <v>13044</v>
      </c>
      <c r="F45" s="6" t="s">
        <v>17</v>
      </c>
      <c r="G45" s="16">
        <v>1755</v>
      </c>
      <c r="H45" s="6" t="s">
        <v>18</v>
      </c>
    </row>
    <row r="46" spans="1:8" x14ac:dyDescent="0.25">
      <c r="B46" s="6" t="s">
        <v>8</v>
      </c>
      <c r="C46" s="6" t="s">
        <v>7</v>
      </c>
      <c r="D46" s="13" t="s">
        <v>98</v>
      </c>
      <c r="E46" s="6">
        <v>13045</v>
      </c>
      <c r="F46" s="6" t="s">
        <v>37</v>
      </c>
      <c r="G46" s="16">
        <v>450</v>
      </c>
      <c r="H46" s="6" t="s">
        <v>38</v>
      </c>
    </row>
    <row r="47" spans="1:8" x14ac:dyDescent="0.25">
      <c r="B47" s="6" t="s">
        <v>8</v>
      </c>
      <c r="C47" s="6" t="s">
        <v>7</v>
      </c>
      <c r="D47" s="13" t="s">
        <v>98</v>
      </c>
      <c r="E47" s="6">
        <v>13050</v>
      </c>
      <c r="F47" s="6" t="s">
        <v>25</v>
      </c>
      <c r="G47" s="16">
        <v>800</v>
      </c>
      <c r="H47" s="6" t="s">
        <v>26</v>
      </c>
    </row>
    <row r="48" spans="1:8" x14ac:dyDescent="0.25">
      <c r="B48" s="6" t="s">
        <v>8</v>
      </c>
      <c r="C48" s="6" t="s">
        <v>7</v>
      </c>
      <c r="D48" s="13" t="s">
        <v>98</v>
      </c>
      <c r="E48" s="6">
        <v>13051</v>
      </c>
      <c r="F48" s="6" t="s">
        <v>13</v>
      </c>
      <c r="G48" s="16">
        <v>2450</v>
      </c>
      <c r="H48" s="6" t="s">
        <v>14</v>
      </c>
    </row>
    <row r="49" spans="1:8" x14ac:dyDescent="0.25">
      <c r="B49" s="6" t="s">
        <v>65</v>
      </c>
      <c r="C49" s="6" t="s">
        <v>7</v>
      </c>
      <c r="D49" s="13" t="s">
        <v>98</v>
      </c>
      <c r="E49" s="6">
        <v>13223</v>
      </c>
      <c r="F49" s="6" t="s">
        <v>68</v>
      </c>
      <c r="G49" s="7">
        <v>248000</v>
      </c>
      <c r="H49" s="6" t="s">
        <v>69</v>
      </c>
    </row>
    <row r="50" spans="1:8" x14ac:dyDescent="0.25">
      <c r="A50" s="18" t="s">
        <v>99</v>
      </c>
      <c r="D50" s="14"/>
      <c r="G50" s="8">
        <f>SUM(G44:G49)</f>
        <v>254100</v>
      </c>
    </row>
    <row r="51" spans="1:8" x14ac:dyDescent="0.25">
      <c r="A51" s="18"/>
      <c r="D51" s="14"/>
      <c r="G51" s="9"/>
    </row>
    <row r="52" spans="1:8" x14ac:dyDescent="0.25">
      <c r="A52" s="5" t="s">
        <v>75</v>
      </c>
      <c r="D52" s="14"/>
    </row>
    <row r="53" spans="1:8" x14ac:dyDescent="0.25">
      <c r="B53" s="6" t="s">
        <v>8</v>
      </c>
      <c r="C53" s="6" t="s">
        <v>7</v>
      </c>
      <c r="D53" s="13"/>
      <c r="E53" s="6">
        <v>250</v>
      </c>
      <c r="F53" s="6" t="s">
        <v>76</v>
      </c>
      <c r="G53" s="7">
        <v>4722.3</v>
      </c>
      <c r="H53" s="6" t="s">
        <v>77</v>
      </c>
    </row>
    <row r="54" spans="1:8" x14ac:dyDescent="0.25">
      <c r="B54" s="6" t="s">
        <v>8</v>
      </c>
      <c r="C54" s="6" t="s">
        <v>7</v>
      </c>
      <c r="D54" s="13"/>
      <c r="E54" s="6">
        <v>251</v>
      </c>
      <c r="F54" s="6" t="s">
        <v>78</v>
      </c>
      <c r="G54" s="7">
        <v>493.02</v>
      </c>
      <c r="H54" s="6" t="s">
        <v>79</v>
      </c>
    </row>
    <row r="55" spans="1:8" x14ac:dyDescent="0.25">
      <c r="B55" s="6" t="s">
        <v>8</v>
      </c>
      <c r="C55" s="6" t="s">
        <v>7</v>
      </c>
      <c r="D55" s="13"/>
      <c r="E55" s="6">
        <v>252</v>
      </c>
      <c r="F55" s="6" t="s">
        <v>78</v>
      </c>
      <c r="G55" s="7">
        <v>6.98</v>
      </c>
      <c r="H55" s="6" t="s">
        <v>80</v>
      </c>
    </row>
    <row r="56" spans="1:8" x14ac:dyDescent="0.25">
      <c r="A56" s="5" t="s">
        <v>81</v>
      </c>
      <c r="D56" s="14"/>
      <c r="G56" s="8">
        <f>SUM(G53:G55)</f>
        <v>5222.2999999999993</v>
      </c>
    </row>
    <row r="57" spans="1:8" x14ac:dyDescent="0.25">
      <c r="A57" s="5" t="s">
        <v>82</v>
      </c>
      <c r="D57" s="14"/>
    </row>
    <row r="58" spans="1:8" x14ac:dyDescent="0.25">
      <c r="B58" s="6" t="s">
        <v>83</v>
      </c>
      <c r="C58" s="6" t="s">
        <v>7</v>
      </c>
      <c r="D58" s="13" t="s">
        <v>98</v>
      </c>
      <c r="E58" s="6">
        <v>1695</v>
      </c>
      <c r="F58" s="6" t="s">
        <v>84</v>
      </c>
      <c r="G58" s="7">
        <v>27735.439999999999</v>
      </c>
      <c r="H58" s="6" t="s">
        <v>85</v>
      </c>
    </row>
    <row r="59" spans="1:8" x14ac:dyDescent="0.25">
      <c r="B59" s="6" t="s">
        <v>8</v>
      </c>
      <c r="C59" s="6" t="s">
        <v>7</v>
      </c>
      <c r="D59" s="13"/>
      <c r="E59" s="6">
        <v>1696</v>
      </c>
      <c r="F59" s="6" t="s">
        <v>86</v>
      </c>
      <c r="G59" s="7">
        <v>2700</v>
      </c>
      <c r="H59" s="6" t="s">
        <v>87</v>
      </c>
    </row>
    <row r="60" spans="1:8" x14ac:dyDescent="0.25">
      <c r="B60" s="6" t="s">
        <v>8</v>
      </c>
      <c r="C60" s="6" t="s">
        <v>7</v>
      </c>
      <c r="D60" s="13" t="s">
        <v>98</v>
      </c>
      <c r="E60" s="6">
        <v>1697</v>
      </c>
      <c r="F60" s="6" t="s">
        <v>88</v>
      </c>
      <c r="G60" s="7">
        <v>14805</v>
      </c>
      <c r="H60" s="6" t="s">
        <v>89</v>
      </c>
    </row>
    <row r="61" spans="1:8" x14ac:dyDescent="0.25">
      <c r="A61" s="5" t="s">
        <v>90</v>
      </c>
      <c r="D61" s="14"/>
      <c r="G61" s="8">
        <f>SUM(G58:G60)</f>
        <v>45240.44</v>
      </c>
    </row>
    <row r="62" spans="1:8" x14ac:dyDescent="0.25">
      <c r="A62" s="5"/>
      <c r="G62" s="8"/>
    </row>
    <row r="63" spans="1:8" x14ac:dyDescent="0.25">
      <c r="A63" s="5"/>
      <c r="G63" s="9"/>
    </row>
    <row r="64" spans="1:8" x14ac:dyDescent="0.25">
      <c r="A64" s="5"/>
      <c r="G64" s="9"/>
    </row>
    <row r="67" spans="1:1" x14ac:dyDescent="0.25">
      <c r="A67" s="2" t="s">
        <v>91</v>
      </c>
    </row>
  </sheetData>
  <sortState xmlns:xlrd2="http://schemas.microsoft.com/office/spreadsheetml/2017/richdata2" ref="A6:I32">
    <sortCondition ref="E6:E32"/>
  </sortState>
  <mergeCells count="2">
    <mergeCell ref="A1:H1"/>
    <mergeCell ref="A2:H2"/>
  </mergeCells>
  <printOptions horizontalCentered="1" headings="1" gridLines="1"/>
  <pageMargins left="0.27" right="0.27" top="0.25" bottom="0.25" header="0.3" footer="0.3"/>
  <pageSetup scale="70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Transaction Detail by Account</vt:lpstr>
      <vt:lpstr>'Transaction Detail by Account'!Print_Area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Patricia Mise</cp:lastModifiedBy>
  <cp:lastPrinted>2020-03-17T15:44:32Z</cp:lastPrinted>
  <dcterms:created xsi:type="dcterms:W3CDTF">2020-03-17T14:49:09Z</dcterms:created>
  <dcterms:modified xsi:type="dcterms:W3CDTF">2020-03-17T15:44:42Z</dcterms:modified>
</cp:coreProperties>
</file>