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ise\Desktop\"/>
    </mc:Choice>
  </mc:AlternateContent>
  <xr:revisionPtr revIDLastSave="0" documentId="13_ncr:1_{AF0B0A48-2C86-4C84-90C8-E54820CC7F1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Nationbuilder-2020-03-25" sheetId="1" r:id="rId1"/>
  </sheets>
  <definedNames>
    <definedName name="_xlnm.Print_Area" localSheetId="0">'Nationbuilder-2020-03-25'!$A$1:$Q$32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9" i="1" l="1"/>
  <c r="M31" i="1" s="1"/>
  <c r="N19" i="1"/>
  <c r="L19" i="1"/>
  <c r="L31" i="1" s="1"/>
  <c r="N31" i="1"/>
</calcChain>
</file>

<file path=xl/sharedStrings.xml><?xml version="1.0" encoding="utf-8"?>
<sst xmlns="http://schemas.openxmlformats.org/spreadsheetml/2006/main" count="206" uniqueCount="110">
  <si>
    <t>Urban League of Essex County</t>
  </si>
  <si>
    <t>Date</t>
  </si>
  <si>
    <t>Name</t>
  </si>
  <si>
    <t>Address</t>
  </si>
  <si>
    <t>Address_2</t>
  </si>
  <si>
    <t>City</t>
  </si>
  <si>
    <t>State</t>
  </si>
  <si>
    <t>Zip</t>
  </si>
  <si>
    <t>transaction_type</t>
  </si>
  <si>
    <t>transaction_id</t>
  </si>
  <si>
    <t>reference_id</t>
  </si>
  <si>
    <t xml:space="preserve"> Payment </t>
  </si>
  <si>
    <t xml:space="preserve"> Fee </t>
  </si>
  <si>
    <t xml:space="preserve"> BOA </t>
  </si>
  <si>
    <t>status</t>
  </si>
  <si>
    <t>payout_id</t>
  </si>
  <si>
    <t>payout_time_zone</t>
  </si>
  <si>
    <t>account_type</t>
  </si>
  <si>
    <t>nationbuilder_donation_id</t>
  </si>
  <si>
    <t>nationbuilder_signup_id</t>
  </si>
  <si>
    <t>billing_country</t>
  </si>
  <si>
    <t>billing_country_code</t>
  </si>
  <si>
    <t>email_address</t>
  </si>
  <si>
    <t>tracking_code</t>
  </si>
  <si>
    <t>note</t>
  </si>
  <si>
    <t>account</t>
  </si>
  <si>
    <t>David Williams</t>
  </si>
  <si>
    <t>39 Westminster Ter</t>
  </si>
  <si>
    <t>West Orange</t>
  </si>
  <si>
    <t>NJ</t>
  </si>
  <si>
    <t>charge</t>
  </si>
  <si>
    <t>py_1GQfmIJE3WBmLXOPFN3cLGlp</t>
  </si>
  <si>
    <t>pending</t>
  </si>
  <si>
    <t>po_1GQl2qJE3WBmLXOPDZWQasJo</t>
  </si>
  <si>
    <t>EDT</t>
  </si>
  <si>
    <t>Income</t>
  </si>
  <si>
    <t>United States</t>
  </si>
  <si>
    <t>US</t>
  </si>
  <si>
    <t>williamsda08057@gmail.com</t>
  </si>
  <si>
    <t>BANK OF AMERICA N.A. - 3973</t>
  </si>
  <si>
    <t>NationBuilder</t>
  </si>
  <si>
    <t>Sandy Castor</t>
  </si>
  <si>
    <t>5 WEDGEWOOD Dr</t>
  </si>
  <si>
    <t>py_1GQ0J7JE3WBmLXOPVB5XlEMr</t>
  </si>
  <si>
    <t>available</t>
  </si>
  <si>
    <t>po_1GQNtwJE3WBmLXOP0gpLTgOJ</t>
  </si>
  <si>
    <t>SANDY.CASTOR@GMAIL.COM</t>
  </si>
  <si>
    <t>Tamasia Johnson</t>
  </si>
  <si>
    <t>49 S Clinton St</t>
  </si>
  <si>
    <t>Apt A1</t>
  </si>
  <si>
    <t>East Orange</t>
  </si>
  <si>
    <t>py_1GPwnuJE3WBmLXOPTXuiedeR</t>
  </si>
  <si>
    <t>po_1GQ27VJE3WBmLXOP4JrpIVvX</t>
  </si>
  <si>
    <t>tamasia@curvylistafitness.com</t>
  </si>
  <si>
    <t>Alice Turner</t>
  </si>
  <si>
    <t>294 Littleton Ave</t>
  </si>
  <si>
    <t>Newark</t>
  </si>
  <si>
    <t>py_1GPw9eJE3WBmLXOPxRO8goD9</t>
  </si>
  <si>
    <t>alicepersonturner@gmail.com</t>
  </si>
  <si>
    <t>Mark Smith</t>
  </si>
  <si>
    <t>7 Forest Way</t>
  </si>
  <si>
    <t>py_1GPw8qJE3WBmLXOPZc7AIGff</t>
  </si>
  <si>
    <t>msmith2843@gmail.com</t>
  </si>
  <si>
    <t>Susanne Peticolas</t>
  </si>
  <si>
    <t>258 Lincoln Ave</t>
  </si>
  <si>
    <t>Highland Park</t>
  </si>
  <si>
    <t>py_1GPvn8JE3WBmLXOPYP0Doylm</t>
  </si>
  <si>
    <t>speticola@gibbonslaw.com</t>
  </si>
  <si>
    <t>George Sincox</t>
  </si>
  <si>
    <t>414 1st St</t>
  </si>
  <si>
    <t>PO Box 2696</t>
  </si>
  <si>
    <t>Westfield</t>
  </si>
  <si>
    <t>py_1GPvboJE3WBmLXOPDzThaWWG</t>
  </si>
  <si>
    <t>sincoxaia@att.net</t>
  </si>
  <si>
    <t>Jeffrey Backstrand</t>
  </si>
  <si>
    <t>111 Prospect Pl</t>
  </si>
  <si>
    <t>South Orange</t>
  </si>
  <si>
    <t>py_1GPvWxJE3WBmLXOPlGdeZ7dW</t>
  </si>
  <si>
    <t>jeff@twojosephs.com</t>
  </si>
  <si>
    <t>Robert Ross</t>
  </si>
  <si>
    <t>6 Bakley Ter</t>
  </si>
  <si>
    <t>py_1GME5cJE3WBmLXOPkv6ZATkK</t>
  </si>
  <si>
    <t>po_1GN8HYJE3WBmLXOPZB2ieX46</t>
  </si>
  <si>
    <t>rtross3@comcast.net</t>
  </si>
  <si>
    <t>Roger Stewart</t>
  </si>
  <si>
    <t>14 Lombard St</t>
  </si>
  <si>
    <t>Bloomfield</t>
  </si>
  <si>
    <t>py_1GLY57JE3WBmLXOPQ26hEhdC</t>
  </si>
  <si>
    <t>po_1GLh0NJE3WBmLXOPXvuHEM7y</t>
  </si>
  <si>
    <t>rogerstewart19@gmail.com</t>
  </si>
  <si>
    <t>Annie Sneed-Godfrey</t>
  </si>
  <si>
    <t>465 Overhill Rd</t>
  </si>
  <si>
    <t>py_1GINpyJE3WBmLXOP8CMrOkBj</t>
  </si>
  <si>
    <t>po_1GISoHJE3WBmLXOPaSM5XA3e</t>
  </si>
  <si>
    <t>EST</t>
  </si>
  <si>
    <t>godfreydna@msn.com</t>
  </si>
  <si>
    <t>Grand Total</t>
  </si>
  <si>
    <t>07052</t>
  </si>
  <si>
    <t>07079</t>
  </si>
  <si>
    <t>07018</t>
  </si>
  <si>
    <t>07103</t>
  </si>
  <si>
    <t>08904</t>
  </si>
  <si>
    <t>07090</t>
  </si>
  <si>
    <t>07003</t>
  </si>
  <si>
    <t>Platform_name</t>
  </si>
  <si>
    <t>Phone #</t>
  </si>
  <si>
    <t>Payout_Date</t>
  </si>
  <si>
    <t>03/01/20 - 03/25/2020</t>
  </si>
  <si>
    <t>BOA Total 03/25/20</t>
  </si>
  <si>
    <t>NationBuilder Online Donations &amp; Board Memberships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</si>
</sst>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quotePrefix="1"/>
    <xf numFmtId="0" fontId="16" fillId="0" borderId="0" xfId="0" applyFont="1"/>
    <xf numFmtId="8" fontId="16" fillId="0" borderId="10" xfId="0" applyNumberFormat="1" applyFont="1" applyBorder="1"/>
    <xf numFmtId="8" fontId="0" fillId="0" borderId="11" xfId="0" applyNumberFormat="1" applyBorder="1"/>
    <xf numFmtId="0" fontId="16" fillId="0" borderId="12" xfId="0" applyFont="1" applyBorder="1"/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left"/>
    </xf>
    <xf numFmtId="0" fontId="16" fillId="0" borderId="12" xfId="0" applyFont="1" applyBorder="1" applyAlignment="1">
      <alignment horizontal="left"/>
    </xf>
    <xf numFmtId="0" fontId="18" fillId="0" borderId="0" xfId="0" applyFont="1"/>
    <xf numFmtId="0" fontId="19" fillId="0" borderId="0" xfId="0" applyFont="1"/>
    <xf numFmtId="8" fontId="19" fillId="0" borderId="0" xfId="0" applyNumberFormat="1" applyFont="1"/>
    <xf numFmtId="0" fontId="18" fillId="0" borderId="0" xfId="0" applyFont="1" applyAlignment="1">
      <alignment horizontal="center"/>
    </xf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licepersonturner@gmail.com" TargetMode="External"/><Relationship Id="rId7" Type="http://schemas.openxmlformats.org/officeDocument/2006/relationships/hyperlink" Target="mailto:rtross3@comcast.net" TargetMode="External"/><Relationship Id="rId2" Type="http://schemas.openxmlformats.org/officeDocument/2006/relationships/hyperlink" Target="mailto:tamasia@curvylistafitness.com" TargetMode="External"/><Relationship Id="rId1" Type="http://schemas.openxmlformats.org/officeDocument/2006/relationships/hyperlink" Target="mailto:SANDY.CASTOR@GMAIL.COM" TargetMode="External"/><Relationship Id="rId6" Type="http://schemas.openxmlformats.org/officeDocument/2006/relationships/hyperlink" Target="mailto:jeff@twojosephs.com" TargetMode="External"/><Relationship Id="rId5" Type="http://schemas.openxmlformats.org/officeDocument/2006/relationships/hyperlink" Target="mailto:sincoxaia@att.net" TargetMode="External"/><Relationship Id="rId4" Type="http://schemas.openxmlformats.org/officeDocument/2006/relationships/hyperlink" Target="mailto:speticola@gibbons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pane ySplit="5" topLeftCell="A9" activePane="bottomLeft" state="frozen"/>
      <selection pane="bottomLeft" activeCell="N19" sqref="N19"/>
    </sheetView>
  </sheetViews>
  <sheetFormatPr defaultRowHeight="18" customHeight="1" x14ac:dyDescent="0.25"/>
  <cols>
    <col min="1" max="1" width="14.7109375" customWidth="1"/>
    <col min="2" max="2" width="20.42578125" bestFit="1" customWidth="1"/>
    <col min="3" max="3" width="12.28515625" style="9" customWidth="1"/>
    <col min="4" max="4" width="18.42578125" bestFit="1" customWidth="1"/>
    <col min="5" max="5" width="11.7109375" bestFit="1" customWidth="1"/>
    <col min="6" max="6" width="13.28515625" bestFit="1" customWidth="1"/>
    <col min="7" max="7" width="5.5703125" bestFit="1" customWidth="1"/>
    <col min="8" max="8" width="7.140625" customWidth="1"/>
    <col min="9" max="11" width="0" hidden="1" customWidth="1"/>
    <col min="12" max="12" width="10.7109375" customWidth="1"/>
    <col min="13" max="13" width="9.85546875" customWidth="1"/>
    <col min="14" max="14" width="11" customWidth="1"/>
    <col min="15" max="16" width="0" hidden="1" customWidth="1"/>
    <col min="17" max="17" width="14.85546875" bestFit="1" customWidth="1"/>
    <col min="18" max="24" width="0" hidden="1" customWidth="1"/>
    <col min="25" max="25" width="2.28515625" customWidth="1"/>
    <col min="26" max="26" width="29" bestFit="1" customWidth="1"/>
    <col min="27" max="29" width="0" hidden="1" customWidth="1"/>
    <col min="30" max="30" width="14.85546875" bestFit="1" customWidth="1"/>
    <col min="31" max="31" width="0" hidden="1" customWidth="1"/>
  </cols>
  <sheetData>
    <row r="1" spans="1:31" s="11" customFormat="1" ht="23.2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31" s="11" customFormat="1" ht="23.25" customHeight="1" x14ac:dyDescent="0.35">
      <c r="A2" s="14" t="s">
        <v>109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31" ht="23.25" customHeight="1" x14ac:dyDescent="0.35">
      <c r="A3" s="14" t="s">
        <v>107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5" spans="1:31" ht="18" customHeight="1" x14ac:dyDescent="0.25">
      <c r="A5" s="7" t="s">
        <v>1</v>
      </c>
      <c r="B5" s="7" t="s">
        <v>2</v>
      </c>
      <c r="C5" s="10" t="s">
        <v>105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8" t="s">
        <v>11</v>
      </c>
      <c r="M5" s="8" t="s">
        <v>12</v>
      </c>
      <c r="N5" s="8" t="s">
        <v>13</v>
      </c>
      <c r="O5" s="7" t="s">
        <v>14</v>
      </c>
      <c r="P5" s="7" t="s">
        <v>15</v>
      </c>
      <c r="Q5" s="7" t="s">
        <v>106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</v>
      </c>
      <c r="W5" s="7" t="s">
        <v>21</v>
      </c>
      <c r="X5" s="7"/>
      <c r="Y5" s="7"/>
      <c r="Z5" s="7" t="s">
        <v>22</v>
      </c>
      <c r="AA5" s="7" t="s">
        <v>23</v>
      </c>
      <c r="AB5" s="7" t="s">
        <v>24</v>
      </c>
      <c r="AC5" s="7" t="s">
        <v>25</v>
      </c>
      <c r="AD5" s="7" t="s">
        <v>104</v>
      </c>
      <c r="AE5" s="7"/>
    </row>
    <row r="7" spans="1:31" ht="18" customHeight="1" x14ac:dyDescent="0.25">
      <c r="A7" s="1">
        <v>43915.683333333334</v>
      </c>
      <c r="B7" s="12" t="s">
        <v>26</v>
      </c>
      <c r="C7" s="9">
        <v>2014018593</v>
      </c>
      <c r="D7" t="s">
        <v>27</v>
      </c>
      <c r="F7" t="s">
        <v>28</v>
      </c>
      <c r="G7" t="s">
        <v>29</v>
      </c>
      <c r="H7" s="3" t="s">
        <v>97</v>
      </c>
      <c r="I7" t="s">
        <v>30</v>
      </c>
      <c r="J7" t="s">
        <v>31</v>
      </c>
      <c r="L7" s="13">
        <v>500</v>
      </c>
      <c r="M7" s="2">
        <v>11.3</v>
      </c>
      <c r="N7" s="2">
        <v>488.7</v>
      </c>
      <c r="O7" t="s">
        <v>32</v>
      </c>
      <c r="P7" t="s">
        <v>33</v>
      </c>
      <c r="Q7" s="1">
        <v>43916.833333333336</v>
      </c>
      <c r="R7" t="s">
        <v>34</v>
      </c>
      <c r="S7" t="s">
        <v>35</v>
      </c>
      <c r="T7">
        <v>573</v>
      </c>
      <c r="U7">
        <v>6590</v>
      </c>
      <c r="V7" t="s">
        <v>36</v>
      </c>
      <c r="W7" t="s">
        <v>37</v>
      </c>
      <c r="Z7" t="s">
        <v>38</v>
      </c>
      <c r="AC7" t="s">
        <v>39</v>
      </c>
      <c r="AD7" t="s">
        <v>40</v>
      </c>
    </row>
    <row r="9" spans="1:31" ht="18" customHeight="1" x14ac:dyDescent="0.25">
      <c r="A9" s="1">
        <v>43913.838194444441</v>
      </c>
      <c r="B9" t="s">
        <v>41</v>
      </c>
      <c r="C9" s="9">
        <v>9737683217</v>
      </c>
      <c r="D9" t="s">
        <v>42</v>
      </c>
      <c r="F9" t="s">
        <v>28</v>
      </c>
      <c r="G9" t="s">
        <v>29</v>
      </c>
      <c r="H9" s="3" t="s">
        <v>97</v>
      </c>
      <c r="I9" t="s">
        <v>30</v>
      </c>
      <c r="J9" t="s">
        <v>43</v>
      </c>
      <c r="L9" s="2">
        <v>25</v>
      </c>
      <c r="M9" s="2">
        <v>0.85</v>
      </c>
      <c r="N9" s="2">
        <v>24.15</v>
      </c>
      <c r="O9" t="s">
        <v>44</v>
      </c>
      <c r="P9" t="s">
        <v>45</v>
      </c>
      <c r="Q9" s="1">
        <v>43915.833333333336</v>
      </c>
      <c r="R9" t="s">
        <v>34</v>
      </c>
      <c r="S9" t="s">
        <v>35</v>
      </c>
      <c r="T9">
        <v>572</v>
      </c>
      <c r="U9">
        <v>6589</v>
      </c>
      <c r="V9" t="s">
        <v>36</v>
      </c>
      <c r="W9" t="s">
        <v>37</v>
      </c>
      <c r="Z9" s="15" t="s">
        <v>46</v>
      </c>
      <c r="AC9" t="s">
        <v>39</v>
      </c>
      <c r="AD9" t="s">
        <v>40</v>
      </c>
    </row>
    <row r="12" spans="1:31" ht="18" customHeight="1" x14ac:dyDescent="0.25">
      <c r="A12" s="1">
        <v>43913.682638888888</v>
      </c>
      <c r="B12" t="s">
        <v>47</v>
      </c>
      <c r="C12" s="9">
        <v>9733802520</v>
      </c>
      <c r="D12" t="s">
        <v>48</v>
      </c>
      <c r="E12" t="s">
        <v>49</v>
      </c>
      <c r="F12" t="s">
        <v>50</v>
      </c>
      <c r="G12" t="s">
        <v>29</v>
      </c>
      <c r="H12" s="3" t="s">
        <v>99</v>
      </c>
      <c r="I12" t="s">
        <v>30</v>
      </c>
      <c r="J12" t="s">
        <v>51</v>
      </c>
      <c r="L12" s="2">
        <v>25</v>
      </c>
      <c r="M12" s="2">
        <v>0.85</v>
      </c>
      <c r="N12" s="2">
        <v>24.15</v>
      </c>
      <c r="O12" t="s">
        <v>44</v>
      </c>
      <c r="P12" t="s">
        <v>52</v>
      </c>
      <c r="Q12" s="1">
        <v>43914.833333333336</v>
      </c>
      <c r="R12" t="s">
        <v>34</v>
      </c>
      <c r="S12" t="s">
        <v>35</v>
      </c>
      <c r="T12">
        <v>571</v>
      </c>
      <c r="U12">
        <v>6588</v>
      </c>
      <c r="V12" t="s">
        <v>36</v>
      </c>
      <c r="W12" t="s">
        <v>37</v>
      </c>
      <c r="Z12" s="15" t="s">
        <v>53</v>
      </c>
      <c r="AD12" t="s">
        <v>40</v>
      </c>
    </row>
    <row r="13" spans="1:31" ht="18" customHeight="1" x14ac:dyDescent="0.25">
      <c r="A13" s="1">
        <v>43913.65347222222</v>
      </c>
      <c r="B13" t="s">
        <v>54</v>
      </c>
      <c r="C13" s="9">
        <v>8624523014</v>
      </c>
      <c r="D13" t="s">
        <v>55</v>
      </c>
      <c r="F13" t="s">
        <v>56</v>
      </c>
      <c r="G13" t="s">
        <v>29</v>
      </c>
      <c r="H13" s="3" t="s">
        <v>100</v>
      </c>
      <c r="I13" t="s">
        <v>30</v>
      </c>
      <c r="J13" t="s">
        <v>57</v>
      </c>
      <c r="L13" s="2">
        <v>50</v>
      </c>
      <c r="M13" s="2">
        <v>1.4</v>
      </c>
      <c r="N13" s="2">
        <v>48.6</v>
      </c>
      <c r="O13" t="s">
        <v>44</v>
      </c>
      <c r="P13" t="s">
        <v>52</v>
      </c>
      <c r="Q13" s="1">
        <v>43914.833333333336</v>
      </c>
      <c r="R13" t="s">
        <v>34</v>
      </c>
      <c r="S13" t="s">
        <v>35</v>
      </c>
      <c r="T13">
        <v>570</v>
      </c>
      <c r="U13">
        <v>6587</v>
      </c>
      <c r="V13" t="s">
        <v>36</v>
      </c>
      <c r="W13" t="s">
        <v>37</v>
      </c>
      <c r="Z13" s="15" t="s">
        <v>58</v>
      </c>
      <c r="AD13" t="s">
        <v>40</v>
      </c>
    </row>
    <row r="14" spans="1:31" ht="18" customHeight="1" x14ac:dyDescent="0.25">
      <c r="A14" s="1">
        <v>43913.652777777781</v>
      </c>
      <c r="B14" s="12" t="s">
        <v>59</v>
      </c>
      <c r="C14" s="9">
        <v>9734542952</v>
      </c>
      <c r="D14" t="s">
        <v>60</v>
      </c>
      <c r="F14" t="s">
        <v>28</v>
      </c>
      <c r="G14" t="s">
        <v>29</v>
      </c>
      <c r="H14" s="3" t="s">
        <v>97</v>
      </c>
      <c r="I14" t="s">
        <v>30</v>
      </c>
      <c r="J14" t="s">
        <v>61</v>
      </c>
      <c r="L14" s="13">
        <v>500</v>
      </c>
      <c r="M14" s="2">
        <v>11.3</v>
      </c>
      <c r="N14" s="2">
        <v>488.7</v>
      </c>
      <c r="O14" t="s">
        <v>44</v>
      </c>
      <c r="P14" t="s">
        <v>52</v>
      </c>
      <c r="Q14" s="1">
        <v>43914.833333333336</v>
      </c>
      <c r="R14" t="s">
        <v>34</v>
      </c>
      <c r="S14" t="s">
        <v>35</v>
      </c>
      <c r="T14">
        <v>569</v>
      </c>
      <c r="U14">
        <v>6232</v>
      </c>
      <c r="V14" t="s">
        <v>36</v>
      </c>
      <c r="W14" t="s">
        <v>37</v>
      </c>
      <c r="Z14" t="s">
        <v>62</v>
      </c>
      <c r="AD14" t="s">
        <v>40</v>
      </c>
    </row>
    <row r="15" spans="1:31" ht="18" customHeight="1" x14ac:dyDescent="0.25">
      <c r="A15" s="1">
        <v>43913.637499999997</v>
      </c>
      <c r="B15" t="s">
        <v>63</v>
      </c>
      <c r="C15" s="9">
        <v>2014074782</v>
      </c>
      <c r="D15" t="s">
        <v>64</v>
      </c>
      <c r="F15" t="s">
        <v>65</v>
      </c>
      <c r="G15" t="s">
        <v>29</v>
      </c>
      <c r="H15" s="3" t="s">
        <v>101</v>
      </c>
      <c r="I15" t="s">
        <v>30</v>
      </c>
      <c r="J15" t="s">
        <v>66</v>
      </c>
      <c r="L15" s="2">
        <v>100</v>
      </c>
      <c r="M15" s="2">
        <v>2.5</v>
      </c>
      <c r="N15" s="2">
        <v>97.5</v>
      </c>
      <c r="O15" t="s">
        <v>44</v>
      </c>
      <c r="P15" t="s">
        <v>52</v>
      </c>
      <c r="Q15" s="1">
        <v>43914.833333333336</v>
      </c>
      <c r="R15" t="s">
        <v>34</v>
      </c>
      <c r="S15" t="s">
        <v>35</v>
      </c>
      <c r="T15">
        <v>567</v>
      </c>
      <c r="U15">
        <v>6586</v>
      </c>
      <c r="V15" t="s">
        <v>36</v>
      </c>
      <c r="W15" t="s">
        <v>37</v>
      </c>
      <c r="Z15" s="15" t="s">
        <v>67</v>
      </c>
      <c r="AD15" t="s">
        <v>40</v>
      </c>
    </row>
    <row r="16" spans="1:31" ht="18" customHeight="1" x14ac:dyDescent="0.25">
      <c r="A16" s="1">
        <v>43913.629166666666</v>
      </c>
      <c r="B16" t="s">
        <v>68</v>
      </c>
      <c r="C16" s="9">
        <v>9082328188</v>
      </c>
      <c r="D16" t="s">
        <v>69</v>
      </c>
      <c r="E16" t="s">
        <v>70</v>
      </c>
      <c r="F16" t="s">
        <v>71</v>
      </c>
      <c r="G16" t="s">
        <v>29</v>
      </c>
      <c r="H16" s="3" t="s">
        <v>102</v>
      </c>
      <c r="I16" t="s">
        <v>30</v>
      </c>
      <c r="J16" t="s">
        <v>72</v>
      </c>
      <c r="L16" s="2">
        <v>100</v>
      </c>
      <c r="M16" s="2">
        <v>3.5</v>
      </c>
      <c r="N16" s="2">
        <v>96.5</v>
      </c>
      <c r="O16" t="s">
        <v>44</v>
      </c>
      <c r="P16" t="s">
        <v>52</v>
      </c>
      <c r="Q16" s="1">
        <v>43914.833333333336</v>
      </c>
      <c r="R16" t="s">
        <v>34</v>
      </c>
      <c r="S16" t="s">
        <v>35</v>
      </c>
      <c r="T16">
        <v>566</v>
      </c>
      <c r="U16">
        <v>1625</v>
      </c>
      <c r="V16" t="s">
        <v>36</v>
      </c>
      <c r="W16" t="s">
        <v>37</v>
      </c>
      <c r="Z16" s="15" t="s">
        <v>73</v>
      </c>
      <c r="AD16" t="s">
        <v>40</v>
      </c>
    </row>
    <row r="17" spans="1:30" ht="18" customHeight="1" x14ac:dyDescent="0.25">
      <c r="A17" s="1">
        <v>43913.625694444447</v>
      </c>
      <c r="B17" t="s">
        <v>74</v>
      </c>
      <c r="C17" s="9">
        <v>9737574834</v>
      </c>
      <c r="D17" t="s">
        <v>75</v>
      </c>
      <c r="F17" t="s">
        <v>76</v>
      </c>
      <c r="G17" t="s">
        <v>29</v>
      </c>
      <c r="H17" s="3" t="s">
        <v>98</v>
      </c>
      <c r="I17" t="s">
        <v>30</v>
      </c>
      <c r="J17" t="s">
        <v>77</v>
      </c>
      <c r="L17" s="2">
        <v>100</v>
      </c>
      <c r="M17" s="2">
        <v>2.5</v>
      </c>
      <c r="N17" s="2">
        <v>97.5</v>
      </c>
      <c r="O17" t="s">
        <v>44</v>
      </c>
      <c r="P17" t="s">
        <v>52</v>
      </c>
      <c r="Q17" s="1">
        <v>43914.833333333336</v>
      </c>
      <c r="R17" t="s">
        <v>34</v>
      </c>
      <c r="S17" t="s">
        <v>35</v>
      </c>
      <c r="T17">
        <v>565</v>
      </c>
      <c r="U17">
        <v>6585</v>
      </c>
      <c r="V17" t="s">
        <v>36</v>
      </c>
      <c r="W17" t="s">
        <v>37</v>
      </c>
      <c r="Z17" s="15" t="s">
        <v>78</v>
      </c>
      <c r="AD17" t="s">
        <v>40</v>
      </c>
    </row>
    <row r="19" spans="1:30" ht="18" customHeight="1" x14ac:dyDescent="0.25">
      <c r="D19" t="s">
        <v>108</v>
      </c>
      <c r="L19" s="6">
        <f>SUM(L12:L18)</f>
        <v>875</v>
      </c>
      <c r="M19" s="6">
        <f t="shared" ref="M19:N19" si="0">SUM(M12:M18)</f>
        <v>22.05</v>
      </c>
      <c r="N19" s="6">
        <f t="shared" si="0"/>
        <v>852.95</v>
      </c>
      <c r="AC19" t="s">
        <v>39</v>
      </c>
    </row>
    <row r="22" spans="1:30" ht="18" customHeight="1" x14ac:dyDescent="0.25">
      <c r="A22" s="1">
        <v>43903.418055555558</v>
      </c>
      <c r="B22" s="12" t="s">
        <v>79</v>
      </c>
      <c r="C22" s="9">
        <v>9732432615</v>
      </c>
      <c r="D22" t="s">
        <v>80</v>
      </c>
      <c r="F22" t="s">
        <v>28</v>
      </c>
      <c r="G22" t="s">
        <v>29</v>
      </c>
      <c r="H22" s="3" t="s">
        <v>97</v>
      </c>
      <c r="I22" t="s">
        <v>30</v>
      </c>
      <c r="J22" t="s">
        <v>81</v>
      </c>
      <c r="L22" s="13">
        <v>500</v>
      </c>
      <c r="M22" s="2">
        <v>11.3</v>
      </c>
      <c r="N22" s="2">
        <v>488.7</v>
      </c>
      <c r="O22" t="s">
        <v>44</v>
      </c>
      <c r="P22" t="s">
        <v>82</v>
      </c>
      <c r="Q22" s="1">
        <v>43906.833333333336</v>
      </c>
      <c r="R22" t="s">
        <v>34</v>
      </c>
      <c r="S22" t="s">
        <v>35</v>
      </c>
      <c r="T22">
        <v>563</v>
      </c>
      <c r="U22">
        <v>6582</v>
      </c>
      <c r="V22" t="s">
        <v>36</v>
      </c>
      <c r="W22" t="s">
        <v>37</v>
      </c>
      <c r="Z22" s="15" t="s">
        <v>83</v>
      </c>
      <c r="AC22" t="s">
        <v>39</v>
      </c>
      <c r="AD22" t="s">
        <v>40</v>
      </c>
    </row>
    <row r="25" spans="1:30" ht="18" customHeight="1" x14ac:dyDescent="0.25">
      <c r="A25" s="1">
        <v>43901.548611111109</v>
      </c>
      <c r="B25" t="s">
        <v>84</v>
      </c>
      <c r="C25" s="9">
        <v>9738687939</v>
      </c>
      <c r="D25" t="s">
        <v>85</v>
      </c>
      <c r="F25" t="s">
        <v>86</v>
      </c>
      <c r="G25" t="s">
        <v>29</v>
      </c>
      <c r="H25" s="3" t="s">
        <v>103</v>
      </c>
      <c r="I25" t="s">
        <v>30</v>
      </c>
      <c r="J25" t="s">
        <v>87</v>
      </c>
      <c r="L25" s="2">
        <v>25</v>
      </c>
      <c r="M25" s="2">
        <v>0.85</v>
      </c>
      <c r="N25" s="2">
        <v>24.15</v>
      </c>
      <c r="O25" t="s">
        <v>44</v>
      </c>
      <c r="P25" t="s">
        <v>88</v>
      </c>
      <c r="Q25" s="1">
        <v>43902.833333333336</v>
      </c>
      <c r="R25" t="s">
        <v>34</v>
      </c>
      <c r="S25" t="s">
        <v>35</v>
      </c>
      <c r="T25">
        <v>562</v>
      </c>
      <c r="U25">
        <v>6534</v>
      </c>
      <c r="V25" t="s">
        <v>36</v>
      </c>
      <c r="W25" t="s">
        <v>37</v>
      </c>
      <c r="Z25" t="s">
        <v>89</v>
      </c>
      <c r="AC25" t="s">
        <v>39</v>
      </c>
      <c r="AD25" t="s">
        <v>40</v>
      </c>
    </row>
    <row r="28" spans="1:30" ht="18" customHeight="1" x14ac:dyDescent="0.25">
      <c r="A28" s="1">
        <v>43892.776388888888</v>
      </c>
      <c r="B28" s="12" t="s">
        <v>90</v>
      </c>
      <c r="C28" s="9">
        <v>2012599352</v>
      </c>
      <c r="D28" t="s">
        <v>91</v>
      </c>
      <c r="F28" t="s">
        <v>76</v>
      </c>
      <c r="G28" t="s">
        <v>29</v>
      </c>
      <c r="H28" s="3" t="s">
        <v>98</v>
      </c>
      <c r="I28" t="s">
        <v>30</v>
      </c>
      <c r="J28" t="s">
        <v>92</v>
      </c>
      <c r="L28" s="13">
        <v>500</v>
      </c>
      <c r="M28" s="2">
        <v>11.3</v>
      </c>
      <c r="N28" s="2">
        <v>488.7</v>
      </c>
      <c r="O28" t="s">
        <v>44</v>
      </c>
      <c r="P28" t="s">
        <v>93</v>
      </c>
      <c r="Q28" s="1">
        <v>43893.791666666664</v>
      </c>
      <c r="R28" t="s">
        <v>94</v>
      </c>
      <c r="S28" t="s">
        <v>35</v>
      </c>
      <c r="T28">
        <v>558</v>
      </c>
      <c r="U28">
        <v>1985</v>
      </c>
      <c r="V28" t="s">
        <v>36</v>
      </c>
      <c r="W28" t="s">
        <v>37</v>
      </c>
      <c r="Z28" t="s">
        <v>95</v>
      </c>
      <c r="AC28" t="s">
        <v>39</v>
      </c>
      <c r="AD28" t="s">
        <v>40</v>
      </c>
    </row>
    <row r="31" spans="1:30" ht="18" customHeight="1" thickBot="1" x14ac:dyDescent="0.3">
      <c r="F31" s="4" t="s">
        <v>96</v>
      </c>
      <c r="G31" s="4"/>
      <c r="H31" s="4"/>
      <c r="I31" s="4"/>
      <c r="J31" s="4"/>
      <c r="K31" s="4"/>
      <c r="L31" s="5">
        <f>+L7+L9+L19+L22+L25+L28</f>
        <v>2425</v>
      </c>
      <c r="M31" s="5">
        <f t="shared" ref="M31:N31" si="1">+M7+M9+M19+M22+M25+M28</f>
        <v>57.650000000000006</v>
      </c>
      <c r="N31" s="5">
        <f t="shared" si="1"/>
        <v>2367.3500000000004</v>
      </c>
    </row>
    <row r="32" spans="1:30" ht="18" customHeight="1" thickTop="1" x14ac:dyDescent="0.25"/>
  </sheetData>
  <mergeCells count="3">
    <mergeCell ref="A1:Q1"/>
    <mergeCell ref="A2:Q2"/>
    <mergeCell ref="A3:Q3"/>
  </mergeCells>
  <hyperlinks>
    <hyperlink ref="Z9" r:id="rId1" xr:uid="{FB8DA3E6-3649-4E57-82DB-109E5BC13B9D}"/>
    <hyperlink ref="Z12" r:id="rId2" xr:uid="{30252E08-4574-4DE0-8B27-70B6AAD0E321}"/>
    <hyperlink ref="Z13" r:id="rId3" xr:uid="{0D7E9BCE-4951-4ADA-9DE1-75BA99B2DFB2}"/>
    <hyperlink ref="Z15" r:id="rId4" xr:uid="{DE5E109E-234E-4056-AA65-357ACF7E6109}"/>
    <hyperlink ref="Z16" r:id="rId5" xr:uid="{A0465F7D-F616-4681-91EB-00A614DA1CFB}"/>
    <hyperlink ref="Z17" r:id="rId6" xr:uid="{9BCF8727-F78D-4F34-9EBB-9158E5D77A08}"/>
    <hyperlink ref="Z22" r:id="rId7" xr:uid="{93B12B6F-A286-49AE-8467-75D182B5765F}"/>
  </hyperlinks>
  <printOptions horizontalCentered="1"/>
  <pageMargins left="0.27" right="0.27" top="0.75" bottom="0.75" header="0.3" footer="0.3"/>
  <pageSetup scale="87" orientation="landscape" horizontalDpi="4294967293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Nationbuilder-2020-03-25</vt:lpstr>
      <vt:lpstr>'Nationbuilder-2020-03-25'!Print_Area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Mise</cp:lastModifiedBy>
  <cp:lastPrinted>2020-03-26T18:02:21Z</cp:lastPrinted>
  <dcterms:created xsi:type="dcterms:W3CDTF">2020-03-26T17:55:53Z</dcterms:created>
  <dcterms:modified xsi:type="dcterms:W3CDTF">2020-03-26T19:42:45Z</dcterms:modified>
</cp:coreProperties>
</file>