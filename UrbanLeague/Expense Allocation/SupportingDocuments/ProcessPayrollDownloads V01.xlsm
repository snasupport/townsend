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 League\Allocation\"/>
    </mc:Choice>
  </mc:AlternateContent>
  <bookViews>
    <workbookView xWindow="0" yWindow="0" windowWidth="19180" windowHeight="5500" activeTab="2"/>
  </bookViews>
  <sheets>
    <sheet name="Main" sheetId="1" r:id="rId1"/>
    <sheet name="CSV" sheetId="2" r:id="rId2"/>
    <sheet name="Salary" sheetId="5" r:id="rId3"/>
    <sheet name="SalAlPerc" sheetId="7" r:id="rId4"/>
    <sheet name="SalAl" sheetId="10" r:id="rId5"/>
    <sheet name="SalAlAgg" sheetId="11" r:id="rId6"/>
    <sheet name="QBUpload" sheetId="12" r:id="rId7"/>
    <sheet name="Config" sheetId="13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120" i="11" l="1"/>
  <c r="AL119" i="11"/>
  <c r="AL118" i="11"/>
  <c r="AL117" i="11"/>
  <c r="AL116" i="11"/>
  <c r="AL115" i="11"/>
  <c r="AL114" i="11"/>
  <c r="AL113" i="11"/>
  <c r="AL112" i="11"/>
  <c r="AL111" i="11"/>
  <c r="AL110" i="11"/>
  <c r="AL109" i="11"/>
  <c r="AL108" i="11"/>
  <c r="AL107" i="11"/>
  <c r="AL106" i="11"/>
  <c r="AL105" i="11"/>
  <c r="AL104" i="11"/>
  <c r="AL103" i="11"/>
  <c r="AL102" i="11"/>
  <c r="AL101" i="11"/>
  <c r="AL100" i="11"/>
  <c r="AL99" i="11"/>
  <c r="AL98" i="11"/>
  <c r="AL97" i="11"/>
  <c r="AL96" i="11"/>
  <c r="AL95" i="11"/>
  <c r="AL94" i="11"/>
  <c r="AL93" i="11"/>
  <c r="AL92" i="11"/>
  <c r="AL91" i="11"/>
  <c r="AL90" i="11"/>
  <c r="AL89" i="11"/>
  <c r="AL88" i="11"/>
  <c r="AL87" i="11"/>
  <c r="AL86" i="11"/>
  <c r="AL85" i="11"/>
  <c r="AL84" i="11"/>
  <c r="AL83" i="11"/>
  <c r="AL82" i="11"/>
  <c r="AL81" i="11"/>
  <c r="AL80" i="11"/>
  <c r="AL79" i="11"/>
  <c r="AL78" i="11"/>
  <c r="AL77" i="11"/>
  <c r="AL76" i="11"/>
  <c r="AL75" i="11"/>
  <c r="AL74" i="11"/>
  <c r="AL73" i="11"/>
  <c r="AL72" i="11"/>
  <c r="AL71" i="11"/>
  <c r="AL70" i="11"/>
  <c r="AL69" i="11"/>
  <c r="AL68" i="11"/>
  <c r="AL67" i="11"/>
  <c r="AL66" i="11"/>
  <c r="AL65" i="11"/>
  <c r="AL64" i="11"/>
  <c r="AL63" i="11"/>
  <c r="AL62" i="11"/>
  <c r="AL61" i="11"/>
  <c r="AL60" i="11"/>
  <c r="AL59" i="11"/>
  <c r="AL58" i="11"/>
  <c r="AL57" i="11"/>
  <c r="AL56" i="11"/>
  <c r="AL55" i="11"/>
  <c r="AL54" i="11"/>
  <c r="AL53" i="11"/>
  <c r="AL52" i="11"/>
  <c r="AL51" i="11"/>
  <c r="AL50" i="11"/>
  <c r="AL49" i="11"/>
  <c r="AL48" i="11"/>
  <c r="AL47" i="11"/>
  <c r="AL46" i="11"/>
  <c r="AL45" i="11"/>
  <c r="AL44" i="11"/>
  <c r="AL43" i="11"/>
  <c r="AL42" i="11"/>
  <c r="AL41" i="11"/>
  <c r="AL40" i="11"/>
  <c r="AL39" i="11"/>
  <c r="AL38" i="11"/>
  <c r="AL37" i="11"/>
  <c r="AL36" i="11"/>
  <c r="AL35" i="11"/>
  <c r="AL34" i="11"/>
  <c r="AL33" i="11"/>
  <c r="AL32" i="11"/>
  <c r="AL31" i="11"/>
  <c r="AL30" i="11"/>
  <c r="AL29" i="11"/>
  <c r="AL28" i="11"/>
  <c r="AL27" i="11"/>
  <c r="AL26" i="11"/>
  <c r="AL25" i="11"/>
  <c r="AL24" i="11"/>
  <c r="AL23" i="11"/>
  <c r="AL22" i="11"/>
  <c r="AL21" i="11"/>
  <c r="AL20" i="11"/>
  <c r="AL19" i="11"/>
  <c r="AL18" i="11"/>
  <c r="AL17" i="11"/>
  <c r="AL16" i="11"/>
  <c r="AL15" i="11"/>
  <c r="AL14" i="11"/>
  <c r="AL13" i="11"/>
  <c r="AL12" i="11"/>
  <c r="AL11" i="11"/>
  <c r="AL10" i="11"/>
  <c r="AL9" i="11"/>
  <c r="AL8" i="11"/>
  <c r="AL7" i="11"/>
  <c r="AL122" i="11" s="1"/>
  <c r="AK122" i="11"/>
  <c r="AJ122" i="11"/>
  <c r="AI122" i="11"/>
  <c r="AH122" i="11"/>
  <c r="AG122" i="11"/>
  <c r="AF122" i="11"/>
  <c r="AE122" i="11"/>
  <c r="AD122" i="11"/>
  <c r="AC122" i="11"/>
  <c r="AB122" i="11"/>
  <c r="AA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118" i="7" l="1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AN122" i="10"/>
  <c r="AM122" i="10"/>
  <c r="AL122" i="10"/>
  <c r="AK122" i="10"/>
  <c r="AJ122" i="10"/>
  <c r="AI122" i="10"/>
  <c r="AH122" i="10"/>
  <c r="AG122" i="10"/>
  <c r="AF122" i="10"/>
  <c r="AE122" i="10"/>
  <c r="AD122" i="10"/>
  <c r="AC122" i="10"/>
  <c r="AB122" i="10"/>
  <c r="AA122" i="10"/>
  <c r="Z122" i="10"/>
  <c r="Y122" i="10"/>
  <c r="X122" i="10"/>
  <c r="W122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J122" i="10"/>
  <c r="I122" i="10"/>
  <c r="H122" i="10"/>
  <c r="G122" i="10"/>
  <c r="AO120" i="10"/>
  <c r="AO119" i="10"/>
  <c r="AQ118" i="10"/>
  <c r="AO118" i="10"/>
  <c r="C118" i="10"/>
  <c r="AQ117" i="10"/>
  <c r="AO117" i="10"/>
  <c r="C117" i="10"/>
  <c r="AQ116" i="10"/>
  <c r="AO116" i="10"/>
  <c r="C116" i="10"/>
  <c r="AQ115" i="10"/>
  <c r="AO115" i="10"/>
  <c r="C115" i="10"/>
  <c r="AQ114" i="10"/>
  <c r="AO114" i="10"/>
  <c r="C114" i="10"/>
  <c r="AQ113" i="10"/>
  <c r="AO113" i="10"/>
  <c r="C113" i="10"/>
  <c r="AQ112" i="10"/>
  <c r="AO112" i="10"/>
  <c r="C112" i="10"/>
  <c r="AQ111" i="10"/>
  <c r="AO111" i="10"/>
  <c r="C111" i="10"/>
  <c r="AQ110" i="10"/>
  <c r="AO110" i="10"/>
  <c r="C110" i="10"/>
  <c r="AQ109" i="10"/>
  <c r="AO109" i="10"/>
  <c r="C109" i="10"/>
  <c r="AQ108" i="10"/>
  <c r="AO108" i="10"/>
  <c r="C108" i="10"/>
  <c r="AQ107" i="10"/>
  <c r="AO107" i="10"/>
  <c r="C107" i="10"/>
  <c r="AQ106" i="10"/>
  <c r="AO106" i="10"/>
  <c r="C106" i="10"/>
  <c r="AQ105" i="10"/>
  <c r="AO105" i="10"/>
  <c r="C105" i="10"/>
  <c r="AQ104" i="10"/>
  <c r="AO104" i="10"/>
  <c r="C104" i="10"/>
  <c r="AQ103" i="10"/>
  <c r="AO103" i="10"/>
  <c r="C103" i="10"/>
  <c r="AQ102" i="10"/>
  <c r="AO102" i="10"/>
  <c r="C102" i="10"/>
  <c r="AQ101" i="10"/>
  <c r="AO101" i="10"/>
  <c r="C101" i="10"/>
  <c r="AQ100" i="10"/>
  <c r="AO100" i="10"/>
  <c r="C100" i="10"/>
  <c r="AQ99" i="10"/>
  <c r="AO99" i="10"/>
  <c r="C99" i="10"/>
  <c r="AQ98" i="10"/>
  <c r="AO98" i="10"/>
  <c r="C98" i="10"/>
  <c r="AQ97" i="10"/>
  <c r="AO97" i="10"/>
  <c r="C97" i="10"/>
  <c r="AQ96" i="10"/>
  <c r="AO96" i="10"/>
  <c r="C96" i="10"/>
  <c r="AQ95" i="10"/>
  <c r="AO95" i="10"/>
  <c r="C95" i="10"/>
  <c r="AQ94" i="10"/>
  <c r="AO94" i="10"/>
  <c r="C94" i="10"/>
  <c r="AQ93" i="10"/>
  <c r="AO93" i="10"/>
  <c r="C93" i="10"/>
  <c r="AQ92" i="10"/>
  <c r="AO92" i="10"/>
  <c r="C92" i="10"/>
  <c r="AQ91" i="10"/>
  <c r="AO91" i="10"/>
  <c r="C91" i="10"/>
  <c r="AQ90" i="10"/>
  <c r="AO90" i="10"/>
  <c r="C90" i="10"/>
  <c r="AQ89" i="10"/>
  <c r="AO89" i="10"/>
  <c r="C89" i="10"/>
  <c r="AQ88" i="10"/>
  <c r="AO88" i="10"/>
  <c r="C88" i="10"/>
  <c r="AQ87" i="10"/>
  <c r="AO87" i="10"/>
  <c r="C87" i="10"/>
  <c r="AQ86" i="10"/>
  <c r="AO86" i="10"/>
  <c r="C86" i="10"/>
  <c r="AQ85" i="10"/>
  <c r="AO85" i="10"/>
  <c r="C85" i="10"/>
  <c r="AQ84" i="10"/>
  <c r="AO84" i="10"/>
  <c r="C84" i="10"/>
  <c r="AQ83" i="10"/>
  <c r="AO83" i="10"/>
  <c r="C83" i="10"/>
  <c r="AQ82" i="10"/>
  <c r="AO82" i="10"/>
  <c r="C82" i="10"/>
  <c r="AQ81" i="10"/>
  <c r="AO81" i="10"/>
  <c r="C81" i="10"/>
  <c r="AQ80" i="10"/>
  <c r="AO80" i="10"/>
  <c r="C80" i="10"/>
  <c r="AQ79" i="10"/>
  <c r="AO79" i="10"/>
  <c r="C79" i="10"/>
  <c r="AQ78" i="10"/>
  <c r="AO78" i="10"/>
  <c r="C78" i="10"/>
  <c r="AQ77" i="10"/>
  <c r="AO77" i="10"/>
  <c r="C77" i="10"/>
  <c r="AQ76" i="10"/>
  <c r="AO76" i="10"/>
  <c r="C76" i="10"/>
  <c r="AQ75" i="10"/>
  <c r="AO75" i="10"/>
  <c r="C75" i="10"/>
  <c r="AQ74" i="10"/>
  <c r="AO74" i="10"/>
  <c r="C74" i="10"/>
  <c r="AQ73" i="10"/>
  <c r="AO73" i="10"/>
  <c r="C73" i="10"/>
  <c r="AQ72" i="10"/>
  <c r="AO72" i="10"/>
  <c r="C72" i="10"/>
  <c r="AQ71" i="10"/>
  <c r="AO71" i="10"/>
  <c r="C71" i="10"/>
  <c r="AQ70" i="10"/>
  <c r="AO70" i="10"/>
  <c r="C70" i="10"/>
  <c r="AQ69" i="10"/>
  <c r="AO69" i="10"/>
  <c r="C69" i="10"/>
  <c r="AQ68" i="10"/>
  <c r="AO68" i="10"/>
  <c r="C68" i="10"/>
  <c r="AQ67" i="10"/>
  <c r="AO67" i="10"/>
  <c r="C67" i="10"/>
  <c r="AQ66" i="10"/>
  <c r="AO66" i="10"/>
  <c r="C66" i="10"/>
  <c r="AQ65" i="10"/>
  <c r="AO65" i="10"/>
  <c r="C65" i="10"/>
  <c r="AQ64" i="10"/>
  <c r="AO64" i="10"/>
  <c r="C64" i="10"/>
  <c r="AQ63" i="10"/>
  <c r="AO63" i="10"/>
  <c r="C63" i="10"/>
  <c r="AQ62" i="10"/>
  <c r="AO62" i="10"/>
  <c r="C62" i="10"/>
  <c r="AQ61" i="10"/>
  <c r="AO61" i="10"/>
  <c r="C61" i="10"/>
  <c r="AQ60" i="10"/>
  <c r="AO60" i="10"/>
  <c r="C60" i="10"/>
  <c r="AQ59" i="10"/>
  <c r="AO59" i="10"/>
  <c r="C59" i="10"/>
  <c r="AQ58" i="10"/>
  <c r="AO58" i="10"/>
  <c r="C58" i="10"/>
  <c r="AQ57" i="10"/>
  <c r="AO57" i="10"/>
  <c r="C57" i="10"/>
  <c r="AQ56" i="10"/>
  <c r="AO56" i="10"/>
  <c r="C56" i="10"/>
  <c r="AQ55" i="10"/>
  <c r="AO55" i="10"/>
  <c r="C55" i="10"/>
  <c r="AQ54" i="10"/>
  <c r="AO54" i="10"/>
  <c r="C54" i="10"/>
  <c r="AQ53" i="10"/>
  <c r="AO53" i="10"/>
  <c r="C53" i="10"/>
  <c r="AQ52" i="10"/>
  <c r="AO52" i="10"/>
  <c r="C52" i="10"/>
  <c r="AQ51" i="10"/>
  <c r="AO51" i="10"/>
  <c r="C51" i="10"/>
  <c r="AQ50" i="10"/>
  <c r="AO50" i="10"/>
  <c r="C50" i="10"/>
  <c r="AQ49" i="10"/>
  <c r="AO49" i="10"/>
  <c r="C49" i="10"/>
  <c r="AQ48" i="10"/>
  <c r="AO48" i="10"/>
  <c r="C48" i="10"/>
  <c r="AQ47" i="10"/>
  <c r="AO47" i="10"/>
  <c r="C47" i="10"/>
  <c r="AQ46" i="10"/>
  <c r="AO46" i="10"/>
  <c r="C46" i="10"/>
  <c r="AQ45" i="10"/>
  <c r="AO45" i="10"/>
  <c r="C45" i="10"/>
  <c r="AQ44" i="10"/>
  <c r="AO44" i="10"/>
  <c r="C44" i="10"/>
  <c r="AQ43" i="10"/>
  <c r="AO43" i="10"/>
  <c r="C43" i="10"/>
  <c r="AQ42" i="10"/>
  <c r="AO42" i="10"/>
  <c r="C42" i="10"/>
  <c r="AQ41" i="10"/>
  <c r="AO41" i="10"/>
  <c r="C41" i="10"/>
  <c r="AQ40" i="10"/>
  <c r="AO40" i="10"/>
  <c r="C40" i="10"/>
  <c r="AQ39" i="10"/>
  <c r="AO39" i="10"/>
  <c r="C39" i="10"/>
  <c r="AQ38" i="10"/>
  <c r="AO38" i="10"/>
  <c r="C38" i="10"/>
  <c r="AQ37" i="10"/>
  <c r="AO37" i="10"/>
  <c r="C37" i="10"/>
  <c r="AQ36" i="10"/>
  <c r="AO36" i="10"/>
  <c r="C36" i="10"/>
  <c r="AQ35" i="10"/>
  <c r="AO35" i="10"/>
  <c r="C35" i="10"/>
  <c r="AQ34" i="10"/>
  <c r="AO34" i="10"/>
  <c r="C34" i="10"/>
  <c r="AQ33" i="10"/>
  <c r="AO33" i="10"/>
  <c r="C33" i="10"/>
  <c r="AQ32" i="10"/>
  <c r="AO32" i="10"/>
  <c r="C32" i="10"/>
  <c r="AQ31" i="10"/>
  <c r="AO31" i="10"/>
  <c r="C31" i="10"/>
  <c r="AQ30" i="10"/>
  <c r="AO30" i="10"/>
  <c r="C30" i="10"/>
  <c r="AQ29" i="10"/>
  <c r="AO29" i="10"/>
  <c r="C29" i="10"/>
  <c r="AQ28" i="10"/>
  <c r="AO28" i="10"/>
  <c r="C28" i="10"/>
  <c r="AQ27" i="10"/>
  <c r="AO27" i="10"/>
  <c r="C27" i="10"/>
  <c r="AQ26" i="10"/>
  <c r="AO26" i="10"/>
  <c r="C26" i="10"/>
  <c r="AQ25" i="10"/>
  <c r="AO25" i="10"/>
  <c r="C25" i="10"/>
  <c r="AQ24" i="10"/>
  <c r="AO24" i="10"/>
  <c r="C24" i="10"/>
  <c r="AQ23" i="10"/>
  <c r="AO23" i="10"/>
  <c r="C23" i="10"/>
  <c r="AQ22" i="10"/>
  <c r="AO22" i="10"/>
  <c r="C22" i="10"/>
  <c r="AQ21" i="10"/>
  <c r="AO21" i="10"/>
  <c r="C21" i="10"/>
  <c r="AQ20" i="10"/>
  <c r="AO20" i="10"/>
  <c r="C20" i="10"/>
  <c r="AQ19" i="10"/>
  <c r="AO19" i="10"/>
  <c r="C19" i="10"/>
  <c r="AQ18" i="10"/>
  <c r="AO18" i="10"/>
  <c r="C18" i="10"/>
  <c r="AQ17" i="10"/>
  <c r="AO17" i="10"/>
  <c r="C17" i="10"/>
  <c r="AQ16" i="10"/>
  <c r="AO16" i="10"/>
  <c r="C16" i="10"/>
  <c r="AQ15" i="10"/>
  <c r="AO15" i="10"/>
  <c r="C15" i="10"/>
  <c r="AQ14" i="10"/>
  <c r="AO14" i="10"/>
  <c r="C14" i="10"/>
  <c r="AQ13" i="10"/>
  <c r="AO13" i="10"/>
  <c r="C13" i="10"/>
  <c r="AQ12" i="10"/>
  <c r="AO12" i="10"/>
  <c r="C12" i="10"/>
  <c r="AQ11" i="10"/>
  <c r="AO11" i="10"/>
  <c r="C11" i="10"/>
  <c r="AQ10" i="10"/>
  <c r="AO10" i="10"/>
  <c r="C10" i="10"/>
  <c r="AQ9" i="10"/>
  <c r="AO9" i="10"/>
  <c r="C9" i="10"/>
  <c r="AQ8" i="10"/>
  <c r="AO8" i="10"/>
  <c r="C8" i="10"/>
  <c r="AQ7" i="10"/>
  <c r="AO7" i="10"/>
  <c r="C7" i="10"/>
  <c r="AO122" i="10" l="1"/>
  <c r="AM120" i="11" l="1"/>
  <c r="AM119" i="11"/>
  <c r="AM118" i="11"/>
  <c r="AM117" i="11"/>
  <c r="AM116" i="11"/>
  <c r="AM115" i="11"/>
  <c r="AM114" i="11"/>
  <c r="AM113" i="11"/>
  <c r="AM112" i="11"/>
  <c r="AM111" i="11"/>
  <c r="AM110" i="11"/>
  <c r="AM109" i="11"/>
  <c r="AM108" i="11"/>
  <c r="AM107" i="11"/>
  <c r="AM106" i="11"/>
  <c r="AM105" i="11"/>
  <c r="AM104" i="11"/>
  <c r="AM103" i="11"/>
  <c r="AM102" i="11"/>
  <c r="AM101" i="11"/>
  <c r="AM100" i="11"/>
  <c r="AM99" i="11"/>
  <c r="AM98" i="11"/>
  <c r="AM97" i="11"/>
  <c r="AM96" i="11"/>
  <c r="AM95" i="11"/>
  <c r="AM94" i="11"/>
  <c r="AM93" i="11"/>
  <c r="AM92" i="11"/>
  <c r="AM91" i="11"/>
  <c r="AM90" i="11"/>
  <c r="AM89" i="11"/>
  <c r="AM88" i="11"/>
  <c r="AM87" i="11"/>
  <c r="AM86" i="11"/>
  <c r="AM85" i="11"/>
  <c r="AM84" i="11"/>
  <c r="AM83" i="11"/>
  <c r="AM82" i="11"/>
  <c r="AM81" i="11"/>
  <c r="AM80" i="11"/>
  <c r="AM79" i="11"/>
  <c r="AM78" i="11"/>
  <c r="AM77" i="11"/>
  <c r="AM76" i="11"/>
  <c r="AM75" i="11"/>
  <c r="AM74" i="11"/>
  <c r="AM73" i="11"/>
  <c r="AM72" i="11"/>
  <c r="AM71" i="11"/>
  <c r="AM70" i="11"/>
  <c r="AM69" i="11"/>
  <c r="AM68" i="11"/>
  <c r="AM67" i="11"/>
  <c r="AM66" i="11"/>
  <c r="AM65" i="11"/>
  <c r="AM64" i="11"/>
  <c r="AM63" i="11"/>
  <c r="AM62" i="11"/>
  <c r="AM61" i="11"/>
  <c r="AM60" i="11"/>
  <c r="AM59" i="11"/>
  <c r="AM58" i="11"/>
  <c r="AM57" i="11"/>
  <c r="AM56" i="11"/>
  <c r="AM55" i="11"/>
  <c r="AM54" i="11"/>
  <c r="AM53" i="11"/>
  <c r="AM52" i="11"/>
  <c r="AM51" i="11"/>
  <c r="AM50" i="11"/>
  <c r="AM49" i="11"/>
  <c r="AM48" i="11"/>
  <c r="AM47" i="11"/>
  <c r="AM46" i="11"/>
  <c r="AM45" i="11"/>
  <c r="AM44" i="11"/>
  <c r="AM43" i="11"/>
  <c r="AM42" i="11"/>
  <c r="AM41" i="11"/>
  <c r="AM40" i="11"/>
  <c r="AM39" i="11"/>
  <c r="AM38" i="11"/>
  <c r="AM37" i="11"/>
  <c r="AM36" i="11"/>
  <c r="AM35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M122" i="11" l="1"/>
  <c r="AN122" i="7"/>
  <c r="AM122" i="7"/>
  <c r="AL122" i="7"/>
  <c r="AK122" i="7"/>
  <c r="AJ122" i="7"/>
  <c r="AI122" i="7"/>
  <c r="AH122" i="7"/>
  <c r="AG122" i="7"/>
  <c r="AF122" i="7"/>
  <c r="AE122" i="7"/>
  <c r="AD122" i="7"/>
  <c r="AC122" i="7"/>
  <c r="AB122" i="7"/>
  <c r="AA122" i="7"/>
  <c r="Z122" i="7"/>
  <c r="Y122" i="7"/>
  <c r="X122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AO120" i="7"/>
  <c r="AO119" i="7"/>
  <c r="AQ118" i="7"/>
  <c r="AO118" i="7"/>
  <c r="AQ117" i="7"/>
  <c r="AO117" i="7"/>
  <c r="AQ116" i="7"/>
  <c r="AO116" i="7"/>
  <c r="AQ115" i="7"/>
  <c r="AO115" i="7"/>
  <c r="AQ114" i="7"/>
  <c r="AO114" i="7"/>
  <c r="AQ113" i="7"/>
  <c r="AO113" i="7"/>
  <c r="AQ112" i="7"/>
  <c r="AO112" i="7"/>
  <c r="AQ111" i="7"/>
  <c r="AO111" i="7"/>
  <c r="AQ110" i="7"/>
  <c r="AO110" i="7"/>
  <c r="AQ109" i="7"/>
  <c r="AO109" i="7"/>
  <c r="AQ108" i="7"/>
  <c r="AO108" i="7"/>
  <c r="AQ107" i="7"/>
  <c r="AO107" i="7"/>
  <c r="AQ106" i="7"/>
  <c r="AO106" i="7"/>
  <c r="AQ105" i="7"/>
  <c r="AO105" i="7"/>
  <c r="AQ104" i="7"/>
  <c r="AO104" i="7"/>
  <c r="AQ103" i="7"/>
  <c r="AO103" i="7"/>
  <c r="AQ102" i="7"/>
  <c r="AO102" i="7"/>
  <c r="AQ101" i="7"/>
  <c r="AO101" i="7"/>
  <c r="AQ100" i="7"/>
  <c r="AO100" i="7"/>
  <c r="AQ99" i="7"/>
  <c r="AO99" i="7"/>
  <c r="AQ98" i="7"/>
  <c r="AO98" i="7"/>
  <c r="AQ97" i="7"/>
  <c r="AO97" i="7"/>
  <c r="AQ96" i="7"/>
  <c r="AO96" i="7"/>
  <c r="AQ95" i="7"/>
  <c r="AO95" i="7"/>
  <c r="AQ94" i="7"/>
  <c r="AO94" i="7"/>
  <c r="AQ93" i="7"/>
  <c r="AO93" i="7"/>
  <c r="AQ92" i="7"/>
  <c r="AO92" i="7"/>
  <c r="AQ91" i="7"/>
  <c r="AO91" i="7"/>
  <c r="AQ90" i="7"/>
  <c r="AO90" i="7"/>
  <c r="AQ89" i="7"/>
  <c r="AO89" i="7"/>
  <c r="AQ88" i="7"/>
  <c r="AO88" i="7"/>
  <c r="AQ87" i="7"/>
  <c r="AO87" i="7"/>
  <c r="AQ86" i="7"/>
  <c r="AO86" i="7"/>
  <c r="AQ85" i="7"/>
  <c r="AO85" i="7"/>
  <c r="AQ84" i="7"/>
  <c r="AO84" i="7"/>
  <c r="AQ83" i="7"/>
  <c r="AO83" i="7"/>
  <c r="AQ82" i="7"/>
  <c r="AO82" i="7"/>
  <c r="AQ81" i="7"/>
  <c r="AO81" i="7"/>
  <c r="AQ80" i="7"/>
  <c r="AO80" i="7"/>
  <c r="AQ79" i="7"/>
  <c r="AO79" i="7"/>
  <c r="AQ78" i="7"/>
  <c r="AO78" i="7"/>
  <c r="AQ77" i="7"/>
  <c r="AO77" i="7"/>
  <c r="AQ76" i="7"/>
  <c r="AO76" i="7"/>
  <c r="AQ75" i="7"/>
  <c r="AO75" i="7"/>
  <c r="AQ74" i="7"/>
  <c r="AO74" i="7"/>
  <c r="AQ73" i="7"/>
  <c r="AO73" i="7"/>
  <c r="AQ72" i="7"/>
  <c r="AO72" i="7"/>
  <c r="AQ71" i="7"/>
  <c r="AO71" i="7"/>
  <c r="AQ70" i="7"/>
  <c r="AO70" i="7"/>
  <c r="AQ69" i="7"/>
  <c r="AO69" i="7"/>
  <c r="AQ68" i="7"/>
  <c r="AO68" i="7"/>
  <c r="AQ67" i="7"/>
  <c r="AO67" i="7"/>
  <c r="AQ66" i="7"/>
  <c r="AO66" i="7"/>
  <c r="AQ65" i="7"/>
  <c r="AO65" i="7"/>
  <c r="AQ64" i="7"/>
  <c r="AO64" i="7"/>
  <c r="AQ63" i="7"/>
  <c r="AO63" i="7"/>
  <c r="AQ62" i="7"/>
  <c r="AO62" i="7"/>
  <c r="AQ61" i="7"/>
  <c r="AO61" i="7"/>
  <c r="AQ60" i="7"/>
  <c r="AO60" i="7"/>
  <c r="AQ59" i="7"/>
  <c r="AO59" i="7"/>
  <c r="AQ58" i="7"/>
  <c r="AO58" i="7"/>
  <c r="AQ57" i="7"/>
  <c r="AO57" i="7"/>
  <c r="AQ56" i="7"/>
  <c r="AO56" i="7"/>
  <c r="AQ55" i="7"/>
  <c r="AO55" i="7"/>
  <c r="AQ54" i="7"/>
  <c r="AO54" i="7"/>
  <c r="AQ53" i="7"/>
  <c r="AO53" i="7"/>
  <c r="AQ52" i="7"/>
  <c r="AO52" i="7"/>
  <c r="AQ51" i="7"/>
  <c r="AO51" i="7"/>
  <c r="AQ50" i="7"/>
  <c r="AO50" i="7"/>
  <c r="AQ49" i="7"/>
  <c r="AO49" i="7"/>
  <c r="AQ48" i="7"/>
  <c r="AO48" i="7"/>
  <c r="AQ47" i="7"/>
  <c r="AO47" i="7"/>
  <c r="AQ46" i="7"/>
  <c r="AO46" i="7"/>
  <c r="AQ45" i="7"/>
  <c r="AO45" i="7"/>
  <c r="AQ44" i="7"/>
  <c r="AO44" i="7"/>
  <c r="AQ43" i="7"/>
  <c r="AO43" i="7"/>
  <c r="AQ42" i="7"/>
  <c r="AO42" i="7"/>
  <c r="AQ41" i="7"/>
  <c r="AO41" i="7"/>
  <c r="AQ40" i="7"/>
  <c r="AO40" i="7"/>
  <c r="AQ39" i="7"/>
  <c r="AO39" i="7"/>
  <c r="AQ38" i="7"/>
  <c r="AO38" i="7"/>
  <c r="AQ37" i="7"/>
  <c r="AO37" i="7"/>
  <c r="AQ36" i="7"/>
  <c r="AO36" i="7"/>
  <c r="AQ35" i="7"/>
  <c r="AO35" i="7"/>
  <c r="AQ34" i="7"/>
  <c r="AO34" i="7"/>
  <c r="AQ33" i="7"/>
  <c r="AO33" i="7"/>
  <c r="AQ32" i="7"/>
  <c r="AO32" i="7"/>
  <c r="AQ31" i="7"/>
  <c r="AO31" i="7"/>
  <c r="AQ30" i="7"/>
  <c r="AO30" i="7"/>
  <c r="AQ29" i="7"/>
  <c r="AO29" i="7"/>
  <c r="AQ28" i="7"/>
  <c r="AO28" i="7"/>
  <c r="AQ27" i="7"/>
  <c r="AO27" i="7"/>
  <c r="AQ26" i="7"/>
  <c r="AO26" i="7"/>
  <c r="AQ25" i="7"/>
  <c r="AO25" i="7"/>
  <c r="AQ24" i="7"/>
  <c r="AO24" i="7"/>
  <c r="AQ23" i="7"/>
  <c r="AO23" i="7"/>
  <c r="AQ22" i="7"/>
  <c r="AO22" i="7"/>
  <c r="AQ21" i="7"/>
  <c r="AO21" i="7"/>
  <c r="AQ20" i="7"/>
  <c r="AO20" i="7"/>
  <c r="AQ19" i="7"/>
  <c r="AO19" i="7"/>
  <c r="AQ18" i="7"/>
  <c r="AO18" i="7"/>
  <c r="AQ17" i="7"/>
  <c r="AO17" i="7"/>
  <c r="AQ16" i="7"/>
  <c r="AO16" i="7"/>
  <c r="AQ15" i="7"/>
  <c r="AO15" i="7"/>
  <c r="AQ14" i="7"/>
  <c r="AO14" i="7"/>
  <c r="AQ13" i="7"/>
  <c r="AO13" i="7"/>
  <c r="AQ12" i="7"/>
  <c r="AO12" i="7"/>
  <c r="AQ11" i="7"/>
  <c r="AO11" i="7"/>
  <c r="AQ10" i="7"/>
  <c r="AO10" i="7"/>
  <c r="AQ9" i="7"/>
  <c r="AO9" i="7"/>
  <c r="AQ8" i="7"/>
  <c r="AO8" i="7"/>
  <c r="AQ7" i="7"/>
  <c r="AO7" i="7"/>
  <c r="AO122" i="7" s="1"/>
  <c r="F3" i="5" l="1"/>
  <c r="G3" i="5" s="1"/>
  <c r="H3" i="5" s="1"/>
  <c r="I3" i="5" s="1"/>
  <c r="J3" i="5" s="1"/>
  <c r="K3" i="5" s="1"/>
  <c r="L3" i="5" s="1"/>
  <c r="M3" i="5" l="1"/>
</calcChain>
</file>

<file path=xl/comments1.xml><?xml version="1.0" encoding="utf-8"?>
<comments xmlns="http://schemas.openxmlformats.org/spreadsheetml/2006/main">
  <authors>
    <author>tc={EBB3DFE0-AD9D-430F-84BD-B1D8AB510BC0}</author>
    <author>tc={8D23F2B0-D17F-4531-A62E-FA6C29A08F16}</author>
    <author>tc={443A2FDC-8545-4C74-BEF8-8D4C696192AB}</author>
    <author>tc={F12B14A6-3BDF-420D-BC92-77ADDE638CFE}</author>
    <author>tc={67C9BAE1-436A-43E4-BF4B-BD6B16D7A46B}</author>
  </authors>
  <commentList>
    <comment ref="W1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71,200 Prog Coord Job Coach</t>
        </r>
      </text>
    </comment>
    <comment ref="AA1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LW and Lindsey</t>
        </r>
      </text>
    </comment>
    <comment ref="AC1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-KJ , PS, LW and May - Lindsey</t>
        </r>
      </text>
    </comment>
    <comment ref="AF1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Breakdown RH 
K Johnson</t>
        </r>
      </text>
    </comment>
    <comment ref="AB2" authorId="4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$300K over 2 years</t>
        </r>
      </text>
    </comment>
  </commentList>
</comments>
</file>

<file path=xl/comments2.xml><?xml version="1.0" encoding="utf-8"?>
<comments xmlns="http://schemas.openxmlformats.org/spreadsheetml/2006/main">
  <authors>
    <author>tc={EBB3DFE0-AD9D-430F-84BD-B1D8AB510BC0}</author>
    <author>tc={8D23F2B0-D17F-4531-A62E-FA6C29A08F16}</author>
    <author>tc={443A2FDC-8545-4C74-BEF8-8D4C696192AB}</author>
    <author>tc={F12B14A6-3BDF-420D-BC92-77ADDE638CFE}</author>
    <author>tc={67C9BAE1-436A-43E4-BF4B-BD6B16D7A46B}</author>
  </authors>
  <commentList>
    <comment ref="W1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71,200 Prog Coord Job Coach</t>
        </r>
      </text>
    </comment>
    <comment ref="AA1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LW and Lindsey</t>
        </r>
      </text>
    </comment>
    <comment ref="AC1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-KJ , PS, LW and May - Lindsey</t>
        </r>
      </text>
    </comment>
    <comment ref="AF1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Breakdown RH 
K Johnson</t>
        </r>
      </text>
    </comment>
    <comment ref="AB2" authorId="4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$300K over 2 years</t>
        </r>
      </text>
    </comment>
  </commentList>
</comments>
</file>

<file path=xl/comments3.xml><?xml version="1.0" encoding="utf-8"?>
<comments xmlns="http://schemas.openxmlformats.org/spreadsheetml/2006/main">
  <authors>
    <author>tc={EBB3DFE0-AD9D-430F-84BD-B1D8AB510BC0}</author>
    <author>tc={8D23F2B0-D17F-4531-A62E-FA6C29A08F16}</author>
    <author>tc={443A2FDC-8545-4C74-BEF8-8D4C696192AB}</author>
    <author>tc={F12B14A6-3BDF-420D-BC92-77ADDE638CFE}</author>
    <author>tc={67C9BAE1-436A-43E4-BF4B-BD6B16D7A46B}</author>
  </authors>
  <commentList>
    <comment ref="T1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71,200 Prog Coord Job Coach</t>
        </r>
      </text>
    </comment>
    <comment ref="X1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LW and Lindsey</t>
        </r>
      </text>
    </comment>
    <comment ref="Z1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-KJ , PS, LW and May - Lindsey</t>
        </r>
      </text>
    </comment>
    <comment ref="AC1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Breakdown RH 
K Johnson</t>
        </r>
      </text>
    </comment>
    <comment ref="Y2" authorId="4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$300K over 2 years</t>
        </r>
      </text>
    </comment>
  </commentList>
</comments>
</file>

<file path=xl/sharedStrings.xml><?xml version="1.0" encoding="utf-8"?>
<sst xmlns="http://schemas.openxmlformats.org/spreadsheetml/2006/main" count="2506" uniqueCount="300">
  <si>
    <t>C:\Users\Peter\Documents\Associates\Projects\Townsend\Urban League\Allocation\20191022133031_AdvancedGeneralLedgerReport_cda38eb2.iif (1).txt</t>
  </si>
  <si>
    <t>!TRNS</t>
  </si>
  <si>
    <t>TRNSID</t>
  </si>
  <si>
    <t>TRANSTYPE</t>
  </si>
  <si>
    <t>DATE</t>
  </si>
  <si>
    <t>ACCNT</t>
  </si>
  <si>
    <t>CLASS</t>
  </si>
  <si>
    <t>AMOUNT</t>
  </si>
  <si>
    <t>DOCNUM</t>
  </si>
  <si>
    <t>MEMO</t>
  </si>
  <si>
    <t>!SPL</t>
  </si>
  <si>
    <t>SPLID</t>
  </si>
  <si>
    <t>!ENDTRNS</t>
  </si>
  <si>
    <t>TRNS</t>
  </si>
  <si>
    <t>General Journal</t>
  </si>
  <si>
    <t xml:space="preserve">Employer Expenses </t>
  </si>
  <si>
    <t>SPL</t>
  </si>
  <si>
    <t>111B</t>
  </si>
  <si>
    <t xml:space="preserve">Payroll Taxes </t>
  </si>
  <si>
    <t xml:space="preserve">Deductions </t>
  </si>
  <si>
    <t xml:space="preserve">Cash </t>
  </si>
  <si>
    <t xml:space="preserve">Salaries </t>
  </si>
  <si>
    <t>ENDTRNS</t>
  </si>
  <si>
    <t>A002</t>
  </si>
  <si>
    <t>A017</t>
  </si>
  <si>
    <t>A009</t>
  </si>
  <si>
    <t>A01B</t>
  </si>
  <si>
    <t>A04N</t>
  </si>
  <si>
    <t>A05S</t>
  </si>
  <si>
    <t>A05V</t>
  </si>
  <si>
    <t>A06Q</t>
  </si>
  <si>
    <t>A06R</t>
  </si>
  <si>
    <t>A147</t>
  </si>
  <si>
    <t>A04E</t>
  </si>
  <si>
    <t>A05U</t>
  </si>
  <si>
    <t>A167</t>
  </si>
  <si>
    <t>A012</t>
  </si>
  <si>
    <t>A06P</t>
  </si>
  <si>
    <t>A04I</t>
  </si>
  <si>
    <t>A04T</t>
  </si>
  <si>
    <t>A05X</t>
  </si>
  <si>
    <t>A06N</t>
  </si>
  <si>
    <t>A016</t>
  </si>
  <si>
    <t>A06K</t>
  </si>
  <si>
    <t>A06M</t>
  </si>
  <si>
    <t>A06O</t>
  </si>
  <si>
    <t>A06J</t>
  </si>
  <si>
    <t>A015</t>
  </si>
  <si>
    <t>A06G</t>
  </si>
  <si>
    <t>111</t>
  </si>
  <si>
    <t>B</t>
  </si>
  <si>
    <t>560</t>
  </si>
  <si>
    <t>630</t>
  </si>
  <si>
    <t>Process Payroll Download</t>
  </si>
  <si>
    <t>P. Schmitt</t>
  </si>
  <si>
    <t>Version 1.0</t>
  </si>
  <si>
    <t>Period</t>
  </si>
  <si>
    <t>Class</t>
  </si>
  <si>
    <t>Name</t>
  </si>
  <si>
    <t>Date of Last Run</t>
  </si>
  <si>
    <t>Last Payroll Period</t>
  </si>
  <si>
    <t>041 Social Enter  Thriftworks</t>
  </si>
  <si>
    <t>111 Abbott</t>
  </si>
  <si>
    <t>111B Wrap Fees</t>
  </si>
  <si>
    <t>111A Other</t>
  </si>
  <si>
    <t>111F Food Prog</t>
  </si>
  <si>
    <t>112 EHS/Toddler</t>
  </si>
  <si>
    <t>EHS 112 A Fees</t>
  </si>
  <si>
    <t>114 Summer Camp</t>
  </si>
  <si>
    <t>222 DCF Coding</t>
  </si>
  <si>
    <t>223 OICA June 30</t>
  </si>
  <si>
    <t>225 Americorp</t>
  </si>
  <si>
    <t>334 NRTC 18 40K</t>
  </si>
  <si>
    <t>335 NRTC 19 40K</t>
  </si>
  <si>
    <t>339 ULEC OC</t>
  </si>
  <si>
    <t>368 Wells Fargo 165K</t>
  </si>
  <si>
    <t>451 SENIORS / USJP</t>
  </si>
  <si>
    <t xml:space="preserve">452 PACE $211K </t>
  </si>
  <si>
    <t>460 Ihop Training $34k</t>
  </si>
  <si>
    <t xml:space="preserve">468 Nwk Alliance  $95K </t>
  </si>
  <si>
    <t>467 United Airlines 125K Business Dev</t>
  </si>
  <si>
    <t>502 ESG Housing $75 Salaries $18750</t>
  </si>
  <si>
    <t>454 Prudential #1 18-19 Workforce</t>
  </si>
  <si>
    <t>515 NUL -HUD 2018 PARS  $27.5k salaries</t>
  </si>
  <si>
    <t>525 CDBG -Irvington -Housing $19K</t>
  </si>
  <si>
    <t>560Capital 1  Save Up FOC $15K- $4k Salary KJ</t>
  </si>
  <si>
    <t xml:space="preserve">561 LISC FOC $50K </t>
  </si>
  <si>
    <t>567 Chase FOC Wksp 3K- Delete</t>
  </si>
  <si>
    <t>563 -Prudential #1 18-19 FOC</t>
  </si>
  <si>
    <t>600Admin</t>
  </si>
  <si>
    <t>610 CEO Victoria Fdn</t>
  </si>
  <si>
    <t>620 CFO</t>
  </si>
  <si>
    <t>630 COO</t>
  </si>
  <si>
    <t>640 Development</t>
  </si>
  <si>
    <t>650 Facilities</t>
  </si>
  <si>
    <t>%</t>
  </si>
  <si>
    <t>09/30/19</t>
  </si>
  <si>
    <t>Abbott</t>
  </si>
  <si>
    <t>EHS</t>
  </si>
  <si>
    <t>Urban League                     of Essex County                     2019 Code 0297</t>
  </si>
  <si>
    <t>Proof</t>
  </si>
  <si>
    <t>K Period</t>
  </si>
  <si>
    <t>Contract</t>
  </si>
  <si>
    <t>Percentage</t>
  </si>
  <si>
    <t>12 Month Projections</t>
  </si>
  <si>
    <t>PAYCOM DEPT.</t>
  </si>
  <si>
    <t>AIKEN-SANZONE, Charlene</t>
  </si>
  <si>
    <t>Americorp</t>
  </si>
  <si>
    <t>AIKEN-SANZONE, Charlene June 30</t>
  </si>
  <si>
    <t>OICA</t>
  </si>
  <si>
    <t>ALFORD, Sebrania R.</t>
  </si>
  <si>
    <t>ALMANZAR, Alberto</t>
  </si>
  <si>
    <t>USJP</t>
  </si>
  <si>
    <t>ANDREWS, Cora - Summer</t>
  </si>
  <si>
    <t>ANDREWS, Cora</t>
  </si>
  <si>
    <t>ANDREWS, Courtney A.</t>
  </si>
  <si>
    <t>BIRDSONG, Rhonda June 30</t>
  </si>
  <si>
    <t>Bizi, Raymond</t>
  </si>
  <si>
    <t>BROWN,Denise- Wrap</t>
  </si>
  <si>
    <t>BROWN,Denise - Summer</t>
  </si>
  <si>
    <t>BRYANT, Roni- Summer</t>
  </si>
  <si>
    <t>BRYANT, Roni</t>
  </si>
  <si>
    <t>BUTLER, Ciji</t>
  </si>
  <si>
    <t>CAMPBELL, Nikiesha K.</t>
  </si>
  <si>
    <t>CASTELLANOS, Rita J.</t>
  </si>
  <si>
    <t>CERNA, Irene</t>
  </si>
  <si>
    <t>COLEMAN, Zabrina J.</t>
  </si>
  <si>
    <t>COOPER, Cassandra June 30</t>
  </si>
  <si>
    <t>COOPER, Cassandra July</t>
  </si>
  <si>
    <t>FOC, ESG</t>
  </si>
  <si>
    <t>Counts, Monique Lamae</t>
  </si>
  <si>
    <t>DANCE-WILSON, Heather</t>
  </si>
  <si>
    <t>DANIELS-CRAFTON, Glenda</t>
  </si>
  <si>
    <t>ELLIS, Joseph</t>
  </si>
  <si>
    <t>FITZPATRICK, Cynthia E. - Aug 31</t>
  </si>
  <si>
    <t>FITZPATRICK, Cynthia E.  - Toddlers</t>
  </si>
  <si>
    <t>EHS/ Toddlers</t>
  </si>
  <si>
    <t>FRANCOIS, Darlene</t>
  </si>
  <si>
    <t>FRASER, Vivian Cox</t>
  </si>
  <si>
    <t>Admin</t>
  </si>
  <si>
    <t>FRASER, Vivian Cox- July</t>
  </si>
  <si>
    <t xml:space="preserve">FRAZIER, Alice </t>
  </si>
  <si>
    <t>Workforce</t>
  </si>
  <si>
    <t>Freeman, Jibri</t>
  </si>
  <si>
    <t>GARRETT, Dorian S.</t>
  </si>
  <si>
    <t>GARRETT, Shakia</t>
  </si>
  <si>
    <t>GBAMOKOLLIE, Molly</t>
  </si>
  <si>
    <t>Facilities</t>
  </si>
  <si>
    <t xml:space="preserve">GREEN, Yolanda - </t>
  </si>
  <si>
    <t>GREEN, Yolanda - Toddlers</t>
  </si>
  <si>
    <t>HAMILTON, Marchetta</t>
  </si>
  <si>
    <t>HERBERT, Marina R.</t>
  </si>
  <si>
    <t>HIGGINS, Rosa M. April</t>
  </si>
  <si>
    <t>FOC</t>
  </si>
  <si>
    <t>HIGGINS, Rosa M. May 1</t>
  </si>
  <si>
    <t>HIGGINS, Rosa M. July</t>
  </si>
  <si>
    <t>LISC, CDBG irvington</t>
  </si>
  <si>
    <t>HILL, Katina</t>
  </si>
  <si>
    <t>HILL, Nyjira</t>
  </si>
  <si>
    <t>HILL, Wynora - Summer</t>
  </si>
  <si>
    <t>HILL, Wynora</t>
  </si>
  <si>
    <t>HOLLINS, QUINTELLA</t>
  </si>
  <si>
    <t xml:space="preserve">HOWARD, Cheryl </t>
  </si>
  <si>
    <t>NRTC</t>
  </si>
  <si>
    <t>HOWARD, Cheryl - July</t>
  </si>
  <si>
    <t>HOWARD, Walter</t>
  </si>
  <si>
    <t>Thriftworks</t>
  </si>
  <si>
    <t>JOHNSON, Kamilla R. April</t>
  </si>
  <si>
    <t>FOC, Housing, OICA</t>
  </si>
  <si>
    <t>JOHNSON, Kamilla R. May</t>
  </si>
  <si>
    <t>JOHNSON, Kamilla R. June</t>
  </si>
  <si>
    <t>LANE-MEGA, Lataeya - Replacemt</t>
  </si>
  <si>
    <t>LEWIS, Felicia M.</t>
  </si>
  <si>
    <t>LEWIS, Jaleeah C.</t>
  </si>
  <si>
    <t>LEWIS, Tavonna</t>
  </si>
  <si>
    <t>LOFTIN, NIQUITA</t>
  </si>
  <si>
    <t>MAJETTE, Juanita L.</t>
  </si>
  <si>
    <t>MARROW, Mary Elizabeth</t>
  </si>
  <si>
    <t>MARTINEZ, Joanna</t>
  </si>
  <si>
    <t>MARTINEZ, Joanna - August</t>
  </si>
  <si>
    <t>USJP, Finance</t>
  </si>
  <si>
    <t>MCMILLIAN, Daphne L.</t>
  </si>
  <si>
    <t>MCMILLIAN, Daphne L. - Summer</t>
  </si>
  <si>
    <t>MEGGETT, Bonita L.</t>
  </si>
  <si>
    <t>MORRIS, GWEN</t>
  </si>
  <si>
    <t>RAMBARAN, Sharaini J.</t>
  </si>
  <si>
    <t>RAMBARAN, Sharaini J. - Summer</t>
  </si>
  <si>
    <t>REED, Melissa</t>
  </si>
  <si>
    <t>Robinson, Chantee</t>
  </si>
  <si>
    <t>ROBBINS, Leonard</t>
  </si>
  <si>
    <t>Real Estate</t>
  </si>
  <si>
    <t>Rogers, Lakeshia</t>
  </si>
  <si>
    <t>SANTIAGO-RAMOS, Jose A.</t>
  </si>
  <si>
    <t>SERMON, Patricia April</t>
  </si>
  <si>
    <t>FOC, Housing, OICA, COO</t>
  </si>
  <si>
    <t>SERMON, Patricia May</t>
  </si>
  <si>
    <t>SERMON, Patricia June</t>
  </si>
  <si>
    <t>SERMON, Patricia July</t>
  </si>
  <si>
    <t>SERMON, Patricia August</t>
  </si>
  <si>
    <t>SESSOMS, Donna M.</t>
  </si>
  <si>
    <t>SHARIF, Darrin S. - April</t>
  </si>
  <si>
    <t>Admin, Coding, WF</t>
  </si>
  <si>
    <t>SHARIF, Darrin S. - July</t>
  </si>
  <si>
    <t>SIMMONS, Bertrilla R.</t>
  </si>
  <si>
    <t>STEWART, Robin D - Summer</t>
  </si>
  <si>
    <t>STEWART, Robin D</t>
  </si>
  <si>
    <t>TYLER, Patricia</t>
  </si>
  <si>
    <t>TYLER, Patricia - Summer</t>
  </si>
  <si>
    <t>WAH, Alexia</t>
  </si>
  <si>
    <t>WARD, Richard G. - April</t>
  </si>
  <si>
    <t>WARD, Richard G. -May</t>
  </si>
  <si>
    <t>WARD, Richard G. - August</t>
  </si>
  <si>
    <t>USJP, Finance, Coding, NRTC 19</t>
  </si>
  <si>
    <t xml:space="preserve">Wardwick, Lamar </t>
  </si>
  <si>
    <t>NRTC, Housing, PARS, ESG</t>
  </si>
  <si>
    <t>WILLIAMS, Kilaina</t>
  </si>
  <si>
    <t>WOODRIDGE, Rosalind</t>
  </si>
  <si>
    <t>WOODRIDGE, Rosalind - Summer</t>
  </si>
  <si>
    <t>WILJEAMPS, St Louis</t>
  </si>
  <si>
    <t>Wint, Renee</t>
  </si>
  <si>
    <t>Janvier, Jhonny</t>
  </si>
  <si>
    <t>Janvier, Jhonny - Summer</t>
  </si>
  <si>
    <t>Summer</t>
  </si>
  <si>
    <t>Bennett, Patricia A.</t>
  </si>
  <si>
    <t>Majors. Abarr</t>
  </si>
  <si>
    <t>Brinson, Royshonda</t>
  </si>
  <si>
    <t>Lindsey, Victoria - May</t>
  </si>
  <si>
    <t>Lindsey, Victoria - June</t>
  </si>
  <si>
    <t>Lindsey, Victoria - July</t>
  </si>
  <si>
    <t>Williams, Kyneisha - Career Coach</t>
  </si>
  <si>
    <t>United Airlines, PACE Dec 1</t>
  </si>
  <si>
    <t>Thorpe, Melissa</t>
  </si>
  <si>
    <t>United Airlines</t>
  </si>
  <si>
    <t>Howard, Theresa</t>
  </si>
  <si>
    <t>Leake, Rahmel</t>
  </si>
  <si>
    <t>Vann Holland</t>
  </si>
  <si>
    <t>OICA, PACE</t>
  </si>
  <si>
    <t>McDaniels, Curtis</t>
  </si>
  <si>
    <t>Neigh Revit</t>
  </si>
  <si>
    <t>Love, Charles</t>
  </si>
  <si>
    <t>PACE</t>
  </si>
  <si>
    <t>Johnson, Amanda</t>
  </si>
  <si>
    <t>Mitchell, Felicia</t>
  </si>
  <si>
    <t>Jan - Dec</t>
  </si>
  <si>
    <t>Salary</t>
  </si>
  <si>
    <t>EIN</t>
  </si>
  <si>
    <t>----&gt;</t>
  </si>
  <si>
    <t xml:space="preserve">-----&gt; </t>
  </si>
  <si>
    <t>EIN ---&gt; Class</t>
  </si>
  <si>
    <t>Salary Allocation (Account 7260)</t>
  </si>
  <si>
    <t>Cost Allocation</t>
  </si>
  <si>
    <t>Account ---&gt; Class (Grants)</t>
  </si>
  <si>
    <t>|</t>
  </si>
  <si>
    <t>V</t>
  </si>
  <si>
    <t>-----&gt;</t>
  </si>
  <si>
    <t>GL Report (Accounts, Class)</t>
  </si>
  <si>
    <t>Payroll (EIN)</t>
  </si>
  <si>
    <t>Periods</t>
  </si>
  <si>
    <t>Count</t>
  </si>
  <si>
    <t>MatchToSalary</t>
  </si>
  <si>
    <t>001A002</t>
  </si>
  <si>
    <t>001A017</t>
  </si>
  <si>
    <t>111A009</t>
  </si>
  <si>
    <t>111A01B</t>
  </si>
  <si>
    <t>111A04N</t>
  </si>
  <si>
    <t>111A05S</t>
  </si>
  <si>
    <t>111A05V</t>
  </si>
  <si>
    <t>111A06Q</t>
  </si>
  <si>
    <t>111A06R</t>
  </si>
  <si>
    <t>111A147</t>
  </si>
  <si>
    <t>112A04E</t>
  </si>
  <si>
    <t>222A05U</t>
  </si>
  <si>
    <t>222A167</t>
  </si>
  <si>
    <t>223A012</t>
  </si>
  <si>
    <t>368A06P</t>
  </si>
  <si>
    <t>368A167</t>
  </si>
  <si>
    <t>451A04I</t>
  </si>
  <si>
    <t>451A04T</t>
  </si>
  <si>
    <t>451A05X</t>
  </si>
  <si>
    <t>451A06N</t>
  </si>
  <si>
    <t>467A016</t>
  </si>
  <si>
    <t>467A06K</t>
  </si>
  <si>
    <t>467A06M</t>
  </si>
  <si>
    <t>467A06O</t>
  </si>
  <si>
    <t>502A06J</t>
  </si>
  <si>
    <t>610A015</t>
  </si>
  <si>
    <t>620A05U</t>
  </si>
  <si>
    <t>650A06G</t>
  </si>
  <si>
    <t>???</t>
  </si>
  <si>
    <t>Date</t>
  </si>
  <si>
    <t>Account Type</t>
  </si>
  <si>
    <t>Account Number</t>
  </si>
  <si>
    <t>Account Name</t>
  </si>
  <si>
    <t>Credit</t>
  </si>
  <si>
    <t>Debit</t>
  </si>
  <si>
    <t>Memo</t>
  </si>
  <si>
    <t>Expense</t>
  </si>
  <si>
    <t>Salary Allocation</t>
  </si>
  <si>
    <t>From Salary Allocation</t>
  </si>
  <si>
    <t>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</si>
</sst>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409]d\-mmm;@"/>
    <numFmt numFmtId="165" formatCode="_(* #,##0_);_(* \(#,##0\);_(* &quot;-&quot;??_);_(@_)"/>
    <numFmt numFmtId="166" formatCode="_(* #,##0.0000_);_(* \(#,##0.0000\);_(* &quot;-&quot;??_);_(@_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0"/>
      <name val="Book Antiqua"/>
      <family val="1"/>
    </font>
    <font>
      <sz val="10"/>
      <name val="Comic Sans MS"/>
      <family val="4"/>
    </font>
    <font>
      <b/>
      <sz val="10"/>
      <name val="Calibri"/>
      <family val="2"/>
      <scheme val="minor"/>
    </font>
    <font>
      <b/>
      <strike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name val="Arial"/>
      <family val="2"/>
    </font>
    <font>
      <sz val="8"/>
      <name val="Arial"/>
      <family val="2"/>
    </font>
    <font>
      <b/>
      <sz val="10"/>
      <name val="Book Antiqua"/>
      <family val="1"/>
    </font>
    <font>
      <b/>
      <sz val="8"/>
      <name val="Comic Sans MS"/>
      <family val="4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omic Sans MS"/>
      <family val="4"/>
    </font>
    <font>
      <b/>
      <u val="singleAccounting"/>
      <sz val="8"/>
      <name val="Comic Sans MS"/>
      <family val="4"/>
    </font>
    <font>
      <b/>
      <sz val="8"/>
      <color theme="1"/>
      <name val="Calibri"/>
      <family val="2"/>
      <scheme val="minor"/>
    </font>
    <font>
      <b/>
      <sz val="8"/>
      <name val="Arial"/>
      <family val="2"/>
    </font>
    <font>
      <sz val="8"/>
      <name val="Calibri"/>
      <family val="2"/>
    </font>
    <font>
      <b/>
      <sz val="9"/>
      <name val="Arial"/>
      <family val="2"/>
    </font>
    <font>
      <sz val="8"/>
      <color theme="1"/>
      <name val="Calibri"/>
      <family val="2"/>
    </font>
    <font>
      <sz val="8"/>
      <color rgb="FFFF0000"/>
      <name val="Calibri"/>
      <family val="2"/>
      <scheme val="minor"/>
    </font>
    <font>
      <b/>
      <sz val="10"/>
      <name val="Arial"/>
      <family val="2"/>
    </font>
    <font>
      <sz val="8"/>
      <color rgb="FFFF0000"/>
      <name val="Calibri"/>
      <family val="2"/>
    </font>
    <font>
      <b/>
      <sz val="8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9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2" borderId="0" xfId="0" applyFill="1"/>
    <xf numFmtId="0" fontId="3" fillId="2" borderId="0" xfId="0" applyFont="1" applyFill="1"/>
    <xf numFmtId="14" fontId="3" fillId="2" borderId="0" xfId="0" applyNumberFormat="1" applyFont="1" applyFill="1"/>
    <xf numFmtId="0" fontId="4" fillId="2" borderId="0" xfId="0" applyFont="1" applyFill="1"/>
    <xf numFmtId="14" fontId="0" fillId="5" borderId="0" xfId="0" applyNumberFormat="1" applyFill="1"/>
    <xf numFmtId="0" fontId="2" fillId="6" borderId="0" xfId="0" applyFont="1" applyFill="1"/>
    <xf numFmtId="14" fontId="2" fillId="6" borderId="0" xfId="0" applyNumberFormat="1" applyFont="1" applyFill="1"/>
    <xf numFmtId="0" fontId="0" fillId="11" borderId="0" xfId="0" applyFill="1"/>
    <xf numFmtId="0" fontId="2" fillId="11" borderId="0" xfId="0" applyFont="1" applyFill="1"/>
    <xf numFmtId="164" fontId="2" fillId="11" borderId="0" xfId="0" applyNumberFormat="1" applyFont="1" applyFill="1"/>
    <xf numFmtId="165" fontId="5" fillId="11" borderId="1" xfId="1" applyNumberFormat="1" applyFont="1" applyFill="1" applyBorder="1" applyAlignment="1">
      <alignment horizontal="center" wrapText="1"/>
    </xf>
    <xf numFmtId="165" fontId="6" fillId="12" borderId="2" xfId="1" applyNumberFormat="1" applyFont="1" applyFill="1" applyBorder="1" applyAlignment="1">
      <alignment horizontal="center" wrapText="1"/>
    </xf>
    <xf numFmtId="165" fontId="5" fillId="12" borderId="1" xfId="1" applyNumberFormat="1" applyFont="1" applyFill="1" applyBorder="1" applyAlignment="1">
      <alignment horizontal="center" wrapText="1"/>
    </xf>
    <xf numFmtId="165" fontId="5" fillId="13" borderId="1" xfId="1" applyNumberFormat="1" applyFont="1" applyFill="1" applyBorder="1" applyAlignment="1">
      <alignment horizontal="center" wrapText="1"/>
    </xf>
    <xf numFmtId="165" fontId="5" fillId="10" borderId="1" xfId="1" applyNumberFormat="1" applyFont="1" applyFill="1" applyBorder="1" applyAlignment="1">
      <alignment horizontal="center" wrapText="1"/>
    </xf>
    <xf numFmtId="165" fontId="5" fillId="3" borderId="3" xfId="1" applyNumberFormat="1" applyFont="1" applyFill="1" applyBorder="1" applyAlignment="1">
      <alignment horizontal="center" wrapText="1"/>
    </xf>
    <xf numFmtId="165" fontId="5" fillId="4" borderId="3" xfId="1" applyNumberFormat="1" applyFont="1" applyFill="1" applyBorder="1" applyAlignment="1">
      <alignment horizontal="center" wrapText="1"/>
    </xf>
    <xf numFmtId="165" fontId="5" fillId="4" borderId="4" xfId="1" applyNumberFormat="1" applyFont="1" applyFill="1" applyBorder="1" applyAlignment="1">
      <alignment horizontal="center" wrapText="1"/>
    </xf>
    <xf numFmtId="165" fontId="5" fillId="13" borderId="4" xfId="1" applyNumberFormat="1" applyFont="1" applyFill="1" applyBorder="1" applyAlignment="1">
      <alignment horizontal="center" wrapText="1"/>
    </xf>
    <xf numFmtId="165" fontId="5" fillId="12" borderId="5" xfId="1" applyNumberFormat="1" applyFont="1" applyFill="1" applyBorder="1" applyAlignment="1">
      <alignment horizontal="center" wrapText="1"/>
    </xf>
    <xf numFmtId="43" fontId="5" fillId="9" borderId="1" xfId="1" applyFont="1" applyFill="1" applyBorder="1" applyAlignment="1">
      <alignment horizontal="center"/>
    </xf>
    <xf numFmtId="43" fontId="7" fillId="11" borderId="1" xfId="1" applyFont="1" applyFill="1" applyBorder="1" applyAlignment="1">
      <alignment horizontal="center"/>
    </xf>
    <xf numFmtId="43" fontId="7" fillId="12" borderId="5" xfId="1" applyFont="1" applyFill="1" applyBorder="1" applyAlignment="1">
      <alignment horizontal="center"/>
    </xf>
    <xf numFmtId="43" fontId="7" fillId="12" borderId="1" xfId="1" applyFont="1" applyFill="1" applyBorder="1" applyAlignment="1">
      <alignment horizontal="center"/>
    </xf>
    <xf numFmtId="43" fontId="7" fillId="13" borderId="1" xfId="1" applyFont="1" applyFill="1" applyBorder="1" applyAlignment="1">
      <alignment horizontal="center"/>
    </xf>
    <xf numFmtId="43" fontId="7" fillId="10" borderId="1" xfId="1" applyFont="1" applyFill="1" applyBorder="1" applyAlignment="1">
      <alignment horizontal="center"/>
    </xf>
    <xf numFmtId="165" fontId="5" fillId="8" borderId="1" xfId="1" applyNumberFormat="1" applyFont="1" applyFill="1" applyBorder="1" applyAlignment="1">
      <alignment horizontal="center" wrapText="1"/>
    </xf>
    <xf numFmtId="165" fontId="5" fillId="13" borderId="3" xfId="1" applyNumberFormat="1" applyFont="1" applyFill="1" applyBorder="1" applyAlignment="1">
      <alignment horizontal="center" wrapText="1"/>
    </xf>
    <xf numFmtId="43" fontId="8" fillId="9" borderId="1" xfId="1" applyFont="1" applyFill="1" applyBorder="1" applyAlignment="1">
      <alignment horizontal="center"/>
    </xf>
    <xf numFmtId="43" fontId="7" fillId="9" borderId="1" xfId="1" applyFont="1" applyFill="1" applyBorder="1" applyAlignment="1">
      <alignment horizontal="center"/>
    </xf>
    <xf numFmtId="43" fontId="8" fillId="9" borderId="6" xfId="1" applyFont="1" applyFill="1" applyBorder="1" applyAlignment="1">
      <alignment horizontal="center"/>
    </xf>
    <xf numFmtId="43" fontId="7" fillId="11" borderId="7" xfId="1" applyFont="1" applyFill="1" applyBorder="1" applyAlignment="1">
      <alignment horizontal="center"/>
    </xf>
    <xf numFmtId="43" fontId="7" fillId="12" borderId="7" xfId="1" applyFont="1" applyFill="1" applyBorder="1" applyAlignment="1">
      <alignment horizontal="center"/>
    </xf>
    <xf numFmtId="43" fontId="7" fillId="14" borderId="7" xfId="1" applyFont="1" applyFill="1" applyBorder="1" applyAlignment="1">
      <alignment horizontal="center"/>
    </xf>
    <xf numFmtId="43" fontId="7" fillId="11" borderId="8" xfId="1" applyFont="1" applyFill="1" applyBorder="1" applyAlignment="1">
      <alignment horizontal="center"/>
    </xf>
    <xf numFmtId="13" fontId="7" fillId="10" borderId="4" xfId="1" quotePrefix="1" applyNumberFormat="1" applyFont="1" applyFill="1" applyBorder="1" applyAlignment="1">
      <alignment horizontal="center"/>
    </xf>
    <xf numFmtId="43" fontId="7" fillId="11" borderId="9" xfId="1" applyFont="1" applyFill="1" applyBorder="1" applyAlignment="1">
      <alignment horizontal="center"/>
    </xf>
    <xf numFmtId="43" fontId="8" fillId="9" borderId="7" xfId="1" applyFont="1" applyFill="1" applyBorder="1" applyAlignment="1">
      <alignment horizontal="center"/>
    </xf>
    <xf numFmtId="43" fontId="7" fillId="9" borderId="7" xfId="1" applyFont="1" applyFill="1" applyBorder="1" applyAlignment="1">
      <alignment horizontal="center"/>
    </xf>
    <xf numFmtId="1" fontId="9" fillId="0" borderId="0" xfId="1" applyNumberFormat="1" applyFont="1"/>
    <xf numFmtId="165" fontId="9" fillId="0" borderId="0" xfId="1" applyNumberFormat="1" applyFont="1"/>
    <xf numFmtId="165" fontId="11" fillId="0" borderId="0" xfId="1" applyNumberFormat="1" applyFont="1" applyAlignment="1">
      <alignment horizontal="center"/>
    </xf>
    <xf numFmtId="166" fontId="12" fillId="0" borderId="10" xfId="1" applyNumberFormat="1" applyFont="1" applyBorder="1" applyAlignment="1">
      <alignment horizontal="center"/>
    </xf>
    <xf numFmtId="43" fontId="12" fillId="0" borderId="0" xfId="1" applyFont="1" applyAlignment="1">
      <alignment horizontal="center"/>
    </xf>
    <xf numFmtId="43" fontId="7" fillId="0" borderId="0" xfId="1" applyFont="1" applyAlignment="1">
      <alignment horizontal="center"/>
    </xf>
    <xf numFmtId="43" fontId="9" fillId="0" borderId="0" xfId="1" applyFont="1"/>
    <xf numFmtId="165" fontId="13" fillId="0" borderId="3" xfId="1" applyNumberFormat="1" applyFont="1" applyBorder="1" applyAlignment="1">
      <alignment horizontal="center"/>
    </xf>
    <xf numFmtId="165" fontId="13" fillId="0" borderId="0" xfId="1" applyNumberFormat="1" applyFont="1" applyAlignment="1">
      <alignment horizontal="center"/>
    </xf>
    <xf numFmtId="166" fontId="14" fillId="0" borderId="9" xfId="1" applyNumberFormat="1" applyFont="1" applyBorder="1"/>
    <xf numFmtId="43" fontId="15" fillId="0" borderId="0" xfId="1" applyFont="1"/>
    <xf numFmtId="43" fontId="14" fillId="0" borderId="0" xfId="1" applyFont="1"/>
    <xf numFmtId="166" fontId="14" fillId="0" borderId="7" xfId="1" applyNumberFormat="1" applyFont="1" applyBorder="1"/>
    <xf numFmtId="165" fontId="13" fillId="0" borderId="0" xfId="1" applyNumberFormat="1" applyFont="1"/>
    <xf numFmtId="165" fontId="7" fillId="11" borderId="7" xfId="1" applyNumberFormat="1" applyFont="1" applyFill="1" applyBorder="1"/>
    <xf numFmtId="165" fontId="7" fillId="12" borderId="7" xfId="1" applyNumberFormat="1" applyFont="1" applyFill="1" applyBorder="1"/>
    <xf numFmtId="165" fontId="7" fillId="14" borderId="7" xfId="1" applyNumberFormat="1" applyFont="1" applyFill="1" applyBorder="1"/>
    <xf numFmtId="165" fontId="7" fillId="10" borderId="7" xfId="1" applyNumberFormat="1" applyFont="1" applyFill="1" applyBorder="1"/>
    <xf numFmtId="165" fontId="7" fillId="9" borderId="7" xfId="1" applyNumberFormat="1" applyFont="1" applyFill="1" applyBorder="1"/>
    <xf numFmtId="165" fontId="16" fillId="0" borderId="0" xfId="1" applyNumberFormat="1" applyFont="1" applyAlignment="1">
      <alignment horizontal="center"/>
    </xf>
    <xf numFmtId="165" fontId="17" fillId="12" borderId="7" xfId="1" applyNumberFormat="1" applyFont="1" applyFill="1" applyBorder="1"/>
    <xf numFmtId="166" fontId="18" fillId="0" borderId="7" xfId="1" applyNumberFormat="1" applyFont="1" applyBorder="1"/>
    <xf numFmtId="43" fontId="18" fillId="0" borderId="0" xfId="1" applyFont="1"/>
    <xf numFmtId="1" fontId="9" fillId="0" borderId="0" xfId="1" applyNumberFormat="1" applyFont="1" applyAlignment="1">
      <alignment vertical="center"/>
    </xf>
    <xf numFmtId="43" fontId="10" fillId="0" borderId="0" xfId="1" applyFont="1" applyFill="1" applyAlignment="1">
      <alignment horizontal="center" vertical="center"/>
    </xf>
    <xf numFmtId="49" fontId="19" fillId="0" borderId="11" xfId="1" applyNumberFormat="1" applyFont="1" applyBorder="1" applyAlignment="1">
      <alignment horizontal="center" vertical="center"/>
    </xf>
    <xf numFmtId="165" fontId="16" fillId="0" borderId="0" xfId="1" applyNumberFormat="1" applyFont="1" applyAlignment="1">
      <alignment horizontal="center" vertical="center"/>
    </xf>
    <xf numFmtId="43" fontId="20" fillId="0" borderId="7" xfId="1" applyFont="1" applyBorder="1" applyAlignment="1">
      <alignment vertical="center"/>
    </xf>
    <xf numFmtId="43" fontId="20" fillId="12" borderId="7" xfId="1" applyFont="1" applyFill="1" applyBorder="1" applyAlignment="1">
      <alignment vertical="center"/>
    </xf>
    <xf numFmtId="166" fontId="18" fillId="0" borderId="7" xfId="1" applyNumberFormat="1" applyFont="1" applyBorder="1" applyAlignment="1">
      <alignment vertical="center"/>
    </xf>
    <xf numFmtId="43" fontId="9" fillId="0" borderId="0" xfId="1" applyFont="1" applyAlignment="1">
      <alignment vertical="center"/>
    </xf>
    <xf numFmtId="43" fontId="18" fillId="0" borderId="0" xfId="1" applyFont="1" applyAlignment="1">
      <alignment vertical="center"/>
    </xf>
    <xf numFmtId="165" fontId="21" fillId="0" borderId="11" xfId="2" applyNumberFormat="1" applyFont="1" applyFill="1" applyBorder="1" applyAlignment="1">
      <alignment horizontal="left"/>
    </xf>
    <xf numFmtId="49" fontId="13" fillId="0" borderId="11" xfId="1" applyNumberFormat="1" applyFont="1" applyBorder="1" applyAlignment="1">
      <alignment horizontal="center"/>
    </xf>
    <xf numFmtId="43" fontId="20" fillId="0" borderId="11" xfId="1" applyFont="1" applyBorder="1"/>
    <xf numFmtId="43" fontId="22" fillId="0" borderId="11" xfId="1" applyFont="1" applyBorder="1"/>
    <xf numFmtId="43" fontId="20" fillId="12" borderId="11" xfId="1" applyFont="1" applyFill="1" applyBorder="1"/>
    <xf numFmtId="166" fontId="18" fillId="0" borderId="11" xfId="1" applyNumberFormat="1" applyFont="1" applyBorder="1"/>
    <xf numFmtId="43" fontId="20" fillId="15" borderId="11" xfId="1" applyFont="1" applyFill="1" applyBorder="1"/>
    <xf numFmtId="43" fontId="20" fillId="14" borderId="11" xfId="1" applyFont="1" applyFill="1" applyBorder="1"/>
    <xf numFmtId="43" fontId="23" fillId="0" borderId="0" xfId="1" applyFont="1"/>
    <xf numFmtId="165" fontId="21" fillId="14" borderId="11" xfId="2" applyNumberFormat="1" applyFont="1" applyFill="1" applyBorder="1" applyAlignment="1">
      <alignment horizontal="left"/>
    </xf>
    <xf numFmtId="43" fontId="24" fillId="0" borderId="11" xfId="1" applyFont="1" applyFill="1" applyBorder="1" applyAlignment="1">
      <alignment horizontal="left"/>
    </xf>
    <xf numFmtId="49" fontId="13" fillId="7" borderId="11" xfId="1" applyNumberFormat="1" applyFont="1" applyFill="1" applyBorder="1" applyAlignment="1">
      <alignment horizontal="center"/>
    </xf>
    <xf numFmtId="43" fontId="20" fillId="8" borderId="11" xfId="1" applyFont="1" applyFill="1" applyBorder="1"/>
    <xf numFmtId="165" fontId="21" fillId="0" borderId="10" xfId="2" applyNumberFormat="1" applyFont="1" applyFill="1" applyBorder="1" applyAlignment="1">
      <alignment horizontal="left"/>
    </xf>
    <xf numFmtId="49" fontId="13" fillId="0" borderId="11" xfId="1" applyNumberFormat="1" applyFont="1" applyFill="1" applyBorder="1" applyAlignment="1">
      <alignment horizontal="center"/>
    </xf>
    <xf numFmtId="165" fontId="11" fillId="0" borderId="0" xfId="1" applyNumberFormat="1" applyFont="1" applyFill="1" applyAlignment="1">
      <alignment horizontal="center"/>
    </xf>
    <xf numFmtId="43" fontId="20" fillId="0" borderId="11" xfId="1" applyFont="1" applyFill="1" applyBorder="1"/>
    <xf numFmtId="43" fontId="22" fillId="0" borderId="11" xfId="1" applyFont="1" applyFill="1" applyBorder="1"/>
    <xf numFmtId="166" fontId="18" fillId="0" borderId="11" xfId="1" applyNumberFormat="1" applyFont="1" applyFill="1" applyBorder="1"/>
    <xf numFmtId="43" fontId="9" fillId="0" borderId="0" xfId="1" applyFont="1" applyFill="1"/>
    <xf numFmtId="43" fontId="18" fillId="0" borderId="0" xfId="1" applyFont="1" applyFill="1"/>
    <xf numFmtId="43" fontId="21" fillId="0" borderId="11" xfId="1" applyFont="1" applyFill="1" applyBorder="1" applyAlignment="1">
      <alignment horizontal="left"/>
    </xf>
    <xf numFmtId="165" fontId="13" fillId="0" borderId="0" xfId="1" applyNumberFormat="1" applyFont="1" applyFill="1" applyAlignment="1">
      <alignment horizontal="center"/>
    </xf>
    <xf numFmtId="43" fontId="25" fillId="0" borderId="11" xfId="1" applyFont="1" applyFill="1" applyBorder="1"/>
    <xf numFmtId="43" fontId="20" fillId="16" borderId="11" xfId="1" applyFont="1" applyFill="1" applyBorder="1"/>
    <xf numFmtId="165" fontId="21" fillId="0" borderId="12" xfId="2" applyNumberFormat="1" applyFont="1" applyFill="1" applyBorder="1" applyAlignment="1">
      <alignment horizontal="left"/>
    </xf>
    <xf numFmtId="43" fontId="20" fillId="0" borderId="12" xfId="1" applyFont="1" applyBorder="1"/>
    <xf numFmtId="43" fontId="22" fillId="0" borderId="12" xfId="1" applyFont="1" applyBorder="1"/>
    <xf numFmtId="43" fontId="20" fillId="14" borderId="12" xfId="1" applyFont="1" applyFill="1" applyBorder="1"/>
    <xf numFmtId="43" fontId="20" fillId="15" borderId="12" xfId="1" applyFont="1" applyFill="1" applyBorder="1"/>
    <xf numFmtId="43" fontId="20" fillId="12" borderId="12" xfId="1" applyFont="1" applyFill="1" applyBorder="1"/>
    <xf numFmtId="49" fontId="13" fillId="10" borderId="11" xfId="1" applyNumberFormat="1" applyFont="1" applyFill="1" applyBorder="1" applyAlignment="1">
      <alignment horizontal="center"/>
    </xf>
    <xf numFmtId="165" fontId="19" fillId="0" borderId="11" xfId="1" applyNumberFormat="1" applyFont="1" applyFill="1" applyBorder="1" applyAlignment="1">
      <alignment horizontal="left"/>
    </xf>
    <xf numFmtId="165" fontId="19" fillId="14" borderId="11" xfId="1" applyNumberFormat="1" applyFont="1" applyFill="1" applyBorder="1" applyAlignment="1">
      <alignment horizontal="left"/>
    </xf>
    <xf numFmtId="43" fontId="18" fillId="17" borderId="0" xfId="1" applyFont="1" applyFill="1"/>
    <xf numFmtId="165" fontId="19" fillId="10" borderId="11" xfId="1" applyNumberFormat="1" applyFont="1" applyFill="1" applyBorder="1" applyAlignment="1">
      <alignment horizontal="left"/>
    </xf>
    <xf numFmtId="165" fontId="19" fillId="0" borderId="11" xfId="1" applyNumberFormat="1" applyFont="1" applyBorder="1" applyAlignment="1">
      <alignment horizontal="left"/>
    </xf>
    <xf numFmtId="165" fontId="19" fillId="0" borderId="0" xfId="1" applyNumberFormat="1" applyFont="1" applyFill="1" applyAlignment="1">
      <alignment horizontal="left"/>
    </xf>
    <xf numFmtId="165" fontId="19" fillId="0" borderId="0" xfId="1" applyNumberFormat="1" applyFont="1" applyFill="1" applyBorder="1" applyAlignment="1">
      <alignment horizontal="left"/>
    </xf>
    <xf numFmtId="49" fontId="13" fillId="0" borderId="0" xfId="1" applyNumberFormat="1" applyFont="1" applyBorder="1" applyAlignment="1">
      <alignment horizontal="center"/>
    </xf>
    <xf numFmtId="43" fontId="20" fillId="0" borderId="0" xfId="1" applyFont="1" applyBorder="1"/>
    <xf numFmtId="43" fontId="20" fillId="12" borderId="0" xfId="1" applyFont="1" applyFill="1" applyBorder="1"/>
    <xf numFmtId="166" fontId="18" fillId="0" borderId="0" xfId="1" applyNumberFormat="1" applyFont="1" applyBorder="1"/>
    <xf numFmtId="43" fontId="24" fillId="0" borderId="0" xfId="1" applyFont="1" applyFill="1" applyAlignment="1">
      <alignment horizontal="left"/>
    </xf>
    <xf numFmtId="49" fontId="16" fillId="0" borderId="0" xfId="1" applyNumberFormat="1" applyFont="1" applyAlignment="1">
      <alignment horizontal="center"/>
    </xf>
    <xf numFmtId="43" fontId="26" fillId="12" borderId="13" xfId="1" applyFont="1" applyFill="1" applyBorder="1"/>
    <xf numFmtId="43" fontId="26" fillId="12" borderId="0" xfId="1" applyFont="1" applyFill="1"/>
    <xf numFmtId="43" fontId="21" fillId="0" borderId="0" xfId="1" applyFont="1" applyFill="1" applyAlignment="1">
      <alignment horizontal="left"/>
    </xf>
    <xf numFmtId="166" fontId="2" fillId="0" borderId="0" xfId="0" applyNumberFormat="1" applyFont="1"/>
    <xf numFmtId="0" fontId="2" fillId="0" borderId="0" xfId="0" applyFont="1"/>
    <xf numFmtId="0" fontId="0" fillId="0" borderId="0" xfId="0" applyFill="1"/>
    <xf numFmtId="0" fontId="0" fillId="5" borderId="0" xfId="0" applyFill="1"/>
    <xf numFmtId="0" fontId="0" fillId="5" borderId="0" xfId="0" quotePrefix="1" applyFill="1"/>
    <xf numFmtId="0" fontId="0" fillId="5" borderId="0" xfId="0" applyFill="1" applyAlignment="1">
      <alignment horizontal="center"/>
    </xf>
    <xf numFmtId="43" fontId="10" fillId="0" borderId="0" xfId="1" applyFont="1" applyFill="1" applyAlignment="1">
      <alignment horizontal="center" vertical="center" wrapText="1"/>
    </xf>
  </cellXfs>
  <cellStyles count="3">
    <cellStyle name="Comma" xfId="1" builtinId="3"/>
    <cellStyle name="Comma 5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</xdr:row>
          <xdr:rowOff>57150</xdr:rowOff>
        </xdr:from>
        <xdr:to>
          <xdr:col>4</xdr:col>
          <xdr:colOff>273050</xdr:colOff>
          <xdr:row>10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Payroll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1295400</xdr:colOff>
          <xdr:row>3</xdr:row>
          <xdr:rowOff>6350</xdr:rowOff>
        </xdr:from>
        <xdr:to>
          <xdr:col>2</xdr:col>
          <xdr:colOff>463550</xdr:colOff>
          <xdr:row>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13</xdr:row>
          <xdr:rowOff>171450</xdr:rowOff>
        </xdr:from>
        <xdr:to>
          <xdr:col>5</xdr:col>
          <xdr:colOff>285750</xdr:colOff>
          <xdr:row>15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Salary Allocations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577850</xdr:colOff>
          <xdr:row>13</xdr:row>
          <xdr:rowOff>171450</xdr:rowOff>
        </xdr:from>
        <xdr:to>
          <xdr:col>8</xdr:col>
          <xdr:colOff>501650</xdr:colOff>
          <xdr:row>15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Salary Allocations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349250</xdr:colOff>
          <xdr:row>17</xdr:row>
          <xdr:rowOff>38100</xdr:rowOff>
        </xdr:from>
        <xdr:to>
          <xdr:col>5</xdr:col>
          <xdr:colOff>273050</xdr:colOff>
          <xdr:row>19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QB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V20"/>
  <sheetViews>
    <sheetView workbookViewId="0">
      <selection activeCell="B10" sqref="B10"/>
    </sheetView>
  </sheetViews>
  <sheetFormatPr defaultRowHeight="14.5" x14ac:dyDescent="0.35"/>
  <cols>
    <col min="1" max="1" width="18.6328125" customWidth="1"/>
    <col min="2" max="2" width="10.453125" bestFit="1" customWidth="1"/>
    <col min="15" max="15" width="10.453125" bestFit="1" customWidth="1"/>
  </cols>
  <sheetData>
    <row r="1" spans="1:22" x14ac:dyDescent="0.3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 t="s">
        <v>54</v>
      </c>
      <c r="P1" s="4"/>
      <c r="Q1" s="4"/>
      <c r="R1" s="3"/>
      <c r="S1" s="3"/>
    </row>
    <row r="2" spans="1:22" ht="28.5" x14ac:dyDescent="0.65">
      <c r="A2" s="3"/>
      <c r="B2" s="4"/>
      <c r="C2" s="6" t="s">
        <v>53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>
        <v>43811</v>
      </c>
      <c r="P2" s="4"/>
      <c r="Q2" s="4"/>
      <c r="R2" s="3"/>
      <c r="S2" s="3"/>
    </row>
    <row r="3" spans="1:22" x14ac:dyDescent="0.35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 t="s">
        <v>55</v>
      </c>
      <c r="P3" s="4"/>
      <c r="Q3" s="4"/>
      <c r="R3" s="3"/>
      <c r="S3" s="3"/>
    </row>
    <row r="4" spans="1:22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3"/>
      <c r="S4" s="3"/>
    </row>
    <row r="5" spans="1:22" ht="26" customHeight="1" x14ac:dyDescent="0.35">
      <c r="A5" s="3"/>
      <c r="B5" s="4" t="s">
        <v>0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3"/>
      <c r="S5" s="3"/>
    </row>
    <row r="6" spans="1:22" ht="26" hidden="1" customHeight="1" x14ac:dyDescent="0.35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3"/>
      <c r="S6" s="3"/>
    </row>
    <row r="7" spans="1:22" ht="26" hidden="1" customHeight="1" x14ac:dyDescent="0.35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3"/>
      <c r="S7" s="3"/>
    </row>
    <row r="8" spans="1:22" x14ac:dyDescent="0.35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3"/>
      <c r="S8" s="3"/>
    </row>
    <row r="9" spans="1:22" x14ac:dyDescent="0.35">
      <c r="A9" s="3"/>
      <c r="B9" s="4" t="s">
        <v>56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3"/>
      <c r="S9" s="3"/>
    </row>
    <row r="10" spans="1:22" x14ac:dyDescent="0.35">
      <c r="A10" s="3"/>
      <c r="B10" s="7">
        <v>43756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22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</row>
    <row r="12" spans="1:22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125"/>
      <c r="L12" s="125" t="s">
        <v>256</v>
      </c>
      <c r="M12" s="126" t="s">
        <v>246</v>
      </c>
      <c r="N12" s="125" t="s">
        <v>244</v>
      </c>
      <c r="O12" s="126" t="s">
        <v>247</v>
      </c>
      <c r="P12" s="125" t="s">
        <v>249</v>
      </c>
      <c r="Q12" s="125"/>
      <c r="R12" s="125"/>
      <c r="S12" s="125"/>
      <c r="T12" s="127" t="s">
        <v>252</v>
      </c>
      <c r="U12" s="125"/>
      <c r="V12" s="125"/>
    </row>
    <row r="13" spans="1:22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125"/>
      <c r="L13" s="125"/>
      <c r="M13" s="126"/>
      <c r="N13" s="125"/>
      <c r="O13" s="125"/>
      <c r="P13" s="125" t="s">
        <v>248</v>
      </c>
      <c r="Q13" s="125"/>
      <c r="R13" s="125"/>
      <c r="S13" s="125"/>
      <c r="T13" s="127" t="s">
        <v>252</v>
      </c>
      <c r="U13" s="125"/>
      <c r="V13" s="125"/>
    </row>
    <row r="14" spans="1:22" x14ac:dyDescent="0.35">
      <c r="A14" s="3"/>
      <c r="B14" s="4" t="s">
        <v>257</v>
      </c>
      <c r="C14" s="3"/>
      <c r="D14" s="3"/>
      <c r="E14" s="3"/>
      <c r="F14" s="3"/>
      <c r="G14" s="3"/>
      <c r="H14" s="3"/>
      <c r="I14" s="3"/>
      <c r="J14" s="3"/>
      <c r="K14" s="125"/>
      <c r="L14" s="125"/>
      <c r="M14" s="125"/>
      <c r="N14" s="125"/>
      <c r="O14" s="125"/>
      <c r="P14" s="125"/>
      <c r="Q14" s="125"/>
      <c r="R14" s="125"/>
      <c r="S14" s="125"/>
      <c r="T14" s="127" t="s">
        <v>253</v>
      </c>
      <c r="U14" s="125"/>
      <c r="V14" s="125"/>
    </row>
    <row r="15" spans="1:22" x14ac:dyDescent="0.35">
      <c r="A15" s="3"/>
      <c r="B15" s="7">
        <v>43742</v>
      </c>
      <c r="C15" s="3"/>
      <c r="D15" s="3"/>
      <c r="E15" s="3"/>
      <c r="F15" s="3"/>
      <c r="G15" s="3"/>
      <c r="H15" s="3"/>
      <c r="I15" s="3"/>
      <c r="J15" s="3"/>
      <c r="K15" s="125"/>
      <c r="L15" s="125"/>
      <c r="M15" s="125"/>
      <c r="N15" s="125"/>
      <c r="O15" s="125"/>
      <c r="P15" s="125" t="s">
        <v>255</v>
      </c>
      <c r="Q15" s="125"/>
      <c r="R15" s="126" t="s">
        <v>254</v>
      </c>
      <c r="S15" s="125"/>
      <c r="T15" s="125" t="s">
        <v>250</v>
      </c>
      <c r="U15" s="125"/>
      <c r="V15" s="125"/>
    </row>
    <row r="16" spans="1:22" x14ac:dyDescent="0.35">
      <c r="A16" s="3"/>
      <c r="B16" s="7">
        <v>43756</v>
      </c>
      <c r="C16" s="3"/>
      <c r="D16" s="3"/>
      <c r="E16" s="3"/>
      <c r="F16" s="3"/>
      <c r="G16" s="3"/>
      <c r="H16" s="3"/>
      <c r="I16" s="3"/>
      <c r="J16" s="3"/>
      <c r="K16" s="125"/>
      <c r="L16" s="125"/>
      <c r="M16" s="125"/>
      <c r="N16" s="125"/>
      <c r="O16" s="125"/>
      <c r="P16" s="125"/>
      <c r="Q16" s="125"/>
      <c r="R16" s="125"/>
      <c r="S16" s="125"/>
      <c r="T16" s="125" t="s">
        <v>251</v>
      </c>
      <c r="U16" s="125"/>
      <c r="V16" s="125"/>
    </row>
    <row r="17" spans="1:22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</row>
    <row r="18" spans="1:22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</row>
    <row r="19" spans="1:22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22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381000</xdr:colOff>
                    <xdr:row>8</xdr:row>
                    <xdr:rowOff>57150</xdr:rowOff>
                  </from>
                  <to>
                    <xdr:col>4</xdr:col>
                    <xdr:colOff>273050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ile_Click">
                <anchor moveWithCells="1" sizeWithCells="1">
                  <from>
                    <xdr:col>0</xdr:col>
                    <xdr:colOff>1295400</xdr:colOff>
                    <xdr:row>3</xdr:row>
                    <xdr:rowOff>6350</xdr:rowOff>
                  </from>
                  <to>
                    <xdr:col>2</xdr:col>
                    <xdr:colOff>463550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llocateSalariesToClasses_Click">
                <anchor moveWithCells="1" sizeWithCells="1">
                  <from>
                    <xdr:col>2</xdr:col>
                    <xdr:colOff>361950</xdr:colOff>
                    <xdr:row>13</xdr:row>
                    <xdr:rowOff>171450</xdr:rowOff>
                  </from>
                  <to>
                    <xdr:col>5</xdr:col>
                    <xdr:colOff>285750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AggregateSalaries_click">
                <anchor moveWithCells="1" sizeWithCells="1">
                  <from>
                    <xdr:col>5</xdr:col>
                    <xdr:colOff>577850</xdr:colOff>
                    <xdr:row>13</xdr:row>
                    <xdr:rowOff>171450</xdr:rowOff>
                  </from>
                  <to>
                    <xdr:col>8</xdr:col>
                    <xdr:colOff>501650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reateQBUpload_Click">
                <anchor moveWithCells="1" sizeWithCells="1">
                  <from>
                    <xdr:col>2</xdr:col>
                    <xdr:colOff>349250</xdr:colOff>
                    <xdr:row>17</xdr:row>
                    <xdr:rowOff>38100</xdr:rowOff>
                  </from>
                  <to>
                    <xdr:col>5</xdr:col>
                    <xdr:colOff>273050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SV"/>
  <dimension ref="A1:I247"/>
  <sheetViews>
    <sheetView workbookViewId="0">
      <selection activeCell="I132" sqref="I132"/>
    </sheetView>
  </sheetViews>
  <sheetFormatPr defaultRowHeight="14.5" x14ac:dyDescent="0.35"/>
  <cols>
    <col min="4" max="4" width="10.453125" bestFit="1" customWidth="1"/>
  </cols>
  <sheetData>
    <row r="1" spans="1:9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</row>
    <row r="2" spans="1:9" x14ac:dyDescent="0.35">
      <c r="A2" t="s">
        <v>10</v>
      </c>
      <c r="B2" t="s">
        <v>11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</row>
    <row r="3" spans="1:9" x14ac:dyDescent="0.35">
      <c r="A3" t="s">
        <v>12</v>
      </c>
    </row>
    <row r="4" spans="1:9" x14ac:dyDescent="0.35">
      <c r="A4" t="s">
        <v>13</v>
      </c>
      <c r="C4" t="s">
        <v>14</v>
      </c>
      <c r="D4" s="1">
        <v>43756</v>
      </c>
      <c r="E4" t="s">
        <v>260</v>
      </c>
      <c r="F4" t="s">
        <v>23</v>
      </c>
      <c r="G4">
        <v>117.59</v>
      </c>
      <c r="I4" t="s">
        <v>15</v>
      </c>
    </row>
    <row r="5" spans="1:9" x14ac:dyDescent="0.35">
      <c r="A5" t="s">
        <v>16</v>
      </c>
      <c r="C5" t="s">
        <v>14</v>
      </c>
      <c r="D5" s="1">
        <v>43756</v>
      </c>
      <c r="E5" t="s">
        <v>260</v>
      </c>
      <c r="F5" t="s">
        <v>23</v>
      </c>
      <c r="G5">
        <v>0</v>
      </c>
      <c r="I5" t="s">
        <v>15</v>
      </c>
    </row>
    <row r="6" spans="1:9" x14ac:dyDescent="0.35">
      <c r="A6" t="s">
        <v>16</v>
      </c>
      <c r="C6" t="s">
        <v>14</v>
      </c>
      <c r="D6" s="1">
        <v>43756</v>
      </c>
      <c r="E6" t="s">
        <v>261</v>
      </c>
      <c r="F6" t="s">
        <v>24</v>
      </c>
      <c r="G6">
        <v>127.34</v>
      </c>
      <c r="I6" t="s">
        <v>15</v>
      </c>
    </row>
    <row r="7" spans="1:9" x14ac:dyDescent="0.35">
      <c r="A7" t="s">
        <v>16</v>
      </c>
      <c r="C7" t="s">
        <v>14</v>
      </c>
      <c r="D7" s="1">
        <v>43756</v>
      </c>
      <c r="E7" t="s">
        <v>261</v>
      </c>
      <c r="F7" t="s">
        <v>24</v>
      </c>
      <c r="G7">
        <v>0</v>
      </c>
      <c r="I7" t="s">
        <v>15</v>
      </c>
    </row>
    <row r="8" spans="1:9" x14ac:dyDescent="0.35">
      <c r="A8" t="s">
        <v>16</v>
      </c>
      <c r="C8" t="s">
        <v>14</v>
      </c>
      <c r="D8" s="1">
        <v>43756</v>
      </c>
      <c r="E8" s="2" t="s">
        <v>49</v>
      </c>
      <c r="G8">
        <v>217.81</v>
      </c>
      <c r="I8" t="s">
        <v>15</v>
      </c>
    </row>
    <row r="9" spans="1:9" x14ac:dyDescent="0.35">
      <c r="A9" t="s">
        <v>16</v>
      </c>
      <c r="C9" t="s">
        <v>14</v>
      </c>
      <c r="D9" s="1">
        <v>43756</v>
      </c>
      <c r="E9" s="2" t="s">
        <v>49</v>
      </c>
      <c r="G9">
        <v>0</v>
      </c>
      <c r="I9" t="s">
        <v>15</v>
      </c>
    </row>
    <row r="10" spans="1:9" x14ac:dyDescent="0.35">
      <c r="A10" t="s">
        <v>16</v>
      </c>
      <c r="C10" t="s">
        <v>14</v>
      </c>
      <c r="D10" s="1">
        <v>43756</v>
      </c>
      <c r="E10" t="s">
        <v>262</v>
      </c>
      <c r="F10" t="s">
        <v>25</v>
      </c>
      <c r="G10">
        <v>133.47</v>
      </c>
      <c r="I10" t="s">
        <v>15</v>
      </c>
    </row>
    <row r="11" spans="1:9" x14ac:dyDescent="0.35">
      <c r="A11" t="s">
        <v>16</v>
      </c>
      <c r="C11" t="s">
        <v>14</v>
      </c>
      <c r="D11" s="1">
        <v>43756</v>
      </c>
      <c r="E11" t="s">
        <v>262</v>
      </c>
      <c r="F11" t="s">
        <v>25</v>
      </c>
      <c r="G11">
        <v>0</v>
      </c>
      <c r="I11" t="s">
        <v>15</v>
      </c>
    </row>
    <row r="12" spans="1:9" x14ac:dyDescent="0.35">
      <c r="A12" t="s">
        <v>16</v>
      </c>
      <c r="C12" t="s">
        <v>14</v>
      </c>
      <c r="D12" s="1">
        <v>43756</v>
      </c>
      <c r="E12" t="s">
        <v>263</v>
      </c>
      <c r="F12" t="s">
        <v>26</v>
      </c>
      <c r="G12">
        <v>55.91</v>
      </c>
      <c r="I12" t="s">
        <v>15</v>
      </c>
    </row>
    <row r="13" spans="1:9" x14ac:dyDescent="0.35">
      <c r="A13" t="s">
        <v>16</v>
      </c>
      <c r="C13" t="s">
        <v>14</v>
      </c>
      <c r="D13" s="1">
        <v>43756</v>
      </c>
      <c r="E13" t="s">
        <v>263</v>
      </c>
      <c r="F13" t="s">
        <v>26</v>
      </c>
      <c r="G13">
        <v>0</v>
      </c>
      <c r="I13" t="s">
        <v>15</v>
      </c>
    </row>
    <row r="14" spans="1:9" x14ac:dyDescent="0.35">
      <c r="A14" t="s">
        <v>16</v>
      </c>
      <c r="C14" t="s">
        <v>14</v>
      </c>
      <c r="D14" s="1">
        <v>43756</v>
      </c>
      <c r="E14" t="s">
        <v>264</v>
      </c>
      <c r="F14" t="s">
        <v>27</v>
      </c>
      <c r="G14">
        <v>59.43</v>
      </c>
      <c r="I14" t="s">
        <v>15</v>
      </c>
    </row>
    <row r="15" spans="1:9" x14ac:dyDescent="0.35">
      <c r="A15" t="s">
        <v>16</v>
      </c>
      <c r="C15" t="s">
        <v>14</v>
      </c>
      <c r="D15" s="1">
        <v>43756</v>
      </c>
      <c r="E15" t="s">
        <v>264</v>
      </c>
      <c r="F15" t="s">
        <v>27</v>
      </c>
      <c r="G15">
        <v>0</v>
      </c>
      <c r="I15" t="s">
        <v>15</v>
      </c>
    </row>
    <row r="16" spans="1:9" x14ac:dyDescent="0.35">
      <c r="A16" t="s">
        <v>16</v>
      </c>
      <c r="C16" t="s">
        <v>14</v>
      </c>
      <c r="D16" s="1">
        <v>43756</v>
      </c>
      <c r="E16" t="s">
        <v>265</v>
      </c>
      <c r="F16" t="s">
        <v>28</v>
      </c>
      <c r="G16">
        <v>194.15</v>
      </c>
      <c r="I16" t="s">
        <v>15</v>
      </c>
    </row>
    <row r="17" spans="1:9" x14ac:dyDescent="0.35">
      <c r="A17" t="s">
        <v>16</v>
      </c>
      <c r="C17" t="s">
        <v>14</v>
      </c>
      <c r="D17" s="1">
        <v>43756</v>
      </c>
      <c r="E17" t="s">
        <v>265</v>
      </c>
      <c r="F17" t="s">
        <v>28</v>
      </c>
      <c r="G17">
        <v>0</v>
      </c>
      <c r="I17" t="s">
        <v>15</v>
      </c>
    </row>
    <row r="18" spans="1:9" x14ac:dyDescent="0.35">
      <c r="A18" t="s">
        <v>16</v>
      </c>
      <c r="C18" t="s">
        <v>14</v>
      </c>
      <c r="D18" s="1">
        <v>43756</v>
      </c>
      <c r="E18" t="s">
        <v>266</v>
      </c>
      <c r="F18" t="s">
        <v>29</v>
      </c>
      <c r="G18">
        <v>197.56</v>
      </c>
      <c r="I18" t="s">
        <v>15</v>
      </c>
    </row>
    <row r="19" spans="1:9" x14ac:dyDescent="0.35">
      <c r="A19" t="s">
        <v>16</v>
      </c>
      <c r="C19" t="s">
        <v>14</v>
      </c>
      <c r="D19" s="1">
        <v>43756</v>
      </c>
      <c r="E19" t="s">
        <v>266</v>
      </c>
      <c r="F19" t="s">
        <v>29</v>
      </c>
      <c r="G19">
        <v>0</v>
      </c>
      <c r="I19" t="s">
        <v>15</v>
      </c>
    </row>
    <row r="20" spans="1:9" x14ac:dyDescent="0.35">
      <c r="A20" t="s">
        <v>16</v>
      </c>
      <c r="C20" t="s">
        <v>14</v>
      </c>
      <c r="D20" s="1">
        <v>43756</v>
      </c>
      <c r="E20" t="s">
        <v>267</v>
      </c>
      <c r="F20" t="s">
        <v>30</v>
      </c>
      <c r="G20">
        <v>122.89</v>
      </c>
      <c r="I20" t="s">
        <v>15</v>
      </c>
    </row>
    <row r="21" spans="1:9" x14ac:dyDescent="0.35">
      <c r="A21" t="s">
        <v>16</v>
      </c>
      <c r="C21" t="s">
        <v>14</v>
      </c>
      <c r="D21" s="1">
        <v>43756</v>
      </c>
      <c r="E21" t="s">
        <v>267</v>
      </c>
      <c r="F21" t="s">
        <v>30</v>
      </c>
      <c r="G21">
        <v>0</v>
      </c>
      <c r="I21" t="s">
        <v>15</v>
      </c>
    </row>
    <row r="22" spans="1:9" x14ac:dyDescent="0.35">
      <c r="A22" t="s">
        <v>16</v>
      </c>
      <c r="C22" t="s">
        <v>14</v>
      </c>
      <c r="D22" s="1">
        <v>43756</v>
      </c>
      <c r="E22" t="s">
        <v>268</v>
      </c>
      <c r="F22" t="s">
        <v>31</v>
      </c>
      <c r="G22">
        <v>240.96</v>
      </c>
      <c r="I22" t="s">
        <v>15</v>
      </c>
    </row>
    <row r="23" spans="1:9" x14ac:dyDescent="0.35">
      <c r="A23" t="s">
        <v>16</v>
      </c>
      <c r="C23" t="s">
        <v>14</v>
      </c>
      <c r="D23" s="1">
        <v>43756</v>
      </c>
      <c r="E23" t="s">
        <v>268</v>
      </c>
      <c r="F23" t="s">
        <v>31</v>
      </c>
      <c r="G23">
        <v>0</v>
      </c>
      <c r="I23" t="s">
        <v>15</v>
      </c>
    </row>
    <row r="24" spans="1:9" x14ac:dyDescent="0.35">
      <c r="A24" t="s">
        <v>16</v>
      </c>
      <c r="C24" t="s">
        <v>14</v>
      </c>
      <c r="D24" s="1">
        <v>43756</v>
      </c>
      <c r="E24" t="s">
        <v>269</v>
      </c>
      <c r="F24" t="s">
        <v>32</v>
      </c>
      <c r="G24">
        <v>159.65</v>
      </c>
      <c r="I24" t="s">
        <v>15</v>
      </c>
    </row>
    <row r="25" spans="1:9" x14ac:dyDescent="0.35">
      <c r="A25" t="s">
        <v>16</v>
      </c>
      <c r="C25" t="s">
        <v>14</v>
      </c>
      <c r="D25" s="1">
        <v>43756</v>
      </c>
      <c r="E25" t="s">
        <v>269</v>
      </c>
      <c r="F25" t="s">
        <v>32</v>
      </c>
      <c r="G25">
        <v>0</v>
      </c>
      <c r="I25" t="s">
        <v>15</v>
      </c>
    </row>
    <row r="26" spans="1:9" x14ac:dyDescent="0.35">
      <c r="A26" t="s">
        <v>16</v>
      </c>
      <c r="C26" t="s">
        <v>14</v>
      </c>
      <c r="D26" s="1">
        <v>43756</v>
      </c>
      <c r="E26" t="s">
        <v>17</v>
      </c>
      <c r="F26" t="s">
        <v>50</v>
      </c>
      <c r="G26">
        <v>64.52</v>
      </c>
      <c r="I26" t="s">
        <v>15</v>
      </c>
    </row>
    <row r="27" spans="1:9" x14ac:dyDescent="0.35">
      <c r="A27" t="s">
        <v>16</v>
      </c>
      <c r="C27" t="s">
        <v>14</v>
      </c>
      <c r="D27" s="1">
        <v>43756</v>
      </c>
      <c r="E27" t="s">
        <v>17</v>
      </c>
      <c r="F27" t="s">
        <v>50</v>
      </c>
      <c r="G27">
        <v>0</v>
      </c>
      <c r="I27" t="s">
        <v>15</v>
      </c>
    </row>
    <row r="28" spans="1:9" x14ac:dyDescent="0.35">
      <c r="A28" t="s">
        <v>16</v>
      </c>
      <c r="C28" t="s">
        <v>14</v>
      </c>
      <c r="D28" s="1">
        <v>43756</v>
      </c>
      <c r="E28" t="s">
        <v>270</v>
      </c>
      <c r="F28" t="s">
        <v>33</v>
      </c>
      <c r="G28">
        <v>92.82</v>
      </c>
      <c r="I28" t="s">
        <v>15</v>
      </c>
    </row>
    <row r="29" spans="1:9" x14ac:dyDescent="0.35">
      <c r="A29" t="s">
        <v>16</v>
      </c>
      <c r="C29" t="s">
        <v>14</v>
      </c>
      <c r="D29" s="1">
        <v>43756</v>
      </c>
      <c r="E29" t="s">
        <v>270</v>
      </c>
      <c r="F29" t="s">
        <v>33</v>
      </c>
      <c r="G29">
        <v>0</v>
      </c>
      <c r="I29" t="s">
        <v>15</v>
      </c>
    </row>
    <row r="30" spans="1:9" x14ac:dyDescent="0.35">
      <c r="A30" t="s">
        <v>16</v>
      </c>
      <c r="C30" t="s">
        <v>14</v>
      </c>
      <c r="D30" s="1">
        <v>43756</v>
      </c>
      <c r="E30" t="s">
        <v>271</v>
      </c>
      <c r="F30" t="s">
        <v>34</v>
      </c>
      <c r="G30">
        <v>31.55</v>
      </c>
      <c r="I30" t="s">
        <v>15</v>
      </c>
    </row>
    <row r="31" spans="1:9" x14ac:dyDescent="0.35">
      <c r="A31" t="s">
        <v>16</v>
      </c>
      <c r="C31" t="s">
        <v>14</v>
      </c>
      <c r="D31" s="1">
        <v>43756</v>
      </c>
      <c r="E31" t="s">
        <v>271</v>
      </c>
      <c r="F31" t="s">
        <v>34</v>
      </c>
      <c r="G31">
        <v>0</v>
      </c>
      <c r="I31" t="s">
        <v>15</v>
      </c>
    </row>
    <row r="32" spans="1:9" x14ac:dyDescent="0.35">
      <c r="A32" t="s">
        <v>16</v>
      </c>
      <c r="C32" t="s">
        <v>14</v>
      </c>
      <c r="D32" s="1">
        <v>43756</v>
      </c>
      <c r="E32" t="s">
        <v>272</v>
      </c>
      <c r="F32" t="s">
        <v>35</v>
      </c>
      <c r="G32">
        <v>72.650000000000006</v>
      </c>
      <c r="I32" t="s">
        <v>15</v>
      </c>
    </row>
    <row r="33" spans="1:9" x14ac:dyDescent="0.35">
      <c r="A33" t="s">
        <v>16</v>
      </c>
      <c r="C33" t="s">
        <v>14</v>
      </c>
      <c r="D33" s="1">
        <v>43756</v>
      </c>
      <c r="E33" t="s">
        <v>272</v>
      </c>
      <c r="F33" t="s">
        <v>35</v>
      </c>
      <c r="G33">
        <v>0</v>
      </c>
      <c r="I33" t="s">
        <v>15</v>
      </c>
    </row>
    <row r="34" spans="1:9" x14ac:dyDescent="0.35">
      <c r="A34" t="s">
        <v>16</v>
      </c>
      <c r="C34" t="s">
        <v>14</v>
      </c>
      <c r="D34" s="1">
        <v>43756</v>
      </c>
      <c r="E34" t="s">
        <v>273</v>
      </c>
      <c r="F34" t="s">
        <v>36</v>
      </c>
      <c r="G34">
        <v>80.61</v>
      </c>
      <c r="I34" t="s">
        <v>15</v>
      </c>
    </row>
    <row r="35" spans="1:9" x14ac:dyDescent="0.35">
      <c r="A35" t="s">
        <v>16</v>
      </c>
      <c r="C35" t="s">
        <v>14</v>
      </c>
      <c r="D35" s="1">
        <v>43756</v>
      </c>
      <c r="E35" t="s">
        <v>273</v>
      </c>
      <c r="F35" t="s">
        <v>36</v>
      </c>
      <c r="G35">
        <v>0</v>
      </c>
      <c r="I35" t="s">
        <v>15</v>
      </c>
    </row>
    <row r="36" spans="1:9" x14ac:dyDescent="0.35">
      <c r="A36" t="s">
        <v>16</v>
      </c>
      <c r="C36" t="s">
        <v>14</v>
      </c>
      <c r="D36" s="1">
        <v>43756</v>
      </c>
      <c r="E36" t="s">
        <v>274</v>
      </c>
      <c r="F36" t="s">
        <v>37</v>
      </c>
      <c r="G36">
        <v>150.72999999999999</v>
      </c>
      <c r="I36" t="s">
        <v>15</v>
      </c>
    </row>
    <row r="37" spans="1:9" x14ac:dyDescent="0.35">
      <c r="A37" t="s">
        <v>16</v>
      </c>
      <c r="C37" t="s">
        <v>14</v>
      </c>
      <c r="D37" s="1">
        <v>43756</v>
      </c>
      <c r="E37" t="s">
        <v>274</v>
      </c>
      <c r="F37" t="s">
        <v>37</v>
      </c>
      <c r="G37">
        <v>0</v>
      </c>
      <c r="I37" t="s">
        <v>15</v>
      </c>
    </row>
    <row r="38" spans="1:9" x14ac:dyDescent="0.35">
      <c r="A38" t="s">
        <v>16</v>
      </c>
      <c r="C38" t="s">
        <v>14</v>
      </c>
      <c r="D38" s="1">
        <v>43756</v>
      </c>
      <c r="E38" t="s">
        <v>275</v>
      </c>
      <c r="F38" t="s">
        <v>35</v>
      </c>
      <c r="G38">
        <v>169.52</v>
      </c>
      <c r="I38" t="s">
        <v>15</v>
      </c>
    </row>
    <row r="39" spans="1:9" x14ac:dyDescent="0.35">
      <c r="A39" t="s">
        <v>16</v>
      </c>
      <c r="C39" t="s">
        <v>14</v>
      </c>
      <c r="D39" s="1">
        <v>43756</v>
      </c>
      <c r="E39" t="s">
        <v>275</v>
      </c>
      <c r="F39" t="s">
        <v>35</v>
      </c>
      <c r="G39">
        <v>0</v>
      </c>
      <c r="I39" t="s">
        <v>15</v>
      </c>
    </row>
    <row r="40" spans="1:9" x14ac:dyDescent="0.35">
      <c r="A40" t="s">
        <v>16</v>
      </c>
      <c r="C40" t="s">
        <v>14</v>
      </c>
      <c r="D40" s="1">
        <v>43756</v>
      </c>
      <c r="E40" t="s">
        <v>276</v>
      </c>
      <c r="F40" t="s">
        <v>38</v>
      </c>
      <c r="G40">
        <v>100.73</v>
      </c>
      <c r="I40" t="s">
        <v>15</v>
      </c>
    </row>
    <row r="41" spans="1:9" x14ac:dyDescent="0.35">
      <c r="A41" t="s">
        <v>16</v>
      </c>
      <c r="C41" t="s">
        <v>14</v>
      </c>
      <c r="D41" s="1">
        <v>43756</v>
      </c>
      <c r="E41" t="s">
        <v>276</v>
      </c>
      <c r="F41" t="s">
        <v>38</v>
      </c>
      <c r="G41">
        <v>0</v>
      </c>
      <c r="I41" t="s">
        <v>15</v>
      </c>
    </row>
    <row r="42" spans="1:9" x14ac:dyDescent="0.35">
      <c r="A42" t="s">
        <v>16</v>
      </c>
      <c r="C42" t="s">
        <v>14</v>
      </c>
      <c r="D42" s="1">
        <v>43756</v>
      </c>
      <c r="E42" t="s">
        <v>277</v>
      </c>
      <c r="F42" t="s">
        <v>39</v>
      </c>
      <c r="G42">
        <v>75.33</v>
      </c>
      <c r="I42" t="s">
        <v>15</v>
      </c>
    </row>
    <row r="43" spans="1:9" x14ac:dyDescent="0.35">
      <c r="A43" t="s">
        <v>16</v>
      </c>
      <c r="C43" t="s">
        <v>14</v>
      </c>
      <c r="D43" s="1">
        <v>43756</v>
      </c>
      <c r="E43" t="s">
        <v>277</v>
      </c>
      <c r="F43" t="s">
        <v>39</v>
      </c>
      <c r="G43">
        <v>0</v>
      </c>
      <c r="I43" t="s">
        <v>15</v>
      </c>
    </row>
    <row r="44" spans="1:9" x14ac:dyDescent="0.35">
      <c r="A44" t="s">
        <v>16</v>
      </c>
      <c r="C44" t="s">
        <v>14</v>
      </c>
      <c r="D44" s="1">
        <v>43756</v>
      </c>
      <c r="E44" t="s">
        <v>278</v>
      </c>
      <c r="F44" t="s">
        <v>40</v>
      </c>
      <c r="G44">
        <v>183.7</v>
      </c>
      <c r="I44" t="s">
        <v>15</v>
      </c>
    </row>
    <row r="45" spans="1:9" x14ac:dyDescent="0.35">
      <c r="A45" t="s">
        <v>16</v>
      </c>
      <c r="C45" t="s">
        <v>14</v>
      </c>
      <c r="D45" s="1">
        <v>43756</v>
      </c>
      <c r="E45" t="s">
        <v>278</v>
      </c>
      <c r="F45" t="s">
        <v>40</v>
      </c>
      <c r="G45">
        <v>0</v>
      </c>
      <c r="I45" t="s">
        <v>15</v>
      </c>
    </row>
    <row r="46" spans="1:9" x14ac:dyDescent="0.35">
      <c r="A46" t="s">
        <v>16</v>
      </c>
      <c r="C46" t="s">
        <v>14</v>
      </c>
      <c r="D46" s="1">
        <v>43756</v>
      </c>
      <c r="E46" t="s">
        <v>279</v>
      </c>
      <c r="F46" t="s">
        <v>41</v>
      </c>
      <c r="G46">
        <v>160.77000000000001</v>
      </c>
      <c r="I46" t="s">
        <v>15</v>
      </c>
    </row>
    <row r="47" spans="1:9" x14ac:dyDescent="0.35">
      <c r="A47" t="s">
        <v>16</v>
      </c>
      <c r="C47" t="s">
        <v>14</v>
      </c>
      <c r="D47" s="1">
        <v>43756</v>
      </c>
      <c r="E47" t="s">
        <v>279</v>
      </c>
      <c r="F47" t="s">
        <v>41</v>
      </c>
      <c r="G47">
        <v>0</v>
      </c>
      <c r="I47" t="s">
        <v>15</v>
      </c>
    </row>
    <row r="48" spans="1:9" x14ac:dyDescent="0.35">
      <c r="A48" t="s">
        <v>16</v>
      </c>
      <c r="C48" t="s">
        <v>14</v>
      </c>
      <c r="D48" s="1">
        <v>43756</v>
      </c>
      <c r="E48" t="s">
        <v>280</v>
      </c>
      <c r="F48" t="s">
        <v>42</v>
      </c>
      <c r="G48">
        <v>241.27</v>
      </c>
      <c r="I48" t="s">
        <v>15</v>
      </c>
    </row>
    <row r="49" spans="1:9" x14ac:dyDescent="0.35">
      <c r="A49" t="s">
        <v>16</v>
      </c>
      <c r="C49" t="s">
        <v>14</v>
      </c>
      <c r="D49" s="1">
        <v>43756</v>
      </c>
      <c r="E49" t="s">
        <v>280</v>
      </c>
      <c r="F49" t="s">
        <v>42</v>
      </c>
      <c r="G49">
        <v>0</v>
      </c>
      <c r="I49" t="s">
        <v>15</v>
      </c>
    </row>
    <row r="50" spans="1:9" x14ac:dyDescent="0.35">
      <c r="A50" t="s">
        <v>16</v>
      </c>
      <c r="C50" t="s">
        <v>14</v>
      </c>
      <c r="D50" s="1">
        <v>43756</v>
      </c>
      <c r="E50" t="s">
        <v>281</v>
      </c>
      <c r="F50" t="s">
        <v>43</v>
      </c>
      <c r="G50">
        <v>133.78</v>
      </c>
      <c r="I50" t="s">
        <v>15</v>
      </c>
    </row>
    <row r="51" spans="1:9" x14ac:dyDescent="0.35">
      <c r="A51" t="s">
        <v>16</v>
      </c>
      <c r="C51" t="s">
        <v>14</v>
      </c>
      <c r="D51" s="1">
        <v>43756</v>
      </c>
      <c r="E51" t="s">
        <v>281</v>
      </c>
      <c r="F51" t="s">
        <v>43</v>
      </c>
      <c r="G51">
        <v>0</v>
      </c>
      <c r="I51" t="s">
        <v>15</v>
      </c>
    </row>
    <row r="52" spans="1:9" x14ac:dyDescent="0.35">
      <c r="A52" t="s">
        <v>16</v>
      </c>
      <c r="C52" t="s">
        <v>14</v>
      </c>
      <c r="D52" s="1">
        <v>43756</v>
      </c>
      <c r="E52" t="s">
        <v>282</v>
      </c>
      <c r="F52" t="s">
        <v>44</v>
      </c>
      <c r="G52">
        <v>221.07</v>
      </c>
      <c r="I52" t="s">
        <v>15</v>
      </c>
    </row>
    <row r="53" spans="1:9" x14ac:dyDescent="0.35">
      <c r="A53" t="s">
        <v>16</v>
      </c>
      <c r="C53" t="s">
        <v>14</v>
      </c>
      <c r="D53" s="1">
        <v>43756</v>
      </c>
      <c r="E53" t="s">
        <v>282</v>
      </c>
      <c r="F53" t="s">
        <v>44</v>
      </c>
      <c r="G53">
        <v>0</v>
      </c>
      <c r="I53" t="s">
        <v>15</v>
      </c>
    </row>
    <row r="54" spans="1:9" x14ac:dyDescent="0.35">
      <c r="A54" t="s">
        <v>16</v>
      </c>
      <c r="C54" t="s">
        <v>14</v>
      </c>
      <c r="D54" s="1">
        <v>43756</v>
      </c>
      <c r="E54" t="s">
        <v>283</v>
      </c>
      <c r="F54" t="s">
        <v>45</v>
      </c>
      <c r="G54">
        <v>84.65</v>
      </c>
      <c r="I54" t="s">
        <v>15</v>
      </c>
    </row>
    <row r="55" spans="1:9" x14ac:dyDescent="0.35">
      <c r="A55" t="s">
        <v>16</v>
      </c>
      <c r="C55" t="s">
        <v>14</v>
      </c>
      <c r="D55" s="1">
        <v>43756</v>
      </c>
      <c r="E55" t="s">
        <v>283</v>
      </c>
      <c r="F55" t="s">
        <v>45</v>
      </c>
      <c r="G55">
        <v>0</v>
      </c>
      <c r="I55" t="s">
        <v>15</v>
      </c>
    </row>
    <row r="56" spans="1:9" x14ac:dyDescent="0.35">
      <c r="A56" t="s">
        <v>16</v>
      </c>
      <c r="C56" t="s">
        <v>14</v>
      </c>
      <c r="D56" s="1">
        <v>43756</v>
      </c>
      <c r="E56" t="s">
        <v>284</v>
      </c>
      <c r="F56" t="s">
        <v>46</v>
      </c>
      <c r="G56">
        <v>253.47</v>
      </c>
      <c r="I56" t="s">
        <v>15</v>
      </c>
    </row>
    <row r="57" spans="1:9" x14ac:dyDescent="0.35">
      <c r="A57" t="s">
        <v>16</v>
      </c>
      <c r="C57" t="s">
        <v>14</v>
      </c>
      <c r="D57" s="1">
        <v>43756</v>
      </c>
      <c r="E57" t="s">
        <v>284</v>
      </c>
      <c r="F57" t="s">
        <v>46</v>
      </c>
      <c r="G57">
        <v>0</v>
      </c>
      <c r="I57" t="s">
        <v>15</v>
      </c>
    </row>
    <row r="58" spans="1:9" x14ac:dyDescent="0.35">
      <c r="A58" t="s">
        <v>16</v>
      </c>
      <c r="C58" t="s">
        <v>14</v>
      </c>
      <c r="D58" s="1">
        <v>43756</v>
      </c>
      <c r="E58" s="2" t="s">
        <v>51</v>
      </c>
      <c r="G58">
        <v>160.76</v>
      </c>
      <c r="I58" t="s">
        <v>15</v>
      </c>
    </row>
    <row r="59" spans="1:9" x14ac:dyDescent="0.35">
      <c r="A59" t="s">
        <v>16</v>
      </c>
      <c r="C59" t="s">
        <v>14</v>
      </c>
      <c r="D59" s="1">
        <v>43756</v>
      </c>
      <c r="E59" s="2" t="s">
        <v>51</v>
      </c>
      <c r="G59">
        <v>0</v>
      </c>
      <c r="I59" t="s">
        <v>15</v>
      </c>
    </row>
    <row r="60" spans="1:9" x14ac:dyDescent="0.35">
      <c r="A60" t="s">
        <v>16</v>
      </c>
      <c r="C60" t="s">
        <v>14</v>
      </c>
      <c r="D60" s="1">
        <v>43756</v>
      </c>
      <c r="E60" t="s">
        <v>285</v>
      </c>
      <c r="F60" t="s">
        <v>47</v>
      </c>
      <c r="G60">
        <v>449.91</v>
      </c>
      <c r="I60" t="s">
        <v>15</v>
      </c>
    </row>
    <row r="61" spans="1:9" x14ac:dyDescent="0.35">
      <c r="A61" t="s">
        <v>16</v>
      </c>
      <c r="C61" t="s">
        <v>14</v>
      </c>
      <c r="D61" s="1">
        <v>43756</v>
      </c>
      <c r="E61" t="s">
        <v>285</v>
      </c>
      <c r="F61" t="s">
        <v>47</v>
      </c>
      <c r="G61">
        <v>0</v>
      </c>
      <c r="I61" t="s">
        <v>15</v>
      </c>
    </row>
    <row r="62" spans="1:9" x14ac:dyDescent="0.35">
      <c r="A62" t="s">
        <v>16</v>
      </c>
      <c r="C62" t="s">
        <v>14</v>
      </c>
      <c r="D62" s="1">
        <v>43756</v>
      </c>
      <c r="E62" t="s">
        <v>286</v>
      </c>
      <c r="F62" t="s">
        <v>34</v>
      </c>
      <c r="G62">
        <v>283.95999999999998</v>
      </c>
      <c r="I62" t="s">
        <v>15</v>
      </c>
    </row>
    <row r="63" spans="1:9" x14ac:dyDescent="0.35">
      <c r="A63" t="s">
        <v>16</v>
      </c>
      <c r="C63" t="s">
        <v>14</v>
      </c>
      <c r="D63" s="1">
        <v>43756</v>
      </c>
      <c r="E63" t="s">
        <v>286</v>
      </c>
      <c r="F63" t="s">
        <v>34</v>
      </c>
      <c r="G63">
        <v>0</v>
      </c>
      <c r="I63" t="s">
        <v>15</v>
      </c>
    </row>
    <row r="64" spans="1:9" x14ac:dyDescent="0.35">
      <c r="A64" t="s">
        <v>16</v>
      </c>
      <c r="C64" t="s">
        <v>14</v>
      </c>
      <c r="D64" s="1">
        <v>43756</v>
      </c>
      <c r="E64" s="2" t="s">
        <v>52</v>
      </c>
      <c r="G64">
        <v>233.11</v>
      </c>
      <c r="I64" t="s">
        <v>15</v>
      </c>
    </row>
    <row r="65" spans="1:9" x14ac:dyDescent="0.35">
      <c r="A65" t="s">
        <v>16</v>
      </c>
      <c r="C65" t="s">
        <v>14</v>
      </c>
      <c r="D65" s="1">
        <v>43756</v>
      </c>
      <c r="E65" s="2" t="s">
        <v>52</v>
      </c>
      <c r="G65">
        <v>0</v>
      </c>
      <c r="I65" t="s">
        <v>15</v>
      </c>
    </row>
    <row r="66" spans="1:9" x14ac:dyDescent="0.35">
      <c r="A66" t="s">
        <v>16</v>
      </c>
      <c r="C66" t="s">
        <v>14</v>
      </c>
      <c r="D66" s="1">
        <v>43756</v>
      </c>
      <c r="E66" t="s">
        <v>287</v>
      </c>
      <c r="F66" t="s">
        <v>48</v>
      </c>
      <c r="G66">
        <v>67.92</v>
      </c>
      <c r="I66" t="s">
        <v>15</v>
      </c>
    </row>
    <row r="67" spans="1:9" x14ac:dyDescent="0.35">
      <c r="A67" t="s">
        <v>16</v>
      </c>
      <c r="C67" t="s">
        <v>14</v>
      </c>
      <c r="D67" s="1">
        <v>43756</v>
      </c>
      <c r="E67" t="s">
        <v>287</v>
      </c>
      <c r="F67" t="s">
        <v>48</v>
      </c>
      <c r="G67">
        <v>0</v>
      </c>
      <c r="I67" t="s">
        <v>15</v>
      </c>
    </row>
    <row r="68" spans="1:9" x14ac:dyDescent="0.35">
      <c r="A68" t="s">
        <v>16</v>
      </c>
      <c r="C68" t="s">
        <v>14</v>
      </c>
      <c r="D68" s="1">
        <v>43756</v>
      </c>
      <c r="E68" t="s">
        <v>260</v>
      </c>
      <c r="F68" t="s">
        <v>23</v>
      </c>
      <c r="G68">
        <v>-295.18</v>
      </c>
      <c r="I68" t="s">
        <v>18</v>
      </c>
    </row>
    <row r="69" spans="1:9" x14ac:dyDescent="0.35">
      <c r="A69" t="s">
        <v>16</v>
      </c>
      <c r="C69" t="s">
        <v>14</v>
      </c>
      <c r="D69" s="1">
        <v>43756</v>
      </c>
      <c r="E69" t="s">
        <v>260</v>
      </c>
      <c r="F69" t="s">
        <v>23</v>
      </c>
      <c r="G69">
        <v>-50</v>
      </c>
      <c r="I69" t="s">
        <v>19</v>
      </c>
    </row>
    <row r="70" spans="1:9" x14ac:dyDescent="0.35">
      <c r="A70" t="s">
        <v>16</v>
      </c>
      <c r="C70" t="s">
        <v>14</v>
      </c>
      <c r="D70" s="1">
        <v>43756</v>
      </c>
      <c r="E70" t="s">
        <v>261</v>
      </c>
      <c r="F70" t="s">
        <v>24</v>
      </c>
      <c r="G70">
        <v>-156.99</v>
      </c>
      <c r="I70" t="s">
        <v>19</v>
      </c>
    </row>
    <row r="71" spans="1:9" x14ac:dyDescent="0.35">
      <c r="A71" t="s">
        <v>16</v>
      </c>
      <c r="C71" t="s">
        <v>14</v>
      </c>
      <c r="D71" s="1">
        <v>43756</v>
      </c>
      <c r="E71" t="s">
        <v>261</v>
      </c>
      <c r="F71" t="s">
        <v>24</v>
      </c>
      <c r="G71">
        <v>-266.42</v>
      </c>
      <c r="I71" t="s">
        <v>18</v>
      </c>
    </row>
    <row r="72" spans="1:9" x14ac:dyDescent="0.35">
      <c r="A72" t="s">
        <v>16</v>
      </c>
      <c r="C72" t="s">
        <v>14</v>
      </c>
      <c r="D72" s="1">
        <v>43756</v>
      </c>
      <c r="E72" s="2" t="s">
        <v>49</v>
      </c>
      <c r="G72">
        <v>-582.34</v>
      </c>
      <c r="I72" t="s">
        <v>18</v>
      </c>
    </row>
    <row r="73" spans="1:9" x14ac:dyDescent="0.35">
      <c r="A73" t="s">
        <v>16</v>
      </c>
      <c r="C73" t="s">
        <v>14</v>
      </c>
      <c r="D73" s="1">
        <v>43756</v>
      </c>
      <c r="E73" s="2" t="s">
        <v>49</v>
      </c>
      <c r="G73">
        <v>-84.82</v>
      </c>
      <c r="I73" t="s">
        <v>19</v>
      </c>
    </row>
    <row r="74" spans="1:9" x14ac:dyDescent="0.35">
      <c r="A74" t="s">
        <v>16</v>
      </c>
      <c r="C74" t="s">
        <v>14</v>
      </c>
      <c r="D74" s="1">
        <v>43756</v>
      </c>
      <c r="E74" t="s">
        <v>262</v>
      </c>
      <c r="F74" t="s">
        <v>25</v>
      </c>
      <c r="G74">
        <v>-109.32</v>
      </c>
      <c r="I74" t="s">
        <v>19</v>
      </c>
    </row>
    <row r="75" spans="1:9" x14ac:dyDescent="0.35">
      <c r="A75" t="s">
        <v>16</v>
      </c>
      <c r="C75" t="s">
        <v>14</v>
      </c>
      <c r="D75" s="1">
        <v>43756</v>
      </c>
      <c r="E75" t="s">
        <v>262</v>
      </c>
      <c r="F75" t="s">
        <v>25</v>
      </c>
      <c r="G75">
        <v>-328.21</v>
      </c>
      <c r="I75" t="s">
        <v>18</v>
      </c>
    </row>
    <row r="76" spans="1:9" x14ac:dyDescent="0.35">
      <c r="A76" t="s">
        <v>16</v>
      </c>
      <c r="C76" t="s">
        <v>14</v>
      </c>
      <c r="D76" s="1">
        <v>43756</v>
      </c>
      <c r="E76" t="s">
        <v>263</v>
      </c>
      <c r="F76" t="s">
        <v>26</v>
      </c>
      <c r="G76">
        <v>-147.68</v>
      </c>
      <c r="I76" t="s">
        <v>18</v>
      </c>
    </row>
    <row r="77" spans="1:9" x14ac:dyDescent="0.35">
      <c r="A77" t="s">
        <v>16</v>
      </c>
      <c r="C77" t="s">
        <v>14</v>
      </c>
      <c r="D77" s="1">
        <v>43756</v>
      </c>
      <c r="E77" t="s">
        <v>264</v>
      </c>
      <c r="F77" t="s">
        <v>27</v>
      </c>
      <c r="G77">
        <v>-140.82</v>
      </c>
      <c r="I77" t="s">
        <v>18</v>
      </c>
    </row>
    <row r="78" spans="1:9" x14ac:dyDescent="0.35">
      <c r="A78" t="s">
        <v>16</v>
      </c>
      <c r="C78" t="s">
        <v>14</v>
      </c>
      <c r="D78" s="1">
        <v>43756</v>
      </c>
      <c r="E78" t="s">
        <v>265</v>
      </c>
      <c r="F78" t="s">
        <v>28</v>
      </c>
      <c r="G78">
        <v>-283.11</v>
      </c>
      <c r="I78" t="s">
        <v>19</v>
      </c>
    </row>
    <row r="79" spans="1:9" x14ac:dyDescent="0.35">
      <c r="A79" t="s">
        <v>16</v>
      </c>
      <c r="C79" t="s">
        <v>14</v>
      </c>
      <c r="D79" s="1">
        <v>43756</v>
      </c>
      <c r="E79" t="s">
        <v>265</v>
      </c>
      <c r="F79" t="s">
        <v>28</v>
      </c>
      <c r="G79">
        <v>-788.66</v>
      </c>
      <c r="I79" t="s">
        <v>18</v>
      </c>
    </row>
    <row r="80" spans="1:9" x14ac:dyDescent="0.35">
      <c r="A80" t="s">
        <v>16</v>
      </c>
      <c r="C80" t="s">
        <v>14</v>
      </c>
      <c r="D80" s="1">
        <v>43756</v>
      </c>
      <c r="E80" t="s">
        <v>266</v>
      </c>
      <c r="F80" t="s">
        <v>29</v>
      </c>
      <c r="G80">
        <v>-834.38</v>
      </c>
      <c r="I80" t="s">
        <v>18</v>
      </c>
    </row>
    <row r="81" spans="1:9" x14ac:dyDescent="0.35">
      <c r="A81" t="s">
        <v>16</v>
      </c>
      <c r="C81" t="s">
        <v>14</v>
      </c>
      <c r="D81" s="1">
        <v>43756</v>
      </c>
      <c r="E81" t="s">
        <v>266</v>
      </c>
      <c r="F81" t="s">
        <v>29</v>
      </c>
      <c r="G81">
        <v>-97.13</v>
      </c>
      <c r="I81" t="s">
        <v>19</v>
      </c>
    </row>
    <row r="82" spans="1:9" x14ac:dyDescent="0.35">
      <c r="A82" t="s">
        <v>16</v>
      </c>
      <c r="C82" t="s">
        <v>14</v>
      </c>
      <c r="D82" s="1">
        <v>43756</v>
      </c>
      <c r="E82" t="s">
        <v>267</v>
      </c>
      <c r="F82" t="s">
        <v>30</v>
      </c>
      <c r="G82">
        <v>-296.13</v>
      </c>
      <c r="I82" t="s">
        <v>18</v>
      </c>
    </row>
    <row r="83" spans="1:9" x14ac:dyDescent="0.35">
      <c r="A83" t="s">
        <v>16</v>
      </c>
      <c r="C83" t="s">
        <v>14</v>
      </c>
      <c r="D83" s="1">
        <v>43756</v>
      </c>
      <c r="E83" t="s">
        <v>268</v>
      </c>
      <c r="F83" t="s">
        <v>31</v>
      </c>
      <c r="G83">
        <v>-826.14</v>
      </c>
      <c r="I83" t="s">
        <v>18</v>
      </c>
    </row>
    <row r="84" spans="1:9" x14ac:dyDescent="0.35">
      <c r="A84" t="s">
        <v>16</v>
      </c>
      <c r="C84" t="s">
        <v>14</v>
      </c>
      <c r="D84" s="1">
        <v>43756</v>
      </c>
      <c r="E84" t="s">
        <v>269</v>
      </c>
      <c r="F84" t="s">
        <v>32</v>
      </c>
      <c r="G84">
        <v>-450.52</v>
      </c>
      <c r="I84" t="s">
        <v>18</v>
      </c>
    </row>
    <row r="85" spans="1:9" x14ac:dyDescent="0.35">
      <c r="A85" t="s">
        <v>16</v>
      </c>
      <c r="C85" t="s">
        <v>14</v>
      </c>
      <c r="D85" s="1">
        <v>43756</v>
      </c>
      <c r="E85" t="s">
        <v>269</v>
      </c>
      <c r="F85" t="s">
        <v>32</v>
      </c>
      <c r="G85">
        <v>-183.16</v>
      </c>
      <c r="I85" t="s">
        <v>19</v>
      </c>
    </row>
    <row r="86" spans="1:9" x14ac:dyDescent="0.35">
      <c r="A86" t="s">
        <v>16</v>
      </c>
      <c r="C86" t="s">
        <v>14</v>
      </c>
      <c r="D86" s="1">
        <v>43756</v>
      </c>
      <c r="E86" t="s">
        <v>17</v>
      </c>
      <c r="F86" t="s">
        <v>50</v>
      </c>
      <c r="G86">
        <v>-138.86000000000001</v>
      </c>
      <c r="I86" t="s">
        <v>18</v>
      </c>
    </row>
    <row r="87" spans="1:9" x14ac:dyDescent="0.35">
      <c r="A87" t="s">
        <v>16</v>
      </c>
      <c r="C87" t="s">
        <v>14</v>
      </c>
      <c r="D87" s="1">
        <v>43756</v>
      </c>
      <c r="E87" t="s">
        <v>270</v>
      </c>
      <c r="F87" t="s">
        <v>33</v>
      </c>
      <c r="G87">
        <v>-201.88</v>
      </c>
      <c r="I87" t="s">
        <v>18</v>
      </c>
    </row>
    <row r="88" spans="1:9" x14ac:dyDescent="0.35">
      <c r="A88" t="s">
        <v>16</v>
      </c>
      <c r="C88" t="s">
        <v>14</v>
      </c>
      <c r="D88" s="1">
        <v>43756</v>
      </c>
      <c r="E88" t="s">
        <v>270</v>
      </c>
      <c r="F88" t="s">
        <v>33</v>
      </c>
      <c r="G88">
        <v>-123.62</v>
      </c>
      <c r="I88" t="s">
        <v>19</v>
      </c>
    </row>
    <row r="89" spans="1:9" x14ac:dyDescent="0.35">
      <c r="A89" t="s">
        <v>16</v>
      </c>
      <c r="C89" t="s">
        <v>14</v>
      </c>
      <c r="D89" s="1">
        <v>43756</v>
      </c>
      <c r="E89" t="s">
        <v>271</v>
      </c>
      <c r="F89" t="s">
        <v>34</v>
      </c>
      <c r="G89">
        <v>-120.14</v>
      </c>
      <c r="I89" t="s">
        <v>18</v>
      </c>
    </row>
    <row r="90" spans="1:9" x14ac:dyDescent="0.35">
      <c r="A90" t="s">
        <v>16</v>
      </c>
      <c r="C90" t="s">
        <v>14</v>
      </c>
      <c r="D90" s="1">
        <v>43756</v>
      </c>
      <c r="E90" t="s">
        <v>271</v>
      </c>
      <c r="F90" t="s">
        <v>34</v>
      </c>
      <c r="G90">
        <v>-31.01</v>
      </c>
      <c r="I90" t="s">
        <v>19</v>
      </c>
    </row>
    <row r="91" spans="1:9" x14ac:dyDescent="0.35">
      <c r="A91" t="s">
        <v>16</v>
      </c>
      <c r="C91" t="s">
        <v>14</v>
      </c>
      <c r="D91" s="1">
        <v>43756</v>
      </c>
      <c r="E91" t="s">
        <v>272</v>
      </c>
      <c r="F91" t="s">
        <v>35</v>
      </c>
      <c r="G91">
        <v>-28.63</v>
      </c>
      <c r="I91" t="s">
        <v>19</v>
      </c>
    </row>
    <row r="92" spans="1:9" x14ac:dyDescent="0.35">
      <c r="A92" t="s">
        <v>16</v>
      </c>
      <c r="C92" t="s">
        <v>14</v>
      </c>
      <c r="D92" s="1">
        <v>43756</v>
      </c>
      <c r="E92" t="s">
        <v>272</v>
      </c>
      <c r="F92" t="s">
        <v>35</v>
      </c>
      <c r="G92">
        <v>-315.73</v>
      </c>
      <c r="I92" t="s">
        <v>18</v>
      </c>
    </row>
    <row r="93" spans="1:9" x14ac:dyDescent="0.35">
      <c r="A93" t="s">
        <v>16</v>
      </c>
      <c r="C93" t="s">
        <v>14</v>
      </c>
      <c r="D93" s="1">
        <v>43756</v>
      </c>
      <c r="E93" t="s">
        <v>273</v>
      </c>
      <c r="F93" t="s">
        <v>36</v>
      </c>
      <c r="G93">
        <v>-172.02</v>
      </c>
      <c r="I93" t="s">
        <v>18</v>
      </c>
    </row>
    <row r="94" spans="1:9" x14ac:dyDescent="0.35">
      <c r="A94" t="s">
        <v>16</v>
      </c>
      <c r="C94" t="s">
        <v>14</v>
      </c>
      <c r="D94" s="1">
        <v>43756</v>
      </c>
      <c r="E94" t="s">
        <v>274</v>
      </c>
      <c r="F94" t="s">
        <v>37</v>
      </c>
      <c r="G94">
        <v>-403.94</v>
      </c>
      <c r="I94" t="s">
        <v>18</v>
      </c>
    </row>
    <row r="95" spans="1:9" x14ac:dyDescent="0.35">
      <c r="A95" t="s">
        <v>16</v>
      </c>
      <c r="C95" t="s">
        <v>14</v>
      </c>
      <c r="D95" s="1">
        <v>43756</v>
      </c>
      <c r="E95" t="s">
        <v>275</v>
      </c>
      <c r="F95" t="s">
        <v>35</v>
      </c>
      <c r="G95">
        <v>-66.790000000000006</v>
      </c>
      <c r="I95" t="s">
        <v>19</v>
      </c>
    </row>
    <row r="96" spans="1:9" x14ac:dyDescent="0.35">
      <c r="A96" t="s">
        <v>16</v>
      </c>
      <c r="C96" t="s">
        <v>14</v>
      </c>
      <c r="D96" s="1">
        <v>43756</v>
      </c>
      <c r="E96" t="s">
        <v>275</v>
      </c>
      <c r="F96" t="s">
        <v>35</v>
      </c>
      <c r="G96">
        <v>-736.74</v>
      </c>
      <c r="I96" t="s">
        <v>18</v>
      </c>
    </row>
    <row r="97" spans="1:9" x14ac:dyDescent="0.35">
      <c r="A97" t="s">
        <v>16</v>
      </c>
      <c r="C97" t="s">
        <v>14</v>
      </c>
      <c r="D97" s="1">
        <v>43756</v>
      </c>
      <c r="E97" t="s">
        <v>276</v>
      </c>
      <c r="F97" t="s">
        <v>38</v>
      </c>
      <c r="G97">
        <v>-302.93</v>
      </c>
      <c r="I97" t="s">
        <v>18</v>
      </c>
    </row>
    <row r="98" spans="1:9" x14ac:dyDescent="0.35">
      <c r="A98" t="s">
        <v>16</v>
      </c>
      <c r="C98" t="s">
        <v>14</v>
      </c>
      <c r="D98" s="1">
        <v>43756</v>
      </c>
      <c r="E98" t="s">
        <v>276</v>
      </c>
      <c r="F98" t="s">
        <v>38</v>
      </c>
      <c r="G98">
        <v>-98.62</v>
      </c>
      <c r="I98" t="s">
        <v>19</v>
      </c>
    </row>
    <row r="99" spans="1:9" x14ac:dyDescent="0.35">
      <c r="A99" t="s">
        <v>16</v>
      </c>
      <c r="C99" t="s">
        <v>14</v>
      </c>
      <c r="D99" s="1">
        <v>43756</v>
      </c>
      <c r="E99" t="s">
        <v>277</v>
      </c>
      <c r="F99" t="s">
        <v>39</v>
      </c>
      <c r="G99">
        <v>-170.19</v>
      </c>
      <c r="I99" t="s">
        <v>18</v>
      </c>
    </row>
    <row r="100" spans="1:9" x14ac:dyDescent="0.35">
      <c r="A100" t="s">
        <v>16</v>
      </c>
      <c r="C100" t="s">
        <v>14</v>
      </c>
      <c r="D100" s="1">
        <v>43756</v>
      </c>
      <c r="E100" t="s">
        <v>278</v>
      </c>
      <c r="F100" t="s">
        <v>40</v>
      </c>
      <c r="G100">
        <v>-755.59</v>
      </c>
      <c r="I100" t="s">
        <v>18</v>
      </c>
    </row>
    <row r="101" spans="1:9" x14ac:dyDescent="0.35">
      <c r="A101" t="s">
        <v>16</v>
      </c>
      <c r="C101" t="s">
        <v>14</v>
      </c>
      <c r="D101" s="1">
        <v>43756</v>
      </c>
      <c r="E101" t="s">
        <v>278</v>
      </c>
      <c r="F101" t="s">
        <v>40</v>
      </c>
      <c r="G101">
        <v>-95.42</v>
      </c>
      <c r="I101" t="s">
        <v>19</v>
      </c>
    </row>
    <row r="102" spans="1:9" x14ac:dyDescent="0.35">
      <c r="A102" t="s">
        <v>16</v>
      </c>
      <c r="C102" t="s">
        <v>14</v>
      </c>
      <c r="D102" s="1">
        <v>43756</v>
      </c>
      <c r="E102" t="s">
        <v>279</v>
      </c>
      <c r="F102" t="s">
        <v>41</v>
      </c>
      <c r="G102">
        <v>-458.16</v>
      </c>
      <c r="I102" t="s">
        <v>18</v>
      </c>
    </row>
    <row r="103" spans="1:9" x14ac:dyDescent="0.35">
      <c r="A103" t="s">
        <v>16</v>
      </c>
      <c r="C103" t="s">
        <v>14</v>
      </c>
      <c r="D103" s="1">
        <v>43756</v>
      </c>
      <c r="E103" t="s">
        <v>280</v>
      </c>
      <c r="F103" t="s">
        <v>42</v>
      </c>
      <c r="G103">
        <v>-500</v>
      </c>
      <c r="I103" t="s">
        <v>19</v>
      </c>
    </row>
    <row r="104" spans="1:9" x14ac:dyDescent="0.35">
      <c r="A104" t="s">
        <v>16</v>
      </c>
      <c r="C104" t="s">
        <v>14</v>
      </c>
      <c r="D104" s="1">
        <v>43756</v>
      </c>
      <c r="E104" t="s">
        <v>280</v>
      </c>
      <c r="F104" t="s">
        <v>42</v>
      </c>
      <c r="G104">
        <v>-1006.48</v>
      </c>
      <c r="I104" t="s">
        <v>18</v>
      </c>
    </row>
    <row r="105" spans="1:9" x14ac:dyDescent="0.35">
      <c r="A105" t="s">
        <v>16</v>
      </c>
      <c r="C105" t="s">
        <v>14</v>
      </c>
      <c r="D105" s="1">
        <v>43756</v>
      </c>
      <c r="E105" t="s">
        <v>281</v>
      </c>
      <c r="F105" t="s">
        <v>43</v>
      </c>
      <c r="G105">
        <v>-388.64</v>
      </c>
      <c r="I105" t="s">
        <v>18</v>
      </c>
    </row>
    <row r="106" spans="1:9" x14ac:dyDescent="0.35">
      <c r="A106" t="s">
        <v>16</v>
      </c>
      <c r="C106" t="s">
        <v>14</v>
      </c>
      <c r="D106" s="1">
        <v>43756</v>
      </c>
      <c r="E106" t="s">
        <v>281</v>
      </c>
      <c r="F106" t="s">
        <v>43</v>
      </c>
      <c r="G106">
        <v>-55.86</v>
      </c>
      <c r="I106" t="s">
        <v>19</v>
      </c>
    </row>
    <row r="107" spans="1:9" x14ac:dyDescent="0.35">
      <c r="A107" t="s">
        <v>16</v>
      </c>
      <c r="C107" t="s">
        <v>14</v>
      </c>
      <c r="D107" s="1">
        <v>43756</v>
      </c>
      <c r="E107" t="s">
        <v>282</v>
      </c>
      <c r="F107" t="s">
        <v>44</v>
      </c>
      <c r="G107">
        <v>-635.59</v>
      </c>
      <c r="I107" t="s">
        <v>18</v>
      </c>
    </row>
    <row r="108" spans="1:9" x14ac:dyDescent="0.35">
      <c r="A108" t="s">
        <v>16</v>
      </c>
      <c r="C108" t="s">
        <v>14</v>
      </c>
      <c r="D108" s="1">
        <v>43756</v>
      </c>
      <c r="E108" t="s">
        <v>283</v>
      </c>
      <c r="F108" t="s">
        <v>45</v>
      </c>
      <c r="G108">
        <v>-162.51</v>
      </c>
      <c r="I108" t="s">
        <v>18</v>
      </c>
    </row>
    <row r="109" spans="1:9" x14ac:dyDescent="0.35">
      <c r="A109" t="s">
        <v>16</v>
      </c>
      <c r="C109" t="s">
        <v>14</v>
      </c>
      <c r="D109" s="1">
        <v>43756</v>
      </c>
      <c r="E109" t="s">
        <v>284</v>
      </c>
      <c r="F109" t="s">
        <v>46</v>
      </c>
      <c r="G109">
        <v>-98.62</v>
      </c>
      <c r="I109" t="s">
        <v>19</v>
      </c>
    </row>
    <row r="110" spans="1:9" x14ac:dyDescent="0.35">
      <c r="A110" t="s">
        <v>16</v>
      </c>
      <c r="C110" t="s">
        <v>14</v>
      </c>
      <c r="D110" s="1">
        <v>43756</v>
      </c>
      <c r="E110" t="s">
        <v>284</v>
      </c>
      <c r="F110" t="s">
        <v>46</v>
      </c>
      <c r="G110">
        <v>-790.53</v>
      </c>
      <c r="I110" t="s">
        <v>18</v>
      </c>
    </row>
    <row r="111" spans="1:9" x14ac:dyDescent="0.35">
      <c r="A111" t="s">
        <v>16</v>
      </c>
      <c r="C111" t="s">
        <v>14</v>
      </c>
      <c r="D111" s="1">
        <v>43756</v>
      </c>
      <c r="E111" s="2" t="s">
        <v>51</v>
      </c>
      <c r="G111">
        <v>-339.61</v>
      </c>
      <c r="I111" t="s">
        <v>18</v>
      </c>
    </row>
    <row r="112" spans="1:9" x14ac:dyDescent="0.35">
      <c r="A112" t="s">
        <v>16</v>
      </c>
      <c r="C112" t="s">
        <v>14</v>
      </c>
      <c r="D112" s="1">
        <v>43756</v>
      </c>
      <c r="E112" t="s">
        <v>285</v>
      </c>
      <c r="F112" t="s">
        <v>47</v>
      </c>
      <c r="G112">
        <v>-1916.81</v>
      </c>
      <c r="I112" t="s">
        <v>18</v>
      </c>
    </row>
    <row r="113" spans="1:9" x14ac:dyDescent="0.35">
      <c r="A113" t="s">
        <v>16</v>
      </c>
      <c r="C113" t="s">
        <v>14</v>
      </c>
      <c r="D113" s="1">
        <v>43756</v>
      </c>
      <c r="E113" t="s">
        <v>285</v>
      </c>
      <c r="F113" t="s">
        <v>47</v>
      </c>
      <c r="G113">
        <v>-423.08</v>
      </c>
      <c r="I113" t="s">
        <v>19</v>
      </c>
    </row>
    <row r="114" spans="1:9" x14ac:dyDescent="0.35">
      <c r="A114" t="s">
        <v>16</v>
      </c>
      <c r="C114" t="s">
        <v>14</v>
      </c>
      <c r="D114" s="1">
        <v>43756</v>
      </c>
      <c r="E114" t="s">
        <v>286</v>
      </c>
      <c r="F114" t="s">
        <v>34</v>
      </c>
      <c r="G114">
        <v>-1081.3</v>
      </c>
      <c r="I114" t="s">
        <v>18</v>
      </c>
    </row>
    <row r="115" spans="1:9" x14ac:dyDescent="0.35">
      <c r="A115" t="s">
        <v>16</v>
      </c>
      <c r="C115" t="s">
        <v>14</v>
      </c>
      <c r="D115" s="1">
        <v>43756</v>
      </c>
      <c r="E115" t="s">
        <v>286</v>
      </c>
      <c r="F115" t="s">
        <v>34</v>
      </c>
      <c r="G115">
        <v>-279.14999999999998</v>
      </c>
      <c r="I115" t="s">
        <v>19</v>
      </c>
    </row>
    <row r="116" spans="1:9" x14ac:dyDescent="0.35">
      <c r="A116" t="s">
        <v>16</v>
      </c>
      <c r="C116" t="s">
        <v>14</v>
      </c>
      <c r="D116" s="1">
        <v>43756</v>
      </c>
      <c r="E116" s="2" t="s">
        <v>52</v>
      </c>
      <c r="G116">
        <v>-950.49</v>
      </c>
      <c r="I116" t="s">
        <v>18</v>
      </c>
    </row>
    <row r="117" spans="1:9" x14ac:dyDescent="0.35">
      <c r="A117" t="s">
        <v>16</v>
      </c>
      <c r="C117" t="s">
        <v>14</v>
      </c>
      <c r="D117" s="1">
        <v>43756</v>
      </c>
      <c r="E117" s="2" t="s">
        <v>52</v>
      </c>
      <c r="G117">
        <v>-498.62</v>
      </c>
      <c r="I117" t="s">
        <v>19</v>
      </c>
    </row>
    <row r="118" spans="1:9" x14ac:dyDescent="0.35">
      <c r="A118" t="s">
        <v>16</v>
      </c>
      <c r="C118" t="s">
        <v>14</v>
      </c>
      <c r="D118" s="1">
        <v>43756</v>
      </c>
      <c r="E118" t="s">
        <v>287</v>
      </c>
      <c r="F118" t="s">
        <v>48</v>
      </c>
      <c r="G118">
        <v>-165.43</v>
      </c>
      <c r="I118" t="s">
        <v>18</v>
      </c>
    </row>
    <row r="119" spans="1:9" x14ac:dyDescent="0.35">
      <c r="A119" t="s">
        <v>16</v>
      </c>
      <c r="C119" t="s">
        <v>14</v>
      </c>
      <c r="D119" s="1">
        <v>43756</v>
      </c>
      <c r="E119" t="s">
        <v>260</v>
      </c>
      <c r="F119" t="s">
        <v>23</v>
      </c>
      <c r="G119">
        <v>-897.66</v>
      </c>
      <c r="I119" t="s">
        <v>20</v>
      </c>
    </row>
    <row r="120" spans="1:9" x14ac:dyDescent="0.35">
      <c r="A120" t="s">
        <v>16</v>
      </c>
      <c r="C120" t="s">
        <v>14</v>
      </c>
      <c r="D120" s="1">
        <v>43756</v>
      </c>
      <c r="E120" t="s">
        <v>261</v>
      </c>
      <c r="F120" t="s">
        <v>24</v>
      </c>
      <c r="G120">
        <v>-988.82</v>
      </c>
      <c r="I120" t="s">
        <v>20</v>
      </c>
    </row>
    <row r="121" spans="1:9" x14ac:dyDescent="0.35">
      <c r="A121" t="s">
        <v>16</v>
      </c>
      <c r="C121" t="s">
        <v>14</v>
      </c>
      <c r="D121" s="1">
        <v>43756</v>
      </c>
      <c r="E121" s="2" t="s">
        <v>49</v>
      </c>
      <c r="G121">
        <v>-1797.15</v>
      </c>
      <c r="I121" t="s">
        <v>20</v>
      </c>
    </row>
    <row r="122" spans="1:9" x14ac:dyDescent="0.35">
      <c r="A122" t="s">
        <v>16</v>
      </c>
      <c r="C122" t="s">
        <v>14</v>
      </c>
      <c r="D122" s="1">
        <v>43756</v>
      </c>
      <c r="E122" t="s">
        <v>262</v>
      </c>
      <c r="F122" t="s">
        <v>25</v>
      </c>
      <c r="G122">
        <v>-1053.17</v>
      </c>
      <c r="I122" t="s">
        <v>20</v>
      </c>
    </row>
    <row r="123" spans="1:9" x14ac:dyDescent="0.35">
      <c r="A123" t="s">
        <v>16</v>
      </c>
      <c r="C123" t="s">
        <v>14</v>
      </c>
      <c r="D123" s="1">
        <v>43756</v>
      </c>
      <c r="E123" t="s">
        <v>263</v>
      </c>
      <c r="F123" t="s">
        <v>26</v>
      </c>
      <c r="G123">
        <v>-443.23</v>
      </c>
      <c r="I123" t="s">
        <v>20</v>
      </c>
    </row>
    <row r="124" spans="1:9" x14ac:dyDescent="0.35">
      <c r="A124" t="s">
        <v>16</v>
      </c>
      <c r="C124" t="s">
        <v>14</v>
      </c>
      <c r="D124" s="1">
        <v>43756</v>
      </c>
      <c r="E124" t="s">
        <v>264</v>
      </c>
      <c r="F124" t="s">
        <v>27</v>
      </c>
      <c r="G124">
        <v>-487.31</v>
      </c>
      <c r="I124" t="s">
        <v>20</v>
      </c>
    </row>
    <row r="125" spans="1:9" x14ac:dyDescent="0.35">
      <c r="A125" t="s">
        <v>16</v>
      </c>
      <c r="C125" t="s">
        <v>14</v>
      </c>
      <c r="D125" s="1">
        <v>43756</v>
      </c>
      <c r="E125" t="s">
        <v>265</v>
      </c>
      <c r="F125" t="s">
        <v>28</v>
      </c>
      <c r="G125">
        <v>-1814.69</v>
      </c>
      <c r="I125" t="s">
        <v>20</v>
      </c>
    </row>
    <row r="126" spans="1:9" x14ac:dyDescent="0.35">
      <c r="A126" t="s">
        <v>16</v>
      </c>
      <c r="C126" t="s">
        <v>14</v>
      </c>
      <c r="D126" s="1">
        <v>43756</v>
      </c>
      <c r="E126" t="s">
        <v>266</v>
      </c>
      <c r="F126" t="s">
        <v>29</v>
      </c>
      <c r="G126">
        <v>-1950.1</v>
      </c>
      <c r="I126" t="s">
        <v>20</v>
      </c>
    </row>
    <row r="127" spans="1:9" x14ac:dyDescent="0.35">
      <c r="A127" t="s">
        <v>16</v>
      </c>
      <c r="C127" t="s">
        <v>14</v>
      </c>
      <c r="D127" s="1">
        <v>43756</v>
      </c>
      <c r="E127" t="s">
        <v>267</v>
      </c>
      <c r="F127" t="s">
        <v>30</v>
      </c>
      <c r="G127">
        <v>-1002.76</v>
      </c>
      <c r="I127" t="s">
        <v>20</v>
      </c>
    </row>
    <row r="128" spans="1:9" x14ac:dyDescent="0.35">
      <c r="A128" t="s">
        <v>16</v>
      </c>
      <c r="C128" t="s">
        <v>14</v>
      </c>
      <c r="D128" s="1">
        <v>43756</v>
      </c>
      <c r="E128" t="s">
        <v>268</v>
      </c>
      <c r="F128" t="s">
        <v>31</v>
      </c>
      <c r="G128">
        <v>-1720.64</v>
      </c>
      <c r="I128" t="s">
        <v>20</v>
      </c>
    </row>
    <row r="129" spans="1:9" x14ac:dyDescent="0.35">
      <c r="A129" t="s">
        <v>16</v>
      </c>
      <c r="C129" t="s">
        <v>14</v>
      </c>
      <c r="D129" s="1">
        <v>43756</v>
      </c>
      <c r="E129" t="s">
        <v>269</v>
      </c>
      <c r="F129" t="s">
        <v>32</v>
      </c>
      <c r="G129">
        <v>-1155.75</v>
      </c>
      <c r="I129" t="s">
        <v>20</v>
      </c>
    </row>
    <row r="130" spans="1:9" x14ac:dyDescent="0.35">
      <c r="A130" t="s">
        <v>16</v>
      </c>
      <c r="C130" t="s">
        <v>14</v>
      </c>
      <c r="D130" s="1">
        <v>43756</v>
      </c>
      <c r="E130" t="s">
        <v>17</v>
      </c>
      <c r="F130" t="s">
        <v>50</v>
      </c>
      <c r="G130">
        <v>-543.16</v>
      </c>
      <c r="I130" t="s">
        <v>20</v>
      </c>
    </row>
    <row r="131" spans="1:9" x14ac:dyDescent="0.35">
      <c r="A131" t="s">
        <v>16</v>
      </c>
      <c r="C131" t="s">
        <v>14</v>
      </c>
      <c r="D131" s="1">
        <v>43756</v>
      </c>
      <c r="E131" t="s">
        <v>270</v>
      </c>
      <c r="F131" t="s">
        <v>33</v>
      </c>
      <c r="G131">
        <v>-730.2</v>
      </c>
      <c r="I131" t="s">
        <v>20</v>
      </c>
    </row>
    <row r="132" spans="1:9" x14ac:dyDescent="0.35">
      <c r="A132" t="s">
        <v>16</v>
      </c>
      <c r="C132" t="s">
        <v>14</v>
      </c>
      <c r="D132" s="1">
        <v>43756</v>
      </c>
      <c r="E132" t="s">
        <v>271</v>
      </c>
      <c r="F132" t="s">
        <v>34</v>
      </c>
      <c r="G132">
        <v>-303.48</v>
      </c>
      <c r="I132" t="s">
        <v>20</v>
      </c>
    </row>
    <row r="133" spans="1:9" x14ac:dyDescent="0.35">
      <c r="A133" t="s">
        <v>16</v>
      </c>
      <c r="C133" t="s">
        <v>14</v>
      </c>
      <c r="D133" s="1">
        <v>43756</v>
      </c>
      <c r="E133" t="s">
        <v>272</v>
      </c>
      <c r="F133" t="s">
        <v>35</v>
      </c>
      <c r="G133">
        <v>-708.99</v>
      </c>
      <c r="I133" t="s">
        <v>20</v>
      </c>
    </row>
    <row r="134" spans="1:9" x14ac:dyDescent="0.35">
      <c r="A134" t="s">
        <v>16</v>
      </c>
      <c r="C134" t="s">
        <v>14</v>
      </c>
      <c r="D134" s="1">
        <v>43756</v>
      </c>
      <c r="E134" t="s">
        <v>273</v>
      </c>
      <c r="F134" t="s">
        <v>36</v>
      </c>
      <c r="G134">
        <v>-680.07</v>
      </c>
      <c r="I134" t="s">
        <v>20</v>
      </c>
    </row>
    <row r="135" spans="1:9" x14ac:dyDescent="0.35">
      <c r="A135" t="s">
        <v>16</v>
      </c>
      <c r="C135" t="s">
        <v>14</v>
      </c>
      <c r="D135" s="1">
        <v>43756</v>
      </c>
      <c r="E135" t="s">
        <v>274</v>
      </c>
      <c r="F135" t="s">
        <v>37</v>
      </c>
      <c r="G135">
        <v>-1189.0999999999999</v>
      </c>
      <c r="I135" t="s">
        <v>20</v>
      </c>
    </row>
    <row r="136" spans="1:9" x14ac:dyDescent="0.35">
      <c r="A136" t="s">
        <v>16</v>
      </c>
      <c r="C136" t="s">
        <v>14</v>
      </c>
      <c r="D136" s="1">
        <v>43756</v>
      </c>
      <c r="E136" t="s">
        <v>275</v>
      </c>
      <c r="F136" t="s">
        <v>35</v>
      </c>
      <c r="G136">
        <v>-1654.29</v>
      </c>
      <c r="I136" t="s">
        <v>20</v>
      </c>
    </row>
    <row r="137" spans="1:9" x14ac:dyDescent="0.35">
      <c r="A137" t="s">
        <v>16</v>
      </c>
      <c r="C137" t="s">
        <v>14</v>
      </c>
      <c r="D137" s="1">
        <v>43756</v>
      </c>
      <c r="E137" t="s">
        <v>276</v>
      </c>
      <c r="F137" t="s">
        <v>38</v>
      </c>
      <c r="G137">
        <v>-737.65</v>
      </c>
      <c r="I137" t="s">
        <v>20</v>
      </c>
    </row>
    <row r="138" spans="1:9" x14ac:dyDescent="0.35">
      <c r="A138" t="s">
        <v>16</v>
      </c>
      <c r="C138" t="s">
        <v>14</v>
      </c>
      <c r="D138" s="1">
        <v>43756</v>
      </c>
      <c r="E138" t="s">
        <v>277</v>
      </c>
      <c r="F138" t="s">
        <v>39</v>
      </c>
      <c r="G138">
        <v>-626.14</v>
      </c>
      <c r="I138" t="s">
        <v>20</v>
      </c>
    </row>
    <row r="139" spans="1:9" x14ac:dyDescent="0.35">
      <c r="A139" t="s">
        <v>16</v>
      </c>
      <c r="C139" t="s">
        <v>14</v>
      </c>
      <c r="D139" s="1">
        <v>43756</v>
      </c>
      <c r="E139" t="s">
        <v>278</v>
      </c>
      <c r="F139" t="s">
        <v>40</v>
      </c>
      <c r="G139">
        <v>-1832.69</v>
      </c>
      <c r="I139" t="s">
        <v>20</v>
      </c>
    </row>
    <row r="140" spans="1:9" x14ac:dyDescent="0.35">
      <c r="A140" t="s">
        <v>16</v>
      </c>
      <c r="C140" t="s">
        <v>14</v>
      </c>
      <c r="D140" s="1">
        <v>43756</v>
      </c>
      <c r="E140" t="s">
        <v>279</v>
      </c>
      <c r="F140" t="s">
        <v>41</v>
      </c>
      <c r="G140">
        <v>-1241.08</v>
      </c>
      <c r="I140" t="s">
        <v>20</v>
      </c>
    </row>
    <row r="141" spans="1:9" x14ac:dyDescent="0.35">
      <c r="A141" t="s">
        <v>16</v>
      </c>
      <c r="C141" t="s">
        <v>14</v>
      </c>
      <c r="D141" s="1">
        <v>43756</v>
      </c>
      <c r="E141" t="s">
        <v>280</v>
      </c>
      <c r="F141" t="s">
        <v>42</v>
      </c>
      <c r="G141">
        <v>-1888.64</v>
      </c>
      <c r="I141" t="s">
        <v>20</v>
      </c>
    </row>
    <row r="142" spans="1:9" x14ac:dyDescent="0.35">
      <c r="A142" t="s">
        <v>16</v>
      </c>
      <c r="C142" t="s">
        <v>14</v>
      </c>
      <c r="D142" s="1">
        <v>43756</v>
      </c>
      <c r="E142" t="s">
        <v>281</v>
      </c>
      <c r="F142" t="s">
        <v>43</v>
      </c>
      <c r="G142">
        <v>-1016.21</v>
      </c>
      <c r="I142" t="s">
        <v>20</v>
      </c>
    </row>
    <row r="143" spans="1:9" x14ac:dyDescent="0.35">
      <c r="A143" t="s">
        <v>16</v>
      </c>
      <c r="C143" t="s">
        <v>14</v>
      </c>
      <c r="D143" s="1">
        <v>43756</v>
      </c>
      <c r="E143" t="s">
        <v>282</v>
      </c>
      <c r="F143" t="s">
        <v>44</v>
      </c>
      <c r="G143">
        <v>-1700.87</v>
      </c>
      <c r="I143" t="s">
        <v>20</v>
      </c>
    </row>
    <row r="144" spans="1:9" x14ac:dyDescent="0.35">
      <c r="A144" t="s">
        <v>16</v>
      </c>
      <c r="C144" t="s">
        <v>14</v>
      </c>
      <c r="D144" s="1">
        <v>43756</v>
      </c>
      <c r="E144" t="s">
        <v>283</v>
      </c>
      <c r="F144" t="s">
        <v>45</v>
      </c>
      <c r="G144">
        <v>-732.14</v>
      </c>
      <c r="I144" t="s">
        <v>20</v>
      </c>
    </row>
    <row r="145" spans="1:9" x14ac:dyDescent="0.35">
      <c r="A145" t="s">
        <v>16</v>
      </c>
      <c r="C145" t="s">
        <v>14</v>
      </c>
      <c r="D145" s="1">
        <v>43756</v>
      </c>
      <c r="E145" t="s">
        <v>284</v>
      </c>
      <c r="F145" t="s">
        <v>46</v>
      </c>
      <c r="G145">
        <v>-1864.32</v>
      </c>
      <c r="I145" t="s">
        <v>20</v>
      </c>
    </row>
    <row r="146" spans="1:9" x14ac:dyDescent="0.35">
      <c r="A146" t="s">
        <v>16</v>
      </c>
      <c r="C146" t="s">
        <v>14</v>
      </c>
      <c r="D146" s="1">
        <v>43756</v>
      </c>
      <c r="E146" s="2" t="s">
        <v>51</v>
      </c>
      <c r="G146">
        <v>-1359.61</v>
      </c>
      <c r="I146" t="s">
        <v>20</v>
      </c>
    </row>
    <row r="147" spans="1:9" x14ac:dyDescent="0.35">
      <c r="A147" t="s">
        <v>16</v>
      </c>
      <c r="C147" t="s">
        <v>14</v>
      </c>
      <c r="D147" s="1">
        <v>43756</v>
      </c>
      <c r="E147" t="s">
        <v>285</v>
      </c>
      <c r="F147" t="s">
        <v>47</v>
      </c>
      <c r="G147">
        <v>-4071.56</v>
      </c>
      <c r="I147" t="s">
        <v>20</v>
      </c>
    </row>
    <row r="148" spans="1:9" x14ac:dyDescent="0.35">
      <c r="A148" t="s">
        <v>16</v>
      </c>
      <c r="C148" t="s">
        <v>14</v>
      </c>
      <c r="D148" s="1">
        <v>43756</v>
      </c>
      <c r="E148" t="s">
        <v>286</v>
      </c>
      <c r="F148" t="s">
        <v>34</v>
      </c>
      <c r="G148">
        <v>-2731.2</v>
      </c>
      <c r="I148" t="s">
        <v>20</v>
      </c>
    </row>
    <row r="149" spans="1:9" x14ac:dyDescent="0.35">
      <c r="A149" t="s">
        <v>16</v>
      </c>
      <c r="C149" t="s">
        <v>14</v>
      </c>
      <c r="D149" s="1">
        <v>43756</v>
      </c>
      <c r="E149" s="2" t="s">
        <v>52</v>
      </c>
      <c r="G149">
        <v>-1937.85</v>
      </c>
      <c r="I149" t="s">
        <v>20</v>
      </c>
    </row>
    <row r="150" spans="1:9" x14ac:dyDescent="0.35">
      <c r="A150" t="s">
        <v>16</v>
      </c>
      <c r="C150" t="s">
        <v>14</v>
      </c>
      <c r="D150" s="1">
        <v>43756</v>
      </c>
      <c r="E150" t="s">
        <v>287</v>
      </c>
      <c r="F150" t="s">
        <v>48</v>
      </c>
      <c r="G150">
        <v>-552.49</v>
      </c>
      <c r="I150" t="s">
        <v>20</v>
      </c>
    </row>
    <row r="151" spans="1:9" x14ac:dyDescent="0.35">
      <c r="A151" t="s">
        <v>16</v>
      </c>
      <c r="C151" t="s">
        <v>14</v>
      </c>
      <c r="D151" s="1">
        <v>43756</v>
      </c>
      <c r="E151" t="s">
        <v>260</v>
      </c>
      <c r="F151" t="s">
        <v>23</v>
      </c>
      <c r="G151">
        <v>1125.25</v>
      </c>
      <c r="I151" t="s">
        <v>21</v>
      </c>
    </row>
    <row r="152" spans="1:9" x14ac:dyDescent="0.35">
      <c r="A152" t="s">
        <v>16</v>
      </c>
      <c r="C152" t="s">
        <v>14</v>
      </c>
      <c r="D152" s="1">
        <v>43756</v>
      </c>
      <c r="E152" t="s">
        <v>261</v>
      </c>
      <c r="F152" t="s">
        <v>24</v>
      </c>
      <c r="G152">
        <v>1284.8900000000001</v>
      </c>
      <c r="I152" t="s">
        <v>21</v>
      </c>
    </row>
    <row r="153" spans="1:9" x14ac:dyDescent="0.35">
      <c r="A153" t="s">
        <v>16</v>
      </c>
      <c r="C153" t="s">
        <v>14</v>
      </c>
      <c r="D153" s="1">
        <v>43756</v>
      </c>
      <c r="E153" s="2" t="s">
        <v>49</v>
      </c>
      <c r="G153">
        <v>2246.5</v>
      </c>
      <c r="I153" t="s">
        <v>21</v>
      </c>
    </row>
    <row r="154" spans="1:9" x14ac:dyDescent="0.35">
      <c r="A154" t="s">
        <v>16</v>
      </c>
      <c r="C154" t="s">
        <v>14</v>
      </c>
      <c r="D154" s="1">
        <v>43756</v>
      </c>
      <c r="E154" t="s">
        <v>262</v>
      </c>
      <c r="F154" t="s">
        <v>25</v>
      </c>
      <c r="G154">
        <v>1357.23</v>
      </c>
      <c r="I154" t="s">
        <v>21</v>
      </c>
    </row>
    <row r="155" spans="1:9" x14ac:dyDescent="0.35">
      <c r="A155" t="s">
        <v>16</v>
      </c>
      <c r="C155" t="s">
        <v>14</v>
      </c>
      <c r="D155" s="1">
        <v>43756</v>
      </c>
      <c r="E155" t="s">
        <v>263</v>
      </c>
      <c r="F155" t="s">
        <v>26</v>
      </c>
      <c r="G155">
        <v>535</v>
      </c>
      <c r="I155" t="s">
        <v>21</v>
      </c>
    </row>
    <row r="156" spans="1:9" x14ac:dyDescent="0.35">
      <c r="A156" t="s">
        <v>16</v>
      </c>
      <c r="C156" t="s">
        <v>14</v>
      </c>
      <c r="D156" s="1">
        <v>43756</v>
      </c>
      <c r="E156" t="s">
        <v>264</v>
      </c>
      <c r="F156" t="s">
        <v>27</v>
      </c>
      <c r="G156">
        <v>568.70000000000005</v>
      </c>
      <c r="I156" t="s">
        <v>21</v>
      </c>
    </row>
    <row r="157" spans="1:9" x14ac:dyDescent="0.35">
      <c r="A157" t="s">
        <v>16</v>
      </c>
      <c r="C157" t="s">
        <v>14</v>
      </c>
      <c r="D157" s="1">
        <v>43756</v>
      </c>
      <c r="E157" t="s">
        <v>265</v>
      </c>
      <c r="F157" t="s">
        <v>28</v>
      </c>
      <c r="G157">
        <v>2692.31</v>
      </c>
      <c r="I157" t="s">
        <v>21</v>
      </c>
    </row>
    <row r="158" spans="1:9" x14ac:dyDescent="0.35">
      <c r="A158" t="s">
        <v>16</v>
      </c>
      <c r="C158" t="s">
        <v>14</v>
      </c>
      <c r="D158" s="1">
        <v>43756</v>
      </c>
      <c r="E158" t="s">
        <v>266</v>
      </c>
      <c r="F158" t="s">
        <v>29</v>
      </c>
      <c r="G158">
        <v>2684.05</v>
      </c>
      <c r="I158" t="s">
        <v>21</v>
      </c>
    </row>
    <row r="159" spans="1:9" x14ac:dyDescent="0.35">
      <c r="A159" t="s">
        <v>16</v>
      </c>
      <c r="C159" t="s">
        <v>14</v>
      </c>
      <c r="D159" s="1">
        <v>43756</v>
      </c>
      <c r="E159" t="s">
        <v>267</v>
      </c>
      <c r="F159" t="s">
        <v>30</v>
      </c>
      <c r="G159">
        <v>1176</v>
      </c>
      <c r="I159" t="s">
        <v>21</v>
      </c>
    </row>
    <row r="160" spans="1:9" x14ac:dyDescent="0.35">
      <c r="A160" t="s">
        <v>16</v>
      </c>
      <c r="C160" t="s">
        <v>14</v>
      </c>
      <c r="D160" s="1">
        <v>43756</v>
      </c>
      <c r="E160" t="s">
        <v>268</v>
      </c>
      <c r="F160" t="s">
        <v>31</v>
      </c>
      <c r="G160">
        <v>2305.8200000000002</v>
      </c>
      <c r="I160" t="s">
        <v>21</v>
      </c>
    </row>
    <row r="161" spans="1:9" x14ac:dyDescent="0.35">
      <c r="A161" t="s">
        <v>16</v>
      </c>
      <c r="C161" t="s">
        <v>14</v>
      </c>
      <c r="D161" s="1">
        <v>43756</v>
      </c>
      <c r="E161" t="s">
        <v>269</v>
      </c>
      <c r="F161" t="s">
        <v>32</v>
      </c>
      <c r="G161">
        <v>1629.78</v>
      </c>
      <c r="I161" t="s">
        <v>21</v>
      </c>
    </row>
    <row r="162" spans="1:9" x14ac:dyDescent="0.35">
      <c r="A162" t="s">
        <v>16</v>
      </c>
      <c r="C162" t="s">
        <v>14</v>
      </c>
      <c r="D162" s="1">
        <v>43756</v>
      </c>
      <c r="E162" t="s">
        <v>17</v>
      </c>
      <c r="F162" t="s">
        <v>50</v>
      </c>
      <c r="G162">
        <v>617.5</v>
      </c>
      <c r="I162" t="s">
        <v>21</v>
      </c>
    </row>
    <row r="163" spans="1:9" x14ac:dyDescent="0.35">
      <c r="A163" t="s">
        <v>16</v>
      </c>
      <c r="C163" t="s">
        <v>14</v>
      </c>
      <c r="D163" s="1">
        <v>43756</v>
      </c>
      <c r="E163" t="s">
        <v>270</v>
      </c>
      <c r="F163" t="s">
        <v>33</v>
      </c>
      <c r="G163">
        <v>962.88</v>
      </c>
      <c r="I163" t="s">
        <v>21</v>
      </c>
    </row>
    <row r="164" spans="1:9" x14ac:dyDescent="0.35">
      <c r="A164" t="s">
        <v>16</v>
      </c>
      <c r="C164" t="s">
        <v>14</v>
      </c>
      <c r="D164" s="1">
        <v>43756</v>
      </c>
      <c r="E164" t="s">
        <v>271</v>
      </c>
      <c r="F164" t="s">
        <v>34</v>
      </c>
      <c r="G164">
        <v>423.08</v>
      </c>
      <c r="I164" t="s">
        <v>21</v>
      </c>
    </row>
    <row r="165" spans="1:9" x14ac:dyDescent="0.35">
      <c r="A165" t="s">
        <v>16</v>
      </c>
      <c r="C165" t="s">
        <v>14</v>
      </c>
      <c r="D165" s="1">
        <v>43756</v>
      </c>
      <c r="E165" t="s">
        <v>272</v>
      </c>
      <c r="F165" t="s">
        <v>35</v>
      </c>
      <c r="G165">
        <v>980.7</v>
      </c>
      <c r="I165" t="s">
        <v>21</v>
      </c>
    </row>
    <row r="166" spans="1:9" x14ac:dyDescent="0.35">
      <c r="A166" t="s">
        <v>16</v>
      </c>
      <c r="C166" t="s">
        <v>14</v>
      </c>
      <c r="D166" s="1">
        <v>43756</v>
      </c>
      <c r="E166" t="s">
        <v>273</v>
      </c>
      <c r="F166" t="s">
        <v>36</v>
      </c>
      <c r="G166">
        <v>771.48</v>
      </c>
      <c r="I166" t="s">
        <v>21</v>
      </c>
    </row>
    <row r="167" spans="1:9" x14ac:dyDescent="0.35">
      <c r="A167" t="s">
        <v>16</v>
      </c>
      <c r="C167" t="s">
        <v>14</v>
      </c>
      <c r="D167" s="1">
        <v>43756</v>
      </c>
      <c r="E167" t="s">
        <v>274</v>
      </c>
      <c r="F167" t="s">
        <v>37</v>
      </c>
      <c r="G167">
        <v>1442.31</v>
      </c>
      <c r="I167" t="s">
        <v>21</v>
      </c>
    </row>
    <row r="168" spans="1:9" x14ac:dyDescent="0.35">
      <c r="A168" t="s">
        <v>16</v>
      </c>
      <c r="C168" t="s">
        <v>14</v>
      </c>
      <c r="D168" s="1">
        <v>43756</v>
      </c>
      <c r="E168" t="s">
        <v>275</v>
      </c>
      <c r="F168" t="s">
        <v>35</v>
      </c>
      <c r="G168">
        <v>2288.3000000000002</v>
      </c>
      <c r="I168" t="s">
        <v>21</v>
      </c>
    </row>
    <row r="169" spans="1:9" x14ac:dyDescent="0.35">
      <c r="A169" t="s">
        <v>16</v>
      </c>
      <c r="C169" t="s">
        <v>14</v>
      </c>
      <c r="D169" s="1">
        <v>43756</v>
      </c>
      <c r="E169" t="s">
        <v>276</v>
      </c>
      <c r="F169" t="s">
        <v>38</v>
      </c>
      <c r="G169">
        <v>1038.47</v>
      </c>
      <c r="I169" t="s">
        <v>21</v>
      </c>
    </row>
    <row r="170" spans="1:9" x14ac:dyDescent="0.35">
      <c r="A170" t="s">
        <v>16</v>
      </c>
      <c r="C170" t="s">
        <v>14</v>
      </c>
      <c r="D170" s="1">
        <v>43756</v>
      </c>
      <c r="E170" t="s">
        <v>277</v>
      </c>
      <c r="F170" t="s">
        <v>39</v>
      </c>
      <c r="G170">
        <v>721</v>
      </c>
      <c r="I170" t="s">
        <v>21</v>
      </c>
    </row>
    <row r="171" spans="1:9" x14ac:dyDescent="0.35">
      <c r="A171" t="s">
        <v>16</v>
      </c>
      <c r="C171" t="s">
        <v>14</v>
      </c>
      <c r="D171" s="1">
        <v>43756</v>
      </c>
      <c r="E171" t="s">
        <v>278</v>
      </c>
      <c r="F171" t="s">
        <v>40</v>
      </c>
      <c r="G171">
        <v>2500</v>
      </c>
      <c r="I171" t="s">
        <v>21</v>
      </c>
    </row>
    <row r="172" spans="1:9" x14ac:dyDescent="0.35">
      <c r="A172" t="s">
        <v>16</v>
      </c>
      <c r="C172" t="s">
        <v>14</v>
      </c>
      <c r="D172" s="1">
        <v>43756</v>
      </c>
      <c r="E172" t="s">
        <v>279</v>
      </c>
      <c r="F172" t="s">
        <v>41</v>
      </c>
      <c r="G172">
        <v>1538.47</v>
      </c>
      <c r="I172" t="s">
        <v>21</v>
      </c>
    </row>
    <row r="173" spans="1:9" x14ac:dyDescent="0.35">
      <c r="A173" t="s">
        <v>16</v>
      </c>
      <c r="C173" t="s">
        <v>14</v>
      </c>
      <c r="D173" s="1">
        <v>43756</v>
      </c>
      <c r="E173" t="s">
        <v>280</v>
      </c>
      <c r="F173" t="s">
        <v>42</v>
      </c>
      <c r="G173">
        <v>3153.85</v>
      </c>
      <c r="I173" t="s">
        <v>21</v>
      </c>
    </row>
    <row r="174" spans="1:9" x14ac:dyDescent="0.35">
      <c r="A174" t="s">
        <v>16</v>
      </c>
      <c r="C174" t="s">
        <v>14</v>
      </c>
      <c r="D174" s="1">
        <v>43756</v>
      </c>
      <c r="E174" t="s">
        <v>281</v>
      </c>
      <c r="F174" t="s">
        <v>43</v>
      </c>
      <c r="G174">
        <v>1326.93</v>
      </c>
      <c r="I174" t="s">
        <v>21</v>
      </c>
    </row>
    <row r="175" spans="1:9" x14ac:dyDescent="0.35">
      <c r="A175" t="s">
        <v>16</v>
      </c>
      <c r="C175" t="s">
        <v>14</v>
      </c>
      <c r="D175" s="1">
        <v>43756</v>
      </c>
      <c r="E175" t="s">
        <v>282</v>
      </c>
      <c r="F175" t="s">
        <v>44</v>
      </c>
      <c r="G175">
        <v>2115.39</v>
      </c>
      <c r="I175" t="s">
        <v>21</v>
      </c>
    </row>
    <row r="176" spans="1:9" x14ac:dyDescent="0.35">
      <c r="A176" t="s">
        <v>16</v>
      </c>
      <c r="C176" t="s">
        <v>14</v>
      </c>
      <c r="D176" s="1">
        <v>43756</v>
      </c>
      <c r="E176" t="s">
        <v>283</v>
      </c>
      <c r="F176" t="s">
        <v>45</v>
      </c>
      <c r="G176">
        <v>810</v>
      </c>
      <c r="I176" t="s">
        <v>21</v>
      </c>
    </row>
    <row r="177" spans="1:9" x14ac:dyDescent="0.35">
      <c r="A177" t="s">
        <v>16</v>
      </c>
      <c r="C177" t="s">
        <v>14</v>
      </c>
      <c r="D177" s="1">
        <v>43756</v>
      </c>
      <c r="E177" t="s">
        <v>284</v>
      </c>
      <c r="F177" t="s">
        <v>46</v>
      </c>
      <c r="G177">
        <v>2500</v>
      </c>
      <c r="I177" t="s">
        <v>21</v>
      </c>
    </row>
    <row r="178" spans="1:9" x14ac:dyDescent="0.35">
      <c r="A178" t="s">
        <v>16</v>
      </c>
      <c r="C178" t="s">
        <v>14</v>
      </c>
      <c r="D178" s="1">
        <v>43756</v>
      </c>
      <c r="E178" s="2" t="s">
        <v>51</v>
      </c>
      <c r="G178">
        <v>1538.46</v>
      </c>
      <c r="I178" t="s">
        <v>21</v>
      </c>
    </row>
    <row r="179" spans="1:9" x14ac:dyDescent="0.35">
      <c r="A179" t="s">
        <v>16</v>
      </c>
      <c r="C179" t="s">
        <v>14</v>
      </c>
      <c r="D179" s="1">
        <v>43756</v>
      </c>
      <c r="E179" t="s">
        <v>285</v>
      </c>
      <c r="F179" t="s">
        <v>47</v>
      </c>
      <c r="G179">
        <v>5961.54</v>
      </c>
      <c r="I179" t="s">
        <v>21</v>
      </c>
    </row>
    <row r="180" spans="1:9" x14ac:dyDescent="0.35">
      <c r="A180" t="s">
        <v>16</v>
      </c>
      <c r="C180" t="s">
        <v>14</v>
      </c>
      <c r="D180" s="1">
        <v>43756</v>
      </c>
      <c r="E180" t="s">
        <v>286</v>
      </c>
      <c r="F180" t="s">
        <v>34</v>
      </c>
      <c r="G180">
        <v>3807.69</v>
      </c>
      <c r="I180" t="s">
        <v>21</v>
      </c>
    </row>
    <row r="181" spans="1:9" x14ac:dyDescent="0.35">
      <c r="A181" t="s">
        <v>16</v>
      </c>
      <c r="C181" t="s">
        <v>14</v>
      </c>
      <c r="D181" s="1">
        <v>43756</v>
      </c>
      <c r="E181" s="2" t="s">
        <v>52</v>
      </c>
      <c r="G181">
        <v>3153.85</v>
      </c>
      <c r="I181" t="s">
        <v>21</v>
      </c>
    </row>
    <row r="182" spans="1:9" x14ac:dyDescent="0.35">
      <c r="A182" t="s">
        <v>16</v>
      </c>
      <c r="C182" t="s">
        <v>14</v>
      </c>
      <c r="D182" s="1">
        <v>43756</v>
      </c>
      <c r="E182" t="s">
        <v>287</v>
      </c>
      <c r="F182" t="s">
        <v>48</v>
      </c>
      <c r="G182">
        <v>650</v>
      </c>
      <c r="I182" t="s">
        <v>21</v>
      </c>
    </row>
    <row r="183" spans="1:9" x14ac:dyDescent="0.35">
      <c r="A183" t="s">
        <v>16</v>
      </c>
      <c r="C183" t="s">
        <v>14</v>
      </c>
      <c r="D183" s="1">
        <v>43756</v>
      </c>
      <c r="E183" t="s">
        <v>260</v>
      </c>
      <c r="F183" t="s">
        <v>23</v>
      </c>
      <c r="G183">
        <v>295.18</v>
      </c>
      <c r="I183" t="s">
        <v>18</v>
      </c>
    </row>
    <row r="184" spans="1:9" x14ac:dyDescent="0.35">
      <c r="A184" t="s">
        <v>16</v>
      </c>
      <c r="C184" t="s">
        <v>14</v>
      </c>
      <c r="D184" s="1">
        <v>43756</v>
      </c>
      <c r="E184" t="s">
        <v>260</v>
      </c>
      <c r="F184" t="s">
        <v>23</v>
      </c>
      <c r="G184">
        <v>-295.18</v>
      </c>
      <c r="I184" t="s">
        <v>20</v>
      </c>
    </row>
    <row r="185" spans="1:9" x14ac:dyDescent="0.35">
      <c r="A185" t="s">
        <v>16</v>
      </c>
      <c r="C185" t="s">
        <v>14</v>
      </c>
      <c r="D185" s="1">
        <v>43756</v>
      </c>
      <c r="E185" t="s">
        <v>261</v>
      </c>
      <c r="F185" t="s">
        <v>24</v>
      </c>
      <c r="G185">
        <v>266.42</v>
      </c>
      <c r="I185" t="s">
        <v>18</v>
      </c>
    </row>
    <row r="186" spans="1:9" x14ac:dyDescent="0.35">
      <c r="A186" t="s">
        <v>16</v>
      </c>
      <c r="C186" t="s">
        <v>14</v>
      </c>
      <c r="D186" s="1">
        <v>43756</v>
      </c>
      <c r="E186" t="s">
        <v>261</v>
      </c>
      <c r="F186" t="s">
        <v>24</v>
      </c>
      <c r="G186">
        <v>-266.42</v>
      </c>
      <c r="I186" t="s">
        <v>20</v>
      </c>
    </row>
    <row r="187" spans="1:9" x14ac:dyDescent="0.35">
      <c r="A187" t="s">
        <v>16</v>
      </c>
      <c r="C187" t="s">
        <v>14</v>
      </c>
      <c r="D187" s="1">
        <v>43756</v>
      </c>
      <c r="E187" s="2" t="s">
        <v>49</v>
      </c>
      <c r="G187">
        <v>582.34</v>
      </c>
      <c r="I187" t="s">
        <v>18</v>
      </c>
    </row>
    <row r="188" spans="1:9" x14ac:dyDescent="0.35">
      <c r="A188" t="s">
        <v>16</v>
      </c>
      <c r="C188" t="s">
        <v>14</v>
      </c>
      <c r="D188" s="1">
        <v>43756</v>
      </c>
      <c r="E188" s="2" t="s">
        <v>49</v>
      </c>
      <c r="G188">
        <v>-582.34</v>
      </c>
      <c r="I188" t="s">
        <v>20</v>
      </c>
    </row>
    <row r="189" spans="1:9" x14ac:dyDescent="0.35">
      <c r="A189" t="s">
        <v>16</v>
      </c>
      <c r="C189" t="s">
        <v>14</v>
      </c>
      <c r="D189" s="1">
        <v>43756</v>
      </c>
      <c r="E189" t="s">
        <v>262</v>
      </c>
      <c r="F189" t="s">
        <v>25</v>
      </c>
      <c r="G189">
        <v>328.21</v>
      </c>
      <c r="I189" t="s">
        <v>18</v>
      </c>
    </row>
    <row r="190" spans="1:9" x14ac:dyDescent="0.35">
      <c r="A190" t="s">
        <v>16</v>
      </c>
      <c r="C190" t="s">
        <v>14</v>
      </c>
      <c r="D190" s="1">
        <v>43756</v>
      </c>
      <c r="E190" t="s">
        <v>262</v>
      </c>
      <c r="F190" t="s">
        <v>25</v>
      </c>
      <c r="G190">
        <v>-328.21</v>
      </c>
      <c r="I190" t="s">
        <v>20</v>
      </c>
    </row>
    <row r="191" spans="1:9" x14ac:dyDescent="0.35">
      <c r="A191" t="s">
        <v>16</v>
      </c>
      <c r="C191" t="s">
        <v>14</v>
      </c>
      <c r="D191" s="1">
        <v>43756</v>
      </c>
      <c r="E191" t="s">
        <v>263</v>
      </c>
      <c r="F191" t="s">
        <v>26</v>
      </c>
      <c r="G191">
        <v>147.68</v>
      </c>
      <c r="I191" t="s">
        <v>18</v>
      </c>
    </row>
    <row r="192" spans="1:9" x14ac:dyDescent="0.35">
      <c r="A192" t="s">
        <v>16</v>
      </c>
      <c r="C192" t="s">
        <v>14</v>
      </c>
      <c r="D192" s="1">
        <v>43756</v>
      </c>
      <c r="E192" t="s">
        <v>263</v>
      </c>
      <c r="F192" t="s">
        <v>26</v>
      </c>
      <c r="G192">
        <v>-147.68</v>
      </c>
      <c r="I192" t="s">
        <v>20</v>
      </c>
    </row>
    <row r="193" spans="1:9" x14ac:dyDescent="0.35">
      <c r="A193" t="s">
        <v>16</v>
      </c>
      <c r="C193" t="s">
        <v>14</v>
      </c>
      <c r="D193" s="1">
        <v>43756</v>
      </c>
      <c r="E193" t="s">
        <v>264</v>
      </c>
      <c r="F193" t="s">
        <v>27</v>
      </c>
      <c r="G193">
        <v>140.82</v>
      </c>
      <c r="I193" t="s">
        <v>18</v>
      </c>
    </row>
    <row r="194" spans="1:9" x14ac:dyDescent="0.35">
      <c r="A194" t="s">
        <v>16</v>
      </c>
      <c r="C194" t="s">
        <v>14</v>
      </c>
      <c r="D194" s="1">
        <v>43756</v>
      </c>
      <c r="E194" t="s">
        <v>264</v>
      </c>
      <c r="F194" t="s">
        <v>27</v>
      </c>
      <c r="G194">
        <v>-140.82</v>
      </c>
      <c r="I194" t="s">
        <v>20</v>
      </c>
    </row>
    <row r="195" spans="1:9" x14ac:dyDescent="0.35">
      <c r="A195" t="s">
        <v>16</v>
      </c>
      <c r="C195" t="s">
        <v>14</v>
      </c>
      <c r="D195" s="1">
        <v>43756</v>
      </c>
      <c r="E195" t="s">
        <v>265</v>
      </c>
      <c r="F195" t="s">
        <v>28</v>
      </c>
      <c r="G195">
        <v>788.66</v>
      </c>
      <c r="I195" t="s">
        <v>18</v>
      </c>
    </row>
    <row r="196" spans="1:9" x14ac:dyDescent="0.35">
      <c r="A196" t="s">
        <v>16</v>
      </c>
      <c r="C196" t="s">
        <v>14</v>
      </c>
      <c r="D196" s="1">
        <v>43756</v>
      </c>
      <c r="E196" t="s">
        <v>265</v>
      </c>
      <c r="F196" t="s">
        <v>28</v>
      </c>
      <c r="G196">
        <v>-788.66</v>
      </c>
      <c r="I196" t="s">
        <v>20</v>
      </c>
    </row>
    <row r="197" spans="1:9" x14ac:dyDescent="0.35">
      <c r="A197" t="s">
        <v>16</v>
      </c>
      <c r="C197" t="s">
        <v>14</v>
      </c>
      <c r="D197" s="1">
        <v>43756</v>
      </c>
      <c r="E197" t="s">
        <v>266</v>
      </c>
      <c r="F197" t="s">
        <v>29</v>
      </c>
      <c r="G197">
        <v>834.38</v>
      </c>
      <c r="I197" t="s">
        <v>18</v>
      </c>
    </row>
    <row r="198" spans="1:9" x14ac:dyDescent="0.35">
      <c r="A198" t="s">
        <v>16</v>
      </c>
      <c r="C198" t="s">
        <v>14</v>
      </c>
      <c r="D198" s="1">
        <v>43756</v>
      </c>
      <c r="E198" t="s">
        <v>266</v>
      </c>
      <c r="F198" t="s">
        <v>29</v>
      </c>
      <c r="G198">
        <v>-834.38</v>
      </c>
      <c r="I198" t="s">
        <v>20</v>
      </c>
    </row>
    <row r="199" spans="1:9" x14ac:dyDescent="0.35">
      <c r="A199" t="s">
        <v>16</v>
      </c>
      <c r="C199" t="s">
        <v>14</v>
      </c>
      <c r="D199" s="1">
        <v>43756</v>
      </c>
      <c r="E199" t="s">
        <v>267</v>
      </c>
      <c r="F199" t="s">
        <v>30</v>
      </c>
      <c r="G199">
        <v>296.13</v>
      </c>
      <c r="I199" t="s">
        <v>18</v>
      </c>
    </row>
    <row r="200" spans="1:9" x14ac:dyDescent="0.35">
      <c r="A200" t="s">
        <v>16</v>
      </c>
      <c r="C200" t="s">
        <v>14</v>
      </c>
      <c r="D200" s="1">
        <v>43756</v>
      </c>
      <c r="E200" t="s">
        <v>267</v>
      </c>
      <c r="F200" t="s">
        <v>30</v>
      </c>
      <c r="G200">
        <v>-296.13</v>
      </c>
      <c r="I200" t="s">
        <v>20</v>
      </c>
    </row>
    <row r="201" spans="1:9" x14ac:dyDescent="0.35">
      <c r="A201" t="s">
        <v>16</v>
      </c>
      <c r="C201" t="s">
        <v>14</v>
      </c>
      <c r="D201" s="1">
        <v>43756</v>
      </c>
      <c r="E201" t="s">
        <v>268</v>
      </c>
      <c r="F201" t="s">
        <v>31</v>
      </c>
      <c r="G201">
        <v>826.14</v>
      </c>
      <c r="I201" t="s">
        <v>18</v>
      </c>
    </row>
    <row r="202" spans="1:9" x14ac:dyDescent="0.35">
      <c r="A202" t="s">
        <v>16</v>
      </c>
      <c r="C202" t="s">
        <v>14</v>
      </c>
      <c r="D202" s="1">
        <v>43756</v>
      </c>
      <c r="E202" t="s">
        <v>268</v>
      </c>
      <c r="F202" t="s">
        <v>31</v>
      </c>
      <c r="G202">
        <v>-826.14</v>
      </c>
      <c r="I202" t="s">
        <v>20</v>
      </c>
    </row>
    <row r="203" spans="1:9" x14ac:dyDescent="0.35">
      <c r="A203" t="s">
        <v>16</v>
      </c>
      <c r="C203" t="s">
        <v>14</v>
      </c>
      <c r="D203" s="1">
        <v>43756</v>
      </c>
      <c r="E203" t="s">
        <v>269</v>
      </c>
      <c r="F203" t="s">
        <v>32</v>
      </c>
      <c r="G203">
        <v>450.52</v>
      </c>
      <c r="I203" t="s">
        <v>18</v>
      </c>
    </row>
    <row r="204" spans="1:9" x14ac:dyDescent="0.35">
      <c r="A204" t="s">
        <v>16</v>
      </c>
      <c r="C204" t="s">
        <v>14</v>
      </c>
      <c r="D204" s="1">
        <v>43756</v>
      </c>
      <c r="E204" t="s">
        <v>269</v>
      </c>
      <c r="F204" t="s">
        <v>32</v>
      </c>
      <c r="G204">
        <v>-450.52</v>
      </c>
      <c r="I204" t="s">
        <v>20</v>
      </c>
    </row>
    <row r="205" spans="1:9" x14ac:dyDescent="0.35">
      <c r="A205" t="s">
        <v>16</v>
      </c>
      <c r="C205" t="s">
        <v>14</v>
      </c>
      <c r="D205" s="1">
        <v>43756</v>
      </c>
      <c r="E205" t="s">
        <v>17</v>
      </c>
      <c r="F205" t="s">
        <v>50</v>
      </c>
      <c r="G205">
        <v>138.86000000000001</v>
      </c>
      <c r="I205" t="s">
        <v>18</v>
      </c>
    </row>
    <row r="206" spans="1:9" x14ac:dyDescent="0.35">
      <c r="A206" t="s">
        <v>16</v>
      </c>
      <c r="C206" t="s">
        <v>14</v>
      </c>
      <c r="D206" s="1">
        <v>43756</v>
      </c>
      <c r="E206" t="s">
        <v>17</v>
      </c>
      <c r="F206" t="s">
        <v>50</v>
      </c>
      <c r="G206">
        <v>-138.86000000000001</v>
      </c>
      <c r="I206" t="s">
        <v>20</v>
      </c>
    </row>
    <row r="207" spans="1:9" x14ac:dyDescent="0.35">
      <c r="A207" t="s">
        <v>16</v>
      </c>
      <c r="C207" t="s">
        <v>14</v>
      </c>
      <c r="D207" s="1">
        <v>43756</v>
      </c>
      <c r="E207" t="s">
        <v>270</v>
      </c>
      <c r="F207" t="s">
        <v>33</v>
      </c>
      <c r="G207">
        <v>201.88</v>
      </c>
      <c r="I207" t="s">
        <v>18</v>
      </c>
    </row>
    <row r="208" spans="1:9" x14ac:dyDescent="0.35">
      <c r="A208" t="s">
        <v>16</v>
      </c>
      <c r="C208" t="s">
        <v>14</v>
      </c>
      <c r="D208" s="1">
        <v>43756</v>
      </c>
      <c r="E208" t="s">
        <v>270</v>
      </c>
      <c r="F208" t="s">
        <v>33</v>
      </c>
      <c r="G208">
        <v>-201.88</v>
      </c>
      <c r="I208" t="s">
        <v>20</v>
      </c>
    </row>
    <row r="209" spans="1:9" x14ac:dyDescent="0.35">
      <c r="A209" t="s">
        <v>16</v>
      </c>
      <c r="C209" t="s">
        <v>14</v>
      </c>
      <c r="D209" s="1">
        <v>43756</v>
      </c>
      <c r="E209" t="s">
        <v>271</v>
      </c>
      <c r="F209" t="s">
        <v>34</v>
      </c>
      <c r="G209">
        <v>120.14</v>
      </c>
      <c r="I209" t="s">
        <v>18</v>
      </c>
    </row>
    <row r="210" spans="1:9" x14ac:dyDescent="0.35">
      <c r="A210" t="s">
        <v>16</v>
      </c>
      <c r="C210" t="s">
        <v>14</v>
      </c>
      <c r="D210" s="1">
        <v>43756</v>
      </c>
      <c r="E210" t="s">
        <v>271</v>
      </c>
      <c r="F210" t="s">
        <v>34</v>
      </c>
      <c r="G210">
        <v>-120.14</v>
      </c>
      <c r="I210" t="s">
        <v>20</v>
      </c>
    </row>
    <row r="211" spans="1:9" x14ac:dyDescent="0.35">
      <c r="A211" t="s">
        <v>16</v>
      </c>
      <c r="C211" t="s">
        <v>14</v>
      </c>
      <c r="D211" s="1">
        <v>43756</v>
      </c>
      <c r="E211" t="s">
        <v>272</v>
      </c>
      <c r="F211" t="s">
        <v>35</v>
      </c>
      <c r="G211">
        <v>315.73</v>
      </c>
      <c r="I211" t="s">
        <v>18</v>
      </c>
    </row>
    <row r="212" spans="1:9" x14ac:dyDescent="0.35">
      <c r="A212" t="s">
        <v>16</v>
      </c>
      <c r="C212" t="s">
        <v>14</v>
      </c>
      <c r="D212" s="1">
        <v>43756</v>
      </c>
      <c r="E212" t="s">
        <v>272</v>
      </c>
      <c r="F212" t="s">
        <v>35</v>
      </c>
      <c r="G212">
        <v>-315.73</v>
      </c>
      <c r="I212" t="s">
        <v>20</v>
      </c>
    </row>
    <row r="213" spans="1:9" x14ac:dyDescent="0.35">
      <c r="A213" t="s">
        <v>16</v>
      </c>
      <c r="C213" t="s">
        <v>14</v>
      </c>
      <c r="D213" s="1">
        <v>43756</v>
      </c>
      <c r="E213" t="s">
        <v>273</v>
      </c>
      <c r="F213" t="s">
        <v>36</v>
      </c>
      <c r="G213">
        <v>172.02</v>
      </c>
      <c r="I213" t="s">
        <v>18</v>
      </c>
    </row>
    <row r="214" spans="1:9" x14ac:dyDescent="0.35">
      <c r="A214" t="s">
        <v>16</v>
      </c>
      <c r="C214" t="s">
        <v>14</v>
      </c>
      <c r="D214" s="1">
        <v>43756</v>
      </c>
      <c r="E214" t="s">
        <v>273</v>
      </c>
      <c r="F214" t="s">
        <v>36</v>
      </c>
      <c r="G214">
        <v>-172.02</v>
      </c>
      <c r="I214" t="s">
        <v>20</v>
      </c>
    </row>
    <row r="215" spans="1:9" x14ac:dyDescent="0.35">
      <c r="A215" t="s">
        <v>16</v>
      </c>
      <c r="C215" t="s">
        <v>14</v>
      </c>
      <c r="D215" s="1">
        <v>43756</v>
      </c>
      <c r="E215" t="s">
        <v>274</v>
      </c>
      <c r="F215" t="s">
        <v>37</v>
      </c>
      <c r="G215">
        <v>403.94</v>
      </c>
      <c r="I215" t="s">
        <v>18</v>
      </c>
    </row>
    <row r="216" spans="1:9" x14ac:dyDescent="0.35">
      <c r="A216" t="s">
        <v>16</v>
      </c>
      <c r="C216" t="s">
        <v>14</v>
      </c>
      <c r="D216" s="1">
        <v>43756</v>
      </c>
      <c r="E216" t="s">
        <v>274</v>
      </c>
      <c r="F216" t="s">
        <v>37</v>
      </c>
      <c r="G216">
        <v>-403.94</v>
      </c>
      <c r="I216" t="s">
        <v>20</v>
      </c>
    </row>
    <row r="217" spans="1:9" x14ac:dyDescent="0.35">
      <c r="A217" t="s">
        <v>16</v>
      </c>
      <c r="C217" t="s">
        <v>14</v>
      </c>
      <c r="D217" s="1">
        <v>43756</v>
      </c>
      <c r="E217" t="s">
        <v>275</v>
      </c>
      <c r="F217" t="s">
        <v>35</v>
      </c>
      <c r="G217">
        <v>736.74</v>
      </c>
      <c r="I217" t="s">
        <v>18</v>
      </c>
    </row>
    <row r="218" spans="1:9" x14ac:dyDescent="0.35">
      <c r="A218" t="s">
        <v>16</v>
      </c>
      <c r="C218" t="s">
        <v>14</v>
      </c>
      <c r="D218" s="1">
        <v>43756</v>
      </c>
      <c r="E218" t="s">
        <v>275</v>
      </c>
      <c r="F218" t="s">
        <v>35</v>
      </c>
      <c r="G218">
        <v>-736.74</v>
      </c>
      <c r="I218" t="s">
        <v>20</v>
      </c>
    </row>
    <row r="219" spans="1:9" x14ac:dyDescent="0.35">
      <c r="A219" t="s">
        <v>16</v>
      </c>
      <c r="C219" t="s">
        <v>14</v>
      </c>
      <c r="D219" s="1">
        <v>43756</v>
      </c>
      <c r="E219" t="s">
        <v>276</v>
      </c>
      <c r="F219" t="s">
        <v>38</v>
      </c>
      <c r="G219">
        <v>302.93</v>
      </c>
      <c r="I219" t="s">
        <v>18</v>
      </c>
    </row>
    <row r="220" spans="1:9" x14ac:dyDescent="0.35">
      <c r="A220" t="s">
        <v>16</v>
      </c>
      <c r="C220" t="s">
        <v>14</v>
      </c>
      <c r="D220" s="1">
        <v>43756</v>
      </c>
      <c r="E220" t="s">
        <v>276</v>
      </c>
      <c r="F220" t="s">
        <v>38</v>
      </c>
      <c r="G220">
        <v>-302.93</v>
      </c>
      <c r="I220" t="s">
        <v>20</v>
      </c>
    </row>
    <row r="221" spans="1:9" x14ac:dyDescent="0.35">
      <c r="A221" t="s">
        <v>16</v>
      </c>
      <c r="C221" t="s">
        <v>14</v>
      </c>
      <c r="D221" s="1">
        <v>43756</v>
      </c>
      <c r="E221" t="s">
        <v>277</v>
      </c>
      <c r="F221" t="s">
        <v>39</v>
      </c>
      <c r="G221">
        <v>170.19</v>
      </c>
      <c r="I221" t="s">
        <v>18</v>
      </c>
    </row>
    <row r="222" spans="1:9" x14ac:dyDescent="0.35">
      <c r="A222" t="s">
        <v>16</v>
      </c>
      <c r="C222" t="s">
        <v>14</v>
      </c>
      <c r="D222" s="1">
        <v>43756</v>
      </c>
      <c r="E222" t="s">
        <v>277</v>
      </c>
      <c r="F222" t="s">
        <v>39</v>
      </c>
      <c r="G222">
        <v>-170.19</v>
      </c>
      <c r="I222" t="s">
        <v>20</v>
      </c>
    </row>
    <row r="223" spans="1:9" x14ac:dyDescent="0.35">
      <c r="A223" t="s">
        <v>16</v>
      </c>
      <c r="C223" t="s">
        <v>14</v>
      </c>
      <c r="D223" s="1">
        <v>43756</v>
      </c>
      <c r="E223" t="s">
        <v>278</v>
      </c>
      <c r="F223" t="s">
        <v>40</v>
      </c>
      <c r="G223">
        <v>755.59</v>
      </c>
      <c r="I223" t="s">
        <v>18</v>
      </c>
    </row>
    <row r="224" spans="1:9" x14ac:dyDescent="0.35">
      <c r="A224" t="s">
        <v>16</v>
      </c>
      <c r="C224" t="s">
        <v>14</v>
      </c>
      <c r="D224" s="1">
        <v>43756</v>
      </c>
      <c r="E224" t="s">
        <v>278</v>
      </c>
      <c r="F224" t="s">
        <v>40</v>
      </c>
      <c r="G224">
        <v>-755.59</v>
      </c>
      <c r="I224" t="s">
        <v>20</v>
      </c>
    </row>
    <row r="225" spans="1:9" x14ac:dyDescent="0.35">
      <c r="A225" t="s">
        <v>16</v>
      </c>
      <c r="C225" t="s">
        <v>14</v>
      </c>
      <c r="D225" s="1">
        <v>43756</v>
      </c>
      <c r="E225" t="s">
        <v>279</v>
      </c>
      <c r="F225" t="s">
        <v>41</v>
      </c>
      <c r="G225">
        <v>458.16</v>
      </c>
      <c r="I225" t="s">
        <v>18</v>
      </c>
    </row>
    <row r="226" spans="1:9" x14ac:dyDescent="0.35">
      <c r="A226" t="s">
        <v>16</v>
      </c>
      <c r="C226" t="s">
        <v>14</v>
      </c>
      <c r="D226" s="1">
        <v>43756</v>
      </c>
      <c r="E226" t="s">
        <v>279</v>
      </c>
      <c r="F226" t="s">
        <v>41</v>
      </c>
      <c r="G226">
        <v>-458.16</v>
      </c>
      <c r="I226" t="s">
        <v>20</v>
      </c>
    </row>
    <row r="227" spans="1:9" x14ac:dyDescent="0.35">
      <c r="A227" t="s">
        <v>16</v>
      </c>
      <c r="C227" t="s">
        <v>14</v>
      </c>
      <c r="D227" s="1">
        <v>43756</v>
      </c>
      <c r="E227" t="s">
        <v>280</v>
      </c>
      <c r="F227" t="s">
        <v>42</v>
      </c>
      <c r="G227">
        <v>1006.48</v>
      </c>
      <c r="I227" t="s">
        <v>18</v>
      </c>
    </row>
    <row r="228" spans="1:9" x14ac:dyDescent="0.35">
      <c r="A228" t="s">
        <v>16</v>
      </c>
      <c r="C228" t="s">
        <v>14</v>
      </c>
      <c r="D228" s="1">
        <v>43756</v>
      </c>
      <c r="E228" t="s">
        <v>280</v>
      </c>
      <c r="F228" t="s">
        <v>42</v>
      </c>
      <c r="G228">
        <v>-1006.48</v>
      </c>
      <c r="I228" t="s">
        <v>20</v>
      </c>
    </row>
    <row r="229" spans="1:9" x14ac:dyDescent="0.35">
      <c r="A229" t="s">
        <v>16</v>
      </c>
      <c r="C229" t="s">
        <v>14</v>
      </c>
      <c r="D229" s="1">
        <v>43756</v>
      </c>
      <c r="E229" t="s">
        <v>281</v>
      </c>
      <c r="F229" t="s">
        <v>43</v>
      </c>
      <c r="G229">
        <v>388.64</v>
      </c>
      <c r="I229" t="s">
        <v>18</v>
      </c>
    </row>
    <row r="230" spans="1:9" x14ac:dyDescent="0.35">
      <c r="A230" t="s">
        <v>16</v>
      </c>
      <c r="C230" t="s">
        <v>14</v>
      </c>
      <c r="D230" s="1">
        <v>43756</v>
      </c>
      <c r="E230" t="s">
        <v>281</v>
      </c>
      <c r="F230" t="s">
        <v>43</v>
      </c>
      <c r="G230">
        <v>-388.64</v>
      </c>
      <c r="I230" t="s">
        <v>20</v>
      </c>
    </row>
    <row r="231" spans="1:9" x14ac:dyDescent="0.35">
      <c r="A231" t="s">
        <v>16</v>
      </c>
      <c r="C231" t="s">
        <v>14</v>
      </c>
      <c r="D231" s="1">
        <v>43756</v>
      </c>
      <c r="E231" t="s">
        <v>282</v>
      </c>
      <c r="F231" t="s">
        <v>44</v>
      </c>
      <c r="G231">
        <v>635.59</v>
      </c>
      <c r="I231" t="s">
        <v>18</v>
      </c>
    </row>
    <row r="232" spans="1:9" x14ac:dyDescent="0.35">
      <c r="A232" t="s">
        <v>16</v>
      </c>
      <c r="C232" t="s">
        <v>14</v>
      </c>
      <c r="D232" s="1">
        <v>43756</v>
      </c>
      <c r="E232" t="s">
        <v>282</v>
      </c>
      <c r="F232" t="s">
        <v>44</v>
      </c>
      <c r="G232">
        <v>-635.59</v>
      </c>
      <c r="I232" t="s">
        <v>20</v>
      </c>
    </row>
    <row r="233" spans="1:9" x14ac:dyDescent="0.35">
      <c r="A233" t="s">
        <v>16</v>
      </c>
      <c r="C233" t="s">
        <v>14</v>
      </c>
      <c r="D233" s="1">
        <v>43756</v>
      </c>
      <c r="E233" t="s">
        <v>283</v>
      </c>
      <c r="F233" t="s">
        <v>45</v>
      </c>
      <c r="G233">
        <v>162.51</v>
      </c>
      <c r="I233" t="s">
        <v>18</v>
      </c>
    </row>
    <row r="234" spans="1:9" x14ac:dyDescent="0.35">
      <c r="A234" t="s">
        <v>16</v>
      </c>
      <c r="C234" t="s">
        <v>14</v>
      </c>
      <c r="D234" s="1">
        <v>43756</v>
      </c>
      <c r="E234" t="s">
        <v>283</v>
      </c>
      <c r="F234" t="s">
        <v>45</v>
      </c>
      <c r="G234">
        <v>-162.51</v>
      </c>
      <c r="I234" t="s">
        <v>20</v>
      </c>
    </row>
    <row r="235" spans="1:9" x14ac:dyDescent="0.35">
      <c r="A235" t="s">
        <v>16</v>
      </c>
      <c r="C235" t="s">
        <v>14</v>
      </c>
      <c r="D235" s="1">
        <v>43756</v>
      </c>
      <c r="E235" t="s">
        <v>284</v>
      </c>
      <c r="F235" t="s">
        <v>46</v>
      </c>
      <c r="G235">
        <v>790.53</v>
      </c>
      <c r="I235" t="s">
        <v>18</v>
      </c>
    </row>
    <row r="236" spans="1:9" x14ac:dyDescent="0.35">
      <c r="A236" t="s">
        <v>16</v>
      </c>
      <c r="C236" t="s">
        <v>14</v>
      </c>
      <c r="D236" s="1">
        <v>43756</v>
      </c>
      <c r="E236" t="s">
        <v>284</v>
      </c>
      <c r="F236" t="s">
        <v>46</v>
      </c>
      <c r="G236">
        <v>-790.53</v>
      </c>
      <c r="I236" t="s">
        <v>20</v>
      </c>
    </row>
    <row r="237" spans="1:9" x14ac:dyDescent="0.35">
      <c r="A237" t="s">
        <v>16</v>
      </c>
      <c r="C237" t="s">
        <v>14</v>
      </c>
      <c r="D237" s="1">
        <v>43756</v>
      </c>
      <c r="E237" s="2" t="s">
        <v>51</v>
      </c>
      <c r="G237">
        <v>339.61</v>
      </c>
      <c r="I237" t="s">
        <v>18</v>
      </c>
    </row>
    <row r="238" spans="1:9" x14ac:dyDescent="0.35">
      <c r="A238" t="s">
        <v>16</v>
      </c>
      <c r="C238" t="s">
        <v>14</v>
      </c>
      <c r="D238" s="1">
        <v>43756</v>
      </c>
      <c r="E238" s="2" t="s">
        <v>51</v>
      </c>
      <c r="G238">
        <v>-339.61</v>
      </c>
      <c r="I238" t="s">
        <v>20</v>
      </c>
    </row>
    <row r="239" spans="1:9" x14ac:dyDescent="0.35">
      <c r="A239" t="s">
        <v>16</v>
      </c>
      <c r="C239" t="s">
        <v>14</v>
      </c>
      <c r="D239" s="1">
        <v>43756</v>
      </c>
      <c r="E239" t="s">
        <v>285</v>
      </c>
      <c r="F239" t="s">
        <v>47</v>
      </c>
      <c r="G239">
        <v>1916.81</v>
      </c>
      <c r="I239" t="s">
        <v>18</v>
      </c>
    </row>
    <row r="240" spans="1:9" x14ac:dyDescent="0.35">
      <c r="A240" t="s">
        <v>16</v>
      </c>
      <c r="C240" t="s">
        <v>14</v>
      </c>
      <c r="D240" s="1">
        <v>43756</v>
      </c>
      <c r="E240" t="s">
        <v>285</v>
      </c>
      <c r="F240" t="s">
        <v>47</v>
      </c>
      <c r="G240">
        <v>-1916.81</v>
      </c>
      <c r="I240" t="s">
        <v>20</v>
      </c>
    </row>
    <row r="241" spans="1:9" x14ac:dyDescent="0.35">
      <c r="A241" t="s">
        <v>16</v>
      </c>
      <c r="C241" t="s">
        <v>14</v>
      </c>
      <c r="D241" s="1">
        <v>43756</v>
      </c>
      <c r="E241" t="s">
        <v>286</v>
      </c>
      <c r="F241" t="s">
        <v>34</v>
      </c>
      <c r="G241">
        <v>1081.3</v>
      </c>
      <c r="I241" t="s">
        <v>18</v>
      </c>
    </row>
    <row r="242" spans="1:9" x14ac:dyDescent="0.35">
      <c r="A242" t="s">
        <v>16</v>
      </c>
      <c r="C242" t="s">
        <v>14</v>
      </c>
      <c r="D242" s="1">
        <v>43756</v>
      </c>
      <c r="E242" t="s">
        <v>286</v>
      </c>
      <c r="F242" t="s">
        <v>34</v>
      </c>
      <c r="G242">
        <v>-1081.3</v>
      </c>
      <c r="I242" t="s">
        <v>20</v>
      </c>
    </row>
    <row r="243" spans="1:9" x14ac:dyDescent="0.35">
      <c r="A243" t="s">
        <v>16</v>
      </c>
      <c r="C243" t="s">
        <v>14</v>
      </c>
      <c r="D243" s="1">
        <v>43756</v>
      </c>
      <c r="E243" s="2" t="s">
        <v>52</v>
      </c>
      <c r="G243">
        <v>950.49</v>
      </c>
      <c r="I243" t="s">
        <v>18</v>
      </c>
    </row>
    <row r="244" spans="1:9" x14ac:dyDescent="0.35">
      <c r="A244" t="s">
        <v>16</v>
      </c>
      <c r="C244" t="s">
        <v>14</v>
      </c>
      <c r="D244" s="1">
        <v>43756</v>
      </c>
      <c r="E244" s="2" t="s">
        <v>52</v>
      </c>
      <c r="G244">
        <v>-950.49</v>
      </c>
      <c r="I244" t="s">
        <v>20</v>
      </c>
    </row>
    <row r="245" spans="1:9" x14ac:dyDescent="0.35">
      <c r="A245" t="s">
        <v>16</v>
      </c>
      <c r="C245" t="s">
        <v>14</v>
      </c>
      <c r="D245" s="1">
        <v>43756</v>
      </c>
      <c r="E245" t="s">
        <v>287</v>
      </c>
      <c r="F245" t="s">
        <v>48</v>
      </c>
      <c r="G245">
        <v>165.43</v>
      </c>
      <c r="I245" t="s">
        <v>18</v>
      </c>
    </row>
    <row r="246" spans="1:9" x14ac:dyDescent="0.35">
      <c r="A246" t="s">
        <v>16</v>
      </c>
      <c r="C246" t="s">
        <v>14</v>
      </c>
      <c r="D246" s="1">
        <v>43756</v>
      </c>
      <c r="E246" t="s">
        <v>287</v>
      </c>
      <c r="F246" t="s">
        <v>48</v>
      </c>
      <c r="G246">
        <v>-165.43</v>
      </c>
      <c r="I246" t="s">
        <v>20</v>
      </c>
    </row>
    <row r="247" spans="1:9" x14ac:dyDescent="0.35">
      <c r="A247" t="s">
        <v>22</v>
      </c>
    </row>
  </sheetData>
  <sortState ref="A2:I247">
    <sortCondition ref="E2:E247"/>
    <sortCondition ref="F2:F247"/>
    <sortCondition ref="I2:I24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alary"/>
  <dimension ref="B1:M35"/>
  <sheetViews>
    <sheetView tabSelected="1" workbookViewId="0">
      <selection activeCell="L4" sqref="L4:L35"/>
    </sheetView>
  </sheetViews>
  <sheetFormatPr defaultRowHeight="14.5" x14ac:dyDescent="0.35"/>
  <cols>
    <col min="1" max="1" width="3.453125" customWidth="1"/>
    <col min="2" max="2" width="8" customWidth="1"/>
    <col min="3" max="3" width="5.7265625" bestFit="1" customWidth="1"/>
    <col min="4" max="4" width="21.81640625" customWidth="1"/>
    <col min="5" max="6" width="9.453125" bestFit="1" customWidth="1"/>
    <col min="7" max="7" width="8.453125" bestFit="1" customWidth="1"/>
    <col min="8" max="8" width="9.453125" bestFit="1" customWidth="1"/>
    <col min="9" max="9" width="8.453125" bestFit="1" customWidth="1"/>
    <col min="10" max="11" width="9.453125" bestFit="1" customWidth="1"/>
    <col min="12" max="12" width="10.453125" bestFit="1" customWidth="1"/>
    <col min="13" max="13" width="9.453125" bestFit="1" customWidth="1"/>
  </cols>
  <sheetData>
    <row r="1" spans="2:13" s="8" customFormat="1" x14ac:dyDescent="0.35">
      <c r="B1" s="8" t="s">
        <v>59</v>
      </c>
      <c r="D1" s="9">
        <v>43815.565069444441</v>
      </c>
    </row>
    <row r="2" spans="2:13" s="8" customFormat="1" x14ac:dyDescent="0.35">
      <c r="B2" s="8" t="s">
        <v>60</v>
      </c>
      <c r="D2" s="9">
        <v>43756</v>
      </c>
    </row>
    <row r="3" spans="2:13" s="10" customFormat="1" x14ac:dyDescent="0.35">
      <c r="B3" s="11" t="s">
        <v>245</v>
      </c>
      <c r="C3" s="11" t="s">
        <v>288</v>
      </c>
      <c r="D3" s="11" t="s">
        <v>58</v>
      </c>
      <c r="E3" s="12">
        <v>43658</v>
      </c>
      <c r="F3" s="12">
        <f>E3+14</f>
        <v>43672</v>
      </c>
      <c r="G3" s="12">
        <f t="shared" ref="G3:M3" si="0">F3+14</f>
        <v>43686</v>
      </c>
      <c r="H3" s="12">
        <f t="shared" si="0"/>
        <v>43700</v>
      </c>
      <c r="I3" s="12">
        <f t="shared" si="0"/>
        <v>43714</v>
      </c>
      <c r="J3" s="12">
        <f t="shared" si="0"/>
        <v>43728</v>
      </c>
      <c r="K3" s="12">
        <f t="shared" si="0"/>
        <v>43742</v>
      </c>
      <c r="L3" s="12">
        <f>K3+14</f>
        <v>43756</v>
      </c>
      <c r="M3" s="12">
        <f t="shared" si="0"/>
        <v>43770</v>
      </c>
    </row>
    <row r="4" spans="2:13" x14ac:dyDescent="0.35">
      <c r="B4" s="2" t="s">
        <v>260</v>
      </c>
      <c r="C4" t="s">
        <v>23</v>
      </c>
      <c r="D4" s="74" t="s">
        <v>106</v>
      </c>
      <c r="K4">
        <v>117.59</v>
      </c>
      <c r="L4">
        <v>117.59</v>
      </c>
    </row>
    <row r="5" spans="2:13" x14ac:dyDescent="0.35">
      <c r="B5" s="2" t="s">
        <v>261</v>
      </c>
      <c r="C5" t="s">
        <v>24</v>
      </c>
      <c r="D5" s="74" t="s">
        <v>108</v>
      </c>
      <c r="K5">
        <v>127.34</v>
      </c>
      <c r="L5">
        <v>127.34</v>
      </c>
    </row>
    <row r="6" spans="2:13" x14ac:dyDescent="0.35">
      <c r="B6" s="2" t="s">
        <v>262</v>
      </c>
      <c r="C6" t="s">
        <v>25</v>
      </c>
      <c r="D6" s="74" t="s">
        <v>110</v>
      </c>
      <c r="K6">
        <v>133.47</v>
      </c>
      <c r="L6">
        <v>133.47</v>
      </c>
    </row>
    <row r="7" spans="2:13" x14ac:dyDescent="0.35">
      <c r="B7" s="2" t="s">
        <v>263</v>
      </c>
      <c r="C7" t="s">
        <v>26</v>
      </c>
      <c r="D7" s="74" t="s">
        <v>111</v>
      </c>
      <c r="K7">
        <v>55.91</v>
      </c>
      <c r="L7">
        <v>55.91</v>
      </c>
    </row>
    <row r="8" spans="2:13" x14ac:dyDescent="0.35">
      <c r="B8" s="2" t="s">
        <v>264</v>
      </c>
      <c r="C8" t="s">
        <v>27</v>
      </c>
      <c r="D8" s="74" t="s">
        <v>113</v>
      </c>
      <c r="K8">
        <v>59.43</v>
      </c>
      <c r="L8">
        <v>59.43</v>
      </c>
    </row>
    <row r="9" spans="2:13" x14ac:dyDescent="0.35">
      <c r="B9" s="2" t="s">
        <v>265</v>
      </c>
      <c r="C9" t="s">
        <v>28</v>
      </c>
      <c r="D9" s="74" t="s">
        <v>114</v>
      </c>
      <c r="K9">
        <v>194.15</v>
      </c>
      <c r="L9">
        <v>194.15</v>
      </c>
    </row>
    <row r="10" spans="2:13" x14ac:dyDescent="0.35">
      <c r="B10" s="2" t="s">
        <v>266</v>
      </c>
      <c r="C10" t="s">
        <v>29</v>
      </c>
      <c r="D10" s="74" t="s">
        <v>115</v>
      </c>
      <c r="K10">
        <v>197.56</v>
      </c>
      <c r="L10">
        <v>197.56</v>
      </c>
    </row>
    <row r="11" spans="2:13" x14ac:dyDescent="0.35">
      <c r="B11" s="2" t="s">
        <v>267</v>
      </c>
      <c r="C11" t="s">
        <v>30</v>
      </c>
      <c r="D11" s="74" t="s">
        <v>116</v>
      </c>
      <c r="K11">
        <v>122.89</v>
      </c>
      <c r="L11">
        <v>122.89</v>
      </c>
    </row>
    <row r="12" spans="2:13" x14ac:dyDescent="0.35">
      <c r="B12" s="2" t="s">
        <v>268</v>
      </c>
      <c r="C12" t="s">
        <v>31</v>
      </c>
      <c r="D12" s="74" t="s">
        <v>117</v>
      </c>
      <c r="K12">
        <v>240.96</v>
      </c>
      <c r="L12">
        <v>240.96</v>
      </c>
    </row>
    <row r="13" spans="2:13" x14ac:dyDescent="0.35">
      <c r="B13" s="2" t="s">
        <v>269</v>
      </c>
      <c r="C13" t="s">
        <v>32</v>
      </c>
      <c r="D13" s="83" t="s">
        <v>118</v>
      </c>
      <c r="K13">
        <v>159.65</v>
      </c>
      <c r="L13">
        <v>159.65</v>
      </c>
    </row>
    <row r="14" spans="2:13" x14ac:dyDescent="0.35">
      <c r="B14" s="2" t="s">
        <v>17</v>
      </c>
      <c r="C14" t="s">
        <v>50</v>
      </c>
      <c r="D14" s="74" t="s">
        <v>119</v>
      </c>
      <c r="K14">
        <v>64.52</v>
      </c>
      <c r="L14">
        <v>64.52</v>
      </c>
    </row>
    <row r="15" spans="2:13" x14ac:dyDescent="0.35">
      <c r="B15" s="2" t="s">
        <v>270</v>
      </c>
      <c r="C15" t="s">
        <v>33</v>
      </c>
      <c r="D15" s="84" t="s">
        <v>120</v>
      </c>
      <c r="K15">
        <v>92.82</v>
      </c>
      <c r="L15">
        <v>92.82</v>
      </c>
    </row>
    <row r="16" spans="2:13" x14ac:dyDescent="0.35">
      <c r="B16" s="2" t="s">
        <v>271</v>
      </c>
      <c r="C16" t="s">
        <v>34</v>
      </c>
      <c r="D16" s="84" t="s">
        <v>121</v>
      </c>
      <c r="K16">
        <v>31.55</v>
      </c>
      <c r="L16">
        <v>31.55</v>
      </c>
    </row>
    <row r="17" spans="2:12" x14ac:dyDescent="0.35">
      <c r="B17" s="2" t="s">
        <v>272</v>
      </c>
      <c r="C17" t="s">
        <v>35</v>
      </c>
      <c r="D17" s="84" t="s">
        <v>122</v>
      </c>
      <c r="K17">
        <v>72.650000000000006</v>
      </c>
      <c r="L17">
        <v>72.650000000000006</v>
      </c>
    </row>
    <row r="18" spans="2:12" x14ac:dyDescent="0.35">
      <c r="B18" s="2" t="s">
        <v>273</v>
      </c>
      <c r="C18" t="s">
        <v>36</v>
      </c>
      <c r="D18" s="74" t="s">
        <v>123</v>
      </c>
      <c r="K18">
        <v>80.61</v>
      </c>
      <c r="L18">
        <v>80.61</v>
      </c>
    </row>
    <row r="19" spans="2:12" x14ac:dyDescent="0.35">
      <c r="B19" s="2" t="s">
        <v>274</v>
      </c>
      <c r="C19" t="s">
        <v>37</v>
      </c>
      <c r="D19" s="74" t="s">
        <v>124</v>
      </c>
      <c r="K19">
        <v>150.72999999999999</v>
      </c>
      <c r="L19">
        <v>150.72999999999999</v>
      </c>
    </row>
    <row r="20" spans="2:12" x14ac:dyDescent="0.35">
      <c r="B20" s="2" t="s">
        <v>275</v>
      </c>
      <c r="C20" t="s">
        <v>35</v>
      </c>
      <c r="D20" s="74" t="s">
        <v>125</v>
      </c>
      <c r="K20">
        <v>169.52</v>
      </c>
      <c r="L20">
        <v>169.52</v>
      </c>
    </row>
    <row r="21" spans="2:12" x14ac:dyDescent="0.35">
      <c r="B21" s="2" t="s">
        <v>276</v>
      </c>
      <c r="C21" t="s">
        <v>38</v>
      </c>
      <c r="D21" s="74" t="s">
        <v>126</v>
      </c>
      <c r="K21">
        <v>100.73</v>
      </c>
      <c r="L21">
        <v>100.73</v>
      </c>
    </row>
    <row r="22" spans="2:12" x14ac:dyDescent="0.35">
      <c r="B22" s="2" t="s">
        <v>277</v>
      </c>
      <c r="C22" t="s">
        <v>39</v>
      </c>
      <c r="D22" s="74" t="s">
        <v>127</v>
      </c>
      <c r="K22">
        <v>75.33</v>
      </c>
      <c r="L22">
        <v>75.33</v>
      </c>
    </row>
    <row r="23" spans="2:12" x14ac:dyDescent="0.35">
      <c r="B23" s="2" t="s">
        <v>278</v>
      </c>
      <c r="C23" t="s">
        <v>40</v>
      </c>
      <c r="D23" s="83" t="s">
        <v>128</v>
      </c>
      <c r="K23">
        <v>183.7</v>
      </c>
      <c r="L23">
        <v>183.7</v>
      </c>
    </row>
    <row r="24" spans="2:12" x14ac:dyDescent="0.35">
      <c r="B24" s="2" t="s">
        <v>279</v>
      </c>
      <c r="C24" t="s">
        <v>41</v>
      </c>
      <c r="D24" s="74" t="s">
        <v>130</v>
      </c>
      <c r="K24">
        <v>160.77000000000001</v>
      </c>
      <c r="L24">
        <v>160.77000000000001</v>
      </c>
    </row>
    <row r="25" spans="2:12" x14ac:dyDescent="0.35">
      <c r="B25" s="2" t="s">
        <v>280</v>
      </c>
      <c r="C25" t="s">
        <v>42</v>
      </c>
      <c r="D25" s="74" t="s">
        <v>131</v>
      </c>
      <c r="K25">
        <v>241.27</v>
      </c>
      <c r="L25">
        <v>241.27</v>
      </c>
    </row>
    <row r="26" spans="2:12" x14ac:dyDescent="0.35">
      <c r="B26" s="2" t="s">
        <v>281</v>
      </c>
      <c r="C26" t="s">
        <v>43</v>
      </c>
      <c r="D26" s="74" t="s">
        <v>132</v>
      </c>
      <c r="K26">
        <v>133.78</v>
      </c>
      <c r="L26">
        <v>133.78</v>
      </c>
    </row>
    <row r="27" spans="2:12" x14ac:dyDescent="0.35">
      <c r="B27" s="2" t="s">
        <v>282</v>
      </c>
      <c r="C27" t="s">
        <v>44</v>
      </c>
      <c r="D27" s="74" t="s">
        <v>133</v>
      </c>
      <c r="K27">
        <v>221.07</v>
      </c>
      <c r="L27">
        <v>221.07</v>
      </c>
    </row>
    <row r="28" spans="2:12" x14ac:dyDescent="0.35">
      <c r="B28" s="2" t="s">
        <v>283</v>
      </c>
      <c r="C28" t="s">
        <v>45</v>
      </c>
      <c r="D28" s="74" t="s">
        <v>134</v>
      </c>
      <c r="K28">
        <v>84.65</v>
      </c>
      <c r="L28">
        <v>84.65</v>
      </c>
    </row>
    <row r="29" spans="2:12" x14ac:dyDescent="0.35">
      <c r="B29" s="2" t="s">
        <v>284</v>
      </c>
      <c r="C29" t="s">
        <v>46</v>
      </c>
      <c r="D29" s="74" t="s">
        <v>135</v>
      </c>
      <c r="K29">
        <v>253.47</v>
      </c>
      <c r="L29">
        <v>253.47</v>
      </c>
    </row>
    <row r="30" spans="2:12" x14ac:dyDescent="0.35">
      <c r="B30" s="2" t="s">
        <v>285</v>
      </c>
      <c r="C30" t="s">
        <v>47</v>
      </c>
      <c r="D30" s="74" t="s">
        <v>137</v>
      </c>
      <c r="K30">
        <v>449.91</v>
      </c>
      <c r="L30">
        <v>449.91</v>
      </c>
    </row>
    <row r="31" spans="2:12" x14ac:dyDescent="0.35">
      <c r="B31" s="2" t="s">
        <v>286</v>
      </c>
      <c r="C31" t="s">
        <v>34</v>
      </c>
      <c r="D31" s="74" t="s">
        <v>138</v>
      </c>
      <c r="K31">
        <v>283.95999999999998</v>
      </c>
      <c r="L31">
        <v>283.95999999999998</v>
      </c>
    </row>
    <row r="32" spans="2:12" x14ac:dyDescent="0.35">
      <c r="B32" s="2" t="s">
        <v>287</v>
      </c>
      <c r="C32" t="s">
        <v>48</v>
      </c>
      <c r="D32" s="74" t="s">
        <v>140</v>
      </c>
      <c r="K32">
        <v>67.92</v>
      </c>
      <c r="L32">
        <v>67.92</v>
      </c>
    </row>
    <row r="33" spans="2:12" x14ac:dyDescent="0.35">
      <c r="B33" s="2" t="s">
        <v>49</v>
      </c>
      <c r="L33">
        <v>217.81</v>
      </c>
    </row>
    <row r="34" spans="2:12" x14ac:dyDescent="0.35">
      <c r="B34" s="2" t="s">
        <v>51</v>
      </c>
      <c r="L34">
        <v>160.76</v>
      </c>
    </row>
    <row r="35" spans="2:12" x14ac:dyDescent="0.35">
      <c r="B35" s="2" t="s">
        <v>52</v>
      </c>
      <c r="L35">
        <v>233.11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AP"/>
  <dimension ref="A1:AQ123"/>
  <sheetViews>
    <sheetView workbookViewId="0">
      <selection activeCell="C7" sqref="C7:C118"/>
    </sheetView>
  </sheetViews>
  <sheetFormatPr defaultColWidth="8.81640625" defaultRowHeight="14.5" x14ac:dyDescent="0.35"/>
  <cols>
    <col min="1" max="1" width="9.1796875" bestFit="1" customWidth="1"/>
    <col min="2" max="3" width="9.1796875" customWidth="1"/>
    <col min="4" max="4" width="34.7265625" style="124" customWidth="1"/>
    <col min="5" max="5" width="28.7265625" customWidth="1"/>
    <col min="6" max="6" width="10.1796875" customWidth="1"/>
    <col min="7" max="11" width="12" customWidth="1"/>
    <col min="12" max="12" width="15" customWidth="1"/>
    <col min="13" max="37" width="12" customWidth="1"/>
    <col min="41" max="41" width="10.54296875" style="122" customWidth="1"/>
    <col min="42" max="42" width="4.7265625" customWidth="1"/>
    <col min="43" max="43" width="28.1796875" style="123" customWidth="1"/>
  </cols>
  <sheetData>
    <row r="1" spans="1:43" s="48" customFormat="1" ht="54" thickBot="1" x14ac:dyDescent="0.5">
      <c r="A1" s="42"/>
      <c r="B1" s="42"/>
      <c r="C1" s="42"/>
      <c r="D1" s="128" t="s">
        <v>99</v>
      </c>
      <c r="E1" s="43"/>
      <c r="F1" s="44"/>
      <c r="G1" s="13" t="s">
        <v>61</v>
      </c>
      <c r="H1" s="14" t="s">
        <v>62</v>
      </c>
      <c r="I1" s="14" t="s">
        <v>63</v>
      </c>
      <c r="J1" s="14" t="s">
        <v>64</v>
      </c>
      <c r="K1" s="15" t="s">
        <v>65</v>
      </c>
      <c r="L1" s="15" t="s">
        <v>66</v>
      </c>
      <c r="M1" s="15" t="s">
        <v>67</v>
      </c>
      <c r="N1" s="15" t="s">
        <v>68</v>
      </c>
      <c r="O1" s="16" t="s">
        <v>69</v>
      </c>
      <c r="P1" s="16" t="s">
        <v>70</v>
      </c>
      <c r="Q1" s="16" t="s">
        <v>71</v>
      </c>
      <c r="R1" s="17" t="s">
        <v>72</v>
      </c>
      <c r="S1" s="17" t="s">
        <v>73</v>
      </c>
      <c r="T1" s="18" t="s">
        <v>74</v>
      </c>
      <c r="U1" s="17" t="s">
        <v>75</v>
      </c>
      <c r="V1" s="13" t="s">
        <v>76</v>
      </c>
      <c r="W1" s="13" t="s">
        <v>77</v>
      </c>
      <c r="X1" s="13" t="s">
        <v>78</v>
      </c>
      <c r="Y1" s="13" t="s">
        <v>79</v>
      </c>
      <c r="Z1" s="13" t="s">
        <v>80</v>
      </c>
      <c r="AA1" s="19" t="s">
        <v>81</v>
      </c>
      <c r="AB1" s="20" t="s">
        <v>82</v>
      </c>
      <c r="AC1" s="20" t="s">
        <v>83</v>
      </c>
      <c r="AD1" s="20" t="s">
        <v>84</v>
      </c>
      <c r="AE1" s="21" t="s">
        <v>85</v>
      </c>
      <c r="AF1" s="21" t="s">
        <v>86</v>
      </c>
      <c r="AG1" s="21" t="s">
        <v>87</v>
      </c>
      <c r="AH1" s="21" t="s">
        <v>88</v>
      </c>
      <c r="AI1" s="22" t="s">
        <v>89</v>
      </c>
      <c r="AJ1" s="23" t="s">
        <v>90</v>
      </c>
      <c r="AK1" s="23" t="s">
        <v>91</v>
      </c>
      <c r="AL1" s="23" t="s">
        <v>92</v>
      </c>
      <c r="AM1" s="23" t="s">
        <v>93</v>
      </c>
      <c r="AN1" s="23" t="s">
        <v>94</v>
      </c>
      <c r="AO1" s="45" t="s">
        <v>100</v>
      </c>
      <c r="AP1" s="46"/>
      <c r="AQ1" s="47"/>
    </row>
    <row r="2" spans="1:43" s="48" customFormat="1" thickBot="1" x14ac:dyDescent="0.45">
      <c r="A2" s="42"/>
      <c r="B2" s="42"/>
      <c r="C2" s="42"/>
      <c r="D2" s="128"/>
      <c r="E2" s="49" t="s">
        <v>101</v>
      </c>
      <c r="F2" s="50"/>
      <c r="G2" s="24" t="s">
        <v>95</v>
      </c>
      <c r="H2" s="25" t="s">
        <v>95</v>
      </c>
      <c r="I2" s="26"/>
      <c r="J2" s="26"/>
      <c r="K2" s="26" t="s">
        <v>95</v>
      </c>
      <c r="L2" s="26" t="s">
        <v>95</v>
      </c>
      <c r="M2" s="26"/>
      <c r="N2" s="26" t="s">
        <v>95</v>
      </c>
      <c r="O2" s="27" t="s">
        <v>95</v>
      </c>
      <c r="P2" s="27" t="s">
        <v>95</v>
      </c>
      <c r="Q2" s="27" t="s">
        <v>95</v>
      </c>
      <c r="R2" s="28" t="s">
        <v>95</v>
      </c>
      <c r="S2" s="28" t="s">
        <v>95</v>
      </c>
      <c r="T2" s="24"/>
      <c r="U2" s="17" t="s">
        <v>95</v>
      </c>
      <c r="V2" s="29" t="s">
        <v>95</v>
      </c>
      <c r="W2" s="29"/>
      <c r="X2" s="29"/>
      <c r="Y2" s="29"/>
      <c r="Z2" s="29" t="s">
        <v>95</v>
      </c>
      <c r="AA2" s="19" t="s">
        <v>95</v>
      </c>
      <c r="AB2" s="19">
        <v>90000</v>
      </c>
      <c r="AC2" s="19" t="s">
        <v>95</v>
      </c>
      <c r="AD2" s="19"/>
      <c r="AE2" s="21" t="s">
        <v>95</v>
      </c>
      <c r="AF2" s="21"/>
      <c r="AG2" s="21"/>
      <c r="AH2" s="30">
        <v>45000</v>
      </c>
      <c r="AI2" s="26"/>
      <c r="AJ2" s="31" t="s">
        <v>95</v>
      </c>
      <c r="AK2" s="31" t="s">
        <v>95</v>
      </c>
      <c r="AL2" s="32" t="s">
        <v>95</v>
      </c>
      <c r="AM2" s="32" t="s">
        <v>95</v>
      </c>
      <c r="AN2" s="33" t="s">
        <v>95</v>
      </c>
      <c r="AO2" s="51"/>
      <c r="AP2" s="52"/>
      <c r="AQ2" s="53"/>
    </row>
    <row r="3" spans="1:43" s="48" customFormat="1" ht="15.75" customHeight="1" thickBot="1" x14ac:dyDescent="0.45">
      <c r="A3" s="42"/>
      <c r="B3" s="42"/>
      <c r="C3" s="42"/>
      <c r="D3" s="128"/>
      <c r="E3" s="50"/>
      <c r="F3" s="50" t="s">
        <v>102</v>
      </c>
      <c r="G3" s="34"/>
      <c r="H3" s="35"/>
      <c r="I3" s="35"/>
      <c r="J3" s="35"/>
      <c r="K3" s="35"/>
      <c r="L3" s="35"/>
      <c r="M3" s="35"/>
      <c r="N3" s="35"/>
      <c r="O3" s="36"/>
      <c r="P3" s="36"/>
      <c r="Q3" s="36"/>
      <c r="R3" s="34"/>
      <c r="S3" s="34"/>
      <c r="T3" s="34"/>
      <c r="U3" s="34"/>
      <c r="V3" s="29"/>
      <c r="W3" s="29"/>
      <c r="X3" s="29"/>
      <c r="Y3" s="29"/>
      <c r="Z3" s="29"/>
      <c r="AA3" s="34"/>
      <c r="AB3" s="37"/>
      <c r="AC3" s="38" t="s">
        <v>96</v>
      </c>
      <c r="AD3" s="39"/>
      <c r="AE3" s="34"/>
      <c r="AF3" s="34"/>
      <c r="AG3" s="34"/>
      <c r="AH3" s="34"/>
      <c r="AI3" s="35"/>
      <c r="AJ3" s="40"/>
      <c r="AK3" s="40"/>
      <c r="AL3" s="41"/>
      <c r="AM3" s="41"/>
      <c r="AN3" s="40"/>
      <c r="AO3" s="54"/>
      <c r="AP3" s="52"/>
      <c r="AQ3" s="53"/>
    </row>
    <row r="4" spans="1:43" s="43" customFormat="1" ht="4.9000000000000004" customHeight="1" thickBot="1" x14ac:dyDescent="0.45">
      <c r="A4" s="42"/>
      <c r="B4" s="42"/>
      <c r="C4" s="42"/>
      <c r="D4" s="128"/>
      <c r="E4" s="55"/>
      <c r="F4" s="50" t="s">
        <v>103</v>
      </c>
      <c r="G4" s="56"/>
      <c r="H4" s="57"/>
      <c r="I4" s="57"/>
      <c r="J4" s="57"/>
      <c r="K4" s="57"/>
      <c r="L4" s="57"/>
      <c r="M4" s="57"/>
      <c r="N4" s="57"/>
      <c r="O4" s="58"/>
      <c r="P4" s="58"/>
      <c r="Q4" s="58"/>
      <c r="R4" s="34"/>
      <c r="S4" s="34"/>
      <c r="T4" s="34"/>
      <c r="U4" s="56"/>
      <c r="V4" s="29"/>
      <c r="W4" s="29"/>
      <c r="X4" s="29"/>
      <c r="Y4" s="29"/>
      <c r="Z4" s="29"/>
      <c r="AA4" s="56"/>
      <c r="AB4" s="56"/>
      <c r="AC4" s="59"/>
      <c r="AD4" s="56"/>
      <c r="AE4" s="56"/>
      <c r="AF4" s="56"/>
      <c r="AG4" s="56"/>
      <c r="AH4" s="56"/>
      <c r="AI4" s="57"/>
      <c r="AJ4" s="60"/>
      <c r="AK4" s="60"/>
      <c r="AL4" s="60"/>
      <c r="AM4" s="60"/>
      <c r="AN4" s="60"/>
      <c r="AO4" s="54"/>
      <c r="AP4" s="52"/>
      <c r="AQ4" s="53"/>
    </row>
    <row r="5" spans="1:43" s="48" customFormat="1" ht="16.5" customHeight="1" x14ac:dyDescent="0.55000000000000004">
      <c r="A5" s="42"/>
      <c r="B5" s="42"/>
      <c r="C5" s="42"/>
      <c r="D5" s="128"/>
      <c r="E5" s="61"/>
      <c r="F5" s="61"/>
      <c r="G5" s="62">
        <v>1</v>
      </c>
      <c r="H5" s="62">
        <v>2</v>
      </c>
      <c r="I5" s="62">
        <v>3</v>
      </c>
      <c r="J5" s="62">
        <v>4</v>
      </c>
      <c r="K5" s="62">
        <v>5</v>
      </c>
      <c r="L5" s="62">
        <v>6</v>
      </c>
      <c r="M5" s="62">
        <v>7</v>
      </c>
      <c r="N5" s="62">
        <v>8</v>
      </c>
      <c r="O5" s="62">
        <v>9</v>
      </c>
      <c r="P5" s="62">
        <v>10</v>
      </c>
      <c r="Q5" s="62">
        <v>11</v>
      </c>
      <c r="R5" s="62">
        <v>12</v>
      </c>
      <c r="S5" s="62">
        <v>13</v>
      </c>
      <c r="T5" s="62">
        <v>14</v>
      </c>
      <c r="U5" s="62">
        <v>15</v>
      </c>
      <c r="V5" s="62">
        <v>16</v>
      </c>
      <c r="W5" s="62">
        <v>17</v>
      </c>
      <c r="X5" s="62">
        <v>18</v>
      </c>
      <c r="Y5" s="62">
        <v>19</v>
      </c>
      <c r="Z5" s="62">
        <v>20</v>
      </c>
      <c r="AA5" s="62">
        <v>21</v>
      </c>
      <c r="AB5" s="62">
        <v>22</v>
      </c>
      <c r="AC5" s="62">
        <v>23</v>
      </c>
      <c r="AD5" s="62">
        <v>24</v>
      </c>
      <c r="AE5" s="62">
        <v>25</v>
      </c>
      <c r="AF5" s="62">
        <v>26</v>
      </c>
      <c r="AG5" s="62">
        <v>27</v>
      </c>
      <c r="AH5" s="62">
        <v>28</v>
      </c>
      <c r="AI5" s="62">
        <v>29</v>
      </c>
      <c r="AJ5" s="62">
        <v>30</v>
      </c>
      <c r="AK5" s="62">
        <v>31</v>
      </c>
      <c r="AL5" s="62">
        <v>32</v>
      </c>
      <c r="AM5" s="62">
        <v>33</v>
      </c>
      <c r="AN5" s="62">
        <v>34</v>
      </c>
      <c r="AO5" s="63"/>
      <c r="AQ5" s="64"/>
    </row>
    <row r="6" spans="1:43" s="72" customFormat="1" ht="18" customHeight="1" x14ac:dyDescent="0.35">
      <c r="A6" s="65" t="s">
        <v>258</v>
      </c>
      <c r="B6" s="65" t="s">
        <v>245</v>
      </c>
      <c r="C6" s="65" t="s">
        <v>259</v>
      </c>
      <c r="D6" s="66" t="s">
        <v>104</v>
      </c>
      <c r="E6" s="67" t="s">
        <v>105</v>
      </c>
      <c r="F6" s="68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70"/>
      <c r="AJ6" s="69"/>
      <c r="AK6" s="69"/>
      <c r="AL6" s="69"/>
      <c r="AM6" s="69"/>
      <c r="AN6" s="69"/>
      <c r="AO6" s="71"/>
      <c r="AQ6" s="73"/>
    </row>
    <row r="7" spans="1:43" s="48" customFormat="1" ht="15" x14ac:dyDescent="0.4">
      <c r="A7">
        <v>1</v>
      </c>
      <c r="B7" s="2" t="s">
        <v>260</v>
      </c>
      <c r="C7">
        <f>MATCH(B7,Salary!B:B,0)</f>
        <v>4</v>
      </c>
      <c r="D7" s="74" t="s">
        <v>106</v>
      </c>
      <c r="E7" s="75" t="s">
        <v>107</v>
      </c>
      <c r="F7" s="50"/>
      <c r="G7" s="76"/>
      <c r="H7" s="77"/>
      <c r="I7" s="77"/>
      <c r="J7" s="77"/>
      <c r="K7" s="76"/>
      <c r="L7" s="76"/>
      <c r="M7" s="76"/>
      <c r="N7" s="76"/>
      <c r="O7" s="76"/>
      <c r="P7" s="76"/>
      <c r="Q7" s="76">
        <v>1</v>
      </c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8"/>
      <c r="AJ7" s="76"/>
      <c r="AK7" s="76"/>
      <c r="AL7" s="76"/>
      <c r="AM7" s="76"/>
      <c r="AN7" s="76"/>
      <c r="AO7" s="79">
        <f t="shared" ref="AO7:AO36" si="0">SUM(H7:AN7)</f>
        <v>1</v>
      </c>
      <c r="AQ7" s="64" t="str">
        <f t="shared" ref="AQ7:AQ70" si="1">D7</f>
        <v>AIKEN-SANZONE, Charlene</v>
      </c>
    </row>
    <row r="8" spans="1:43" s="48" customFormat="1" ht="15" x14ac:dyDescent="0.4">
      <c r="A8">
        <v>2</v>
      </c>
      <c r="B8" s="2" t="s">
        <v>261</v>
      </c>
      <c r="C8">
        <f>MATCH(B8,Salary!B:B,0)</f>
        <v>5</v>
      </c>
      <c r="D8" s="74" t="s">
        <v>108</v>
      </c>
      <c r="E8" s="75" t="s">
        <v>109</v>
      </c>
      <c r="F8" s="50"/>
      <c r="G8" s="76"/>
      <c r="H8" s="77"/>
      <c r="I8" s="77"/>
      <c r="J8" s="77"/>
      <c r="K8" s="76"/>
      <c r="L8" s="76"/>
      <c r="M8" s="76"/>
      <c r="N8" s="76"/>
      <c r="O8" s="76"/>
      <c r="P8" s="80">
        <v>1</v>
      </c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8"/>
      <c r="AJ8" s="76"/>
      <c r="AK8" s="76"/>
      <c r="AL8" s="76"/>
      <c r="AM8" s="76"/>
      <c r="AN8" s="76"/>
      <c r="AO8" s="79">
        <f t="shared" si="0"/>
        <v>1</v>
      </c>
      <c r="AQ8" s="64" t="str">
        <f t="shared" si="1"/>
        <v>AIKEN-SANZONE, Charlene June 30</v>
      </c>
    </row>
    <row r="9" spans="1:43" s="48" customFormat="1" ht="15" x14ac:dyDescent="0.4">
      <c r="A9">
        <v>3</v>
      </c>
      <c r="B9" s="2" t="s">
        <v>262</v>
      </c>
      <c r="C9">
        <f>MATCH(B9,Salary!B:B,0)</f>
        <v>6</v>
      </c>
      <c r="D9" s="74" t="s">
        <v>110</v>
      </c>
      <c r="E9" s="75" t="s">
        <v>97</v>
      </c>
      <c r="F9" s="50"/>
      <c r="G9" s="76"/>
      <c r="H9" s="77">
        <v>0.65</v>
      </c>
      <c r="I9" s="77"/>
      <c r="J9" s="77"/>
      <c r="K9" s="76"/>
      <c r="L9" s="81">
        <v>0.35</v>
      </c>
      <c r="M9" s="76"/>
      <c r="N9" s="76"/>
      <c r="O9" s="76"/>
      <c r="P9" s="80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8"/>
      <c r="AJ9" s="76"/>
      <c r="AK9" s="76"/>
      <c r="AL9" s="76"/>
      <c r="AM9" s="76"/>
      <c r="AN9" s="76"/>
      <c r="AO9" s="79">
        <f t="shared" si="0"/>
        <v>1</v>
      </c>
      <c r="AQ9" s="64" t="str">
        <f t="shared" si="1"/>
        <v>ALFORD, Sebrania R.</v>
      </c>
    </row>
    <row r="10" spans="1:43" s="48" customFormat="1" ht="15" x14ac:dyDescent="0.4">
      <c r="A10">
        <v>4</v>
      </c>
      <c r="B10" s="2" t="s">
        <v>263</v>
      </c>
      <c r="C10">
        <f>MATCH(B10,Salary!B:B,0)</f>
        <v>7</v>
      </c>
      <c r="D10" s="74" t="s">
        <v>111</v>
      </c>
      <c r="E10" s="75" t="s">
        <v>112</v>
      </c>
      <c r="F10" s="50"/>
      <c r="G10" s="76"/>
      <c r="H10" s="77"/>
      <c r="I10" s="77"/>
      <c r="J10" s="77"/>
      <c r="K10" s="76"/>
      <c r="L10" s="76"/>
      <c r="M10" s="76"/>
      <c r="N10" s="76"/>
      <c r="O10" s="76"/>
      <c r="P10" s="80"/>
      <c r="Q10" s="76"/>
      <c r="R10" s="76"/>
      <c r="S10" s="76"/>
      <c r="T10" s="76"/>
      <c r="U10" s="76"/>
      <c r="V10" s="76">
        <v>1</v>
      </c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8"/>
      <c r="AJ10" s="76"/>
      <c r="AK10" s="76"/>
      <c r="AL10" s="76"/>
      <c r="AM10" s="76"/>
      <c r="AN10" s="76"/>
      <c r="AO10" s="79">
        <f t="shared" si="0"/>
        <v>1</v>
      </c>
      <c r="AQ10" s="64" t="str">
        <f t="shared" si="1"/>
        <v>ALMANZAR, Alberto</v>
      </c>
    </row>
    <row r="11" spans="1:43" s="48" customFormat="1" ht="15" x14ac:dyDescent="0.4">
      <c r="A11">
        <v>5</v>
      </c>
      <c r="B11" s="2" t="s">
        <v>264</v>
      </c>
      <c r="C11">
        <f>MATCH(B11,Salary!B:B,0)</f>
        <v>8</v>
      </c>
      <c r="D11" s="74" t="s">
        <v>113</v>
      </c>
      <c r="E11" s="75" t="s">
        <v>97</v>
      </c>
      <c r="F11" s="50"/>
      <c r="G11" s="76"/>
      <c r="H11" s="77">
        <v>0.5</v>
      </c>
      <c r="I11" s="77"/>
      <c r="J11" s="77"/>
      <c r="K11" s="76"/>
      <c r="L11" s="76"/>
      <c r="M11" s="76"/>
      <c r="N11" s="76">
        <v>0.5</v>
      </c>
      <c r="O11" s="76"/>
      <c r="P11" s="80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8"/>
      <c r="AJ11" s="76"/>
      <c r="AK11" s="76"/>
      <c r="AL11" s="76"/>
      <c r="AM11" s="76"/>
      <c r="AN11" s="76"/>
      <c r="AO11" s="79">
        <f t="shared" si="0"/>
        <v>1</v>
      </c>
      <c r="AQ11" s="64" t="str">
        <f t="shared" si="1"/>
        <v>ANDREWS, Cora - Summer</v>
      </c>
    </row>
    <row r="12" spans="1:43" s="48" customFormat="1" ht="15" x14ac:dyDescent="0.4">
      <c r="A12">
        <v>6</v>
      </c>
      <c r="B12" s="2" t="s">
        <v>265</v>
      </c>
      <c r="C12">
        <f>MATCH(B12,Salary!B:B,0)</f>
        <v>9</v>
      </c>
      <c r="D12" s="74" t="s">
        <v>114</v>
      </c>
      <c r="E12" s="75" t="s">
        <v>97</v>
      </c>
      <c r="F12" s="50"/>
      <c r="G12" s="76"/>
      <c r="H12" s="77">
        <v>0.77</v>
      </c>
      <c r="I12" s="77"/>
      <c r="J12" s="77"/>
      <c r="K12" s="76"/>
      <c r="L12" s="76">
        <v>0.23</v>
      </c>
      <c r="M12" s="76"/>
      <c r="N12" s="76"/>
      <c r="O12" s="76"/>
      <c r="P12" s="80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8"/>
      <c r="AJ12" s="76"/>
      <c r="AK12" s="76"/>
      <c r="AL12" s="76"/>
      <c r="AM12" s="76"/>
      <c r="AN12" s="76"/>
      <c r="AO12" s="79">
        <f t="shared" si="0"/>
        <v>1</v>
      </c>
      <c r="AQ12" s="64" t="str">
        <f t="shared" si="1"/>
        <v>ANDREWS, Cora</v>
      </c>
    </row>
    <row r="13" spans="1:43" s="48" customFormat="1" ht="15" x14ac:dyDescent="0.4">
      <c r="A13">
        <v>7</v>
      </c>
      <c r="B13" s="2" t="s">
        <v>266</v>
      </c>
      <c r="C13">
        <f>MATCH(B13,Salary!B:B,0)</f>
        <v>10</v>
      </c>
      <c r="D13" s="74" t="s">
        <v>115</v>
      </c>
      <c r="E13" s="75" t="s">
        <v>107</v>
      </c>
      <c r="F13" s="50"/>
      <c r="G13" s="76"/>
      <c r="H13" s="77"/>
      <c r="I13" s="77"/>
      <c r="J13" s="77"/>
      <c r="K13" s="76"/>
      <c r="L13" s="76"/>
      <c r="M13" s="76"/>
      <c r="N13" s="76"/>
      <c r="O13" s="76"/>
      <c r="P13" s="80"/>
      <c r="Q13" s="76">
        <v>1</v>
      </c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8"/>
      <c r="AJ13" s="76"/>
      <c r="AK13" s="76"/>
      <c r="AL13" s="76"/>
      <c r="AM13" s="76"/>
      <c r="AN13" s="76"/>
      <c r="AO13" s="79">
        <f t="shared" si="0"/>
        <v>1</v>
      </c>
      <c r="AQ13" s="64" t="str">
        <f t="shared" si="1"/>
        <v>ANDREWS, Courtney A.</v>
      </c>
    </row>
    <row r="14" spans="1:43" s="48" customFormat="1" ht="15" x14ac:dyDescent="0.4">
      <c r="A14">
        <v>8</v>
      </c>
      <c r="B14" s="2" t="s">
        <v>267</v>
      </c>
      <c r="C14">
        <f>MATCH(B14,Salary!B:B,0)</f>
        <v>11</v>
      </c>
      <c r="D14" s="74" t="s">
        <v>116</v>
      </c>
      <c r="E14" s="75" t="s">
        <v>109</v>
      </c>
      <c r="F14" s="50"/>
      <c r="G14" s="76"/>
      <c r="H14" s="77"/>
      <c r="I14" s="77"/>
      <c r="J14" s="77"/>
      <c r="K14" s="76"/>
      <c r="L14" s="76"/>
      <c r="M14" s="76"/>
      <c r="N14" s="76"/>
      <c r="O14" s="76"/>
      <c r="P14" s="80">
        <v>1</v>
      </c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8"/>
      <c r="AJ14" s="76"/>
      <c r="AK14" s="76"/>
      <c r="AL14" s="76"/>
      <c r="AM14" s="76"/>
      <c r="AN14" s="76"/>
      <c r="AO14" s="79">
        <f t="shared" si="0"/>
        <v>1</v>
      </c>
      <c r="AP14" s="82"/>
      <c r="AQ14" s="64" t="str">
        <f t="shared" si="1"/>
        <v>BIRDSONG, Rhonda June 30</v>
      </c>
    </row>
    <row r="15" spans="1:43" s="48" customFormat="1" ht="15" x14ac:dyDescent="0.4">
      <c r="A15">
        <v>9</v>
      </c>
      <c r="B15" s="2" t="s">
        <v>268</v>
      </c>
      <c r="C15">
        <f>MATCH(B15,Salary!B:B,0)</f>
        <v>12</v>
      </c>
      <c r="D15" s="74" t="s">
        <v>117</v>
      </c>
      <c r="E15" s="75" t="s">
        <v>107</v>
      </c>
      <c r="F15" s="50"/>
      <c r="G15" s="76"/>
      <c r="H15" s="77"/>
      <c r="I15" s="77"/>
      <c r="J15" s="77"/>
      <c r="K15" s="76"/>
      <c r="L15" s="76"/>
      <c r="M15" s="76"/>
      <c r="N15" s="76"/>
      <c r="O15" s="76"/>
      <c r="P15" s="80"/>
      <c r="Q15" s="76">
        <v>1</v>
      </c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8"/>
      <c r="AJ15" s="76"/>
      <c r="AK15" s="76"/>
      <c r="AL15" s="76"/>
      <c r="AM15" s="76"/>
      <c r="AN15" s="76"/>
      <c r="AO15" s="79">
        <f t="shared" si="0"/>
        <v>1</v>
      </c>
      <c r="AP15" s="82"/>
      <c r="AQ15" s="64" t="str">
        <f t="shared" si="1"/>
        <v>Bizi, Raymond</v>
      </c>
    </row>
    <row r="16" spans="1:43" s="48" customFormat="1" ht="15" x14ac:dyDescent="0.4">
      <c r="A16">
        <v>10</v>
      </c>
      <c r="B16" s="2" t="s">
        <v>269</v>
      </c>
      <c r="C16">
        <f>MATCH(B16,Salary!B:B,0)</f>
        <v>13</v>
      </c>
      <c r="D16" s="83" t="s">
        <v>118</v>
      </c>
      <c r="E16" s="75" t="s">
        <v>97</v>
      </c>
      <c r="F16" s="50"/>
      <c r="G16" s="76"/>
      <c r="H16" s="77">
        <v>0</v>
      </c>
      <c r="I16" s="77">
        <v>1</v>
      </c>
      <c r="J16" s="77"/>
      <c r="K16" s="76"/>
      <c r="L16" s="76"/>
      <c r="M16" s="76"/>
      <c r="N16" s="76"/>
      <c r="O16" s="76"/>
      <c r="P16" s="80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8"/>
      <c r="AJ16" s="76"/>
      <c r="AK16" s="76"/>
      <c r="AL16" s="76"/>
      <c r="AM16" s="76"/>
      <c r="AN16" s="76"/>
      <c r="AO16" s="79">
        <f t="shared" si="0"/>
        <v>1</v>
      </c>
      <c r="AQ16" s="64" t="str">
        <f t="shared" si="1"/>
        <v>BROWN,Denise- Wrap</v>
      </c>
    </row>
    <row r="17" spans="1:43" s="48" customFormat="1" ht="15" x14ac:dyDescent="0.4">
      <c r="A17">
        <v>11</v>
      </c>
      <c r="B17" s="2" t="s">
        <v>17</v>
      </c>
      <c r="C17">
        <f>MATCH(B17,Salary!B:B,0)</f>
        <v>14</v>
      </c>
      <c r="D17" s="74" t="s">
        <v>119</v>
      </c>
      <c r="E17" s="75" t="s">
        <v>97</v>
      </c>
      <c r="F17" s="50"/>
      <c r="G17" s="76"/>
      <c r="H17" s="77"/>
      <c r="I17" s="77"/>
      <c r="J17" s="77"/>
      <c r="K17" s="76"/>
      <c r="L17" s="76"/>
      <c r="M17" s="76"/>
      <c r="N17" s="76">
        <v>1</v>
      </c>
      <c r="O17" s="76"/>
      <c r="P17" s="80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8"/>
      <c r="AJ17" s="76"/>
      <c r="AK17" s="76"/>
      <c r="AL17" s="76"/>
      <c r="AM17" s="76"/>
      <c r="AN17" s="76"/>
      <c r="AO17" s="79">
        <f t="shared" si="0"/>
        <v>1</v>
      </c>
      <c r="AQ17" s="64" t="str">
        <f t="shared" si="1"/>
        <v>BROWN,Denise - Summer</v>
      </c>
    </row>
    <row r="18" spans="1:43" s="48" customFormat="1" ht="15" x14ac:dyDescent="0.4">
      <c r="A18">
        <v>12</v>
      </c>
      <c r="B18" s="2" t="s">
        <v>270</v>
      </c>
      <c r="C18">
        <f>MATCH(B18,Salary!B:B,0)</f>
        <v>15</v>
      </c>
      <c r="D18" s="84" t="s">
        <v>120</v>
      </c>
      <c r="E18" s="75" t="s">
        <v>97</v>
      </c>
      <c r="F18" s="50"/>
      <c r="G18" s="76"/>
      <c r="H18" s="77">
        <v>0</v>
      </c>
      <c r="I18" s="77"/>
      <c r="J18" s="77"/>
      <c r="K18" s="76"/>
      <c r="L18" s="76"/>
      <c r="M18" s="76"/>
      <c r="N18" s="76">
        <v>1</v>
      </c>
      <c r="O18" s="76"/>
      <c r="P18" s="80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8"/>
      <c r="AJ18" s="76"/>
      <c r="AK18" s="76"/>
      <c r="AL18" s="76"/>
      <c r="AM18" s="76"/>
      <c r="AN18" s="76"/>
      <c r="AO18" s="79">
        <f t="shared" si="0"/>
        <v>1</v>
      </c>
      <c r="AQ18" s="64" t="str">
        <f t="shared" si="1"/>
        <v>BRYANT, Roni- Summer</v>
      </c>
    </row>
    <row r="19" spans="1:43" s="48" customFormat="1" ht="15" x14ac:dyDescent="0.4">
      <c r="A19">
        <v>13</v>
      </c>
      <c r="B19" s="2" t="s">
        <v>271</v>
      </c>
      <c r="C19">
        <f>MATCH(B19,Salary!B:B,0)</f>
        <v>16</v>
      </c>
      <c r="D19" s="84" t="s">
        <v>121</v>
      </c>
      <c r="E19" s="75" t="s">
        <v>97</v>
      </c>
      <c r="F19" s="50"/>
      <c r="G19" s="76"/>
      <c r="H19" s="77">
        <v>1</v>
      </c>
      <c r="I19" s="77"/>
      <c r="J19" s="77"/>
      <c r="K19" s="76"/>
      <c r="L19" s="76"/>
      <c r="M19" s="76"/>
      <c r="N19" s="76"/>
      <c r="O19" s="76"/>
      <c r="P19" s="80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8"/>
      <c r="AJ19" s="76"/>
      <c r="AK19" s="76"/>
      <c r="AL19" s="76"/>
      <c r="AM19" s="76"/>
      <c r="AN19" s="76"/>
      <c r="AO19" s="79">
        <f t="shared" si="0"/>
        <v>1</v>
      </c>
      <c r="AQ19" s="64" t="str">
        <f t="shared" si="1"/>
        <v>BRYANT, Roni</v>
      </c>
    </row>
    <row r="20" spans="1:43" s="48" customFormat="1" ht="15" x14ac:dyDescent="0.4">
      <c r="A20">
        <v>14</v>
      </c>
      <c r="B20" s="2" t="s">
        <v>272</v>
      </c>
      <c r="C20">
        <f>MATCH(B20,Salary!B:B,0)</f>
        <v>17</v>
      </c>
      <c r="D20" s="84" t="s">
        <v>122</v>
      </c>
      <c r="E20" s="75" t="s">
        <v>112</v>
      </c>
      <c r="F20" s="50"/>
      <c r="G20" s="76"/>
      <c r="H20" s="77"/>
      <c r="I20" s="77"/>
      <c r="J20" s="77"/>
      <c r="K20" s="76"/>
      <c r="L20" s="76"/>
      <c r="M20" s="76"/>
      <c r="N20" s="76"/>
      <c r="O20" s="76"/>
      <c r="P20" s="80"/>
      <c r="Q20" s="76"/>
      <c r="R20" s="76"/>
      <c r="S20" s="76"/>
      <c r="T20" s="76"/>
      <c r="U20" s="76"/>
      <c r="V20" s="76">
        <v>1</v>
      </c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8"/>
      <c r="AJ20" s="76"/>
      <c r="AK20" s="76"/>
      <c r="AL20" s="76"/>
      <c r="AM20" s="76"/>
      <c r="AN20" s="76"/>
      <c r="AO20" s="79">
        <f t="shared" si="0"/>
        <v>1</v>
      </c>
      <c r="AQ20" s="64" t="str">
        <f t="shared" si="1"/>
        <v>BUTLER, Ciji</v>
      </c>
    </row>
    <row r="21" spans="1:43" s="48" customFormat="1" ht="15" x14ac:dyDescent="0.4">
      <c r="A21">
        <v>15</v>
      </c>
      <c r="B21" s="2" t="s">
        <v>273</v>
      </c>
      <c r="C21">
        <f>MATCH(B21,Salary!B:B,0)</f>
        <v>18</v>
      </c>
      <c r="D21" s="74" t="s">
        <v>123</v>
      </c>
      <c r="E21" s="75" t="s">
        <v>107</v>
      </c>
      <c r="F21" s="50"/>
      <c r="G21" s="76"/>
      <c r="H21" s="77"/>
      <c r="I21" s="77"/>
      <c r="J21" s="77"/>
      <c r="K21" s="76"/>
      <c r="L21" s="76"/>
      <c r="M21" s="76"/>
      <c r="N21" s="76"/>
      <c r="O21" s="76"/>
      <c r="P21" s="80"/>
      <c r="Q21" s="76">
        <v>1</v>
      </c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8"/>
      <c r="AJ21" s="76"/>
      <c r="AK21" s="76"/>
      <c r="AL21" s="76"/>
      <c r="AM21" s="76"/>
      <c r="AN21" s="76"/>
      <c r="AO21" s="79">
        <f t="shared" si="0"/>
        <v>1</v>
      </c>
      <c r="AQ21" s="64" t="str">
        <f t="shared" si="1"/>
        <v>CAMPBELL, Nikiesha K.</v>
      </c>
    </row>
    <row r="22" spans="1:43" s="48" customFormat="1" ht="15" x14ac:dyDescent="0.4">
      <c r="A22">
        <v>16</v>
      </c>
      <c r="B22" s="2" t="s">
        <v>274</v>
      </c>
      <c r="C22">
        <f>MATCH(B22,Salary!B:B,0)</f>
        <v>19</v>
      </c>
      <c r="D22" s="74" t="s">
        <v>124</v>
      </c>
      <c r="E22" s="75" t="s">
        <v>97</v>
      </c>
      <c r="F22" s="50"/>
      <c r="G22" s="76"/>
      <c r="H22" s="77">
        <v>1</v>
      </c>
      <c r="I22" s="77"/>
      <c r="J22" s="77"/>
      <c r="K22" s="76"/>
      <c r="L22" s="76"/>
      <c r="M22" s="76"/>
      <c r="N22" s="76"/>
      <c r="O22" s="76"/>
      <c r="P22" s="80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8"/>
      <c r="AJ22" s="76"/>
      <c r="AK22" s="76"/>
      <c r="AL22" s="76"/>
      <c r="AM22" s="76"/>
      <c r="AN22" s="76"/>
      <c r="AO22" s="79">
        <f t="shared" si="0"/>
        <v>1</v>
      </c>
      <c r="AQ22" s="64" t="str">
        <f t="shared" si="1"/>
        <v>CASTELLANOS, Rita J.</v>
      </c>
    </row>
    <row r="23" spans="1:43" s="48" customFormat="1" ht="15" x14ac:dyDescent="0.4">
      <c r="A23">
        <v>17</v>
      </c>
      <c r="B23" s="2" t="s">
        <v>275</v>
      </c>
      <c r="C23">
        <f>MATCH(B23,Salary!B:B,0)</f>
        <v>20</v>
      </c>
      <c r="D23" s="74" t="s">
        <v>125</v>
      </c>
      <c r="E23" s="75" t="s">
        <v>112</v>
      </c>
      <c r="F23" s="50"/>
      <c r="G23" s="76"/>
      <c r="H23" s="77"/>
      <c r="I23" s="77"/>
      <c r="J23" s="77"/>
      <c r="K23" s="76"/>
      <c r="L23" s="76"/>
      <c r="M23" s="76"/>
      <c r="N23" s="76"/>
      <c r="O23" s="76"/>
      <c r="P23" s="80"/>
      <c r="Q23" s="76"/>
      <c r="R23" s="76"/>
      <c r="S23" s="76"/>
      <c r="T23" s="76"/>
      <c r="U23" s="76"/>
      <c r="V23" s="76">
        <v>1</v>
      </c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8"/>
      <c r="AJ23" s="76"/>
      <c r="AK23" s="76"/>
      <c r="AL23" s="76"/>
      <c r="AM23" s="76"/>
      <c r="AN23" s="76"/>
      <c r="AO23" s="79">
        <f t="shared" si="0"/>
        <v>1</v>
      </c>
      <c r="AQ23" s="64" t="str">
        <f t="shared" si="1"/>
        <v>CERNA, Irene</v>
      </c>
    </row>
    <row r="24" spans="1:43" s="48" customFormat="1" ht="15" x14ac:dyDescent="0.4">
      <c r="A24">
        <v>18</v>
      </c>
      <c r="B24" s="2" t="s">
        <v>276</v>
      </c>
      <c r="C24">
        <f>MATCH(B24,Salary!B:B,0)</f>
        <v>21</v>
      </c>
      <c r="D24" s="74" t="s">
        <v>126</v>
      </c>
      <c r="E24" s="75" t="s">
        <v>98</v>
      </c>
      <c r="F24" s="50"/>
      <c r="G24" s="76"/>
      <c r="H24" s="77"/>
      <c r="I24" s="77"/>
      <c r="J24" s="77"/>
      <c r="K24" s="76"/>
      <c r="L24" s="81">
        <v>1</v>
      </c>
      <c r="M24" s="76"/>
      <c r="N24" s="76"/>
      <c r="O24" s="76"/>
      <c r="P24" s="80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8"/>
      <c r="AJ24" s="76"/>
      <c r="AK24" s="76"/>
      <c r="AL24" s="76"/>
      <c r="AM24" s="76"/>
      <c r="AN24" s="76"/>
      <c r="AO24" s="79">
        <f t="shared" si="0"/>
        <v>1</v>
      </c>
      <c r="AQ24" s="64" t="str">
        <f t="shared" si="1"/>
        <v>COLEMAN, Zabrina J.</v>
      </c>
    </row>
    <row r="25" spans="1:43" s="48" customFormat="1" ht="15" x14ac:dyDescent="0.4">
      <c r="A25">
        <v>19</v>
      </c>
      <c r="B25" s="2" t="s">
        <v>277</v>
      </c>
      <c r="C25">
        <f>MATCH(B25,Salary!B:B,0)</f>
        <v>22</v>
      </c>
      <c r="D25" s="74" t="s">
        <v>127</v>
      </c>
      <c r="E25" s="75" t="s">
        <v>109</v>
      </c>
      <c r="F25" s="50"/>
      <c r="G25" s="76"/>
      <c r="H25" s="77"/>
      <c r="I25" s="77"/>
      <c r="J25" s="77"/>
      <c r="K25" s="76"/>
      <c r="L25" s="76"/>
      <c r="M25" s="76"/>
      <c r="N25" s="76"/>
      <c r="O25" s="76"/>
      <c r="P25" s="80">
        <v>1</v>
      </c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8"/>
      <c r="AJ25" s="76"/>
      <c r="AK25" s="76"/>
      <c r="AL25" s="76"/>
      <c r="AM25" s="76"/>
      <c r="AN25" s="76"/>
      <c r="AO25" s="79">
        <f t="shared" si="0"/>
        <v>1</v>
      </c>
      <c r="AQ25" s="64" t="str">
        <f t="shared" si="1"/>
        <v>COOPER, Cassandra June 30</v>
      </c>
    </row>
    <row r="26" spans="1:43" s="48" customFormat="1" ht="15" x14ac:dyDescent="0.4">
      <c r="A26">
        <v>20</v>
      </c>
      <c r="B26" s="2" t="s">
        <v>278</v>
      </c>
      <c r="C26">
        <f>MATCH(B26,Salary!B:B,0)</f>
        <v>23</v>
      </c>
      <c r="D26" s="83" t="s">
        <v>128</v>
      </c>
      <c r="E26" s="75" t="s">
        <v>129</v>
      </c>
      <c r="F26" s="50"/>
      <c r="G26" s="76"/>
      <c r="H26" s="77"/>
      <c r="I26" s="77"/>
      <c r="J26" s="77"/>
      <c r="K26" s="76"/>
      <c r="L26" s="76"/>
      <c r="M26" s="76"/>
      <c r="N26" s="76"/>
      <c r="O26" s="76"/>
      <c r="P26" s="80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>
        <v>0.25</v>
      </c>
      <c r="AB26" s="76"/>
      <c r="AC26" s="76"/>
      <c r="AD26" s="76"/>
      <c r="AE26" s="76"/>
      <c r="AF26" s="76"/>
      <c r="AG26" s="76"/>
      <c r="AH26" s="76">
        <v>0.75</v>
      </c>
      <c r="AI26" s="78"/>
      <c r="AJ26" s="76"/>
      <c r="AK26" s="76"/>
      <c r="AL26" s="76"/>
      <c r="AM26" s="76"/>
      <c r="AN26" s="76"/>
      <c r="AO26" s="79">
        <f t="shared" si="0"/>
        <v>1</v>
      </c>
      <c r="AQ26" s="64" t="str">
        <f t="shared" si="1"/>
        <v>COOPER, Cassandra July</v>
      </c>
    </row>
    <row r="27" spans="1:43" s="48" customFormat="1" ht="15" x14ac:dyDescent="0.4">
      <c r="A27">
        <v>21</v>
      </c>
      <c r="B27" s="2" t="s">
        <v>279</v>
      </c>
      <c r="C27">
        <f>MATCH(B27,Salary!B:B,0)</f>
        <v>24</v>
      </c>
      <c r="D27" s="74" t="s">
        <v>130</v>
      </c>
      <c r="E27" s="75" t="s">
        <v>107</v>
      </c>
      <c r="F27" s="50"/>
      <c r="G27" s="76"/>
      <c r="H27" s="77"/>
      <c r="I27" s="77"/>
      <c r="J27" s="77"/>
      <c r="K27" s="76"/>
      <c r="L27" s="76"/>
      <c r="M27" s="76"/>
      <c r="N27" s="76"/>
      <c r="O27" s="76"/>
      <c r="P27" s="80"/>
      <c r="Q27" s="76">
        <v>1</v>
      </c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8"/>
      <c r="AJ27" s="76"/>
      <c r="AK27" s="76"/>
      <c r="AL27" s="76"/>
      <c r="AM27" s="76"/>
      <c r="AN27" s="76"/>
      <c r="AO27" s="79">
        <f t="shared" si="0"/>
        <v>1</v>
      </c>
      <c r="AQ27" s="64" t="str">
        <f t="shared" si="1"/>
        <v>Counts, Monique Lamae</v>
      </c>
    </row>
    <row r="28" spans="1:43" s="48" customFormat="1" ht="15" x14ac:dyDescent="0.4">
      <c r="A28">
        <v>22</v>
      </c>
      <c r="B28" s="2" t="s">
        <v>280</v>
      </c>
      <c r="C28">
        <f>MATCH(B28,Salary!B:B,0)</f>
        <v>25</v>
      </c>
      <c r="D28" s="74" t="s">
        <v>131</v>
      </c>
      <c r="E28" s="75" t="s">
        <v>97</v>
      </c>
      <c r="F28" s="50"/>
      <c r="G28" s="76"/>
      <c r="H28" s="77">
        <v>0.77</v>
      </c>
      <c r="I28" s="77"/>
      <c r="J28" s="77">
        <v>0.23</v>
      </c>
      <c r="K28" s="76"/>
      <c r="L28" s="76">
        <v>0</v>
      </c>
      <c r="M28" s="76"/>
      <c r="N28" s="76"/>
      <c r="O28" s="76"/>
      <c r="P28" s="80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8"/>
      <c r="AJ28" s="76"/>
      <c r="AK28" s="76"/>
      <c r="AL28" s="76"/>
      <c r="AM28" s="76"/>
      <c r="AN28" s="76"/>
      <c r="AO28" s="79">
        <f t="shared" si="0"/>
        <v>1</v>
      </c>
      <c r="AQ28" s="64" t="str">
        <f t="shared" si="1"/>
        <v>DANCE-WILSON, Heather</v>
      </c>
    </row>
    <row r="29" spans="1:43" s="48" customFormat="1" ht="15" x14ac:dyDescent="0.4">
      <c r="A29">
        <v>23</v>
      </c>
      <c r="B29" s="2" t="s">
        <v>281</v>
      </c>
      <c r="C29">
        <f>MATCH(B29,Salary!B:B,0)</f>
        <v>26</v>
      </c>
      <c r="D29" s="74" t="s">
        <v>132</v>
      </c>
      <c r="E29" s="75" t="s">
        <v>98</v>
      </c>
      <c r="F29" s="50"/>
      <c r="G29" s="76"/>
      <c r="H29" s="77"/>
      <c r="I29" s="77"/>
      <c r="J29" s="77"/>
      <c r="K29" s="76"/>
      <c r="L29" s="81">
        <v>1</v>
      </c>
      <c r="M29" s="76"/>
      <c r="N29" s="76"/>
      <c r="O29" s="76"/>
      <c r="P29" s="80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8"/>
      <c r="AJ29" s="76"/>
      <c r="AK29" s="76"/>
      <c r="AL29" s="76"/>
      <c r="AM29" s="76"/>
      <c r="AN29" s="76"/>
      <c r="AO29" s="79">
        <f t="shared" si="0"/>
        <v>1</v>
      </c>
      <c r="AQ29" s="64" t="str">
        <f t="shared" si="1"/>
        <v>DANIELS-CRAFTON, Glenda</v>
      </c>
    </row>
    <row r="30" spans="1:43" s="48" customFormat="1" ht="15" x14ac:dyDescent="0.4">
      <c r="A30">
        <v>24</v>
      </c>
      <c r="B30" s="2" t="s">
        <v>282</v>
      </c>
      <c r="C30">
        <f>MATCH(B30,Salary!B:B,0)</f>
        <v>27</v>
      </c>
      <c r="D30" s="74" t="s">
        <v>133</v>
      </c>
      <c r="E30" s="75" t="s">
        <v>109</v>
      </c>
      <c r="F30" s="50"/>
      <c r="G30" s="76"/>
      <c r="H30" s="77"/>
      <c r="I30" s="77"/>
      <c r="J30" s="77"/>
      <c r="K30" s="76"/>
      <c r="L30" s="76"/>
      <c r="M30" s="76"/>
      <c r="N30" s="76"/>
      <c r="O30" s="76"/>
      <c r="P30" s="80">
        <v>1</v>
      </c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8"/>
      <c r="AJ30" s="76"/>
      <c r="AK30" s="76"/>
      <c r="AL30" s="76"/>
      <c r="AM30" s="76"/>
      <c r="AN30" s="76"/>
      <c r="AO30" s="79">
        <f t="shared" si="0"/>
        <v>1</v>
      </c>
      <c r="AQ30" s="64" t="str">
        <f t="shared" si="1"/>
        <v>ELLIS, Joseph</v>
      </c>
    </row>
    <row r="31" spans="1:43" s="48" customFormat="1" ht="15" x14ac:dyDescent="0.4">
      <c r="A31">
        <v>25</v>
      </c>
      <c r="B31" s="2" t="s">
        <v>283</v>
      </c>
      <c r="C31">
        <f>MATCH(B31,Salary!B:B,0)</f>
        <v>28</v>
      </c>
      <c r="D31" s="74" t="s">
        <v>134</v>
      </c>
      <c r="E31" s="85" t="s">
        <v>98</v>
      </c>
      <c r="F31" s="50"/>
      <c r="G31" s="76"/>
      <c r="H31" s="77"/>
      <c r="I31" s="77"/>
      <c r="J31" s="77"/>
      <c r="K31" s="76"/>
      <c r="L31" s="86">
        <v>1</v>
      </c>
      <c r="M31" s="76"/>
      <c r="N31" s="76"/>
      <c r="O31" s="76"/>
      <c r="P31" s="80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8"/>
      <c r="AJ31" s="76"/>
      <c r="AK31" s="76"/>
      <c r="AL31" s="76"/>
      <c r="AM31" s="76"/>
      <c r="AN31" s="76"/>
      <c r="AO31" s="79">
        <f t="shared" si="0"/>
        <v>1</v>
      </c>
      <c r="AQ31" s="64" t="str">
        <f t="shared" si="1"/>
        <v>FITZPATRICK, Cynthia E. - Aug 31</v>
      </c>
    </row>
    <row r="32" spans="1:43" s="48" customFormat="1" ht="15" x14ac:dyDescent="0.4">
      <c r="A32">
        <v>26</v>
      </c>
      <c r="B32" s="2" t="s">
        <v>284</v>
      </c>
      <c r="C32">
        <f>MATCH(B32,Salary!B:B,0)</f>
        <v>29</v>
      </c>
      <c r="D32" s="74" t="s">
        <v>135</v>
      </c>
      <c r="E32" s="85" t="s">
        <v>136</v>
      </c>
      <c r="F32" s="50"/>
      <c r="G32" s="76"/>
      <c r="H32" s="77"/>
      <c r="I32" s="77"/>
      <c r="J32" s="77"/>
      <c r="K32" s="76"/>
      <c r="L32" s="86">
        <v>1</v>
      </c>
      <c r="M32" s="76"/>
      <c r="N32" s="76"/>
      <c r="O32" s="76"/>
      <c r="P32" s="80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8"/>
      <c r="AJ32" s="76"/>
      <c r="AK32" s="76"/>
      <c r="AL32" s="76"/>
      <c r="AM32" s="76"/>
      <c r="AN32" s="76"/>
      <c r="AO32" s="79">
        <f t="shared" si="0"/>
        <v>1</v>
      </c>
      <c r="AQ32" s="64" t="str">
        <f t="shared" si="1"/>
        <v>FITZPATRICK, Cynthia E.  - Toddlers</v>
      </c>
    </row>
    <row r="33" spans="1:43" s="48" customFormat="1" ht="15" x14ac:dyDescent="0.4">
      <c r="A33">
        <v>27</v>
      </c>
      <c r="B33" s="2" t="s">
        <v>285</v>
      </c>
      <c r="C33">
        <f>MATCH(B33,Salary!B:B,0)</f>
        <v>30</v>
      </c>
      <c r="D33" s="74" t="s">
        <v>137</v>
      </c>
      <c r="E33" s="75" t="s">
        <v>107</v>
      </c>
      <c r="F33" s="44"/>
      <c r="G33" s="76"/>
      <c r="H33" s="77"/>
      <c r="I33" s="77"/>
      <c r="J33" s="77"/>
      <c r="K33" s="76"/>
      <c r="L33" s="76"/>
      <c r="M33" s="76"/>
      <c r="N33" s="76"/>
      <c r="O33" s="76"/>
      <c r="P33" s="80"/>
      <c r="Q33" s="76">
        <v>1</v>
      </c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8"/>
      <c r="AJ33" s="76"/>
      <c r="AK33" s="76"/>
      <c r="AL33" s="76"/>
      <c r="AM33" s="76"/>
      <c r="AN33" s="76"/>
      <c r="AO33" s="79">
        <f t="shared" si="0"/>
        <v>1</v>
      </c>
      <c r="AQ33" s="64" t="str">
        <f t="shared" si="1"/>
        <v>FRANCOIS, Darlene</v>
      </c>
    </row>
    <row r="34" spans="1:43" s="48" customFormat="1" ht="15" x14ac:dyDescent="0.4">
      <c r="A34">
        <v>28</v>
      </c>
      <c r="B34" s="2" t="s">
        <v>286</v>
      </c>
      <c r="C34">
        <f>MATCH(B34,Salary!B:B,0)</f>
        <v>31</v>
      </c>
      <c r="D34" s="74" t="s">
        <v>138</v>
      </c>
      <c r="E34" s="75" t="s">
        <v>139</v>
      </c>
      <c r="F34" s="44"/>
      <c r="G34" s="76"/>
      <c r="H34" s="77"/>
      <c r="I34" s="77"/>
      <c r="J34" s="77"/>
      <c r="K34" s="76"/>
      <c r="L34" s="76"/>
      <c r="M34" s="76"/>
      <c r="N34" s="76"/>
      <c r="O34" s="76"/>
      <c r="P34" s="80"/>
      <c r="Q34" s="76"/>
      <c r="R34" s="76">
        <v>0.18</v>
      </c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8"/>
      <c r="AJ34" s="76">
        <v>0.82</v>
      </c>
      <c r="AK34" s="76"/>
      <c r="AL34" s="76"/>
      <c r="AM34" s="76"/>
      <c r="AN34" s="76"/>
      <c r="AO34" s="79">
        <f t="shared" si="0"/>
        <v>1</v>
      </c>
      <c r="AQ34" s="64" t="str">
        <f t="shared" si="1"/>
        <v>FRASER, Vivian Cox</v>
      </c>
    </row>
    <row r="35" spans="1:43" s="48" customFormat="1" ht="15" x14ac:dyDescent="0.4">
      <c r="A35">
        <v>29</v>
      </c>
      <c r="B35" s="2" t="s">
        <v>287</v>
      </c>
      <c r="C35">
        <f>MATCH(B35,Salary!B:B,0)</f>
        <v>32</v>
      </c>
      <c r="D35" s="74" t="s">
        <v>140</v>
      </c>
      <c r="E35" s="75" t="s">
        <v>139</v>
      </c>
      <c r="F35" s="44"/>
      <c r="G35" s="76"/>
      <c r="H35" s="77"/>
      <c r="I35" s="77"/>
      <c r="J35" s="77"/>
      <c r="K35" s="76"/>
      <c r="L35" s="76"/>
      <c r="M35" s="76"/>
      <c r="N35" s="76"/>
      <c r="O35" s="76"/>
      <c r="P35" s="80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8"/>
      <c r="AJ35" s="76">
        <v>1</v>
      </c>
      <c r="AK35" s="76"/>
      <c r="AL35" s="76"/>
      <c r="AM35" s="76"/>
      <c r="AN35" s="76"/>
      <c r="AO35" s="79">
        <f t="shared" ref="AO35" si="2">SUM(H35:AN35)</f>
        <v>1</v>
      </c>
      <c r="AQ35" s="64" t="str">
        <f t="shared" si="1"/>
        <v>FRASER, Vivian Cox- July</v>
      </c>
    </row>
    <row r="36" spans="1:43" s="48" customFormat="1" ht="15" x14ac:dyDescent="0.4">
      <c r="A36">
        <v>30</v>
      </c>
      <c r="B36" s="42"/>
      <c r="C36" t="e">
        <f>MATCH(B36,Salary!B:B,0)</f>
        <v>#N/A</v>
      </c>
      <c r="D36" s="83" t="s">
        <v>141</v>
      </c>
      <c r="E36" s="75" t="s">
        <v>142</v>
      </c>
      <c r="F36" s="44"/>
      <c r="G36" s="76"/>
      <c r="H36" s="77"/>
      <c r="I36" s="77"/>
      <c r="J36" s="77"/>
      <c r="K36" s="76"/>
      <c r="L36" s="76"/>
      <c r="M36" s="76"/>
      <c r="N36" s="76"/>
      <c r="O36" s="76"/>
      <c r="P36" s="80"/>
      <c r="Q36" s="76"/>
      <c r="R36" s="76"/>
      <c r="S36" s="76"/>
      <c r="T36" s="76"/>
      <c r="U36" s="76"/>
      <c r="V36" s="76"/>
      <c r="W36" s="76"/>
      <c r="X36" s="76"/>
      <c r="Y36" s="76">
        <v>1</v>
      </c>
      <c r="Z36" s="76">
        <v>0</v>
      </c>
      <c r="AA36" s="76"/>
      <c r="AB36" s="76"/>
      <c r="AC36" s="76"/>
      <c r="AD36" s="76"/>
      <c r="AE36" s="76"/>
      <c r="AF36" s="76"/>
      <c r="AG36" s="76"/>
      <c r="AH36" s="76"/>
      <c r="AI36" s="78"/>
      <c r="AJ36" s="76"/>
      <c r="AK36" s="76"/>
      <c r="AL36" s="76"/>
      <c r="AM36" s="76"/>
      <c r="AN36" s="76"/>
      <c r="AO36" s="79">
        <f t="shared" si="0"/>
        <v>1</v>
      </c>
      <c r="AP36" s="82"/>
      <c r="AQ36" s="64" t="str">
        <f t="shared" si="1"/>
        <v xml:space="preserve">FRAZIER, Alice </v>
      </c>
    </row>
    <row r="37" spans="1:43" s="48" customFormat="1" ht="15" x14ac:dyDescent="0.4">
      <c r="A37">
        <v>31</v>
      </c>
      <c r="B37" s="42"/>
      <c r="C37" t="e">
        <f>MATCH(B37,Salary!B:B,0)</f>
        <v>#N/A</v>
      </c>
      <c r="D37" s="74" t="s">
        <v>143</v>
      </c>
      <c r="E37" s="75" t="s">
        <v>107</v>
      </c>
      <c r="F37" s="44"/>
      <c r="G37" s="76"/>
      <c r="H37" s="77"/>
      <c r="I37" s="77"/>
      <c r="J37" s="77"/>
      <c r="K37" s="76"/>
      <c r="L37" s="76"/>
      <c r="M37" s="76"/>
      <c r="N37" s="76"/>
      <c r="O37" s="76"/>
      <c r="P37" s="80"/>
      <c r="Q37" s="76">
        <v>1</v>
      </c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8"/>
      <c r="AJ37" s="76"/>
      <c r="AK37" s="76"/>
      <c r="AL37" s="76"/>
      <c r="AM37" s="76"/>
      <c r="AN37" s="76"/>
      <c r="AO37" s="79">
        <f>SUM(G37:AN37)</f>
        <v>1</v>
      </c>
      <c r="AP37" s="82"/>
      <c r="AQ37" s="64" t="str">
        <f t="shared" si="1"/>
        <v>Freeman, Jibri</v>
      </c>
    </row>
    <row r="38" spans="1:43" s="48" customFormat="1" ht="15" x14ac:dyDescent="0.4">
      <c r="A38">
        <v>32</v>
      </c>
      <c r="B38" s="42"/>
      <c r="C38" t="e">
        <f>MATCH(B38,Salary!B:B,0)</f>
        <v>#N/A</v>
      </c>
      <c r="D38" s="74" t="s">
        <v>144</v>
      </c>
      <c r="E38" s="75" t="s">
        <v>98</v>
      </c>
      <c r="F38" s="50"/>
      <c r="G38" s="76"/>
      <c r="H38" s="77"/>
      <c r="I38" s="77"/>
      <c r="J38" s="77"/>
      <c r="K38" s="76"/>
      <c r="L38" s="81">
        <v>1</v>
      </c>
      <c r="M38" s="76"/>
      <c r="N38" s="76"/>
      <c r="O38" s="76"/>
      <c r="P38" s="80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8"/>
      <c r="AJ38" s="76"/>
      <c r="AK38" s="76"/>
      <c r="AL38" s="76"/>
      <c r="AM38" s="76"/>
      <c r="AN38" s="76"/>
      <c r="AO38" s="79">
        <f t="shared" ref="AO38:AO114" si="3">SUM(G38:AN38)</f>
        <v>1</v>
      </c>
      <c r="AQ38" s="64" t="str">
        <f t="shared" si="1"/>
        <v>GARRETT, Dorian S.</v>
      </c>
    </row>
    <row r="39" spans="1:43" s="48" customFormat="1" ht="15" x14ac:dyDescent="0.4">
      <c r="A39">
        <v>33</v>
      </c>
      <c r="B39" s="42"/>
      <c r="C39" t="e">
        <f>MATCH(B39,Salary!B:B,0)</f>
        <v>#N/A</v>
      </c>
      <c r="D39" s="74" t="s">
        <v>145</v>
      </c>
      <c r="E39" s="75" t="s">
        <v>98</v>
      </c>
      <c r="F39" s="50"/>
      <c r="G39" s="76"/>
      <c r="H39" s="77"/>
      <c r="I39" s="77"/>
      <c r="J39" s="77"/>
      <c r="K39" s="76"/>
      <c r="L39" s="81">
        <v>1</v>
      </c>
      <c r="M39" s="76"/>
      <c r="N39" s="76"/>
      <c r="O39" s="76"/>
      <c r="P39" s="80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8"/>
      <c r="AJ39" s="76"/>
      <c r="AK39" s="76"/>
      <c r="AL39" s="76"/>
      <c r="AM39" s="76"/>
      <c r="AN39" s="76"/>
      <c r="AO39" s="79">
        <f t="shared" si="3"/>
        <v>1</v>
      </c>
      <c r="AQ39" s="64" t="str">
        <f t="shared" si="1"/>
        <v>GARRETT, Shakia</v>
      </c>
    </row>
    <row r="40" spans="1:43" s="48" customFormat="1" ht="15" x14ac:dyDescent="0.4">
      <c r="A40">
        <v>34</v>
      </c>
      <c r="B40" s="42"/>
      <c r="C40" t="e">
        <f>MATCH(B40,Salary!B:B,0)</f>
        <v>#N/A</v>
      </c>
      <c r="D40" s="87" t="s">
        <v>146</v>
      </c>
      <c r="E40" s="75" t="s">
        <v>147</v>
      </c>
      <c r="F40" s="50"/>
      <c r="G40" s="76"/>
      <c r="H40" s="77"/>
      <c r="I40" s="77"/>
      <c r="J40" s="77"/>
      <c r="K40" s="76"/>
      <c r="L40" s="76"/>
      <c r="M40" s="76"/>
      <c r="N40" s="76"/>
      <c r="O40" s="76"/>
      <c r="P40" s="80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8"/>
      <c r="AJ40" s="76"/>
      <c r="AK40" s="76"/>
      <c r="AL40" s="76"/>
      <c r="AM40" s="76"/>
      <c r="AN40" s="76">
        <v>1</v>
      </c>
      <c r="AO40" s="79">
        <f t="shared" si="3"/>
        <v>1</v>
      </c>
      <c r="AQ40" s="64" t="str">
        <f t="shared" si="1"/>
        <v>GBAMOKOLLIE, Molly</v>
      </c>
    </row>
    <row r="41" spans="1:43" s="48" customFormat="1" ht="15" x14ac:dyDescent="0.4">
      <c r="A41">
        <v>35</v>
      </c>
      <c r="B41" s="42"/>
      <c r="C41" t="e">
        <f>MATCH(B41,Salary!B:B,0)</f>
        <v>#N/A</v>
      </c>
      <c r="D41" s="74" t="s">
        <v>148</v>
      </c>
      <c r="E41" s="85" t="s">
        <v>98</v>
      </c>
      <c r="F41" s="50"/>
      <c r="G41" s="76"/>
      <c r="H41" s="77"/>
      <c r="I41" s="77"/>
      <c r="J41" s="77"/>
      <c r="K41" s="76"/>
      <c r="L41" s="86">
        <v>1</v>
      </c>
      <c r="M41" s="76"/>
      <c r="N41" s="76"/>
      <c r="O41" s="76"/>
      <c r="P41" s="80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8"/>
      <c r="AJ41" s="76"/>
      <c r="AK41" s="76"/>
      <c r="AL41" s="76"/>
      <c r="AM41" s="76"/>
      <c r="AN41" s="76"/>
      <c r="AO41" s="79">
        <f t="shared" si="3"/>
        <v>1</v>
      </c>
      <c r="AQ41" s="64" t="str">
        <f t="shared" si="1"/>
        <v xml:space="preserve">GREEN, Yolanda - </v>
      </c>
    </row>
    <row r="42" spans="1:43" s="48" customFormat="1" ht="15" x14ac:dyDescent="0.4">
      <c r="A42">
        <v>36</v>
      </c>
      <c r="B42" s="42"/>
      <c r="C42" t="e">
        <f>MATCH(B42,Salary!B:B,0)</f>
        <v>#N/A</v>
      </c>
      <c r="D42" s="74" t="s">
        <v>149</v>
      </c>
      <c r="E42" s="85" t="s">
        <v>136</v>
      </c>
      <c r="F42" s="50"/>
      <c r="G42" s="76"/>
      <c r="H42" s="77"/>
      <c r="I42" s="77"/>
      <c r="J42" s="77"/>
      <c r="K42" s="76"/>
      <c r="L42" s="86">
        <v>1</v>
      </c>
      <c r="M42" s="76"/>
      <c r="N42" s="76"/>
      <c r="O42" s="76"/>
      <c r="P42" s="80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8"/>
      <c r="AJ42" s="76"/>
      <c r="AK42" s="76"/>
      <c r="AL42" s="76"/>
      <c r="AM42" s="76"/>
      <c r="AN42" s="76"/>
      <c r="AO42" s="79">
        <f t="shared" si="3"/>
        <v>1</v>
      </c>
      <c r="AQ42" s="64" t="str">
        <f t="shared" si="1"/>
        <v>GREEN, Yolanda - Toddlers</v>
      </c>
    </row>
    <row r="43" spans="1:43" s="48" customFormat="1" ht="15" x14ac:dyDescent="0.4">
      <c r="A43">
        <v>37</v>
      </c>
      <c r="B43" s="42"/>
      <c r="C43" t="e">
        <f>MATCH(B43,Salary!B:B,0)</f>
        <v>#N/A</v>
      </c>
      <c r="D43" s="74" t="s">
        <v>150</v>
      </c>
      <c r="E43" s="75" t="s">
        <v>98</v>
      </c>
      <c r="F43" s="50"/>
      <c r="G43" s="76"/>
      <c r="H43" s="77"/>
      <c r="I43" s="77"/>
      <c r="J43" s="77"/>
      <c r="K43" s="76"/>
      <c r="L43" s="81">
        <v>1</v>
      </c>
      <c r="M43" s="76"/>
      <c r="N43" s="76"/>
      <c r="O43" s="76"/>
      <c r="P43" s="80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8"/>
      <c r="AJ43" s="76"/>
      <c r="AK43" s="76"/>
      <c r="AL43" s="76"/>
      <c r="AM43" s="76"/>
      <c r="AN43" s="76"/>
      <c r="AO43" s="79">
        <f t="shared" si="3"/>
        <v>1</v>
      </c>
      <c r="AQ43" s="64" t="str">
        <f t="shared" si="1"/>
        <v>HAMILTON, Marchetta</v>
      </c>
    </row>
    <row r="44" spans="1:43" s="48" customFormat="1" ht="15" x14ac:dyDescent="0.4">
      <c r="A44">
        <v>38</v>
      </c>
      <c r="B44" s="42"/>
      <c r="C44" t="e">
        <f>MATCH(B44,Salary!B:B,0)</f>
        <v>#N/A</v>
      </c>
      <c r="D44" s="74" t="s">
        <v>151</v>
      </c>
      <c r="E44" s="75" t="s">
        <v>98</v>
      </c>
      <c r="F44" s="50"/>
      <c r="G44" s="76"/>
      <c r="H44" s="77"/>
      <c r="I44" s="77"/>
      <c r="J44" s="77"/>
      <c r="K44" s="76"/>
      <c r="L44" s="81">
        <v>1</v>
      </c>
      <c r="M44" s="76"/>
      <c r="N44" s="76"/>
      <c r="O44" s="76"/>
      <c r="P44" s="80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8"/>
      <c r="AJ44" s="76"/>
      <c r="AK44" s="76"/>
      <c r="AL44" s="76"/>
      <c r="AM44" s="76"/>
      <c r="AN44" s="76"/>
      <c r="AO44" s="79">
        <f t="shared" si="3"/>
        <v>1</v>
      </c>
      <c r="AQ44" s="64" t="str">
        <f t="shared" si="1"/>
        <v>HERBERT, Marina R.</v>
      </c>
    </row>
    <row r="45" spans="1:43" s="93" customFormat="1" ht="15" x14ac:dyDescent="0.4">
      <c r="A45">
        <v>39</v>
      </c>
      <c r="B45" s="42"/>
      <c r="C45" t="e">
        <f>MATCH(B45,Salary!B:B,0)</f>
        <v>#N/A</v>
      </c>
      <c r="D45" s="74" t="s">
        <v>152</v>
      </c>
      <c r="E45" s="88" t="s">
        <v>153</v>
      </c>
      <c r="F45" s="89"/>
      <c r="G45" s="90"/>
      <c r="H45" s="91"/>
      <c r="I45" s="91"/>
      <c r="J45" s="91"/>
      <c r="K45" s="90"/>
      <c r="L45" s="90"/>
      <c r="M45" s="90"/>
      <c r="N45" s="90"/>
      <c r="O45" s="90"/>
      <c r="P45" s="90"/>
      <c r="Q45" s="90"/>
      <c r="R45" s="90">
        <v>0.5</v>
      </c>
      <c r="S45" s="90"/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>
        <v>0.25</v>
      </c>
      <c r="AE45" s="90">
        <v>0</v>
      </c>
      <c r="AF45" s="90"/>
      <c r="AG45" s="90"/>
      <c r="AH45" s="90">
        <v>0.25</v>
      </c>
      <c r="AI45" s="90"/>
      <c r="AJ45" s="90"/>
      <c r="AK45" s="90"/>
      <c r="AL45" s="90"/>
      <c r="AM45" s="90"/>
      <c r="AN45" s="90"/>
      <c r="AO45" s="92">
        <f t="shared" si="3"/>
        <v>1</v>
      </c>
      <c r="AQ45" s="94" t="str">
        <f t="shared" si="1"/>
        <v>HIGGINS, Rosa M. April</v>
      </c>
    </row>
    <row r="46" spans="1:43" s="93" customFormat="1" ht="15" x14ac:dyDescent="0.4">
      <c r="A46">
        <v>40</v>
      </c>
      <c r="B46" s="42"/>
      <c r="C46" t="e">
        <f>MATCH(B46,Salary!B:B,0)</f>
        <v>#N/A</v>
      </c>
      <c r="D46" s="83" t="s">
        <v>154</v>
      </c>
      <c r="E46" s="88" t="s">
        <v>153</v>
      </c>
      <c r="F46" s="89"/>
      <c r="G46" s="90"/>
      <c r="H46" s="91"/>
      <c r="I46" s="91"/>
      <c r="J46" s="91"/>
      <c r="K46" s="90"/>
      <c r="L46" s="90"/>
      <c r="M46" s="90"/>
      <c r="N46" s="90"/>
      <c r="O46" s="90"/>
      <c r="P46" s="90"/>
      <c r="Q46" s="90"/>
      <c r="R46" s="90">
        <v>0.5</v>
      </c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>
        <v>0.3</v>
      </c>
      <c r="AE46" s="90">
        <v>0</v>
      </c>
      <c r="AF46" s="90">
        <v>0.2</v>
      </c>
      <c r="AG46" s="90"/>
      <c r="AH46" s="90"/>
      <c r="AI46" s="90"/>
      <c r="AJ46" s="90"/>
      <c r="AK46" s="90"/>
      <c r="AL46" s="90"/>
      <c r="AM46" s="90"/>
      <c r="AN46" s="90"/>
      <c r="AO46" s="92">
        <f>SUM(G46:AN46)</f>
        <v>1</v>
      </c>
      <c r="AQ46" s="94" t="str">
        <f>D46</f>
        <v>HIGGINS, Rosa M. May 1</v>
      </c>
    </row>
    <row r="47" spans="1:43" s="93" customFormat="1" ht="15" x14ac:dyDescent="0.4">
      <c r="A47">
        <v>41</v>
      </c>
      <c r="B47" s="42"/>
      <c r="C47" t="e">
        <f>MATCH(B47,Salary!B:B,0)</f>
        <v>#N/A</v>
      </c>
      <c r="D47" s="74" t="s">
        <v>155</v>
      </c>
      <c r="E47" s="88" t="s">
        <v>156</v>
      </c>
      <c r="F47" s="89"/>
      <c r="G47" s="90"/>
      <c r="H47" s="91"/>
      <c r="I47" s="91"/>
      <c r="J47" s="91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>
        <v>0.25</v>
      </c>
      <c r="AE47" s="90">
        <v>0</v>
      </c>
      <c r="AF47" s="90">
        <v>0.4</v>
      </c>
      <c r="AG47" s="90"/>
      <c r="AH47" s="90">
        <v>0.35</v>
      </c>
      <c r="AI47" s="90"/>
      <c r="AJ47" s="90"/>
      <c r="AK47" s="90"/>
      <c r="AL47" s="90"/>
      <c r="AM47" s="90"/>
      <c r="AN47" s="90"/>
      <c r="AO47" s="92">
        <f>SUM(G47:AN47)</f>
        <v>1</v>
      </c>
      <c r="AQ47" s="94" t="str">
        <f>D47</f>
        <v>HIGGINS, Rosa M. July</v>
      </c>
    </row>
    <row r="48" spans="1:43" s="48" customFormat="1" ht="15" x14ac:dyDescent="0.4">
      <c r="A48">
        <v>42</v>
      </c>
      <c r="B48" s="42"/>
      <c r="C48" t="e">
        <f>MATCH(B48,Salary!B:B,0)</f>
        <v>#N/A</v>
      </c>
      <c r="D48" s="95" t="s">
        <v>157</v>
      </c>
      <c r="E48" s="75" t="s">
        <v>98</v>
      </c>
      <c r="F48" s="50"/>
      <c r="G48" s="76"/>
      <c r="H48" s="77"/>
      <c r="I48" s="77"/>
      <c r="J48" s="77"/>
      <c r="K48" s="76"/>
      <c r="L48" s="81">
        <v>1</v>
      </c>
      <c r="M48" s="76"/>
      <c r="N48" s="76"/>
      <c r="O48" s="76"/>
      <c r="P48" s="80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8"/>
      <c r="AJ48" s="76"/>
      <c r="AK48" s="76"/>
      <c r="AL48" s="76"/>
      <c r="AM48" s="76"/>
      <c r="AN48" s="76"/>
      <c r="AO48" s="79">
        <f t="shared" si="3"/>
        <v>1</v>
      </c>
      <c r="AQ48" s="64" t="str">
        <f t="shared" si="1"/>
        <v>HILL, Katina</v>
      </c>
    </row>
    <row r="49" spans="1:43" s="48" customFormat="1" ht="15" x14ac:dyDescent="0.4">
      <c r="A49">
        <v>43</v>
      </c>
      <c r="B49" s="42"/>
      <c r="C49" t="e">
        <f>MATCH(B49,Salary!B:B,0)</f>
        <v>#N/A</v>
      </c>
      <c r="D49" s="74" t="s">
        <v>158</v>
      </c>
      <c r="E49" s="75" t="s">
        <v>98</v>
      </c>
      <c r="F49" s="50"/>
      <c r="G49" s="76"/>
      <c r="H49" s="77"/>
      <c r="I49" s="77"/>
      <c r="J49" s="77"/>
      <c r="K49" s="76"/>
      <c r="L49" s="81">
        <v>1</v>
      </c>
      <c r="M49" s="76"/>
      <c r="N49" s="76"/>
      <c r="O49" s="76"/>
      <c r="P49" s="80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8"/>
      <c r="AJ49" s="76"/>
      <c r="AK49" s="76"/>
      <c r="AL49" s="76"/>
      <c r="AM49" s="76"/>
      <c r="AN49" s="76"/>
      <c r="AO49" s="79">
        <f t="shared" si="3"/>
        <v>1</v>
      </c>
      <c r="AQ49" s="64" t="str">
        <f t="shared" si="1"/>
        <v>HILL, Nyjira</v>
      </c>
    </row>
    <row r="50" spans="1:43" s="48" customFormat="1" ht="15" x14ac:dyDescent="0.4">
      <c r="A50">
        <v>44</v>
      </c>
      <c r="B50" s="42"/>
      <c r="C50" t="e">
        <f>MATCH(B50,Salary!B:B,0)</f>
        <v>#N/A</v>
      </c>
      <c r="D50" s="84" t="s">
        <v>159</v>
      </c>
      <c r="E50" s="75" t="s">
        <v>97</v>
      </c>
      <c r="F50" s="50"/>
      <c r="G50" s="76"/>
      <c r="H50" s="77">
        <v>0</v>
      </c>
      <c r="I50" s="77"/>
      <c r="J50" s="77"/>
      <c r="K50" s="76"/>
      <c r="L50" s="76"/>
      <c r="M50" s="76"/>
      <c r="N50" s="76">
        <v>1</v>
      </c>
      <c r="O50" s="76"/>
      <c r="P50" s="80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8"/>
      <c r="AJ50" s="76"/>
      <c r="AK50" s="76"/>
      <c r="AL50" s="76"/>
      <c r="AM50" s="76"/>
      <c r="AN50" s="76"/>
      <c r="AO50" s="79">
        <f t="shared" si="3"/>
        <v>1</v>
      </c>
      <c r="AQ50" s="64" t="str">
        <f t="shared" si="1"/>
        <v>HILL, Wynora - Summer</v>
      </c>
    </row>
    <row r="51" spans="1:43" s="48" customFormat="1" ht="15" x14ac:dyDescent="0.4">
      <c r="A51">
        <v>45</v>
      </c>
      <c r="B51" s="42"/>
      <c r="C51" t="e">
        <f>MATCH(B51,Salary!B:B,0)</f>
        <v>#N/A</v>
      </c>
      <c r="D51" s="84" t="s">
        <v>160</v>
      </c>
      <c r="E51" s="75" t="s">
        <v>97</v>
      </c>
      <c r="F51" s="50"/>
      <c r="G51" s="76"/>
      <c r="H51" s="77">
        <v>1</v>
      </c>
      <c r="I51" s="77"/>
      <c r="J51" s="77"/>
      <c r="K51" s="76"/>
      <c r="L51" s="76"/>
      <c r="M51" s="76"/>
      <c r="N51" s="76"/>
      <c r="O51" s="76"/>
      <c r="P51" s="80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8"/>
      <c r="AJ51" s="76"/>
      <c r="AK51" s="76"/>
      <c r="AL51" s="76"/>
      <c r="AM51" s="76"/>
      <c r="AN51" s="76"/>
      <c r="AO51" s="79">
        <f t="shared" si="3"/>
        <v>1</v>
      </c>
      <c r="AQ51" s="64" t="str">
        <f t="shared" si="1"/>
        <v>HILL, Wynora</v>
      </c>
    </row>
    <row r="52" spans="1:43" s="48" customFormat="1" ht="15" x14ac:dyDescent="0.4">
      <c r="A52">
        <v>46</v>
      </c>
      <c r="B52" s="42"/>
      <c r="C52" t="e">
        <f>MATCH(B52,Salary!B:B,0)</f>
        <v>#N/A</v>
      </c>
      <c r="D52" s="84" t="s">
        <v>161</v>
      </c>
      <c r="E52" s="75" t="s">
        <v>97</v>
      </c>
      <c r="F52" s="50"/>
      <c r="G52" s="76"/>
      <c r="H52" s="77">
        <v>1</v>
      </c>
      <c r="I52" s="77"/>
      <c r="J52" s="77"/>
      <c r="K52" s="76"/>
      <c r="L52" s="76"/>
      <c r="M52" s="76"/>
      <c r="N52" s="76"/>
      <c r="O52" s="76"/>
      <c r="P52" s="80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8"/>
      <c r="AJ52" s="76"/>
      <c r="AK52" s="76"/>
      <c r="AL52" s="76"/>
      <c r="AM52" s="76"/>
      <c r="AN52" s="76"/>
      <c r="AO52" s="79">
        <f t="shared" si="3"/>
        <v>1</v>
      </c>
      <c r="AQ52" s="64" t="str">
        <f t="shared" si="1"/>
        <v>HOLLINS, QUINTELLA</v>
      </c>
    </row>
    <row r="53" spans="1:43" s="48" customFormat="1" ht="15" x14ac:dyDescent="0.4">
      <c r="A53">
        <v>47</v>
      </c>
      <c r="B53" s="42"/>
      <c r="C53" t="e">
        <f>MATCH(B53,Salary!B:B,0)</f>
        <v>#N/A</v>
      </c>
      <c r="D53" s="74" t="s">
        <v>162</v>
      </c>
      <c r="E53" s="75" t="s">
        <v>163</v>
      </c>
      <c r="F53" s="50"/>
      <c r="G53" s="76"/>
      <c r="H53" s="77"/>
      <c r="I53" s="77"/>
      <c r="J53" s="77"/>
      <c r="K53" s="76"/>
      <c r="L53" s="76"/>
      <c r="M53" s="76"/>
      <c r="N53" s="76"/>
      <c r="O53" s="76"/>
      <c r="P53" s="80"/>
      <c r="Q53" s="76"/>
      <c r="R53" s="76">
        <v>1</v>
      </c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8"/>
      <c r="AJ53" s="76"/>
      <c r="AK53" s="76"/>
      <c r="AL53" s="76"/>
      <c r="AM53" s="76"/>
      <c r="AN53" s="76"/>
      <c r="AO53" s="79">
        <f t="shared" si="3"/>
        <v>1</v>
      </c>
      <c r="AQ53" s="64" t="str">
        <f t="shared" si="1"/>
        <v xml:space="preserve">HOWARD, Cheryl </v>
      </c>
    </row>
    <row r="54" spans="1:43" s="48" customFormat="1" ht="15" x14ac:dyDescent="0.4">
      <c r="A54">
        <v>48</v>
      </c>
      <c r="B54" s="42"/>
      <c r="C54" t="e">
        <f>MATCH(B54,Salary!B:B,0)</f>
        <v>#N/A</v>
      </c>
      <c r="D54" s="74" t="s">
        <v>164</v>
      </c>
      <c r="E54" s="75" t="s">
        <v>163</v>
      </c>
      <c r="F54" s="50"/>
      <c r="G54" s="76">
        <v>1</v>
      </c>
      <c r="H54" s="77"/>
      <c r="I54" s="77"/>
      <c r="J54" s="77"/>
      <c r="K54" s="76"/>
      <c r="L54" s="76"/>
      <c r="M54" s="76"/>
      <c r="N54" s="76"/>
      <c r="O54" s="76"/>
      <c r="P54" s="80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8"/>
      <c r="AJ54" s="76"/>
      <c r="AK54" s="76"/>
      <c r="AL54" s="76"/>
      <c r="AM54" s="76"/>
      <c r="AN54" s="76"/>
      <c r="AO54" s="79">
        <f>SUM(G54:AN54)</f>
        <v>1</v>
      </c>
      <c r="AQ54" s="64" t="str">
        <f>D54</f>
        <v>HOWARD, Cheryl - July</v>
      </c>
    </row>
    <row r="55" spans="1:43" s="48" customFormat="1" ht="15" x14ac:dyDescent="0.4">
      <c r="A55">
        <v>49</v>
      </c>
      <c r="B55" s="42"/>
      <c r="C55" t="e">
        <f>MATCH(B55,Salary!B:B,0)</f>
        <v>#N/A</v>
      </c>
      <c r="D55" s="74" t="s">
        <v>165</v>
      </c>
      <c r="E55" s="75" t="s">
        <v>166</v>
      </c>
      <c r="F55" s="50"/>
      <c r="G55" s="76">
        <v>1</v>
      </c>
      <c r="H55" s="77"/>
      <c r="I55" s="77"/>
      <c r="J55" s="77"/>
      <c r="K55" s="76"/>
      <c r="L55" s="76"/>
      <c r="M55" s="76"/>
      <c r="N55" s="76"/>
      <c r="O55" s="76"/>
      <c r="P55" s="80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8"/>
      <c r="AJ55" s="76"/>
      <c r="AK55" s="76"/>
      <c r="AL55" s="76"/>
      <c r="AM55" s="76"/>
      <c r="AN55" s="76"/>
      <c r="AO55" s="79">
        <f t="shared" si="3"/>
        <v>1</v>
      </c>
      <c r="AQ55" s="64" t="str">
        <f t="shared" si="1"/>
        <v>HOWARD, Walter</v>
      </c>
    </row>
    <row r="56" spans="1:43" s="93" customFormat="1" ht="15" x14ac:dyDescent="0.4">
      <c r="A56">
        <v>50</v>
      </c>
      <c r="B56" s="42"/>
      <c r="C56" t="e">
        <f>MATCH(B56,Salary!B:B,0)</f>
        <v>#N/A</v>
      </c>
      <c r="D56" s="83" t="s">
        <v>167</v>
      </c>
      <c r="E56" s="88" t="s">
        <v>168</v>
      </c>
      <c r="F56" s="96"/>
      <c r="G56" s="90"/>
      <c r="H56" s="91"/>
      <c r="I56" s="91"/>
      <c r="J56" s="91"/>
      <c r="K56" s="90"/>
      <c r="L56" s="90"/>
      <c r="M56" s="90"/>
      <c r="N56" s="90"/>
      <c r="O56" s="90"/>
      <c r="P56" s="97">
        <v>0.2</v>
      </c>
      <c r="Q56" s="90"/>
      <c r="R56" s="90">
        <v>0.1</v>
      </c>
      <c r="S56" s="90"/>
      <c r="T56" s="90"/>
      <c r="U56" s="90"/>
      <c r="V56" s="90"/>
      <c r="W56" s="90"/>
      <c r="X56" s="90"/>
      <c r="Y56" s="90"/>
      <c r="Z56" s="98"/>
      <c r="AA56" s="90"/>
      <c r="AB56" s="90"/>
      <c r="AC56" s="90">
        <v>0.25</v>
      </c>
      <c r="AD56" s="98">
        <v>0.25</v>
      </c>
      <c r="AE56" s="90">
        <v>0.1</v>
      </c>
      <c r="AF56" s="90">
        <v>0.1</v>
      </c>
      <c r="AG56" s="90"/>
      <c r="AH56" s="90"/>
      <c r="AI56" s="90"/>
      <c r="AJ56" s="90"/>
      <c r="AK56" s="90"/>
      <c r="AL56" s="90"/>
      <c r="AM56" s="90"/>
      <c r="AN56" s="90"/>
      <c r="AO56" s="92">
        <f t="shared" si="3"/>
        <v>1</v>
      </c>
      <c r="AQ56" s="94" t="str">
        <f t="shared" si="1"/>
        <v>JOHNSON, Kamilla R. April</v>
      </c>
    </row>
    <row r="57" spans="1:43" s="93" customFormat="1" ht="15" x14ac:dyDescent="0.4">
      <c r="A57">
        <v>51</v>
      </c>
      <c r="B57" s="42"/>
      <c r="C57" t="e">
        <f>MATCH(B57,Salary!B:B,0)</f>
        <v>#N/A</v>
      </c>
      <c r="D57" s="74" t="s">
        <v>169</v>
      </c>
      <c r="E57" s="88" t="s">
        <v>168</v>
      </c>
      <c r="F57" s="96"/>
      <c r="G57" s="90"/>
      <c r="H57" s="91"/>
      <c r="I57" s="91"/>
      <c r="J57" s="91"/>
      <c r="K57" s="90"/>
      <c r="L57" s="90"/>
      <c r="M57" s="90"/>
      <c r="N57" s="90"/>
      <c r="O57" s="90"/>
      <c r="P57" s="97">
        <v>0</v>
      </c>
      <c r="Q57" s="90"/>
      <c r="R57" s="90">
        <v>0.1</v>
      </c>
      <c r="S57" s="90"/>
      <c r="T57" s="90"/>
      <c r="U57" s="90"/>
      <c r="V57" s="90"/>
      <c r="W57" s="90"/>
      <c r="X57" s="90"/>
      <c r="Y57" s="90"/>
      <c r="Z57" s="98"/>
      <c r="AA57" s="90"/>
      <c r="AB57" s="90"/>
      <c r="AC57" s="90">
        <v>0.25</v>
      </c>
      <c r="AD57" s="98">
        <v>0.25</v>
      </c>
      <c r="AE57" s="90">
        <v>0.1</v>
      </c>
      <c r="AF57" s="90">
        <v>0.3</v>
      </c>
      <c r="AG57" s="90"/>
      <c r="AH57" s="90"/>
      <c r="AI57" s="90"/>
      <c r="AJ57" s="90"/>
      <c r="AK57" s="90"/>
      <c r="AL57" s="90"/>
      <c r="AM57" s="90"/>
      <c r="AN57" s="90"/>
      <c r="AO57" s="92">
        <f t="shared" si="3"/>
        <v>1</v>
      </c>
      <c r="AQ57" s="94" t="str">
        <f t="shared" si="1"/>
        <v>JOHNSON, Kamilla R. May</v>
      </c>
    </row>
    <row r="58" spans="1:43" s="93" customFormat="1" ht="15" x14ac:dyDescent="0.4">
      <c r="A58">
        <v>52</v>
      </c>
      <c r="B58" s="42"/>
      <c r="C58" t="e">
        <f>MATCH(B58,Salary!B:B,0)</f>
        <v>#N/A</v>
      </c>
      <c r="D58" s="74" t="s">
        <v>170</v>
      </c>
      <c r="E58" s="88" t="s">
        <v>168</v>
      </c>
      <c r="F58" s="96"/>
      <c r="G58" s="90"/>
      <c r="H58" s="91"/>
      <c r="I58" s="91"/>
      <c r="J58" s="91"/>
      <c r="K58" s="90"/>
      <c r="L58" s="90"/>
      <c r="M58" s="90"/>
      <c r="N58" s="90"/>
      <c r="O58" s="90"/>
      <c r="P58" s="97"/>
      <c r="Q58" s="90"/>
      <c r="R58" s="90"/>
      <c r="S58" s="90"/>
      <c r="T58" s="90"/>
      <c r="U58" s="90"/>
      <c r="V58" s="90"/>
      <c r="W58" s="90"/>
      <c r="X58" s="90"/>
      <c r="Y58" s="90"/>
      <c r="Z58" s="98"/>
      <c r="AA58" s="90"/>
      <c r="AB58" s="90"/>
      <c r="AC58" s="90">
        <v>0.3</v>
      </c>
      <c r="AD58" s="98">
        <v>0.25</v>
      </c>
      <c r="AE58" s="90">
        <v>0.05</v>
      </c>
      <c r="AF58" s="90">
        <v>0.4</v>
      </c>
      <c r="AG58" s="90">
        <v>0</v>
      </c>
      <c r="AH58" s="90"/>
      <c r="AI58" s="90"/>
      <c r="AJ58" s="90"/>
      <c r="AK58" s="90"/>
      <c r="AL58" s="90"/>
      <c r="AM58" s="90"/>
      <c r="AN58" s="90"/>
      <c r="AO58" s="92">
        <f t="shared" si="3"/>
        <v>1</v>
      </c>
      <c r="AQ58" s="94" t="str">
        <f t="shared" si="1"/>
        <v>JOHNSON, Kamilla R. June</v>
      </c>
    </row>
    <row r="59" spans="1:43" s="48" customFormat="1" ht="15" x14ac:dyDescent="0.4">
      <c r="A59">
        <v>53</v>
      </c>
      <c r="B59" s="42"/>
      <c r="C59" t="e">
        <f>MATCH(B59,Salary!B:B,0)</f>
        <v>#N/A</v>
      </c>
      <c r="D59" s="74" t="s">
        <v>171</v>
      </c>
      <c r="E59" s="75" t="s">
        <v>97</v>
      </c>
      <c r="F59" s="50"/>
      <c r="G59" s="76"/>
      <c r="H59" s="77">
        <v>1</v>
      </c>
      <c r="I59" s="77"/>
      <c r="J59" s="77"/>
      <c r="K59" s="76"/>
      <c r="L59" s="76"/>
      <c r="M59" s="76"/>
      <c r="N59" s="76"/>
      <c r="O59" s="76"/>
      <c r="P59" s="80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8"/>
      <c r="AJ59" s="76"/>
      <c r="AK59" s="76"/>
      <c r="AL59" s="76"/>
      <c r="AM59" s="76"/>
      <c r="AN59" s="76"/>
      <c r="AO59" s="79">
        <f t="shared" si="3"/>
        <v>1</v>
      </c>
      <c r="AQ59" s="64" t="str">
        <f t="shared" si="1"/>
        <v>LANE-MEGA, Lataeya - Replacemt</v>
      </c>
    </row>
    <row r="60" spans="1:43" s="48" customFormat="1" ht="15" x14ac:dyDescent="0.4">
      <c r="A60">
        <v>54</v>
      </c>
      <c r="B60" s="42"/>
      <c r="C60" t="e">
        <f>MATCH(B60,Salary!B:B,0)</f>
        <v>#N/A</v>
      </c>
      <c r="D60" s="74" t="s">
        <v>172</v>
      </c>
      <c r="E60" s="75" t="s">
        <v>98</v>
      </c>
      <c r="F60" s="50"/>
      <c r="G60" s="76"/>
      <c r="H60" s="77"/>
      <c r="I60" s="77"/>
      <c r="J60" s="77"/>
      <c r="K60" s="76"/>
      <c r="L60" s="81">
        <v>1</v>
      </c>
      <c r="M60" s="76"/>
      <c r="N60" s="76"/>
      <c r="O60" s="76"/>
      <c r="P60" s="80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8"/>
      <c r="AJ60" s="76"/>
      <c r="AK60" s="76"/>
      <c r="AL60" s="76"/>
      <c r="AM60" s="76"/>
      <c r="AN60" s="76"/>
      <c r="AO60" s="79">
        <f t="shared" si="3"/>
        <v>1</v>
      </c>
      <c r="AQ60" s="64" t="str">
        <f t="shared" si="1"/>
        <v>LEWIS, Felicia M.</v>
      </c>
    </row>
    <row r="61" spans="1:43" s="48" customFormat="1" ht="15" x14ac:dyDescent="0.4">
      <c r="A61">
        <v>55</v>
      </c>
      <c r="B61" s="42"/>
      <c r="C61" t="e">
        <f>MATCH(B61,Salary!B:B,0)</f>
        <v>#N/A</v>
      </c>
      <c r="D61" s="74" t="s">
        <v>173</v>
      </c>
      <c r="E61" s="75" t="s">
        <v>98</v>
      </c>
      <c r="F61" s="50"/>
      <c r="G61" s="76"/>
      <c r="H61" s="77"/>
      <c r="I61" s="77"/>
      <c r="J61" s="77"/>
      <c r="K61" s="76"/>
      <c r="L61" s="81">
        <v>1</v>
      </c>
      <c r="M61" s="76"/>
      <c r="N61" s="76"/>
      <c r="O61" s="76"/>
      <c r="P61" s="80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8"/>
      <c r="AJ61" s="76"/>
      <c r="AK61" s="76"/>
      <c r="AL61" s="76"/>
      <c r="AM61" s="76"/>
      <c r="AN61" s="76"/>
      <c r="AO61" s="79">
        <f t="shared" si="3"/>
        <v>1</v>
      </c>
      <c r="AQ61" s="64" t="str">
        <f t="shared" si="1"/>
        <v>LEWIS, Jaleeah C.</v>
      </c>
    </row>
    <row r="62" spans="1:43" s="48" customFormat="1" ht="15" x14ac:dyDescent="0.4">
      <c r="A62">
        <v>56</v>
      </c>
      <c r="B62" s="42"/>
      <c r="C62" t="e">
        <f>MATCH(B62,Salary!B:B,0)</f>
        <v>#N/A</v>
      </c>
      <c r="D62" s="99" t="s">
        <v>174</v>
      </c>
      <c r="E62" s="75" t="s">
        <v>98</v>
      </c>
      <c r="F62" s="50"/>
      <c r="G62" s="100"/>
      <c r="H62" s="101"/>
      <c r="I62" s="101"/>
      <c r="J62" s="101"/>
      <c r="K62" s="100"/>
      <c r="L62" s="102">
        <v>1</v>
      </c>
      <c r="M62" s="100"/>
      <c r="N62" s="100"/>
      <c r="O62" s="100"/>
      <c r="P62" s="103"/>
      <c r="Q62" s="100"/>
      <c r="R62" s="100"/>
      <c r="S62" s="100"/>
      <c r="T62" s="100"/>
      <c r="U62" s="100"/>
      <c r="V62" s="100"/>
      <c r="W62" s="100"/>
      <c r="X62" s="100"/>
      <c r="Y62" s="100"/>
      <c r="Z62" s="76"/>
      <c r="AA62" s="100"/>
      <c r="AB62" s="100"/>
      <c r="AC62" s="100"/>
      <c r="AD62" s="100"/>
      <c r="AE62" s="100"/>
      <c r="AF62" s="100"/>
      <c r="AG62" s="100"/>
      <c r="AH62" s="100"/>
      <c r="AI62" s="104"/>
      <c r="AJ62" s="100"/>
      <c r="AK62" s="100"/>
      <c r="AL62" s="100"/>
      <c r="AM62" s="100"/>
      <c r="AN62" s="100"/>
      <c r="AO62" s="79">
        <f t="shared" si="3"/>
        <v>1</v>
      </c>
      <c r="AQ62" s="64" t="str">
        <f t="shared" si="1"/>
        <v>LEWIS, Tavonna</v>
      </c>
    </row>
    <row r="63" spans="1:43" s="48" customFormat="1" ht="15" x14ac:dyDescent="0.4">
      <c r="A63">
        <v>57</v>
      </c>
      <c r="B63" s="42"/>
      <c r="C63" t="e">
        <f>MATCH(B63,Salary!B:B,0)</f>
        <v>#N/A</v>
      </c>
      <c r="D63" s="99" t="s">
        <v>175</v>
      </c>
      <c r="E63" s="75" t="s">
        <v>97</v>
      </c>
      <c r="F63" s="50"/>
      <c r="G63" s="100"/>
      <c r="H63" s="101">
        <v>1</v>
      </c>
      <c r="I63" s="101"/>
      <c r="J63" s="101"/>
      <c r="K63" s="100"/>
      <c r="L63" s="102"/>
      <c r="M63" s="100"/>
      <c r="N63" s="100"/>
      <c r="O63" s="100"/>
      <c r="P63" s="103"/>
      <c r="Q63" s="100"/>
      <c r="R63" s="100"/>
      <c r="S63" s="100"/>
      <c r="T63" s="100"/>
      <c r="U63" s="100"/>
      <c r="V63" s="100"/>
      <c r="W63" s="100"/>
      <c r="X63" s="100"/>
      <c r="Y63" s="100"/>
      <c r="Z63" s="76"/>
      <c r="AA63" s="100"/>
      <c r="AB63" s="100"/>
      <c r="AC63" s="100"/>
      <c r="AD63" s="100"/>
      <c r="AE63" s="100"/>
      <c r="AF63" s="100"/>
      <c r="AG63" s="100"/>
      <c r="AH63" s="100"/>
      <c r="AI63" s="104"/>
      <c r="AJ63" s="100"/>
      <c r="AK63" s="100"/>
      <c r="AL63" s="100"/>
      <c r="AM63" s="100"/>
      <c r="AN63" s="100"/>
      <c r="AO63" s="79">
        <f t="shared" si="3"/>
        <v>1</v>
      </c>
      <c r="AQ63" s="64" t="str">
        <f t="shared" si="1"/>
        <v>LOFTIN, NIQUITA</v>
      </c>
    </row>
    <row r="64" spans="1:43" s="48" customFormat="1" ht="15" x14ac:dyDescent="0.4">
      <c r="A64">
        <v>58</v>
      </c>
      <c r="B64" s="42"/>
      <c r="C64" t="e">
        <f>MATCH(B64,Salary!B:B,0)</f>
        <v>#N/A</v>
      </c>
      <c r="D64" s="74" t="s">
        <v>176</v>
      </c>
      <c r="E64" s="75" t="s">
        <v>107</v>
      </c>
      <c r="F64" s="50"/>
      <c r="G64" s="76"/>
      <c r="H64" s="77"/>
      <c r="I64" s="77"/>
      <c r="J64" s="77"/>
      <c r="K64" s="76"/>
      <c r="L64" s="100"/>
      <c r="M64" s="76"/>
      <c r="N64" s="76"/>
      <c r="O64" s="76"/>
      <c r="P64" s="80"/>
      <c r="Q64" s="76">
        <v>1</v>
      </c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8"/>
      <c r="AJ64" s="76"/>
      <c r="AK64" s="76"/>
      <c r="AL64" s="76"/>
      <c r="AM64" s="76"/>
      <c r="AN64" s="76"/>
      <c r="AO64" s="79">
        <f t="shared" si="3"/>
        <v>1</v>
      </c>
      <c r="AQ64" s="64" t="str">
        <f t="shared" si="1"/>
        <v>MAJETTE, Juanita L.</v>
      </c>
    </row>
    <row r="65" spans="1:43" s="48" customFormat="1" ht="15" x14ac:dyDescent="0.4">
      <c r="A65">
        <v>59</v>
      </c>
      <c r="B65" s="42"/>
      <c r="C65" t="e">
        <f>MATCH(B65,Salary!B:B,0)</f>
        <v>#N/A</v>
      </c>
      <c r="D65" s="74" t="s">
        <v>177</v>
      </c>
      <c r="E65" s="75" t="s">
        <v>98</v>
      </c>
      <c r="F65" s="50"/>
      <c r="G65" s="76"/>
      <c r="H65" s="77"/>
      <c r="I65" s="77"/>
      <c r="J65" s="77"/>
      <c r="K65" s="76"/>
      <c r="L65" s="81">
        <v>1</v>
      </c>
      <c r="M65" s="76"/>
      <c r="N65" s="76"/>
      <c r="O65" s="76"/>
      <c r="P65" s="80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8"/>
      <c r="AJ65" s="76"/>
      <c r="AK65" s="76"/>
      <c r="AL65" s="76"/>
      <c r="AM65" s="76"/>
      <c r="AN65" s="76"/>
      <c r="AO65" s="79">
        <f t="shared" si="3"/>
        <v>1</v>
      </c>
      <c r="AQ65" s="64" t="str">
        <f t="shared" si="1"/>
        <v>MARROW, Mary Elizabeth</v>
      </c>
    </row>
    <row r="66" spans="1:43" s="48" customFormat="1" ht="15" x14ac:dyDescent="0.4">
      <c r="A66">
        <v>60</v>
      </c>
      <c r="B66" s="42"/>
      <c r="C66" t="e">
        <f>MATCH(B66,Salary!B:B,0)</f>
        <v>#N/A</v>
      </c>
      <c r="D66" s="83" t="s">
        <v>178</v>
      </c>
      <c r="E66" s="105" t="s">
        <v>112</v>
      </c>
      <c r="F66" s="50"/>
      <c r="G66" s="76"/>
      <c r="H66" s="77"/>
      <c r="I66" s="77"/>
      <c r="J66" s="77"/>
      <c r="K66" s="76"/>
      <c r="L66" s="76"/>
      <c r="M66" s="76"/>
      <c r="N66" s="76"/>
      <c r="O66" s="76"/>
      <c r="P66" s="80"/>
      <c r="Q66" s="76"/>
      <c r="R66" s="76"/>
      <c r="S66" s="76"/>
      <c r="T66" s="76"/>
      <c r="U66" s="76"/>
      <c r="V66" s="76">
        <v>1</v>
      </c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8"/>
      <c r="AJ66" s="76"/>
      <c r="AK66" s="76"/>
      <c r="AL66" s="76"/>
      <c r="AM66" s="76"/>
      <c r="AN66" s="76"/>
      <c r="AO66" s="79">
        <f t="shared" si="3"/>
        <v>1</v>
      </c>
      <c r="AQ66" s="64" t="str">
        <f t="shared" si="1"/>
        <v>MARTINEZ, Joanna</v>
      </c>
    </row>
    <row r="67" spans="1:43" s="48" customFormat="1" ht="15" x14ac:dyDescent="0.4">
      <c r="A67">
        <v>61</v>
      </c>
      <c r="B67" s="42"/>
      <c r="C67" t="e">
        <f>MATCH(B67,Salary!B:B,0)</f>
        <v>#N/A</v>
      </c>
      <c r="D67" s="74" t="s">
        <v>179</v>
      </c>
      <c r="E67" s="105" t="s">
        <v>180</v>
      </c>
      <c r="F67" s="50"/>
      <c r="G67" s="76"/>
      <c r="H67" s="77"/>
      <c r="I67" s="77"/>
      <c r="J67" s="77"/>
      <c r="K67" s="76"/>
      <c r="L67" s="76"/>
      <c r="M67" s="76"/>
      <c r="N67" s="76"/>
      <c r="O67" s="76"/>
      <c r="P67" s="80"/>
      <c r="Q67" s="76"/>
      <c r="R67" s="76"/>
      <c r="S67" s="76"/>
      <c r="T67" s="76"/>
      <c r="U67" s="76"/>
      <c r="V67" s="76">
        <v>0.95</v>
      </c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8"/>
      <c r="AJ67" s="76"/>
      <c r="AK67" s="76">
        <v>0.05</v>
      </c>
      <c r="AL67" s="76"/>
      <c r="AM67" s="76"/>
      <c r="AN67" s="76"/>
      <c r="AO67" s="79">
        <f>SUM(G67:AN67)</f>
        <v>1</v>
      </c>
      <c r="AQ67" s="64" t="str">
        <f>D67</f>
        <v>MARTINEZ, Joanna - August</v>
      </c>
    </row>
    <row r="68" spans="1:43" s="48" customFormat="1" ht="15" x14ac:dyDescent="0.4">
      <c r="A68">
        <v>62</v>
      </c>
      <c r="B68" s="42"/>
      <c r="C68" t="e">
        <f>MATCH(B68,Salary!B:B,0)</f>
        <v>#N/A</v>
      </c>
      <c r="D68" s="74" t="s">
        <v>181</v>
      </c>
      <c r="E68" s="75" t="s">
        <v>97</v>
      </c>
      <c r="F68" s="50"/>
      <c r="G68" s="76"/>
      <c r="H68" s="77">
        <v>0.8</v>
      </c>
      <c r="I68" s="77"/>
      <c r="J68" s="77">
        <v>0.2</v>
      </c>
      <c r="K68" s="76"/>
      <c r="L68" s="76"/>
      <c r="M68" s="76"/>
      <c r="N68" s="76"/>
      <c r="O68" s="76"/>
      <c r="P68" s="80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8"/>
      <c r="AJ68" s="76"/>
      <c r="AK68" s="76"/>
      <c r="AL68" s="76"/>
      <c r="AM68" s="76"/>
      <c r="AN68" s="76"/>
      <c r="AO68" s="79">
        <f t="shared" si="3"/>
        <v>1</v>
      </c>
      <c r="AQ68" s="64" t="str">
        <f t="shared" si="1"/>
        <v>MCMILLIAN, Daphne L.</v>
      </c>
    </row>
    <row r="69" spans="1:43" s="48" customFormat="1" ht="15" x14ac:dyDescent="0.4">
      <c r="A69">
        <v>63</v>
      </c>
      <c r="B69" s="42"/>
      <c r="C69" t="e">
        <f>MATCH(B69,Salary!B:B,0)</f>
        <v>#N/A</v>
      </c>
      <c r="D69" s="74" t="s">
        <v>182</v>
      </c>
      <c r="E69" s="75" t="s">
        <v>97</v>
      </c>
      <c r="F69" s="50"/>
      <c r="G69" s="76"/>
      <c r="H69" s="77">
        <v>1</v>
      </c>
      <c r="I69" s="77"/>
      <c r="J69" s="77"/>
      <c r="K69" s="76"/>
      <c r="L69" s="76"/>
      <c r="M69" s="76"/>
      <c r="N69" s="76">
        <v>0</v>
      </c>
      <c r="O69" s="76"/>
      <c r="P69" s="80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8"/>
      <c r="AJ69" s="76"/>
      <c r="AK69" s="76"/>
      <c r="AL69" s="76"/>
      <c r="AM69" s="76"/>
      <c r="AN69" s="76"/>
      <c r="AO69" s="79">
        <f t="shared" si="3"/>
        <v>1</v>
      </c>
      <c r="AQ69" s="64" t="str">
        <f t="shared" si="1"/>
        <v>MCMILLIAN, Daphne L. - Summer</v>
      </c>
    </row>
    <row r="70" spans="1:43" s="48" customFormat="1" ht="15" x14ac:dyDescent="0.4">
      <c r="A70">
        <v>64</v>
      </c>
      <c r="B70" s="42"/>
      <c r="C70" t="e">
        <f>MATCH(B70,Salary!B:B,0)</f>
        <v>#N/A</v>
      </c>
      <c r="D70" s="74" t="s">
        <v>183</v>
      </c>
      <c r="E70" s="75" t="s">
        <v>98</v>
      </c>
      <c r="F70" s="50"/>
      <c r="G70" s="76"/>
      <c r="H70" s="77"/>
      <c r="I70" s="77"/>
      <c r="J70" s="77"/>
      <c r="K70" s="76"/>
      <c r="L70" s="81">
        <v>1</v>
      </c>
      <c r="M70" s="76"/>
      <c r="N70" s="76"/>
      <c r="O70" s="76"/>
      <c r="P70" s="80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8"/>
      <c r="AJ70" s="76"/>
      <c r="AK70" s="76"/>
      <c r="AL70" s="76"/>
      <c r="AM70" s="76"/>
      <c r="AN70" s="76"/>
      <c r="AO70" s="79">
        <f t="shared" si="3"/>
        <v>1</v>
      </c>
      <c r="AQ70" s="64" t="str">
        <f t="shared" si="1"/>
        <v>MEGGETT, Bonita L.</v>
      </c>
    </row>
    <row r="71" spans="1:43" s="48" customFormat="1" ht="15" x14ac:dyDescent="0.4">
      <c r="A71">
        <v>65</v>
      </c>
      <c r="B71" s="42"/>
      <c r="C71" t="e">
        <f>MATCH(B71,Salary!B:B,0)</f>
        <v>#N/A</v>
      </c>
      <c r="D71" s="84" t="s">
        <v>184</v>
      </c>
      <c r="E71" s="75" t="s">
        <v>112</v>
      </c>
      <c r="F71" s="50"/>
      <c r="G71" s="76"/>
      <c r="H71" s="77"/>
      <c r="I71" s="77"/>
      <c r="J71" s="77"/>
      <c r="K71" s="76"/>
      <c r="L71" s="76"/>
      <c r="M71" s="76"/>
      <c r="N71" s="76"/>
      <c r="O71" s="76"/>
      <c r="P71" s="80"/>
      <c r="Q71" s="76"/>
      <c r="R71" s="76"/>
      <c r="S71" s="76"/>
      <c r="T71" s="76"/>
      <c r="U71" s="76"/>
      <c r="V71" s="76">
        <v>1</v>
      </c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8"/>
      <c r="AJ71" s="76"/>
      <c r="AK71" s="76"/>
      <c r="AL71" s="76"/>
      <c r="AM71" s="76"/>
      <c r="AN71" s="76"/>
      <c r="AO71" s="79">
        <f t="shared" si="3"/>
        <v>1</v>
      </c>
      <c r="AQ71" s="64" t="str">
        <f t="shared" ref="AQ71:AQ118" si="4">D71</f>
        <v>MORRIS, GWEN</v>
      </c>
    </row>
    <row r="72" spans="1:43" s="48" customFormat="1" ht="15" x14ac:dyDescent="0.4">
      <c r="A72">
        <v>66</v>
      </c>
      <c r="B72" s="42"/>
      <c r="C72" t="e">
        <f>MATCH(B72,Salary!B:B,0)</f>
        <v>#N/A</v>
      </c>
      <c r="D72" s="74" t="s">
        <v>185</v>
      </c>
      <c r="E72" s="75" t="s">
        <v>97</v>
      </c>
      <c r="F72" s="50"/>
      <c r="G72" s="76"/>
      <c r="H72" s="77">
        <v>0.5</v>
      </c>
      <c r="I72" s="77">
        <v>0.5</v>
      </c>
      <c r="J72" s="77"/>
      <c r="K72" s="76"/>
      <c r="L72" s="76"/>
      <c r="M72" s="76"/>
      <c r="N72" s="76"/>
      <c r="O72" s="76"/>
      <c r="P72" s="80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8"/>
      <c r="AJ72" s="76"/>
      <c r="AK72" s="76"/>
      <c r="AL72" s="76"/>
      <c r="AM72" s="76"/>
      <c r="AN72" s="76"/>
      <c r="AO72" s="79">
        <f>SUM(G72:AN72)</f>
        <v>1</v>
      </c>
      <c r="AQ72" s="64" t="str">
        <f t="shared" si="4"/>
        <v>RAMBARAN, Sharaini J.</v>
      </c>
    </row>
    <row r="73" spans="1:43" s="48" customFormat="1" ht="15" x14ac:dyDescent="0.4">
      <c r="A73">
        <v>67</v>
      </c>
      <c r="B73" s="42"/>
      <c r="C73" t="e">
        <f>MATCH(B73,Salary!B:B,0)</f>
        <v>#N/A</v>
      </c>
      <c r="D73" s="74" t="s">
        <v>186</v>
      </c>
      <c r="E73" s="75" t="s">
        <v>97</v>
      </c>
      <c r="F73" s="50"/>
      <c r="G73" s="76"/>
      <c r="H73" s="77"/>
      <c r="I73" s="77"/>
      <c r="J73" s="77"/>
      <c r="K73" s="76"/>
      <c r="L73" s="76"/>
      <c r="M73" s="76"/>
      <c r="N73" s="76">
        <v>1</v>
      </c>
      <c r="O73" s="76"/>
      <c r="P73" s="80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8"/>
      <c r="AJ73" s="76"/>
      <c r="AK73" s="76"/>
      <c r="AL73" s="76"/>
      <c r="AM73" s="76"/>
      <c r="AN73" s="76"/>
      <c r="AO73" s="79">
        <f>SUM(G73:AN73)</f>
        <v>1</v>
      </c>
      <c r="AQ73" s="64" t="str">
        <f t="shared" si="4"/>
        <v>RAMBARAN, Sharaini J. - Summer</v>
      </c>
    </row>
    <row r="74" spans="1:43" s="48" customFormat="1" ht="15" x14ac:dyDescent="0.4">
      <c r="A74">
        <v>68</v>
      </c>
      <c r="B74" s="42"/>
      <c r="C74" t="e">
        <f>MATCH(B74,Salary!B:B,0)</f>
        <v>#N/A</v>
      </c>
      <c r="D74" s="74" t="s">
        <v>187</v>
      </c>
      <c r="E74" s="75" t="s">
        <v>107</v>
      </c>
      <c r="F74" s="50"/>
      <c r="G74" s="76"/>
      <c r="H74" s="77"/>
      <c r="I74" s="77"/>
      <c r="J74" s="77"/>
      <c r="K74" s="76"/>
      <c r="L74" s="76"/>
      <c r="M74" s="76"/>
      <c r="N74" s="76"/>
      <c r="O74" s="76"/>
      <c r="P74" s="80"/>
      <c r="Q74" s="76">
        <v>1</v>
      </c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8"/>
      <c r="AJ74" s="76"/>
      <c r="AK74" s="76"/>
      <c r="AL74" s="76"/>
      <c r="AM74" s="76"/>
      <c r="AN74" s="76"/>
      <c r="AO74" s="79">
        <f>SUM(G74:AN74)</f>
        <v>1</v>
      </c>
      <c r="AQ74" s="64" t="str">
        <f t="shared" si="4"/>
        <v>REED, Melissa</v>
      </c>
    </row>
    <row r="75" spans="1:43" s="48" customFormat="1" ht="15" x14ac:dyDescent="0.4">
      <c r="A75">
        <v>69</v>
      </c>
      <c r="B75" s="42"/>
      <c r="C75" t="e">
        <f>MATCH(B75,Salary!B:B,0)</f>
        <v>#N/A</v>
      </c>
      <c r="D75" s="74" t="s">
        <v>188</v>
      </c>
      <c r="E75" s="75" t="s">
        <v>107</v>
      </c>
      <c r="F75" s="50"/>
      <c r="G75" s="76"/>
      <c r="H75" s="77"/>
      <c r="I75" s="77"/>
      <c r="J75" s="77"/>
      <c r="K75" s="76"/>
      <c r="L75" s="76"/>
      <c r="M75" s="76"/>
      <c r="N75" s="76"/>
      <c r="O75" s="76"/>
      <c r="P75" s="80"/>
      <c r="Q75" s="76">
        <v>1</v>
      </c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8"/>
      <c r="AJ75" s="76"/>
      <c r="AK75" s="76"/>
      <c r="AL75" s="76"/>
      <c r="AM75" s="76"/>
      <c r="AN75" s="76"/>
      <c r="AO75" s="79">
        <f t="shared" si="3"/>
        <v>1</v>
      </c>
      <c r="AQ75" s="64" t="str">
        <f t="shared" si="4"/>
        <v>Robinson, Chantee</v>
      </c>
    </row>
    <row r="76" spans="1:43" s="48" customFormat="1" ht="15" x14ac:dyDescent="0.4">
      <c r="A76">
        <v>70</v>
      </c>
      <c r="B76" s="42"/>
      <c r="C76" t="e">
        <f>MATCH(B76,Salary!B:B,0)</f>
        <v>#N/A</v>
      </c>
      <c r="D76" s="83" t="s">
        <v>189</v>
      </c>
      <c r="E76" s="75" t="s">
        <v>190</v>
      </c>
      <c r="F76" s="50"/>
      <c r="G76" s="76"/>
      <c r="H76" s="77"/>
      <c r="I76" s="77"/>
      <c r="J76" s="77"/>
      <c r="K76" s="76"/>
      <c r="L76" s="76"/>
      <c r="M76" s="76"/>
      <c r="N76" s="76"/>
      <c r="O76" s="76"/>
      <c r="P76" s="80"/>
      <c r="Q76" s="76"/>
      <c r="R76" s="76"/>
      <c r="S76" s="76"/>
      <c r="T76" s="76">
        <v>1</v>
      </c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8"/>
      <c r="AJ76" s="76"/>
      <c r="AK76" s="76"/>
      <c r="AL76" s="76"/>
      <c r="AM76" s="76"/>
      <c r="AN76" s="76"/>
      <c r="AO76" s="79">
        <f t="shared" si="3"/>
        <v>1</v>
      </c>
      <c r="AQ76" s="64" t="str">
        <f t="shared" si="4"/>
        <v>ROBBINS, Leonard</v>
      </c>
    </row>
    <row r="77" spans="1:43" s="48" customFormat="1" ht="15" x14ac:dyDescent="0.4">
      <c r="A77">
        <v>71</v>
      </c>
      <c r="B77" s="42"/>
      <c r="C77" t="e">
        <f>MATCH(B77,Salary!B:B,0)</f>
        <v>#N/A</v>
      </c>
      <c r="D77" s="74" t="s">
        <v>191</v>
      </c>
      <c r="E77" s="75" t="s">
        <v>107</v>
      </c>
      <c r="F77" s="50"/>
      <c r="G77" s="76"/>
      <c r="H77" s="77"/>
      <c r="I77" s="77"/>
      <c r="J77" s="77"/>
      <c r="K77" s="76"/>
      <c r="L77" s="76"/>
      <c r="M77" s="76"/>
      <c r="N77" s="76"/>
      <c r="O77" s="76"/>
      <c r="P77" s="80"/>
      <c r="Q77" s="76">
        <v>1</v>
      </c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8"/>
      <c r="AJ77" s="76"/>
      <c r="AK77" s="76"/>
      <c r="AL77" s="76"/>
      <c r="AM77" s="76"/>
      <c r="AN77" s="76"/>
      <c r="AO77" s="79">
        <f t="shared" si="3"/>
        <v>1</v>
      </c>
      <c r="AQ77" s="64" t="str">
        <f t="shared" si="4"/>
        <v>Rogers, Lakeshia</v>
      </c>
    </row>
    <row r="78" spans="1:43" s="48" customFormat="1" ht="15" x14ac:dyDescent="0.4">
      <c r="A78">
        <v>72</v>
      </c>
      <c r="B78" s="42"/>
      <c r="C78" t="e">
        <f>MATCH(B78,Salary!B:B,0)</f>
        <v>#N/A</v>
      </c>
      <c r="D78" s="74" t="s">
        <v>192</v>
      </c>
      <c r="E78" s="75" t="s">
        <v>147</v>
      </c>
      <c r="F78" s="50"/>
      <c r="G78" s="76"/>
      <c r="H78" s="77">
        <v>0.77</v>
      </c>
      <c r="I78" s="77"/>
      <c r="J78" s="77"/>
      <c r="K78" s="76"/>
      <c r="L78" s="76"/>
      <c r="M78" s="76"/>
      <c r="N78" s="76"/>
      <c r="O78" s="76"/>
      <c r="P78" s="80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8"/>
      <c r="AJ78" s="76"/>
      <c r="AK78" s="76"/>
      <c r="AL78" s="76"/>
      <c r="AM78" s="76"/>
      <c r="AN78" s="76">
        <v>0.23</v>
      </c>
      <c r="AO78" s="79">
        <f t="shared" si="3"/>
        <v>1</v>
      </c>
      <c r="AQ78" s="64" t="str">
        <f t="shared" si="4"/>
        <v>SANTIAGO-RAMOS, Jose A.</v>
      </c>
    </row>
    <row r="79" spans="1:43" s="93" customFormat="1" ht="15" x14ac:dyDescent="0.4">
      <c r="A79">
        <v>73</v>
      </c>
      <c r="B79" s="42"/>
      <c r="C79" t="e">
        <f>MATCH(B79,Salary!B:B,0)</f>
        <v>#N/A</v>
      </c>
      <c r="D79" s="74" t="s">
        <v>193</v>
      </c>
      <c r="E79" s="88" t="s">
        <v>194</v>
      </c>
      <c r="F79" s="96"/>
      <c r="G79" s="90"/>
      <c r="H79" s="91"/>
      <c r="I79" s="91"/>
      <c r="J79" s="91"/>
      <c r="K79" s="90"/>
      <c r="L79" s="90"/>
      <c r="M79" s="90"/>
      <c r="N79" s="90"/>
      <c r="O79" s="90"/>
      <c r="P79" s="90">
        <v>0.5</v>
      </c>
      <c r="Q79" s="90"/>
      <c r="R79" s="90"/>
      <c r="S79" s="90"/>
      <c r="T79" s="90"/>
      <c r="U79" s="90"/>
      <c r="V79" s="90">
        <v>0.2</v>
      </c>
      <c r="W79" s="90"/>
      <c r="X79" s="90"/>
      <c r="Y79" s="90"/>
      <c r="Z79" s="90"/>
      <c r="AA79" s="90"/>
      <c r="AB79" s="90"/>
      <c r="AC79" s="90">
        <v>0.1</v>
      </c>
      <c r="AD79" s="90"/>
      <c r="AE79" s="90"/>
      <c r="AF79" s="90"/>
      <c r="AG79" s="90"/>
      <c r="AH79" s="90">
        <v>0</v>
      </c>
      <c r="AI79" s="90"/>
      <c r="AJ79" s="90"/>
      <c r="AK79" s="90"/>
      <c r="AL79" s="90">
        <v>0.2</v>
      </c>
      <c r="AM79" s="90"/>
      <c r="AN79" s="90"/>
      <c r="AO79" s="92">
        <f t="shared" si="3"/>
        <v>1</v>
      </c>
      <c r="AQ79" s="94" t="str">
        <f t="shared" si="4"/>
        <v>SERMON, Patricia April</v>
      </c>
    </row>
    <row r="80" spans="1:43" s="93" customFormat="1" ht="15.75" customHeight="1" x14ac:dyDescent="0.4">
      <c r="A80">
        <v>74</v>
      </c>
      <c r="B80" s="42"/>
      <c r="C80" t="e">
        <f>MATCH(B80,Salary!B:B,0)</f>
        <v>#N/A</v>
      </c>
      <c r="D80" s="74" t="s">
        <v>195</v>
      </c>
      <c r="E80" s="88" t="s">
        <v>194</v>
      </c>
      <c r="F80" s="96"/>
      <c r="G80" s="90"/>
      <c r="H80" s="91"/>
      <c r="I80" s="91"/>
      <c r="J80" s="91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>
        <v>0.2</v>
      </c>
      <c r="W80" s="90"/>
      <c r="X80" s="90"/>
      <c r="Y80" s="90"/>
      <c r="Z80" s="90"/>
      <c r="AA80" s="90"/>
      <c r="AB80" s="90"/>
      <c r="AC80" s="90">
        <v>0.1</v>
      </c>
      <c r="AD80" s="90"/>
      <c r="AE80" s="90"/>
      <c r="AF80" s="90">
        <v>0.5</v>
      </c>
      <c r="AG80" s="90"/>
      <c r="AH80" s="90"/>
      <c r="AI80" s="90"/>
      <c r="AJ80" s="90"/>
      <c r="AK80" s="90"/>
      <c r="AL80" s="90">
        <v>0.2</v>
      </c>
      <c r="AM80" s="90"/>
      <c r="AN80" s="90"/>
      <c r="AO80" s="92">
        <f t="shared" si="3"/>
        <v>1</v>
      </c>
      <c r="AQ80" s="94" t="str">
        <f t="shared" si="4"/>
        <v>SERMON, Patricia May</v>
      </c>
    </row>
    <row r="81" spans="1:43" s="93" customFormat="1" ht="15.75" customHeight="1" x14ac:dyDescent="0.4">
      <c r="A81">
        <v>75</v>
      </c>
      <c r="B81" s="42"/>
      <c r="C81" t="e">
        <f>MATCH(B81,Salary!B:B,0)</f>
        <v>#N/A</v>
      </c>
      <c r="D81" s="74" t="s">
        <v>196</v>
      </c>
      <c r="E81" s="88" t="s">
        <v>194</v>
      </c>
      <c r="F81" s="96"/>
      <c r="G81" s="90"/>
      <c r="H81" s="91"/>
      <c r="I81" s="91"/>
      <c r="J81" s="91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>
        <v>0.9</v>
      </c>
      <c r="W81" s="90"/>
      <c r="X81" s="90"/>
      <c r="Y81" s="90"/>
      <c r="Z81" s="90"/>
      <c r="AA81" s="90"/>
      <c r="AB81" s="90"/>
      <c r="AC81" s="90">
        <v>0.1</v>
      </c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2">
        <f t="shared" si="3"/>
        <v>1</v>
      </c>
      <c r="AQ81" s="94" t="str">
        <f>D81</f>
        <v>SERMON, Patricia June</v>
      </c>
    </row>
    <row r="82" spans="1:43" s="93" customFormat="1" ht="15.75" customHeight="1" x14ac:dyDescent="0.4">
      <c r="A82">
        <v>76</v>
      </c>
      <c r="B82" s="42"/>
      <c r="C82" t="e">
        <f>MATCH(B82,Salary!B:B,0)</f>
        <v>#N/A</v>
      </c>
      <c r="D82" s="74" t="s">
        <v>197</v>
      </c>
      <c r="E82" s="88" t="s">
        <v>194</v>
      </c>
      <c r="F82" s="96"/>
      <c r="G82" s="90"/>
      <c r="H82" s="91"/>
      <c r="I82" s="91"/>
      <c r="J82" s="91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>
        <v>0.2</v>
      </c>
      <c r="W82" s="90"/>
      <c r="X82" s="90"/>
      <c r="Y82" s="90"/>
      <c r="Z82" s="90"/>
      <c r="AA82" s="90"/>
      <c r="AB82" s="90"/>
      <c r="AC82" s="90">
        <v>0.1</v>
      </c>
      <c r="AD82" s="90">
        <v>0.1</v>
      </c>
      <c r="AE82" s="90"/>
      <c r="AF82" s="90">
        <v>0.5</v>
      </c>
      <c r="AG82" s="90"/>
      <c r="AH82" s="90">
        <v>0.1</v>
      </c>
      <c r="AI82" s="90"/>
      <c r="AJ82" s="90"/>
      <c r="AK82" s="90"/>
      <c r="AL82" s="90">
        <v>0</v>
      </c>
      <c r="AM82" s="90"/>
      <c r="AN82" s="90"/>
      <c r="AO82" s="92">
        <f t="shared" si="3"/>
        <v>1</v>
      </c>
      <c r="AQ82" s="94" t="str">
        <f>D82</f>
        <v>SERMON, Patricia July</v>
      </c>
    </row>
    <row r="83" spans="1:43" s="93" customFormat="1" ht="15.75" customHeight="1" x14ac:dyDescent="0.4">
      <c r="A83">
        <v>77</v>
      </c>
      <c r="B83" s="42"/>
      <c r="C83" t="e">
        <f>MATCH(B83,Salary!B:B,0)</f>
        <v>#N/A</v>
      </c>
      <c r="D83" s="74" t="s">
        <v>198</v>
      </c>
      <c r="E83" s="88" t="s">
        <v>194</v>
      </c>
      <c r="F83" s="96"/>
      <c r="G83" s="90"/>
      <c r="H83" s="91"/>
      <c r="I83" s="91"/>
      <c r="J83" s="91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>
        <v>0.2</v>
      </c>
      <c r="W83" s="90"/>
      <c r="X83" s="90"/>
      <c r="Y83" s="90"/>
      <c r="Z83" s="90"/>
      <c r="AA83" s="90"/>
      <c r="AB83" s="90"/>
      <c r="AC83" s="90">
        <v>0.1</v>
      </c>
      <c r="AD83" s="90">
        <v>0.1</v>
      </c>
      <c r="AE83" s="90"/>
      <c r="AF83" s="90">
        <v>0.5</v>
      </c>
      <c r="AG83" s="90"/>
      <c r="AH83" s="90">
        <v>0.1</v>
      </c>
      <c r="AI83" s="90"/>
      <c r="AJ83" s="90"/>
      <c r="AK83" s="90"/>
      <c r="AL83" s="90">
        <v>0</v>
      </c>
      <c r="AM83" s="90"/>
      <c r="AN83" s="90"/>
      <c r="AO83" s="92">
        <f t="shared" si="3"/>
        <v>1</v>
      </c>
      <c r="AQ83" s="94" t="str">
        <f>D83</f>
        <v>SERMON, Patricia August</v>
      </c>
    </row>
    <row r="84" spans="1:43" s="48" customFormat="1" ht="15" x14ac:dyDescent="0.4">
      <c r="A84">
        <v>78</v>
      </c>
      <c r="B84" s="42"/>
      <c r="C84" t="e">
        <f>MATCH(B84,Salary!B:B,0)</f>
        <v>#N/A</v>
      </c>
      <c r="D84" s="74" t="s">
        <v>199</v>
      </c>
      <c r="E84" s="75" t="s">
        <v>107</v>
      </c>
      <c r="F84" s="50"/>
      <c r="G84" s="76"/>
      <c r="H84" s="77"/>
      <c r="I84" s="77"/>
      <c r="J84" s="77"/>
      <c r="K84" s="76"/>
      <c r="L84" s="76"/>
      <c r="M84" s="76"/>
      <c r="N84" s="76"/>
      <c r="O84" s="76"/>
      <c r="P84" s="80"/>
      <c r="Q84" s="76">
        <v>1</v>
      </c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8"/>
      <c r="AJ84" s="76"/>
      <c r="AK84" s="76"/>
      <c r="AL84" s="76"/>
      <c r="AM84" s="76"/>
      <c r="AN84" s="76"/>
      <c r="AO84" s="79">
        <f t="shared" si="3"/>
        <v>1</v>
      </c>
      <c r="AQ84" s="64" t="str">
        <f t="shared" si="4"/>
        <v>SESSOMS, Donna M.</v>
      </c>
    </row>
    <row r="85" spans="1:43" s="48" customFormat="1" ht="15" x14ac:dyDescent="0.4">
      <c r="A85">
        <v>79</v>
      </c>
      <c r="B85" s="42"/>
      <c r="C85" t="e">
        <f>MATCH(B85,Salary!B:B,0)</f>
        <v>#N/A</v>
      </c>
      <c r="D85" s="74" t="s">
        <v>200</v>
      </c>
      <c r="E85" s="75" t="s">
        <v>201</v>
      </c>
      <c r="F85" s="50"/>
      <c r="G85" s="76"/>
      <c r="H85" s="77"/>
      <c r="I85" s="77"/>
      <c r="J85" s="77"/>
      <c r="K85" s="76"/>
      <c r="L85" s="76"/>
      <c r="M85" s="76"/>
      <c r="N85" s="76"/>
      <c r="O85" s="76">
        <v>0.25</v>
      </c>
      <c r="P85" s="80"/>
      <c r="Q85" s="76"/>
      <c r="R85" s="76"/>
      <c r="S85" s="76"/>
      <c r="T85" s="76"/>
      <c r="U85" s="76">
        <v>0.75</v>
      </c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8"/>
      <c r="AJ85" s="76"/>
      <c r="AK85" s="76"/>
      <c r="AL85" s="76"/>
      <c r="AM85" s="76"/>
      <c r="AN85" s="76"/>
      <c r="AO85" s="79">
        <f t="shared" si="3"/>
        <v>1</v>
      </c>
      <c r="AQ85" s="64" t="str">
        <f t="shared" si="4"/>
        <v>SHARIF, Darrin S. - April</v>
      </c>
    </row>
    <row r="86" spans="1:43" s="48" customFormat="1" ht="15" x14ac:dyDescent="0.4">
      <c r="A86">
        <v>80</v>
      </c>
      <c r="B86" s="42"/>
      <c r="C86" t="e">
        <f>MATCH(B86,Salary!B:B,0)</f>
        <v>#N/A</v>
      </c>
      <c r="D86" s="83" t="s">
        <v>202</v>
      </c>
      <c r="E86" s="75" t="s">
        <v>201</v>
      </c>
      <c r="F86" s="50"/>
      <c r="G86" s="76"/>
      <c r="H86" s="77"/>
      <c r="I86" s="77"/>
      <c r="J86" s="77"/>
      <c r="K86" s="76"/>
      <c r="L86" s="76"/>
      <c r="M86" s="76"/>
      <c r="N86" s="76"/>
      <c r="O86" s="76">
        <v>0.3</v>
      </c>
      <c r="P86" s="80"/>
      <c r="Q86" s="76"/>
      <c r="R86" s="76"/>
      <c r="S86" s="76"/>
      <c r="T86" s="76"/>
      <c r="U86" s="76">
        <v>0.7</v>
      </c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8"/>
      <c r="AJ86" s="76"/>
      <c r="AK86" s="76"/>
      <c r="AL86" s="76"/>
      <c r="AM86" s="76"/>
      <c r="AN86" s="76"/>
      <c r="AO86" s="79">
        <f t="shared" si="3"/>
        <v>1</v>
      </c>
      <c r="AQ86" s="64" t="str">
        <f>D86</f>
        <v>SHARIF, Darrin S. - July</v>
      </c>
    </row>
    <row r="87" spans="1:43" s="48" customFormat="1" ht="15" x14ac:dyDescent="0.4">
      <c r="A87">
        <v>81</v>
      </c>
      <c r="B87" s="42"/>
      <c r="C87" t="e">
        <f>MATCH(B87,Salary!B:B,0)</f>
        <v>#N/A</v>
      </c>
      <c r="D87" s="74" t="s">
        <v>203</v>
      </c>
      <c r="E87" s="75" t="s">
        <v>97</v>
      </c>
      <c r="F87" s="50"/>
      <c r="G87" s="76"/>
      <c r="H87" s="77">
        <v>1</v>
      </c>
      <c r="I87" s="77"/>
      <c r="J87" s="77"/>
      <c r="K87" s="76"/>
      <c r="L87" s="76"/>
      <c r="M87" s="76"/>
      <c r="N87" s="76"/>
      <c r="O87" s="76"/>
      <c r="P87" s="80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8"/>
      <c r="AJ87" s="76"/>
      <c r="AK87" s="76"/>
      <c r="AL87" s="76"/>
      <c r="AM87" s="76"/>
      <c r="AN87" s="76"/>
      <c r="AO87" s="79">
        <f t="shared" si="3"/>
        <v>1</v>
      </c>
      <c r="AQ87" s="64" t="str">
        <f t="shared" si="4"/>
        <v>SIMMONS, Bertrilla R.</v>
      </c>
    </row>
    <row r="88" spans="1:43" s="48" customFormat="1" ht="15" x14ac:dyDescent="0.4">
      <c r="A88">
        <v>82</v>
      </c>
      <c r="B88" s="42"/>
      <c r="C88" t="e">
        <f>MATCH(B88,Salary!B:B,0)</f>
        <v>#N/A</v>
      </c>
      <c r="D88" s="84" t="s">
        <v>204</v>
      </c>
      <c r="E88" s="75" t="s">
        <v>97</v>
      </c>
      <c r="F88" s="50"/>
      <c r="G88" s="76"/>
      <c r="H88" s="77">
        <v>0</v>
      </c>
      <c r="I88" s="77"/>
      <c r="J88" s="77"/>
      <c r="K88" s="76"/>
      <c r="L88" s="76"/>
      <c r="M88" s="76"/>
      <c r="N88" s="76">
        <v>1</v>
      </c>
      <c r="O88" s="76"/>
      <c r="P88" s="80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8"/>
      <c r="AJ88" s="76"/>
      <c r="AK88" s="76"/>
      <c r="AL88" s="76"/>
      <c r="AM88" s="76"/>
      <c r="AN88" s="76"/>
      <c r="AO88" s="79">
        <f t="shared" si="3"/>
        <v>1</v>
      </c>
      <c r="AQ88" s="64" t="str">
        <f t="shared" si="4"/>
        <v>STEWART, Robin D - Summer</v>
      </c>
    </row>
    <row r="89" spans="1:43" s="48" customFormat="1" ht="15" x14ac:dyDescent="0.4">
      <c r="A89">
        <v>83</v>
      </c>
      <c r="B89" s="42"/>
      <c r="C89" t="e">
        <f>MATCH(B89,Salary!B:B,0)</f>
        <v>#N/A</v>
      </c>
      <c r="D89" s="84" t="s">
        <v>205</v>
      </c>
      <c r="E89" s="75" t="s">
        <v>97</v>
      </c>
      <c r="F89" s="50"/>
      <c r="G89" s="76"/>
      <c r="H89" s="77">
        <v>1</v>
      </c>
      <c r="I89" s="77"/>
      <c r="J89" s="77"/>
      <c r="K89" s="76"/>
      <c r="L89" s="76"/>
      <c r="M89" s="76"/>
      <c r="N89" s="76"/>
      <c r="O89" s="76"/>
      <c r="P89" s="80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8"/>
      <c r="AJ89" s="76"/>
      <c r="AK89" s="76"/>
      <c r="AL89" s="76"/>
      <c r="AM89" s="76"/>
      <c r="AN89" s="76"/>
      <c r="AO89" s="79">
        <f t="shared" si="3"/>
        <v>1</v>
      </c>
      <c r="AQ89" s="64" t="str">
        <f t="shared" si="4"/>
        <v>STEWART, Robin D</v>
      </c>
    </row>
    <row r="90" spans="1:43" s="48" customFormat="1" ht="15" x14ac:dyDescent="0.4">
      <c r="A90">
        <v>84</v>
      </c>
      <c r="B90" s="42"/>
      <c r="C90" t="e">
        <f>MATCH(B90,Salary!B:B,0)</f>
        <v>#N/A</v>
      </c>
      <c r="D90" s="74" t="s">
        <v>206</v>
      </c>
      <c r="E90" s="75" t="s">
        <v>97</v>
      </c>
      <c r="F90" s="50"/>
      <c r="G90" s="76"/>
      <c r="H90" s="77">
        <v>0.77</v>
      </c>
      <c r="I90" s="77"/>
      <c r="J90" s="77"/>
      <c r="K90" s="76">
        <v>0.23</v>
      </c>
      <c r="L90" s="76"/>
      <c r="M90" s="76"/>
      <c r="N90" s="76"/>
      <c r="O90" s="76"/>
      <c r="P90" s="80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8"/>
      <c r="AJ90" s="76"/>
      <c r="AK90" s="76"/>
      <c r="AL90" s="76"/>
      <c r="AM90" s="76"/>
      <c r="AN90" s="76"/>
      <c r="AO90" s="79">
        <f t="shared" si="3"/>
        <v>1</v>
      </c>
      <c r="AQ90" s="64" t="str">
        <f t="shared" si="4"/>
        <v>TYLER, Patricia</v>
      </c>
    </row>
    <row r="91" spans="1:43" s="48" customFormat="1" ht="15" x14ac:dyDescent="0.4">
      <c r="A91">
        <v>85</v>
      </c>
      <c r="B91" s="42"/>
      <c r="C91" t="e">
        <f>MATCH(B91,Salary!B:B,0)</f>
        <v>#N/A</v>
      </c>
      <c r="D91" s="74" t="s">
        <v>207</v>
      </c>
      <c r="E91" s="75" t="s">
        <v>97</v>
      </c>
      <c r="F91" s="50"/>
      <c r="G91" s="76"/>
      <c r="H91" s="77"/>
      <c r="I91" s="77"/>
      <c r="J91" s="77"/>
      <c r="K91" s="76"/>
      <c r="L91" s="76"/>
      <c r="M91" s="76"/>
      <c r="N91" s="76">
        <v>1</v>
      </c>
      <c r="O91" s="76"/>
      <c r="P91" s="80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8"/>
      <c r="AJ91" s="76"/>
      <c r="AK91" s="76"/>
      <c r="AL91" s="76"/>
      <c r="AM91" s="76"/>
      <c r="AN91" s="76"/>
      <c r="AO91" s="79">
        <f t="shared" si="3"/>
        <v>1</v>
      </c>
      <c r="AQ91" s="64" t="str">
        <f t="shared" si="4"/>
        <v>TYLER, Patricia - Summer</v>
      </c>
    </row>
    <row r="92" spans="1:43" s="48" customFormat="1" ht="15" x14ac:dyDescent="0.4">
      <c r="A92">
        <v>86</v>
      </c>
      <c r="B92" s="42"/>
      <c r="C92" t="e">
        <f>MATCH(B92,Salary!B:B,0)</f>
        <v>#N/A</v>
      </c>
      <c r="D92" s="74" t="s">
        <v>208</v>
      </c>
      <c r="E92" s="75" t="s">
        <v>98</v>
      </c>
      <c r="F92" s="50"/>
      <c r="G92" s="76"/>
      <c r="H92" s="77"/>
      <c r="I92" s="77"/>
      <c r="J92" s="77"/>
      <c r="K92" s="76"/>
      <c r="L92" s="81">
        <v>1</v>
      </c>
      <c r="M92" s="76"/>
      <c r="N92" s="76"/>
      <c r="O92" s="76"/>
      <c r="P92" s="80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8"/>
      <c r="AJ92" s="76"/>
      <c r="AK92" s="76"/>
      <c r="AL92" s="76"/>
      <c r="AM92" s="76"/>
      <c r="AN92" s="76"/>
      <c r="AO92" s="79">
        <f t="shared" si="3"/>
        <v>1</v>
      </c>
      <c r="AQ92" s="64" t="str">
        <f t="shared" si="4"/>
        <v>WAH, Alexia</v>
      </c>
    </row>
    <row r="93" spans="1:43" s="48" customFormat="1" ht="15" x14ac:dyDescent="0.4">
      <c r="A93">
        <v>87</v>
      </c>
      <c r="B93" s="42"/>
      <c r="C93" t="e">
        <f>MATCH(B93,Salary!B:B,0)</f>
        <v>#N/A</v>
      </c>
      <c r="D93" s="74" t="s">
        <v>209</v>
      </c>
      <c r="E93" s="105" t="s">
        <v>139</v>
      </c>
      <c r="F93" s="50"/>
      <c r="G93" s="76"/>
      <c r="H93" s="77"/>
      <c r="I93" s="77"/>
      <c r="J93" s="77"/>
      <c r="K93" s="76"/>
      <c r="L93" s="76"/>
      <c r="M93" s="76"/>
      <c r="N93" s="76"/>
      <c r="O93" s="76">
        <v>0.1</v>
      </c>
      <c r="P93" s="80"/>
      <c r="Q93" s="76"/>
      <c r="R93" s="76"/>
      <c r="S93" s="76">
        <v>0.1</v>
      </c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8"/>
      <c r="AJ93" s="76"/>
      <c r="AK93" s="76">
        <v>0.8</v>
      </c>
      <c r="AL93" s="76"/>
      <c r="AM93" s="76"/>
      <c r="AN93" s="76"/>
      <c r="AO93" s="79">
        <f t="shared" si="3"/>
        <v>1</v>
      </c>
      <c r="AQ93" s="64" t="str">
        <f t="shared" si="4"/>
        <v>WARD, Richard G. - April</v>
      </c>
    </row>
    <row r="94" spans="1:43" s="48" customFormat="1" ht="15" x14ac:dyDescent="0.4">
      <c r="A94">
        <v>88</v>
      </c>
      <c r="B94" s="42"/>
      <c r="C94" t="e">
        <f>MATCH(B94,Salary!B:B,0)</f>
        <v>#N/A</v>
      </c>
      <c r="D94" s="74" t="s">
        <v>210</v>
      </c>
      <c r="E94" s="105" t="s">
        <v>139</v>
      </c>
      <c r="F94" s="50"/>
      <c r="G94" s="76"/>
      <c r="H94" s="77"/>
      <c r="I94" s="77"/>
      <c r="J94" s="77"/>
      <c r="K94" s="76"/>
      <c r="L94" s="76"/>
      <c r="M94" s="76"/>
      <c r="N94" s="76"/>
      <c r="O94" s="76">
        <v>0.1</v>
      </c>
      <c r="P94" s="80"/>
      <c r="Q94" s="76"/>
      <c r="R94" s="76"/>
      <c r="S94" s="76">
        <v>0.1</v>
      </c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8"/>
      <c r="AJ94" s="76"/>
      <c r="AK94" s="76">
        <v>0.8</v>
      </c>
      <c r="AL94" s="76"/>
      <c r="AM94" s="76"/>
      <c r="AN94" s="76"/>
      <c r="AO94" s="79">
        <f>SUM(G94:AN94)</f>
        <v>1</v>
      </c>
      <c r="AQ94" s="64" t="str">
        <f>D94</f>
        <v>WARD, Richard G. -May</v>
      </c>
    </row>
    <row r="95" spans="1:43" s="48" customFormat="1" ht="15" x14ac:dyDescent="0.4">
      <c r="A95">
        <v>89</v>
      </c>
      <c r="B95" s="42"/>
      <c r="C95" t="e">
        <f>MATCH(B95,Salary!B:B,0)</f>
        <v>#N/A</v>
      </c>
      <c r="D95" s="74" t="s">
        <v>211</v>
      </c>
      <c r="E95" s="105" t="s">
        <v>212</v>
      </c>
      <c r="F95" s="50"/>
      <c r="G95" s="76"/>
      <c r="H95" s="77"/>
      <c r="I95" s="77"/>
      <c r="J95" s="77"/>
      <c r="K95" s="76"/>
      <c r="L95" s="76"/>
      <c r="M95" s="76"/>
      <c r="N95" s="76"/>
      <c r="O95" s="76">
        <v>0.2</v>
      </c>
      <c r="P95" s="80"/>
      <c r="Q95" s="76"/>
      <c r="R95" s="76"/>
      <c r="S95" s="76">
        <v>0.1</v>
      </c>
      <c r="T95" s="76"/>
      <c r="U95" s="76"/>
      <c r="V95" s="76">
        <v>0.1</v>
      </c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8"/>
      <c r="AJ95" s="76"/>
      <c r="AK95" s="76">
        <v>0.6</v>
      </c>
      <c r="AL95" s="76"/>
      <c r="AM95" s="76"/>
      <c r="AN95" s="76"/>
      <c r="AO95" s="79">
        <f>SUM(G95:AN95)</f>
        <v>1</v>
      </c>
      <c r="AQ95" s="64" t="str">
        <f>D95</f>
        <v>WARD, Richard G. - August</v>
      </c>
    </row>
    <row r="96" spans="1:43" s="48" customFormat="1" ht="15" x14ac:dyDescent="0.4">
      <c r="A96">
        <v>90</v>
      </c>
      <c r="B96" s="42"/>
      <c r="C96" t="e">
        <f>MATCH(B96,Salary!B:B,0)</f>
        <v>#N/A</v>
      </c>
      <c r="D96" s="83" t="s">
        <v>213</v>
      </c>
      <c r="E96" s="75" t="s">
        <v>214</v>
      </c>
      <c r="F96" s="50"/>
      <c r="G96" s="76"/>
      <c r="H96" s="77"/>
      <c r="I96" s="77"/>
      <c r="J96" s="77"/>
      <c r="K96" s="76"/>
      <c r="L96" s="76"/>
      <c r="M96" s="76"/>
      <c r="N96" s="76"/>
      <c r="O96" s="76"/>
      <c r="P96" s="80"/>
      <c r="Q96" s="76"/>
      <c r="R96" s="76">
        <v>0.5</v>
      </c>
      <c r="S96" s="76"/>
      <c r="T96" s="76"/>
      <c r="U96" s="76"/>
      <c r="V96" s="76"/>
      <c r="W96" s="76"/>
      <c r="X96" s="76"/>
      <c r="Y96" s="76"/>
      <c r="Z96" s="76"/>
      <c r="AA96" s="76">
        <v>0.25</v>
      </c>
      <c r="AB96" s="76"/>
      <c r="AC96" s="76">
        <v>0.25</v>
      </c>
      <c r="AD96" s="76"/>
      <c r="AE96" s="76"/>
      <c r="AF96" s="76"/>
      <c r="AG96" s="76"/>
      <c r="AH96" s="76"/>
      <c r="AI96" s="78"/>
      <c r="AJ96" s="76"/>
      <c r="AK96" s="76"/>
      <c r="AL96" s="76"/>
      <c r="AM96" s="76"/>
      <c r="AN96" s="76"/>
      <c r="AO96" s="79">
        <f t="shared" si="3"/>
        <v>1</v>
      </c>
      <c r="AQ96" s="64" t="str">
        <f t="shared" si="4"/>
        <v xml:space="preserve">Wardwick, Lamar </v>
      </c>
    </row>
    <row r="97" spans="1:43" s="48" customFormat="1" ht="15" x14ac:dyDescent="0.4">
      <c r="A97">
        <v>91</v>
      </c>
      <c r="B97" s="42"/>
      <c r="C97" t="e">
        <f>MATCH(B97,Salary!B:B,0)</f>
        <v>#N/A</v>
      </c>
      <c r="D97" s="74" t="s">
        <v>215</v>
      </c>
      <c r="E97" s="75" t="s">
        <v>98</v>
      </c>
      <c r="F97" s="50"/>
      <c r="G97" s="76"/>
      <c r="H97" s="77"/>
      <c r="I97" s="77"/>
      <c r="J97" s="77"/>
      <c r="K97" s="76"/>
      <c r="L97" s="81">
        <v>1</v>
      </c>
      <c r="M97" s="76"/>
      <c r="N97" s="76"/>
      <c r="O97" s="76"/>
      <c r="P97" s="80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8"/>
      <c r="AJ97" s="76"/>
      <c r="AK97" s="76"/>
      <c r="AL97" s="76"/>
      <c r="AM97" s="76"/>
      <c r="AN97" s="76"/>
      <c r="AO97" s="79">
        <f t="shared" si="3"/>
        <v>1</v>
      </c>
      <c r="AQ97" s="64" t="str">
        <f t="shared" si="4"/>
        <v>WILLIAMS, Kilaina</v>
      </c>
    </row>
    <row r="98" spans="1:43" s="48" customFormat="1" ht="15" x14ac:dyDescent="0.4">
      <c r="A98">
        <v>92</v>
      </c>
      <c r="B98" s="42"/>
      <c r="C98" t="e">
        <f>MATCH(B98,Salary!B:B,0)</f>
        <v>#N/A</v>
      </c>
      <c r="D98" s="74" t="s">
        <v>216</v>
      </c>
      <c r="E98" s="75" t="s">
        <v>97</v>
      </c>
      <c r="F98" s="50"/>
      <c r="G98" s="76"/>
      <c r="H98" s="77">
        <v>0</v>
      </c>
      <c r="I98" s="77">
        <v>1</v>
      </c>
      <c r="J98" s="77"/>
      <c r="K98" s="76"/>
      <c r="L98" s="76"/>
      <c r="M98" s="76"/>
      <c r="N98" s="76"/>
      <c r="O98" s="76"/>
      <c r="P98" s="80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8"/>
      <c r="AJ98" s="76"/>
      <c r="AK98" s="76"/>
      <c r="AL98" s="76"/>
      <c r="AM98" s="76"/>
      <c r="AN98" s="76"/>
      <c r="AO98" s="79">
        <f t="shared" si="3"/>
        <v>1</v>
      </c>
      <c r="AQ98" s="64" t="str">
        <f t="shared" si="4"/>
        <v>WOODRIDGE, Rosalind</v>
      </c>
    </row>
    <row r="99" spans="1:43" s="48" customFormat="1" ht="15" x14ac:dyDescent="0.4">
      <c r="A99">
        <v>93</v>
      </c>
      <c r="B99" s="42"/>
      <c r="C99" t="e">
        <f>MATCH(B99,Salary!B:B,0)</f>
        <v>#N/A</v>
      </c>
      <c r="D99" s="74" t="s">
        <v>217</v>
      </c>
      <c r="E99" s="75" t="s">
        <v>97</v>
      </c>
      <c r="F99" s="50"/>
      <c r="G99" s="76"/>
      <c r="H99" s="77"/>
      <c r="I99" s="77"/>
      <c r="J99" s="77"/>
      <c r="K99" s="76"/>
      <c r="L99" s="76"/>
      <c r="M99" s="76"/>
      <c r="N99" s="76">
        <v>1</v>
      </c>
      <c r="O99" s="76"/>
      <c r="P99" s="80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8"/>
      <c r="AJ99" s="76"/>
      <c r="AK99" s="76"/>
      <c r="AL99" s="76"/>
      <c r="AM99" s="76"/>
      <c r="AN99" s="76"/>
      <c r="AO99" s="79">
        <f t="shared" si="3"/>
        <v>1</v>
      </c>
      <c r="AQ99" s="64" t="str">
        <f t="shared" si="4"/>
        <v>WOODRIDGE, Rosalind - Summer</v>
      </c>
    </row>
    <row r="100" spans="1:43" s="48" customFormat="1" ht="15" x14ac:dyDescent="0.4">
      <c r="A100">
        <v>94</v>
      </c>
      <c r="B100" s="42"/>
      <c r="C100" t="e">
        <f>MATCH(B100,Salary!B:B,0)</f>
        <v>#N/A</v>
      </c>
      <c r="D100" s="106" t="s">
        <v>218</v>
      </c>
      <c r="E100" s="75" t="s">
        <v>107</v>
      </c>
      <c r="F100" s="50"/>
      <c r="G100" s="76"/>
      <c r="H100" s="77"/>
      <c r="I100" s="77"/>
      <c r="J100" s="77"/>
      <c r="K100" s="76"/>
      <c r="L100" s="76"/>
      <c r="M100" s="76"/>
      <c r="N100" s="76"/>
      <c r="O100" s="76"/>
      <c r="P100" s="80"/>
      <c r="Q100" s="76">
        <v>1</v>
      </c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8"/>
      <c r="AJ100" s="76"/>
      <c r="AK100" s="76"/>
      <c r="AL100" s="76"/>
      <c r="AM100" s="76"/>
      <c r="AN100" s="76"/>
      <c r="AO100" s="79">
        <f t="shared" si="3"/>
        <v>1</v>
      </c>
      <c r="AQ100" s="64" t="str">
        <f t="shared" si="4"/>
        <v>WILJEAMPS, St Louis</v>
      </c>
    </row>
    <row r="101" spans="1:43" s="48" customFormat="1" ht="15" x14ac:dyDescent="0.4">
      <c r="A101">
        <v>95</v>
      </c>
      <c r="B101" s="42"/>
      <c r="C101" t="e">
        <f>MATCH(B101,Salary!B:B,0)</f>
        <v>#N/A</v>
      </c>
      <c r="D101" s="106" t="s">
        <v>219</v>
      </c>
      <c r="E101" s="75" t="s">
        <v>107</v>
      </c>
      <c r="F101" s="50"/>
      <c r="G101" s="76"/>
      <c r="H101" s="77"/>
      <c r="I101" s="77"/>
      <c r="J101" s="77"/>
      <c r="K101" s="76"/>
      <c r="L101" s="76"/>
      <c r="M101" s="76"/>
      <c r="N101" s="76"/>
      <c r="O101" s="76"/>
      <c r="P101" s="80"/>
      <c r="Q101" s="76">
        <v>1</v>
      </c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8"/>
      <c r="AJ101" s="76"/>
      <c r="AK101" s="76"/>
      <c r="AL101" s="76"/>
      <c r="AM101" s="76"/>
      <c r="AN101" s="76"/>
      <c r="AO101" s="79">
        <f t="shared" si="3"/>
        <v>1</v>
      </c>
      <c r="AQ101" s="64" t="str">
        <f t="shared" si="4"/>
        <v>Wint, Renee</v>
      </c>
    </row>
    <row r="102" spans="1:43" s="48" customFormat="1" ht="15" x14ac:dyDescent="0.4">
      <c r="A102">
        <v>96</v>
      </c>
      <c r="B102" s="42"/>
      <c r="C102" t="e">
        <f>MATCH(B102,Salary!B:B,0)</f>
        <v>#N/A</v>
      </c>
      <c r="D102" s="106" t="s">
        <v>220</v>
      </c>
      <c r="E102" s="75" t="s">
        <v>97</v>
      </c>
      <c r="F102" s="50"/>
      <c r="G102" s="76"/>
      <c r="H102" s="77">
        <v>1</v>
      </c>
      <c r="I102" s="77"/>
      <c r="J102" s="77"/>
      <c r="K102" s="76"/>
      <c r="L102" s="76"/>
      <c r="M102" s="76"/>
      <c r="N102" s="76"/>
      <c r="O102" s="76"/>
      <c r="P102" s="80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8"/>
      <c r="AJ102" s="76"/>
      <c r="AK102" s="76"/>
      <c r="AL102" s="76"/>
      <c r="AM102" s="76"/>
      <c r="AN102" s="76"/>
      <c r="AO102" s="79">
        <f t="shared" si="3"/>
        <v>1</v>
      </c>
      <c r="AQ102" s="64" t="str">
        <f t="shared" si="4"/>
        <v>Janvier, Jhonny</v>
      </c>
    </row>
    <row r="103" spans="1:43" s="48" customFormat="1" ht="15" x14ac:dyDescent="0.4">
      <c r="A103">
        <v>97</v>
      </c>
      <c r="B103" s="42"/>
      <c r="C103" t="e">
        <f>MATCH(B103,Salary!B:B,0)</f>
        <v>#N/A</v>
      </c>
      <c r="D103" s="106" t="s">
        <v>221</v>
      </c>
      <c r="E103" s="75" t="s">
        <v>222</v>
      </c>
      <c r="F103" s="50"/>
      <c r="G103" s="76"/>
      <c r="H103" s="77"/>
      <c r="I103" s="77"/>
      <c r="J103" s="77"/>
      <c r="K103" s="76"/>
      <c r="L103" s="76"/>
      <c r="M103" s="76"/>
      <c r="N103" s="76">
        <v>1</v>
      </c>
      <c r="O103" s="76"/>
      <c r="P103" s="80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8"/>
      <c r="AJ103" s="76"/>
      <c r="AK103" s="76"/>
      <c r="AL103" s="76"/>
      <c r="AM103" s="76"/>
      <c r="AN103" s="76"/>
      <c r="AO103" s="79">
        <f t="shared" si="3"/>
        <v>1</v>
      </c>
      <c r="AQ103" s="64" t="str">
        <f t="shared" si="4"/>
        <v>Janvier, Jhonny - Summer</v>
      </c>
    </row>
    <row r="104" spans="1:43" s="48" customFormat="1" ht="15" x14ac:dyDescent="0.4">
      <c r="A104">
        <v>98</v>
      </c>
      <c r="B104" s="42"/>
      <c r="C104" t="e">
        <f>MATCH(B104,Salary!B:B,0)</f>
        <v>#N/A</v>
      </c>
      <c r="D104" s="106" t="s">
        <v>223</v>
      </c>
      <c r="E104" s="75" t="s">
        <v>147</v>
      </c>
      <c r="F104" s="50"/>
      <c r="G104" s="76"/>
      <c r="H104" s="77">
        <v>0.77</v>
      </c>
      <c r="I104" s="77"/>
      <c r="J104" s="77"/>
      <c r="K104" s="76"/>
      <c r="L104" s="76"/>
      <c r="M104" s="76"/>
      <c r="N104" s="76"/>
      <c r="O104" s="76"/>
      <c r="P104" s="80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8"/>
      <c r="AJ104" s="76"/>
      <c r="AK104" s="76"/>
      <c r="AL104" s="76"/>
      <c r="AM104" s="76"/>
      <c r="AN104" s="76">
        <v>0.23</v>
      </c>
      <c r="AO104" s="79">
        <f t="shared" si="3"/>
        <v>1</v>
      </c>
      <c r="AQ104" s="64" t="str">
        <f t="shared" si="4"/>
        <v>Bennett, Patricia A.</v>
      </c>
    </row>
    <row r="105" spans="1:43" s="48" customFormat="1" ht="15" x14ac:dyDescent="0.4">
      <c r="A105">
        <v>99</v>
      </c>
      <c r="B105" s="42"/>
      <c r="C105" t="e">
        <f>MATCH(B105,Salary!B:B,0)</f>
        <v>#N/A</v>
      </c>
      <c r="D105" s="106" t="s">
        <v>224</v>
      </c>
      <c r="E105" s="75" t="s">
        <v>98</v>
      </c>
      <c r="F105" s="50"/>
      <c r="G105" s="76"/>
      <c r="H105" s="77"/>
      <c r="I105" s="77"/>
      <c r="J105" s="77"/>
      <c r="K105" s="76"/>
      <c r="L105" s="81">
        <v>1</v>
      </c>
      <c r="M105" s="76"/>
      <c r="N105" s="76"/>
      <c r="O105" s="76"/>
      <c r="P105" s="80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8"/>
      <c r="AJ105" s="76"/>
      <c r="AK105" s="76"/>
      <c r="AL105" s="76"/>
      <c r="AM105" s="76"/>
      <c r="AN105" s="76"/>
      <c r="AO105" s="79">
        <f t="shared" si="3"/>
        <v>1</v>
      </c>
      <c r="AQ105" s="64" t="str">
        <f t="shared" si="4"/>
        <v>Majors. Abarr</v>
      </c>
    </row>
    <row r="106" spans="1:43" s="48" customFormat="1" ht="15" x14ac:dyDescent="0.4">
      <c r="A106">
        <v>100</v>
      </c>
      <c r="B106" s="42"/>
      <c r="C106" t="e">
        <f>MATCH(B106,Salary!B:B,0)</f>
        <v>#N/A</v>
      </c>
      <c r="D106" s="107" t="s">
        <v>225</v>
      </c>
      <c r="E106" s="75" t="s">
        <v>98</v>
      </c>
      <c r="F106" s="50"/>
      <c r="G106" s="76"/>
      <c r="H106" s="77"/>
      <c r="I106" s="77"/>
      <c r="J106" s="77"/>
      <c r="K106" s="76"/>
      <c r="L106" s="81">
        <v>1</v>
      </c>
      <c r="M106" s="76"/>
      <c r="N106" s="76"/>
      <c r="O106" s="76"/>
      <c r="P106" s="80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8"/>
      <c r="AJ106" s="76"/>
      <c r="AK106" s="76"/>
      <c r="AL106" s="76"/>
      <c r="AM106" s="76"/>
      <c r="AN106" s="76"/>
      <c r="AO106" s="79">
        <f t="shared" si="3"/>
        <v>1</v>
      </c>
      <c r="AQ106" s="64" t="str">
        <f t="shared" si="4"/>
        <v>Brinson, Royshonda</v>
      </c>
    </row>
    <row r="107" spans="1:43" s="48" customFormat="1" ht="15" x14ac:dyDescent="0.4">
      <c r="A107">
        <v>101</v>
      </c>
      <c r="B107" s="42"/>
      <c r="C107" t="e">
        <f>MATCH(B107,Salary!B:B,0)</f>
        <v>#N/A</v>
      </c>
      <c r="D107" s="106" t="s">
        <v>226</v>
      </c>
      <c r="E107" s="75" t="s">
        <v>214</v>
      </c>
      <c r="F107" s="50"/>
      <c r="G107" s="76"/>
      <c r="H107" s="77"/>
      <c r="I107" s="77"/>
      <c r="J107" s="77"/>
      <c r="K107" s="76"/>
      <c r="L107" s="76"/>
      <c r="M107" s="76"/>
      <c r="N107" s="76"/>
      <c r="O107" s="76"/>
      <c r="P107" s="80"/>
      <c r="Q107" s="76"/>
      <c r="R107" s="76">
        <v>0.32</v>
      </c>
      <c r="S107" s="76"/>
      <c r="T107" s="76"/>
      <c r="U107" s="76"/>
      <c r="V107" s="76"/>
      <c r="W107" s="76"/>
      <c r="X107" s="76"/>
      <c r="Y107" s="76"/>
      <c r="Z107" s="76"/>
      <c r="AA107" s="76">
        <v>0.25</v>
      </c>
      <c r="AB107" s="76"/>
      <c r="AC107" s="76">
        <v>0.43</v>
      </c>
      <c r="AD107" s="76"/>
      <c r="AE107" s="76"/>
      <c r="AF107" s="76"/>
      <c r="AG107" s="76"/>
      <c r="AH107" s="76"/>
      <c r="AI107" s="78"/>
      <c r="AJ107" s="76"/>
      <c r="AK107" s="76"/>
      <c r="AL107" s="76"/>
      <c r="AM107" s="76"/>
      <c r="AN107" s="76"/>
      <c r="AO107" s="79">
        <f t="shared" si="3"/>
        <v>1</v>
      </c>
      <c r="AQ107" s="108" t="str">
        <f t="shared" si="4"/>
        <v>Lindsey, Victoria - May</v>
      </c>
    </row>
    <row r="108" spans="1:43" s="48" customFormat="1" ht="15" x14ac:dyDescent="0.4">
      <c r="A108">
        <v>102</v>
      </c>
      <c r="B108" s="42"/>
      <c r="C108" t="e">
        <f>MATCH(B108,Salary!B:B,0)</f>
        <v>#N/A</v>
      </c>
      <c r="D108" s="106" t="s">
        <v>227</v>
      </c>
      <c r="E108" s="75" t="s">
        <v>214</v>
      </c>
      <c r="F108" s="50"/>
      <c r="G108" s="76"/>
      <c r="H108" s="77"/>
      <c r="I108" s="77"/>
      <c r="J108" s="77"/>
      <c r="K108" s="76"/>
      <c r="L108" s="76"/>
      <c r="M108" s="76"/>
      <c r="N108" s="76"/>
      <c r="O108" s="76"/>
      <c r="P108" s="80"/>
      <c r="Q108" s="76"/>
      <c r="R108" s="76">
        <v>0.65</v>
      </c>
      <c r="S108" s="76"/>
      <c r="T108" s="76"/>
      <c r="U108" s="76"/>
      <c r="V108" s="76"/>
      <c r="W108" s="76"/>
      <c r="X108" s="76"/>
      <c r="Y108" s="76"/>
      <c r="Z108" s="76"/>
      <c r="AA108" s="76">
        <v>0.25</v>
      </c>
      <c r="AB108" s="76"/>
      <c r="AC108" s="76">
        <v>0.1</v>
      </c>
      <c r="AD108" s="76"/>
      <c r="AE108" s="76"/>
      <c r="AF108" s="76"/>
      <c r="AG108" s="76"/>
      <c r="AH108" s="76"/>
      <c r="AI108" s="78"/>
      <c r="AJ108" s="76"/>
      <c r="AK108" s="76"/>
      <c r="AL108" s="76"/>
      <c r="AM108" s="76"/>
      <c r="AN108" s="76"/>
      <c r="AO108" s="79">
        <f>SUM(G108:AN108)</f>
        <v>1</v>
      </c>
      <c r="AQ108" s="108" t="str">
        <f>D108</f>
        <v>Lindsey, Victoria - June</v>
      </c>
    </row>
    <row r="109" spans="1:43" s="48" customFormat="1" ht="15" x14ac:dyDescent="0.4">
      <c r="A109">
        <v>103</v>
      </c>
      <c r="B109" s="42"/>
      <c r="C109" t="e">
        <f>MATCH(B109,Salary!B:B,0)</f>
        <v>#N/A</v>
      </c>
      <c r="D109" s="106" t="s">
        <v>228</v>
      </c>
      <c r="E109" s="75" t="s">
        <v>214</v>
      </c>
      <c r="F109" s="50"/>
      <c r="G109" s="76"/>
      <c r="H109" s="77"/>
      <c r="I109" s="77"/>
      <c r="J109" s="77"/>
      <c r="K109" s="76"/>
      <c r="L109" s="76"/>
      <c r="M109" s="76"/>
      <c r="N109" s="76"/>
      <c r="O109" s="76"/>
      <c r="P109" s="80"/>
      <c r="Q109" s="76"/>
      <c r="R109" s="76">
        <v>0.23</v>
      </c>
      <c r="S109" s="76"/>
      <c r="T109" s="76"/>
      <c r="U109" s="76"/>
      <c r="V109" s="76"/>
      <c r="W109" s="76"/>
      <c r="X109" s="76"/>
      <c r="Y109" s="76"/>
      <c r="Z109" s="76"/>
      <c r="AA109" s="76">
        <v>0.25</v>
      </c>
      <c r="AB109" s="76"/>
      <c r="AC109" s="76">
        <v>0.22</v>
      </c>
      <c r="AD109" s="76">
        <v>0.3</v>
      </c>
      <c r="AE109" s="76"/>
      <c r="AF109" s="76"/>
      <c r="AG109" s="76"/>
      <c r="AH109" s="76"/>
      <c r="AI109" s="78"/>
      <c r="AJ109" s="76"/>
      <c r="AK109" s="76"/>
      <c r="AL109" s="76"/>
      <c r="AM109" s="76"/>
      <c r="AN109" s="76"/>
      <c r="AO109" s="79">
        <f>SUM(G109:AN109)</f>
        <v>1</v>
      </c>
      <c r="AQ109" s="108" t="str">
        <f>D109</f>
        <v>Lindsey, Victoria - July</v>
      </c>
    </row>
    <row r="110" spans="1:43" s="48" customFormat="1" x14ac:dyDescent="0.35">
      <c r="A110">
        <v>104</v>
      </c>
      <c r="B110" s="42"/>
      <c r="C110" t="e">
        <f>MATCH(B110,Salary!B:B,0)</f>
        <v>#N/A</v>
      </c>
      <c r="D110" s="106" t="s">
        <v>229</v>
      </c>
      <c r="E110" s="109" t="s">
        <v>230</v>
      </c>
      <c r="F110" s="110"/>
      <c r="G110" s="110"/>
      <c r="H110" s="110"/>
      <c r="I110" s="110"/>
      <c r="J110" s="110"/>
      <c r="K110" s="110"/>
      <c r="L110" s="110"/>
      <c r="M110" s="110"/>
      <c r="N110" s="76"/>
      <c r="O110" s="76"/>
      <c r="P110" s="80"/>
      <c r="Q110" s="76"/>
      <c r="R110" s="76"/>
      <c r="S110" s="76"/>
      <c r="T110" s="76"/>
      <c r="U110" s="76"/>
      <c r="V110" s="76"/>
      <c r="W110" s="76"/>
      <c r="X110" s="76"/>
      <c r="Y110" s="76"/>
      <c r="Z110" s="76">
        <v>1</v>
      </c>
      <c r="AA110" s="76"/>
      <c r="AB110" s="76"/>
      <c r="AC110" s="76"/>
      <c r="AD110" s="76"/>
      <c r="AE110" s="76"/>
      <c r="AF110" s="76"/>
      <c r="AG110" s="76"/>
      <c r="AH110" s="76"/>
      <c r="AI110" s="78"/>
      <c r="AJ110" s="76"/>
      <c r="AK110" s="76"/>
      <c r="AL110" s="76"/>
      <c r="AM110" s="76"/>
      <c r="AN110" s="76"/>
      <c r="AO110" s="79">
        <f t="shared" si="3"/>
        <v>1</v>
      </c>
      <c r="AQ110" s="64" t="str">
        <f t="shared" si="4"/>
        <v>Williams, Kyneisha - Career Coach</v>
      </c>
    </row>
    <row r="111" spans="1:43" s="48" customFormat="1" ht="15" x14ac:dyDescent="0.4">
      <c r="A111">
        <v>105</v>
      </c>
      <c r="B111" s="42"/>
      <c r="C111" t="e">
        <f>MATCH(B111,Salary!B:B,0)</f>
        <v>#N/A</v>
      </c>
      <c r="D111" s="111" t="s">
        <v>231</v>
      </c>
      <c r="E111" s="110" t="s">
        <v>232</v>
      </c>
      <c r="F111" s="50"/>
      <c r="G111" s="76"/>
      <c r="H111" s="77"/>
      <c r="I111" s="77"/>
      <c r="J111" s="77"/>
      <c r="K111" s="76"/>
      <c r="L111" s="76"/>
      <c r="M111" s="76"/>
      <c r="N111" s="76"/>
      <c r="O111" s="76"/>
      <c r="P111" s="80"/>
      <c r="Q111" s="76"/>
      <c r="R111" s="76"/>
      <c r="S111" s="76"/>
      <c r="T111" s="76"/>
      <c r="U111" s="76"/>
      <c r="V111" s="76"/>
      <c r="W111" s="76"/>
      <c r="X111" s="76"/>
      <c r="Y111" s="76"/>
      <c r="Z111" s="76">
        <v>1</v>
      </c>
      <c r="AA111" s="76"/>
      <c r="AB111" s="76"/>
      <c r="AC111" s="76"/>
      <c r="AD111" s="76"/>
      <c r="AE111" s="76"/>
      <c r="AF111" s="76"/>
      <c r="AG111" s="76"/>
      <c r="AH111" s="76"/>
      <c r="AI111" s="78"/>
      <c r="AJ111" s="76"/>
      <c r="AK111" s="76"/>
      <c r="AL111" s="76"/>
      <c r="AM111" s="76"/>
      <c r="AN111" s="76"/>
      <c r="AO111" s="79">
        <f t="shared" si="3"/>
        <v>1</v>
      </c>
      <c r="AQ111" s="64" t="str">
        <f t="shared" si="4"/>
        <v>Thorpe, Melissa</v>
      </c>
    </row>
    <row r="112" spans="1:43" s="48" customFormat="1" ht="15" x14ac:dyDescent="0.4">
      <c r="A112">
        <v>106</v>
      </c>
      <c r="B112" s="42"/>
      <c r="C112" t="e">
        <f>MATCH(B112,Salary!B:B,0)</f>
        <v>#N/A</v>
      </c>
      <c r="D112" s="111" t="s">
        <v>233</v>
      </c>
      <c r="E112" s="110" t="s">
        <v>232</v>
      </c>
      <c r="F112" s="50"/>
      <c r="G112" s="76"/>
      <c r="H112" s="77"/>
      <c r="I112" s="77"/>
      <c r="J112" s="77"/>
      <c r="K112" s="76"/>
      <c r="L112" s="76"/>
      <c r="M112" s="76"/>
      <c r="N112" s="76"/>
      <c r="O112" s="76"/>
      <c r="P112" s="80"/>
      <c r="Q112" s="76"/>
      <c r="R112" s="76"/>
      <c r="S112" s="76"/>
      <c r="T112" s="76"/>
      <c r="U112" s="76"/>
      <c r="V112" s="76"/>
      <c r="W112" s="76"/>
      <c r="X112" s="76"/>
      <c r="Y112" s="76"/>
      <c r="Z112" s="76">
        <v>1</v>
      </c>
      <c r="AA112" s="76"/>
      <c r="AB112" s="76"/>
      <c r="AC112" s="76"/>
      <c r="AD112" s="76"/>
      <c r="AE112" s="76"/>
      <c r="AF112" s="76"/>
      <c r="AG112" s="76"/>
      <c r="AH112" s="76"/>
      <c r="AI112" s="78"/>
      <c r="AJ112" s="76"/>
      <c r="AK112" s="76"/>
      <c r="AL112" s="76"/>
      <c r="AM112" s="76"/>
      <c r="AN112" s="76"/>
      <c r="AO112" s="79">
        <f t="shared" si="3"/>
        <v>1</v>
      </c>
      <c r="AQ112" s="64" t="str">
        <f t="shared" si="4"/>
        <v>Howard, Theresa</v>
      </c>
    </row>
    <row r="113" spans="1:43" s="48" customFormat="1" ht="15" x14ac:dyDescent="0.4">
      <c r="A113">
        <v>107</v>
      </c>
      <c r="B113" s="42"/>
      <c r="C113" t="e">
        <f>MATCH(B113,Salary!B:B,0)</f>
        <v>#N/A</v>
      </c>
      <c r="D113" s="111" t="s">
        <v>234</v>
      </c>
      <c r="E113" s="75" t="s">
        <v>112</v>
      </c>
      <c r="F113" s="50"/>
      <c r="G113" s="76"/>
      <c r="H113" s="77"/>
      <c r="I113" s="77"/>
      <c r="J113" s="77"/>
      <c r="K113" s="76"/>
      <c r="L113" s="76"/>
      <c r="M113" s="76"/>
      <c r="N113" s="76"/>
      <c r="O113" s="76"/>
      <c r="P113" s="80"/>
      <c r="Q113" s="76"/>
      <c r="R113" s="76"/>
      <c r="S113" s="76"/>
      <c r="T113" s="76"/>
      <c r="U113" s="76"/>
      <c r="V113" s="76">
        <v>1</v>
      </c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8"/>
      <c r="AJ113" s="76"/>
      <c r="AK113" s="76"/>
      <c r="AL113" s="76"/>
      <c r="AM113" s="76"/>
      <c r="AN113" s="76"/>
      <c r="AO113" s="79">
        <f t="shared" si="3"/>
        <v>1</v>
      </c>
      <c r="AQ113" s="64" t="str">
        <f t="shared" si="4"/>
        <v>Leake, Rahmel</v>
      </c>
    </row>
    <row r="114" spans="1:43" s="48" customFormat="1" ht="15" x14ac:dyDescent="0.4">
      <c r="A114">
        <v>108</v>
      </c>
      <c r="B114" s="42"/>
      <c r="C114" t="e">
        <f>MATCH(B114,Salary!B:B,0)</f>
        <v>#N/A</v>
      </c>
      <c r="D114" s="106" t="s">
        <v>235</v>
      </c>
      <c r="E114" s="109" t="s">
        <v>236</v>
      </c>
      <c r="F114" s="50"/>
      <c r="G114" s="76"/>
      <c r="H114" s="77"/>
      <c r="I114" s="77"/>
      <c r="J114" s="77"/>
      <c r="K114" s="76"/>
      <c r="L114" s="76"/>
      <c r="M114" s="76"/>
      <c r="N114" s="76"/>
      <c r="O114" s="76"/>
      <c r="P114" s="80"/>
      <c r="Q114" s="76"/>
      <c r="R114" s="76"/>
      <c r="S114" s="76"/>
      <c r="T114" s="76"/>
      <c r="U114" s="76"/>
      <c r="V114" s="76"/>
      <c r="W114" s="76">
        <v>1</v>
      </c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8"/>
      <c r="AJ114" s="76"/>
      <c r="AK114" s="76"/>
      <c r="AL114" s="76"/>
      <c r="AM114" s="76"/>
      <c r="AN114" s="76"/>
      <c r="AO114" s="79">
        <f t="shared" si="3"/>
        <v>1</v>
      </c>
      <c r="AQ114" s="64" t="str">
        <f t="shared" si="4"/>
        <v>Vann Holland</v>
      </c>
    </row>
    <row r="115" spans="1:43" s="48" customFormat="1" ht="15" x14ac:dyDescent="0.4">
      <c r="A115">
        <v>109</v>
      </c>
      <c r="B115" s="42"/>
      <c r="C115" t="e">
        <f>MATCH(B115,Salary!B:B,0)</f>
        <v>#N/A</v>
      </c>
      <c r="D115" s="106" t="s">
        <v>237</v>
      </c>
      <c r="E115" s="110" t="s">
        <v>238</v>
      </c>
      <c r="F115" s="50"/>
      <c r="G115" s="76"/>
      <c r="H115" s="77"/>
      <c r="I115" s="77"/>
      <c r="J115" s="77"/>
      <c r="K115" s="76"/>
      <c r="L115" s="76"/>
      <c r="M115" s="76"/>
      <c r="N115" s="76"/>
      <c r="O115" s="76"/>
      <c r="P115" s="80"/>
      <c r="Q115" s="76"/>
      <c r="R115" s="76"/>
      <c r="S115" s="76"/>
      <c r="T115" s="76">
        <v>0.5</v>
      </c>
      <c r="U115" s="76">
        <v>0.5</v>
      </c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8"/>
      <c r="AJ115" s="76"/>
      <c r="AK115" s="76"/>
      <c r="AL115" s="76"/>
      <c r="AM115" s="76"/>
      <c r="AN115" s="76"/>
      <c r="AO115" s="79">
        <f t="shared" ref="AO115:AO120" si="5">SUM(G115:AN115)</f>
        <v>1</v>
      </c>
      <c r="AQ115" s="64" t="str">
        <f t="shared" si="4"/>
        <v>McDaniels, Curtis</v>
      </c>
    </row>
    <row r="116" spans="1:43" s="48" customFormat="1" ht="15" x14ac:dyDescent="0.4">
      <c r="A116">
        <v>110</v>
      </c>
      <c r="B116" s="42"/>
      <c r="C116" t="e">
        <f>MATCH(B116,Salary!B:B,0)</f>
        <v>#N/A</v>
      </c>
      <c r="D116" s="107" t="s">
        <v>239</v>
      </c>
      <c r="E116" s="109" t="s">
        <v>240</v>
      </c>
      <c r="F116" s="50"/>
      <c r="G116" s="76"/>
      <c r="H116" s="77"/>
      <c r="I116" s="77"/>
      <c r="J116" s="77"/>
      <c r="K116" s="76"/>
      <c r="L116" s="76"/>
      <c r="M116" s="76"/>
      <c r="N116" s="76"/>
      <c r="O116" s="76"/>
      <c r="P116" s="80"/>
      <c r="Q116" s="76"/>
      <c r="R116" s="76"/>
      <c r="S116" s="76"/>
      <c r="T116" s="76"/>
      <c r="U116" s="76"/>
      <c r="V116" s="76"/>
      <c r="W116" s="76">
        <v>1</v>
      </c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8">
        <v>0</v>
      </c>
      <c r="AJ116" s="76"/>
      <c r="AK116" s="76"/>
      <c r="AL116" s="76"/>
      <c r="AM116" s="76"/>
      <c r="AN116" s="76"/>
      <c r="AO116" s="79">
        <f t="shared" si="5"/>
        <v>1</v>
      </c>
      <c r="AQ116" s="64" t="str">
        <f t="shared" si="4"/>
        <v>Love, Charles</v>
      </c>
    </row>
    <row r="117" spans="1:43" s="48" customFormat="1" ht="15" x14ac:dyDescent="0.4">
      <c r="A117">
        <v>111</v>
      </c>
      <c r="B117" s="42"/>
      <c r="C117" t="e">
        <f>MATCH(B117,Salary!B:B,0)</f>
        <v>#N/A</v>
      </c>
      <c r="D117" s="112" t="s">
        <v>241</v>
      </c>
      <c r="E117" s="75" t="s">
        <v>112</v>
      </c>
      <c r="F117" s="50"/>
      <c r="G117" s="76"/>
      <c r="H117" s="77"/>
      <c r="I117" s="77"/>
      <c r="J117" s="77"/>
      <c r="K117" s="76"/>
      <c r="L117" s="76"/>
      <c r="M117" s="76"/>
      <c r="N117" s="76"/>
      <c r="O117" s="76"/>
      <c r="P117" s="80"/>
      <c r="Q117" s="76"/>
      <c r="R117" s="76"/>
      <c r="S117" s="76"/>
      <c r="T117" s="76"/>
      <c r="U117" s="76"/>
      <c r="V117" s="76">
        <v>1</v>
      </c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8">
        <v>0</v>
      </c>
      <c r="AJ117" s="76"/>
      <c r="AK117" s="76"/>
      <c r="AL117" s="76"/>
      <c r="AM117" s="76"/>
      <c r="AN117" s="76"/>
      <c r="AO117" s="79">
        <f t="shared" si="5"/>
        <v>1</v>
      </c>
      <c r="AQ117" s="64" t="str">
        <f t="shared" si="4"/>
        <v>Johnson, Amanda</v>
      </c>
    </row>
    <row r="118" spans="1:43" s="48" customFormat="1" ht="15" x14ac:dyDescent="0.4">
      <c r="A118">
        <v>112</v>
      </c>
      <c r="B118" s="42"/>
      <c r="C118" t="e">
        <f>MATCH(B118,Salary!B:B,0)</f>
        <v>#N/A</v>
      </c>
      <c r="D118" s="111" t="s">
        <v>242</v>
      </c>
      <c r="E118" s="75" t="s">
        <v>97</v>
      </c>
      <c r="F118" s="50"/>
      <c r="G118" s="76"/>
      <c r="H118" s="77">
        <v>1</v>
      </c>
      <c r="I118" s="77"/>
      <c r="J118" s="77"/>
      <c r="K118" s="76"/>
      <c r="L118" s="76"/>
      <c r="M118" s="76"/>
      <c r="N118" s="76"/>
      <c r="O118" s="76"/>
      <c r="P118" s="80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8">
        <v>0</v>
      </c>
      <c r="AJ118" s="76"/>
      <c r="AK118" s="76"/>
      <c r="AL118" s="76"/>
      <c r="AM118" s="76"/>
      <c r="AN118" s="76"/>
      <c r="AO118" s="79">
        <f t="shared" si="5"/>
        <v>1</v>
      </c>
      <c r="AQ118" s="64" t="str">
        <f t="shared" si="4"/>
        <v>Mitchell, Felicia</v>
      </c>
    </row>
    <row r="119" spans="1:43" s="48" customFormat="1" ht="13" x14ac:dyDescent="0.4">
      <c r="A119" s="42"/>
      <c r="B119" s="42"/>
      <c r="C119" s="42"/>
      <c r="D119" s="112"/>
      <c r="E119" s="113"/>
      <c r="F119" s="50"/>
      <c r="G119" s="76"/>
      <c r="H119" s="77"/>
      <c r="I119" s="77"/>
      <c r="J119" s="77"/>
      <c r="K119" s="76"/>
      <c r="L119" s="76"/>
      <c r="M119" s="76"/>
      <c r="N119" s="76"/>
      <c r="O119" s="76"/>
      <c r="P119" s="80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8">
        <v>0</v>
      </c>
      <c r="AJ119" s="76"/>
      <c r="AK119" s="76"/>
      <c r="AL119" s="76"/>
      <c r="AM119" s="76"/>
      <c r="AN119" s="76"/>
      <c r="AO119" s="79">
        <f t="shared" si="5"/>
        <v>0</v>
      </c>
      <c r="AQ119" s="64"/>
    </row>
    <row r="120" spans="1:43" s="48" customFormat="1" ht="13" x14ac:dyDescent="0.4">
      <c r="A120" s="42"/>
      <c r="B120" s="42"/>
      <c r="C120" s="42"/>
      <c r="D120" s="112"/>
      <c r="E120" s="113"/>
      <c r="F120" s="50"/>
      <c r="G120" s="76"/>
      <c r="H120" s="77"/>
      <c r="I120" s="77"/>
      <c r="J120" s="77"/>
      <c r="K120" s="76"/>
      <c r="L120" s="76"/>
      <c r="M120" s="76"/>
      <c r="N120" s="76"/>
      <c r="O120" s="76"/>
      <c r="P120" s="80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8">
        <v>0</v>
      </c>
      <c r="AJ120" s="76"/>
      <c r="AK120" s="76"/>
      <c r="AL120" s="76"/>
      <c r="AM120" s="76"/>
      <c r="AN120" s="76"/>
      <c r="AO120" s="79">
        <f t="shared" si="5"/>
        <v>0</v>
      </c>
      <c r="AQ120" s="64"/>
    </row>
    <row r="121" spans="1:43" s="48" customFormat="1" ht="13" x14ac:dyDescent="0.4">
      <c r="A121" s="42"/>
      <c r="B121" s="42"/>
      <c r="C121" s="42"/>
      <c r="D121" s="112"/>
      <c r="E121" s="113"/>
      <c r="F121" s="50"/>
      <c r="G121" s="76"/>
      <c r="H121" s="77"/>
      <c r="I121" s="77"/>
      <c r="J121" s="77"/>
      <c r="K121" s="76"/>
      <c r="L121" s="76"/>
      <c r="M121" s="76"/>
      <c r="N121" s="76"/>
      <c r="O121" s="76"/>
      <c r="P121" s="80"/>
      <c r="Q121" s="76"/>
      <c r="R121" s="76"/>
      <c r="S121" s="76"/>
      <c r="T121" s="76"/>
      <c r="U121" s="76"/>
      <c r="V121" s="76"/>
      <c r="W121" s="76"/>
      <c r="X121" s="114"/>
      <c r="Y121" s="114"/>
      <c r="Z121" s="114"/>
      <c r="AA121" s="114"/>
      <c r="AB121" s="114"/>
      <c r="AC121" s="114"/>
      <c r="AD121" s="114"/>
      <c r="AE121" s="114"/>
      <c r="AF121" s="114"/>
      <c r="AG121" s="114"/>
      <c r="AH121" s="114"/>
      <c r="AI121" s="115"/>
      <c r="AJ121" s="114"/>
      <c r="AK121" s="114"/>
      <c r="AL121" s="114"/>
      <c r="AM121" s="114"/>
      <c r="AN121" s="114"/>
      <c r="AO121" s="116"/>
      <c r="AQ121" s="64"/>
    </row>
    <row r="122" spans="1:43" s="48" customFormat="1" thickBot="1" x14ac:dyDescent="0.45">
      <c r="A122" s="42"/>
      <c r="B122" s="42"/>
      <c r="C122" s="42"/>
      <c r="D122" s="117"/>
      <c r="E122" s="118"/>
      <c r="F122" s="50"/>
      <c r="G122" s="119">
        <f>SUM(G7:G121)</f>
        <v>2</v>
      </c>
      <c r="H122" s="119">
        <f t="shared" ref="H122:AO122" si="6">SUM(H7:H121)</f>
        <v>17.3</v>
      </c>
      <c r="I122" s="119">
        <f t="shared" si="6"/>
        <v>2.5</v>
      </c>
      <c r="J122" s="119">
        <f t="shared" si="6"/>
        <v>0.43000000000000005</v>
      </c>
      <c r="K122" s="119">
        <f t="shared" si="6"/>
        <v>0.23</v>
      </c>
      <c r="L122" s="119">
        <f t="shared" si="6"/>
        <v>21.58</v>
      </c>
      <c r="M122" s="119">
        <f t="shared" si="6"/>
        <v>0</v>
      </c>
      <c r="N122" s="119">
        <f t="shared" si="6"/>
        <v>8.5</v>
      </c>
      <c r="O122" s="119">
        <f t="shared" si="6"/>
        <v>0.95</v>
      </c>
      <c r="P122" s="119">
        <f t="shared" si="6"/>
        <v>4.7</v>
      </c>
      <c r="Q122" s="119">
        <f t="shared" si="6"/>
        <v>14</v>
      </c>
      <c r="R122" s="119">
        <f t="shared" si="6"/>
        <v>4.08</v>
      </c>
      <c r="S122" s="119">
        <f t="shared" si="6"/>
        <v>0.30000000000000004</v>
      </c>
      <c r="T122" s="119">
        <f t="shared" si="6"/>
        <v>1.5</v>
      </c>
      <c r="U122" s="119">
        <f t="shared" si="6"/>
        <v>1.95</v>
      </c>
      <c r="V122" s="119">
        <f t="shared" si="6"/>
        <v>9.75</v>
      </c>
      <c r="W122" s="119">
        <f t="shared" si="6"/>
        <v>2</v>
      </c>
      <c r="X122" s="119">
        <f t="shared" si="6"/>
        <v>0</v>
      </c>
      <c r="Y122" s="119">
        <f t="shared" si="6"/>
        <v>1</v>
      </c>
      <c r="Z122" s="119">
        <f t="shared" si="6"/>
        <v>3</v>
      </c>
      <c r="AA122" s="119">
        <f t="shared" si="6"/>
        <v>1.25</v>
      </c>
      <c r="AB122" s="119">
        <f t="shared" si="6"/>
        <v>0</v>
      </c>
      <c r="AC122" s="119">
        <f t="shared" si="6"/>
        <v>2.3000000000000003</v>
      </c>
      <c r="AD122" s="119">
        <f t="shared" si="6"/>
        <v>2.0500000000000003</v>
      </c>
      <c r="AE122" s="119">
        <f t="shared" si="6"/>
        <v>0.25</v>
      </c>
      <c r="AF122" s="119">
        <f t="shared" si="6"/>
        <v>2.9</v>
      </c>
      <c r="AG122" s="119">
        <f t="shared" si="6"/>
        <v>0</v>
      </c>
      <c r="AH122" s="119">
        <f t="shared" si="6"/>
        <v>1.5500000000000003</v>
      </c>
      <c r="AI122" s="119">
        <f t="shared" si="6"/>
        <v>0</v>
      </c>
      <c r="AJ122" s="119">
        <f t="shared" si="6"/>
        <v>1.8199999999999998</v>
      </c>
      <c r="AK122" s="119">
        <f t="shared" si="6"/>
        <v>2.25</v>
      </c>
      <c r="AL122" s="119">
        <f t="shared" si="6"/>
        <v>0.4</v>
      </c>
      <c r="AM122" s="119">
        <f t="shared" si="6"/>
        <v>0</v>
      </c>
      <c r="AN122" s="119">
        <f t="shared" si="6"/>
        <v>1.46</v>
      </c>
      <c r="AO122" s="119">
        <f t="shared" si="6"/>
        <v>112</v>
      </c>
      <c r="AP122" s="120"/>
      <c r="AQ122" s="64"/>
    </row>
    <row r="123" spans="1:43" ht="33" customHeight="1" x14ac:dyDescent="0.35">
      <c r="A123" s="42"/>
      <c r="B123" s="42"/>
      <c r="C123" s="42"/>
      <c r="D123" s="121"/>
      <c r="AA123" t="s">
        <v>243</v>
      </c>
      <c r="AB123" t="s">
        <v>243</v>
      </c>
    </row>
  </sheetData>
  <mergeCells count="1">
    <mergeCell ref="D1:D5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A"/>
  <dimension ref="A1:AQ123"/>
  <sheetViews>
    <sheetView topLeftCell="C1" workbookViewId="0">
      <selection activeCell="K1" sqref="K1"/>
    </sheetView>
  </sheetViews>
  <sheetFormatPr defaultColWidth="8.81640625" defaultRowHeight="14.5" x14ac:dyDescent="0.35"/>
  <cols>
    <col min="1" max="1" width="9.1796875" bestFit="1" customWidth="1"/>
    <col min="2" max="3" width="9.1796875" customWidth="1"/>
    <col min="4" max="4" width="34.7265625" style="124" customWidth="1"/>
    <col min="5" max="5" width="28.7265625" customWidth="1"/>
    <col min="6" max="6" width="10.1796875" customWidth="1"/>
    <col min="7" max="11" width="12" customWidth="1"/>
    <col min="12" max="12" width="15" customWidth="1"/>
    <col min="13" max="37" width="12" customWidth="1"/>
    <col min="41" max="41" width="10.54296875" style="122" customWidth="1"/>
    <col min="42" max="42" width="4.7265625" customWidth="1"/>
    <col min="43" max="43" width="28.1796875" style="123" customWidth="1"/>
  </cols>
  <sheetData>
    <row r="1" spans="1:43" s="48" customFormat="1" ht="54" thickBot="1" x14ac:dyDescent="0.5">
      <c r="A1" s="42"/>
      <c r="B1" s="42"/>
      <c r="C1" s="42"/>
      <c r="D1" s="128" t="s">
        <v>99</v>
      </c>
      <c r="E1" s="43"/>
      <c r="F1" s="44"/>
      <c r="G1" s="13" t="s">
        <v>61</v>
      </c>
      <c r="H1" s="14" t="s">
        <v>62</v>
      </c>
      <c r="I1" s="14" t="s">
        <v>63</v>
      </c>
      <c r="J1" s="14" t="s">
        <v>64</v>
      </c>
      <c r="K1" s="15" t="s">
        <v>65</v>
      </c>
      <c r="L1" s="15" t="s">
        <v>66</v>
      </c>
      <c r="M1" s="15" t="s">
        <v>67</v>
      </c>
      <c r="N1" s="15" t="s">
        <v>68</v>
      </c>
      <c r="O1" s="16" t="s">
        <v>69</v>
      </c>
      <c r="P1" s="16" t="s">
        <v>70</v>
      </c>
      <c r="Q1" s="16" t="s">
        <v>71</v>
      </c>
      <c r="R1" s="17" t="s">
        <v>72</v>
      </c>
      <c r="S1" s="17" t="s">
        <v>73</v>
      </c>
      <c r="T1" s="18" t="s">
        <v>74</v>
      </c>
      <c r="U1" s="17" t="s">
        <v>75</v>
      </c>
      <c r="V1" s="13" t="s">
        <v>76</v>
      </c>
      <c r="W1" s="13" t="s">
        <v>77</v>
      </c>
      <c r="X1" s="13" t="s">
        <v>78</v>
      </c>
      <c r="Y1" s="13" t="s">
        <v>79</v>
      </c>
      <c r="Z1" s="13" t="s">
        <v>80</v>
      </c>
      <c r="AA1" s="19" t="s">
        <v>81</v>
      </c>
      <c r="AB1" s="20" t="s">
        <v>82</v>
      </c>
      <c r="AC1" s="20" t="s">
        <v>83</v>
      </c>
      <c r="AD1" s="20" t="s">
        <v>84</v>
      </c>
      <c r="AE1" s="21" t="s">
        <v>85</v>
      </c>
      <c r="AF1" s="21" t="s">
        <v>86</v>
      </c>
      <c r="AG1" s="21" t="s">
        <v>87</v>
      </c>
      <c r="AH1" s="21" t="s">
        <v>88</v>
      </c>
      <c r="AI1" s="22" t="s">
        <v>89</v>
      </c>
      <c r="AJ1" s="23" t="s">
        <v>90</v>
      </c>
      <c r="AK1" s="23" t="s">
        <v>91</v>
      </c>
      <c r="AL1" s="23" t="s">
        <v>92</v>
      </c>
      <c r="AM1" s="23" t="s">
        <v>93</v>
      </c>
      <c r="AN1" s="23" t="s">
        <v>94</v>
      </c>
      <c r="AO1" s="45" t="s">
        <v>100</v>
      </c>
      <c r="AP1" s="46"/>
      <c r="AQ1" s="47"/>
    </row>
    <row r="2" spans="1:43" s="48" customFormat="1" thickBot="1" x14ac:dyDescent="0.45">
      <c r="A2" s="42"/>
      <c r="B2" s="42"/>
      <c r="C2" s="42"/>
      <c r="D2" s="128"/>
      <c r="E2" s="49" t="s">
        <v>101</v>
      </c>
      <c r="F2" s="50"/>
      <c r="G2" s="24" t="s">
        <v>95</v>
      </c>
      <c r="H2" s="25" t="s">
        <v>95</v>
      </c>
      <c r="I2" s="26"/>
      <c r="J2" s="26"/>
      <c r="K2" s="26" t="s">
        <v>95</v>
      </c>
      <c r="L2" s="26" t="s">
        <v>95</v>
      </c>
      <c r="M2" s="26"/>
      <c r="N2" s="26" t="s">
        <v>95</v>
      </c>
      <c r="O2" s="27" t="s">
        <v>95</v>
      </c>
      <c r="P2" s="27" t="s">
        <v>95</v>
      </c>
      <c r="Q2" s="27" t="s">
        <v>95</v>
      </c>
      <c r="R2" s="28" t="s">
        <v>95</v>
      </c>
      <c r="S2" s="28" t="s">
        <v>95</v>
      </c>
      <c r="T2" s="24"/>
      <c r="U2" s="17" t="s">
        <v>95</v>
      </c>
      <c r="V2" s="29" t="s">
        <v>95</v>
      </c>
      <c r="W2" s="29"/>
      <c r="X2" s="29"/>
      <c r="Y2" s="29"/>
      <c r="Z2" s="29" t="s">
        <v>95</v>
      </c>
      <c r="AA2" s="19" t="s">
        <v>95</v>
      </c>
      <c r="AB2" s="19">
        <v>90000</v>
      </c>
      <c r="AC2" s="19" t="s">
        <v>95</v>
      </c>
      <c r="AD2" s="19"/>
      <c r="AE2" s="21" t="s">
        <v>95</v>
      </c>
      <c r="AF2" s="21"/>
      <c r="AG2" s="21"/>
      <c r="AH2" s="30">
        <v>45000</v>
      </c>
      <c r="AI2" s="26"/>
      <c r="AJ2" s="31" t="s">
        <v>95</v>
      </c>
      <c r="AK2" s="31" t="s">
        <v>95</v>
      </c>
      <c r="AL2" s="32" t="s">
        <v>95</v>
      </c>
      <c r="AM2" s="32" t="s">
        <v>95</v>
      </c>
      <c r="AN2" s="33" t="s">
        <v>95</v>
      </c>
      <c r="AO2" s="51"/>
      <c r="AP2" s="52"/>
      <c r="AQ2" s="53"/>
    </row>
    <row r="3" spans="1:43" s="48" customFormat="1" ht="15.75" customHeight="1" thickBot="1" x14ac:dyDescent="0.45">
      <c r="A3" s="42"/>
      <c r="B3" s="42"/>
      <c r="C3" s="42"/>
      <c r="D3" s="128"/>
      <c r="E3" s="50"/>
      <c r="F3" s="50" t="s">
        <v>102</v>
      </c>
      <c r="G3" s="34"/>
      <c r="H3" s="35"/>
      <c r="I3" s="35"/>
      <c r="J3" s="35"/>
      <c r="K3" s="35"/>
      <c r="L3" s="35"/>
      <c r="M3" s="35"/>
      <c r="N3" s="35"/>
      <c r="O3" s="36"/>
      <c r="P3" s="36"/>
      <c r="Q3" s="36"/>
      <c r="R3" s="34"/>
      <c r="S3" s="34"/>
      <c r="T3" s="34"/>
      <c r="U3" s="34"/>
      <c r="V3" s="29"/>
      <c r="W3" s="29"/>
      <c r="X3" s="29"/>
      <c r="Y3" s="29"/>
      <c r="Z3" s="29"/>
      <c r="AA3" s="34"/>
      <c r="AB3" s="37"/>
      <c r="AC3" s="38" t="s">
        <v>96</v>
      </c>
      <c r="AD3" s="39"/>
      <c r="AE3" s="34"/>
      <c r="AF3" s="34"/>
      <c r="AG3" s="34"/>
      <c r="AH3" s="34"/>
      <c r="AI3" s="35"/>
      <c r="AJ3" s="40"/>
      <c r="AK3" s="40"/>
      <c r="AL3" s="41"/>
      <c r="AM3" s="41"/>
      <c r="AN3" s="40"/>
      <c r="AO3" s="54"/>
      <c r="AP3" s="52"/>
      <c r="AQ3" s="53"/>
    </row>
    <row r="4" spans="1:43" s="43" customFormat="1" ht="4.9000000000000004" customHeight="1" thickBot="1" x14ac:dyDescent="0.45">
      <c r="A4" s="42"/>
      <c r="B4" s="42"/>
      <c r="C4" s="42"/>
      <c r="D4" s="128"/>
      <c r="E4" s="55"/>
      <c r="F4" s="50" t="s">
        <v>103</v>
      </c>
      <c r="G4" s="56"/>
      <c r="H4" s="57"/>
      <c r="I4" s="57"/>
      <c r="J4" s="57"/>
      <c r="K4" s="57"/>
      <c r="L4" s="57"/>
      <c r="M4" s="57"/>
      <c r="N4" s="57"/>
      <c r="O4" s="58"/>
      <c r="P4" s="58"/>
      <c r="Q4" s="58"/>
      <c r="R4" s="34"/>
      <c r="S4" s="34"/>
      <c r="T4" s="34"/>
      <c r="U4" s="56"/>
      <c r="V4" s="29"/>
      <c r="W4" s="29"/>
      <c r="X4" s="29"/>
      <c r="Y4" s="29"/>
      <c r="Z4" s="29"/>
      <c r="AA4" s="56"/>
      <c r="AB4" s="56"/>
      <c r="AC4" s="59"/>
      <c r="AD4" s="56"/>
      <c r="AE4" s="56"/>
      <c r="AF4" s="56"/>
      <c r="AG4" s="56"/>
      <c r="AH4" s="56"/>
      <c r="AI4" s="57"/>
      <c r="AJ4" s="60"/>
      <c r="AK4" s="60"/>
      <c r="AL4" s="60"/>
      <c r="AM4" s="60"/>
      <c r="AN4" s="60"/>
      <c r="AO4" s="54"/>
      <c r="AP4" s="52"/>
      <c r="AQ4" s="53"/>
    </row>
    <row r="5" spans="1:43" s="48" customFormat="1" ht="16.5" customHeight="1" x14ac:dyDescent="0.55000000000000004">
      <c r="A5" s="42"/>
      <c r="B5" s="42"/>
      <c r="C5" s="42"/>
      <c r="D5" s="128"/>
      <c r="E5" s="61"/>
      <c r="F5" s="61"/>
      <c r="G5" s="62">
        <v>1</v>
      </c>
      <c r="H5" s="62">
        <v>2</v>
      </c>
      <c r="I5" s="62">
        <v>3</v>
      </c>
      <c r="J5" s="62">
        <v>4</v>
      </c>
      <c r="K5" s="62">
        <v>5</v>
      </c>
      <c r="L5" s="62">
        <v>6</v>
      </c>
      <c r="M5" s="62">
        <v>7</v>
      </c>
      <c r="N5" s="62">
        <v>8</v>
      </c>
      <c r="O5" s="62">
        <v>9</v>
      </c>
      <c r="P5" s="62">
        <v>10</v>
      </c>
      <c r="Q5" s="62">
        <v>11</v>
      </c>
      <c r="R5" s="62">
        <v>12</v>
      </c>
      <c r="S5" s="62">
        <v>13</v>
      </c>
      <c r="T5" s="62">
        <v>14</v>
      </c>
      <c r="U5" s="62">
        <v>15</v>
      </c>
      <c r="V5" s="62">
        <v>16</v>
      </c>
      <c r="W5" s="62">
        <v>17</v>
      </c>
      <c r="X5" s="62">
        <v>18</v>
      </c>
      <c r="Y5" s="62">
        <v>19</v>
      </c>
      <c r="Z5" s="62">
        <v>20</v>
      </c>
      <c r="AA5" s="62">
        <v>21</v>
      </c>
      <c r="AB5" s="62">
        <v>22</v>
      </c>
      <c r="AC5" s="62">
        <v>23</v>
      </c>
      <c r="AD5" s="62">
        <v>24</v>
      </c>
      <c r="AE5" s="62">
        <v>25</v>
      </c>
      <c r="AF5" s="62">
        <v>26</v>
      </c>
      <c r="AG5" s="62">
        <v>27</v>
      </c>
      <c r="AH5" s="62">
        <v>28</v>
      </c>
      <c r="AI5" s="62">
        <v>29</v>
      </c>
      <c r="AJ5" s="62">
        <v>30</v>
      </c>
      <c r="AK5" s="62">
        <v>31</v>
      </c>
      <c r="AL5" s="62">
        <v>32</v>
      </c>
      <c r="AM5" s="62">
        <v>33</v>
      </c>
      <c r="AN5" s="62">
        <v>34</v>
      </c>
      <c r="AO5" s="63"/>
      <c r="AQ5" s="64"/>
    </row>
    <row r="6" spans="1:43" s="72" customFormat="1" ht="18" customHeight="1" x14ac:dyDescent="0.35">
      <c r="A6" s="65" t="s">
        <v>258</v>
      </c>
      <c r="B6" s="65" t="s">
        <v>245</v>
      </c>
      <c r="C6" s="65" t="s">
        <v>259</v>
      </c>
      <c r="D6" s="66" t="s">
        <v>104</v>
      </c>
      <c r="E6" s="67" t="s">
        <v>105</v>
      </c>
      <c r="F6" s="68"/>
      <c r="G6" s="69">
        <v>0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  <c r="AC6" s="69">
        <v>0</v>
      </c>
      <c r="AD6" s="69">
        <v>0</v>
      </c>
      <c r="AE6" s="69">
        <v>0</v>
      </c>
      <c r="AF6" s="69">
        <v>0</v>
      </c>
      <c r="AG6" s="69">
        <v>0</v>
      </c>
      <c r="AH6" s="69">
        <v>0</v>
      </c>
      <c r="AI6" s="69">
        <v>0</v>
      </c>
      <c r="AJ6" s="69">
        <v>0</v>
      </c>
      <c r="AK6" s="69">
        <v>0</v>
      </c>
      <c r="AL6" s="69">
        <v>0</v>
      </c>
      <c r="AM6" s="69">
        <v>0</v>
      </c>
      <c r="AN6" s="69">
        <v>0</v>
      </c>
      <c r="AO6" s="71"/>
      <c r="AQ6" s="73"/>
    </row>
    <row r="7" spans="1:43" s="48" customFormat="1" ht="15" x14ac:dyDescent="0.4">
      <c r="A7">
        <v>1</v>
      </c>
      <c r="B7" s="2" t="s">
        <v>260</v>
      </c>
      <c r="C7">
        <f>MATCH(B7,Salary!B:B,0)</f>
        <v>4</v>
      </c>
      <c r="D7" s="74" t="s">
        <v>106</v>
      </c>
      <c r="E7" s="75" t="s">
        <v>107</v>
      </c>
      <c r="F7" s="50"/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235.18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79">
        <f t="shared" ref="AO7:AO36" si="0">SUM(H7:AN7)</f>
        <v>235.18</v>
      </c>
      <c r="AQ7" s="64" t="str">
        <f t="shared" ref="AQ7:AQ70" si="1">D7</f>
        <v>AIKEN-SANZONE, Charlene</v>
      </c>
    </row>
    <row r="8" spans="1:43" s="48" customFormat="1" ht="15" x14ac:dyDescent="0.4">
      <c r="A8">
        <v>2</v>
      </c>
      <c r="B8" s="2" t="s">
        <v>261</v>
      </c>
      <c r="C8">
        <f>MATCH(B8,Salary!B:B,0)</f>
        <v>5</v>
      </c>
      <c r="D8" s="74" t="s">
        <v>108</v>
      </c>
      <c r="E8" s="75" t="s">
        <v>109</v>
      </c>
      <c r="F8" s="50"/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254.68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79">
        <f t="shared" si="0"/>
        <v>254.68</v>
      </c>
      <c r="AQ8" s="64" t="str">
        <f t="shared" si="1"/>
        <v>AIKEN-SANZONE, Charlene June 30</v>
      </c>
    </row>
    <row r="9" spans="1:43" s="48" customFormat="1" ht="15" x14ac:dyDescent="0.4">
      <c r="A9">
        <v>3</v>
      </c>
      <c r="B9" s="2" t="s">
        <v>262</v>
      </c>
      <c r="C9">
        <f>MATCH(B9,Salary!B:B,0)</f>
        <v>6</v>
      </c>
      <c r="D9" s="74" t="s">
        <v>110</v>
      </c>
      <c r="E9" s="75" t="s">
        <v>97</v>
      </c>
      <c r="F9" s="50"/>
      <c r="G9" s="69">
        <v>0</v>
      </c>
      <c r="H9" s="69">
        <v>173.511</v>
      </c>
      <c r="I9" s="69">
        <v>0</v>
      </c>
      <c r="J9" s="69">
        <v>0</v>
      </c>
      <c r="K9" s="69">
        <v>0</v>
      </c>
      <c r="L9" s="69">
        <v>93.428999999999988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79">
        <f t="shared" si="0"/>
        <v>266.94</v>
      </c>
      <c r="AQ9" s="64" t="str">
        <f t="shared" si="1"/>
        <v>ALFORD, Sebrania R.</v>
      </c>
    </row>
    <row r="10" spans="1:43" s="48" customFormat="1" ht="15" x14ac:dyDescent="0.4">
      <c r="A10">
        <v>4</v>
      </c>
      <c r="B10" s="2" t="s">
        <v>263</v>
      </c>
      <c r="C10">
        <f>MATCH(B10,Salary!B:B,0)</f>
        <v>7</v>
      </c>
      <c r="D10" s="74" t="s">
        <v>111</v>
      </c>
      <c r="E10" s="75" t="s">
        <v>112</v>
      </c>
      <c r="F10" s="50"/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111.82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79">
        <f t="shared" si="0"/>
        <v>111.82</v>
      </c>
      <c r="AQ10" s="64" t="str">
        <f t="shared" si="1"/>
        <v>ALMANZAR, Alberto</v>
      </c>
    </row>
    <row r="11" spans="1:43" s="48" customFormat="1" ht="15" x14ac:dyDescent="0.4">
      <c r="A11">
        <v>5</v>
      </c>
      <c r="B11" s="2" t="s">
        <v>264</v>
      </c>
      <c r="C11">
        <f>MATCH(B11,Salary!B:B,0)</f>
        <v>8</v>
      </c>
      <c r="D11" s="74" t="s">
        <v>113</v>
      </c>
      <c r="E11" s="75" t="s">
        <v>97</v>
      </c>
      <c r="F11" s="50"/>
      <c r="G11" s="69">
        <v>0</v>
      </c>
      <c r="H11" s="69">
        <v>59.43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59.43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79">
        <f t="shared" si="0"/>
        <v>118.86</v>
      </c>
      <c r="AQ11" s="64" t="str">
        <f t="shared" si="1"/>
        <v>ANDREWS, Cora - Summer</v>
      </c>
    </row>
    <row r="12" spans="1:43" s="48" customFormat="1" ht="15" x14ac:dyDescent="0.4">
      <c r="A12">
        <v>6</v>
      </c>
      <c r="B12" s="2" t="s">
        <v>265</v>
      </c>
      <c r="C12">
        <f>MATCH(B12,Salary!B:B,0)</f>
        <v>9</v>
      </c>
      <c r="D12" s="74" t="s">
        <v>114</v>
      </c>
      <c r="E12" s="75" t="s">
        <v>97</v>
      </c>
      <c r="F12" s="50"/>
      <c r="G12" s="69">
        <v>0</v>
      </c>
      <c r="H12" s="69">
        <v>298.99100000000004</v>
      </c>
      <c r="I12" s="69">
        <v>0</v>
      </c>
      <c r="J12" s="69">
        <v>0</v>
      </c>
      <c r="K12" s="69">
        <v>0</v>
      </c>
      <c r="L12" s="69">
        <v>89.309000000000012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79">
        <f t="shared" si="0"/>
        <v>388.30000000000007</v>
      </c>
      <c r="AQ12" s="64" t="str">
        <f t="shared" si="1"/>
        <v>ANDREWS, Cora</v>
      </c>
    </row>
    <row r="13" spans="1:43" s="48" customFormat="1" ht="15" x14ac:dyDescent="0.4">
      <c r="A13">
        <v>7</v>
      </c>
      <c r="B13" s="2" t="s">
        <v>266</v>
      </c>
      <c r="C13">
        <f>MATCH(B13,Salary!B:B,0)</f>
        <v>10</v>
      </c>
      <c r="D13" s="74" t="s">
        <v>115</v>
      </c>
      <c r="E13" s="75" t="s">
        <v>107</v>
      </c>
      <c r="F13" s="50"/>
      <c r="G13" s="69">
        <v>0</v>
      </c>
      <c r="H13" s="69">
        <v>0</v>
      </c>
      <c r="I13" s="69">
        <v>0</v>
      </c>
      <c r="J13" s="69">
        <v>0</v>
      </c>
      <c r="K13" s="69">
        <v>0</v>
      </c>
      <c r="L13" s="69">
        <v>0</v>
      </c>
      <c r="M13" s="69">
        <v>0</v>
      </c>
      <c r="N13" s="69">
        <v>0</v>
      </c>
      <c r="O13" s="69">
        <v>0</v>
      </c>
      <c r="P13" s="69">
        <v>0</v>
      </c>
      <c r="Q13" s="69">
        <v>395.12</v>
      </c>
      <c r="R13" s="69">
        <v>0</v>
      </c>
      <c r="S13" s="69">
        <v>0</v>
      </c>
      <c r="T13" s="69">
        <v>0</v>
      </c>
      <c r="U13" s="69">
        <v>0</v>
      </c>
      <c r="V13" s="69">
        <v>0</v>
      </c>
      <c r="W13" s="69">
        <v>0</v>
      </c>
      <c r="X13" s="69">
        <v>0</v>
      </c>
      <c r="Y13" s="69">
        <v>0</v>
      </c>
      <c r="Z13" s="69">
        <v>0</v>
      </c>
      <c r="AA13" s="69">
        <v>0</v>
      </c>
      <c r="AB13" s="69">
        <v>0</v>
      </c>
      <c r="AC13" s="69">
        <v>0</v>
      </c>
      <c r="AD13" s="69">
        <v>0</v>
      </c>
      <c r="AE13" s="69">
        <v>0</v>
      </c>
      <c r="AF13" s="69">
        <v>0</v>
      </c>
      <c r="AG13" s="69">
        <v>0</v>
      </c>
      <c r="AH13" s="69">
        <v>0</v>
      </c>
      <c r="AI13" s="69">
        <v>0</v>
      </c>
      <c r="AJ13" s="69">
        <v>0</v>
      </c>
      <c r="AK13" s="69">
        <v>0</v>
      </c>
      <c r="AL13" s="69">
        <v>0</v>
      </c>
      <c r="AM13" s="69">
        <v>0</v>
      </c>
      <c r="AN13" s="69">
        <v>0</v>
      </c>
      <c r="AO13" s="79">
        <f t="shared" si="0"/>
        <v>395.12</v>
      </c>
      <c r="AQ13" s="64" t="str">
        <f t="shared" si="1"/>
        <v>ANDREWS, Courtney A.</v>
      </c>
    </row>
    <row r="14" spans="1:43" s="48" customFormat="1" ht="15" x14ac:dyDescent="0.4">
      <c r="A14">
        <v>8</v>
      </c>
      <c r="B14" s="2" t="s">
        <v>267</v>
      </c>
      <c r="C14">
        <f>MATCH(B14,Salary!B:B,0)</f>
        <v>11</v>
      </c>
      <c r="D14" s="74" t="s">
        <v>116</v>
      </c>
      <c r="E14" s="75" t="s">
        <v>109</v>
      </c>
      <c r="F14" s="50"/>
      <c r="G14" s="69">
        <v>0</v>
      </c>
      <c r="H14" s="69">
        <v>0</v>
      </c>
      <c r="I14" s="69">
        <v>0</v>
      </c>
      <c r="J14" s="69">
        <v>0</v>
      </c>
      <c r="K14" s="69">
        <v>0</v>
      </c>
      <c r="L14" s="69">
        <v>0</v>
      </c>
      <c r="M14" s="69">
        <v>0</v>
      </c>
      <c r="N14" s="69">
        <v>0</v>
      </c>
      <c r="O14" s="69">
        <v>0</v>
      </c>
      <c r="P14" s="69">
        <v>245.78</v>
      </c>
      <c r="Q14" s="69">
        <v>0</v>
      </c>
      <c r="R14" s="69">
        <v>0</v>
      </c>
      <c r="S14" s="69">
        <v>0</v>
      </c>
      <c r="T14" s="69">
        <v>0</v>
      </c>
      <c r="U14" s="69">
        <v>0</v>
      </c>
      <c r="V14" s="69">
        <v>0</v>
      </c>
      <c r="W14" s="69">
        <v>0</v>
      </c>
      <c r="X14" s="69">
        <v>0</v>
      </c>
      <c r="Y14" s="69">
        <v>0</v>
      </c>
      <c r="Z14" s="69">
        <v>0</v>
      </c>
      <c r="AA14" s="69">
        <v>0</v>
      </c>
      <c r="AB14" s="69">
        <v>0</v>
      </c>
      <c r="AC14" s="69">
        <v>0</v>
      </c>
      <c r="AD14" s="69">
        <v>0</v>
      </c>
      <c r="AE14" s="69">
        <v>0</v>
      </c>
      <c r="AF14" s="69">
        <v>0</v>
      </c>
      <c r="AG14" s="69">
        <v>0</v>
      </c>
      <c r="AH14" s="69">
        <v>0</v>
      </c>
      <c r="AI14" s="69">
        <v>0</v>
      </c>
      <c r="AJ14" s="69">
        <v>0</v>
      </c>
      <c r="AK14" s="69">
        <v>0</v>
      </c>
      <c r="AL14" s="69">
        <v>0</v>
      </c>
      <c r="AM14" s="69">
        <v>0</v>
      </c>
      <c r="AN14" s="69">
        <v>0</v>
      </c>
      <c r="AO14" s="79">
        <f t="shared" si="0"/>
        <v>245.78</v>
      </c>
      <c r="AP14" s="82"/>
      <c r="AQ14" s="64" t="str">
        <f t="shared" si="1"/>
        <v>BIRDSONG, Rhonda June 30</v>
      </c>
    </row>
    <row r="15" spans="1:43" s="48" customFormat="1" ht="15" x14ac:dyDescent="0.4">
      <c r="A15">
        <v>9</v>
      </c>
      <c r="B15" s="2" t="s">
        <v>268</v>
      </c>
      <c r="C15">
        <f>MATCH(B15,Salary!B:B,0)</f>
        <v>12</v>
      </c>
      <c r="D15" s="74" t="s">
        <v>117</v>
      </c>
      <c r="E15" s="75" t="s">
        <v>107</v>
      </c>
      <c r="F15" s="50"/>
      <c r="G15" s="69">
        <v>0</v>
      </c>
      <c r="H15" s="69">
        <v>0</v>
      </c>
      <c r="I15" s="69">
        <v>0</v>
      </c>
      <c r="J15" s="69">
        <v>0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481.92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0</v>
      </c>
      <c r="AE15" s="69">
        <v>0</v>
      </c>
      <c r="AF15" s="69">
        <v>0</v>
      </c>
      <c r="AG15" s="69">
        <v>0</v>
      </c>
      <c r="AH15" s="69">
        <v>0</v>
      </c>
      <c r="AI15" s="69">
        <v>0</v>
      </c>
      <c r="AJ15" s="69">
        <v>0</v>
      </c>
      <c r="AK15" s="69">
        <v>0</v>
      </c>
      <c r="AL15" s="69">
        <v>0</v>
      </c>
      <c r="AM15" s="69">
        <v>0</v>
      </c>
      <c r="AN15" s="69">
        <v>0</v>
      </c>
      <c r="AO15" s="79">
        <f t="shared" si="0"/>
        <v>481.92</v>
      </c>
      <c r="AP15" s="82"/>
      <c r="AQ15" s="64" t="str">
        <f t="shared" si="1"/>
        <v>Bizi, Raymond</v>
      </c>
    </row>
    <row r="16" spans="1:43" s="48" customFormat="1" ht="15" x14ac:dyDescent="0.4">
      <c r="A16">
        <v>10</v>
      </c>
      <c r="B16" s="2" t="s">
        <v>269</v>
      </c>
      <c r="C16">
        <f>MATCH(B16,Salary!B:B,0)</f>
        <v>13</v>
      </c>
      <c r="D16" s="83" t="s">
        <v>118</v>
      </c>
      <c r="E16" s="75" t="s">
        <v>97</v>
      </c>
      <c r="F16" s="50"/>
      <c r="G16" s="69">
        <v>0</v>
      </c>
      <c r="H16" s="69">
        <v>0</v>
      </c>
      <c r="I16" s="69">
        <v>319.3</v>
      </c>
      <c r="J16" s="69">
        <v>0</v>
      </c>
      <c r="K16" s="69">
        <v>0</v>
      </c>
      <c r="L16" s="69">
        <v>0</v>
      </c>
      <c r="M16" s="69">
        <v>0</v>
      </c>
      <c r="N16" s="69">
        <v>0</v>
      </c>
      <c r="O16" s="69">
        <v>0</v>
      </c>
      <c r="P16" s="69">
        <v>0</v>
      </c>
      <c r="Q16" s="69">
        <v>0</v>
      </c>
      <c r="R16" s="69">
        <v>0</v>
      </c>
      <c r="S16" s="69">
        <v>0</v>
      </c>
      <c r="T16" s="69">
        <v>0</v>
      </c>
      <c r="U16" s="69">
        <v>0</v>
      </c>
      <c r="V16" s="69">
        <v>0</v>
      </c>
      <c r="W16" s="69">
        <v>0</v>
      </c>
      <c r="X16" s="69">
        <v>0</v>
      </c>
      <c r="Y16" s="69">
        <v>0</v>
      </c>
      <c r="Z16" s="69">
        <v>0</v>
      </c>
      <c r="AA16" s="69">
        <v>0</v>
      </c>
      <c r="AB16" s="69">
        <v>0</v>
      </c>
      <c r="AC16" s="69">
        <v>0</v>
      </c>
      <c r="AD16" s="69">
        <v>0</v>
      </c>
      <c r="AE16" s="69">
        <v>0</v>
      </c>
      <c r="AF16" s="69">
        <v>0</v>
      </c>
      <c r="AG16" s="69">
        <v>0</v>
      </c>
      <c r="AH16" s="69">
        <v>0</v>
      </c>
      <c r="AI16" s="69">
        <v>0</v>
      </c>
      <c r="AJ16" s="69">
        <v>0</v>
      </c>
      <c r="AK16" s="69">
        <v>0</v>
      </c>
      <c r="AL16" s="69">
        <v>0</v>
      </c>
      <c r="AM16" s="69">
        <v>0</v>
      </c>
      <c r="AN16" s="69">
        <v>0</v>
      </c>
      <c r="AO16" s="79">
        <f t="shared" si="0"/>
        <v>319.3</v>
      </c>
      <c r="AQ16" s="64" t="str">
        <f t="shared" si="1"/>
        <v>BROWN,Denise- Wrap</v>
      </c>
    </row>
    <row r="17" spans="1:43" s="48" customFormat="1" ht="15" x14ac:dyDescent="0.4">
      <c r="A17">
        <v>11</v>
      </c>
      <c r="B17" s="2" t="s">
        <v>17</v>
      </c>
      <c r="C17">
        <f>MATCH(B17,Salary!B:B,0)</f>
        <v>14</v>
      </c>
      <c r="D17" s="74" t="s">
        <v>119</v>
      </c>
      <c r="E17" s="75" t="s">
        <v>97</v>
      </c>
      <c r="F17" s="50"/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129.04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0</v>
      </c>
      <c r="AN17" s="69">
        <v>0</v>
      </c>
      <c r="AO17" s="79">
        <f t="shared" si="0"/>
        <v>129.04</v>
      </c>
      <c r="AQ17" s="64" t="str">
        <f t="shared" si="1"/>
        <v>BROWN,Denise - Summer</v>
      </c>
    </row>
    <row r="18" spans="1:43" s="48" customFormat="1" ht="15" x14ac:dyDescent="0.4">
      <c r="A18">
        <v>12</v>
      </c>
      <c r="B18" s="2" t="s">
        <v>270</v>
      </c>
      <c r="C18">
        <f>MATCH(B18,Salary!B:B,0)</f>
        <v>15</v>
      </c>
      <c r="D18" s="84" t="s">
        <v>120</v>
      </c>
      <c r="E18" s="75" t="s">
        <v>97</v>
      </c>
      <c r="F18" s="50"/>
      <c r="G18" s="69">
        <v>0</v>
      </c>
      <c r="H18" s="69">
        <v>0</v>
      </c>
      <c r="I18" s="69">
        <v>0</v>
      </c>
      <c r="J18" s="69">
        <v>0</v>
      </c>
      <c r="K18" s="69">
        <v>0</v>
      </c>
      <c r="L18" s="69">
        <v>0</v>
      </c>
      <c r="M18" s="69">
        <v>0</v>
      </c>
      <c r="N18" s="69">
        <v>185.64</v>
      </c>
      <c r="O18" s="69">
        <v>0</v>
      </c>
      <c r="P18" s="69">
        <v>0</v>
      </c>
      <c r="Q18" s="69">
        <v>0</v>
      </c>
      <c r="R18" s="69">
        <v>0</v>
      </c>
      <c r="S18" s="69">
        <v>0</v>
      </c>
      <c r="T18" s="69">
        <v>0</v>
      </c>
      <c r="U18" s="69">
        <v>0</v>
      </c>
      <c r="V18" s="69">
        <v>0</v>
      </c>
      <c r="W18" s="69">
        <v>0</v>
      </c>
      <c r="X18" s="69">
        <v>0</v>
      </c>
      <c r="Y18" s="69">
        <v>0</v>
      </c>
      <c r="Z18" s="69">
        <v>0</v>
      </c>
      <c r="AA18" s="69">
        <v>0</v>
      </c>
      <c r="AB18" s="69">
        <v>0</v>
      </c>
      <c r="AC18" s="69">
        <v>0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0</v>
      </c>
      <c r="AL18" s="69">
        <v>0</v>
      </c>
      <c r="AM18" s="69">
        <v>0</v>
      </c>
      <c r="AN18" s="69">
        <v>0</v>
      </c>
      <c r="AO18" s="79">
        <f t="shared" si="0"/>
        <v>185.64</v>
      </c>
      <c r="AQ18" s="64" t="str">
        <f t="shared" si="1"/>
        <v>BRYANT, Roni- Summer</v>
      </c>
    </row>
    <row r="19" spans="1:43" s="48" customFormat="1" ht="15" x14ac:dyDescent="0.4">
      <c r="A19">
        <v>13</v>
      </c>
      <c r="B19" s="2" t="s">
        <v>271</v>
      </c>
      <c r="C19">
        <f>MATCH(B19,Salary!B:B,0)</f>
        <v>16</v>
      </c>
      <c r="D19" s="84" t="s">
        <v>121</v>
      </c>
      <c r="E19" s="75" t="s">
        <v>97</v>
      </c>
      <c r="F19" s="50"/>
      <c r="G19" s="69">
        <v>0</v>
      </c>
      <c r="H19" s="69">
        <v>63.1</v>
      </c>
      <c r="I19" s="69">
        <v>0</v>
      </c>
      <c r="J19" s="69">
        <v>0</v>
      </c>
      <c r="K19" s="69">
        <v>0</v>
      </c>
      <c r="L19" s="69">
        <v>0</v>
      </c>
      <c r="M19" s="69">
        <v>0</v>
      </c>
      <c r="N19" s="69">
        <v>0</v>
      </c>
      <c r="O19" s="69">
        <v>0</v>
      </c>
      <c r="P19" s="69">
        <v>0</v>
      </c>
      <c r="Q19" s="69">
        <v>0</v>
      </c>
      <c r="R19" s="69">
        <v>0</v>
      </c>
      <c r="S19" s="69">
        <v>0</v>
      </c>
      <c r="T19" s="69">
        <v>0</v>
      </c>
      <c r="U19" s="69">
        <v>0</v>
      </c>
      <c r="V19" s="69">
        <v>0</v>
      </c>
      <c r="W19" s="69">
        <v>0</v>
      </c>
      <c r="X19" s="69">
        <v>0</v>
      </c>
      <c r="Y19" s="69">
        <v>0</v>
      </c>
      <c r="Z19" s="69">
        <v>0</v>
      </c>
      <c r="AA19" s="69">
        <v>0</v>
      </c>
      <c r="AB19" s="69">
        <v>0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</v>
      </c>
      <c r="AI19" s="69">
        <v>0</v>
      </c>
      <c r="AJ19" s="69">
        <v>0</v>
      </c>
      <c r="AK19" s="69">
        <v>0</v>
      </c>
      <c r="AL19" s="69">
        <v>0</v>
      </c>
      <c r="AM19" s="69">
        <v>0</v>
      </c>
      <c r="AN19" s="69">
        <v>0</v>
      </c>
      <c r="AO19" s="79">
        <f t="shared" si="0"/>
        <v>63.1</v>
      </c>
      <c r="AQ19" s="64" t="str">
        <f t="shared" si="1"/>
        <v>BRYANT, Roni</v>
      </c>
    </row>
    <row r="20" spans="1:43" s="48" customFormat="1" ht="15" x14ac:dyDescent="0.4">
      <c r="A20">
        <v>14</v>
      </c>
      <c r="B20" s="2" t="s">
        <v>272</v>
      </c>
      <c r="C20">
        <f>MATCH(B20,Salary!B:B,0)</f>
        <v>17</v>
      </c>
      <c r="D20" s="84" t="s">
        <v>122</v>
      </c>
      <c r="E20" s="75" t="s">
        <v>112</v>
      </c>
      <c r="F20" s="50"/>
      <c r="G20" s="69">
        <v>0</v>
      </c>
      <c r="H20" s="69">
        <v>0</v>
      </c>
      <c r="I20" s="69">
        <v>0</v>
      </c>
      <c r="J20" s="69">
        <v>0</v>
      </c>
      <c r="K20" s="69">
        <v>0</v>
      </c>
      <c r="L20" s="69">
        <v>0</v>
      </c>
      <c r="M20" s="69">
        <v>0</v>
      </c>
      <c r="N20" s="69">
        <v>0</v>
      </c>
      <c r="O20" s="69">
        <v>0</v>
      </c>
      <c r="P20" s="69">
        <v>0</v>
      </c>
      <c r="Q20" s="69">
        <v>0</v>
      </c>
      <c r="R20" s="69">
        <v>0</v>
      </c>
      <c r="S20" s="69">
        <v>0</v>
      </c>
      <c r="T20" s="69">
        <v>0</v>
      </c>
      <c r="U20" s="69">
        <v>0</v>
      </c>
      <c r="V20" s="69">
        <v>145.30000000000001</v>
      </c>
      <c r="W20" s="69">
        <v>0</v>
      </c>
      <c r="X20" s="69">
        <v>0</v>
      </c>
      <c r="Y20" s="69">
        <v>0</v>
      </c>
      <c r="Z20" s="69">
        <v>0</v>
      </c>
      <c r="AA20" s="69">
        <v>0</v>
      </c>
      <c r="AB20" s="69">
        <v>0</v>
      </c>
      <c r="AC20" s="69">
        <v>0</v>
      </c>
      <c r="AD20" s="69">
        <v>0</v>
      </c>
      <c r="AE20" s="69">
        <v>0</v>
      </c>
      <c r="AF20" s="69">
        <v>0</v>
      </c>
      <c r="AG20" s="69">
        <v>0</v>
      </c>
      <c r="AH20" s="69">
        <v>0</v>
      </c>
      <c r="AI20" s="69">
        <v>0</v>
      </c>
      <c r="AJ20" s="69">
        <v>0</v>
      </c>
      <c r="AK20" s="69">
        <v>0</v>
      </c>
      <c r="AL20" s="69">
        <v>0</v>
      </c>
      <c r="AM20" s="69">
        <v>0</v>
      </c>
      <c r="AN20" s="69">
        <v>0</v>
      </c>
      <c r="AO20" s="79">
        <f t="shared" si="0"/>
        <v>145.30000000000001</v>
      </c>
      <c r="AQ20" s="64" t="str">
        <f t="shared" si="1"/>
        <v>BUTLER, Ciji</v>
      </c>
    </row>
    <row r="21" spans="1:43" s="48" customFormat="1" ht="15" x14ac:dyDescent="0.4">
      <c r="A21">
        <v>15</v>
      </c>
      <c r="B21" s="2" t="s">
        <v>273</v>
      </c>
      <c r="C21">
        <f>MATCH(B21,Salary!B:B,0)</f>
        <v>18</v>
      </c>
      <c r="D21" s="74" t="s">
        <v>123</v>
      </c>
      <c r="E21" s="75" t="s">
        <v>107</v>
      </c>
      <c r="F21" s="50"/>
      <c r="G21" s="69">
        <v>0</v>
      </c>
      <c r="H21" s="69">
        <v>0</v>
      </c>
      <c r="I21" s="69">
        <v>0</v>
      </c>
      <c r="J21" s="69">
        <v>0</v>
      </c>
      <c r="K21" s="69">
        <v>0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161.22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0</v>
      </c>
      <c r="AO21" s="79">
        <f t="shared" si="0"/>
        <v>161.22</v>
      </c>
      <c r="AQ21" s="64" t="str">
        <f t="shared" si="1"/>
        <v>CAMPBELL, Nikiesha K.</v>
      </c>
    </row>
    <row r="22" spans="1:43" s="48" customFormat="1" ht="15" x14ac:dyDescent="0.4">
      <c r="A22">
        <v>16</v>
      </c>
      <c r="B22" s="2" t="s">
        <v>274</v>
      </c>
      <c r="C22">
        <f>MATCH(B22,Salary!B:B,0)</f>
        <v>19</v>
      </c>
      <c r="D22" s="74" t="s">
        <v>124</v>
      </c>
      <c r="E22" s="75" t="s">
        <v>97</v>
      </c>
      <c r="F22" s="50"/>
      <c r="G22" s="69">
        <v>0</v>
      </c>
      <c r="H22" s="69">
        <v>301.45999999999998</v>
      </c>
      <c r="I22" s="69">
        <v>0</v>
      </c>
      <c r="J22" s="69">
        <v>0</v>
      </c>
      <c r="K22" s="69">
        <v>0</v>
      </c>
      <c r="L22" s="69">
        <v>0</v>
      </c>
      <c r="M22" s="69">
        <v>0</v>
      </c>
      <c r="N22" s="69">
        <v>0</v>
      </c>
      <c r="O22" s="69">
        <v>0</v>
      </c>
      <c r="P22" s="69">
        <v>0</v>
      </c>
      <c r="Q22" s="69">
        <v>0</v>
      </c>
      <c r="R22" s="69">
        <v>0</v>
      </c>
      <c r="S22" s="69">
        <v>0</v>
      </c>
      <c r="T22" s="69">
        <v>0</v>
      </c>
      <c r="U22" s="69">
        <v>0</v>
      </c>
      <c r="V22" s="69">
        <v>0</v>
      </c>
      <c r="W22" s="69">
        <v>0</v>
      </c>
      <c r="X22" s="69">
        <v>0</v>
      </c>
      <c r="Y22" s="69">
        <v>0</v>
      </c>
      <c r="Z22" s="69">
        <v>0</v>
      </c>
      <c r="AA22" s="69">
        <v>0</v>
      </c>
      <c r="AB22" s="69">
        <v>0</v>
      </c>
      <c r="AC22" s="69">
        <v>0</v>
      </c>
      <c r="AD22" s="69">
        <v>0</v>
      </c>
      <c r="AE22" s="69">
        <v>0</v>
      </c>
      <c r="AF22" s="69">
        <v>0</v>
      </c>
      <c r="AG22" s="69">
        <v>0</v>
      </c>
      <c r="AH22" s="69">
        <v>0</v>
      </c>
      <c r="AI22" s="69">
        <v>0</v>
      </c>
      <c r="AJ22" s="69">
        <v>0</v>
      </c>
      <c r="AK22" s="69">
        <v>0</v>
      </c>
      <c r="AL22" s="69">
        <v>0</v>
      </c>
      <c r="AM22" s="69">
        <v>0</v>
      </c>
      <c r="AN22" s="69">
        <v>0</v>
      </c>
      <c r="AO22" s="79">
        <f t="shared" si="0"/>
        <v>301.45999999999998</v>
      </c>
      <c r="AQ22" s="64" t="str">
        <f t="shared" si="1"/>
        <v>CASTELLANOS, Rita J.</v>
      </c>
    </row>
    <row r="23" spans="1:43" s="48" customFormat="1" ht="15" x14ac:dyDescent="0.4">
      <c r="A23">
        <v>17</v>
      </c>
      <c r="B23" s="2" t="s">
        <v>275</v>
      </c>
      <c r="C23">
        <f>MATCH(B23,Salary!B:B,0)</f>
        <v>20</v>
      </c>
      <c r="D23" s="74" t="s">
        <v>125</v>
      </c>
      <c r="E23" s="75" t="s">
        <v>112</v>
      </c>
      <c r="F23" s="50"/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339.04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79">
        <f t="shared" si="0"/>
        <v>339.04</v>
      </c>
      <c r="AQ23" s="64" t="str">
        <f t="shared" si="1"/>
        <v>CERNA, Irene</v>
      </c>
    </row>
    <row r="24" spans="1:43" s="48" customFormat="1" ht="15" x14ac:dyDescent="0.4">
      <c r="A24">
        <v>18</v>
      </c>
      <c r="B24" s="2" t="s">
        <v>276</v>
      </c>
      <c r="C24">
        <f>MATCH(B24,Salary!B:B,0)</f>
        <v>21</v>
      </c>
      <c r="D24" s="74" t="s">
        <v>126</v>
      </c>
      <c r="E24" s="75" t="s">
        <v>98</v>
      </c>
      <c r="F24" s="50"/>
      <c r="G24" s="69">
        <v>0</v>
      </c>
      <c r="H24" s="69">
        <v>0</v>
      </c>
      <c r="I24" s="69">
        <v>0</v>
      </c>
      <c r="J24" s="69">
        <v>0</v>
      </c>
      <c r="K24" s="69">
        <v>0</v>
      </c>
      <c r="L24" s="69">
        <v>201.46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</v>
      </c>
      <c r="AE24" s="69">
        <v>0</v>
      </c>
      <c r="AF24" s="69">
        <v>0</v>
      </c>
      <c r="AG24" s="69">
        <v>0</v>
      </c>
      <c r="AH24" s="69">
        <v>0</v>
      </c>
      <c r="AI24" s="69">
        <v>0</v>
      </c>
      <c r="AJ24" s="69">
        <v>0</v>
      </c>
      <c r="AK24" s="69">
        <v>0</v>
      </c>
      <c r="AL24" s="69">
        <v>0</v>
      </c>
      <c r="AM24" s="69">
        <v>0</v>
      </c>
      <c r="AN24" s="69">
        <v>0</v>
      </c>
      <c r="AO24" s="79">
        <f t="shared" si="0"/>
        <v>201.46</v>
      </c>
      <c r="AQ24" s="64" t="str">
        <f t="shared" si="1"/>
        <v>COLEMAN, Zabrina J.</v>
      </c>
    </row>
    <row r="25" spans="1:43" s="48" customFormat="1" ht="15" x14ac:dyDescent="0.4">
      <c r="A25">
        <v>19</v>
      </c>
      <c r="B25" s="2" t="s">
        <v>277</v>
      </c>
      <c r="C25">
        <f>MATCH(B25,Salary!B:B,0)</f>
        <v>22</v>
      </c>
      <c r="D25" s="74" t="s">
        <v>127</v>
      </c>
      <c r="E25" s="75" t="s">
        <v>109</v>
      </c>
      <c r="F25" s="50"/>
      <c r="G25" s="69">
        <v>0</v>
      </c>
      <c r="H25" s="69">
        <v>0</v>
      </c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150.66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0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79">
        <f t="shared" si="0"/>
        <v>150.66</v>
      </c>
      <c r="AQ25" s="64" t="str">
        <f t="shared" si="1"/>
        <v>COOPER, Cassandra June 30</v>
      </c>
    </row>
    <row r="26" spans="1:43" s="48" customFormat="1" ht="15" x14ac:dyDescent="0.4">
      <c r="A26">
        <v>20</v>
      </c>
      <c r="B26" s="2" t="s">
        <v>278</v>
      </c>
      <c r="C26">
        <f>MATCH(B26,Salary!B:B,0)</f>
        <v>23</v>
      </c>
      <c r="D26" s="83" t="s">
        <v>128</v>
      </c>
      <c r="E26" s="75" t="s">
        <v>129</v>
      </c>
      <c r="F26" s="50"/>
      <c r="G26" s="69">
        <v>0</v>
      </c>
      <c r="H26" s="69">
        <v>0</v>
      </c>
      <c r="I26" s="69">
        <v>0</v>
      </c>
      <c r="J26" s="69">
        <v>0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91.85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275.54999999999995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</v>
      </c>
      <c r="AO26" s="79">
        <f t="shared" si="0"/>
        <v>367.4</v>
      </c>
      <c r="AQ26" s="64" t="str">
        <f t="shared" si="1"/>
        <v>COOPER, Cassandra July</v>
      </c>
    </row>
    <row r="27" spans="1:43" s="48" customFormat="1" ht="15" x14ac:dyDescent="0.4">
      <c r="A27">
        <v>21</v>
      </c>
      <c r="B27" s="2" t="s">
        <v>279</v>
      </c>
      <c r="C27">
        <f>MATCH(B27,Salary!B:B,0)</f>
        <v>24</v>
      </c>
      <c r="D27" s="74" t="s">
        <v>130</v>
      </c>
      <c r="E27" s="75" t="s">
        <v>107</v>
      </c>
      <c r="F27" s="50"/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321.54000000000002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79">
        <f t="shared" si="0"/>
        <v>321.54000000000002</v>
      </c>
      <c r="AQ27" s="64" t="str">
        <f t="shared" si="1"/>
        <v>Counts, Monique Lamae</v>
      </c>
    </row>
    <row r="28" spans="1:43" s="48" customFormat="1" ht="15" x14ac:dyDescent="0.4">
      <c r="A28">
        <v>22</v>
      </c>
      <c r="B28" s="2" t="s">
        <v>280</v>
      </c>
      <c r="C28">
        <f>MATCH(B28,Salary!B:B,0)</f>
        <v>25</v>
      </c>
      <c r="D28" s="74" t="s">
        <v>131</v>
      </c>
      <c r="E28" s="75" t="s">
        <v>97</v>
      </c>
      <c r="F28" s="50"/>
      <c r="G28" s="69">
        <v>0</v>
      </c>
      <c r="H28" s="69">
        <v>371.55580000000003</v>
      </c>
      <c r="I28" s="69">
        <v>0</v>
      </c>
      <c r="J28" s="69">
        <v>110.98420000000002</v>
      </c>
      <c r="K28" s="69">
        <v>0</v>
      </c>
      <c r="L28" s="69">
        <v>0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0</v>
      </c>
      <c r="AD28" s="69">
        <v>0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</v>
      </c>
      <c r="AN28" s="69">
        <v>0</v>
      </c>
      <c r="AO28" s="79">
        <f t="shared" si="0"/>
        <v>482.54000000000008</v>
      </c>
      <c r="AQ28" s="64" t="str">
        <f t="shared" si="1"/>
        <v>DANCE-WILSON, Heather</v>
      </c>
    </row>
    <row r="29" spans="1:43" s="48" customFormat="1" ht="15" x14ac:dyDescent="0.4">
      <c r="A29">
        <v>23</v>
      </c>
      <c r="B29" s="2" t="s">
        <v>281</v>
      </c>
      <c r="C29">
        <f>MATCH(B29,Salary!B:B,0)</f>
        <v>26</v>
      </c>
      <c r="D29" s="74" t="s">
        <v>132</v>
      </c>
      <c r="E29" s="75" t="s">
        <v>98</v>
      </c>
      <c r="F29" s="50"/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267.56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79">
        <f t="shared" si="0"/>
        <v>267.56</v>
      </c>
      <c r="AQ29" s="64" t="str">
        <f t="shared" si="1"/>
        <v>DANIELS-CRAFTON, Glenda</v>
      </c>
    </row>
    <row r="30" spans="1:43" s="48" customFormat="1" ht="15" x14ac:dyDescent="0.4">
      <c r="A30">
        <v>24</v>
      </c>
      <c r="B30" s="2" t="s">
        <v>282</v>
      </c>
      <c r="C30">
        <f>MATCH(B30,Salary!B:B,0)</f>
        <v>27</v>
      </c>
      <c r="D30" s="74" t="s">
        <v>133</v>
      </c>
      <c r="E30" s="75" t="s">
        <v>109</v>
      </c>
      <c r="F30" s="50"/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442.14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79">
        <f t="shared" si="0"/>
        <v>442.14</v>
      </c>
      <c r="AQ30" s="64" t="str">
        <f t="shared" si="1"/>
        <v>ELLIS, Joseph</v>
      </c>
    </row>
    <row r="31" spans="1:43" s="48" customFormat="1" ht="15" x14ac:dyDescent="0.4">
      <c r="A31">
        <v>25</v>
      </c>
      <c r="B31" s="2" t="s">
        <v>283</v>
      </c>
      <c r="C31">
        <f>MATCH(B31,Salary!B:B,0)</f>
        <v>28</v>
      </c>
      <c r="D31" s="74" t="s">
        <v>134</v>
      </c>
      <c r="E31" s="85" t="s">
        <v>98</v>
      </c>
      <c r="F31" s="50"/>
      <c r="G31" s="69">
        <v>0</v>
      </c>
      <c r="H31" s="69">
        <v>0</v>
      </c>
      <c r="I31" s="69">
        <v>0</v>
      </c>
      <c r="J31" s="69">
        <v>0</v>
      </c>
      <c r="K31" s="69">
        <v>0</v>
      </c>
      <c r="L31" s="69">
        <v>169.3</v>
      </c>
      <c r="M31" s="69">
        <v>0</v>
      </c>
      <c r="N31" s="69">
        <v>0</v>
      </c>
      <c r="O31" s="69">
        <v>0</v>
      </c>
      <c r="P31" s="69">
        <v>0</v>
      </c>
      <c r="Q31" s="69">
        <v>0</v>
      </c>
      <c r="R31" s="69">
        <v>0</v>
      </c>
      <c r="S31" s="69">
        <v>0</v>
      </c>
      <c r="T31" s="69">
        <v>0</v>
      </c>
      <c r="U31" s="69">
        <v>0</v>
      </c>
      <c r="V31" s="69">
        <v>0</v>
      </c>
      <c r="W31" s="69">
        <v>0</v>
      </c>
      <c r="X31" s="69">
        <v>0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79">
        <f t="shared" si="0"/>
        <v>169.3</v>
      </c>
      <c r="AQ31" s="64" t="str">
        <f t="shared" si="1"/>
        <v>FITZPATRICK, Cynthia E. - Aug 31</v>
      </c>
    </row>
    <row r="32" spans="1:43" s="48" customFormat="1" ht="15" x14ac:dyDescent="0.4">
      <c r="A32">
        <v>26</v>
      </c>
      <c r="B32" s="2" t="s">
        <v>284</v>
      </c>
      <c r="C32">
        <f>MATCH(B32,Salary!B:B,0)</f>
        <v>29</v>
      </c>
      <c r="D32" s="74" t="s">
        <v>135</v>
      </c>
      <c r="E32" s="85" t="s">
        <v>136</v>
      </c>
      <c r="F32" s="50"/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506.94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79">
        <f t="shared" si="0"/>
        <v>506.94</v>
      </c>
      <c r="AQ32" s="64" t="str">
        <f t="shared" si="1"/>
        <v>FITZPATRICK, Cynthia E.  - Toddlers</v>
      </c>
    </row>
    <row r="33" spans="1:43" s="48" customFormat="1" ht="15" x14ac:dyDescent="0.4">
      <c r="A33">
        <v>27</v>
      </c>
      <c r="B33" s="2" t="s">
        <v>285</v>
      </c>
      <c r="C33">
        <f>MATCH(B33,Salary!B:B,0)</f>
        <v>30</v>
      </c>
      <c r="D33" s="74" t="s">
        <v>137</v>
      </c>
      <c r="E33" s="75" t="s">
        <v>107</v>
      </c>
      <c r="F33" s="44"/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899.82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79">
        <f t="shared" si="0"/>
        <v>899.82</v>
      </c>
      <c r="AQ33" s="64" t="str">
        <f t="shared" si="1"/>
        <v>FRANCOIS, Darlene</v>
      </c>
    </row>
    <row r="34" spans="1:43" s="48" customFormat="1" ht="15" x14ac:dyDescent="0.4">
      <c r="A34">
        <v>28</v>
      </c>
      <c r="B34" s="2" t="s">
        <v>286</v>
      </c>
      <c r="C34">
        <f>MATCH(B34,Salary!B:B,0)</f>
        <v>31</v>
      </c>
      <c r="D34" s="74" t="s">
        <v>138</v>
      </c>
      <c r="E34" s="75" t="s">
        <v>139</v>
      </c>
      <c r="F34" s="44"/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102.22559999999999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465.69439999999992</v>
      </c>
      <c r="AK34" s="69">
        <v>0</v>
      </c>
      <c r="AL34" s="69">
        <v>0</v>
      </c>
      <c r="AM34" s="69">
        <v>0</v>
      </c>
      <c r="AN34" s="69">
        <v>0</v>
      </c>
      <c r="AO34" s="79">
        <f t="shared" si="0"/>
        <v>567.91999999999985</v>
      </c>
      <c r="AQ34" s="64" t="str">
        <f t="shared" si="1"/>
        <v>FRASER, Vivian Cox</v>
      </c>
    </row>
    <row r="35" spans="1:43" s="48" customFormat="1" ht="15" x14ac:dyDescent="0.4">
      <c r="A35">
        <v>29</v>
      </c>
      <c r="B35" s="2" t="s">
        <v>287</v>
      </c>
      <c r="C35">
        <f>MATCH(B35,Salary!B:B,0)</f>
        <v>32</v>
      </c>
      <c r="D35" s="74" t="s">
        <v>140</v>
      </c>
      <c r="E35" s="75" t="s">
        <v>139</v>
      </c>
      <c r="F35" s="44"/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135.84</v>
      </c>
      <c r="AK35" s="69">
        <v>0</v>
      </c>
      <c r="AL35" s="69">
        <v>0</v>
      </c>
      <c r="AM35" s="69">
        <v>0</v>
      </c>
      <c r="AN35" s="69">
        <v>0</v>
      </c>
      <c r="AO35" s="79">
        <f t="shared" si="0"/>
        <v>135.84</v>
      </c>
      <c r="AQ35" s="64" t="str">
        <f t="shared" si="1"/>
        <v>FRASER, Vivian Cox- July</v>
      </c>
    </row>
    <row r="36" spans="1:43" s="48" customFormat="1" ht="15" x14ac:dyDescent="0.4">
      <c r="A36">
        <v>30</v>
      </c>
      <c r="B36" s="42"/>
      <c r="C36" t="e">
        <f>MATCH(B36,Salary!B:B,0)</f>
        <v>#N/A</v>
      </c>
      <c r="D36" s="83" t="s">
        <v>141</v>
      </c>
      <c r="E36" s="75" t="s">
        <v>142</v>
      </c>
      <c r="F36" s="44"/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79">
        <f t="shared" si="0"/>
        <v>0</v>
      </c>
      <c r="AP36" s="82"/>
      <c r="AQ36" s="64" t="str">
        <f t="shared" si="1"/>
        <v xml:space="preserve">FRAZIER, Alice </v>
      </c>
    </row>
    <row r="37" spans="1:43" s="48" customFormat="1" ht="15" x14ac:dyDescent="0.4">
      <c r="A37">
        <v>31</v>
      </c>
      <c r="B37" s="42"/>
      <c r="C37" t="e">
        <f>MATCH(B37,Salary!B:B,0)</f>
        <v>#N/A</v>
      </c>
      <c r="D37" s="74" t="s">
        <v>143</v>
      </c>
      <c r="E37" s="75" t="s">
        <v>107</v>
      </c>
      <c r="F37" s="44"/>
      <c r="G37" s="69">
        <v>0</v>
      </c>
      <c r="H37" s="69">
        <v>0</v>
      </c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79">
        <f>SUM(G37:AN37)</f>
        <v>0</v>
      </c>
      <c r="AP37" s="82"/>
      <c r="AQ37" s="64" t="str">
        <f t="shared" si="1"/>
        <v>Freeman, Jibri</v>
      </c>
    </row>
    <row r="38" spans="1:43" s="48" customFormat="1" ht="15" x14ac:dyDescent="0.4">
      <c r="A38">
        <v>32</v>
      </c>
      <c r="B38" s="42"/>
      <c r="C38" t="e">
        <f>MATCH(B38,Salary!B:B,0)</f>
        <v>#N/A</v>
      </c>
      <c r="D38" s="74" t="s">
        <v>144</v>
      </c>
      <c r="E38" s="75" t="s">
        <v>98</v>
      </c>
      <c r="F38" s="50"/>
      <c r="G38" s="69">
        <v>0</v>
      </c>
      <c r="H38" s="69">
        <v>0</v>
      </c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79">
        <f t="shared" ref="AO38:AO114" si="2">SUM(G38:AN38)</f>
        <v>0</v>
      </c>
      <c r="AQ38" s="64" t="str">
        <f t="shared" si="1"/>
        <v>GARRETT, Dorian S.</v>
      </c>
    </row>
    <row r="39" spans="1:43" s="48" customFormat="1" ht="15" x14ac:dyDescent="0.4">
      <c r="A39">
        <v>33</v>
      </c>
      <c r="B39" s="42"/>
      <c r="C39" t="e">
        <f>MATCH(B39,Salary!B:B,0)</f>
        <v>#N/A</v>
      </c>
      <c r="D39" s="74" t="s">
        <v>145</v>
      </c>
      <c r="E39" s="75" t="s">
        <v>98</v>
      </c>
      <c r="F39" s="50"/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79">
        <f t="shared" si="2"/>
        <v>0</v>
      </c>
      <c r="AQ39" s="64" t="str">
        <f t="shared" si="1"/>
        <v>GARRETT, Shakia</v>
      </c>
    </row>
    <row r="40" spans="1:43" s="48" customFormat="1" ht="15" x14ac:dyDescent="0.4">
      <c r="A40">
        <v>34</v>
      </c>
      <c r="B40" s="42"/>
      <c r="C40" t="e">
        <f>MATCH(B40,Salary!B:B,0)</f>
        <v>#N/A</v>
      </c>
      <c r="D40" s="87" t="s">
        <v>146</v>
      </c>
      <c r="E40" s="75" t="s">
        <v>147</v>
      </c>
      <c r="F40" s="50"/>
      <c r="G40" s="69">
        <v>0</v>
      </c>
      <c r="H40" s="69">
        <v>0</v>
      </c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79">
        <f t="shared" si="2"/>
        <v>0</v>
      </c>
      <c r="AQ40" s="64" t="str">
        <f t="shared" si="1"/>
        <v>GBAMOKOLLIE, Molly</v>
      </c>
    </row>
    <row r="41" spans="1:43" s="48" customFormat="1" ht="15" x14ac:dyDescent="0.4">
      <c r="A41">
        <v>35</v>
      </c>
      <c r="B41" s="42"/>
      <c r="C41" t="e">
        <f>MATCH(B41,Salary!B:B,0)</f>
        <v>#N/A</v>
      </c>
      <c r="D41" s="74" t="s">
        <v>148</v>
      </c>
      <c r="E41" s="85" t="s">
        <v>98</v>
      </c>
      <c r="F41" s="50"/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79">
        <f t="shared" si="2"/>
        <v>0</v>
      </c>
      <c r="AQ41" s="64" t="str">
        <f t="shared" si="1"/>
        <v xml:space="preserve">GREEN, Yolanda - </v>
      </c>
    </row>
    <row r="42" spans="1:43" s="48" customFormat="1" ht="15" x14ac:dyDescent="0.4">
      <c r="A42">
        <v>36</v>
      </c>
      <c r="B42" s="42"/>
      <c r="C42" t="e">
        <f>MATCH(B42,Salary!B:B,0)</f>
        <v>#N/A</v>
      </c>
      <c r="D42" s="74" t="s">
        <v>149</v>
      </c>
      <c r="E42" s="85" t="s">
        <v>136</v>
      </c>
      <c r="F42" s="50"/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79">
        <f t="shared" si="2"/>
        <v>0</v>
      </c>
      <c r="AQ42" s="64" t="str">
        <f t="shared" si="1"/>
        <v>GREEN, Yolanda - Toddlers</v>
      </c>
    </row>
    <row r="43" spans="1:43" s="48" customFormat="1" ht="15" x14ac:dyDescent="0.4">
      <c r="A43">
        <v>37</v>
      </c>
      <c r="B43" s="42"/>
      <c r="C43" t="e">
        <f>MATCH(B43,Salary!B:B,0)</f>
        <v>#N/A</v>
      </c>
      <c r="D43" s="74" t="s">
        <v>150</v>
      </c>
      <c r="E43" s="75" t="s">
        <v>98</v>
      </c>
      <c r="F43" s="50"/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79">
        <f t="shared" si="2"/>
        <v>0</v>
      </c>
      <c r="AQ43" s="64" t="str">
        <f t="shared" si="1"/>
        <v>HAMILTON, Marchetta</v>
      </c>
    </row>
    <row r="44" spans="1:43" s="48" customFormat="1" ht="15" x14ac:dyDescent="0.4">
      <c r="A44">
        <v>38</v>
      </c>
      <c r="B44" s="42"/>
      <c r="C44" t="e">
        <f>MATCH(B44,Salary!B:B,0)</f>
        <v>#N/A</v>
      </c>
      <c r="D44" s="74" t="s">
        <v>151</v>
      </c>
      <c r="E44" s="75" t="s">
        <v>98</v>
      </c>
      <c r="F44" s="50"/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79">
        <f t="shared" si="2"/>
        <v>0</v>
      </c>
      <c r="AQ44" s="64" t="str">
        <f t="shared" si="1"/>
        <v>HERBERT, Marina R.</v>
      </c>
    </row>
    <row r="45" spans="1:43" s="93" customFormat="1" ht="15" x14ac:dyDescent="0.4">
      <c r="A45">
        <v>39</v>
      </c>
      <c r="B45" s="42"/>
      <c r="C45" t="e">
        <f>MATCH(B45,Salary!B:B,0)</f>
        <v>#N/A</v>
      </c>
      <c r="D45" s="74" t="s">
        <v>152</v>
      </c>
      <c r="E45" s="88" t="s">
        <v>153</v>
      </c>
      <c r="F45" s="89"/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92">
        <f t="shared" si="2"/>
        <v>0</v>
      </c>
      <c r="AQ45" s="94" t="str">
        <f t="shared" si="1"/>
        <v>HIGGINS, Rosa M. April</v>
      </c>
    </row>
    <row r="46" spans="1:43" s="93" customFormat="1" ht="15" x14ac:dyDescent="0.4">
      <c r="A46">
        <v>40</v>
      </c>
      <c r="B46" s="42"/>
      <c r="C46" t="e">
        <f>MATCH(B46,Salary!B:B,0)</f>
        <v>#N/A</v>
      </c>
      <c r="D46" s="83" t="s">
        <v>154</v>
      </c>
      <c r="E46" s="88" t="s">
        <v>153</v>
      </c>
      <c r="F46" s="89"/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92">
        <f>SUM(G46:AN46)</f>
        <v>0</v>
      </c>
      <c r="AQ46" s="94" t="str">
        <f>D46</f>
        <v>HIGGINS, Rosa M. May 1</v>
      </c>
    </row>
    <row r="47" spans="1:43" s="93" customFormat="1" ht="15" x14ac:dyDescent="0.4">
      <c r="A47">
        <v>41</v>
      </c>
      <c r="B47" s="42"/>
      <c r="C47" t="e">
        <f>MATCH(B47,Salary!B:B,0)</f>
        <v>#N/A</v>
      </c>
      <c r="D47" s="74" t="s">
        <v>155</v>
      </c>
      <c r="E47" s="88" t="s">
        <v>156</v>
      </c>
      <c r="F47" s="89"/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92">
        <f>SUM(G47:AN47)</f>
        <v>0</v>
      </c>
      <c r="AQ47" s="94" t="str">
        <f>D47</f>
        <v>HIGGINS, Rosa M. July</v>
      </c>
    </row>
    <row r="48" spans="1:43" s="48" customFormat="1" ht="15" x14ac:dyDescent="0.4">
      <c r="A48">
        <v>42</v>
      </c>
      <c r="B48" s="42"/>
      <c r="C48" t="e">
        <f>MATCH(B48,Salary!B:B,0)</f>
        <v>#N/A</v>
      </c>
      <c r="D48" s="95" t="s">
        <v>157</v>
      </c>
      <c r="E48" s="75" t="s">
        <v>98</v>
      </c>
      <c r="F48" s="50"/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79">
        <f t="shared" si="2"/>
        <v>0</v>
      </c>
      <c r="AQ48" s="64" t="str">
        <f t="shared" si="1"/>
        <v>HILL, Katina</v>
      </c>
    </row>
    <row r="49" spans="1:43" s="48" customFormat="1" ht="15" x14ac:dyDescent="0.4">
      <c r="A49">
        <v>43</v>
      </c>
      <c r="B49" s="42"/>
      <c r="C49" t="e">
        <f>MATCH(B49,Salary!B:B,0)</f>
        <v>#N/A</v>
      </c>
      <c r="D49" s="74" t="s">
        <v>158</v>
      </c>
      <c r="E49" s="75" t="s">
        <v>98</v>
      </c>
      <c r="F49" s="50"/>
      <c r="G49" s="69">
        <v>0</v>
      </c>
      <c r="H49" s="69">
        <v>0</v>
      </c>
      <c r="I49" s="69">
        <v>0</v>
      </c>
      <c r="J49" s="69">
        <v>0</v>
      </c>
      <c r="K49" s="69">
        <v>0</v>
      </c>
      <c r="L49" s="69">
        <v>0</v>
      </c>
      <c r="M49" s="69">
        <v>0</v>
      </c>
      <c r="N49" s="69">
        <v>0</v>
      </c>
      <c r="O49" s="69">
        <v>0</v>
      </c>
      <c r="P49" s="69">
        <v>0</v>
      </c>
      <c r="Q49" s="69">
        <v>0</v>
      </c>
      <c r="R49" s="69">
        <v>0</v>
      </c>
      <c r="S49" s="69">
        <v>0</v>
      </c>
      <c r="T49" s="69">
        <v>0</v>
      </c>
      <c r="U49" s="69">
        <v>0</v>
      </c>
      <c r="V49" s="69">
        <v>0</v>
      </c>
      <c r="W49" s="69">
        <v>0</v>
      </c>
      <c r="X49" s="69">
        <v>0</v>
      </c>
      <c r="Y49" s="69">
        <v>0</v>
      </c>
      <c r="Z49" s="69">
        <v>0</v>
      </c>
      <c r="AA49" s="69">
        <v>0</v>
      </c>
      <c r="AB49" s="69">
        <v>0</v>
      </c>
      <c r="AC49" s="69">
        <v>0</v>
      </c>
      <c r="AD49" s="69">
        <v>0</v>
      </c>
      <c r="AE49" s="69">
        <v>0</v>
      </c>
      <c r="AF49" s="69">
        <v>0</v>
      </c>
      <c r="AG49" s="69">
        <v>0</v>
      </c>
      <c r="AH49" s="69">
        <v>0</v>
      </c>
      <c r="AI49" s="69">
        <v>0</v>
      </c>
      <c r="AJ49" s="69">
        <v>0</v>
      </c>
      <c r="AK49" s="69">
        <v>0</v>
      </c>
      <c r="AL49" s="69">
        <v>0</v>
      </c>
      <c r="AM49" s="69">
        <v>0</v>
      </c>
      <c r="AN49" s="69">
        <v>0</v>
      </c>
      <c r="AO49" s="79">
        <f t="shared" si="2"/>
        <v>0</v>
      </c>
      <c r="AQ49" s="64" t="str">
        <f t="shared" si="1"/>
        <v>HILL, Nyjira</v>
      </c>
    </row>
    <row r="50" spans="1:43" s="48" customFormat="1" ht="15" x14ac:dyDescent="0.4">
      <c r="A50">
        <v>44</v>
      </c>
      <c r="B50" s="42"/>
      <c r="C50" t="e">
        <f>MATCH(B50,Salary!B:B,0)</f>
        <v>#N/A</v>
      </c>
      <c r="D50" s="84" t="s">
        <v>159</v>
      </c>
      <c r="E50" s="75" t="s">
        <v>97</v>
      </c>
      <c r="F50" s="50"/>
      <c r="G50" s="69">
        <v>0</v>
      </c>
      <c r="H50" s="69">
        <v>0</v>
      </c>
      <c r="I50" s="69">
        <v>0</v>
      </c>
      <c r="J50" s="69">
        <v>0</v>
      </c>
      <c r="K50" s="69">
        <v>0</v>
      </c>
      <c r="L50" s="69">
        <v>0</v>
      </c>
      <c r="M50" s="69">
        <v>0</v>
      </c>
      <c r="N50" s="69">
        <v>0</v>
      </c>
      <c r="O50" s="69">
        <v>0</v>
      </c>
      <c r="P50" s="69">
        <v>0</v>
      </c>
      <c r="Q50" s="69">
        <v>0</v>
      </c>
      <c r="R50" s="69">
        <v>0</v>
      </c>
      <c r="S50" s="69">
        <v>0</v>
      </c>
      <c r="T50" s="69">
        <v>0</v>
      </c>
      <c r="U50" s="69">
        <v>0</v>
      </c>
      <c r="V50" s="69">
        <v>0</v>
      </c>
      <c r="W50" s="69">
        <v>0</v>
      </c>
      <c r="X50" s="69">
        <v>0</v>
      </c>
      <c r="Y50" s="69">
        <v>0</v>
      </c>
      <c r="Z50" s="69">
        <v>0</v>
      </c>
      <c r="AA50" s="69">
        <v>0</v>
      </c>
      <c r="AB50" s="69">
        <v>0</v>
      </c>
      <c r="AC50" s="69">
        <v>0</v>
      </c>
      <c r="AD50" s="69">
        <v>0</v>
      </c>
      <c r="AE50" s="69">
        <v>0</v>
      </c>
      <c r="AF50" s="69">
        <v>0</v>
      </c>
      <c r="AG50" s="69">
        <v>0</v>
      </c>
      <c r="AH50" s="69">
        <v>0</v>
      </c>
      <c r="AI50" s="69">
        <v>0</v>
      </c>
      <c r="AJ50" s="69">
        <v>0</v>
      </c>
      <c r="AK50" s="69">
        <v>0</v>
      </c>
      <c r="AL50" s="69">
        <v>0</v>
      </c>
      <c r="AM50" s="69">
        <v>0</v>
      </c>
      <c r="AN50" s="69">
        <v>0</v>
      </c>
      <c r="AO50" s="79">
        <f t="shared" si="2"/>
        <v>0</v>
      </c>
      <c r="AQ50" s="64" t="str">
        <f t="shared" si="1"/>
        <v>HILL, Wynora - Summer</v>
      </c>
    </row>
    <row r="51" spans="1:43" s="48" customFormat="1" ht="15" x14ac:dyDescent="0.4">
      <c r="A51">
        <v>45</v>
      </c>
      <c r="B51" s="42"/>
      <c r="C51" t="e">
        <f>MATCH(B51,Salary!B:B,0)</f>
        <v>#N/A</v>
      </c>
      <c r="D51" s="84" t="s">
        <v>160</v>
      </c>
      <c r="E51" s="75" t="s">
        <v>97</v>
      </c>
      <c r="F51" s="50"/>
      <c r="G51" s="69">
        <v>0</v>
      </c>
      <c r="H51" s="69">
        <v>0</v>
      </c>
      <c r="I51" s="69">
        <v>0</v>
      </c>
      <c r="J51" s="69">
        <v>0</v>
      </c>
      <c r="K51" s="69">
        <v>0</v>
      </c>
      <c r="L51" s="69">
        <v>0</v>
      </c>
      <c r="M51" s="69">
        <v>0</v>
      </c>
      <c r="N51" s="69">
        <v>0</v>
      </c>
      <c r="O51" s="69">
        <v>0</v>
      </c>
      <c r="P51" s="69">
        <v>0</v>
      </c>
      <c r="Q51" s="69">
        <v>0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0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0</v>
      </c>
      <c r="AK51" s="69">
        <v>0</v>
      </c>
      <c r="AL51" s="69">
        <v>0</v>
      </c>
      <c r="AM51" s="69">
        <v>0</v>
      </c>
      <c r="AN51" s="69">
        <v>0</v>
      </c>
      <c r="AO51" s="79">
        <f t="shared" si="2"/>
        <v>0</v>
      </c>
      <c r="AQ51" s="64" t="str">
        <f t="shared" si="1"/>
        <v>HILL, Wynora</v>
      </c>
    </row>
    <row r="52" spans="1:43" s="48" customFormat="1" ht="15" x14ac:dyDescent="0.4">
      <c r="A52">
        <v>46</v>
      </c>
      <c r="B52" s="42"/>
      <c r="C52" t="e">
        <f>MATCH(B52,Salary!B:B,0)</f>
        <v>#N/A</v>
      </c>
      <c r="D52" s="84" t="s">
        <v>161</v>
      </c>
      <c r="E52" s="75" t="s">
        <v>97</v>
      </c>
      <c r="F52" s="50"/>
      <c r="G52" s="69">
        <v>0</v>
      </c>
      <c r="H52" s="69">
        <v>0</v>
      </c>
      <c r="I52" s="69">
        <v>0</v>
      </c>
      <c r="J52" s="69">
        <v>0</v>
      </c>
      <c r="K52" s="69">
        <v>0</v>
      </c>
      <c r="L52" s="69">
        <v>0</v>
      </c>
      <c r="M52" s="69">
        <v>0</v>
      </c>
      <c r="N52" s="69">
        <v>0</v>
      </c>
      <c r="O52" s="69">
        <v>0</v>
      </c>
      <c r="P52" s="69">
        <v>0</v>
      </c>
      <c r="Q52" s="69">
        <v>0</v>
      </c>
      <c r="R52" s="69">
        <v>0</v>
      </c>
      <c r="S52" s="69">
        <v>0</v>
      </c>
      <c r="T52" s="69">
        <v>0</v>
      </c>
      <c r="U52" s="69">
        <v>0</v>
      </c>
      <c r="V52" s="69">
        <v>0</v>
      </c>
      <c r="W52" s="69">
        <v>0</v>
      </c>
      <c r="X52" s="69">
        <v>0</v>
      </c>
      <c r="Y52" s="69">
        <v>0</v>
      </c>
      <c r="Z52" s="69">
        <v>0</v>
      </c>
      <c r="AA52" s="69">
        <v>0</v>
      </c>
      <c r="AB52" s="69">
        <v>0</v>
      </c>
      <c r="AC52" s="69">
        <v>0</v>
      </c>
      <c r="AD52" s="69">
        <v>0</v>
      </c>
      <c r="AE52" s="69">
        <v>0</v>
      </c>
      <c r="AF52" s="69">
        <v>0</v>
      </c>
      <c r="AG52" s="69">
        <v>0</v>
      </c>
      <c r="AH52" s="69">
        <v>0</v>
      </c>
      <c r="AI52" s="69">
        <v>0</v>
      </c>
      <c r="AJ52" s="69">
        <v>0</v>
      </c>
      <c r="AK52" s="69">
        <v>0</v>
      </c>
      <c r="AL52" s="69">
        <v>0</v>
      </c>
      <c r="AM52" s="69">
        <v>0</v>
      </c>
      <c r="AN52" s="69">
        <v>0</v>
      </c>
      <c r="AO52" s="79">
        <f t="shared" si="2"/>
        <v>0</v>
      </c>
      <c r="AQ52" s="64" t="str">
        <f t="shared" si="1"/>
        <v>HOLLINS, QUINTELLA</v>
      </c>
    </row>
    <row r="53" spans="1:43" s="48" customFormat="1" ht="15" x14ac:dyDescent="0.4">
      <c r="A53">
        <v>47</v>
      </c>
      <c r="B53" s="42"/>
      <c r="C53" t="e">
        <f>MATCH(B53,Salary!B:B,0)</f>
        <v>#N/A</v>
      </c>
      <c r="D53" s="74" t="s">
        <v>162</v>
      </c>
      <c r="E53" s="75" t="s">
        <v>163</v>
      </c>
      <c r="F53" s="50"/>
      <c r="G53" s="69">
        <v>0</v>
      </c>
      <c r="H53" s="69">
        <v>0</v>
      </c>
      <c r="I53" s="69">
        <v>0</v>
      </c>
      <c r="J53" s="69">
        <v>0</v>
      </c>
      <c r="K53" s="69">
        <v>0</v>
      </c>
      <c r="L53" s="69">
        <v>0</v>
      </c>
      <c r="M53" s="69">
        <v>0</v>
      </c>
      <c r="N53" s="69">
        <v>0</v>
      </c>
      <c r="O53" s="69">
        <v>0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0</v>
      </c>
      <c r="AK53" s="69">
        <v>0</v>
      </c>
      <c r="AL53" s="69">
        <v>0</v>
      </c>
      <c r="AM53" s="69">
        <v>0</v>
      </c>
      <c r="AN53" s="69">
        <v>0</v>
      </c>
      <c r="AO53" s="79">
        <f t="shared" si="2"/>
        <v>0</v>
      </c>
      <c r="AQ53" s="64" t="str">
        <f t="shared" si="1"/>
        <v xml:space="preserve">HOWARD, Cheryl </v>
      </c>
    </row>
    <row r="54" spans="1:43" s="48" customFormat="1" ht="15" x14ac:dyDescent="0.4">
      <c r="A54">
        <v>48</v>
      </c>
      <c r="B54" s="42"/>
      <c r="C54" t="e">
        <f>MATCH(B54,Salary!B:B,0)</f>
        <v>#N/A</v>
      </c>
      <c r="D54" s="74" t="s">
        <v>164</v>
      </c>
      <c r="E54" s="75" t="s">
        <v>163</v>
      </c>
      <c r="F54" s="50"/>
      <c r="G54" s="69">
        <v>0</v>
      </c>
      <c r="H54" s="69">
        <v>0</v>
      </c>
      <c r="I54" s="69">
        <v>0</v>
      </c>
      <c r="J54" s="69">
        <v>0</v>
      </c>
      <c r="K54" s="69">
        <v>0</v>
      </c>
      <c r="L54" s="69">
        <v>0</v>
      </c>
      <c r="M54" s="69">
        <v>0</v>
      </c>
      <c r="N54" s="69">
        <v>0</v>
      </c>
      <c r="O54" s="69">
        <v>0</v>
      </c>
      <c r="P54" s="69">
        <v>0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0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0</v>
      </c>
      <c r="AH54" s="69">
        <v>0</v>
      </c>
      <c r="AI54" s="69">
        <v>0</v>
      </c>
      <c r="AJ54" s="69">
        <v>0</v>
      </c>
      <c r="AK54" s="69">
        <v>0</v>
      </c>
      <c r="AL54" s="69">
        <v>0</v>
      </c>
      <c r="AM54" s="69">
        <v>0</v>
      </c>
      <c r="AN54" s="69">
        <v>0</v>
      </c>
      <c r="AO54" s="79">
        <f>SUM(G54:AN54)</f>
        <v>0</v>
      </c>
      <c r="AQ54" s="64" t="str">
        <f>D54</f>
        <v>HOWARD, Cheryl - July</v>
      </c>
    </row>
    <row r="55" spans="1:43" s="48" customFormat="1" ht="15" x14ac:dyDescent="0.4">
      <c r="A55">
        <v>49</v>
      </c>
      <c r="B55" s="42"/>
      <c r="C55" t="e">
        <f>MATCH(B55,Salary!B:B,0)</f>
        <v>#N/A</v>
      </c>
      <c r="D55" s="74" t="s">
        <v>165</v>
      </c>
      <c r="E55" s="75" t="s">
        <v>166</v>
      </c>
      <c r="F55" s="50"/>
      <c r="G55" s="69">
        <v>0</v>
      </c>
      <c r="H55" s="69">
        <v>0</v>
      </c>
      <c r="I55" s="69">
        <v>0</v>
      </c>
      <c r="J55" s="69">
        <v>0</v>
      </c>
      <c r="K55" s="69">
        <v>0</v>
      </c>
      <c r="L55" s="69">
        <v>0</v>
      </c>
      <c r="M55" s="69">
        <v>0</v>
      </c>
      <c r="N55" s="69">
        <v>0</v>
      </c>
      <c r="O55" s="69">
        <v>0</v>
      </c>
      <c r="P55" s="69">
        <v>0</v>
      </c>
      <c r="Q55" s="69">
        <v>0</v>
      </c>
      <c r="R55" s="69">
        <v>0</v>
      </c>
      <c r="S55" s="69">
        <v>0</v>
      </c>
      <c r="T55" s="69">
        <v>0</v>
      </c>
      <c r="U55" s="69">
        <v>0</v>
      </c>
      <c r="V55" s="69">
        <v>0</v>
      </c>
      <c r="W55" s="69">
        <v>0</v>
      </c>
      <c r="X55" s="69">
        <v>0</v>
      </c>
      <c r="Y55" s="69">
        <v>0</v>
      </c>
      <c r="Z55" s="69">
        <v>0</v>
      </c>
      <c r="AA55" s="69">
        <v>0</v>
      </c>
      <c r="AB55" s="69">
        <v>0</v>
      </c>
      <c r="AC55" s="69">
        <v>0</v>
      </c>
      <c r="AD55" s="69">
        <v>0</v>
      </c>
      <c r="AE55" s="69">
        <v>0</v>
      </c>
      <c r="AF55" s="69">
        <v>0</v>
      </c>
      <c r="AG55" s="69">
        <v>0</v>
      </c>
      <c r="AH55" s="69">
        <v>0</v>
      </c>
      <c r="AI55" s="69">
        <v>0</v>
      </c>
      <c r="AJ55" s="69">
        <v>0</v>
      </c>
      <c r="AK55" s="69">
        <v>0</v>
      </c>
      <c r="AL55" s="69">
        <v>0</v>
      </c>
      <c r="AM55" s="69">
        <v>0</v>
      </c>
      <c r="AN55" s="69">
        <v>0</v>
      </c>
      <c r="AO55" s="79">
        <f t="shared" si="2"/>
        <v>0</v>
      </c>
      <c r="AQ55" s="64" t="str">
        <f t="shared" si="1"/>
        <v>HOWARD, Walter</v>
      </c>
    </row>
    <row r="56" spans="1:43" s="93" customFormat="1" ht="15" x14ac:dyDescent="0.4">
      <c r="A56">
        <v>50</v>
      </c>
      <c r="B56" s="42"/>
      <c r="C56" t="e">
        <f>MATCH(B56,Salary!B:B,0)</f>
        <v>#N/A</v>
      </c>
      <c r="D56" s="83" t="s">
        <v>167</v>
      </c>
      <c r="E56" s="88" t="s">
        <v>168</v>
      </c>
      <c r="F56" s="96"/>
      <c r="G56" s="69">
        <v>0</v>
      </c>
      <c r="H56" s="69">
        <v>0</v>
      </c>
      <c r="I56" s="69">
        <v>0</v>
      </c>
      <c r="J56" s="69">
        <v>0</v>
      </c>
      <c r="K56" s="69">
        <v>0</v>
      </c>
      <c r="L56" s="69">
        <v>0</v>
      </c>
      <c r="M56" s="69">
        <v>0</v>
      </c>
      <c r="N56" s="69">
        <v>0</v>
      </c>
      <c r="O56" s="69">
        <v>0</v>
      </c>
      <c r="P56" s="69">
        <v>0</v>
      </c>
      <c r="Q56" s="69">
        <v>0</v>
      </c>
      <c r="R56" s="69">
        <v>0</v>
      </c>
      <c r="S56" s="69">
        <v>0</v>
      </c>
      <c r="T56" s="69">
        <v>0</v>
      </c>
      <c r="U56" s="69">
        <v>0</v>
      </c>
      <c r="V56" s="69">
        <v>0</v>
      </c>
      <c r="W56" s="69">
        <v>0</v>
      </c>
      <c r="X56" s="69">
        <v>0</v>
      </c>
      <c r="Y56" s="69">
        <v>0</v>
      </c>
      <c r="Z56" s="69">
        <v>0</v>
      </c>
      <c r="AA56" s="69">
        <v>0</v>
      </c>
      <c r="AB56" s="69">
        <v>0</v>
      </c>
      <c r="AC56" s="69">
        <v>0</v>
      </c>
      <c r="AD56" s="69">
        <v>0</v>
      </c>
      <c r="AE56" s="69">
        <v>0</v>
      </c>
      <c r="AF56" s="69">
        <v>0</v>
      </c>
      <c r="AG56" s="69">
        <v>0</v>
      </c>
      <c r="AH56" s="69">
        <v>0</v>
      </c>
      <c r="AI56" s="69">
        <v>0</v>
      </c>
      <c r="AJ56" s="69">
        <v>0</v>
      </c>
      <c r="AK56" s="69">
        <v>0</v>
      </c>
      <c r="AL56" s="69">
        <v>0</v>
      </c>
      <c r="AM56" s="69">
        <v>0</v>
      </c>
      <c r="AN56" s="69">
        <v>0</v>
      </c>
      <c r="AO56" s="92">
        <f t="shared" si="2"/>
        <v>0</v>
      </c>
      <c r="AQ56" s="94" t="str">
        <f t="shared" si="1"/>
        <v>JOHNSON, Kamilla R. April</v>
      </c>
    </row>
    <row r="57" spans="1:43" s="93" customFormat="1" ht="15" x14ac:dyDescent="0.4">
      <c r="A57">
        <v>51</v>
      </c>
      <c r="B57" s="42"/>
      <c r="C57" t="e">
        <f>MATCH(B57,Salary!B:B,0)</f>
        <v>#N/A</v>
      </c>
      <c r="D57" s="74" t="s">
        <v>169</v>
      </c>
      <c r="E57" s="88" t="s">
        <v>168</v>
      </c>
      <c r="F57" s="96"/>
      <c r="G57" s="69">
        <v>0</v>
      </c>
      <c r="H57" s="69">
        <v>0</v>
      </c>
      <c r="I57" s="69">
        <v>0</v>
      </c>
      <c r="J57" s="69">
        <v>0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0</v>
      </c>
      <c r="AK57" s="69">
        <v>0</v>
      </c>
      <c r="AL57" s="69">
        <v>0</v>
      </c>
      <c r="AM57" s="69">
        <v>0</v>
      </c>
      <c r="AN57" s="69">
        <v>0</v>
      </c>
      <c r="AO57" s="92">
        <f t="shared" si="2"/>
        <v>0</v>
      </c>
      <c r="AQ57" s="94" t="str">
        <f t="shared" si="1"/>
        <v>JOHNSON, Kamilla R. May</v>
      </c>
    </row>
    <row r="58" spans="1:43" s="93" customFormat="1" ht="15" x14ac:dyDescent="0.4">
      <c r="A58">
        <v>52</v>
      </c>
      <c r="B58" s="42"/>
      <c r="C58" t="e">
        <f>MATCH(B58,Salary!B:B,0)</f>
        <v>#N/A</v>
      </c>
      <c r="D58" s="74" t="s">
        <v>170</v>
      </c>
      <c r="E58" s="88" t="s">
        <v>168</v>
      </c>
      <c r="F58" s="96"/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69">
        <v>0</v>
      </c>
      <c r="M58" s="69">
        <v>0</v>
      </c>
      <c r="N58" s="69">
        <v>0</v>
      </c>
      <c r="O58" s="69">
        <v>0</v>
      </c>
      <c r="P58" s="69">
        <v>0</v>
      </c>
      <c r="Q58" s="69">
        <v>0</v>
      </c>
      <c r="R58" s="69">
        <v>0</v>
      </c>
      <c r="S58" s="69">
        <v>0</v>
      </c>
      <c r="T58" s="69">
        <v>0</v>
      </c>
      <c r="U58" s="69">
        <v>0</v>
      </c>
      <c r="V58" s="69">
        <v>0</v>
      </c>
      <c r="W58" s="69">
        <v>0</v>
      </c>
      <c r="X58" s="69">
        <v>0</v>
      </c>
      <c r="Y58" s="69">
        <v>0</v>
      </c>
      <c r="Z58" s="69">
        <v>0</v>
      </c>
      <c r="AA58" s="69">
        <v>0</v>
      </c>
      <c r="AB58" s="69">
        <v>0</v>
      </c>
      <c r="AC58" s="69">
        <v>0</v>
      </c>
      <c r="AD58" s="69">
        <v>0</v>
      </c>
      <c r="AE58" s="69">
        <v>0</v>
      </c>
      <c r="AF58" s="69">
        <v>0</v>
      </c>
      <c r="AG58" s="69">
        <v>0</v>
      </c>
      <c r="AH58" s="69">
        <v>0</v>
      </c>
      <c r="AI58" s="69">
        <v>0</v>
      </c>
      <c r="AJ58" s="69">
        <v>0</v>
      </c>
      <c r="AK58" s="69">
        <v>0</v>
      </c>
      <c r="AL58" s="69">
        <v>0</v>
      </c>
      <c r="AM58" s="69">
        <v>0</v>
      </c>
      <c r="AN58" s="69">
        <v>0</v>
      </c>
      <c r="AO58" s="92">
        <f t="shared" si="2"/>
        <v>0</v>
      </c>
      <c r="AQ58" s="94" t="str">
        <f t="shared" si="1"/>
        <v>JOHNSON, Kamilla R. June</v>
      </c>
    </row>
    <row r="59" spans="1:43" s="48" customFormat="1" ht="15" x14ac:dyDescent="0.4">
      <c r="A59">
        <v>53</v>
      </c>
      <c r="B59" s="42"/>
      <c r="C59" t="e">
        <f>MATCH(B59,Salary!B:B,0)</f>
        <v>#N/A</v>
      </c>
      <c r="D59" s="74" t="s">
        <v>171</v>
      </c>
      <c r="E59" s="75" t="s">
        <v>97</v>
      </c>
      <c r="F59" s="50"/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79">
        <f t="shared" si="2"/>
        <v>0</v>
      </c>
      <c r="AQ59" s="64" t="str">
        <f t="shared" si="1"/>
        <v>LANE-MEGA, Lataeya - Replacemt</v>
      </c>
    </row>
    <row r="60" spans="1:43" s="48" customFormat="1" ht="15" x14ac:dyDescent="0.4">
      <c r="A60">
        <v>54</v>
      </c>
      <c r="B60" s="42"/>
      <c r="C60" t="e">
        <f>MATCH(B60,Salary!B:B,0)</f>
        <v>#N/A</v>
      </c>
      <c r="D60" s="74" t="s">
        <v>172</v>
      </c>
      <c r="E60" s="75" t="s">
        <v>98</v>
      </c>
      <c r="F60" s="50"/>
      <c r="G60" s="69">
        <v>0</v>
      </c>
      <c r="H60" s="69">
        <v>0</v>
      </c>
      <c r="I60" s="69">
        <v>0</v>
      </c>
      <c r="J60" s="69">
        <v>0</v>
      </c>
      <c r="K60" s="69">
        <v>0</v>
      </c>
      <c r="L60" s="69">
        <v>0</v>
      </c>
      <c r="M60" s="69">
        <v>0</v>
      </c>
      <c r="N60" s="69">
        <v>0</v>
      </c>
      <c r="O60" s="69">
        <v>0</v>
      </c>
      <c r="P60" s="69">
        <v>0</v>
      </c>
      <c r="Q60" s="69">
        <v>0</v>
      </c>
      <c r="R60" s="69">
        <v>0</v>
      </c>
      <c r="S60" s="69">
        <v>0</v>
      </c>
      <c r="T60" s="69">
        <v>0</v>
      </c>
      <c r="U60" s="69">
        <v>0</v>
      </c>
      <c r="V60" s="69">
        <v>0</v>
      </c>
      <c r="W60" s="69">
        <v>0</v>
      </c>
      <c r="X60" s="69">
        <v>0</v>
      </c>
      <c r="Y60" s="69">
        <v>0</v>
      </c>
      <c r="Z60" s="69">
        <v>0</v>
      </c>
      <c r="AA60" s="69">
        <v>0</v>
      </c>
      <c r="AB60" s="69">
        <v>0</v>
      </c>
      <c r="AC60" s="69">
        <v>0</v>
      </c>
      <c r="AD60" s="69">
        <v>0</v>
      </c>
      <c r="AE60" s="69">
        <v>0</v>
      </c>
      <c r="AF60" s="69">
        <v>0</v>
      </c>
      <c r="AG60" s="69">
        <v>0</v>
      </c>
      <c r="AH60" s="69">
        <v>0</v>
      </c>
      <c r="AI60" s="69">
        <v>0</v>
      </c>
      <c r="AJ60" s="69">
        <v>0</v>
      </c>
      <c r="AK60" s="69">
        <v>0</v>
      </c>
      <c r="AL60" s="69">
        <v>0</v>
      </c>
      <c r="AM60" s="69">
        <v>0</v>
      </c>
      <c r="AN60" s="69">
        <v>0</v>
      </c>
      <c r="AO60" s="79">
        <f t="shared" si="2"/>
        <v>0</v>
      </c>
      <c r="AQ60" s="64" t="str">
        <f t="shared" si="1"/>
        <v>LEWIS, Felicia M.</v>
      </c>
    </row>
    <row r="61" spans="1:43" s="48" customFormat="1" ht="15" x14ac:dyDescent="0.4">
      <c r="A61">
        <v>55</v>
      </c>
      <c r="B61" s="42"/>
      <c r="C61" t="e">
        <f>MATCH(B61,Salary!B:B,0)</f>
        <v>#N/A</v>
      </c>
      <c r="D61" s="74" t="s">
        <v>173</v>
      </c>
      <c r="E61" s="75" t="s">
        <v>98</v>
      </c>
      <c r="F61" s="50"/>
      <c r="G61" s="69">
        <v>0</v>
      </c>
      <c r="H61" s="69">
        <v>0</v>
      </c>
      <c r="I61" s="69">
        <v>0</v>
      </c>
      <c r="J61" s="69">
        <v>0</v>
      </c>
      <c r="K61" s="69">
        <v>0</v>
      </c>
      <c r="L61" s="69">
        <v>0</v>
      </c>
      <c r="M61" s="69">
        <v>0</v>
      </c>
      <c r="N61" s="69">
        <v>0</v>
      </c>
      <c r="O61" s="69">
        <v>0</v>
      </c>
      <c r="P61" s="69">
        <v>0</v>
      </c>
      <c r="Q61" s="69">
        <v>0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0</v>
      </c>
      <c r="AD61" s="69">
        <v>0</v>
      </c>
      <c r="AE61" s="69">
        <v>0</v>
      </c>
      <c r="AF61" s="69">
        <v>0</v>
      </c>
      <c r="AG61" s="69">
        <v>0</v>
      </c>
      <c r="AH61" s="69">
        <v>0</v>
      </c>
      <c r="AI61" s="69">
        <v>0</v>
      </c>
      <c r="AJ61" s="69">
        <v>0</v>
      </c>
      <c r="AK61" s="69">
        <v>0</v>
      </c>
      <c r="AL61" s="69">
        <v>0</v>
      </c>
      <c r="AM61" s="69">
        <v>0</v>
      </c>
      <c r="AN61" s="69">
        <v>0</v>
      </c>
      <c r="AO61" s="79">
        <f t="shared" si="2"/>
        <v>0</v>
      </c>
      <c r="AQ61" s="64" t="str">
        <f t="shared" si="1"/>
        <v>LEWIS, Jaleeah C.</v>
      </c>
    </row>
    <row r="62" spans="1:43" s="48" customFormat="1" ht="15" x14ac:dyDescent="0.4">
      <c r="A62">
        <v>56</v>
      </c>
      <c r="B62" s="42"/>
      <c r="C62" t="e">
        <f>MATCH(B62,Salary!B:B,0)</f>
        <v>#N/A</v>
      </c>
      <c r="D62" s="99" t="s">
        <v>174</v>
      </c>
      <c r="E62" s="75" t="s">
        <v>98</v>
      </c>
      <c r="F62" s="50"/>
      <c r="G62" s="69">
        <v>0</v>
      </c>
      <c r="H62" s="69">
        <v>0</v>
      </c>
      <c r="I62" s="69">
        <v>0</v>
      </c>
      <c r="J62" s="69">
        <v>0</v>
      </c>
      <c r="K62" s="69">
        <v>0</v>
      </c>
      <c r="L62" s="69">
        <v>0</v>
      </c>
      <c r="M62" s="69">
        <v>0</v>
      </c>
      <c r="N62" s="69">
        <v>0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0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</v>
      </c>
      <c r="AL62" s="69">
        <v>0</v>
      </c>
      <c r="AM62" s="69">
        <v>0</v>
      </c>
      <c r="AN62" s="69">
        <v>0</v>
      </c>
      <c r="AO62" s="79">
        <f t="shared" si="2"/>
        <v>0</v>
      </c>
      <c r="AQ62" s="64" t="str">
        <f t="shared" si="1"/>
        <v>LEWIS, Tavonna</v>
      </c>
    </row>
    <row r="63" spans="1:43" s="48" customFormat="1" ht="15" x14ac:dyDescent="0.4">
      <c r="A63">
        <v>57</v>
      </c>
      <c r="B63" s="42"/>
      <c r="C63" t="e">
        <f>MATCH(B63,Salary!B:B,0)</f>
        <v>#N/A</v>
      </c>
      <c r="D63" s="99" t="s">
        <v>175</v>
      </c>
      <c r="E63" s="75" t="s">
        <v>97</v>
      </c>
      <c r="F63" s="50"/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79">
        <f t="shared" si="2"/>
        <v>0</v>
      </c>
      <c r="AQ63" s="64" t="str">
        <f t="shared" si="1"/>
        <v>LOFTIN, NIQUITA</v>
      </c>
    </row>
    <row r="64" spans="1:43" s="48" customFormat="1" ht="15" x14ac:dyDescent="0.4">
      <c r="A64">
        <v>58</v>
      </c>
      <c r="B64" s="42"/>
      <c r="C64" t="e">
        <f>MATCH(B64,Salary!B:B,0)</f>
        <v>#N/A</v>
      </c>
      <c r="D64" s="74" t="s">
        <v>176</v>
      </c>
      <c r="E64" s="75" t="s">
        <v>107</v>
      </c>
      <c r="F64" s="50"/>
      <c r="G64" s="69">
        <v>0</v>
      </c>
      <c r="H64" s="69">
        <v>0</v>
      </c>
      <c r="I64" s="69">
        <v>0</v>
      </c>
      <c r="J64" s="69">
        <v>0</v>
      </c>
      <c r="K64" s="69">
        <v>0</v>
      </c>
      <c r="L64" s="69">
        <v>0</v>
      </c>
      <c r="M64" s="69">
        <v>0</v>
      </c>
      <c r="N64" s="69">
        <v>0</v>
      </c>
      <c r="O64" s="69">
        <v>0</v>
      </c>
      <c r="P64" s="69">
        <v>0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</v>
      </c>
      <c r="AG64" s="69">
        <v>0</v>
      </c>
      <c r="AH64" s="69">
        <v>0</v>
      </c>
      <c r="AI64" s="69">
        <v>0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79">
        <f t="shared" si="2"/>
        <v>0</v>
      </c>
      <c r="AQ64" s="64" t="str">
        <f t="shared" si="1"/>
        <v>MAJETTE, Juanita L.</v>
      </c>
    </row>
    <row r="65" spans="1:43" s="48" customFormat="1" ht="15" x14ac:dyDescent="0.4">
      <c r="A65">
        <v>59</v>
      </c>
      <c r="B65" s="42"/>
      <c r="C65" t="e">
        <f>MATCH(B65,Salary!B:B,0)</f>
        <v>#N/A</v>
      </c>
      <c r="D65" s="74" t="s">
        <v>177</v>
      </c>
      <c r="E65" s="75" t="s">
        <v>98</v>
      </c>
      <c r="F65" s="50"/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79">
        <f t="shared" si="2"/>
        <v>0</v>
      </c>
      <c r="AQ65" s="64" t="str">
        <f t="shared" si="1"/>
        <v>MARROW, Mary Elizabeth</v>
      </c>
    </row>
    <row r="66" spans="1:43" s="48" customFormat="1" ht="15" x14ac:dyDescent="0.4">
      <c r="A66">
        <v>60</v>
      </c>
      <c r="B66" s="42"/>
      <c r="C66" t="e">
        <f>MATCH(B66,Salary!B:B,0)</f>
        <v>#N/A</v>
      </c>
      <c r="D66" s="83" t="s">
        <v>178</v>
      </c>
      <c r="E66" s="105" t="s">
        <v>112</v>
      </c>
      <c r="F66" s="50"/>
      <c r="G66" s="69">
        <v>0</v>
      </c>
      <c r="H66" s="69">
        <v>0</v>
      </c>
      <c r="I66" s="69">
        <v>0</v>
      </c>
      <c r="J66" s="69">
        <v>0</v>
      </c>
      <c r="K66" s="69">
        <v>0</v>
      </c>
      <c r="L66" s="69">
        <v>0</v>
      </c>
      <c r="M66" s="69">
        <v>0</v>
      </c>
      <c r="N66" s="69">
        <v>0</v>
      </c>
      <c r="O66" s="69">
        <v>0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0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79">
        <f t="shared" si="2"/>
        <v>0</v>
      </c>
      <c r="AQ66" s="64" t="str">
        <f t="shared" si="1"/>
        <v>MARTINEZ, Joanna</v>
      </c>
    </row>
    <row r="67" spans="1:43" s="48" customFormat="1" ht="15" x14ac:dyDescent="0.4">
      <c r="A67">
        <v>61</v>
      </c>
      <c r="B67" s="42"/>
      <c r="C67" t="e">
        <f>MATCH(B67,Salary!B:B,0)</f>
        <v>#N/A</v>
      </c>
      <c r="D67" s="74" t="s">
        <v>179</v>
      </c>
      <c r="E67" s="105" t="s">
        <v>180</v>
      </c>
      <c r="F67" s="50"/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0</v>
      </c>
      <c r="AD67" s="69">
        <v>0</v>
      </c>
      <c r="AE67" s="69">
        <v>0</v>
      </c>
      <c r="AF67" s="69">
        <v>0</v>
      </c>
      <c r="AG67" s="69">
        <v>0</v>
      </c>
      <c r="AH67" s="69">
        <v>0</v>
      </c>
      <c r="AI67" s="69">
        <v>0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79">
        <f>SUM(G67:AN67)</f>
        <v>0</v>
      </c>
      <c r="AQ67" s="64" t="str">
        <f>D67</f>
        <v>MARTINEZ, Joanna - August</v>
      </c>
    </row>
    <row r="68" spans="1:43" s="48" customFormat="1" ht="15" x14ac:dyDescent="0.4">
      <c r="A68">
        <v>62</v>
      </c>
      <c r="B68" s="42"/>
      <c r="C68" t="e">
        <f>MATCH(B68,Salary!B:B,0)</f>
        <v>#N/A</v>
      </c>
      <c r="D68" s="74" t="s">
        <v>181</v>
      </c>
      <c r="E68" s="75" t="s">
        <v>97</v>
      </c>
      <c r="F68" s="50"/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0</v>
      </c>
      <c r="T68" s="69">
        <v>0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0</v>
      </c>
      <c r="AN68" s="69">
        <v>0</v>
      </c>
      <c r="AO68" s="79">
        <f t="shared" si="2"/>
        <v>0</v>
      </c>
      <c r="AQ68" s="64" t="str">
        <f t="shared" si="1"/>
        <v>MCMILLIAN, Daphne L.</v>
      </c>
    </row>
    <row r="69" spans="1:43" s="48" customFormat="1" ht="15" x14ac:dyDescent="0.4">
      <c r="A69">
        <v>63</v>
      </c>
      <c r="B69" s="42"/>
      <c r="C69" t="e">
        <f>MATCH(B69,Salary!B:B,0)</f>
        <v>#N/A</v>
      </c>
      <c r="D69" s="74" t="s">
        <v>182</v>
      </c>
      <c r="E69" s="75" t="s">
        <v>97</v>
      </c>
      <c r="F69" s="50"/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79">
        <f t="shared" si="2"/>
        <v>0</v>
      </c>
      <c r="AQ69" s="64" t="str">
        <f t="shared" si="1"/>
        <v>MCMILLIAN, Daphne L. - Summer</v>
      </c>
    </row>
    <row r="70" spans="1:43" s="48" customFormat="1" ht="15" x14ac:dyDescent="0.4">
      <c r="A70">
        <v>64</v>
      </c>
      <c r="B70" s="42"/>
      <c r="C70" t="e">
        <f>MATCH(B70,Salary!B:B,0)</f>
        <v>#N/A</v>
      </c>
      <c r="D70" s="74" t="s">
        <v>183</v>
      </c>
      <c r="E70" s="75" t="s">
        <v>98</v>
      </c>
      <c r="F70" s="50"/>
      <c r="G70" s="69">
        <v>0</v>
      </c>
      <c r="H70" s="69">
        <v>0</v>
      </c>
      <c r="I70" s="69">
        <v>0</v>
      </c>
      <c r="J70" s="69">
        <v>0</v>
      </c>
      <c r="K70" s="69">
        <v>0</v>
      </c>
      <c r="L70" s="69">
        <v>0</v>
      </c>
      <c r="M70" s="69">
        <v>0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0</v>
      </c>
      <c r="AN70" s="69">
        <v>0</v>
      </c>
      <c r="AO70" s="79">
        <f t="shared" si="2"/>
        <v>0</v>
      </c>
      <c r="AQ70" s="64" t="str">
        <f t="shared" si="1"/>
        <v>MEGGETT, Bonita L.</v>
      </c>
    </row>
    <row r="71" spans="1:43" s="48" customFormat="1" ht="15" x14ac:dyDescent="0.4">
      <c r="A71">
        <v>65</v>
      </c>
      <c r="B71" s="42"/>
      <c r="C71" t="e">
        <f>MATCH(B71,Salary!B:B,0)</f>
        <v>#N/A</v>
      </c>
      <c r="D71" s="84" t="s">
        <v>184</v>
      </c>
      <c r="E71" s="75" t="s">
        <v>112</v>
      </c>
      <c r="F71" s="50"/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79">
        <f t="shared" si="2"/>
        <v>0</v>
      </c>
      <c r="AQ71" s="64" t="str">
        <f t="shared" ref="AQ71:AQ118" si="3">D71</f>
        <v>MORRIS, GWEN</v>
      </c>
    </row>
    <row r="72" spans="1:43" s="48" customFormat="1" ht="15" x14ac:dyDescent="0.4">
      <c r="A72">
        <v>66</v>
      </c>
      <c r="B72" s="42"/>
      <c r="C72" t="e">
        <f>MATCH(B72,Salary!B:B,0)</f>
        <v>#N/A</v>
      </c>
      <c r="D72" s="74" t="s">
        <v>185</v>
      </c>
      <c r="E72" s="75" t="s">
        <v>97</v>
      </c>
      <c r="F72" s="50"/>
      <c r="G72" s="69">
        <v>0</v>
      </c>
      <c r="H72" s="69">
        <v>0</v>
      </c>
      <c r="I72" s="69">
        <v>0</v>
      </c>
      <c r="J72" s="69">
        <v>0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0</v>
      </c>
      <c r="R72" s="69">
        <v>0</v>
      </c>
      <c r="S72" s="69">
        <v>0</v>
      </c>
      <c r="T72" s="69">
        <v>0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79">
        <f>SUM(G72:AN72)</f>
        <v>0</v>
      </c>
      <c r="AQ72" s="64" t="str">
        <f t="shared" si="3"/>
        <v>RAMBARAN, Sharaini J.</v>
      </c>
    </row>
    <row r="73" spans="1:43" s="48" customFormat="1" ht="15" x14ac:dyDescent="0.4">
      <c r="A73">
        <v>67</v>
      </c>
      <c r="B73" s="42"/>
      <c r="C73" t="e">
        <f>MATCH(B73,Salary!B:B,0)</f>
        <v>#N/A</v>
      </c>
      <c r="D73" s="74" t="s">
        <v>186</v>
      </c>
      <c r="E73" s="75" t="s">
        <v>97</v>
      </c>
      <c r="F73" s="50"/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79">
        <f>SUM(G73:AN73)</f>
        <v>0</v>
      </c>
      <c r="AQ73" s="64" t="str">
        <f t="shared" si="3"/>
        <v>RAMBARAN, Sharaini J. - Summer</v>
      </c>
    </row>
    <row r="74" spans="1:43" s="48" customFormat="1" ht="15" x14ac:dyDescent="0.4">
      <c r="A74">
        <v>68</v>
      </c>
      <c r="B74" s="42"/>
      <c r="C74" t="e">
        <f>MATCH(B74,Salary!B:B,0)</f>
        <v>#N/A</v>
      </c>
      <c r="D74" s="74" t="s">
        <v>187</v>
      </c>
      <c r="E74" s="75" t="s">
        <v>107</v>
      </c>
      <c r="F74" s="50"/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79">
        <f>SUM(G74:AN74)</f>
        <v>0</v>
      </c>
      <c r="AQ74" s="64" t="str">
        <f t="shared" si="3"/>
        <v>REED, Melissa</v>
      </c>
    </row>
    <row r="75" spans="1:43" s="48" customFormat="1" ht="15" x14ac:dyDescent="0.4">
      <c r="A75">
        <v>69</v>
      </c>
      <c r="B75" s="42"/>
      <c r="C75" t="e">
        <f>MATCH(B75,Salary!B:B,0)</f>
        <v>#N/A</v>
      </c>
      <c r="D75" s="74" t="s">
        <v>188</v>
      </c>
      <c r="E75" s="75" t="s">
        <v>107</v>
      </c>
      <c r="F75" s="50"/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79">
        <f t="shared" si="2"/>
        <v>0</v>
      </c>
      <c r="AQ75" s="64" t="str">
        <f t="shared" si="3"/>
        <v>Robinson, Chantee</v>
      </c>
    </row>
    <row r="76" spans="1:43" s="48" customFormat="1" ht="15" x14ac:dyDescent="0.4">
      <c r="A76">
        <v>70</v>
      </c>
      <c r="B76" s="42"/>
      <c r="C76" t="e">
        <f>MATCH(B76,Salary!B:B,0)</f>
        <v>#N/A</v>
      </c>
      <c r="D76" s="83" t="s">
        <v>189</v>
      </c>
      <c r="E76" s="75" t="s">
        <v>190</v>
      </c>
      <c r="F76" s="50"/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79">
        <f t="shared" si="2"/>
        <v>0</v>
      </c>
      <c r="AQ76" s="64" t="str">
        <f t="shared" si="3"/>
        <v>ROBBINS, Leonard</v>
      </c>
    </row>
    <row r="77" spans="1:43" s="48" customFormat="1" ht="15" x14ac:dyDescent="0.4">
      <c r="A77">
        <v>71</v>
      </c>
      <c r="B77" s="42"/>
      <c r="C77" t="e">
        <f>MATCH(B77,Salary!B:B,0)</f>
        <v>#N/A</v>
      </c>
      <c r="D77" s="74" t="s">
        <v>191</v>
      </c>
      <c r="E77" s="75" t="s">
        <v>107</v>
      </c>
      <c r="F77" s="50"/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79">
        <f t="shared" si="2"/>
        <v>0</v>
      </c>
      <c r="AQ77" s="64" t="str">
        <f t="shared" si="3"/>
        <v>Rogers, Lakeshia</v>
      </c>
    </row>
    <row r="78" spans="1:43" s="48" customFormat="1" ht="15" x14ac:dyDescent="0.4">
      <c r="A78">
        <v>72</v>
      </c>
      <c r="B78" s="42"/>
      <c r="C78" t="e">
        <f>MATCH(B78,Salary!B:B,0)</f>
        <v>#N/A</v>
      </c>
      <c r="D78" s="74" t="s">
        <v>192</v>
      </c>
      <c r="E78" s="75" t="s">
        <v>147</v>
      </c>
      <c r="F78" s="50"/>
      <c r="G78" s="69">
        <v>0</v>
      </c>
      <c r="H78" s="69">
        <v>0</v>
      </c>
      <c r="I78" s="69">
        <v>0</v>
      </c>
      <c r="J78" s="69">
        <v>0</v>
      </c>
      <c r="K78" s="69">
        <v>0</v>
      </c>
      <c r="L78" s="69">
        <v>0</v>
      </c>
      <c r="M78" s="69">
        <v>0</v>
      </c>
      <c r="N78" s="69">
        <v>0</v>
      </c>
      <c r="O78" s="69">
        <v>0</v>
      </c>
      <c r="P78" s="69">
        <v>0</v>
      </c>
      <c r="Q78" s="69">
        <v>0</v>
      </c>
      <c r="R78" s="69">
        <v>0</v>
      </c>
      <c r="S78" s="69">
        <v>0</v>
      </c>
      <c r="T78" s="69">
        <v>0</v>
      </c>
      <c r="U78" s="69">
        <v>0</v>
      </c>
      <c r="V78" s="69">
        <v>0</v>
      </c>
      <c r="W78" s="69">
        <v>0</v>
      </c>
      <c r="X78" s="69">
        <v>0</v>
      </c>
      <c r="Y78" s="69">
        <v>0</v>
      </c>
      <c r="Z78" s="69">
        <v>0</v>
      </c>
      <c r="AA78" s="69">
        <v>0</v>
      </c>
      <c r="AB78" s="69">
        <v>0</v>
      </c>
      <c r="AC78" s="69">
        <v>0</v>
      </c>
      <c r="AD78" s="69">
        <v>0</v>
      </c>
      <c r="AE78" s="69">
        <v>0</v>
      </c>
      <c r="AF78" s="69">
        <v>0</v>
      </c>
      <c r="AG78" s="69">
        <v>0</v>
      </c>
      <c r="AH78" s="69">
        <v>0</v>
      </c>
      <c r="AI78" s="69">
        <v>0</v>
      </c>
      <c r="AJ78" s="69">
        <v>0</v>
      </c>
      <c r="AK78" s="69">
        <v>0</v>
      </c>
      <c r="AL78" s="69">
        <v>0</v>
      </c>
      <c r="AM78" s="69">
        <v>0</v>
      </c>
      <c r="AN78" s="69">
        <v>0</v>
      </c>
      <c r="AO78" s="79">
        <f t="shared" si="2"/>
        <v>0</v>
      </c>
      <c r="AQ78" s="64" t="str">
        <f t="shared" si="3"/>
        <v>SANTIAGO-RAMOS, Jose A.</v>
      </c>
    </row>
    <row r="79" spans="1:43" s="93" customFormat="1" ht="15" x14ac:dyDescent="0.4">
      <c r="A79">
        <v>73</v>
      </c>
      <c r="B79" s="42"/>
      <c r="C79" t="e">
        <f>MATCH(B79,Salary!B:B,0)</f>
        <v>#N/A</v>
      </c>
      <c r="D79" s="74" t="s">
        <v>193</v>
      </c>
      <c r="E79" s="88" t="s">
        <v>194</v>
      </c>
      <c r="F79" s="96"/>
      <c r="G79" s="69">
        <v>0</v>
      </c>
      <c r="H79" s="69">
        <v>0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>
        <v>0</v>
      </c>
      <c r="O79" s="69">
        <v>0</v>
      </c>
      <c r="P79" s="69">
        <v>0</v>
      </c>
      <c r="Q79" s="69">
        <v>0</v>
      </c>
      <c r="R79" s="69">
        <v>0</v>
      </c>
      <c r="S79" s="69">
        <v>0</v>
      </c>
      <c r="T79" s="69">
        <v>0</v>
      </c>
      <c r="U79" s="69">
        <v>0</v>
      </c>
      <c r="V79" s="69">
        <v>0</v>
      </c>
      <c r="W79" s="69">
        <v>0</v>
      </c>
      <c r="X79" s="69">
        <v>0</v>
      </c>
      <c r="Y79" s="69">
        <v>0</v>
      </c>
      <c r="Z79" s="69">
        <v>0</v>
      </c>
      <c r="AA79" s="69">
        <v>0</v>
      </c>
      <c r="AB79" s="69">
        <v>0</v>
      </c>
      <c r="AC79" s="69">
        <v>0</v>
      </c>
      <c r="AD79" s="69">
        <v>0</v>
      </c>
      <c r="AE79" s="69">
        <v>0</v>
      </c>
      <c r="AF79" s="69">
        <v>0</v>
      </c>
      <c r="AG79" s="69">
        <v>0</v>
      </c>
      <c r="AH79" s="69">
        <v>0</v>
      </c>
      <c r="AI79" s="69">
        <v>0</v>
      </c>
      <c r="AJ79" s="69">
        <v>0</v>
      </c>
      <c r="AK79" s="69">
        <v>0</v>
      </c>
      <c r="AL79" s="69">
        <v>0</v>
      </c>
      <c r="AM79" s="69">
        <v>0</v>
      </c>
      <c r="AN79" s="69">
        <v>0</v>
      </c>
      <c r="AO79" s="92">
        <f t="shared" si="2"/>
        <v>0</v>
      </c>
      <c r="AQ79" s="94" t="str">
        <f t="shared" si="3"/>
        <v>SERMON, Patricia April</v>
      </c>
    </row>
    <row r="80" spans="1:43" s="93" customFormat="1" ht="15.75" customHeight="1" x14ac:dyDescent="0.4">
      <c r="A80">
        <v>74</v>
      </c>
      <c r="B80" s="42"/>
      <c r="C80" t="e">
        <f>MATCH(B80,Salary!B:B,0)</f>
        <v>#N/A</v>
      </c>
      <c r="D80" s="74" t="s">
        <v>195</v>
      </c>
      <c r="E80" s="88" t="s">
        <v>194</v>
      </c>
      <c r="F80" s="96"/>
      <c r="G80" s="69">
        <v>0</v>
      </c>
      <c r="H80" s="69">
        <v>0</v>
      </c>
      <c r="I80" s="69">
        <v>0</v>
      </c>
      <c r="J80" s="69">
        <v>0</v>
      </c>
      <c r="K80" s="69">
        <v>0</v>
      </c>
      <c r="L80" s="69">
        <v>0</v>
      </c>
      <c r="M80" s="69">
        <v>0</v>
      </c>
      <c r="N80" s="69">
        <v>0</v>
      </c>
      <c r="O80" s="69">
        <v>0</v>
      </c>
      <c r="P80" s="69">
        <v>0</v>
      </c>
      <c r="Q80" s="69">
        <v>0</v>
      </c>
      <c r="R80" s="69">
        <v>0</v>
      </c>
      <c r="S80" s="69">
        <v>0</v>
      </c>
      <c r="T80" s="69">
        <v>0</v>
      </c>
      <c r="U80" s="69">
        <v>0</v>
      </c>
      <c r="V80" s="69">
        <v>0</v>
      </c>
      <c r="W80" s="69">
        <v>0</v>
      </c>
      <c r="X80" s="69">
        <v>0</v>
      </c>
      <c r="Y80" s="69">
        <v>0</v>
      </c>
      <c r="Z80" s="69">
        <v>0</v>
      </c>
      <c r="AA80" s="69">
        <v>0</v>
      </c>
      <c r="AB80" s="69">
        <v>0</v>
      </c>
      <c r="AC80" s="69">
        <v>0</v>
      </c>
      <c r="AD80" s="69">
        <v>0</v>
      </c>
      <c r="AE80" s="69">
        <v>0</v>
      </c>
      <c r="AF80" s="69">
        <v>0</v>
      </c>
      <c r="AG80" s="69">
        <v>0</v>
      </c>
      <c r="AH80" s="69">
        <v>0</v>
      </c>
      <c r="AI80" s="69">
        <v>0</v>
      </c>
      <c r="AJ80" s="69">
        <v>0</v>
      </c>
      <c r="AK80" s="69">
        <v>0</v>
      </c>
      <c r="AL80" s="69">
        <v>0</v>
      </c>
      <c r="AM80" s="69">
        <v>0</v>
      </c>
      <c r="AN80" s="69">
        <v>0</v>
      </c>
      <c r="AO80" s="92">
        <f t="shared" si="2"/>
        <v>0</v>
      </c>
      <c r="AQ80" s="94" t="str">
        <f t="shared" si="3"/>
        <v>SERMON, Patricia May</v>
      </c>
    </row>
    <row r="81" spans="1:43" s="93" customFormat="1" ht="15.75" customHeight="1" x14ac:dyDescent="0.4">
      <c r="A81">
        <v>75</v>
      </c>
      <c r="B81" s="42"/>
      <c r="C81" t="e">
        <f>MATCH(B81,Salary!B:B,0)</f>
        <v>#N/A</v>
      </c>
      <c r="D81" s="74" t="s">
        <v>196</v>
      </c>
      <c r="E81" s="88" t="s">
        <v>194</v>
      </c>
      <c r="F81" s="96"/>
      <c r="G81" s="69">
        <v>0</v>
      </c>
      <c r="H81" s="69">
        <v>0</v>
      </c>
      <c r="I81" s="69">
        <v>0</v>
      </c>
      <c r="J81" s="69">
        <v>0</v>
      </c>
      <c r="K81" s="69">
        <v>0</v>
      </c>
      <c r="L81" s="69">
        <v>0</v>
      </c>
      <c r="M81" s="69">
        <v>0</v>
      </c>
      <c r="N81" s="69">
        <v>0</v>
      </c>
      <c r="O81" s="69">
        <v>0</v>
      </c>
      <c r="P81" s="69">
        <v>0</v>
      </c>
      <c r="Q81" s="69">
        <v>0</v>
      </c>
      <c r="R81" s="69">
        <v>0</v>
      </c>
      <c r="S81" s="69">
        <v>0</v>
      </c>
      <c r="T81" s="69">
        <v>0</v>
      </c>
      <c r="U81" s="69">
        <v>0</v>
      </c>
      <c r="V81" s="69">
        <v>0</v>
      </c>
      <c r="W81" s="69">
        <v>0</v>
      </c>
      <c r="X81" s="69">
        <v>0</v>
      </c>
      <c r="Y81" s="69">
        <v>0</v>
      </c>
      <c r="Z81" s="69">
        <v>0</v>
      </c>
      <c r="AA81" s="69">
        <v>0</v>
      </c>
      <c r="AB81" s="69">
        <v>0</v>
      </c>
      <c r="AC81" s="69">
        <v>0</v>
      </c>
      <c r="AD81" s="69">
        <v>0</v>
      </c>
      <c r="AE81" s="69">
        <v>0</v>
      </c>
      <c r="AF81" s="69">
        <v>0</v>
      </c>
      <c r="AG81" s="69">
        <v>0</v>
      </c>
      <c r="AH81" s="69">
        <v>0</v>
      </c>
      <c r="AI81" s="69">
        <v>0</v>
      </c>
      <c r="AJ81" s="69">
        <v>0</v>
      </c>
      <c r="AK81" s="69">
        <v>0</v>
      </c>
      <c r="AL81" s="69">
        <v>0</v>
      </c>
      <c r="AM81" s="69">
        <v>0</v>
      </c>
      <c r="AN81" s="69">
        <v>0</v>
      </c>
      <c r="AO81" s="92">
        <f t="shared" si="2"/>
        <v>0</v>
      </c>
      <c r="AQ81" s="94" t="str">
        <f>D81</f>
        <v>SERMON, Patricia June</v>
      </c>
    </row>
    <row r="82" spans="1:43" s="93" customFormat="1" ht="15.75" customHeight="1" x14ac:dyDescent="0.4">
      <c r="A82">
        <v>76</v>
      </c>
      <c r="B82" s="42"/>
      <c r="C82" t="e">
        <f>MATCH(B82,Salary!B:B,0)</f>
        <v>#N/A</v>
      </c>
      <c r="D82" s="74" t="s">
        <v>197</v>
      </c>
      <c r="E82" s="88" t="s">
        <v>194</v>
      </c>
      <c r="F82" s="96"/>
      <c r="G82" s="69">
        <v>0</v>
      </c>
      <c r="H82" s="69">
        <v>0</v>
      </c>
      <c r="I82" s="69">
        <v>0</v>
      </c>
      <c r="J82" s="69">
        <v>0</v>
      </c>
      <c r="K82" s="69">
        <v>0</v>
      </c>
      <c r="L82" s="69">
        <v>0</v>
      </c>
      <c r="M82" s="69">
        <v>0</v>
      </c>
      <c r="N82" s="69">
        <v>0</v>
      </c>
      <c r="O82" s="69">
        <v>0</v>
      </c>
      <c r="P82" s="69">
        <v>0</v>
      </c>
      <c r="Q82" s="69">
        <v>0</v>
      </c>
      <c r="R82" s="69">
        <v>0</v>
      </c>
      <c r="S82" s="69">
        <v>0</v>
      </c>
      <c r="T82" s="69">
        <v>0</v>
      </c>
      <c r="U82" s="69">
        <v>0</v>
      </c>
      <c r="V82" s="69">
        <v>0</v>
      </c>
      <c r="W82" s="69">
        <v>0</v>
      </c>
      <c r="X82" s="69">
        <v>0</v>
      </c>
      <c r="Y82" s="69">
        <v>0</v>
      </c>
      <c r="Z82" s="69">
        <v>0</v>
      </c>
      <c r="AA82" s="69">
        <v>0</v>
      </c>
      <c r="AB82" s="69">
        <v>0</v>
      </c>
      <c r="AC82" s="69">
        <v>0</v>
      </c>
      <c r="AD82" s="69">
        <v>0</v>
      </c>
      <c r="AE82" s="69">
        <v>0</v>
      </c>
      <c r="AF82" s="69">
        <v>0</v>
      </c>
      <c r="AG82" s="69">
        <v>0</v>
      </c>
      <c r="AH82" s="69">
        <v>0</v>
      </c>
      <c r="AI82" s="69">
        <v>0</v>
      </c>
      <c r="AJ82" s="69">
        <v>0</v>
      </c>
      <c r="AK82" s="69">
        <v>0</v>
      </c>
      <c r="AL82" s="69">
        <v>0</v>
      </c>
      <c r="AM82" s="69">
        <v>0</v>
      </c>
      <c r="AN82" s="69">
        <v>0</v>
      </c>
      <c r="AO82" s="92">
        <f t="shared" si="2"/>
        <v>0</v>
      </c>
      <c r="AQ82" s="94" t="str">
        <f>D82</f>
        <v>SERMON, Patricia July</v>
      </c>
    </row>
    <row r="83" spans="1:43" s="93" customFormat="1" ht="15.75" customHeight="1" x14ac:dyDescent="0.4">
      <c r="A83">
        <v>77</v>
      </c>
      <c r="B83" s="42"/>
      <c r="C83" t="e">
        <f>MATCH(B83,Salary!B:B,0)</f>
        <v>#N/A</v>
      </c>
      <c r="D83" s="74" t="s">
        <v>198</v>
      </c>
      <c r="E83" s="88" t="s">
        <v>194</v>
      </c>
      <c r="F83" s="96"/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>
        <v>0</v>
      </c>
      <c r="O83" s="69">
        <v>0</v>
      </c>
      <c r="P83" s="69">
        <v>0</v>
      </c>
      <c r="Q83" s="69">
        <v>0</v>
      </c>
      <c r="R83" s="69">
        <v>0</v>
      </c>
      <c r="S83" s="69">
        <v>0</v>
      </c>
      <c r="T83" s="69">
        <v>0</v>
      </c>
      <c r="U83" s="69">
        <v>0</v>
      </c>
      <c r="V83" s="69">
        <v>0</v>
      </c>
      <c r="W83" s="69">
        <v>0</v>
      </c>
      <c r="X83" s="69">
        <v>0</v>
      </c>
      <c r="Y83" s="69">
        <v>0</v>
      </c>
      <c r="Z83" s="69">
        <v>0</v>
      </c>
      <c r="AA83" s="69">
        <v>0</v>
      </c>
      <c r="AB83" s="69">
        <v>0</v>
      </c>
      <c r="AC83" s="69">
        <v>0</v>
      </c>
      <c r="AD83" s="69">
        <v>0</v>
      </c>
      <c r="AE83" s="69">
        <v>0</v>
      </c>
      <c r="AF83" s="69">
        <v>0</v>
      </c>
      <c r="AG83" s="69">
        <v>0</v>
      </c>
      <c r="AH83" s="69">
        <v>0</v>
      </c>
      <c r="AI83" s="69">
        <v>0</v>
      </c>
      <c r="AJ83" s="69">
        <v>0</v>
      </c>
      <c r="AK83" s="69">
        <v>0</v>
      </c>
      <c r="AL83" s="69">
        <v>0</v>
      </c>
      <c r="AM83" s="69">
        <v>0</v>
      </c>
      <c r="AN83" s="69">
        <v>0</v>
      </c>
      <c r="AO83" s="92">
        <f t="shared" si="2"/>
        <v>0</v>
      </c>
      <c r="AQ83" s="94" t="str">
        <f>D83</f>
        <v>SERMON, Patricia August</v>
      </c>
    </row>
    <row r="84" spans="1:43" s="48" customFormat="1" ht="15" x14ac:dyDescent="0.4">
      <c r="A84">
        <v>78</v>
      </c>
      <c r="B84" s="42"/>
      <c r="C84" t="e">
        <f>MATCH(B84,Salary!B:B,0)</f>
        <v>#N/A</v>
      </c>
      <c r="D84" s="74" t="s">
        <v>199</v>
      </c>
      <c r="E84" s="75" t="s">
        <v>107</v>
      </c>
      <c r="F84" s="50"/>
      <c r="G84" s="69">
        <v>0</v>
      </c>
      <c r="H84" s="69">
        <v>0</v>
      </c>
      <c r="I84" s="69">
        <v>0</v>
      </c>
      <c r="J84" s="69">
        <v>0</v>
      </c>
      <c r="K84" s="69">
        <v>0</v>
      </c>
      <c r="L84" s="69">
        <v>0</v>
      </c>
      <c r="M84" s="69">
        <v>0</v>
      </c>
      <c r="N84" s="69">
        <v>0</v>
      </c>
      <c r="O84" s="69">
        <v>0</v>
      </c>
      <c r="P84" s="69">
        <v>0</v>
      </c>
      <c r="Q84" s="69">
        <v>0</v>
      </c>
      <c r="R84" s="69">
        <v>0</v>
      </c>
      <c r="S84" s="69">
        <v>0</v>
      </c>
      <c r="T84" s="69">
        <v>0</v>
      </c>
      <c r="U84" s="69">
        <v>0</v>
      </c>
      <c r="V84" s="69">
        <v>0</v>
      </c>
      <c r="W84" s="69">
        <v>0</v>
      </c>
      <c r="X84" s="69">
        <v>0</v>
      </c>
      <c r="Y84" s="69">
        <v>0</v>
      </c>
      <c r="Z84" s="69">
        <v>0</v>
      </c>
      <c r="AA84" s="69">
        <v>0</v>
      </c>
      <c r="AB84" s="69">
        <v>0</v>
      </c>
      <c r="AC84" s="69">
        <v>0</v>
      </c>
      <c r="AD84" s="69">
        <v>0</v>
      </c>
      <c r="AE84" s="69">
        <v>0</v>
      </c>
      <c r="AF84" s="69">
        <v>0</v>
      </c>
      <c r="AG84" s="69">
        <v>0</v>
      </c>
      <c r="AH84" s="69">
        <v>0</v>
      </c>
      <c r="AI84" s="69">
        <v>0</v>
      </c>
      <c r="AJ84" s="69">
        <v>0</v>
      </c>
      <c r="AK84" s="69">
        <v>0</v>
      </c>
      <c r="AL84" s="69">
        <v>0</v>
      </c>
      <c r="AM84" s="69">
        <v>0</v>
      </c>
      <c r="AN84" s="69">
        <v>0</v>
      </c>
      <c r="AO84" s="79">
        <f t="shared" si="2"/>
        <v>0</v>
      </c>
      <c r="AQ84" s="64" t="str">
        <f t="shared" si="3"/>
        <v>SESSOMS, Donna M.</v>
      </c>
    </row>
    <row r="85" spans="1:43" s="48" customFormat="1" ht="15" x14ac:dyDescent="0.4">
      <c r="A85">
        <v>79</v>
      </c>
      <c r="B85" s="42"/>
      <c r="C85" t="e">
        <f>MATCH(B85,Salary!B:B,0)</f>
        <v>#N/A</v>
      </c>
      <c r="D85" s="74" t="s">
        <v>200</v>
      </c>
      <c r="E85" s="75" t="s">
        <v>201</v>
      </c>
      <c r="F85" s="50"/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>
        <v>0</v>
      </c>
      <c r="O85" s="69">
        <v>0</v>
      </c>
      <c r="P85" s="69">
        <v>0</v>
      </c>
      <c r="Q85" s="69">
        <v>0</v>
      </c>
      <c r="R85" s="69">
        <v>0</v>
      </c>
      <c r="S85" s="69">
        <v>0</v>
      </c>
      <c r="T85" s="69">
        <v>0</v>
      </c>
      <c r="U85" s="69">
        <v>0</v>
      </c>
      <c r="V85" s="69">
        <v>0</v>
      </c>
      <c r="W85" s="69">
        <v>0</v>
      </c>
      <c r="X85" s="69">
        <v>0</v>
      </c>
      <c r="Y85" s="69">
        <v>0</v>
      </c>
      <c r="Z85" s="69">
        <v>0</v>
      </c>
      <c r="AA85" s="69">
        <v>0</v>
      </c>
      <c r="AB85" s="69">
        <v>0</v>
      </c>
      <c r="AC85" s="69">
        <v>0</v>
      </c>
      <c r="AD85" s="69">
        <v>0</v>
      </c>
      <c r="AE85" s="69">
        <v>0</v>
      </c>
      <c r="AF85" s="69">
        <v>0</v>
      </c>
      <c r="AG85" s="69">
        <v>0</v>
      </c>
      <c r="AH85" s="69">
        <v>0</v>
      </c>
      <c r="AI85" s="69">
        <v>0</v>
      </c>
      <c r="AJ85" s="69">
        <v>0</v>
      </c>
      <c r="AK85" s="69">
        <v>0</v>
      </c>
      <c r="AL85" s="69">
        <v>0</v>
      </c>
      <c r="AM85" s="69">
        <v>0</v>
      </c>
      <c r="AN85" s="69">
        <v>0</v>
      </c>
      <c r="AO85" s="79">
        <f t="shared" si="2"/>
        <v>0</v>
      </c>
      <c r="AQ85" s="64" t="str">
        <f t="shared" si="3"/>
        <v>SHARIF, Darrin S. - April</v>
      </c>
    </row>
    <row r="86" spans="1:43" s="48" customFormat="1" ht="15" x14ac:dyDescent="0.4">
      <c r="A86">
        <v>80</v>
      </c>
      <c r="B86" s="42"/>
      <c r="C86" t="e">
        <f>MATCH(B86,Salary!B:B,0)</f>
        <v>#N/A</v>
      </c>
      <c r="D86" s="83" t="s">
        <v>202</v>
      </c>
      <c r="E86" s="75" t="s">
        <v>201</v>
      </c>
      <c r="F86" s="50"/>
      <c r="G86" s="69">
        <v>0</v>
      </c>
      <c r="H86" s="69">
        <v>0</v>
      </c>
      <c r="I86" s="69">
        <v>0</v>
      </c>
      <c r="J86" s="69">
        <v>0</v>
      </c>
      <c r="K86" s="69">
        <v>0</v>
      </c>
      <c r="L86" s="69">
        <v>0</v>
      </c>
      <c r="M86" s="69">
        <v>0</v>
      </c>
      <c r="N86" s="69">
        <v>0</v>
      </c>
      <c r="O86" s="69">
        <v>0</v>
      </c>
      <c r="P86" s="69">
        <v>0</v>
      </c>
      <c r="Q86" s="69">
        <v>0</v>
      </c>
      <c r="R86" s="69">
        <v>0</v>
      </c>
      <c r="S86" s="69">
        <v>0</v>
      </c>
      <c r="T86" s="69">
        <v>0</v>
      </c>
      <c r="U86" s="69">
        <v>0</v>
      </c>
      <c r="V86" s="69">
        <v>0</v>
      </c>
      <c r="W86" s="69">
        <v>0</v>
      </c>
      <c r="X86" s="69">
        <v>0</v>
      </c>
      <c r="Y86" s="69">
        <v>0</v>
      </c>
      <c r="Z86" s="69">
        <v>0</v>
      </c>
      <c r="AA86" s="69">
        <v>0</v>
      </c>
      <c r="AB86" s="69">
        <v>0</v>
      </c>
      <c r="AC86" s="69">
        <v>0</v>
      </c>
      <c r="AD86" s="69">
        <v>0</v>
      </c>
      <c r="AE86" s="69">
        <v>0</v>
      </c>
      <c r="AF86" s="69">
        <v>0</v>
      </c>
      <c r="AG86" s="69">
        <v>0</v>
      </c>
      <c r="AH86" s="69">
        <v>0</v>
      </c>
      <c r="AI86" s="69">
        <v>0</v>
      </c>
      <c r="AJ86" s="69">
        <v>0</v>
      </c>
      <c r="AK86" s="69">
        <v>0</v>
      </c>
      <c r="AL86" s="69">
        <v>0</v>
      </c>
      <c r="AM86" s="69">
        <v>0</v>
      </c>
      <c r="AN86" s="69">
        <v>0</v>
      </c>
      <c r="AO86" s="79">
        <f t="shared" si="2"/>
        <v>0</v>
      </c>
      <c r="AQ86" s="64" t="str">
        <f>D86</f>
        <v>SHARIF, Darrin S. - July</v>
      </c>
    </row>
    <row r="87" spans="1:43" s="48" customFormat="1" ht="15" x14ac:dyDescent="0.4">
      <c r="A87">
        <v>81</v>
      </c>
      <c r="B87" s="42"/>
      <c r="C87" t="e">
        <f>MATCH(B87,Salary!B:B,0)</f>
        <v>#N/A</v>
      </c>
      <c r="D87" s="74" t="s">
        <v>203</v>
      </c>
      <c r="E87" s="75" t="s">
        <v>97</v>
      </c>
      <c r="F87" s="50"/>
      <c r="G87" s="69">
        <v>0</v>
      </c>
      <c r="H87" s="69">
        <v>0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>
        <v>0</v>
      </c>
      <c r="O87" s="69">
        <v>0</v>
      </c>
      <c r="P87" s="69">
        <v>0</v>
      </c>
      <c r="Q87" s="69">
        <v>0</v>
      </c>
      <c r="R87" s="69">
        <v>0</v>
      </c>
      <c r="S87" s="69">
        <v>0</v>
      </c>
      <c r="T87" s="69">
        <v>0</v>
      </c>
      <c r="U87" s="69">
        <v>0</v>
      </c>
      <c r="V87" s="69">
        <v>0</v>
      </c>
      <c r="W87" s="69">
        <v>0</v>
      </c>
      <c r="X87" s="69">
        <v>0</v>
      </c>
      <c r="Y87" s="69">
        <v>0</v>
      </c>
      <c r="Z87" s="69">
        <v>0</v>
      </c>
      <c r="AA87" s="69">
        <v>0</v>
      </c>
      <c r="AB87" s="69">
        <v>0</v>
      </c>
      <c r="AC87" s="69">
        <v>0</v>
      </c>
      <c r="AD87" s="69">
        <v>0</v>
      </c>
      <c r="AE87" s="69">
        <v>0</v>
      </c>
      <c r="AF87" s="69">
        <v>0</v>
      </c>
      <c r="AG87" s="69">
        <v>0</v>
      </c>
      <c r="AH87" s="69">
        <v>0</v>
      </c>
      <c r="AI87" s="69">
        <v>0</v>
      </c>
      <c r="AJ87" s="69">
        <v>0</v>
      </c>
      <c r="AK87" s="69">
        <v>0</v>
      </c>
      <c r="AL87" s="69">
        <v>0</v>
      </c>
      <c r="AM87" s="69">
        <v>0</v>
      </c>
      <c r="AN87" s="69">
        <v>0</v>
      </c>
      <c r="AO87" s="79">
        <f t="shared" si="2"/>
        <v>0</v>
      </c>
      <c r="AQ87" s="64" t="str">
        <f t="shared" si="3"/>
        <v>SIMMONS, Bertrilla R.</v>
      </c>
    </row>
    <row r="88" spans="1:43" s="48" customFormat="1" ht="15" x14ac:dyDescent="0.4">
      <c r="A88">
        <v>82</v>
      </c>
      <c r="B88" s="42"/>
      <c r="C88" t="e">
        <f>MATCH(B88,Salary!B:B,0)</f>
        <v>#N/A</v>
      </c>
      <c r="D88" s="84" t="s">
        <v>204</v>
      </c>
      <c r="E88" s="75" t="s">
        <v>97</v>
      </c>
      <c r="F88" s="50"/>
      <c r="G88" s="69">
        <v>0</v>
      </c>
      <c r="H88" s="69">
        <v>0</v>
      </c>
      <c r="I88" s="69">
        <v>0</v>
      </c>
      <c r="J88" s="69">
        <v>0</v>
      </c>
      <c r="K88" s="69">
        <v>0</v>
      </c>
      <c r="L88" s="69">
        <v>0</v>
      </c>
      <c r="M88" s="69">
        <v>0</v>
      </c>
      <c r="N88" s="69">
        <v>0</v>
      </c>
      <c r="O88" s="69">
        <v>0</v>
      </c>
      <c r="P88" s="69">
        <v>0</v>
      </c>
      <c r="Q88" s="69">
        <v>0</v>
      </c>
      <c r="R88" s="69">
        <v>0</v>
      </c>
      <c r="S88" s="69">
        <v>0</v>
      </c>
      <c r="T88" s="69">
        <v>0</v>
      </c>
      <c r="U88" s="69">
        <v>0</v>
      </c>
      <c r="V88" s="69">
        <v>0</v>
      </c>
      <c r="W88" s="69">
        <v>0</v>
      </c>
      <c r="X88" s="69">
        <v>0</v>
      </c>
      <c r="Y88" s="69">
        <v>0</v>
      </c>
      <c r="Z88" s="69">
        <v>0</v>
      </c>
      <c r="AA88" s="69">
        <v>0</v>
      </c>
      <c r="AB88" s="69">
        <v>0</v>
      </c>
      <c r="AC88" s="69">
        <v>0</v>
      </c>
      <c r="AD88" s="69">
        <v>0</v>
      </c>
      <c r="AE88" s="69">
        <v>0</v>
      </c>
      <c r="AF88" s="69">
        <v>0</v>
      </c>
      <c r="AG88" s="69">
        <v>0</v>
      </c>
      <c r="AH88" s="69">
        <v>0</v>
      </c>
      <c r="AI88" s="69">
        <v>0</v>
      </c>
      <c r="AJ88" s="69">
        <v>0</v>
      </c>
      <c r="AK88" s="69">
        <v>0</v>
      </c>
      <c r="AL88" s="69">
        <v>0</v>
      </c>
      <c r="AM88" s="69">
        <v>0</v>
      </c>
      <c r="AN88" s="69">
        <v>0</v>
      </c>
      <c r="AO88" s="79">
        <f t="shared" si="2"/>
        <v>0</v>
      </c>
      <c r="AQ88" s="64" t="str">
        <f t="shared" si="3"/>
        <v>STEWART, Robin D - Summer</v>
      </c>
    </row>
    <row r="89" spans="1:43" s="48" customFormat="1" ht="15" x14ac:dyDescent="0.4">
      <c r="A89">
        <v>83</v>
      </c>
      <c r="B89" s="42"/>
      <c r="C89" t="e">
        <f>MATCH(B89,Salary!B:B,0)</f>
        <v>#N/A</v>
      </c>
      <c r="D89" s="84" t="s">
        <v>205</v>
      </c>
      <c r="E89" s="75" t="s">
        <v>97</v>
      </c>
      <c r="F89" s="50"/>
      <c r="G89" s="69">
        <v>0</v>
      </c>
      <c r="H89" s="69">
        <v>0</v>
      </c>
      <c r="I89" s="69">
        <v>0</v>
      </c>
      <c r="J89" s="69">
        <v>0</v>
      </c>
      <c r="K89" s="69">
        <v>0</v>
      </c>
      <c r="L89" s="69">
        <v>0</v>
      </c>
      <c r="M89" s="69">
        <v>0</v>
      </c>
      <c r="N89" s="69">
        <v>0</v>
      </c>
      <c r="O89" s="69">
        <v>0</v>
      </c>
      <c r="P89" s="69">
        <v>0</v>
      </c>
      <c r="Q89" s="69">
        <v>0</v>
      </c>
      <c r="R89" s="69">
        <v>0</v>
      </c>
      <c r="S89" s="69">
        <v>0</v>
      </c>
      <c r="T89" s="69">
        <v>0</v>
      </c>
      <c r="U89" s="69">
        <v>0</v>
      </c>
      <c r="V89" s="69">
        <v>0</v>
      </c>
      <c r="W89" s="69">
        <v>0</v>
      </c>
      <c r="X89" s="69">
        <v>0</v>
      </c>
      <c r="Y89" s="69">
        <v>0</v>
      </c>
      <c r="Z89" s="69">
        <v>0</v>
      </c>
      <c r="AA89" s="69">
        <v>0</v>
      </c>
      <c r="AB89" s="69">
        <v>0</v>
      </c>
      <c r="AC89" s="69">
        <v>0</v>
      </c>
      <c r="AD89" s="69">
        <v>0</v>
      </c>
      <c r="AE89" s="69">
        <v>0</v>
      </c>
      <c r="AF89" s="69">
        <v>0</v>
      </c>
      <c r="AG89" s="69">
        <v>0</v>
      </c>
      <c r="AH89" s="69">
        <v>0</v>
      </c>
      <c r="AI89" s="69">
        <v>0</v>
      </c>
      <c r="AJ89" s="69">
        <v>0</v>
      </c>
      <c r="AK89" s="69">
        <v>0</v>
      </c>
      <c r="AL89" s="69">
        <v>0</v>
      </c>
      <c r="AM89" s="69">
        <v>0</v>
      </c>
      <c r="AN89" s="69">
        <v>0</v>
      </c>
      <c r="AO89" s="79">
        <f t="shared" si="2"/>
        <v>0</v>
      </c>
      <c r="AQ89" s="64" t="str">
        <f t="shared" si="3"/>
        <v>STEWART, Robin D</v>
      </c>
    </row>
    <row r="90" spans="1:43" s="48" customFormat="1" ht="15" x14ac:dyDescent="0.4">
      <c r="A90">
        <v>84</v>
      </c>
      <c r="B90" s="42"/>
      <c r="C90" t="e">
        <f>MATCH(B90,Salary!B:B,0)</f>
        <v>#N/A</v>
      </c>
      <c r="D90" s="74" t="s">
        <v>206</v>
      </c>
      <c r="E90" s="75" t="s">
        <v>97</v>
      </c>
      <c r="F90" s="50"/>
      <c r="G90" s="69">
        <v>0</v>
      </c>
      <c r="H90" s="69">
        <v>0</v>
      </c>
      <c r="I90" s="69">
        <v>0</v>
      </c>
      <c r="J90" s="69">
        <v>0</v>
      </c>
      <c r="K90" s="69">
        <v>0</v>
      </c>
      <c r="L90" s="69">
        <v>0</v>
      </c>
      <c r="M90" s="69">
        <v>0</v>
      </c>
      <c r="N90" s="69">
        <v>0</v>
      </c>
      <c r="O90" s="69">
        <v>0</v>
      </c>
      <c r="P90" s="69">
        <v>0</v>
      </c>
      <c r="Q90" s="69">
        <v>0</v>
      </c>
      <c r="R90" s="69">
        <v>0</v>
      </c>
      <c r="S90" s="69">
        <v>0</v>
      </c>
      <c r="T90" s="69">
        <v>0</v>
      </c>
      <c r="U90" s="69">
        <v>0</v>
      </c>
      <c r="V90" s="69">
        <v>0</v>
      </c>
      <c r="W90" s="69">
        <v>0</v>
      </c>
      <c r="X90" s="69">
        <v>0</v>
      </c>
      <c r="Y90" s="69">
        <v>0</v>
      </c>
      <c r="Z90" s="69">
        <v>0</v>
      </c>
      <c r="AA90" s="69">
        <v>0</v>
      </c>
      <c r="AB90" s="69">
        <v>0</v>
      </c>
      <c r="AC90" s="69">
        <v>0</v>
      </c>
      <c r="AD90" s="69">
        <v>0</v>
      </c>
      <c r="AE90" s="69">
        <v>0</v>
      </c>
      <c r="AF90" s="69">
        <v>0</v>
      </c>
      <c r="AG90" s="69">
        <v>0</v>
      </c>
      <c r="AH90" s="69">
        <v>0</v>
      </c>
      <c r="AI90" s="69">
        <v>0</v>
      </c>
      <c r="AJ90" s="69">
        <v>0</v>
      </c>
      <c r="AK90" s="69">
        <v>0</v>
      </c>
      <c r="AL90" s="69">
        <v>0</v>
      </c>
      <c r="AM90" s="69">
        <v>0</v>
      </c>
      <c r="AN90" s="69">
        <v>0</v>
      </c>
      <c r="AO90" s="79">
        <f t="shared" si="2"/>
        <v>0</v>
      </c>
      <c r="AQ90" s="64" t="str">
        <f t="shared" si="3"/>
        <v>TYLER, Patricia</v>
      </c>
    </row>
    <row r="91" spans="1:43" s="48" customFormat="1" ht="15" x14ac:dyDescent="0.4">
      <c r="A91">
        <v>85</v>
      </c>
      <c r="B91" s="42"/>
      <c r="C91" t="e">
        <f>MATCH(B91,Salary!B:B,0)</f>
        <v>#N/A</v>
      </c>
      <c r="D91" s="74" t="s">
        <v>207</v>
      </c>
      <c r="E91" s="75" t="s">
        <v>97</v>
      </c>
      <c r="F91" s="50"/>
      <c r="G91" s="69">
        <v>0</v>
      </c>
      <c r="H91" s="69">
        <v>0</v>
      </c>
      <c r="I91" s="69">
        <v>0</v>
      </c>
      <c r="J91" s="69">
        <v>0</v>
      </c>
      <c r="K91" s="69">
        <v>0</v>
      </c>
      <c r="L91" s="69">
        <v>0</v>
      </c>
      <c r="M91" s="69">
        <v>0</v>
      </c>
      <c r="N91" s="69">
        <v>0</v>
      </c>
      <c r="O91" s="69">
        <v>0</v>
      </c>
      <c r="P91" s="69">
        <v>0</v>
      </c>
      <c r="Q91" s="69">
        <v>0</v>
      </c>
      <c r="R91" s="69">
        <v>0</v>
      </c>
      <c r="S91" s="69">
        <v>0</v>
      </c>
      <c r="T91" s="69">
        <v>0</v>
      </c>
      <c r="U91" s="69">
        <v>0</v>
      </c>
      <c r="V91" s="69">
        <v>0</v>
      </c>
      <c r="W91" s="69">
        <v>0</v>
      </c>
      <c r="X91" s="69">
        <v>0</v>
      </c>
      <c r="Y91" s="69">
        <v>0</v>
      </c>
      <c r="Z91" s="69">
        <v>0</v>
      </c>
      <c r="AA91" s="69">
        <v>0</v>
      </c>
      <c r="AB91" s="69">
        <v>0</v>
      </c>
      <c r="AC91" s="69">
        <v>0</v>
      </c>
      <c r="AD91" s="69">
        <v>0</v>
      </c>
      <c r="AE91" s="69">
        <v>0</v>
      </c>
      <c r="AF91" s="69">
        <v>0</v>
      </c>
      <c r="AG91" s="69">
        <v>0</v>
      </c>
      <c r="AH91" s="69">
        <v>0</v>
      </c>
      <c r="AI91" s="69">
        <v>0</v>
      </c>
      <c r="AJ91" s="69">
        <v>0</v>
      </c>
      <c r="AK91" s="69">
        <v>0</v>
      </c>
      <c r="AL91" s="69">
        <v>0</v>
      </c>
      <c r="AM91" s="69">
        <v>0</v>
      </c>
      <c r="AN91" s="69">
        <v>0</v>
      </c>
      <c r="AO91" s="79">
        <f t="shared" si="2"/>
        <v>0</v>
      </c>
      <c r="AQ91" s="64" t="str">
        <f t="shared" si="3"/>
        <v>TYLER, Patricia - Summer</v>
      </c>
    </row>
    <row r="92" spans="1:43" s="48" customFormat="1" ht="15" x14ac:dyDescent="0.4">
      <c r="A92">
        <v>86</v>
      </c>
      <c r="B92" s="42"/>
      <c r="C92" t="e">
        <f>MATCH(B92,Salary!B:B,0)</f>
        <v>#N/A</v>
      </c>
      <c r="D92" s="74" t="s">
        <v>208</v>
      </c>
      <c r="E92" s="75" t="s">
        <v>98</v>
      </c>
      <c r="F92" s="50"/>
      <c r="G92" s="69">
        <v>0</v>
      </c>
      <c r="H92" s="69">
        <v>0</v>
      </c>
      <c r="I92" s="69">
        <v>0</v>
      </c>
      <c r="J92" s="69">
        <v>0</v>
      </c>
      <c r="K92" s="69">
        <v>0</v>
      </c>
      <c r="L92" s="69">
        <v>0</v>
      </c>
      <c r="M92" s="69">
        <v>0</v>
      </c>
      <c r="N92" s="69">
        <v>0</v>
      </c>
      <c r="O92" s="69">
        <v>0</v>
      </c>
      <c r="P92" s="69">
        <v>0</v>
      </c>
      <c r="Q92" s="69">
        <v>0</v>
      </c>
      <c r="R92" s="69">
        <v>0</v>
      </c>
      <c r="S92" s="69">
        <v>0</v>
      </c>
      <c r="T92" s="69">
        <v>0</v>
      </c>
      <c r="U92" s="69">
        <v>0</v>
      </c>
      <c r="V92" s="69">
        <v>0</v>
      </c>
      <c r="W92" s="69">
        <v>0</v>
      </c>
      <c r="X92" s="69">
        <v>0</v>
      </c>
      <c r="Y92" s="69">
        <v>0</v>
      </c>
      <c r="Z92" s="69">
        <v>0</v>
      </c>
      <c r="AA92" s="69">
        <v>0</v>
      </c>
      <c r="AB92" s="69">
        <v>0</v>
      </c>
      <c r="AC92" s="69">
        <v>0</v>
      </c>
      <c r="AD92" s="69">
        <v>0</v>
      </c>
      <c r="AE92" s="69">
        <v>0</v>
      </c>
      <c r="AF92" s="69">
        <v>0</v>
      </c>
      <c r="AG92" s="69">
        <v>0</v>
      </c>
      <c r="AH92" s="69">
        <v>0</v>
      </c>
      <c r="AI92" s="69">
        <v>0</v>
      </c>
      <c r="AJ92" s="69">
        <v>0</v>
      </c>
      <c r="AK92" s="69">
        <v>0</v>
      </c>
      <c r="AL92" s="69">
        <v>0</v>
      </c>
      <c r="AM92" s="69">
        <v>0</v>
      </c>
      <c r="AN92" s="69">
        <v>0</v>
      </c>
      <c r="AO92" s="79">
        <f t="shared" si="2"/>
        <v>0</v>
      </c>
      <c r="AQ92" s="64" t="str">
        <f t="shared" si="3"/>
        <v>WAH, Alexia</v>
      </c>
    </row>
    <row r="93" spans="1:43" s="48" customFormat="1" ht="15" x14ac:dyDescent="0.4">
      <c r="A93">
        <v>87</v>
      </c>
      <c r="B93" s="42"/>
      <c r="C93" t="e">
        <f>MATCH(B93,Salary!B:B,0)</f>
        <v>#N/A</v>
      </c>
      <c r="D93" s="74" t="s">
        <v>209</v>
      </c>
      <c r="E93" s="105" t="s">
        <v>139</v>
      </c>
      <c r="F93" s="50"/>
      <c r="G93" s="69">
        <v>0</v>
      </c>
      <c r="H93" s="69">
        <v>0</v>
      </c>
      <c r="I93" s="69">
        <v>0</v>
      </c>
      <c r="J93" s="69">
        <v>0</v>
      </c>
      <c r="K93" s="69">
        <v>0</v>
      </c>
      <c r="L93" s="69">
        <v>0</v>
      </c>
      <c r="M93" s="69">
        <v>0</v>
      </c>
      <c r="N93" s="69">
        <v>0</v>
      </c>
      <c r="O93" s="69">
        <v>0</v>
      </c>
      <c r="P93" s="69">
        <v>0</v>
      </c>
      <c r="Q93" s="69">
        <v>0</v>
      </c>
      <c r="R93" s="69">
        <v>0</v>
      </c>
      <c r="S93" s="69">
        <v>0</v>
      </c>
      <c r="T93" s="69">
        <v>0</v>
      </c>
      <c r="U93" s="69">
        <v>0</v>
      </c>
      <c r="V93" s="69">
        <v>0</v>
      </c>
      <c r="W93" s="69">
        <v>0</v>
      </c>
      <c r="X93" s="69">
        <v>0</v>
      </c>
      <c r="Y93" s="69">
        <v>0</v>
      </c>
      <c r="Z93" s="69">
        <v>0</v>
      </c>
      <c r="AA93" s="69">
        <v>0</v>
      </c>
      <c r="AB93" s="69">
        <v>0</v>
      </c>
      <c r="AC93" s="69">
        <v>0</v>
      </c>
      <c r="AD93" s="69">
        <v>0</v>
      </c>
      <c r="AE93" s="69">
        <v>0</v>
      </c>
      <c r="AF93" s="69">
        <v>0</v>
      </c>
      <c r="AG93" s="69">
        <v>0</v>
      </c>
      <c r="AH93" s="69">
        <v>0</v>
      </c>
      <c r="AI93" s="69">
        <v>0</v>
      </c>
      <c r="AJ93" s="69">
        <v>0</v>
      </c>
      <c r="AK93" s="69">
        <v>0</v>
      </c>
      <c r="AL93" s="69">
        <v>0</v>
      </c>
      <c r="AM93" s="69">
        <v>0</v>
      </c>
      <c r="AN93" s="69">
        <v>0</v>
      </c>
      <c r="AO93" s="79">
        <f t="shared" si="2"/>
        <v>0</v>
      </c>
      <c r="AQ93" s="64" t="str">
        <f t="shared" si="3"/>
        <v>WARD, Richard G. - April</v>
      </c>
    </row>
    <row r="94" spans="1:43" s="48" customFormat="1" ht="15" x14ac:dyDescent="0.4">
      <c r="A94">
        <v>88</v>
      </c>
      <c r="B94" s="42"/>
      <c r="C94" t="e">
        <f>MATCH(B94,Salary!B:B,0)</f>
        <v>#N/A</v>
      </c>
      <c r="D94" s="74" t="s">
        <v>210</v>
      </c>
      <c r="E94" s="105" t="s">
        <v>139</v>
      </c>
      <c r="F94" s="50"/>
      <c r="G94" s="69">
        <v>0</v>
      </c>
      <c r="H94" s="69">
        <v>0</v>
      </c>
      <c r="I94" s="69">
        <v>0</v>
      </c>
      <c r="J94" s="69">
        <v>0</v>
      </c>
      <c r="K94" s="69">
        <v>0</v>
      </c>
      <c r="L94" s="69">
        <v>0</v>
      </c>
      <c r="M94" s="69">
        <v>0</v>
      </c>
      <c r="N94" s="69">
        <v>0</v>
      </c>
      <c r="O94" s="69">
        <v>0</v>
      </c>
      <c r="P94" s="69">
        <v>0</v>
      </c>
      <c r="Q94" s="69">
        <v>0</v>
      </c>
      <c r="R94" s="69">
        <v>0</v>
      </c>
      <c r="S94" s="69">
        <v>0</v>
      </c>
      <c r="T94" s="69">
        <v>0</v>
      </c>
      <c r="U94" s="69">
        <v>0</v>
      </c>
      <c r="V94" s="69">
        <v>0</v>
      </c>
      <c r="W94" s="69">
        <v>0</v>
      </c>
      <c r="X94" s="69">
        <v>0</v>
      </c>
      <c r="Y94" s="69">
        <v>0</v>
      </c>
      <c r="Z94" s="69">
        <v>0</v>
      </c>
      <c r="AA94" s="69">
        <v>0</v>
      </c>
      <c r="AB94" s="69">
        <v>0</v>
      </c>
      <c r="AC94" s="69">
        <v>0</v>
      </c>
      <c r="AD94" s="69">
        <v>0</v>
      </c>
      <c r="AE94" s="69">
        <v>0</v>
      </c>
      <c r="AF94" s="69">
        <v>0</v>
      </c>
      <c r="AG94" s="69">
        <v>0</v>
      </c>
      <c r="AH94" s="69">
        <v>0</v>
      </c>
      <c r="AI94" s="69">
        <v>0</v>
      </c>
      <c r="AJ94" s="69">
        <v>0</v>
      </c>
      <c r="AK94" s="69">
        <v>0</v>
      </c>
      <c r="AL94" s="69">
        <v>0</v>
      </c>
      <c r="AM94" s="69">
        <v>0</v>
      </c>
      <c r="AN94" s="69">
        <v>0</v>
      </c>
      <c r="AO94" s="79">
        <f>SUM(G94:AN94)</f>
        <v>0</v>
      </c>
      <c r="AQ94" s="64" t="str">
        <f>D94</f>
        <v>WARD, Richard G. -May</v>
      </c>
    </row>
    <row r="95" spans="1:43" s="48" customFormat="1" ht="15" x14ac:dyDescent="0.4">
      <c r="A95">
        <v>89</v>
      </c>
      <c r="B95" s="42"/>
      <c r="C95" t="e">
        <f>MATCH(B95,Salary!B:B,0)</f>
        <v>#N/A</v>
      </c>
      <c r="D95" s="74" t="s">
        <v>211</v>
      </c>
      <c r="E95" s="105" t="s">
        <v>212</v>
      </c>
      <c r="F95" s="50"/>
      <c r="G95" s="69">
        <v>0</v>
      </c>
      <c r="H95" s="69">
        <v>0</v>
      </c>
      <c r="I95" s="69">
        <v>0</v>
      </c>
      <c r="J95" s="69">
        <v>0</v>
      </c>
      <c r="K95" s="69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>
        <v>0</v>
      </c>
      <c r="S95" s="69">
        <v>0</v>
      </c>
      <c r="T95" s="69">
        <v>0</v>
      </c>
      <c r="U95" s="69">
        <v>0</v>
      </c>
      <c r="V95" s="69">
        <v>0</v>
      </c>
      <c r="W95" s="69">
        <v>0</v>
      </c>
      <c r="X95" s="69">
        <v>0</v>
      </c>
      <c r="Y95" s="69">
        <v>0</v>
      </c>
      <c r="Z95" s="69">
        <v>0</v>
      </c>
      <c r="AA95" s="69">
        <v>0</v>
      </c>
      <c r="AB95" s="69">
        <v>0</v>
      </c>
      <c r="AC95" s="69">
        <v>0</v>
      </c>
      <c r="AD95" s="69">
        <v>0</v>
      </c>
      <c r="AE95" s="69">
        <v>0</v>
      </c>
      <c r="AF95" s="69">
        <v>0</v>
      </c>
      <c r="AG95" s="69">
        <v>0</v>
      </c>
      <c r="AH95" s="69">
        <v>0</v>
      </c>
      <c r="AI95" s="69">
        <v>0</v>
      </c>
      <c r="AJ95" s="69">
        <v>0</v>
      </c>
      <c r="AK95" s="69">
        <v>0</v>
      </c>
      <c r="AL95" s="69">
        <v>0</v>
      </c>
      <c r="AM95" s="69">
        <v>0</v>
      </c>
      <c r="AN95" s="69">
        <v>0</v>
      </c>
      <c r="AO95" s="79">
        <f>SUM(G95:AN95)</f>
        <v>0</v>
      </c>
      <c r="AQ95" s="64" t="str">
        <f>D95</f>
        <v>WARD, Richard G. - August</v>
      </c>
    </row>
    <row r="96" spans="1:43" s="48" customFormat="1" ht="15" x14ac:dyDescent="0.4">
      <c r="A96">
        <v>90</v>
      </c>
      <c r="B96" s="42"/>
      <c r="C96" t="e">
        <f>MATCH(B96,Salary!B:B,0)</f>
        <v>#N/A</v>
      </c>
      <c r="D96" s="83" t="s">
        <v>213</v>
      </c>
      <c r="E96" s="75" t="s">
        <v>214</v>
      </c>
      <c r="F96" s="50"/>
      <c r="G96" s="69">
        <v>0</v>
      </c>
      <c r="H96" s="69">
        <v>0</v>
      </c>
      <c r="I96" s="69">
        <v>0</v>
      </c>
      <c r="J96" s="69">
        <v>0</v>
      </c>
      <c r="K96" s="69">
        <v>0</v>
      </c>
      <c r="L96" s="69">
        <v>0</v>
      </c>
      <c r="M96" s="69">
        <v>0</v>
      </c>
      <c r="N96" s="69">
        <v>0</v>
      </c>
      <c r="O96" s="69">
        <v>0</v>
      </c>
      <c r="P96" s="69">
        <v>0</v>
      </c>
      <c r="Q96" s="69">
        <v>0</v>
      </c>
      <c r="R96" s="69">
        <v>0</v>
      </c>
      <c r="S96" s="69">
        <v>0</v>
      </c>
      <c r="T96" s="69">
        <v>0</v>
      </c>
      <c r="U96" s="69">
        <v>0</v>
      </c>
      <c r="V96" s="69">
        <v>0</v>
      </c>
      <c r="W96" s="69">
        <v>0</v>
      </c>
      <c r="X96" s="69">
        <v>0</v>
      </c>
      <c r="Y96" s="69">
        <v>0</v>
      </c>
      <c r="Z96" s="69">
        <v>0</v>
      </c>
      <c r="AA96" s="69">
        <v>0</v>
      </c>
      <c r="AB96" s="69">
        <v>0</v>
      </c>
      <c r="AC96" s="69">
        <v>0</v>
      </c>
      <c r="AD96" s="69">
        <v>0</v>
      </c>
      <c r="AE96" s="69">
        <v>0</v>
      </c>
      <c r="AF96" s="69">
        <v>0</v>
      </c>
      <c r="AG96" s="69">
        <v>0</v>
      </c>
      <c r="AH96" s="69">
        <v>0</v>
      </c>
      <c r="AI96" s="69">
        <v>0</v>
      </c>
      <c r="AJ96" s="69">
        <v>0</v>
      </c>
      <c r="AK96" s="69">
        <v>0</v>
      </c>
      <c r="AL96" s="69">
        <v>0</v>
      </c>
      <c r="AM96" s="69">
        <v>0</v>
      </c>
      <c r="AN96" s="69">
        <v>0</v>
      </c>
      <c r="AO96" s="79">
        <f t="shared" si="2"/>
        <v>0</v>
      </c>
      <c r="AQ96" s="64" t="str">
        <f t="shared" si="3"/>
        <v xml:space="preserve">Wardwick, Lamar </v>
      </c>
    </row>
    <row r="97" spans="1:43" s="48" customFormat="1" ht="15" x14ac:dyDescent="0.4">
      <c r="A97">
        <v>91</v>
      </c>
      <c r="B97" s="42"/>
      <c r="C97" t="e">
        <f>MATCH(B97,Salary!B:B,0)</f>
        <v>#N/A</v>
      </c>
      <c r="D97" s="74" t="s">
        <v>215</v>
      </c>
      <c r="E97" s="75" t="s">
        <v>98</v>
      </c>
      <c r="F97" s="50"/>
      <c r="G97" s="69">
        <v>0</v>
      </c>
      <c r="H97" s="69">
        <v>0</v>
      </c>
      <c r="I97" s="69">
        <v>0</v>
      </c>
      <c r="J97" s="69">
        <v>0</v>
      </c>
      <c r="K97" s="69">
        <v>0</v>
      </c>
      <c r="L97" s="69">
        <v>0</v>
      </c>
      <c r="M97" s="69">
        <v>0</v>
      </c>
      <c r="N97" s="69">
        <v>0</v>
      </c>
      <c r="O97" s="69">
        <v>0</v>
      </c>
      <c r="P97" s="69">
        <v>0</v>
      </c>
      <c r="Q97" s="69">
        <v>0</v>
      </c>
      <c r="R97" s="69">
        <v>0</v>
      </c>
      <c r="S97" s="69">
        <v>0</v>
      </c>
      <c r="T97" s="69">
        <v>0</v>
      </c>
      <c r="U97" s="69">
        <v>0</v>
      </c>
      <c r="V97" s="69">
        <v>0</v>
      </c>
      <c r="W97" s="69">
        <v>0</v>
      </c>
      <c r="X97" s="69">
        <v>0</v>
      </c>
      <c r="Y97" s="69">
        <v>0</v>
      </c>
      <c r="Z97" s="69">
        <v>0</v>
      </c>
      <c r="AA97" s="69">
        <v>0</v>
      </c>
      <c r="AB97" s="69">
        <v>0</v>
      </c>
      <c r="AC97" s="69">
        <v>0</v>
      </c>
      <c r="AD97" s="69">
        <v>0</v>
      </c>
      <c r="AE97" s="69">
        <v>0</v>
      </c>
      <c r="AF97" s="69">
        <v>0</v>
      </c>
      <c r="AG97" s="69">
        <v>0</v>
      </c>
      <c r="AH97" s="69">
        <v>0</v>
      </c>
      <c r="AI97" s="69">
        <v>0</v>
      </c>
      <c r="AJ97" s="69">
        <v>0</v>
      </c>
      <c r="AK97" s="69">
        <v>0</v>
      </c>
      <c r="AL97" s="69">
        <v>0</v>
      </c>
      <c r="AM97" s="69">
        <v>0</v>
      </c>
      <c r="AN97" s="69">
        <v>0</v>
      </c>
      <c r="AO97" s="79">
        <f t="shared" si="2"/>
        <v>0</v>
      </c>
      <c r="AQ97" s="64" t="str">
        <f t="shared" si="3"/>
        <v>WILLIAMS, Kilaina</v>
      </c>
    </row>
    <row r="98" spans="1:43" s="48" customFormat="1" ht="15" x14ac:dyDescent="0.4">
      <c r="A98">
        <v>92</v>
      </c>
      <c r="B98" s="42"/>
      <c r="C98" t="e">
        <f>MATCH(B98,Salary!B:B,0)</f>
        <v>#N/A</v>
      </c>
      <c r="D98" s="74" t="s">
        <v>216</v>
      </c>
      <c r="E98" s="75" t="s">
        <v>97</v>
      </c>
      <c r="F98" s="50"/>
      <c r="G98" s="69">
        <v>0</v>
      </c>
      <c r="H98" s="69">
        <v>0</v>
      </c>
      <c r="I98" s="69">
        <v>0</v>
      </c>
      <c r="J98" s="69">
        <v>0</v>
      </c>
      <c r="K98" s="69">
        <v>0</v>
      </c>
      <c r="L98" s="69">
        <v>0</v>
      </c>
      <c r="M98" s="69">
        <v>0</v>
      </c>
      <c r="N98" s="69">
        <v>0</v>
      </c>
      <c r="O98" s="69">
        <v>0</v>
      </c>
      <c r="P98" s="69">
        <v>0</v>
      </c>
      <c r="Q98" s="69">
        <v>0</v>
      </c>
      <c r="R98" s="69">
        <v>0</v>
      </c>
      <c r="S98" s="69">
        <v>0</v>
      </c>
      <c r="T98" s="69">
        <v>0</v>
      </c>
      <c r="U98" s="69">
        <v>0</v>
      </c>
      <c r="V98" s="69">
        <v>0</v>
      </c>
      <c r="W98" s="69">
        <v>0</v>
      </c>
      <c r="X98" s="69">
        <v>0</v>
      </c>
      <c r="Y98" s="69">
        <v>0</v>
      </c>
      <c r="Z98" s="69">
        <v>0</v>
      </c>
      <c r="AA98" s="69">
        <v>0</v>
      </c>
      <c r="AB98" s="69">
        <v>0</v>
      </c>
      <c r="AC98" s="69">
        <v>0</v>
      </c>
      <c r="AD98" s="69">
        <v>0</v>
      </c>
      <c r="AE98" s="69">
        <v>0</v>
      </c>
      <c r="AF98" s="69">
        <v>0</v>
      </c>
      <c r="AG98" s="69">
        <v>0</v>
      </c>
      <c r="AH98" s="69">
        <v>0</v>
      </c>
      <c r="AI98" s="69">
        <v>0</v>
      </c>
      <c r="AJ98" s="69">
        <v>0</v>
      </c>
      <c r="AK98" s="69">
        <v>0</v>
      </c>
      <c r="AL98" s="69">
        <v>0</v>
      </c>
      <c r="AM98" s="69">
        <v>0</v>
      </c>
      <c r="AN98" s="69">
        <v>0</v>
      </c>
      <c r="AO98" s="79">
        <f t="shared" si="2"/>
        <v>0</v>
      </c>
      <c r="AQ98" s="64" t="str">
        <f t="shared" si="3"/>
        <v>WOODRIDGE, Rosalind</v>
      </c>
    </row>
    <row r="99" spans="1:43" s="48" customFormat="1" ht="15" x14ac:dyDescent="0.4">
      <c r="A99">
        <v>93</v>
      </c>
      <c r="B99" s="42"/>
      <c r="C99" t="e">
        <f>MATCH(B99,Salary!B:B,0)</f>
        <v>#N/A</v>
      </c>
      <c r="D99" s="74" t="s">
        <v>217</v>
      </c>
      <c r="E99" s="75" t="s">
        <v>97</v>
      </c>
      <c r="F99" s="50"/>
      <c r="G99" s="69">
        <v>0</v>
      </c>
      <c r="H99" s="69">
        <v>0</v>
      </c>
      <c r="I99" s="69">
        <v>0</v>
      </c>
      <c r="J99" s="69">
        <v>0</v>
      </c>
      <c r="K99" s="69">
        <v>0</v>
      </c>
      <c r="L99" s="69">
        <v>0</v>
      </c>
      <c r="M99" s="69">
        <v>0</v>
      </c>
      <c r="N99" s="69">
        <v>0</v>
      </c>
      <c r="O99" s="69">
        <v>0</v>
      </c>
      <c r="P99" s="69">
        <v>0</v>
      </c>
      <c r="Q99" s="69">
        <v>0</v>
      </c>
      <c r="R99" s="69">
        <v>0</v>
      </c>
      <c r="S99" s="69">
        <v>0</v>
      </c>
      <c r="T99" s="69">
        <v>0</v>
      </c>
      <c r="U99" s="69">
        <v>0</v>
      </c>
      <c r="V99" s="69">
        <v>0</v>
      </c>
      <c r="W99" s="69">
        <v>0</v>
      </c>
      <c r="X99" s="69">
        <v>0</v>
      </c>
      <c r="Y99" s="69">
        <v>0</v>
      </c>
      <c r="Z99" s="69">
        <v>0</v>
      </c>
      <c r="AA99" s="69">
        <v>0</v>
      </c>
      <c r="AB99" s="69">
        <v>0</v>
      </c>
      <c r="AC99" s="69">
        <v>0</v>
      </c>
      <c r="AD99" s="69">
        <v>0</v>
      </c>
      <c r="AE99" s="69">
        <v>0</v>
      </c>
      <c r="AF99" s="69">
        <v>0</v>
      </c>
      <c r="AG99" s="69">
        <v>0</v>
      </c>
      <c r="AH99" s="69">
        <v>0</v>
      </c>
      <c r="AI99" s="69">
        <v>0</v>
      </c>
      <c r="AJ99" s="69">
        <v>0</v>
      </c>
      <c r="AK99" s="69">
        <v>0</v>
      </c>
      <c r="AL99" s="69">
        <v>0</v>
      </c>
      <c r="AM99" s="69">
        <v>0</v>
      </c>
      <c r="AN99" s="69">
        <v>0</v>
      </c>
      <c r="AO99" s="79">
        <f t="shared" si="2"/>
        <v>0</v>
      </c>
      <c r="AQ99" s="64" t="str">
        <f t="shared" si="3"/>
        <v>WOODRIDGE, Rosalind - Summer</v>
      </c>
    </row>
    <row r="100" spans="1:43" s="48" customFormat="1" ht="15" x14ac:dyDescent="0.4">
      <c r="A100">
        <v>94</v>
      </c>
      <c r="B100" s="42"/>
      <c r="C100" t="e">
        <f>MATCH(B100,Salary!B:B,0)</f>
        <v>#N/A</v>
      </c>
      <c r="D100" s="106" t="s">
        <v>218</v>
      </c>
      <c r="E100" s="75" t="s">
        <v>107</v>
      </c>
      <c r="F100" s="50"/>
      <c r="G100" s="69">
        <v>0</v>
      </c>
      <c r="H100" s="69">
        <v>0</v>
      </c>
      <c r="I100" s="69">
        <v>0</v>
      </c>
      <c r="J100" s="69">
        <v>0</v>
      </c>
      <c r="K100" s="69">
        <v>0</v>
      </c>
      <c r="L100" s="69">
        <v>0</v>
      </c>
      <c r="M100" s="69">
        <v>0</v>
      </c>
      <c r="N100" s="69">
        <v>0</v>
      </c>
      <c r="O100" s="69">
        <v>0</v>
      </c>
      <c r="P100" s="69">
        <v>0</v>
      </c>
      <c r="Q100" s="69">
        <v>0</v>
      </c>
      <c r="R100" s="69">
        <v>0</v>
      </c>
      <c r="S100" s="69">
        <v>0</v>
      </c>
      <c r="T100" s="69">
        <v>0</v>
      </c>
      <c r="U100" s="69">
        <v>0</v>
      </c>
      <c r="V100" s="69">
        <v>0</v>
      </c>
      <c r="W100" s="69">
        <v>0</v>
      </c>
      <c r="X100" s="69">
        <v>0</v>
      </c>
      <c r="Y100" s="69">
        <v>0</v>
      </c>
      <c r="Z100" s="69">
        <v>0</v>
      </c>
      <c r="AA100" s="69">
        <v>0</v>
      </c>
      <c r="AB100" s="69">
        <v>0</v>
      </c>
      <c r="AC100" s="69">
        <v>0</v>
      </c>
      <c r="AD100" s="69">
        <v>0</v>
      </c>
      <c r="AE100" s="69">
        <v>0</v>
      </c>
      <c r="AF100" s="69">
        <v>0</v>
      </c>
      <c r="AG100" s="69">
        <v>0</v>
      </c>
      <c r="AH100" s="69">
        <v>0</v>
      </c>
      <c r="AI100" s="69">
        <v>0</v>
      </c>
      <c r="AJ100" s="69">
        <v>0</v>
      </c>
      <c r="AK100" s="69">
        <v>0</v>
      </c>
      <c r="AL100" s="69">
        <v>0</v>
      </c>
      <c r="AM100" s="69">
        <v>0</v>
      </c>
      <c r="AN100" s="69">
        <v>0</v>
      </c>
      <c r="AO100" s="79">
        <f t="shared" si="2"/>
        <v>0</v>
      </c>
      <c r="AQ100" s="64" t="str">
        <f t="shared" si="3"/>
        <v>WILJEAMPS, St Louis</v>
      </c>
    </row>
    <row r="101" spans="1:43" s="48" customFormat="1" ht="15" x14ac:dyDescent="0.4">
      <c r="A101">
        <v>95</v>
      </c>
      <c r="B101" s="42"/>
      <c r="C101" t="e">
        <f>MATCH(B101,Salary!B:B,0)</f>
        <v>#N/A</v>
      </c>
      <c r="D101" s="106" t="s">
        <v>219</v>
      </c>
      <c r="E101" s="75" t="s">
        <v>107</v>
      </c>
      <c r="F101" s="50"/>
      <c r="G101" s="69">
        <v>0</v>
      </c>
      <c r="H101" s="69">
        <v>0</v>
      </c>
      <c r="I101" s="69">
        <v>0</v>
      </c>
      <c r="J101" s="69">
        <v>0</v>
      </c>
      <c r="K101" s="69">
        <v>0</v>
      </c>
      <c r="L101" s="69">
        <v>0</v>
      </c>
      <c r="M101" s="69">
        <v>0</v>
      </c>
      <c r="N101" s="69">
        <v>0</v>
      </c>
      <c r="O101" s="69">
        <v>0</v>
      </c>
      <c r="P101" s="69">
        <v>0</v>
      </c>
      <c r="Q101" s="69">
        <v>0</v>
      </c>
      <c r="R101" s="69">
        <v>0</v>
      </c>
      <c r="S101" s="69">
        <v>0</v>
      </c>
      <c r="T101" s="69">
        <v>0</v>
      </c>
      <c r="U101" s="69">
        <v>0</v>
      </c>
      <c r="V101" s="69">
        <v>0</v>
      </c>
      <c r="W101" s="69">
        <v>0</v>
      </c>
      <c r="X101" s="69">
        <v>0</v>
      </c>
      <c r="Y101" s="69">
        <v>0</v>
      </c>
      <c r="Z101" s="69">
        <v>0</v>
      </c>
      <c r="AA101" s="69">
        <v>0</v>
      </c>
      <c r="AB101" s="69">
        <v>0</v>
      </c>
      <c r="AC101" s="69">
        <v>0</v>
      </c>
      <c r="AD101" s="69">
        <v>0</v>
      </c>
      <c r="AE101" s="69">
        <v>0</v>
      </c>
      <c r="AF101" s="69">
        <v>0</v>
      </c>
      <c r="AG101" s="69">
        <v>0</v>
      </c>
      <c r="AH101" s="69">
        <v>0</v>
      </c>
      <c r="AI101" s="69">
        <v>0</v>
      </c>
      <c r="AJ101" s="69">
        <v>0</v>
      </c>
      <c r="AK101" s="69">
        <v>0</v>
      </c>
      <c r="AL101" s="69">
        <v>0</v>
      </c>
      <c r="AM101" s="69">
        <v>0</v>
      </c>
      <c r="AN101" s="69">
        <v>0</v>
      </c>
      <c r="AO101" s="79">
        <f t="shared" si="2"/>
        <v>0</v>
      </c>
      <c r="AQ101" s="64" t="str">
        <f t="shared" si="3"/>
        <v>Wint, Renee</v>
      </c>
    </row>
    <row r="102" spans="1:43" s="48" customFormat="1" ht="15" x14ac:dyDescent="0.4">
      <c r="A102">
        <v>96</v>
      </c>
      <c r="B102" s="42"/>
      <c r="C102" t="e">
        <f>MATCH(B102,Salary!B:B,0)</f>
        <v>#N/A</v>
      </c>
      <c r="D102" s="106" t="s">
        <v>220</v>
      </c>
      <c r="E102" s="75" t="s">
        <v>97</v>
      </c>
      <c r="F102" s="50"/>
      <c r="G102" s="69">
        <v>0</v>
      </c>
      <c r="H102" s="69">
        <v>0</v>
      </c>
      <c r="I102" s="69">
        <v>0</v>
      </c>
      <c r="J102" s="69">
        <v>0</v>
      </c>
      <c r="K102" s="69">
        <v>0</v>
      </c>
      <c r="L102" s="69">
        <v>0</v>
      </c>
      <c r="M102" s="69">
        <v>0</v>
      </c>
      <c r="N102" s="69">
        <v>0</v>
      </c>
      <c r="O102" s="69">
        <v>0</v>
      </c>
      <c r="P102" s="69">
        <v>0</v>
      </c>
      <c r="Q102" s="69">
        <v>0</v>
      </c>
      <c r="R102" s="69">
        <v>0</v>
      </c>
      <c r="S102" s="69">
        <v>0</v>
      </c>
      <c r="T102" s="69">
        <v>0</v>
      </c>
      <c r="U102" s="69">
        <v>0</v>
      </c>
      <c r="V102" s="69">
        <v>0</v>
      </c>
      <c r="W102" s="69">
        <v>0</v>
      </c>
      <c r="X102" s="69">
        <v>0</v>
      </c>
      <c r="Y102" s="69">
        <v>0</v>
      </c>
      <c r="Z102" s="69">
        <v>0</v>
      </c>
      <c r="AA102" s="69">
        <v>0</v>
      </c>
      <c r="AB102" s="69">
        <v>0</v>
      </c>
      <c r="AC102" s="69">
        <v>0</v>
      </c>
      <c r="AD102" s="69">
        <v>0</v>
      </c>
      <c r="AE102" s="69">
        <v>0</v>
      </c>
      <c r="AF102" s="69">
        <v>0</v>
      </c>
      <c r="AG102" s="69">
        <v>0</v>
      </c>
      <c r="AH102" s="69">
        <v>0</v>
      </c>
      <c r="AI102" s="69">
        <v>0</v>
      </c>
      <c r="AJ102" s="69">
        <v>0</v>
      </c>
      <c r="AK102" s="69">
        <v>0</v>
      </c>
      <c r="AL102" s="69">
        <v>0</v>
      </c>
      <c r="AM102" s="69">
        <v>0</v>
      </c>
      <c r="AN102" s="69">
        <v>0</v>
      </c>
      <c r="AO102" s="79">
        <f t="shared" si="2"/>
        <v>0</v>
      </c>
      <c r="AQ102" s="64" t="str">
        <f t="shared" si="3"/>
        <v>Janvier, Jhonny</v>
      </c>
    </row>
    <row r="103" spans="1:43" s="48" customFormat="1" ht="15" x14ac:dyDescent="0.4">
      <c r="A103">
        <v>97</v>
      </c>
      <c r="B103" s="42"/>
      <c r="C103" t="e">
        <f>MATCH(B103,Salary!B:B,0)</f>
        <v>#N/A</v>
      </c>
      <c r="D103" s="106" t="s">
        <v>221</v>
      </c>
      <c r="E103" s="75" t="s">
        <v>222</v>
      </c>
      <c r="F103" s="50"/>
      <c r="G103" s="69">
        <v>0</v>
      </c>
      <c r="H103" s="69">
        <v>0</v>
      </c>
      <c r="I103" s="69">
        <v>0</v>
      </c>
      <c r="J103" s="69">
        <v>0</v>
      </c>
      <c r="K103" s="69">
        <v>0</v>
      </c>
      <c r="L103" s="69">
        <v>0</v>
      </c>
      <c r="M103" s="69">
        <v>0</v>
      </c>
      <c r="N103" s="69">
        <v>0</v>
      </c>
      <c r="O103" s="69">
        <v>0</v>
      </c>
      <c r="P103" s="69">
        <v>0</v>
      </c>
      <c r="Q103" s="69">
        <v>0</v>
      </c>
      <c r="R103" s="69">
        <v>0</v>
      </c>
      <c r="S103" s="69">
        <v>0</v>
      </c>
      <c r="T103" s="69">
        <v>0</v>
      </c>
      <c r="U103" s="69">
        <v>0</v>
      </c>
      <c r="V103" s="69">
        <v>0</v>
      </c>
      <c r="W103" s="69">
        <v>0</v>
      </c>
      <c r="X103" s="69">
        <v>0</v>
      </c>
      <c r="Y103" s="69">
        <v>0</v>
      </c>
      <c r="Z103" s="69">
        <v>0</v>
      </c>
      <c r="AA103" s="69">
        <v>0</v>
      </c>
      <c r="AB103" s="69">
        <v>0</v>
      </c>
      <c r="AC103" s="69">
        <v>0</v>
      </c>
      <c r="AD103" s="69">
        <v>0</v>
      </c>
      <c r="AE103" s="69">
        <v>0</v>
      </c>
      <c r="AF103" s="69">
        <v>0</v>
      </c>
      <c r="AG103" s="69">
        <v>0</v>
      </c>
      <c r="AH103" s="69">
        <v>0</v>
      </c>
      <c r="AI103" s="69">
        <v>0</v>
      </c>
      <c r="AJ103" s="69">
        <v>0</v>
      </c>
      <c r="AK103" s="69">
        <v>0</v>
      </c>
      <c r="AL103" s="69">
        <v>0</v>
      </c>
      <c r="AM103" s="69">
        <v>0</v>
      </c>
      <c r="AN103" s="69">
        <v>0</v>
      </c>
      <c r="AO103" s="79">
        <f t="shared" si="2"/>
        <v>0</v>
      </c>
      <c r="AQ103" s="64" t="str">
        <f t="shared" si="3"/>
        <v>Janvier, Jhonny - Summer</v>
      </c>
    </row>
    <row r="104" spans="1:43" s="48" customFormat="1" ht="15" x14ac:dyDescent="0.4">
      <c r="A104">
        <v>98</v>
      </c>
      <c r="B104" s="42"/>
      <c r="C104" t="e">
        <f>MATCH(B104,Salary!B:B,0)</f>
        <v>#N/A</v>
      </c>
      <c r="D104" s="106" t="s">
        <v>223</v>
      </c>
      <c r="E104" s="75" t="s">
        <v>147</v>
      </c>
      <c r="F104" s="50"/>
      <c r="G104" s="69">
        <v>0</v>
      </c>
      <c r="H104" s="69">
        <v>0</v>
      </c>
      <c r="I104" s="69">
        <v>0</v>
      </c>
      <c r="J104" s="69">
        <v>0</v>
      </c>
      <c r="K104" s="69">
        <v>0</v>
      </c>
      <c r="L104" s="69">
        <v>0</v>
      </c>
      <c r="M104" s="69">
        <v>0</v>
      </c>
      <c r="N104" s="69">
        <v>0</v>
      </c>
      <c r="O104" s="69">
        <v>0</v>
      </c>
      <c r="P104" s="69">
        <v>0</v>
      </c>
      <c r="Q104" s="69">
        <v>0</v>
      </c>
      <c r="R104" s="69">
        <v>0</v>
      </c>
      <c r="S104" s="69">
        <v>0</v>
      </c>
      <c r="T104" s="69">
        <v>0</v>
      </c>
      <c r="U104" s="69">
        <v>0</v>
      </c>
      <c r="V104" s="69">
        <v>0</v>
      </c>
      <c r="W104" s="69">
        <v>0</v>
      </c>
      <c r="X104" s="69">
        <v>0</v>
      </c>
      <c r="Y104" s="69">
        <v>0</v>
      </c>
      <c r="Z104" s="69">
        <v>0</v>
      </c>
      <c r="AA104" s="69">
        <v>0</v>
      </c>
      <c r="AB104" s="69">
        <v>0</v>
      </c>
      <c r="AC104" s="69">
        <v>0</v>
      </c>
      <c r="AD104" s="69">
        <v>0</v>
      </c>
      <c r="AE104" s="69">
        <v>0</v>
      </c>
      <c r="AF104" s="69">
        <v>0</v>
      </c>
      <c r="AG104" s="69">
        <v>0</v>
      </c>
      <c r="AH104" s="69">
        <v>0</v>
      </c>
      <c r="AI104" s="69">
        <v>0</v>
      </c>
      <c r="AJ104" s="69">
        <v>0</v>
      </c>
      <c r="AK104" s="69">
        <v>0</v>
      </c>
      <c r="AL104" s="69">
        <v>0</v>
      </c>
      <c r="AM104" s="69">
        <v>0</v>
      </c>
      <c r="AN104" s="69">
        <v>0</v>
      </c>
      <c r="AO104" s="79">
        <f t="shared" si="2"/>
        <v>0</v>
      </c>
      <c r="AQ104" s="64" t="str">
        <f t="shared" si="3"/>
        <v>Bennett, Patricia A.</v>
      </c>
    </row>
    <row r="105" spans="1:43" s="48" customFormat="1" ht="15" x14ac:dyDescent="0.4">
      <c r="A105">
        <v>99</v>
      </c>
      <c r="B105" s="42"/>
      <c r="C105" t="e">
        <f>MATCH(B105,Salary!B:B,0)</f>
        <v>#N/A</v>
      </c>
      <c r="D105" s="106" t="s">
        <v>224</v>
      </c>
      <c r="E105" s="75" t="s">
        <v>98</v>
      </c>
      <c r="F105" s="50"/>
      <c r="G105" s="69">
        <v>0</v>
      </c>
      <c r="H105" s="69">
        <v>0</v>
      </c>
      <c r="I105" s="69">
        <v>0</v>
      </c>
      <c r="J105" s="69">
        <v>0</v>
      </c>
      <c r="K105" s="69">
        <v>0</v>
      </c>
      <c r="L105" s="69">
        <v>0</v>
      </c>
      <c r="M105" s="69">
        <v>0</v>
      </c>
      <c r="N105" s="69">
        <v>0</v>
      </c>
      <c r="O105" s="69">
        <v>0</v>
      </c>
      <c r="P105" s="69">
        <v>0</v>
      </c>
      <c r="Q105" s="69">
        <v>0</v>
      </c>
      <c r="R105" s="69">
        <v>0</v>
      </c>
      <c r="S105" s="69">
        <v>0</v>
      </c>
      <c r="T105" s="69">
        <v>0</v>
      </c>
      <c r="U105" s="69">
        <v>0</v>
      </c>
      <c r="V105" s="69">
        <v>0</v>
      </c>
      <c r="W105" s="69">
        <v>0</v>
      </c>
      <c r="X105" s="69">
        <v>0</v>
      </c>
      <c r="Y105" s="69">
        <v>0</v>
      </c>
      <c r="Z105" s="69">
        <v>0</v>
      </c>
      <c r="AA105" s="69">
        <v>0</v>
      </c>
      <c r="AB105" s="69">
        <v>0</v>
      </c>
      <c r="AC105" s="69">
        <v>0</v>
      </c>
      <c r="AD105" s="69">
        <v>0</v>
      </c>
      <c r="AE105" s="69">
        <v>0</v>
      </c>
      <c r="AF105" s="69">
        <v>0</v>
      </c>
      <c r="AG105" s="69">
        <v>0</v>
      </c>
      <c r="AH105" s="69">
        <v>0</v>
      </c>
      <c r="AI105" s="69">
        <v>0</v>
      </c>
      <c r="AJ105" s="69">
        <v>0</v>
      </c>
      <c r="AK105" s="69">
        <v>0</v>
      </c>
      <c r="AL105" s="69">
        <v>0</v>
      </c>
      <c r="AM105" s="69">
        <v>0</v>
      </c>
      <c r="AN105" s="69">
        <v>0</v>
      </c>
      <c r="AO105" s="79">
        <f t="shared" si="2"/>
        <v>0</v>
      </c>
      <c r="AQ105" s="64" t="str">
        <f t="shared" si="3"/>
        <v>Majors. Abarr</v>
      </c>
    </row>
    <row r="106" spans="1:43" s="48" customFormat="1" ht="15" x14ac:dyDescent="0.4">
      <c r="A106">
        <v>100</v>
      </c>
      <c r="B106" s="42"/>
      <c r="C106" t="e">
        <f>MATCH(B106,Salary!B:B,0)</f>
        <v>#N/A</v>
      </c>
      <c r="D106" s="107" t="s">
        <v>225</v>
      </c>
      <c r="E106" s="75" t="s">
        <v>98</v>
      </c>
      <c r="F106" s="50"/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>
        <v>0</v>
      </c>
      <c r="S106" s="69">
        <v>0</v>
      </c>
      <c r="T106" s="69">
        <v>0</v>
      </c>
      <c r="U106" s="69">
        <v>0</v>
      </c>
      <c r="V106" s="69">
        <v>0</v>
      </c>
      <c r="W106" s="69">
        <v>0</v>
      </c>
      <c r="X106" s="69">
        <v>0</v>
      </c>
      <c r="Y106" s="69">
        <v>0</v>
      </c>
      <c r="Z106" s="69">
        <v>0</v>
      </c>
      <c r="AA106" s="69">
        <v>0</v>
      </c>
      <c r="AB106" s="69">
        <v>0</v>
      </c>
      <c r="AC106" s="69">
        <v>0</v>
      </c>
      <c r="AD106" s="69">
        <v>0</v>
      </c>
      <c r="AE106" s="69">
        <v>0</v>
      </c>
      <c r="AF106" s="69">
        <v>0</v>
      </c>
      <c r="AG106" s="69">
        <v>0</v>
      </c>
      <c r="AH106" s="69">
        <v>0</v>
      </c>
      <c r="AI106" s="69">
        <v>0</v>
      </c>
      <c r="AJ106" s="69">
        <v>0</v>
      </c>
      <c r="AK106" s="69">
        <v>0</v>
      </c>
      <c r="AL106" s="69">
        <v>0</v>
      </c>
      <c r="AM106" s="69">
        <v>0</v>
      </c>
      <c r="AN106" s="69">
        <v>0</v>
      </c>
      <c r="AO106" s="79">
        <f t="shared" si="2"/>
        <v>0</v>
      </c>
      <c r="AQ106" s="64" t="str">
        <f t="shared" si="3"/>
        <v>Brinson, Royshonda</v>
      </c>
    </row>
    <row r="107" spans="1:43" s="48" customFormat="1" ht="15" x14ac:dyDescent="0.4">
      <c r="A107">
        <v>101</v>
      </c>
      <c r="B107" s="42"/>
      <c r="C107" t="e">
        <f>MATCH(B107,Salary!B:B,0)</f>
        <v>#N/A</v>
      </c>
      <c r="D107" s="106" t="s">
        <v>226</v>
      </c>
      <c r="E107" s="75" t="s">
        <v>214</v>
      </c>
      <c r="F107" s="50"/>
      <c r="G107" s="69">
        <v>0</v>
      </c>
      <c r="H107" s="69">
        <v>0</v>
      </c>
      <c r="I107" s="69">
        <v>0</v>
      </c>
      <c r="J107" s="69">
        <v>0</v>
      </c>
      <c r="K107" s="69">
        <v>0</v>
      </c>
      <c r="L107" s="69">
        <v>0</v>
      </c>
      <c r="M107" s="69">
        <v>0</v>
      </c>
      <c r="N107" s="69">
        <v>0</v>
      </c>
      <c r="O107" s="69">
        <v>0</v>
      </c>
      <c r="P107" s="69">
        <v>0</v>
      </c>
      <c r="Q107" s="69">
        <v>0</v>
      </c>
      <c r="R107" s="69">
        <v>0</v>
      </c>
      <c r="S107" s="69">
        <v>0</v>
      </c>
      <c r="T107" s="69">
        <v>0</v>
      </c>
      <c r="U107" s="69">
        <v>0</v>
      </c>
      <c r="V107" s="69">
        <v>0</v>
      </c>
      <c r="W107" s="69">
        <v>0</v>
      </c>
      <c r="X107" s="69">
        <v>0</v>
      </c>
      <c r="Y107" s="69">
        <v>0</v>
      </c>
      <c r="Z107" s="69">
        <v>0</v>
      </c>
      <c r="AA107" s="69">
        <v>0</v>
      </c>
      <c r="AB107" s="69">
        <v>0</v>
      </c>
      <c r="AC107" s="69">
        <v>0</v>
      </c>
      <c r="AD107" s="69">
        <v>0</v>
      </c>
      <c r="AE107" s="69">
        <v>0</v>
      </c>
      <c r="AF107" s="69">
        <v>0</v>
      </c>
      <c r="AG107" s="69">
        <v>0</v>
      </c>
      <c r="AH107" s="69">
        <v>0</v>
      </c>
      <c r="AI107" s="69">
        <v>0</v>
      </c>
      <c r="AJ107" s="69">
        <v>0</v>
      </c>
      <c r="AK107" s="69">
        <v>0</v>
      </c>
      <c r="AL107" s="69">
        <v>0</v>
      </c>
      <c r="AM107" s="69">
        <v>0</v>
      </c>
      <c r="AN107" s="69">
        <v>0</v>
      </c>
      <c r="AO107" s="79">
        <f t="shared" si="2"/>
        <v>0</v>
      </c>
      <c r="AQ107" s="108" t="str">
        <f t="shared" si="3"/>
        <v>Lindsey, Victoria - May</v>
      </c>
    </row>
    <row r="108" spans="1:43" s="48" customFormat="1" ht="15" x14ac:dyDescent="0.4">
      <c r="A108">
        <v>102</v>
      </c>
      <c r="B108" s="42"/>
      <c r="C108" t="e">
        <f>MATCH(B108,Salary!B:B,0)</f>
        <v>#N/A</v>
      </c>
      <c r="D108" s="106" t="s">
        <v>227</v>
      </c>
      <c r="E108" s="75" t="s">
        <v>214</v>
      </c>
      <c r="F108" s="50"/>
      <c r="G108" s="69">
        <v>0</v>
      </c>
      <c r="H108" s="69">
        <v>0</v>
      </c>
      <c r="I108" s="69">
        <v>0</v>
      </c>
      <c r="J108" s="69">
        <v>0</v>
      </c>
      <c r="K108" s="69">
        <v>0</v>
      </c>
      <c r="L108" s="69">
        <v>0</v>
      </c>
      <c r="M108" s="69">
        <v>0</v>
      </c>
      <c r="N108" s="69">
        <v>0</v>
      </c>
      <c r="O108" s="69">
        <v>0</v>
      </c>
      <c r="P108" s="69">
        <v>0</v>
      </c>
      <c r="Q108" s="69">
        <v>0</v>
      </c>
      <c r="R108" s="69">
        <v>0</v>
      </c>
      <c r="S108" s="69">
        <v>0</v>
      </c>
      <c r="T108" s="69">
        <v>0</v>
      </c>
      <c r="U108" s="69">
        <v>0</v>
      </c>
      <c r="V108" s="69">
        <v>0</v>
      </c>
      <c r="W108" s="69">
        <v>0</v>
      </c>
      <c r="X108" s="69">
        <v>0</v>
      </c>
      <c r="Y108" s="69">
        <v>0</v>
      </c>
      <c r="Z108" s="69">
        <v>0</v>
      </c>
      <c r="AA108" s="69">
        <v>0</v>
      </c>
      <c r="AB108" s="69">
        <v>0</v>
      </c>
      <c r="AC108" s="69">
        <v>0</v>
      </c>
      <c r="AD108" s="69">
        <v>0</v>
      </c>
      <c r="AE108" s="69">
        <v>0</v>
      </c>
      <c r="AF108" s="69">
        <v>0</v>
      </c>
      <c r="AG108" s="69">
        <v>0</v>
      </c>
      <c r="AH108" s="69">
        <v>0</v>
      </c>
      <c r="AI108" s="69">
        <v>0</v>
      </c>
      <c r="AJ108" s="69">
        <v>0</v>
      </c>
      <c r="AK108" s="69">
        <v>0</v>
      </c>
      <c r="AL108" s="69">
        <v>0</v>
      </c>
      <c r="AM108" s="69">
        <v>0</v>
      </c>
      <c r="AN108" s="69">
        <v>0</v>
      </c>
      <c r="AO108" s="79">
        <f>SUM(G108:AN108)</f>
        <v>0</v>
      </c>
      <c r="AQ108" s="108" t="str">
        <f>D108</f>
        <v>Lindsey, Victoria - June</v>
      </c>
    </row>
    <row r="109" spans="1:43" s="48" customFormat="1" ht="15" x14ac:dyDescent="0.4">
      <c r="A109">
        <v>103</v>
      </c>
      <c r="B109" s="42"/>
      <c r="C109" t="e">
        <f>MATCH(B109,Salary!B:B,0)</f>
        <v>#N/A</v>
      </c>
      <c r="D109" s="106" t="s">
        <v>228</v>
      </c>
      <c r="E109" s="75" t="s">
        <v>214</v>
      </c>
      <c r="F109" s="50"/>
      <c r="G109" s="69">
        <v>0</v>
      </c>
      <c r="H109" s="69">
        <v>0</v>
      </c>
      <c r="I109" s="69">
        <v>0</v>
      </c>
      <c r="J109" s="69">
        <v>0</v>
      </c>
      <c r="K109" s="69">
        <v>0</v>
      </c>
      <c r="L109" s="69">
        <v>0</v>
      </c>
      <c r="M109" s="69">
        <v>0</v>
      </c>
      <c r="N109" s="69">
        <v>0</v>
      </c>
      <c r="O109" s="69">
        <v>0</v>
      </c>
      <c r="P109" s="69">
        <v>0</v>
      </c>
      <c r="Q109" s="69">
        <v>0</v>
      </c>
      <c r="R109" s="69">
        <v>0</v>
      </c>
      <c r="S109" s="69">
        <v>0</v>
      </c>
      <c r="T109" s="69">
        <v>0</v>
      </c>
      <c r="U109" s="69">
        <v>0</v>
      </c>
      <c r="V109" s="69">
        <v>0</v>
      </c>
      <c r="W109" s="69">
        <v>0</v>
      </c>
      <c r="X109" s="69">
        <v>0</v>
      </c>
      <c r="Y109" s="69">
        <v>0</v>
      </c>
      <c r="Z109" s="69">
        <v>0</v>
      </c>
      <c r="AA109" s="69">
        <v>0</v>
      </c>
      <c r="AB109" s="69">
        <v>0</v>
      </c>
      <c r="AC109" s="69">
        <v>0</v>
      </c>
      <c r="AD109" s="69">
        <v>0</v>
      </c>
      <c r="AE109" s="69">
        <v>0</v>
      </c>
      <c r="AF109" s="69">
        <v>0</v>
      </c>
      <c r="AG109" s="69">
        <v>0</v>
      </c>
      <c r="AH109" s="69">
        <v>0</v>
      </c>
      <c r="AI109" s="69">
        <v>0</v>
      </c>
      <c r="AJ109" s="69">
        <v>0</v>
      </c>
      <c r="AK109" s="69">
        <v>0</v>
      </c>
      <c r="AL109" s="69">
        <v>0</v>
      </c>
      <c r="AM109" s="69">
        <v>0</v>
      </c>
      <c r="AN109" s="69">
        <v>0</v>
      </c>
      <c r="AO109" s="79">
        <f>SUM(G109:AN109)</f>
        <v>0</v>
      </c>
      <c r="AQ109" s="108" t="str">
        <f>D109</f>
        <v>Lindsey, Victoria - July</v>
      </c>
    </row>
    <row r="110" spans="1:43" s="48" customFormat="1" x14ac:dyDescent="0.35">
      <c r="A110">
        <v>104</v>
      </c>
      <c r="B110" s="42"/>
      <c r="C110" t="e">
        <f>MATCH(B110,Salary!B:B,0)</f>
        <v>#N/A</v>
      </c>
      <c r="D110" s="106" t="s">
        <v>229</v>
      </c>
      <c r="E110" s="109" t="s">
        <v>230</v>
      </c>
      <c r="F110" s="110"/>
      <c r="G110" s="69">
        <v>0</v>
      </c>
      <c r="H110" s="69">
        <v>0</v>
      </c>
      <c r="I110" s="69">
        <v>0</v>
      </c>
      <c r="J110" s="69">
        <v>0</v>
      </c>
      <c r="K110" s="69">
        <v>0</v>
      </c>
      <c r="L110" s="69">
        <v>0</v>
      </c>
      <c r="M110" s="69">
        <v>0</v>
      </c>
      <c r="N110" s="69">
        <v>0</v>
      </c>
      <c r="O110" s="69">
        <v>0</v>
      </c>
      <c r="P110" s="69">
        <v>0</v>
      </c>
      <c r="Q110" s="69">
        <v>0</v>
      </c>
      <c r="R110" s="69">
        <v>0</v>
      </c>
      <c r="S110" s="69">
        <v>0</v>
      </c>
      <c r="T110" s="69">
        <v>0</v>
      </c>
      <c r="U110" s="69">
        <v>0</v>
      </c>
      <c r="V110" s="69">
        <v>0</v>
      </c>
      <c r="W110" s="69">
        <v>0</v>
      </c>
      <c r="X110" s="69">
        <v>0</v>
      </c>
      <c r="Y110" s="69">
        <v>0</v>
      </c>
      <c r="Z110" s="69">
        <v>0</v>
      </c>
      <c r="AA110" s="69">
        <v>0</v>
      </c>
      <c r="AB110" s="69">
        <v>0</v>
      </c>
      <c r="AC110" s="69">
        <v>0</v>
      </c>
      <c r="AD110" s="69">
        <v>0</v>
      </c>
      <c r="AE110" s="69">
        <v>0</v>
      </c>
      <c r="AF110" s="69">
        <v>0</v>
      </c>
      <c r="AG110" s="69">
        <v>0</v>
      </c>
      <c r="AH110" s="69">
        <v>0</v>
      </c>
      <c r="AI110" s="69">
        <v>0</v>
      </c>
      <c r="AJ110" s="69">
        <v>0</v>
      </c>
      <c r="AK110" s="69">
        <v>0</v>
      </c>
      <c r="AL110" s="69">
        <v>0</v>
      </c>
      <c r="AM110" s="69">
        <v>0</v>
      </c>
      <c r="AN110" s="69">
        <v>0</v>
      </c>
      <c r="AO110" s="79">
        <f t="shared" si="2"/>
        <v>0</v>
      </c>
      <c r="AQ110" s="64" t="str">
        <f t="shared" si="3"/>
        <v>Williams, Kyneisha - Career Coach</v>
      </c>
    </row>
    <row r="111" spans="1:43" s="48" customFormat="1" ht="15" x14ac:dyDescent="0.4">
      <c r="A111">
        <v>105</v>
      </c>
      <c r="B111" s="42"/>
      <c r="C111" t="e">
        <f>MATCH(B111,Salary!B:B,0)</f>
        <v>#N/A</v>
      </c>
      <c r="D111" s="111" t="s">
        <v>231</v>
      </c>
      <c r="E111" s="110" t="s">
        <v>232</v>
      </c>
      <c r="F111" s="50"/>
      <c r="G111" s="69">
        <v>0</v>
      </c>
      <c r="H111" s="69">
        <v>0</v>
      </c>
      <c r="I111" s="69">
        <v>0</v>
      </c>
      <c r="J111" s="69">
        <v>0</v>
      </c>
      <c r="K111" s="69">
        <v>0</v>
      </c>
      <c r="L111" s="69">
        <v>0</v>
      </c>
      <c r="M111" s="69">
        <v>0</v>
      </c>
      <c r="N111" s="69">
        <v>0</v>
      </c>
      <c r="O111" s="69">
        <v>0</v>
      </c>
      <c r="P111" s="69">
        <v>0</v>
      </c>
      <c r="Q111" s="69">
        <v>0</v>
      </c>
      <c r="R111" s="69">
        <v>0</v>
      </c>
      <c r="S111" s="69">
        <v>0</v>
      </c>
      <c r="T111" s="69">
        <v>0</v>
      </c>
      <c r="U111" s="69">
        <v>0</v>
      </c>
      <c r="V111" s="69">
        <v>0</v>
      </c>
      <c r="W111" s="69">
        <v>0</v>
      </c>
      <c r="X111" s="69">
        <v>0</v>
      </c>
      <c r="Y111" s="69">
        <v>0</v>
      </c>
      <c r="Z111" s="69">
        <v>0</v>
      </c>
      <c r="AA111" s="69">
        <v>0</v>
      </c>
      <c r="AB111" s="69">
        <v>0</v>
      </c>
      <c r="AC111" s="69">
        <v>0</v>
      </c>
      <c r="AD111" s="69">
        <v>0</v>
      </c>
      <c r="AE111" s="69">
        <v>0</v>
      </c>
      <c r="AF111" s="69">
        <v>0</v>
      </c>
      <c r="AG111" s="69">
        <v>0</v>
      </c>
      <c r="AH111" s="69">
        <v>0</v>
      </c>
      <c r="AI111" s="69">
        <v>0</v>
      </c>
      <c r="AJ111" s="69">
        <v>0</v>
      </c>
      <c r="AK111" s="69">
        <v>0</v>
      </c>
      <c r="AL111" s="69">
        <v>0</v>
      </c>
      <c r="AM111" s="69">
        <v>0</v>
      </c>
      <c r="AN111" s="69">
        <v>0</v>
      </c>
      <c r="AO111" s="79">
        <f t="shared" si="2"/>
        <v>0</v>
      </c>
      <c r="AQ111" s="64" t="str">
        <f t="shared" si="3"/>
        <v>Thorpe, Melissa</v>
      </c>
    </row>
    <row r="112" spans="1:43" s="48" customFormat="1" ht="15" x14ac:dyDescent="0.4">
      <c r="A112">
        <v>106</v>
      </c>
      <c r="B112" s="42"/>
      <c r="C112" t="e">
        <f>MATCH(B112,Salary!B:B,0)</f>
        <v>#N/A</v>
      </c>
      <c r="D112" s="111" t="s">
        <v>233</v>
      </c>
      <c r="E112" s="110" t="s">
        <v>232</v>
      </c>
      <c r="F112" s="50"/>
      <c r="G112" s="69">
        <v>0</v>
      </c>
      <c r="H112" s="69">
        <v>0</v>
      </c>
      <c r="I112" s="69">
        <v>0</v>
      </c>
      <c r="J112" s="69">
        <v>0</v>
      </c>
      <c r="K112" s="69">
        <v>0</v>
      </c>
      <c r="L112" s="69">
        <v>0</v>
      </c>
      <c r="M112" s="69">
        <v>0</v>
      </c>
      <c r="N112" s="69">
        <v>0</v>
      </c>
      <c r="O112" s="69">
        <v>0</v>
      </c>
      <c r="P112" s="69">
        <v>0</v>
      </c>
      <c r="Q112" s="69">
        <v>0</v>
      </c>
      <c r="R112" s="69">
        <v>0</v>
      </c>
      <c r="S112" s="69">
        <v>0</v>
      </c>
      <c r="T112" s="69">
        <v>0</v>
      </c>
      <c r="U112" s="69">
        <v>0</v>
      </c>
      <c r="V112" s="69">
        <v>0</v>
      </c>
      <c r="W112" s="69">
        <v>0</v>
      </c>
      <c r="X112" s="69">
        <v>0</v>
      </c>
      <c r="Y112" s="69">
        <v>0</v>
      </c>
      <c r="Z112" s="69">
        <v>0</v>
      </c>
      <c r="AA112" s="69">
        <v>0</v>
      </c>
      <c r="AB112" s="69">
        <v>0</v>
      </c>
      <c r="AC112" s="69">
        <v>0</v>
      </c>
      <c r="AD112" s="69">
        <v>0</v>
      </c>
      <c r="AE112" s="69">
        <v>0</v>
      </c>
      <c r="AF112" s="69">
        <v>0</v>
      </c>
      <c r="AG112" s="69">
        <v>0</v>
      </c>
      <c r="AH112" s="69">
        <v>0</v>
      </c>
      <c r="AI112" s="69">
        <v>0</v>
      </c>
      <c r="AJ112" s="69">
        <v>0</v>
      </c>
      <c r="AK112" s="69">
        <v>0</v>
      </c>
      <c r="AL112" s="69">
        <v>0</v>
      </c>
      <c r="AM112" s="69">
        <v>0</v>
      </c>
      <c r="AN112" s="69">
        <v>0</v>
      </c>
      <c r="AO112" s="79">
        <f t="shared" si="2"/>
        <v>0</v>
      </c>
      <c r="AQ112" s="64" t="str">
        <f t="shared" si="3"/>
        <v>Howard, Theresa</v>
      </c>
    </row>
    <row r="113" spans="1:43" s="48" customFormat="1" ht="15" x14ac:dyDescent="0.4">
      <c r="A113">
        <v>107</v>
      </c>
      <c r="B113" s="42"/>
      <c r="C113" t="e">
        <f>MATCH(B113,Salary!B:B,0)</f>
        <v>#N/A</v>
      </c>
      <c r="D113" s="111" t="s">
        <v>234</v>
      </c>
      <c r="E113" s="75" t="s">
        <v>112</v>
      </c>
      <c r="F113" s="50"/>
      <c r="G113" s="69">
        <v>0</v>
      </c>
      <c r="H113" s="69">
        <v>0</v>
      </c>
      <c r="I113" s="69">
        <v>0</v>
      </c>
      <c r="J113" s="69">
        <v>0</v>
      </c>
      <c r="K113" s="69">
        <v>0</v>
      </c>
      <c r="L113" s="69">
        <v>0</v>
      </c>
      <c r="M113" s="69">
        <v>0</v>
      </c>
      <c r="N113" s="69">
        <v>0</v>
      </c>
      <c r="O113" s="69">
        <v>0</v>
      </c>
      <c r="P113" s="69">
        <v>0</v>
      </c>
      <c r="Q113" s="69">
        <v>0</v>
      </c>
      <c r="R113" s="69">
        <v>0</v>
      </c>
      <c r="S113" s="69">
        <v>0</v>
      </c>
      <c r="T113" s="69">
        <v>0</v>
      </c>
      <c r="U113" s="69">
        <v>0</v>
      </c>
      <c r="V113" s="69">
        <v>0</v>
      </c>
      <c r="W113" s="69">
        <v>0</v>
      </c>
      <c r="X113" s="69">
        <v>0</v>
      </c>
      <c r="Y113" s="69">
        <v>0</v>
      </c>
      <c r="Z113" s="69">
        <v>0</v>
      </c>
      <c r="AA113" s="69">
        <v>0</v>
      </c>
      <c r="AB113" s="69">
        <v>0</v>
      </c>
      <c r="AC113" s="69">
        <v>0</v>
      </c>
      <c r="AD113" s="69">
        <v>0</v>
      </c>
      <c r="AE113" s="69">
        <v>0</v>
      </c>
      <c r="AF113" s="69">
        <v>0</v>
      </c>
      <c r="AG113" s="69">
        <v>0</v>
      </c>
      <c r="AH113" s="69">
        <v>0</v>
      </c>
      <c r="AI113" s="69">
        <v>0</v>
      </c>
      <c r="AJ113" s="69">
        <v>0</v>
      </c>
      <c r="AK113" s="69">
        <v>0</v>
      </c>
      <c r="AL113" s="69">
        <v>0</v>
      </c>
      <c r="AM113" s="69">
        <v>0</v>
      </c>
      <c r="AN113" s="69">
        <v>0</v>
      </c>
      <c r="AO113" s="79">
        <f t="shared" si="2"/>
        <v>0</v>
      </c>
      <c r="AQ113" s="64" t="str">
        <f t="shared" si="3"/>
        <v>Leake, Rahmel</v>
      </c>
    </row>
    <row r="114" spans="1:43" s="48" customFormat="1" ht="15" x14ac:dyDescent="0.4">
      <c r="A114">
        <v>108</v>
      </c>
      <c r="B114" s="42"/>
      <c r="C114" t="e">
        <f>MATCH(B114,Salary!B:B,0)</f>
        <v>#N/A</v>
      </c>
      <c r="D114" s="106" t="s">
        <v>235</v>
      </c>
      <c r="E114" s="109" t="s">
        <v>236</v>
      </c>
      <c r="F114" s="50"/>
      <c r="G114" s="69">
        <v>0</v>
      </c>
      <c r="H114" s="69">
        <v>0</v>
      </c>
      <c r="I114" s="69">
        <v>0</v>
      </c>
      <c r="J114" s="69">
        <v>0</v>
      </c>
      <c r="K114" s="69">
        <v>0</v>
      </c>
      <c r="L114" s="69">
        <v>0</v>
      </c>
      <c r="M114" s="69">
        <v>0</v>
      </c>
      <c r="N114" s="69">
        <v>0</v>
      </c>
      <c r="O114" s="69">
        <v>0</v>
      </c>
      <c r="P114" s="69">
        <v>0</v>
      </c>
      <c r="Q114" s="69">
        <v>0</v>
      </c>
      <c r="R114" s="69">
        <v>0</v>
      </c>
      <c r="S114" s="69">
        <v>0</v>
      </c>
      <c r="T114" s="69">
        <v>0</v>
      </c>
      <c r="U114" s="69">
        <v>0</v>
      </c>
      <c r="V114" s="69">
        <v>0</v>
      </c>
      <c r="W114" s="69">
        <v>0</v>
      </c>
      <c r="X114" s="69">
        <v>0</v>
      </c>
      <c r="Y114" s="69">
        <v>0</v>
      </c>
      <c r="Z114" s="69">
        <v>0</v>
      </c>
      <c r="AA114" s="69">
        <v>0</v>
      </c>
      <c r="AB114" s="69">
        <v>0</v>
      </c>
      <c r="AC114" s="69">
        <v>0</v>
      </c>
      <c r="AD114" s="69">
        <v>0</v>
      </c>
      <c r="AE114" s="69">
        <v>0</v>
      </c>
      <c r="AF114" s="69">
        <v>0</v>
      </c>
      <c r="AG114" s="69">
        <v>0</v>
      </c>
      <c r="AH114" s="69">
        <v>0</v>
      </c>
      <c r="AI114" s="69">
        <v>0</v>
      </c>
      <c r="AJ114" s="69">
        <v>0</v>
      </c>
      <c r="AK114" s="69">
        <v>0</v>
      </c>
      <c r="AL114" s="69">
        <v>0</v>
      </c>
      <c r="AM114" s="69">
        <v>0</v>
      </c>
      <c r="AN114" s="69">
        <v>0</v>
      </c>
      <c r="AO114" s="79">
        <f t="shared" si="2"/>
        <v>0</v>
      </c>
      <c r="AQ114" s="64" t="str">
        <f t="shared" si="3"/>
        <v>Vann Holland</v>
      </c>
    </row>
    <row r="115" spans="1:43" s="48" customFormat="1" ht="15" x14ac:dyDescent="0.4">
      <c r="A115">
        <v>109</v>
      </c>
      <c r="B115" s="42"/>
      <c r="C115" t="e">
        <f>MATCH(B115,Salary!B:B,0)</f>
        <v>#N/A</v>
      </c>
      <c r="D115" s="106" t="s">
        <v>237</v>
      </c>
      <c r="E115" s="110" t="s">
        <v>238</v>
      </c>
      <c r="F115" s="50"/>
      <c r="G115" s="69">
        <v>0</v>
      </c>
      <c r="H115" s="69">
        <v>0</v>
      </c>
      <c r="I115" s="69">
        <v>0</v>
      </c>
      <c r="J115" s="69">
        <v>0</v>
      </c>
      <c r="K115" s="69">
        <v>0</v>
      </c>
      <c r="L115" s="69">
        <v>0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0</v>
      </c>
      <c r="S115" s="69">
        <v>0</v>
      </c>
      <c r="T115" s="69">
        <v>0</v>
      </c>
      <c r="U115" s="69">
        <v>0</v>
      </c>
      <c r="V115" s="69">
        <v>0</v>
      </c>
      <c r="W115" s="69">
        <v>0</v>
      </c>
      <c r="X115" s="69">
        <v>0</v>
      </c>
      <c r="Y115" s="69">
        <v>0</v>
      </c>
      <c r="Z115" s="69">
        <v>0</v>
      </c>
      <c r="AA115" s="69">
        <v>0</v>
      </c>
      <c r="AB115" s="69">
        <v>0</v>
      </c>
      <c r="AC115" s="69">
        <v>0</v>
      </c>
      <c r="AD115" s="69">
        <v>0</v>
      </c>
      <c r="AE115" s="69">
        <v>0</v>
      </c>
      <c r="AF115" s="69">
        <v>0</v>
      </c>
      <c r="AG115" s="69">
        <v>0</v>
      </c>
      <c r="AH115" s="69">
        <v>0</v>
      </c>
      <c r="AI115" s="69">
        <v>0</v>
      </c>
      <c r="AJ115" s="69">
        <v>0</v>
      </c>
      <c r="AK115" s="69">
        <v>0</v>
      </c>
      <c r="AL115" s="69">
        <v>0</v>
      </c>
      <c r="AM115" s="69">
        <v>0</v>
      </c>
      <c r="AN115" s="69">
        <v>0</v>
      </c>
      <c r="AO115" s="79">
        <f t="shared" ref="AO115:AO120" si="4">SUM(G115:AN115)</f>
        <v>0</v>
      </c>
      <c r="AQ115" s="64" t="str">
        <f t="shared" si="3"/>
        <v>McDaniels, Curtis</v>
      </c>
    </row>
    <row r="116" spans="1:43" s="48" customFormat="1" ht="15" x14ac:dyDescent="0.4">
      <c r="A116">
        <v>110</v>
      </c>
      <c r="B116" s="42"/>
      <c r="C116" t="e">
        <f>MATCH(B116,Salary!B:B,0)</f>
        <v>#N/A</v>
      </c>
      <c r="D116" s="107" t="s">
        <v>239</v>
      </c>
      <c r="E116" s="109" t="s">
        <v>240</v>
      </c>
      <c r="F116" s="50"/>
      <c r="G116" s="69">
        <v>0</v>
      </c>
      <c r="H116" s="69">
        <v>0</v>
      </c>
      <c r="I116" s="69">
        <v>0</v>
      </c>
      <c r="J116" s="69">
        <v>0</v>
      </c>
      <c r="K116" s="69">
        <v>0</v>
      </c>
      <c r="L116" s="69">
        <v>0</v>
      </c>
      <c r="M116" s="69">
        <v>0</v>
      </c>
      <c r="N116" s="69">
        <v>0</v>
      </c>
      <c r="O116" s="69">
        <v>0</v>
      </c>
      <c r="P116" s="69">
        <v>0</v>
      </c>
      <c r="Q116" s="69">
        <v>0</v>
      </c>
      <c r="R116" s="69">
        <v>0</v>
      </c>
      <c r="S116" s="69">
        <v>0</v>
      </c>
      <c r="T116" s="69">
        <v>0</v>
      </c>
      <c r="U116" s="69">
        <v>0</v>
      </c>
      <c r="V116" s="69">
        <v>0</v>
      </c>
      <c r="W116" s="69">
        <v>0</v>
      </c>
      <c r="X116" s="69">
        <v>0</v>
      </c>
      <c r="Y116" s="69">
        <v>0</v>
      </c>
      <c r="Z116" s="69">
        <v>0</v>
      </c>
      <c r="AA116" s="69">
        <v>0</v>
      </c>
      <c r="AB116" s="69">
        <v>0</v>
      </c>
      <c r="AC116" s="69">
        <v>0</v>
      </c>
      <c r="AD116" s="69">
        <v>0</v>
      </c>
      <c r="AE116" s="69">
        <v>0</v>
      </c>
      <c r="AF116" s="69">
        <v>0</v>
      </c>
      <c r="AG116" s="69">
        <v>0</v>
      </c>
      <c r="AH116" s="69">
        <v>0</v>
      </c>
      <c r="AI116" s="69">
        <v>0</v>
      </c>
      <c r="AJ116" s="69">
        <v>0</v>
      </c>
      <c r="AK116" s="69">
        <v>0</v>
      </c>
      <c r="AL116" s="69">
        <v>0</v>
      </c>
      <c r="AM116" s="69">
        <v>0</v>
      </c>
      <c r="AN116" s="69">
        <v>0</v>
      </c>
      <c r="AO116" s="79">
        <f t="shared" si="4"/>
        <v>0</v>
      </c>
      <c r="AQ116" s="64" t="str">
        <f t="shared" si="3"/>
        <v>Love, Charles</v>
      </c>
    </row>
    <row r="117" spans="1:43" s="48" customFormat="1" ht="15" x14ac:dyDescent="0.4">
      <c r="A117">
        <v>111</v>
      </c>
      <c r="B117" s="42"/>
      <c r="C117" t="e">
        <f>MATCH(B117,Salary!B:B,0)</f>
        <v>#N/A</v>
      </c>
      <c r="D117" s="112" t="s">
        <v>241</v>
      </c>
      <c r="E117" s="75" t="s">
        <v>112</v>
      </c>
      <c r="F117" s="50"/>
      <c r="G117" s="69">
        <v>0</v>
      </c>
      <c r="H117" s="69">
        <v>0</v>
      </c>
      <c r="I117" s="69">
        <v>0</v>
      </c>
      <c r="J117" s="69">
        <v>0</v>
      </c>
      <c r="K117" s="69">
        <v>0</v>
      </c>
      <c r="L117" s="69">
        <v>0</v>
      </c>
      <c r="M117" s="69">
        <v>0</v>
      </c>
      <c r="N117" s="69">
        <v>0</v>
      </c>
      <c r="O117" s="69">
        <v>0</v>
      </c>
      <c r="P117" s="69">
        <v>0</v>
      </c>
      <c r="Q117" s="69">
        <v>0</v>
      </c>
      <c r="R117" s="69">
        <v>0</v>
      </c>
      <c r="S117" s="69">
        <v>0</v>
      </c>
      <c r="T117" s="69">
        <v>0</v>
      </c>
      <c r="U117" s="69">
        <v>0</v>
      </c>
      <c r="V117" s="69">
        <v>0</v>
      </c>
      <c r="W117" s="69">
        <v>0</v>
      </c>
      <c r="X117" s="69">
        <v>0</v>
      </c>
      <c r="Y117" s="69">
        <v>0</v>
      </c>
      <c r="Z117" s="69">
        <v>0</v>
      </c>
      <c r="AA117" s="69">
        <v>0</v>
      </c>
      <c r="AB117" s="69">
        <v>0</v>
      </c>
      <c r="AC117" s="69">
        <v>0</v>
      </c>
      <c r="AD117" s="69">
        <v>0</v>
      </c>
      <c r="AE117" s="69">
        <v>0</v>
      </c>
      <c r="AF117" s="69">
        <v>0</v>
      </c>
      <c r="AG117" s="69">
        <v>0</v>
      </c>
      <c r="AH117" s="69">
        <v>0</v>
      </c>
      <c r="AI117" s="69">
        <v>0</v>
      </c>
      <c r="AJ117" s="69">
        <v>0</v>
      </c>
      <c r="AK117" s="69">
        <v>0</v>
      </c>
      <c r="AL117" s="69">
        <v>0</v>
      </c>
      <c r="AM117" s="69">
        <v>0</v>
      </c>
      <c r="AN117" s="69">
        <v>0</v>
      </c>
      <c r="AO117" s="79">
        <f t="shared" si="4"/>
        <v>0</v>
      </c>
      <c r="AQ117" s="64" t="str">
        <f t="shared" si="3"/>
        <v>Johnson, Amanda</v>
      </c>
    </row>
    <row r="118" spans="1:43" s="48" customFormat="1" ht="15" x14ac:dyDescent="0.4">
      <c r="A118">
        <v>112</v>
      </c>
      <c r="B118" s="42"/>
      <c r="C118" t="e">
        <f>MATCH(B118,Salary!B:B,0)</f>
        <v>#N/A</v>
      </c>
      <c r="D118" s="111" t="s">
        <v>242</v>
      </c>
      <c r="E118" s="75" t="s">
        <v>97</v>
      </c>
      <c r="F118" s="50"/>
      <c r="G118" s="69">
        <v>0</v>
      </c>
      <c r="H118" s="69">
        <v>0</v>
      </c>
      <c r="I118" s="69">
        <v>0</v>
      </c>
      <c r="J118" s="69">
        <v>0</v>
      </c>
      <c r="K118" s="69">
        <v>0</v>
      </c>
      <c r="L118" s="69">
        <v>0</v>
      </c>
      <c r="M118" s="69">
        <v>0</v>
      </c>
      <c r="N118" s="69">
        <v>0</v>
      </c>
      <c r="O118" s="69">
        <v>0</v>
      </c>
      <c r="P118" s="69">
        <v>0</v>
      </c>
      <c r="Q118" s="69">
        <v>0</v>
      </c>
      <c r="R118" s="69">
        <v>0</v>
      </c>
      <c r="S118" s="69">
        <v>0</v>
      </c>
      <c r="T118" s="69">
        <v>0</v>
      </c>
      <c r="U118" s="69">
        <v>0</v>
      </c>
      <c r="V118" s="69">
        <v>0</v>
      </c>
      <c r="W118" s="69">
        <v>0</v>
      </c>
      <c r="X118" s="69">
        <v>0</v>
      </c>
      <c r="Y118" s="69">
        <v>0</v>
      </c>
      <c r="Z118" s="69">
        <v>0</v>
      </c>
      <c r="AA118" s="69">
        <v>0</v>
      </c>
      <c r="AB118" s="69">
        <v>0</v>
      </c>
      <c r="AC118" s="69">
        <v>0</v>
      </c>
      <c r="AD118" s="69">
        <v>0</v>
      </c>
      <c r="AE118" s="69">
        <v>0</v>
      </c>
      <c r="AF118" s="69">
        <v>0</v>
      </c>
      <c r="AG118" s="69">
        <v>0</v>
      </c>
      <c r="AH118" s="69">
        <v>0</v>
      </c>
      <c r="AI118" s="69">
        <v>0</v>
      </c>
      <c r="AJ118" s="69">
        <v>0</v>
      </c>
      <c r="AK118" s="69">
        <v>0</v>
      </c>
      <c r="AL118" s="69">
        <v>0</v>
      </c>
      <c r="AM118" s="69">
        <v>0</v>
      </c>
      <c r="AN118" s="69">
        <v>0</v>
      </c>
      <c r="AO118" s="79">
        <f t="shared" si="4"/>
        <v>0</v>
      </c>
      <c r="AQ118" s="64" t="str">
        <f t="shared" si="3"/>
        <v>Mitchell, Felicia</v>
      </c>
    </row>
    <row r="119" spans="1:43" s="48" customFormat="1" ht="13" x14ac:dyDescent="0.4">
      <c r="A119" s="42"/>
      <c r="B119" s="42"/>
      <c r="C119" s="42"/>
      <c r="D119" s="112"/>
      <c r="E119" s="113"/>
      <c r="F119" s="50"/>
      <c r="G119" s="76"/>
      <c r="H119" s="77"/>
      <c r="I119" s="77"/>
      <c r="J119" s="77"/>
      <c r="K119" s="76"/>
      <c r="L119" s="76"/>
      <c r="M119" s="76"/>
      <c r="N119" s="76"/>
      <c r="O119" s="76"/>
      <c r="P119" s="80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8">
        <v>0</v>
      </c>
      <c r="AJ119" s="76"/>
      <c r="AK119" s="76"/>
      <c r="AL119" s="76"/>
      <c r="AM119" s="76"/>
      <c r="AN119" s="76"/>
      <c r="AO119" s="79">
        <f t="shared" si="4"/>
        <v>0</v>
      </c>
      <c r="AQ119" s="64"/>
    </row>
    <row r="120" spans="1:43" s="48" customFormat="1" ht="13" x14ac:dyDescent="0.4">
      <c r="A120" s="42"/>
      <c r="B120" s="42"/>
      <c r="C120" s="42"/>
      <c r="D120" s="112"/>
      <c r="E120" s="113"/>
      <c r="F120" s="50"/>
      <c r="G120" s="76"/>
      <c r="H120" s="77"/>
      <c r="I120" s="77"/>
      <c r="J120" s="77"/>
      <c r="K120" s="76"/>
      <c r="L120" s="76"/>
      <c r="M120" s="76"/>
      <c r="N120" s="76"/>
      <c r="O120" s="76"/>
      <c r="P120" s="80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8">
        <v>0</v>
      </c>
      <c r="AJ120" s="76"/>
      <c r="AK120" s="76"/>
      <c r="AL120" s="76"/>
      <c r="AM120" s="76"/>
      <c r="AN120" s="76"/>
      <c r="AO120" s="79">
        <f t="shared" si="4"/>
        <v>0</v>
      </c>
      <c r="AQ120" s="64"/>
    </row>
    <row r="121" spans="1:43" s="48" customFormat="1" ht="13" x14ac:dyDescent="0.4">
      <c r="A121" s="42"/>
      <c r="B121" s="42"/>
      <c r="C121" s="42"/>
      <c r="D121" s="112"/>
      <c r="E121" s="113"/>
      <c r="F121" s="50"/>
      <c r="G121" s="76"/>
      <c r="H121" s="77"/>
      <c r="I121" s="77"/>
      <c r="J121" s="77"/>
      <c r="K121" s="76"/>
      <c r="L121" s="76"/>
      <c r="M121" s="76"/>
      <c r="N121" s="76"/>
      <c r="O121" s="76"/>
      <c r="P121" s="80"/>
      <c r="Q121" s="76"/>
      <c r="R121" s="76"/>
      <c r="S121" s="76"/>
      <c r="T121" s="76"/>
      <c r="U121" s="76"/>
      <c r="V121" s="76"/>
      <c r="W121" s="76"/>
      <c r="X121" s="114"/>
      <c r="Y121" s="114"/>
      <c r="Z121" s="114"/>
      <c r="AA121" s="114"/>
      <c r="AB121" s="114"/>
      <c r="AC121" s="114"/>
      <c r="AD121" s="114"/>
      <c r="AE121" s="114"/>
      <c r="AF121" s="114"/>
      <c r="AG121" s="114"/>
      <c r="AH121" s="114"/>
      <c r="AI121" s="115"/>
      <c r="AJ121" s="114"/>
      <c r="AK121" s="114"/>
      <c r="AL121" s="114"/>
      <c r="AM121" s="114"/>
      <c r="AN121" s="114"/>
      <c r="AO121" s="116"/>
      <c r="AQ121" s="64"/>
    </row>
    <row r="122" spans="1:43" s="48" customFormat="1" thickBot="1" x14ac:dyDescent="0.45">
      <c r="A122" s="42"/>
      <c r="B122" s="42"/>
      <c r="C122" s="42"/>
      <c r="D122" s="117"/>
      <c r="E122" s="118"/>
      <c r="F122" s="50"/>
      <c r="G122" s="119">
        <f>SUM(G7:G121)</f>
        <v>0</v>
      </c>
      <c r="H122" s="119">
        <f t="shared" ref="H122:AO122" si="5">SUM(H7:H121)</f>
        <v>1268.0478000000001</v>
      </c>
      <c r="I122" s="119">
        <f t="shared" si="5"/>
        <v>319.3</v>
      </c>
      <c r="J122" s="119">
        <f t="shared" si="5"/>
        <v>110.98420000000002</v>
      </c>
      <c r="K122" s="119">
        <f t="shared" si="5"/>
        <v>0</v>
      </c>
      <c r="L122" s="119">
        <f t="shared" si="5"/>
        <v>1327.998</v>
      </c>
      <c r="M122" s="119">
        <f t="shared" si="5"/>
        <v>0</v>
      </c>
      <c r="N122" s="119">
        <f t="shared" si="5"/>
        <v>374.11</v>
      </c>
      <c r="O122" s="119">
        <f t="shared" si="5"/>
        <v>0</v>
      </c>
      <c r="P122" s="119">
        <f t="shared" si="5"/>
        <v>1093.26</v>
      </c>
      <c r="Q122" s="119">
        <f t="shared" si="5"/>
        <v>2494.8000000000002</v>
      </c>
      <c r="R122" s="119">
        <f t="shared" si="5"/>
        <v>102.22559999999999</v>
      </c>
      <c r="S122" s="119">
        <f t="shared" si="5"/>
        <v>0</v>
      </c>
      <c r="T122" s="119">
        <f t="shared" si="5"/>
        <v>0</v>
      </c>
      <c r="U122" s="119">
        <f t="shared" si="5"/>
        <v>0</v>
      </c>
      <c r="V122" s="119">
        <f t="shared" si="5"/>
        <v>596.16000000000008</v>
      </c>
      <c r="W122" s="119">
        <f t="shared" si="5"/>
        <v>0</v>
      </c>
      <c r="X122" s="119">
        <f t="shared" si="5"/>
        <v>0</v>
      </c>
      <c r="Y122" s="119">
        <f t="shared" si="5"/>
        <v>0</v>
      </c>
      <c r="Z122" s="119">
        <f t="shared" si="5"/>
        <v>0</v>
      </c>
      <c r="AA122" s="119">
        <f t="shared" si="5"/>
        <v>91.85</v>
      </c>
      <c r="AB122" s="119">
        <f t="shared" si="5"/>
        <v>0</v>
      </c>
      <c r="AC122" s="119">
        <f t="shared" si="5"/>
        <v>0</v>
      </c>
      <c r="AD122" s="119">
        <f t="shared" si="5"/>
        <v>0</v>
      </c>
      <c r="AE122" s="119">
        <f t="shared" si="5"/>
        <v>0</v>
      </c>
      <c r="AF122" s="119">
        <f t="shared" si="5"/>
        <v>0</v>
      </c>
      <c r="AG122" s="119">
        <f t="shared" si="5"/>
        <v>0</v>
      </c>
      <c r="AH122" s="119">
        <f t="shared" si="5"/>
        <v>275.54999999999995</v>
      </c>
      <c r="AI122" s="119">
        <f t="shared" si="5"/>
        <v>0</v>
      </c>
      <c r="AJ122" s="119">
        <f t="shared" si="5"/>
        <v>601.53439999999989</v>
      </c>
      <c r="AK122" s="119">
        <f t="shared" si="5"/>
        <v>0</v>
      </c>
      <c r="AL122" s="119">
        <f t="shared" si="5"/>
        <v>0</v>
      </c>
      <c r="AM122" s="119">
        <f t="shared" si="5"/>
        <v>0</v>
      </c>
      <c r="AN122" s="119">
        <f t="shared" si="5"/>
        <v>0</v>
      </c>
      <c r="AO122" s="119">
        <f t="shared" si="5"/>
        <v>8655.82</v>
      </c>
      <c r="AP122" s="120"/>
      <c r="AQ122" s="64"/>
    </row>
    <row r="123" spans="1:43" ht="33" customHeight="1" x14ac:dyDescent="0.35">
      <c r="A123" s="42"/>
      <c r="B123" s="42"/>
      <c r="C123" s="42"/>
      <c r="D123" s="121"/>
      <c r="AA123" t="s">
        <v>243</v>
      </c>
      <c r="AB123" t="s">
        <v>243</v>
      </c>
    </row>
  </sheetData>
  <mergeCells count="1">
    <mergeCell ref="D1:D5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AAgg"/>
  <dimension ref="A1:AM123"/>
  <sheetViews>
    <sheetView topLeftCell="B1" workbookViewId="0">
      <selection activeCell="H1" sqref="H1"/>
    </sheetView>
  </sheetViews>
  <sheetFormatPr defaultRowHeight="14.5" x14ac:dyDescent="0.35"/>
  <cols>
    <col min="1" max="1" width="9.1796875" bestFit="1" customWidth="1"/>
    <col min="2" max="3" width="9.1796875" customWidth="1"/>
    <col min="4" max="4" width="34.7265625" style="124" customWidth="1"/>
    <col min="5" max="5" width="28.7265625" customWidth="1"/>
    <col min="6" max="6" width="10.1796875" customWidth="1"/>
    <col min="7" max="8" width="12" customWidth="1"/>
    <col min="9" max="9" width="15" customWidth="1"/>
    <col min="10" max="34" width="12" customWidth="1"/>
    <col min="35" max="37" width="8.81640625"/>
    <col min="38" max="39" width="10.54296875" style="122" customWidth="1"/>
  </cols>
  <sheetData>
    <row r="1" spans="1:39" ht="54" customHeight="1" thickBot="1" x14ac:dyDescent="0.5">
      <c r="A1" s="42"/>
      <c r="B1" s="42"/>
      <c r="C1" s="42"/>
      <c r="D1" s="128" t="s">
        <v>99</v>
      </c>
      <c r="E1" s="43"/>
      <c r="F1" s="44"/>
      <c r="G1" s="13" t="s">
        <v>61</v>
      </c>
      <c r="H1" s="14" t="s">
        <v>62</v>
      </c>
      <c r="I1" s="15" t="s">
        <v>66</v>
      </c>
      <c r="J1" s="15" t="s">
        <v>67</v>
      </c>
      <c r="K1" s="15" t="s">
        <v>68</v>
      </c>
      <c r="L1" s="16" t="s">
        <v>69</v>
      </c>
      <c r="M1" s="16" t="s">
        <v>70</v>
      </c>
      <c r="N1" s="16" t="s">
        <v>71</v>
      </c>
      <c r="O1" s="17" t="s">
        <v>72</v>
      </c>
      <c r="P1" s="17" t="s">
        <v>73</v>
      </c>
      <c r="Q1" s="18" t="s">
        <v>74</v>
      </c>
      <c r="R1" s="17" t="s">
        <v>75</v>
      </c>
      <c r="S1" s="13" t="s">
        <v>76</v>
      </c>
      <c r="T1" s="13" t="s">
        <v>77</v>
      </c>
      <c r="U1" s="13" t="s">
        <v>78</v>
      </c>
      <c r="V1" s="13" t="s">
        <v>79</v>
      </c>
      <c r="W1" s="13" t="s">
        <v>80</v>
      </c>
      <c r="X1" s="19" t="s">
        <v>81</v>
      </c>
      <c r="Y1" s="20" t="s">
        <v>82</v>
      </c>
      <c r="Z1" s="20" t="s">
        <v>83</v>
      </c>
      <c r="AA1" s="20" t="s">
        <v>84</v>
      </c>
      <c r="AB1" s="21" t="s">
        <v>85</v>
      </c>
      <c r="AC1" s="21" t="s">
        <v>86</v>
      </c>
      <c r="AD1" s="21" t="s">
        <v>87</v>
      </c>
      <c r="AE1" s="21" t="s">
        <v>88</v>
      </c>
      <c r="AF1" s="22" t="s">
        <v>89</v>
      </c>
      <c r="AG1" s="23" t="s">
        <v>90</v>
      </c>
      <c r="AH1" s="23" t="s">
        <v>91</v>
      </c>
      <c r="AI1" s="23" t="s">
        <v>92</v>
      </c>
      <c r="AJ1" s="23" t="s">
        <v>93</v>
      </c>
      <c r="AK1" s="23" t="s">
        <v>94</v>
      </c>
      <c r="AL1" s="45" t="s">
        <v>100</v>
      </c>
      <c r="AM1" s="45" t="s">
        <v>100</v>
      </c>
    </row>
    <row r="2" spans="1:39" ht="15.5" customHeight="1" thickBot="1" x14ac:dyDescent="0.45">
      <c r="A2" s="42"/>
      <c r="B2" s="42"/>
      <c r="C2" s="42"/>
      <c r="D2" s="128"/>
      <c r="E2" s="49" t="s">
        <v>101</v>
      </c>
      <c r="F2" s="50"/>
      <c r="G2" s="24" t="s">
        <v>95</v>
      </c>
      <c r="H2" s="25" t="s">
        <v>95</v>
      </c>
      <c r="I2" s="26" t="s">
        <v>95</v>
      </c>
      <c r="J2" s="26"/>
      <c r="K2" s="26" t="s">
        <v>95</v>
      </c>
      <c r="L2" s="27" t="s">
        <v>95</v>
      </c>
      <c r="M2" s="27" t="s">
        <v>95</v>
      </c>
      <c r="N2" s="27" t="s">
        <v>95</v>
      </c>
      <c r="O2" s="28" t="s">
        <v>95</v>
      </c>
      <c r="P2" s="28" t="s">
        <v>95</v>
      </c>
      <c r="Q2" s="24"/>
      <c r="R2" s="17" t="s">
        <v>95</v>
      </c>
      <c r="S2" s="29" t="s">
        <v>95</v>
      </c>
      <c r="T2" s="29"/>
      <c r="U2" s="29"/>
      <c r="V2" s="29"/>
      <c r="W2" s="29" t="s">
        <v>95</v>
      </c>
      <c r="X2" s="19" t="s">
        <v>95</v>
      </c>
      <c r="Y2" s="19">
        <v>90000</v>
      </c>
      <c r="Z2" s="19" t="s">
        <v>95</v>
      </c>
      <c r="AA2" s="19"/>
      <c r="AB2" s="21" t="s">
        <v>95</v>
      </c>
      <c r="AC2" s="21"/>
      <c r="AD2" s="21"/>
      <c r="AE2" s="30">
        <v>45000</v>
      </c>
      <c r="AF2" s="26"/>
      <c r="AG2" s="31" t="s">
        <v>95</v>
      </c>
      <c r="AH2" s="31" t="s">
        <v>95</v>
      </c>
      <c r="AI2" s="32" t="s">
        <v>95</v>
      </c>
      <c r="AJ2" s="32" t="s">
        <v>95</v>
      </c>
      <c r="AK2" s="33" t="s">
        <v>95</v>
      </c>
      <c r="AL2" s="51"/>
      <c r="AM2" s="51"/>
    </row>
    <row r="3" spans="1:39" ht="15.5" customHeight="1" thickBot="1" x14ac:dyDescent="0.45">
      <c r="A3" s="42"/>
      <c r="B3" s="42"/>
      <c r="C3" s="42"/>
      <c r="D3" s="128"/>
      <c r="E3" s="50"/>
      <c r="F3" s="50" t="s">
        <v>102</v>
      </c>
      <c r="G3" s="34"/>
      <c r="H3" s="35"/>
      <c r="I3" s="35"/>
      <c r="J3" s="35"/>
      <c r="K3" s="35"/>
      <c r="L3" s="36"/>
      <c r="M3" s="36"/>
      <c r="N3" s="36"/>
      <c r="O3" s="34"/>
      <c r="P3" s="34"/>
      <c r="Q3" s="34"/>
      <c r="R3" s="34"/>
      <c r="S3" s="29"/>
      <c r="T3" s="29"/>
      <c r="U3" s="29"/>
      <c r="V3" s="29"/>
      <c r="W3" s="29"/>
      <c r="X3" s="34"/>
      <c r="Y3" s="37"/>
      <c r="Z3" s="38" t="s">
        <v>96</v>
      </c>
      <c r="AA3" s="39"/>
      <c r="AB3" s="34"/>
      <c r="AC3" s="34"/>
      <c r="AD3" s="34"/>
      <c r="AE3" s="34"/>
      <c r="AF3" s="35"/>
      <c r="AG3" s="40"/>
      <c r="AH3" s="40"/>
      <c r="AI3" s="41"/>
      <c r="AJ3" s="41"/>
      <c r="AK3" s="40"/>
      <c r="AL3" s="54"/>
      <c r="AM3" s="54"/>
    </row>
    <row r="4" spans="1:39" ht="15.5" customHeight="1" thickBot="1" x14ac:dyDescent="0.45">
      <c r="A4" s="42"/>
      <c r="B4" s="42"/>
      <c r="C4" s="42"/>
      <c r="D4" s="128"/>
      <c r="E4" s="55"/>
      <c r="F4" s="50" t="s">
        <v>103</v>
      </c>
      <c r="G4" s="56"/>
      <c r="H4" s="57"/>
      <c r="I4" s="57"/>
      <c r="J4" s="57"/>
      <c r="K4" s="57"/>
      <c r="L4" s="58"/>
      <c r="M4" s="58"/>
      <c r="N4" s="58"/>
      <c r="O4" s="34"/>
      <c r="P4" s="34"/>
      <c r="Q4" s="34"/>
      <c r="R4" s="56"/>
      <c r="S4" s="29"/>
      <c r="T4" s="29"/>
      <c r="U4" s="29"/>
      <c r="V4" s="29"/>
      <c r="W4" s="29"/>
      <c r="X4" s="56"/>
      <c r="Y4" s="56"/>
      <c r="Z4" s="59"/>
      <c r="AA4" s="56"/>
      <c r="AB4" s="56"/>
      <c r="AC4" s="56"/>
      <c r="AD4" s="56"/>
      <c r="AE4" s="56"/>
      <c r="AF4" s="57"/>
      <c r="AG4" s="60"/>
      <c r="AH4" s="60"/>
      <c r="AI4" s="60"/>
      <c r="AJ4" s="60"/>
      <c r="AK4" s="60"/>
      <c r="AL4" s="54"/>
      <c r="AM4" s="54"/>
    </row>
    <row r="5" spans="1:39" ht="16.5" customHeight="1" x14ac:dyDescent="0.55000000000000004">
      <c r="A5" s="42"/>
      <c r="B5" s="42"/>
      <c r="C5" s="42"/>
      <c r="D5" s="128"/>
      <c r="E5" s="61"/>
      <c r="F5" s="61"/>
      <c r="G5" s="62">
        <v>1</v>
      </c>
      <c r="H5" s="62">
        <v>2</v>
      </c>
      <c r="I5" s="62">
        <v>6</v>
      </c>
      <c r="J5" s="62">
        <v>7</v>
      </c>
      <c r="K5" s="62">
        <v>8</v>
      </c>
      <c r="L5" s="62">
        <v>9</v>
      </c>
      <c r="M5" s="62">
        <v>10</v>
      </c>
      <c r="N5" s="62">
        <v>11</v>
      </c>
      <c r="O5" s="62">
        <v>12</v>
      </c>
      <c r="P5" s="62">
        <v>13</v>
      </c>
      <c r="Q5" s="62">
        <v>14</v>
      </c>
      <c r="R5" s="62">
        <v>15</v>
      </c>
      <c r="S5" s="62">
        <v>16</v>
      </c>
      <c r="T5" s="62">
        <v>17</v>
      </c>
      <c r="U5" s="62">
        <v>18</v>
      </c>
      <c r="V5" s="62">
        <v>19</v>
      </c>
      <c r="W5" s="62">
        <v>20</v>
      </c>
      <c r="X5" s="62">
        <v>21</v>
      </c>
      <c r="Y5" s="62">
        <v>22</v>
      </c>
      <c r="Z5" s="62">
        <v>23</v>
      </c>
      <c r="AA5" s="62">
        <v>24</v>
      </c>
      <c r="AB5" s="62">
        <v>25</v>
      </c>
      <c r="AC5" s="62">
        <v>26</v>
      </c>
      <c r="AD5" s="62">
        <v>27</v>
      </c>
      <c r="AE5" s="62">
        <v>28</v>
      </c>
      <c r="AF5" s="62">
        <v>29</v>
      </c>
      <c r="AG5" s="62">
        <v>30</v>
      </c>
      <c r="AH5" s="62">
        <v>31</v>
      </c>
      <c r="AI5" s="62">
        <v>32</v>
      </c>
      <c r="AJ5" s="62">
        <v>33</v>
      </c>
      <c r="AK5" s="62">
        <v>34</v>
      </c>
      <c r="AL5" s="63"/>
      <c r="AM5" s="63"/>
    </row>
    <row r="6" spans="1:39" ht="20" x14ac:dyDescent="0.35">
      <c r="A6" s="65" t="s">
        <v>258</v>
      </c>
      <c r="B6" s="65" t="s">
        <v>245</v>
      </c>
      <c r="C6" s="65" t="s">
        <v>259</v>
      </c>
      <c r="D6" s="66" t="s">
        <v>104</v>
      </c>
      <c r="E6" s="67" t="s">
        <v>105</v>
      </c>
      <c r="F6" s="68"/>
      <c r="G6" s="69">
        <v>0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  <c r="AC6" s="69">
        <v>0</v>
      </c>
      <c r="AD6" s="69">
        <v>0</v>
      </c>
      <c r="AE6" s="69">
        <v>0</v>
      </c>
      <c r="AF6" s="69">
        <v>0</v>
      </c>
      <c r="AG6" s="69">
        <v>0</v>
      </c>
      <c r="AH6" s="69">
        <v>0</v>
      </c>
      <c r="AI6" s="69">
        <v>0</v>
      </c>
      <c r="AJ6" s="69">
        <v>0</v>
      </c>
      <c r="AK6" s="69">
        <v>0</v>
      </c>
      <c r="AL6" s="71"/>
      <c r="AM6" s="71"/>
    </row>
    <row r="7" spans="1:39" ht="15" x14ac:dyDescent="0.4">
      <c r="A7">
        <v>1</v>
      </c>
      <c r="B7" s="2" t="s">
        <v>260</v>
      </c>
      <c r="C7">
        <f>MATCH(B7,Salary!B:B,0)</f>
        <v>4</v>
      </c>
      <c r="D7" s="74" t="s">
        <v>106</v>
      </c>
      <c r="E7" s="75" t="s">
        <v>107</v>
      </c>
      <c r="F7" s="50"/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235.18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79">
        <f t="shared" ref="AL7:AL36" si="0">SUM(E7:AK7)</f>
        <v>235.18</v>
      </c>
      <c r="AM7" s="79">
        <f t="shared" ref="AM7:AM36" si="1">SUM(F7:AL7)</f>
        <v>470.36</v>
      </c>
    </row>
    <row r="8" spans="1:39" ht="15" x14ac:dyDescent="0.4">
      <c r="A8">
        <v>2</v>
      </c>
      <c r="B8" s="2" t="s">
        <v>261</v>
      </c>
      <c r="C8">
        <f>MATCH(B8,Salary!B:B,0)</f>
        <v>5</v>
      </c>
      <c r="D8" s="74" t="s">
        <v>108</v>
      </c>
      <c r="E8" s="75" t="s">
        <v>109</v>
      </c>
      <c r="F8" s="50"/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254.68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79">
        <f t="shared" si="0"/>
        <v>254.68</v>
      </c>
      <c r="AM8" s="79">
        <f t="shared" si="1"/>
        <v>509.36</v>
      </c>
    </row>
    <row r="9" spans="1:39" ht="15" x14ac:dyDescent="0.4">
      <c r="A9">
        <v>3</v>
      </c>
      <c r="B9" s="2" t="s">
        <v>262</v>
      </c>
      <c r="C9">
        <f>MATCH(B9,Salary!B:B,0)</f>
        <v>6</v>
      </c>
      <c r="D9" s="74" t="s">
        <v>110</v>
      </c>
      <c r="E9" s="75" t="s">
        <v>97</v>
      </c>
      <c r="F9" s="50"/>
      <c r="G9" s="69">
        <v>0</v>
      </c>
      <c r="H9" s="69">
        <v>173.511</v>
      </c>
      <c r="I9" s="69">
        <v>93.428999999999988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79">
        <f t="shared" si="0"/>
        <v>266.94</v>
      </c>
      <c r="AM9" s="79">
        <f t="shared" si="1"/>
        <v>533.88</v>
      </c>
    </row>
    <row r="10" spans="1:39" ht="15" x14ac:dyDescent="0.4">
      <c r="A10">
        <v>4</v>
      </c>
      <c r="B10" s="2" t="s">
        <v>263</v>
      </c>
      <c r="C10">
        <f>MATCH(B10,Salary!B:B,0)</f>
        <v>7</v>
      </c>
      <c r="D10" s="74" t="s">
        <v>111</v>
      </c>
      <c r="E10" s="75" t="s">
        <v>112</v>
      </c>
      <c r="F10" s="50"/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111.82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79">
        <f t="shared" si="0"/>
        <v>111.82</v>
      </c>
      <c r="AM10" s="79">
        <f t="shared" si="1"/>
        <v>223.64</v>
      </c>
    </row>
    <row r="11" spans="1:39" ht="15" x14ac:dyDescent="0.4">
      <c r="A11">
        <v>5</v>
      </c>
      <c r="B11" s="2" t="s">
        <v>264</v>
      </c>
      <c r="C11">
        <f>MATCH(B11,Salary!B:B,0)</f>
        <v>8</v>
      </c>
      <c r="D11" s="74" t="s">
        <v>113</v>
      </c>
      <c r="E11" s="75" t="s">
        <v>97</v>
      </c>
      <c r="F11" s="50"/>
      <c r="G11" s="69">
        <v>0</v>
      </c>
      <c r="H11" s="69">
        <v>59.43</v>
      </c>
      <c r="I11" s="69">
        <v>0</v>
      </c>
      <c r="J11" s="69">
        <v>0</v>
      </c>
      <c r="K11" s="69">
        <v>59.43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79">
        <f t="shared" si="0"/>
        <v>118.86</v>
      </c>
      <c r="AM11" s="79">
        <f t="shared" si="1"/>
        <v>237.72</v>
      </c>
    </row>
    <row r="12" spans="1:39" ht="15" x14ac:dyDescent="0.4">
      <c r="A12">
        <v>6</v>
      </c>
      <c r="B12" s="2" t="s">
        <v>265</v>
      </c>
      <c r="C12">
        <f>MATCH(B12,Salary!B:B,0)</f>
        <v>9</v>
      </c>
      <c r="D12" s="74" t="s">
        <v>114</v>
      </c>
      <c r="E12" s="75" t="s">
        <v>97</v>
      </c>
      <c r="F12" s="50"/>
      <c r="G12" s="69">
        <v>0</v>
      </c>
      <c r="H12" s="69">
        <v>298.99100000000004</v>
      </c>
      <c r="I12" s="69">
        <v>89.309000000000012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79">
        <f t="shared" si="0"/>
        <v>388.30000000000007</v>
      </c>
      <c r="AM12" s="79">
        <f t="shared" si="1"/>
        <v>776.60000000000014</v>
      </c>
    </row>
    <row r="13" spans="1:39" ht="15" x14ac:dyDescent="0.4">
      <c r="A13">
        <v>7</v>
      </c>
      <c r="B13" s="2" t="s">
        <v>266</v>
      </c>
      <c r="C13">
        <f>MATCH(B13,Salary!B:B,0)</f>
        <v>10</v>
      </c>
      <c r="D13" s="74" t="s">
        <v>115</v>
      </c>
      <c r="E13" s="75" t="s">
        <v>107</v>
      </c>
      <c r="F13" s="50"/>
      <c r="G13" s="69">
        <v>0</v>
      </c>
      <c r="H13" s="69">
        <v>0</v>
      </c>
      <c r="I13" s="69">
        <v>0</v>
      </c>
      <c r="J13" s="69">
        <v>0</v>
      </c>
      <c r="K13" s="69">
        <v>0</v>
      </c>
      <c r="L13" s="69">
        <v>0</v>
      </c>
      <c r="M13" s="69">
        <v>0</v>
      </c>
      <c r="N13" s="69">
        <v>395.12</v>
      </c>
      <c r="O13" s="69">
        <v>0</v>
      </c>
      <c r="P13" s="69">
        <v>0</v>
      </c>
      <c r="Q13" s="69">
        <v>0</v>
      </c>
      <c r="R13" s="69">
        <v>0</v>
      </c>
      <c r="S13" s="69">
        <v>0</v>
      </c>
      <c r="T13" s="69">
        <v>0</v>
      </c>
      <c r="U13" s="69">
        <v>0</v>
      </c>
      <c r="V13" s="69">
        <v>0</v>
      </c>
      <c r="W13" s="69">
        <v>0</v>
      </c>
      <c r="X13" s="69">
        <v>0</v>
      </c>
      <c r="Y13" s="69">
        <v>0</v>
      </c>
      <c r="Z13" s="69">
        <v>0</v>
      </c>
      <c r="AA13" s="69">
        <v>0</v>
      </c>
      <c r="AB13" s="69">
        <v>0</v>
      </c>
      <c r="AC13" s="69">
        <v>0</v>
      </c>
      <c r="AD13" s="69">
        <v>0</v>
      </c>
      <c r="AE13" s="69">
        <v>0</v>
      </c>
      <c r="AF13" s="69">
        <v>0</v>
      </c>
      <c r="AG13" s="69">
        <v>0</v>
      </c>
      <c r="AH13" s="69">
        <v>0</v>
      </c>
      <c r="AI13" s="69">
        <v>0</v>
      </c>
      <c r="AJ13" s="69">
        <v>0</v>
      </c>
      <c r="AK13" s="69">
        <v>0</v>
      </c>
      <c r="AL13" s="79">
        <f t="shared" si="0"/>
        <v>395.12</v>
      </c>
      <c r="AM13" s="79">
        <f t="shared" si="1"/>
        <v>790.24</v>
      </c>
    </row>
    <row r="14" spans="1:39" ht="15" x14ac:dyDescent="0.4">
      <c r="A14">
        <v>8</v>
      </c>
      <c r="B14" s="2" t="s">
        <v>267</v>
      </c>
      <c r="C14">
        <f>MATCH(B14,Salary!B:B,0)</f>
        <v>11</v>
      </c>
      <c r="D14" s="74" t="s">
        <v>116</v>
      </c>
      <c r="E14" s="75" t="s">
        <v>109</v>
      </c>
      <c r="F14" s="50"/>
      <c r="G14" s="69">
        <v>0</v>
      </c>
      <c r="H14" s="69">
        <v>0</v>
      </c>
      <c r="I14" s="69">
        <v>0</v>
      </c>
      <c r="J14" s="69">
        <v>0</v>
      </c>
      <c r="K14" s="69">
        <v>0</v>
      </c>
      <c r="L14" s="69">
        <v>0</v>
      </c>
      <c r="M14" s="69">
        <v>245.78</v>
      </c>
      <c r="N14" s="69">
        <v>0</v>
      </c>
      <c r="O14" s="69">
        <v>0</v>
      </c>
      <c r="P14" s="69">
        <v>0</v>
      </c>
      <c r="Q14" s="69">
        <v>0</v>
      </c>
      <c r="R14" s="69">
        <v>0</v>
      </c>
      <c r="S14" s="69">
        <v>0</v>
      </c>
      <c r="T14" s="69">
        <v>0</v>
      </c>
      <c r="U14" s="69">
        <v>0</v>
      </c>
      <c r="V14" s="69">
        <v>0</v>
      </c>
      <c r="W14" s="69">
        <v>0</v>
      </c>
      <c r="X14" s="69">
        <v>0</v>
      </c>
      <c r="Y14" s="69">
        <v>0</v>
      </c>
      <c r="Z14" s="69">
        <v>0</v>
      </c>
      <c r="AA14" s="69">
        <v>0</v>
      </c>
      <c r="AB14" s="69">
        <v>0</v>
      </c>
      <c r="AC14" s="69">
        <v>0</v>
      </c>
      <c r="AD14" s="69">
        <v>0</v>
      </c>
      <c r="AE14" s="69">
        <v>0</v>
      </c>
      <c r="AF14" s="69">
        <v>0</v>
      </c>
      <c r="AG14" s="69">
        <v>0</v>
      </c>
      <c r="AH14" s="69">
        <v>0</v>
      </c>
      <c r="AI14" s="69">
        <v>0</v>
      </c>
      <c r="AJ14" s="69">
        <v>0</v>
      </c>
      <c r="AK14" s="69">
        <v>0</v>
      </c>
      <c r="AL14" s="79">
        <f t="shared" si="0"/>
        <v>245.78</v>
      </c>
      <c r="AM14" s="79">
        <f t="shared" si="1"/>
        <v>491.56</v>
      </c>
    </row>
    <row r="15" spans="1:39" ht="15" x14ac:dyDescent="0.4">
      <c r="A15">
        <v>9</v>
      </c>
      <c r="B15" s="2" t="s">
        <v>268</v>
      </c>
      <c r="C15">
        <f>MATCH(B15,Salary!B:B,0)</f>
        <v>12</v>
      </c>
      <c r="D15" s="74" t="s">
        <v>117</v>
      </c>
      <c r="E15" s="75" t="s">
        <v>107</v>
      </c>
      <c r="F15" s="50"/>
      <c r="G15" s="69">
        <v>0</v>
      </c>
      <c r="H15" s="69">
        <v>0</v>
      </c>
      <c r="I15" s="69">
        <v>0</v>
      </c>
      <c r="J15" s="69">
        <v>0</v>
      </c>
      <c r="K15" s="69">
        <v>0</v>
      </c>
      <c r="L15" s="69">
        <v>0</v>
      </c>
      <c r="M15" s="69">
        <v>0</v>
      </c>
      <c r="N15" s="69">
        <v>481.92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0</v>
      </c>
      <c r="AE15" s="69">
        <v>0</v>
      </c>
      <c r="AF15" s="69">
        <v>0</v>
      </c>
      <c r="AG15" s="69">
        <v>0</v>
      </c>
      <c r="AH15" s="69">
        <v>0</v>
      </c>
      <c r="AI15" s="69">
        <v>0</v>
      </c>
      <c r="AJ15" s="69">
        <v>0</v>
      </c>
      <c r="AK15" s="69">
        <v>0</v>
      </c>
      <c r="AL15" s="79">
        <f t="shared" si="0"/>
        <v>481.92</v>
      </c>
      <c r="AM15" s="79">
        <f t="shared" si="1"/>
        <v>963.84</v>
      </c>
    </row>
    <row r="16" spans="1:39" ht="15" x14ac:dyDescent="0.4">
      <c r="A16">
        <v>10</v>
      </c>
      <c r="B16" s="2" t="s">
        <v>269</v>
      </c>
      <c r="C16">
        <f>MATCH(B16,Salary!B:B,0)</f>
        <v>13</v>
      </c>
      <c r="D16" s="83" t="s">
        <v>118</v>
      </c>
      <c r="E16" s="75" t="s">
        <v>97</v>
      </c>
      <c r="F16" s="50"/>
      <c r="G16" s="69">
        <v>0</v>
      </c>
      <c r="H16" s="69">
        <v>319.3</v>
      </c>
      <c r="I16" s="69">
        <v>0</v>
      </c>
      <c r="J16" s="69">
        <v>0</v>
      </c>
      <c r="K16" s="69">
        <v>0</v>
      </c>
      <c r="L16" s="69">
        <v>0</v>
      </c>
      <c r="M16" s="69">
        <v>0</v>
      </c>
      <c r="N16" s="69">
        <v>0</v>
      </c>
      <c r="O16" s="69">
        <v>0</v>
      </c>
      <c r="P16" s="69">
        <v>0</v>
      </c>
      <c r="Q16" s="69">
        <v>0</v>
      </c>
      <c r="R16" s="69">
        <v>0</v>
      </c>
      <c r="S16" s="69">
        <v>0</v>
      </c>
      <c r="T16" s="69">
        <v>0</v>
      </c>
      <c r="U16" s="69">
        <v>0</v>
      </c>
      <c r="V16" s="69">
        <v>0</v>
      </c>
      <c r="W16" s="69">
        <v>0</v>
      </c>
      <c r="X16" s="69">
        <v>0</v>
      </c>
      <c r="Y16" s="69">
        <v>0</v>
      </c>
      <c r="Z16" s="69">
        <v>0</v>
      </c>
      <c r="AA16" s="69">
        <v>0</v>
      </c>
      <c r="AB16" s="69">
        <v>0</v>
      </c>
      <c r="AC16" s="69">
        <v>0</v>
      </c>
      <c r="AD16" s="69">
        <v>0</v>
      </c>
      <c r="AE16" s="69">
        <v>0</v>
      </c>
      <c r="AF16" s="69">
        <v>0</v>
      </c>
      <c r="AG16" s="69">
        <v>0</v>
      </c>
      <c r="AH16" s="69">
        <v>0</v>
      </c>
      <c r="AI16" s="69">
        <v>0</v>
      </c>
      <c r="AJ16" s="69">
        <v>0</v>
      </c>
      <c r="AK16" s="69">
        <v>0</v>
      </c>
      <c r="AL16" s="79">
        <f t="shared" si="0"/>
        <v>319.3</v>
      </c>
      <c r="AM16" s="79">
        <f t="shared" si="1"/>
        <v>638.6</v>
      </c>
    </row>
    <row r="17" spans="1:39" ht="15" x14ac:dyDescent="0.4">
      <c r="A17">
        <v>11</v>
      </c>
      <c r="B17" s="2" t="s">
        <v>17</v>
      </c>
      <c r="C17">
        <f>MATCH(B17,Salary!B:B,0)</f>
        <v>14</v>
      </c>
      <c r="D17" s="74" t="s">
        <v>119</v>
      </c>
      <c r="E17" s="75" t="s">
        <v>97</v>
      </c>
      <c r="F17" s="50"/>
      <c r="G17" s="69">
        <v>0</v>
      </c>
      <c r="H17" s="69">
        <v>0</v>
      </c>
      <c r="I17" s="69">
        <v>0</v>
      </c>
      <c r="J17" s="69">
        <v>0</v>
      </c>
      <c r="K17" s="69">
        <v>129.04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79">
        <f t="shared" si="0"/>
        <v>129.04</v>
      </c>
      <c r="AM17" s="79">
        <f t="shared" si="1"/>
        <v>258.08</v>
      </c>
    </row>
    <row r="18" spans="1:39" ht="15" x14ac:dyDescent="0.4">
      <c r="A18">
        <v>12</v>
      </c>
      <c r="B18" s="2" t="s">
        <v>270</v>
      </c>
      <c r="C18">
        <f>MATCH(B18,Salary!B:B,0)</f>
        <v>15</v>
      </c>
      <c r="D18" s="84" t="s">
        <v>120</v>
      </c>
      <c r="E18" s="75" t="s">
        <v>97</v>
      </c>
      <c r="F18" s="50"/>
      <c r="G18" s="69">
        <v>0</v>
      </c>
      <c r="H18" s="69">
        <v>0</v>
      </c>
      <c r="I18" s="69">
        <v>0</v>
      </c>
      <c r="J18" s="69">
        <v>0</v>
      </c>
      <c r="K18" s="69">
        <v>185.64</v>
      </c>
      <c r="L18" s="69">
        <v>0</v>
      </c>
      <c r="M18" s="69">
        <v>0</v>
      </c>
      <c r="N18" s="69">
        <v>0</v>
      </c>
      <c r="O18" s="69">
        <v>0</v>
      </c>
      <c r="P18" s="69">
        <v>0</v>
      </c>
      <c r="Q18" s="69">
        <v>0</v>
      </c>
      <c r="R18" s="69">
        <v>0</v>
      </c>
      <c r="S18" s="69">
        <v>0</v>
      </c>
      <c r="T18" s="69">
        <v>0</v>
      </c>
      <c r="U18" s="69">
        <v>0</v>
      </c>
      <c r="V18" s="69">
        <v>0</v>
      </c>
      <c r="W18" s="69">
        <v>0</v>
      </c>
      <c r="X18" s="69">
        <v>0</v>
      </c>
      <c r="Y18" s="69">
        <v>0</v>
      </c>
      <c r="Z18" s="69">
        <v>0</v>
      </c>
      <c r="AA18" s="69">
        <v>0</v>
      </c>
      <c r="AB18" s="69">
        <v>0</v>
      </c>
      <c r="AC18" s="69">
        <v>0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0</v>
      </c>
      <c r="AL18" s="79">
        <f t="shared" si="0"/>
        <v>185.64</v>
      </c>
      <c r="AM18" s="79">
        <f t="shared" si="1"/>
        <v>371.28</v>
      </c>
    </row>
    <row r="19" spans="1:39" ht="15" x14ac:dyDescent="0.4">
      <c r="A19">
        <v>13</v>
      </c>
      <c r="B19" s="2" t="s">
        <v>271</v>
      </c>
      <c r="C19">
        <f>MATCH(B19,Salary!B:B,0)</f>
        <v>16</v>
      </c>
      <c r="D19" s="84" t="s">
        <v>121</v>
      </c>
      <c r="E19" s="75" t="s">
        <v>97</v>
      </c>
      <c r="F19" s="50"/>
      <c r="G19" s="69">
        <v>0</v>
      </c>
      <c r="H19" s="69">
        <v>63.1</v>
      </c>
      <c r="I19" s="69">
        <v>0</v>
      </c>
      <c r="J19" s="69">
        <v>0</v>
      </c>
      <c r="K19" s="69">
        <v>0</v>
      </c>
      <c r="L19" s="69">
        <v>0</v>
      </c>
      <c r="M19" s="69">
        <v>0</v>
      </c>
      <c r="N19" s="69">
        <v>0</v>
      </c>
      <c r="O19" s="69">
        <v>0</v>
      </c>
      <c r="P19" s="69">
        <v>0</v>
      </c>
      <c r="Q19" s="69">
        <v>0</v>
      </c>
      <c r="R19" s="69">
        <v>0</v>
      </c>
      <c r="S19" s="69">
        <v>0</v>
      </c>
      <c r="T19" s="69">
        <v>0</v>
      </c>
      <c r="U19" s="69">
        <v>0</v>
      </c>
      <c r="V19" s="69">
        <v>0</v>
      </c>
      <c r="W19" s="69">
        <v>0</v>
      </c>
      <c r="X19" s="69">
        <v>0</v>
      </c>
      <c r="Y19" s="69">
        <v>0</v>
      </c>
      <c r="Z19" s="69">
        <v>0</v>
      </c>
      <c r="AA19" s="69">
        <v>0</v>
      </c>
      <c r="AB19" s="69">
        <v>0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</v>
      </c>
      <c r="AI19" s="69">
        <v>0</v>
      </c>
      <c r="AJ19" s="69">
        <v>0</v>
      </c>
      <c r="AK19" s="69">
        <v>0</v>
      </c>
      <c r="AL19" s="79">
        <f t="shared" si="0"/>
        <v>63.1</v>
      </c>
      <c r="AM19" s="79">
        <f t="shared" si="1"/>
        <v>126.2</v>
      </c>
    </row>
    <row r="20" spans="1:39" ht="15" x14ac:dyDescent="0.4">
      <c r="A20">
        <v>14</v>
      </c>
      <c r="B20" s="2" t="s">
        <v>272</v>
      </c>
      <c r="C20">
        <f>MATCH(B20,Salary!B:B,0)</f>
        <v>17</v>
      </c>
      <c r="D20" s="84" t="s">
        <v>122</v>
      </c>
      <c r="E20" s="75" t="s">
        <v>112</v>
      </c>
      <c r="F20" s="50"/>
      <c r="G20" s="69">
        <v>0</v>
      </c>
      <c r="H20" s="69">
        <v>0</v>
      </c>
      <c r="I20" s="69">
        <v>0</v>
      </c>
      <c r="J20" s="69">
        <v>0</v>
      </c>
      <c r="K20" s="69">
        <v>0</v>
      </c>
      <c r="L20" s="69">
        <v>0</v>
      </c>
      <c r="M20" s="69">
        <v>0</v>
      </c>
      <c r="N20" s="69">
        <v>0</v>
      </c>
      <c r="O20" s="69">
        <v>0</v>
      </c>
      <c r="P20" s="69">
        <v>0</v>
      </c>
      <c r="Q20" s="69">
        <v>0</v>
      </c>
      <c r="R20" s="69">
        <v>0</v>
      </c>
      <c r="S20" s="69">
        <v>145.30000000000001</v>
      </c>
      <c r="T20" s="69">
        <v>0</v>
      </c>
      <c r="U20" s="69">
        <v>0</v>
      </c>
      <c r="V20" s="69">
        <v>0</v>
      </c>
      <c r="W20" s="69">
        <v>0</v>
      </c>
      <c r="X20" s="69">
        <v>0</v>
      </c>
      <c r="Y20" s="69">
        <v>0</v>
      </c>
      <c r="Z20" s="69">
        <v>0</v>
      </c>
      <c r="AA20" s="69">
        <v>0</v>
      </c>
      <c r="AB20" s="69">
        <v>0</v>
      </c>
      <c r="AC20" s="69">
        <v>0</v>
      </c>
      <c r="AD20" s="69">
        <v>0</v>
      </c>
      <c r="AE20" s="69">
        <v>0</v>
      </c>
      <c r="AF20" s="69">
        <v>0</v>
      </c>
      <c r="AG20" s="69">
        <v>0</v>
      </c>
      <c r="AH20" s="69">
        <v>0</v>
      </c>
      <c r="AI20" s="69">
        <v>0</v>
      </c>
      <c r="AJ20" s="69">
        <v>0</v>
      </c>
      <c r="AK20" s="69">
        <v>0</v>
      </c>
      <c r="AL20" s="79">
        <f t="shared" si="0"/>
        <v>145.30000000000001</v>
      </c>
      <c r="AM20" s="79">
        <f t="shared" si="1"/>
        <v>290.60000000000002</v>
      </c>
    </row>
    <row r="21" spans="1:39" ht="15" x14ac:dyDescent="0.4">
      <c r="A21">
        <v>15</v>
      </c>
      <c r="B21" s="2" t="s">
        <v>273</v>
      </c>
      <c r="C21">
        <f>MATCH(B21,Salary!B:B,0)</f>
        <v>18</v>
      </c>
      <c r="D21" s="74" t="s">
        <v>123</v>
      </c>
      <c r="E21" s="75" t="s">
        <v>107</v>
      </c>
      <c r="F21" s="50"/>
      <c r="G21" s="69">
        <v>0</v>
      </c>
      <c r="H21" s="69">
        <v>0</v>
      </c>
      <c r="I21" s="69">
        <v>0</v>
      </c>
      <c r="J21" s="69">
        <v>0</v>
      </c>
      <c r="K21" s="69">
        <v>0</v>
      </c>
      <c r="L21" s="69">
        <v>0</v>
      </c>
      <c r="M21" s="69">
        <v>0</v>
      </c>
      <c r="N21" s="69">
        <v>161.22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79">
        <f t="shared" si="0"/>
        <v>161.22</v>
      </c>
      <c r="AM21" s="79">
        <f t="shared" si="1"/>
        <v>322.44</v>
      </c>
    </row>
    <row r="22" spans="1:39" ht="15" x14ac:dyDescent="0.4">
      <c r="A22">
        <v>16</v>
      </c>
      <c r="B22" s="2" t="s">
        <v>274</v>
      </c>
      <c r="C22">
        <f>MATCH(B22,Salary!B:B,0)</f>
        <v>19</v>
      </c>
      <c r="D22" s="74" t="s">
        <v>124</v>
      </c>
      <c r="E22" s="75" t="s">
        <v>97</v>
      </c>
      <c r="F22" s="50"/>
      <c r="G22" s="69">
        <v>0</v>
      </c>
      <c r="H22" s="69">
        <v>301.45999999999998</v>
      </c>
      <c r="I22" s="69">
        <v>0</v>
      </c>
      <c r="J22" s="69">
        <v>0</v>
      </c>
      <c r="K22" s="69">
        <v>0</v>
      </c>
      <c r="L22" s="69">
        <v>0</v>
      </c>
      <c r="M22" s="69">
        <v>0</v>
      </c>
      <c r="N22" s="69">
        <v>0</v>
      </c>
      <c r="O22" s="69">
        <v>0</v>
      </c>
      <c r="P22" s="69">
        <v>0</v>
      </c>
      <c r="Q22" s="69">
        <v>0</v>
      </c>
      <c r="R22" s="69">
        <v>0</v>
      </c>
      <c r="S22" s="69">
        <v>0</v>
      </c>
      <c r="T22" s="69">
        <v>0</v>
      </c>
      <c r="U22" s="69">
        <v>0</v>
      </c>
      <c r="V22" s="69">
        <v>0</v>
      </c>
      <c r="W22" s="69">
        <v>0</v>
      </c>
      <c r="X22" s="69">
        <v>0</v>
      </c>
      <c r="Y22" s="69">
        <v>0</v>
      </c>
      <c r="Z22" s="69">
        <v>0</v>
      </c>
      <c r="AA22" s="69">
        <v>0</v>
      </c>
      <c r="AB22" s="69">
        <v>0</v>
      </c>
      <c r="AC22" s="69">
        <v>0</v>
      </c>
      <c r="AD22" s="69">
        <v>0</v>
      </c>
      <c r="AE22" s="69">
        <v>0</v>
      </c>
      <c r="AF22" s="69">
        <v>0</v>
      </c>
      <c r="AG22" s="69">
        <v>0</v>
      </c>
      <c r="AH22" s="69">
        <v>0</v>
      </c>
      <c r="AI22" s="69">
        <v>0</v>
      </c>
      <c r="AJ22" s="69">
        <v>0</v>
      </c>
      <c r="AK22" s="69">
        <v>0</v>
      </c>
      <c r="AL22" s="79">
        <f t="shared" si="0"/>
        <v>301.45999999999998</v>
      </c>
      <c r="AM22" s="79">
        <f t="shared" si="1"/>
        <v>602.91999999999996</v>
      </c>
    </row>
    <row r="23" spans="1:39" ht="15" x14ac:dyDescent="0.4">
      <c r="A23">
        <v>17</v>
      </c>
      <c r="B23" s="2" t="s">
        <v>275</v>
      </c>
      <c r="C23">
        <f>MATCH(B23,Salary!B:B,0)</f>
        <v>20</v>
      </c>
      <c r="D23" s="74" t="s">
        <v>125</v>
      </c>
      <c r="E23" s="75" t="s">
        <v>112</v>
      </c>
      <c r="F23" s="50"/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339.04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79">
        <f t="shared" si="0"/>
        <v>339.04</v>
      </c>
      <c r="AM23" s="79">
        <f t="shared" si="1"/>
        <v>678.08</v>
      </c>
    </row>
    <row r="24" spans="1:39" ht="15" x14ac:dyDescent="0.4">
      <c r="A24">
        <v>18</v>
      </c>
      <c r="B24" s="2" t="s">
        <v>276</v>
      </c>
      <c r="C24">
        <f>MATCH(B24,Salary!B:B,0)</f>
        <v>21</v>
      </c>
      <c r="D24" s="74" t="s">
        <v>126</v>
      </c>
      <c r="E24" s="75" t="s">
        <v>98</v>
      </c>
      <c r="F24" s="50"/>
      <c r="G24" s="69">
        <v>0</v>
      </c>
      <c r="H24" s="69">
        <v>0</v>
      </c>
      <c r="I24" s="69">
        <v>201.46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</v>
      </c>
      <c r="AE24" s="69">
        <v>0</v>
      </c>
      <c r="AF24" s="69">
        <v>0</v>
      </c>
      <c r="AG24" s="69">
        <v>0</v>
      </c>
      <c r="AH24" s="69">
        <v>0</v>
      </c>
      <c r="AI24" s="69">
        <v>0</v>
      </c>
      <c r="AJ24" s="69">
        <v>0</v>
      </c>
      <c r="AK24" s="69">
        <v>0</v>
      </c>
      <c r="AL24" s="79">
        <f t="shared" si="0"/>
        <v>201.46</v>
      </c>
      <c r="AM24" s="79">
        <f t="shared" si="1"/>
        <v>402.92</v>
      </c>
    </row>
    <row r="25" spans="1:39" ht="15" x14ac:dyDescent="0.4">
      <c r="A25">
        <v>19</v>
      </c>
      <c r="B25" s="2" t="s">
        <v>277</v>
      </c>
      <c r="C25">
        <f>MATCH(B25,Salary!B:B,0)</f>
        <v>22</v>
      </c>
      <c r="D25" s="74" t="s">
        <v>127</v>
      </c>
      <c r="E25" s="75" t="s">
        <v>109</v>
      </c>
      <c r="F25" s="50"/>
      <c r="G25" s="69">
        <v>0</v>
      </c>
      <c r="H25" s="69">
        <v>0</v>
      </c>
      <c r="I25" s="69">
        <v>0</v>
      </c>
      <c r="J25" s="69">
        <v>0</v>
      </c>
      <c r="K25" s="69">
        <v>0</v>
      </c>
      <c r="L25" s="69">
        <v>0</v>
      </c>
      <c r="M25" s="69">
        <v>150.66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0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79">
        <f t="shared" si="0"/>
        <v>150.66</v>
      </c>
      <c r="AM25" s="79">
        <f t="shared" si="1"/>
        <v>301.32</v>
      </c>
    </row>
    <row r="26" spans="1:39" ht="15" x14ac:dyDescent="0.4">
      <c r="A26">
        <v>20</v>
      </c>
      <c r="B26" s="2" t="s">
        <v>278</v>
      </c>
      <c r="C26">
        <f>MATCH(B26,Salary!B:B,0)</f>
        <v>23</v>
      </c>
      <c r="D26" s="83" t="s">
        <v>128</v>
      </c>
      <c r="E26" s="75" t="s">
        <v>129</v>
      </c>
      <c r="F26" s="50"/>
      <c r="G26" s="69">
        <v>0</v>
      </c>
      <c r="H26" s="69">
        <v>0</v>
      </c>
      <c r="I26" s="69">
        <v>0</v>
      </c>
      <c r="J26" s="69">
        <v>0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91.85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275.54999999999995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79">
        <f t="shared" si="0"/>
        <v>367.4</v>
      </c>
      <c r="AM26" s="79">
        <f t="shared" si="1"/>
        <v>734.8</v>
      </c>
    </row>
    <row r="27" spans="1:39" ht="15" x14ac:dyDescent="0.4">
      <c r="A27">
        <v>21</v>
      </c>
      <c r="B27" s="2" t="s">
        <v>279</v>
      </c>
      <c r="C27">
        <f>MATCH(B27,Salary!B:B,0)</f>
        <v>24</v>
      </c>
      <c r="D27" s="74" t="s">
        <v>130</v>
      </c>
      <c r="E27" s="75" t="s">
        <v>107</v>
      </c>
      <c r="F27" s="50"/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321.54000000000002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79">
        <f t="shared" si="0"/>
        <v>321.54000000000002</v>
      </c>
      <c r="AM27" s="79">
        <f t="shared" si="1"/>
        <v>643.08000000000004</v>
      </c>
    </row>
    <row r="28" spans="1:39" ht="15" x14ac:dyDescent="0.4">
      <c r="A28">
        <v>22</v>
      </c>
      <c r="B28" s="2" t="s">
        <v>280</v>
      </c>
      <c r="C28">
        <f>MATCH(B28,Salary!B:B,0)</f>
        <v>25</v>
      </c>
      <c r="D28" s="74" t="s">
        <v>131</v>
      </c>
      <c r="E28" s="75" t="s">
        <v>97</v>
      </c>
      <c r="F28" s="50"/>
      <c r="G28" s="69">
        <v>0</v>
      </c>
      <c r="H28" s="69">
        <v>482.54000000000008</v>
      </c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0</v>
      </c>
      <c r="AD28" s="69">
        <v>0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79">
        <f t="shared" si="0"/>
        <v>482.54000000000008</v>
      </c>
      <c r="AM28" s="79">
        <f t="shared" si="1"/>
        <v>965.08000000000015</v>
      </c>
    </row>
    <row r="29" spans="1:39" ht="15" x14ac:dyDescent="0.4">
      <c r="A29">
        <v>23</v>
      </c>
      <c r="B29" s="2" t="s">
        <v>281</v>
      </c>
      <c r="C29">
        <f>MATCH(B29,Salary!B:B,0)</f>
        <v>26</v>
      </c>
      <c r="D29" s="74" t="s">
        <v>132</v>
      </c>
      <c r="E29" s="75" t="s">
        <v>98</v>
      </c>
      <c r="F29" s="50"/>
      <c r="G29" s="69">
        <v>0</v>
      </c>
      <c r="H29" s="69">
        <v>0</v>
      </c>
      <c r="I29" s="69">
        <v>267.56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79">
        <f t="shared" si="0"/>
        <v>267.56</v>
      </c>
      <c r="AM29" s="79">
        <f t="shared" si="1"/>
        <v>535.12</v>
      </c>
    </row>
    <row r="30" spans="1:39" ht="15" x14ac:dyDescent="0.4">
      <c r="A30">
        <v>24</v>
      </c>
      <c r="B30" s="2" t="s">
        <v>282</v>
      </c>
      <c r="C30">
        <f>MATCH(B30,Salary!B:B,0)</f>
        <v>27</v>
      </c>
      <c r="D30" s="74" t="s">
        <v>133</v>
      </c>
      <c r="E30" s="75" t="s">
        <v>109</v>
      </c>
      <c r="F30" s="50"/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442.14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79">
        <f t="shared" si="0"/>
        <v>442.14</v>
      </c>
      <c r="AM30" s="79">
        <f t="shared" si="1"/>
        <v>884.28</v>
      </c>
    </row>
    <row r="31" spans="1:39" ht="15" x14ac:dyDescent="0.4">
      <c r="A31">
        <v>25</v>
      </c>
      <c r="B31" s="2" t="s">
        <v>283</v>
      </c>
      <c r="C31">
        <f>MATCH(B31,Salary!B:B,0)</f>
        <v>28</v>
      </c>
      <c r="D31" s="74" t="s">
        <v>134</v>
      </c>
      <c r="E31" s="85" t="s">
        <v>98</v>
      </c>
      <c r="F31" s="50"/>
      <c r="G31" s="69">
        <v>0</v>
      </c>
      <c r="H31" s="69">
        <v>0</v>
      </c>
      <c r="I31" s="69">
        <v>169.3</v>
      </c>
      <c r="J31" s="69">
        <v>0</v>
      </c>
      <c r="K31" s="69">
        <v>0</v>
      </c>
      <c r="L31" s="69">
        <v>0</v>
      </c>
      <c r="M31" s="69">
        <v>0</v>
      </c>
      <c r="N31" s="69">
        <v>0</v>
      </c>
      <c r="O31" s="69">
        <v>0</v>
      </c>
      <c r="P31" s="69">
        <v>0</v>
      </c>
      <c r="Q31" s="69">
        <v>0</v>
      </c>
      <c r="R31" s="69">
        <v>0</v>
      </c>
      <c r="S31" s="69">
        <v>0</v>
      </c>
      <c r="T31" s="69">
        <v>0</v>
      </c>
      <c r="U31" s="69">
        <v>0</v>
      </c>
      <c r="V31" s="69">
        <v>0</v>
      </c>
      <c r="W31" s="69">
        <v>0</v>
      </c>
      <c r="X31" s="69">
        <v>0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79">
        <f t="shared" si="0"/>
        <v>169.3</v>
      </c>
      <c r="AM31" s="79">
        <f t="shared" si="1"/>
        <v>338.6</v>
      </c>
    </row>
    <row r="32" spans="1:39" ht="15" x14ac:dyDescent="0.4">
      <c r="A32">
        <v>26</v>
      </c>
      <c r="B32" s="2" t="s">
        <v>284</v>
      </c>
      <c r="C32">
        <f>MATCH(B32,Salary!B:B,0)</f>
        <v>29</v>
      </c>
      <c r="D32" s="74" t="s">
        <v>135</v>
      </c>
      <c r="E32" s="85" t="s">
        <v>136</v>
      </c>
      <c r="F32" s="50"/>
      <c r="G32" s="69">
        <v>0</v>
      </c>
      <c r="H32" s="69">
        <v>0</v>
      </c>
      <c r="I32" s="69">
        <v>506.94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79">
        <f t="shared" si="0"/>
        <v>506.94</v>
      </c>
      <c r="AM32" s="79">
        <f t="shared" si="1"/>
        <v>1013.88</v>
      </c>
    </row>
    <row r="33" spans="1:39" ht="15" x14ac:dyDescent="0.4">
      <c r="A33">
        <v>27</v>
      </c>
      <c r="B33" s="2" t="s">
        <v>285</v>
      </c>
      <c r="C33">
        <f>MATCH(B33,Salary!B:B,0)</f>
        <v>30</v>
      </c>
      <c r="D33" s="74" t="s">
        <v>137</v>
      </c>
      <c r="E33" s="75" t="s">
        <v>107</v>
      </c>
      <c r="F33" s="44"/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899.82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79">
        <f t="shared" si="0"/>
        <v>899.82</v>
      </c>
      <c r="AM33" s="79">
        <f t="shared" si="1"/>
        <v>1799.64</v>
      </c>
    </row>
    <row r="34" spans="1:39" ht="15" x14ac:dyDescent="0.4">
      <c r="A34">
        <v>28</v>
      </c>
      <c r="B34" s="2" t="s">
        <v>286</v>
      </c>
      <c r="C34">
        <f>MATCH(B34,Salary!B:B,0)</f>
        <v>31</v>
      </c>
      <c r="D34" s="74" t="s">
        <v>138</v>
      </c>
      <c r="E34" s="75" t="s">
        <v>139</v>
      </c>
      <c r="F34" s="44"/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  <c r="O34" s="69">
        <v>102.22559999999999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465.69439999999992</v>
      </c>
      <c r="AH34" s="69">
        <v>0</v>
      </c>
      <c r="AI34" s="69">
        <v>0</v>
      </c>
      <c r="AJ34" s="69">
        <v>0</v>
      </c>
      <c r="AK34" s="69">
        <v>0</v>
      </c>
      <c r="AL34" s="79">
        <f t="shared" si="0"/>
        <v>567.91999999999985</v>
      </c>
      <c r="AM34" s="79">
        <f t="shared" si="1"/>
        <v>1135.8399999999997</v>
      </c>
    </row>
    <row r="35" spans="1:39" ht="15" x14ac:dyDescent="0.4">
      <c r="A35">
        <v>29</v>
      </c>
      <c r="B35" s="2" t="s">
        <v>287</v>
      </c>
      <c r="C35">
        <f>MATCH(B35,Salary!B:B,0)</f>
        <v>32</v>
      </c>
      <c r="D35" s="74" t="s">
        <v>140</v>
      </c>
      <c r="E35" s="75" t="s">
        <v>139</v>
      </c>
      <c r="F35" s="44"/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135.84</v>
      </c>
      <c r="AH35" s="69">
        <v>0</v>
      </c>
      <c r="AI35" s="69">
        <v>0</v>
      </c>
      <c r="AJ35" s="69">
        <v>0</v>
      </c>
      <c r="AK35" s="69">
        <v>0</v>
      </c>
      <c r="AL35" s="79">
        <f t="shared" si="0"/>
        <v>135.84</v>
      </c>
      <c r="AM35" s="79">
        <f t="shared" si="1"/>
        <v>271.68</v>
      </c>
    </row>
    <row r="36" spans="1:39" ht="15" x14ac:dyDescent="0.4">
      <c r="A36">
        <v>30</v>
      </c>
      <c r="B36" s="42"/>
      <c r="C36" t="e">
        <f>MATCH(B36,Salary!B:B,0)</f>
        <v>#N/A</v>
      </c>
      <c r="D36" s="83" t="s">
        <v>141</v>
      </c>
      <c r="E36" s="75" t="s">
        <v>142</v>
      </c>
      <c r="F36" s="44"/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79">
        <f t="shared" si="0"/>
        <v>0</v>
      </c>
      <c r="AM36" s="79">
        <f t="shared" si="1"/>
        <v>0</v>
      </c>
    </row>
    <row r="37" spans="1:39" ht="15" x14ac:dyDescent="0.4">
      <c r="A37">
        <v>31</v>
      </c>
      <c r="B37" s="42"/>
      <c r="C37" t="e">
        <f>MATCH(B37,Salary!B:B,0)</f>
        <v>#N/A</v>
      </c>
      <c r="D37" s="74" t="s">
        <v>143</v>
      </c>
      <c r="E37" s="75" t="s">
        <v>107</v>
      </c>
      <c r="F37" s="44"/>
      <c r="G37" s="69">
        <v>0</v>
      </c>
      <c r="H37" s="69">
        <v>0</v>
      </c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79">
        <f>SUM(D37:AK37)</f>
        <v>0</v>
      </c>
      <c r="AM37" s="79">
        <f>SUM(E37:AL37)</f>
        <v>0</v>
      </c>
    </row>
    <row r="38" spans="1:39" ht="15" x14ac:dyDescent="0.4">
      <c r="A38">
        <v>32</v>
      </c>
      <c r="B38" s="42"/>
      <c r="C38" t="e">
        <f>MATCH(B38,Salary!B:B,0)</f>
        <v>#N/A</v>
      </c>
      <c r="D38" s="74" t="s">
        <v>144</v>
      </c>
      <c r="E38" s="75" t="s">
        <v>98</v>
      </c>
      <c r="F38" s="50"/>
      <c r="G38" s="69">
        <v>0</v>
      </c>
      <c r="H38" s="69">
        <v>0</v>
      </c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79">
        <f t="shared" ref="AL38:AL114" si="2">SUM(D38:AK38)</f>
        <v>0</v>
      </c>
      <c r="AM38" s="79">
        <f t="shared" ref="AM38:AM114" si="3">SUM(E38:AL38)</f>
        <v>0</v>
      </c>
    </row>
    <row r="39" spans="1:39" ht="15" x14ac:dyDescent="0.4">
      <c r="A39">
        <v>33</v>
      </c>
      <c r="B39" s="42"/>
      <c r="C39" t="e">
        <f>MATCH(B39,Salary!B:B,0)</f>
        <v>#N/A</v>
      </c>
      <c r="D39" s="74" t="s">
        <v>145</v>
      </c>
      <c r="E39" s="75" t="s">
        <v>98</v>
      </c>
      <c r="F39" s="50"/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79">
        <f t="shared" si="2"/>
        <v>0</v>
      </c>
      <c r="AM39" s="79">
        <f t="shared" si="3"/>
        <v>0</v>
      </c>
    </row>
    <row r="40" spans="1:39" ht="15" x14ac:dyDescent="0.4">
      <c r="A40">
        <v>34</v>
      </c>
      <c r="B40" s="42"/>
      <c r="C40" t="e">
        <f>MATCH(B40,Salary!B:B,0)</f>
        <v>#N/A</v>
      </c>
      <c r="D40" s="87" t="s">
        <v>146</v>
      </c>
      <c r="E40" s="75" t="s">
        <v>147</v>
      </c>
      <c r="F40" s="50"/>
      <c r="G40" s="69">
        <v>0</v>
      </c>
      <c r="H40" s="69">
        <v>0</v>
      </c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79">
        <f t="shared" si="2"/>
        <v>0</v>
      </c>
      <c r="AM40" s="79">
        <f t="shared" si="3"/>
        <v>0</v>
      </c>
    </row>
    <row r="41" spans="1:39" ht="15" x14ac:dyDescent="0.4">
      <c r="A41">
        <v>35</v>
      </c>
      <c r="B41" s="42"/>
      <c r="C41" t="e">
        <f>MATCH(B41,Salary!B:B,0)</f>
        <v>#N/A</v>
      </c>
      <c r="D41" s="74" t="s">
        <v>148</v>
      </c>
      <c r="E41" s="85" t="s">
        <v>98</v>
      </c>
      <c r="F41" s="50"/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79">
        <f t="shared" si="2"/>
        <v>0</v>
      </c>
      <c r="AM41" s="79">
        <f t="shared" si="3"/>
        <v>0</v>
      </c>
    </row>
    <row r="42" spans="1:39" ht="15" x14ac:dyDescent="0.4">
      <c r="A42">
        <v>36</v>
      </c>
      <c r="B42" s="42"/>
      <c r="C42" t="e">
        <f>MATCH(B42,Salary!B:B,0)</f>
        <v>#N/A</v>
      </c>
      <c r="D42" s="74" t="s">
        <v>149</v>
      </c>
      <c r="E42" s="85" t="s">
        <v>136</v>
      </c>
      <c r="F42" s="50"/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79">
        <f t="shared" si="2"/>
        <v>0</v>
      </c>
      <c r="AM42" s="79">
        <f t="shared" si="3"/>
        <v>0</v>
      </c>
    </row>
    <row r="43" spans="1:39" ht="15" x14ac:dyDescent="0.4">
      <c r="A43">
        <v>37</v>
      </c>
      <c r="B43" s="42"/>
      <c r="C43" t="e">
        <f>MATCH(B43,Salary!B:B,0)</f>
        <v>#N/A</v>
      </c>
      <c r="D43" s="74" t="s">
        <v>150</v>
      </c>
      <c r="E43" s="75" t="s">
        <v>98</v>
      </c>
      <c r="F43" s="50"/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79">
        <f t="shared" si="2"/>
        <v>0</v>
      </c>
      <c r="AM43" s="79">
        <f t="shared" si="3"/>
        <v>0</v>
      </c>
    </row>
    <row r="44" spans="1:39" ht="15" x14ac:dyDescent="0.4">
      <c r="A44">
        <v>38</v>
      </c>
      <c r="B44" s="42"/>
      <c r="C44" t="e">
        <f>MATCH(B44,Salary!B:B,0)</f>
        <v>#N/A</v>
      </c>
      <c r="D44" s="74" t="s">
        <v>151</v>
      </c>
      <c r="E44" s="75" t="s">
        <v>98</v>
      </c>
      <c r="F44" s="50"/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79">
        <f t="shared" si="2"/>
        <v>0</v>
      </c>
      <c r="AM44" s="79">
        <f t="shared" si="3"/>
        <v>0</v>
      </c>
    </row>
    <row r="45" spans="1:39" ht="15" x14ac:dyDescent="0.4">
      <c r="A45">
        <v>39</v>
      </c>
      <c r="B45" s="42"/>
      <c r="C45" t="e">
        <f>MATCH(B45,Salary!B:B,0)</f>
        <v>#N/A</v>
      </c>
      <c r="D45" s="74" t="s">
        <v>152</v>
      </c>
      <c r="E45" s="88" t="s">
        <v>153</v>
      </c>
      <c r="F45" s="89"/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92">
        <f t="shared" si="2"/>
        <v>0</v>
      </c>
      <c r="AM45" s="92">
        <f t="shared" si="3"/>
        <v>0</v>
      </c>
    </row>
    <row r="46" spans="1:39" ht="15" x14ac:dyDescent="0.4">
      <c r="A46">
        <v>40</v>
      </c>
      <c r="B46" s="42"/>
      <c r="C46" t="e">
        <f>MATCH(B46,Salary!B:B,0)</f>
        <v>#N/A</v>
      </c>
      <c r="D46" s="83" t="s">
        <v>154</v>
      </c>
      <c r="E46" s="88" t="s">
        <v>153</v>
      </c>
      <c r="F46" s="89"/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92">
        <f>SUM(D46:AK46)</f>
        <v>0</v>
      </c>
      <c r="AM46" s="92">
        <f>SUM(E46:AL46)</f>
        <v>0</v>
      </c>
    </row>
    <row r="47" spans="1:39" ht="15" x14ac:dyDescent="0.4">
      <c r="A47">
        <v>41</v>
      </c>
      <c r="B47" s="42"/>
      <c r="C47" t="e">
        <f>MATCH(B47,Salary!B:B,0)</f>
        <v>#N/A</v>
      </c>
      <c r="D47" s="74" t="s">
        <v>155</v>
      </c>
      <c r="E47" s="88" t="s">
        <v>156</v>
      </c>
      <c r="F47" s="89"/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92">
        <f>SUM(D47:AK47)</f>
        <v>0</v>
      </c>
      <c r="AM47" s="92">
        <f>SUM(E47:AL47)</f>
        <v>0</v>
      </c>
    </row>
    <row r="48" spans="1:39" ht="15" x14ac:dyDescent="0.4">
      <c r="A48">
        <v>42</v>
      </c>
      <c r="B48" s="42"/>
      <c r="C48" t="e">
        <f>MATCH(B48,Salary!B:B,0)</f>
        <v>#N/A</v>
      </c>
      <c r="D48" s="95" t="s">
        <v>157</v>
      </c>
      <c r="E48" s="75" t="s">
        <v>98</v>
      </c>
      <c r="F48" s="50"/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79">
        <f t="shared" si="2"/>
        <v>0</v>
      </c>
      <c r="AM48" s="79">
        <f t="shared" si="3"/>
        <v>0</v>
      </c>
    </row>
    <row r="49" spans="1:39" ht="15" x14ac:dyDescent="0.4">
      <c r="A49">
        <v>43</v>
      </c>
      <c r="B49" s="42"/>
      <c r="C49" t="e">
        <f>MATCH(B49,Salary!B:B,0)</f>
        <v>#N/A</v>
      </c>
      <c r="D49" s="74" t="s">
        <v>158</v>
      </c>
      <c r="E49" s="75" t="s">
        <v>98</v>
      </c>
      <c r="F49" s="50"/>
      <c r="G49" s="69">
        <v>0</v>
      </c>
      <c r="H49" s="69">
        <v>0</v>
      </c>
      <c r="I49" s="69">
        <v>0</v>
      </c>
      <c r="J49" s="69">
        <v>0</v>
      </c>
      <c r="K49" s="69">
        <v>0</v>
      </c>
      <c r="L49" s="69">
        <v>0</v>
      </c>
      <c r="M49" s="69">
        <v>0</v>
      </c>
      <c r="N49" s="69">
        <v>0</v>
      </c>
      <c r="O49" s="69">
        <v>0</v>
      </c>
      <c r="P49" s="69">
        <v>0</v>
      </c>
      <c r="Q49" s="69">
        <v>0</v>
      </c>
      <c r="R49" s="69">
        <v>0</v>
      </c>
      <c r="S49" s="69">
        <v>0</v>
      </c>
      <c r="T49" s="69">
        <v>0</v>
      </c>
      <c r="U49" s="69">
        <v>0</v>
      </c>
      <c r="V49" s="69">
        <v>0</v>
      </c>
      <c r="W49" s="69">
        <v>0</v>
      </c>
      <c r="X49" s="69">
        <v>0</v>
      </c>
      <c r="Y49" s="69">
        <v>0</v>
      </c>
      <c r="Z49" s="69">
        <v>0</v>
      </c>
      <c r="AA49" s="69">
        <v>0</v>
      </c>
      <c r="AB49" s="69">
        <v>0</v>
      </c>
      <c r="AC49" s="69">
        <v>0</v>
      </c>
      <c r="AD49" s="69">
        <v>0</v>
      </c>
      <c r="AE49" s="69">
        <v>0</v>
      </c>
      <c r="AF49" s="69">
        <v>0</v>
      </c>
      <c r="AG49" s="69">
        <v>0</v>
      </c>
      <c r="AH49" s="69">
        <v>0</v>
      </c>
      <c r="AI49" s="69">
        <v>0</v>
      </c>
      <c r="AJ49" s="69">
        <v>0</v>
      </c>
      <c r="AK49" s="69">
        <v>0</v>
      </c>
      <c r="AL49" s="79">
        <f t="shared" si="2"/>
        <v>0</v>
      </c>
      <c r="AM49" s="79">
        <f t="shared" si="3"/>
        <v>0</v>
      </c>
    </row>
    <row r="50" spans="1:39" ht="15" x14ac:dyDescent="0.4">
      <c r="A50">
        <v>44</v>
      </c>
      <c r="B50" s="42"/>
      <c r="C50" t="e">
        <f>MATCH(B50,Salary!B:B,0)</f>
        <v>#N/A</v>
      </c>
      <c r="D50" s="84" t="s">
        <v>159</v>
      </c>
      <c r="E50" s="75" t="s">
        <v>97</v>
      </c>
      <c r="F50" s="50"/>
      <c r="G50" s="69">
        <v>0</v>
      </c>
      <c r="H50" s="69">
        <v>0</v>
      </c>
      <c r="I50" s="69">
        <v>0</v>
      </c>
      <c r="J50" s="69">
        <v>0</v>
      </c>
      <c r="K50" s="69">
        <v>0</v>
      </c>
      <c r="L50" s="69">
        <v>0</v>
      </c>
      <c r="M50" s="69">
        <v>0</v>
      </c>
      <c r="N50" s="69">
        <v>0</v>
      </c>
      <c r="O50" s="69">
        <v>0</v>
      </c>
      <c r="P50" s="69">
        <v>0</v>
      </c>
      <c r="Q50" s="69">
        <v>0</v>
      </c>
      <c r="R50" s="69">
        <v>0</v>
      </c>
      <c r="S50" s="69">
        <v>0</v>
      </c>
      <c r="T50" s="69">
        <v>0</v>
      </c>
      <c r="U50" s="69">
        <v>0</v>
      </c>
      <c r="V50" s="69">
        <v>0</v>
      </c>
      <c r="W50" s="69">
        <v>0</v>
      </c>
      <c r="X50" s="69">
        <v>0</v>
      </c>
      <c r="Y50" s="69">
        <v>0</v>
      </c>
      <c r="Z50" s="69">
        <v>0</v>
      </c>
      <c r="AA50" s="69">
        <v>0</v>
      </c>
      <c r="AB50" s="69">
        <v>0</v>
      </c>
      <c r="AC50" s="69">
        <v>0</v>
      </c>
      <c r="AD50" s="69">
        <v>0</v>
      </c>
      <c r="AE50" s="69">
        <v>0</v>
      </c>
      <c r="AF50" s="69">
        <v>0</v>
      </c>
      <c r="AG50" s="69">
        <v>0</v>
      </c>
      <c r="AH50" s="69">
        <v>0</v>
      </c>
      <c r="AI50" s="69">
        <v>0</v>
      </c>
      <c r="AJ50" s="69">
        <v>0</v>
      </c>
      <c r="AK50" s="69">
        <v>0</v>
      </c>
      <c r="AL50" s="79">
        <f t="shared" si="2"/>
        <v>0</v>
      </c>
      <c r="AM50" s="79">
        <f t="shared" si="3"/>
        <v>0</v>
      </c>
    </row>
    <row r="51" spans="1:39" ht="15" x14ac:dyDescent="0.4">
      <c r="A51">
        <v>45</v>
      </c>
      <c r="B51" s="42"/>
      <c r="C51" t="e">
        <f>MATCH(B51,Salary!B:B,0)</f>
        <v>#N/A</v>
      </c>
      <c r="D51" s="84" t="s">
        <v>160</v>
      </c>
      <c r="E51" s="75" t="s">
        <v>97</v>
      </c>
      <c r="F51" s="50"/>
      <c r="G51" s="69">
        <v>0</v>
      </c>
      <c r="H51" s="69">
        <v>0</v>
      </c>
      <c r="I51" s="69">
        <v>0</v>
      </c>
      <c r="J51" s="69">
        <v>0</v>
      </c>
      <c r="K51" s="69">
        <v>0</v>
      </c>
      <c r="L51" s="69">
        <v>0</v>
      </c>
      <c r="M51" s="69">
        <v>0</v>
      </c>
      <c r="N51" s="69">
        <v>0</v>
      </c>
      <c r="O51" s="69">
        <v>0</v>
      </c>
      <c r="P51" s="69">
        <v>0</v>
      </c>
      <c r="Q51" s="69">
        <v>0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0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0</v>
      </c>
      <c r="AK51" s="69">
        <v>0</v>
      </c>
      <c r="AL51" s="79">
        <f t="shared" si="2"/>
        <v>0</v>
      </c>
      <c r="AM51" s="79">
        <f t="shared" si="3"/>
        <v>0</v>
      </c>
    </row>
    <row r="52" spans="1:39" ht="15" x14ac:dyDescent="0.4">
      <c r="A52">
        <v>46</v>
      </c>
      <c r="B52" s="42"/>
      <c r="C52" t="e">
        <f>MATCH(B52,Salary!B:B,0)</f>
        <v>#N/A</v>
      </c>
      <c r="D52" s="84" t="s">
        <v>161</v>
      </c>
      <c r="E52" s="75" t="s">
        <v>97</v>
      </c>
      <c r="F52" s="50"/>
      <c r="G52" s="69">
        <v>0</v>
      </c>
      <c r="H52" s="69">
        <v>0</v>
      </c>
      <c r="I52" s="69">
        <v>0</v>
      </c>
      <c r="J52" s="69">
        <v>0</v>
      </c>
      <c r="K52" s="69">
        <v>0</v>
      </c>
      <c r="L52" s="69">
        <v>0</v>
      </c>
      <c r="M52" s="69">
        <v>0</v>
      </c>
      <c r="N52" s="69">
        <v>0</v>
      </c>
      <c r="O52" s="69">
        <v>0</v>
      </c>
      <c r="P52" s="69">
        <v>0</v>
      </c>
      <c r="Q52" s="69">
        <v>0</v>
      </c>
      <c r="R52" s="69">
        <v>0</v>
      </c>
      <c r="S52" s="69">
        <v>0</v>
      </c>
      <c r="T52" s="69">
        <v>0</v>
      </c>
      <c r="U52" s="69">
        <v>0</v>
      </c>
      <c r="V52" s="69">
        <v>0</v>
      </c>
      <c r="W52" s="69">
        <v>0</v>
      </c>
      <c r="X52" s="69">
        <v>0</v>
      </c>
      <c r="Y52" s="69">
        <v>0</v>
      </c>
      <c r="Z52" s="69">
        <v>0</v>
      </c>
      <c r="AA52" s="69">
        <v>0</v>
      </c>
      <c r="AB52" s="69">
        <v>0</v>
      </c>
      <c r="AC52" s="69">
        <v>0</v>
      </c>
      <c r="AD52" s="69">
        <v>0</v>
      </c>
      <c r="AE52" s="69">
        <v>0</v>
      </c>
      <c r="AF52" s="69">
        <v>0</v>
      </c>
      <c r="AG52" s="69">
        <v>0</v>
      </c>
      <c r="AH52" s="69">
        <v>0</v>
      </c>
      <c r="AI52" s="69">
        <v>0</v>
      </c>
      <c r="AJ52" s="69">
        <v>0</v>
      </c>
      <c r="AK52" s="69">
        <v>0</v>
      </c>
      <c r="AL52" s="79">
        <f t="shared" si="2"/>
        <v>0</v>
      </c>
      <c r="AM52" s="79">
        <f t="shared" si="3"/>
        <v>0</v>
      </c>
    </row>
    <row r="53" spans="1:39" ht="15" x14ac:dyDescent="0.4">
      <c r="A53">
        <v>47</v>
      </c>
      <c r="B53" s="42"/>
      <c r="C53" t="e">
        <f>MATCH(B53,Salary!B:B,0)</f>
        <v>#N/A</v>
      </c>
      <c r="D53" s="74" t="s">
        <v>162</v>
      </c>
      <c r="E53" s="75" t="s">
        <v>163</v>
      </c>
      <c r="F53" s="50"/>
      <c r="G53" s="69">
        <v>0</v>
      </c>
      <c r="H53" s="69">
        <v>0</v>
      </c>
      <c r="I53" s="69">
        <v>0</v>
      </c>
      <c r="J53" s="69">
        <v>0</v>
      </c>
      <c r="K53" s="69">
        <v>0</v>
      </c>
      <c r="L53" s="69">
        <v>0</v>
      </c>
      <c r="M53" s="69">
        <v>0</v>
      </c>
      <c r="N53" s="69">
        <v>0</v>
      </c>
      <c r="O53" s="69">
        <v>0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0</v>
      </c>
      <c r="AK53" s="69">
        <v>0</v>
      </c>
      <c r="AL53" s="79">
        <f t="shared" si="2"/>
        <v>0</v>
      </c>
      <c r="AM53" s="79">
        <f t="shared" si="3"/>
        <v>0</v>
      </c>
    </row>
    <row r="54" spans="1:39" ht="15" x14ac:dyDescent="0.4">
      <c r="A54">
        <v>48</v>
      </c>
      <c r="B54" s="42"/>
      <c r="C54" t="e">
        <f>MATCH(B54,Salary!B:B,0)</f>
        <v>#N/A</v>
      </c>
      <c r="D54" s="74" t="s">
        <v>164</v>
      </c>
      <c r="E54" s="75" t="s">
        <v>163</v>
      </c>
      <c r="F54" s="50"/>
      <c r="G54" s="69">
        <v>0</v>
      </c>
      <c r="H54" s="69">
        <v>0</v>
      </c>
      <c r="I54" s="69">
        <v>0</v>
      </c>
      <c r="J54" s="69">
        <v>0</v>
      </c>
      <c r="K54" s="69">
        <v>0</v>
      </c>
      <c r="L54" s="69">
        <v>0</v>
      </c>
      <c r="M54" s="69">
        <v>0</v>
      </c>
      <c r="N54" s="69">
        <v>0</v>
      </c>
      <c r="O54" s="69">
        <v>0</v>
      </c>
      <c r="P54" s="69">
        <v>0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0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0</v>
      </c>
      <c r="AH54" s="69">
        <v>0</v>
      </c>
      <c r="AI54" s="69">
        <v>0</v>
      </c>
      <c r="AJ54" s="69">
        <v>0</v>
      </c>
      <c r="AK54" s="69">
        <v>0</v>
      </c>
      <c r="AL54" s="79">
        <f>SUM(D54:AK54)</f>
        <v>0</v>
      </c>
      <c r="AM54" s="79">
        <f>SUM(E54:AL54)</f>
        <v>0</v>
      </c>
    </row>
    <row r="55" spans="1:39" ht="15" x14ac:dyDescent="0.4">
      <c r="A55">
        <v>49</v>
      </c>
      <c r="B55" s="42"/>
      <c r="C55" t="e">
        <f>MATCH(B55,Salary!B:B,0)</f>
        <v>#N/A</v>
      </c>
      <c r="D55" s="74" t="s">
        <v>165</v>
      </c>
      <c r="E55" s="75" t="s">
        <v>166</v>
      </c>
      <c r="F55" s="50"/>
      <c r="G55" s="69">
        <v>0</v>
      </c>
      <c r="H55" s="69">
        <v>0</v>
      </c>
      <c r="I55" s="69">
        <v>0</v>
      </c>
      <c r="J55" s="69">
        <v>0</v>
      </c>
      <c r="K55" s="69">
        <v>0</v>
      </c>
      <c r="L55" s="69">
        <v>0</v>
      </c>
      <c r="M55" s="69">
        <v>0</v>
      </c>
      <c r="N55" s="69">
        <v>0</v>
      </c>
      <c r="O55" s="69">
        <v>0</v>
      </c>
      <c r="P55" s="69">
        <v>0</v>
      </c>
      <c r="Q55" s="69">
        <v>0</v>
      </c>
      <c r="R55" s="69">
        <v>0</v>
      </c>
      <c r="S55" s="69">
        <v>0</v>
      </c>
      <c r="T55" s="69">
        <v>0</v>
      </c>
      <c r="U55" s="69">
        <v>0</v>
      </c>
      <c r="V55" s="69">
        <v>0</v>
      </c>
      <c r="W55" s="69">
        <v>0</v>
      </c>
      <c r="X55" s="69">
        <v>0</v>
      </c>
      <c r="Y55" s="69">
        <v>0</v>
      </c>
      <c r="Z55" s="69">
        <v>0</v>
      </c>
      <c r="AA55" s="69">
        <v>0</v>
      </c>
      <c r="AB55" s="69">
        <v>0</v>
      </c>
      <c r="AC55" s="69">
        <v>0</v>
      </c>
      <c r="AD55" s="69">
        <v>0</v>
      </c>
      <c r="AE55" s="69">
        <v>0</v>
      </c>
      <c r="AF55" s="69">
        <v>0</v>
      </c>
      <c r="AG55" s="69">
        <v>0</v>
      </c>
      <c r="AH55" s="69">
        <v>0</v>
      </c>
      <c r="AI55" s="69">
        <v>0</v>
      </c>
      <c r="AJ55" s="69">
        <v>0</v>
      </c>
      <c r="AK55" s="69">
        <v>0</v>
      </c>
      <c r="AL55" s="79">
        <f t="shared" si="2"/>
        <v>0</v>
      </c>
      <c r="AM55" s="79">
        <f t="shared" si="3"/>
        <v>0</v>
      </c>
    </row>
    <row r="56" spans="1:39" ht="15" x14ac:dyDescent="0.4">
      <c r="A56">
        <v>50</v>
      </c>
      <c r="B56" s="42"/>
      <c r="C56" t="e">
        <f>MATCH(B56,Salary!B:B,0)</f>
        <v>#N/A</v>
      </c>
      <c r="D56" s="83" t="s">
        <v>167</v>
      </c>
      <c r="E56" s="88" t="s">
        <v>168</v>
      </c>
      <c r="F56" s="96"/>
      <c r="G56" s="69">
        <v>0</v>
      </c>
      <c r="H56" s="69">
        <v>0</v>
      </c>
      <c r="I56" s="69">
        <v>0</v>
      </c>
      <c r="J56" s="69">
        <v>0</v>
      </c>
      <c r="K56" s="69">
        <v>0</v>
      </c>
      <c r="L56" s="69">
        <v>0</v>
      </c>
      <c r="M56" s="69">
        <v>0</v>
      </c>
      <c r="N56" s="69">
        <v>0</v>
      </c>
      <c r="O56" s="69">
        <v>0</v>
      </c>
      <c r="P56" s="69">
        <v>0</v>
      </c>
      <c r="Q56" s="69">
        <v>0</v>
      </c>
      <c r="R56" s="69">
        <v>0</v>
      </c>
      <c r="S56" s="69">
        <v>0</v>
      </c>
      <c r="T56" s="69">
        <v>0</v>
      </c>
      <c r="U56" s="69">
        <v>0</v>
      </c>
      <c r="V56" s="69">
        <v>0</v>
      </c>
      <c r="W56" s="69">
        <v>0</v>
      </c>
      <c r="X56" s="69">
        <v>0</v>
      </c>
      <c r="Y56" s="69">
        <v>0</v>
      </c>
      <c r="Z56" s="69">
        <v>0</v>
      </c>
      <c r="AA56" s="69">
        <v>0</v>
      </c>
      <c r="AB56" s="69">
        <v>0</v>
      </c>
      <c r="AC56" s="69">
        <v>0</v>
      </c>
      <c r="AD56" s="69">
        <v>0</v>
      </c>
      <c r="AE56" s="69">
        <v>0</v>
      </c>
      <c r="AF56" s="69">
        <v>0</v>
      </c>
      <c r="AG56" s="69">
        <v>0</v>
      </c>
      <c r="AH56" s="69">
        <v>0</v>
      </c>
      <c r="AI56" s="69">
        <v>0</v>
      </c>
      <c r="AJ56" s="69">
        <v>0</v>
      </c>
      <c r="AK56" s="69">
        <v>0</v>
      </c>
      <c r="AL56" s="92">
        <f t="shared" si="2"/>
        <v>0</v>
      </c>
      <c r="AM56" s="92">
        <f t="shared" si="3"/>
        <v>0</v>
      </c>
    </row>
    <row r="57" spans="1:39" ht="15" x14ac:dyDescent="0.4">
      <c r="A57">
        <v>51</v>
      </c>
      <c r="B57" s="42"/>
      <c r="C57" t="e">
        <f>MATCH(B57,Salary!B:B,0)</f>
        <v>#N/A</v>
      </c>
      <c r="D57" s="74" t="s">
        <v>169</v>
      </c>
      <c r="E57" s="88" t="s">
        <v>168</v>
      </c>
      <c r="F57" s="96"/>
      <c r="G57" s="69">
        <v>0</v>
      </c>
      <c r="H57" s="69">
        <v>0</v>
      </c>
      <c r="I57" s="69">
        <v>0</v>
      </c>
      <c r="J57" s="69">
        <v>0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0</v>
      </c>
      <c r="AK57" s="69">
        <v>0</v>
      </c>
      <c r="AL57" s="92">
        <f t="shared" si="2"/>
        <v>0</v>
      </c>
      <c r="AM57" s="92">
        <f t="shared" si="3"/>
        <v>0</v>
      </c>
    </row>
    <row r="58" spans="1:39" ht="15" x14ac:dyDescent="0.4">
      <c r="A58">
        <v>52</v>
      </c>
      <c r="B58" s="42"/>
      <c r="C58" t="e">
        <f>MATCH(B58,Salary!B:B,0)</f>
        <v>#N/A</v>
      </c>
      <c r="D58" s="74" t="s">
        <v>170</v>
      </c>
      <c r="E58" s="88" t="s">
        <v>168</v>
      </c>
      <c r="F58" s="96"/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69">
        <v>0</v>
      </c>
      <c r="M58" s="69">
        <v>0</v>
      </c>
      <c r="N58" s="69">
        <v>0</v>
      </c>
      <c r="O58" s="69">
        <v>0</v>
      </c>
      <c r="P58" s="69">
        <v>0</v>
      </c>
      <c r="Q58" s="69">
        <v>0</v>
      </c>
      <c r="R58" s="69">
        <v>0</v>
      </c>
      <c r="S58" s="69">
        <v>0</v>
      </c>
      <c r="T58" s="69">
        <v>0</v>
      </c>
      <c r="U58" s="69">
        <v>0</v>
      </c>
      <c r="V58" s="69">
        <v>0</v>
      </c>
      <c r="W58" s="69">
        <v>0</v>
      </c>
      <c r="X58" s="69">
        <v>0</v>
      </c>
      <c r="Y58" s="69">
        <v>0</v>
      </c>
      <c r="Z58" s="69">
        <v>0</v>
      </c>
      <c r="AA58" s="69">
        <v>0</v>
      </c>
      <c r="AB58" s="69">
        <v>0</v>
      </c>
      <c r="AC58" s="69">
        <v>0</v>
      </c>
      <c r="AD58" s="69">
        <v>0</v>
      </c>
      <c r="AE58" s="69">
        <v>0</v>
      </c>
      <c r="AF58" s="69">
        <v>0</v>
      </c>
      <c r="AG58" s="69">
        <v>0</v>
      </c>
      <c r="AH58" s="69">
        <v>0</v>
      </c>
      <c r="AI58" s="69">
        <v>0</v>
      </c>
      <c r="AJ58" s="69">
        <v>0</v>
      </c>
      <c r="AK58" s="69">
        <v>0</v>
      </c>
      <c r="AL58" s="92">
        <f t="shared" si="2"/>
        <v>0</v>
      </c>
      <c r="AM58" s="92">
        <f t="shared" si="3"/>
        <v>0</v>
      </c>
    </row>
    <row r="59" spans="1:39" ht="15" x14ac:dyDescent="0.4">
      <c r="A59">
        <v>53</v>
      </c>
      <c r="B59" s="42"/>
      <c r="C59" t="e">
        <f>MATCH(B59,Salary!B:B,0)</f>
        <v>#N/A</v>
      </c>
      <c r="D59" s="74" t="s">
        <v>171</v>
      </c>
      <c r="E59" s="75" t="s">
        <v>97</v>
      </c>
      <c r="F59" s="50"/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79">
        <f t="shared" si="2"/>
        <v>0</v>
      </c>
      <c r="AM59" s="79">
        <f t="shared" si="3"/>
        <v>0</v>
      </c>
    </row>
    <row r="60" spans="1:39" ht="15" x14ac:dyDescent="0.4">
      <c r="A60">
        <v>54</v>
      </c>
      <c r="B60" s="42"/>
      <c r="C60" t="e">
        <f>MATCH(B60,Salary!B:B,0)</f>
        <v>#N/A</v>
      </c>
      <c r="D60" s="74" t="s">
        <v>172</v>
      </c>
      <c r="E60" s="75" t="s">
        <v>98</v>
      </c>
      <c r="F60" s="50"/>
      <c r="G60" s="69">
        <v>0</v>
      </c>
      <c r="H60" s="69">
        <v>0</v>
      </c>
      <c r="I60" s="69">
        <v>0</v>
      </c>
      <c r="J60" s="69">
        <v>0</v>
      </c>
      <c r="K60" s="69">
        <v>0</v>
      </c>
      <c r="L60" s="69">
        <v>0</v>
      </c>
      <c r="M60" s="69">
        <v>0</v>
      </c>
      <c r="N60" s="69">
        <v>0</v>
      </c>
      <c r="O60" s="69">
        <v>0</v>
      </c>
      <c r="P60" s="69">
        <v>0</v>
      </c>
      <c r="Q60" s="69">
        <v>0</v>
      </c>
      <c r="R60" s="69">
        <v>0</v>
      </c>
      <c r="S60" s="69">
        <v>0</v>
      </c>
      <c r="T60" s="69">
        <v>0</v>
      </c>
      <c r="U60" s="69">
        <v>0</v>
      </c>
      <c r="V60" s="69">
        <v>0</v>
      </c>
      <c r="W60" s="69">
        <v>0</v>
      </c>
      <c r="X60" s="69">
        <v>0</v>
      </c>
      <c r="Y60" s="69">
        <v>0</v>
      </c>
      <c r="Z60" s="69">
        <v>0</v>
      </c>
      <c r="AA60" s="69">
        <v>0</v>
      </c>
      <c r="AB60" s="69">
        <v>0</v>
      </c>
      <c r="AC60" s="69">
        <v>0</v>
      </c>
      <c r="AD60" s="69">
        <v>0</v>
      </c>
      <c r="AE60" s="69">
        <v>0</v>
      </c>
      <c r="AF60" s="69">
        <v>0</v>
      </c>
      <c r="AG60" s="69">
        <v>0</v>
      </c>
      <c r="AH60" s="69">
        <v>0</v>
      </c>
      <c r="AI60" s="69">
        <v>0</v>
      </c>
      <c r="AJ60" s="69">
        <v>0</v>
      </c>
      <c r="AK60" s="69">
        <v>0</v>
      </c>
      <c r="AL60" s="79">
        <f t="shared" si="2"/>
        <v>0</v>
      </c>
      <c r="AM60" s="79">
        <f t="shared" si="3"/>
        <v>0</v>
      </c>
    </row>
    <row r="61" spans="1:39" ht="15" x14ac:dyDescent="0.4">
      <c r="A61">
        <v>55</v>
      </c>
      <c r="B61" s="42"/>
      <c r="C61" t="e">
        <f>MATCH(B61,Salary!B:B,0)</f>
        <v>#N/A</v>
      </c>
      <c r="D61" s="74" t="s">
        <v>173</v>
      </c>
      <c r="E61" s="75" t="s">
        <v>98</v>
      </c>
      <c r="F61" s="50"/>
      <c r="G61" s="69">
        <v>0</v>
      </c>
      <c r="H61" s="69">
        <v>0</v>
      </c>
      <c r="I61" s="69">
        <v>0</v>
      </c>
      <c r="J61" s="69">
        <v>0</v>
      </c>
      <c r="K61" s="69">
        <v>0</v>
      </c>
      <c r="L61" s="69">
        <v>0</v>
      </c>
      <c r="M61" s="69">
        <v>0</v>
      </c>
      <c r="N61" s="69">
        <v>0</v>
      </c>
      <c r="O61" s="69">
        <v>0</v>
      </c>
      <c r="P61" s="69">
        <v>0</v>
      </c>
      <c r="Q61" s="69">
        <v>0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0</v>
      </c>
      <c r="AD61" s="69">
        <v>0</v>
      </c>
      <c r="AE61" s="69">
        <v>0</v>
      </c>
      <c r="AF61" s="69">
        <v>0</v>
      </c>
      <c r="AG61" s="69">
        <v>0</v>
      </c>
      <c r="AH61" s="69">
        <v>0</v>
      </c>
      <c r="AI61" s="69">
        <v>0</v>
      </c>
      <c r="AJ61" s="69">
        <v>0</v>
      </c>
      <c r="AK61" s="69">
        <v>0</v>
      </c>
      <c r="AL61" s="79">
        <f t="shared" si="2"/>
        <v>0</v>
      </c>
      <c r="AM61" s="79">
        <f t="shared" si="3"/>
        <v>0</v>
      </c>
    </row>
    <row r="62" spans="1:39" ht="15" x14ac:dyDescent="0.4">
      <c r="A62">
        <v>56</v>
      </c>
      <c r="B62" s="42"/>
      <c r="C62" t="e">
        <f>MATCH(B62,Salary!B:B,0)</f>
        <v>#N/A</v>
      </c>
      <c r="D62" s="99" t="s">
        <v>174</v>
      </c>
      <c r="E62" s="75" t="s">
        <v>98</v>
      </c>
      <c r="F62" s="50"/>
      <c r="G62" s="69">
        <v>0</v>
      </c>
      <c r="H62" s="69">
        <v>0</v>
      </c>
      <c r="I62" s="69">
        <v>0</v>
      </c>
      <c r="J62" s="69">
        <v>0</v>
      </c>
      <c r="K62" s="69">
        <v>0</v>
      </c>
      <c r="L62" s="69">
        <v>0</v>
      </c>
      <c r="M62" s="69">
        <v>0</v>
      </c>
      <c r="N62" s="69">
        <v>0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0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</v>
      </c>
      <c r="AL62" s="79">
        <f t="shared" si="2"/>
        <v>0</v>
      </c>
      <c r="AM62" s="79">
        <f t="shared" si="3"/>
        <v>0</v>
      </c>
    </row>
    <row r="63" spans="1:39" ht="15" x14ac:dyDescent="0.4">
      <c r="A63">
        <v>57</v>
      </c>
      <c r="B63" s="42"/>
      <c r="C63" t="e">
        <f>MATCH(B63,Salary!B:B,0)</f>
        <v>#N/A</v>
      </c>
      <c r="D63" s="99" t="s">
        <v>175</v>
      </c>
      <c r="E63" s="75" t="s">
        <v>97</v>
      </c>
      <c r="F63" s="50"/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79">
        <f t="shared" si="2"/>
        <v>0</v>
      </c>
      <c r="AM63" s="79">
        <f t="shared" si="3"/>
        <v>0</v>
      </c>
    </row>
    <row r="64" spans="1:39" ht="15" x14ac:dyDescent="0.4">
      <c r="A64">
        <v>58</v>
      </c>
      <c r="B64" s="42"/>
      <c r="C64" t="e">
        <f>MATCH(B64,Salary!B:B,0)</f>
        <v>#N/A</v>
      </c>
      <c r="D64" s="74" t="s">
        <v>176</v>
      </c>
      <c r="E64" s="75" t="s">
        <v>107</v>
      </c>
      <c r="F64" s="50"/>
      <c r="G64" s="69">
        <v>0</v>
      </c>
      <c r="H64" s="69">
        <v>0</v>
      </c>
      <c r="I64" s="69">
        <v>0</v>
      </c>
      <c r="J64" s="69">
        <v>0</v>
      </c>
      <c r="K64" s="69">
        <v>0</v>
      </c>
      <c r="L64" s="69">
        <v>0</v>
      </c>
      <c r="M64" s="69">
        <v>0</v>
      </c>
      <c r="N64" s="69">
        <v>0</v>
      </c>
      <c r="O64" s="69">
        <v>0</v>
      </c>
      <c r="P64" s="69">
        <v>0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</v>
      </c>
      <c r="AG64" s="69">
        <v>0</v>
      </c>
      <c r="AH64" s="69">
        <v>0</v>
      </c>
      <c r="AI64" s="69">
        <v>0</v>
      </c>
      <c r="AJ64" s="69">
        <v>0</v>
      </c>
      <c r="AK64" s="69">
        <v>0</v>
      </c>
      <c r="AL64" s="79">
        <f t="shared" si="2"/>
        <v>0</v>
      </c>
      <c r="AM64" s="79">
        <f t="shared" si="3"/>
        <v>0</v>
      </c>
    </row>
    <row r="65" spans="1:39" ht="15" x14ac:dyDescent="0.4">
      <c r="A65">
        <v>59</v>
      </c>
      <c r="B65" s="42"/>
      <c r="C65" t="e">
        <f>MATCH(B65,Salary!B:B,0)</f>
        <v>#N/A</v>
      </c>
      <c r="D65" s="74" t="s">
        <v>177</v>
      </c>
      <c r="E65" s="75" t="s">
        <v>98</v>
      </c>
      <c r="F65" s="50"/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79">
        <f t="shared" si="2"/>
        <v>0</v>
      </c>
      <c r="AM65" s="79">
        <f t="shared" si="3"/>
        <v>0</v>
      </c>
    </row>
    <row r="66" spans="1:39" ht="15" x14ac:dyDescent="0.4">
      <c r="A66">
        <v>60</v>
      </c>
      <c r="B66" s="42"/>
      <c r="C66" t="e">
        <f>MATCH(B66,Salary!B:B,0)</f>
        <v>#N/A</v>
      </c>
      <c r="D66" s="83" t="s">
        <v>178</v>
      </c>
      <c r="E66" s="105" t="s">
        <v>112</v>
      </c>
      <c r="F66" s="50"/>
      <c r="G66" s="69">
        <v>0</v>
      </c>
      <c r="H66" s="69">
        <v>0</v>
      </c>
      <c r="I66" s="69">
        <v>0</v>
      </c>
      <c r="J66" s="69">
        <v>0</v>
      </c>
      <c r="K66" s="69">
        <v>0</v>
      </c>
      <c r="L66" s="69">
        <v>0</v>
      </c>
      <c r="M66" s="69">
        <v>0</v>
      </c>
      <c r="N66" s="69">
        <v>0</v>
      </c>
      <c r="O66" s="69">
        <v>0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0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79">
        <f t="shared" si="2"/>
        <v>0</v>
      </c>
      <c r="AM66" s="79">
        <f t="shared" si="3"/>
        <v>0</v>
      </c>
    </row>
    <row r="67" spans="1:39" ht="15" x14ac:dyDescent="0.4">
      <c r="A67">
        <v>61</v>
      </c>
      <c r="B67" s="42"/>
      <c r="C67" t="e">
        <f>MATCH(B67,Salary!B:B,0)</f>
        <v>#N/A</v>
      </c>
      <c r="D67" s="74" t="s">
        <v>179</v>
      </c>
      <c r="E67" s="105" t="s">
        <v>180</v>
      </c>
      <c r="F67" s="50"/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0</v>
      </c>
      <c r="AD67" s="69">
        <v>0</v>
      </c>
      <c r="AE67" s="69">
        <v>0</v>
      </c>
      <c r="AF67" s="69">
        <v>0</v>
      </c>
      <c r="AG67" s="69">
        <v>0</v>
      </c>
      <c r="AH67" s="69">
        <v>0</v>
      </c>
      <c r="AI67" s="69">
        <v>0</v>
      </c>
      <c r="AJ67" s="69">
        <v>0</v>
      </c>
      <c r="AK67" s="69">
        <v>0</v>
      </c>
      <c r="AL67" s="79">
        <f>SUM(D67:AK67)</f>
        <v>0</v>
      </c>
      <c r="AM67" s="79">
        <f>SUM(E67:AL67)</f>
        <v>0</v>
      </c>
    </row>
    <row r="68" spans="1:39" ht="15" x14ac:dyDescent="0.4">
      <c r="A68">
        <v>62</v>
      </c>
      <c r="B68" s="42"/>
      <c r="C68" t="e">
        <f>MATCH(B68,Salary!B:B,0)</f>
        <v>#N/A</v>
      </c>
      <c r="D68" s="74" t="s">
        <v>181</v>
      </c>
      <c r="E68" s="75" t="s">
        <v>97</v>
      </c>
      <c r="F68" s="50"/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0</v>
      </c>
      <c r="T68" s="69">
        <v>0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79">
        <f t="shared" si="2"/>
        <v>0</v>
      </c>
      <c r="AM68" s="79">
        <f t="shared" si="3"/>
        <v>0</v>
      </c>
    </row>
    <row r="69" spans="1:39" ht="15" x14ac:dyDescent="0.4">
      <c r="A69">
        <v>63</v>
      </c>
      <c r="B69" s="42"/>
      <c r="C69" t="e">
        <f>MATCH(B69,Salary!B:B,0)</f>
        <v>#N/A</v>
      </c>
      <c r="D69" s="74" t="s">
        <v>182</v>
      </c>
      <c r="E69" s="75" t="s">
        <v>97</v>
      </c>
      <c r="F69" s="50"/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79">
        <f t="shared" si="2"/>
        <v>0</v>
      </c>
      <c r="AM69" s="79">
        <f t="shared" si="3"/>
        <v>0</v>
      </c>
    </row>
    <row r="70" spans="1:39" ht="15" x14ac:dyDescent="0.4">
      <c r="A70">
        <v>64</v>
      </c>
      <c r="B70" s="42"/>
      <c r="C70" t="e">
        <f>MATCH(B70,Salary!B:B,0)</f>
        <v>#N/A</v>
      </c>
      <c r="D70" s="74" t="s">
        <v>183</v>
      </c>
      <c r="E70" s="75" t="s">
        <v>98</v>
      </c>
      <c r="F70" s="50"/>
      <c r="G70" s="69">
        <v>0</v>
      </c>
      <c r="H70" s="69">
        <v>0</v>
      </c>
      <c r="I70" s="69">
        <v>0</v>
      </c>
      <c r="J70" s="69">
        <v>0</v>
      </c>
      <c r="K70" s="69">
        <v>0</v>
      </c>
      <c r="L70" s="69">
        <v>0</v>
      </c>
      <c r="M70" s="69">
        <v>0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79">
        <f t="shared" si="2"/>
        <v>0</v>
      </c>
      <c r="AM70" s="79">
        <f t="shared" si="3"/>
        <v>0</v>
      </c>
    </row>
    <row r="71" spans="1:39" ht="15" x14ac:dyDescent="0.4">
      <c r="A71">
        <v>65</v>
      </c>
      <c r="B71" s="42"/>
      <c r="C71" t="e">
        <f>MATCH(B71,Salary!B:B,0)</f>
        <v>#N/A</v>
      </c>
      <c r="D71" s="84" t="s">
        <v>184</v>
      </c>
      <c r="E71" s="75" t="s">
        <v>112</v>
      </c>
      <c r="F71" s="50"/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79">
        <f t="shared" si="2"/>
        <v>0</v>
      </c>
      <c r="AM71" s="79">
        <f t="shared" si="3"/>
        <v>0</v>
      </c>
    </row>
    <row r="72" spans="1:39" ht="15" x14ac:dyDescent="0.4">
      <c r="A72">
        <v>66</v>
      </c>
      <c r="B72" s="42"/>
      <c r="C72" t="e">
        <f>MATCH(B72,Salary!B:B,0)</f>
        <v>#N/A</v>
      </c>
      <c r="D72" s="74" t="s">
        <v>185</v>
      </c>
      <c r="E72" s="75" t="s">
        <v>97</v>
      </c>
      <c r="F72" s="50"/>
      <c r="G72" s="69">
        <v>0</v>
      </c>
      <c r="H72" s="69">
        <v>0</v>
      </c>
      <c r="I72" s="69">
        <v>0</v>
      </c>
      <c r="J72" s="69">
        <v>0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0</v>
      </c>
      <c r="R72" s="69">
        <v>0</v>
      </c>
      <c r="S72" s="69">
        <v>0</v>
      </c>
      <c r="T72" s="69">
        <v>0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79">
        <f>SUM(D72:AK72)</f>
        <v>0</v>
      </c>
      <c r="AM72" s="79">
        <f>SUM(E72:AL72)</f>
        <v>0</v>
      </c>
    </row>
    <row r="73" spans="1:39" ht="15" x14ac:dyDescent="0.4">
      <c r="A73">
        <v>67</v>
      </c>
      <c r="B73" s="42"/>
      <c r="C73" t="e">
        <f>MATCH(B73,Salary!B:B,0)</f>
        <v>#N/A</v>
      </c>
      <c r="D73" s="74" t="s">
        <v>186</v>
      </c>
      <c r="E73" s="75" t="s">
        <v>97</v>
      </c>
      <c r="F73" s="50"/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79">
        <f>SUM(D73:AK73)</f>
        <v>0</v>
      </c>
      <c r="AM73" s="79">
        <f>SUM(E73:AL73)</f>
        <v>0</v>
      </c>
    </row>
    <row r="74" spans="1:39" ht="15" x14ac:dyDescent="0.4">
      <c r="A74">
        <v>68</v>
      </c>
      <c r="B74" s="42"/>
      <c r="C74" t="e">
        <f>MATCH(B74,Salary!B:B,0)</f>
        <v>#N/A</v>
      </c>
      <c r="D74" s="74" t="s">
        <v>187</v>
      </c>
      <c r="E74" s="75" t="s">
        <v>107</v>
      </c>
      <c r="F74" s="50"/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79">
        <f>SUM(D74:AK74)</f>
        <v>0</v>
      </c>
      <c r="AM74" s="79">
        <f>SUM(E74:AL74)</f>
        <v>0</v>
      </c>
    </row>
    <row r="75" spans="1:39" ht="15" x14ac:dyDescent="0.4">
      <c r="A75">
        <v>69</v>
      </c>
      <c r="B75" s="42"/>
      <c r="C75" t="e">
        <f>MATCH(B75,Salary!B:B,0)</f>
        <v>#N/A</v>
      </c>
      <c r="D75" s="74" t="s">
        <v>188</v>
      </c>
      <c r="E75" s="75" t="s">
        <v>107</v>
      </c>
      <c r="F75" s="50"/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79">
        <f t="shared" si="2"/>
        <v>0</v>
      </c>
      <c r="AM75" s="79">
        <f t="shared" si="3"/>
        <v>0</v>
      </c>
    </row>
    <row r="76" spans="1:39" ht="15" x14ac:dyDescent="0.4">
      <c r="A76">
        <v>70</v>
      </c>
      <c r="B76" s="42"/>
      <c r="C76" t="e">
        <f>MATCH(B76,Salary!B:B,0)</f>
        <v>#N/A</v>
      </c>
      <c r="D76" s="83" t="s">
        <v>189</v>
      </c>
      <c r="E76" s="75" t="s">
        <v>190</v>
      </c>
      <c r="F76" s="50"/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79">
        <f t="shared" si="2"/>
        <v>0</v>
      </c>
      <c r="AM76" s="79">
        <f t="shared" si="3"/>
        <v>0</v>
      </c>
    </row>
    <row r="77" spans="1:39" ht="15" x14ac:dyDescent="0.4">
      <c r="A77">
        <v>71</v>
      </c>
      <c r="B77" s="42"/>
      <c r="C77" t="e">
        <f>MATCH(B77,Salary!B:B,0)</f>
        <v>#N/A</v>
      </c>
      <c r="D77" s="74" t="s">
        <v>191</v>
      </c>
      <c r="E77" s="75" t="s">
        <v>107</v>
      </c>
      <c r="F77" s="50"/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79">
        <f t="shared" si="2"/>
        <v>0</v>
      </c>
      <c r="AM77" s="79">
        <f t="shared" si="3"/>
        <v>0</v>
      </c>
    </row>
    <row r="78" spans="1:39" ht="15" x14ac:dyDescent="0.4">
      <c r="A78">
        <v>72</v>
      </c>
      <c r="B78" s="42"/>
      <c r="C78" t="e">
        <f>MATCH(B78,Salary!B:B,0)</f>
        <v>#N/A</v>
      </c>
      <c r="D78" s="74" t="s">
        <v>192</v>
      </c>
      <c r="E78" s="75" t="s">
        <v>147</v>
      </c>
      <c r="F78" s="50"/>
      <c r="G78" s="69">
        <v>0</v>
      </c>
      <c r="H78" s="69">
        <v>0</v>
      </c>
      <c r="I78" s="69">
        <v>0</v>
      </c>
      <c r="J78" s="69">
        <v>0</v>
      </c>
      <c r="K78" s="69">
        <v>0</v>
      </c>
      <c r="L78" s="69">
        <v>0</v>
      </c>
      <c r="M78" s="69">
        <v>0</v>
      </c>
      <c r="N78" s="69">
        <v>0</v>
      </c>
      <c r="O78" s="69">
        <v>0</v>
      </c>
      <c r="P78" s="69">
        <v>0</v>
      </c>
      <c r="Q78" s="69">
        <v>0</v>
      </c>
      <c r="R78" s="69">
        <v>0</v>
      </c>
      <c r="S78" s="69">
        <v>0</v>
      </c>
      <c r="T78" s="69">
        <v>0</v>
      </c>
      <c r="U78" s="69">
        <v>0</v>
      </c>
      <c r="V78" s="69">
        <v>0</v>
      </c>
      <c r="W78" s="69">
        <v>0</v>
      </c>
      <c r="X78" s="69">
        <v>0</v>
      </c>
      <c r="Y78" s="69">
        <v>0</v>
      </c>
      <c r="Z78" s="69">
        <v>0</v>
      </c>
      <c r="AA78" s="69">
        <v>0</v>
      </c>
      <c r="AB78" s="69">
        <v>0</v>
      </c>
      <c r="AC78" s="69">
        <v>0</v>
      </c>
      <c r="AD78" s="69">
        <v>0</v>
      </c>
      <c r="AE78" s="69">
        <v>0</v>
      </c>
      <c r="AF78" s="69">
        <v>0</v>
      </c>
      <c r="AG78" s="69">
        <v>0</v>
      </c>
      <c r="AH78" s="69">
        <v>0</v>
      </c>
      <c r="AI78" s="69">
        <v>0</v>
      </c>
      <c r="AJ78" s="69">
        <v>0</v>
      </c>
      <c r="AK78" s="69">
        <v>0</v>
      </c>
      <c r="AL78" s="79">
        <f t="shared" si="2"/>
        <v>0</v>
      </c>
      <c r="AM78" s="79">
        <f t="shared" si="3"/>
        <v>0</v>
      </c>
    </row>
    <row r="79" spans="1:39" ht="15" x14ac:dyDescent="0.4">
      <c r="A79">
        <v>73</v>
      </c>
      <c r="B79" s="42"/>
      <c r="C79" t="e">
        <f>MATCH(B79,Salary!B:B,0)</f>
        <v>#N/A</v>
      </c>
      <c r="D79" s="74" t="s">
        <v>193</v>
      </c>
      <c r="E79" s="88" t="s">
        <v>194</v>
      </c>
      <c r="F79" s="96"/>
      <c r="G79" s="69">
        <v>0</v>
      </c>
      <c r="H79" s="69">
        <v>0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>
        <v>0</v>
      </c>
      <c r="O79" s="69">
        <v>0</v>
      </c>
      <c r="P79" s="69">
        <v>0</v>
      </c>
      <c r="Q79" s="69">
        <v>0</v>
      </c>
      <c r="R79" s="69">
        <v>0</v>
      </c>
      <c r="S79" s="69">
        <v>0</v>
      </c>
      <c r="T79" s="69">
        <v>0</v>
      </c>
      <c r="U79" s="69">
        <v>0</v>
      </c>
      <c r="V79" s="69">
        <v>0</v>
      </c>
      <c r="W79" s="69">
        <v>0</v>
      </c>
      <c r="X79" s="69">
        <v>0</v>
      </c>
      <c r="Y79" s="69">
        <v>0</v>
      </c>
      <c r="Z79" s="69">
        <v>0</v>
      </c>
      <c r="AA79" s="69">
        <v>0</v>
      </c>
      <c r="AB79" s="69">
        <v>0</v>
      </c>
      <c r="AC79" s="69">
        <v>0</v>
      </c>
      <c r="AD79" s="69">
        <v>0</v>
      </c>
      <c r="AE79" s="69">
        <v>0</v>
      </c>
      <c r="AF79" s="69">
        <v>0</v>
      </c>
      <c r="AG79" s="69">
        <v>0</v>
      </c>
      <c r="AH79" s="69">
        <v>0</v>
      </c>
      <c r="AI79" s="69">
        <v>0</v>
      </c>
      <c r="AJ79" s="69">
        <v>0</v>
      </c>
      <c r="AK79" s="69">
        <v>0</v>
      </c>
      <c r="AL79" s="92">
        <f t="shared" si="2"/>
        <v>0</v>
      </c>
      <c r="AM79" s="92">
        <f t="shared" si="3"/>
        <v>0</v>
      </c>
    </row>
    <row r="80" spans="1:39" ht="15" x14ac:dyDescent="0.4">
      <c r="A80">
        <v>74</v>
      </c>
      <c r="B80" s="42"/>
      <c r="C80" t="e">
        <f>MATCH(B80,Salary!B:B,0)</f>
        <v>#N/A</v>
      </c>
      <c r="D80" s="74" t="s">
        <v>195</v>
      </c>
      <c r="E80" s="88" t="s">
        <v>194</v>
      </c>
      <c r="F80" s="96"/>
      <c r="G80" s="69">
        <v>0</v>
      </c>
      <c r="H80" s="69">
        <v>0</v>
      </c>
      <c r="I80" s="69">
        <v>0</v>
      </c>
      <c r="J80" s="69">
        <v>0</v>
      </c>
      <c r="K80" s="69">
        <v>0</v>
      </c>
      <c r="L80" s="69">
        <v>0</v>
      </c>
      <c r="M80" s="69">
        <v>0</v>
      </c>
      <c r="N80" s="69">
        <v>0</v>
      </c>
      <c r="O80" s="69">
        <v>0</v>
      </c>
      <c r="P80" s="69">
        <v>0</v>
      </c>
      <c r="Q80" s="69">
        <v>0</v>
      </c>
      <c r="R80" s="69">
        <v>0</v>
      </c>
      <c r="S80" s="69">
        <v>0</v>
      </c>
      <c r="T80" s="69">
        <v>0</v>
      </c>
      <c r="U80" s="69">
        <v>0</v>
      </c>
      <c r="V80" s="69">
        <v>0</v>
      </c>
      <c r="W80" s="69">
        <v>0</v>
      </c>
      <c r="X80" s="69">
        <v>0</v>
      </c>
      <c r="Y80" s="69">
        <v>0</v>
      </c>
      <c r="Z80" s="69">
        <v>0</v>
      </c>
      <c r="AA80" s="69">
        <v>0</v>
      </c>
      <c r="AB80" s="69">
        <v>0</v>
      </c>
      <c r="AC80" s="69">
        <v>0</v>
      </c>
      <c r="AD80" s="69">
        <v>0</v>
      </c>
      <c r="AE80" s="69">
        <v>0</v>
      </c>
      <c r="AF80" s="69">
        <v>0</v>
      </c>
      <c r="AG80" s="69">
        <v>0</v>
      </c>
      <c r="AH80" s="69">
        <v>0</v>
      </c>
      <c r="AI80" s="69">
        <v>0</v>
      </c>
      <c r="AJ80" s="69">
        <v>0</v>
      </c>
      <c r="AK80" s="69">
        <v>0</v>
      </c>
      <c r="AL80" s="92">
        <f t="shared" si="2"/>
        <v>0</v>
      </c>
      <c r="AM80" s="92">
        <f t="shared" si="3"/>
        <v>0</v>
      </c>
    </row>
    <row r="81" spans="1:39" ht="15" x14ac:dyDescent="0.4">
      <c r="A81">
        <v>75</v>
      </c>
      <c r="B81" s="42"/>
      <c r="C81" t="e">
        <f>MATCH(B81,Salary!B:B,0)</f>
        <v>#N/A</v>
      </c>
      <c r="D81" s="74" t="s">
        <v>196</v>
      </c>
      <c r="E81" s="88" t="s">
        <v>194</v>
      </c>
      <c r="F81" s="96"/>
      <c r="G81" s="69">
        <v>0</v>
      </c>
      <c r="H81" s="69">
        <v>0</v>
      </c>
      <c r="I81" s="69">
        <v>0</v>
      </c>
      <c r="J81" s="69">
        <v>0</v>
      </c>
      <c r="K81" s="69">
        <v>0</v>
      </c>
      <c r="L81" s="69">
        <v>0</v>
      </c>
      <c r="M81" s="69">
        <v>0</v>
      </c>
      <c r="N81" s="69">
        <v>0</v>
      </c>
      <c r="O81" s="69">
        <v>0</v>
      </c>
      <c r="P81" s="69">
        <v>0</v>
      </c>
      <c r="Q81" s="69">
        <v>0</v>
      </c>
      <c r="R81" s="69">
        <v>0</v>
      </c>
      <c r="S81" s="69">
        <v>0</v>
      </c>
      <c r="T81" s="69">
        <v>0</v>
      </c>
      <c r="U81" s="69">
        <v>0</v>
      </c>
      <c r="V81" s="69">
        <v>0</v>
      </c>
      <c r="W81" s="69">
        <v>0</v>
      </c>
      <c r="X81" s="69">
        <v>0</v>
      </c>
      <c r="Y81" s="69">
        <v>0</v>
      </c>
      <c r="Z81" s="69">
        <v>0</v>
      </c>
      <c r="AA81" s="69">
        <v>0</v>
      </c>
      <c r="AB81" s="69">
        <v>0</v>
      </c>
      <c r="AC81" s="69">
        <v>0</v>
      </c>
      <c r="AD81" s="69">
        <v>0</v>
      </c>
      <c r="AE81" s="69">
        <v>0</v>
      </c>
      <c r="AF81" s="69">
        <v>0</v>
      </c>
      <c r="AG81" s="69">
        <v>0</v>
      </c>
      <c r="AH81" s="69">
        <v>0</v>
      </c>
      <c r="AI81" s="69">
        <v>0</v>
      </c>
      <c r="AJ81" s="69">
        <v>0</v>
      </c>
      <c r="AK81" s="69">
        <v>0</v>
      </c>
      <c r="AL81" s="92">
        <f t="shared" si="2"/>
        <v>0</v>
      </c>
      <c r="AM81" s="92">
        <f t="shared" si="3"/>
        <v>0</v>
      </c>
    </row>
    <row r="82" spans="1:39" ht="15" x14ac:dyDescent="0.4">
      <c r="A82">
        <v>76</v>
      </c>
      <c r="B82" s="42"/>
      <c r="C82" t="e">
        <f>MATCH(B82,Salary!B:B,0)</f>
        <v>#N/A</v>
      </c>
      <c r="D82" s="74" t="s">
        <v>197</v>
      </c>
      <c r="E82" s="88" t="s">
        <v>194</v>
      </c>
      <c r="F82" s="96"/>
      <c r="G82" s="69">
        <v>0</v>
      </c>
      <c r="H82" s="69">
        <v>0</v>
      </c>
      <c r="I82" s="69">
        <v>0</v>
      </c>
      <c r="J82" s="69">
        <v>0</v>
      </c>
      <c r="K82" s="69">
        <v>0</v>
      </c>
      <c r="L82" s="69">
        <v>0</v>
      </c>
      <c r="M82" s="69">
        <v>0</v>
      </c>
      <c r="N82" s="69">
        <v>0</v>
      </c>
      <c r="O82" s="69">
        <v>0</v>
      </c>
      <c r="P82" s="69">
        <v>0</v>
      </c>
      <c r="Q82" s="69">
        <v>0</v>
      </c>
      <c r="R82" s="69">
        <v>0</v>
      </c>
      <c r="S82" s="69">
        <v>0</v>
      </c>
      <c r="T82" s="69">
        <v>0</v>
      </c>
      <c r="U82" s="69">
        <v>0</v>
      </c>
      <c r="V82" s="69">
        <v>0</v>
      </c>
      <c r="W82" s="69">
        <v>0</v>
      </c>
      <c r="X82" s="69">
        <v>0</v>
      </c>
      <c r="Y82" s="69">
        <v>0</v>
      </c>
      <c r="Z82" s="69">
        <v>0</v>
      </c>
      <c r="AA82" s="69">
        <v>0</v>
      </c>
      <c r="AB82" s="69">
        <v>0</v>
      </c>
      <c r="AC82" s="69">
        <v>0</v>
      </c>
      <c r="AD82" s="69">
        <v>0</v>
      </c>
      <c r="AE82" s="69">
        <v>0</v>
      </c>
      <c r="AF82" s="69">
        <v>0</v>
      </c>
      <c r="AG82" s="69">
        <v>0</v>
      </c>
      <c r="AH82" s="69">
        <v>0</v>
      </c>
      <c r="AI82" s="69">
        <v>0</v>
      </c>
      <c r="AJ82" s="69">
        <v>0</v>
      </c>
      <c r="AK82" s="69">
        <v>0</v>
      </c>
      <c r="AL82" s="92">
        <f t="shared" si="2"/>
        <v>0</v>
      </c>
      <c r="AM82" s="92">
        <f t="shared" si="3"/>
        <v>0</v>
      </c>
    </row>
    <row r="83" spans="1:39" ht="15" x14ac:dyDescent="0.4">
      <c r="A83">
        <v>77</v>
      </c>
      <c r="B83" s="42"/>
      <c r="C83" t="e">
        <f>MATCH(B83,Salary!B:B,0)</f>
        <v>#N/A</v>
      </c>
      <c r="D83" s="74" t="s">
        <v>198</v>
      </c>
      <c r="E83" s="88" t="s">
        <v>194</v>
      </c>
      <c r="F83" s="96"/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>
        <v>0</v>
      </c>
      <c r="O83" s="69">
        <v>0</v>
      </c>
      <c r="P83" s="69">
        <v>0</v>
      </c>
      <c r="Q83" s="69">
        <v>0</v>
      </c>
      <c r="R83" s="69">
        <v>0</v>
      </c>
      <c r="S83" s="69">
        <v>0</v>
      </c>
      <c r="T83" s="69">
        <v>0</v>
      </c>
      <c r="U83" s="69">
        <v>0</v>
      </c>
      <c r="V83" s="69">
        <v>0</v>
      </c>
      <c r="W83" s="69">
        <v>0</v>
      </c>
      <c r="X83" s="69">
        <v>0</v>
      </c>
      <c r="Y83" s="69">
        <v>0</v>
      </c>
      <c r="Z83" s="69">
        <v>0</v>
      </c>
      <c r="AA83" s="69">
        <v>0</v>
      </c>
      <c r="AB83" s="69">
        <v>0</v>
      </c>
      <c r="AC83" s="69">
        <v>0</v>
      </c>
      <c r="AD83" s="69">
        <v>0</v>
      </c>
      <c r="AE83" s="69">
        <v>0</v>
      </c>
      <c r="AF83" s="69">
        <v>0</v>
      </c>
      <c r="AG83" s="69">
        <v>0</v>
      </c>
      <c r="AH83" s="69">
        <v>0</v>
      </c>
      <c r="AI83" s="69">
        <v>0</v>
      </c>
      <c r="AJ83" s="69">
        <v>0</v>
      </c>
      <c r="AK83" s="69">
        <v>0</v>
      </c>
      <c r="AL83" s="92">
        <f t="shared" si="2"/>
        <v>0</v>
      </c>
      <c r="AM83" s="92">
        <f t="shared" si="3"/>
        <v>0</v>
      </c>
    </row>
    <row r="84" spans="1:39" ht="15" x14ac:dyDescent="0.4">
      <c r="A84">
        <v>78</v>
      </c>
      <c r="B84" s="42"/>
      <c r="C84" t="e">
        <f>MATCH(B84,Salary!B:B,0)</f>
        <v>#N/A</v>
      </c>
      <c r="D84" s="74" t="s">
        <v>199</v>
      </c>
      <c r="E84" s="75" t="s">
        <v>107</v>
      </c>
      <c r="F84" s="50"/>
      <c r="G84" s="69">
        <v>0</v>
      </c>
      <c r="H84" s="69">
        <v>0</v>
      </c>
      <c r="I84" s="69">
        <v>0</v>
      </c>
      <c r="J84" s="69">
        <v>0</v>
      </c>
      <c r="K84" s="69">
        <v>0</v>
      </c>
      <c r="L84" s="69">
        <v>0</v>
      </c>
      <c r="M84" s="69">
        <v>0</v>
      </c>
      <c r="N84" s="69">
        <v>0</v>
      </c>
      <c r="O84" s="69">
        <v>0</v>
      </c>
      <c r="P84" s="69">
        <v>0</v>
      </c>
      <c r="Q84" s="69">
        <v>0</v>
      </c>
      <c r="R84" s="69">
        <v>0</v>
      </c>
      <c r="S84" s="69">
        <v>0</v>
      </c>
      <c r="T84" s="69">
        <v>0</v>
      </c>
      <c r="U84" s="69">
        <v>0</v>
      </c>
      <c r="V84" s="69">
        <v>0</v>
      </c>
      <c r="W84" s="69">
        <v>0</v>
      </c>
      <c r="X84" s="69">
        <v>0</v>
      </c>
      <c r="Y84" s="69">
        <v>0</v>
      </c>
      <c r="Z84" s="69">
        <v>0</v>
      </c>
      <c r="AA84" s="69">
        <v>0</v>
      </c>
      <c r="AB84" s="69">
        <v>0</v>
      </c>
      <c r="AC84" s="69">
        <v>0</v>
      </c>
      <c r="AD84" s="69">
        <v>0</v>
      </c>
      <c r="AE84" s="69">
        <v>0</v>
      </c>
      <c r="AF84" s="69">
        <v>0</v>
      </c>
      <c r="AG84" s="69">
        <v>0</v>
      </c>
      <c r="AH84" s="69">
        <v>0</v>
      </c>
      <c r="AI84" s="69">
        <v>0</v>
      </c>
      <c r="AJ84" s="69">
        <v>0</v>
      </c>
      <c r="AK84" s="69">
        <v>0</v>
      </c>
      <c r="AL84" s="79">
        <f t="shared" si="2"/>
        <v>0</v>
      </c>
      <c r="AM84" s="79">
        <f t="shared" si="3"/>
        <v>0</v>
      </c>
    </row>
    <row r="85" spans="1:39" ht="15" x14ac:dyDescent="0.4">
      <c r="A85">
        <v>79</v>
      </c>
      <c r="B85" s="42"/>
      <c r="C85" t="e">
        <f>MATCH(B85,Salary!B:B,0)</f>
        <v>#N/A</v>
      </c>
      <c r="D85" s="74" t="s">
        <v>200</v>
      </c>
      <c r="E85" s="75" t="s">
        <v>201</v>
      </c>
      <c r="F85" s="50"/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>
        <v>0</v>
      </c>
      <c r="O85" s="69">
        <v>0</v>
      </c>
      <c r="P85" s="69">
        <v>0</v>
      </c>
      <c r="Q85" s="69">
        <v>0</v>
      </c>
      <c r="R85" s="69">
        <v>0</v>
      </c>
      <c r="S85" s="69">
        <v>0</v>
      </c>
      <c r="T85" s="69">
        <v>0</v>
      </c>
      <c r="U85" s="69">
        <v>0</v>
      </c>
      <c r="V85" s="69">
        <v>0</v>
      </c>
      <c r="W85" s="69">
        <v>0</v>
      </c>
      <c r="X85" s="69">
        <v>0</v>
      </c>
      <c r="Y85" s="69">
        <v>0</v>
      </c>
      <c r="Z85" s="69">
        <v>0</v>
      </c>
      <c r="AA85" s="69">
        <v>0</v>
      </c>
      <c r="AB85" s="69">
        <v>0</v>
      </c>
      <c r="AC85" s="69">
        <v>0</v>
      </c>
      <c r="AD85" s="69">
        <v>0</v>
      </c>
      <c r="AE85" s="69">
        <v>0</v>
      </c>
      <c r="AF85" s="69">
        <v>0</v>
      </c>
      <c r="AG85" s="69">
        <v>0</v>
      </c>
      <c r="AH85" s="69">
        <v>0</v>
      </c>
      <c r="AI85" s="69">
        <v>0</v>
      </c>
      <c r="AJ85" s="69">
        <v>0</v>
      </c>
      <c r="AK85" s="69">
        <v>0</v>
      </c>
      <c r="AL85" s="79">
        <f t="shared" si="2"/>
        <v>0</v>
      </c>
      <c r="AM85" s="79">
        <f t="shared" si="3"/>
        <v>0</v>
      </c>
    </row>
    <row r="86" spans="1:39" ht="15" x14ac:dyDescent="0.4">
      <c r="A86">
        <v>80</v>
      </c>
      <c r="B86" s="42"/>
      <c r="C86" t="e">
        <f>MATCH(B86,Salary!B:B,0)</f>
        <v>#N/A</v>
      </c>
      <c r="D86" s="83" t="s">
        <v>202</v>
      </c>
      <c r="E86" s="75" t="s">
        <v>201</v>
      </c>
      <c r="F86" s="50"/>
      <c r="G86" s="69">
        <v>0</v>
      </c>
      <c r="H86" s="69">
        <v>0</v>
      </c>
      <c r="I86" s="69">
        <v>0</v>
      </c>
      <c r="J86" s="69">
        <v>0</v>
      </c>
      <c r="K86" s="69">
        <v>0</v>
      </c>
      <c r="L86" s="69">
        <v>0</v>
      </c>
      <c r="M86" s="69">
        <v>0</v>
      </c>
      <c r="N86" s="69">
        <v>0</v>
      </c>
      <c r="O86" s="69">
        <v>0</v>
      </c>
      <c r="P86" s="69">
        <v>0</v>
      </c>
      <c r="Q86" s="69">
        <v>0</v>
      </c>
      <c r="R86" s="69">
        <v>0</v>
      </c>
      <c r="S86" s="69">
        <v>0</v>
      </c>
      <c r="T86" s="69">
        <v>0</v>
      </c>
      <c r="U86" s="69">
        <v>0</v>
      </c>
      <c r="V86" s="69">
        <v>0</v>
      </c>
      <c r="W86" s="69">
        <v>0</v>
      </c>
      <c r="X86" s="69">
        <v>0</v>
      </c>
      <c r="Y86" s="69">
        <v>0</v>
      </c>
      <c r="Z86" s="69">
        <v>0</v>
      </c>
      <c r="AA86" s="69">
        <v>0</v>
      </c>
      <c r="AB86" s="69">
        <v>0</v>
      </c>
      <c r="AC86" s="69">
        <v>0</v>
      </c>
      <c r="AD86" s="69">
        <v>0</v>
      </c>
      <c r="AE86" s="69">
        <v>0</v>
      </c>
      <c r="AF86" s="69">
        <v>0</v>
      </c>
      <c r="AG86" s="69">
        <v>0</v>
      </c>
      <c r="AH86" s="69">
        <v>0</v>
      </c>
      <c r="AI86" s="69">
        <v>0</v>
      </c>
      <c r="AJ86" s="69">
        <v>0</v>
      </c>
      <c r="AK86" s="69">
        <v>0</v>
      </c>
      <c r="AL86" s="79">
        <f t="shared" si="2"/>
        <v>0</v>
      </c>
      <c r="AM86" s="79">
        <f t="shared" si="3"/>
        <v>0</v>
      </c>
    </row>
    <row r="87" spans="1:39" ht="15" x14ac:dyDescent="0.4">
      <c r="A87">
        <v>81</v>
      </c>
      <c r="B87" s="42"/>
      <c r="C87" t="e">
        <f>MATCH(B87,Salary!B:B,0)</f>
        <v>#N/A</v>
      </c>
      <c r="D87" s="74" t="s">
        <v>203</v>
      </c>
      <c r="E87" s="75" t="s">
        <v>97</v>
      </c>
      <c r="F87" s="50"/>
      <c r="G87" s="69">
        <v>0</v>
      </c>
      <c r="H87" s="69">
        <v>0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>
        <v>0</v>
      </c>
      <c r="O87" s="69">
        <v>0</v>
      </c>
      <c r="P87" s="69">
        <v>0</v>
      </c>
      <c r="Q87" s="69">
        <v>0</v>
      </c>
      <c r="R87" s="69">
        <v>0</v>
      </c>
      <c r="S87" s="69">
        <v>0</v>
      </c>
      <c r="T87" s="69">
        <v>0</v>
      </c>
      <c r="U87" s="69">
        <v>0</v>
      </c>
      <c r="V87" s="69">
        <v>0</v>
      </c>
      <c r="W87" s="69">
        <v>0</v>
      </c>
      <c r="X87" s="69">
        <v>0</v>
      </c>
      <c r="Y87" s="69">
        <v>0</v>
      </c>
      <c r="Z87" s="69">
        <v>0</v>
      </c>
      <c r="AA87" s="69">
        <v>0</v>
      </c>
      <c r="AB87" s="69">
        <v>0</v>
      </c>
      <c r="AC87" s="69">
        <v>0</v>
      </c>
      <c r="AD87" s="69">
        <v>0</v>
      </c>
      <c r="AE87" s="69">
        <v>0</v>
      </c>
      <c r="AF87" s="69">
        <v>0</v>
      </c>
      <c r="AG87" s="69">
        <v>0</v>
      </c>
      <c r="AH87" s="69">
        <v>0</v>
      </c>
      <c r="AI87" s="69">
        <v>0</v>
      </c>
      <c r="AJ87" s="69">
        <v>0</v>
      </c>
      <c r="AK87" s="69">
        <v>0</v>
      </c>
      <c r="AL87" s="79">
        <f t="shared" si="2"/>
        <v>0</v>
      </c>
      <c r="AM87" s="79">
        <f t="shared" si="3"/>
        <v>0</v>
      </c>
    </row>
    <row r="88" spans="1:39" ht="15" x14ac:dyDescent="0.4">
      <c r="A88">
        <v>82</v>
      </c>
      <c r="B88" s="42"/>
      <c r="C88" t="e">
        <f>MATCH(B88,Salary!B:B,0)</f>
        <v>#N/A</v>
      </c>
      <c r="D88" s="84" t="s">
        <v>204</v>
      </c>
      <c r="E88" s="75" t="s">
        <v>97</v>
      </c>
      <c r="F88" s="50"/>
      <c r="G88" s="69">
        <v>0</v>
      </c>
      <c r="H88" s="69">
        <v>0</v>
      </c>
      <c r="I88" s="69">
        <v>0</v>
      </c>
      <c r="J88" s="69">
        <v>0</v>
      </c>
      <c r="K88" s="69">
        <v>0</v>
      </c>
      <c r="L88" s="69">
        <v>0</v>
      </c>
      <c r="M88" s="69">
        <v>0</v>
      </c>
      <c r="N88" s="69">
        <v>0</v>
      </c>
      <c r="O88" s="69">
        <v>0</v>
      </c>
      <c r="P88" s="69">
        <v>0</v>
      </c>
      <c r="Q88" s="69">
        <v>0</v>
      </c>
      <c r="R88" s="69">
        <v>0</v>
      </c>
      <c r="S88" s="69">
        <v>0</v>
      </c>
      <c r="T88" s="69">
        <v>0</v>
      </c>
      <c r="U88" s="69">
        <v>0</v>
      </c>
      <c r="V88" s="69">
        <v>0</v>
      </c>
      <c r="W88" s="69">
        <v>0</v>
      </c>
      <c r="X88" s="69">
        <v>0</v>
      </c>
      <c r="Y88" s="69">
        <v>0</v>
      </c>
      <c r="Z88" s="69">
        <v>0</v>
      </c>
      <c r="AA88" s="69">
        <v>0</v>
      </c>
      <c r="AB88" s="69">
        <v>0</v>
      </c>
      <c r="AC88" s="69">
        <v>0</v>
      </c>
      <c r="AD88" s="69">
        <v>0</v>
      </c>
      <c r="AE88" s="69">
        <v>0</v>
      </c>
      <c r="AF88" s="69">
        <v>0</v>
      </c>
      <c r="AG88" s="69">
        <v>0</v>
      </c>
      <c r="AH88" s="69">
        <v>0</v>
      </c>
      <c r="AI88" s="69">
        <v>0</v>
      </c>
      <c r="AJ88" s="69">
        <v>0</v>
      </c>
      <c r="AK88" s="69">
        <v>0</v>
      </c>
      <c r="AL88" s="79">
        <f t="shared" si="2"/>
        <v>0</v>
      </c>
      <c r="AM88" s="79">
        <f t="shared" si="3"/>
        <v>0</v>
      </c>
    </row>
    <row r="89" spans="1:39" ht="15" x14ac:dyDescent="0.4">
      <c r="A89">
        <v>83</v>
      </c>
      <c r="B89" s="42"/>
      <c r="C89" t="e">
        <f>MATCH(B89,Salary!B:B,0)</f>
        <v>#N/A</v>
      </c>
      <c r="D89" s="84" t="s">
        <v>205</v>
      </c>
      <c r="E89" s="75" t="s">
        <v>97</v>
      </c>
      <c r="F89" s="50"/>
      <c r="G89" s="69">
        <v>0</v>
      </c>
      <c r="H89" s="69">
        <v>0</v>
      </c>
      <c r="I89" s="69">
        <v>0</v>
      </c>
      <c r="J89" s="69">
        <v>0</v>
      </c>
      <c r="K89" s="69">
        <v>0</v>
      </c>
      <c r="L89" s="69">
        <v>0</v>
      </c>
      <c r="M89" s="69">
        <v>0</v>
      </c>
      <c r="N89" s="69">
        <v>0</v>
      </c>
      <c r="O89" s="69">
        <v>0</v>
      </c>
      <c r="P89" s="69">
        <v>0</v>
      </c>
      <c r="Q89" s="69">
        <v>0</v>
      </c>
      <c r="R89" s="69">
        <v>0</v>
      </c>
      <c r="S89" s="69">
        <v>0</v>
      </c>
      <c r="T89" s="69">
        <v>0</v>
      </c>
      <c r="U89" s="69">
        <v>0</v>
      </c>
      <c r="V89" s="69">
        <v>0</v>
      </c>
      <c r="W89" s="69">
        <v>0</v>
      </c>
      <c r="X89" s="69">
        <v>0</v>
      </c>
      <c r="Y89" s="69">
        <v>0</v>
      </c>
      <c r="Z89" s="69">
        <v>0</v>
      </c>
      <c r="AA89" s="69">
        <v>0</v>
      </c>
      <c r="AB89" s="69">
        <v>0</v>
      </c>
      <c r="AC89" s="69">
        <v>0</v>
      </c>
      <c r="AD89" s="69">
        <v>0</v>
      </c>
      <c r="AE89" s="69">
        <v>0</v>
      </c>
      <c r="AF89" s="69">
        <v>0</v>
      </c>
      <c r="AG89" s="69">
        <v>0</v>
      </c>
      <c r="AH89" s="69">
        <v>0</v>
      </c>
      <c r="AI89" s="69">
        <v>0</v>
      </c>
      <c r="AJ89" s="69">
        <v>0</v>
      </c>
      <c r="AK89" s="69">
        <v>0</v>
      </c>
      <c r="AL89" s="79">
        <f t="shared" si="2"/>
        <v>0</v>
      </c>
      <c r="AM89" s="79">
        <f t="shared" si="3"/>
        <v>0</v>
      </c>
    </row>
    <row r="90" spans="1:39" ht="15" x14ac:dyDescent="0.4">
      <c r="A90">
        <v>84</v>
      </c>
      <c r="B90" s="42"/>
      <c r="C90" t="e">
        <f>MATCH(B90,Salary!B:B,0)</f>
        <v>#N/A</v>
      </c>
      <c r="D90" s="74" t="s">
        <v>206</v>
      </c>
      <c r="E90" s="75" t="s">
        <v>97</v>
      </c>
      <c r="F90" s="50"/>
      <c r="G90" s="69">
        <v>0</v>
      </c>
      <c r="H90" s="69">
        <v>0</v>
      </c>
      <c r="I90" s="69">
        <v>0</v>
      </c>
      <c r="J90" s="69">
        <v>0</v>
      </c>
      <c r="K90" s="69">
        <v>0</v>
      </c>
      <c r="L90" s="69">
        <v>0</v>
      </c>
      <c r="M90" s="69">
        <v>0</v>
      </c>
      <c r="N90" s="69">
        <v>0</v>
      </c>
      <c r="O90" s="69">
        <v>0</v>
      </c>
      <c r="P90" s="69">
        <v>0</v>
      </c>
      <c r="Q90" s="69">
        <v>0</v>
      </c>
      <c r="R90" s="69">
        <v>0</v>
      </c>
      <c r="S90" s="69">
        <v>0</v>
      </c>
      <c r="T90" s="69">
        <v>0</v>
      </c>
      <c r="U90" s="69">
        <v>0</v>
      </c>
      <c r="V90" s="69">
        <v>0</v>
      </c>
      <c r="W90" s="69">
        <v>0</v>
      </c>
      <c r="X90" s="69">
        <v>0</v>
      </c>
      <c r="Y90" s="69">
        <v>0</v>
      </c>
      <c r="Z90" s="69">
        <v>0</v>
      </c>
      <c r="AA90" s="69">
        <v>0</v>
      </c>
      <c r="AB90" s="69">
        <v>0</v>
      </c>
      <c r="AC90" s="69">
        <v>0</v>
      </c>
      <c r="AD90" s="69">
        <v>0</v>
      </c>
      <c r="AE90" s="69">
        <v>0</v>
      </c>
      <c r="AF90" s="69">
        <v>0</v>
      </c>
      <c r="AG90" s="69">
        <v>0</v>
      </c>
      <c r="AH90" s="69">
        <v>0</v>
      </c>
      <c r="AI90" s="69">
        <v>0</v>
      </c>
      <c r="AJ90" s="69">
        <v>0</v>
      </c>
      <c r="AK90" s="69">
        <v>0</v>
      </c>
      <c r="AL90" s="79">
        <f t="shared" si="2"/>
        <v>0</v>
      </c>
      <c r="AM90" s="79">
        <f t="shared" si="3"/>
        <v>0</v>
      </c>
    </row>
    <row r="91" spans="1:39" ht="15" x14ac:dyDescent="0.4">
      <c r="A91">
        <v>85</v>
      </c>
      <c r="B91" s="42"/>
      <c r="C91" t="e">
        <f>MATCH(B91,Salary!B:B,0)</f>
        <v>#N/A</v>
      </c>
      <c r="D91" s="74" t="s">
        <v>207</v>
      </c>
      <c r="E91" s="75" t="s">
        <v>97</v>
      </c>
      <c r="F91" s="50"/>
      <c r="G91" s="69">
        <v>0</v>
      </c>
      <c r="H91" s="69">
        <v>0</v>
      </c>
      <c r="I91" s="69">
        <v>0</v>
      </c>
      <c r="J91" s="69">
        <v>0</v>
      </c>
      <c r="K91" s="69">
        <v>0</v>
      </c>
      <c r="L91" s="69">
        <v>0</v>
      </c>
      <c r="M91" s="69">
        <v>0</v>
      </c>
      <c r="N91" s="69">
        <v>0</v>
      </c>
      <c r="O91" s="69">
        <v>0</v>
      </c>
      <c r="P91" s="69">
        <v>0</v>
      </c>
      <c r="Q91" s="69">
        <v>0</v>
      </c>
      <c r="R91" s="69">
        <v>0</v>
      </c>
      <c r="S91" s="69">
        <v>0</v>
      </c>
      <c r="T91" s="69">
        <v>0</v>
      </c>
      <c r="U91" s="69">
        <v>0</v>
      </c>
      <c r="V91" s="69">
        <v>0</v>
      </c>
      <c r="W91" s="69">
        <v>0</v>
      </c>
      <c r="X91" s="69">
        <v>0</v>
      </c>
      <c r="Y91" s="69">
        <v>0</v>
      </c>
      <c r="Z91" s="69">
        <v>0</v>
      </c>
      <c r="AA91" s="69">
        <v>0</v>
      </c>
      <c r="AB91" s="69">
        <v>0</v>
      </c>
      <c r="AC91" s="69">
        <v>0</v>
      </c>
      <c r="AD91" s="69">
        <v>0</v>
      </c>
      <c r="AE91" s="69">
        <v>0</v>
      </c>
      <c r="AF91" s="69">
        <v>0</v>
      </c>
      <c r="AG91" s="69">
        <v>0</v>
      </c>
      <c r="AH91" s="69">
        <v>0</v>
      </c>
      <c r="AI91" s="69">
        <v>0</v>
      </c>
      <c r="AJ91" s="69">
        <v>0</v>
      </c>
      <c r="AK91" s="69">
        <v>0</v>
      </c>
      <c r="AL91" s="79">
        <f t="shared" si="2"/>
        <v>0</v>
      </c>
      <c r="AM91" s="79">
        <f t="shared" si="3"/>
        <v>0</v>
      </c>
    </row>
    <row r="92" spans="1:39" ht="15" x14ac:dyDescent="0.4">
      <c r="A92">
        <v>86</v>
      </c>
      <c r="B92" s="42"/>
      <c r="C92" t="e">
        <f>MATCH(B92,Salary!B:B,0)</f>
        <v>#N/A</v>
      </c>
      <c r="D92" s="74" t="s">
        <v>208</v>
      </c>
      <c r="E92" s="75" t="s">
        <v>98</v>
      </c>
      <c r="F92" s="50"/>
      <c r="G92" s="69">
        <v>0</v>
      </c>
      <c r="H92" s="69">
        <v>0</v>
      </c>
      <c r="I92" s="69">
        <v>0</v>
      </c>
      <c r="J92" s="69">
        <v>0</v>
      </c>
      <c r="K92" s="69">
        <v>0</v>
      </c>
      <c r="L92" s="69">
        <v>0</v>
      </c>
      <c r="M92" s="69">
        <v>0</v>
      </c>
      <c r="N92" s="69">
        <v>0</v>
      </c>
      <c r="O92" s="69">
        <v>0</v>
      </c>
      <c r="P92" s="69">
        <v>0</v>
      </c>
      <c r="Q92" s="69">
        <v>0</v>
      </c>
      <c r="R92" s="69">
        <v>0</v>
      </c>
      <c r="S92" s="69">
        <v>0</v>
      </c>
      <c r="T92" s="69">
        <v>0</v>
      </c>
      <c r="U92" s="69">
        <v>0</v>
      </c>
      <c r="V92" s="69">
        <v>0</v>
      </c>
      <c r="W92" s="69">
        <v>0</v>
      </c>
      <c r="X92" s="69">
        <v>0</v>
      </c>
      <c r="Y92" s="69">
        <v>0</v>
      </c>
      <c r="Z92" s="69">
        <v>0</v>
      </c>
      <c r="AA92" s="69">
        <v>0</v>
      </c>
      <c r="AB92" s="69">
        <v>0</v>
      </c>
      <c r="AC92" s="69">
        <v>0</v>
      </c>
      <c r="AD92" s="69">
        <v>0</v>
      </c>
      <c r="AE92" s="69">
        <v>0</v>
      </c>
      <c r="AF92" s="69">
        <v>0</v>
      </c>
      <c r="AG92" s="69">
        <v>0</v>
      </c>
      <c r="AH92" s="69">
        <v>0</v>
      </c>
      <c r="AI92" s="69">
        <v>0</v>
      </c>
      <c r="AJ92" s="69">
        <v>0</v>
      </c>
      <c r="AK92" s="69">
        <v>0</v>
      </c>
      <c r="AL92" s="79">
        <f t="shared" si="2"/>
        <v>0</v>
      </c>
      <c r="AM92" s="79">
        <f t="shared" si="3"/>
        <v>0</v>
      </c>
    </row>
    <row r="93" spans="1:39" ht="15" x14ac:dyDescent="0.4">
      <c r="A93">
        <v>87</v>
      </c>
      <c r="B93" s="42"/>
      <c r="C93" t="e">
        <f>MATCH(B93,Salary!B:B,0)</f>
        <v>#N/A</v>
      </c>
      <c r="D93" s="74" t="s">
        <v>209</v>
      </c>
      <c r="E93" s="105" t="s">
        <v>139</v>
      </c>
      <c r="F93" s="50"/>
      <c r="G93" s="69">
        <v>0</v>
      </c>
      <c r="H93" s="69">
        <v>0</v>
      </c>
      <c r="I93" s="69">
        <v>0</v>
      </c>
      <c r="J93" s="69">
        <v>0</v>
      </c>
      <c r="K93" s="69">
        <v>0</v>
      </c>
      <c r="L93" s="69">
        <v>0</v>
      </c>
      <c r="M93" s="69">
        <v>0</v>
      </c>
      <c r="N93" s="69">
        <v>0</v>
      </c>
      <c r="O93" s="69">
        <v>0</v>
      </c>
      <c r="P93" s="69">
        <v>0</v>
      </c>
      <c r="Q93" s="69">
        <v>0</v>
      </c>
      <c r="R93" s="69">
        <v>0</v>
      </c>
      <c r="S93" s="69">
        <v>0</v>
      </c>
      <c r="T93" s="69">
        <v>0</v>
      </c>
      <c r="U93" s="69">
        <v>0</v>
      </c>
      <c r="V93" s="69">
        <v>0</v>
      </c>
      <c r="W93" s="69">
        <v>0</v>
      </c>
      <c r="X93" s="69">
        <v>0</v>
      </c>
      <c r="Y93" s="69">
        <v>0</v>
      </c>
      <c r="Z93" s="69">
        <v>0</v>
      </c>
      <c r="AA93" s="69">
        <v>0</v>
      </c>
      <c r="AB93" s="69">
        <v>0</v>
      </c>
      <c r="AC93" s="69">
        <v>0</v>
      </c>
      <c r="AD93" s="69">
        <v>0</v>
      </c>
      <c r="AE93" s="69">
        <v>0</v>
      </c>
      <c r="AF93" s="69">
        <v>0</v>
      </c>
      <c r="AG93" s="69">
        <v>0</v>
      </c>
      <c r="AH93" s="69">
        <v>0</v>
      </c>
      <c r="AI93" s="69">
        <v>0</v>
      </c>
      <c r="AJ93" s="69">
        <v>0</v>
      </c>
      <c r="AK93" s="69">
        <v>0</v>
      </c>
      <c r="AL93" s="79">
        <f t="shared" si="2"/>
        <v>0</v>
      </c>
      <c r="AM93" s="79">
        <f t="shared" si="3"/>
        <v>0</v>
      </c>
    </row>
    <row r="94" spans="1:39" ht="15" x14ac:dyDescent="0.4">
      <c r="A94">
        <v>88</v>
      </c>
      <c r="B94" s="42"/>
      <c r="C94" t="e">
        <f>MATCH(B94,Salary!B:B,0)</f>
        <v>#N/A</v>
      </c>
      <c r="D94" s="74" t="s">
        <v>210</v>
      </c>
      <c r="E94" s="105" t="s">
        <v>139</v>
      </c>
      <c r="F94" s="50"/>
      <c r="G94" s="69">
        <v>0</v>
      </c>
      <c r="H94" s="69">
        <v>0</v>
      </c>
      <c r="I94" s="69">
        <v>0</v>
      </c>
      <c r="J94" s="69">
        <v>0</v>
      </c>
      <c r="K94" s="69">
        <v>0</v>
      </c>
      <c r="L94" s="69">
        <v>0</v>
      </c>
      <c r="M94" s="69">
        <v>0</v>
      </c>
      <c r="N94" s="69">
        <v>0</v>
      </c>
      <c r="O94" s="69">
        <v>0</v>
      </c>
      <c r="P94" s="69">
        <v>0</v>
      </c>
      <c r="Q94" s="69">
        <v>0</v>
      </c>
      <c r="R94" s="69">
        <v>0</v>
      </c>
      <c r="S94" s="69">
        <v>0</v>
      </c>
      <c r="T94" s="69">
        <v>0</v>
      </c>
      <c r="U94" s="69">
        <v>0</v>
      </c>
      <c r="V94" s="69">
        <v>0</v>
      </c>
      <c r="W94" s="69">
        <v>0</v>
      </c>
      <c r="X94" s="69">
        <v>0</v>
      </c>
      <c r="Y94" s="69">
        <v>0</v>
      </c>
      <c r="Z94" s="69">
        <v>0</v>
      </c>
      <c r="AA94" s="69">
        <v>0</v>
      </c>
      <c r="AB94" s="69">
        <v>0</v>
      </c>
      <c r="AC94" s="69">
        <v>0</v>
      </c>
      <c r="AD94" s="69">
        <v>0</v>
      </c>
      <c r="AE94" s="69">
        <v>0</v>
      </c>
      <c r="AF94" s="69">
        <v>0</v>
      </c>
      <c r="AG94" s="69">
        <v>0</v>
      </c>
      <c r="AH94" s="69">
        <v>0</v>
      </c>
      <c r="AI94" s="69">
        <v>0</v>
      </c>
      <c r="AJ94" s="69">
        <v>0</v>
      </c>
      <c r="AK94" s="69">
        <v>0</v>
      </c>
      <c r="AL94" s="79">
        <f>SUM(D94:AK94)</f>
        <v>0</v>
      </c>
      <c r="AM94" s="79">
        <f>SUM(E94:AL94)</f>
        <v>0</v>
      </c>
    </row>
    <row r="95" spans="1:39" ht="15" x14ac:dyDescent="0.4">
      <c r="A95">
        <v>89</v>
      </c>
      <c r="B95" s="42"/>
      <c r="C95" t="e">
        <f>MATCH(B95,Salary!B:B,0)</f>
        <v>#N/A</v>
      </c>
      <c r="D95" s="74" t="s">
        <v>211</v>
      </c>
      <c r="E95" s="105" t="s">
        <v>212</v>
      </c>
      <c r="F95" s="50"/>
      <c r="G95" s="69">
        <v>0</v>
      </c>
      <c r="H95" s="69">
        <v>0</v>
      </c>
      <c r="I95" s="69">
        <v>0</v>
      </c>
      <c r="J95" s="69">
        <v>0</v>
      </c>
      <c r="K95" s="69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>
        <v>0</v>
      </c>
      <c r="S95" s="69">
        <v>0</v>
      </c>
      <c r="T95" s="69">
        <v>0</v>
      </c>
      <c r="U95" s="69">
        <v>0</v>
      </c>
      <c r="V95" s="69">
        <v>0</v>
      </c>
      <c r="W95" s="69">
        <v>0</v>
      </c>
      <c r="X95" s="69">
        <v>0</v>
      </c>
      <c r="Y95" s="69">
        <v>0</v>
      </c>
      <c r="Z95" s="69">
        <v>0</v>
      </c>
      <c r="AA95" s="69">
        <v>0</v>
      </c>
      <c r="AB95" s="69">
        <v>0</v>
      </c>
      <c r="AC95" s="69">
        <v>0</v>
      </c>
      <c r="AD95" s="69">
        <v>0</v>
      </c>
      <c r="AE95" s="69">
        <v>0</v>
      </c>
      <c r="AF95" s="69">
        <v>0</v>
      </c>
      <c r="AG95" s="69">
        <v>0</v>
      </c>
      <c r="AH95" s="69">
        <v>0</v>
      </c>
      <c r="AI95" s="69">
        <v>0</v>
      </c>
      <c r="AJ95" s="69">
        <v>0</v>
      </c>
      <c r="AK95" s="69">
        <v>0</v>
      </c>
      <c r="AL95" s="79">
        <f>SUM(D95:AK95)</f>
        <v>0</v>
      </c>
      <c r="AM95" s="79">
        <f>SUM(E95:AL95)</f>
        <v>0</v>
      </c>
    </row>
    <row r="96" spans="1:39" ht="15" x14ac:dyDescent="0.4">
      <c r="A96">
        <v>90</v>
      </c>
      <c r="B96" s="42"/>
      <c r="C96" t="e">
        <f>MATCH(B96,Salary!B:B,0)</f>
        <v>#N/A</v>
      </c>
      <c r="D96" s="83" t="s">
        <v>213</v>
      </c>
      <c r="E96" s="75" t="s">
        <v>214</v>
      </c>
      <c r="F96" s="50"/>
      <c r="G96" s="69">
        <v>0</v>
      </c>
      <c r="H96" s="69">
        <v>0</v>
      </c>
      <c r="I96" s="69">
        <v>0</v>
      </c>
      <c r="J96" s="69">
        <v>0</v>
      </c>
      <c r="K96" s="69">
        <v>0</v>
      </c>
      <c r="L96" s="69">
        <v>0</v>
      </c>
      <c r="M96" s="69">
        <v>0</v>
      </c>
      <c r="N96" s="69">
        <v>0</v>
      </c>
      <c r="O96" s="69">
        <v>0</v>
      </c>
      <c r="P96" s="69">
        <v>0</v>
      </c>
      <c r="Q96" s="69">
        <v>0</v>
      </c>
      <c r="R96" s="69">
        <v>0</v>
      </c>
      <c r="S96" s="69">
        <v>0</v>
      </c>
      <c r="T96" s="69">
        <v>0</v>
      </c>
      <c r="U96" s="69">
        <v>0</v>
      </c>
      <c r="V96" s="69">
        <v>0</v>
      </c>
      <c r="W96" s="69">
        <v>0</v>
      </c>
      <c r="X96" s="69">
        <v>0</v>
      </c>
      <c r="Y96" s="69">
        <v>0</v>
      </c>
      <c r="Z96" s="69">
        <v>0</v>
      </c>
      <c r="AA96" s="69">
        <v>0</v>
      </c>
      <c r="AB96" s="69">
        <v>0</v>
      </c>
      <c r="AC96" s="69">
        <v>0</v>
      </c>
      <c r="AD96" s="69">
        <v>0</v>
      </c>
      <c r="AE96" s="69">
        <v>0</v>
      </c>
      <c r="AF96" s="69">
        <v>0</v>
      </c>
      <c r="AG96" s="69">
        <v>0</v>
      </c>
      <c r="AH96" s="69">
        <v>0</v>
      </c>
      <c r="AI96" s="69">
        <v>0</v>
      </c>
      <c r="AJ96" s="69">
        <v>0</v>
      </c>
      <c r="AK96" s="69">
        <v>0</v>
      </c>
      <c r="AL96" s="79">
        <f t="shared" si="2"/>
        <v>0</v>
      </c>
      <c r="AM96" s="79">
        <f t="shared" si="3"/>
        <v>0</v>
      </c>
    </row>
    <row r="97" spans="1:39" ht="15" x14ac:dyDescent="0.4">
      <c r="A97">
        <v>91</v>
      </c>
      <c r="B97" s="42"/>
      <c r="C97" t="e">
        <f>MATCH(B97,Salary!B:B,0)</f>
        <v>#N/A</v>
      </c>
      <c r="D97" s="74" t="s">
        <v>215</v>
      </c>
      <c r="E97" s="75" t="s">
        <v>98</v>
      </c>
      <c r="F97" s="50"/>
      <c r="G97" s="69">
        <v>0</v>
      </c>
      <c r="H97" s="69">
        <v>0</v>
      </c>
      <c r="I97" s="69">
        <v>0</v>
      </c>
      <c r="J97" s="69">
        <v>0</v>
      </c>
      <c r="K97" s="69">
        <v>0</v>
      </c>
      <c r="L97" s="69">
        <v>0</v>
      </c>
      <c r="M97" s="69">
        <v>0</v>
      </c>
      <c r="N97" s="69">
        <v>0</v>
      </c>
      <c r="O97" s="69">
        <v>0</v>
      </c>
      <c r="P97" s="69">
        <v>0</v>
      </c>
      <c r="Q97" s="69">
        <v>0</v>
      </c>
      <c r="R97" s="69">
        <v>0</v>
      </c>
      <c r="S97" s="69">
        <v>0</v>
      </c>
      <c r="T97" s="69">
        <v>0</v>
      </c>
      <c r="U97" s="69">
        <v>0</v>
      </c>
      <c r="V97" s="69">
        <v>0</v>
      </c>
      <c r="W97" s="69">
        <v>0</v>
      </c>
      <c r="X97" s="69">
        <v>0</v>
      </c>
      <c r="Y97" s="69">
        <v>0</v>
      </c>
      <c r="Z97" s="69">
        <v>0</v>
      </c>
      <c r="AA97" s="69">
        <v>0</v>
      </c>
      <c r="AB97" s="69">
        <v>0</v>
      </c>
      <c r="AC97" s="69">
        <v>0</v>
      </c>
      <c r="AD97" s="69">
        <v>0</v>
      </c>
      <c r="AE97" s="69">
        <v>0</v>
      </c>
      <c r="AF97" s="69">
        <v>0</v>
      </c>
      <c r="AG97" s="69">
        <v>0</v>
      </c>
      <c r="AH97" s="69">
        <v>0</v>
      </c>
      <c r="AI97" s="69">
        <v>0</v>
      </c>
      <c r="AJ97" s="69">
        <v>0</v>
      </c>
      <c r="AK97" s="69">
        <v>0</v>
      </c>
      <c r="AL97" s="79">
        <f t="shared" si="2"/>
        <v>0</v>
      </c>
      <c r="AM97" s="79">
        <f t="shared" si="3"/>
        <v>0</v>
      </c>
    </row>
    <row r="98" spans="1:39" ht="15" x14ac:dyDescent="0.4">
      <c r="A98">
        <v>92</v>
      </c>
      <c r="B98" s="42"/>
      <c r="C98" t="e">
        <f>MATCH(B98,Salary!B:B,0)</f>
        <v>#N/A</v>
      </c>
      <c r="D98" s="74" t="s">
        <v>216</v>
      </c>
      <c r="E98" s="75" t="s">
        <v>97</v>
      </c>
      <c r="F98" s="50"/>
      <c r="G98" s="69">
        <v>0</v>
      </c>
      <c r="H98" s="69">
        <v>0</v>
      </c>
      <c r="I98" s="69">
        <v>0</v>
      </c>
      <c r="J98" s="69">
        <v>0</v>
      </c>
      <c r="K98" s="69">
        <v>0</v>
      </c>
      <c r="L98" s="69">
        <v>0</v>
      </c>
      <c r="M98" s="69">
        <v>0</v>
      </c>
      <c r="N98" s="69">
        <v>0</v>
      </c>
      <c r="O98" s="69">
        <v>0</v>
      </c>
      <c r="P98" s="69">
        <v>0</v>
      </c>
      <c r="Q98" s="69">
        <v>0</v>
      </c>
      <c r="R98" s="69">
        <v>0</v>
      </c>
      <c r="S98" s="69">
        <v>0</v>
      </c>
      <c r="T98" s="69">
        <v>0</v>
      </c>
      <c r="U98" s="69">
        <v>0</v>
      </c>
      <c r="V98" s="69">
        <v>0</v>
      </c>
      <c r="W98" s="69">
        <v>0</v>
      </c>
      <c r="X98" s="69">
        <v>0</v>
      </c>
      <c r="Y98" s="69">
        <v>0</v>
      </c>
      <c r="Z98" s="69">
        <v>0</v>
      </c>
      <c r="AA98" s="69">
        <v>0</v>
      </c>
      <c r="AB98" s="69">
        <v>0</v>
      </c>
      <c r="AC98" s="69">
        <v>0</v>
      </c>
      <c r="AD98" s="69">
        <v>0</v>
      </c>
      <c r="AE98" s="69">
        <v>0</v>
      </c>
      <c r="AF98" s="69">
        <v>0</v>
      </c>
      <c r="AG98" s="69">
        <v>0</v>
      </c>
      <c r="AH98" s="69">
        <v>0</v>
      </c>
      <c r="AI98" s="69">
        <v>0</v>
      </c>
      <c r="AJ98" s="69">
        <v>0</v>
      </c>
      <c r="AK98" s="69">
        <v>0</v>
      </c>
      <c r="AL98" s="79">
        <f t="shared" si="2"/>
        <v>0</v>
      </c>
      <c r="AM98" s="79">
        <f t="shared" si="3"/>
        <v>0</v>
      </c>
    </row>
    <row r="99" spans="1:39" ht="15" x14ac:dyDescent="0.4">
      <c r="A99">
        <v>93</v>
      </c>
      <c r="B99" s="42"/>
      <c r="C99" t="e">
        <f>MATCH(B99,Salary!B:B,0)</f>
        <v>#N/A</v>
      </c>
      <c r="D99" s="74" t="s">
        <v>217</v>
      </c>
      <c r="E99" s="75" t="s">
        <v>97</v>
      </c>
      <c r="F99" s="50"/>
      <c r="G99" s="69">
        <v>0</v>
      </c>
      <c r="H99" s="69">
        <v>0</v>
      </c>
      <c r="I99" s="69">
        <v>0</v>
      </c>
      <c r="J99" s="69">
        <v>0</v>
      </c>
      <c r="K99" s="69">
        <v>0</v>
      </c>
      <c r="L99" s="69">
        <v>0</v>
      </c>
      <c r="M99" s="69">
        <v>0</v>
      </c>
      <c r="N99" s="69">
        <v>0</v>
      </c>
      <c r="O99" s="69">
        <v>0</v>
      </c>
      <c r="P99" s="69">
        <v>0</v>
      </c>
      <c r="Q99" s="69">
        <v>0</v>
      </c>
      <c r="R99" s="69">
        <v>0</v>
      </c>
      <c r="S99" s="69">
        <v>0</v>
      </c>
      <c r="T99" s="69">
        <v>0</v>
      </c>
      <c r="U99" s="69">
        <v>0</v>
      </c>
      <c r="V99" s="69">
        <v>0</v>
      </c>
      <c r="W99" s="69">
        <v>0</v>
      </c>
      <c r="X99" s="69">
        <v>0</v>
      </c>
      <c r="Y99" s="69">
        <v>0</v>
      </c>
      <c r="Z99" s="69">
        <v>0</v>
      </c>
      <c r="AA99" s="69">
        <v>0</v>
      </c>
      <c r="AB99" s="69">
        <v>0</v>
      </c>
      <c r="AC99" s="69">
        <v>0</v>
      </c>
      <c r="AD99" s="69">
        <v>0</v>
      </c>
      <c r="AE99" s="69">
        <v>0</v>
      </c>
      <c r="AF99" s="69">
        <v>0</v>
      </c>
      <c r="AG99" s="69">
        <v>0</v>
      </c>
      <c r="AH99" s="69">
        <v>0</v>
      </c>
      <c r="AI99" s="69">
        <v>0</v>
      </c>
      <c r="AJ99" s="69">
        <v>0</v>
      </c>
      <c r="AK99" s="69">
        <v>0</v>
      </c>
      <c r="AL99" s="79">
        <f t="shared" si="2"/>
        <v>0</v>
      </c>
      <c r="AM99" s="79">
        <f t="shared" si="3"/>
        <v>0</v>
      </c>
    </row>
    <row r="100" spans="1:39" ht="15" x14ac:dyDescent="0.4">
      <c r="A100">
        <v>94</v>
      </c>
      <c r="B100" s="42"/>
      <c r="C100" t="e">
        <f>MATCH(B100,Salary!B:B,0)</f>
        <v>#N/A</v>
      </c>
      <c r="D100" s="106" t="s">
        <v>218</v>
      </c>
      <c r="E100" s="75" t="s">
        <v>107</v>
      </c>
      <c r="F100" s="50"/>
      <c r="G100" s="69">
        <v>0</v>
      </c>
      <c r="H100" s="69">
        <v>0</v>
      </c>
      <c r="I100" s="69">
        <v>0</v>
      </c>
      <c r="J100" s="69">
        <v>0</v>
      </c>
      <c r="K100" s="69">
        <v>0</v>
      </c>
      <c r="L100" s="69">
        <v>0</v>
      </c>
      <c r="M100" s="69">
        <v>0</v>
      </c>
      <c r="N100" s="69">
        <v>0</v>
      </c>
      <c r="O100" s="69">
        <v>0</v>
      </c>
      <c r="P100" s="69">
        <v>0</v>
      </c>
      <c r="Q100" s="69">
        <v>0</v>
      </c>
      <c r="R100" s="69">
        <v>0</v>
      </c>
      <c r="S100" s="69">
        <v>0</v>
      </c>
      <c r="T100" s="69">
        <v>0</v>
      </c>
      <c r="U100" s="69">
        <v>0</v>
      </c>
      <c r="V100" s="69">
        <v>0</v>
      </c>
      <c r="W100" s="69">
        <v>0</v>
      </c>
      <c r="X100" s="69">
        <v>0</v>
      </c>
      <c r="Y100" s="69">
        <v>0</v>
      </c>
      <c r="Z100" s="69">
        <v>0</v>
      </c>
      <c r="AA100" s="69">
        <v>0</v>
      </c>
      <c r="AB100" s="69">
        <v>0</v>
      </c>
      <c r="AC100" s="69">
        <v>0</v>
      </c>
      <c r="AD100" s="69">
        <v>0</v>
      </c>
      <c r="AE100" s="69">
        <v>0</v>
      </c>
      <c r="AF100" s="69">
        <v>0</v>
      </c>
      <c r="AG100" s="69">
        <v>0</v>
      </c>
      <c r="AH100" s="69">
        <v>0</v>
      </c>
      <c r="AI100" s="69">
        <v>0</v>
      </c>
      <c r="AJ100" s="69">
        <v>0</v>
      </c>
      <c r="AK100" s="69">
        <v>0</v>
      </c>
      <c r="AL100" s="79">
        <f t="shared" si="2"/>
        <v>0</v>
      </c>
      <c r="AM100" s="79">
        <f t="shared" si="3"/>
        <v>0</v>
      </c>
    </row>
    <row r="101" spans="1:39" ht="15" x14ac:dyDescent="0.4">
      <c r="A101">
        <v>95</v>
      </c>
      <c r="B101" s="42"/>
      <c r="C101" t="e">
        <f>MATCH(B101,Salary!B:B,0)</f>
        <v>#N/A</v>
      </c>
      <c r="D101" s="106" t="s">
        <v>219</v>
      </c>
      <c r="E101" s="75" t="s">
        <v>107</v>
      </c>
      <c r="F101" s="50"/>
      <c r="G101" s="69">
        <v>0</v>
      </c>
      <c r="H101" s="69">
        <v>0</v>
      </c>
      <c r="I101" s="69">
        <v>0</v>
      </c>
      <c r="J101" s="69">
        <v>0</v>
      </c>
      <c r="K101" s="69">
        <v>0</v>
      </c>
      <c r="L101" s="69">
        <v>0</v>
      </c>
      <c r="M101" s="69">
        <v>0</v>
      </c>
      <c r="N101" s="69">
        <v>0</v>
      </c>
      <c r="O101" s="69">
        <v>0</v>
      </c>
      <c r="P101" s="69">
        <v>0</v>
      </c>
      <c r="Q101" s="69">
        <v>0</v>
      </c>
      <c r="R101" s="69">
        <v>0</v>
      </c>
      <c r="S101" s="69">
        <v>0</v>
      </c>
      <c r="T101" s="69">
        <v>0</v>
      </c>
      <c r="U101" s="69">
        <v>0</v>
      </c>
      <c r="V101" s="69">
        <v>0</v>
      </c>
      <c r="W101" s="69">
        <v>0</v>
      </c>
      <c r="X101" s="69">
        <v>0</v>
      </c>
      <c r="Y101" s="69">
        <v>0</v>
      </c>
      <c r="Z101" s="69">
        <v>0</v>
      </c>
      <c r="AA101" s="69">
        <v>0</v>
      </c>
      <c r="AB101" s="69">
        <v>0</v>
      </c>
      <c r="AC101" s="69">
        <v>0</v>
      </c>
      <c r="AD101" s="69">
        <v>0</v>
      </c>
      <c r="AE101" s="69">
        <v>0</v>
      </c>
      <c r="AF101" s="69">
        <v>0</v>
      </c>
      <c r="AG101" s="69">
        <v>0</v>
      </c>
      <c r="AH101" s="69">
        <v>0</v>
      </c>
      <c r="AI101" s="69">
        <v>0</v>
      </c>
      <c r="AJ101" s="69">
        <v>0</v>
      </c>
      <c r="AK101" s="69">
        <v>0</v>
      </c>
      <c r="AL101" s="79">
        <f t="shared" si="2"/>
        <v>0</v>
      </c>
      <c r="AM101" s="79">
        <f t="shared" si="3"/>
        <v>0</v>
      </c>
    </row>
    <row r="102" spans="1:39" ht="15" x14ac:dyDescent="0.4">
      <c r="A102">
        <v>96</v>
      </c>
      <c r="B102" s="42"/>
      <c r="C102" t="e">
        <f>MATCH(B102,Salary!B:B,0)</f>
        <v>#N/A</v>
      </c>
      <c r="D102" s="106" t="s">
        <v>220</v>
      </c>
      <c r="E102" s="75" t="s">
        <v>97</v>
      </c>
      <c r="F102" s="50"/>
      <c r="G102" s="69">
        <v>0</v>
      </c>
      <c r="H102" s="69">
        <v>0</v>
      </c>
      <c r="I102" s="69">
        <v>0</v>
      </c>
      <c r="J102" s="69">
        <v>0</v>
      </c>
      <c r="K102" s="69">
        <v>0</v>
      </c>
      <c r="L102" s="69">
        <v>0</v>
      </c>
      <c r="M102" s="69">
        <v>0</v>
      </c>
      <c r="N102" s="69">
        <v>0</v>
      </c>
      <c r="O102" s="69">
        <v>0</v>
      </c>
      <c r="P102" s="69">
        <v>0</v>
      </c>
      <c r="Q102" s="69">
        <v>0</v>
      </c>
      <c r="R102" s="69">
        <v>0</v>
      </c>
      <c r="S102" s="69">
        <v>0</v>
      </c>
      <c r="T102" s="69">
        <v>0</v>
      </c>
      <c r="U102" s="69">
        <v>0</v>
      </c>
      <c r="V102" s="69">
        <v>0</v>
      </c>
      <c r="W102" s="69">
        <v>0</v>
      </c>
      <c r="X102" s="69">
        <v>0</v>
      </c>
      <c r="Y102" s="69">
        <v>0</v>
      </c>
      <c r="Z102" s="69">
        <v>0</v>
      </c>
      <c r="AA102" s="69">
        <v>0</v>
      </c>
      <c r="AB102" s="69">
        <v>0</v>
      </c>
      <c r="AC102" s="69">
        <v>0</v>
      </c>
      <c r="AD102" s="69">
        <v>0</v>
      </c>
      <c r="AE102" s="69">
        <v>0</v>
      </c>
      <c r="AF102" s="69">
        <v>0</v>
      </c>
      <c r="AG102" s="69">
        <v>0</v>
      </c>
      <c r="AH102" s="69">
        <v>0</v>
      </c>
      <c r="AI102" s="69">
        <v>0</v>
      </c>
      <c r="AJ102" s="69">
        <v>0</v>
      </c>
      <c r="AK102" s="69">
        <v>0</v>
      </c>
      <c r="AL102" s="79">
        <f t="shared" si="2"/>
        <v>0</v>
      </c>
      <c r="AM102" s="79">
        <f t="shared" si="3"/>
        <v>0</v>
      </c>
    </row>
    <row r="103" spans="1:39" ht="15" x14ac:dyDescent="0.4">
      <c r="A103">
        <v>97</v>
      </c>
      <c r="B103" s="42"/>
      <c r="C103" t="e">
        <f>MATCH(B103,Salary!B:B,0)</f>
        <v>#N/A</v>
      </c>
      <c r="D103" s="106" t="s">
        <v>221</v>
      </c>
      <c r="E103" s="75" t="s">
        <v>222</v>
      </c>
      <c r="F103" s="50"/>
      <c r="G103" s="69">
        <v>0</v>
      </c>
      <c r="H103" s="69">
        <v>0</v>
      </c>
      <c r="I103" s="69">
        <v>0</v>
      </c>
      <c r="J103" s="69">
        <v>0</v>
      </c>
      <c r="K103" s="69">
        <v>0</v>
      </c>
      <c r="L103" s="69">
        <v>0</v>
      </c>
      <c r="M103" s="69">
        <v>0</v>
      </c>
      <c r="N103" s="69">
        <v>0</v>
      </c>
      <c r="O103" s="69">
        <v>0</v>
      </c>
      <c r="P103" s="69">
        <v>0</v>
      </c>
      <c r="Q103" s="69">
        <v>0</v>
      </c>
      <c r="R103" s="69">
        <v>0</v>
      </c>
      <c r="S103" s="69">
        <v>0</v>
      </c>
      <c r="T103" s="69">
        <v>0</v>
      </c>
      <c r="U103" s="69">
        <v>0</v>
      </c>
      <c r="V103" s="69">
        <v>0</v>
      </c>
      <c r="W103" s="69">
        <v>0</v>
      </c>
      <c r="X103" s="69">
        <v>0</v>
      </c>
      <c r="Y103" s="69">
        <v>0</v>
      </c>
      <c r="Z103" s="69">
        <v>0</v>
      </c>
      <c r="AA103" s="69">
        <v>0</v>
      </c>
      <c r="AB103" s="69">
        <v>0</v>
      </c>
      <c r="AC103" s="69">
        <v>0</v>
      </c>
      <c r="AD103" s="69">
        <v>0</v>
      </c>
      <c r="AE103" s="69">
        <v>0</v>
      </c>
      <c r="AF103" s="69">
        <v>0</v>
      </c>
      <c r="AG103" s="69">
        <v>0</v>
      </c>
      <c r="AH103" s="69">
        <v>0</v>
      </c>
      <c r="AI103" s="69">
        <v>0</v>
      </c>
      <c r="AJ103" s="69">
        <v>0</v>
      </c>
      <c r="AK103" s="69">
        <v>0</v>
      </c>
      <c r="AL103" s="79">
        <f t="shared" si="2"/>
        <v>0</v>
      </c>
      <c r="AM103" s="79">
        <f t="shared" si="3"/>
        <v>0</v>
      </c>
    </row>
    <row r="104" spans="1:39" ht="15" x14ac:dyDescent="0.4">
      <c r="A104">
        <v>98</v>
      </c>
      <c r="B104" s="42"/>
      <c r="C104" t="e">
        <f>MATCH(B104,Salary!B:B,0)</f>
        <v>#N/A</v>
      </c>
      <c r="D104" s="106" t="s">
        <v>223</v>
      </c>
      <c r="E104" s="75" t="s">
        <v>147</v>
      </c>
      <c r="F104" s="50"/>
      <c r="G104" s="69">
        <v>0</v>
      </c>
      <c r="H104" s="69">
        <v>0</v>
      </c>
      <c r="I104" s="69">
        <v>0</v>
      </c>
      <c r="J104" s="69">
        <v>0</v>
      </c>
      <c r="K104" s="69">
        <v>0</v>
      </c>
      <c r="L104" s="69">
        <v>0</v>
      </c>
      <c r="M104" s="69">
        <v>0</v>
      </c>
      <c r="N104" s="69">
        <v>0</v>
      </c>
      <c r="O104" s="69">
        <v>0</v>
      </c>
      <c r="P104" s="69">
        <v>0</v>
      </c>
      <c r="Q104" s="69">
        <v>0</v>
      </c>
      <c r="R104" s="69">
        <v>0</v>
      </c>
      <c r="S104" s="69">
        <v>0</v>
      </c>
      <c r="T104" s="69">
        <v>0</v>
      </c>
      <c r="U104" s="69">
        <v>0</v>
      </c>
      <c r="V104" s="69">
        <v>0</v>
      </c>
      <c r="W104" s="69">
        <v>0</v>
      </c>
      <c r="X104" s="69">
        <v>0</v>
      </c>
      <c r="Y104" s="69">
        <v>0</v>
      </c>
      <c r="Z104" s="69">
        <v>0</v>
      </c>
      <c r="AA104" s="69">
        <v>0</v>
      </c>
      <c r="AB104" s="69">
        <v>0</v>
      </c>
      <c r="AC104" s="69">
        <v>0</v>
      </c>
      <c r="AD104" s="69">
        <v>0</v>
      </c>
      <c r="AE104" s="69">
        <v>0</v>
      </c>
      <c r="AF104" s="69">
        <v>0</v>
      </c>
      <c r="AG104" s="69">
        <v>0</v>
      </c>
      <c r="AH104" s="69">
        <v>0</v>
      </c>
      <c r="AI104" s="69">
        <v>0</v>
      </c>
      <c r="AJ104" s="69">
        <v>0</v>
      </c>
      <c r="AK104" s="69">
        <v>0</v>
      </c>
      <c r="AL104" s="79">
        <f t="shared" si="2"/>
        <v>0</v>
      </c>
      <c r="AM104" s="79">
        <f t="shared" si="3"/>
        <v>0</v>
      </c>
    </row>
    <row r="105" spans="1:39" ht="15" x14ac:dyDescent="0.4">
      <c r="A105">
        <v>99</v>
      </c>
      <c r="B105" s="42"/>
      <c r="C105" t="e">
        <f>MATCH(B105,Salary!B:B,0)</f>
        <v>#N/A</v>
      </c>
      <c r="D105" s="106" t="s">
        <v>224</v>
      </c>
      <c r="E105" s="75" t="s">
        <v>98</v>
      </c>
      <c r="F105" s="50"/>
      <c r="G105" s="69">
        <v>0</v>
      </c>
      <c r="H105" s="69">
        <v>0</v>
      </c>
      <c r="I105" s="69">
        <v>0</v>
      </c>
      <c r="J105" s="69">
        <v>0</v>
      </c>
      <c r="K105" s="69">
        <v>0</v>
      </c>
      <c r="L105" s="69">
        <v>0</v>
      </c>
      <c r="M105" s="69">
        <v>0</v>
      </c>
      <c r="N105" s="69">
        <v>0</v>
      </c>
      <c r="O105" s="69">
        <v>0</v>
      </c>
      <c r="P105" s="69">
        <v>0</v>
      </c>
      <c r="Q105" s="69">
        <v>0</v>
      </c>
      <c r="R105" s="69">
        <v>0</v>
      </c>
      <c r="S105" s="69">
        <v>0</v>
      </c>
      <c r="T105" s="69">
        <v>0</v>
      </c>
      <c r="U105" s="69">
        <v>0</v>
      </c>
      <c r="V105" s="69">
        <v>0</v>
      </c>
      <c r="W105" s="69">
        <v>0</v>
      </c>
      <c r="X105" s="69">
        <v>0</v>
      </c>
      <c r="Y105" s="69">
        <v>0</v>
      </c>
      <c r="Z105" s="69">
        <v>0</v>
      </c>
      <c r="AA105" s="69">
        <v>0</v>
      </c>
      <c r="AB105" s="69">
        <v>0</v>
      </c>
      <c r="AC105" s="69">
        <v>0</v>
      </c>
      <c r="AD105" s="69">
        <v>0</v>
      </c>
      <c r="AE105" s="69">
        <v>0</v>
      </c>
      <c r="AF105" s="69">
        <v>0</v>
      </c>
      <c r="AG105" s="69">
        <v>0</v>
      </c>
      <c r="AH105" s="69">
        <v>0</v>
      </c>
      <c r="AI105" s="69">
        <v>0</v>
      </c>
      <c r="AJ105" s="69">
        <v>0</v>
      </c>
      <c r="AK105" s="69">
        <v>0</v>
      </c>
      <c r="AL105" s="79">
        <f t="shared" si="2"/>
        <v>0</v>
      </c>
      <c r="AM105" s="79">
        <f t="shared" si="3"/>
        <v>0</v>
      </c>
    </row>
    <row r="106" spans="1:39" ht="15" x14ac:dyDescent="0.4">
      <c r="A106">
        <v>100</v>
      </c>
      <c r="B106" s="42"/>
      <c r="C106" t="e">
        <f>MATCH(B106,Salary!B:B,0)</f>
        <v>#N/A</v>
      </c>
      <c r="D106" s="107" t="s">
        <v>225</v>
      </c>
      <c r="E106" s="75" t="s">
        <v>98</v>
      </c>
      <c r="F106" s="50"/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>
        <v>0</v>
      </c>
      <c r="S106" s="69">
        <v>0</v>
      </c>
      <c r="T106" s="69">
        <v>0</v>
      </c>
      <c r="U106" s="69">
        <v>0</v>
      </c>
      <c r="V106" s="69">
        <v>0</v>
      </c>
      <c r="W106" s="69">
        <v>0</v>
      </c>
      <c r="X106" s="69">
        <v>0</v>
      </c>
      <c r="Y106" s="69">
        <v>0</v>
      </c>
      <c r="Z106" s="69">
        <v>0</v>
      </c>
      <c r="AA106" s="69">
        <v>0</v>
      </c>
      <c r="AB106" s="69">
        <v>0</v>
      </c>
      <c r="AC106" s="69">
        <v>0</v>
      </c>
      <c r="AD106" s="69">
        <v>0</v>
      </c>
      <c r="AE106" s="69">
        <v>0</v>
      </c>
      <c r="AF106" s="69">
        <v>0</v>
      </c>
      <c r="AG106" s="69">
        <v>0</v>
      </c>
      <c r="AH106" s="69">
        <v>0</v>
      </c>
      <c r="AI106" s="69">
        <v>0</v>
      </c>
      <c r="AJ106" s="69">
        <v>0</v>
      </c>
      <c r="AK106" s="69">
        <v>0</v>
      </c>
      <c r="AL106" s="79">
        <f t="shared" si="2"/>
        <v>0</v>
      </c>
      <c r="AM106" s="79">
        <f t="shared" si="3"/>
        <v>0</v>
      </c>
    </row>
    <row r="107" spans="1:39" ht="15" x14ac:dyDescent="0.4">
      <c r="A107">
        <v>101</v>
      </c>
      <c r="B107" s="42"/>
      <c r="C107" t="e">
        <f>MATCH(B107,Salary!B:B,0)</f>
        <v>#N/A</v>
      </c>
      <c r="D107" s="106" t="s">
        <v>226</v>
      </c>
      <c r="E107" s="75" t="s">
        <v>214</v>
      </c>
      <c r="F107" s="50"/>
      <c r="G107" s="69">
        <v>0</v>
      </c>
      <c r="H107" s="69">
        <v>0</v>
      </c>
      <c r="I107" s="69">
        <v>0</v>
      </c>
      <c r="J107" s="69">
        <v>0</v>
      </c>
      <c r="K107" s="69">
        <v>0</v>
      </c>
      <c r="L107" s="69">
        <v>0</v>
      </c>
      <c r="M107" s="69">
        <v>0</v>
      </c>
      <c r="N107" s="69">
        <v>0</v>
      </c>
      <c r="O107" s="69">
        <v>0</v>
      </c>
      <c r="P107" s="69">
        <v>0</v>
      </c>
      <c r="Q107" s="69">
        <v>0</v>
      </c>
      <c r="R107" s="69">
        <v>0</v>
      </c>
      <c r="S107" s="69">
        <v>0</v>
      </c>
      <c r="T107" s="69">
        <v>0</v>
      </c>
      <c r="U107" s="69">
        <v>0</v>
      </c>
      <c r="V107" s="69">
        <v>0</v>
      </c>
      <c r="W107" s="69">
        <v>0</v>
      </c>
      <c r="X107" s="69">
        <v>0</v>
      </c>
      <c r="Y107" s="69">
        <v>0</v>
      </c>
      <c r="Z107" s="69">
        <v>0</v>
      </c>
      <c r="AA107" s="69">
        <v>0</v>
      </c>
      <c r="AB107" s="69">
        <v>0</v>
      </c>
      <c r="AC107" s="69">
        <v>0</v>
      </c>
      <c r="AD107" s="69">
        <v>0</v>
      </c>
      <c r="AE107" s="69">
        <v>0</v>
      </c>
      <c r="AF107" s="69">
        <v>0</v>
      </c>
      <c r="AG107" s="69">
        <v>0</v>
      </c>
      <c r="AH107" s="69">
        <v>0</v>
      </c>
      <c r="AI107" s="69">
        <v>0</v>
      </c>
      <c r="AJ107" s="69">
        <v>0</v>
      </c>
      <c r="AK107" s="69">
        <v>0</v>
      </c>
      <c r="AL107" s="79">
        <f t="shared" si="2"/>
        <v>0</v>
      </c>
      <c r="AM107" s="79">
        <f t="shared" si="3"/>
        <v>0</v>
      </c>
    </row>
    <row r="108" spans="1:39" ht="15" x14ac:dyDescent="0.4">
      <c r="A108">
        <v>102</v>
      </c>
      <c r="B108" s="42"/>
      <c r="C108" t="e">
        <f>MATCH(B108,Salary!B:B,0)</f>
        <v>#N/A</v>
      </c>
      <c r="D108" s="106" t="s">
        <v>227</v>
      </c>
      <c r="E108" s="75" t="s">
        <v>214</v>
      </c>
      <c r="F108" s="50"/>
      <c r="G108" s="69">
        <v>0</v>
      </c>
      <c r="H108" s="69">
        <v>0</v>
      </c>
      <c r="I108" s="69">
        <v>0</v>
      </c>
      <c r="J108" s="69">
        <v>0</v>
      </c>
      <c r="K108" s="69">
        <v>0</v>
      </c>
      <c r="L108" s="69">
        <v>0</v>
      </c>
      <c r="M108" s="69">
        <v>0</v>
      </c>
      <c r="N108" s="69">
        <v>0</v>
      </c>
      <c r="O108" s="69">
        <v>0</v>
      </c>
      <c r="P108" s="69">
        <v>0</v>
      </c>
      <c r="Q108" s="69">
        <v>0</v>
      </c>
      <c r="R108" s="69">
        <v>0</v>
      </c>
      <c r="S108" s="69">
        <v>0</v>
      </c>
      <c r="T108" s="69">
        <v>0</v>
      </c>
      <c r="U108" s="69">
        <v>0</v>
      </c>
      <c r="V108" s="69">
        <v>0</v>
      </c>
      <c r="W108" s="69">
        <v>0</v>
      </c>
      <c r="X108" s="69">
        <v>0</v>
      </c>
      <c r="Y108" s="69">
        <v>0</v>
      </c>
      <c r="Z108" s="69">
        <v>0</v>
      </c>
      <c r="AA108" s="69">
        <v>0</v>
      </c>
      <c r="AB108" s="69">
        <v>0</v>
      </c>
      <c r="AC108" s="69">
        <v>0</v>
      </c>
      <c r="AD108" s="69">
        <v>0</v>
      </c>
      <c r="AE108" s="69">
        <v>0</v>
      </c>
      <c r="AF108" s="69">
        <v>0</v>
      </c>
      <c r="AG108" s="69">
        <v>0</v>
      </c>
      <c r="AH108" s="69">
        <v>0</v>
      </c>
      <c r="AI108" s="69">
        <v>0</v>
      </c>
      <c r="AJ108" s="69">
        <v>0</v>
      </c>
      <c r="AK108" s="69">
        <v>0</v>
      </c>
      <c r="AL108" s="79">
        <f>SUM(D108:AK108)</f>
        <v>0</v>
      </c>
      <c r="AM108" s="79">
        <f>SUM(E108:AL108)</f>
        <v>0</v>
      </c>
    </row>
    <row r="109" spans="1:39" ht="15" x14ac:dyDescent="0.4">
      <c r="A109">
        <v>103</v>
      </c>
      <c r="B109" s="42"/>
      <c r="C109" t="e">
        <f>MATCH(B109,Salary!B:B,0)</f>
        <v>#N/A</v>
      </c>
      <c r="D109" s="106" t="s">
        <v>228</v>
      </c>
      <c r="E109" s="75" t="s">
        <v>214</v>
      </c>
      <c r="F109" s="50"/>
      <c r="G109" s="69">
        <v>0</v>
      </c>
      <c r="H109" s="69">
        <v>0</v>
      </c>
      <c r="I109" s="69">
        <v>0</v>
      </c>
      <c r="J109" s="69">
        <v>0</v>
      </c>
      <c r="K109" s="69">
        <v>0</v>
      </c>
      <c r="L109" s="69">
        <v>0</v>
      </c>
      <c r="M109" s="69">
        <v>0</v>
      </c>
      <c r="N109" s="69">
        <v>0</v>
      </c>
      <c r="O109" s="69">
        <v>0</v>
      </c>
      <c r="P109" s="69">
        <v>0</v>
      </c>
      <c r="Q109" s="69">
        <v>0</v>
      </c>
      <c r="R109" s="69">
        <v>0</v>
      </c>
      <c r="S109" s="69">
        <v>0</v>
      </c>
      <c r="T109" s="69">
        <v>0</v>
      </c>
      <c r="U109" s="69">
        <v>0</v>
      </c>
      <c r="V109" s="69">
        <v>0</v>
      </c>
      <c r="W109" s="69">
        <v>0</v>
      </c>
      <c r="X109" s="69">
        <v>0</v>
      </c>
      <c r="Y109" s="69">
        <v>0</v>
      </c>
      <c r="Z109" s="69">
        <v>0</v>
      </c>
      <c r="AA109" s="69">
        <v>0</v>
      </c>
      <c r="AB109" s="69">
        <v>0</v>
      </c>
      <c r="AC109" s="69">
        <v>0</v>
      </c>
      <c r="AD109" s="69">
        <v>0</v>
      </c>
      <c r="AE109" s="69">
        <v>0</v>
      </c>
      <c r="AF109" s="69">
        <v>0</v>
      </c>
      <c r="AG109" s="69">
        <v>0</v>
      </c>
      <c r="AH109" s="69">
        <v>0</v>
      </c>
      <c r="AI109" s="69">
        <v>0</v>
      </c>
      <c r="AJ109" s="69">
        <v>0</v>
      </c>
      <c r="AK109" s="69">
        <v>0</v>
      </c>
      <c r="AL109" s="79">
        <f>SUM(D109:AK109)</f>
        <v>0</v>
      </c>
      <c r="AM109" s="79">
        <f>SUM(E109:AL109)</f>
        <v>0</v>
      </c>
    </row>
    <row r="110" spans="1:39" x14ac:dyDescent="0.35">
      <c r="A110">
        <v>104</v>
      </c>
      <c r="B110" s="42"/>
      <c r="C110" t="e">
        <f>MATCH(B110,Salary!B:B,0)</f>
        <v>#N/A</v>
      </c>
      <c r="D110" s="106" t="s">
        <v>229</v>
      </c>
      <c r="E110" s="109" t="s">
        <v>230</v>
      </c>
      <c r="F110" s="110"/>
      <c r="G110" s="69">
        <v>0</v>
      </c>
      <c r="H110" s="69">
        <v>0</v>
      </c>
      <c r="I110" s="69">
        <v>0</v>
      </c>
      <c r="J110" s="69">
        <v>0</v>
      </c>
      <c r="K110" s="69">
        <v>0</v>
      </c>
      <c r="L110" s="69">
        <v>0</v>
      </c>
      <c r="M110" s="69">
        <v>0</v>
      </c>
      <c r="N110" s="69">
        <v>0</v>
      </c>
      <c r="O110" s="69">
        <v>0</v>
      </c>
      <c r="P110" s="69">
        <v>0</v>
      </c>
      <c r="Q110" s="69">
        <v>0</v>
      </c>
      <c r="R110" s="69">
        <v>0</v>
      </c>
      <c r="S110" s="69">
        <v>0</v>
      </c>
      <c r="T110" s="69">
        <v>0</v>
      </c>
      <c r="U110" s="69">
        <v>0</v>
      </c>
      <c r="V110" s="69">
        <v>0</v>
      </c>
      <c r="W110" s="69">
        <v>0</v>
      </c>
      <c r="X110" s="69">
        <v>0</v>
      </c>
      <c r="Y110" s="69">
        <v>0</v>
      </c>
      <c r="Z110" s="69">
        <v>0</v>
      </c>
      <c r="AA110" s="69">
        <v>0</v>
      </c>
      <c r="AB110" s="69">
        <v>0</v>
      </c>
      <c r="AC110" s="69">
        <v>0</v>
      </c>
      <c r="AD110" s="69">
        <v>0</v>
      </c>
      <c r="AE110" s="69">
        <v>0</v>
      </c>
      <c r="AF110" s="69">
        <v>0</v>
      </c>
      <c r="AG110" s="69">
        <v>0</v>
      </c>
      <c r="AH110" s="69">
        <v>0</v>
      </c>
      <c r="AI110" s="69">
        <v>0</v>
      </c>
      <c r="AJ110" s="69">
        <v>0</v>
      </c>
      <c r="AK110" s="69">
        <v>0</v>
      </c>
      <c r="AL110" s="79">
        <f t="shared" si="2"/>
        <v>0</v>
      </c>
      <c r="AM110" s="79">
        <f t="shared" si="3"/>
        <v>0</v>
      </c>
    </row>
    <row r="111" spans="1:39" ht="15" x14ac:dyDescent="0.4">
      <c r="A111">
        <v>105</v>
      </c>
      <c r="B111" s="42"/>
      <c r="C111" t="e">
        <f>MATCH(B111,Salary!B:B,0)</f>
        <v>#N/A</v>
      </c>
      <c r="D111" s="111" t="s">
        <v>231</v>
      </c>
      <c r="E111" s="110" t="s">
        <v>232</v>
      </c>
      <c r="F111" s="50"/>
      <c r="G111" s="69">
        <v>0</v>
      </c>
      <c r="H111" s="69">
        <v>0</v>
      </c>
      <c r="I111" s="69">
        <v>0</v>
      </c>
      <c r="J111" s="69">
        <v>0</v>
      </c>
      <c r="K111" s="69">
        <v>0</v>
      </c>
      <c r="L111" s="69">
        <v>0</v>
      </c>
      <c r="M111" s="69">
        <v>0</v>
      </c>
      <c r="N111" s="69">
        <v>0</v>
      </c>
      <c r="O111" s="69">
        <v>0</v>
      </c>
      <c r="P111" s="69">
        <v>0</v>
      </c>
      <c r="Q111" s="69">
        <v>0</v>
      </c>
      <c r="R111" s="69">
        <v>0</v>
      </c>
      <c r="S111" s="69">
        <v>0</v>
      </c>
      <c r="T111" s="69">
        <v>0</v>
      </c>
      <c r="U111" s="69">
        <v>0</v>
      </c>
      <c r="V111" s="69">
        <v>0</v>
      </c>
      <c r="W111" s="69">
        <v>0</v>
      </c>
      <c r="X111" s="69">
        <v>0</v>
      </c>
      <c r="Y111" s="69">
        <v>0</v>
      </c>
      <c r="Z111" s="69">
        <v>0</v>
      </c>
      <c r="AA111" s="69">
        <v>0</v>
      </c>
      <c r="AB111" s="69">
        <v>0</v>
      </c>
      <c r="AC111" s="69">
        <v>0</v>
      </c>
      <c r="AD111" s="69">
        <v>0</v>
      </c>
      <c r="AE111" s="69">
        <v>0</v>
      </c>
      <c r="AF111" s="69">
        <v>0</v>
      </c>
      <c r="AG111" s="69">
        <v>0</v>
      </c>
      <c r="AH111" s="69">
        <v>0</v>
      </c>
      <c r="AI111" s="69">
        <v>0</v>
      </c>
      <c r="AJ111" s="69">
        <v>0</v>
      </c>
      <c r="AK111" s="69">
        <v>0</v>
      </c>
      <c r="AL111" s="79">
        <f t="shared" si="2"/>
        <v>0</v>
      </c>
      <c r="AM111" s="79">
        <f t="shared" si="3"/>
        <v>0</v>
      </c>
    </row>
    <row r="112" spans="1:39" ht="15" x14ac:dyDescent="0.4">
      <c r="A112">
        <v>106</v>
      </c>
      <c r="B112" s="42"/>
      <c r="C112" t="e">
        <f>MATCH(B112,Salary!B:B,0)</f>
        <v>#N/A</v>
      </c>
      <c r="D112" s="111" t="s">
        <v>233</v>
      </c>
      <c r="E112" s="110" t="s">
        <v>232</v>
      </c>
      <c r="F112" s="50"/>
      <c r="G112" s="69">
        <v>0</v>
      </c>
      <c r="H112" s="69">
        <v>0</v>
      </c>
      <c r="I112" s="69">
        <v>0</v>
      </c>
      <c r="J112" s="69">
        <v>0</v>
      </c>
      <c r="K112" s="69">
        <v>0</v>
      </c>
      <c r="L112" s="69">
        <v>0</v>
      </c>
      <c r="M112" s="69">
        <v>0</v>
      </c>
      <c r="N112" s="69">
        <v>0</v>
      </c>
      <c r="O112" s="69">
        <v>0</v>
      </c>
      <c r="P112" s="69">
        <v>0</v>
      </c>
      <c r="Q112" s="69">
        <v>0</v>
      </c>
      <c r="R112" s="69">
        <v>0</v>
      </c>
      <c r="S112" s="69">
        <v>0</v>
      </c>
      <c r="T112" s="69">
        <v>0</v>
      </c>
      <c r="U112" s="69">
        <v>0</v>
      </c>
      <c r="V112" s="69">
        <v>0</v>
      </c>
      <c r="W112" s="69">
        <v>0</v>
      </c>
      <c r="X112" s="69">
        <v>0</v>
      </c>
      <c r="Y112" s="69">
        <v>0</v>
      </c>
      <c r="Z112" s="69">
        <v>0</v>
      </c>
      <c r="AA112" s="69">
        <v>0</v>
      </c>
      <c r="AB112" s="69">
        <v>0</v>
      </c>
      <c r="AC112" s="69">
        <v>0</v>
      </c>
      <c r="AD112" s="69">
        <v>0</v>
      </c>
      <c r="AE112" s="69">
        <v>0</v>
      </c>
      <c r="AF112" s="69">
        <v>0</v>
      </c>
      <c r="AG112" s="69">
        <v>0</v>
      </c>
      <c r="AH112" s="69">
        <v>0</v>
      </c>
      <c r="AI112" s="69">
        <v>0</v>
      </c>
      <c r="AJ112" s="69">
        <v>0</v>
      </c>
      <c r="AK112" s="69">
        <v>0</v>
      </c>
      <c r="AL112" s="79">
        <f t="shared" si="2"/>
        <v>0</v>
      </c>
      <c r="AM112" s="79">
        <f t="shared" si="3"/>
        <v>0</v>
      </c>
    </row>
    <row r="113" spans="1:39" ht="15" x14ac:dyDescent="0.4">
      <c r="A113">
        <v>107</v>
      </c>
      <c r="B113" s="42"/>
      <c r="C113" t="e">
        <f>MATCH(B113,Salary!B:B,0)</f>
        <v>#N/A</v>
      </c>
      <c r="D113" s="111" t="s">
        <v>234</v>
      </c>
      <c r="E113" s="75" t="s">
        <v>112</v>
      </c>
      <c r="F113" s="50"/>
      <c r="G113" s="69">
        <v>0</v>
      </c>
      <c r="H113" s="69">
        <v>0</v>
      </c>
      <c r="I113" s="69">
        <v>0</v>
      </c>
      <c r="J113" s="69">
        <v>0</v>
      </c>
      <c r="K113" s="69">
        <v>0</v>
      </c>
      <c r="L113" s="69">
        <v>0</v>
      </c>
      <c r="M113" s="69">
        <v>0</v>
      </c>
      <c r="N113" s="69">
        <v>0</v>
      </c>
      <c r="O113" s="69">
        <v>0</v>
      </c>
      <c r="P113" s="69">
        <v>0</v>
      </c>
      <c r="Q113" s="69">
        <v>0</v>
      </c>
      <c r="R113" s="69">
        <v>0</v>
      </c>
      <c r="S113" s="69">
        <v>0</v>
      </c>
      <c r="T113" s="69">
        <v>0</v>
      </c>
      <c r="U113" s="69">
        <v>0</v>
      </c>
      <c r="V113" s="69">
        <v>0</v>
      </c>
      <c r="W113" s="69">
        <v>0</v>
      </c>
      <c r="X113" s="69">
        <v>0</v>
      </c>
      <c r="Y113" s="69">
        <v>0</v>
      </c>
      <c r="Z113" s="69">
        <v>0</v>
      </c>
      <c r="AA113" s="69">
        <v>0</v>
      </c>
      <c r="AB113" s="69">
        <v>0</v>
      </c>
      <c r="AC113" s="69">
        <v>0</v>
      </c>
      <c r="AD113" s="69">
        <v>0</v>
      </c>
      <c r="AE113" s="69">
        <v>0</v>
      </c>
      <c r="AF113" s="69">
        <v>0</v>
      </c>
      <c r="AG113" s="69">
        <v>0</v>
      </c>
      <c r="AH113" s="69">
        <v>0</v>
      </c>
      <c r="AI113" s="69">
        <v>0</v>
      </c>
      <c r="AJ113" s="69">
        <v>0</v>
      </c>
      <c r="AK113" s="69">
        <v>0</v>
      </c>
      <c r="AL113" s="79">
        <f t="shared" si="2"/>
        <v>0</v>
      </c>
      <c r="AM113" s="79">
        <f t="shared" si="3"/>
        <v>0</v>
      </c>
    </row>
    <row r="114" spans="1:39" ht="15" x14ac:dyDescent="0.4">
      <c r="A114">
        <v>108</v>
      </c>
      <c r="B114" s="42"/>
      <c r="C114" t="e">
        <f>MATCH(B114,Salary!B:B,0)</f>
        <v>#N/A</v>
      </c>
      <c r="D114" s="106" t="s">
        <v>235</v>
      </c>
      <c r="E114" s="109" t="s">
        <v>236</v>
      </c>
      <c r="F114" s="50"/>
      <c r="G114" s="69">
        <v>0</v>
      </c>
      <c r="H114" s="69">
        <v>0</v>
      </c>
      <c r="I114" s="69">
        <v>0</v>
      </c>
      <c r="J114" s="69">
        <v>0</v>
      </c>
      <c r="K114" s="69">
        <v>0</v>
      </c>
      <c r="L114" s="69">
        <v>0</v>
      </c>
      <c r="M114" s="69">
        <v>0</v>
      </c>
      <c r="N114" s="69">
        <v>0</v>
      </c>
      <c r="O114" s="69">
        <v>0</v>
      </c>
      <c r="P114" s="69">
        <v>0</v>
      </c>
      <c r="Q114" s="69">
        <v>0</v>
      </c>
      <c r="R114" s="69">
        <v>0</v>
      </c>
      <c r="S114" s="69">
        <v>0</v>
      </c>
      <c r="T114" s="69">
        <v>0</v>
      </c>
      <c r="U114" s="69">
        <v>0</v>
      </c>
      <c r="V114" s="69">
        <v>0</v>
      </c>
      <c r="W114" s="69">
        <v>0</v>
      </c>
      <c r="X114" s="69">
        <v>0</v>
      </c>
      <c r="Y114" s="69">
        <v>0</v>
      </c>
      <c r="Z114" s="69">
        <v>0</v>
      </c>
      <c r="AA114" s="69">
        <v>0</v>
      </c>
      <c r="AB114" s="69">
        <v>0</v>
      </c>
      <c r="AC114" s="69">
        <v>0</v>
      </c>
      <c r="AD114" s="69">
        <v>0</v>
      </c>
      <c r="AE114" s="69">
        <v>0</v>
      </c>
      <c r="AF114" s="69">
        <v>0</v>
      </c>
      <c r="AG114" s="69">
        <v>0</v>
      </c>
      <c r="AH114" s="69">
        <v>0</v>
      </c>
      <c r="AI114" s="69">
        <v>0</v>
      </c>
      <c r="AJ114" s="69">
        <v>0</v>
      </c>
      <c r="AK114" s="69">
        <v>0</v>
      </c>
      <c r="AL114" s="79">
        <f t="shared" si="2"/>
        <v>0</v>
      </c>
      <c r="AM114" s="79">
        <f t="shared" si="3"/>
        <v>0</v>
      </c>
    </row>
    <row r="115" spans="1:39" ht="15" x14ac:dyDescent="0.4">
      <c r="A115">
        <v>109</v>
      </c>
      <c r="B115" s="42"/>
      <c r="C115" t="e">
        <f>MATCH(B115,Salary!B:B,0)</f>
        <v>#N/A</v>
      </c>
      <c r="D115" s="106" t="s">
        <v>237</v>
      </c>
      <c r="E115" s="110" t="s">
        <v>238</v>
      </c>
      <c r="F115" s="50"/>
      <c r="G115" s="69">
        <v>0</v>
      </c>
      <c r="H115" s="69">
        <v>0</v>
      </c>
      <c r="I115" s="69">
        <v>0</v>
      </c>
      <c r="J115" s="69">
        <v>0</v>
      </c>
      <c r="K115" s="69">
        <v>0</v>
      </c>
      <c r="L115" s="69">
        <v>0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0</v>
      </c>
      <c r="S115" s="69">
        <v>0</v>
      </c>
      <c r="T115" s="69">
        <v>0</v>
      </c>
      <c r="U115" s="69">
        <v>0</v>
      </c>
      <c r="V115" s="69">
        <v>0</v>
      </c>
      <c r="W115" s="69">
        <v>0</v>
      </c>
      <c r="X115" s="69">
        <v>0</v>
      </c>
      <c r="Y115" s="69">
        <v>0</v>
      </c>
      <c r="Z115" s="69">
        <v>0</v>
      </c>
      <c r="AA115" s="69">
        <v>0</v>
      </c>
      <c r="AB115" s="69">
        <v>0</v>
      </c>
      <c r="AC115" s="69">
        <v>0</v>
      </c>
      <c r="AD115" s="69">
        <v>0</v>
      </c>
      <c r="AE115" s="69">
        <v>0</v>
      </c>
      <c r="AF115" s="69">
        <v>0</v>
      </c>
      <c r="AG115" s="69">
        <v>0</v>
      </c>
      <c r="AH115" s="69">
        <v>0</v>
      </c>
      <c r="AI115" s="69">
        <v>0</v>
      </c>
      <c r="AJ115" s="69">
        <v>0</v>
      </c>
      <c r="AK115" s="69">
        <v>0</v>
      </c>
      <c r="AL115" s="79">
        <f t="shared" ref="AL115:AL120" si="4">SUM(D115:AK115)</f>
        <v>0</v>
      </c>
      <c r="AM115" s="79">
        <f t="shared" ref="AM115:AM120" si="5">SUM(E115:AL115)</f>
        <v>0</v>
      </c>
    </row>
    <row r="116" spans="1:39" ht="15" x14ac:dyDescent="0.4">
      <c r="A116">
        <v>110</v>
      </c>
      <c r="B116" s="42"/>
      <c r="C116" t="e">
        <f>MATCH(B116,Salary!B:B,0)</f>
        <v>#N/A</v>
      </c>
      <c r="D116" s="107" t="s">
        <v>239</v>
      </c>
      <c r="E116" s="109" t="s">
        <v>240</v>
      </c>
      <c r="F116" s="50"/>
      <c r="G116" s="69">
        <v>0</v>
      </c>
      <c r="H116" s="69">
        <v>0</v>
      </c>
      <c r="I116" s="69">
        <v>0</v>
      </c>
      <c r="J116" s="69">
        <v>0</v>
      </c>
      <c r="K116" s="69">
        <v>0</v>
      </c>
      <c r="L116" s="69">
        <v>0</v>
      </c>
      <c r="M116" s="69">
        <v>0</v>
      </c>
      <c r="N116" s="69">
        <v>0</v>
      </c>
      <c r="O116" s="69">
        <v>0</v>
      </c>
      <c r="P116" s="69">
        <v>0</v>
      </c>
      <c r="Q116" s="69">
        <v>0</v>
      </c>
      <c r="R116" s="69">
        <v>0</v>
      </c>
      <c r="S116" s="69">
        <v>0</v>
      </c>
      <c r="T116" s="69">
        <v>0</v>
      </c>
      <c r="U116" s="69">
        <v>0</v>
      </c>
      <c r="V116" s="69">
        <v>0</v>
      </c>
      <c r="W116" s="69">
        <v>0</v>
      </c>
      <c r="X116" s="69">
        <v>0</v>
      </c>
      <c r="Y116" s="69">
        <v>0</v>
      </c>
      <c r="Z116" s="69">
        <v>0</v>
      </c>
      <c r="AA116" s="69">
        <v>0</v>
      </c>
      <c r="AB116" s="69">
        <v>0</v>
      </c>
      <c r="AC116" s="69">
        <v>0</v>
      </c>
      <c r="AD116" s="69">
        <v>0</v>
      </c>
      <c r="AE116" s="69">
        <v>0</v>
      </c>
      <c r="AF116" s="69">
        <v>0</v>
      </c>
      <c r="AG116" s="69">
        <v>0</v>
      </c>
      <c r="AH116" s="69">
        <v>0</v>
      </c>
      <c r="AI116" s="69">
        <v>0</v>
      </c>
      <c r="AJ116" s="69">
        <v>0</v>
      </c>
      <c r="AK116" s="69">
        <v>0</v>
      </c>
      <c r="AL116" s="79">
        <f t="shared" si="4"/>
        <v>0</v>
      </c>
      <c r="AM116" s="79">
        <f t="shared" si="5"/>
        <v>0</v>
      </c>
    </row>
    <row r="117" spans="1:39" ht="15" x14ac:dyDescent="0.4">
      <c r="A117">
        <v>111</v>
      </c>
      <c r="B117" s="42"/>
      <c r="C117" t="e">
        <f>MATCH(B117,Salary!B:B,0)</f>
        <v>#N/A</v>
      </c>
      <c r="D117" s="112" t="s">
        <v>241</v>
      </c>
      <c r="E117" s="75" t="s">
        <v>112</v>
      </c>
      <c r="F117" s="50"/>
      <c r="G117" s="69">
        <v>0</v>
      </c>
      <c r="H117" s="69">
        <v>0</v>
      </c>
      <c r="I117" s="69">
        <v>0</v>
      </c>
      <c r="J117" s="69">
        <v>0</v>
      </c>
      <c r="K117" s="69">
        <v>0</v>
      </c>
      <c r="L117" s="69">
        <v>0</v>
      </c>
      <c r="M117" s="69">
        <v>0</v>
      </c>
      <c r="N117" s="69">
        <v>0</v>
      </c>
      <c r="O117" s="69">
        <v>0</v>
      </c>
      <c r="P117" s="69">
        <v>0</v>
      </c>
      <c r="Q117" s="69">
        <v>0</v>
      </c>
      <c r="R117" s="69">
        <v>0</v>
      </c>
      <c r="S117" s="69">
        <v>0</v>
      </c>
      <c r="T117" s="69">
        <v>0</v>
      </c>
      <c r="U117" s="69">
        <v>0</v>
      </c>
      <c r="V117" s="69">
        <v>0</v>
      </c>
      <c r="W117" s="69">
        <v>0</v>
      </c>
      <c r="X117" s="69">
        <v>0</v>
      </c>
      <c r="Y117" s="69">
        <v>0</v>
      </c>
      <c r="Z117" s="69">
        <v>0</v>
      </c>
      <c r="AA117" s="69">
        <v>0</v>
      </c>
      <c r="AB117" s="69">
        <v>0</v>
      </c>
      <c r="AC117" s="69">
        <v>0</v>
      </c>
      <c r="AD117" s="69">
        <v>0</v>
      </c>
      <c r="AE117" s="69">
        <v>0</v>
      </c>
      <c r="AF117" s="69">
        <v>0</v>
      </c>
      <c r="AG117" s="69">
        <v>0</v>
      </c>
      <c r="AH117" s="69">
        <v>0</v>
      </c>
      <c r="AI117" s="69">
        <v>0</v>
      </c>
      <c r="AJ117" s="69">
        <v>0</v>
      </c>
      <c r="AK117" s="69">
        <v>0</v>
      </c>
      <c r="AL117" s="79">
        <f t="shared" si="4"/>
        <v>0</v>
      </c>
      <c r="AM117" s="79">
        <f t="shared" si="5"/>
        <v>0</v>
      </c>
    </row>
    <row r="118" spans="1:39" ht="15" x14ac:dyDescent="0.4">
      <c r="A118">
        <v>112</v>
      </c>
      <c r="B118" s="42"/>
      <c r="C118" t="e">
        <f>MATCH(B118,Salary!B:B,0)</f>
        <v>#N/A</v>
      </c>
      <c r="D118" s="111" t="s">
        <v>242</v>
      </c>
      <c r="E118" s="75" t="s">
        <v>97</v>
      </c>
      <c r="F118" s="50"/>
      <c r="G118" s="69">
        <v>0</v>
      </c>
      <c r="H118" s="69">
        <v>0</v>
      </c>
      <c r="I118" s="69">
        <v>0</v>
      </c>
      <c r="J118" s="69">
        <v>0</v>
      </c>
      <c r="K118" s="69">
        <v>0</v>
      </c>
      <c r="L118" s="69">
        <v>0</v>
      </c>
      <c r="M118" s="69">
        <v>0</v>
      </c>
      <c r="N118" s="69">
        <v>0</v>
      </c>
      <c r="O118" s="69">
        <v>0</v>
      </c>
      <c r="P118" s="69">
        <v>0</v>
      </c>
      <c r="Q118" s="69">
        <v>0</v>
      </c>
      <c r="R118" s="69">
        <v>0</v>
      </c>
      <c r="S118" s="69">
        <v>0</v>
      </c>
      <c r="T118" s="69">
        <v>0</v>
      </c>
      <c r="U118" s="69">
        <v>0</v>
      </c>
      <c r="V118" s="69">
        <v>0</v>
      </c>
      <c r="W118" s="69">
        <v>0</v>
      </c>
      <c r="X118" s="69">
        <v>0</v>
      </c>
      <c r="Y118" s="69">
        <v>0</v>
      </c>
      <c r="Z118" s="69">
        <v>0</v>
      </c>
      <c r="AA118" s="69">
        <v>0</v>
      </c>
      <c r="AB118" s="69">
        <v>0</v>
      </c>
      <c r="AC118" s="69">
        <v>0</v>
      </c>
      <c r="AD118" s="69">
        <v>0</v>
      </c>
      <c r="AE118" s="69">
        <v>0</v>
      </c>
      <c r="AF118" s="69">
        <v>0</v>
      </c>
      <c r="AG118" s="69">
        <v>0</v>
      </c>
      <c r="AH118" s="69">
        <v>0</v>
      </c>
      <c r="AI118" s="69">
        <v>0</v>
      </c>
      <c r="AJ118" s="69">
        <v>0</v>
      </c>
      <c r="AK118" s="69">
        <v>0</v>
      </c>
      <c r="AL118" s="79">
        <f t="shared" si="4"/>
        <v>0</v>
      </c>
      <c r="AM118" s="79">
        <f t="shared" si="5"/>
        <v>0</v>
      </c>
    </row>
    <row r="119" spans="1:39" ht="15" x14ac:dyDescent="0.4">
      <c r="A119" s="42"/>
      <c r="B119" s="42"/>
      <c r="C119" s="42"/>
      <c r="D119" s="112"/>
      <c r="E119" s="113"/>
      <c r="F119" s="50"/>
      <c r="G119" s="76"/>
      <c r="H119" s="77"/>
      <c r="I119" s="76"/>
      <c r="J119" s="76"/>
      <c r="K119" s="76"/>
      <c r="L119" s="76"/>
      <c r="M119" s="80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8">
        <v>0</v>
      </c>
      <c r="AG119" s="76"/>
      <c r="AH119" s="76"/>
      <c r="AI119" s="76"/>
      <c r="AJ119" s="76"/>
      <c r="AK119" s="76"/>
      <c r="AL119" s="79">
        <f t="shared" si="4"/>
        <v>0</v>
      </c>
      <c r="AM119" s="79">
        <f t="shared" si="5"/>
        <v>0</v>
      </c>
    </row>
    <row r="120" spans="1:39" ht="15" x14ac:dyDescent="0.4">
      <c r="A120" s="42"/>
      <c r="B120" s="42"/>
      <c r="C120" s="42"/>
      <c r="D120" s="112"/>
      <c r="E120" s="113"/>
      <c r="F120" s="50"/>
      <c r="G120" s="76"/>
      <c r="H120" s="77"/>
      <c r="I120" s="76"/>
      <c r="J120" s="76"/>
      <c r="K120" s="76"/>
      <c r="L120" s="76"/>
      <c r="M120" s="80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8">
        <v>0</v>
      </c>
      <c r="AG120" s="76"/>
      <c r="AH120" s="76"/>
      <c r="AI120" s="76"/>
      <c r="AJ120" s="76"/>
      <c r="AK120" s="76"/>
      <c r="AL120" s="79">
        <f t="shared" si="4"/>
        <v>0</v>
      </c>
      <c r="AM120" s="79">
        <f t="shared" si="5"/>
        <v>0</v>
      </c>
    </row>
    <row r="121" spans="1:39" ht="15" x14ac:dyDescent="0.4">
      <c r="A121" s="42"/>
      <c r="B121" s="42"/>
      <c r="C121" s="42"/>
      <c r="D121" s="112"/>
      <c r="E121" s="113"/>
      <c r="F121" s="50"/>
      <c r="G121" s="76"/>
      <c r="H121" s="77"/>
      <c r="I121" s="76"/>
      <c r="J121" s="76"/>
      <c r="K121" s="76"/>
      <c r="L121" s="76"/>
      <c r="M121" s="80"/>
      <c r="N121" s="76"/>
      <c r="O121" s="76"/>
      <c r="P121" s="76"/>
      <c r="Q121" s="76"/>
      <c r="R121" s="76"/>
      <c r="S121" s="76"/>
      <c r="T121" s="76"/>
      <c r="U121" s="114"/>
      <c r="V121" s="114"/>
      <c r="W121" s="114"/>
      <c r="X121" s="114"/>
      <c r="Y121" s="114"/>
      <c r="Z121" s="114"/>
      <c r="AA121" s="114"/>
      <c r="AB121" s="114"/>
      <c r="AC121" s="114"/>
      <c r="AD121" s="114"/>
      <c r="AE121" s="114"/>
      <c r="AF121" s="115"/>
      <c r="AG121" s="114"/>
      <c r="AH121" s="114"/>
      <c r="AI121" s="114"/>
      <c r="AJ121" s="114"/>
      <c r="AK121" s="114"/>
      <c r="AL121" s="116"/>
      <c r="AM121" s="116"/>
    </row>
    <row r="122" spans="1:39" ht="15.5" thickBot="1" x14ac:dyDescent="0.45">
      <c r="A122" s="42"/>
      <c r="B122" s="42"/>
      <c r="C122" s="42"/>
      <c r="D122" s="117"/>
      <c r="E122" s="118"/>
      <c r="F122" s="50"/>
      <c r="G122" s="119">
        <f>SUM(G7:G121)</f>
        <v>0</v>
      </c>
      <c r="H122" s="119">
        <f t="shared" ref="H122:AL122" si="6">SUM(H7:H121)</f>
        <v>1698.3319999999999</v>
      </c>
      <c r="I122" s="119">
        <f t="shared" si="6"/>
        <v>1327.998</v>
      </c>
      <c r="J122" s="119">
        <f t="shared" si="6"/>
        <v>0</v>
      </c>
      <c r="K122" s="119">
        <f t="shared" si="6"/>
        <v>374.11</v>
      </c>
      <c r="L122" s="119">
        <f t="shared" si="6"/>
        <v>0</v>
      </c>
      <c r="M122" s="119">
        <f t="shared" si="6"/>
        <v>1093.26</v>
      </c>
      <c r="N122" s="119">
        <f t="shared" si="6"/>
        <v>2494.8000000000002</v>
      </c>
      <c r="O122" s="119">
        <f t="shared" si="6"/>
        <v>102.22559999999999</v>
      </c>
      <c r="P122" s="119">
        <f t="shared" si="6"/>
        <v>0</v>
      </c>
      <c r="Q122" s="119">
        <f t="shared" si="6"/>
        <v>0</v>
      </c>
      <c r="R122" s="119">
        <f t="shared" si="6"/>
        <v>0</v>
      </c>
      <c r="S122" s="119">
        <f t="shared" si="6"/>
        <v>596.16000000000008</v>
      </c>
      <c r="T122" s="119">
        <f t="shared" si="6"/>
        <v>0</v>
      </c>
      <c r="U122" s="119">
        <f t="shared" si="6"/>
        <v>0</v>
      </c>
      <c r="V122" s="119">
        <f t="shared" si="6"/>
        <v>0</v>
      </c>
      <c r="W122" s="119">
        <f t="shared" si="6"/>
        <v>0</v>
      </c>
      <c r="X122" s="119">
        <f t="shared" si="6"/>
        <v>91.85</v>
      </c>
      <c r="Y122" s="119">
        <f t="shared" si="6"/>
        <v>0</v>
      </c>
      <c r="Z122" s="119">
        <f t="shared" si="6"/>
        <v>0</v>
      </c>
      <c r="AA122" s="119">
        <f t="shared" si="6"/>
        <v>0</v>
      </c>
      <c r="AB122" s="119">
        <f t="shared" si="6"/>
        <v>0</v>
      </c>
      <c r="AC122" s="119">
        <f t="shared" si="6"/>
        <v>0</v>
      </c>
      <c r="AD122" s="119">
        <f t="shared" si="6"/>
        <v>0</v>
      </c>
      <c r="AE122" s="119">
        <f t="shared" si="6"/>
        <v>275.54999999999995</v>
      </c>
      <c r="AF122" s="119">
        <f t="shared" si="6"/>
        <v>0</v>
      </c>
      <c r="AG122" s="119">
        <f t="shared" si="6"/>
        <v>601.53439999999989</v>
      </c>
      <c r="AH122" s="119">
        <f t="shared" si="6"/>
        <v>0</v>
      </c>
      <c r="AI122" s="119">
        <f t="shared" si="6"/>
        <v>0</v>
      </c>
      <c r="AJ122" s="119">
        <f t="shared" si="6"/>
        <v>0</v>
      </c>
      <c r="AK122" s="119">
        <f t="shared" si="6"/>
        <v>0</v>
      </c>
      <c r="AL122" s="119">
        <f t="shared" si="6"/>
        <v>8655.82</v>
      </c>
      <c r="AM122" s="119">
        <f t="shared" ref="I122:AM122" si="7">SUM(AM7:AM121)</f>
        <v>17311.64</v>
      </c>
    </row>
    <row r="123" spans="1:39" x14ac:dyDescent="0.35">
      <c r="A123" s="42"/>
      <c r="B123" s="42"/>
      <c r="C123" s="42"/>
      <c r="D123" s="121"/>
      <c r="X123" t="s">
        <v>243</v>
      </c>
      <c r="Y123" t="s">
        <v>243</v>
      </c>
    </row>
  </sheetData>
  <mergeCells count="1">
    <mergeCell ref="D1:D5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QBUpload"/>
  <dimension ref="A1:H69"/>
  <sheetViews>
    <sheetView workbookViewId="0"/>
  </sheetViews>
  <sheetFormatPr defaultRowHeight="14.5" x14ac:dyDescent="0.35"/>
  <cols>
    <col min="1" max="1" width="10.453125" style="1" bestFit="1" customWidth="1"/>
    <col min="2" max="2" width="12" bestFit="1" customWidth="1"/>
    <col min="3" max="3" width="19.54296875" bestFit="1" customWidth="1"/>
    <col min="4" max="4" width="14.90625" bestFit="1" customWidth="1"/>
    <col min="5" max="5" width="39" bestFit="1" customWidth="1"/>
    <col min="6" max="7" width="9.81640625" bestFit="1" customWidth="1"/>
    <col min="8" max="8" width="6.26953125" bestFit="1" customWidth="1"/>
  </cols>
  <sheetData>
    <row r="1" spans="1:8" x14ac:dyDescent="0.35">
      <c r="A1" s="1" t="s">
        <v>289</v>
      </c>
      <c r="B1" t="s">
        <v>290</v>
      </c>
      <c r="C1" t="s">
        <v>292</v>
      </c>
      <c r="D1" t="s">
        <v>291</v>
      </c>
      <c r="E1" t="s">
        <v>57</v>
      </c>
      <c r="F1" t="s">
        <v>293</v>
      </c>
      <c r="G1" t="s">
        <v>294</v>
      </c>
      <c r="H1" t="s">
        <v>295</v>
      </c>
    </row>
    <row r="2" spans="1:8" x14ac:dyDescent="0.35">
      <c r="A2" s="1">
        <v>43815.567847222221</v>
      </c>
      <c r="B2" t="s">
        <v>296</v>
      </c>
      <c r="C2" t="s">
        <v>297</v>
      </c>
      <c r="D2">
        <v>7250</v>
      </c>
      <c r="E2" t="s">
        <v>61</v>
      </c>
      <c r="F2">
        <v>0</v>
      </c>
      <c r="G2">
        <v>0</v>
      </c>
    </row>
    <row r="3" spans="1:8" x14ac:dyDescent="0.35">
      <c r="A3" s="1">
        <v>43815.567847222221</v>
      </c>
      <c r="B3" t="s">
        <v>244</v>
      </c>
      <c r="C3" t="s">
        <v>298</v>
      </c>
      <c r="D3">
        <v>1100</v>
      </c>
      <c r="E3" t="s">
        <v>299</v>
      </c>
      <c r="F3">
        <v>0</v>
      </c>
      <c r="G3">
        <v>0</v>
      </c>
    </row>
    <row r="4" spans="1:8" x14ac:dyDescent="0.35">
      <c r="A4" s="1">
        <v>43815.567847222221</v>
      </c>
      <c r="B4" t="s">
        <v>296</v>
      </c>
      <c r="C4" t="s">
        <v>297</v>
      </c>
      <c r="D4">
        <v>7250</v>
      </c>
      <c r="E4" t="s">
        <v>62</v>
      </c>
      <c r="F4">
        <v>1268.0478000000001</v>
      </c>
      <c r="G4">
        <v>0</v>
      </c>
    </row>
    <row r="5" spans="1:8" x14ac:dyDescent="0.35">
      <c r="A5" s="1">
        <v>43815.567847222221</v>
      </c>
      <c r="B5" t="s">
        <v>244</v>
      </c>
      <c r="C5" t="s">
        <v>298</v>
      </c>
      <c r="D5">
        <v>1100</v>
      </c>
      <c r="E5" t="s">
        <v>299</v>
      </c>
      <c r="F5">
        <v>0</v>
      </c>
      <c r="G5">
        <v>1268.0478000000001</v>
      </c>
    </row>
    <row r="6" spans="1:8" x14ac:dyDescent="0.35">
      <c r="A6" s="1">
        <v>43815.567847222221</v>
      </c>
      <c r="B6" t="s">
        <v>296</v>
      </c>
      <c r="C6" t="s">
        <v>297</v>
      </c>
      <c r="D6">
        <v>7250</v>
      </c>
      <c r="E6" t="s">
        <v>63</v>
      </c>
      <c r="F6">
        <v>319.3</v>
      </c>
      <c r="G6">
        <v>0</v>
      </c>
    </row>
    <row r="7" spans="1:8" x14ac:dyDescent="0.35">
      <c r="A7" s="1">
        <v>43815.567847222221</v>
      </c>
      <c r="B7" t="s">
        <v>244</v>
      </c>
      <c r="C7" t="s">
        <v>298</v>
      </c>
      <c r="D7">
        <v>1100</v>
      </c>
      <c r="E7" t="s">
        <v>299</v>
      </c>
      <c r="F7">
        <v>0</v>
      </c>
      <c r="G7">
        <v>319.3</v>
      </c>
    </row>
    <row r="8" spans="1:8" x14ac:dyDescent="0.35">
      <c r="A8" s="1">
        <v>43815.567847222221</v>
      </c>
      <c r="B8" t="s">
        <v>296</v>
      </c>
      <c r="C8" t="s">
        <v>297</v>
      </c>
      <c r="D8">
        <v>7250</v>
      </c>
      <c r="E8" t="s">
        <v>64</v>
      </c>
      <c r="F8">
        <v>110.98420000000002</v>
      </c>
      <c r="G8">
        <v>0</v>
      </c>
    </row>
    <row r="9" spans="1:8" x14ac:dyDescent="0.35">
      <c r="A9" s="1">
        <v>43815.567847222221</v>
      </c>
      <c r="B9" t="s">
        <v>244</v>
      </c>
      <c r="C9" t="s">
        <v>298</v>
      </c>
      <c r="D9">
        <v>1100</v>
      </c>
      <c r="E9" t="s">
        <v>299</v>
      </c>
      <c r="F9">
        <v>0</v>
      </c>
      <c r="G9">
        <v>110.98420000000002</v>
      </c>
    </row>
    <row r="10" spans="1:8" x14ac:dyDescent="0.35">
      <c r="A10" s="1">
        <v>43815.567847222221</v>
      </c>
      <c r="B10" t="s">
        <v>296</v>
      </c>
      <c r="C10" t="s">
        <v>297</v>
      </c>
      <c r="D10">
        <v>7250</v>
      </c>
      <c r="E10" t="s">
        <v>65</v>
      </c>
      <c r="F10">
        <v>0</v>
      </c>
      <c r="G10">
        <v>0</v>
      </c>
    </row>
    <row r="11" spans="1:8" x14ac:dyDescent="0.35">
      <c r="A11" s="1">
        <v>43815.567847222221</v>
      </c>
      <c r="B11" t="s">
        <v>244</v>
      </c>
      <c r="C11" t="s">
        <v>298</v>
      </c>
      <c r="D11">
        <v>1100</v>
      </c>
      <c r="E11" t="s">
        <v>299</v>
      </c>
      <c r="F11">
        <v>0</v>
      </c>
      <c r="G11">
        <v>0</v>
      </c>
    </row>
    <row r="12" spans="1:8" x14ac:dyDescent="0.35">
      <c r="A12" s="1">
        <v>43815.567847222221</v>
      </c>
      <c r="B12" t="s">
        <v>296</v>
      </c>
      <c r="C12" t="s">
        <v>297</v>
      </c>
      <c r="D12">
        <v>7250</v>
      </c>
      <c r="E12" t="s">
        <v>66</v>
      </c>
      <c r="F12">
        <v>1327.998</v>
      </c>
      <c r="G12">
        <v>0</v>
      </c>
    </row>
    <row r="13" spans="1:8" x14ac:dyDescent="0.35">
      <c r="A13" s="1">
        <v>43815.567847222221</v>
      </c>
      <c r="B13" t="s">
        <v>244</v>
      </c>
      <c r="C13" t="s">
        <v>298</v>
      </c>
      <c r="D13">
        <v>1100</v>
      </c>
      <c r="E13" t="s">
        <v>299</v>
      </c>
      <c r="F13">
        <v>0</v>
      </c>
      <c r="G13">
        <v>1327.998</v>
      </c>
    </row>
    <row r="14" spans="1:8" x14ac:dyDescent="0.35">
      <c r="A14" s="1">
        <v>43815.567847222221</v>
      </c>
      <c r="B14" t="s">
        <v>296</v>
      </c>
      <c r="C14" t="s">
        <v>297</v>
      </c>
      <c r="D14">
        <v>7250</v>
      </c>
      <c r="E14" t="s">
        <v>67</v>
      </c>
      <c r="F14">
        <v>0</v>
      </c>
      <c r="G14">
        <v>0</v>
      </c>
    </row>
    <row r="15" spans="1:8" x14ac:dyDescent="0.35">
      <c r="A15" s="1">
        <v>43815.567858796298</v>
      </c>
      <c r="B15" t="s">
        <v>244</v>
      </c>
      <c r="C15" t="s">
        <v>298</v>
      </c>
      <c r="D15">
        <v>1100</v>
      </c>
      <c r="E15" t="s">
        <v>299</v>
      </c>
      <c r="F15">
        <v>0</v>
      </c>
      <c r="G15">
        <v>0</v>
      </c>
    </row>
    <row r="16" spans="1:8" x14ac:dyDescent="0.35">
      <c r="A16" s="1">
        <v>43815.567858796298</v>
      </c>
      <c r="B16" t="s">
        <v>296</v>
      </c>
      <c r="C16" t="s">
        <v>297</v>
      </c>
      <c r="D16">
        <v>7250</v>
      </c>
      <c r="E16" t="s">
        <v>68</v>
      </c>
      <c r="F16">
        <v>374.11</v>
      </c>
      <c r="G16">
        <v>0</v>
      </c>
    </row>
    <row r="17" spans="1:7" x14ac:dyDescent="0.35">
      <c r="A17" s="1">
        <v>43815.567858796298</v>
      </c>
      <c r="B17" t="s">
        <v>244</v>
      </c>
      <c r="C17" t="s">
        <v>298</v>
      </c>
      <c r="D17">
        <v>1100</v>
      </c>
      <c r="E17" t="s">
        <v>299</v>
      </c>
      <c r="F17">
        <v>0</v>
      </c>
      <c r="G17">
        <v>374.11</v>
      </c>
    </row>
    <row r="18" spans="1:7" x14ac:dyDescent="0.35">
      <c r="A18" s="1">
        <v>43815.567858796298</v>
      </c>
      <c r="B18" t="s">
        <v>296</v>
      </c>
      <c r="C18" t="s">
        <v>297</v>
      </c>
      <c r="D18">
        <v>7250</v>
      </c>
      <c r="E18" t="s">
        <v>69</v>
      </c>
      <c r="F18">
        <v>0</v>
      </c>
      <c r="G18">
        <v>0</v>
      </c>
    </row>
    <row r="19" spans="1:7" x14ac:dyDescent="0.35">
      <c r="A19" s="1">
        <v>43815.567858796298</v>
      </c>
      <c r="B19" t="s">
        <v>244</v>
      </c>
      <c r="C19" t="s">
        <v>298</v>
      </c>
      <c r="D19">
        <v>1100</v>
      </c>
      <c r="E19" t="s">
        <v>299</v>
      </c>
      <c r="F19">
        <v>0</v>
      </c>
      <c r="G19">
        <v>0</v>
      </c>
    </row>
    <row r="20" spans="1:7" x14ac:dyDescent="0.35">
      <c r="A20" s="1">
        <v>43815.567858796298</v>
      </c>
      <c r="B20" t="s">
        <v>296</v>
      </c>
      <c r="C20" t="s">
        <v>297</v>
      </c>
      <c r="D20">
        <v>7250</v>
      </c>
      <c r="E20" t="s">
        <v>70</v>
      </c>
      <c r="F20">
        <v>1093.26</v>
      </c>
      <c r="G20">
        <v>0</v>
      </c>
    </row>
    <row r="21" spans="1:7" x14ac:dyDescent="0.35">
      <c r="A21" s="1">
        <v>43815.567858796298</v>
      </c>
      <c r="B21" t="s">
        <v>244</v>
      </c>
      <c r="C21" t="s">
        <v>298</v>
      </c>
      <c r="D21">
        <v>1100</v>
      </c>
      <c r="E21" t="s">
        <v>299</v>
      </c>
      <c r="F21">
        <v>0</v>
      </c>
      <c r="G21">
        <v>1093.26</v>
      </c>
    </row>
    <row r="22" spans="1:7" x14ac:dyDescent="0.35">
      <c r="A22" s="1">
        <v>43815.567858796298</v>
      </c>
      <c r="B22" t="s">
        <v>296</v>
      </c>
      <c r="C22" t="s">
        <v>297</v>
      </c>
      <c r="D22">
        <v>7250</v>
      </c>
      <c r="E22" t="s">
        <v>71</v>
      </c>
      <c r="F22">
        <v>2494.8000000000002</v>
      </c>
      <c r="G22">
        <v>0</v>
      </c>
    </row>
    <row r="23" spans="1:7" x14ac:dyDescent="0.35">
      <c r="A23" s="1">
        <v>43815.567858796298</v>
      </c>
      <c r="B23" t="s">
        <v>244</v>
      </c>
      <c r="C23" t="s">
        <v>298</v>
      </c>
      <c r="D23">
        <v>1100</v>
      </c>
      <c r="E23" t="s">
        <v>299</v>
      </c>
      <c r="F23">
        <v>0</v>
      </c>
      <c r="G23">
        <v>2494.8000000000002</v>
      </c>
    </row>
    <row r="24" spans="1:7" x14ac:dyDescent="0.35">
      <c r="A24" s="1">
        <v>43815.567858796298</v>
      </c>
      <c r="B24" t="s">
        <v>296</v>
      </c>
      <c r="C24" t="s">
        <v>297</v>
      </c>
      <c r="D24">
        <v>7250</v>
      </c>
      <c r="E24" t="s">
        <v>72</v>
      </c>
      <c r="F24">
        <v>102.22559999999999</v>
      </c>
      <c r="G24">
        <v>0</v>
      </c>
    </row>
    <row r="25" spans="1:7" x14ac:dyDescent="0.35">
      <c r="A25" s="1">
        <v>43815.567858796298</v>
      </c>
      <c r="B25" t="s">
        <v>244</v>
      </c>
      <c r="C25" t="s">
        <v>298</v>
      </c>
      <c r="D25">
        <v>1100</v>
      </c>
      <c r="E25" t="s">
        <v>299</v>
      </c>
      <c r="F25">
        <v>0</v>
      </c>
      <c r="G25">
        <v>102.22559999999999</v>
      </c>
    </row>
    <row r="26" spans="1:7" x14ac:dyDescent="0.35">
      <c r="A26" s="1">
        <v>43815.567858796298</v>
      </c>
      <c r="B26" t="s">
        <v>296</v>
      </c>
      <c r="C26" t="s">
        <v>297</v>
      </c>
      <c r="D26">
        <v>7250</v>
      </c>
      <c r="E26" t="s">
        <v>73</v>
      </c>
      <c r="F26">
        <v>0</v>
      </c>
      <c r="G26">
        <v>0</v>
      </c>
    </row>
    <row r="27" spans="1:7" x14ac:dyDescent="0.35">
      <c r="A27" s="1">
        <v>43815.567858796298</v>
      </c>
      <c r="B27" t="s">
        <v>244</v>
      </c>
      <c r="C27" t="s">
        <v>298</v>
      </c>
      <c r="D27">
        <v>1100</v>
      </c>
      <c r="E27" t="s">
        <v>299</v>
      </c>
      <c r="F27">
        <v>0</v>
      </c>
      <c r="G27">
        <v>0</v>
      </c>
    </row>
    <row r="28" spans="1:7" x14ac:dyDescent="0.35">
      <c r="A28" s="1">
        <v>43815.567858796298</v>
      </c>
      <c r="B28" t="s">
        <v>296</v>
      </c>
      <c r="C28" t="s">
        <v>297</v>
      </c>
      <c r="D28">
        <v>7250</v>
      </c>
      <c r="E28" t="s">
        <v>74</v>
      </c>
      <c r="F28">
        <v>0</v>
      </c>
      <c r="G28">
        <v>0</v>
      </c>
    </row>
    <row r="29" spans="1:7" x14ac:dyDescent="0.35">
      <c r="A29" s="1">
        <v>43815.567858796298</v>
      </c>
      <c r="B29" t="s">
        <v>244</v>
      </c>
      <c r="C29" t="s">
        <v>298</v>
      </c>
      <c r="D29">
        <v>1100</v>
      </c>
      <c r="E29" t="s">
        <v>299</v>
      </c>
      <c r="F29">
        <v>0</v>
      </c>
      <c r="G29">
        <v>0</v>
      </c>
    </row>
    <row r="30" spans="1:7" x14ac:dyDescent="0.35">
      <c r="A30" s="1">
        <v>43815.567858796298</v>
      </c>
      <c r="B30" t="s">
        <v>296</v>
      </c>
      <c r="C30" t="s">
        <v>297</v>
      </c>
      <c r="D30">
        <v>7250</v>
      </c>
      <c r="E30" t="s">
        <v>75</v>
      </c>
      <c r="F30">
        <v>0</v>
      </c>
      <c r="G30">
        <v>0</v>
      </c>
    </row>
    <row r="31" spans="1:7" x14ac:dyDescent="0.35">
      <c r="A31" s="1">
        <v>43815.567858796298</v>
      </c>
      <c r="B31" t="s">
        <v>244</v>
      </c>
      <c r="C31" t="s">
        <v>298</v>
      </c>
      <c r="D31">
        <v>1100</v>
      </c>
      <c r="E31" t="s">
        <v>299</v>
      </c>
      <c r="F31">
        <v>0</v>
      </c>
      <c r="G31">
        <v>0</v>
      </c>
    </row>
    <row r="32" spans="1:7" x14ac:dyDescent="0.35">
      <c r="A32" s="1">
        <v>43815.567858796298</v>
      </c>
      <c r="B32" t="s">
        <v>296</v>
      </c>
      <c r="C32" t="s">
        <v>297</v>
      </c>
      <c r="D32">
        <v>7250</v>
      </c>
      <c r="E32" t="s">
        <v>76</v>
      </c>
      <c r="F32">
        <v>596.16000000000008</v>
      </c>
      <c r="G32">
        <v>0</v>
      </c>
    </row>
    <row r="33" spans="1:7" x14ac:dyDescent="0.35">
      <c r="A33" s="1">
        <v>43815.567858796298</v>
      </c>
      <c r="B33" t="s">
        <v>244</v>
      </c>
      <c r="C33" t="s">
        <v>298</v>
      </c>
      <c r="D33">
        <v>1100</v>
      </c>
      <c r="E33" t="s">
        <v>299</v>
      </c>
      <c r="F33">
        <v>0</v>
      </c>
      <c r="G33">
        <v>596.16000000000008</v>
      </c>
    </row>
    <row r="34" spans="1:7" x14ac:dyDescent="0.35">
      <c r="A34" s="1">
        <v>43815.567858796298</v>
      </c>
      <c r="B34" t="s">
        <v>296</v>
      </c>
      <c r="C34" t="s">
        <v>297</v>
      </c>
      <c r="D34">
        <v>7250</v>
      </c>
      <c r="E34" t="s">
        <v>77</v>
      </c>
      <c r="F34">
        <v>0</v>
      </c>
      <c r="G34">
        <v>0</v>
      </c>
    </row>
    <row r="35" spans="1:7" x14ac:dyDescent="0.35">
      <c r="A35" s="1">
        <v>43815.567858796298</v>
      </c>
      <c r="B35" t="s">
        <v>244</v>
      </c>
      <c r="C35" t="s">
        <v>298</v>
      </c>
      <c r="D35">
        <v>1100</v>
      </c>
      <c r="E35" t="s">
        <v>299</v>
      </c>
      <c r="F35">
        <v>0</v>
      </c>
      <c r="G35">
        <v>0</v>
      </c>
    </row>
    <row r="36" spans="1:7" x14ac:dyDescent="0.35">
      <c r="A36" s="1">
        <v>43815.567858796298</v>
      </c>
      <c r="B36" t="s">
        <v>296</v>
      </c>
      <c r="C36" t="s">
        <v>297</v>
      </c>
      <c r="D36">
        <v>7250</v>
      </c>
      <c r="E36" t="s">
        <v>78</v>
      </c>
      <c r="F36">
        <v>0</v>
      </c>
      <c r="G36">
        <v>0</v>
      </c>
    </row>
    <row r="37" spans="1:7" x14ac:dyDescent="0.35">
      <c r="A37" s="1">
        <v>43815.567858796298</v>
      </c>
      <c r="B37" t="s">
        <v>244</v>
      </c>
      <c r="C37" t="s">
        <v>298</v>
      </c>
      <c r="D37">
        <v>1100</v>
      </c>
      <c r="E37" t="s">
        <v>299</v>
      </c>
      <c r="F37">
        <v>0</v>
      </c>
      <c r="G37">
        <v>0</v>
      </c>
    </row>
    <row r="38" spans="1:7" x14ac:dyDescent="0.35">
      <c r="A38" s="1">
        <v>43815.567858796298</v>
      </c>
      <c r="B38" t="s">
        <v>296</v>
      </c>
      <c r="C38" t="s">
        <v>297</v>
      </c>
      <c r="D38">
        <v>7250</v>
      </c>
      <c r="E38" t="s">
        <v>79</v>
      </c>
      <c r="F38">
        <v>0</v>
      </c>
      <c r="G38">
        <v>0</v>
      </c>
    </row>
    <row r="39" spans="1:7" x14ac:dyDescent="0.35">
      <c r="A39" s="1">
        <v>43815.567858796298</v>
      </c>
      <c r="B39" t="s">
        <v>244</v>
      </c>
      <c r="C39" t="s">
        <v>298</v>
      </c>
      <c r="D39">
        <v>1100</v>
      </c>
      <c r="E39" t="s">
        <v>299</v>
      </c>
      <c r="F39">
        <v>0</v>
      </c>
      <c r="G39">
        <v>0</v>
      </c>
    </row>
    <row r="40" spans="1:7" x14ac:dyDescent="0.35">
      <c r="A40" s="1">
        <v>43815.567858796298</v>
      </c>
      <c r="B40" t="s">
        <v>296</v>
      </c>
      <c r="C40" t="s">
        <v>297</v>
      </c>
      <c r="D40">
        <v>7250</v>
      </c>
      <c r="E40" t="s">
        <v>80</v>
      </c>
      <c r="F40">
        <v>0</v>
      </c>
      <c r="G40">
        <v>0</v>
      </c>
    </row>
    <row r="41" spans="1:7" x14ac:dyDescent="0.35">
      <c r="A41" s="1">
        <v>43815.567858796298</v>
      </c>
      <c r="B41" t="s">
        <v>244</v>
      </c>
      <c r="C41" t="s">
        <v>298</v>
      </c>
      <c r="D41">
        <v>1100</v>
      </c>
      <c r="E41" t="s">
        <v>299</v>
      </c>
      <c r="F41">
        <v>0</v>
      </c>
      <c r="G41">
        <v>0</v>
      </c>
    </row>
    <row r="42" spans="1:7" x14ac:dyDescent="0.35">
      <c r="A42" s="1">
        <v>43815.567858796298</v>
      </c>
      <c r="B42" t="s">
        <v>296</v>
      </c>
      <c r="C42" t="s">
        <v>297</v>
      </c>
      <c r="D42">
        <v>7250</v>
      </c>
      <c r="E42" t="s">
        <v>81</v>
      </c>
      <c r="F42">
        <v>91.85</v>
      </c>
      <c r="G42">
        <v>0</v>
      </c>
    </row>
    <row r="43" spans="1:7" x14ac:dyDescent="0.35">
      <c r="A43" s="1">
        <v>43815.567858796298</v>
      </c>
      <c r="B43" t="s">
        <v>244</v>
      </c>
      <c r="C43" t="s">
        <v>298</v>
      </c>
      <c r="D43">
        <v>1100</v>
      </c>
      <c r="E43" t="s">
        <v>299</v>
      </c>
      <c r="F43">
        <v>0</v>
      </c>
      <c r="G43">
        <v>91.85</v>
      </c>
    </row>
    <row r="44" spans="1:7" x14ac:dyDescent="0.35">
      <c r="A44" s="1">
        <v>43815.567858796298</v>
      </c>
      <c r="B44" t="s">
        <v>296</v>
      </c>
      <c r="C44" t="s">
        <v>297</v>
      </c>
      <c r="D44">
        <v>7250</v>
      </c>
      <c r="E44" t="s">
        <v>82</v>
      </c>
      <c r="F44">
        <v>0</v>
      </c>
      <c r="G44">
        <v>0</v>
      </c>
    </row>
    <row r="45" spans="1:7" x14ac:dyDescent="0.35">
      <c r="A45" s="1">
        <v>43815.567858796298</v>
      </c>
      <c r="B45" t="s">
        <v>244</v>
      </c>
      <c r="C45" t="s">
        <v>298</v>
      </c>
      <c r="D45">
        <v>1100</v>
      </c>
      <c r="E45" t="s">
        <v>299</v>
      </c>
      <c r="F45">
        <v>0</v>
      </c>
      <c r="G45">
        <v>0</v>
      </c>
    </row>
    <row r="46" spans="1:7" x14ac:dyDescent="0.35">
      <c r="A46" s="1">
        <v>43815.567858796298</v>
      </c>
      <c r="B46" t="s">
        <v>296</v>
      </c>
      <c r="C46" t="s">
        <v>297</v>
      </c>
      <c r="D46">
        <v>7250</v>
      </c>
      <c r="E46" t="s">
        <v>83</v>
      </c>
      <c r="F46">
        <v>0</v>
      </c>
      <c r="G46">
        <v>0</v>
      </c>
    </row>
    <row r="47" spans="1:7" x14ac:dyDescent="0.35">
      <c r="A47" s="1">
        <v>43815.567858796298</v>
      </c>
      <c r="B47" t="s">
        <v>244</v>
      </c>
      <c r="C47" t="s">
        <v>298</v>
      </c>
      <c r="D47">
        <v>1100</v>
      </c>
      <c r="E47" t="s">
        <v>299</v>
      </c>
      <c r="F47">
        <v>0</v>
      </c>
      <c r="G47">
        <v>0</v>
      </c>
    </row>
    <row r="48" spans="1:7" x14ac:dyDescent="0.35">
      <c r="A48" s="1">
        <v>43815.567858796298</v>
      </c>
      <c r="B48" t="s">
        <v>296</v>
      </c>
      <c r="C48" t="s">
        <v>297</v>
      </c>
      <c r="D48">
        <v>7250</v>
      </c>
      <c r="E48" t="s">
        <v>84</v>
      </c>
      <c r="F48">
        <v>0</v>
      </c>
      <c r="G48">
        <v>0</v>
      </c>
    </row>
    <row r="49" spans="1:7" x14ac:dyDescent="0.35">
      <c r="A49" s="1">
        <v>43815.567858796298</v>
      </c>
      <c r="B49" t="s">
        <v>244</v>
      </c>
      <c r="C49" t="s">
        <v>298</v>
      </c>
      <c r="D49">
        <v>1100</v>
      </c>
      <c r="E49" t="s">
        <v>299</v>
      </c>
      <c r="F49">
        <v>0</v>
      </c>
      <c r="G49">
        <v>0</v>
      </c>
    </row>
    <row r="50" spans="1:7" x14ac:dyDescent="0.35">
      <c r="A50" s="1">
        <v>43815.567870370367</v>
      </c>
      <c r="B50" t="s">
        <v>296</v>
      </c>
      <c r="C50" t="s">
        <v>297</v>
      </c>
      <c r="D50">
        <v>7250</v>
      </c>
      <c r="E50" t="s">
        <v>85</v>
      </c>
      <c r="F50">
        <v>0</v>
      </c>
      <c r="G50">
        <v>0</v>
      </c>
    </row>
    <row r="51" spans="1:7" x14ac:dyDescent="0.35">
      <c r="A51" s="1">
        <v>43815.567870370367</v>
      </c>
      <c r="B51" t="s">
        <v>244</v>
      </c>
      <c r="C51" t="s">
        <v>298</v>
      </c>
      <c r="D51">
        <v>1100</v>
      </c>
      <c r="E51" t="s">
        <v>299</v>
      </c>
      <c r="F51">
        <v>0</v>
      </c>
      <c r="G51">
        <v>0</v>
      </c>
    </row>
    <row r="52" spans="1:7" x14ac:dyDescent="0.35">
      <c r="A52" s="1">
        <v>43815.567870370367</v>
      </c>
      <c r="B52" t="s">
        <v>296</v>
      </c>
      <c r="C52" t="s">
        <v>297</v>
      </c>
      <c r="D52">
        <v>7250</v>
      </c>
      <c r="E52" t="s">
        <v>86</v>
      </c>
      <c r="F52">
        <v>0</v>
      </c>
      <c r="G52">
        <v>0</v>
      </c>
    </row>
    <row r="53" spans="1:7" x14ac:dyDescent="0.35">
      <c r="A53" s="1">
        <v>43815.567870370367</v>
      </c>
      <c r="B53" t="s">
        <v>244</v>
      </c>
      <c r="C53" t="s">
        <v>298</v>
      </c>
      <c r="D53">
        <v>1100</v>
      </c>
      <c r="E53" t="s">
        <v>299</v>
      </c>
      <c r="F53">
        <v>0</v>
      </c>
      <c r="G53">
        <v>0</v>
      </c>
    </row>
    <row r="54" spans="1:7" x14ac:dyDescent="0.35">
      <c r="A54" s="1">
        <v>43815.567870370367</v>
      </c>
      <c r="B54" t="s">
        <v>296</v>
      </c>
      <c r="C54" t="s">
        <v>297</v>
      </c>
      <c r="D54">
        <v>7250</v>
      </c>
      <c r="E54" t="s">
        <v>87</v>
      </c>
      <c r="F54">
        <v>0</v>
      </c>
      <c r="G54">
        <v>0</v>
      </c>
    </row>
    <row r="55" spans="1:7" x14ac:dyDescent="0.35">
      <c r="A55" s="1">
        <v>43815.567870370367</v>
      </c>
      <c r="B55" t="s">
        <v>244</v>
      </c>
      <c r="C55" t="s">
        <v>298</v>
      </c>
      <c r="D55">
        <v>1100</v>
      </c>
      <c r="E55" t="s">
        <v>299</v>
      </c>
      <c r="F55">
        <v>0</v>
      </c>
      <c r="G55">
        <v>0</v>
      </c>
    </row>
    <row r="56" spans="1:7" x14ac:dyDescent="0.35">
      <c r="A56" s="1">
        <v>43815.567870370367</v>
      </c>
      <c r="B56" t="s">
        <v>296</v>
      </c>
      <c r="C56" t="s">
        <v>297</v>
      </c>
      <c r="D56">
        <v>7250</v>
      </c>
      <c r="E56" t="s">
        <v>88</v>
      </c>
      <c r="F56">
        <v>275.54999999999995</v>
      </c>
      <c r="G56">
        <v>0</v>
      </c>
    </row>
    <row r="57" spans="1:7" x14ac:dyDescent="0.35">
      <c r="A57" s="1">
        <v>43815.567870370367</v>
      </c>
      <c r="B57" t="s">
        <v>244</v>
      </c>
      <c r="C57" t="s">
        <v>298</v>
      </c>
      <c r="D57">
        <v>1100</v>
      </c>
      <c r="E57" t="s">
        <v>299</v>
      </c>
      <c r="F57">
        <v>0</v>
      </c>
      <c r="G57">
        <v>275.54999999999995</v>
      </c>
    </row>
    <row r="58" spans="1:7" x14ac:dyDescent="0.35">
      <c r="A58" s="1">
        <v>43815.567870370367</v>
      </c>
      <c r="B58" t="s">
        <v>296</v>
      </c>
      <c r="C58" t="s">
        <v>297</v>
      </c>
      <c r="D58">
        <v>7250</v>
      </c>
      <c r="E58" t="s">
        <v>89</v>
      </c>
      <c r="F58">
        <v>0</v>
      </c>
      <c r="G58">
        <v>0</v>
      </c>
    </row>
    <row r="59" spans="1:7" x14ac:dyDescent="0.35">
      <c r="A59" s="1">
        <v>43815.567870370367</v>
      </c>
      <c r="B59" t="s">
        <v>244</v>
      </c>
      <c r="C59" t="s">
        <v>298</v>
      </c>
      <c r="D59">
        <v>1100</v>
      </c>
      <c r="E59" t="s">
        <v>299</v>
      </c>
      <c r="F59">
        <v>0</v>
      </c>
      <c r="G59">
        <v>0</v>
      </c>
    </row>
    <row r="60" spans="1:7" x14ac:dyDescent="0.35">
      <c r="A60" s="1">
        <v>43815.567870370367</v>
      </c>
      <c r="B60" t="s">
        <v>296</v>
      </c>
      <c r="C60" t="s">
        <v>297</v>
      </c>
      <c r="D60">
        <v>7250</v>
      </c>
      <c r="E60" t="s">
        <v>90</v>
      </c>
      <c r="F60">
        <v>601.53439999999989</v>
      </c>
      <c r="G60">
        <v>0</v>
      </c>
    </row>
    <row r="61" spans="1:7" x14ac:dyDescent="0.35">
      <c r="A61" s="1">
        <v>43815.567870370367</v>
      </c>
      <c r="B61" t="s">
        <v>244</v>
      </c>
      <c r="C61" t="s">
        <v>298</v>
      </c>
      <c r="D61">
        <v>1100</v>
      </c>
      <c r="E61" t="s">
        <v>299</v>
      </c>
      <c r="F61">
        <v>0</v>
      </c>
      <c r="G61">
        <v>601.53439999999989</v>
      </c>
    </row>
    <row r="62" spans="1:7" x14ac:dyDescent="0.35">
      <c r="A62" s="1">
        <v>43815.567870370367</v>
      </c>
      <c r="B62" t="s">
        <v>296</v>
      </c>
      <c r="C62" t="s">
        <v>297</v>
      </c>
      <c r="D62">
        <v>7250</v>
      </c>
      <c r="E62" t="s">
        <v>91</v>
      </c>
      <c r="F62">
        <v>0</v>
      </c>
      <c r="G62">
        <v>0</v>
      </c>
    </row>
    <row r="63" spans="1:7" x14ac:dyDescent="0.35">
      <c r="A63" s="1">
        <v>43815.567870370367</v>
      </c>
      <c r="B63" t="s">
        <v>244</v>
      </c>
      <c r="C63" t="s">
        <v>298</v>
      </c>
      <c r="D63">
        <v>1100</v>
      </c>
      <c r="E63" t="s">
        <v>299</v>
      </c>
      <c r="F63">
        <v>0</v>
      </c>
      <c r="G63">
        <v>0</v>
      </c>
    </row>
    <row r="64" spans="1:7" x14ac:dyDescent="0.35">
      <c r="A64" s="1">
        <v>43815.567870370367</v>
      </c>
      <c r="B64" t="s">
        <v>296</v>
      </c>
      <c r="C64" t="s">
        <v>297</v>
      </c>
      <c r="D64">
        <v>7250</v>
      </c>
      <c r="E64" t="s">
        <v>92</v>
      </c>
      <c r="F64">
        <v>0</v>
      </c>
      <c r="G64">
        <v>0</v>
      </c>
    </row>
    <row r="65" spans="1:7" x14ac:dyDescent="0.35">
      <c r="A65" s="1">
        <v>43815.567870370367</v>
      </c>
      <c r="B65" t="s">
        <v>244</v>
      </c>
      <c r="C65" t="s">
        <v>298</v>
      </c>
      <c r="D65">
        <v>1100</v>
      </c>
      <c r="E65" t="s">
        <v>299</v>
      </c>
      <c r="F65">
        <v>0</v>
      </c>
      <c r="G65">
        <v>0</v>
      </c>
    </row>
    <row r="66" spans="1:7" x14ac:dyDescent="0.35">
      <c r="A66" s="1">
        <v>43815.567870370367</v>
      </c>
      <c r="B66" t="s">
        <v>296</v>
      </c>
      <c r="C66" t="s">
        <v>297</v>
      </c>
      <c r="D66">
        <v>7250</v>
      </c>
      <c r="E66" t="s">
        <v>93</v>
      </c>
      <c r="F66">
        <v>0</v>
      </c>
      <c r="G66">
        <v>0</v>
      </c>
    </row>
    <row r="67" spans="1:7" x14ac:dyDescent="0.35">
      <c r="A67" s="1">
        <v>43815.567870370367</v>
      </c>
      <c r="B67" t="s">
        <v>244</v>
      </c>
      <c r="C67" t="s">
        <v>298</v>
      </c>
      <c r="D67">
        <v>1100</v>
      </c>
      <c r="E67" t="s">
        <v>299</v>
      </c>
      <c r="F67">
        <v>0</v>
      </c>
      <c r="G67">
        <v>0</v>
      </c>
    </row>
    <row r="68" spans="1:7" x14ac:dyDescent="0.35">
      <c r="A68" s="1">
        <v>43815.567870370367</v>
      </c>
      <c r="B68" t="s">
        <v>296</v>
      </c>
      <c r="C68" t="s">
        <v>297</v>
      </c>
      <c r="D68">
        <v>7250</v>
      </c>
      <c r="E68" t="s">
        <v>94</v>
      </c>
      <c r="F68">
        <v>0</v>
      </c>
      <c r="G68">
        <v>0</v>
      </c>
    </row>
    <row r="69" spans="1:7" x14ac:dyDescent="0.35">
      <c r="A69" s="1">
        <v>43815.567870370367</v>
      </c>
      <c r="B69" t="s">
        <v>244</v>
      </c>
      <c r="C69" t="s">
        <v>298</v>
      </c>
      <c r="D69">
        <v>1100</v>
      </c>
      <c r="E69" t="s">
        <v>299</v>
      </c>
      <c r="F69">
        <v>0</v>
      </c>
      <c r="G6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H1"/>
  <sheetViews>
    <sheetView workbookViewId="0">
      <selection sqref="A1:XFD1"/>
    </sheetView>
  </sheetViews>
  <sheetFormatPr defaultRowHeight="14.5" x14ac:dyDescent="0.35"/>
  <cols>
    <col min="1" max="1" width="4.7265625" bestFit="1" customWidth="1"/>
    <col min="2" max="2" width="12" bestFit="1" customWidth="1"/>
    <col min="3" max="3" width="13" bestFit="1" customWidth="1"/>
    <col min="4" max="4" width="14.90625" bestFit="1" customWidth="1"/>
    <col min="5" max="5" width="5" bestFit="1" customWidth="1"/>
    <col min="6" max="6" width="5.81640625" bestFit="1" customWidth="1"/>
    <col min="7" max="7" width="5.26953125" bestFit="1" customWidth="1"/>
    <col min="8" max="8" width="6.26953125" bestFit="1" customWidth="1"/>
  </cols>
  <sheetData>
    <row r="1" spans="1:8" x14ac:dyDescent="0.35">
      <c r="A1" t="s">
        <v>289</v>
      </c>
      <c r="B1" t="s">
        <v>290</v>
      </c>
      <c r="C1" t="s">
        <v>292</v>
      </c>
      <c r="D1" t="s">
        <v>291</v>
      </c>
      <c r="E1" t="s">
        <v>57</v>
      </c>
      <c r="F1" t="s">
        <v>293</v>
      </c>
      <c r="G1" t="s">
        <v>294</v>
      </c>
      <c r="H1" t="s">
        <v>295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CSV</vt:lpstr>
      <vt:lpstr>Salary</vt:lpstr>
      <vt:lpstr>SalAlPerc</vt:lpstr>
      <vt:lpstr>SalAl</vt:lpstr>
      <vt:lpstr>SalAlAgg</vt:lpstr>
      <vt:lpstr>QBUpload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2019-12-12T22:20:58Z</dcterms:created>
  <dcterms:modified xsi:type="dcterms:W3CDTF">2019-12-17T04:45:30Z</dcterms:modified>
</cp:coreProperties>
</file>