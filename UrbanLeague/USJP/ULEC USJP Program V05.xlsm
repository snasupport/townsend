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-120" yWindow="-120" windowWidth="29040" windowHeight="15840" tabRatio="923" firstSheet="1" activeTab="1"/>
  </bookViews>
  <sheets>
    <sheet name="June Salary &amp; Benefits " sheetId="179" state="hidden" r:id="rId1"/>
    <sheet name="Main" sheetId="184" r:id="rId2"/>
  </sheets>
  <functionGroups builtInGroupCount="18"/>
  <definedNames>
    <definedName name="_xlnm.Print_Area" localSheetId="0">'June Salary &amp; Benefits '!$A$1:$L$43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7" i="179" l="1"/>
  <c r="C37" i="179"/>
  <c r="F36" i="179"/>
  <c r="F35" i="179"/>
  <c r="F34" i="179"/>
  <c r="J33" i="179"/>
  <c r="K33" i="179" s="1"/>
  <c r="F33" i="179"/>
  <c r="F32" i="179"/>
  <c r="I32" i="179" s="1"/>
  <c r="J32" i="179" s="1"/>
  <c r="K32" i="179" s="1"/>
  <c r="J31" i="179"/>
  <c r="K31" i="179" s="1"/>
  <c r="F31" i="179"/>
  <c r="F30" i="179"/>
  <c r="I30" i="179" s="1"/>
  <c r="F29" i="179"/>
  <c r="I29" i="179" s="1"/>
  <c r="F28" i="179"/>
  <c r="J23" i="179"/>
  <c r="K23" i="179" s="1"/>
  <c r="E20" i="179"/>
  <c r="D20" i="179"/>
  <c r="C20" i="179"/>
  <c r="F19" i="179"/>
  <c r="F18" i="179"/>
  <c r="F15" i="179"/>
  <c r="I15" i="179" s="1"/>
  <c r="F13" i="179"/>
  <c r="I13" i="179" s="1"/>
  <c r="F12" i="179"/>
  <c r="I12" i="179" s="1"/>
  <c r="F11" i="179"/>
  <c r="I11" i="179" s="1"/>
  <c r="F10" i="179"/>
  <c r="F20" i="179" l="1"/>
  <c r="I10" i="179"/>
  <c r="F37" i="179"/>
  <c r="J15" i="179"/>
  <c r="K15" i="179"/>
  <c r="I20" i="179"/>
  <c r="I37" i="179"/>
  <c r="I39" i="179" s="1"/>
  <c r="J28" i="179"/>
  <c r="K13" i="179"/>
  <c r="K20" i="179" s="1"/>
  <c r="J13" i="179"/>
  <c r="J20" i="179" l="1"/>
  <c r="J34" i="179"/>
  <c r="J39" i="179" s="1"/>
  <c r="K28" i="179"/>
  <c r="K34" i="179" s="1"/>
  <c r="K39" i="179" s="1"/>
</calcChain>
</file>

<file path=xl/comments1.xml><?xml version="1.0" encoding="utf-8"?>
<comments xmlns="http://schemas.openxmlformats.org/spreadsheetml/2006/main">
  <authors>
    <author>Author</author>
  </authors>
  <commentList>
    <comment ref="A20" authorId="0" shapeId="0">
      <text>
        <r>
          <rPr>
            <b/>
            <sz val="9"/>
            <color indexed="81"/>
            <rFont val="Tahoma"/>
            <family val="2"/>
          </rPr>
          <t>Author:
Document with copy of check, purpose of travel and allocation if applicable</t>
        </r>
      </text>
    </comment>
    <comment ref="A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Document with copy of check or payment method, itemized invoice and allocation if applicable</t>
        </r>
      </text>
    </comment>
    <comment ref="A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Document with copy of check or payment method, staff member receiving development and course description </t>
        </r>
      </text>
    </comment>
    <comment ref="A2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document with copy of check or payment method, invoice, contract and description of activities being reimbursed </t>
        </r>
      </text>
    </comment>
    <comment ref="A2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document with copy of check or payment method, invoice, contract and description of activities being reimbursed </t>
        </r>
      </text>
    </comment>
    <comment ref="A2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document with copy check or other payment method, invoice and allocation if applicable</t>
        </r>
      </text>
    </comment>
    <comment ref="A2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document with copy check or other payment method, invoice and allocation if applicable</t>
        </r>
      </text>
    </comment>
    <comment ref="A2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document with copy check or other payment method, invoice and allocation if applicable</t>
        </r>
      </text>
    </comment>
    <comment ref="A2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document with copy of check or other payment method, invoice and acceptable allocation method. (NOT BUDGET)</t>
        </r>
      </text>
    </comment>
    <comment ref="A2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document with copy check or other payment method, invoice and allocation if applicable</t>
        </r>
      </text>
    </comment>
    <comment ref="A3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document with copy check or other payment method, invoice and allocation if applicable</t>
        </r>
      </text>
    </comment>
    <comment ref="A3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document with copy check or other payment method, invoice and allocation if applicable</t>
        </r>
      </text>
    </comment>
    <comment ref="A3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document with copy check or other payment method, invoice and allocation if applicable</t>
        </r>
      </text>
    </comment>
    <comment ref="A3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document with copy check or other payment method, invoice and allocation if applicable</t>
        </r>
      </text>
    </comment>
  </commentList>
</comments>
</file>

<file path=xl/sharedStrings.xml><?xml version="1.0" encoding="utf-8"?>
<sst xmlns="http://schemas.openxmlformats.org/spreadsheetml/2006/main" count="119" uniqueCount="109">
  <si>
    <t>Supplies</t>
  </si>
  <si>
    <t>WAGES &amp; FB</t>
  </si>
  <si>
    <t>PROGRAM</t>
  </si>
  <si>
    <t>Workers compensation</t>
  </si>
  <si>
    <t>Marketing and Outreach</t>
  </si>
  <si>
    <t xml:space="preserve">Staff Development </t>
  </si>
  <si>
    <t xml:space="preserve">Contractual/Consultants </t>
  </si>
  <si>
    <t>Occupancy</t>
  </si>
  <si>
    <t>Audit  (100% Admin)</t>
  </si>
  <si>
    <t>Rental Equipment</t>
  </si>
  <si>
    <t>Payroll fees</t>
  </si>
  <si>
    <t>Other Operating costs</t>
  </si>
  <si>
    <t>Total</t>
  </si>
  <si>
    <t>Communications</t>
  </si>
  <si>
    <t>Participant FICA and other taxes</t>
  </si>
  <si>
    <t>Support Services</t>
  </si>
  <si>
    <t>Participant Specialized Training Wage</t>
  </si>
  <si>
    <t>Infrastructure Costs</t>
  </si>
  <si>
    <r>
      <t>Reimbursable Participant Wage</t>
    </r>
    <r>
      <rPr>
        <sz val="12"/>
        <color rgb="FFC00000"/>
        <rFont val="Calibri"/>
        <family val="2"/>
        <scheme val="minor"/>
      </rPr>
      <t>(Paid by Affiliate)</t>
    </r>
  </si>
  <si>
    <t xml:space="preserve">Participant Wages </t>
  </si>
  <si>
    <t>Director Gwendolyn Morris</t>
  </si>
  <si>
    <t>Staff Accountant - TBH</t>
  </si>
  <si>
    <t>Insurance</t>
  </si>
  <si>
    <t>Postage</t>
  </si>
  <si>
    <t>COO Patricia Sermon</t>
  </si>
  <si>
    <t>Check Date</t>
  </si>
  <si>
    <t>Specialized Training vendor</t>
  </si>
  <si>
    <t xml:space="preserve">Travel </t>
  </si>
  <si>
    <t>Payroll Register Attached</t>
  </si>
  <si>
    <t>Pay Period</t>
  </si>
  <si>
    <t>Salary Breakdown</t>
  </si>
  <si>
    <t>Allocation Rate</t>
  </si>
  <si>
    <t>Report</t>
  </si>
  <si>
    <t>GL</t>
  </si>
  <si>
    <t>Sermon</t>
  </si>
  <si>
    <t>Birdsong</t>
  </si>
  <si>
    <t>Cooper</t>
  </si>
  <si>
    <t>Johnson</t>
  </si>
  <si>
    <t>Educational Services</t>
  </si>
  <si>
    <t>Payroll Taxes</t>
  </si>
  <si>
    <t>Payroll Fee Allocation</t>
  </si>
  <si>
    <t>Benefits</t>
  </si>
  <si>
    <t xml:space="preserve">Medical </t>
  </si>
  <si>
    <t>Dental</t>
  </si>
  <si>
    <t>Aikens</t>
  </si>
  <si>
    <t>Director Gwendolyn Morris - Program</t>
  </si>
  <si>
    <t>Site Coordinator (Essex) Rahmel Leake - Program</t>
  </si>
  <si>
    <t>Site Coordinator (Passaic) Irene Cerna - Program</t>
  </si>
  <si>
    <t>Site Coordinator (Morris) Alberto Almanzar - Program</t>
  </si>
  <si>
    <t>Program Assistant Joanna Martinez -  Admin</t>
  </si>
  <si>
    <t>Program Assistant Joanna Martinez -  Program</t>
  </si>
  <si>
    <t xml:space="preserve"> 07/07/19 - 07/20/19 </t>
  </si>
  <si>
    <t xml:space="preserve"> 06/23/19 - 07/06/19 </t>
  </si>
  <si>
    <t>USJP Hours</t>
  </si>
  <si>
    <t>Total for 8300 Travel &amp; Meetings Expenses</t>
  </si>
  <si>
    <t>P. Schmitt</t>
  </si>
  <si>
    <t>ULEC</t>
  </si>
  <si>
    <t>United Senior Job Program</t>
  </si>
  <si>
    <t>Select Sheets</t>
  </si>
  <si>
    <t>Total for 8112 Alloc Supplies</t>
  </si>
  <si>
    <t>Total for 8110 Supplies</t>
  </si>
  <si>
    <t>Total for 8210 Utilities</t>
  </si>
  <si>
    <t>Total for 8266 Allocated Insurance</t>
  </si>
  <si>
    <t>Total for 7112 Participant Wages - USJP</t>
  </si>
  <si>
    <t>Total for 7112.1 USJP Manual Checks</t>
  </si>
  <si>
    <t>Total for 7120 Payroll Taxes</t>
  </si>
  <si>
    <t>Total for 7130 Worker's Compensation - USJP</t>
  </si>
  <si>
    <t>Workbook</t>
  </si>
  <si>
    <t>P/L In</t>
  </si>
  <si>
    <t xml:space="preserve">Out </t>
  </si>
  <si>
    <t>Run Profit and Loss Detail Report with the following settings:</t>
  </si>
  <si>
    <t>Class = 451 USJP Program</t>
  </si>
  <si>
    <t>Account Method: Cash</t>
  </si>
  <si>
    <t>Period: the period for the current month (see this sheet cell D7)</t>
  </si>
  <si>
    <t>Copy Report into report sheet with same name as D7</t>
  </si>
  <si>
    <t>Click on Button to run report</t>
  </si>
  <si>
    <t>Category in P/L Report</t>
  </si>
  <si>
    <t>Column ADMIN</t>
  </si>
  <si>
    <t>Column ENROLLEE</t>
  </si>
  <si>
    <t>Column OPC</t>
  </si>
  <si>
    <t>Instructions</t>
  </si>
  <si>
    <t>Goes to in report</t>
  </si>
  <si>
    <t>Verify Output sheet name (Cell D9)</t>
  </si>
  <si>
    <t>Verify result in sheet designated by cell D9</t>
  </si>
  <si>
    <t xml:space="preserve">Mapping </t>
  </si>
  <si>
    <t>C:\Users\Peter\Documents\Associates\Projects\Townsend\UrbanLeague\USJP\Jan 2020\ULEC USJP Invoice # 7 Jan 2020  PY 19.xlsx</t>
  </si>
  <si>
    <t>Jan 2020 PL</t>
  </si>
  <si>
    <t>Jan-2020</t>
  </si>
  <si>
    <t>Version 5.0</t>
  </si>
  <si>
    <t>Total for 7521 Allocated Acctg and Audit</t>
  </si>
  <si>
    <t>Total for 7540 Instructors/Consultants/Subs</t>
  </si>
  <si>
    <t>Total for 8205 Rent, Parking, Other Occupancy</t>
  </si>
  <si>
    <t>Total for 8239 Alloc Repairs and Maint</t>
  </si>
  <si>
    <t>Total for 8250.1 Allocated Mortgage Interest</t>
  </si>
  <si>
    <t>Total for 7520A Audit Fees</t>
  </si>
  <si>
    <t>Total for 8570 dvertising/Marketing Expenses</t>
  </si>
  <si>
    <t>Total for 8220 Equipment Rental, Repair &amp; Maintenance</t>
  </si>
  <si>
    <t>Total for 7132 Payroll Expenses - Fees</t>
  </si>
  <si>
    <t>Total for 7515 IT Support</t>
  </si>
  <si>
    <t>Total for 8191 Web Hosting Alloc</t>
  </si>
  <si>
    <t>Total for 8135.5 Allocated Telephone</t>
  </si>
  <si>
    <t>Total for 8132 Cell Phone Services</t>
  </si>
  <si>
    <t>Total for 8135 Telephone</t>
  </si>
  <si>
    <t>Total for 8140 Postage &amp; Shipping</t>
  </si>
  <si>
    <t>Total for 8141 Alloc Postage</t>
  </si>
  <si>
    <t>6. Non Federal Match</t>
  </si>
  <si>
    <t>Total Monthly</t>
  </si>
  <si>
    <t>Amount</t>
  </si>
  <si>
    <t>Total for 8800 Donated Services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</si>
</sst>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/dd/yy;@"/>
    <numFmt numFmtId="165" formatCode="_(* #,##0.0000_);_(* \(#,##0.0000\);_(* &quot;-&quot;??_);_(@_)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0"/>
      <name val="Arial"/>
      <family val="2"/>
    </font>
    <font>
      <sz val="10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C00000"/>
      <name val="Calibri"/>
      <family val="2"/>
      <scheme val="minor"/>
    </font>
    <font>
      <sz val="10"/>
      <color rgb="FF000000"/>
      <name val="Times New Roman"/>
      <family val="1"/>
    </font>
    <font>
      <sz val="11"/>
      <color indexed="8"/>
      <name val="Calibri"/>
      <family val="2"/>
      <scheme val="minor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59999389629810485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3" fillId="0" borderId="0"/>
    <xf numFmtId="4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0" fontId="1" fillId="0" borderId="0"/>
    <xf numFmtId="9" fontId="3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4" fillId="0" borderId="0"/>
    <xf numFmtId="0" fontId="15" fillId="0" borderId="0"/>
    <xf numFmtId="0" fontId="15" fillId="0" borderId="0"/>
  </cellStyleXfs>
  <cellXfs count="40">
    <xf numFmtId="0" fontId="0" fillId="0" borderId="0" xfId="0"/>
    <xf numFmtId="0" fontId="0" fillId="0" borderId="0" xfId="0"/>
    <xf numFmtId="0" fontId="11" fillId="2" borderId="1" xfId="1" applyFont="1" applyFill="1" applyBorder="1" applyAlignment="1">
      <alignment horizontal="left"/>
    </xf>
    <xf numFmtId="0" fontId="3" fillId="0" borderId="0" xfId="1"/>
    <xf numFmtId="0" fontId="17" fillId="0" borderId="2" xfId="1" applyFont="1" applyBorder="1" applyAlignment="1">
      <alignment horizontal="center"/>
    </xf>
    <xf numFmtId="164" fontId="17" fillId="0" borderId="0" xfId="1" applyNumberFormat="1" applyFont="1" applyAlignment="1">
      <alignment horizontal="center"/>
    </xf>
    <xf numFmtId="0" fontId="18" fillId="0" borderId="0" xfId="1" applyFont="1" applyAlignment="1">
      <alignment horizontal="center"/>
    </xf>
    <xf numFmtId="164" fontId="3" fillId="0" borderId="0" xfId="1" applyNumberFormat="1" applyAlignment="1">
      <alignment horizontal="left"/>
    </xf>
    <xf numFmtId="0" fontId="3" fillId="5" borderId="0" xfId="1" applyFill="1"/>
    <xf numFmtId="14" fontId="3" fillId="5" borderId="0" xfId="1" applyNumberFormat="1" applyFill="1"/>
    <xf numFmtId="0" fontId="3" fillId="5" borderId="0" xfId="1" applyFill="1" applyAlignment="1">
      <alignment horizontal="center"/>
    </xf>
    <xf numFmtId="0" fontId="5" fillId="0" borderId="0" xfId="1" applyFont="1" applyAlignment="1">
      <alignment horizontal="center"/>
    </xf>
    <xf numFmtId="43" fontId="3" fillId="0" borderId="0" xfId="3"/>
    <xf numFmtId="43" fontId="3" fillId="0" borderId="0" xfId="1" applyNumberFormat="1"/>
    <xf numFmtId="43" fontId="6" fillId="0" borderId="0" xfId="3" applyFont="1"/>
    <xf numFmtId="43" fontId="3" fillId="0" borderId="6" xfId="3" applyBorder="1"/>
    <xf numFmtId="43" fontId="3" fillId="0" borderId="7" xfId="3" applyBorder="1"/>
    <xf numFmtId="43" fontId="3" fillId="6" borderId="8" xfId="3" applyFill="1" applyBorder="1"/>
    <xf numFmtId="43" fontId="3" fillId="0" borderId="9" xfId="1" applyNumberFormat="1" applyBorder="1"/>
    <xf numFmtId="43" fontId="3" fillId="3" borderId="0" xfId="3" applyFill="1"/>
    <xf numFmtId="14" fontId="5" fillId="5" borderId="0" xfId="1" applyNumberFormat="1" applyFont="1" applyFill="1" applyAlignment="1">
      <alignment horizontal="center"/>
    </xf>
    <xf numFmtId="165" fontId="3" fillId="0" borderId="0" xfId="1" applyNumberFormat="1"/>
    <xf numFmtId="43" fontId="3" fillId="7" borderId="10" xfId="1" applyNumberFormat="1" applyFill="1" applyBorder="1"/>
    <xf numFmtId="43" fontId="3" fillId="0" borderId="3" xfId="1" applyNumberFormat="1" applyBorder="1"/>
    <xf numFmtId="43" fontId="3" fillId="0" borderId="5" xfId="1" applyNumberFormat="1" applyBorder="1"/>
    <xf numFmtId="0" fontId="4" fillId="0" borderId="0" xfId="1" applyFont="1"/>
    <xf numFmtId="0" fontId="16" fillId="0" borderId="3" xfId="1" applyFont="1" applyBorder="1" applyAlignment="1"/>
    <xf numFmtId="0" fontId="16" fillId="0" borderId="4" xfId="1" applyFont="1" applyBorder="1" applyAlignment="1"/>
    <xf numFmtId="0" fontId="16" fillId="0" borderId="5" xfId="1" applyFont="1" applyBorder="1" applyAlignment="1"/>
    <xf numFmtId="0" fontId="16" fillId="0" borderId="0" xfId="1" applyFont="1" applyBorder="1" applyAlignment="1"/>
    <xf numFmtId="0" fontId="19" fillId="8" borderId="0" xfId="0" applyFont="1" applyFill="1"/>
    <xf numFmtId="14" fontId="19" fillId="8" borderId="0" xfId="0" applyNumberFormat="1" applyFont="1" applyFill="1"/>
    <xf numFmtId="0" fontId="21" fillId="8" borderId="0" xfId="0" applyFont="1" applyFill="1"/>
    <xf numFmtId="0" fontId="22" fillId="8" borderId="0" xfId="0" applyFont="1" applyFill="1"/>
    <xf numFmtId="0" fontId="2" fillId="9" borderId="0" xfId="0" applyFont="1" applyFill="1"/>
    <xf numFmtId="0" fontId="0" fillId="8" borderId="0" xfId="0" applyFill="1"/>
    <xf numFmtId="0" fontId="2" fillId="4" borderId="0" xfId="0" applyFont="1" applyFill="1" applyBorder="1" applyAlignment="1">
      <alignment horizontal="left"/>
    </xf>
    <xf numFmtId="0" fontId="12" fillId="4" borderId="0" xfId="1" applyFont="1" applyFill="1" applyBorder="1" applyAlignment="1">
      <alignment horizontal="left"/>
    </xf>
    <xf numFmtId="0" fontId="9" fillId="4" borderId="0" xfId="0" applyFont="1" applyFill="1" applyBorder="1" applyAlignment="1">
      <alignment horizontal="left"/>
    </xf>
    <xf numFmtId="17" fontId="2" fillId="9" borderId="0" xfId="0" quotePrefix="1" applyNumberFormat="1" applyFont="1" applyFill="1"/>
  </cellXfs>
  <cellStyles count="12">
    <cellStyle name="Comma 2" xfId="3"/>
    <cellStyle name="Comma 3" xfId="4"/>
    <cellStyle name="Currency 2" xfId="2"/>
    <cellStyle name="Currency 3" xfId="5"/>
    <cellStyle name="Normal" xfId="0" builtinId="0"/>
    <cellStyle name="Normal 2" xfId="6"/>
    <cellStyle name="Normal 2 8" xfId="11"/>
    <cellStyle name="Normal 3" xfId="1"/>
    <cellStyle name="Normal 4" xfId="9"/>
    <cellStyle name="Normal 5" xfId="10"/>
    <cellStyle name="Percent 2" xfId="7"/>
    <cellStyle name="Percent 3" xfId="8"/>
  </cellStyles>
  <dxfs count="0"/>
  <tableStyles count="0" defaultTableStyle="TableStyleMedium2" defaultPivotStyle="PivotStyleMedium9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1943100</xdr:colOff>
          <xdr:row>10</xdr:row>
          <xdr:rowOff>127000</xdr:rowOff>
        </xdr:from>
        <xdr:to>
          <xdr:col>4</xdr:col>
          <xdr:colOff>31750</xdr:colOff>
          <xdr:row>12</xdr:row>
          <xdr:rowOff>127000</xdr:rowOff>
        </xdr:to>
        <xdr:sp macro="" textlink="">
          <xdr:nvSpPr>
            <xdr:cNvPr id="183297" name="Button 1" hidden="1">
              <a:extLst>
                <a:ext uri="{63B3BB69-23CF-44E3-9099-C40C66FF867C}">
                  <a14:compatExt spid="_x0000_s183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Report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O42"/>
  <sheetViews>
    <sheetView workbookViewId="0">
      <selection activeCell="E8" sqref="E8"/>
    </sheetView>
  </sheetViews>
  <sheetFormatPr defaultColWidth="9.1796875" defaultRowHeight="12.5" x14ac:dyDescent="0.25"/>
  <cols>
    <col min="1" max="1" width="2.26953125" style="3" customWidth="1"/>
    <col min="2" max="2" width="30.453125" style="3" customWidth="1"/>
    <col min="3" max="4" width="18.453125" style="3" bestFit="1" customWidth="1"/>
    <col min="5" max="5" width="12" style="3" customWidth="1"/>
    <col min="6" max="6" width="13.1796875" style="3" customWidth="1"/>
    <col min="7" max="7" width="30.453125" style="3" customWidth="1"/>
    <col min="8" max="8" width="12.7265625" style="3" customWidth="1"/>
    <col min="9" max="9" width="12.81640625" style="3" customWidth="1"/>
    <col min="10" max="10" width="13.54296875" style="3" customWidth="1"/>
    <col min="11" max="11" width="15" style="3" customWidth="1"/>
    <col min="12" max="12" width="22.54296875" style="3" customWidth="1"/>
    <col min="13" max="13" width="9.7265625" style="3" bestFit="1" customWidth="1"/>
    <col min="14" max="16384" width="9.1796875" style="3"/>
  </cols>
  <sheetData>
    <row r="1" spans="2:12" ht="13" thickBot="1" x14ac:dyDescent="0.3"/>
    <row r="2" spans="2:12" ht="13.5" thickBot="1" x14ac:dyDescent="0.35">
      <c r="B2" s="26" t="s">
        <v>28</v>
      </c>
      <c r="C2" s="27"/>
      <c r="D2" s="27"/>
      <c r="E2" s="28"/>
      <c r="G2" s="29"/>
      <c r="K2" s="4" t="s">
        <v>25</v>
      </c>
      <c r="L2" s="4" t="s">
        <v>29</v>
      </c>
    </row>
    <row r="3" spans="2:12" x14ac:dyDescent="0.25">
      <c r="K3" s="5">
        <v>43658</v>
      </c>
      <c r="L3" s="3" t="s">
        <v>52</v>
      </c>
    </row>
    <row r="4" spans="2:12" x14ac:dyDescent="0.25">
      <c r="K4" s="5">
        <v>43672</v>
      </c>
      <c r="L4" s="3" t="s">
        <v>51</v>
      </c>
    </row>
    <row r="5" spans="2:12" x14ac:dyDescent="0.25">
      <c r="K5" s="5"/>
      <c r="L5" s="6"/>
    </row>
    <row r="6" spans="2:12" x14ac:dyDescent="0.25">
      <c r="I6" s="7"/>
    </row>
    <row r="8" spans="2:12" x14ac:dyDescent="0.25">
      <c r="B8" s="8" t="s">
        <v>30</v>
      </c>
      <c r="C8" s="9">
        <v>43658</v>
      </c>
      <c r="D8" s="9">
        <v>43672</v>
      </c>
      <c r="E8" s="9"/>
      <c r="F8" s="10" t="s">
        <v>12</v>
      </c>
      <c r="G8" s="8" t="s">
        <v>53</v>
      </c>
      <c r="H8" s="8" t="s">
        <v>31</v>
      </c>
      <c r="I8" s="8"/>
    </row>
    <row r="9" spans="2:12" ht="20.25" customHeight="1" x14ac:dyDescent="0.25">
      <c r="J9" s="11" t="s">
        <v>32</v>
      </c>
      <c r="K9" s="11" t="s">
        <v>33</v>
      </c>
    </row>
    <row r="10" spans="2:12" x14ac:dyDescent="0.25">
      <c r="B10" s="3" t="s">
        <v>24</v>
      </c>
      <c r="C10" s="12">
        <v>0</v>
      </c>
      <c r="D10" s="12">
        <v>0</v>
      </c>
      <c r="E10" s="12">
        <v>0</v>
      </c>
      <c r="F10" s="12">
        <f>SUM(C10:E10)</f>
        <v>0</v>
      </c>
      <c r="H10" s="12">
        <v>0.5</v>
      </c>
      <c r="I10" s="12">
        <f>F10*H10</f>
        <v>0</v>
      </c>
    </row>
    <row r="11" spans="2:12" x14ac:dyDescent="0.25">
      <c r="B11" s="3" t="s">
        <v>20</v>
      </c>
      <c r="C11" s="12"/>
      <c r="D11" s="12"/>
      <c r="E11" s="12"/>
      <c r="F11" s="12">
        <f t="shared" ref="F11:F19" si="0">SUM(C11:E11)</f>
        <v>0</v>
      </c>
      <c r="H11" s="12">
        <v>1</v>
      </c>
      <c r="I11" s="12">
        <f t="shared" ref="I11:I12" si="1">F11*H11</f>
        <v>0</v>
      </c>
    </row>
    <row r="12" spans="2:12" x14ac:dyDescent="0.25">
      <c r="B12" s="3" t="s">
        <v>45</v>
      </c>
      <c r="C12" s="12"/>
      <c r="D12" s="12"/>
      <c r="E12" s="12"/>
      <c r="F12" s="12">
        <f t="shared" si="0"/>
        <v>0</v>
      </c>
      <c r="H12" s="12">
        <v>1</v>
      </c>
      <c r="I12" s="12">
        <f t="shared" si="1"/>
        <v>0</v>
      </c>
      <c r="J12" s="13"/>
      <c r="K12" s="12"/>
      <c r="L12" s="13"/>
    </row>
    <row r="13" spans="2:12" x14ac:dyDescent="0.25">
      <c r="B13" s="3" t="s">
        <v>46</v>
      </c>
      <c r="C13" s="12"/>
      <c r="D13" s="12"/>
      <c r="E13" s="12"/>
      <c r="F13" s="12">
        <f>SUM(C13:E13)</f>
        <v>0</v>
      </c>
      <c r="H13" s="12">
        <v>0.2</v>
      </c>
      <c r="I13" s="12">
        <f>F13*H13</f>
        <v>0</v>
      </c>
      <c r="J13" s="12">
        <f>SUM(I10:I13)</f>
        <v>0</v>
      </c>
      <c r="K13" s="12">
        <f>SUM(I10:I13)</f>
        <v>0</v>
      </c>
    </row>
    <row r="14" spans="2:12" x14ac:dyDescent="0.25">
      <c r="B14" s="3" t="s">
        <v>47</v>
      </c>
      <c r="C14" s="14"/>
      <c r="D14" s="12"/>
      <c r="E14" s="12"/>
      <c r="F14" s="12"/>
      <c r="H14" s="12"/>
      <c r="I14" s="12"/>
      <c r="J14" s="12"/>
      <c r="K14" s="12"/>
    </row>
    <row r="15" spans="2:12" x14ac:dyDescent="0.25">
      <c r="B15" s="3" t="s">
        <v>48</v>
      </c>
      <c r="C15" s="12"/>
      <c r="D15" s="12"/>
      <c r="E15" s="12"/>
      <c r="F15" s="12">
        <f>SUM(C15:E15)</f>
        <v>0</v>
      </c>
      <c r="H15" s="12">
        <v>1</v>
      </c>
      <c r="I15" s="12">
        <f>F15*H15</f>
        <v>0</v>
      </c>
      <c r="J15" s="12">
        <f>I15</f>
        <v>0</v>
      </c>
      <c r="K15" s="12">
        <f>I15</f>
        <v>0</v>
      </c>
      <c r="L15" s="3" t="s">
        <v>38</v>
      </c>
    </row>
    <row r="16" spans="2:12" x14ac:dyDescent="0.25">
      <c r="B16" s="3" t="s">
        <v>49</v>
      </c>
      <c r="C16" s="12"/>
      <c r="D16" s="12"/>
      <c r="E16" s="12"/>
      <c r="F16" s="12"/>
      <c r="H16" s="12"/>
      <c r="I16" s="12"/>
      <c r="J16" s="12"/>
      <c r="K16" s="12"/>
    </row>
    <row r="17" spans="2:15" x14ac:dyDescent="0.25">
      <c r="B17" s="3" t="s">
        <v>50</v>
      </c>
    </row>
    <row r="18" spans="2:15" x14ac:dyDescent="0.25">
      <c r="B18" s="3" t="s">
        <v>21</v>
      </c>
      <c r="C18" s="12"/>
      <c r="D18" s="12"/>
      <c r="E18" s="12"/>
      <c r="F18" s="12">
        <f t="shared" si="0"/>
        <v>0</v>
      </c>
      <c r="H18" s="12"/>
      <c r="I18" s="12"/>
    </row>
    <row r="19" spans="2:15" ht="13" thickBot="1" x14ac:dyDescent="0.3">
      <c r="C19" s="12"/>
      <c r="D19" s="12"/>
      <c r="E19" s="12"/>
      <c r="F19" s="12">
        <f t="shared" si="0"/>
        <v>0</v>
      </c>
      <c r="H19" s="12"/>
      <c r="I19" s="12"/>
    </row>
    <row r="20" spans="2:15" ht="18.75" customHeight="1" thickBot="1" x14ac:dyDescent="0.3">
      <c r="C20" s="15">
        <f>SUM(C10:C19)</f>
        <v>0</v>
      </c>
      <c r="D20" s="16">
        <f>SUM(D10:D19)</f>
        <v>0</v>
      </c>
      <c r="E20" s="16">
        <f>SUM(E10:E19)</f>
        <v>0</v>
      </c>
      <c r="F20" s="16">
        <f>SUM(F10:F19)</f>
        <v>0</v>
      </c>
      <c r="H20" s="16"/>
      <c r="I20" s="17">
        <f>SUM(I10:I19)</f>
        <v>0</v>
      </c>
      <c r="J20" s="18">
        <f>SUM(J10:J19)</f>
        <v>0</v>
      </c>
      <c r="K20" s="18">
        <f>SUM(K10:K19)</f>
        <v>0</v>
      </c>
    </row>
    <row r="21" spans="2:15" x14ac:dyDescent="0.25">
      <c r="C21" s="12"/>
      <c r="D21" s="12"/>
      <c r="E21" s="12"/>
      <c r="F21" s="12"/>
      <c r="H21" s="12"/>
    </row>
    <row r="22" spans="2:15" x14ac:dyDescent="0.25">
      <c r="B22" s="3" t="s">
        <v>39</v>
      </c>
      <c r="I22" s="19">
        <v>0</v>
      </c>
    </row>
    <row r="23" spans="2:15" x14ac:dyDescent="0.25">
      <c r="B23" s="3" t="s">
        <v>40</v>
      </c>
      <c r="I23" s="19">
        <v>0</v>
      </c>
      <c r="J23" s="12">
        <f>SUM(I22:I23)</f>
        <v>0</v>
      </c>
      <c r="K23" s="12">
        <f>J23</f>
        <v>0</v>
      </c>
    </row>
    <row r="26" spans="2:15" x14ac:dyDescent="0.25">
      <c r="B26" s="8" t="s">
        <v>41</v>
      </c>
      <c r="C26" s="20" t="s">
        <v>42</v>
      </c>
      <c r="D26" s="20" t="s">
        <v>43</v>
      </c>
      <c r="E26" s="9"/>
      <c r="F26" s="10" t="s">
        <v>12</v>
      </c>
      <c r="G26" s="8"/>
      <c r="H26" s="8" t="s">
        <v>31</v>
      </c>
      <c r="I26" s="8"/>
    </row>
    <row r="27" spans="2:15" x14ac:dyDescent="0.25">
      <c r="J27" s="11" t="s">
        <v>32</v>
      </c>
      <c r="K27" s="11" t="s">
        <v>33</v>
      </c>
    </row>
    <row r="28" spans="2:15" x14ac:dyDescent="0.25">
      <c r="B28" s="3" t="s">
        <v>34</v>
      </c>
      <c r="C28" s="12">
        <v>1118.6500000000001</v>
      </c>
      <c r="D28" s="12">
        <v>63.88</v>
      </c>
      <c r="E28" s="12"/>
      <c r="F28" s="12">
        <f>SUM(C28:E28)</f>
        <v>1182.5300000000002</v>
      </c>
      <c r="H28" s="12">
        <v>0.5</v>
      </c>
      <c r="I28" s="12">
        <v>0</v>
      </c>
      <c r="J28" s="13">
        <f>SUM(I28:I30)</f>
        <v>0</v>
      </c>
      <c r="K28" s="12">
        <f>J28</f>
        <v>0</v>
      </c>
      <c r="M28" s="13"/>
      <c r="N28" s="13"/>
      <c r="O28" s="13"/>
    </row>
    <row r="29" spans="2:15" x14ac:dyDescent="0.25">
      <c r="B29" s="3" t="s">
        <v>35</v>
      </c>
      <c r="C29" s="12"/>
      <c r="D29" s="12"/>
      <c r="E29" s="12"/>
      <c r="F29" s="12">
        <f t="shared" ref="F29:F32" si="2">SUM(C29:E29)</f>
        <v>0</v>
      </c>
      <c r="H29" s="12">
        <v>1</v>
      </c>
      <c r="I29" s="12">
        <f t="shared" ref="I29:I30" si="3">F29*H29</f>
        <v>0</v>
      </c>
      <c r="O29" s="13"/>
    </row>
    <row r="30" spans="2:15" x14ac:dyDescent="0.25">
      <c r="B30" s="3" t="s">
        <v>36</v>
      </c>
      <c r="C30" s="12"/>
      <c r="D30" s="12"/>
      <c r="E30" s="12"/>
      <c r="F30" s="12">
        <f t="shared" si="2"/>
        <v>0</v>
      </c>
      <c r="H30" s="12">
        <v>1</v>
      </c>
      <c r="I30" s="12">
        <f t="shared" si="3"/>
        <v>0</v>
      </c>
      <c r="O30" s="13"/>
    </row>
    <row r="31" spans="2:15" x14ac:dyDescent="0.25">
      <c r="B31" s="3" t="s">
        <v>37</v>
      </c>
      <c r="C31" s="12">
        <v>1073.08</v>
      </c>
      <c r="D31" s="12">
        <v>67.819999999999993</v>
      </c>
      <c r="E31" s="12"/>
      <c r="F31" s="12">
        <f>SUM(C31:E31)</f>
        <v>1140.8999999999999</v>
      </c>
      <c r="H31" s="12">
        <v>0.2</v>
      </c>
      <c r="I31" s="12">
        <v>0</v>
      </c>
      <c r="J31" s="12">
        <f t="shared" ref="J31:K33" si="4">I31</f>
        <v>0</v>
      </c>
      <c r="K31" s="12">
        <f t="shared" si="4"/>
        <v>0</v>
      </c>
      <c r="M31" s="13"/>
      <c r="N31" s="13"/>
      <c r="O31" s="13"/>
    </row>
    <row r="32" spans="2:15" x14ac:dyDescent="0.25">
      <c r="B32" s="3" t="s">
        <v>37</v>
      </c>
      <c r="C32" s="12"/>
      <c r="D32" s="12"/>
      <c r="E32" s="12"/>
      <c r="F32" s="12">
        <f t="shared" si="2"/>
        <v>0</v>
      </c>
      <c r="H32" s="12">
        <v>1</v>
      </c>
      <c r="I32" s="12">
        <f t="shared" ref="I32" si="5">F32*H32</f>
        <v>0</v>
      </c>
      <c r="J32" s="12">
        <f t="shared" si="4"/>
        <v>0</v>
      </c>
      <c r="K32" s="12">
        <f t="shared" si="4"/>
        <v>0</v>
      </c>
      <c r="O32" s="13"/>
    </row>
    <row r="33" spans="2:15" x14ac:dyDescent="0.25">
      <c r="B33" s="3" t="s">
        <v>44</v>
      </c>
      <c r="C33" s="12"/>
      <c r="D33" s="12"/>
      <c r="E33" s="12"/>
      <c r="F33" s="12">
        <f>SUM(C33:E33)</f>
        <v>0</v>
      </c>
      <c r="H33" s="12">
        <v>1</v>
      </c>
      <c r="I33" s="12">
        <v>0</v>
      </c>
      <c r="J33" s="12">
        <f t="shared" si="4"/>
        <v>0</v>
      </c>
      <c r="K33" s="12">
        <f t="shared" si="4"/>
        <v>0</v>
      </c>
      <c r="O33" s="13"/>
    </row>
    <row r="34" spans="2:15" ht="13" thickBot="1" x14ac:dyDescent="0.3">
      <c r="C34" s="12"/>
      <c r="D34" s="12"/>
      <c r="E34" s="12"/>
      <c r="F34" s="12">
        <f t="shared" ref="F34:F36" si="6">SUM(C34:E34)</f>
        <v>0</v>
      </c>
      <c r="H34" s="12"/>
      <c r="I34" s="12"/>
      <c r="J34" s="18">
        <f>SUM(J28:J33)</f>
        <v>0</v>
      </c>
      <c r="K34" s="18">
        <f>SUM(K28:K33)</f>
        <v>0</v>
      </c>
      <c r="M34" s="21"/>
      <c r="N34" s="21"/>
      <c r="O34" s="13"/>
    </row>
    <row r="35" spans="2:15" x14ac:dyDescent="0.25">
      <c r="C35" s="12"/>
      <c r="D35" s="12"/>
      <c r="E35" s="12"/>
      <c r="F35" s="12">
        <f t="shared" si="6"/>
        <v>0</v>
      </c>
      <c r="H35" s="12"/>
      <c r="I35" s="12"/>
    </row>
    <row r="36" spans="2:15" ht="13" thickBot="1" x14ac:dyDescent="0.3">
      <c r="C36" s="12"/>
      <c r="D36" s="12"/>
      <c r="E36" s="12"/>
      <c r="F36" s="12">
        <f t="shared" si="6"/>
        <v>0</v>
      </c>
      <c r="H36" s="12"/>
      <c r="I36" s="12"/>
    </row>
    <row r="37" spans="2:15" ht="13" thickBot="1" x14ac:dyDescent="0.3">
      <c r="C37" s="15">
        <f>SUM(C28:C36)</f>
        <v>2191.73</v>
      </c>
      <c r="D37" s="16">
        <f>SUM(D28:D36)</f>
        <v>131.69999999999999</v>
      </c>
      <c r="E37" s="16"/>
      <c r="F37" s="16">
        <f t="shared" ref="F37" si="7">SUM(F28:F36)</f>
        <v>2323.4300000000003</v>
      </c>
      <c r="H37" s="16"/>
      <c r="I37" s="17">
        <f>SUM(I28:I36)</f>
        <v>0</v>
      </c>
      <c r="J37" s="13"/>
    </row>
    <row r="38" spans="2:15" ht="13" thickBot="1" x14ac:dyDescent="0.3"/>
    <row r="39" spans="2:15" ht="13" thickBot="1" x14ac:dyDescent="0.3">
      <c r="I39" s="22">
        <f>I22+I37+I23</f>
        <v>0</v>
      </c>
      <c r="J39" s="23">
        <f>J34+J23</f>
        <v>0</v>
      </c>
      <c r="K39" s="24">
        <f>K34+K23</f>
        <v>0</v>
      </c>
    </row>
    <row r="42" spans="2:15" ht="13" x14ac:dyDescent="0.3">
      <c r="B42" s="25"/>
      <c r="C42" s="25"/>
      <c r="G42" s="25"/>
    </row>
  </sheetData>
  <pageMargins left="0.17" right="0.17" top="0.75" bottom="0.75" header="0.3" footer="0.3"/>
  <pageSetup scale="9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ain"/>
  <dimension ref="A1:N46"/>
  <sheetViews>
    <sheetView tabSelected="1" topLeftCell="A7" workbookViewId="0">
      <selection activeCell="A46" sqref="A46"/>
    </sheetView>
  </sheetViews>
  <sheetFormatPr defaultRowHeight="14.5" x14ac:dyDescent="0.35"/>
  <cols>
    <col min="1" max="1" width="24.81640625" style="1" bestFit="1" customWidth="1"/>
    <col min="2" max="2" width="37.26953125" style="1" customWidth="1"/>
    <col min="3" max="3" width="20" style="1" customWidth="1"/>
    <col min="4" max="4" width="40.36328125" style="1" bestFit="1" customWidth="1"/>
    <col min="5" max="5" width="10.6328125" style="1" bestFit="1" customWidth="1"/>
    <col min="6" max="6" width="8.7265625" style="1"/>
    <col min="7" max="7" width="10.1796875" style="1" bestFit="1" customWidth="1"/>
    <col min="8" max="16384" width="8.7265625" style="1"/>
  </cols>
  <sheetData>
    <row r="1" spans="1:14" x14ac:dyDescent="0.35">
      <c r="A1" s="30"/>
      <c r="B1" s="30"/>
      <c r="C1" s="30"/>
      <c r="D1" s="30"/>
      <c r="E1" s="30"/>
      <c r="F1" s="30"/>
      <c r="G1" s="30" t="s">
        <v>55</v>
      </c>
      <c r="H1" s="30"/>
      <c r="I1" s="30"/>
      <c r="J1" s="30"/>
      <c r="K1" s="30"/>
      <c r="L1" s="30"/>
      <c r="M1" s="30"/>
      <c r="N1" s="30"/>
    </row>
    <row r="2" spans="1:14" x14ac:dyDescent="0.35">
      <c r="A2" s="30"/>
      <c r="B2" s="30"/>
      <c r="C2" s="30"/>
      <c r="D2" s="30"/>
      <c r="E2" s="30"/>
      <c r="F2" s="30"/>
      <c r="G2" s="31">
        <v>43884</v>
      </c>
      <c r="H2" s="30"/>
      <c r="I2" s="30"/>
      <c r="J2" s="30"/>
      <c r="K2" s="30"/>
      <c r="L2" s="30"/>
      <c r="M2" s="30"/>
      <c r="N2" s="30"/>
    </row>
    <row r="3" spans="1:14" x14ac:dyDescent="0.35">
      <c r="A3" s="30"/>
      <c r="B3" s="30"/>
      <c r="C3" s="30"/>
      <c r="D3" s="30"/>
      <c r="E3" s="30"/>
      <c r="F3" s="30"/>
      <c r="G3" s="30" t="s">
        <v>88</v>
      </c>
      <c r="H3" s="30"/>
      <c r="I3" s="30"/>
      <c r="J3" s="30"/>
      <c r="K3" s="30"/>
      <c r="L3" s="30"/>
      <c r="M3" s="30"/>
      <c r="N3" s="30"/>
    </row>
    <row r="4" spans="1:14" ht="18.5" x14ac:dyDescent="0.45">
      <c r="A4" s="30"/>
      <c r="B4" s="32" t="s">
        <v>56</v>
      </c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</row>
    <row r="5" spans="1:14" ht="23.5" x14ac:dyDescent="0.55000000000000004">
      <c r="A5" s="30"/>
      <c r="B5" s="33" t="s">
        <v>57</v>
      </c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</row>
    <row r="6" spans="1:14" x14ac:dyDescent="0.35">
      <c r="A6" s="30"/>
      <c r="B6" s="30" t="s">
        <v>58</v>
      </c>
      <c r="C6" s="34" t="s">
        <v>67</v>
      </c>
      <c r="D6" s="34" t="s">
        <v>85</v>
      </c>
      <c r="E6" s="34"/>
      <c r="F6" s="34"/>
      <c r="G6" s="34"/>
      <c r="H6" s="34"/>
      <c r="I6" s="34"/>
      <c r="J6" s="34"/>
      <c r="K6" s="34"/>
      <c r="L6" s="34"/>
      <c r="M6" s="34"/>
      <c r="N6" s="30"/>
    </row>
    <row r="7" spans="1:14" x14ac:dyDescent="0.35">
      <c r="A7" s="30"/>
      <c r="B7" s="30"/>
      <c r="C7" s="34" t="s">
        <v>68</v>
      </c>
      <c r="D7" s="34" t="s">
        <v>86</v>
      </c>
      <c r="E7" s="30"/>
      <c r="F7" s="30"/>
      <c r="G7" s="30"/>
      <c r="H7" s="30"/>
      <c r="I7" s="30"/>
      <c r="J7" s="30"/>
      <c r="K7" s="30"/>
      <c r="L7" s="30"/>
      <c r="M7" s="30"/>
      <c r="N7" s="30"/>
    </row>
    <row r="8" spans="1:14" x14ac:dyDescent="0.35">
      <c r="A8" s="30"/>
      <c r="B8" s="30"/>
      <c r="C8" s="34"/>
      <c r="D8" s="34"/>
      <c r="E8" s="30"/>
      <c r="F8" s="30"/>
      <c r="G8" s="30"/>
      <c r="H8" s="30"/>
      <c r="I8" s="30"/>
      <c r="J8" s="30"/>
      <c r="K8" s="30"/>
      <c r="L8" s="30"/>
      <c r="M8" s="30"/>
      <c r="N8" s="30"/>
    </row>
    <row r="9" spans="1:14" x14ac:dyDescent="0.35">
      <c r="A9" s="30"/>
      <c r="B9" s="30"/>
      <c r="C9" s="34" t="s">
        <v>69</v>
      </c>
      <c r="D9" s="39" t="s">
        <v>87</v>
      </c>
      <c r="E9" s="30"/>
      <c r="F9" s="30"/>
      <c r="G9" s="30"/>
      <c r="H9" s="30"/>
      <c r="I9" s="30"/>
      <c r="J9" s="30"/>
      <c r="K9" s="30"/>
      <c r="L9" s="30"/>
      <c r="M9" s="30"/>
      <c r="N9" s="30"/>
    </row>
    <row r="10" spans="1:14" x14ac:dyDescent="0.35">
      <c r="A10" s="30"/>
      <c r="B10" s="30"/>
      <c r="C10" s="34"/>
      <c r="D10" s="34"/>
      <c r="E10" s="30"/>
      <c r="F10" s="30"/>
      <c r="G10" s="30"/>
      <c r="H10" s="30"/>
      <c r="I10" s="30"/>
      <c r="J10" s="30"/>
      <c r="K10" s="30"/>
      <c r="L10" s="30"/>
      <c r="M10" s="30"/>
      <c r="N10" s="30"/>
    </row>
    <row r="11" spans="1:14" x14ac:dyDescent="0.35">
      <c r="A11" s="30"/>
      <c r="B11" s="30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</row>
    <row r="12" spans="1:14" x14ac:dyDescent="0.35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</row>
    <row r="13" spans="1:14" x14ac:dyDescent="0.35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</row>
    <row r="16" spans="1:14" x14ac:dyDescent="0.35">
      <c r="A16" s="1" t="s">
        <v>84</v>
      </c>
      <c r="H16" s="1" t="s">
        <v>80</v>
      </c>
    </row>
    <row r="17" spans="1:9" ht="15.5" x14ac:dyDescent="0.35">
      <c r="A17" s="36"/>
      <c r="B17" s="37" t="s">
        <v>81</v>
      </c>
      <c r="C17" s="37" t="s">
        <v>78</v>
      </c>
      <c r="D17" s="38" t="s">
        <v>79</v>
      </c>
      <c r="E17" s="38" t="s">
        <v>106</v>
      </c>
      <c r="H17" s="1" t="s">
        <v>70</v>
      </c>
    </row>
    <row r="18" spans="1:9" ht="15.5" x14ac:dyDescent="0.35">
      <c r="A18" s="36" t="s">
        <v>76</v>
      </c>
      <c r="B18" s="37" t="s">
        <v>77</v>
      </c>
      <c r="C18" s="37" t="s">
        <v>1</v>
      </c>
      <c r="D18" s="37" t="s">
        <v>2</v>
      </c>
      <c r="E18" s="38" t="s">
        <v>107</v>
      </c>
      <c r="I18" s="1" t="s">
        <v>71</v>
      </c>
    </row>
    <row r="19" spans="1:9" x14ac:dyDescent="0.35">
      <c r="I19" s="1" t="s">
        <v>72</v>
      </c>
    </row>
    <row r="20" spans="1:9" ht="15.5" x14ac:dyDescent="0.35">
      <c r="A20" s="2" t="s">
        <v>27</v>
      </c>
      <c r="D20" s="1" t="s">
        <v>54</v>
      </c>
      <c r="I20" s="1" t="s">
        <v>73</v>
      </c>
    </row>
    <row r="21" spans="1:9" ht="15.5" x14ac:dyDescent="0.35">
      <c r="A21" s="2" t="s">
        <v>0</v>
      </c>
      <c r="B21" s="1" t="s">
        <v>59</v>
      </c>
      <c r="D21" s="1" t="s">
        <v>60</v>
      </c>
      <c r="H21" s="1" t="s">
        <v>74</v>
      </c>
    </row>
    <row r="22" spans="1:9" ht="15.5" x14ac:dyDescent="0.35">
      <c r="A22" s="2" t="s">
        <v>5</v>
      </c>
      <c r="H22" s="1" t="s">
        <v>82</v>
      </c>
    </row>
    <row r="23" spans="1:9" ht="15.5" x14ac:dyDescent="0.35">
      <c r="A23" s="2" t="s">
        <v>6</v>
      </c>
      <c r="B23" s="1" t="s">
        <v>89</v>
      </c>
      <c r="H23" s="1" t="s">
        <v>75</v>
      </c>
    </row>
    <row r="24" spans="1:9" ht="15.5" x14ac:dyDescent="0.35">
      <c r="A24" s="2" t="s">
        <v>6</v>
      </c>
      <c r="B24" s="1" t="s">
        <v>90</v>
      </c>
    </row>
    <row r="25" spans="1:9" ht="15.5" x14ac:dyDescent="0.35">
      <c r="A25" s="2" t="s">
        <v>7</v>
      </c>
      <c r="B25" s="1" t="s">
        <v>61</v>
      </c>
      <c r="D25" s="1" t="s">
        <v>91</v>
      </c>
      <c r="H25" s="1" t="s">
        <v>83</v>
      </c>
    </row>
    <row r="26" spans="1:9" ht="15.5" x14ac:dyDescent="0.35">
      <c r="A26" s="2" t="s">
        <v>7</v>
      </c>
      <c r="B26" s="1" t="s">
        <v>92</v>
      </c>
    </row>
    <row r="27" spans="1:9" ht="15.5" x14ac:dyDescent="0.35">
      <c r="A27" s="2" t="s">
        <v>7</v>
      </c>
      <c r="B27" s="1" t="s">
        <v>93</v>
      </c>
    </row>
    <row r="28" spans="1:9" ht="15.5" x14ac:dyDescent="0.35">
      <c r="A28" s="2" t="s">
        <v>8</v>
      </c>
      <c r="B28" s="1" t="s">
        <v>94</v>
      </c>
    </row>
    <row r="29" spans="1:9" ht="15.5" x14ac:dyDescent="0.35">
      <c r="A29" s="2" t="s">
        <v>4</v>
      </c>
      <c r="B29" s="1" t="s">
        <v>95</v>
      </c>
    </row>
    <row r="30" spans="1:9" ht="15.5" x14ac:dyDescent="0.35">
      <c r="A30" s="2" t="s">
        <v>9</v>
      </c>
      <c r="B30" s="1" t="s">
        <v>96</v>
      </c>
    </row>
    <row r="31" spans="1:9" ht="15.5" x14ac:dyDescent="0.35">
      <c r="A31" s="2" t="s">
        <v>10</v>
      </c>
      <c r="B31" s="1" t="s">
        <v>97</v>
      </c>
    </row>
    <row r="32" spans="1:9" ht="15.5" x14ac:dyDescent="0.35">
      <c r="A32" s="2" t="s">
        <v>17</v>
      </c>
    </row>
    <row r="33" spans="1:5" ht="15.5" x14ac:dyDescent="0.35">
      <c r="A33" s="2" t="s">
        <v>11</v>
      </c>
      <c r="B33" s="1" t="s">
        <v>98</v>
      </c>
    </row>
    <row r="34" spans="1:5" ht="15.5" x14ac:dyDescent="0.35">
      <c r="A34" s="2" t="s">
        <v>11</v>
      </c>
      <c r="B34" s="1" t="s">
        <v>99</v>
      </c>
    </row>
    <row r="35" spans="1:5" ht="15.5" x14ac:dyDescent="0.35">
      <c r="A35" s="2" t="s">
        <v>13</v>
      </c>
      <c r="B35" s="1" t="s">
        <v>100</v>
      </c>
      <c r="D35" s="1" t="s">
        <v>101</v>
      </c>
    </row>
    <row r="36" spans="1:5" ht="15.5" x14ac:dyDescent="0.35">
      <c r="A36" s="2" t="s">
        <v>13</v>
      </c>
      <c r="D36" s="1" t="s">
        <v>102</v>
      </c>
    </row>
    <row r="37" spans="1:5" ht="15.5" x14ac:dyDescent="0.35">
      <c r="A37" s="2" t="s">
        <v>22</v>
      </c>
      <c r="B37" s="1" t="s">
        <v>62</v>
      </c>
    </row>
    <row r="38" spans="1:5" ht="15.5" x14ac:dyDescent="0.35">
      <c r="A38" s="2" t="s">
        <v>23</v>
      </c>
      <c r="B38" s="1" t="s">
        <v>104</v>
      </c>
      <c r="D38" s="1" t="s">
        <v>103</v>
      </c>
    </row>
    <row r="39" spans="1:5" ht="15.5" x14ac:dyDescent="0.35">
      <c r="A39" s="2" t="s">
        <v>19</v>
      </c>
      <c r="C39" s="1" t="s">
        <v>63</v>
      </c>
    </row>
    <row r="40" spans="1:5" ht="15.5" x14ac:dyDescent="0.35">
      <c r="A40" s="2" t="s">
        <v>18</v>
      </c>
      <c r="C40" s="1" t="s">
        <v>64</v>
      </c>
    </row>
    <row r="41" spans="1:5" ht="15.5" x14ac:dyDescent="0.35">
      <c r="A41" s="2" t="s">
        <v>16</v>
      </c>
    </row>
    <row r="42" spans="1:5" ht="15.5" x14ac:dyDescent="0.35">
      <c r="A42" s="2" t="s">
        <v>14</v>
      </c>
      <c r="C42" s="1" t="s">
        <v>65</v>
      </c>
    </row>
    <row r="43" spans="1:5" ht="15.5" x14ac:dyDescent="0.35">
      <c r="A43" s="2" t="s">
        <v>3</v>
      </c>
      <c r="C43" s="1" t="s">
        <v>66</v>
      </c>
    </row>
    <row r="44" spans="1:5" ht="15.5" x14ac:dyDescent="0.35">
      <c r="A44" s="2" t="s">
        <v>15</v>
      </c>
    </row>
    <row r="45" spans="1:5" ht="15.5" x14ac:dyDescent="0.35">
      <c r="A45" s="2" t="s">
        <v>26</v>
      </c>
    </row>
    <row r="46" spans="1:5" x14ac:dyDescent="0.35">
      <c r="A46" s="1" t="s">
        <v>105</v>
      </c>
      <c r="E46" s="1" t="s">
        <v>108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3297" r:id="rId3" name="Button 1">
              <controlPr defaultSize="0" print="0" autoFill="0" autoPict="0" macro="[0]!Run_Report">
                <anchor moveWithCells="1" sizeWithCells="1">
                  <from>
                    <xdr:col>1</xdr:col>
                    <xdr:colOff>1943100</xdr:colOff>
                    <xdr:row>10</xdr:row>
                    <xdr:rowOff>127000</xdr:rowOff>
                  </from>
                  <to>
                    <xdr:col>4</xdr:col>
                    <xdr:colOff>31750</xdr:colOff>
                    <xdr:row>12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June Salary &amp; Benefits </vt:lpstr>
      <vt:lpstr>Main</vt:lpstr>
      <vt:lpstr>'June Salary &amp; Benefits 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2020-02-24T15:40:52Z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Jet Reports Function Literals">
    <vt:lpwstr>,	;	,	{	}	[@[{0}]]	1033</vt:lpwstr>
  </property>
</Properties>
</file>