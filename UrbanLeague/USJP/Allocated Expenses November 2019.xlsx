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ise\Desktop\USJP 2019\11.19\"/>
    </mc:Choice>
  </mc:AlternateContent>
  <xr:revisionPtr revIDLastSave="0" documentId="13_ncr:1_{2C556E20-D1D9-4C94-8A7C-39C4B7327D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ransaction Detail by Account" sheetId="1" r:id="rId1"/>
  </sheets>
  <definedNames>
    <definedName name="_xlnm.Print_Titles" localSheetId="0">'Transaction Detail by Account'!$1:$5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" l="1"/>
  <c r="H17" i="1" l="1"/>
  <c r="H13" i="1"/>
  <c r="H18" i="1" s="1"/>
</calcChain>
</file>

<file path=xl/sharedStrings.xml><?xml version="1.0" encoding="utf-8"?>
<sst xmlns="http://schemas.openxmlformats.org/spreadsheetml/2006/main" count="170" uniqueCount="115">
  <si>
    <t>Date</t>
  </si>
  <si>
    <t>Transaction Type</t>
  </si>
  <si>
    <t>Num</t>
  </si>
  <si>
    <t>Name</t>
  </si>
  <si>
    <t>Class</t>
  </si>
  <si>
    <t>Memo/Description</t>
  </si>
  <si>
    <t>Amount</t>
  </si>
  <si>
    <t>11/01/2019</t>
  </si>
  <si>
    <t>950 Allocated Cost</t>
  </si>
  <si>
    <t>11/15/2019</t>
  </si>
  <si>
    <t>11/29/2019</t>
  </si>
  <si>
    <t xml:space="preserve">   7520 Accounting Fees</t>
  </si>
  <si>
    <t>Bill</t>
  </si>
  <si>
    <t>11.01.19OO</t>
  </si>
  <si>
    <t>Olugbenga Olabintan</t>
  </si>
  <si>
    <t>Final Payment for 2018 Audit &amp; 990's</t>
  </si>
  <si>
    <t>11/06/2019</t>
  </si>
  <si>
    <t>Patricia  Mise</t>
  </si>
  <si>
    <t>Accounting Consulting Services - 10/25/19 - 11/06/19</t>
  </si>
  <si>
    <t>11/20/2019</t>
  </si>
  <si>
    <t>Accounting Consulting Services - 11/07/19 - 11/20/19</t>
  </si>
  <si>
    <t xml:space="preserve">   Total for 7520 Accounting Fees</t>
  </si>
  <si>
    <t>Total for 7500 Contract Service Expenses</t>
  </si>
  <si>
    <t>8100 Operating Expenses</t>
  </si>
  <si>
    <t xml:space="preserve">   8110 Supplies</t>
  </si>
  <si>
    <t>11/14/2019</t>
  </si>
  <si>
    <t>19K0429958465</t>
  </si>
  <si>
    <t>ReadyRefresh by Nestle</t>
  </si>
  <si>
    <t>Water Delivery 10/13/19 - 11/12/19</t>
  </si>
  <si>
    <t>11/25/2019</t>
  </si>
  <si>
    <t>J1226439</t>
  </si>
  <si>
    <t>American Paper &amp; Supplies</t>
  </si>
  <si>
    <t>Maintenance Supplies</t>
  </si>
  <si>
    <t xml:space="preserve">   Total for 8110 Supplies</t>
  </si>
  <si>
    <t xml:space="preserve">   8130 Telephone &amp; Telecommunications</t>
  </si>
  <si>
    <t xml:space="preserve">      8133 Verizon</t>
  </si>
  <si>
    <t>11.01.19VR</t>
  </si>
  <si>
    <t>Verizon</t>
  </si>
  <si>
    <t>Telephone Charges October 2019</t>
  </si>
  <si>
    <t>11/10/2019</t>
  </si>
  <si>
    <t>11.10.19VR</t>
  </si>
  <si>
    <t>Telephone Charges November 2019</t>
  </si>
  <si>
    <t xml:space="preserve">      Total for 8133 Verizon</t>
  </si>
  <si>
    <t xml:space="preserve">   Total for 8130 Telephone &amp; Telecommunications</t>
  </si>
  <si>
    <t xml:space="preserve">   8190 Internet/Web/Hosting Fees</t>
  </si>
  <si>
    <t>11/11/2019</t>
  </si>
  <si>
    <t>Expense</t>
  </si>
  <si>
    <t>11.11.19MSFT</t>
  </si>
  <si>
    <t>MICROSOFT CORPORATION</t>
  </si>
  <si>
    <t>Monthly Microsoft Office 365 Subscription</t>
  </si>
  <si>
    <t xml:space="preserve">   Total for 8190 Internet/Web/Hosting Fees</t>
  </si>
  <si>
    <t>Total for 8100 Operating Expenses</t>
  </si>
  <si>
    <t xml:space="preserve">   8210 Utilities</t>
  </si>
  <si>
    <t xml:space="preserve">      8210.2 506 Utilities</t>
  </si>
  <si>
    <t>602906353519</t>
  </si>
  <si>
    <t>PSE&amp;G</t>
  </si>
  <si>
    <t>Gas &amp; Electric - 506 Central Ave Apt # 1    10/16/19 - 11/13/19</t>
  </si>
  <si>
    <t>601306203758</t>
  </si>
  <si>
    <t>Gas &amp; Electric - 506 Central Ave Apt # D   10/16/19 - 11/13/19</t>
  </si>
  <si>
    <t>601306203736</t>
  </si>
  <si>
    <t>Gas &amp; Electric - 506 Central Ave Apt # B    10/16/19 - 11/13/19</t>
  </si>
  <si>
    <t>601306203767</t>
  </si>
  <si>
    <t>Gas &amp; Electric - 506 Central Ave Apt # A     10/16/19 - 11/13/19</t>
  </si>
  <si>
    <t xml:space="preserve">      Total for 8210.2 506 Utilities</t>
  </si>
  <si>
    <t xml:space="preserve">      8210.3 508 Utilities</t>
  </si>
  <si>
    <t>605604356243</t>
  </si>
  <si>
    <t>Acct # 66 264 956 07 - 508 Central Ave for 10/16/19 - 11/14/19</t>
  </si>
  <si>
    <t xml:space="preserve">      Total for 8210.3 508 Utilities</t>
  </si>
  <si>
    <t xml:space="preserve">   Total for 8210 Utilities</t>
  </si>
  <si>
    <t xml:space="preserve">   8220 Equipment Rental, Repair &amp; Maintenance</t>
  </si>
  <si>
    <t xml:space="preserve">      8221 Copier Lease</t>
  </si>
  <si>
    <t>11/08/2019</t>
  </si>
  <si>
    <t>CIT</t>
  </si>
  <si>
    <t>Copier Lease - 508 Central Ave 900-0239284-000</t>
  </si>
  <si>
    <t>Copier Lease - Nov 2019 900-0298832-000</t>
  </si>
  <si>
    <t xml:space="preserve">      Total for 8221 Copier Lease</t>
  </si>
  <si>
    <t xml:space="preserve">      8222 Copy Fees</t>
  </si>
  <si>
    <t>55K1509174</t>
  </si>
  <si>
    <t>Duplitron - Kyocera</t>
  </si>
  <si>
    <t>Contract Base Rate Charge</t>
  </si>
  <si>
    <t xml:space="preserve">      Total for 8222 Copy Fees</t>
  </si>
  <si>
    <t xml:space="preserve">      8227 Equipment Rental</t>
  </si>
  <si>
    <t>3309975869</t>
  </si>
  <si>
    <t>Pitney Bowes</t>
  </si>
  <si>
    <t>Lease Invoice Billing Period 10/30/2019- 1/29/20</t>
  </si>
  <si>
    <t xml:space="preserve">      Total for 8227 Equipment Rental</t>
  </si>
  <si>
    <t xml:space="preserve">   8230 Building Repair &amp; Maintenance</t>
  </si>
  <si>
    <t xml:space="preserve">      8233 Trash Removal</t>
  </si>
  <si>
    <t>Cali Carting</t>
  </si>
  <si>
    <t>Dumping - Trash Removal Services - November  2019</t>
  </si>
  <si>
    <t xml:space="preserve">      Total for 8233 Trash Removal</t>
  </si>
  <si>
    <t xml:space="preserve">      8235 Exterminating</t>
  </si>
  <si>
    <t>11/05/2019</t>
  </si>
  <si>
    <t>Nationwide Pest Management</t>
  </si>
  <si>
    <t>Monthly Pest Control Services - Nov 2019</t>
  </si>
  <si>
    <t xml:space="preserve">      Total for 8235 Exterminating</t>
  </si>
  <si>
    <t xml:space="preserve">   Total for 8230 Building Repair &amp; Maintenance</t>
  </si>
  <si>
    <t xml:space="preserve">   8250 Mortgage Interest Expense</t>
  </si>
  <si>
    <t>11.08.19_X9010</t>
  </si>
  <si>
    <t>TD Bank, N.A.</t>
  </si>
  <si>
    <t>Oct 2019 Mortgage Payment for 508 Central Ave</t>
  </si>
  <si>
    <t xml:space="preserve">   Total for 8250 Mortgage Interest Expense</t>
  </si>
  <si>
    <t>URBAN LEAGUE OF ESSEX COUNTY</t>
  </si>
  <si>
    <t>November 2019</t>
  </si>
  <si>
    <t>Check</t>
  </si>
  <si>
    <t>Credit Card</t>
  </si>
  <si>
    <t>Online</t>
  </si>
  <si>
    <t>950 Allocated Expenses Detail by  Account</t>
  </si>
  <si>
    <t xml:space="preserve">   7520 Audit  Fees</t>
  </si>
  <si>
    <t>EFT</t>
  </si>
  <si>
    <t xml:space="preserve">   7515 IT Support</t>
  </si>
  <si>
    <t>Sharp Electronics Corporation</t>
  </si>
  <si>
    <t xml:space="preserve">      Total for 7515 IT Support</t>
  </si>
  <si>
    <t>Help Desk support/maintenance for November 2019</t>
  </si>
  <si>
    <t>7500 Contract Service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</si>
</sst>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9" x14ac:knownFonts="1"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165" fontId="2" fillId="0" borderId="2" xfId="0" applyNumberFormat="1" applyFont="1" applyBorder="1" applyAlignment="1">
      <alignment horizontal="righ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165" fontId="2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5" fontId="7" fillId="0" borderId="2" xfId="0" applyNumberFormat="1" applyFont="1" applyBorder="1" applyAlignment="1">
      <alignment horizontal="right"/>
    </xf>
    <xf numFmtId="14" fontId="8" fillId="0" borderId="0" xfId="0" applyNumberFormat="1" applyFont="1" applyAlignment="1">
      <alignment horizontal="left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left" wrapText="1"/>
    </xf>
  </cellXfs>
  <cellStyles count="2">
    <cellStyle name="Normal" xfId="0" builtinId="0"/>
    <cellStyle name="Normal 2 8" xfId="1" xr:uid="{B32C873C-1B66-4E2A-ABD0-629EF4308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zoomScale="130" zoomScaleNormal="130" workbookViewId="0">
      <pane ySplit="5" topLeftCell="A6" activePane="bottomLeft" state="frozen"/>
      <selection pane="bottomLeft" activeCell="H10" sqref="H10"/>
    </sheetView>
  </sheetViews>
  <sheetFormatPr defaultRowHeight="15" x14ac:dyDescent="0.25"/>
  <cols>
    <col min="1" max="1" width="2.42578125" style="2" customWidth="1"/>
    <col min="2" max="2" width="9.42578125" style="2" customWidth="1"/>
    <col min="3" max="3" width="12" style="2" customWidth="1"/>
    <col min="4" max="4" width="12.85546875" style="2" customWidth="1"/>
    <col min="5" max="5" width="23.140625" style="2" customWidth="1"/>
    <col min="6" max="6" width="16.28515625" style="2" hidden="1" customWidth="1"/>
    <col min="7" max="7" width="49.5703125" style="2" customWidth="1"/>
    <col min="8" max="8" width="11.140625" style="2" customWidth="1"/>
    <col min="9" max="9" width="9.140625" style="12"/>
    <col min="10" max="16384" width="9.140625" style="2"/>
  </cols>
  <sheetData>
    <row r="1" spans="1:9" ht="18" x14ac:dyDescent="0.25">
      <c r="A1" s="13" t="s">
        <v>102</v>
      </c>
      <c r="B1" s="13"/>
      <c r="C1" s="13"/>
      <c r="D1" s="13"/>
      <c r="E1" s="13"/>
      <c r="F1" s="13"/>
      <c r="G1" s="13"/>
      <c r="H1" s="13"/>
      <c r="I1" s="13"/>
    </row>
    <row r="2" spans="1:9" ht="18" x14ac:dyDescent="0.25">
      <c r="A2" s="13" t="s">
        <v>107</v>
      </c>
      <c r="B2" s="13"/>
      <c r="C2" s="13"/>
      <c r="D2" s="13"/>
      <c r="E2" s="13"/>
      <c r="F2" s="13"/>
      <c r="G2" s="13"/>
      <c r="H2" s="13"/>
      <c r="I2" s="13"/>
    </row>
    <row r="3" spans="1:9" x14ac:dyDescent="0.25">
      <c r="A3" s="14" t="s">
        <v>103</v>
      </c>
      <c r="B3" s="14"/>
      <c r="C3" s="14"/>
      <c r="D3" s="14"/>
      <c r="E3" s="14"/>
      <c r="F3" s="14"/>
      <c r="G3" s="14"/>
      <c r="H3" s="14"/>
      <c r="I3" s="14"/>
    </row>
    <row r="5" spans="1:9" s="4" customFormat="1" ht="24.75" x14ac:dyDescent="0.25">
      <c r="A5" s="9"/>
      <c r="B5" s="1" t="s">
        <v>0</v>
      </c>
      <c r="C5" s="10" t="s">
        <v>1</v>
      </c>
      <c r="D5" s="10" t="s">
        <v>2</v>
      </c>
      <c r="E5" s="10" t="s">
        <v>3</v>
      </c>
      <c r="F5" s="10" t="s">
        <v>4</v>
      </c>
      <c r="G5" s="10" t="s">
        <v>5</v>
      </c>
      <c r="H5" s="1" t="s">
        <v>6</v>
      </c>
      <c r="I5" s="10" t="s">
        <v>104</v>
      </c>
    </row>
    <row r="6" spans="1:9" s="4" customFormat="1" x14ac:dyDescent="0.25">
      <c r="A6" s="21"/>
      <c r="B6" s="22"/>
      <c r="C6" s="23"/>
      <c r="D6" s="23"/>
      <c r="E6" s="23"/>
      <c r="F6" s="23"/>
      <c r="G6" s="23"/>
      <c r="H6" s="22"/>
      <c r="I6" s="23"/>
    </row>
    <row r="7" spans="1:9" x14ac:dyDescent="0.25">
      <c r="A7" s="5" t="s">
        <v>114</v>
      </c>
    </row>
    <row r="8" spans="1:9" customFormat="1" x14ac:dyDescent="0.25">
      <c r="A8" s="15" t="s">
        <v>110</v>
      </c>
      <c r="I8" s="16"/>
    </row>
    <row r="9" spans="1:9" customFormat="1" x14ac:dyDescent="0.25">
      <c r="B9" s="20">
        <v>43777</v>
      </c>
      <c r="C9" s="17" t="s">
        <v>12</v>
      </c>
      <c r="D9" s="17">
        <v>9002358790</v>
      </c>
      <c r="E9" s="17" t="s">
        <v>111</v>
      </c>
      <c r="F9" s="17" t="s">
        <v>8</v>
      </c>
      <c r="G9" s="17" t="s">
        <v>113</v>
      </c>
      <c r="H9" s="18">
        <v>3006</v>
      </c>
      <c r="I9" s="6">
        <v>12715</v>
      </c>
    </row>
    <row r="10" spans="1:9" customFormat="1" x14ac:dyDescent="0.25">
      <c r="A10" s="15" t="s">
        <v>112</v>
      </c>
      <c r="H10" s="19">
        <f>SUM(H9)</f>
        <v>3006</v>
      </c>
      <c r="I10" s="16"/>
    </row>
    <row r="11" spans="1:9" x14ac:dyDescent="0.25">
      <c r="A11" s="5" t="s">
        <v>108</v>
      </c>
      <c r="I11" s="6"/>
    </row>
    <row r="12" spans="1:9" x14ac:dyDescent="0.25">
      <c r="B12" s="6" t="s">
        <v>7</v>
      </c>
      <c r="C12" s="6" t="s">
        <v>12</v>
      </c>
      <c r="D12" s="6" t="s">
        <v>13</v>
      </c>
      <c r="E12" s="6" t="s">
        <v>14</v>
      </c>
      <c r="F12" s="6" t="s">
        <v>8</v>
      </c>
      <c r="G12" s="6" t="s">
        <v>15</v>
      </c>
      <c r="H12" s="7">
        <v>6000</v>
      </c>
      <c r="I12" s="6">
        <v>12714</v>
      </c>
    </row>
    <row r="13" spans="1:9" x14ac:dyDescent="0.25">
      <c r="B13" s="6"/>
      <c r="C13" s="6"/>
      <c r="D13" s="6"/>
      <c r="E13" s="6"/>
      <c r="F13" s="6"/>
      <c r="G13" s="6"/>
      <c r="H13" s="8">
        <f>SUM(H12)</f>
        <v>6000</v>
      </c>
      <c r="I13" s="6"/>
    </row>
    <row r="14" spans="1:9" x14ac:dyDescent="0.25">
      <c r="A14" s="5" t="s">
        <v>11</v>
      </c>
      <c r="B14" s="6"/>
      <c r="C14" s="6"/>
      <c r="D14" s="6"/>
      <c r="E14" s="6"/>
      <c r="F14" s="6"/>
      <c r="G14" s="6"/>
      <c r="H14" s="7"/>
      <c r="I14" s="6"/>
    </row>
    <row r="15" spans="1:9" x14ac:dyDescent="0.25">
      <c r="B15" s="6" t="s">
        <v>16</v>
      </c>
      <c r="C15" s="6" t="s">
        <v>12</v>
      </c>
      <c r="D15" s="6">
        <v>20191101</v>
      </c>
      <c r="E15" s="6" t="s">
        <v>17</v>
      </c>
      <c r="F15" s="6" t="s">
        <v>8</v>
      </c>
      <c r="G15" s="6" t="s">
        <v>18</v>
      </c>
      <c r="H15" s="7">
        <v>2205</v>
      </c>
      <c r="I15" s="6">
        <v>12662</v>
      </c>
    </row>
    <row r="16" spans="1:9" x14ac:dyDescent="0.25">
      <c r="B16" s="6" t="s">
        <v>19</v>
      </c>
      <c r="C16" s="6" t="s">
        <v>12</v>
      </c>
      <c r="D16" s="6">
        <v>20191102</v>
      </c>
      <c r="E16" s="6" t="s">
        <v>17</v>
      </c>
      <c r="F16" s="6" t="s">
        <v>8</v>
      </c>
      <c r="G16" s="6" t="s">
        <v>20</v>
      </c>
      <c r="H16" s="7">
        <v>2450</v>
      </c>
      <c r="I16" s="6">
        <v>12764</v>
      </c>
    </row>
    <row r="17" spans="1:9" x14ac:dyDescent="0.25">
      <c r="A17" s="5" t="s">
        <v>21</v>
      </c>
      <c r="H17" s="8">
        <f>SUM(H15:H16)</f>
        <v>4655</v>
      </c>
      <c r="I17" s="6"/>
    </row>
    <row r="18" spans="1:9" x14ac:dyDescent="0.25">
      <c r="A18" s="5" t="s">
        <v>22</v>
      </c>
      <c r="H18" s="8">
        <f>+H10+H13+H17</f>
        <v>13661</v>
      </c>
      <c r="I18" s="6"/>
    </row>
    <row r="19" spans="1:9" x14ac:dyDescent="0.25">
      <c r="A19" s="5"/>
      <c r="H19" s="11"/>
      <c r="I19" s="6"/>
    </row>
    <row r="20" spans="1:9" x14ac:dyDescent="0.25">
      <c r="A20" s="5" t="s">
        <v>23</v>
      </c>
      <c r="I20" s="6"/>
    </row>
    <row r="21" spans="1:9" x14ac:dyDescent="0.25">
      <c r="A21" s="5" t="s">
        <v>24</v>
      </c>
      <c r="I21" s="6"/>
    </row>
    <row r="22" spans="1:9" x14ac:dyDescent="0.25">
      <c r="B22" s="6" t="s">
        <v>25</v>
      </c>
      <c r="C22" s="6" t="s">
        <v>12</v>
      </c>
      <c r="D22" s="6" t="s">
        <v>26</v>
      </c>
      <c r="E22" s="6" t="s">
        <v>27</v>
      </c>
      <c r="F22" s="6" t="s">
        <v>8</v>
      </c>
      <c r="G22" s="6" t="s">
        <v>28</v>
      </c>
      <c r="H22" s="7">
        <v>399.79</v>
      </c>
      <c r="I22" s="6">
        <v>12812</v>
      </c>
    </row>
    <row r="23" spans="1:9" x14ac:dyDescent="0.25">
      <c r="B23" s="6" t="s">
        <v>29</v>
      </c>
      <c r="C23" s="6" t="s">
        <v>12</v>
      </c>
      <c r="D23" s="6" t="s">
        <v>30</v>
      </c>
      <c r="E23" s="6" t="s">
        <v>31</v>
      </c>
      <c r="F23" s="6" t="s">
        <v>8</v>
      </c>
      <c r="G23" s="6" t="s">
        <v>32</v>
      </c>
      <c r="H23" s="7">
        <v>1622.66</v>
      </c>
      <c r="I23" s="6">
        <v>12805</v>
      </c>
    </row>
    <row r="24" spans="1:9" x14ac:dyDescent="0.25">
      <c r="A24" s="5" t="s">
        <v>33</v>
      </c>
      <c r="H24" s="8">
        <v>2022.45</v>
      </c>
      <c r="I24" s="6"/>
    </row>
    <row r="25" spans="1:9" x14ac:dyDescent="0.25">
      <c r="A25" s="5"/>
      <c r="H25" s="11"/>
      <c r="I25" s="6"/>
    </row>
    <row r="26" spans="1:9" x14ac:dyDescent="0.25">
      <c r="A26" s="5" t="s">
        <v>34</v>
      </c>
      <c r="I26" s="6"/>
    </row>
    <row r="27" spans="1:9" x14ac:dyDescent="0.25">
      <c r="A27" s="5" t="s">
        <v>35</v>
      </c>
      <c r="I27" s="6"/>
    </row>
    <row r="28" spans="1:9" x14ac:dyDescent="0.25">
      <c r="B28" s="6" t="s">
        <v>7</v>
      </c>
      <c r="C28" s="6" t="s">
        <v>12</v>
      </c>
      <c r="D28" s="6" t="s">
        <v>36</v>
      </c>
      <c r="E28" s="6" t="s">
        <v>37</v>
      </c>
      <c r="F28" s="6" t="s">
        <v>8</v>
      </c>
      <c r="G28" s="6" t="s">
        <v>38</v>
      </c>
      <c r="H28" s="7">
        <v>363.38</v>
      </c>
      <c r="I28" s="6" t="s">
        <v>106</v>
      </c>
    </row>
    <row r="29" spans="1:9" x14ac:dyDescent="0.25">
      <c r="B29" s="6" t="s">
        <v>39</v>
      </c>
      <c r="C29" s="6" t="s">
        <v>12</v>
      </c>
      <c r="D29" s="6" t="s">
        <v>40</v>
      </c>
      <c r="E29" s="6" t="s">
        <v>37</v>
      </c>
      <c r="F29" s="6" t="s">
        <v>8</v>
      </c>
      <c r="G29" s="6" t="s">
        <v>41</v>
      </c>
      <c r="H29" s="7">
        <v>369.95</v>
      </c>
      <c r="I29" s="6">
        <v>12711</v>
      </c>
    </row>
    <row r="30" spans="1:9" x14ac:dyDescent="0.25">
      <c r="A30" s="5" t="s">
        <v>42</v>
      </c>
      <c r="H30" s="8">
        <v>733.33</v>
      </c>
      <c r="I30" s="6"/>
    </row>
    <row r="31" spans="1:9" x14ac:dyDescent="0.25">
      <c r="A31" s="5" t="s">
        <v>43</v>
      </c>
      <c r="H31" s="8">
        <v>733.33</v>
      </c>
      <c r="I31" s="6"/>
    </row>
    <row r="32" spans="1:9" x14ac:dyDescent="0.25">
      <c r="A32" s="5"/>
      <c r="H32" s="11"/>
      <c r="I32" s="6"/>
    </row>
    <row r="33" spans="1:9" x14ac:dyDescent="0.25">
      <c r="A33" s="5" t="s">
        <v>44</v>
      </c>
      <c r="I33" s="6"/>
    </row>
    <row r="34" spans="1:9" x14ac:dyDescent="0.25">
      <c r="B34" s="6" t="s">
        <v>45</v>
      </c>
      <c r="C34" s="6" t="s">
        <v>46</v>
      </c>
      <c r="D34" s="6" t="s">
        <v>47</v>
      </c>
      <c r="E34" s="6" t="s">
        <v>48</v>
      </c>
      <c r="F34" s="6" t="s">
        <v>8</v>
      </c>
      <c r="G34" s="6" t="s">
        <v>49</v>
      </c>
      <c r="H34" s="7">
        <v>312</v>
      </c>
      <c r="I34" s="6" t="s">
        <v>105</v>
      </c>
    </row>
    <row r="35" spans="1:9" x14ac:dyDescent="0.25">
      <c r="A35" s="5" t="s">
        <v>50</v>
      </c>
      <c r="H35" s="8">
        <v>312</v>
      </c>
      <c r="I35" s="6"/>
    </row>
    <row r="36" spans="1:9" x14ac:dyDescent="0.25">
      <c r="A36" s="5" t="s">
        <v>51</v>
      </c>
      <c r="H36" s="8">
        <v>3067.78</v>
      </c>
      <c r="I36" s="6"/>
    </row>
    <row r="37" spans="1:9" x14ac:dyDescent="0.25">
      <c r="A37" s="5"/>
    </row>
    <row r="38" spans="1:9" x14ac:dyDescent="0.25">
      <c r="B38" s="6"/>
      <c r="C38" s="6"/>
      <c r="D38" s="6"/>
      <c r="E38" s="6"/>
      <c r="F38" s="6"/>
      <c r="G38" s="6"/>
      <c r="H38" s="7"/>
      <c r="I38" s="6"/>
    </row>
    <row r="39" spans="1:9" x14ac:dyDescent="0.25">
      <c r="A39" s="5" t="s">
        <v>52</v>
      </c>
      <c r="I39" s="6"/>
    </row>
    <row r="40" spans="1:9" x14ac:dyDescent="0.25">
      <c r="A40" s="5" t="s">
        <v>53</v>
      </c>
      <c r="I40" s="6"/>
    </row>
    <row r="41" spans="1:9" x14ac:dyDescent="0.25">
      <c r="B41" s="6" t="s">
        <v>9</v>
      </c>
      <c r="C41" s="6" t="s">
        <v>12</v>
      </c>
      <c r="D41" s="6" t="s">
        <v>54</v>
      </c>
      <c r="E41" s="6" t="s">
        <v>55</v>
      </c>
      <c r="F41" s="6" t="s">
        <v>8</v>
      </c>
      <c r="G41" s="6" t="s">
        <v>56</v>
      </c>
      <c r="H41" s="7">
        <v>266.24</v>
      </c>
      <c r="I41" s="6">
        <v>12826</v>
      </c>
    </row>
    <row r="42" spans="1:9" x14ac:dyDescent="0.25">
      <c r="B42" s="6" t="s">
        <v>9</v>
      </c>
      <c r="C42" s="6" t="s">
        <v>12</v>
      </c>
      <c r="D42" s="6" t="s">
        <v>57</v>
      </c>
      <c r="E42" s="6" t="s">
        <v>55</v>
      </c>
      <c r="F42" s="6" t="s">
        <v>8</v>
      </c>
      <c r="G42" s="6" t="s">
        <v>58</v>
      </c>
      <c r="H42" s="7">
        <v>164.2</v>
      </c>
      <c r="I42" s="6">
        <v>12826</v>
      </c>
    </row>
    <row r="43" spans="1:9" x14ac:dyDescent="0.25">
      <c r="B43" s="6" t="s">
        <v>9</v>
      </c>
      <c r="C43" s="6" t="s">
        <v>12</v>
      </c>
      <c r="D43" s="6" t="s">
        <v>59</v>
      </c>
      <c r="E43" s="6" t="s">
        <v>55</v>
      </c>
      <c r="F43" s="6" t="s">
        <v>8</v>
      </c>
      <c r="G43" s="6" t="s">
        <v>60</v>
      </c>
      <c r="H43" s="7">
        <v>67.95</v>
      </c>
      <c r="I43" s="6">
        <v>12826</v>
      </c>
    </row>
    <row r="44" spans="1:9" x14ac:dyDescent="0.25">
      <c r="B44" s="6" t="s">
        <v>9</v>
      </c>
      <c r="C44" s="6" t="s">
        <v>12</v>
      </c>
      <c r="D44" s="6" t="s">
        <v>61</v>
      </c>
      <c r="E44" s="6" t="s">
        <v>55</v>
      </c>
      <c r="F44" s="6" t="s">
        <v>8</v>
      </c>
      <c r="G44" s="6" t="s">
        <v>62</v>
      </c>
      <c r="H44" s="7">
        <v>14.38</v>
      </c>
      <c r="I44" s="6">
        <v>12826</v>
      </c>
    </row>
    <row r="45" spans="1:9" x14ac:dyDescent="0.25">
      <c r="A45" s="5" t="s">
        <v>63</v>
      </c>
      <c r="H45" s="8">
        <v>512.77</v>
      </c>
      <c r="I45" s="6"/>
    </row>
    <row r="46" spans="1:9" x14ac:dyDescent="0.25">
      <c r="A46" s="5" t="s">
        <v>64</v>
      </c>
      <c r="I46" s="6"/>
    </row>
    <row r="47" spans="1:9" x14ac:dyDescent="0.25">
      <c r="B47" s="6" t="s">
        <v>19</v>
      </c>
      <c r="C47" s="6" t="s">
        <v>12</v>
      </c>
      <c r="D47" s="6" t="s">
        <v>65</v>
      </c>
      <c r="E47" s="6" t="s">
        <v>55</v>
      </c>
      <c r="F47" s="6" t="s">
        <v>8</v>
      </c>
      <c r="G47" s="6" t="s">
        <v>66</v>
      </c>
      <c r="H47" s="7">
        <v>747.93</v>
      </c>
      <c r="I47" s="6">
        <v>12815</v>
      </c>
    </row>
    <row r="48" spans="1:9" x14ac:dyDescent="0.25">
      <c r="A48" s="5" t="s">
        <v>67</v>
      </c>
      <c r="H48" s="8">
        <v>747.93</v>
      </c>
      <c r="I48" s="6"/>
    </row>
    <row r="49" spans="1:9" x14ac:dyDescent="0.25">
      <c r="A49" s="5" t="s">
        <v>68</v>
      </c>
      <c r="H49" s="8">
        <v>1260.7</v>
      </c>
      <c r="I49" s="6"/>
    </row>
    <row r="50" spans="1:9" x14ac:dyDescent="0.25">
      <c r="A50" s="5" t="s">
        <v>69</v>
      </c>
      <c r="I50" s="6"/>
    </row>
    <row r="51" spans="1:9" x14ac:dyDescent="0.25">
      <c r="A51" s="5" t="s">
        <v>70</v>
      </c>
      <c r="I51" s="6"/>
    </row>
    <row r="52" spans="1:9" x14ac:dyDescent="0.25">
      <c r="B52" s="6" t="s">
        <v>71</v>
      </c>
      <c r="C52" s="6" t="s">
        <v>12</v>
      </c>
      <c r="D52" s="6">
        <v>34300511</v>
      </c>
      <c r="E52" s="6" t="s">
        <v>72</v>
      </c>
      <c r="F52" s="6" t="s">
        <v>8</v>
      </c>
      <c r="G52" s="6" t="s">
        <v>73</v>
      </c>
      <c r="H52" s="7">
        <v>1580.66</v>
      </c>
      <c r="I52" s="6">
        <v>12707</v>
      </c>
    </row>
    <row r="53" spans="1:9" x14ac:dyDescent="0.25">
      <c r="B53" s="6" t="s">
        <v>10</v>
      </c>
      <c r="C53" s="6" t="s">
        <v>12</v>
      </c>
      <c r="D53" s="6">
        <v>34435684</v>
      </c>
      <c r="E53" s="6" t="s">
        <v>72</v>
      </c>
      <c r="F53" s="6" t="s">
        <v>8</v>
      </c>
      <c r="G53" s="6" t="s">
        <v>74</v>
      </c>
      <c r="H53" s="7">
        <v>639.42999999999995</v>
      </c>
      <c r="I53" s="6">
        <v>12814</v>
      </c>
    </row>
    <row r="54" spans="1:9" x14ac:dyDescent="0.25">
      <c r="A54" s="5" t="s">
        <v>75</v>
      </c>
      <c r="H54" s="8">
        <v>2220.09</v>
      </c>
      <c r="I54" s="6"/>
    </row>
    <row r="55" spans="1:9" x14ac:dyDescent="0.25">
      <c r="A55" s="5" t="s">
        <v>76</v>
      </c>
      <c r="I55" s="6"/>
    </row>
    <row r="56" spans="1:9" x14ac:dyDescent="0.25">
      <c r="B56" s="6" t="s">
        <v>7</v>
      </c>
      <c r="C56" s="6" t="s">
        <v>12</v>
      </c>
      <c r="D56" s="6" t="s">
        <v>77</v>
      </c>
      <c r="E56" s="6" t="s">
        <v>78</v>
      </c>
      <c r="F56" s="6" t="s">
        <v>8</v>
      </c>
      <c r="G56" s="6" t="s">
        <v>79</v>
      </c>
      <c r="H56" s="7">
        <v>240</v>
      </c>
      <c r="I56" s="6">
        <v>12716</v>
      </c>
    </row>
    <row r="57" spans="1:9" x14ac:dyDescent="0.25">
      <c r="A57" s="5" t="s">
        <v>80</v>
      </c>
      <c r="H57" s="8">
        <v>240</v>
      </c>
      <c r="I57" s="6"/>
    </row>
    <row r="58" spans="1:9" x14ac:dyDescent="0.25">
      <c r="A58" s="5" t="s">
        <v>81</v>
      </c>
      <c r="I58" s="6"/>
    </row>
    <row r="59" spans="1:9" x14ac:dyDescent="0.25">
      <c r="B59" s="6" t="s">
        <v>7</v>
      </c>
      <c r="C59" s="6" t="s">
        <v>12</v>
      </c>
      <c r="D59" s="6" t="s">
        <v>82</v>
      </c>
      <c r="E59" s="6" t="s">
        <v>83</v>
      </c>
      <c r="F59" s="6" t="s">
        <v>8</v>
      </c>
      <c r="G59" s="6" t="s">
        <v>84</v>
      </c>
      <c r="H59" s="7">
        <v>177.18</v>
      </c>
      <c r="I59" s="6">
        <v>12653</v>
      </c>
    </row>
    <row r="60" spans="1:9" x14ac:dyDescent="0.25">
      <c r="A60" s="5" t="s">
        <v>85</v>
      </c>
      <c r="H60" s="8">
        <v>177.18</v>
      </c>
      <c r="I60" s="6"/>
    </row>
    <row r="61" spans="1:9" x14ac:dyDescent="0.25">
      <c r="A61" s="5" t="s">
        <v>86</v>
      </c>
      <c r="I61" s="6"/>
    </row>
    <row r="62" spans="1:9" x14ac:dyDescent="0.25">
      <c r="A62" s="5" t="s">
        <v>87</v>
      </c>
    </row>
    <row r="63" spans="1:9" x14ac:dyDescent="0.25">
      <c r="B63" s="6" t="s">
        <v>7</v>
      </c>
      <c r="C63" s="6" t="s">
        <v>12</v>
      </c>
      <c r="D63" s="6">
        <v>202604</v>
      </c>
      <c r="E63" s="6" t="s">
        <v>88</v>
      </c>
      <c r="F63" s="6" t="s">
        <v>8</v>
      </c>
      <c r="G63" s="6" t="s">
        <v>89</v>
      </c>
      <c r="H63" s="7">
        <v>409.51</v>
      </c>
      <c r="I63" s="6">
        <v>12652</v>
      </c>
    </row>
    <row r="64" spans="1:9" x14ac:dyDescent="0.25">
      <c r="A64" s="5" t="s">
        <v>90</v>
      </c>
      <c r="H64" s="8">
        <v>409.51</v>
      </c>
      <c r="I64" s="6"/>
    </row>
    <row r="65" spans="1:9" x14ac:dyDescent="0.25">
      <c r="A65" s="5" t="s">
        <v>91</v>
      </c>
      <c r="I65" s="6"/>
    </row>
    <row r="66" spans="1:9" x14ac:dyDescent="0.25">
      <c r="B66" s="6" t="s">
        <v>92</v>
      </c>
      <c r="C66" s="6" t="s">
        <v>12</v>
      </c>
      <c r="D66" s="6">
        <v>114712</v>
      </c>
      <c r="E66" s="6" t="s">
        <v>93</v>
      </c>
      <c r="F66" s="6" t="s">
        <v>8</v>
      </c>
      <c r="G66" s="6" t="s">
        <v>94</v>
      </c>
      <c r="H66" s="7">
        <v>355</v>
      </c>
      <c r="I66" s="6">
        <v>12717</v>
      </c>
    </row>
    <row r="67" spans="1:9" x14ac:dyDescent="0.25">
      <c r="A67" s="5" t="s">
        <v>95</v>
      </c>
      <c r="H67" s="8">
        <v>355</v>
      </c>
      <c r="I67" s="6"/>
    </row>
    <row r="68" spans="1:9" x14ac:dyDescent="0.25">
      <c r="A68" s="5" t="s">
        <v>96</v>
      </c>
      <c r="H68" s="8">
        <v>764.51</v>
      </c>
      <c r="I68" s="6"/>
    </row>
    <row r="69" spans="1:9" x14ac:dyDescent="0.25">
      <c r="A69" s="5" t="s">
        <v>97</v>
      </c>
      <c r="I69" s="6"/>
    </row>
    <row r="70" spans="1:9" x14ac:dyDescent="0.25">
      <c r="B70" s="6" t="s">
        <v>71</v>
      </c>
      <c r="C70" s="6" t="s">
        <v>46</v>
      </c>
      <c r="D70" s="6" t="s">
        <v>98</v>
      </c>
      <c r="E70" s="6" t="s">
        <v>99</v>
      </c>
      <c r="F70" s="6" t="s">
        <v>8</v>
      </c>
      <c r="G70" s="6" t="s">
        <v>100</v>
      </c>
      <c r="H70" s="7">
        <v>1985.57</v>
      </c>
      <c r="I70" s="6" t="s">
        <v>109</v>
      </c>
    </row>
    <row r="71" spans="1:9" x14ac:dyDescent="0.25">
      <c r="A71" s="5" t="s">
        <v>101</v>
      </c>
      <c r="H71" s="8">
        <v>1985.57</v>
      </c>
      <c r="I71" s="6"/>
    </row>
    <row r="72" spans="1:9" x14ac:dyDescent="0.25">
      <c r="A72" s="5"/>
    </row>
    <row r="73" spans="1:9" x14ac:dyDescent="0.25">
      <c r="B73" s="6"/>
      <c r="C73" s="6"/>
      <c r="D73" s="6"/>
      <c r="E73" s="6"/>
      <c r="F73" s="6"/>
      <c r="G73" s="6"/>
      <c r="H73" s="7"/>
      <c r="I73" s="6"/>
    </row>
    <row r="74" spans="1:9" x14ac:dyDescent="0.25">
      <c r="A74" s="5"/>
      <c r="H74" s="11"/>
      <c r="I74" s="6"/>
    </row>
    <row r="75" spans="1:9" x14ac:dyDescent="0.25">
      <c r="A75" s="5"/>
      <c r="H75" s="11"/>
      <c r="I75" s="6"/>
    </row>
    <row r="76" spans="1:9" x14ac:dyDescent="0.25">
      <c r="I76" s="6"/>
    </row>
    <row r="77" spans="1:9" x14ac:dyDescent="0.25">
      <c r="I77" s="6"/>
    </row>
    <row r="78" spans="1:9" x14ac:dyDescent="0.25">
      <c r="A78" s="3"/>
      <c r="I78" s="6"/>
    </row>
    <row r="79" spans="1:9" x14ac:dyDescent="0.25">
      <c r="I79" s="6"/>
    </row>
    <row r="80" spans="1:9" x14ac:dyDescent="0.25">
      <c r="I80" s="6"/>
    </row>
    <row r="81" spans="9:9" x14ac:dyDescent="0.25">
      <c r="I81" s="6"/>
    </row>
    <row r="82" spans="9:9" x14ac:dyDescent="0.25">
      <c r="I82" s="6"/>
    </row>
    <row r="83" spans="9:9" x14ac:dyDescent="0.25">
      <c r="I83" s="6"/>
    </row>
    <row r="84" spans="9:9" x14ac:dyDescent="0.25">
      <c r="I84" s="6"/>
    </row>
    <row r="85" spans="9:9" x14ac:dyDescent="0.25">
      <c r="I85" s="6"/>
    </row>
    <row r="86" spans="9:9" x14ac:dyDescent="0.25">
      <c r="I86" s="6"/>
    </row>
    <row r="87" spans="9:9" x14ac:dyDescent="0.25">
      <c r="I87" s="6"/>
    </row>
    <row r="88" spans="9:9" x14ac:dyDescent="0.25">
      <c r="I88" s="6"/>
    </row>
    <row r="89" spans="9:9" x14ac:dyDescent="0.25">
      <c r="I89" s="6"/>
    </row>
    <row r="90" spans="9:9" x14ac:dyDescent="0.25">
      <c r="I90" s="6"/>
    </row>
    <row r="91" spans="9:9" x14ac:dyDescent="0.25">
      <c r="I91" s="6"/>
    </row>
    <row r="92" spans="9:9" x14ac:dyDescent="0.25">
      <c r="I92" s="6"/>
    </row>
    <row r="93" spans="9:9" x14ac:dyDescent="0.25">
      <c r="I93" s="6"/>
    </row>
    <row r="94" spans="9:9" x14ac:dyDescent="0.25">
      <c r="I94" s="6"/>
    </row>
    <row r="95" spans="9:9" x14ac:dyDescent="0.25">
      <c r="I95" s="6"/>
    </row>
    <row r="96" spans="9:9" x14ac:dyDescent="0.25">
      <c r="I96" s="6"/>
    </row>
    <row r="97" spans="9:9" x14ac:dyDescent="0.25">
      <c r="I97" s="6"/>
    </row>
    <row r="98" spans="9:9" x14ac:dyDescent="0.25">
      <c r="I98" s="6"/>
    </row>
    <row r="99" spans="9:9" x14ac:dyDescent="0.25">
      <c r="I99" s="6"/>
    </row>
    <row r="100" spans="9:9" x14ac:dyDescent="0.25">
      <c r="I100" s="6"/>
    </row>
    <row r="101" spans="9:9" x14ac:dyDescent="0.25">
      <c r="I101" s="6"/>
    </row>
    <row r="102" spans="9:9" x14ac:dyDescent="0.25">
      <c r="I102" s="6"/>
    </row>
    <row r="103" spans="9:9" x14ac:dyDescent="0.25">
      <c r="I103" s="6"/>
    </row>
    <row r="104" spans="9:9" x14ac:dyDescent="0.25">
      <c r="I104" s="6"/>
    </row>
    <row r="105" spans="9:9" x14ac:dyDescent="0.25">
      <c r="I105" s="6"/>
    </row>
    <row r="106" spans="9:9" x14ac:dyDescent="0.25">
      <c r="I106" s="6"/>
    </row>
    <row r="107" spans="9:9" x14ac:dyDescent="0.25">
      <c r="I107" s="6"/>
    </row>
    <row r="108" spans="9:9" x14ac:dyDescent="0.25">
      <c r="I108" s="6"/>
    </row>
    <row r="109" spans="9:9" x14ac:dyDescent="0.25">
      <c r="I109" s="6"/>
    </row>
    <row r="110" spans="9:9" x14ac:dyDescent="0.25">
      <c r="I110" s="6"/>
    </row>
    <row r="111" spans="9:9" x14ac:dyDescent="0.25">
      <c r="I111" s="6"/>
    </row>
  </sheetData>
  <mergeCells count="3">
    <mergeCell ref="A1:I1"/>
    <mergeCell ref="A2:I2"/>
    <mergeCell ref="A3:I3"/>
  </mergeCells>
  <printOptions headings="1" gridLines="1"/>
  <pageMargins left="0.17" right="0.17" top="0.25" bottom="0.45" header="0.05" footer="8.5300000000000001E-2"/>
  <pageSetup scale="95" orientation="landscape" r:id="rId1"/>
  <headerFooter>
    <oddFooter>&amp;L&amp;8&amp;P 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Transaction Detail by Account</vt:lpstr>
      <vt:lpstr>'Transaction Detail by Account'!Print_Titles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Patricia Mise</cp:lastModifiedBy>
  <cp:lastPrinted>2019-12-06T19:11:09Z</cp:lastPrinted>
  <dcterms:created xsi:type="dcterms:W3CDTF">2019-12-04T20:03:19Z</dcterms:created>
  <dcterms:modified xsi:type="dcterms:W3CDTF">2019-12-06T19:17:25Z</dcterms:modified>
</cp:coreProperties>
</file>