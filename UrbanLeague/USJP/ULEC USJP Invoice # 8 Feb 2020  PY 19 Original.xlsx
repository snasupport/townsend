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200" windowHeight="7450" tabRatio="923" firstSheet="18" activeTab="23"/>
  </bookViews>
  <sheets>
    <sheet name="June Salary &amp; Benefits " sheetId="179" state="hidden" r:id="rId1"/>
    <sheet name="Jul-2019" sheetId="69" r:id="rId2"/>
    <sheet name="Jul-2019 GL" sheetId="178" r:id="rId3"/>
    <sheet name="JULY FR" sheetId="164" r:id="rId4"/>
    <sheet name="Aug-2019" sheetId="149" r:id="rId5"/>
    <sheet name="Aug 2019 GL" sheetId="180" r:id="rId6"/>
    <sheet name="AUG-FR" sheetId="165" r:id="rId7"/>
    <sheet name="Sept-2019" sheetId="150" r:id="rId8"/>
    <sheet name="Sept-2019 GL" sheetId="181" r:id="rId9"/>
    <sheet name="Sept-FR" sheetId="166" r:id="rId10"/>
    <sheet name="Oct-2019" sheetId="151" r:id="rId11"/>
    <sheet name="Oct-2019 GL" sheetId="182" r:id="rId12"/>
    <sheet name="Oct-FR" sheetId="167" r:id="rId13"/>
    <sheet name="Nov-2019" sheetId="152" r:id="rId14"/>
    <sheet name="Nov-19 GL" sheetId="183" r:id="rId15"/>
    <sheet name="Nov-FR " sheetId="168" r:id="rId16"/>
    <sheet name="Dec-2019" sheetId="153" r:id="rId17"/>
    <sheet name="Dec-19 GL" sheetId="184" r:id="rId18"/>
    <sheet name="Dec-FR" sheetId="169" r:id="rId19"/>
    <sheet name="Jan-2020" sheetId="154" r:id="rId20"/>
    <sheet name="Jan-FR" sheetId="170" r:id="rId21"/>
    <sheet name="Jan-2020 GL" sheetId="185" r:id="rId22"/>
    <sheet name="Salaries &amp; Fringe Allocations" sheetId="163" r:id="rId23"/>
    <sheet name="Feb-2020" sheetId="155" r:id="rId24"/>
    <sheet name="Feb-2020 GL" sheetId="186" r:id="rId25"/>
    <sheet name="Feb-FR" sheetId="171" r:id="rId26"/>
    <sheet name="Mar-2020" sheetId="156" r:id="rId27"/>
    <sheet name="Mar-FR " sheetId="172" r:id="rId28"/>
    <sheet name="Apr-2020" sheetId="157" r:id="rId29"/>
    <sheet name="Apr-FR" sheetId="173" r:id="rId30"/>
    <sheet name="May-2020" sheetId="158" r:id="rId31"/>
    <sheet name="May-FR " sheetId="174" r:id="rId32"/>
    <sheet name="Jun-2020" sheetId="159" r:id="rId33"/>
    <sheet name="Jun-FR " sheetId="175" r:id="rId34"/>
    <sheet name="PY 19 Closeout" sheetId="160" r:id="rId35"/>
    <sheet name="Closelout-FR " sheetId="177" r:id="rId36"/>
  </sheets>
  <definedNames>
    <definedName name="_xlnm.Print_Area" localSheetId="28">'Apr-2020'!$A$1:$I$87</definedName>
    <definedName name="_xlnm.Print_Area" localSheetId="5">'Aug 2019 GL'!$A$1:$H$157</definedName>
    <definedName name="_xlnm.Print_Area" localSheetId="4">'Aug-2019'!$A$1:$I$87</definedName>
    <definedName name="_xlnm.Print_Area" localSheetId="17">'Dec-19 GL'!$A$1:$H$192</definedName>
    <definedName name="_xlnm.Print_Area" localSheetId="16">'Dec-2019'!$A$1:$I$87</definedName>
    <definedName name="_xlnm.Print_Area" localSheetId="23">'Feb-2020'!$A$1:$I$87</definedName>
    <definedName name="_xlnm.Print_Area" localSheetId="24">'Feb-2020 GL'!$A$1:$H$185</definedName>
    <definedName name="_xlnm.Print_Area" localSheetId="19">'Jan-2020'!$A$1:$I$87</definedName>
    <definedName name="_xlnm.Print_Area" localSheetId="21">'Jan-2020 GL'!$A$1:$H$220</definedName>
    <definedName name="_xlnm.Print_Area" localSheetId="1">'Jul-2019'!$A$1:$I$87</definedName>
    <definedName name="_xlnm.Print_Area" localSheetId="2">'Jul-2019 GL'!$A$1:$H$158</definedName>
    <definedName name="_xlnm.Print_Area" localSheetId="3">'JULY FR'!$A$1:$N$36</definedName>
    <definedName name="_xlnm.Print_Area" localSheetId="32">'Jun-2020'!$A$1:$I$87</definedName>
    <definedName name="_xlnm.Print_Area" localSheetId="0">'June Salary &amp; Benefits '!$A$1:$L$43</definedName>
    <definedName name="_xlnm.Print_Area" localSheetId="26">'Mar-2020'!$A$1:$I$87</definedName>
    <definedName name="_xlnm.Print_Area" localSheetId="30">'May-2020'!$A$1:$I$87</definedName>
    <definedName name="_xlnm.Print_Area" localSheetId="13">'Nov-2019'!$A$1:$I$87</definedName>
    <definedName name="_xlnm.Print_Area" localSheetId="10">'Oct-2019'!$A$1:$I$87</definedName>
    <definedName name="_xlnm.Print_Area" localSheetId="11">'Oct-2019 GL'!$A$1:$H$170</definedName>
    <definedName name="_xlnm.Print_Area" localSheetId="34">'PY 19 Closeout'!$A$1:$I$87</definedName>
    <definedName name="_xlnm.Print_Area" localSheetId="22">'Salaries &amp; Fringe Allocations'!$A$305:$R$344</definedName>
    <definedName name="_xlnm.Print_Area" localSheetId="7">'Sept-2019'!$A$1:$I$87</definedName>
    <definedName name="_xlnm.Print_Area" localSheetId="8">'Sept-2019 GL'!$A$1:$H$142</definedName>
    <definedName name="_xlnm.Print_Titles" localSheetId="5">'Aug 2019 GL'!$1:$5</definedName>
    <definedName name="_xlnm.Print_Titles" localSheetId="17">'Dec-19 GL'!$1:$5</definedName>
    <definedName name="_xlnm.Print_Titles" localSheetId="24">'Feb-2020 GL'!$1:$5</definedName>
    <definedName name="_xlnm.Print_Titles" localSheetId="21">'Jan-2020 GL'!$1:$5</definedName>
    <definedName name="_xlnm.Print_Titles" localSheetId="2">'Jul-2019 GL'!$1:$5</definedName>
    <definedName name="_xlnm.Print_Titles" localSheetId="14">'Nov-19 GL'!$1:$5</definedName>
    <definedName name="_xlnm.Print_Titles" localSheetId="11">'Oct-2019 GL'!$1:$5</definedName>
    <definedName name="_xlnm.Print_Titles" localSheetId="8">'Sept-2019 GL'!$1:$5</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6" i="155" l="1"/>
  <c r="G161" i="186"/>
  <c r="G144" i="186"/>
  <c r="G141" i="186"/>
  <c r="G136" i="186"/>
  <c r="G167" i="186"/>
  <c r="E54" i="155" s="1"/>
  <c r="G129" i="186"/>
  <c r="G126" i="186"/>
  <c r="G120" i="186"/>
  <c r="B30" i="155" s="1"/>
  <c r="G109" i="186"/>
  <c r="G97" i="186"/>
  <c r="G103" i="186"/>
  <c r="G92" i="186"/>
  <c r="D27" i="155" s="1"/>
  <c r="G87" i="186"/>
  <c r="B26" i="155" s="1"/>
  <c r="G75" i="186"/>
  <c r="D23" i="155" s="1"/>
  <c r="G65" i="186"/>
  <c r="I335" i="163" s="1"/>
  <c r="G60" i="186"/>
  <c r="G57" i="186"/>
  <c r="G54" i="186"/>
  <c r="G51" i="186"/>
  <c r="G154" i="186"/>
  <c r="B35" i="155" s="1"/>
  <c r="G47" i="186"/>
  <c r="N337" i="163" s="1"/>
  <c r="G21" i="186"/>
  <c r="B31" i="155" s="1"/>
  <c r="G17" i="186"/>
  <c r="C45" i="155" s="1"/>
  <c r="G14" i="186"/>
  <c r="C44" i="155" s="1"/>
  <c r="G10" i="186"/>
  <c r="C41" i="155" s="1"/>
  <c r="G27" i="186"/>
  <c r="F343" i="163" s="1"/>
  <c r="G41" i="186"/>
  <c r="D11" i="155"/>
  <c r="B11" i="155"/>
  <c r="D10" i="155"/>
  <c r="D9" i="155"/>
  <c r="D8" i="155"/>
  <c r="D7" i="155"/>
  <c r="B7" i="155"/>
  <c r="B6" i="155"/>
  <c r="G145" i="186" l="1"/>
  <c r="B34" i="155" s="1"/>
  <c r="G130" i="186"/>
  <c r="B33" i="155" s="1"/>
  <c r="G111" i="186"/>
  <c r="G113" i="186" s="1"/>
  <c r="B27" i="155"/>
  <c r="I340" i="163"/>
  <c r="I338" i="163"/>
  <c r="I337" i="163"/>
  <c r="I339" i="163"/>
  <c r="G61" i="186"/>
  <c r="I334" i="163"/>
  <c r="I336" i="163"/>
  <c r="I333" i="163"/>
  <c r="N336" i="163"/>
  <c r="N334" i="163"/>
  <c r="N340" i="163"/>
  <c r="N339" i="163"/>
  <c r="N335" i="163"/>
  <c r="N333" i="163"/>
  <c r="N338" i="163"/>
  <c r="G22" i="186"/>
  <c r="B314" i="163"/>
  <c r="B313" i="163"/>
  <c r="H339" i="163" l="1"/>
  <c r="G67" i="186"/>
  <c r="G69" i="186" s="1"/>
  <c r="H338" i="163"/>
  <c r="H334" i="163"/>
  <c r="H337" i="163"/>
  <c r="H336" i="163"/>
  <c r="H335" i="163"/>
  <c r="H333" i="163"/>
  <c r="H340" i="163"/>
  <c r="B311" i="163"/>
  <c r="P340" i="163"/>
  <c r="O340" i="163"/>
  <c r="E340" i="163"/>
  <c r="C340" i="163"/>
  <c r="P339" i="163"/>
  <c r="O339" i="163"/>
  <c r="E339" i="163"/>
  <c r="C339" i="163"/>
  <c r="P338" i="163"/>
  <c r="O338" i="163"/>
  <c r="M338" i="163"/>
  <c r="K338" i="163"/>
  <c r="E338" i="163"/>
  <c r="B338" i="163"/>
  <c r="P337" i="163"/>
  <c r="O337" i="163"/>
  <c r="M337" i="163"/>
  <c r="E337" i="163"/>
  <c r="B337" i="163"/>
  <c r="P336" i="163"/>
  <c r="O336" i="163"/>
  <c r="M336" i="163"/>
  <c r="K336" i="163"/>
  <c r="E336" i="163"/>
  <c r="D336" i="163"/>
  <c r="F336" i="163" s="1"/>
  <c r="C336" i="163"/>
  <c r="B336" i="163"/>
  <c r="P335" i="163"/>
  <c r="O335" i="163"/>
  <c r="E335" i="163"/>
  <c r="C335" i="163"/>
  <c r="P334" i="163"/>
  <c r="O334" i="163"/>
  <c r="E334" i="163"/>
  <c r="C334" i="163"/>
  <c r="P333" i="163"/>
  <c r="P342" i="163" s="1"/>
  <c r="O333" i="163"/>
  <c r="O342" i="163" s="1"/>
  <c r="C333" i="163"/>
  <c r="P329" i="163"/>
  <c r="O329" i="163"/>
  <c r="N329" i="163"/>
  <c r="L329" i="163"/>
  <c r="J329" i="163"/>
  <c r="I329" i="163"/>
  <c r="H329" i="163"/>
  <c r="E329" i="163"/>
  <c r="B327" i="163"/>
  <c r="D327" i="163" s="1"/>
  <c r="M327" i="163" s="1"/>
  <c r="B326" i="163"/>
  <c r="B339" i="163" s="1"/>
  <c r="D339" i="163" s="1"/>
  <c r="Q325" i="163"/>
  <c r="C325" i="163"/>
  <c r="D325" i="163" s="1"/>
  <c r="F325" i="163" s="1"/>
  <c r="C324" i="163"/>
  <c r="D324" i="163" s="1"/>
  <c r="Q323" i="163"/>
  <c r="F323" i="163"/>
  <c r="D323" i="163"/>
  <c r="B322" i="163"/>
  <c r="D322" i="163" s="1"/>
  <c r="M322" i="163" s="1"/>
  <c r="B321" i="163"/>
  <c r="D321" i="163" s="1"/>
  <c r="K320" i="163"/>
  <c r="Q320" i="163" s="1"/>
  <c r="B320" i="163"/>
  <c r="D320" i="163" s="1"/>
  <c r="M320" i="163" s="1"/>
  <c r="P316" i="163"/>
  <c r="O316" i="163"/>
  <c r="N316" i="163"/>
  <c r="L316" i="163"/>
  <c r="J316" i="163"/>
  <c r="I316" i="163"/>
  <c r="H316" i="163"/>
  <c r="D314" i="163"/>
  <c r="F314" i="163" s="1"/>
  <c r="D313" i="163"/>
  <c r="Q312" i="163"/>
  <c r="C312" i="163"/>
  <c r="D312" i="163" s="1"/>
  <c r="F312" i="163" s="1"/>
  <c r="C311" i="163"/>
  <c r="Q310" i="163"/>
  <c r="F310" i="163"/>
  <c r="D310" i="163"/>
  <c r="B309" i="163"/>
  <c r="B335" i="163" s="1"/>
  <c r="D335" i="163" s="1"/>
  <c r="D308" i="163"/>
  <c r="M308" i="163" s="1"/>
  <c r="B308" i="163"/>
  <c r="B307" i="163"/>
  <c r="B333" i="163" s="1"/>
  <c r="D333" i="163" s="1"/>
  <c r="M314" i="163" l="1"/>
  <c r="M340" i="163" s="1"/>
  <c r="K314" i="163"/>
  <c r="K340" i="163" s="1"/>
  <c r="K324" i="163"/>
  <c r="Q324" i="163" s="1"/>
  <c r="F324" i="163"/>
  <c r="J333" i="163"/>
  <c r="L333" i="163"/>
  <c r="J335" i="163"/>
  <c r="F335" i="163"/>
  <c r="L335" i="163"/>
  <c r="K321" i="163"/>
  <c r="Q321" i="163" s="1"/>
  <c r="F321" i="163"/>
  <c r="M321" i="163"/>
  <c r="L339" i="163"/>
  <c r="F339" i="163"/>
  <c r="J339" i="163"/>
  <c r="C338" i="163"/>
  <c r="D338" i="163" s="1"/>
  <c r="F338" i="163" s="1"/>
  <c r="M334" i="163"/>
  <c r="D311" i="163"/>
  <c r="C337" i="163"/>
  <c r="M313" i="163"/>
  <c r="K313" i="163"/>
  <c r="F308" i="163"/>
  <c r="F313" i="163"/>
  <c r="F322" i="163"/>
  <c r="D326" i="163"/>
  <c r="F327" i="163"/>
  <c r="B340" i="163"/>
  <c r="D340" i="163" s="1"/>
  <c r="D309" i="163"/>
  <c r="D307" i="163"/>
  <c r="K308" i="163"/>
  <c r="E333" i="163"/>
  <c r="E342" i="163" s="1"/>
  <c r="E316" i="163"/>
  <c r="B334" i="163"/>
  <c r="D334" i="163" s="1"/>
  <c r="F320" i="163"/>
  <c r="K322" i="163"/>
  <c r="Q322" i="163" s="1"/>
  <c r="K327" i="163"/>
  <c r="Q327" i="163" s="1"/>
  <c r="D337" i="163"/>
  <c r="F337" i="163" s="1"/>
  <c r="G145" i="185"/>
  <c r="G140" i="185"/>
  <c r="G135" i="185"/>
  <c r="G192" i="185"/>
  <c r="G61" i="185"/>
  <c r="G160" i="185"/>
  <c r="Q314" i="163" l="1"/>
  <c r="Q329" i="163"/>
  <c r="F307" i="163"/>
  <c r="M307" i="163"/>
  <c r="K307" i="163"/>
  <c r="K326" i="163"/>
  <c r="Q326" i="163" s="1"/>
  <c r="F326" i="163"/>
  <c r="M326" i="163"/>
  <c r="M329" i="163" s="1"/>
  <c r="M339" i="163"/>
  <c r="F309" i="163"/>
  <c r="M309" i="163"/>
  <c r="M335" i="163" s="1"/>
  <c r="K309" i="163"/>
  <c r="K329" i="163"/>
  <c r="L340" i="163"/>
  <c r="J340" i="163"/>
  <c r="J342" i="163" s="1"/>
  <c r="F340" i="163"/>
  <c r="F329" i="163"/>
  <c r="Q308" i="163"/>
  <c r="K334" i="163"/>
  <c r="K339" i="163"/>
  <c r="Q313" i="163"/>
  <c r="L342" i="163"/>
  <c r="K311" i="163"/>
  <c r="F311" i="163"/>
  <c r="J334" i="163"/>
  <c r="F334" i="163"/>
  <c r="L334" i="163"/>
  <c r="F333" i="163"/>
  <c r="B272" i="163"/>
  <c r="B271" i="163"/>
  <c r="F316" i="163" l="1"/>
  <c r="F342" i="163"/>
  <c r="K316" i="163"/>
  <c r="Q307" i="163"/>
  <c r="Q316" i="163" s="1"/>
  <c r="K333" i="163"/>
  <c r="Q311" i="163"/>
  <c r="K337" i="163"/>
  <c r="K335" i="163"/>
  <c r="Q309" i="163"/>
  <c r="M333" i="163"/>
  <c r="M342" i="163" s="1"/>
  <c r="M316" i="163"/>
  <c r="B280" i="163"/>
  <c r="B279" i="163"/>
  <c r="F344" i="163" l="1"/>
  <c r="G334" i="163"/>
  <c r="G340" i="163"/>
  <c r="G335" i="163"/>
  <c r="G333" i="163"/>
  <c r="G336" i="163"/>
  <c r="G337" i="163"/>
  <c r="G338" i="163"/>
  <c r="G339" i="163"/>
  <c r="K342" i="163"/>
  <c r="G197" i="185"/>
  <c r="G118" i="185"/>
  <c r="G161" i="185"/>
  <c r="G122" i="185"/>
  <c r="G16" i="185"/>
  <c r="G342" i="163" l="1"/>
  <c r="Q333" i="163"/>
  <c r="G124" i="185"/>
  <c r="B26" i="154" s="1"/>
  <c r="G109" i="185"/>
  <c r="B24" i="154" s="1"/>
  <c r="G106" i="185"/>
  <c r="D24" i="154" s="1"/>
  <c r="N342" i="163" l="1"/>
  <c r="H342" i="163"/>
  <c r="Q336" i="163"/>
  <c r="Q334" i="163"/>
  <c r="Q340" i="163"/>
  <c r="Q335" i="163"/>
  <c r="I342" i="163"/>
  <c r="Q337" i="163"/>
  <c r="Q338" i="163"/>
  <c r="Q339" i="163"/>
  <c r="G110" i="185"/>
  <c r="B18" i="155" l="1"/>
  <c r="Q342" i="163"/>
  <c r="D18" i="155"/>
  <c r="G179" i="185"/>
  <c r="G36" i="185"/>
  <c r="M285" i="163"/>
  <c r="M284" i="163"/>
  <c r="K285" i="163"/>
  <c r="K284" i="163"/>
  <c r="D9" i="154"/>
  <c r="D8" i="154"/>
  <c r="B6" i="154"/>
  <c r="G174" i="185"/>
  <c r="G184" i="185" s="1"/>
  <c r="B34" i="154" s="1"/>
  <c r="G182" i="185"/>
  <c r="G167" i="185"/>
  <c r="G130" i="185"/>
  <c r="D27" i="154" s="1"/>
  <c r="G155" i="185"/>
  <c r="B30" i="154" s="1"/>
  <c r="B35" i="154"/>
  <c r="G99" i="185"/>
  <c r="D23" i="154" s="1"/>
  <c r="G82" i="185"/>
  <c r="G75" i="185"/>
  <c r="G72" i="185"/>
  <c r="G69" i="185"/>
  <c r="G66" i="185"/>
  <c r="G54" i="185"/>
  <c r="G51" i="185"/>
  <c r="G48" i="185"/>
  <c r="G45" i="185"/>
  <c r="G30" i="185"/>
  <c r="B31" i="154" s="1"/>
  <c r="G26" i="185"/>
  <c r="C45" i="154" s="1"/>
  <c r="G23" i="185"/>
  <c r="C44" i="154" s="1"/>
  <c r="G10" i="185"/>
  <c r="G169" i="185" l="1"/>
  <c r="B33" i="154" s="1"/>
  <c r="G147" i="185"/>
  <c r="G149" i="185" s="1"/>
  <c r="G18" i="185"/>
  <c r="C41" i="154" s="1"/>
  <c r="G56" i="185"/>
  <c r="G77" i="185"/>
  <c r="N299" i="163"/>
  <c r="I299" i="163"/>
  <c r="B27" i="154" l="1"/>
  <c r="G31" i="185"/>
  <c r="G84" i="185"/>
  <c r="H299" i="163"/>
  <c r="G86" i="185"/>
  <c r="L291" i="163"/>
  <c r="K258" i="163"/>
  <c r="E287" i="163" l="1"/>
  <c r="E265" i="163"/>
  <c r="E291" i="163" s="1"/>
  <c r="O299" i="163"/>
  <c r="M299" i="163"/>
  <c r="E299" i="163"/>
  <c r="C299" i="163"/>
  <c r="B299" i="163"/>
  <c r="D299" i="163" s="1"/>
  <c r="P298" i="163"/>
  <c r="O298" i="163"/>
  <c r="E298" i="163"/>
  <c r="C298" i="163"/>
  <c r="P297" i="163"/>
  <c r="O297" i="163"/>
  <c r="E297" i="163"/>
  <c r="C297" i="163"/>
  <c r="B297" i="163"/>
  <c r="D297" i="163" s="1"/>
  <c r="L297" i="163" s="1"/>
  <c r="P296" i="163"/>
  <c r="O296" i="163"/>
  <c r="M296" i="163"/>
  <c r="K296" i="163"/>
  <c r="E296" i="163"/>
  <c r="B296" i="163"/>
  <c r="P295" i="163"/>
  <c r="O295" i="163"/>
  <c r="M295" i="163"/>
  <c r="E295" i="163"/>
  <c r="B295" i="163"/>
  <c r="P294" i="163"/>
  <c r="O294" i="163"/>
  <c r="M294" i="163"/>
  <c r="K294" i="163"/>
  <c r="E294" i="163"/>
  <c r="C294" i="163"/>
  <c r="D294" i="163" s="1"/>
  <c r="F294" i="163" s="1"/>
  <c r="B294" i="163"/>
  <c r="P293" i="163"/>
  <c r="O293" i="163"/>
  <c r="E293" i="163"/>
  <c r="C293" i="163"/>
  <c r="P292" i="163"/>
  <c r="O292" i="163"/>
  <c r="E292" i="163"/>
  <c r="C292" i="163"/>
  <c r="P291" i="163"/>
  <c r="P300" i="163" s="1"/>
  <c r="O291" i="163"/>
  <c r="C291" i="163"/>
  <c r="P287" i="163"/>
  <c r="O287" i="163"/>
  <c r="N287" i="163"/>
  <c r="L287" i="163"/>
  <c r="J287" i="163"/>
  <c r="I287" i="163"/>
  <c r="H287" i="163"/>
  <c r="Q286" i="163"/>
  <c r="D286" i="163"/>
  <c r="F286" i="163" s="1"/>
  <c r="B285" i="163"/>
  <c r="D285" i="163" s="1"/>
  <c r="B284" i="163"/>
  <c r="D284" i="163" s="1"/>
  <c r="F284" i="163" s="1"/>
  <c r="Q283" i="163"/>
  <c r="C283" i="163"/>
  <c r="D283" i="163" s="1"/>
  <c r="F283" i="163" s="1"/>
  <c r="C282" i="163"/>
  <c r="D282" i="163" s="1"/>
  <c r="F282" i="163" s="1"/>
  <c r="Q281" i="163"/>
  <c r="D281" i="163"/>
  <c r="F281" i="163" s="1"/>
  <c r="D280" i="163"/>
  <c r="D279" i="163"/>
  <c r="B278" i="163"/>
  <c r="D278" i="163" s="1"/>
  <c r="P274" i="163"/>
  <c r="O274" i="163"/>
  <c r="N274" i="163"/>
  <c r="L274" i="163"/>
  <c r="J274" i="163"/>
  <c r="I274" i="163"/>
  <c r="H274" i="163"/>
  <c r="K299" i="163"/>
  <c r="F273" i="163"/>
  <c r="D273" i="163"/>
  <c r="D272" i="163"/>
  <c r="D271" i="163"/>
  <c r="Q270" i="163"/>
  <c r="C270" i="163"/>
  <c r="C296" i="163" s="1"/>
  <c r="D296" i="163" s="1"/>
  <c r="F296" i="163" s="1"/>
  <c r="D10" i="154" s="1"/>
  <c r="C269" i="163"/>
  <c r="C295" i="163" s="1"/>
  <c r="Q268" i="163"/>
  <c r="F268" i="163"/>
  <c r="D268" i="163"/>
  <c r="B267" i="163"/>
  <c r="D266" i="163"/>
  <c r="B266" i="163"/>
  <c r="B292" i="163" s="1"/>
  <c r="D292" i="163" s="1"/>
  <c r="L292" i="163" s="1"/>
  <c r="B265" i="163"/>
  <c r="D270" i="163" l="1"/>
  <c r="F270" i="163" s="1"/>
  <c r="E300" i="163"/>
  <c r="E274" i="163"/>
  <c r="O300" i="163"/>
  <c r="F280" i="163"/>
  <c r="K280" i="163"/>
  <c r="J292" i="163"/>
  <c r="F292" i="163"/>
  <c r="M272" i="163"/>
  <c r="M298" i="163" s="1"/>
  <c r="F272" i="163"/>
  <c r="M279" i="163"/>
  <c r="K279" i="163"/>
  <c r="Q279" i="163" s="1"/>
  <c r="F266" i="163"/>
  <c r="M266" i="163"/>
  <c r="K266" i="163"/>
  <c r="K272" i="163"/>
  <c r="F279" i="163"/>
  <c r="F285" i="163"/>
  <c r="Q285" i="163"/>
  <c r="F299" i="163"/>
  <c r="G299" i="163" s="1"/>
  <c r="J297" i="163"/>
  <c r="F297" i="163"/>
  <c r="B11" i="154" s="1"/>
  <c r="B291" i="163"/>
  <c r="D291" i="163" s="1"/>
  <c r="D265" i="163"/>
  <c r="F271" i="163"/>
  <c r="M271" i="163"/>
  <c r="K271" i="163"/>
  <c r="F278" i="163"/>
  <c r="K278" i="163"/>
  <c r="B293" i="163"/>
  <c r="D293" i="163" s="1"/>
  <c r="L293" i="163" s="1"/>
  <c r="M278" i="163"/>
  <c r="M280" i="163"/>
  <c r="K282" i="163"/>
  <c r="Q282" i="163" s="1"/>
  <c r="Q284" i="163"/>
  <c r="D295" i="163"/>
  <c r="F295" i="163" s="1"/>
  <c r="D267" i="163"/>
  <c r="D269" i="163"/>
  <c r="Q273" i="163"/>
  <c r="B298" i="163"/>
  <c r="D298" i="163" s="1"/>
  <c r="L298" i="163" s="1"/>
  <c r="G103" i="184"/>
  <c r="G118" i="184"/>
  <c r="G185" i="184"/>
  <c r="G178" i="184"/>
  <c r="G171" i="184"/>
  <c r="G167" i="184"/>
  <c r="G156" i="184"/>
  <c r="G150" i="184"/>
  <c r="G129" i="184"/>
  <c r="G124" i="184"/>
  <c r="G85" i="184"/>
  <c r="B7" i="154" l="1"/>
  <c r="M267" i="163"/>
  <c r="M293" i="163" s="1"/>
  <c r="F267" i="163"/>
  <c r="K267" i="163"/>
  <c r="Q278" i="163"/>
  <c r="Q287" i="163" s="1"/>
  <c r="K287" i="163"/>
  <c r="K298" i="163"/>
  <c r="Q272" i="163"/>
  <c r="J298" i="163"/>
  <c r="F298" i="163"/>
  <c r="D11" i="154" s="1"/>
  <c r="F287" i="163"/>
  <c r="M265" i="163"/>
  <c r="F265" i="163"/>
  <c r="K265" i="163"/>
  <c r="K292" i="163"/>
  <c r="Q266" i="163"/>
  <c r="M287" i="163"/>
  <c r="K297" i="163"/>
  <c r="Q271" i="163"/>
  <c r="J291" i="163"/>
  <c r="F291" i="163"/>
  <c r="M292" i="163"/>
  <c r="K269" i="163"/>
  <c r="F269" i="163"/>
  <c r="J293" i="163"/>
  <c r="F293" i="163"/>
  <c r="D7" i="154" s="1"/>
  <c r="M297" i="163"/>
  <c r="Q280" i="163"/>
  <c r="G189" i="184"/>
  <c r="J300" i="163" l="1"/>
  <c r="F300" i="163"/>
  <c r="Q265" i="163"/>
  <c r="K274" i="163"/>
  <c r="K291" i="163"/>
  <c r="Q267" i="163"/>
  <c r="K293" i="163"/>
  <c r="K295" i="163"/>
  <c r="Q269" i="163"/>
  <c r="F274" i="163"/>
  <c r="Q299" i="163"/>
  <c r="L300" i="163"/>
  <c r="M291" i="163"/>
  <c r="M300" i="163" s="1"/>
  <c r="M274" i="163"/>
  <c r="D36" i="153"/>
  <c r="B35" i="153"/>
  <c r="D24" i="153"/>
  <c r="B33" i="153"/>
  <c r="G162" i="184"/>
  <c r="B30" i="153"/>
  <c r="G141" i="184"/>
  <c r="B27" i="153" s="1"/>
  <c r="D27" i="153"/>
  <c r="G114" i="184"/>
  <c r="G106" i="184"/>
  <c r="B24" i="153" s="1"/>
  <c r="G53" i="184"/>
  <c r="G56" i="184"/>
  <c r="B12" i="153"/>
  <c r="B11" i="153"/>
  <c r="D11" i="153"/>
  <c r="D10" i="153"/>
  <c r="D9" i="153"/>
  <c r="D8" i="153"/>
  <c r="D7" i="153"/>
  <c r="B7" i="153"/>
  <c r="B6" i="153"/>
  <c r="M257" i="163"/>
  <c r="M256" i="163"/>
  <c r="M255" i="163"/>
  <c r="M254" i="163"/>
  <c r="M253" i="163"/>
  <c r="M252" i="163"/>
  <c r="M251" i="163"/>
  <c r="M250" i="163"/>
  <c r="M249" i="163"/>
  <c r="K250" i="163"/>
  <c r="K251" i="163"/>
  <c r="K252" i="163"/>
  <c r="K253" i="163"/>
  <c r="K254" i="163"/>
  <c r="K255" i="163"/>
  <c r="K256" i="163"/>
  <c r="K257" i="163"/>
  <c r="K249" i="163"/>
  <c r="G250" i="163"/>
  <c r="G251" i="163"/>
  <c r="G252" i="163"/>
  <c r="G253" i="163"/>
  <c r="I253" i="163" s="1"/>
  <c r="G254" i="163"/>
  <c r="G255" i="163"/>
  <c r="G256" i="163"/>
  <c r="G257" i="163"/>
  <c r="I257" i="163" s="1"/>
  <c r="G249" i="163"/>
  <c r="I250" i="163"/>
  <c r="I251" i="163"/>
  <c r="I252" i="163"/>
  <c r="I254" i="163"/>
  <c r="I255" i="163"/>
  <c r="I256" i="163"/>
  <c r="I249" i="163"/>
  <c r="G76" i="184"/>
  <c r="G73" i="184"/>
  <c r="G70" i="184"/>
  <c r="G67" i="184"/>
  <c r="G62" i="184"/>
  <c r="N252" i="163" s="1"/>
  <c r="G25" i="184"/>
  <c r="G28" i="184"/>
  <c r="G33" i="184"/>
  <c r="G39" i="184"/>
  <c r="G50" i="184"/>
  <c r="G47" i="184"/>
  <c r="L250" i="163"/>
  <c r="L251" i="163"/>
  <c r="L256" i="163"/>
  <c r="L255" i="163"/>
  <c r="L257" i="163"/>
  <c r="L249" i="163"/>
  <c r="K300" i="163" l="1"/>
  <c r="F302" i="163"/>
  <c r="G297" i="163"/>
  <c r="G293" i="163"/>
  <c r="G296" i="163"/>
  <c r="G295" i="163"/>
  <c r="G291" i="163"/>
  <c r="G298" i="163"/>
  <c r="G294" i="163"/>
  <c r="G292" i="163"/>
  <c r="Q274" i="163"/>
  <c r="G108" i="184"/>
  <c r="G173" i="184"/>
  <c r="B34" i="153" s="1"/>
  <c r="G143" i="184"/>
  <c r="G119" i="184"/>
  <c r="N254" i="163"/>
  <c r="N251" i="163"/>
  <c r="G79" i="184"/>
  <c r="H256" i="163" s="1"/>
  <c r="N249" i="163"/>
  <c r="N250" i="163"/>
  <c r="N255" i="163"/>
  <c r="N257" i="163"/>
  <c r="N253" i="163"/>
  <c r="G57" i="184"/>
  <c r="G87" i="184" s="1"/>
  <c r="N256" i="163"/>
  <c r="F259" i="163"/>
  <c r="K229" i="163"/>
  <c r="G97" i="184"/>
  <c r="D23" i="153" s="1"/>
  <c r="B31" i="153"/>
  <c r="C45" i="153"/>
  <c r="C44" i="153"/>
  <c r="G11" i="184"/>
  <c r="C41" i="153" s="1"/>
  <c r="G19" i="184"/>
  <c r="E250" i="163"/>
  <c r="E251" i="163"/>
  <c r="E252" i="163"/>
  <c r="E253" i="163"/>
  <c r="E254" i="163"/>
  <c r="E255" i="163"/>
  <c r="E256" i="163"/>
  <c r="E257" i="163"/>
  <c r="B250" i="163"/>
  <c r="C250" i="163"/>
  <c r="B251" i="163"/>
  <c r="C251" i="163"/>
  <c r="B252" i="163"/>
  <c r="C252" i="163"/>
  <c r="B253" i="163"/>
  <c r="C253" i="163"/>
  <c r="B254" i="163"/>
  <c r="C254" i="163"/>
  <c r="B255" i="163"/>
  <c r="C255" i="163"/>
  <c r="B256" i="163"/>
  <c r="C256" i="163"/>
  <c r="B257" i="163"/>
  <c r="C257" i="163"/>
  <c r="C249" i="163"/>
  <c r="B249" i="163"/>
  <c r="E249" i="163"/>
  <c r="O257" i="163"/>
  <c r="D257" i="163"/>
  <c r="P256" i="163"/>
  <c r="O256" i="163"/>
  <c r="P255" i="163"/>
  <c r="O255" i="163"/>
  <c r="P254" i="163"/>
  <c r="O254" i="163"/>
  <c r="P253" i="163"/>
  <c r="O253" i="163"/>
  <c r="P252" i="163"/>
  <c r="O252" i="163"/>
  <c r="D252" i="163"/>
  <c r="P251" i="163"/>
  <c r="O251" i="163"/>
  <c r="D251" i="163"/>
  <c r="P250" i="163"/>
  <c r="O250" i="163"/>
  <c r="P249" i="163"/>
  <c r="P258" i="163" s="1"/>
  <c r="O249" i="163"/>
  <c r="O258" i="163" s="1"/>
  <c r="E258" i="163"/>
  <c r="D249" i="163"/>
  <c r="P245" i="163"/>
  <c r="O245" i="163"/>
  <c r="N245" i="163"/>
  <c r="L245" i="163"/>
  <c r="J245" i="163"/>
  <c r="I245" i="163"/>
  <c r="H245" i="163"/>
  <c r="E245" i="163"/>
  <c r="F244" i="163"/>
  <c r="D244" i="163"/>
  <c r="K244" i="163" s="1"/>
  <c r="K243" i="163"/>
  <c r="Q243" i="163" s="1"/>
  <c r="F243" i="163"/>
  <c r="D243" i="163"/>
  <c r="M243" i="163" s="1"/>
  <c r="B243" i="163"/>
  <c r="D242" i="163"/>
  <c r="F242" i="163" s="1"/>
  <c r="B242" i="163"/>
  <c r="Q241" i="163"/>
  <c r="D241" i="163"/>
  <c r="F241" i="163" s="1"/>
  <c r="C241" i="163"/>
  <c r="F240" i="163"/>
  <c r="D240" i="163"/>
  <c r="K240" i="163" s="1"/>
  <c r="Q240" i="163" s="1"/>
  <c r="C240" i="163"/>
  <c r="Q239" i="163"/>
  <c r="F239" i="163"/>
  <c r="D239" i="163"/>
  <c r="K238" i="163"/>
  <c r="Q238" i="163" s="1"/>
  <c r="F238" i="163"/>
  <c r="D238" i="163"/>
  <c r="M238" i="163" s="1"/>
  <c r="B238" i="163"/>
  <c r="D237" i="163"/>
  <c r="F237" i="163" s="1"/>
  <c r="B237" i="163"/>
  <c r="K236" i="163"/>
  <c r="F236" i="163"/>
  <c r="D236" i="163"/>
  <c r="M236" i="163" s="1"/>
  <c r="B236" i="163"/>
  <c r="P232" i="163"/>
  <c r="O232" i="163"/>
  <c r="N232" i="163"/>
  <c r="L232" i="163"/>
  <c r="J232" i="163"/>
  <c r="I232" i="163"/>
  <c r="H232" i="163"/>
  <c r="E232" i="163"/>
  <c r="D231" i="163"/>
  <c r="F231" i="163" s="1"/>
  <c r="F230" i="163"/>
  <c r="D230" i="163"/>
  <c r="K230" i="163" s="1"/>
  <c r="B230" i="163"/>
  <c r="D256" i="163" s="1"/>
  <c r="B229" i="163"/>
  <c r="D255" i="163" s="1"/>
  <c r="Q228" i="163"/>
  <c r="C228" i="163"/>
  <c r="D228" i="163" s="1"/>
  <c r="F228" i="163" s="1"/>
  <c r="D227" i="163"/>
  <c r="F227" i="163" s="1"/>
  <c r="C227" i="163"/>
  <c r="D253" i="163" s="1"/>
  <c r="F253" i="163" s="1"/>
  <c r="Q226" i="163"/>
  <c r="D226" i="163"/>
  <c r="F226" i="163" s="1"/>
  <c r="F225" i="163"/>
  <c r="D225" i="163"/>
  <c r="K225" i="163" s="1"/>
  <c r="B225" i="163"/>
  <c r="B224" i="163"/>
  <c r="D224" i="163" s="1"/>
  <c r="F223" i="163"/>
  <c r="D223" i="163"/>
  <c r="K223" i="163" s="1"/>
  <c r="B223" i="163"/>
  <c r="N293" i="163" l="1"/>
  <c r="I293" i="163"/>
  <c r="H293" i="163"/>
  <c r="G300" i="163"/>
  <c r="I291" i="163"/>
  <c r="N291" i="163"/>
  <c r="H291" i="163"/>
  <c r="N297" i="163"/>
  <c r="I297" i="163"/>
  <c r="H297" i="163"/>
  <c r="I292" i="163"/>
  <c r="N292" i="163"/>
  <c r="H292" i="163"/>
  <c r="I295" i="163"/>
  <c r="N295" i="163"/>
  <c r="H295" i="163"/>
  <c r="N294" i="163"/>
  <c r="I294" i="163"/>
  <c r="H294" i="163"/>
  <c r="I296" i="163"/>
  <c r="N296" i="163"/>
  <c r="H296" i="163"/>
  <c r="I298" i="163"/>
  <c r="N298" i="163"/>
  <c r="H298" i="163"/>
  <c r="B26" i="153"/>
  <c r="H251" i="163"/>
  <c r="H249" i="163"/>
  <c r="H253" i="163"/>
  <c r="H250" i="163"/>
  <c r="H252" i="163"/>
  <c r="H257" i="163"/>
  <c r="H255" i="163"/>
  <c r="H254" i="163"/>
  <c r="G20" i="184"/>
  <c r="G34" i="184" s="1"/>
  <c r="F252" i="163"/>
  <c r="Q230" i="163"/>
  <c r="F245" i="163"/>
  <c r="J256" i="163"/>
  <c r="F256" i="163"/>
  <c r="J255" i="163"/>
  <c r="F255" i="163"/>
  <c r="J249" i="163"/>
  <c r="F249" i="163"/>
  <c r="J251" i="163"/>
  <c r="F251" i="163"/>
  <c r="K224" i="163"/>
  <c r="F224" i="163"/>
  <c r="M224" i="163"/>
  <c r="F257" i="163"/>
  <c r="J257" i="163"/>
  <c r="M223" i="163"/>
  <c r="M225" i="163"/>
  <c r="K227" i="163"/>
  <c r="M230" i="163"/>
  <c r="K231" i="163"/>
  <c r="Q236" i="163"/>
  <c r="K237" i="163"/>
  <c r="K242" i="163"/>
  <c r="M244" i="163"/>
  <c r="Q244" i="163" s="1"/>
  <c r="M231" i="163"/>
  <c r="M237" i="163"/>
  <c r="M245" i="163" s="1"/>
  <c r="M242" i="163"/>
  <c r="D250" i="163"/>
  <c r="D254" i="163"/>
  <c r="F254" i="163" s="1"/>
  <c r="D229" i="163"/>
  <c r="G171" i="183"/>
  <c r="Q294" i="163" l="1"/>
  <c r="Q293" i="163"/>
  <c r="Q296" i="163"/>
  <c r="Q297" i="163"/>
  <c r="H300" i="163"/>
  <c r="Q291" i="163"/>
  <c r="N300" i="163"/>
  <c r="Q298" i="163"/>
  <c r="Q292" i="163"/>
  <c r="Q295" i="163"/>
  <c r="I300" i="163"/>
  <c r="F232" i="163"/>
  <c r="M258" i="163"/>
  <c r="Q224" i="163"/>
  <c r="M229" i="163"/>
  <c r="F229" i="163"/>
  <c r="Q237" i="163"/>
  <c r="Q227" i="163"/>
  <c r="J250" i="163"/>
  <c r="J258" i="163" s="1"/>
  <c r="F250" i="163"/>
  <c r="Q245" i="163"/>
  <c r="K245" i="163"/>
  <c r="Q253" i="163"/>
  <c r="Q225" i="163"/>
  <c r="Q231" i="163"/>
  <c r="Q242" i="163"/>
  <c r="L258" i="163"/>
  <c r="Q223" i="163"/>
  <c r="Q252" i="163"/>
  <c r="E54" i="152"/>
  <c r="B18" i="154" l="1"/>
  <c r="Q300" i="163"/>
  <c r="D18" i="154"/>
  <c r="Q257" i="163"/>
  <c r="F258" i="163"/>
  <c r="F260" i="163" s="1"/>
  <c r="Q251" i="163"/>
  <c r="Q254" i="163"/>
  <c r="Q256" i="163"/>
  <c r="Q229" i="163"/>
  <c r="Q232" i="163"/>
  <c r="K232" i="163"/>
  <c r="G258" i="163"/>
  <c r="I258" i="163"/>
  <c r="N258" i="163"/>
  <c r="M232" i="163"/>
  <c r="E42" i="153"/>
  <c r="E42" i="152"/>
  <c r="E42" i="69"/>
  <c r="F42" i="69" s="1"/>
  <c r="E42" i="160"/>
  <c r="E42" i="159"/>
  <c r="E42" i="158"/>
  <c r="E42" i="157"/>
  <c r="E43" i="157"/>
  <c r="E42" i="156"/>
  <c r="E42" i="155"/>
  <c r="E42" i="154"/>
  <c r="D18" i="153" l="1"/>
  <c r="Q250" i="163"/>
  <c r="Q249" i="163"/>
  <c r="H258" i="163"/>
  <c r="Q255" i="163"/>
  <c r="L49" i="151"/>
  <c r="B18" i="153" l="1"/>
  <c r="Q258" i="163"/>
  <c r="D27" i="152"/>
  <c r="B35" i="152"/>
  <c r="G161" i="183"/>
  <c r="G158" i="183"/>
  <c r="G155" i="183"/>
  <c r="G148" i="183"/>
  <c r="G145" i="183"/>
  <c r="G128" i="183"/>
  <c r="G130" i="183" s="1"/>
  <c r="G135" i="183"/>
  <c r="B30" i="152" s="1"/>
  <c r="G101" i="183"/>
  <c r="G107" i="183"/>
  <c r="B28" i="152" s="1"/>
  <c r="G102" i="183" l="1"/>
  <c r="B26" i="152" s="1"/>
  <c r="B27" i="152"/>
  <c r="G149" i="183"/>
  <c r="B33" i="152" s="1"/>
  <c r="G162" i="183"/>
  <c r="B34" i="152" s="1"/>
  <c r="G94" i="183" l="1"/>
  <c r="B24" i="152" s="1"/>
  <c r="D23" i="152"/>
  <c r="G49" i="183"/>
  <c r="G68" i="183"/>
  <c r="G63" i="183"/>
  <c r="G60" i="183"/>
  <c r="G57" i="183"/>
  <c r="G54" i="183"/>
  <c r="G65" i="183" l="1"/>
  <c r="G42" i="183" l="1"/>
  <c r="G39" i="183"/>
  <c r="G36" i="183"/>
  <c r="G33" i="183"/>
  <c r="G28" i="183"/>
  <c r="G22" i="183"/>
  <c r="B31" i="152" s="1"/>
  <c r="G18" i="183"/>
  <c r="C45" i="152" s="1"/>
  <c r="G15" i="183"/>
  <c r="C44" i="152" s="1"/>
  <c r="G11" i="183"/>
  <c r="G91" i="183"/>
  <c r="G29" i="183" l="1"/>
  <c r="F218" i="163"/>
  <c r="D24" i="152"/>
  <c r="G95" i="183"/>
  <c r="G23" i="183"/>
  <c r="G44" i="183"/>
  <c r="C41" i="152"/>
  <c r="G70" i="183" l="1"/>
  <c r="B202" i="163" l="1"/>
  <c r="B201" i="163"/>
  <c r="B189" i="163"/>
  <c r="B188" i="163"/>
  <c r="B171" i="163" l="1"/>
  <c r="B170" i="163"/>
  <c r="M213" i="163"/>
  <c r="M212" i="163"/>
  <c r="M211" i="163"/>
  <c r="K213" i="163"/>
  <c r="K211" i="163"/>
  <c r="C216" i="163"/>
  <c r="C214" i="163"/>
  <c r="C211" i="163"/>
  <c r="C209" i="163"/>
  <c r="C208" i="163"/>
  <c r="E216" i="163"/>
  <c r="E215" i="163"/>
  <c r="E214" i="163"/>
  <c r="E213" i="163"/>
  <c r="E212" i="163"/>
  <c r="E211" i="163"/>
  <c r="E210" i="163"/>
  <c r="E209" i="163"/>
  <c r="E208" i="163"/>
  <c r="B211" i="163"/>
  <c r="B212" i="163"/>
  <c r="B213" i="163"/>
  <c r="B214" i="163"/>
  <c r="B215" i="163"/>
  <c r="B216" i="163"/>
  <c r="D214" i="163" l="1"/>
  <c r="D215" i="163"/>
  <c r="M189" i="163"/>
  <c r="D189" i="163"/>
  <c r="K189" i="163" s="1"/>
  <c r="D188" i="163"/>
  <c r="F188" i="163" s="1"/>
  <c r="D202" i="163"/>
  <c r="D201" i="163"/>
  <c r="M201" i="163" s="1"/>
  <c r="L215" i="163" l="1"/>
  <c r="J215" i="163"/>
  <c r="L214" i="163"/>
  <c r="J214" i="163"/>
  <c r="K188" i="163"/>
  <c r="K201" i="163"/>
  <c r="F201" i="163"/>
  <c r="M188" i="163"/>
  <c r="F189" i="163"/>
  <c r="F202" i="163"/>
  <c r="K202" i="163"/>
  <c r="M202" i="163"/>
  <c r="P204" i="163"/>
  <c r="O204" i="163"/>
  <c r="N204" i="163"/>
  <c r="L204" i="163"/>
  <c r="J204" i="163"/>
  <c r="I204" i="163"/>
  <c r="H204" i="163"/>
  <c r="E204" i="163"/>
  <c r="D203" i="163"/>
  <c r="Q200" i="163"/>
  <c r="C200" i="163"/>
  <c r="D200" i="163" s="1"/>
  <c r="F200" i="163" s="1"/>
  <c r="C199" i="163"/>
  <c r="D199" i="163" s="1"/>
  <c r="K199" i="163" s="1"/>
  <c r="Q198" i="163"/>
  <c r="D198" i="163"/>
  <c r="F198" i="163" s="1"/>
  <c r="B197" i="163"/>
  <c r="D197" i="163" s="1"/>
  <c r="B196" i="163"/>
  <c r="D196" i="163" s="1"/>
  <c r="B195" i="163"/>
  <c r="D195" i="163" s="1"/>
  <c r="O216" i="163"/>
  <c r="D216" i="163"/>
  <c r="L216" i="163" s="1"/>
  <c r="P215" i="163"/>
  <c r="O215" i="163"/>
  <c r="P214" i="163"/>
  <c r="O214" i="163"/>
  <c r="F215" i="163"/>
  <c r="D11" i="152" s="1"/>
  <c r="P213" i="163"/>
  <c r="O213" i="163"/>
  <c r="P212" i="163"/>
  <c r="O212" i="163"/>
  <c r="P211" i="163"/>
  <c r="O211" i="163"/>
  <c r="P210" i="163"/>
  <c r="O210" i="163"/>
  <c r="P209" i="163"/>
  <c r="O209" i="163"/>
  <c r="P208" i="163"/>
  <c r="O208" i="163"/>
  <c r="P191" i="163"/>
  <c r="O191" i="163"/>
  <c r="N191" i="163"/>
  <c r="L191" i="163"/>
  <c r="J191" i="163"/>
  <c r="I191" i="163"/>
  <c r="H191" i="163"/>
  <c r="E191" i="163"/>
  <c r="D190" i="163"/>
  <c r="Q189" i="163"/>
  <c r="Q187" i="163"/>
  <c r="C187" i="163"/>
  <c r="C186" i="163"/>
  <c r="D186" i="163" s="1"/>
  <c r="K186" i="163" s="1"/>
  <c r="Q185" i="163"/>
  <c r="D185" i="163"/>
  <c r="F185" i="163" s="1"/>
  <c r="B184" i="163"/>
  <c r="B183" i="163"/>
  <c r="B182" i="163"/>
  <c r="P178" i="163"/>
  <c r="O178" i="163"/>
  <c r="N178" i="163"/>
  <c r="L178" i="163"/>
  <c r="J178" i="163"/>
  <c r="I178" i="163"/>
  <c r="H178" i="163"/>
  <c r="E178" i="163"/>
  <c r="D177" i="163"/>
  <c r="D176" i="163"/>
  <c r="D175" i="163"/>
  <c r="Q174" i="163"/>
  <c r="F174" i="163"/>
  <c r="D174" i="163"/>
  <c r="F173" i="163"/>
  <c r="C173" i="163"/>
  <c r="Q172" i="163"/>
  <c r="F172" i="163"/>
  <c r="D172" i="163"/>
  <c r="D171" i="163"/>
  <c r="D170" i="163"/>
  <c r="D169" i="163"/>
  <c r="D184" i="163" l="1"/>
  <c r="B210" i="163"/>
  <c r="M196" i="163"/>
  <c r="K196" i="163"/>
  <c r="C212" i="163"/>
  <c r="D212" i="163" s="1"/>
  <c r="F212" i="163" s="1"/>
  <c r="D9" i="152" s="1"/>
  <c r="M190" i="163"/>
  <c r="K190" i="163"/>
  <c r="Q190" i="163" s="1"/>
  <c r="K197" i="163"/>
  <c r="M197" i="163"/>
  <c r="D173" i="163"/>
  <c r="D182" i="163"/>
  <c r="B208" i="163"/>
  <c r="D187" i="163"/>
  <c r="F187" i="163" s="1"/>
  <c r="C213" i="163"/>
  <c r="F190" i="163"/>
  <c r="M169" i="163"/>
  <c r="K169" i="163"/>
  <c r="D183" i="163"/>
  <c r="B209" i="163"/>
  <c r="D209" i="163" s="1"/>
  <c r="K195" i="163"/>
  <c r="M195" i="163"/>
  <c r="F203" i="163"/>
  <c r="M203" i="163"/>
  <c r="K203" i="163"/>
  <c r="Q203" i="163" s="1"/>
  <c r="Q202" i="163"/>
  <c r="F176" i="163"/>
  <c r="K176" i="163"/>
  <c r="K215" i="163" s="1"/>
  <c r="M176" i="163"/>
  <c r="M215" i="163" s="1"/>
  <c r="K175" i="163"/>
  <c r="K214" i="163" s="1"/>
  <c r="M175" i="163"/>
  <c r="M214" i="163" s="1"/>
  <c r="K177" i="163"/>
  <c r="M177" i="163"/>
  <c r="M216" i="163" s="1"/>
  <c r="M171" i="163"/>
  <c r="K171" i="163"/>
  <c r="M170" i="163"/>
  <c r="K170" i="163"/>
  <c r="F175" i="163"/>
  <c r="Q175" i="163"/>
  <c r="Q201" i="163"/>
  <c r="Q188" i="163"/>
  <c r="D208" i="163"/>
  <c r="D211" i="163"/>
  <c r="F211" i="163" s="1"/>
  <c r="D8" i="152" s="1"/>
  <c r="D213" i="163"/>
  <c r="F213" i="163" s="1"/>
  <c r="D10" i="152" s="1"/>
  <c r="F214" i="163"/>
  <c r="B11" i="152" s="1"/>
  <c r="Q197" i="163"/>
  <c r="F197" i="163"/>
  <c r="F196" i="163"/>
  <c r="F195" i="163"/>
  <c r="E217" i="163"/>
  <c r="F199" i="163"/>
  <c r="F169" i="163"/>
  <c r="Q199" i="163"/>
  <c r="D210" i="163"/>
  <c r="F210" i="163" s="1"/>
  <c r="D7" i="152" s="1"/>
  <c r="F170" i="163"/>
  <c r="O217" i="163"/>
  <c r="Q169" i="163"/>
  <c r="F182" i="163"/>
  <c r="F171" i="163"/>
  <c r="F177" i="163"/>
  <c r="F186" i="163"/>
  <c r="J208" i="163"/>
  <c r="P217" i="163"/>
  <c r="J216" i="163"/>
  <c r="F216" i="163"/>
  <c r="B12" i="152" s="1"/>
  <c r="E11" i="151"/>
  <c r="E13" i="151"/>
  <c r="E14" i="151"/>
  <c r="L209" i="163" l="1"/>
  <c r="F209" i="163"/>
  <c r="B7" i="152" s="1"/>
  <c r="J209" i="163"/>
  <c r="K209" i="163"/>
  <c r="K208" i="163"/>
  <c r="K184" i="163"/>
  <c r="M184" i="163"/>
  <c r="M210" i="163" s="1"/>
  <c r="F184" i="163"/>
  <c r="K216" i="163"/>
  <c r="K210" i="163"/>
  <c r="M183" i="163"/>
  <c r="M209" i="163" s="1"/>
  <c r="K183" i="163"/>
  <c r="K182" i="163"/>
  <c r="Q182" i="163" s="1"/>
  <c r="M182" i="163"/>
  <c r="F183" i="163"/>
  <c r="F191" i="163" s="1"/>
  <c r="K173" i="163"/>
  <c r="Q171" i="163"/>
  <c r="J210" i="163"/>
  <c r="Q176" i="163"/>
  <c r="L208" i="163"/>
  <c r="F208" i="163"/>
  <c r="B6" i="152" s="1"/>
  <c r="F178" i="163"/>
  <c r="Q196" i="163"/>
  <c r="M204" i="163"/>
  <c r="Q195" i="163"/>
  <c r="K204" i="163"/>
  <c r="L210" i="163"/>
  <c r="F204" i="163"/>
  <c r="J217" i="163"/>
  <c r="K191" i="163"/>
  <c r="M178" i="163"/>
  <c r="Q186" i="163"/>
  <c r="Q183" i="163"/>
  <c r="Q170" i="163"/>
  <c r="Q177" i="163"/>
  <c r="G166" i="182"/>
  <c r="F217" i="163" l="1"/>
  <c r="G209" i="163" s="1"/>
  <c r="K212" i="163"/>
  <c r="K178" i="163"/>
  <c r="M191" i="163"/>
  <c r="L217" i="163"/>
  <c r="Q173" i="163"/>
  <c r="M208" i="163"/>
  <c r="M217" i="163" s="1"/>
  <c r="Q184" i="163"/>
  <c r="Q191" i="163" s="1"/>
  <c r="F219" i="163"/>
  <c r="G214" i="163"/>
  <c r="G210" i="163"/>
  <c r="G215" i="163"/>
  <c r="G213" i="163"/>
  <c r="G216" i="163"/>
  <c r="G212" i="163"/>
  <c r="G208" i="163"/>
  <c r="G211" i="163"/>
  <c r="Q204" i="163"/>
  <c r="Q178" i="163"/>
  <c r="K217" i="163"/>
  <c r="G147" i="182"/>
  <c r="N208" i="163" l="1"/>
  <c r="I208" i="163"/>
  <c r="H208" i="163"/>
  <c r="I215" i="163"/>
  <c r="N215" i="163"/>
  <c r="H215" i="163"/>
  <c r="N212" i="163"/>
  <c r="I212" i="163"/>
  <c r="H212" i="163"/>
  <c r="N210" i="163"/>
  <c r="I210" i="163"/>
  <c r="H210" i="163"/>
  <c r="N216" i="163"/>
  <c r="I216" i="163"/>
  <c r="H216" i="163"/>
  <c r="N214" i="163"/>
  <c r="I214" i="163"/>
  <c r="H214" i="163"/>
  <c r="N211" i="163"/>
  <c r="I211" i="163"/>
  <c r="H211" i="163"/>
  <c r="N213" i="163"/>
  <c r="I213" i="163"/>
  <c r="H213" i="163"/>
  <c r="I209" i="163"/>
  <c r="N209" i="163"/>
  <c r="H209" i="163"/>
  <c r="E54" i="15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P164" i="163" l="1"/>
  <c r="D163" i="163"/>
  <c r="F163" i="163" s="1"/>
  <c r="J163" i="163"/>
  <c r="L163" i="163"/>
  <c r="K150" i="163"/>
  <c r="M150" i="163"/>
  <c r="M163" i="163" s="1"/>
  <c r="D160" i="163"/>
  <c r="F150" i="163"/>
  <c r="F131" i="163"/>
  <c r="M131" i="163"/>
  <c r="K131" i="163"/>
  <c r="Q131" i="163" s="1"/>
  <c r="F142" i="163"/>
  <c r="K142" i="163"/>
  <c r="M142" i="163"/>
  <c r="F146" i="163"/>
  <c r="M146" i="163"/>
  <c r="M159" i="163" s="1"/>
  <c r="K146" i="163"/>
  <c r="K159" i="163" s="1"/>
  <c r="F158" i="163"/>
  <c r="G51" i="182"/>
  <c r="G76" i="182" s="1"/>
  <c r="D155" i="163"/>
  <c r="F161" i="163"/>
  <c r="F160" i="163"/>
  <c r="E164" i="163"/>
  <c r="C159" i="163"/>
  <c r="D159" i="163" s="1"/>
  <c r="F159" i="163" s="1"/>
  <c r="F130" i="163"/>
  <c r="K130" i="163"/>
  <c r="B156" i="163"/>
  <c r="D156" i="163" s="1"/>
  <c r="D133" i="163"/>
  <c r="K133" i="163" s="1"/>
  <c r="Q133" i="163" s="1"/>
  <c r="K149" i="163"/>
  <c r="M149" i="163"/>
  <c r="M135" i="163"/>
  <c r="M161" i="163" s="1"/>
  <c r="K135" i="163"/>
  <c r="M136" i="163"/>
  <c r="K136" i="163"/>
  <c r="M143" i="163"/>
  <c r="M156" i="163" s="1"/>
  <c r="K129" i="163"/>
  <c r="F129" i="163"/>
  <c r="F143" i="163"/>
  <c r="J162" i="163"/>
  <c r="L162" i="163"/>
  <c r="K148" i="163"/>
  <c r="Q148" i="163" s="1"/>
  <c r="F148" i="163"/>
  <c r="F136" i="163"/>
  <c r="K137" i="163"/>
  <c r="F137" i="163"/>
  <c r="B157" i="163"/>
  <c r="D157" i="163" s="1"/>
  <c r="D144" i="163"/>
  <c r="K144" i="163" s="1"/>
  <c r="O164" i="163"/>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M108" i="163" l="1"/>
  <c r="B115"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G31" i="181" s="1"/>
  <c r="D117" i="163"/>
  <c r="F117" i="163" s="1"/>
  <c r="D9" i="150" s="1"/>
  <c r="E122" i="163"/>
  <c r="M102" i="163"/>
  <c r="K102" i="163"/>
  <c r="F102" i="163"/>
  <c r="M106" i="163"/>
  <c r="M119" i="163" s="1"/>
  <c r="K106" i="163"/>
  <c r="F107" i="163"/>
  <c r="M107" i="163"/>
  <c r="K107" i="163"/>
  <c r="K117" i="163"/>
  <c r="Q91" i="163"/>
  <c r="F94" i="163"/>
  <c r="K94" i="163"/>
  <c r="M94" i="163"/>
  <c r="F101" i="163"/>
  <c r="M101" i="163"/>
  <c r="K101" i="163"/>
  <c r="K87" i="163"/>
  <c r="D88" i="163"/>
  <c r="K89" i="163"/>
  <c r="M87" i="163"/>
  <c r="M89" i="163"/>
  <c r="B120" i="163"/>
  <c r="D120" i="163" s="1"/>
  <c r="F120" i="163" s="1"/>
  <c r="G147" i="180"/>
  <c r="G152" i="180"/>
  <c r="B36" i="149" s="1"/>
  <c r="B67" i="163"/>
  <c r="B54" i="163"/>
  <c r="G9" i="180"/>
  <c r="B62" i="163"/>
  <c r="B61" i="163"/>
  <c r="B66" i="163"/>
  <c r="B49" i="163"/>
  <c r="B48" i="163"/>
  <c r="L114" i="163" l="1"/>
  <c r="Q216" i="163"/>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D18" i="151"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F42" i="149" s="1"/>
  <c r="C41" i="149"/>
  <c r="G68" i="180"/>
  <c r="C81" i="163"/>
  <c r="E81" i="163"/>
  <c r="B81" i="163"/>
  <c r="D68" i="163"/>
  <c r="D55" i="163"/>
  <c r="F55" i="163" s="1"/>
  <c r="F42" i="150" l="1"/>
  <c r="F42" i="151" s="1"/>
  <c r="F42" i="152" s="1"/>
  <c r="F42" i="153" s="1"/>
  <c r="F42" i="154" s="1"/>
  <c r="F42" i="155" s="1"/>
  <c r="F42" i="156" s="1"/>
  <c r="F42" i="157" s="1"/>
  <c r="F42" i="158" s="1"/>
  <c r="F42" i="159" s="1"/>
  <c r="F42" i="160" s="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36" i="149"/>
  <c r="E36" i="150"/>
  <c r="E36" i="151"/>
  <c r="E36" i="152"/>
  <c r="E36" i="153"/>
  <c r="E36" i="154"/>
  <c r="E36" i="155"/>
  <c r="E36" i="156"/>
  <c r="E36" i="157"/>
  <c r="E36" i="158"/>
  <c r="E36" i="159"/>
  <c r="E36" i="160"/>
  <c r="E36" i="69"/>
  <c r="F36" i="69" s="1"/>
  <c r="C37" i="149"/>
  <c r="D37" i="149"/>
  <c r="C37" i="150"/>
  <c r="D37" i="150"/>
  <c r="C37" i="151"/>
  <c r="D37" i="151"/>
  <c r="C37" i="152"/>
  <c r="D37" i="152"/>
  <c r="C37" i="153"/>
  <c r="D37" i="153"/>
  <c r="C37" i="154"/>
  <c r="D37" i="154"/>
  <c r="C37" i="155"/>
  <c r="D37" i="155"/>
  <c r="C37" i="156"/>
  <c r="D37" i="156"/>
  <c r="C37" i="157"/>
  <c r="D37" i="157"/>
  <c r="C37" i="158"/>
  <c r="D37" i="158"/>
  <c r="C37" i="159"/>
  <c r="D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9" i="172"/>
  <c r="M13" i="172" s="1"/>
  <c r="M16" i="172" s="1"/>
  <c r="M17" i="172" s="1"/>
  <c r="M25" i="171"/>
  <c r="M21" i="171"/>
  <c r="M9" i="171"/>
  <c r="M13" i="171" s="1"/>
  <c r="M16" i="171" s="1"/>
  <c r="M17" i="171" s="1"/>
  <c r="M25" i="170"/>
  <c r="M21" i="170"/>
  <c r="M9" i="170"/>
  <c r="M13" i="170" s="1"/>
  <c r="M16" i="170" s="1"/>
  <c r="M17" i="170" s="1"/>
  <c r="M25" i="169"/>
  <c r="M21"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M10" i="172" l="1"/>
  <c r="M10" i="169"/>
  <c r="H36" i="154"/>
  <c r="I36" i="154"/>
  <c r="F36" i="155"/>
  <c r="M13" i="174"/>
  <c r="M16" i="174" s="1"/>
  <c r="M17" i="174" s="1"/>
  <c r="M10" i="177"/>
  <c r="M10" i="175"/>
  <c r="M10" i="173"/>
  <c r="M10" i="171"/>
  <c r="M10" i="170"/>
  <c r="M10" i="168"/>
  <c r="M10" i="167"/>
  <c r="M10" i="166"/>
  <c r="M10" i="165"/>
  <c r="M13" i="164"/>
  <c r="M16" i="164" s="1"/>
  <c r="M10" i="164"/>
  <c r="H36" i="155" l="1"/>
  <c r="I36" i="155"/>
  <c r="F36" i="156"/>
  <c r="I42" i="149"/>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50" i="159"/>
  <c r="G48" i="159"/>
  <c r="D48" i="159"/>
  <c r="C48" i="159"/>
  <c r="B48" i="159"/>
  <c r="E47" i="159"/>
  <c r="E46" i="159"/>
  <c r="E45" i="159"/>
  <c r="E44" i="159"/>
  <c r="E43" i="159"/>
  <c r="E41" i="159"/>
  <c r="E35" i="159"/>
  <c r="E34" i="159"/>
  <c r="E33" i="159"/>
  <c r="E32" i="159"/>
  <c r="E31" i="159"/>
  <c r="E30" i="159"/>
  <c r="E29" i="159"/>
  <c r="E28" i="159"/>
  <c r="E27" i="159"/>
  <c r="E26" i="159"/>
  <c r="E25" i="159"/>
  <c r="E24" i="159"/>
  <c r="E23" i="159"/>
  <c r="E37" i="159" s="1"/>
  <c r="H19" i="159"/>
  <c r="E18" i="159"/>
  <c r="G16" i="159"/>
  <c r="G20" i="159" s="1"/>
  <c r="D16" i="159"/>
  <c r="D20" i="159" s="1"/>
  <c r="D52" i="159" s="1"/>
  <c r="D56" i="159" s="1"/>
  <c r="C16" i="159"/>
  <c r="C20" i="159" s="1"/>
  <c r="B16" i="159"/>
  <c r="B20" i="159" s="1"/>
  <c r="E12" i="159"/>
  <c r="E11" i="159"/>
  <c r="E10" i="159"/>
  <c r="E9" i="159"/>
  <c r="E8" i="159"/>
  <c r="E7" i="159"/>
  <c r="E6" i="159"/>
  <c r="E50" i="158"/>
  <c r="G48" i="158"/>
  <c r="D48" i="158"/>
  <c r="C48" i="158"/>
  <c r="B48" i="158"/>
  <c r="E47" i="158"/>
  <c r="E46" i="158"/>
  <c r="E45" i="158"/>
  <c r="E44" i="158"/>
  <c r="E43" i="158"/>
  <c r="E41" i="158"/>
  <c r="E35" i="158"/>
  <c r="E34" i="158"/>
  <c r="E33" i="158"/>
  <c r="E32" i="158"/>
  <c r="E31" i="158"/>
  <c r="E30" i="158"/>
  <c r="E29" i="158"/>
  <c r="E28" i="158"/>
  <c r="E27" i="158"/>
  <c r="E26" i="158"/>
  <c r="E25" i="158"/>
  <c r="E24" i="158"/>
  <c r="E23" i="158"/>
  <c r="H19" i="158"/>
  <c r="E18" i="158"/>
  <c r="G16" i="158"/>
  <c r="G20" i="158" s="1"/>
  <c r="D16" i="158"/>
  <c r="D20" i="158" s="1"/>
  <c r="D52" i="158" s="1"/>
  <c r="D56" i="158" s="1"/>
  <c r="C16" i="158"/>
  <c r="C20" i="158" s="1"/>
  <c r="C52" i="158" s="1"/>
  <c r="C56" i="158" s="1"/>
  <c r="B16" i="158"/>
  <c r="B20" i="158" s="1"/>
  <c r="E12" i="158"/>
  <c r="E11" i="158"/>
  <c r="E10" i="158"/>
  <c r="E9" i="158"/>
  <c r="E8" i="158"/>
  <c r="E7" i="158"/>
  <c r="E6" i="158"/>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E37" i="157" s="1"/>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C16" i="154"/>
  <c r="C20" i="154" s="1"/>
  <c r="B16" i="154"/>
  <c r="B20" i="154" s="1"/>
  <c r="E12" i="154"/>
  <c r="E11" i="154"/>
  <c r="E10" i="154"/>
  <c r="E9" i="154"/>
  <c r="E8" i="154"/>
  <c r="E7" i="154"/>
  <c r="E6" i="154"/>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H19" i="151"/>
  <c r="E18" i="151"/>
  <c r="G16" i="151"/>
  <c r="G20" i="151" s="1"/>
  <c r="D16" i="151"/>
  <c r="D20" i="151" s="1"/>
  <c r="D52" i="151" s="1"/>
  <c r="D56" i="151" s="1"/>
  <c r="C16" i="151"/>
  <c r="C20" i="151" s="1"/>
  <c r="B16" i="151"/>
  <c r="B20"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E37" i="155" l="1"/>
  <c r="D52" i="154"/>
  <c r="D56" i="154" s="1"/>
  <c r="E37" i="153"/>
  <c r="E37" i="154"/>
  <c r="E37" i="156"/>
  <c r="E37" i="158"/>
  <c r="E48" i="159"/>
  <c r="E37" i="160"/>
  <c r="B52" i="151"/>
  <c r="B56" i="151" s="1"/>
  <c r="D52" i="152"/>
  <c r="D56" i="152" s="1"/>
  <c r="C52" i="153"/>
  <c r="C56" i="153" s="1"/>
  <c r="E48" i="158"/>
  <c r="E37" i="152"/>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E58" i="157" s="1"/>
  <c r="E62" i="157" s="1"/>
  <c r="G52" i="159"/>
  <c r="G56" i="159" s="1"/>
  <c r="B52" i="155"/>
  <c r="B56" i="155" s="1"/>
  <c r="G52" i="155"/>
  <c r="G56" i="155" s="1"/>
  <c r="E16" i="156"/>
  <c r="E20" i="156" s="1"/>
  <c r="E58" i="156" s="1"/>
  <c r="E62" i="156" s="1"/>
  <c r="C52" i="156"/>
  <c r="C56" i="156" s="1"/>
  <c r="E48" i="156"/>
  <c r="G52" i="160"/>
  <c r="G56" i="160" s="1"/>
  <c r="E16" i="159"/>
  <c r="E20" i="159" s="1"/>
  <c r="E16" i="160"/>
  <c r="E20" i="160" s="1"/>
  <c r="E58" i="160" s="1"/>
  <c r="E62"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5" l="1"/>
  <c r="E62" i="155" s="1"/>
  <c r="E58" i="154"/>
  <c r="E62" i="154" s="1"/>
  <c r="E58" i="153"/>
  <c r="E62" i="153" s="1"/>
  <c r="E52" i="159"/>
  <c r="E56" i="159" s="1"/>
  <c r="E58" i="159"/>
  <c r="E62" i="159" s="1"/>
  <c r="E52" i="158"/>
  <c r="E56" i="158" s="1"/>
  <c r="E58" i="158"/>
  <c r="E62" i="158" s="1"/>
  <c r="E52" i="152"/>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F43" i="149" s="1"/>
  <c r="E46" i="69"/>
  <c r="F46" i="69" s="1"/>
  <c r="F46" i="149" s="1"/>
  <c r="E45" i="69"/>
  <c r="F45" i="69" s="1"/>
  <c r="F45" i="149" s="1"/>
  <c r="E44" i="69"/>
  <c r="F44" i="69" s="1"/>
  <c r="F44" i="14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H41" i="69" s="1"/>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M12" i="164" s="1"/>
  <c r="M17" i="164"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48" i="149" l="1"/>
  <c r="H41" i="149"/>
  <c r="F37" i="149"/>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H41" i="151" s="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3.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4.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5.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6.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7.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8.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9.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0.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1.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2.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3.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4.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5.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<sst xmlns="http://schemas.openxmlformats.org/spreadsheetml/2006/main" count="4444" uniqueCount="780">
  <si>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</si>
  <si>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</si>
  <si>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</si>
  <si>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</si>
  <si>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</si>
  <si>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</si>
  <si>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</si>
  <si>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</si>
  <si>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</si>
  <si>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</si>
  <si>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</si>
  <si>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</si>
  <si>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</si>
  <si>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</si>
  <si>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</si>
  <si>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</si>
  <si>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</si>
  <si>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</si>
  <si>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</si>
  <si>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</si>
  <si>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</si>
  <si>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</si>
  <si>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</si>
  <si>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</si>
  <si>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</si>
  <si>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</si>
  <si>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</si>
  <si>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</si>
  <si>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</si>
  <si>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</si>
  <si>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</si>
  <si>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</si>
  <si>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</si>
  <si>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</si>
  <si>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</si>
  <si>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</si>
  <si>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</si>
  <si>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</si>
  <si>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</si>
  <si>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</si>
  <si>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</si>
  <si>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</si>
  <si>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</si>
  <si>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</si>
  <si>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</si>
  <si>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</si>
  <si>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</si>
  <si>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</si>
  <si>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</si>
  <si>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</si>
  <si>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</si>
  <si>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</si>
  <si>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</si>
  <si>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</si>
  <si>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</si>
  <si>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</si>
  <si>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</si>
  <si>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</si>
  <si>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</si>
  <si>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</si>
  <si>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</si>
  <si>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</si>
  <si>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</si>
  <si>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</si>
  <si>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</si>
  <si>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</si>
  <si>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</si>
  <si>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</si>
  <si>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</si>
  <si>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</si>
  <si>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</si>
  <si>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</si>
  <si>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</si>
  <si>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</si>
  <si>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</si>
  <si>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</si>
  <si>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</si>
  <si>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</si>
  <si>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</si>
  <si>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</si>
  <si>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</si>
  <si>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</si>
  <si>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</si>
  <si>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</si>
  <si>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</si>
  <si>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</si>
  <si>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</si>
  <si>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</si>
  <si>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</si>
  <si>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</si>
  <si>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</si>
  <si>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</si>
  <si>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</si>
  <si>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</si>
  <si>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</si>
  <si>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</si>
  <si>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</si>
  <si>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</si>
  <si>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</si>
  <si>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</si>
  <si>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</si>
  <si>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</si>
  <si>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</si>
  <si>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</si>
  <si>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</si>
  <si>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</si>
  <si>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</si>
  <si>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</si>
  <si>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</si>
  <si>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</si>
  <si>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</si>
  <si>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</si>
  <si>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</si>
  <si>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</si>
  <si>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</si>
  <si>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</si>
  <si>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</si>
  <si>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</si>
  <si>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</si>
  <si>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</si>
  <si>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</si>
  <si>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</si>
  <si>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</si>
  <si>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</si>
  <si>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</si>
  <si>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</si>
  <si>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</si>
  <si>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</si>
  <si>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</si>
  <si>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</si>
  <si>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</si>
  <si>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</si>
  <si>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</si>
  <si>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</si>
  <si>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</si>
  <si>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</si>
  <si>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</si>
  <si>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</si>
  <si>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</si>
  <si>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</si>
  <si>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</si>
  <si>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</si>
  <si>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</si>
  <si>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</si>
  <si>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</si>
  <si>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</si>
  <si>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</si>
  <si>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</si>
  <si>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</si>
  <si>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</si>
  <si>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</si>
  <si>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</si>
  <si>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</si>
  <si>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</si>
  <si>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</si>
  <si>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</si>
  <si>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</si>
  <si>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</si>
  <si>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</si>
  <si>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</si>
  <si>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</si>
  <si>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</si>
  <si>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</si>
  <si>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</si>
  <si>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</si>
  <si>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</si>
  <si>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</si>
  <si>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</si>
  <si>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</si>
  <si>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</si>
  <si>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</si>
  <si>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</si>
  <si>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</si>
  <si>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</si>
  <si>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</si>
  <si>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</si>
  <si>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</si>
  <si>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</si>
  <si>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</si>
  <si>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</si>
  <si>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</si>
  <si>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</si>
  <si>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</si>
  <si>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</si>
  <si>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</si>
  <si>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</si>
  <si>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</si>
  <si>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</si>
  <si>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</si>
  <si>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</si>
  <si>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</si>
  <si>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</si>
  <si>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</si>
  <si>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</si>
  <si>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</si>
  <si>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</si>
  <si>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</si>
  <si>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</si>
  <si>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</si>
  <si>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</si>
  <si>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</si>
  <si>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</si>
  <si>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</si>
  <si>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</si>
  <si>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</si>
  <si>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</si>
  <si>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</si>
  <si>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</si>
  <si>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</si>
  <si>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</si>
  <si>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</si>
  <si>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</si>
  <si>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</si>
  <si>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</si>
  <si>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</si>
  <si>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</si>
  <si>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</si>
  <si>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</si>
  <si>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</si>
  <si>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</si>
  <si>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</si>
  <si>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</si>
  <si>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</si>
  <si>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</si>
  <si>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</si>
  <si>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</si>
  <si>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</si>
  <si>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</si>
  <si>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</si>
  <si>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</si>
  <si>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</si>
  <si>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</si>
  <si>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</si>
  <si>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</si>
  <si>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</si>
  <si>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</si>
  <si>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</si>
  <si>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</si>
  <si>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</si>
  <si>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</si>
  <si>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</si>
  <si>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</si>
  <si>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</si>
  <si>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</si>
  <si>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</si>
  <si>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</si>
  <si>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</si>
  <si>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</si>
  <si>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</si>
  <si>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</si>
  <si>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</si>
  <si>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</si>
  <si>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</si>
  <si>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</si>
  <si>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</si>
  <si>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</si>
  <si>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</si>
  <si>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</si>
  <si>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</si>
  <si>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</si>
  <si>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</si>
  <si>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</si>
  <si>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</si>
  <si>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</si>
  <si>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</si>
  <si>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</si>
  <si>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</si>
  <si>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</si>
  <si>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</si>
  <si>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</si>
  <si>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</si>
  <si>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</si>
  <si>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</si>
  <si>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</si>
  <si>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</si>
  <si>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</si>
  <si>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</si>
  <si>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</si>
  <si>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</si>
  <si>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</si>
  <si>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</si>
  <si>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</si>
  <si>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</si>
  <si>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</si>
  <si>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</si>
  <si>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</si>
  <si>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</si>
  <si>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</si>
  <si>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</si>
  <si>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</si>
  <si>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</si>
  <si>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</si>
  <si>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</si>
  <si>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</si>
  <si>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</si>
  <si>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</si>
  <si>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</si>
  <si>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</si>
  <si>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</si>
  <si>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</si>
  <si>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</si>
  <si>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</si>
  <si>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</si>
  <si>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</si>
  <si>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</si>
  <si>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</si>
  <si>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</si>
  <si>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</si>
  <si>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</si>
  <si>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</si>
  <si>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</si>
  <si>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</si>
  <si>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</si>
  <si>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</si>
  <si>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</si>
  <si>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</si>
  <si>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</si>
  <si>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</si>
  <si>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</si>
  <si>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</si>
  <si>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</si>
  <si>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</si>
  <si>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</si>
  <si>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</si>
  <si>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</si>
  <si>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</si>
  <si>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</si>
  <si>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</si>
  <si>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</si>
  <si>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</si>
  <si>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</si>
  <si>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</si>
  <si>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</si>
  <si>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</si>
  <si>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</si>
  <si>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</si>
  <si>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</si>
  <si>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</si>
  <si>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</si>
  <si>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</si>
  <si>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</si>
  <si>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</si>
  <si>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</si>
  <si>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</si>
  <si>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</si>
  <si>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</si>
  <si>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</si>
  <si>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</si>
  <si>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</si>
  <si>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</si>
  <si>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</si>
  <si>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</si>
  <si>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</si>
  <si>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</si>
  <si>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</si>
  <si>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</si>
  <si>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</si>
  <si>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</si>
  <si>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</si>
  <si>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</si>
  <si>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</si>
  <si>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</si>
  <si>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</si>
  <si>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</si>
  <si>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</si>
  <si>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</si>
  <si>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</si>
  <si>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</si>
  <si>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</si>
  <si>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</si>
  <si>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</si>
  <si>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</si>
  <si>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</si>
  <si>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</si>
  <si>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</si>
  <si>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</si>
  <si>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</si>
  <si>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</si>
  <si>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</si>
  <si>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</si>
  <si>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</si>
  <si>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</si>
  <si>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</si>
  <si>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</si>
  <si>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</si>
  <si>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</si>
  <si>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</si>
  <si>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</si>
  <si>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</si>
  <si>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</si>
  <si>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</si>
  <si>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</si>
  <si>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</si>
  <si>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</si>
  <si>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</si>
  <si>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</si>
  <si>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</si>
  <si>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</si>
  <si>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</si>
  <si>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</si>
  <si>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</si>
  <si>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</si>
  <si>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</si>
  <si>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</si>
  <si>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</si>
  <si>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</si>
  <si>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</si>
  <si>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</si>
  <si>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</si>
  <si>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</si>
  <si>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</si>
  <si>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</si>
  <si>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</si>
  <si>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</si>
  <si>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</si>
  <si>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</si>
  <si>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</si>
  <si>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</si>
  <si>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</si>
  <si>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</si>
  <si>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</si>
  <si>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</si>
  <si>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</si>
  <si>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</si>
  <si>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</si>
  <si>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</si>
  <si>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</si>
  <si>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</si>
  <si>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</si>
  <si>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</si>
  <si>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</si>
  <si>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</si>
  <si>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</si>
  <si>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</si>
  <si>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</si>
  <si>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</si>
  <si>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</si>
  <si>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</si>
  <si>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</si>
  <si>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</si>
  <si>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</si>
  <si>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</si>
  <si>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</si>
  <si>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</si>
  <si>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</si>
  <si>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</si>
  <si>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</si>
  <si>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</si>
  <si>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</si>
  <si>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</si>
  <si>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</si>
  <si>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</si>
  <si>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</si>
  <si>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</si>
  <si>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</si>
  <si>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</si>
  <si>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</si>
  <si>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</si>
  <si>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</si>
  <si>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</si>
  <si>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</si>
  <si>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</si>
  <si>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</si>
  <si>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</si>
  <si>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</si>
  <si>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</si>
  <si>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</si>
  <si>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</si>
  <si>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</si>
  <si>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</si>
  <si>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</si>
  <si>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</si>
  <si>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</si>
  <si>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</si>
  <si>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</si>
  <si>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</si>
  <si>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</si>
  <si>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</si>
  <si>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</si>
  <si>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</si>
  <si>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</si>
  <si>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</si>
  <si>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</si>
  <si>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</si>
  <si>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</si>
  <si>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</si>
  <si>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</si>
  <si>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</si>
  <si>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</si>
  <si>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</si>
  <si>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</si>
  <si>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</si>
  <si>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</si>
  <si>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</si>
  <si>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</si>
  <si>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</si>
  <si>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</si>
  <si>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</si>
  <si>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</si>
  <si>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</si>
  <si>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</si>
  <si>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</si>
  <si>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</si>
  <si>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</si>
  <si>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</si>
  <si>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</si>
  <si>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</si>
  <si>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</si>
  <si>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</si>
  <si>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</si>
  <si>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</si>
  <si>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</si>
  <si>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</si>
  <si>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</si>
  <si>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</si>
  <si>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</si>
  <si>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</si>
  <si>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</si>
  <si>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</si>
  <si>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</si>
  <si>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</si>
  <si>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</si>
  <si>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</si>
  <si>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</si>
  <si>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</si>
  <si>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</si>
  <si>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</si>
  <si>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</si>
  <si>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</si>
  <si>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</si>
  <si>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</si>
  <si>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</si>
  <si>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</si>
  <si>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</si>
  <si>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</si>
  <si>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</si>
  <si>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</si>
  <si>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</si>
  <si>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</si>
  <si>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</si>
  <si>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</si>
  <si>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</si>
  <si>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</si>
  <si>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</si>
  <si>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</si>
  <si>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</si>
  <si>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</si>
  <si>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</si>
  <si>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</si>
  <si>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</si>
  <si>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</si>
  <si>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</si>
  <si>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</si>
  <si>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</si>
  <si>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</si>
  <si>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</si>
  <si>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</si>
  <si>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</si>
  <si>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</si>
  <si>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</si>
  <si>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</si>
  <si>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</si>
  <si>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</si>
  <si>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</si>
  <si>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</si>
  <si>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</si>
  <si>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</si>
  <si>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</si>
  <si>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</si>
  <si>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</si>
  <si>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</si>
  <si>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</si>
  <si>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</si>
  <si>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</si>
  <si>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</si>
  <si>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</si>
  <si>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</si>
  <si>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</si>
  <si>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</si>
  <si>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</si>
  <si>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</si>
  <si>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</si>
  <si>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</si>
  <si>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</si>
  <si>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</si>
  <si>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</si>
  <si>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</si>
  <si>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</si>
  <si>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</si>
  <si>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</si>
  <si>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</si>
  <si>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</si>
  <si>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</si>
  <si>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</si>
  <si>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</si>
  <si>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</si>
  <si>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</si>
  <si>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</si>
  <si>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</si>
  <si>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</si>
  <si>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</si>
  <si>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</si>
  <si>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</si>
  <si>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</si>
  <si>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</si>
  <si>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</si>
  <si>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</si>
  <si>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</si>
  <si>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</si>
  <si>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</si>
  <si>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</si>
  <si>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</si>
  <si>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</si>
  <si>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</si>
  <si>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</si>
  <si>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</si>
  <si>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</si>
  <si>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</si>
  <si>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</si>
  <si>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</si>
  <si>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</si>
  <si>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</si>
  <si>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</si>
  <si>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</si>
  <si>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</si>
  <si>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 xml:space="preserve">Payroll Period Ending           11/24/19 - 12/09/19 </t>
  </si>
  <si>
    <t xml:space="preserve">Payroll Period Ending           12/08/19 - 12/21/19 </t>
  </si>
  <si>
    <t>Thursday, Jan 09, 2020 07:22:16 PM GMT-8 - Accrual Basis</t>
  </si>
  <si>
    <t xml:space="preserve">   Total for 8435 GED &amp; ABE Classes</t>
  </si>
  <si>
    <t>Tabe Test Score-ez</t>
  </si>
  <si>
    <t>DATA Recognition Corporation</t>
  </si>
  <si>
    <t>12/03/2019</t>
  </si>
  <si>
    <t xml:space="preserve">   8435 GED &amp; ABE Classes</t>
  </si>
  <si>
    <t>Mileage Reimbursement for 11/04/19 - 12/09/19</t>
  </si>
  <si>
    <t>12.09.19AJ</t>
  </si>
  <si>
    <t>12/09/2019</t>
  </si>
  <si>
    <t>Mileage Reimbursement 11/26/19 - 12/09/19</t>
  </si>
  <si>
    <t>Vanessa Brown</t>
  </si>
  <si>
    <t>12.09.19VB</t>
  </si>
  <si>
    <t>Mileage Reimbursement - USJP 11/6/19 - 11/21/19</t>
  </si>
  <si>
    <t>12.04.19IC</t>
  </si>
  <si>
    <t>12/04/2019</t>
  </si>
  <si>
    <t>Parking Permit for Dec. 2019</t>
  </si>
  <si>
    <t>Mileage Reimbursement 11/4/19 - 11/13/19</t>
  </si>
  <si>
    <t>12.04.19GM</t>
  </si>
  <si>
    <t>12/30/2019</t>
  </si>
  <si>
    <t xml:space="preserve">      Total for 8250.1 Allocated Mortgage Interest</t>
  </si>
  <si>
    <t xml:space="preserve">   8220 Equipment Rental, Repair &amp; Maintenance</t>
  </si>
  <si>
    <t>USJP - Rent Expense  December 2019</t>
  </si>
  <si>
    <t>12.01.19CW</t>
  </si>
  <si>
    <t>12/01/2019</t>
  </si>
  <si>
    <t xml:space="preserve">   Total for 8140 Postage &amp; Shipping</t>
  </si>
  <si>
    <t>USJP - Returned Tabe Test Booklets to Data Recognition</t>
  </si>
  <si>
    <t>FedEx</t>
  </si>
  <si>
    <t>6-882-69113</t>
  </si>
  <si>
    <t>USJP E-Fax service for December 2019</t>
  </si>
  <si>
    <t>12.09.19VF</t>
  </si>
  <si>
    <t>VF12.04.19</t>
  </si>
  <si>
    <t>9844201970</t>
  </si>
  <si>
    <t>12/13/2019</t>
  </si>
  <si>
    <t xml:space="preserve">   Total for 7540 Instructors/Consultants/Subs</t>
  </si>
  <si>
    <t>Business Development  12/16/19 - 12/27/19</t>
  </si>
  <si>
    <t>Anthony Clark</t>
  </si>
  <si>
    <t>12.27.19AC</t>
  </si>
  <si>
    <t>12/27/2019</t>
  </si>
  <si>
    <t xml:space="preserve">   7540 Instructors/Consultants/Subs</t>
  </si>
  <si>
    <t xml:space="preserve">      Total for 7521 Allocated Acctg and Audit</t>
  </si>
  <si>
    <t xml:space="preserve">   7250 Payroll Taxes, etc.</t>
  </si>
  <si>
    <t>12/31/2019</t>
  </si>
  <si>
    <t>Employee Medical Contrib</t>
  </si>
  <si>
    <t>12.01.19PG</t>
  </si>
  <si>
    <t>To record Horizon Exp. Billing Period    12/15/19 - 01/15/20</t>
  </si>
  <si>
    <t>Salary Allocation - December</t>
  </si>
  <si>
    <t>12/16/2019</t>
  </si>
  <si>
    <t>12/02/2019</t>
  </si>
  <si>
    <t>USJP Employer Liability</t>
  </si>
  <si>
    <t>Re-issue pay check from 6/17/19 payroll - Check returned as undeliverable by postal service</t>
  </si>
  <si>
    <t>Edythe Walker</t>
  </si>
  <si>
    <t>12.20.19EW</t>
  </si>
  <si>
    <t>12/20/2019</t>
  </si>
  <si>
    <t>USJP Stale check for Edythe Walker Pay Date 06/17/19  19-12-26</t>
  </si>
  <si>
    <t>Valerie Dixon - Direct Deposit return closed account #12/16/19 Payroll  19-12-25</t>
  </si>
  <si>
    <t>12/19/2019</t>
  </si>
  <si>
    <t>Participant Wages for 11/21/19 - 12/04/19 Check Date 12/16/19 - Direct Deposit Returned by Bank</t>
  </si>
  <si>
    <t>Valerie Dixon</t>
  </si>
  <si>
    <t>12.16.19VD</t>
  </si>
  <si>
    <t>Valerie Dixon - Direct Deposit return incomplete account #12/02/19 payroll     19-12-07</t>
  </si>
  <si>
    <t>12/05/2019</t>
  </si>
  <si>
    <t>Participant Wages for 11/07/19 - 11/20/19 Check Date 12/02/19 - Direct Deposit Returned by Bank</t>
  </si>
  <si>
    <t>12.02.19VD</t>
  </si>
  <si>
    <t>USJP Participant Wages - 12/30/19</t>
  </si>
  <si>
    <t>USJP Participant Wages - 12/16/19</t>
  </si>
  <si>
    <t>USJP Participant Wages - 12/2/19</t>
  </si>
  <si>
    <t>December 2019</t>
  </si>
  <si>
    <r>
      <rPr>
        <b/>
        <sz val="24"/>
        <rFont val="Calibri"/>
        <family val="2"/>
        <scheme val="minor"/>
      </rPr>
      <t>Monthly</t>
    </r>
    <r>
      <rPr>
        <b/>
        <sz val="16"/>
        <rFont val="Calibri"/>
        <family val="2"/>
        <scheme val="minor"/>
      </rPr>
      <t xml:space="preserve"> Total for December 2019</t>
    </r>
  </si>
  <si>
    <t>TOTAL FOR CONTRACTUAL CONSULTANTS</t>
  </si>
  <si>
    <t xml:space="preserve">   Total for Supplies</t>
  </si>
  <si>
    <t xml:space="preserve">USJP In-Kind Donations Dec 2019 </t>
  </si>
  <si>
    <t>Business Development  12/30/19 - 12/31/19</t>
  </si>
  <si>
    <t>12.31.19AC</t>
  </si>
  <si>
    <t>Creditmemo</t>
  </si>
  <si>
    <t>CM702757</t>
  </si>
  <si>
    <t xml:space="preserve">Invoice #  6 </t>
  </si>
  <si>
    <t>Total for Fringe Benefits</t>
  </si>
  <si>
    <t>Payroll Period Ending           12/22/19 - 01/04/20</t>
  </si>
  <si>
    <r>
      <rPr>
        <b/>
        <sz val="24"/>
        <rFont val="Calibri"/>
        <family val="2"/>
        <scheme val="minor"/>
      </rPr>
      <t>Monthly</t>
    </r>
    <r>
      <rPr>
        <b/>
        <sz val="16"/>
        <rFont val="Calibri"/>
        <family val="2"/>
        <scheme val="minor"/>
      </rPr>
      <t xml:space="preserve"> Total for January 2020</t>
    </r>
  </si>
  <si>
    <t>Parking Permit for Jan. 2020</t>
  </si>
  <si>
    <t>01/01/2020</t>
  </si>
  <si>
    <t>USJP - Rent Expense  January 2020</t>
  </si>
  <si>
    <t>J2  EFAX SERVICES</t>
  </si>
  <si>
    <t>01/20/2020</t>
  </si>
  <si>
    <t>01/17/2020</t>
  </si>
  <si>
    <t>01/13/2020</t>
  </si>
  <si>
    <t>9846278391</t>
  </si>
  <si>
    <t>7303329877-0-1</t>
  </si>
  <si>
    <t>01/03/2020</t>
  </si>
  <si>
    <t>Business Development 01/13/20 - 01/17/20</t>
  </si>
  <si>
    <t>01.17.20AC</t>
  </si>
  <si>
    <t>01.01.20PL</t>
  </si>
  <si>
    <t>To record Horizon Exp. Billing Period    01/15/20 - 02/15/20</t>
  </si>
  <si>
    <t>01/27/2020</t>
  </si>
  <si>
    <t>01/30/2020</t>
  </si>
  <si>
    <t>Not included on the payroll spreadsheet 12.19.19 - 01.01.20</t>
  </si>
  <si>
    <t>Olivia Wicker</t>
  </si>
  <si>
    <t>Not added on payroll spreadsheet for payment 12.19.19-01.01.20</t>
  </si>
  <si>
    <t>Patricia Borden</t>
  </si>
  <si>
    <t>USJP Participant Wages - 1/27/20</t>
  </si>
  <si>
    <t>USJP Participant Wages - 1/13/20</t>
  </si>
  <si>
    <t>January 2020</t>
  </si>
  <si>
    <t>01/31/2020</t>
  </si>
  <si>
    <t>Allocated Acctg</t>
  </si>
  <si>
    <t>01.01.20IC</t>
  </si>
  <si>
    <t>Mileage Reimbursement - USJP 12/01/2019 - 12/31/2019</t>
  </si>
  <si>
    <t>01.01.20MT</t>
  </si>
  <si>
    <t>Mileage Reimbursement 12/13/2019</t>
  </si>
  <si>
    <t>01.31.20IC</t>
  </si>
  <si>
    <t>Mileage Reimbursement - USJP 01/15/20 -  01/29/20</t>
  </si>
  <si>
    <t>01.31.20GM</t>
  </si>
  <si>
    <t>Mileage Reimbursement 01/01/20 -  01/31/20</t>
  </si>
  <si>
    <t>01.31.20MT</t>
  </si>
  <si>
    <t>Mileage Reimbursement 01/10/20 &amp; 01/27/20</t>
  </si>
  <si>
    <t>Thursday, Feb 13, 2020 11:24:15 AM GMT-8 - Accrual Basis</t>
  </si>
  <si>
    <t>Business Development 01/27/20 - 01/31/20</t>
  </si>
  <si>
    <t>USJP In-Kind Donations Jan 2020</t>
  </si>
  <si>
    <t>Refund for 0K296-USJP Overpayment of Payroll for Manual Checks     20-01-49</t>
  </si>
  <si>
    <t>USJP Participant owed 32 hours for training 12/19/19 - 01/01/22. Check Date 01/13/20 not previously paid.</t>
  </si>
  <si>
    <t>01.31.20SPDF</t>
  </si>
  <si>
    <t>PDF Subscription for USJP</t>
  </si>
  <si>
    <t xml:space="preserve">Payroll Period Ending           01/05/20 - 01/18/20 </t>
  </si>
  <si>
    <r>
      <rPr>
        <b/>
        <sz val="24"/>
        <rFont val="Calibri"/>
        <family val="2"/>
        <scheme val="minor"/>
      </rPr>
      <t>Monthly</t>
    </r>
    <r>
      <rPr>
        <b/>
        <sz val="16"/>
        <rFont val="Calibri"/>
        <family val="2"/>
        <scheme val="minor"/>
      </rPr>
      <t xml:space="preserve"> Total for February 2020</t>
    </r>
  </si>
  <si>
    <t>Payroll Period Ending           01/19/20 - 02/01/20</t>
  </si>
  <si>
    <t xml:space="preserve">Payroll Period Ending           02/02/20 - 02/15/20 </t>
  </si>
  <si>
    <t>Thursday, Mar 05, 2020 01:50:59 PM GMT-8 - Accrual Basis</t>
  </si>
  <si>
    <t>Parking Permit for Feb. 2020</t>
  </si>
  <si>
    <t>02/13/2020</t>
  </si>
  <si>
    <t>Mileage Reimbursement 02/10/2020</t>
  </si>
  <si>
    <t>02.10.20MT</t>
  </si>
  <si>
    <t>02/12/2020</t>
  </si>
  <si>
    <t xml:space="preserve">      Total for 8264 Other</t>
  </si>
  <si>
    <t>02/28/2020</t>
  </si>
  <si>
    <t>02/29/2020</t>
  </si>
  <si>
    <t>USJP - Rent Expense  February 2020</t>
  </si>
  <si>
    <t>02/01/2020</t>
  </si>
  <si>
    <t>USJP Participant Timesheet Fax Service</t>
  </si>
  <si>
    <t>USJP_1</t>
  </si>
  <si>
    <t>02/10/2020</t>
  </si>
  <si>
    <t>USJP_2</t>
  </si>
  <si>
    <t>USJP_3</t>
  </si>
  <si>
    <t>9848349443</t>
  </si>
  <si>
    <t>Business Development 02/17/20 - 02/21/20</t>
  </si>
  <si>
    <t>02.21.20AC</t>
  </si>
  <si>
    <t>02/21/2020</t>
  </si>
  <si>
    <t>02.01.20PL</t>
  </si>
  <si>
    <t>To record Horizon Exp. Billing Period    02/15/20 - 03/15/20</t>
  </si>
  <si>
    <t>02/24/2020</t>
  </si>
  <si>
    <t>USJP Participant Wages - 2/24/20</t>
  </si>
  <si>
    <t>USJP Participant Wages - 2/10/20</t>
  </si>
  <si>
    <t>February 2020</t>
  </si>
  <si>
    <t xml:space="preserve">Prog Site Coordinator (Morris) Armanda Johnson </t>
  </si>
  <si>
    <t>USJP In-Kind Donations Feb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</si>
</sst>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9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
      <b/>
      <sz val="11"/>
      <color indexed="8"/>
      <name val="Calibri"/>
      <family val="2"/>
      <scheme val="minor"/>
    </font>
    <font>
      <b/>
      <sz val="8"/>
      <color indexed="8"/>
      <name val="Arial"/>
      <family val="2"/>
    </font>
    <font>
      <sz val="8"/>
      <color indexed="8"/>
      <name val="Arial"/>
      <family val="2"/>
    </font>
    <font>
      <b/>
      <sz val="9"/>
      <color indexed="8"/>
      <name val="Arial"/>
      <family val="2"/>
    </font>
    <font>
      <b/>
      <sz val="10"/>
      <color indexed="8"/>
      <name val="Arial"/>
      <family val="2"/>
    </font>
    <font>
      <b/>
      <sz val="14"/>
      <color indexed="8"/>
      <name val="Arial"/>
      <family val="2"/>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614">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41" fillId="0" borderId="0" xfId="14" applyFont="1"/>
    <xf numFmtId="0" fontId="40" fillId="0" borderId="0" xfId="13" applyFont="1" applyAlignment="1">
      <alignment horizontal="left"/>
    </xf>
    <xf numFmtId="0" fontId="39" fillId="0" borderId="0" xfId="14" applyAlignment="1">
      <alignment wrapText="1"/>
    </xf>
    <xf numFmtId="0" fontId="42" fillId="0" borderId="7" xfId="14" applyFont="1" applyBorder="1" applyAlignment="1">
      <alignment horizontal="center" wrapText="1"/>
    </xf>
    <xf numFmtId="0" fontId="39" fillId="0" borderId="7" xfId="14" applyBorder="1" applyAlignment="1">
      <alignment horizontal="left" wrapText="1"/>
    </xf>
    <xf numFmtId="10" fontId="1" fillId="0" borderId="20" xfId="3" applyNumberFormat="1" applyFont="1" applyFill="1" applyBorder="1" applyAlignment="1">
      <alignment horizontal="center"/>
    </xf>
    <xf numFmtId="0" fontId="21" fillId="0" borderId="42" xfId="9" applyNumberFormat="1" applyFont="1" applyFill="1" applyBorder="1" applyAlignment="1">
      <alignment horizontal="left" indent="2"/>
    </xf>
    <xf numFmtId="40" fontId="21" fillId="0" borderId="43" xfId="9" applyNumberFormat="1" applyFont="1" applyFill="1" applyBorder="1" applyAlignment="1">
      <alignment horizontal="right"/>
    </xf>
    <xf numFmtId="0" fontId="46" fillId="0" borderId="0" xfId="14" applyFont="1"/>
    <xf numFmtId="167" fontId="42" fillId="0" borderId="24" xfId="14" applyNumberFormat="1" applyFont="1" applyFill="1" applyBorder="1" applyAlignment="1">
      <alignment horizontal="right"/>
    </xf>
    <xf numFmtId="167" fontId="48" fillId="0" borderId="6" xfId="13" applyNumberFormat="1" applyFont="1" applyFill="1" applyBorder="1" applyAlignment="1">
      <alignment horizontal="right"/>
    </xf>
    <xf numFmtId="0" fontId="75" fillId="0" borderId="0" xfId="14" applyFont="1" applyFill="1"/>
    <xf numFmtId="167" fontId="42" fillId="0" borderId="0" xfId="14" applyNumberFormat="1" applyFont="1" applyFill="1" applyBorder="1" applyAlignment="1">
      <alignment horizontal="right"/>
    </xf>
    <xf numFmtId="167" fontId="41" fillId="0" borderId="7" xfId="14" applyNumberFormat="1" applyFont="1" applyFill="1" applyBorder="1" applyAlignment="1">
      <alignment horizontal="right"/>
    </xf>
    <xf numFmtId="167" fontId="41" fillId="7" borderId="9" xfId="14" applyNumberFormat="1" applyFont="1" applyFill="1" applyBorder="1" applyAlignment="1">
      <alignment horizontal="right"/>
    </xf>
    <xf numFmtId="44" fontId="2" fillId="0" borderId="0" xfId="2" applyFont="1" applyFill="1" applyBorder="1" applyAlignment="1">
      <alignment horizontal="left"/>
    </xf>
    <xf numFmtId="44" fontId="36" fillId="0" borderId="57" xfId="2" applyFont="1" applyFill="1" applyBorder="1"/>
    <xf numFmtId="44" fontId="0" fillId="0" borderId="0" xfId="2" applyFont="1"/>
    <xf numFmtId="0" fontId="22" fillId="5" borderId="7" xfId="0" applyFont="1" applyFill="1" applyBorder="1" applyAlignment="1">
      <alignment horizontal="center"/>
    </xf>
    <xf numFmtId="0" fontId="33" fillId="0" borderId="0" xfId="12" applyFont="1" applyFill="1" applyBorder="1" applyAlignment="1">
      <alignment horizontal="right" wrapText="1"/>
    </xf>
    <xf numFmtId="0" fontId="89" fillId="0" borderId="0" xfId="14" applyFont="1" applyAlignment="1"/>
    <xf numFmtId="0" fontId="90" fillId="0" borderId="0" xfId="0" applyFont="1"/>
    <xf numFmtId="0" fontId="91" fillId="0" borderId="0" xfId="0" applyFont="1" applyAlignment="1">
      <alignment horizontal="left"/>
    </xf>
    <xf numFmtId="168" fontId="91" fillId="0" borderId="0" xfId="0" applyNumberFormat="1" applyFont="1" applyAlignment="1">
      <alignment horizontal="right"/>
    </xf>
    <xf numFmtId="167" fontId="90" fillId="0" borderId="24" xfId="0" applyNumberFormat="1" applyFont="1" applyBorder="1" applyAlignment="1">
      <alignment horizontal="right"/>
    </xf>
    <xf numFmtId="0" fontId="91" fillId="0" borderId="0" xfId="0" applyFont="1" applyAlignment="1">
      <alignment horizontal="center"/>
    </xf>
    <xf numFmtId="167" fontId="90" fillId="0" borderId="0" xfId="0" applyNumberFormat="1" applyFont="1" applyBorder="1" applyAlignment="1">
      <alignment horizontal="right"/>
    </xf>
    <xf numFmtId="167" fontId="90" fillId="7" borderId="24" xfId="0" applyNumberFormat="1" applyFont="1" applyFill="1" applyBorder="1" applyAlignment="1">
      <alignment horizontal="right"/>
    </xf>
    <xf numFmtId="44" fontId="2" fillId="7" borderId="43" xfId="2" applyFont="1" applyFill="1" applyBorder="1" applyAlignment="1">
      <alignment horizontal="left"/>
    </xf>
    <xf numFmtId="167" fontId="90" fillId="0" borderId="24" xfId="0" applyNumberFormat="1" applyFont="1" applyFill="1" applyBorder="1" applyAlignment="1">
      <alignment horizontal="right"/>
    </xf>
    <xf numFmtId="167" fontId="90" fillId="7" borderId="9" xfId="0" applyNumberFormat="1" applyFont="1" applyFill="1" applyBorder="1" applyAlignment="1">
      <alignment horizontal="right"/>
    </xf>
    <xf numFmtId="0" fontId="55" fillId="0" borderId="0" xfId="13" applyFont="1"/>
    <xf numFmtId="0" fontId="46" fillId="0" borderId="0" xfId="0" applyFont="1"/>
    <xf numFmtId="0" fontId="42" fillId="0" borderId="0" xfId="13" applyFont="1"/>
    <xf numFmtId="0" fontId="80" fillId="0" borderId="0" xfId="13" applyFont="1"/>
    <xf numFmtId="0" fontId="87" fillId="0" borderId="0" xfId="13" applyFont="1"/>
    <xf numFmtId="167" fontId="59" fillId="0" borderId="0" xfId="13" applyNumberFormat="1" applyFont="1" applyAlignment="1">
      <alignment horizontal="right"/>
    </xf>
    <xf numFmtId="0" fontId="57" fillId="0" borderId="0" xfId="13" applyFont="1"/>
    <xf numFmtId="0" fontId="55" fillId="0" borderId="0" xfId="0" applyFont="1"/>
    <xf numFmtId="14" fontId="40" fillId="0" borderId="0" xfId="14" quotePrefix="1" applyNumberFormat="1" applyFont="1" applyAlignment="1">
      <alignment horizontal="left"/>
    </xf>
    <xf numFmtId="0" fontId="91" fillId="0" borderId="0" xfId="0" applyFont="1" applyAlignment="1">
      <alignment horizontal="center"/>
    </xf>
    <xf numFmtId="168" fontId="40" fillId="0" borderId="0" xfId="0" applyNumberFormat="1" applyFont="1" applyAlignment="1">
      <alignment horizontal="right"/>
    </xf>
    <xf numFmtId="167" fontId="41" fillId="0" borderId="24" xfId="0" applyNumberFormat="1" applyFont="1" applyBorder="1" applyAlignment="1">
      <alignment horizontal="right"/>
    </xf>
    <xf numFmtId="0" fontId="15" fillId="2" borderId="0" xfId="4" applyFont="1" applyFill="1" applyBorder="1" applyAlignment="1">
      <alignment horizontal="left"/>
    </xf>
    <xf numFmtId="43" fontId="15" fillId="2" borderId="0" xfId="1" applyFont="1" applyFill="1" applyBorder="1" applyAlignment="1">
      <alignment horizontal="left"/>
    </xf>
    <xf numFmtId="43" fontId="15" fillId="2" borderId="7" xfId="1" applyFont="1" applyFill="1" applyBorder="1" applyAlignment="1">
      <alignment horizontal="left"/>
    </xf>
    <xf numFmtId="9" fontId="0" fillId="0" borderId="0" xfId="3" applyNumberFormat="1" applyFont="1"/>
    <xf numFmtId="0" fontId="91" fillId="0" borderId="0" xfId="0" applyFont="1" applyAlignment="1">
      <alignment horizontal="center"/>
    </xf>
    <xf numFmtId="167" fontId="90" fillId="0" borderId="24" xfId="14" applyNumberFormat="1" applyFont="1" applyBorder="1" applyAlignment="1">
      <alignment horizontal="right"/>
    </xf>
    <xf numFmtId="0" fontId="90" fillId="0" borderId="0" xfId="14" applyFont="1"/>
    <xf numFmtId="168" fontId="91" fillId="0" borderId="0" xfId="14" applyNumberFormat="1" applyFont="1" applyAlignment="1">
      <alignment horizontal="right"/>
    </xf>
    <xf numFmtId="0" fontId="91" fillId="0" borderId="0" xfId="14" applyFont="1" applyAlignment="1">
      <alignment horizontal="left"/>
    </xf>
    <xf numFmtId="0" fontId="92" fillId="0" borderId="7" xfId="14" applyFont="1" applyBorder="1" applyAlignment="1">
      <alignment horizontal="center"/>
    </xf>
    <xf numFmtId="0" fontId="89" fillId="0" borderId="7" xfId="14" applyFont="1" applyBorder="1" applyAlignment="1"/>
    <xf numFmtId="0" fontId="92" fillId="0" borderId="7" xfId="14" applyFont="1" applyBorder="1" applyAlignment="1">
      <alignment horizontal="left"/>
    </xf>
    <xf numFmtId="167" fontId="90" fillId="0" borderId="0" xfId="14" applyNumberFormat="1" applyFont="1" applyBorder="1" applyAlignment="1">
      <alignment horizontal="right"/>
    </xf>
    <xf numFmtId="167" fontId="90" fillId="7" borderId="24" xfId="14" applyNumberFormat="1" applyFont="1" applyFill="1" applyBorder="1" applyAlignment="1">
      <alignment horizontal="right"/>
    </xf>
    <xf numFmtId="167" fontId="90" fillId="7" borderId="9" xfId="14" applyNumberFormat="1" applyFont="1" applyFill="1" applyBorder="1" applyAlignment="1">
      <alignment horizontal="right"/>
    </xf>
    <xf numFmtId="167" fontId="59" fillId="0" borderId="7" xfId="13" applyNumberFormat="1" applyFont="1" applyBorder="1" applyAlignment="1">
      <alignment horizontal="right"/>
    </xf>
    <xf numFmtId="167" fontId="41" fillId="7" borderId="24" xfId="0" applyNumberFormat="1" applyFont="1" applyFill="1" applyBorder="1" applyAlignment="1">
      <alignment horizontal="right"/>
    </xf>
    <xf numFmtId="167" fontId="90" fillId="0" borderId="24" xfId="14" applyNumberFormat="1" applyFont="1" applyFill="1" applyBorder="1" applyAlignment="1">
      <alignment horizontal="right"/>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27" fillId="0" borderId="32" xfId="12" applyFont="1" applyFill="1" applyBorder="1" applyAlignment="1">
      <alignment horizontal="left" wrapText="1"/>
    </xf>
    <xf numFmtId="0" fontId="27" fillId="0" borderId="33" xfId="12" applyFont="1" applyFill="1" applyBorder="1" applyAlignment="1">
      <alignment horizontal="left" wrapText="1"/>
    </xf>
    <xf numFmtId="0" fontId="27" fillId="0" borderId="34" xfId="12" applyFont="1" applyFill="1" applyBorder="1" applyAlignment="1">
      <alignment horizontal="left" wrapText="1"/>
    </xf>
    <xf numFmtId="0" fontId="26" fillId="0" borderId="31" xfId="12" applyFont="1" applyFill="1" applyBorder="1" applyAlignment="1">
      <alignment horizontal="center" wrapText="1"/>
    </xf>
    <xf numFmtId="44" fontId="28" fillId="0" borderId="32" xfId="12" applyNumberFormat="1" applyFont="1" applyFill="1" applyBorder="1" applyAlignment="1">
      <alignment horizontal="left" wrapText="1"/>
    </xf>
    <xf numFmtId="0" fontId="28"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8" fillId="0" borderId="32" xfId="12" applyFont="1" applyFill="1" applyBorder="1" applyAlignment="1">
      <alignment horizontal="left" wrapText="1"/>
    </xf>
    <xf numFmtId="0" fontId="28" fillId="0" borderId="33"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33" fillId="0" borderId="0" xfId="12" applyFont="1" applyFill="1" applyBorder="1" applyAlignment="1">
      <alignment horizontal="right" vertical="top" wrapText="1" inden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0" borderId="32" xfId="12" applyFont="1" applyFill="1" applyBorder="1" applyAlignment="1">
      <alignment horizontal="left" vertical="top" wrapText="1"/>
    </xf>
    <xf numFmtId="0" fontId="27" fillId="0" borderId="33" xfId="12" applyFont="1" applyFill="1" applyBorder="1" applyAlignment="1">
      <alignment horizontal="left" vertical="top" wrapText="1"/>
    </xf>
    <xf numFmtId="0" fontId="27" fillId="0" borderId="34" xfId="12" applyFont="1" applyFill="1" applyBorder="1" applyAlignment="1">
      <alignment horizontal="left"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27" fillId="0" borderId="32" xfId="12" applyFont="1" applyFill="1" applyBorder="1" applyAlignment="1">
      <alignment horizontal="center" wrapText="1"/>
    </xf>
    <xf numFmtId="0" fontId="27" fillId="0" borderId="33" xfId="12" applyFont="1" applyFill="1" applyBorder="1" applyAlignment="1">
      <alignment horizontal="center" wrapText="1"/>
    </xf>
    <xf numFmtId="0" fontId="27" fillId="0" borderId="34" xfId="12" applyFont="1" applyFill="1" applyBorder="1" applyAlignment="1">
      <alignment horizontal="center" wrapText="1"/>
    </xf>
    <xf numFmtId="0" fontId="33" fillId="0" borderId="0" xfId="12" applyFont="1" applyFill="1" applyBorder="1" applyAlignment="1">
      <alignment horizontal="right" wrapText="1"/>
    </xf>
    <xf numFmtId="0" fontId="91" fillId="0" borderId="0" xfId="0" applyFont="1" applyAlignment="1">
      <alignment horizontal="center"/>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94" fillId="0" borderId="0" xfId="14" applyFont="1" applyAlignment="1">
      <alignment horizontal="center"/>
    </xf>
    <xf numFmtId="0" fontId="93" fillId="0" borderId="0" xfId="14" applyFont="1" applyAlignment="1">
      <alignment horizontal="center"/>
    </xf>
    <xf numFmtId="0" fontId="91" fillId="0" borderId="0" xfId="14" applyFont="1" applyAlignment="1">
      <alignment horizontal="center"/>
    </xf>
    <xf numFmtId="0" fontId="22" fillId="5" borderId="2" xfId="4" applyFont="1" applyFill="1" applyBorder="1" applyAlignment="1">
      <alignment horizontal="center" wrapText="1"/>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 ref="H223" dT="2019-08-20T00:18:23.80" personId="{00000000-0000-0000-0000-000000000000}" id="{D7BE13D6-B04D-4D86-8B4B-A38CA02CF3DA}">
    <text>Do not enter amount here- See monthly total below</text>
  </threadedComment>
  <threadedComment ref="I223" dT="2019-08-20T00:18:23.80" personId="{00000000-0000-0000-0000-000000000000}" id="{4C20F48B-EC5F-4457-A1AA-B8F6A817907F}">
    <text>Do not enter amount here- See monthly total below</text>
  </threadedComment>
  <threadedComment ref="J223" dT="2019-08-20T00:18:23.80" personId="{00000000-0000-0000-0000-000000000000}" id="{62B974F0-86CF-4763-A8A9-F71D9E960567}">
    <text>Do not enter amount here- See monthly total below</text>
  </threadedComment>
  <threadedComment ref="L223" dT="2019-08-20T00:18:23.80" personId="{00000000-0000-0000-0000-000000000000}" id="{2493E82A-D1D4-42A6-8C25-E7CE0C659DC5}">
    <text>Do not enter amount here- See monthly total below</text>
  </threadedComment>
  <threadedComment ref="N223" dT="2019-08-20T00:18:23.80" personId="{00000000-0000-0000-0000-000000000000}" id="{5C6A7123-4B45-4D68-B8C6-44C5B7EF521D}">
    <text>Do not enter amount here- See monthly total below</text>
  </threadedComment>
  <threadedComment ref="H224" dT="2019-08-20T00:18:23.80" personId="{00000000-0000-0000-0000-000000000000}" id="{15AD20FA-FFC1-44C1-8BAE-2C872468DFB0}">
    <text>Do not enter amount here- See monthly total below</text>
  </threadedComment>
  <threadedComment ref="I224" dT="2019-08-20T00:18:23.80" personId="{00000000-0000-0000-0000-000000000000}" id="{14D93F75-5568-44C7-81BB-E7E61996A190}">
    <text>Do not enter amount here- See monthly total below</text>
  </threadedComment>
  <threadedComment ref="J224" dT="2019-08-20T00:18:23.80" personId="{00000000-0000-0000-0000-000000000000}" id="{F27F802C-C414-4E8A-BB49-2C764B38A3A6}">
    <text>Do not enter amount here- See monthly total below</text>
  </threadedComment>
  <threadedComment ref="L224" dT="2019-08-20T00:18:23.80" personId="{00000000-0000-0000-0000-000000000000}" id="{9B922107-CD79-4580-8BA6-C34760B4D8DD}">
    <text>Do not enter amount here- See monthly total below</text>
  </threadedComment>
  <threadedComment ref="N224" dT="2019-08-20T00:18:23.80" personId="{00000000-0000-0000-0000-000000000000}" id="{398F82F1-F882-45E6-9A9D-A0E4FB22A57C}">
    <text>Do not enter amount here- See monthly total below</text>
  </threadedComment>
  <threadedComment ref="H225" dT="2019-08-20T00:18:23.80" personId="{00000000-0000-0000-0000-000000000000}" id="{E61B7FC6-8034-4AAD-8903-D9EF64677ABC}">
    <text>Do not enter amount here- See monthly total below</text>
  </threadedComment>
  <threadedComment ref="I225" dT="2019-08-20T00:18:23.80" personId="{00000000-0000-0000-0000-000000000000}" id="{3EC0CEC1-D976-4CF2-B49E-EF8ED540BD3A}">
    <text>Do not enter amount here- See monthly total below</text>
  </threadedComment>
  <threadedComment ref="J225" dT="2019-08-20T00:18:23.80" personId="{00000000-0000-0000-0000-000000000000}" id="{B2A0F238-260B-4F97-84E1-73B2B096E847}">
    <text>Do not enter amount here- See monthly total below</text>
  </threadedComment>
  <threadedComment ref="L225" dT="2019-08-20T00:18:23.80" personId="{00000000-0000-0000-0000-000000000000}" id="{504EC77F-66C1-4FA5-B75B-DE94B0B97B68}">
    <text>Do not enter amount here- See monthly total below</text>
  </threadedComment>
  <threadedComment ref="N225" dT="2019-08-20T00:18:23.80" personId="{00000000-0000-0000-0000-000000000000}" id="{AF0AFEA6-4490-44E2-AB62-8DE12464FA28}">
    <text>Do not enter amount here- See monthly total below</text>
  </threadedComment>
  <threadedComment ref="H226" dT="2019-08-20T00:18:23.80" personId="{00000000-0000-0000-0000-000000000000}" id="{08FDDCB6-8548-43A1-8D84-2DABFA4E7AA2}">
    <text>Do not enter amount here- See monthly total below</text>
  </threadedComment>
  <threadedComment ref="I226" dT="2019-08-20T00:18:23.80" personId="{00000000-0000-0000-0000-000000000000}" id="{6397A5FC-A647-48D6-80C7-9A7F50CAF8F4}">
    <text>Do not enter amount here- See monthly total below</text>
  </threadedComment>
  <threadedComment ref="J226" dT="2019-08-20T00:18:23.80" personId="{00000000-0000-0000-0000-000000000000}" id="{C6221389-55D6-4C3B-B49D-487D6A5ACFA6}">
    <text>Do not enter amount here- See monthly total below</text>
  </threadedComment>
  <threadedComment ref="L226" dT="2019-08-20T00:18:23.80" personId="{00000000-0000-0000-0000-000000000000}" id="{962FEA5F-E09B-43A7-B703-93491657045E}">
    <text>Do not enter amount here- See monthly total below</text>
  </threadedComment>
  <threadedComment ref="N226" dT="2019-08-20T00:18:23.80" personId="{00000000-0000-0000-0000-000000000000}" id="{AADDF876-3F25-4149-8125-A0BF5A7A9A67}">
    <text>Do not enter amount here- See monthly total below</text>
  </threadedComment>
  <threadedComment ref="H227" dT="2019-08-20T00:18:23.80" personId="{00000000-0000-0000-0000-000000000000}" id="{9DEBBA0F-FCE0-4B57-A9E1-31AF6925D770}">
    <text>Do not enter amount here- See monthly total below</text>
  </threadedComment>
  <threadedComment ref="I227" dT="2019-08-20T00:18:23.80" personId="{00000000-0000-0000-0000-000000000000}" id="{366EC991-7022-4733-A417-0DAE9CA94ED0}">
    <text>Do not enter amount here- See monthly total below</text>
  </threadedComment>
  <threadedComment ref="J227" dT="2019-08-20T00:18:23.80" personId="{00000000-0000-0000-0000-000000000000}" id="{0E4F9523-C495-4CC8-BB2C-9952CCEBE463}">
    <text>Do not enter amount here- See monthly total below</text>
  </threadedComment>
  <threadedComment ref="L227" dT="2019-08-20T00:18:23.80" personId="{00000000-0000-0000-0000-000000000000}" id="{269003BD-24C1-4338-8733-48DE83209125}">
    <text>Do not enter amount here- See monthly total below</text>
  </threadedComment>
  <threadedComment ref="N227" dT="2019-08-20T00:18:23.80" personId="{00000000-0000-0000-0000-000000000000}" id="{070A26BB-F15F-4A60-8ADA-AD9237369EE9}">
    <text>Do not enter amount here- See monthly total below</text>
  </threadedComment>
  <threadedComment ref="H228" dT="2019-08-20T00:18:23.80" personId="{00000000-0000-0000-0000-000000000000}" id="{CCC52594-541C-4329-A4C7-5218D8093572}">
    <text>Do not enter amount here- See monthly total below</text>
  </threadedComment>
  <threadedComment ref="I228" dT="2019-08-20T00:18:23.80" personId="{00000000-0000-0000-0000-000000000000}" id="{B93AE79B-97EE-48A4-BA06-6E1BE6D05C5A}">
    <text>Do not enter amount here- See monthly total below</text>
  </threadedComment>
  <threadedComment ref="J228" dT="2019-08-20T00:18:23.80" personId="{00000000-0000-0000-0000-000000000000}" id="{0CB1CC94-E13B-4527-94FA-055F943904F5}">
    <text>Do not enter amount here- See monthly total below</text>
  </threadedComment>
  <threadedComment ref="L228" dT="2019-08-20T00:18:23.80" personId="{00000000-0000-0000-0000-000000000000}" id="{12F0513D-9579-44E5-8AE1-014FB4864673}">
    <text>Do not enter amount here- See monthly total below</text>
  </threadedComment>
  <threadedComment ref="N228" dT="2019-08-20T00:18:23.80" personId="{00000000-0000-0000-0000-000000000000}" id="{6D59B90E-FF5B-469B-B003-A2D6C4A2B7E4}">
    <text>Do not enter amount here- See monthly total below</text>
  </threadedComment>
  <threadedComment ref="H229" dT="2019-08-20T00:18:23.80" personId="{00000000-0000-0000-0000-000000000000}" id="{D70E6DE1-D7C0-4E01-AF67-4B1E63E03A75}">
    <text>Do not enter amount here- See monthly total below</text>
  </threadedComment>
  <threadedComment ref="I229" dT="2019-08-20T00:18:23.80" personId="{00000000-0000-0000-0000-000000000000}" id="{D1C23DDE-0C78-4A20-9D06-DF5BC1827FCE}">
    <text>Do not enter amount here- See monthly total below</text>
  </threadedComment>
  <threadedComment ref="J229" dT="2019-08-20T00:18:23.80" personId="{00000000-0000-0000-0000-000000000000}" id="{25290F80-7A1B-420E-A88A-622A534BF4FA}">
    <text>Do not enter amount here- See monthly total below</text>
  </threadedComment>
  <threadedComment ref="L229" dT="2019-08-20T00:18:23.80" personId="{00000000-0000-0000-0000-000000000000}" id="{242FF1E4-7DD8-401D-B15A-0FB51BC123EA}">
    <text>Do not enter amount here- See monthly total below</text>
  </threadedComment>
  <threadedComment ref="N229" dT="2019-08-20T00:18:23.80" personId="{00000000-0000-0000-0000-000000000000}" id="{E5C144B6-A783-417A-80D5-98A57E4DAD6B}">
    <text>Do not enter amount here- See monthly total below</text>
  </threadedComment>
  <threadedComment ref="H230" dT="2019-08-20T00:18:23.80" personId="{00000000-0000-0000-0000-000000000000}" id="{73D0082F-2047-4F00-BF51-D3C37A3181F1}">
    <text>Do not enter amount here- See monthly total below</text>
  </threadedComment>
  <threadedComment ref="I230" dT="2019-08-20T00:18:23.80" personId="{00000000-0000-0000-0000-000000000000}" id="{1F20C424-B9F5-4857-AD4A-8213DD684151}">
    <text>Do not enter amount here- See monthly total below</text>
  </threadedComment>
  <threadedComment ref="J230" dT="2019-08-20T00:18:23.80" personId="{00000000-0000-0000-0000-000000000000}" id="{1B45B1C0-E3EE-444F-81C9-01D8319F20FA}">
    <text>Do not enter amount here- See monthly total below</text>
  </threadedComment>
  <threadedComment ref="L230" dT="2019-08-20T00:18:23.80" personId="{00000000-0000-0000-0000-000000000000}" id="{5AD0731F-BD8B-457E-B46E-969A9E0BD664}">
    <text>Do not enter amount here- See monthly total below</text>
  </threadedComment>
  <threadedComment ref="N230" dT="2019-08-20T00:18:23.80" personId="{00000000-0000-0000-0000-000000000000}" id="{D62388A7-D4B1-4674-A6D8-B206CE76D074}">
    <text>Do not enter amount here- See monthly total below</text>
  </threadedComment>
  <threadedComment ref="H236" dT="2019-08-20T00:18:23.80" personId="{00000000-0000-0000-0000-000000000000}" id="{1C7FCFFE-B9BC-4EF4-B0DE-8E26398E0A23}">
    <text>Do not enter amount here- See monthly total below</text>
  </threadedComment>
  <threadedComment ref="I236" dT="2019-08-20T00:18:23.80" personId="{00000000-0000-0000-0000-000000000000}" id="{9C805217-97CE-40A3-80E4-C9416C5F910B}">
    <text>Do not enter amount here- See monthly total below</text>
  </threadedComment>
  <threadedComment ref="J236" dT="2019-08-20T00:18:23.80" personId="{00000000-0000-0000-0000-000000000000}" id="{19185770-D092-462A-AD61-0411DE897D74}">
    <text>Do not enter amount here- See monthly total below</text>
  </threadedComment>
  <threadedComment ref="L236" dT="2019-08-20T00:18:23.80" personId="{00000000-0000-0000-0000-000000000000}" id="{269A88FB-B966-4558-8438-4091AF652577}">
    <text>Do not enter amount here- See monthly total below</text>
  </threadedComment>
  <threadedComment ref="N236" dT="2019-08-20T00:18:23.80" personId="{00000000-0000-0000-0000-000000000000}" id="{88CAC12B-9510-42A9-A8D0-2B70F572E036}">
    <text>Do not enter amount here- See monthly total below</text>
  </threadedComment>
  <threadedComment ref="H237" dT="2019-08-20T00:18:23.80" personId="{00000000-0000-0000-0000-000000000000}" id="{5D53F86C-9CFC-4E2F-A775-0A54AB80882A}">
    <text>Do not enter amount here- See monthly total below</text>
  </threadedComment>
  <threadedComment ref="I237" dT="2019-08-20T00:18:23.80" personId="{00000000-0000-0000-0000-000000000000}" id="{F2735BC2-D27F-4A96-AC82-F9DBDDD3003D}">
    <text>Do not enter amount here- See monthly total below</text>
  </threadedComment>
  <threadedComment ref="J237" dT="2019-08-20T00:18:23.80" personId="{00000000-0000-0000-0000-000000000000}" id="{9E2C5E04-FB91-4510-9C4E-A22253C17B5D}">
    <text>Do not enter amount here- See monthly total below</text>
  </threadedComment>
  <threadedComment ref="L237" dT="2019-08-20T00:18:23.80" personId="{00000000-0000-0000-0000-000000000000}" id="{E5DE8591-E4B3-44D6-A64B-5D8E017717EA}">
    <text>Do not enter amount here- See monthly total below</text>
  </threadedComment>
  <threadedComment ref="N237" dT="2019-08-20T00:18:23.80" personId="{00000000-0000-0000-0000-000000000000}" id="{39E3A1D0-3714-416A-ADF5-8AEC870FA8FD}">
    <text>Do not enter amount here- See monthly total below</text>
  </threadedComment>
  <threadedComment ref="H238" dT="2019-08-20T00:18:23.80" personId="{00000000-0000-0000-0000-000000000000}" id="{7A832897-9D64-4CA1-9234-3F4EB0663DC1}">
    <text>Do not enter amount here- See monthly total below</text>
  </threadedComment>
  <threadedComment ref="I238" dT="2019-08-20T00:18:23.80" personId="{00000000-0000-0000-0000-000000000000}" id="{4CEE2D9E-4D84-46CC-A12F-418D8954F0EB}">
    <text>Do not enter amount here- See monthly total below</text>
  </threadedComment>
  <threadedComment ref="J238" dT="2019-08-20T00:18:23.80" personId="{00000000-0000-0000-0000-000000000000}" id="{E976412C-E98F-4AC8-910B-08479DD6B1B7}">
    <text>Do not enter amount here- See monthly total below</text>
  </threadedComment>
  <threadedComment ref="L238" dT="2019-08-20T00:18:23.80" personId="{00000000-0000-0000-0000-000000000000}" id="{60DF4183-E430-4020-B45F-4CA46B55469F}">
    <text>Do not enter amount here- See monthly total below</text>
  </threadedComment>
  <threadedComment ref="N238" dT="2019-08-20T00:18:23.80" personId="{00000000-0000-0000-0000-000000000000}" id="{05E89FFD-DD57-4D38-A760-33421E3A5578}">
    <text>Do not enter amount here- See monthly total below</text>
  </threadedComment>
  <threadedComment ref="H239" dT="2019-08-20T00:18:23.80" personId="{00000000-0000-0000-0000-000000000000}" id="{98F7F899-2774-4F53-8673-8AA48CF1B5F0}">
    <text>Do not enter amount here- See monthly total below</text>
  </threadedComment>
  <threadedComment ref="I239" dT="2019-08-20T00:18:23.80" personId="{00000000-0000-0000-0000-000000000000}" id="{00CA8B53-9D0D-4D1A-B69C-81B0A893641C}">
    <text>Do not enter amount here- See monthly total below</text>
  </threadedComment>
  <threadedComment ref="J239" dT="2019-08-20T00:18:23.80" personId="{00000000-0000-0000-0000-000000000000}" id="{A2DE56F9-890B-4DC3-B829-948D800D09A5}">
    <text>Do not enter amount here- See monthly total below</text>
  </threadedComment>
  <threadedComment ref="L239" dT="2019-08-20T00:18:23.80" personId="{00000000-0000-0000-0000-000000000000}" id="{D293DF19-E97A-44A6-85DE-2740E70D91BF}">
    <text>Do not enter amount here- See monthly total below</text>
  </threadedComment>
  <threadedComment ref="N239" dT="2019-08-20T00:18:23.80" personId="{00000000-0000-0000-0000-000000000000}" id="{94DFF104-9961-41A6-9B1D-529483CD8876}">
    <text>Do not enter amount here- See monthly total below</text>
  </threadedComment>
  <threadedComment ref="H240" dT="2019-08-20T00:18:23.80" personId="{00000000-0000-0000-0000-000000000000}" id="{2AF06BC2-4ADF-47F6-B0D2-F4886B7DABFD}">
    <text>Do not enter amount here- See monthly total below</text>
  </threadedComment>
  <threadedComment ref="I240" dT="2019-08-20T00:18:23.80" personId="{00000000-0000-0000-0000-000000000000}" id="{456B03E9-4555-4022-BC19-2665FB92E2EB}">
    <text>Do not enter amount here- See monthly total below</text>
  </threadedComment>
  <threadedComment ref="J240" dT="2019-08-20T00:18:23.80" personId="{00000000-0000-0000-0000-000000000000}" id="{1CF47B02-44CF-40C5-9838-D864602F8103}">
    <text>Do not enter amount here- See monthly total below</text>
  </threadedComment>
  <threadedComment ref="L240" dT="2019-08-20T00:18:23.80" personId="{00000000-0000-0000-0000-000000000000}" id="{C56CB412-FDD1-4146-B3F9-5AC709E13C3B}">
    <text>Do not enter amount here- See monthly total below</text>
  </threadedComment>
  <threadedComment ref="N240" dT="2019-08-20T00:18:23.80" personId="{00000000-0000-0000-0000-000000000000}" id="{CA7985B6-6F47-44DC-9C35-99BE6C32DA60}">
    <text>Do not enter amount here- See monthly total below</text>
  </threadedComment>
  <threadedComment ref="H241" dT="2019-08-20T00:18:23.80" personId="{00000000-0000-0000-0000-000000000000}" id="{4FF2944F-EC37-4A69-9B39-3EA1CDA5DC67}">
    <text>Do not enter amount here- See monthly total below</text>
  </threadedComment>
  <threadedComment ref="I241" dT="2019-08-20T00:18:23.80" personId="{00000000-0000-0000-0000-000000000000}" id="{549C2496-964C-47E3-A3FD-7EDC94D12B8D}">
    <text>Do not enter amount here- See monthly total below</text>
  </threadedComment>
  <threadedComment ref="J241" dT="2019-08-20T00:18:23.80" personId="{00000000-0000-0000-0000-000000000000}" id="{26F1A3B5-33BC-4E06-88AE-A5985B77DD0E}">
    <text>Do not enter amount here- See monthly total below</text>
  </threadedComment>
  <threadedComment ref="L241" dT="2019-08-20T00:18:23.80" personId="{00000000-0000-0000-0000-000000000000}" id="{79DE2EC3-93EE-4988-9427-D9CC45A61DCB}">
    <text>Do not enter amount here- See monthly total below</text>
  </threadedComment>
  <threadedComment ref="N241" dT="2019-08-20T00:18:23.80" personId="{00000000-0000-0000-0000-000000000000}" id="{11B9257F-BF36-420B-9EFD-3CF4198A9842}">
    <text>Do not enter amount here- See monthly total below</text>
  </threadedComment>
  <threadedComment ref="H242" dT="2019-08-20T00:18:23.80" personId="{00000000-0000-0000-0000-000000000000}" id="{40140561-799D-43D7-B5A3-7F4F01A0010D}">
    <text>Do not enter amount here- See monthly total below</text>
  </threadedComment>
  <threadedComment ref="I242" dT="2019-08-20T00:18:23.80" personId="{00000000-0000-0000-0000-000000000000}" id="{FAA7C202-399E-4CD0-84D6-6EAEF64B9286}">
    <text>Do not enter amount here- See monthly total below</text>
  </threadedComment>
  <threadedComment ref="J242" dT="2019-08-20T00:18:23.80" personId="{00000000-0000-0000-0000-000000000000}" id="{1D58D944-1DD1-427A-A71C-C077B1ABC425}">
    <text>Do not enter amount here- See monthly total below</text>
  </threadedComment>
  <threadedComment ref="L242" dT="2019-08-20T00:18:23.80" personId="{00000000-0000-0000-0000-000000000000}" id="{3FEE6A3B-165F-4255-9983-AE0872E8531E}">
    <text>Do not enter amount here- See monthly total below</text>
  </threadedComment>
  <threadedComment ref="N242" dT="2019-08-20T00:18:23.80" personId="{00000000-0000-0000-0000-000000000000}" id="{A06E8857-B31E-419A-A149-CAFAE733996A}">
    <text>Do not enter amount here- See monthly total below</text>
  </threadedComment>
  <threadedComment ref="H243" dT="2019-08-20T00:18:23.80" personId="{00000000-0000-0000-0000-000000000000}" id="{C0BF53F2-965D-43AF-8376-90F622746FB6}">
    <text>Do not enter amount here- See monthly total below</text>
  </threadedComment>
  <threadedComment ref="I243" dT="2019-08-20T00:18:23.80" personId="{00000000-0000-0000-0000-000000000000}" id="{58A0B114-8ABF-46CA-8F47-88B68161E9ED}">
    <text>Do not enter amount here- See monthly total below</text>
  </threadedComment>
  <threadedComment ref="J243" dT="2019-08-20T00:18:23.80" personId="{00000000-0000-0000-0000-000000000000}" id="{90FCE72E-4392-4DAD-BF9F-C8044AB17890}">
    <text>Do not enter amount here- See monthly total below</text>
  </threadedComment>
  <threadedComment ref="L243" dT="2019-08-20T00:18:23.80" personId="{00000000-0000-0000-0000-000000000000}" id="{BE31F57B-F48C-4E3D-9B49-7D850EF6FAEB}">
    <text>Do not enter amount here- See monthly total below</text>
  </threadedComment>
  <threadedComment ref="N243" dT="2019-08-20T00:18:23.80" personId="{00000000-0000-0000-0000-000000000000}" id="{86828569-6919-4779-A602-B6693D5C0C48}">
    <text>Do not enter amount here- See monthly total below</text>
  </threadedComment>
  <threadedComment ref="H265" dT="2019-08-20T00:18:23.80" personId="{00000000-0000-0000-0000-000000000000}" id="{BD4D6B85-015A-402F-ACB7-3718E3FC591C}">
    <text>Do not enter amount here- See monthly total below</text>
  </threadedComment>
  <threadedComment ref="I265" dT="2019-08-20T00:18:23.80" personId="{00000000-0000-0000-0000-000000000000}" id="{14CBD685-2779-4A92-9C54-7E151B0214F8}">
    <text>Do not enter amount here- See monthly total below</text>
  </threadedComment>
  <threadedComment ref="J265" dT="2019-08-20T00:18:23.80" personId="{00000000-0000-0000-0000-000000000000}" id="{986C599F-6FB7-46B9-9C9B-6A41E1A49B89}">
    <text>Do not enter amount here- See monthly total below</text>
  </threadedComment>
  <threadedComment ref="L265" dT="2019-08-20T00:18:23.80" personId="{00000000-0000-0000-0000-000000000000}" id="{893CEC65-CAF4-4650-8E64-5F641A9CB347}">
    <text>Do not enter amount here- See monthly total below</text>
  </threadedComment>
  <threadedComment ref="N265" dT="2019-08-20T00:18:23.80" personId="{00000000-0000-0000-0000-000000000000}" id="{BD28458C-2ECD-44D2-94DE-7E3D5622D1EA}">
    <text>Do not enter amount here- See monthly total below</text>
  </threadedComment>
  <threadedComment ref="H266" dT="2019-08-20T00:18:23.80" personId="{00000000-0000-0000-0000-000000000000}" id="{E8926E4C-C191-4E8E-8830-8132A20FAEEB}">
    <text>Do not enter amount here- See monthly total below</text>
  </threadedComment>
  <threadedComment ref="I266" dT="2019-08-20T00:18:23.80" personId="{00000000-0000-0000-0000-000000000000}" id="{142A17F7-0159-4586-B1DE-66DEF4DE6D5F}">
    <text>Do not enter amount here- See monthly total below</text>
  </threadedComment>
  <threadedComment ref="J266" dT="2019-08-20T00:18:23.80" personId="{00000000-0000-0000-0000-000000000000}" id="{5144BE56-72F3-4332-8599-7CF4924739C2}">
    <text>Do not enter amount here- See monthly total below</text>
  </threadedComment>
  <threadedComment ref="L266" dT="2019-08-20T00:18:23.80" personId="{00000000-0000-0000-0000-000000000000}" id="{67A9137A-BCF0-45A9-86BF-1ECD25889575}">
    <text>Do not enter amount here- See monthly total below</text>
  </threadedComment>
  <threadedComment ref="N266" dT="2019-08-20T00:18:23.80" personId="{00000000-0000-0000-0000-000000000000}" id="{6FC0F3E4-57BD-4AD2-962B-DFFDFD038DA7}">
    <text>Do not enter amount here- See monthly total below</text>
  </threadedComment>
  <threadedComment ref="H267" dT="2019-08-20T00:18:23.80" personId="{00000000-0000-0000-0000-000000000000}" id="{5F42BDFB-228A-4371-AD03-F0FCBB98BE69}">
    <text>Do not enter amount here- See monthly total below</text>
  </threadedComment>
  <threadedComment ref="I267" dT="2019-08-20T00:18:23.80" personId="{00000000-0000-0000-0000-000000000000}" id="{5C6B330C-170B-43D9-BF2F-0453D3142225}">
    <text>Do not enter amount here- See monthly total below</text>
  </threadedComment>
  <threadedComment ref="J267" dT="2019-08-20T00:18:23.80" personId="{00000000-0000-0000-0000-000000000000}" id="{EDE6DC92-B6EB-4F63-AB79-A19B2D0FC79B}">
    <text>Do not enter amount here- See monthly total below</text>
  </threadedComment>
  <threadedComment ref="L267" dT="2019-08-20T00:18:23.80" personId="{00000000-0000-0000-0000-000000000000}" id="{7AE0BD63-1E08-4047-98B1-C423CA11383F}">
    <text>Do not enter amount here- See monthly total below</text>
  </threadedComment>
  <threadedComment ref="N267" dT="2019-08-20T00:18:23.80" personId="{00000000-0000-0000-0000-000000000000}" id="{682FC8DF-F4DB-4605-B74C-3FA9B7C7A6B4}">
    <text>Do not enter amount here- See monthly total below</text>
  </threadedComment>
  <threadedComment ref="H268" dT="2019-08-20T00:18:23.80" personId="{00000000-0000-0000-0000-000000000000}" id="{1B32EEA4-BFD0-4D55-BBC9-16A2CF12446D}">
    <text>Do not enter amount here- See monthly total below</text>
  </threadedComment>
  <threadedComment ref="I268" dT="2019-08-20T00:18:23.80" personId="{00000000-0000-0000-0000-000000000000}" id="{009A339F-12C7-49A5-B148-CB3D09C11B55}">
    <text>Do not enter amount here- See monthly total below</text>
  </threadedComment>
  <threadedComment ref="J268" dT="2019-08-20T00:18:23.80" personId="{00000000-0000-0000-0000-000000000000}" id="{2D868E10-B4BA-4E46-A63A-35FCFDDD389B}">
    <text>Do not enter amount here- See monthly total below</text>
  </threadedComment>
  <threadedComment ref="L268" dT="2019-08-20T00:18:23.80" personId="{00000000-0000-0000-0000-000000000000}" id="{9B5F48DA-9979-48ED-B52F-33B0B51A68FC}">
    <text>Do not enter amount here- See monthly total below</text>
  </threadedComment>
  <threadedComment ref="N268" dT="2019-08-20T00:18:23.80" personId="{00000000-0000-0000-0000-000000000000}" id="{8957231C-D749-405A-8BDB-253E6F6A21BC}">
    <text>Do not enter amount here- See monthly total below</text>
  </threadedComment>
  <threadedComment ref="H269" dT="2019-08-20T00:18:23.80" personId="{00000000-0000-0000-0000-000000000000}" id="{A945E70E-C49F-42D0-A265-C3AC5B89DD75}">
    <text>Do not enter amount here- See monthly total below</text>
  </threadedComment>
  <threadedComment ref="I269" dT="2019-08-20T00:18:23.80" personId="{00000000-0000-0000-0000-000000000000}" id="{5EFB0A38-A899-4B91-96AA-359ED3340268}">
    <text>Do not enter amount here- See monthly total below</text>
  </threadedComment>
  <threadedComment ref="J269" dT="2019-08-20T00:18:23.80" personId="{00000000-0000-0000-0000-000000000000}" id="{76B15EF7-4726-4105-9561-46682D335C2D}">
    <text>Do not enter amount here- See monthly total below</text>
  </threadedComment>
  <threadedComment ref="L269" dT="2019-08-20T00:18:23.80" personId="{00000000-0000-0000-0000-000000000000}" id="{8BC3AA99-F4BC-4DB2-B802-B7CFF2543E54}">
    <text>Do not enter amount here- See monthly total below</text>
  </threadedComment>
  <threadedComment ref="N269" dT="2019-08-20T00:18:23.80" personId="{00000000-0000-0000-0000-000000000000}" id="{7A0B0B44-9CE1-4152-9211-21E32B662391}">
    <text>Do not enter amount here- See monthly total below</text>
  </threadedComment>
  <threadedComment ref="H270" dT="2019-08-20T00:18:23.80" personId="{00000000-0000-0000-0000-000000000000}" id="{B173082E-8154-4ED3-B024-DA6CB23CE154}">
    <text>Do not enter amount here- See monthly total below</text>
  </threadedComment>
  <threadedComment ref="I270" dT="2019-08-20T00:18:23.80" personId="{00000000-0000-0000-0000-000000000000}" id="{8E696F58-8BE8-4325-A57D-070AADD30B36}">
    <text>Do not enter amount here- See monthly total below</text>
  </threadedComment>
  <threadedComment ref="J270" dT="2019-08-20T00:18:23.80" personId="{00000000-0000-0000-0000-000000000000}" id="{05CB15BD-6283-4A0B-9233-42DA538A11D8}">
    <text>Do not enter amount here- See monthly total below</text>
  </threadedComment>
  <threadedComment ref="L270" dT="2019-08-20T00:18:23.80" personId="{00000000-0000-0000-0000-000000000000}" id="{FEABB4D8-AAC7-423F-9DB7-A8C58FCC9117}">
    <text>Do not enter amount here- See monthly total below</text>
  </threadedComment>
  <threadedComment ref="N270" dT="2019-08-20T00:18:23.80" personId="{00000000-0000-0000-0000-000000000000}" id="{FA89334A-061C-447D-B8C6-43C5CFB7AEE0}">
    <text>Do not enter amount here- See monthly total below</text>
  </threadedComment>
  <threadedComment ref="H271" dT="2019-08-20T00:18:23.80" personId="{00000000-0000-0000-0000-000000000000}" id="{4B7A87B5-1548-41D6-9203-B2DEDB9DC0D4}">
    <text>Do not enter amount here- See monthly total below</text>
  </threadedComment>
  <threadedComment ref="I271" dT="2019-08-20T00:18:23.80" personId="{00000000-0000-0000-0000-000000000000}" id="{12608143-1715-4916-A6F3-8123D5F9B81F}">
    <text>Do not enter amount here- See monthly total below</text>
  </threadedComment>
  <threadedComment ref="J271" dT="2019-08-20T00:18:23.80" personId="{00000000-0000-0000-0000-000000000000}" id="{5EE4F015-B80C-42F1-BE70-B41E0E05A40A}">
    <text>Do not enter amount here- See monthly total below</text>
  </threadedComment>
  <threadedComment ref="L271" dT="2019-08-20T00:18:23.80" personId="{00000000-0000-0000-0000-000000000000}" id="{36728B03-1293-40BE-B7AF-D8C3BFF6E1FA}">
    <text>Do not enter amount here- See monthly total below</text>
  </threadedComment>
  <threadedComment ref="N271" dT="2019-08-20T00:18:23.80" personId="{00000000-0000-0000-0000-000000000000}" id="{E618F297-1FDD-4787-AD85-E4CC53181EA2}">
    <text>Do not enter amount here- See monthly total below</text>
  </threadedComment>
  <threadedComment ref="H272" dT="2019-08-20T00:18:23.80" personId="{00000000-0000-0000-0000-000000000000}" id="{52D26C2A-1EDF-460B-ACB8-4FE2F9240C3C}">
    <text>Do not enter amount here- See monthly total below</text>
  </threadedComment>
  <threadedComment ref="I272" dT="2019-08-20T00:18:23.80" personId="{00000000-0000-0000-0000-000000000000}" id="{702E060B-629E-4A3D-8D8C-77468ABD7DEE}">
    <text>Do not enter amount here- See monthly total below</text>
  </threadedComment>
  <threadedComment ref="J272" dT="2019-08-20T00:18:23.80" personId="{00000000-0000-0000-0000-000000000000}" id="{6D391C36-C896-475C-B3D3-F5F05D38727E}">
    <text>Do not enter amount here- See monthly total below</text>
  </threadedComment>
  <threadedComment ref="L272" dT="2019-08-20T00:18:23.80" personId="{00000000-0000-0000-0000-000000000000}" id="{E884B255-C698-45A6-B7AE-2C1782C908A6}">
    <text>Do not enter amount here- See monthly total below</text>
  </threadedComment>
  <threadedComment ref="N272" dT="2019-08-20T00:18:23.80" personId="{00000000-0000-0000-0000-000000000000}" id="{3E86089F-6934-431E-A186-BC4B05DB91A2}">
    <text>Do not enter amount here- See monthly total below</text>
  </threadedComment>
  <threadedComment ref="H278" dT="2019-08-20T00:18:23.80" personId="{00000000-0000-0000-0000-000000000000}" id="{B16B25FE-9B6E-4222-843A-8CDF1446FFFC}">
    <text>Do not enter amount here- See monthly total below</text>
  </threadedComment>
  <threadedComment ref="I278" dT="2019-08-20T00:18:23.80" personId="{00000000-0000-0000-0000-000000000000}" id="{00B91A79-0507-4C82-BA91-13280B3C0CE3}">
    <text>Do not enter amount here- See monthly total below</text>
  </threadedComment>
  <threadedComment ref="J278" dT="2019-08-20T00:18:23.80" personId="{00000000-0000-0000-0000-000000000000}" id="{3271FB23-0329-46E5-8977-EC4BC94C0821}">
    <text>Do not enter amount here- See monthly total below</text>
  </threadedComment>
  <threadedComment ref="L278" dT="2019-08-20T00:18:23.80" personId="{00000000-0000-0000-0000-000000000000}" id="{41CFCA30-92A0-43F1-AAF5-FB32414D294D}">
    <text>Do not enter amount here- See monthly total below</text>
  </threadedComment>
  <threadedComment ref="N278" dT="2019-08-20T00:18:23.80" personId="{00000000-0000-0000-0000-000000000000}" id="{DC3230D7-8713-418F-92E4-8949331C8BCC}">
    <text>Do not enter amount here- See monthly total below</text>
  </threadedComment>
  <threadedComment ref="H279" dT="2019-08-20T00:18:23.80" personId="{00000000-0000-0000-0000-000000000000}" id="{78B4D480-BD13-4759-9750-33B64D18AE1F}">
    <text>Do not enter amount here- See monthly total below</text>
  </threadedComment>
  <threadedComment ref="I279" dT="2019-08-20T00:18:23.80" personId="{00000000-0000-0000-0000-000000000000}" id="{5BD411F6-B50F-4408-B28C-6B88ED5681C4}">
    <text>Do not enter amount here- See monthly total below</text>
  </threadedComment>
  <threadedComment ref="J279" dT="2019-08-20T00:18:23.80" personId="{00000000-0000-0000-0000-000000000000}" id="{1993BDED-1463-4F69-A027-7B5DC4646B80}">
    <text>Do not enter amount here- See monthly total below</text>
  </threadedComment>
  <threadedComment ref="L279" dT="2019-08-20T00:18:23.80" personId="{00000000-0000-0000-0000-000000000000}" id="{2547376A-D8A1-41FC-832E-61A5C53166F5}">
    <text>Do not enter amount here- See monthly total below</text>
  </threadedComment>
  <threadedComment ref="N279" dT="2019-08-20T00:18:23.80" personId="{00000000-0000-0000-0000-000000000000}" id="{5D632C1C-079F-4777-86FC-A23E4217A092}">
    <text>Do not enter amount here- See monthly total below</text>
  </threadedComment>
  <threadedComment ref="H280" dT="2019-08-20T00:18:23.80" personId="{00000000-0000-0000-0000-000000000000}" id="{CB84CFA0-8939-4166-A2BA-F6BEA83A032F}">
    <text>Do not enter amount here- See monthly total below</text>
  </threadedComment>
  <threadedComment ref="I280" dT="2019-08-20T00:18:23.80" personId="{00000000-0000-0000-0000-000000000000}" id="{BC0556B0-E018-42BA-BE4F-B7FB14401921}">
    <text>Do not enter amount here- See monthly total below</text>
  </threadedComment>
  <threadedComment ref="J280" dT="2019-08-20T00:18:23.80" personId="{00000000-0000-0000-0000-000000000000}" id="{1E4AD257-5570-4CD6-A0EB-6439B1000B2F}">
    <text>Do not enter amount here- See monthly total below</text>
  </threadedComment>
  <threadedComment ref="L280" dT="2019-08-20T00:18:23.80" personId="{00000000-0000-0000-0000-000000000000}" id="{BD1B8F51-42F0-4262-BC92-F5D6F2FA9CCF}">
    <text>Do not enter amount here- See monthly total below</text>
  </threadedComment>
  <threadedComment ref="N280" dT="2019-08-20T00:18:23.80" personId="{00000000-0000-0000-0000-000000000000}" id="{5A942F96-F361-4E15-9F2F-B939C767421F}">
    <text>Do not enter amount here- See monthly total below</text>
  </threadedComment>
  <threadedComment ref="H281" dT="2019-08-20T00:18:23.80" personId="{00000000-0000-0000-0000-000000000000}" id="{F7E98563-B4D2-4F09-A225-17EEFDDC2E10}">
    <text>Do not enter amount here- See monthly total below</text>
  </threadedComment>
  <threadedComment ref="I281" dT="2019-08-20T00:18:23.80" personId="{00000000-0000-0000-0000-000000000000}" id="{04895A47-DDB5-4743-B927-55482BFC6370}">
    <text>Do not enter amount here- See monthly total below</text>
  </threadedComment>
  <threadedComment ref="J281" dT="2019-08-20T00:18:23.80" personId="{00000000-0000-0000-0000-000000000000}" id="{854CFA94-28B3-4237-9493-8C90E40B3FF9}">
    <text>Do not enter amount here- See monthly total below</text>
  </threadedComment>
  <threadedComment ref="L281" dT="2019-08-20T00:18:23.80" personId="{00000000-0000-0000-0000-000000000000}" id="{1C7ACE0C-1684-4909-A2F0-7B454C39CB6A}">
    <text>Do not enter amount here- See monthly total below</text>
  </threadedComment>
  <threadedComment ref="N281" dT="2019-08-20T00:18:23.80" personId="{00000000-0000-0000-0000-000000000000}" id="{9C3E1ED2-4C90-4432-A945-AA4DCC71724F}">
    <text>Do not enter amount here- See monthly total below</text>
  </threadedComment>
  <threadedComment ref="H282" dT="2019-08-20T00:18:23.80" personId="{00000000-0000-0000-0000-000000000000}" id="{F2662447-EA1E-4D69-BADF-4C1B484A3056}">
    <text>Do not enter amount here- See monthly total below</text>
  </threadedComment>
  <threadedComment ref="I282" dT="2019-08-20T00:18:23.80" personId="{00000000-0000-0000-0000-000000000000}" id="{8B3CEE3B-01EA-4FC6-9514-80894EB51A2C}">
    <text>Do not enter amount here- See monthly total below</text>
  </threadedComment>
  <threadedComment ref="J282" dT="2019-08-20T00:18:23.80" personId="{00000000-0000-0000-0000-000000000000}" id="{AC9C1EBA-91CB-4F8C-8A74-40BDB190A1D1}">
    <text>Do not enter amount here- See monthly total below</text>
  </threadedComment>
  <threadedComment ref="L282" dT="2019-08-20T00:18:23.80" personId="{00000000-0000-0000-0000-000000000000}" id="{0572A87E-BDC8-41DB-B2C8-D45F9C61B15C}">
    <text>Do not enter amount here- See monthly total below</text>
  </threadedComment>
  <threadedComment ref="N282" dT="2019-08-20T00:18:23.80" personId="{00000000-0000-0000-0000-000000000000}" id="{4D47748E-0001-4C80-B661-3F5214DB482A}">
    <text>Do not enter amount here- See monthly total below</text>
  </threadedComment>
  <threadedComment ref="H283" dT="2019-08-20T00:18:23.80" personId="{00000000-0000-0000-0000-000000000000}" id="{1F9CEA17-C9EE-4F2D-97AE-E9F5B79E0BC8}">
    <text>Do not enter amount here- See monthly total below</text>
  </threadedComment>
  <threadedComment ref="I283" dT="2019-08-20T00:18:23.80" personId="{00000000-0000-0000-0000-000000000000}" id="{3668618D-15EC-46A5-B3D5-9BB0792C2660}">
    <text>Do not enter amount here- See monthly total below</text>
  </threadedComment>
  <threadedComment ref="J283" dT="2019-08-20T00:18:23.80" personId="{00000000-0000-0000-0000-000000000000}" id="{C17164D0-8337-43F2-883E-0A18E33E997B}">
    <text>Do not enter amount here- See monthly total below</text>
  </threadedComment>
  <threadedComment ref="L283" dT="2019-08-20T00:18:23.80" personId="{00000000-0000-0000-0000-000000000000}" id="{F4DC7C77-F9D6-48FB-B77B-203D53F4972C}">
    <text>Do not enter amount here- See monthly total below</text>
  </threadedComment>
  <threadedComment ref="N283" dT="2019-08-20T00:18:23.80" personId="{00000000-0000-0000-0000-000000000000}" id="{BEED885F-62C9-4516-861C-3E8C9DD4DC76}">
    <text>Do not enter amount here- See monthly total below</text>
  </threadedComment>
  <threadedComment ref="H284" dT="2019-08-20T00:18:23.80" personId="{00000000-0000-0000-0000-000000000000}" id="{5FCFA48F-A712-4CA4-9F68-05D410F9156B}">
    <text>Do not enter amount here- See monthly total below</text>
  </threadedComment>
  <threadedComment ref="I284" dT="2019-08-20T00:18:23.80" personId="{00000000-0000-0000-0000-000000000000}" id="{3304729C-E630-424E-A243-1453178858A4}">
    <text>Do not enter amount here- See monthly total below</text>
  </threadedComment>
  <threadedComment ref="J284" dT="2019-08-20T00:18:23.80" personId="{00000000-0000-0000-0000-000000000000}" id="{4DA05861-1E5E-40AB-B981-DC827B978355}">
    <text>Do not enter amount here- See monthly total below</text>
  </threadedComment>
  <threadedComment ref="L284" dT="2019-08-20T00:18:23.80" personId="{00000000-0000-0000-0000-000000000000}" id="{AAC9C899-A20E-45F9-97AB-CD35F17712A3}">
    <text>Do not enter amount here- See monthly total below</text>
  </threadedComment>
  <threadedComment ref="N284" dT="2019-08-20T00:18:23.80" personId="{00000000-0000-0000-0000-000000000000}" id="{9A78C33B-C516-4E64-826F-65DE85FF86BF}">
    <text>Do not enter amount here- See monthly total below</text>
  </threadedComment>
  <threadedComment ref="H285" dT="2019-08-20T00:18:23.80" personId="{00000000-0000-0000-0000-000000000000}" id="{F1093B8E-BCEA-4579-AD3F-2E7EB9878C05}">
    <text>Do not enter amount here- See monthly total below</text>
  </threadedComment>
  <threadedComment ref="I285" dT="2019-08-20T00:18:23.80" personId="{00000000-0000-0000-0000-000000000000}" id="{26AF7BC2-D198-4D24-896F-9F27D0D1C648}">
    <text>Do not enter amount here- See monthly total below</text>
  </threadedComment>
  <threadedComment ref="J285" dT="2019-08-20T00:18:23.80" personId="{00000000-0000-0000-0000-000000000000}" id="{9CEF4C6C-D645-4CDC-BF6F-6723912A7A52}">
    <text>Do not enter amount here- See monthly total below</text>
  </threadedComment>
  <threadedComment ref="L285" dT="2019-08-20T00:18:23.80" personId="{00000000-0000-0000-0000-000000000000}" id="{9D63434D-8804-4E77-9F3C-A41FB1477102}">
    <text>Do not enter amount here- See monthly total below</text>
  </threadedComment>
  <threadedComment ref="N285" dT="2019-08-20T00:18:23.80" personId="{00000000-0000-0000-0000-000000000000}" id="{014FA720-6D0F-4E65-92C6-F9CEB6E041EF}">
    <text>Do not enter amount here- See monthly total below</text>
  </threadedComment>
  <threadedComment ref="H307" dT="2019-08-20T00:18:23.80" personId="{00000000-0000-0000-0000-000000000000}" id="{E671D0FB-4163-4960-891C-80B2984B29C4}">
    <text>Do not enter amount here- See monthly total below</text>
  </threadedComment>
  <threadedComment ref="I307" dT="2019-08-20T00:18:23.80" personId="{00000000-0000-0000-0000-000000000000}" id="{657759EA-6149-4AC9-9155-A5E9AF974DE0}">
    <text>Do not enter amount here- See monthly total below</text>
  </threadedComment>
  <threadedComment ref="J307" dT="2019-08-20T00:18:23.80" personId="{00000000-0000-0000-0000-000000000000}" id="{712EB9F3-0821-495F-99E5-34ECA3CB7939}">
    <text>Do not enter amount here- See monthly total below</text>
  </threadedComment>
  <threadedComment ref="L307" dT="2019-08-20T00:18:23.80" personId="{00000000-0000-0000-0000-000000000000}" id="{3BDCCD61-ECCF-4600-9E73-6D7282E665B9}">
    <text>Do not enter amount here- See monthly total below</text>
  </threadedComment>
  <threadedComment ref="N307" dT="2019-08-20T00:18:23.80" personId="{00000000-0000-0000-0000-000000000000}" id="{AF4CE2BD-A93D-4A6A-98D5-5CAB5F54F823}">
    <text>Do not enter amount here- See monthly total below</text>
  </threadedComment>
  <threadedComment ref="H308" dT="2019-08-20T00:18:23.80" personId="{00000000-0000-0000-0000-000000000000}" id="{1CCA3426-614F-4E92-8333-118F83259885}">
    <text>Do not enter amount here- See monthly total below</text>
  </threadedComment>
  <threadedComment ref="I308" dT="2019-08-20T00:18:23.80" personId="{00000000-0000-0000-0000-000000000000}" id="{DA10F7F6-F907-4D99-848C-3B17E589A792}">
    <text>Do not enter amount here- See monthly total below</text>
  </threadedComment>
  <threadedComment ref="J308" dT="2019-08-20T00:18:23.80" personId="{00000000-0000-0000-0000-000000000000}" id="{EF9E6B6A-005E-492A-9CA1-0043124721B7}">
    <text>Do not enter amount here- See monthly total below</text>
  </threadedComment>
  <threadedComment ref="L308" dT="2019-08-20T00:18:23.80" personId="{00000000-0000-0000-0000-000000000000}" id="{06B31A4A-BED7-4AE3-87A9-24096CE3515B}">
    <text>Do not enter amount here- See monthly total below</text>
  </threadedComment>
  <threadedComment ref="N308" dT="2019-08-20T00:18:23.80" personId="{00000000-0000-0000-0000-000000000000}" id="{84432A05-F938-4E4A-B168-04D2D18B5B3E}">
    <text>Do not enter amount here- See monthly total below</text>
  </threadedComment>
  <threadedComment ref="H309" dT="2019-08-20T00:18:23.80" personId="{00000000-0000-0000-0000-000000000000}" id="{EB06D5B4-E239-4AC9-902E-8A70F3438B05}">
    <text>Do not enter amount here- See monthly total below</text>
  </threadedComment>
  <threadedComment ref="I309" dT="2019-08-20T00:18:23.80" personId="{00000000-0000-0000-0000-000000000000}" id="{AFBD4E7C-5ECA-4E0D-A6DF-915FCF5295C7}">
    <text>Do not enter amount here- See monthly total below</text>
  </threadedComment>
  <threadedComment ref="J309" dT="2019-08-20T00:18:23.80" personId="{00000000-0000-0000-0000-000000000000}" id="{500992A0-08C8-410D-8128-0CFE104D455E}">
    <text>Do not enter amount here- See monthly total below</text>
  </threadedComment>
  <threadedComment ref="L309" dT="2019-08-20T00:18:23.80" personId="{00000000-0000-0000-0000-000000000000}" id="{21BBBD4D-0F24-421A-8C6A-93DCBF4102CA}">
    <text>Do not enter amount here- See monthly total below</text>
  </threadedComment>
  <threadedComment ref="N309" dT="2019-08-20T00:18:23.80" personId="{00000000-0000-0000-0000-000000000000}" id="{FAD2D23F-9A3F-4329-A3C0-CE449AF99D17}">
    <text>Do not enter amount here- See monthly total below</text>
  </threadedComment>
  <threadedComment ref="H310" dT="2019-08-20T00:18:23.80" personId="{00000000-0000-0000-0000-000000000000}" id="{32374397-CB0E-40DE-9721-068BD5BE86A1}">
    <text>Do not enter amount here- See monthly total below</text>
  </threadedComment>
  <threadedComment ref="I310" dT="2019-08-20T00:18:23.80" personId="{00000000-0000-0000-0000-000000000000}" id="{3A28D694-3F5C-4D27-8550-CEF5287CEDF5}">
    <text>Do not enter amount here- See monthly total below</text>
  </threadedComment>
  <threadedComment ref="J310" dT="2019-08-20T00:18:23.80" personId="{00000000-0000-0000-0000-000000000000}" id="{EFF86E4D-061A-47E4-95B0-D8454F5FEC24}">
    <text>Do not enter amount here- See monthly total below</text>
  </threadedComment>
  <threadedComment ref="L310" dT="2019-08-20T00:18:23.80" personId="{00000000-0000-0000-0000-000000000000}" id="{B86278D2-9A1F-4005-89F0-A70508CFD9D7}">
    <text>Do not enter amount here- See monthly total below</text>
  </threadedComment>
  <threadedComment ref="N310" dT="2019-08-20T00:18:23.80" personId="{00000000-0000-0000-0000-000000000000}" id="{333F0AF1-590A-4153-881C-F21988C52A5A}">
    <text>Do not enter amount here- See monthly total below</text>
  </threadedComment>
  <threadedComment ref="H311" dT="2019-08-20T00:18:23.80" personId="{00000000-0000-0000-0000-000000000000}" id="{B9F1A839-EBED-42CD-9F6F-6539F4EA6F79}">
    <text>Do not enter amount here- See monthly total below</text>
  </threadedComment>
  <threadedComment ref="I311" dT="2019-08-20T00:18:23.80" personId="{00000000-0000-0000-0000-000000000000}" id="{6DBA5F49-70A8-45BC-B0CC-089E780E89D6}">
    <text>Do not enter amount here- See monthly total below</text>
  </threadedComment>
  <threadedComment ref="J311" dT="2019-08-20T00:18:23.80" personId="{00000000-0000-0000-0000-000000000000}" id="{A01F8A97-761C-4779-9FA2-333CFFAE9D58}">
    <text>Do not enter amount here- See monthly total below</text>
  </threadedComment>
  <threadedComment ref="L311" dT="2019-08-20T00:18:23.80" personId="{00000000-0000-0000-0000-000000000000}" id="{AAB11EC3-8B8C-4C77-A077-2F8F2515B646}">
    <text>Do not enter amount here- See monthly total below</text>
  </threadedComment>
  <threadedComment ref="N311" dT="2019-08-20T00:18:23.80" personId="{00000000-0000-0000-0000-000000000000}" id="{1EB18BB2-7F0A-465D-9D15-9D28A1B2E047}">
    <text>Do not enter amount here- See monthly total below</text>
  </threadedComment>
  <threadedComment ref="H312" dT="2019-08-20T00:18:23.80" personId="{00000000-0000-0000-0000-000000000000}" id="{075CEAF4-28F0-4608-ABDF-0AD4F67C40DF}">
    <text>Do not enter amount here- See monthly total below</text>
  </threadedComment>
  <threadedComment ref="I312" dT="2019-08-20T00:18:23.80" personId="{00000000-0000-0000-0000-000000000000}" id="{B8C96998-0CBB-4670-99BD-22C42955629C}">
    <text>Do not enter amount here- See monthly total below</text>
  </threadedComment>
  <threadedComment ref="J312" dT="2019-08-20T00:18:23.80" personId="{00000000-0000-0000-0000-000000000000}" id="{35AD9A6C-960A-4161-9DF5-E754C69CFE66}">
    <text>Do not enter amount here- See monthly total below</text>
  </threadedComment>
  <threadedComment ref="L312" dT="2019-08-20T00:18:23.80" personId="{00000000-0000-0000-0000-000000000000}" id="{542AE595-8524-460D-8657-7C9CC11D0B24}">
    <text>Do not enter amount here- See monthly total below</text>
  </threadedComment>
  <threadedComment ref="N312" dT="2019-08-20T00:18:23.80" personId="{00000000-0000-0000-0000-000000000000}" id="{E3E364E2-3362-49D7-85BF-131A9D3FF159}">
    <text>Do not enter amount here- See monthly total below</text>
  </threadedComment>
  <threadedComment ref="H313" dT="2019-08-20T00:18:23.80" personId="{00000000-0000-0000-0000-000000000000}" id="{AA8C2D38-C148-4876-B388-BDF010EFD9D0}">
    <text>Do not enter amount here- See monthly total below</text>
  </threadedComment>
  <threadedComment ref="I313" dT="2019-08-20T00:18:23.80" personId="{00000000-0000-0000-0000-000000000000}" id="{EC699CAC-02CE-4E37-85D7-566C910E7437}">
    <text>Do not enter amount here- See monthly total below</text>
  </threadedComment>
  <threadedComment ref="J313" dT="2019-08-20T00:18:23.80" personId="{00000000-0000-0000-0000-000000000000}" id="{E5CA5037-89BC-4FA3-BB0D-9BEBAA443235}">
    <text>Do not enter amount here- See monthly total below</text>
  </threadedComment>
  <threadedComment ref="L313" dT="2019-08-20T00:18:23.80" personId="{00000000-0000-0000-0000-000000000000}" id="{6F98D412-7EE5-443C-9A3A-D12A79F76204}">
    <text>Do not enter amount here- See monthly total below</text>
  </threadedComment>
  <threadedComment ref="N313" dT="2019-08-20T00:18:23.80" personId="{00000000-0000-0000-0000-000000000000}" id="{719630B6-6ACE-4899-A196-7D688E7A6509}">
    <text>Do not enter amount here- See monthly total below</text>
  </threadedComment>
  <threadedComment ref="H314" dT="2019-08-20T00:18:23.80" personId="{00000000-0000-0000-0000-000000000000}" id="{25115EF0-2270-4EB9-9188-C5D8F7C59AC0}">
    <text>Do not enter amount here- See monthly total below</text>
  </threadedComment>
  <threadedComment ref="I314" dT="2019-08-20T00:18:23.80" personId="{00000000-0000-0000-0000-000000000000}" id="{26F4FF57-5318-4632-8D78-C1FF96151BEC}">
    <text>Do not enter amount here- See monthly total below</text>
  </threadedComment>
  <threadedComment ref="J314" dT="2019-08-20T00:18:23.80" personId="{00000000-0000-0000-0000-000000000000}" id="{38FC104F-05D3-4DD8-908F-383AA150A953}">
    <text>Do not enter amount here- See monthly total below</text>
  </threadedComment>
  <threadedComment ref="L314" dT="2019-08-20T00:18:23.80" personId="{00000000-0000-0000-0000-000000000000}" id="{8A3E2EFA-9FA8-4517-B028-C40B7E454C7C}">
    <text>Do not enter amount here- See monthly total below</text>
  </threadedComment>
  <threadedComment ref="N314" dT="2019-08-20T00:18:23.80" personId="{00000000-0000-0000-0000-000000000000}" id="{20BF2834-6288-4568-96C9-9BBDC1C789DA}">
    <text>Do not enter amount here- See monthly total below</text>
  </threadedComment>
  <threadedComment ref="H320" dT="2019-08-20T00:18:23.80" personId="{00000000-0000-0000-0000-000000000000}" id="{A3F9FAF5-0F10-4A0B-B391-7EF75E2BB5C6}">
    <text>Do not enter amount here- See monthly total below</text>
  </threadedComment>
  <threadedComment ref="I320" dT="2019-08-20T00:18:23.80" personId="{00000000-0000-0000-0000-000000000000}" id="{79457AAC-B7B1-4CD8-9D96-4BEB4D8A9F46}">
    <text>Do not enter amount here- See monthly total below</text>
  </threadedComment>
  <threadedComment ref="J320" dT="2019-08-20T00:18:23.80" personId="{00000000-0000-0000-0000-000000000000}" id="{CDC5E31A-5436-4CDC-9D56-3D69CBCE4FC6}">
    <text>Do not enter amount here- See monthly total below</text>
  </threadedComment>
  <threadedComment ref="L320" dT="2019-08-20T00:18:23.80" personId="{00000000-0000-0000-0000-000000000000}" id="{EEFC5957-FE96-4206-811B-9360EDF5BC30}">
    <text>Do not enter amount here- See monthly total below</text>
  </threadedComment>
  <threadedComment ref="N320" dT="2019-08-20T00:18:23.80" personId="{00000000-0000-0000-0000-000000000000}" id="{19AACAA1-38D7-4DE3-B9B4-1C933FF6AAD7}">
    <text>Do not enter amount here- See monthly total below</text>
  </threadedComment>
  <threadedComment ref="H321" dT="2019-08-20T00:18:23.80" personId="{00000000-0000-0000-0000-000000000000}" id="{EE15E271-4C46-4FE9-A653-770B674900FD}">
    <text>Do not enter amount here- See monthly total below</text>
  </threadedComment>
  <threadedComment ref="I321" dT="2019-08-20T00:18:23.80" personId="{00000000-0000-0000-0000-000000000000}" id="{3518E43E-EE83-459A-BA24-881FA8DD103F}">
    <text>Do not enter amount here- See monthly total below</text>
  </threadedComment>
  <threadedComment ref="J321" dT="2019-08-20T00:18:23.80" personId="{00000000-0000-0000-0000-000000000000}" id="{B5E49EDD-6AB2-4438-8F9C-C427C059BF91}">
    <text>Do not enter amount here- See monthly total below</text>
  </threadedComment>
  <threadedComment ref="L321" dT="2019-08-20T00:18:23.80" personId="{00000000-0000-0000-0000-000000000000}" id="{2AE0863D-40DB-4B01-AA99-6481916EBCD4}">
    <text>Do not enter amount here- See monthly total below</text>
  </threadedComment>
  <threadedComment ref="N321" dT="2019-08-20T00:18:23.80" personId="{00000000-0000-0000-0000-000000000000}" id="{1899ABFA-7137-4D9D-9BE3-323396E2D57C}">
    <text>Do not enter amount here- See monthly total below</text>
  </threadedComment>
  <threadedComment ref="H322" dT="2019-08-20T00:18:23.80" personId="{00000000-0000-0000-0000-000000000000}" id="{8C3850AC-DA29-4CF4-A065-4F0AA3D92475}">
    <text>Do not enter amount here- See monthly total below</text>
  </threadedComment>
  <threadedComment ref="I322" dT="2019-08-20T00:18:23.80" personId="{00000000-0000-0000-0000-000000000000}" id="{A7DE3E80-47CA-4D42-A599-4BC2188FD3CB}">
    <text>Do not enter amount here- See monthly total below</text>
  </threadedComment>
  <threadedComment ref="J322" dT="2019-08-20T00:18:23.80" personId="{00000000-0000-0000-0000-000000000000}" id="{65B128F7-EF65-4DF9-8977-D8F7C40991AF}">
    <text>Do not enter amount here- See monthly total below</text>
  </threadedComment>
  <threadedComment ref="L322" dT="2019-08-20T00:18:23.80" personId="{00000000-0000-0000-0000-000000000000}" id="{75D04239-30E2-4D9D-B20E-97ABE34DE4D3}">
    <text>Do not enter amount here- See monthly total below</text>
  </threadedComment>
  <threadedComment ref="N322" dT="2019-08-20T00:18:23.80" personId="{00000000-0000-0000-0000-000000000000}" id="{55C756F4-A016-4F16-B9AD-4430BA424586}">
    <text>Do not enter amount here- See monthly total below</text>
  </threadedComment>
  <threadedComment ref="H323" dT="2019-08-20T00:18:23.80" personId="{00000000-0000-0000-0000-000000000000}" id="{28176B1E-590C-4528-94A2-436469E1B253}">
    <text>Do not enter amount here- See monthly total below</text>
  </threadedComment>
  <threadedComment ref="I323" dT="2019-08-20T00:18:23.80" personId="{00000000-0000-0000-0000-000000000000}" id="{66CC50ED-6CA9-4343-871C-ED05BB0AFDD5}">
    <text>Do not enter amount here- See monthly total below</text>
  </threadedComment>
  <threadedComment ref="J323" dT="2019-08-20T00:18:23.80" personId="{00000000-0000-0000-0000-000000000000}" id="{D33DA62C-558C-4D75-8FEB-27C0A8BF4815}">
    <text>Do not enter amount here- See monthly total below</text>
  </threadedComment>
  <threadedComment ref="L323" dT="2019-08-20T00:18:23.80" personId="{00000000-0000-0000-0000-000000000000}" id="{BE2CD9FA-827E-4CAB-A67D-6C21DB0A954A}">
    <text>Do not enter amount here- See monthly total below</text>
  </threadedComment>
  <threadedComment ref="N323" dT="2019-08-20T00:18:23.80" personId="{00000000-0000-0000-0000-000000000000}" id="{2BE77E1B-22D7-4EF8-8EF9-7536609E49AF}">
    <text>Do not enter amount here- See monthly total below</text>
  </threadedComment>
  <threadedComment ref="H324" dT="2019-08-20T00:18:23.80" personId="{00000000-0000-0000-0000-000000000000}" id="{EB133C10-EDC9-44A0-8263-14A710740A66}">
    <text>Do not enter amount here- See monthly total below</text>
  </threadedComment>
  <threadedComment ref="I324" dT="2019-08-20T00:18:23.80" personId="{00000000-0000-0000-0000-000000000000}" id="{E27D7207-7DF0-4375-AE78-71FF607B7C7B}">
    <text>Do not enter amount here- See monthly total below</text>
  </threadedComment>
  <threadedComment ref="J324" dT="2019-08-20T00:18:23.80" personId="{00000000-0000-0000-0000-000000000000}" id="{6831FA44-8186-4A87-9421-83B323F4E68A}">
    <text>Do not enter amount here- See monthly total below</text>
  </threadedComment>
  <threadedComment ref="L324" dT="2019-08-20T00:18:23.80" personId="{00000000-0000-0000-0000-000000000000}" id="{62FBA981-7E53-4FCA-9847-E07FC97E6730}">
    <text>Do not enter amount here- See monthly total below</text>
  </threadedComment>
  <threadedComment ref="N324" dT="2019-08-20T00:18:23.80" personId="{00000000-0000-0000-0000-000000000000}" id="{32692705-AFC8-42F5-A5D2-734F459FDE90}">
    <text>Do not enter amount here- See monthly total below</text>
  </threadedComment>
  <threadedComment ref="H325" dT="2019-08-20T00:18:23.80" personId="{00000000-0000-0000-0000-000000000000}" id="{675D558B-32E6-4EBA-949F-C4AFABD3F445}">
    <text>Do not enter amount here- See monthly total below</text>
  </threadedComment>
  <threadedComment ref="I325" dT="2019-08-20T00:18:23.80" personId="{00000000-0000-0000-0000-000000000000}" id="{0BCA47FC-8514-4578-8C8B-896642DD66A4}">
    <text>Do not enter amount here- See monthly total below</text>
  </threadedComment>
  <threadedComment ref="J325" dT="2019-08-20T00:18:23.80" personId="{00000000-0000-0000-0000-000000000000}" id="{CAED0019-E049-45FF-943D-FC5BB953F37A}">
    <text>Do not enter amount here- See monthly total below</text>
  </threadedComment>
  <threadedComment ref="L325" dT="2019-08-20T00:18:23.80" personId="{00000000-0000-0000-0000-000000000000}" id="{C2CA8ABB-BB31-462B-8BFD-FD95E88595DD}">
    <text>Do not enter amount here- See monthly total below</text>
  </threadedComment>
  <threadedComment ref="N325" dT="2019-08-20T00:18:23.80" personId="{00000000-0000-0000-0000-000000000000}" id="{47E7D760-5CB6-4BB6-B79B-8586F99D2BA7}">
    <text>Do not enter amount here- See monthly total below</text>
  </threadedComment>
  <threadedComment ref="H326" dT="2019-08-20T00:18:23.80" personId="{00000000-0000-0000-0000-000000000000}" id="{8EBC6FB3-AF39-4127-A193-4AA4791836F0}">
    <text>Do not enter amount here- See monthly total below</text>
  </threadedComment>
  <threadedComment ref="I326" dT="2019-08-20T00:18:23.80" personId="{00000000-0000-0000-0000-000000000000}" id="{C0FD5011-090F-4343-BF46-2E22729E7E15}">
    <text>Do not enter amount here- See monthly total below</text>
  </threadedComment>
  <threadedComment ref="J326" dT="2019-08-20T00:18:23.80" personId="{00000000-0000-0000-0000-000000000000}" id="{7D2E57B9-D902-4416-BD0D-37A2BDC3255A}">
    <text>Do not enter amount here- See monthly total below</text>
  </threadedComment>
  <threadedComment ref="L326" dT="2019-08-20T00:18:23.80" personId="{00000000-0000-0000-0000-000000000000}" id="{5A69C7D1-B867-4864-8976-5B62ED6C1234}">
    <text>Do not enter amount here- See monthly total below</text>
  </threadedComment>
  <threadedComment ref="N326" dT="2019-08-20T00:18:23.80" personId="{00000000-0000-0000-0000-000000000000}" id="{7674A711-12F1-44DF-8A5F-0CC0446525CC}">
    <text>Do not enter amount here- See monthly total below</text>
  </threadedComment>
  <threadedComment ref="H327" dT="2019-08-20T00:18:23.80" personId="{00000000-0000-0000-0000-000000000000}" id="{E330088F-5C23-4DD4-8585-64E7EAE9CACE}">
    <text>Do not enter amount here- See monthly total below</text>
  </threadedComment>
  <threadedComment ref="I327" dT="2019-08-20T00:18:23.80" personId="{00000000-0000-0000-0000-000000000000}" id="{D5DA04D0-4DB6-4CEE-8547-38871A72CCA7}">
    <text>Do not enter amount here- See monthly total below</text>
  </threadedComment>
  <threadedComment ref="J327" dT="2019-08-20T00:18:23.80" personId="{00000000-0000-0000-0000-000000000000}" id="{58F941B1-1AAF-4DC5-9AFE-2CF3464C032A}">
    <text>Do not enter amount here- See monthly total below</text>
  </threadedComment>
  <threadedComment ref="L327" dT="2019-08-20T00:18:23.80" personId="{00000000-0000-0000-0000-000000000000}" id="{4C4ED61E-EB7D-43A4-8B36-9C0C3C401FD9}">
    <text>Do not enter amount here- See monthly total below</text>
  </threadedComment>
  <threadedComment ref="N327" dT="2019-08-20T00:18:23.80" personId="{00000000-0000-0000-0000-000000000000}" id="{A25753B8-2313-4E9C-B7CE-055897F90968}">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297</v>
      </c>
      <c r="C2" s="246"/>
      <c r="D2" s="246"/>
      <c r="E2" s="247"/>
      <c r="G2" s="248"/>
      <c r="K2" s="223" t="s">
        <v>159</v>
      </c>
      <c r="L2" s="223" t="s">
        <v>298</v>
      </c>
    </row>
    <row r="3" spans="2:12">
      <c r="K3" s="224">
        <v>43658</v>
      </c>
      <c r="L3" s="222" t="s">
        <v>321</v>
      </c>
    </row>
    <row r="4" spans="2:12">
      <c r="K4" s="224">
        <v>43672</v>
      </c>
      <c r="L4" s="222" t="s">
        <v>320</v>
      </c>
    </row>
    <row r="5" spans="2:12">
      <c r="K5" s="224"/>
      <c r="L5" s="225"/>
    </row>
    <row r="6" spans="2:12">
      <c r="I6" s="226"/>
    </row>
    <row r="8" spans="2:12">
      <c r="B8" s="227" t="s">
        <v>299</v>
      </c>
      <c r="C8" s="228">
        <v>43658</v>
      </c>
      <c r="D8" s="228">
        <v>43672</v>
      </c>
      <c r="E8" s="228"/>
      <c r="F8" s="229" t="s">
        <v>66</v>
      </c>
      <c r="G8" s="227" t="s">
        <v>322</v>
      </c>
      <c r="H8" s="227" t="s">
        <v>300</v>
      </c>
      <c r="I8" s="227"/>
    </row>
    <row r="9" spans="2:12" ht="20.25" customHeight="1">
      <c r="J9" s="230" t="s">
        <v>301</v>
      </c>
      <c r="K9" s="230" t="s">
        <v>302</v>
      </c>
    </row>
    <row r="10" spans="2:12">
      <c r="B10" s="222" t="s">
        <v>154</v>
      </c>
      <c r="C10" s="231">
        <v>0</v>
      </c>
      <c r="D10" s="231">
        <v>0</v>
      </c>
      <c r="E10" s="231">
        <v>0</v>
      </c>
      <c r="F10" s="231">
        <f>SUM(C10:E10)</f>
        <v>0</v>
      </c>
      <c r="H10" s="231">
        <v>0.5</v>
      </c>
      <c r="I10" s="231">
        <f>F10*H10</f>
        <v>0</v>
      </c>
    </row>
    <row r="11" spans="2:12">
      <c r="B11" s="222" t="s">
        <v>146</v>
      </c>
      <c r="C11" s="231"/>
      <c r="D11" s="231"/>
      <c r="E11" s="231"/>
      <c r="F11" s="231">
        <f t="shared" ref="F11:F19" si="0">SUM(C11:E11)</f>
        <v>0</v>
      </c>
      <c r="H11" s="231">
        <v>1</v>
      </c>
      <c r="I11" s="231">
        <f t="shared" ref="I11:I12" si="1">F11*H11</f>
        <v>0</v>
      </c>
    </row>
    <row r="12" spans="2:12">
      <c r="B12" s="222" t="s">
        <v>314</v>
      </c>
      <c r="C12" s="231"/>
      <c r="D12" s="231"/>
      <c r="E12" s="231"/>
      <c r="F12" s="231">
        <f t="shared" si="0"/>
        <v>0</v>
      </c>
      <c r="H12" s="231">
        <v>1</v>
      </c>
      <c r="I12" s="231">
        <f t="shared" si="1"/>
        <v>0</v>
      </c>
      <c r="J12" s="232"/>
      <c r="K12" s="231"/>
      <c r="L12" s="232"/>
    </row>
    <row r="13" spans="2:12">
      <c r="B13" s="222" t="s">
        <v>315</v>
      </c>
      <c r="C13" s="231"/>
      <c r="D13" s="231"/>
      <c r="E13" s="231"/>
      <c r="F13" s="231">
        <f>SUM(C13:E13)</f>
        <v>0</v>
      </c>
      <c r="H13" s="231">
        <v>0.2</v>
      </c>
      <c r="I13" s="231">
        <f>F13*H13</f>
        <v>0</v>
      </c>
      <c r="J13" s="231">
        <f>SUM(I10:I13)</f>
        <v>0</v>
      </c>
      <c r="K13" s="231">
        <f>SUM(I10:I13)</f>
        <v>0</v>
      </c>
    </row>
    <row r="14" spans="2:12">
      <c r="B14" s="222" t="s">
        <v>316</v>
      </c>
      <c r="C14" s="233"/>
      <c r="D14" s="231"/>
      <c r="E14" s="231"/>
      <c r="F14" s="231"/>
      <c r="H14" s="231"/>
      <c r="I14" s="231"/>
      <c r="J14" s="231"/>
      <c r="K14" s="231"/>
    </row>
    <row r="15" spans="2:12">
      <c r="B15" s="222" t="s">
        <v>317</v>
      </c>
      <c r="C15" s="231"/>
      <c r="D15" s="231"/>
      <c r="E15" s="231"/>
      <c r="F15" s="231">
        <f>SUM(C15:E15)</f>
        <v>0</v>
      </c>
      <c r="H15" s="231">
        <v>1</v>
      </c>
      <c r="I15" s="231">
        <f>F15*H15</f>
        <v>0</v>
      </c>
      <c r="J15" s="231">
        <f>I15</f>
        <v>0</v>
      </c>
      <c r="K15" s="231">
        <f>I15</f>
        <v>0</v>
      </c>
      <c r="L15" s="222" t="s">
        <v>307</v>
      </c>
    </row>
    <row r="16" spans="2:12">
      <c r="B16" s="222" t="s">
        <v>318</v>
      </c>
      <c r="C16" s="231"/>
      <c r="D16" s="231"/>
      <c r="E16" s="231"/>
      <c r="F16" s="231"/>
      <c r="H16" s="231"/>
      <c r="I16" s="231"/>
      <c r="J16" s="231"/>
      <c r="K16" s="231"/>
    </row>
    <row r="17" spans="2:15">
      <c r="B17" s="222" t="s">
        <v>319</v>
      </c>
    </row>
    <row r="18" spans="2:15">
      <c r="B18" s="222" t="s">
        <v>149</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308</v>
      </c>
      <c r="I22" s="238">
        <v>0</v>
      </c>
    </row>
    <row r="23" spans="2:15">
      <c r="B23" s="222" t="s">
        <v>309</v>
      </c>
      <c r="I23" s="238">
        <v>0</v>
      </c>
      <c r="J23" s="231">
        <f>SUM(I22:I23)</f>
        <v>0</v>
      </c>
      <c r="K23" s="231">
        <f>J23</f>
        <v>0</v>
      </c>
    </row>
    <row r="26" spans="2:15">
      <c r="B26" s="227" t="s">
        <v>310</v>
      </c>
      <c r="C26" s="239" t="s">
        <v>311</v>
      </c>
      <c r="D26" s="239" t="s">
        <v>312</v>
      </c>
      <c r="E26" s="228"/>
      <c r="F26" s="229" t="s">
        <v>66</v>
      </c>
      <c r="G26" s="227"/>
      <c r="H26" s="227" t="s">
        <v>300</v>
      </c>
      <c r="I26" s="227"/>
    </row>
    <row r="27" spans="2:15">
      <c r="J27" s="230" t="s">
        <v>301</v>
      </c>
      <c r="K27" s="230" t="s">
        <v>302</v>
      </c>
    </row>
    <row r="28" spans="2:15">
      <c r="B28" s="222" t="s">
        <v>303</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304</v>
      </c>
      <c r="C29" s="231"/>
      <c r="D29" s="231"/>
      <c r="E29" s="231"/>
      <c r="F29" s="231">
        <f t="shared" ref="F29:F32" si="2">SUM(C29:E29)</f>
        <v>0</v>
      </c>
      <c r="H29" s="231">
        <v>1</v>
      </c>
      <c r="I29" s="231">
        <f t="shared" ref="I29:I30" si="3">F29*H29</f>
        <v>0</v>
      </c>
      <c r="O29" s="232"/>
    </row>
    <row r="30" spans="2:15">
      <c r="B30" s="222" t="s">
        <v>305</v>
      </c>
      <c r="C30" s="231"/>
      <c r="D30" s="231"/>
      <c r="E30" s="231"/>
      <c r="F30" s="231">
        <f t="shared" si="2"/>
        <v>0</v>
      </c>
      <c r="H30" s="231">
        <v>1</v>
      </c>
      <c r="I30" s="231">
        <f t="shared" si="3"/>
        <v>0</v>
      </c>
      <c r="O30" s="232"/>
    </row>
    <row r="31" spans="2:15">
      <c r="B31" s="222" t="s">
        <v>306</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306</v>
      </c>
      <c r="C32" s="231"/>
      <c r="D32" s="231"/>
      <c r="E32" s="231"/>
      <c r="F32" s="231">
        <f t="shared" si="2"/>
        <v>0</v>
      </c>
      <c r="H32" s="231">
        <v>1</v>
      </c>
      <c r="I32" s="231">
        <f t="shared" ref="I32" si="5">F32*H32</f>
        <v>0</v>
      </c>
      <c r="J32" s="231">
        <f t="shared" si="4"/>
        <v>0</v>
      </c>
      <c r="K32" s="231">
        <f t="shared" si="4"/>
        <v>0</v>
      </c>
      <c r="O32" s="232"/>
    </row>
    <row r="33" spans="2:15">
      <c r="B33" s="222" t="s">
        <v>313</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zoomScaleNormal="100" zoomScaleSheetLayoutView="70" workbookViewId="0">
      <pane xSplit="1" ySplit="5" topLeftCell="B6" activePane="bottomRight" state="frozen"/>
      <selection activeCell="A5" sqref="A5"/>
      <selection pane="topRight" activeCell="A5" sqref="A5"/>
      <selection pane="bottomLeft" activeCell="A5" sqref="A5"/>
      <selection pane="bottomRight" activeCell="B11" sqref="B1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1" t="s">
        <v>36</v>
      </c>
      <c r="F1" s="104"/>
      <c r="G1" s="504">
        <v>43647</v>
      </c>
      <c r="H1" s="505"/>
      <c r="I1" s="106" t="s">
        <v>49</v>
      </c>
    </row>
    <row r="2" spans="1:9" ht="21">
      <c r="A2" s="37" t="s">
        <v>152</v>
      </c>
      <c r="B2" s="35"/>
      <c r="C2" s="35"/>
      <c r="D2" s="36"/>
      <c r="E2" s="512"/>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146</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155</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147</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156</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148</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149</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169</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76</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81</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77</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150</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151</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83</v>
      </c>
      <c r="B42" s="139"/>
      <c r="C42" s="170">
        <v>0</v>
      </c>
      <c r="D42" s="170"/>
      <c r="E42" s="171">
        <f>SUM(B42:D42)</f>
        <v>0</v>
      </c>
      <c r="F42" s="144">
        <f>E42</f>
        <v>0</v>
      </c>
      <c r="G42" s="144"/>
      <c r="H42" s="144"/>
      <c r="I42" s="108" t="e">
        <f t="shared" si="18"/>
        <v>#DIV/0!</v>
      </c>
    </row>
    <row r="43" spans="1:9" s="168" customFormat="1" ht="21.75" customHeight="1">
      <c r="A43" s="138" t="s">
        <v>80</v>
      </c>
      <c r="B43" s="139"/>
      <c r="C43" s="140">
        <v>0</v>
      </c>
      <c r="D43" s="140"/>
      <c r="E43" s="172">
        <f>SUM(B43:D43)</f>
        <v>0</v>
      </c>
      <c r="F43" s="144">
        <f>E43</f>
        <v>0</v>
      </c>
      <c r="G43" s="144">
        <v>12820</v>
      </c>
      <c r="H43" s="144">
        <f>G43-F43</f>
        <v>12820</v>
      </c>
      <c r="I43" s="108">
        <f>F43/G43</f>
        <v>0</v>
      </c>
    </row>
    <row r="44" spans="1:9" s="168" customFormat="1" ht="21.75" customHeight="1">
      <c r="A44" s="138" t="s">
        <v>78</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79</v>
      </c>
      <c r="B46" s="139"/>
      <c r="C46" s="140">
        <v>0</v>
      </c>
      <c r="D46" s="140"/>
      <c r="E46" s="172">
        <f t="shared" si="19"/>
        <v>0</v>
      </c>
      <c r="F46" s="144">
        <f>E46</f>
        <v>0</v>
      </c>
      <c r="G46" s="144">
        <v>8500</v>
      </c>
      <c r="H46" s="144">
        <f t="shared" si="21"/>
        <v>8500</v>
      </c>
      <c r="I46" s="108">
        <f t="shared" si="18"/>
        <v>0</v>
      </c>
    </row>
    <row r="47" spans="1:9" s="168" customFormat="1" ht="21.75" customHeight="1">
      <c r="A47" s="138" t="s">
        <v>168</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508" t="s">
        <v>7</v>
      </c>
      <c r="B60" s="509"/>
      <c r="C60" s="509"/>
      <c r="D60" s="509"/>
      <c r="E60" s="510"/>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73</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74</v>
      </c>
      <c r="B82" s="7" t="s">
        <v>153</v>
      </c>
      <c r="C82" s="7"/>
      <c r="D82" s="7"/>
      <c r="E82" s="7"/>
      <c r="F82" s="86" t="s">
        <v>75</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9"/>
  <sheetViews>
    <sheetView workbookViewId="0">
      <pane ySplit="5" topLeftCell="A39"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513" t="s">
        <v>277</v>
      </c>
      <c r="B1" s="513"/>
      <c r="C1" s="513"/>
      <c r="D1" s="513"/>
      <c r="E1" s="513"/>
      <c r="F1" s="513"/>
      <c r="G1" s="513"/>
      <c r="H1" s="513"/>
    </row>
    <row r="2" spans="1:8" ht="18">
      <c r="A2" s="513" t="s">
        <v>276</v>
      </c>
      <c r="B2" s="513"/>
      <c r="C2" s="513"/>
      <c r="D2" s="513"/>
      <c r="E2" s="513"/>
      <c r="F2" s="513"/>
      <c r="G2" s="513"/>
      <c r="H2" s="513"/>
    </row>
    <row r="3" spans="1:8">
      <c r="A3" s="514" t="s">
        <v>275</v>
      </c>
      <c r="B3" s="514"/>
      <c r="C3" s="514"/>
      <c r="D3" s="514"/>
      <c r="E3" s="514"/>
      <c r="F3" s="514"/>
      <c r="G3" s="514"/>
      <c r="H3" s="514"/>
    </row>
    <row r="5" spans="1:8" s="204" customFormat="1" ht="28.5" customHeight="1">
      <c r="A5" s="202"/>
      <c r="B5" s="203" t="s">
        <v>153</v>
      </c>
      <c r="C5" s="203" t="s">
        <v>279</v>
      </c>
      <c r="D5" s="203" t="s">
        <v>274</v>
      </c>
      <c r="E5" s="203" t="s">
        <v>273</v>
      </c>
      <c r="F5" s="203" t="s">
        <v>272</v>
      </c>
      <c r="G5" s="277" t="s">
        <v>271</v>
      </c>
      <c r="H5" s="203" t="s">
        <v>278</v>
      </c>
    </row>
    <row r="6" spans="1:8">
      <c r="A6" s="205" t="s">
        <v>270</v>
      </c>
    </row>
    <row r="7" spans="1:8">
      <c r="A7" s="205" t="s">
        <v>269</v>
      </c>
    </row>
    <row r="8" spans="1:8">
      <c r="B8" s="206" t="s">
        <v>259</v>
      </c>
      <c r="C8" s="206" t="s">
        <v>186</v>
      </c>
      <c r="D8" s="206" t="s">
        <v>258</v>
      </c>
      <c r="E8" s="206"/>
      <c r="F8" s="206" t="s">
        <v>257</v>
      </c>
      <c r="G8" s="279">
        <v>13768.8</v>
      </c>
      <c r="H8" s="206"/>
    </row>
    <row r="9" spans="1:8">
      <c r="B9" s="206" t="s">
        <v>256</v>
      </c>
      <c r="C9" s="206" t="s">
        <v>186</v>
      </c>
      <c r="D9" s="206" t="s">
        <v>255</v>
      </c>
      <c r="E9" s="206"/>
      <c r="F9" s="206" t="s">
        <v>254</v>
      </c>
      <c r="G9" s="279">
        <v>45154.64</v>
      </c>
      <c r="H9" s="206"/>
    </row>
    <row r="10" spans="1:8">
      <c r="A10" s="205" t="s">
        <v>268</v>
      </c>
      <c r="G10" s="280">
        <f>SUM(G8:G9)</f>
        <v>58923.44</v>
      </c>
    </row>
    <row r="11" spans="1:8">
      <c r="A11" s="205" t="s">
        <v>267</v>
      </c>
    </row>
    <row r="12" spans="1:8">
      <c r="B12" s="206" t="s">
        <v>256</v>
      </c>
      <c r="C12" s="206" t="s">
        <v>186</v>
      </c>
      <c r="D12" s="206" t="s">
        <v>255</v>
      </c>
      <c r="E12" s="206"/>
      <c r="F12" s="210" t="s">
        <v>351</v>
      </c>
      <c r="G12" s="279">
        <v>284.81</v>
      </c>
      <c r="H12" s="206"/>
    </row>
    <row r="13" spans="1:8">
      <c r="B13" s="206" t="s">
        <v>266</v>
      </c>
      <c r="C13" s="206" t="s">
        <v>265</v>
      </c>
      <c r="D13" s="206"/>
      <c r="E13" s="206" t="s">
        <v>264</v>
      </c>
      <c r="F13" s="210" t="s">
        <v>352</v>
      </c>
      <c r="G13" s="279">
        <v>-38.76</v>
      </c>
      <c r="H13" s="206"/>
    </row>
    <row r="14" spans="1:8">
      <c r="A14" s="205" t="s">
        <v>263</v>
      </c>
      <c r="G14" s="281">
        <f>SUM(G12:G13)</f>
        <v>246.05</v>
      </c>
    </row>
    <row r="15" spans="1:8">
      <c r="A15" s="205" t="s">
        <v>262</v>
      </c>
    </row>
    <row r="16" spans="1:8">
      <c r="B16" s="206" t="s">
        <v>259</v>
      </c>
      <c r="C16" s="206" t="s">
        <v>186</v>
      </c>
      <c r="D16" s="206" t="s">
        <v>258</v>
      </c>
      <c r="E16" s="206"/>
      <c r="F16" s="206" t="s">
        <v>257</v>
      </c>
      <c r="G16" s="279">
        <v>1052.81</v>
      </c>
      <c r="H16" s="206"/>
    </row>
    <row r="17" spans="1:9">
      <c r="B17" s="206" t="s">
        <v>256</v>
      </c>
      <c r="C17" s="206" t="s">
        <v>186</v>
      </c>
      <c r="D17" s="206" t="s">
        <v>255</v>
      </c>
      <c r="E17" s="206"/>
      <c r="F17" s="206" t="s">
        <v>254</v>
      </c>
      <c r="G17" s="279">
        <v>3482.94</v>
      </c>
      <c r="H17" s="206"/>
    </row>
    <row r="18" spans="1:9">
      <c r="A18" s="205" t="s">
        <v>261</v>
      </c>
      <c r="G18" s="280">
        <f>SUM(G16:G17)</f>
        <v>4535.75</v>
      </c>
    </row>
    <row r="19" spans="1:9" s="3" customFormat="1">
      <c r="A19" s="267" t="s">
        <v>340</v>
      </c>
      <c r="G19" s="282"/>
    </row>
    <row r="20" spans="1:9">
      <c r="B20" s="206" t="s">
        <v>187</v>
      </c>
      <c r="C20" s="206" t="s">
        <v>186</v>
      </c>
      <c r="D20" s="206">
        <v>139</v>
      </c>
      <c r="E20" s="206"/>
      <c r="F20" s="210" t="s">
        <v>286</v>
      </c>
      <c r="G20" s="279">
        <v>2049.1999999999998</v>
      </c>
      <c r="H20" s="206"/>
      <c r="I20" s="260"/>
    </row>
    <row r="21" spans="1:9" s="3" customFormat="1">
      <c r="A21" s="267" t="s">
        <v>341</v>
      </c>
      <c r="G21" s="283">
        <f>SUM(G20)</f>
        <v>2049.1999999999998</v>
      </c>
      <c r="I21" s="268" t="s">
        <v>342</v>
      </c>
    </row>
    <row r="22" spans="1:9">
      <c r="A22" s="205" t="s">
        <v>260</v>
      </c>
    </row>
    <row r="23" spans="1:9">
      <c r="B23" s="206" t="s">
        <v>259</v>
      </c>
      <c r="C23" s="206" t="s">
        <v>186</v>
      </c>
      <c r="D23" s="206" t="s">
        <v>258</v>
      </c>
      <c r="E23" s="206"/>
      <c r="F23" s="206" t="s">
        <v>257</v>
      </c>
      <c r="G23" s="279">
        <v>393.64</v>
      </c>
      <c r="H23" s="206"/>
    </row>
    <row r="24" spans="1:9">
      <c r="B24" s="206" t="s">
        <v>256</v>
      </c>
      <c r="C24" s="206" t="s">
        <v>186</v>
      </c>
      <c r="D24" s="206" t="s">
        <v>255</v>
      </c>
      <c r="E24" s="206"/>
      <c r="F24" s="206" t="s">
        <v>254</v>
      </c>
      <c r="G24" s="279">
        <v>478.62</v>
      </c>
      <c r="H24" s="206"/>
    </row>
    <row r="25" spans="1:9">
      <c r="A25" s="205" t="s">
        <v>253</v>
      </c>
      <c r="G25" s="280">
        <f>SUM(G23:G24)</f>
        <v>872.26</v>
      </c>
    </row>
    <row r="26" spans="1:9">
      <c r="A26" s="205" t="s">
        <v>252</v>
      </c>
    </row>
    <row r="27" spans="1:9">
      <c r="B27" s="206" t="s">
        <v>187</v>
      </c>
      <c r="C27" s="206" t="s">
        <v>186</v>
      </c>
      <c r="D27" s="206" t="s">
        <v>251</v>
      </c>
      <c r="E27" s="206"/>
      <c r="F27" s="206" t="s">
        <v>250</v>
      </c>
      <c r="G27" s="279">
        <v>10715.26</v>
      </c>
      <c r="H27" s="206"/>
    </row>
    <row r="28" spans="1:9">
      <c r="A28" s="205" t="s">
        <v>249</v>
      </c>
      <c r="G28" s="280">
        <f>SUM(G27:G27)</f>
        <v>10715.26</v>
      </c>
    </row>
    <row r="29" spans="1:9">
      <c r="A29" s="205" t="s">
        <v>248</v>
      </c>
    </row>
    <row r="30" spans="1:9">
      <c r="A30" s="205" t="s">
        <v>247</v>
      </c>
    </row>
    <row r="31" spans="1:9">
      <c r="B31" s="206" t="s">
        <v>187</v>
      </c>
      <c r="C31" s="206" t="s">
        <v>186</v>
      </c>
      <c r="D31" s="206">
        <v>153</v>
      </c>
      <c r="E31" s="206" t="s">
        <v>280</v>
      </c>
      <c r="F31" s="206" t="s">
        <v>281</v>
      </c>
      <c r="G31" s="279">
        <v>223.73</v>
      </c>
      <c r="H31" s="206" t="s">
        <v>282</v>
      </c>
    </row>
    <row r="32" spans="1:9">
      <c r="B32" s="206" t="s">
        <v>187</v>
      </c>
      <c r="C32" s="206" t="s">
        <v>186</v>
      </c>
      <c r="D32" s="206">
        <v>153</v>
      </c>
      <c r="E32" s="206" t="s">
        <v>280</v>
      </c>
      <c r="F32" s="210" t="s">
        <v>324</v>
      </c>
      <c r="G32" s="284">
        <v>3547.28</v>
      </c>
      <c r="H32" s="206" t="s">
        <v>282</v>
      </c>
    </row>
    <row r="33" spans="1:8">
      <c r="A33" s="205" t="s">
        <v>246</v>
      </c>
      <c r="G33" s="281">
        <f>SUM(G31:G32)</f>
        <v>3771.01</v>
      </c>
    </row>
    <row r="34" spans="1:8">
      <c r="A34" s="205" t="s">
        <v>245</v>
      </c>
    </row>
    <row r="35" spans="1:8">
      <c r="B35" s="206" t="s">
        <v>183</v>
      </c>
      <c r="C35" s="206" t="s">
        <v>174</v>
      </c>
      <c r="D35" s="206" t="s">
        <v>244</v>
      </c>
      <c r="E35" s="206" t="s">
        <v>243</v>
      </c>
      <c r="F35" s="206" t="s">
        <v>242</v>
      </c>
      <c r="G35" s="284">
        <v>169.96</v>
      </c>
      <c r="H35" s="206">
        <v>12274</v>
      </c>
    </row>
    <row r="36" spans="1:8">
      <c r="A36" s="205" t="s">
        <v>241</v>
      </c>
      <c r="G36" s="281">
        <f>SUM(G35)</f>
        <v>169.96</v>
      </c>
    </row>
    <row r="37" spans="1:8">
      <c r="A37" s="205" t="s">
        <v>240</v>
      </c>
    </row>
    <row r="38" spans="1:8">
      <c r="B38" s="206" t="s">
        <v>187</v>
      </c>
      <c r="C38" s="206" t="s">
        <v>186</v>
      </c>
      <c r="D38" s="206">
        <v>154</v>
      </c>
      <c r="E38" s="206"/>
      <c r="F38" s="210" t="s">
        <v>325</v>
      </c>
      <c r="G38" s="279">
        <v>-757.36</v>
      </c>
      <c r="H38" s="206"/>
    </row>
    <row r="39" spans="1:8">
      <c r="A39" s="205" t="s">
        <v>239</v>
      </c>
      <c r="G39" s="281">
        <f>SUM(G38)</f>
        <v>-757.36</v>
      </c>
    </row>
    <row r="40" spans="1:8">
      <c r="A40" s="205" t="s">
        <v>238</v>
      </c>
    </row>
    <row r="41" spans="1:8">
      <c r="B41" s="206" t="s">
        <v>187</v>
      </c>
      <c r="C41" s="206" t="s">
        <v>186</v>
      </c>
      <c r="D41" s="206">
        <v>155</v>
      </c>
      <c r="E41" s="206"/>
      <c r="F41" s="206" t="s">
        <v>237</v>
      </c>
      <c r="G41" s="279">
        <v>-20.25</v>
      </c>
      <c r="H41" s="206"/>
    </row>
    <row r="42" spans="1:8">
      <c r="A42" s="205" t="s">
        <v>236</v>
      </c>
      <c r="G42" s="281">
        <f>SUM(G41)</f>
        <v>-20.25</v>
      </c>
    </row>
    <row r="43" spans="1:8" ht="15" thickBot="1">
      <c r="A43" s="205" t="s">
        <v>235</v>
      </c>
      <c r="G43" s="285">
        <f>+G33+G36+G39+G42</f>
        <v>3163.36</v>
      </c>
    </row>
    <row r="44" spans="1:8" ht="15" thickTop="1">
      <c r="A44" s="221" t="s">
        <v>234</v>
      </c>
    </row>
    <row r="45" spans="1:8">
      <c r="B45" s="206" t="s">
        <v>187</v>
      </c>
      <c r="C45" s="206" t="s">
        <v>186</v>
      </c>
      <c r="D45" s="206">
        <v>139</v>
      </c>
      <c r="E45" s="206"/>
      <c r="F45" s="210" t="s">
        <v>287</v>
      </c>
      <c r="G45" s="279">
        <v>371.1</v>
      </c>
      <c r="H45" s="206"/>
    </row>
    <row r="46" spans="1:8">
      <c r="A46" s="205" t="s">
        <v>233</v>
      </c>
      <c r="G46" s="280">
        <f>SUM(G45)</f>
        <v>371.1</v>
      </c>
    </row>
    <row r="47" spans="1:8" s="249" customFormat="1" ht="15.5">
      <c r="A47" s="274" t="s">
        <v>284</v>
      </c>
      <c r="G47" s="286"/>
    </row>
    <row r="48" spans="1:8">
      <c r="A48" s="205" t="s">
        <v>232</v>
      </c>
    </row>
    <row r="49" spans="1:8">
      <c r="B49" s="206" t="s">
        <v>187</v>
      </c>
      <c r="C49" s="206" t="s">
        <v>186</v>
      </c>
      <c r="D49" s="206">
        <v>133</v>
      </c>
      <c r="E49" s="206"/>
      <c r="F49" s="206" t="s">
        <v>231</v>
      </c>
      <c r="G49" s="279">
        <v>671.31</v>
      </c>
      <c r="H49" s="206"/>
    </row>
    <row r="50" spans="1:8">
      <c r="A50" s="205" t="s">
        <v>230</v>
      </c>
      <c r="G50" s="281">
        <f>SUM(G49)</f>
        <v>671.31</v>
      </c>
    </row>
    <row r="51" spans="1:8">
      <c r="A51" s="205" t="s">
        <v>229</v>
      </c>
    </row>
    <row r="52" spans="1:8">
      <c r="B52" s="206" t="s">
        <v>187</v>
      </c>
      <c r="C52" s="206" t="s">
        <v>186</v>
      </c>
      <c r="D52" s="206">
        <v>134</v>
      </c>
      <c r="E52" s="206"/>
      <c r="F52" s="206" t="s">
        <v>228</v>
      </c>
      <c r="G52" s="279">
        <v>157.01</v>
      </c>
      <c r="H52" s="206"/>
    </row>
    <row r="53" spans="1:8">
      <c r="A53" s="205" t="s">
        <v>227</v>
      </c>
      <c r="G53" s="281">
        <f>SUM(G52)</f>
        <v>157.01</v>
      </c>
    </row>
    <row r="54" spans="1:8">
      <c r="A54" s="205" t="s">
        <v>226</v>
      </c>
    </row>
    <row r="55" spans="1:8">
      <c r="B55" s="206" t="s">
        <v>187</v>
      </c>
      <c r="C55" s="206" t="s">
        <v>186</v>
      </c>
      <c r="D55" s="206">
        <v>135</v>
      </c>
      <c r="E55" s="206"/>
      <c r="F55" s="206" t="s">
        <v>225</v>
      </c>
      <c r="G55" s="279">
        <v>208.74</v>
      </c>
      <c r="H55" s="206"/>
    </row>
    <row r="56" spans="1:8">
      <c r="A56" s="205" t="s">
        <v>224</v>
      </c>
      <c r="G56" s="281">
        <f>SUM(G55)</f>
        <v>208.74</v>
      </c>
    </row>
    <row r="57" spans="1:8">
      <c r="A57" s="205" t="s">
        <v>223</v>
      </c>
    </row>
    <row r="58" spans="1:8">
      <c r="B58" s="206" t="s">
        <v>187</v>
      </c>
      <c r="C58" s="206" t="s">
        <v>186</v>
      </c>
      <c r="D58" s="206">
        <v>137</v>
      </c>
      <c r="E58" s="206"/>
      <c r="F58" s="206" t="s">
        <v>222</v>
      </c>
      <c r="G58" s="279">
        <v>38.270000000000003</v>
      </c>
      <c r="H58" s="206"/>
    </row>
    <row r="59" spans="1:8">
      <c r="A59" s="205" t="s">
        <v>221</v>
      </c>
      <c r="G59" s="281">
        <f>SUM(G58)</f>
        <v>38.270000000000003</v>
      </c>
    </row>
    <row r="60" spans="1:8" s="249" customFormat="1" ht="15.5">
      <c r="A60" s="274" t="s">
        <v>285</v>
      </c>
      <c r="G60" s="280">
        <f>+G50+G53+G56+G59</f>
        <v>1075.33</v>
      </c>
    </row>
    <row r="61" spans="1:8">
      <c r="A61" s="205" t="s">
        <v>220</v>
      </c>
    </row>
    <row r="62" spans="1:8">
      <c r="B62" s="206" t="s">
        <v>187</v>
      </c>
      <c r="C62" s="206" t="s">
        <v>186</v>
      </c>
      <c r="D62" s="206">
        <v>146</v>
      </c>
      <c r="E62" s="206"/>
      <c r="F62" s="206" t="s">
        <v>219</v>
      </c>
      <c r="G62" s="279">
        <v>140.46</v>
      </c>
      <c r="H62" s="206"/>
    </row>
    <row r="63" spans="1:8">
      <c r="A63" s="205" t="s">
        <v>218</v>
      </c>
      <c r="G63" s="280">
        <f>SUM(G62)</f>
        <v>140.46</v>
      </c>
    </row>
    <row r="64" spans="1:8">
      <c r="A64" s="205"/>
    </row>
    <row r="65" spans="1:8" ht="15" thickBot="1">
      <c r="A65" s="276" t="s">
        <v>356</v>
      </c>
      <c r="G65" s="287">
        <f>+G43+G46+G60+G63</f>
        <v>4750.25</v>
      </c>
    </row>
    <row r="66" spans="1:8" ht="15" thickTop="1"/>
    <row r="67" spans="1:8">
      <c r="A67" s="221" t="s">
        <v>327</v>
      </c>
    </row>
    <row r="68" spans="1:8">
      <c r="A68" s="205" t="s">
        <v>184</v>
      </c>
    </row>
    <row r="69" spans="1:8">
      <c r="B69" s="206" t="s">
        <v>183</v>
      </c>
      <c r="C69" s="206" t="s">
        <v>174</v>
      </c>
      <c r="D69" s="206" t="s">
        <v>182</v>
      </c>
      <c r="E69" s="206" t="s">
        <v>181</v>
      </c>
      <c r="F69" s="206" t="s">
        <v>180</v>
      </c>
      <c r="G69" s="279">
        <v>150</v>
      </c>
      <c r="H69" s="206">
        <v>12260</v>
      </c>
    </row>
    <row r="70" spans="1:8">
      <c r="B70" s="206" t="s">
        <v>179</v>
      </c>
      <c r="C70" s="206" t="s">
        <v>174</v>
      </c>
      <c r="D70" s="206" t="s">
        <v>178</v>
      </c>
      <c r="E70" s="206" t="s">
        <v>177</v>
      </c>
      <c r="F70" s="206" t="s">
        <v>176</v>
      </c>
      <c r="G70" s="279">
        <v>15.12</v>
      </c>
      <c r="H70" s="206">
        <v>12343</v>
      </c>
    </row>
    <row r="71" spans="1:8">
      <c r="B71" s="206" t="s">
        <v>175</v>
      </c>
      <c r="C71" s="206" t="s">
        <v>174</v>
      </c>
      <c r="D71" s="206" t="s">
        <v>173</v>
      </c>
      <c r="E71" s="206" t="s">
        <v>172</v>
      </c>
      <c r="F71" s="206" t="s">
        <v>171</v>
      </c>
      <c r="G71" s="279">
        <v>102.9</v>
      </c>
      <c r="H71" s="206">
        <v>12358</v>
      </c>
    </row>
    <row r="72" spans="1:8" s="259" customFormat="1">
      <c r="A72" s="221" t="s">
        <v>328</v>
      </c>
      <c r="G72" s="280">
        <v>268.02</v>
      </c>
    </row>
    <row r="73" spans="1:8">
      <c r="A73" s="205"/>
      <c r="G73" s="281"/>
    </row>
    <row r="74" spans="1:8">
      <c r="A74" s="221" t="s">
        <v>326</v>
      </c>
    </row>
    <row r="75" spans="1:8">
      <c r="B75" s="206" t="s">
        <v>187</v>
      </c>
      <c r="C75" s="206" t="s">
        <v>186</v>
      </c>
      <c r="D75" s="206">
        <v>144</v>
      </c>
      <c r="E75" s="206"/>
      <c r="F75" s="206" t="s">
        <v>212</v>
      </c>
      <c r="G75" s="279">
        <v>55.59</v>
      </c>
      <c r="H75" s="206"/>
    </row>
    <row r="76" spans="1:8" s="258" customFormat="1">
      <c r="A76" s="221" t="s">
        <v>211</v>
      </c>
      <c r="G76" s="288">
        <f>SUM(G75)</f>
        <v>55.59</v>
      </c>
    </row>
    <row r="77" spans="1:8">
      <c r="A77" s="205"/>
      <c r="G77" s="289"/>
    </row>
    <row r="78" spans="1:8">
      <c r="A78" s="221" t="s">
        <v>357</v>
      </c>
    </row>
    <row r="79" spans="1:8">
      <c r="A79" s="205" t="s">
        <v>214</v>
      </c>
    </row>
    <row r="80" spans="1:8">
      <c r="B80" s="206" t="s">
        <v>187</v>
      </c>
      <c r="C80" s="206" t="s">
        <v>186</v>
      </c>
      <c r="D80" s="206">
        <v>145</v>
      </c>
      <c r="E80" s="206"/>
      <c r="F80" s="206" t="s">
        <v>213</v>
      </c>
      <c r="G80" s="279">
        <v>361.69</v>
      </c>
      <c r="H80" s="206"/>
    </row>
    <row r="81" spans="1:8" s="258" customFormat="1">
      <c r="A81" s="221" t="s">
        <v>358</v>
      </c>
      <c r="G81" s="280">
        <f>SUM(G80)</f>
        <v>361.69</v>
      </c>
    </row>
    <row r="82" spans="1:8" s="258" customFormat="1">
      <c r="A82" s="221"/>
      <c r="G82" s="289"/>
    </row>
    <row r="83" spans="1:8">
      <c r="A83" s="221" t="s">
        <v>329</v>
      </c>
      <c r="G83" s="289"/>
    </row>
    <row r="84" spans="1:8">
      <c r="A84" s="205" t="s">
        <v>200</v>
      </c>
    </row>
    <row r="85" spans="1:8">
      <c r="B85" s="206" t="s">
        <v>183</v>
      </c>
      <c r="C85" s="206" t="s">
        <v>174</v>
      </c>
      <c r="D85" s="206" t="s">
        <v>199</v>
      </c>
      <c r="E85" s="206" t="s">
        <v>181</v>
      </c>
      <c r="F85" s="206" t="s">
        <v>198</v>
      </c>
      <c r="G85" s="279">
        <v>648</v>
      </c>
      <c r="H85" s="206">
        <v>12260</v>
      </c>
    </row>
    <row r="86" spans="1:8" s="258" customFormat="1">
      <c r="A86" s="221" t="s">
        <v>344</v>
      </c>
      <c r="G86" s="280">
        <f>SUM(G85)</f>
        <v>648</v>
      </c>
    </row>
    <row r="87" spans="1:8">
      <c r="A87" s="205" t="s">
        <v>197</v>
      </c>
    </row>
    <row r="88" spans="1:8">
      <c r="A88" s="205" t="s">
        <v>196</v>
      </c>
    </row>
    <row r="89" spans="1:8">
      <c r="B89" s="206" t="s">
        <v>187</v>
      </c>
      <c r="C89" s="206" t="s">
        <v>186</v>
      </c>
      <c r="D89" s="206">
        <v>148</v>
      </c>
      <c r="E89" s="206"/>
      <c r="F89" s="206" t="s">
        <v>195</v>
      </c>
      <c r="G89" s="279">
        <v>112.71</v>
      </c>
      <c r="H89" s="206"/>
    </row>
    <row r="90" spans="1:8">
      <c r="A90" s="205" t="s">
        <v>194</v>
      </c>
      <c r="G90" s="281">
        <f>SUM(G89)</f>
        <v>112.71</v>
      </c>
    </row>
    <row r="91" spans="1:8">
      <c r="A91" s="205" t="s">
        <v>191</v>
      </c>
    </row>
    <row r="92" spans="1:8">
      <c r="B92" s="206" t="s">
        <v>187</v>
      </c>
      <c r="C92" s="206" t="s">
        <v>186</v>
      </c>
      <c r="D92" s="206">
        <v>151</v>
      </c>
      <c r="E92" s="206"/>
      <c r="F92" s="206" t="s">
        <v>190</v>
      </c>
      <c r="G92" s="279">
        <v>219.56</v>
      </c>
      <c r="H92" s="206"/>
    </row>
    <row r="93" spans="1:8">
      <c r="A93" s="205" t="s">
        <v>189</v>
      </c>
      <c r="G93" s="281">
        <f>SUM(G92)</f>
        <v>219.56</v>
      </c>
    </row>
    <row r="94" spans="1:8" s="259" customFormat="1">
      <c r="A94" s="275" t="s">
        <v>343</v>
      </c>
      <c r="G94" s="288">
        <f>+G90+G93</f>
        <v>332.27</v>
      </c>
    </row>
    <row r="95" spans="1:8">
      <c r="A95" s="205"/>
      <c r="G95" s="289"/>
    </row>
    <row r="96" spans="1:8" s="258" customFormat="1">
      <c r="A96" s="274" t="s">
        <v>353</v>
      </c>
      <c r="G96" s="288">
        <f>+G86+G94</f>
        <v>980.27</v>
      </c>
    </row>
    <row r="97" spans="1:8">
      <c r="A97" s="205"/>
      <c r="G97" s="289"/>
    </row>
    <row r="98" spans="1:8">
      <c r="A98" s="221" t="s">
        <v>330</v>
      </c>
    </row>
    <row r="99" spans="1:8">
      <c r="A99" s="205" t="s">
        <v>214</v>
      </c>
    </row>
    <row r="100" spans="1:8">
      <c r="B100" s="206" t="s">
        <v>187</v>
      </c>
      <c r="C100" s="206" t="s">
        <v>186</v>
      </c>
      <c r="D100" s="206">
        <v>145</v>
      </c>
      <c r="E100" s="206"/>
      <c r="F100" s="206" t="s">
        <v>359</v>
      </c>
      <c r="G100" s="279">
        <v>1130.29</v>
      </c>
      <c r="H100" s="206"/>
    </row>
    <row r="101" spans="1:8" s="258" customFormat="1">
      <c r="A101" s="221" t="s">
        <v>331</v>
      </c>
      <c r="G101" s="280">
        <f>SUM(G100)</f>
        <v>1130.29</v>
      </c>
    </row>
    <row r="102" spans="1:8">
      <c r="G102" s="281"/>
    </row>
    <row r="103" spans="1:8">
      <c r="A103" s="221" t="s">
        <v>332</v>
      </c>
    </row>
    <row r="104" spans="1:8">
      <c r="A104" s="205" t="s">
        <v>193</v>
      </c>
    </row>
    <row r="105" spans="1:8">
      <c r="B105" s="206" t="s">
        <v>187</v>
      </c>
      <c r="C105" s="206" t="s">
        <v>186</v>
      </c>
      <c r="D105" s="206">
        <v>141</v>
      </c>
      <c r="E105" s="206"/>
      <c r="F105" s="206" t="s">
        <v>192</v>
      </c>
      <c r="G105" s="279">
        <v>200.95</v>
      </c>
      <c r="H105" s="206"/>
    </row>
    <row r="106" spans="1:8" s="258" customFormat="1">
      <c r="A106" s="221" t="s">
        <v>333</v>
      </c>
      <c r="G106" s="280">
        <f>SUM(G105)</f>
        <v>200.95</v>
      </c>
    </row>
    <row r="107" spans="1:8">
      <c r="G107" s="281"/>
    </row>
    <row r="108" spans="1:8">
      <c r="A108" s="221" t="s">
        <v>334</v>
      </c>
    </row>
    <row r="109" spans="1:8">
      <c r="A109" s="205" t="s">
        <v>217</v>
      </c>
    </row>
    <row r="110" spans="1:8">
      <c r="B110" s="206" t="s">
        <v>187</v>
      </c>
      <c r="C110" s="206" t="s">
        <v>186</v>
      </c>
      <c r="D110" s="206">
        <v>142</v>
      </c>
      <c r="E110" s="206"/>
      <c r="F110" s="206" t="s">
        <v>216</v>
      </c>
      <c r="G110" s="279">
        <v>242.69</v>
      </c>
      <c r="H110" s="206"/>
    </row>
    <row r="111" spans="1:8">
      <c r="A111" s="205" t="s">
        <v>215</v>
      </c>
      <c r="G111" s="281">
        <f>SUM(G110)</f>
        <v>242.69</v>
      </c>
    </row>
    <row r="112" spans="1:8">
      <c r="A112" s="205" t="s">
        <v>203</v>
      </c>
    </row>
    <row r="113" spans="1:8">
      <c r="B113" s="206" t="s">
        <v>187</v>
      </c>
      <c r="C113" s="206" t="s">
        <v>186</v>
      </c>
      <c r="D113" s="206">
        <v>152</v>
      </c>
      <c r="E113" s="206"/>
      <c r="F113" s="206" t="s">
        <v>202</v>
      </c>
      <c r="G113" s="279">
        <v>25.19</v>
      </c>
      <c r="H113" s="206"/>
    </row>
    <row r="114" spans="1:8">
      <c r="A114" s="205" t="s">
        <v>201</v>
      </c>
      <c r="G114" s="281">
        <f>SUM(G113)</f>
        <v>25.19</v>
      </c>
    </row>
    <row r="115" spans="1:8">
      <c r="A115" s="221" t="s">
        <v>335</v>
      </c>
      <c r="G115" s="288">
        <f>+G114+G111</f>
        <v>267.88</v>
      </c>
    </row>
    <row r="121" spans="1:8">
      <c r="A121" s="221" t="s">
        <v>338</v>
      </c>
    </row>
    <row r="122" spans="1:8">
      <c r="A122" s="205" t="s">
        <v>210</v>
      </c>
    </row>
    <row r="123" spans="1:8">
      <c r="A123" s="205" t="s">
        <v>209</v>
      </c>
    </row>
    <row r="124" spans="1:8">
      <c r="B124" s="206" t="s">
        <v>187</v>
      </c>
      <c r="C124" s="206" t="s">
        <v>186</v>
      </c>
      <c r="D124" s="206">
        <v>149</v>
      </c>
      <c r="E124" s="206"/>
      <c r="F124" s="206" t="s">
        <v>208</v>
      </c>
      <c r="G124" s="279">
        <v>111.74</v>
      </c>
      <c r="H124" s="206"/>
    </row>
    <row r="125" spans="1:8">
      <c r="A125" s="205" t="s">
        <v>207</v>
      </c>
      <c r="G125" s="281">
        <f>SUM(G124)</f>
        <v>111.74</v>
      </c>
    </row>
    <row r="126" spans="1:8">
      <c r="A126" s="205" t="s">
        <v>206</v>
      </c>
    </row>
    <row r="127" spans="1:8">
      <c r="B127" s="206" t="s">
        <v>187</v>
      </c>
      <c r="C127" s="206" t="s">
        <v>186</v>
      </c>
      <c r="D127" s="206">
        <v>147</v>
      </c>
      <c r="E127" s="206"/>
      <c r="F127" s="206" t="s">
        <v>205</v>
      </c>
      <c r="G127" s="279">
        <v>71.11</v>
      </c>
      <c r="H127" s="206"/>
    </row>
    <row r="128" spans="1:8">
      <c r="A128" s="205" t="s">
        <v>204</v>
      </c>
      <c r="G128" s="281">
        <f>SUM(G127)</f>
        <v>71.11</v>
      </c>
    </row>
    <row r="129" spans="1:9" s="258" customFormat="1">
      <c r="A129" s="221" t="s">
        <v>339</v>
      </c>
      <c r="G129" s="288">
        <f>+G125+G128</f>
        <v>182.85</v>
      </c>
    </row>
    <row r="130" spans="1:9">
      <c r="A130" s="205"/>
      <c r="G130" s="289"/>
    </row>
    <row r="131" spans="1:9">
      <c r="A131" s="221" t="s">
        <v>336</v>
      </c>
      <c r="G131" s="289"/>
    </row>
    <row r="132" spans="1:9">
      <c r="A132" s="205" t="s">
        <v>188</v>
      </c>
      <c r="G132" s="290"/>
    </row>
    <row r="133" spans="1:9">
      <c r="B133" s="206" t="s">
        <v>187</v>
      </c>
      <c r="C133" s="206" t="s">
        <v>186</v>
      </c>
      <c r="D133" s="206">
        <v>140</v>
      </c>
      <c r="E133" s="206"/>
      <c r="F133" s="206" t="s">
        <v>185</v>
      </c>
      <c r="G133" s="279">
        <v>320.72000000000003</v>
      </c>
      <c r="H133" s="206"/>
    </row>
    <row r="134" spans="1:9" s="258" customFormat="1">
      <c r="A134" s="221" t="s">
        <v>337</v>
      </c>
      <c r="G134" s="288">
        <f>SUM(G133)</f>
        <v>320.72000000000003</v>
      </c>
    </row>
    <row r="135" spans="1:9">
      <c r="A135" s="205"/>
      <c r="G135" s="289"/>
    </row>
    <row r="136" spans="1:9" s="269" customFormat="1">
      <c r="A136" s="273" t="s">
        <v>349</v>
      </c>
      <c r="G136" s="291"/>
    </row>
    <row r="137" spans="1:9" s="269" customFormat="1">
      <c r="B137" s="270">
        <v>43677</v>
      </c>
      <c r="C137" s="271" t="s">
        <v>186</v>
      </c>
      <c r="D137" s="272" t="s">
        <v>345</v>
      </c>
      <c r="E137" s="271"/>
      <c r="F137" s="271" t="s">
        <v>350</v>
      </c>
      <c r="G137" s="292">
        <v>7492.14</v>
      </c>
      <c r="I137" s="271"/>
    </row>
    <row r="138" spans="1:9" s="269" customFormat="1">
      <c r="A138" s="273" t="s">
        <v>346</v>
      </c>
      <c r="G138" s="293">
        <f>SUM(G137)</f>
        <v>7492.14</v>
      </c>
      <c r="I138" s="271"/>
    </row>
    <row r="139" spans="1:9" s="269" customFormat="1">
      <c r="A139" s="273" t="s">
        <v>347</v>
      </c>
      <c r="G139" s="291"/>
      <c r="I139" s="271"/>
    </row>
    <row r="140" spans="1:9" s="269" customFormat="1">
      <c r="B140" s="270">
        <v>43677</v>
      </c>
      <c r="C140" s="271" t="s">
        <v>186</v>
      </c>
      <c r="D140" s="272" t="s">
        <v>345</v>
      </c>
      <c r="E140" s="271"/>
      <c r="F140" s="271" t="s">
        <v>350</v>
      </c>
      <c r="G140" s="292">
        <f>+G137</f>
        <v>7492.14</v>
      </c>
      <c r="I140" s="271"/>
    </row>
    <row r="141" spans="1:9" s="269" customFormat="1">
      <c r="A141" s="273" t="s">
        <v>348</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515" t="s">
        <v>170</v>
      </c>
      <c r="B158" s="515"/>
      <c r="C158" s="515"/>
      <c r="D158" s="515"/>
      <c r="E158" s="515"/>
      <c r="F158" s="515"/>
      <c r="G158" s="515"/>
      <c r="H158" s="515"/>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519" t="s">
        <v>84</v>
      </c>
      <c r="B1" s="519"/>
      <c r="C1" s="519"/>
      <c r="D1" s="519"/>
      <c r="E1" s="519"/>
      <c r="F1" s="519"/>
      <c r="G1" s="519"/>
      <c r="H1" s="519"/>
      <c r="I1" s="519"/>
      <c r="J1" s="519"/>
      <c r="K1" s="519"/>
      <c r="L1" s="519"/>
      <c r="M1" s="519"/>
      <c r="N1" s="519"/>
      <c r="O1" s="261"/>
    </row>
    <row r="2" spans="1:15" s="264" customFormat="1" ht="34.5" customHeight="1">
      <c r="A2" s="516" t="s">
        <v>85</v>
      </c>
      <c r="B2" s="517"/>
      <c r="C2" s="517"/>
      <c r="D2" s="517"/>
      <c r="E2" s="517"/>
      <c r="F2" s="517"/>
      <c r="G2" s="517"/>
      <c r="H2" s="518"/>
      <c r="I2" s="516" t="s">
        <v>145</v>
      </c>
      <c r="J2" s="517"/>
      <c r="K2" s="517"/>
      <c r="L2" s="517"/>
      <c r="M2" s="518"/>
      <c r="N2" s="263" t="s">
        <v>122</v>
      </c>
    </row>
    <row r="3" spans="1:15" s="264" customFormat="1" ht="34.5" customHeight="1">
      <c r="A3" s="516" t="s">
        <v>354</v>
      </c>
      <c r="B3" s="517"/>
      <c r="C3" s="517"/>
      <c r="D3" s="517"/>
      <c r="E3" s="517"/>
      <c r="F3" s="517"/>
      <c r="G3" s="517"/>
      <c r="H3" s="517"/>
      <c r="I3" s="517"/>
      <c r="J3" s="517"/>
      <c r="K3" s="517"/>
      <c r="L3" s="517"/>
      <c r="M3" s="517"/>
      <c r="N3" s="518"/>
    </row>
    <row r="4" spans="1:15" s="264" customFormat="1" ht="38.25" customHeight="1">
      <c r="A4" s="516" t="s">
        <v>355</v>
      </c>
      <c r="B4" s="517"/>
      <c r="C4" s="517"/>
      <c r="D4" s="517"/>
      <c r="E4" s="517"/>
      <c r="F4" s="517"/>
      <c r="G4" s="517"/>
      <c r="H4" s="517"/>
      <c r="I4" s="517"/>
      <c r="J4" s="517"/>
      <c r="K4" s="517"/>
      <c r="L4" s="518"/>
      <c r="M4" s="265" t="s">
        <v>124</v>
      </c>
      <c r="N4" s="265" t="s">
        <v>140</v>
      </c>
    </row>
    <row r="5" spans="1:15" s="264" customFormat="1" ht="34.4" customHeight="1">
      <c r="A5" s="516" t="s">
        <v>125</v>
      </c>
      <c r="B5" s="517"/>
      <c r="C5" s="517"/>
      <c r="D5" s="517"/>
      <c r="E5" s="517"/>
      <c r="F5" s="517"/>
      <c r="G5" s="518"/>
      <c r="H5" s="516" t="s">
        <v>126</v>
      </c>
      <c r="I5" s="517"/>
      <c r="J5" s="517"/>
      <c r="K5" s="517"/>
      <c r="L5" s="518"/>
      <c r="M5" s="516" t="s">
        <v>127</v>
      </c>
      <c r="N5" s="518"/>
    </row>
    <row r="6" spans="1:15" s="264" customFormat="1" ht="17.899999999999999" customHeight="1">
      <c r="A6" s="522" t="s">
        <v>87</v>
      </c>
      <c r="B6" s="523"/>
      <c r="C6" s="523"/>
      <c r="D6" s="523"/>
      <c r="E6" s="523"/>
      <c r="F6" s="523"/>
      <c r="G6" s="523"/>
      <c r="H6" s="523"/>
      <c r="I6" s="523"/>
      <c r="J6" s="523"/>
      <c r="K6" s="523"/>
      <c r="L6" s="524"/>
      <c r="M6" s="525" t="s">
        <v>88</v>
      </c>
      <c r="N6" s="526"/>
    </row>
    <row r="7" spans="1:15" s="264" customFormat="1" ht="27.75" customHeight="1">
      <c r="A7" s="527" t="s">
        <v>89</v>
      </c>
      <c r="B7" s="528"/>
      <c r="C7" s="528"/>
      <c r="D7" s="528"/>
      <c r="E7" s="528"/>
      <c r="F7" s="528"/>
      <c r="G7" s="528"/>
      <c r="H7" s="528"/>
      <c r="I7" s="528"/>
      <c r="J7" s="528"/>
      <c r="K7" s="528"/>
      <c r="L7" s="528"/>
      <c r="M7" s="528"/>
      <c r="N7" s="529"/>
    </row>
    <row r="8" spans="1:15" s="264" customFormat="1" ht="27.75" customHeight="1">
      <c r="A8" s="516" t="s">
        <v>90</v>
      </c>
      <c r="B8" s="517"/>
      <c r="C8" s="517"/>
      <c r="D8" s="517"/>
      <c r="E8" s="517"/>
      <c r="F8" s="517"/>
      <c r="G8" s="517"/>
      <c r="H8" s="517"/>
      <c r="I8" s="517"/>
      <c r="J8" s="517"/>
      <c r="K8" s="517"/>
      <c r="L8" s="518"/>
      <c r="M8" s="530"/>
      <c r="N8" s="531"/>
    </row>
    <row r="9" spans="1:15" s="264" customFormat="1" ht="27.75" customHeight="1">
      <c r="A9" s="516" t="s">
        <v>91</v>
      </c>
      <c r="B9" s="517"/>
      <c r="C9" s="517"/>
      <c r="D9" s="517"/>
      <c r="E9" s="517"/>
      <c r="F9" s="517"/>
      <c r="G9" s="517"/>
      <c r="H9" s="517"/>
      <c r="I9" s="517"/>
      <c r="J9" s="517"/>
      <c r="K9" s="517"/>
      <c r="L9" s="518"/>
      <c r="M9" s="530">
        <f>M8</f>
        <v>0</v>
      </c>
      <c r="N9" s="531"/>
    </row>
    <row r="10" spans="1:15" s="264" customFormat="1" ht="27.75" customHeight="1">
      <c r="A10" s="516" t="s">
        <v>92</v>
      </c>
      <c r="B10" s="517"/>
      <c r="C10" s="517"/>
      <c r="D10" s="517"/>
      <c r="E10" s="517"/>
      <c r="F10" s="517"/>
      <c r="G10" s="517"/>
      <c r="H10" s="517"/>
      <c r="I10" s="517"/>
      <c r="J10" s="517"/>
      <c r="K10" s="517"/>
      <c r="L10" s="518"/>
      <c r="M10" s="532">
        <f>M8-M9</f>
        <v>0</v>
      </c>
      <c r="N10" s="533"/>
    </row>
    <row r="11" spans="1:15" s="264" customFormat="1" ht="27.75" customHeight="1">
      <c r="A11" s="527" t="s">
        <v>93</v>
      </c>
      <c r="B11" s="528"/>
      <c r="C11" s="528"/>
      <c r="D11" s="528"/>
      <c r="E11" s="528"/>
      <c r="F11" s="528"/>
      <c r="G11" s="528"/>
      <c r="H11" s="528"/>
      <c r="I11" s="528"/>
      <c r="J11" s="528"/>
      <c r="K11" s="528"/>
      <c r="L11" s="528"/>
      <c r="M11" s="528"/>
      <c r="N11" s="529"/>
    </row>
    <row r="12" spans="1:15" s="264" customFormat="1" ht="27.75" customHeight="1">
      <c r="A12" s="516" t="s">
        <v>94</v>
      </c>
      <c r="B12" s="517"/>
      <c r="C12" s="517"/>
      <c r="D12" s="517"/>
      <c r="E12" s="517"/>
      <c r="F12" s="517"/>
      <c r="G12" s="517"/>
      <c r="H12" s="517"/>
      <c r="I12" s="517"/>
      <c r="J12" s="517"/>
      <c r="K12" s="517"/>
      <c r="L12" s="518"/>
      <c r="M12" s="520">
        <f>+'Jul-2019'!G56</f>
        <v>2256075.86</v>
      </c>
      <c r="N12" s="521"/>
    </row>
    <row r="13" spans="1:15" s="264" customFormat="1" ht="27.75" customHeight="1">
      <c r="A13" s="516" t="s">
        <v>142</v>
      </c>
      <c r="B13" s="517"/>
      <c r="C13" s="517"/>
      <c r="D13" s="517"/>
      <c r="E13" s="517"/>
      <c r="F13" s="517"/>
      <c r="G13" s="517"/>
      <c r="H13" s="517"/>
      <c r="I13" s="517"/>
      <c r="J13" s="517"/>
      <c r="K13" s="517"/>
      <c r="L13" s="518"/>
      <c r="M13" s="520">
        <f>M9</f>
        <v>0</v>
      </c>
      <c r="N13" s="521"/>
    </row>
    <row r="14" spans="1:15" s="264" customFormat="1" ht="27.75" customHeight="1">
      <c r="A14" s="516" t="s">
        <v>143</v>
      </c>
      <c r="B14" s="517"/>
      <c r="C14" s="517"/>
      <c r="D14" s="517"/>
      <c r="E14" s="517"/>
      <c r="F14" s="517"/>
      <c r="G14" s="517"/>
      <c r="H14" s="517"/>
      <c r="I14" s="517"/>
      <c r="J14" s="517"/>
      <c r="K14" s="517"/>
      <c r="L14" s="518"/>
      <c r="M14" s="534">
        <v>0</v>
      </c>
      <c r="N14" s="535"/>
    </row>
    <row r="15" spans="1:15" s="264" customFormat="1" ht="27.75" customHeight="1">
      <c r="A15" s="516" t="s">
        <v>95</v>
      </c>
      <c r="B15" s="517"/>
      <c r="C15" s="517"/>
      <c r="D15" s="517"/>
      <c r="E15" s="517"/>
      <c r="F15" s="517"/>
      <c r="G15" s="517"/>
      <c r="H15" s="517"/>
      <c r="I15" s="517"/>
      <c r="J15" s="517"/>
      <c r="K15" s="517"/>
      <c r="L15" s="518"/>
      <c r="M15" s="534">
        <v>0</v>
      </c>
      <c r="N15" s="535"/>
    </row>
    <row r="16" spans="1:15" s="264" customFormat="1" ht="27.75" customHeight="1">
      <c r="A16" s="516" t="s">
        <v>96</v>
      </c>
      <c r="B16" s="517"/>
      <c r="C16" s="517"/>
      <c r="D16" s="517"/>
      <c r="E16" s="517"/>
      <c r="F16" s="517"/>
      <c r="G16" s="517"/>
      <c r="H16" s="517"/>
      <c r="I16" s="517"/>
      <c r="J16" s="517"/>
      <c r="K16" s="517"/>
      <c r="L16" s="518"/>
      <c r="M16" s="536">
        <f>M13+M14+M15</f>
        <v>0</v>
      </c>
      <c r="N16" s="537"/>
    </row>
    <row r="17" spans="1:14" s="264" customFormat="1" ht="27.75" customHeight="1">
      <c r="A17" s="516" t="s">
        <v>97</v>
      </c>
      <c r="B17" s="517"/>
      <c r="C17" s="517"/>
      <c r="D17" s="517"/>
      <c r="E17" s="517"/>
      <c r="F17" s="517"/>
      <c r="G17" s="517"/>
      <c r="H17" s="517"/>
      <c r="I17" s="517"/>
      <c r="J17" s="517"/>
      <c r="K17" s="517"/>
      <c r="L17" s="518"/>
      <c r="M17" s="536">
        <f>M12-M16</f>
        <v>2256075.86</v>
      </c>
      <c r="N17" s="537"/>
    </row>
    <row r="18" spans="1:14" s="264" customFormat="1" ht="27.75" customHeight="1">
      <c r="A18" s="527" t="s">
        <v>98</v>
      </c>
      <c r="B18" s="528"/>
      <c r="C18" s="528"/>
      <c r="D18" s="528"/>
      <c r="E18" s="528"/>
      <c r="F18" s="528"/>
      <c r="G18" s="528"/>
      <c r="H18" s="528"/>
      <c r="I18" s="528"/>
      <c r="J18" s="528"/>
      <c r="K18" s="528"/>
      <c r="L18" s="528"/>
      <c r="M18" s="528"/>
      <c r="N18" s="529"/>
    </row>
    <row r="19" spans="1:14" s="264" customFormat="1" ht="27.75" customHeight="1">
      <c r="A19" s="516" t="s">
        <v>99</v>
      </c>
      <c r="B19" s="517"/>
      <c r="C19" s="517"/>
      <c r="D19" s="517"/>
      <c r="E19" s="517"/>
      <c r="F19" s="517"/>
      <c r="G19" s="517"/>
      <c r="H19" s="517"/>
      <c r="I19" s="517"/>
      <c r="J19" s="517"/>
      <c r="K19" s="517"/>
      <c r="L19" s="518"/>
      <c r="M19" s="538">
        <f>+'Jul-2019'!G54</f>
        <v>242467.32</v>
      </c>
      <c r="N19" s="539"/>
    </row>
    <row r="20" spans="1:14" s="264" customFormat="1" ht="27.75" customHeight="1">
      <c r="A20" s="516" t="s">
        <v>100</v>
      </c>
      <c r="B20" s="517"/>
      <c r="C20" s="517"/>
      <c r="D20" s="517"/>
      <c r="E20" s="517"/>
      <c r="F20" s="517"/>
      <c r="G20" s="517"/>
      <c r="H20" s="517"/>
      <c r="I20" s="517"/>
      <c r="J20" s="517"/>
      <c r="K20" s="517"/>
      <c r="L20" s="518"/>
      <c r="M20" s="534">
        <f>+'Jul-2019'!E54</f>
        <v>7492.14</v>
      </c>
      <c r="N20" s="535"/>
    </row>
    <row r="21" spans="1:14" s="264" customFormat="1" ht="27.75" customHeight="1">
      <c r="A21" s="516" t="s">
        <v>101</v>
      </c>
      <c r="B21" s="517"/>
      <c r="C21" s="517"/>
      <c r="D21" s="517"/>
      <c r="E21" s="517"/>
      <c r="F21" s="517"/>
      <c r="G21" s="517"/>
      <c r="H21" s="517"/>
      <c r="I21" s="517"/>
      <c r="J21" s="517"/>
      <c r="K21" s="517"/>
      <c r="L21" s="518"/>
      <c r="M21" s="532">
        <f>M19-M20</f>
        <v>234975.18</v>
      </c>
      <c r="N21" s="533"/>
    </row>
    <row r="22" spans="1:14" s="264" customFormat="1" ht="27.75" customHeight="1">
      <c r="A22" s="527" t="s">
        <v>102</v>
      </c>
      <c r="B22" s="528"/>
      <c r="C22" s="528"/>
      <c r="D22" s="528"/>
      <c r="E22" s="528"/>
      <c r="F22" s="528"/>
      <c r="G22" s="528"/>
      <c r="H22" s="528"/>
      <c r="I22" s="528"/>
      <c r="J22" s="528"/>
      <c r="K22" s="528"/>
      <c r="L22" s="528"/>
      <c r="M22" s="528"/>
      <c r="N22" s="529"/>
    </row>
    <row r="23" spans="1:14" s="264" customFormat="1" ht="27.75" customHeight="1">
      <c r="A23" s="516" t="s">
        <v>103</v>
      </c>
      <c r="B23" s="517"/>
      <c r="C23" s="517"/>
      <c r="D23" s="517"/>
      <c r="E23" s="517"/>
      <c r="F23" s="517"/>
      <c r="G23" s="517"/>
      <c r="H23" s="517"/>
      <c r="I23" s="517"/>
      <c r="J23" s="517"/>
      <c r="K23" s="517"/>
      <c r="L23" s="518"/>
      <c r="M23" s="534">
        <v>0</v>
      </c>
      <c r="N23" s="535"/>
    </row>
    <row r="24" spans="1:14" s="264" customFormat="1" ht="27.75" customHeight="1">
      <c r="A24" s="516" t="s">
        <v>104</v>
      </c>
      <c r="B24" s="517"/>
      <c r="C24" s="517"/>
      <c r="D24" s="517"/>
      <c r="E24" s="517"/>
      <c r="F24" s="517"/>
      <c r="G24" s="517"/>
      <c r="H24" s="517"/>
      <c r="I24" s="517"/>
      <c r="J24" s="517"/>
      <c r="K24" s="517"/>
      <c r="L24" s="518"/>
      <c r="M24" s="534">
        <v>0</v>
      </c>
      <c r="N24" s="535"/>
    </row>
    <row r="25" spans="1:14" s="264" customFormat="1" ht="27.75" customHeight="1">
      <c r="A25" s="516" t="s">
        <v>105</v>
      </c>
      <c r="B25" s="517"/>
      <c r="C25" s="517"/>
      <c r="D25" s="517"/>
      <c r="E25" s="517"/>
      <c r="F25" s="517"/>
      <c r="G25" s="517"/>
      <c r="H25" s="517"/>
      <c r="I25" s="517"/>
      <c r="J25" s="517"/>
      <c r="K25" s="517"/>
      <c r="L25" s="518"/>
      <c r="M25" s="532">
        <f>M23-M24</f>
        <v>0</v>
      </c>
      <c r="N25" s="533"/>
    </row>
    <row r="26" spans="1:14" s="264" customFormat="1" ht="17.899999999999999" customHeight="1">
      <c r="A26" s="540" t="s">
        <v>106</v>
      </c>
      <c r="B26" s="541"/>
      <c r="C26" s="541"/>
      <c r="D26" s="541"/>
      <c r="E26" s="541"/>
      <c r="F26" s="541"/>
      <c r="G26" s="541"/>
      <c r="H26" s="541"/>
      <c r="I26" s="541"/>
      <c r="J26" s="541"/>
      <c r="K26" s="541"/>
      <c r="L26" s="541"/>
      <c r="M26" s="541"/>
      <c r="N26" s="542"/>
    </row>
    <row r="27" spans="1:14" s="264" customFormat="1" ht="15.65" customHeight="1">
      <c r="A27" s="543"/>
      <c r="B27" s="544"/>
      <c r="C27" s="544"/>
      <c r="D27" s="544"/>
      <c r="E27" s="544"/>
      <c r="F27" s="544"/>
      <c r="G27" s="544"/>
      <c r="H27" s="544"/>
      <c r="I27" s="544"/>
      <c r="J27" s="544"/>
      <c r="K27" s="544"/>
      <c r="L27" s="544"/>
      <c r="M27" s="544"/>
      <c r="N27" s="521"/>
    </row>
    <row r="28" spans="1:14" s="264" customFormat="1" ht="17.899999999999999" customHeight="1">
      <c r="A28" s="522" t="s">
        <v>107</v>
      </c>
      <c r="B28" s="523"/>
      <c r="C28" s="523"/>
      <c r="D28" s="523"/>
      <c r="E28" s="523"/>
      <c r="F28" s="523"/>
      <c r="G28" s="523"/>
      <c r="H28" s="523"/>
      <c r="I28" s="523"/>
      <c r="J28" s="523"/>
      <c r="K28" s="523"/>
      <c r="L28" s="523"/>
      <c r="M28" s="523"/>
      <c r="N28" s="524"/>
    </row>
    <row r="29" spans="1:14" s="264" customFormat="1" ht="30" customHeight="1">
      <c r="A29" s="516" t="s">
        <v>108</v>
      </c>
      <c r="B29" s="518"/>
      <c r="C29" s="265" t="s">
        <v>109</v>
      </c>
      <c r="D29" s="516" t="s">
        <v>110</v>
      </c>
      <c r="E29" s="517"/>
      <c r="F29" s="518"/>
      <c r="G29" s="543" t="s">
        <v>111</v>
      </c>
      <c r="H29" s="521"/>
      <c r="I29" s="266" t="s">
        <v>112</v>
      </c>
      <c r="J29" s="516" t="s">
        <v>113</v>
      </c>
      <c r="K29" s="517"/>
      <c r="L29" s="518"/>
      <c r="M29" s="265" t="s">
        <v>114</v>
      </c>
      <c r="N29" s="265" t="s">
        <v>115</v>
      </c>
    </row>
    <row r="30" spans="1:14" s="264" customFormat="1" ht="16.5">
      <c r="A30" s="543"/>
      <c r="B30" s="521"/>
      <c r="C30" s="45"/>
      <c r="D30" s="543"/>
      <c r="E30" s="544"/>
      <c r="F30" s="521"/>
      <c r="G30" s="552"/>
      <c r="H30" s="521"/>
      <c r="I30" s="266"/>
      <c r="J30" s="553"/>
      <c r="K30" s="554"/>
      <c r="L30" s="555"/>
      <c r="M30" s="265"/>
      <c r="N30" s="265"/>
    </row>
    <row r="31" spans="1:14" s="264" customFormat="1" ht="15.65" customHeight="1">
      <c r="A31" s="543"/>
      <c r="B31" s="521"/>
      <c r="C31" s="45"/>
      <c r="D31" s="543"/>
      <c r="E31" s="544"/>
      <c r="F31" s="521"/>
      <c r="G31" s="552"/>
      <c r="H31" s="521"/>
      <c r="I31" s="46"/>
      <c r="J31" s="553"/>
      <c r="K31" s="554"/>
      <c r="L31" s="555"/>
      <c r="M31" s="47"/>
      <c r="N31" s="48"/>
    </row>
    <row r="32" spans="1:14" s="264" customFormat="1" ht="75.75" customHeight="1">
      <c r="A32" s="540" t="s">
        <v>116</v>
      </c>
      <c r="B32" s="541"/>
      <c r="C32" s="541"/>
      <c r="D32" s="541"/>
      <c r="E32" s="541"/>
      <c r="F32" s="541"/>
      <c r="G32" s="541"/>
      <c r="H32" s="541"/>
      <c r="I32" s="541"/>
      <c r="J32" s="541"/>
      <c r="K32" s="541"/>
      <c r="L32" s="541"/>
      <c r="M32" s="541"/>
      <c r="N32" s="542"/>
    </row>
    <row r="33" spans="1:15" s="264" customFormat="1" ht="31.4" customHeight="1">
      <c r="A33" s="545" t="s">
        <v>117</v>
      </c>
      <c r="B33" s="546"/>
      <c r="C33" s="546"/>
      <c r="D33" s="546"/>
      <c r="E33" s="546"/>
      <c r="F33" s="546"/>
      <c r="G33" s="546"/>
      <c r="H33" s="546"/>
      <c r="I33" s="546"/>
      <c r="J33" s="546"/>
      <c r="K33" s="546"/>
      <c r="L33" s="547"/>
      <c r="M33" s="516" t="s">
        <v>118</v>
      </c>
      <c r="N33" s="518"/>
    </row>
    <row r="34" spans="1:15" s="264" customFormat="1" ht="31.4" customHeight="1">
      <c r="A34" s="548"/>
      <c r="B34" s="549"/>
      <c r="C34" s="549"/>
      <c r="D34" s="549"/>
      <c r="E34" s="549"/>
      <c r="F34" s="549"/>
      <c r="G34" s="549"/>
      <c r="H34" s="549"/>
      <c r="I34" s="549"/>
      <c r="J34" s="549"/>
      <c r="K34" s="549"/>
      <c r="L34" s="550"/>
      <c r="M34" s="516" t="s">
        <v>119</v>
      </c>
      <c r="N34" s="518"/>
    </row>
    <row r="35" spans="1:15" s="264" customFormat="1" ht="31.4" customHeight="1">
      <c r="A35" s="545" t="s">
        <v>120</v>
      </c>
      <c r="B35" s="546"/>
      <c r="C35" s="546"/>
      <c r="D35" s="546"/>
      <c r="E35" s="546"/>
      <c r="F35" s="546"/>
      <c r="G35" s="546"/>
      <c r="H35" s="546"/>
      <c r="I35" s="546"/>
      <c r="J35" s="546"/>
      <c r="K35" s="546"/>
      <c r="L35" s="547"/>
      <c r="M35" s="545" t="s">
        <v>121</v>
      </c>
      <c r="N35" s="547"/>
    </row>
    <row r="36" spans="1:15" s="264" customFormat="1" ht="31" customHeight="1">
      <c r="A36" s="548"/>
      <c r="B36" s="549"/>
      <c r="C36" s="549"/>
      <c r="D36" s="549"/>
      <c r="E36" s="549"/>
      <c r="F36" s="549"/>
      <c r="G36" s="549"/>
      <c r="H36" s="549"/>
      <c r="I36" s="549"/>
      <c r="J36" s="549"/>
      <c r="K36" s="549"/>
      <c r="L36" s="550"/>
      <c r="M36" s="548"/>
      <c r="N36" s="55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9:O39"/>
    <mergeCell ref="A30:B30"/>
    <mergeCell ref="D30:F30"/>
    <mergeCell ref="G30:H30"/>
    <mergeCell ref="J30:L30"/>
    <mergeCell ref="A31:B31"/>
    <mergeCell ref="D31:F31"/>
    <mergeCell ref="G31:H31"/>
    <mergeCell ref="J31:L31"/>
    <mergeCell ref="A32:N32"/>
    <mergeCell ref="A33:L34"/>
    <mergeCell ref="M33:N33"/>
    <mergeCell ref="M34:N34"/>
    <mergeCell ref="A26:N26"/>
    <mergeCell ref="A27:N27"/>
    <mergeCell ref="A28:N28"/>
    <mergeCell ref="A35:L36"/>
    <mergeCell ref="M35:N36"/>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rintOptions horizontalCentered="1"/>
  <pageMargins left="0.17" right="0.17" top="0.25" bottom="0" header="9.2999999999999999E-2" footer="0"/>
  <pageSetup scale="62" orientation="portrait" horizontalDpi="4294967293"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43678</v>
      </c>
      <c r="H1" s="557"/>
      <c r="I1" s="106" t="s">
        <v>49</v>
      </c>
    </row>
    <row r="2" spans="1:9" ht="21">
      <c r="A2" s="37" t="s">
        <v>152</v>
      </c>
      <c r="B2" s="35"/>
      <c r="C2" s="35"/>
      <c r="D2" s="36"/>
      <c r="E2" s="36" t="s">
        <v>38</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146</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155</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147</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156</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148</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363</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169</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77</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150</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151</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83</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80</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78</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79</v>
      </c>
      <c r="B46" s="139"/>
      <c r="C46" s="140"/>
      <c r="D46" s="140"/>
      <c r="E46" s="172">
        <f t="shared" si="14"/>
        <v>0</v>
      </c>
      <c r="F46" s="143">
        <f>E46+'Jul-2019'!F46</f>
        <v>0</v>
      </c>
      <c r="G46" s="144">
        <v>8500</v>
      </c>
      <c r="H46" s="144">
        <f t="shared" si="15"/>
        <v>8500</v>
      </c>
      <c r="I46" s="108">
        <f t="shared" si="13"/>
        <v>0</v>
      </c>
    </row>
    <row r="47" spans="1:9" s="168" customFormat="1" ht="21.75" customHeight="1">
      <c r="A47" s="138" t="s">
        <v>168</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157</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444</v>
      </c>
      <c r="B77" s="336"/>
      <c r="C77" s="337"/>
      <c r="D77" s="337"/>
      <c r="E77" s="337"/>
      <c r="F77" s="338"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443</v>
      </c>
      <c r="B81" s="336"/>
      <c r="C81" s="337"/>
      <c r="D81" s="337"/>
      <c r="E81" s="337"/>
      <c r="F81" s="338" t="s">
        <v>447</v>
      </c>
      <c r="G81" s="339"/>
      <c r="H81" s="340"/>
      <c r="I81" s="341"/>
    </row>
    <row r="82" spans="1:9" s="347" customFormat="1" ht="15.5">
      <c r="A82" s="343" t="s">
        <v>19</v>
      </c>
      <c r="B82" s="344" t="s">
        <v>153</v>
      </c>
      <c r="C82" s="344"/>
      <c r="D82" s="344"/>
      <c r="E82" s="344"/>
      <c r="F82" s="559" t="s">
        <v>446</v>
      </c>
      <c r="G82" s="559"/>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7"/>
  <sheetViews>
    <sheetView workbookViewId="0">
      <pane ySplit="5" topLeftCell="A138" activePane="bottomLeft" state="frozen"/>
      <selection pane="bottomLeft" activeCell="A132" sqref="A132"/>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60" t="s">
        <v>277</v>
      </c>
      <c r="B1" s="560"/>
      <c r="C1" s="560"/>
      <c r="D1" s="560"/>
      <c r="E1" s="560"/>
      <c r="F1" s="560"/>
      <c r="G1" s="560"/>
      <c r="H1" s="560"/>
    </row>
    <row r="2" spans="1:8" ht="18">
      <c r="A2" s="560" t="s">
        <v>276</v>
      </c>
      <c r="B2" s="560"/>
      <c r="C2" s="560"/>
      <c r="D2" s="560"/>
      <c r="E2" s="560"/>
      <c r="F2" s="560"/>
      <c r="G2" s="560"/>
      <c r="H2" s="560"/>
    </row>
    <row r="3" spans="1:8">
      <c r="A3" s="561" t="s">
        <v>431</v>
      </c>
      <c r="B3" s="561"/>
      <c r="C3" s="561"/>
      <c r="D3" s="561"/>
      <c r="E3" s="561"/>
      <c r="F3" s="561"/>
      <c r="G3" s="561"/>
      <c r="H3" s="561"/>
    </row>
    <row r="4" spans="1:8">
      <c r="A4" s="317"/>
      <c r="B4" s="317"/>
      <c r="C4" s="317"/>
      <c r="D4" s="317"/>
      <c r="E4" s="317"/>
      <c r="F4" s="317"/>
      <c r="G4" s="317"/>
      <c r="H4" s="318"/>
    </row>
    <row r="5" spans="1:8">
      <c r="A5" s="304"/>
      <c r="B5" s="302" t="s">
        <v>153</v>
      </c>
      <c r="C5" s="302" t="s">
        <v>430</v>
      </c>
      <c r="D5" s="302" t="s">
        <v>274</v>
      </c>
      <c r="E5" s="302" t="s">
        <v>273</v>
      </c>
      <c r="F5" s="302" t="s">
        <v>272</v>
      </c>
      <c r="G5" s="303" t="s">
        <v>271</v>
      </c>
      <c r="H5" s="302" t="s">
        <v>278</v>
      </c>
    </row>
    <row r="6" spans="1:8">
      <c r="A6" s="299" t="s">
        <v>270</v>
      </c>
      <c r="H6" s="305"/>
    </row>
    <row r="7" spans="1:8">
      <c r="B7" s="301" t="s">
        <v>418</v>
      </c>
      <c r="C7" s="301" t="s">
        <v>186</v>
      </c>
      <c r="D7" s="301" t="s">
        <v>417</v>
      </c>
      <c r="E7" s="301"/>
      <c r="F7" s="301" t="s">
        <v>429</v>
      </c>
      <c r="G7" s="300">
        <v>46610</v>
      </c>
      <c r="H7" s="305"/>
    </row>
    <row r="8" spans="1:8">
      <c r="B8" s="301" t="s">
        <v>416</v>
      </c>
      <c r="C8" s="301" t="s">
        <v>186</v>
      </c>
      <c r="D8" s="301">
        <v>162</v>
      </c>
      <c r="E8" s="301"/>
      <c r="F8" s="301" t="s">
        <v>428</v>
      </c>
      <c r="G8" s="300">
        <v>48474</v>
      </c>
      <c r="H8" s="305"/>
    </row>
    <row r="9" spans="1:8">
      <c r="A9" s="299" t="s">
        <v>268</v>
      </c>
      <c r="G9" s="311">
        <f>SUM(G7:G8)</f>
        <v>95084</v>
      </c>
      <c r="H9" s="305"/>
    </row>
    <row r="10" spans="1:8">
      <c r="A10" s="299" t="s">
        <v>267</v>
      </c>
      <c r="H10" s="305"/>
    </row>
    <row r="11" spans="1:8">
      <c r="B11" s="301" t="s">
        <v>424</v>
      </c>
      <c r="C11" s="301" t="s">
        <v>174</v>
      </c>
      <c r="D11" s="301" t="s">
        <v>427</v>
      </c>
      <c r="E11" s="301" t="s">
        <v>426</v>
      </c>
      <c r="F11" s="301" t="s">
        <v>425</v>
      </c>
      <c r="G11" s="300">
        <v>236.8</v>
      </c>
      <c r="H11" s="305">
        <v>12375</v>
      </c>
    </row>
    <row r="12" spans="1:8">
      <c r="B12" s="301" t="s">
        <v>424</v>
      </c>
      <c r="C12" s="301" t="s">
        <v>174</v>
      </c>
      <c r="D12" s="301" t="s">
        <v>423</v>
      </c>
      <c r="E12" s="301" t="s">
        <v>422</v>
      </c>
      <c r="F12" s="301" t="s">
        <v>421</v>
      </c>
      <c r="G12" s="300">
        <v>273.16000000000003</v>
      </c>
      <c r="H12" s="305">
        <v>12376</v>
      </c>
    </row>
    <row r="13" spans="1:8">
      <c r="A13" s="299" t="s">
        <v>263</v>
      </c>
      <c r="G13" s="311">
        <f>SUM(G11:G12)</f>
        <v>509.96000000000004</v>
      </c>
      <c r="H13" s="305"/>
    </row>
    <row r="14" spans="1:8">
      <c r="A14" s="299" t="s">
        <v>420</v>
      </c>
      <c r="G14" s="298">
        <f>+G13+G9</f>
        <v>95593.96</v>
      </c>
      <c r="H14" s="305"/>
    </row>
    <row r="15" spans="1:8">
      <c r="A15" s="299" t="s">
        <v>262</v>
      </c>
      <c r="H15" s="305"/>
    </row>
    <row r="16" spans="1:8">
      <c r="B16" s="301" t="s">
        <v>418</v>
      </c>
      <c r="C16" s="301" t="s">
        <v>186</v>
      </c>
      <c r="D16" s="301" t="s">
        <v>417</v>
      </c>
      <c r="E16" s="301"/>
      <c r="F16" s="301" t="s">
        <v>419</v>
      </c>
      <c r="G16" s="300">
        <v>3565.8</v>
      </c>
      <c r="H16" s="305"/>
    </row>
    <row r="17" spans="1:8">
      <c r="B17" s="301" t="s">
        <v>416</v>
      </c>
      <c r="C17" s="301" t="s">
        <v>186</v>
      </c>
      <c r="D17" s="301">
        <v>162</v>
      </c>
      <c r="E17" s="301"/>
      <c r="F17" s="301" t="s">
        <v>419</v>
      </c>
      <c r="G17" s="300">
        <v>3710.2</v>
      </c>
      <c r="H17" s="305"/>
    </row>
    <row r="18" spans="1:8">
      <c r="A18" s="299" t="s">
        <v>261</v>
      </c>
      <c r="G18" s="311">
        <v>7276</v>
      </c>
      <c r="H18" s="305"/>
    </row>
    <row r="19" spans="1:8" s="308" customFormat="1">
      <c r="A19" s="307" t="s">
        <v>340</v>
      </c>
    </row>
    <row r="20" spans="1:8" s="308" customFormat="1">
      <c r="B20" s="309" t="s">
        <v>380</v>
      </c>
      <c r="C20" s="309" t="s">
        <v>186</v>
      </c>
      <c r="D20" s="309">
        <v>192</v>
      </c>
      <c r="E20" s="309"/>
      <c r="F20" s="309" t="s">
        <v>411</v>
      </c>
      <c r="G20" s="310">
        <v>2741</v>
      </c>
    </row>
    <row r="21" spans="1:8" s="308" customFormat="1">
      <c r="A21" s="307" t="s">
        <v>341</v>
      </c>
      <c r="G21" s="319">
        <f>SUM(G20)</f>
        <v>2741</v>
      </c>
    </row>
    <row r="22" spans="1:8">
      <c r="A22" s="299" t="s">
        <v>260</v>
      </c>
      <c r="H22" s="305"/>
    </row>
    <row r="23" spans="1:8">
      <c r="B23" s="301" t="s">
        <v>418</v>
      </c>
      <c r="C23" s="301" t="s">
        <v>186</v>
      </c>
      <c r="D23" s="301" t="s">
        <v>417</v>
      </c>
      <c r="E23" s="301"/>
      <c r="F23" s="301" t="s">
        <v>415</v>
      </c>
      <c r="G23" s="300">
        <v>401.87</v>
      </c>
      <c r="H23" s="305"/>
    </row>
    <row r="24" spans="1:8">
      <c r="B24" s="301" t="s">
        <v>416</v>
      </c>
      <c r="C24" s="301" t="s">
        <v>186</v>
      </c>
      <c r="D24" s="301">
        <v>162</v>
      </c>
      <c r="E24" s="301"/>
      <c r="F24" s="301" t="s">
        <v>415</v>
      </c>
      <c r="G24" s="300">
        <v>599.82000000000005</v>
      </c>
      <c r="H24" s="305"/>
    </row>
    <row r="25" spans="1:8">
      <c r="A25" s="299" t="s">
        <v>253</v>
      </c>
      <c r="G25" s="311">
        <f>SUM(G23:G24)</f>
        <v>1001.69</v>
      </c>
      <c r="H25" s="305"/>
    </row>
    <row r="26" spans="1:8">
      <c r="A26" s="299" t="s">
        <v>414</v>
      </c>
      <c r="H26" s="305"/>
    </row>
    <row r="27" spans="1:8">
      <c r="A27" s="299" t="s">
        <v>252</v>
      </c>
      <c r="H27" s="305"/>
    </row>
    <row r="28" spans="1:8">
      <c r="B28" s="301" t="s">
        <v>380</v>
      </c>
      <c r="C28" s="301" t="s">
        <v>186</v>
      </c>
      <c r="D28" s="301">
        <v>175</v>
      </c>
      <c r="E28" s="301"/>
      <c r="F28" s="301" t="s">
        <v>434</v>
      </c>
      <c r="G28" s="300">
        <v>17145.830000000002</v>
      </c>
      <c r="H28" s="305"/>
    </row>
    <row r="29" spans="1:8">
      <c r="A29" s="299" t="s">
        <v>249</v>
      </c>
      <c r="G29" s="311">
        <f>SUM(G28)</f>
        <v>17145.830000000002</v>
      </c>
      <c r="H29" s="305"/>
    </row>
    <row r="30" spans="1:8">
      <c r="A30" s="299" t="s">
        <v>248</v>
      </c>
      <c r="H30" s="305"/>
    </row>
    <row r="31" spans="1:8">
      <c r="A31" s="299" t="s">
        <v>247</v>
      </c>
      <c r="H31" s="305"/>
    </row>
    <row r="32" spans="1:8">
      <c r="B32" s="301" t="s">
        <v>413</v>
      </c>
      <c r="C32" s="301" t="s">
        <v>186</v>
      </c>
      <c r="D32" s="301">
        <v>202</v>
      </c>
      <c r="E32" s="301"/>
      <c r="F32" s="301" t="s">
        <v>432</v>
      </c>
      <c r="G32" s="300">
        <v>3813.99</v>
      </c>
      <c r="H32" s="305" t="s">
        <v>436</v>
      </c>
    </row>
    <row r="33" spans="1:8">
      <c r="A33" s="299" t="s">
        <v>246</v>
      </c>
      <c r="G33" s="311">
        <f>SUM(G32)</f>
        <v>3813.99</v>
      </c>
      <c r="H33" s="305"/>
    </row>
    <row r="34" spans="1:8">
      <c r="A34" s="299" t="s">
        <v>245</v>
      </c>
      <c r="H34" s="305"/>
    </row>
    <row r="35" spans="1:8">
      <c r="B35" s="301" t="s">
        <v>412</v>
      </c>
      <c r="C35" s="301" t="s">
        <v>174</v>
      </c>
      <c r="D35" s="301"/>
      <c r="E35" s="301" t="s">
        <v>243</v>
      </c>
      <c r="F35" s="301" t="s">
        <v>242</v>
      </c>
      <c r="G35" s="300">
        <v>171.06</v>
      </c>
      <c r="H35" s="305">
        <v>12345</v>
      </c>
    </row>
    <row r="36" spans="1:8">
      <c r="A36" s="299" t="s">
        <v>241</v>
      </c>
      <c r="G36" s="311">
        <f>SUM(G35)</f>
        <v>171.06</v>
      </c>
      <c r="H36" s="305"/>
    </row>
    <row r="37" spans="1:8" s="201" customFormat="1">
      <c r="A37" s="205" t="s">
        <v>240</v>
      </c>
      <c r="G37" s="278"/>
    </row>
    <row r="38" spans="1:8" s="201" customFormat="1">
      <c r="B38" s="320">
        <v>43708</v>
      </c>
      <c r="C38" s="206" t="s">
        <v>186</v>
      </c>
      <c r="D38" s="206">
        <v>154</v>
      </c>
      <c r="E38" s="206"/>
      <c r="F38" s="210" t="s">
        <v>325</v>
      </c>
      <c r="G38" s="279">
        <v>-704.12</v>
      </c>
      <c r="H38" s="206"/>
    </row>
    <row r="39" spans="1:8" s="201" customFormat="1">
      <c r="A39" s="205" t="s">
        <v>239</v>
      </c>
      <c r="G39" s="280">
        <f>SUM(G38)</f>
        <v>-704.12</v>
      </c>
    </row>
    <row r="40" spans="1:8" s="201" customFormat="1">
      <c r="A40" s="205" t="s">
        <v>238</v>
      </c>
      <c r="G40" s="278"/>
    </row>
    <row r="41" spans="1:8" s="201" customFormat="1">
      <c r="B41" s="320">
        <v>43708</v>
      </c>
      <c r="C41" s="206" t="s">
        <v>186</v>
      </c>
      <c r="D41" s="206">
        <v>155</v>
      </c>
      <c r="E41" s="206"/>
      <c r="F41" s="206" t="s">
        <v>237</v>
      </c>
      <c r="G41" s="279">
        <v>-20.309999999999999</v>
      </c>
      <c r="H41" s="206"/>
    </row>
    <row r="42" spans="1:8" s="201" customFormat="1">
      <c r="A42" s="205" t="s">
        <v>236</v>
      </c>
      <c r="G42" s="280">
        <f>SUM(G41)</f>
        <v>-20.309999999999999</v>
      </c>
    </row>
    <row r="43" spans="1:8" s="201" customFormat="1" ht="15" thickBot="1">
      <c r="A43" s="205" t="s">
        <v>235</v>
      </c>
      <c r="G43" s="287">
        <f>+G33+G36+G39+G42</f>
        <v>3260.62</v>
      </c>
    </row>
    <row r="44" spans="1:8" ht="15" thickTop="1">
      <c r="A44" s="299"/>
      <c r="H44" s="305"/>
    </row>
    <row r="45" spans="1:8">
      <c r="A45" s="299" t="s">
        <v>234</v>
      </c>
      <c r="H45" s="305"/>
    </row>
    <row r="46" spans="1:8">
      <c r="B46" s="301" t="s">
        <v>380</v>
      </c>
      <c r="C46" s="301" t="s">
        <v>186</v>
      </c>
      <c r="D46" s="301">
        <v>192</v>
      </c>
      <c r="E46" s="301"/>
      <c r="F46" s="301" t="s">
        <v>411</v>
      </c>
      <c r="G46" s="300">
        <v>494</v>
      </c>
      <c r="H46" s="305"/>
    </row>
    <row r="47" spans="1:8">
      <c r="A47" s="299" t="s">
        <v>233</v>
      </c>
      <c r="G47" s="311">
        <f>SUM(G46)</f>
        <v>494</v>
      </c>
      <c r="H47" s="305"/>
    </row>
    <row r="48" spans="1:8" s="249" customFormat="1" ht="15.5">
      <c r="A48" s="274" t="s">
        <v>284</v>
      </c>
      <c r="G48" s="286"/>
    </row>
    <row r="49" spans="1:8">
      <c r="A49" s="299" t="s">
        <v>232</v>
      </c>
      <c r="H49" s="305"/>
    </row>
    <row r="50" spans="1:8">
      <c r="B50" s="301" t="s">
        <v>380</v>
      </c>
      <c r="C50" s="301" t="s">
        <v>186</v>
      </c>
      <c r="D50" s="301">
        <v>202</v>
      </c>
      <c r="E50" s="301"/>
      <c r="F50" s="301" t="s">
        <v>231</v>
      </c>
      <c r="G50" s="300">
        <v>1031</v>
      </c>
      <c r="H50" s="305"/>
    </row>
    <row r="51" spans="1:8">
      <c r="A51" s="299" t="s">
        <v>230</v>
      </c>
      <c r="G51" s="298">
        <f>SUM(G50)</f>
        <v>1031</v>
      </c>
      <c r="H51" s="305"/>
    </row>
    <row r="52" spans="1:8">
      <c r="A52" s="299" t="s">
        <v>229</v>
      </c>
      <c r="H52" s="305"/>
    </row>
    <row r="53" spans="1:8">
      <c r="B53" s="301" t="s">
        <v>380</v>
      </c>
      <c r="C53" s="301" t="s">
        <v>186</v>
      </c>
      <c r="D53" s="301">
        <v>200</v>
      </c>
      <c r="E53" s="301"/>
      <c r="F53" s="301" t="s">
        <v>228</v>
      </c>
      <c r="G53" s="300">
        <v>241</v>
      </c>
      <c r="H53" s="305"/>
    </row>
    <row r="54" spans="1:8">
      <c r="A54" s="299" t="s">
        <v>227</v>
      </c>
      <c r="G54" s="298">
        <v>241</v>
      </c>
      <c r="H54" s="305"/>
    </row>
    <row r="55" spans="1:8">
      <c r="A55" s="299" t="s">
        <v>226</v>
      </c>
      <c r="H55" s="305"/>
    </row>
    <row r="56" spans="1:8">
      <c r="B56" s="301" t="s">
        <v>380</v>
      </c>
      <c r="C56" s="301" t="s">
        <v>186</v>
      </c>
      <c r="D56" s="301">
        <v>199</v>
      </c>
      <c r="E56" s="301"/>
      <c r="F56" s="301" t="s">
        <v>225</v>
      </c>
      <c r="G56" s="300">
        <v>260</v>
      </c>
      <c r="H56" s="305"/>
    </row>
    <row r="57" spans="1:8">
      <c r="A57" s="299" t="s">
        <v>224</v>
      </c>
      <c r="G57" s="298">
        <v>260</v>
      </c>
      <c r="H57" s="305"/>
    </row>
    <row r="58" spans="1:8">
      <c r="A58" s="299" t="s">
        <v>223</v>
      </c>
      <c r="H58" s="305"/>
    </row>
    <row r="59" spans="1:8">
      <c r="B59" s="301" t="s">
        <v>380</v>
      </c>
      <c r="C59" s="301" t="s">
        <v>186</v>
      </c>
      <c r="D59" s="301">
        <v>194</v>
      </c>
      <c r="E59" s="301"/>
      <c r="F59" s="301" t="s">
        <v>222</v>
      </c>
      <c r="G59" s="300">
        <v>55</v>
      </c>
      <c r="H59" s="305"/>
    </row>
    <row r="60" spans="1:8">
      <c r="A60" s="299" t="s">
        <v>221</v>
      </c>
      <c r="G60" s="298">
        <v>55</v>
      </c>
      <c r="H60" s="305"/>
    </row>
    <row r="62" spans="1:8" s="313" customFormat="1">
      <c r="A62" s="312" t="s">
        <v>410</v>
      </c>
      <c r="G62" s="315">
        <f>+G51+G54+G57+G60</f>
        <v>1587</v>
      </c>
      <c r="H62" s="314"/>
    </row>
    <row r="63" spans="1:8">
      <c r="A63" s="299" t="s">
        <v>409</v>
      </c>
      <c r="H63" s="305"/>
    </row>
    <row r="64" spans="1:8">
      <c r="A64" s="299" t="s">
        <v>220</v>
      </c>
      <c r="H64" s="305"/>
    </row>
    <row r="65" spans="1:8">
      <c r="B65" s="301" t="s">
        <v>380</v>
      </c>
      <c r="C65" s="301" t="s">
        <v>186</v>
      </c>
      <c r="D65" s="301">
        <v>198</v>
      </c>
      <c r="E65" s="301"/>
      <c r="F65" s="301" t="s">
        <v>219</v>
      </c>
      <c r="G65" s="300">
        <v>213</v>
      </c>
      <c r="H65" s="305"/>
    </row>
    <row r="66" spans="1:8">
      <c r="A66" s="299" t="s">
        <v>408</v>
      </c>
      <c r="G66" s="311">
        <f>SUM(G65)</f>
        <v>213</v>
      </c>
      <c r="H66" s="305"/>
    </row>
    <row r="67" spans="1:8">
      <c r="G67" s="298"/>
      <c r="H67" s="305"/>
    </row>
    <row r="68" spans="1:8" s="201" customFormat="1" ht="15" thickBot="1">
      <c r="A68" s="276" t="s">
        <v>356</v>
      </c>
      <c r="G68" s="287">
        <f>+G43+G47+G62+G66</f>
        <v>5554.62</v>
      </c>
    </row>
    <row r="69" spans="1:8" s="201" customFormat="1" ht="15" thickTop="1">
      <c r="A69" s="276"/>
      <c r="G69" s="289"/>
    </row>
    <row r="70" spans="1:8" s="201" customFormat="1">
      <c r="A70" s="276" t="s">
        <v>327</v>
      </c>
      <c r="G70" s="278"/>
    </row>
    <row r="71" spans="1:8">
      <c r="A71" s="299" t="s">
        <v>379</v>
      </c>
      <c r="H71" s="305"/>
    </row>
    <row r="72" spans="1:8">
      <c r="A72" s="299" t="s">
        <v>184</v>
      </c>
      <c r="H72" s="305"/>
    </row>
    <row r="73" spans="1:8">
      <c r="B73" s="301" t="s">
        <v>375</v>
      </c>
      <c r="C73" s="301" t="s">
        <v>378</v>
      </c>
      <c r="D73" s="301">
        <v>12381</v>
      </c>
      <c r="E73" s="301" t="s">
        <v>377</v>
      </c>
      <c r="F73" s="301" t="s">
        <v>376</v>
      </c>
      <c r="G73" s="300">
        <v>150</v>
      </c>
      <c r="H73" s="305">
        <v>12381</v>
      </c>
    </row>
    <row r="74" spans="1:8">
      <c r="B74" s="301" t="s">
        <v>375</v>
      </c>
      <c r="C74" s="301" t="s">
        <v>174</v>
      </c>
      <c r="D74" s="301" t="s">
        <v>374</v>
      </c>
      <c r="E74" s="301" t="s">
        <v>373</v>
      </c>
      <c r="F74" s="301" t="s">
        <v>372</v>
      </c>
      <c r="G74" s="300">
        <v>57.89</v>
      </c>
      <c r="H74" s="305">
        <v>12461</v>
      </c>
    </row>
    <row r="75" spans="1:8">
      <c r="B75" s="301" t="s">
        <v>368</v>
      </c>
      <c r="C75" s="301" t="s">
        <v>174</v>
      </c>
      <c r="D75" s="301" t="s">
        <v>371</v>
      </c>
      <c r="E75" s="301" t="s">
        <v>370</v>
      </c>
      <c r="F75" s="301" t="s">
        <v>369</v>
      </c>
      <c r="G75" s="300">
        <v>30.24</v>
      </c>
      <c r="H75" s="305">
        <v>12462</v>
      </c>
    </row>
    <row r="76" spans="1:8">
      <c r="B76" s="301" t="s">
        <v>368</v>
      </c>
      <c r="C76" s="301" t="s">
        <v>174</v>
      </c>
      <c r="D76" s="301" t="s">
        <v>367</v>
      </c>
      <c r="E76" s="301" t="s">
        <v>172</v>
      </c>
      <c r="F76" s="301" t="s">
        <v>366</v>
      </c>
      <c r="G76" s="300">
        <v>49</v>
      </c>
      <c r="H76" s="305">
        <v>12463</v>
      </c>
    </row>
    <row r="77" spans="1:8">
      <c r="A77" s="299" t="s">
        <v>365</v>
      </c>
      <c r="G77" s="311">
        <f>SUM(G73:G76)</f>
        <v>287.13</v>
      </c>
      <c r="H77" s="305"/>
    </row>
    <row r="78" spans="1:8">
      <c r="A78" s="299"/>
      <c r="G78" s="330"/>
      <c r="H78" s="305"/>
    </row>
    <row r="79" spans="1:8">
      <c r="A79" s="322" t="s">
        <v>400</v>
      </c>
      <c r="H79" s="305"/>
    </row>
    <row r="80" spans="1:8">
      <c r="B80" s="301" t="s">
        <v>399</v>
      </c>
      <c r="C80" s="301" t="s">
        <v>174</v>
      </c>
      <c r="D80" s="301" t="s">
        <v>398</v>
      </c>
      <c r="E80" s="301" t="s">
        <v>397</v>
      </c>
      <c r="F80" s="301" t="s">
        <v>396</v>
      </c>
      <c r="G80" s="300">
        <v>329.9</v>
      </c>
      <c r="H80" s="305">
        <v>12449</v>
      </c>
    </row>
    <row r="81" spans="1:8">
      <c r="A81" s="299" t="s">
        <v>395</v>
      </c>
      <c r="G81" s="311">
        <f>SUM(G80)</f>
        <v>329.9</v>
      </c>
      <c r="H81" s="305"/>
    </row>
    <row r="82" spans="1:8">
      <c r="A82" s="299"/>
      <c r="G82" s="330"/>
      <c r="H82" s="305"/>
    </row>
    <row r="83" spans="1:8">
      <c r="A83" s="299" t="s">
        <v>394</v>
      </c>
      <c r="H83" s="305"/>
    </row>
    <row r="84" spans="1:8">
      <c r="B84" s="301" t="s">
        <v>380</v>
      </c>
      <c r="C84" s="301" t="s">
        <v>186</v>
      </c>
      <c r="D84" s="301">
        <v>185</v>
      </c>
      <c r="E84" s="301"/>
      <c r="F84" s="301" t="s">
        <v>212</v>
      </c>
      <c r="G84" s="300">
        <v>86</v>
      </c>
      <c r="H84" s="305"/>
    </row>
    <row r="85" spans="1:8">
      <c r="A85" s="299" t="s">
        <v>393</v>
      </c>
      <c r="G85" s="311">
        <f>SUM(G84)</f>
        <v>86</v>
      </c>
      <c r="H85" s="305"/>
    </row>
    <row r="86" spans="1:8" s="325" customFormat="1">
      <c r="A86" s="324"/>
      <c r="G86" s="326"/>
      <c r="H86" s="327"/>
    </row>
    <row r="87" spans="1:8">
      <c r="A87" s="322" t="s">
        <v>437</v>
      </c>
      <c r="G87" s="311">
        <f>+G81+G85</f>
        <v>415.9</v>
      </c>
      <c r="H87" s="305"/>
    </row>
    <row r="88" spans="1:8">
      <c r="A88" s="299"/>
      <c r="G88" s="306"/>
      <c r="H88" s="305"/>
    </row>
    <row r="89" spans="1:8">
      <c r="A89" s="276" t="s">
        <v>357</v>
      </c>
      <c r="G89" s="306"/>
      <c r="H89" s="305"/>
    </row>
    <row r="90" spans="1:8">
      <c r="A90" s="299" t="s">
        <v>406</v>
      </c>
      <c r="H90" s="305"/>
    </row>
    <row r="91" spans="1:8">
      <c r="B91" s="301" t="s">
        <v>380</v>
      </c>
      <c r="C91" s="301" t="s">
        <v>186</v>
      </c>
      <c r="D91" s="301">
        <v>180</v>
      </c>
      <c r="E91" s="301"/>
      <c r="F91" s="301" t="s">
        <v>213</v>
      </c>
      <c r="G91" s="300">
        <v>496</v>
      </c>
      <c r="H91" s="305"/>
    </row>
    <row r="92" spans="1:8">
      <c r="A92" s="276" t="s">
        <v>358</v>
      </c>
      <c r="G92" s="311">
        <v>496</v>
      </c>
      <c r="H92" s="305"/>
    </row>
    <row r="93" spans="1:8">
      <c r="A93" s="299"/>
      <c r="G93" s="298"/>
      <c r="H93" s="305"/>
    </row>
    <row r="94" spans="1:8" s="201" customFormat="1">
      <c r="A94" s="276" t="s">
        <v>329</v>
      </c>
      <c r="G94" s="289"/>
    </row>
    <row r="95" spans="1:8">
      <c r="A95" s="299" t="s">
        <v>200</v>
      </c>
      <c r="H95" s="305"/>
    </row>
    <row r="96" spans="1:8">
      <c r="B96" s="301" t="s">
        <v>388</v>
      </c>
      <c r="C96" s="301" t="s">
        <v>174</v>
      </c>
      <c r="D96" s="301" t="s">
        <v>391</v>
      </c>
      <c r="E96" s="301" t="s">
        <v>181</v>
      </c>
      <c r="F96" s="301" t="s">
        <v>390</v>
      </c>
      <c r="G96" s="300">
        <v>648</v>
      </c>
      <c r="H96" s="305">
        <v>12363</v>
      </c>
    </row>
    <row r="97" spans="1:8">
      <c r="A97" s="276" t="s">
        <v>344</v>
      </c>
      <c r="G97" s="298">
        <v>648</v>
      </c>
      <c r="H97" s="305"/>
    </row>
    <row r="98" spans="1:8">
      <c r="A98" s="299" t="s">
        <v>197</v>
      </c>
      <c r="H98" s="305"/>
    </row>
    <row r="99" spans="1:8">
      <c r="A99" s="299" t="s">
        <v>196</v>
      </c>
      <c r="H99" s="305"/>
    </row>
    <row r="100" spans="1:8">
      <c r="B100" s="301" t="s">
        <v>380</v>
      </c>
      <c r="C100" s="301" t="s">
        <v>186</v>
      </c>
      <c r="D100" s="301">
        <v>189</v>
      </c>
      <c r="E100" s="301"/>
      <c r="F100" s="301" t="s">
        <v>195</v>
      </c>
      <c r="G100" s="300">
        <v>176</v>
      </c>
      <c r="H100" s="305"/>
    </row>
    <row r="101" spans="1:8">
      <c r="A101" s="299" t="s">
        <v>194</v>
      </c>
      <c r="G101" s="298">
        <v>176</v>
      </c>
      <c r="H101" s="305"/>
    </row>
    <row r="102" spans="1:8">
      <c r="A102" s="299" t="s">
        <v>191</v>
      </c>
      <c r="H102" s="305"/>
    </row>
    <row r="103" spans="1:8">
      <c r="B103" s="301" t="s">
        <v>380</v>
      </c>
      <c r="C103" s="301" t="s">
        <v>186</v>
      </c>
      <c r="D103" s="301">
        <v>184</v>
      </c>
      <c r="E103" s="301"/>
      <c r="F103" s="301" t="s">
        <v>190</v>
      </c>
      <c r="G103" s="300">
        <v>97</v>
      </c>
      <c r="H103" s="305"/>
    </row>
    <row r="104" spans="1:8">
      <c r="A104" s="299" t="s">
        <v>189</v>
      </c>
      <c r="G104" s="298">
        <v>97</v>
      </c>
      <c r="H104" s="305"/>
    </row>
    <row r="105" spans="1:8" s="259" customFormat="1">
      <c r="A105" s="328" t="s">
        <v>343</v>
      </c>
      <c r="G105" s="288">
        <f>+G101+G104</f>
        <v>273</v>
      </c>
    </row>
    <row r="106" spans="1:8" s="201" customFormat="1">
      <c r="A106" s="205"/>
      <c r="G106" s="289"/>
    </row>
    <row r="107" spans="1:8" s="258" customFormat="1">
      <c r="A107" s="276" t="s">
        <v>353</v>
      </c>
      <c r="G107" s="288">
        <f>+G97+G105</f>
        <v>921</v>
      </c>
    </row>
    <row r="108" spans="1:8">
      <c r="A108" s="299"/>
      <c r="G108" s="298"/>
      <c r="H108" s="305"/>
    </row>
    <row r="109" spans="1:8" s="201" customFormat="1">
      <c r="A109" s="276" t="s">
        <v>332</v>
      </c>
      <c r="G109" s="278"/>
    </row>
    <row r="110" spans="1:8">
      <c r="A110" s="299" t="s">
        <v>389</v>
      </c>
      <c r="H110" s="305"/>
    </row>
    <row r="111" spans="1:8">
      <c r="B111" s="301" t="s">
        <v>388</v>
      </c>
      <c r="C111" s="301" t="s">
        <v>174</v>
      </c>
      <c r="D111" s="301" t="s">
        <v>387</v>
      </c>
      <c r="E111" s="301" t="s">
        <v>386</v>
      </c>
      <c r="F111" s="301" t="s">
        <v>385</v>
      </c>
      <c r="G111" s="300">
        <v>228</v>
      </c>
      <c r="H111" s="305">
        <v>12418</v>
      </c>
    </row>
    <row r="112" spans="1:8">
      <c r="A112" s="299" t="s">
        <v>384</v>
      </c>
      <c r="G112" s="298">
        <f>SUM(G111)</f>
        <v>228</v>
      </c>
      <c r="H112" s="305"/>
    </row>
    <row r="113" spans="1:8">
      <c r="A113" s="299" t="s">
        <v>193</v>
      </c>
      <c r="H113" s="305"/>
    </row>
    <row r="114" spans="1:8">
      <c r="B114" s="301" t="s">
        <v>380</v>
      </c>
      <c r="C114" s="301" t="s">
        <v>186</v>
      </c>
      <c r="D114" s="301">
        <v>183</v>
      </c>
      <c r="E114" s="301"/>
      <c r="F114" s="301" t="s">
        <v>192</v>
      </c>
      <c r="G114" s="300">
        <v>294</v>
      </c>
      <c r="H114" s="305"/>
    </row>
    <row r="115" spans="1:8">
      <c r="A115" s="299" t="s">
        <v>383</v>
      </c>
      <c r="G115" s="298">
        <f>SUM(G114)</f>
        <v>294</v>
      </c>
      <c r="H115" s="305"/>
    </row>
    <row r="116" spans="1:8">
      <c r="A116" s="276" t="s">
        <v>333</v>
      </c>
      <c r="G116" s="311">
        <f>+G112+G115</f>
        <v>522</v>
      </c>
      <c r="H116" s="305"/>
    </row>
    <row r="117" spans="1:8">
      <c r="A117" s="299"/>
      <c r="G117" s="306"/>
      <c r="H117" s="305"/>
    </row>
    <row r="118" spans="1:8">
      <c r="A118" s="299"/>
      <c r="G118" s="306"/>
      <c r="H118" s="305"/>
    </row>
    <row r="119" spans="1:8">
      <c r="A119" s="299"/>
      <c r="G119" s="306"/>
      <c r="H119" s="305"/>
    </row>
    <row r="120" spans="1:8">
      <c r="A120" s="221" t="s">
        <v>334</v>
      </c>
      <c r="G120" s="306"/>
      <c r="H120" s="305"/>
    </row>
    <row r="121" spans="1:8">
      <c r="A121" s="299" t="s">
        <v>217</v>
      </c>
      <c r="H121" s="305"/>
    </row>
    <row r="122" spans="1:8">
      <c r="A122" s="299" t="s">
        <v>407</v>
      </c>
      <c r="H122" s="305"/>
    </row>
    <row r="123" spans="1:8">
      <c r="B123" s="301" t="s">
        <v>380</v>
      </c>
      <c r="C123" s="301" t="s">
        <v>186</v>
      </c>
      <c r="D123" s="301">
        <v>181</v>
      </c>
      <c r="E123" s="301"/>
      <c r="F123" s="301" t="s">
        <v>216</v>
      </c>
      <c r="G123" s="300">
        <v>380</v>
      </c>
      <c r="H123" s="305"/>
    </row>
    <row r="124" spans="1:8">
      <c r="A124" s="299" t="s">
        <v>215</v>
      </c>
      <c r="G124" s="298">
        <f>SUM(G123)</f>
        <v>380</v>
      </c>
      <c r="H124" s="305"/>
    </row>
    <row r="125" spans="1:8">
      <c r="A125" s="299" t="s">
        <v>203</v>
      </c>
      <c r="G125" s="317"/>
      <c r="H125" s="305"/>
    </row>
    <row r="126" spans="1:8">
      <c r="B126" s="301" t="s">
        <v>380</v>
      </c>
      <c r="C126" s="301" t="s">
        <v>186</v>
      </c>
      <c r="D126" s="301">
        <v>188</v>
      </c>
      <c r="E126" s="301"/>
      <c r="F126" s="301" t="s">
        <v>202</v>
      </c>
      <c r="G126" s="300">
        <v>39</v>
      </c>
      <c r="H126" s="305"/>
    </row>
    <row r="127" spans="1:8">
      <c r="A127" s="299" t="s">
        <v>201</v>
      </c>
      <c r="G127" s="298">
        <f>SUM(G126)</f>
        <v>39</v>
      </c>
      <c r="H127" s="305"/>
    </row>
    <row r="128" spans="1:8">
      <c r="A128" s="299" t="s">
        <v>405</v>
      </c>
      <c r="H128" s="305"/>
    </row>
    <row r="129" spans="1:8">
      <c r="B129" s="301" t="s">
        <v>368</v>
      </c>
      <c r="C129" s="301" t="s">
        <v>174</v>
      </c>
      <c r="D129" s="301" t="s">
        <v>404</v>
      </c>
      <c r="E129" s="301" t="s">
        <v>403</v>
      </c>
      <c r="F129" s="301" t="s">
        <v>402</v>
      </c>
      <c r="G129" s="300">
        <v>156.94</v>
      </c>
      <c r="H129" s="305">
        <v>12464</v>
      </c>
    </row>
    <row r="130" spans="1:8">
      <c r="A130" s="299" t="s">
        <v>401</v>
      </c>
      <c r="G130" s="298">
        <f>SUM(G129)</f>
        <v>156.94</v>
      </c>
      <c r="H130" s="305"/>
    </row>
    <row r="131" spans="1:8">
      <c r="A131" s="299"/>
      <c r="G131" s="323"/>
      <c r="H131" s="305"/>
    </row>
    <row r="132" spans="1:8">
      <c r="A132" s="276" t="s">
        <v>335</v>
      </c>
      <c r="G132" s="311">
        <f>+G124+G127+G130</f>
        <v>575.94000000000005</v>
      </c>
      <c r="H132" s="305"/>
    </row>
    <row r="133" spans="1:8">
      <c r="A133" s="276"/>
      <c r="G133" s="330"/>
      <c r="H133" s="305"/>
    </row>
    <row r="134" spans="1:8">
      <c r="A134" s="276" t="s">
        <v>338</v>
      </c>
      <c r="H134" s="305"/>
    </row>
    <row r="135" spans="1:8">
      <c r="A135" s="299" t="s">
        <v>209</v>
      </c>
      <c r="H135" s="305"/>
    </row>
    <row r="136" spans="1:8">
      <c r="B136" s="301" t="s">
        <v>380</v>
      </c>
      <c r="C136" s="301" t="s">
        <v>186</v>
      </c>
      <c r="D136" s="301">
        <v>176</v>
      </c>
      <c r="E136" s="301" t="s">
        <v>433</v>
      </c>
      <c r="F136" s="301" t="s">
        <v>208</v>
      </c>
      <c r="G136" s="300">
        <v>161</v>
      </c>
      <c r="H136" s="305"/>
    </row>
    <row r="137" spans="1:8">
      <c r="A137" s="299" t="s">
        <v>207</v>
      </c>
      <c r="G137" s="298">
        <f>SUM(G136)</f>
        <v>161</v>
      </c>
      <c r="H137" s="305"/>
    </row>
    <row r="138" spans="1:8">
      <c r="A138" s="299" t="s">
        <v>206</v>
      </c>
      <c r="H138" s="305"/>
    </row>
    <row r="139" spans="1:8">
      <c r="B139" s="301" t="s">
        <v>380</v>
      </c>
      <c r="C139" s="301" t="s">
        <v>186</v>
      </c>
      <c r="D139" s="301">
        <v>187</v>
      </c>
      <c r="E139" s="301"/>
      <c r="F139" s="301" t="s">
        <v>205</v>
      </c>
      <c r="G139" s="300">
        <v>111</v>
      </c>
      <c r="H139" s="305"/>
    </row>
    <row r="140" spans="1:8">
      <c r="A140" s="299" t="s">
        <v>204</v>
      </c>
      <c r="G140" s="298">
        <f>SUM(G139)</f>
        <v>111</v>
      </c>
      <c r="H140" s="305"/>
    </row>
    <row r="141" spans="1:8">
      <c r="A141" s="322" t="s">
        <v>438</v>
      </c>
      <c r="G141" s="311">
        <f>+G137+G140</f>
        <v>272</v>
      </c>
      <c r="H141" s="305"/>
    </row>
    <row r="142" spans="1:8">
      <c r="A142" s="299"/>
      <c r="G142" s="306"/>
      <c r="H142" s="305"/>
    </row>
    <row r="143" spans="1:8">
      <c r="A143" s="322" t="s">
        <v>439</v>
      </c>
      <c r="H143" s="305"/>
    </row>
    <row r="144" spans="1:8">
      <c r="A144" s="299" t="s">
        <v>382</v>
      </c>
      <c r="H144" s="305"/>
    </row>
    <row r="145" spans="1:16384">
      <c r="A145" s="299" t="s">
        <v>381</v>
      </c>
      <c r="H145" s="305"/>
    </row>
    <row r="146" spans="1:16384">
      <c r="B146" s="301" t="s">
        <v>380</v>
      </c>
      <c r="C146" s="301" t="s">
        <v>186</v>
      </c>
      <c r="D146" s="301">
        <v>182</v>
      </c>
      <c r="E146" s="301"/>
      <c r="F146" s="301" t="s">
        <v>185</v>
      </c>
      <c r="G146" s="300">
        <v>503</v>
      </c>
      <c r="H146" s="305"/>
    </row>
    <row r="147" spans="1:16384" s="313" customFormat="1">
      <c r="A147" s="322" t="s">
        <v>440</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441</v>
      </c>
      <c r="G149" s="306"/>
      <c r="H149" s="305"/>
    </row>
    <row r="150" spans="1:16384">
      <c r="A150" s="299" t="s">
        <v>392</v>
      </c>
      <c r="H150" s="305"/>
    </row>
    <row r="151" spans="1:16384">
      <c r="B151" s="301" t="s">
        <v>380</v>
      </c>
      <c r="C151" s="301" t="s">
        <v>186</v>
      </c>
      <c r="D151" s="301">
        <v>196</v>
      </c>
      <c r="E151" s="301"/>
      <c r="F151" s="301" t="s">
        <v>151</v>
      </c>
      <c r="G151" s="300">
        <v>38</v>
      </c>
      <c r="H151" s="305"/>
    </row>
    <row r="152" spans="1:16384">
      <c r="A152" s="334" t="s">
        <v>442</v>
      </c>
      <c r="G152" s="311">
        <f>SUM(G151)</f>
        <v>38</v>
      </c>
      <c r="H152" s="305"/>
    </row>
    <row r="153" spans="1:16384">
      <c r="H153" s="305"/>
    </row>
    <row r="155" spans="1:16384">
      <c r="A155" s="316"/>
      <c r="B155" s="316"/>
      <c r="C155" s="316"/>
      <c r="D155" s="316"/>
      <c r="E155" s="316"/>
      <c r="F155" s="316"/>
      <c r="G155" s="316"/>
      <c r="H155" s="316"/>
    </row>
    <row r="156" spans="1:16384">
      <c r="A156" s="562" t="s">
        <v>364</v>
      </c>
      <c r="B156" s="562"/>
      <c r="C156" s="562"/>
      <c r="D156" s="562"/>
      <c r="E156" s="562"/>
      <c r="F156" s="562"/>
      <c r="G156" s="562"/>
      <c r="H156" s="562"/>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128</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90" zoomScaleNormal="90" zoomScaleSheetLayoutView="70" workbookViewId="0">
      <pane xSplit="1" ySplit="5" topLeftCell="B33"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04">
        <v>43709</v>
      </c>
      <c r="H1" s="505"/>
      <c r="I1" s="106" t="s">
        <v>49</v>
      </c>
    </row>
    <row r="2" spans="1:9" ht="21">
      <c r="A2" s="37" t="s">
        <v>152</v>
      </c>
      <c r="B2" s="35"/>
      <c r="C2" s="35"/>
      <c r="D2" s="36"/>
      <c r="E2" s="36" t="s">
        <v>48</v>
      </c>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Allocations'!F113</f>
        <v>1261.54</v>
      </c>
      <c r="C6" s="140"/>
      <c r="D6" s="141"/>
      <c r="E6" s="142">
        <f>SUM(B6:D6)</f>
        <v>1261.54</v>
      </c>
      <c r="F6" s="143">
        <f>E6+'Aug-2019'!F6</f>
        <v>3469.23</v>
      </c>
      <c r="G6" s="143">
        <v>16400</v>
      </c>
      <c r="H6" s="144">
        <f>G6-F6</f>
        <v>12930.77</v>
      </c>
      <c r="I6" s="108">
        <f>F6/G6</f>
        <v>0.21153841463414635</v>
      </c>
    </row>
    <row r="7" spans="1:9" s="103" customFormat="1" ht="25.5" customHeight="1">
      <c r="A7" s="138" t="s">
        <v>146</v>
      </c>
      <c r="B7" s="139">
        <f>+'Salaries &amp; Fringe Allocations'!F114</f>
        <v>2071.4299999999998</v>
      </c>
      <c r="C7" s="140"/>
      <c r="D7" s="141">
        <f>+'Salaries &amp; Fringe Allocations'!F115</f>
        <v>2928.57</v>
      </c>
      <c r="E7" s="142">
        <f t="shared" ref="E7:E12" si="0">SUM(B7:D7)</f>
        <v>5000</v>
      </c>
      <c r="F7" s="143">
        <f>E7+'Aug-2019'!F7</f>
        <v>13750</v>
      </c>
      <c r="G7" s="143">
        <v>66000</v>
      </c>
      <c r="H7" s="144">
        <f>G7-F7</f>
        <v>52250</v>
      </c>
      <c r="I7" s="108">
        <f t="shared" ref="I7:I20" si="1">F7/G7</f>
        <v>0.20833333333333334</v>
      </c>
    </row>
    <row r="8" spans="1:9" s="103" customFormat="1" ht="25.5" customHeight="1">
      <c r="A8" s="138" t="s">
        <v>155</v>
      </c>
      <c r="B8" s="139"/>
      <c r="C8" s="140"/>
      <c r="D8" s="141">
        <f>+'Salaries &amp; Fringe Allocations'!F116</f>
        <v>3076.94</v>
      </c>
      <c r="E8" s="142">
        <f t="shared" si="0"/>
        <v>3076.94</v>
      </c>
      <c r="F8" s="143">
        <f>E8+'Aug-2019'!F8</f>
        <v>6923.1200000000008</v>
      </c>
      <c r="G8" s="143">
        <v>40000</v>
      </c>
      <c r="H8" s="144">
        <f t="shared" ref="H8:H12" si="2">G8-F8</f>
        <v>33076.879999999997</v>
      </c>
      <c r="I8" s="108">
        <f t="shared" si="1"/>
        <v>0.17307800000000001</v>
      </c>
    </row>
    <row r="9" spans="1:9" s="103" customFormat="1" ht="25.5" customHeight="1">
      <c r="A9" s="138" t="s">
        <v>147</v>
      </c>
      <c r="B9" s="139"/>
      <c r="C9" s="140"/>
      <c r="D9" s="141">
        <f>+'Salaries &amp; Fringe Allocations'!F117</f>
        <v>1730.78</v>
      </c>
      <c r="E9" s="142">
        <f t="shared" si="0"/>
        <v>1730.78</v>
      </c>
      <c r="F9" s="143">
        <f>E9+'Aug-2019'!F9</f>
        <v>5769.36</v>
      </c>
      <c r="G9" s="143">
        <v>30000</v>
      </c>
      <c r="H9" s="144">
        <f t="shared" si="2"/>
        <v>24230.639999999999</v>
      </c>
      <c r="I9" s="108">
        <f t="shared" si="1"/>
        <v>0.19231199999999998</v>
      </c>
    </row>
    <row r="10" spans="1:9" s="103" customFormat="1" ht="25.5" customHeight="1">
      <c r="A10" s="138" t="s">
        <v>156</v>
      </c>
      <c r="B10" s="139"/>
      <c r="C10" s="140"/>
      <c r="D10" s="141">
        <f>+'Salaries &amp; Fringe Allocations'!F118</f>
        <v>1268.96</v>
      </c>
      <c r="E10" s="142">
        <f t="shared" si="0"/>
        <v>1268.96</v>
      </c>
      <c r="F10" s="143">
        <f>E10+'Aug-2019'!F10</f>
        <v>4210.6400000000003</v>
      </c>
      <c r="G10" s="143">
        <v>21500</v>
      </c>
      <c r="H10" s="144">
        <f t="shared" si="2"/>
        <v>17289.36</v>
      </c>
      <c r="I10" s="108">
        <f t="shared" si="1"/>
        <v>0.19584372093023258</v>
      </c>
    </row>
    <row r="11" spans="1:9" s="103" customFormat="1" ht="25.5" customHeight="1">
      <c r="A11" s="138" t="s">
        <v>148</v>
      </c>
      <c r="B11" s="139">
        <f>+'Salaries &amp; Fringe Allocations'!F119</f>
        <v>703.3</v>
      </c>
      <c r="C11" s="140"/>
      <c r="D11" s="141">
        <f>+'Salaries &amp; Fringe Allocations'!F120</f>
        <v>1050.57</v>
      </c>
      <c r="E11" s="142">
        <f t="shared" si="0"/>
        <v>1753.87</v>
      </c>
      <c r="F11" s="143">
        <f>E11+'Aug-2019'!F11</f>
        <v>6984.67</v>
      </c>
      <c r="G11" s="143">
        <v>36000</v>
      </c>
      <c r="H11" s="144">
        <f t="shared" si="2"/>
        <v>29015.33</v>
      </c>
      <c r="I11" s="108">
        <f t="shared" si="1"/>
        <v>0.1940186111111111</v>
      </c>
    </row>
    <row r="12" spans="1:9" s="103" customFormat="1" ht="25.5" customHeight="1">
      <c r="A12" s="138" t="s">
        <v>363</v>
      </c>
      <c r="B12" s="139">
        <f>+'Salaries &amp; Fringe Allocations'!F121</f>
        <v>846.15</v>
      </c>
      <c r="C12" s="140"/>
      <c r="D12" s="141"/>
      <c r="E12" s="142">
        <f t="shared" si="0"/>
        <v>846.15</v>
      </c>
      <c r="F12" s="143">
        <f>E12+'Aug-2019'!F12</f>
        <v>1692.3</v>
      </c>
      <c r="G12" s="143">
        <v>4000</v>
      </c>
      <c r="H12" s="144">
        <f t="shared" si="2"/>
        <v>2307.6999999999998</v>
      </c>
      <c r="I12" s="108">
        <f t="shared" si="1"/>
        <v>0.42307499999999998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4882.4199999999992</v>
      </c>
      <c r="C16" s="147">
        <f>SUM(C6:C15)</f>
        <v>0</v>
      </c>
      <c r="D16" s="147">
        <f t="shared" ref="D16" si="3">SUM(D6:D15)</f>
        <v>10055.82</v>
      </c>
      <c r="E16" s="147">
        <f>SUM(E6:E15)</f>
        <v>14938.24</v>
      </c>
      <c r="F16" s="148">
        <f>SUM(F6:F15)</f>
        <v>42799.32</v>
      </c>
      <c r="G16" s="148">
        <f>SUM(G6:G15)</f>
        <v>213900</v>
      </c>
      <c r="H16" s="148">
        <f>SUM(H6:H15)</f>
        <v>171100.68</v>
      </c>
      <c r="I16" s="108">
        <f t="shared" si="1"/>
        <v>0.20009032258064516</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6699.0500923099753</v>
      </c>
      <c r="C20" s="158">
        <f t="shared" si="5"/>
        <v>0</v>
      </c>
      <c r="D20" s="158">
        <f t="shared" si="5"/>
        <v>13530.808907690025</v>
      </c>
      <c r="E20" s="159">
        <f t="shared" si="5"/>
        <v>20229.859</v>
      </c>
      <c r="F20" s="198">
        <f t="shared" si="5"/>
        <v>58734.810378497066</v>
      </c>
      <c r="G20" s="73">
        <f>G16+G18</f>
        <v>282036</v>
      </c>
      <c r="H20" s="73">
        <f>H16+H18</f>
        <v>223301.18962150294</v>
      </c>
      <c r="I20" s="110">
        <f t="shared" si="1"/>
        <v>0.20825288395274741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+'Sept-2019 GL'!G81</f>
        <v>312.43</v>
      </c>
      <c r="C23" s="140"/>
      <c r="D23" s="141"/>
      <c r="E23" s="142">
        <f>SUM(B23:D23)</f>
        <v>312.43</v>
      </c>
      <c r="F23" s="143">
        <f>E23+'Aug-2019'!F23</f>
        <v>867.57999999999993</v>
      </c>
      <c r="G23" s="143">
        <v>4000</v>
      </c>
      <c r="H23" s="144">
        <f>G23-F23</f>
        <v>3132.42</v>
      </c>
      <c r="I23" s="108">
        <f t="shared" ref="I23:I37" si="6">F23/G23</f>
        <v>0.21689499999999998</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+'Sept-2019 GL'!G86</f>
        <v>606</v>
      </c>
      <c r="C26" s="140"/>
      <c r="D26" s="141"/>
      <c r="E26" s="142">
        <f t="shared" si="7"/>
        <v>606</v>
      </c>
      <c r="F26" s="143">
        <f>E26+'Aug-2019'!F26</f>
        <v>1463.69</v>
      </c>
      <c r="G26" s="143">
        <v>13200</v>
      </c>
      <c r="H26" s="144">
        <f t="shared" si="8"/>
        <v>11736.31</v>
      </c>
      <c r="I26" s="108">
        <f t="shared" si="6"/>
        <v>0.11088560606060606</v>
      </c>
      <c r="J26" s="102"/>
    </row>
    <row r="27" spans="1:10" s="103" customFormat="1" ht="24" customHeight="1">
      <c r="A27" s="161" t="s">
        <v>41</v>
      </c>
      <c r="B27" s="139">
        <f>+'Sept-2019 GL'!G100</f>
        <v>230</v>
      </c>
      <c r="C27" s="140"/>
      <c r="D27" s="141">
        <f>+'Sept-2019 GL'!G91</f>
        <v>648</v>
      </c>
      <c r="E27" s="142">
        <f t="shared" si="7"/>
        <v>878</v>
      </c>
      <c r="F27" s="143">
        <f>E27+'Aug-2019'!F27</f>
        <v>2779.27</v>
      </c>
      <c r="G27" s="143">
        <v>12000</v>
      </c>
      <c r="H27" s="144">
        <f t="shared" si="8"/>
        <v>9220.73</v>
      </c>
      <c r="I27" s="108">
        <f t="shared" si="6"/>
        <v>0.23160583333333334</v>
      </c>
      <c r="J27" s="102"/>
    </row>
    <row r="28" spans="1:10" s="103" customFormat="1" ht="24" customHeight="1">
      <c r="A28" s="161" t="s">
        <v>42</v>
      </c>
      <c r="B28" s="139"/>
      <c r="C28" s="9"/>
      <c r="D28" s="9"/>
      <c r="E28" s="142">
        <f>SUM(B28:D28)</f>
        <v>0</v>
      </c>
      <c r="F28" s="143">
        <f>E28+'Aug-2019'!F28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+'Sept-2019 GL'!G107</f>
        <v>287</v>
      </c>
      <c r="C30" s="140"/>
      <c r="D30" s="141"/>
      <c r="E30" s="142">
        <f t="shared" si="7"/>
        <v>287</v>
      </c>
      <c r="F30" s="143">
        <f>E30+'Aug-2019'!F30</f>
        <v>1009.95</v>
      </c>
      <c r="G30" s="143">
        <v>6475</v>
      </c>
      <c r="H30" s="144">
        <f t="shared" si="8"/>
        <v>5465.05</v>
      </c>
      <c r="I30" s="108">
        <f t="shared" si="6"/>
        <v>0.15597683397683398</v>
      </c>
      <c r="J30" s="102"/>
    </row>
    <row r="31" spans="1:10" s="103" customFormat="1" ht="24" customHeight="1">
      <c r="A31" s="162" t="s">
        <v>44</v>
      </c>
      <c r="B31" s="139">
        <f>+'Sept-2019 GL'!G30</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81</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f>+'Sept-2019 GL'!G117</f>
        <v>411</v>
      </c>
      <c r="C33" s="140"/>
      <c r="D33" s="141"/>
      <c r="E33" s="142">
        <f t="shared" si="7"/>
        <v>411</v>
      </c>
      <c r="F33" s="143">
        <f>E33+'Aug-2019'!F33</f>
        <v>1254.8200000000002</v>
      </c>
      <c r="G33" s="143">
        <v>3000.7</v>
      </c>
      <c r="H33" s="144">
        <f>G33-F33</f>
        <v>1745.8799999999997</v>
      </c>
      <c r="I33" s="108">
        <f t="shared" si="6"/>
        <v>0.41817575898956916</v>
      </c>
      <c r="J33" s="102"/>
    </row>
    <row r="34" spans="1:10" s="103" customFormat="1" ht="24" customHeight="1">
      <c r="A34" s="162" t="s">
        <v>77</v>
      </c>
      <c r="B34" s="139">
        <f>+'Sept-2019 GL'!G129</f>
        <v>226.16</v>
      </c>
      <c r="C34" s="140"/>
      <c r="D34" s="141"/>
      <c r="E34" s="142">
        <f t="shared" si="7"/>
        <v>226.16</v>
      </c>
      <c r="F34" s="143">
        <f>E34+'Aug-2019'!F34</f>
        <v>681.01</v>
      </c>
      <c r="G34" s="143">
        <v>3000</v>
      </c>
      <c r="H34" s="144">
        <f t="shared" si="4"/>
        <v>2318.9899999999998</v>
      </c>
      <c r="I34" s="108">
        <f t="shared" si="6"/>
        <v>0.22700333333333333</v>
      </c>
      <c r="J34" s="102"/>
    </row>
    <row r="35" spans="1:10" s="103" customFormat="1" ht="24" customHeight="1">
      <c r="A35" s="162" t="s">
        <v>150</v>
      </c>
      <c r="B35" s="139">
        <f>+'Sept-2019 GL'!G135</f>
        <v>491</v>
      </c>
      <c r="C35" s="140"/>
      <c r="D35" s="141"/>
      <c r="E35" s="142">
        <f t="shared" si="7"/>
        <v>491</v>
      </c>
      <c r="F35" s="143">
        <f>E35+'Aug-2019'!F35</f>
        <v>1314.72</v>
      </c>
      <c r="G35" s="143">
        <v>4000</v>
      </c>
      <c r="H35" s="144">
        <f t="shared" si="4"/>
        <v>2685.2799999999997</v>
      </c>
      <c r="I35" s="108">
        <f t="shared" si="6"/>
        <v>0.32868000000000003</v>
      </c>
      <c r="J35" s="102"/>
    </row>
    <row r="36" spans="1:10" s="103" customFormat="1" ht="24" customHeight="1">
      <c r="A36" s="162" t="s">
        <v>151</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3441.1099999999997</v>
      </c>
      <c r="C37" s="166">
        <f t="shared" ref="C37:E37" si="12">SUM(C23:C36)</f>
        <v>0</v>
      </c>
      <c r="D37" s="166">
        <f t="shared" si="12"/>
        <v>648</v>
      </c>
      <c r="E37" s="166">
        <f t="shared" si="12"/>
        <v>4089.11</v>
      </c>
      <c r="F37" s="167">
        <f>SUM(F23:F36)</f>
        <v>13762.29</v>
      </c>
      <c r="G37" s="167">
        <f>SUM(G23:G36)</f>
        <v>76745.7</v>
      </c>
      <c r="H37" s="167">
        <f>SUM(H23:H36)</f>
        <v>62983.409999999996</v>
      </c>
      <c r="I37" s="110">
        <f t="shared" si="6"/>
        <v>0.17932327153182526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+'Sept-2019 GL'!G9</f>
        <v>90254</v>
      </c>
      <c r="D41" s="170"/>
      <c r="E41" s="171">
        <f>SUM(B41:D41)</f>
        <v>90254</v>
      </c>
      <c r="F41" s="143">
        <f>E41+'Aug-2019'!F41</f>
        <v>243751.47999999998</v>
      </c>
      <c r="G41" s="144">
        <v>1452829.24</v>
      </c>
      <c r="H41" s="144">
        <f>G41-F41-F42</f>
        <v>1207081.24</v>
      </c>
      <c r="I41" s="108">
        <f t="shared" ref="I41:I56" si="13">F41/G41</f>
        <v>0.16777710228354159</v>
      </c>
    </row>
    <row r="42" spans="1:10" s="168" customFormat="1" ht="21.75" customHeight="1">
      <c r="A42" s="138" t="s">
        <v>83</v>
      </c>
      <c r="B42" s="139"/>
      <c r="C42" s="170">
        <f>+'Sept-2019 GL'!G18</f>
        <v>1486.56</v>
      </c>
      <c r="D42" s="170"/>
      <c r="E42" s="171">
        <f>SUM(B42:D42)</f>
        <v>1486.56</v>
      </c>
      <c r="F42" s="143">
        <f>E42+'Aug-2019'!F42</f>
        <v>1996.52</v>
      </c>
      <c r="G42" s="144"/>
      <c r="H42" s="144"/>
      <c r="I42" s="108">
        <v>0</v>
      </c>
    </row>
    <row r="43" spans="1:10" s="168" customFormat="1" ht="21.75" customHeight="1">
      <c r="A43" s="138" t="s">
        <v>80</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78</v>
      </c>
      <c r="B44" s="139"/>
      <c r="C44" s="170">
        <f>+'Sept-2019 GL'!G23</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+'Sept-2019 GL'!G26</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79</v>
      </c>
      <c r="B46" s="139"/>
      <c r="C46" s="140"/>
      <c r="D46" s="140"/>
      <c r="E46" s="172">
        <f t="shared" si="14"/>
        <v>0</v>
      </c>
      <c r="F46" s="143">
        <f>E46+'Aug-2019'!F46</f>
        <v>0</v>
      </c>
      <c r="G46" s="144">
        <v>8500</v>
      </c>
      <c r="H46" s="144">
        <f t="shared" si="15"/>
        <v>8500</v>
      </c>
      <c r="I46" s="108">
        <f t="shared" si="13"/>
        <v>0</v>
      </c>
    </row>
    <row r="47" spans="1:10" s="168" customFormat="1" ht="21.75" customHeight="1">
      <c r="A47" s="138" t="s">
        <v>168</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101513.08</v>
      </c>
      <c r="D48" s="166">
        <f t="shared" si="16"/>
        <v>0</v>
      </c>
      <c r="E48" s="166">
        <f t="shared" si="16"/>
        <v>101513.08</v>
      </c>
      <c r="F48" s="75">
        <f>SUM(F41:F47)</f>
        <v>272122.46999999997</v>
      </c>
      <c r="G48" s="75">
        <f>SUM(G41:G47)</f>
        <v>1637294.25</v>
      </c>
      <c r="H48" s="75">
        <f t="shared" ref="H48" si="17">SUM(H41:H47)</f>
        <v>1365171.78</v>
      </c>
      <c r="I48" s="110">
        <f t="shared" si="13"/>
        <v>0.16620254422807629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10140.160092309976</v>
      </c>
      <c r="C52" s="158">
        <f>C20+C37+C48</f>
        <v>101513.08</v>
      </c>
      <c r="D52" s="158">
        <f>D20+D37+D48</f>
        <v>14178.808907690025</v>
      </c>
      <c r="E52" s="158">
        <f>E37+E20+E48+E50</f>
        <v>125832.049</v>
      </c>
      <c r="F52" s="77">
        <f>F37+F20+F48+F50</f>
        <v>344619.57037849701</v>
      </c>
      <c r="G52" s="77">
        <f>G37+G20+G48+G50</f>
        <v>2013608.54</v>
      </c>
      <c r="H52" s="77">
        <f>H37+H20+H48+H50</f>
        <v>1668988.969621503</v>
      </c>
      <c r="I52" s="110">
        <f t="shared" si="13"/>
        <v>0.17114526658617418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10140.160092309976</v>
      </c>
      <c r="C56" s="99">
        <f t="shared" si="18"/>
        <v>101513.08</v>
      </c>
      <c r="D56" s="99">
        <f t="shared" si="18"/>
        <v>14178.808907690025</v>
      </c>
      <c r="E56" s="158">
        <f t="shared" si="18"/>
        <v>125832.049</v>
      </c>
      <c r="F56" s="77">
        <f t="shared" si="18"/>
        <v>352111.71037849702</v>
      </c>
      <c r="G56" s="77">
        <f t="shared" si="18"/>
        <v>2256075.86</v>
      </c>
      <c r="H56" s="77">
        <f>H52+H54</f>
        <v>1903964.149621503</v>
      </c>
      <c r="I56" s="110">
        <f t="shared" si="13"/>
        <v>0.15607263772526561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27796.009000000002</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27796.009000000002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444</v>
      </c>
      <c r="B77" s="336"/>
      <c r="C77" s="337"/>
      <c r="D77" s="337"/>
      <c r="E77" s="337"/>
      <c r="F77" s="369"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443</v>
      </c>
      <c r="B81" s="336"/>
      <c r="C81" s="337"/>
      <c r="D81" s="337"/>
      <c r="E81" s="337"/>
      <c r="F81" s="369" t="s">
        <v>447</v>
      </c>
      <c r="G81" s="339"/>
      <c r="H81" s="340"/>
      <c r="I81" s="341"/>
    </row>
    <row r="82" spans="1:9" s="347" customFormat="1" ht="15.5">
      <c r="A82" s="343" t="s">
        <v>19</v>
      </c>
      <c r="B82" s="344" t="s">
        <v>153</v>
      </c>
      <c r="C82" s="344"/>
      <c r="D82" s="344"/>
      <c r="E82" s="344"/>
      <c r="F82" s="559" t="s">
        <v>446</v>
      </c>
      <c r="G82" s="559"/>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8"/>
  <sheetViews>
    <sheetView workbookViewId="0">
      <pane ySplit="5" topLeftCell="A117" activePane="bottomLeft" state="frozen"/>
      <selection pane="bottomLeft" activeCell="C7" sqref="C7"/>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504</v>
      </c>
      <c r="B3" s="595"/>
      <c r="C3" s="595"/>
      <c r="D3" s="595"/>
      <c r="E3" s="595"/>
      <c r="F3" s="595"/>
      <c r="G3" s="595"/>
      <c r="H3" s="595"/>
    </row>
    <row r="5" spans="1:8">
      <c r="A5" s="304"/>
      <c r="B5" s="354" t="s">
        <v>153</v>
      </c>
      <c r="C5" s="354" t="s">
        <v>430</v>
      </c>
      <c r="D5" s="354" t="s">
        <v>274</v>
      </c>
      <c r="E5" s="354" t="s">
        <v>273</v>
      </c>
      <c r="F5" s="354" t="s">
        <v>272</v>
      </c>
      <c r="G5" s="350" t="s">
        <v>271</v>
      </c>
      <c r="H5" s="203" t="s">
        <v>278</v>
      </c>
    </row>
    <row r="6" spans="1:8">
      <c r="A6" s="351" t="s">
        <v>269</v>
      </c>
    </row>
    <row r="7" spans="1:8">
      <c r="B7" s="305" t="s">
        <v>485</v>
      </c>
      <c r="C7" s="305" t="s">
        <v>186</v>
      </c>
      <c r="D7" s="305">
        <v>243</v>
      </c>
      <c r="E7" s="305"/>
      <c r="F7" s="305" t="s">
        <v>503</v>
      </c>
      <c r="G7" s="352">
        <v>47030</v>
      </c>
      <c r="H7" s="206"/>
    </row>
    <row r="8" spans="1:8">
      <c r="B8" s="305" t="s">
        <v>484</v>
      </c>
      <c r="C8" s="305" t="s">
        <v>186</v>
      </c>
      <c r="D8" s="305">
        <v>245</v>
      </c>
      <c r="E8" s="305"/>
      <c r="F8" s="305" t="s">
        <v>503</v>
      </c>
      <c r="G8" s="352">
        <v>43224</v>
      </c>
      <c r="H8" s="206"/>
    </row>
    <row r="9" spans="1:8">
      <c r="A9" s="351" t="s">
        <v>268</v>
      </c>
      <c r="G9" s="355">
        <f>SUM(G7:G8)</f>
        <v>90254</v>
      </c>
    </row>
    <row r="10" spans="1:8">
      <c r="A10" s="351" t="s">
        <v>267</v>
      </c>
      <c r="H10" s="367"/>
    </row>
    <row r="11" spans="1:8">
      <c r="B11" s="305" t="s">
        <v>497</v>
      </c>
      <c r="C11" s="305" t="s">
        <v>174</v>
      </c>
      <c r="D11" s="305" t="s">
        <v>502</v>
      </c>
      <c r="E11" s="305" t="s">
        <v>501</v>
      </c>
      <c r="F11" s="305" t="s">
        <v>500</v>
      </c>
      <c r="G11" s="352">
        <v>273.13</v>
      </c>
      <c r="H11" s="206">
        <v>12506</v>
      </c>
    </row>
    <row r="12" spans="1:8">
      <c r="B12" s="305" t="s">
        <v>497</v>
      </c>
      <c r="C12" s="305" t="s">
        <v>174</v>
      </c>
      <c r="D12" s="305" t="s">
        <v>499</v>
      </c>
      <c r="E12" s="305" t="s">
        <v>498</v>
      </c>
      <c r="F12" s="305" t="s">
        <v>494</v>
      </c>
      <c r="G12" s="352">
        <v>227.71</v>
      </c>
      <c r="H12" s="206">
        <v>12507</v>
      </c>
    </row>
    <row r="13" spans="1:8">
      <c r="B13" s="305" t="s">
        <v>497</v>
      </c>
      <c r="C13" s="305" t="s">
        <v>174</v>
      </c>
      <c r="D13" s="305" t="s">
        <v>496</v>
      </c>
      <c r="E13" s="305" t="s">
        <v>495</v>
      </c>
      <c r="F13" s="305" t="s">
        <v>494</v>
      </c>
      <c r="G13" s="352">
        <v>227.7</v>
      </c>
      <c r="H13" s="206">
        <v>12508</v>
      </c>
    </row>
    <row r="14" spans="1:8">
      <c r="B14" s="305" t="s">
        <v>484</v>
      </c>
      <c r="C14" s="305" t="s">
        <v>378</v>
      </c>
      <c r="D14" s="305">
        <v>12494</v>
      </c>
      <c r="E14" s="305" t="s">
        <v>493</v>
      </c>
      <c r="F14" s="305" t="s">
        <v>492</v>
      </c>
      <c r="G14" s="352">
        <v>101.59</v>
      </c>
      <c r="H14" s="305">
        <v>12494</v>
      </c>
    </row>
    <row r="15" spans="1:8">
      <c r="B15" s="305" t="s">
        <v>484</v>
      </c>
      <c r="C15" s="305" t="s">
        <v>378</v>
      </c>
      <c r="D15" s="305">
        <v>12496</v>
      </c>
      <c r="E15" s="305" t="s">
        <v>491</v>
      </c>
      <c r="F15" s="305" t="s">
        <v>490</v>
      </c>
      <c r="G15" s="352">
        <v>264.05</v>
      </c>
      <c r="H15" s="305">
        <v>12496</v>
      </c>
    </row>
    <row r="16" spans="1:8">
      <c r="B16" s="305" t="s">
        <v>484</v>
      </c>
      <c r="C16" s="305" t="s">
        <v>378</v>
      </c>
      <c r="D16" s="305">
        <v>12497</v>
      </c>
      <c r="E16" s="305" t="s">
        <v>489</v>
      </c>
      <c r="F16" s="305" t="s">
        <v>488</v>
      </c>
      <c r="G16" s="352">
        <v>146.51</v>
      </c>
      <c r="H16" s="305">
        <v>12497</v>
      </c>
    </row>
    <row r="17" spans="1:10">
      <c r="B17" s="305" t="s">
        <v>484</v>
      </c>
      <c r="C17" s="305" t="s">
        <v>378</v>
      </c>
      <c r="D17" s="305">
        <v>12495</v>
      </c>
      <c r="E17" s="305" t="s">
        <v>487</v>
      </c>
      <c r="F17" s="305" t="s">
        <v>486</v>
      </c>
      <c r="G17" s="352">
        <v>245.87</v>
      </c>
      <c r="H17" s="305">
        <v>12495</v>
      </c>
    </row>
    <row r="18" spans="1:10">
      <c r="A18" s="351" t="s">
        <v>263</v>
      </c>
      <c r="G18" s="355">
        <f>SUM(G11:G17)</f>
        <v>1486.56</v>
      </c>
      <c r="H18" s="206"/>
    </row>
    <row r="19" spans="1:10">
      <c r="A19" s="351" t="s">
        <v>420</v>
      </c>
      <c r="G19" s="360">
        <f>+G18+G9</f>
        <v>91740.56</v>
      </c>
      <c r="H19" s="206"/>
    </row>
    <row r="20" spans="1:10">
      <c r="A20" s="351" t="s">
        <v>262</v>
      </c>
      <c r="H20" s="206"/>
    </row>
    <row r="21" spans="1:10">
      <c r="B21" s="305" t="s">
        <v>485</v>
      </c>
      <c r="C21" s="305" t="s">
        <v>186</v>
      </c>
      <c r="D21" s="305">
        <v>243</v>
      </c>
      <c r="E21" s="305"/>
      <c r="F21" s="305" t="s">
        <v>419</v>
      </c>
      <c r="G21" s="352">
        <v>3597.9</v>
      </c>
      <c r="H21" s="206"/>
    </row>
    <row r="22" spans="1:10">
      <c r="B22" s="305" t="s">
        <v>484</v>
      </c>
      <c r="C22" s="305" t="s">
        <v>186</v>
      </c>
      <c r="D22" s="305">
        <v>245</v>
      </c>
      <c r="E22" s="305"/>
      <c r="F22" s="305" t="s">
        <v>419</v>
      </c>
      <c r="G22" s="352">
        <v>3306.62</v>
      </c>
      <c r="H22" s="206"/>
    </row>
    <row r="23" spans="1:10">
      <c r="A23" s="351" t="s">
        <v>261</v>
      </c>
      <c r="G23" s="355">
        <v>6904.52</v>
      </c>
      <c r="H23" s="206"/>
      <c r="J23" s="382"/>
    </row>
    <row r="24" spans="1:10" s="308" customFormat="1">
      <c r="A24" s="307" t="s">
        <v>340</v>
      </c>
    </row>
    <row r="25" spans="1:10" s="308" customFormat="1">
      <c r="B25" s="375">
        <v>43738</v>
      </c>
      <c r="C25" s="309" t="s">
        <v>186</v>
      </c>
      <c r="D25" s="309">
        <v>192</v>
      </c>
      <c r="E25" s="309"/>
      <c r="F25" s="309" t="s">
        <v>411</v>
      </c>
      <c r="G25" s="310">
        <v>2868</v>
      </c>
    </row>
    <row r="26" spans="1:10" s="308" customFormat="1">
      <c r="A26" s="307" t="s">
        <v>341</v>
      </c>
      <c r="G26" s="319">
        <f>SUM(G25)</f>
        <v>2868</v>
      </c>
    </row>
    <row r="27" spans="1:10">
      <c r="A27" s="351" t="s">
        <v>260</v>
      </c>
      <c r="H27" s="206"/>
    </row>
    <row r="28" spans="1:10">
      <c r="B28" s="305" t="s">
        <v>485</v>
      </c>
      <c r="C28" s="305" t="s">
        <v>186</v>
      </c>
      <c r="D28" s="305">
        <v>243</v>
      </c>
      <c r="E28" s="305"/>
      <c r="F28" s="305" t="s">
        <v>415</v>
      </c>
      <c r="G28" s="352">
        <v>403.93</v>
      </c>
      <c r="H28" s="206"/>
    </row>
    <row r="29" spans="1:10">
      <c r="B29" s="305" t="s">
        <v>484</v>
      </c>
      <c r="C29" s="305" t="s">
        <v>186</v>
      </c>
      <c r="D29" s="305">
        <v>245</v>
      </c>
      <c r="E29" s="305"/>
      <c r="F29" s="305" t="s">
        <v>415</v>
      </c>
      <c r="G29" s="352">
        <v>473.59</v>
      </c>
      <c r="H29" s="206"/>
    </row>
    <row r="30" spans="1:10">
      <c r="A30" s="351" t="s">
        <v>253</v>
      </c>
      <c r="G30" s="355">
        <v>877.52</v>
      </c>
      <c r="H30" s="206"/>
    </row>
    <row r="31" spans="1:10">
      <c r="A31" s="351" t="s">
        <v>483</v>
      </c>
      <c r="G31" s="353">
        <f>+G19+G23+G26+G30</f>
        <v>102390.6</v>
      </c>
      <c r="H31" s="206"/>
    </row>
    <row r="32" spans="1:10">
      <c r="A32" s="351" t="s">
        <v>414</v>
      </c>
      <c r="H32" s="206"/>
    </row>
    <row r="33" spans="1:8">
      <c r="A33" s="351" t="s">
        <v>252</v>
      </c>
      <c r="H33" s="206"/>
    </row>
    <row r="34" spans="1:8">
      <c r="B34" s="305" t="s">
        <v>482</v>
      </c>
      <c r="C34" s="305" t="s">
        <v>186</v>
      </c>
      <c r="D34" s="305">
        <v>242</v>
      </c>
      <c r="E34" s="305"/>
      <c r="F34" s="305" t="s">
        <v>481</v>
      </c>
      <c r="G34" s="352">
        <v>14938.24</v>
      </c>
      <c r="H34" s="206"/>
    </row>
    <row r="35" spans="1:8">
      <c r="A35" s="351" t="s">
        <v>249</v>
      </c>
      <c r="G35" s="355">
        <f>SUM(G34)</f>
        <v>14938.24</v>
      </c>
      <c r="H35" s="206"/>
    </row>
    <row r="36" spans="1:8">
      <c r="A36" s="351" t="s">
        <v>248</v>
      </c>
      <c r="H36" s="206"/>
    </row>
    <row r="37" spans="1:8" s="359" customFormat="1">
      <c r="A37" s="358" t="s">
        <v>247</v>
      </c>
      <c r="H37" s="206"/>
    </row>
    <row r="38" spans="1:8" s="359" customFormat="1">
      <c r="B38" s="327" t="s">
        <v>462</v>
      </c>
      <c r="C38" s="327" t="s">
        <v>174</v>
      </c>
      <c r="D38" s="327">
        <v>292271815</v>
      </c>
      <c r="E38" s="327" t="s">
        <v>480</v>
      </c>
      <c r="F38" s="327"/>
      <c r="G38" s="371">
        <v>3813.99</v>
      </c>
      <c r="H38" s="206">
        <v>12472</v>
      </c>
    </row>
    <row r="39" spans="1:8" s="359" customFormat="1">
      <c r="A39" s="358" t="s">
        <v>246</v>
      </c>
      <c r="G39" s="355">
        <f>SUM(G38:G38)</f>
        <v>3813.99</v>
      </c>
      <c r="H39" s="206"/>
    </row>
    <row r="40" spans="1:8" s="359" customFormat="1">
      <c r="A40" s="358" t="s">
        <v>245</v>
      </c>
      <c r="H40" s="206"/>
    </row>
    <row r="41" spans="1:8" s="359" customFormat="1">
      <c r="B41" s="327" t="s">
        <v>462</v>
      </c>
      <c r="C41" s="327" t="s">
        <v>174</v>
      </c>
      <c r="D41" s="327" t="s">
        <v>479</v>
      </c>
      <c r="E41" s="327" t="s">
        <v>243</v>
      </c>
      <c r="F41" s="327" t="s">
        <v>242</v>
      </c>
      <c r="G41" s="371">
        <v>171.06150000000002</v>
      </c>
      <c r="H41" s="206">
        <v>12433</v>
      </c>
    </row>
    <row r="42" spans="1:8" s="359" customFormat="1">
      <c r="A42" s="358" t="s">
        <v>241</v>
      </c>
      <c r="G42" s="355">
        <f>SUM(G41)</f>
        <v>171.06150000000002</v>
      </c>
      <c r="H42" s="206"/>
    </row>
    <row r="43" spans="1:8" s="359" customFormat="1">
      <c r="A43" s="358"/>
      <c r="G43" s="362"/>
      <c r="H43" s="206"/>
    </row>
    <row r="44" spans="1:8" s="201" customFormat="1">
      <c r="A44" s="205" t="s">
        <v>240</v>
      </c>
      <c r="G44" s="278"/>
      <c r="H44" s="206"/>
    </row>
    <row r="45" spans="1:8" s="201" customFormat="1">
      <c r="B45" s="320">
        <v>43708</v>
      </c>
      <c r="C45" s="206" t="s">
        <v>186</v>
      </c>
      <c r="D45" s="206">
        <v>154</v>
      </c>
      <c r="E45" s="206"/>
      <c r="F45" s="210" t="s">
        <v>325</v>
      </c>
      <c r="G45" s="279">
        <v>-704.11900000000014</v>
      </c>
      <c r="H45" s="206"/>
    </row>
    <row r="46" spans="1:8" s="201" customFormat="1">
      <c r="A46" s="205" t="s">
        <v>239</v>
      </c>
      <c r="G46" s="280">
        <f>SUM(G45)</f>
        <v>-704.11900000000014</v>
      </c>
      <c r="H46" s="206"/>
    </row>
    <row r="47" spans="1:8" s="201" customFormat="1">
      <c r="A47" s="205" t="s">
        <v>238</v>
      </c>
      <c r="G47" s="278"/>
      <c r="H47" s="206"/>
    </row>
    <row r="48" spans="1:8" s="201" customFormat="1">
      <c r="B48" s="320">
        <v>43708</v>
      </c>
      <c r="C48" s="206" t="s">
        <v>186</v>
      </c>
      <c r="D48" s="206">
        <v>155</v>
      </c>
      <c r="E48" s="206"/>
      <c r="F48" s="206" t="s">
        <v>237</v>
      </c>
      <c r="G48" s="279">
        <v>-20.314</v>
      </c>
      <c r="H48" s="206"/>
    </row>
    <row r="49" spans="1:8" s="201" customFormat="1">
      <c r="A49" s="205" t="s">
        <v>236</v>
      </c>
      <c r="G49" s="280">
        <f>SUM(G48)</f>
        <v>-20.314</v>
      </c>
      <c r="H49" s="206"/>
    </row>
    <row r="50" spans="1:8" s="359" customFormat="1">
      <c r="A50" s="358" t="s">
        <v>235</v>
      </c>
      <c r="G50" s="360">
        <f>+G42+G39+G46+G49</f>
        <v>3260.6184999999996</v>
      </c>
      <c r="H50" s="206"/>
    </row>
    <row r="51" spans="1:8" s="359" customFormat="1">
      <c r="H51" s="206"/>
    </row>
    <row r="52" spans="1:8" s="359" customFormat="1">
      <c r="A52" s="358" t="s">
        <v>234</v>
      </c>
      <c r="H52" s="206"/>
    </row>
    <row r="53" spans="1:8" s="359" customFormat="1">
      <c r="A53" s="358" t="s">
        <v>478</v>
      </c>
      <c r="H53" s="206"/>
    </row>
    <row r="54" spans="1:8" s="359" customFormat="1">
      <c r="B54" s="327" t="s">
        <v>464</v>
      </c>
      <c r="C54" s="327" t="s">
        <v>186</v>
      </c>
      <c r="D54" s="327">
        <v>261</v>
      </c>
      <c r="E54" s="327"/>
      <c r="F54" s="327" t="s">
        <v>411</v>
      </c>
      <c r="G54" s="371">
        <v>467</v>
      </c>
      <c r="H54" s="206"/>
    </row>
    <row r="55" spans="1:8" s="359" customFormat="1">
      <c r="A55" s="358" t="s">
        <v>477</v>
      </c>
      <c r="G55" s="355">
        <f>SUM(G54)</f>
        <v>467</v>
      </c>
      <c r="H55" s="206"/>
    </row>
    <row r="56" spans="1:8" s="359" customFormat="1">
      <c r="A56" s="274" t="s">
        <v>284</v>
      </c>
      <c r="H56" s="206"/>
    </row>
    <row r="57" spans="1:8">
      <c r="A57" s="351" t="s">
        <v>232</v>
      </c>
      <c r="H57" s="206"/>
    </row>
    <row r="58" spans="1:8">
      <c r="B58" s="305" t="s">
        <v>464</v>
      </c>
      <c r="C58" s="305" t="s">
        <v>186</v>
      </c>
      <c r="D58" s="305">
        <v>246</v>
      </c>
      <c r="E58" s="305"/>
      <c r="F58" s="305" t="s">
        <v>231</v>
      </c>
      <c r="G58" s="352">
        <v>904</v>
      </c>
      <c r="H58" s="206"/>
    </row>
    <row r="59" spans="1:8">
      <c r="A59" s="351" t="s">
        <v>230</v>
      </c>
      <c r="G59" s="353">
        <f>SUM(G58)</f>
        <v>904</v>
      </c>
      <c r="H59" s="206"/>
    </row>
    <row r="60" spans="1:8">
      <c r="A60" s="351" t="s">
        <v>229</v>
      </c>
      <c r="H60" s="206"/>
    </row>
    <row r="61" spans="1:8">
      <c r="B61" s="305" t="s">
        <v>464</v>
      </c>
      <c r="C61" s="305" t="s">
        <v>186</v>
      </c>
      <c r="D61" s="305">
        <v>248</v>
      </c>
      <c r="E61" s="305"/>
      <c r="F61" s="305" t="s">
        <v>228</v>
      </c>
      <c r="G61" s="352">
        <v>212</v>
      </c>
      <c r="H61" s="206"/>
    </row>
    <row r="62" spans="1:8">
      <c r="A62" s="351" t="s">
        <v>227</v>
      </c>
      <c r="G62" s="353">
        <f>SUM(G61)</f>
        <v>212</v>
      </c>
      <c r="H62" s="206"/>
    </row>
    <row r="63" spans="1:8">
      <c r="A63" s="351" t="s">
        <v>226</v>
      </c>
      <c r="H63" s="206"/>
    </row>
    <row r="64" spans="1:8">
      <c r="B64" s="305" t="s">
        <v>464</v>
      </c>
      <c r="C64" s="305" t="s">
        <v>186</v>
      </c>
      <c r="D64" s="305">
        <v>249</v>
      </c>
      <c r="E64" s="305"/>
      <c r="F64" s="305" t="s">
        <v>225</v>
      </c>
      <c r="G64" s="352">
        <v>221</v>
      </c>
      <c r="H64" s="206"/>
    </row>
    <row r="65" spans="1:8">
      <c r="A65" s="351" t="s">
        <v>224</v>
      </c>
      <c r="G65" s="353">
        <f>SUM(G64)</f>
        <v>221</v>
      </c>
      <c r="H65" s="206"/>
    </row>
    <row r="66" spans="1:8">
      <c r="A66" s="351" t="s">
        <v>223</v>
      </c>
      <c r="H66" s="206"/>
    </row>
    <row r="67" spans="1:8">
      <c r="B67" s="305" t="s">
        <v>464</v>
      </c>
      <c r="C67" s="305" t="s">
        <v>186</v>
      </c>
      <c r="D67" s="305">
        <v>250</v>
      </c>
      <c r="E67" s="305"/>
      <c r="F67" s="305" t="s">
        <v>222</v>
      </c>
      <c r="G67" s="352">
        <v>43</v>
      </c>
      <c r="H67" s="206"/>
    </row>
    <row r="68" spans="1:8">
      <c r="A68" s="351" t="s">
        <v>221</v>
      </c>
      <c r="G68" s="353">
        <f>SUM(G67)</f>
        <v>43</v>
      </c>
      <c r="H68" s="206"/>
    </row>
    <row r="69" spans="1:8">
      <c r="A69" s="274" t="s">
        <v>506</v>
      </c>
      <c r="G69" s="355">
        <f>+G59+G62+G65+G68</f>
        <v>1380</v>
      </c>
      <c r="H69" s="206"/>
    </row>
    <row r="70" spans="1:8">
      <c r="A70" s="351"/>
      <c r="G70" s="362"/>
      <c r="H70" s="206"/>
    </row>
    <row r="71" spans="1:8">
      <c r="A71" s="351" t="s">
        <v>409</v>
      </c>
      <c r="H71" s="206"/>
    </row>
    <row r="72" spans="1:8">
      <c r="B72" s="305" t="s">
        <v>464</v>
      </c>
      <c r="C72" s="305" t="s">
        <v>186</v>
      </c>
      <c r="D72" s="305">
        <v>251</v>
      </c>
      <c r="E72" s="305"/>
      <c r="F72" s="305" t="s">
        <v>219</v>
      </c>
      <c r="G72" s="352">
        <v>184</v>
      </c>
      <c r="H72" s="206"/>
    </row>
    <row r="73" spans="1:8">
      <c r="A73" s="351" t="s">
        <v>408</v>
      </c>
      <c r="G73" s="353">
        <f>SUM(G72)</f>
        <v>184</v>
      </c>
      <c r="H73" s="206"/>
    </row>
    <row r="74" spans="1:8" ht="15" thickBot="1">
      <c r="A74" s="364" t="s">
        <v>505</v>
      </c>
      <c r="G74" s="383">
        <f>+G35+G50+G55+G69+G73</f>
        <v>20229.858499999998</v>
      </c>
      <c r="H74" s="206"/>
    </row>
    <row r="75" spans="1:8" ht="15" thickTop="1">
      <c r="A75" s="364" t="s">
        <v>379</v>
      </c>
      <c r="H75" s="206"/>
    </row>
    <row r="76" spans="1:8">
      <c r="A76" s="351" t="s">
        <v>184</v>
      </c>
      <c r="H76" s="206"/>
    </row>
    <row r="77" spans="1:8">
      <c r="B77" s="305" t="s">
        <v>462</v>
      </c>
      <c r="C77" s="305" t="s">
        <v>378</v>
      </c>
      <c r="D77" s="305">
        <v>12457</v>
      </c>
      <c r="E77" s="305" t="s">
        <v>377</v>
      </c>
      <c r="F77" s="305" t="s">
        <v>461</v>
      </c>
      <c r="G77" s="352">
        <v>150</v>
      </c>
      <c r="H77" s="206">
        <v>12457</v>
      </c>
    </row>
    <row r="78" spans="1:8">
      <c r="B78" s="305" t="s">
        <v>455</v>
      </c>
      <c r="C78" s="305" t="s">
        <v>174</v>
      </c>
      <c r="D78" s="305" t="s">
        <v>460</v>
      </c>
      <c r="E78" s="305" t="s">
        <v>443</v>
      </c>
      <c r="F78" s="305" t="s">
        <v>459</v>
      </c>
      <c r="G78" s="352">
        <v>101.09</v>
      </c>
      <c r="H78" s="206">
        <v>12490</v>
      </c>
    </row>
    <row r="79" spans="1:8">
      <c r="B79" s="305" t="s">
        <v>455</v>
      </c>
      <c r="C79" s="305" t="s">
        <v>174</v>
      </c>
      <c r="D79" s="305" t="s">
        <v>458</v>
      </c>
      <c r="E79" s="305" t="s">
        <v>457</v>
      </c>
      <c r="F79" s="305" t="s">
        <v>456</v>
      </c>
      <c r="G79" s="352">
        <v>32.4</v>
      </c>
      <c r="H79" s="206">
        <v>12489</v>
      </c>
    </row>
    <row r="80" spans="1:8">
      <c r="B80" s="305" t="s">
        <v>455</v>
      </c>
      <c r="C80" s="305" t="s">
        <v>174</v>
      </c>
      <c r="D80" s="305" t="s">
        <v>454</v>
      </c>
      <c r="E80" s="305" t="s">
        <v>373</v>
      </c>
      <c r="F80" s="305" t="s">
        <v>453</v>
      </c>
      <c r="G80" s="352">
        <v>28.94</v>
      </c>
      <c r="H80" s="206">
        <v>12491</v>
      </c>
    </row>
    <row r="81" spans="1:9">
      <c r="A81" s="364" t="s">
        <v>365</v>
      </c>
      <c r="G81" s="368">
        <f>SUM(G77:G80)</f>
        <v>312.43</v>
      </c>
      <c r="H81" s="206"/>
    </row>
    <row r="82" spans="1:9">
      <c r="A82" s="351"/>
      <c r="G82" s="361"/>
      <c r="H82" s="206"/>
    </row>
    <row r="83" spans="1:9">
      <c r="A83" s="364" t="s">
        <v>357</v>
      </c>
      <c r="H83" s="206"/>
    </row>
    <row r="84" spans="1:9">
      <c r="A84" s="351" t="s">
        <v>214</v>
      </c>
      <c r="H84" s="206"/>
    </row>
    <row r="85" spans="1:9">
      <c r="B85" s="305" t="s">
        <v>464</v>
      </c>
      <c r="C85" s="305" t="s">
        <v>186</v>
      </c>
      <c r="D85" s="305">
        <v>253</v>
      </c>
      <c r="E85" s="305"/>
      <c r="F85" s="305" t="s">
        <v>213</v>
      </c>
      <c r="G85" s="352">
        <v>606</v>
      </c>
      <c r="H85" s="206"/>
    </row>
    <row r="86" spans="1:9">
      <c r="A86" s="351" t="s">
        <v>475</v>
      </c>
      <c r="G86" s="355">
        <f>SUM(G85)</f>
        <v>606</v>
      </c>
      <c r="H86" s="206"/>
    </row>
    <row r="87" spans="1:9">
      <c r="G87" s="353"/>
      <c r="H87" s="206"/>
    </row>
    <row r="88" spans="1:9">
      <c r="A88" s="364" t="s">
        <v>329</v>
      </c>
      <c r="H88" s="206"/>
    </row>
    <row r="89" spans="1:9">
      <c r="A89" s="351" t="s">
        <v>200</v>
      </c>
      <c r="H89" s="206"/>
    </row>
    <row r="90" spans="1:9">
      <c r="B90" s="305" t="s">
        <v>462</v>
      </c>
      <c r="C90" s="305" t="s">
        <v>174</v>
      </c>
      <c r="D90" s="305">
        <v>1967</v>
      </c>
      <c r="E90" s="305" t="s">
        <v>181</v>
      </c>
      <c r="F90" s="305" t="s">
        <v>469</v>
      </c>
      <c r="G90" s="352">
        <v>648</v>
      </c>
      <c r="H90" s="206">
        <v>12456</v>
      </c>
      <c r="I90" s="376"/>
    </row>
    <row r="91" spans="1:9">
      <c r="A91" s="276" t="s">
        <v>344</v>
      </c>
      <c r="G91" s="365">
        <f>SUM(G90)</f>
        <v>648</v>
      </c>
      <c r="H91" s="206"/>
    </row>
    <row r="92" spans="1:9">
      <c r="A92" s="351" t="s">
        <v>197</v>
      </c>
      <c r="H92" s="206"/>
    </row>
    <row r="93" spans="1:9">
      <c r="A93" s="351" t="s">
        <v>196</v>
      </c>
      <c r="H93" s="206"/>
    </row>
    <row r="94" spans="1:9">
      <c r="B94" s="305" t="s">
        <v>464</v>
      </c>
      <c r="C94" s="305" t="s">
        <v>186</v>
      </c>
      <c r="D94" s="305">
        <v>260</v>
      </c>
      <c r="E94" s="305"/>
      <c r="F94" s="305" t="s">
        <v>195</v>
      </c>
      <c r="G94" s="352">
        <v>135</v>
      </c>
      <c r="H94" s="206"/>
    </row>
    <row r="95" spans="1:9">
      <c r="A95" s="351" t="s">
        <v>468</v>
      </c>
      <c r="G95" s="353">
        <f>SUM(G94)</f>
        <v>135</v>
      </c>
      <c r="H95" s="206"/>
    </row>
    <row r="96" spans="1:9">
      <c r="A96" s="351" t="s">
        <v>191</v>
      </c>
      <c r="H96" s="206"/>
    </row>
    <row r="97" spans="1:8">
      <c r="A97" s="351" t="s">
        <v>466</v>
      </c>
      <c r="H97" s="206"/>
    </row>
    <row r="98" spans="1:8">
      <c r="B98" s="305" t="s">
        <v>464</v>
      </c>
      <c r="C98" s="305" t="s">
        <v>186</v>
      </c>
      <c r="D98" s="305">
        <v>257</v>
      </c>
      <c r="E98" s="305"/>
      <c r="F98" s="305" t="s">
        <v>190</v>
      </c>
      <c r="G98" s="352">
        <v>95</v>
      </c>
      <c r="H98" s="206"/>
    </row>
    <row r="99" spans="1:8">
      <c r="A99" s="351" t="s">
        <v>465</v>
      </c>
      <c r="G99" s="353">
        <f>SUM(G98)</f>
        <v>95</v>
      </c>
      <c r="H99" s="206"/>
    </row>
    <row r="100" spans="1:8" s="259" customFormat="1">
      <c r="A100" s="328" t="s">
        <v>343</v>
      </c>
      <c r="G100" s="288">
        <f>+G95+G99</f>
        <v>230</v>
      </c>
      <c r="H100" s="206"/>
    </row>
    <row r="101" spans="1:8" s="201" customFormat="1">
      <c r="A101" s="205"/>
      <c r="G101" s="289"/>
      <c r="H101" s="206"/>
    </row>
    <row r="102" spans="1:8" s="258" customFormat="1">
      <c r="A102" s="276" t="s">
        <v>353</v>
      </c>
      <c r="G102" s="288">
        <f>+G91+G100</f>
        <v>878</v>
      </c>
      <c r="H102" s="206"/>
    </row>
    <row r="103" spans="1:8">
      <c r="G103" s="353"/>
      <c r="H103" s="206"/>
    </row>
    <row r="104" spans="1:8">
      <c r="A104" s="276" t="s">
        <v>507</v>
      </c>
      <c r="H104" s="206"/>
    </row>
    <row r="105" spans="1:8">
      <c r="A105" s="351" t="s">
        <v>193</v>
      </c>
      <c r="H105" s="206"/>
    </row>
    <row r="106" spans="1:8">
      <c r="B106" s="305" t="s">
        <v>464</v>
      </c>
      <c r="C106" s="305" t="s">
        <v>186</v>
      </c>
      <c r="D106" s="305">
        <v>256</v>
      </c>
      <c r="E106" s="305"/>
      <c r="F106" s="305" t="s">
        <v>192</v>
      </c>
      <c r="G106" s="352">
        <v>287</v>
      </c>
      <c r="H106" s="206"/>
    </row>
    <row r="107" spans="1:8">
      <c r="A107" s="351" t="s">
        <v>467</v>
      </c>
      <c r="G107" s="355">
        <f>SUM(G106)</f>
        <v>287</v>
      </c>
      <c r="H107" s="206"/>
    </row>
    <row r="108" spans="1:8">
      <c r="G108" s="353"/>
      <c r="H108" s="206"/>
    </row>
    <row r="109" spans="1:8">
      <c r="A109" s="221" t="s">
        <v>334</v>
      </c>
      <c r="G109" s="361"/>
      <c r="H109" s="206"/>
    </row>
    <row r="110" spans="1:8">
      <c r="A110" s="351" t="s">
        <v>217</v>
      </c>
      <c r="H110" s="206"/>
    </row>
    <row r="111" spans="1:8">
      <c r="A111" s="351" t="s">
        <v>407</v>
      </c>
      <c r="H111" s="206"/>
    </row>
    <row r="112" spans="1:8">
      <c r="B112" s="305" t="s">
        <v>464</v>
      </c>
      <c r="C112" s="305" t="s">
        <v>186</v>
      </c>
      <c r="D112" s="305">
        <v>252</v>
      </c>
      <c r="E112" s="305"/>
      <c r="F112" s="305" t="s">
        <v>216</v>
      </c>
      <c r="G112" s="352">
        <v>372</v>
      </c>
      <c r="H112" s="206"/>
    </row>
    <row r="113" spans="1:8">
      <c r="A113" s="351" t="s">
        <v>476</v>
      </c>
      <c r="G113" s="353">
        <f>SUM(G112)</f>
        <v>372</v>
      </c>
      <c r="H113" s="206"/>
    </row>
    <row r="114" spans="1:8">
      <c r="A114" s="351" t="s">
        <v>203</v>
      </c>
      <c r="H114" s="206"/>
    </row>
    <row r="115" spans="1:8">
      <c r="B115" s="305" t="s">
        <v>464</v>
      </c>
      <c r="C115" s="305" t="s">
        <v>186</v>
      </c>
      <c r="D115" s="305">
        <v>254</v>
      </c>
      <c r="E115" s="305"/>
      <c r="F115" s="305" t="s">
        <v>202</v>
      </c>
      <c r="G115" s="352">
        <v>39</v>
      </c>
      <c r="H115" s="206"/>
    </row>
    <row r="116" spans="1:8">
      <c r="A116" s="351" t="s">
        <v>201</v>
      </c>
      <c r="G116" s="353">
        <f>SUM(G115)</f>
        <v>39</v>
      </c>
      <c r="H116" s="206"/>
    </row>
    <row r="117" spans="1:8">
      <c r="A117" s="351" t="s">
        <v>470</v>
      </c>
      <c r="G117" s="355">
        <f>+G113+G116</f>
        <v>411</v>
      </c>
      <c r="H117" s="206"/>
    </row>
    <row r="118" spans="1:8">
      <c r="G118" s="361"/>
      <c r="H118" s="206"/>
    </row>
    <row r="119" spans="1:8">
      <c r="A119" s="351"/>
      <c r="G119" s="361"/>
      <c r="H119" s="206"/>
    </row>
    <row r="120" spans="1:8">
      <c r="A120" s="221" t="s">
        <v>508</v>
      </c>
      <c r="H120" s="206"/>
    </row>
    <row r="121" spans="1:8">
      <c r="A121" s="351" t="s">
        <v>210</v>
      </c>
      <c r="H121" s="206"/>
    </row>
    <row r="122" spans="1:8">
      <c r="A122" s="351" t="s">
        <v>209</v>
      </c>
      <c r="H122" s="206"/>
    </row>
    <row r="123" spans="1:8">
      <c r="B123" s="305" t="s">
        <v>473</v>
      </c>
      <c r="C123" s="305" t="s">
        <v>174</v>
      </c>
      <c r="D123" s="305" t="s">
        <v>472</v>
      </c>
      <c r="E123" s="305" t="s">
        <v>433</v>
      </c>
      <c r="F123" s="305" t="s">
        <v>474</v>
      </c>
      <c r="G123" s="352">
        <v>57</v>
      </c>
      <c r="H123" s="206">
        <v>12522</v>
      </c>
    </row>
    <row r="124" spans="1:8">
      <c r="B124" s="305" t="s">
        <v>473</v>
      </c>
      <c r="C124" s="305" t="s">
        <v>174</v>
      </c>
      <c r="D124" s="305" t="s">
        <v>472</v>
      </c>
      <c r="E124" s="305" t="s">
        <v>433</v>
      </c>
      <c r="F124" s="305"/>
      <c r="G124" s="352">
        <v>90.16</v>
      </c>
      <c r="H124" s="206">
        <v>12522</v>
      </c>
    </row>
    <row r="125" spans="1:8">
      <c r="A125" s="351" t="s">
        <v>207</v>
      </c>
      <c r="G125" s="353">
        <f>SUM(G123:G124)</f>
        <v>147.16</v>
      </c>
      <c r="H125" s="206"/>
    </row>
    <row r="126" spans="1:8">
      <c r="A126" s="351" t="s">
        <v>206</v>
      </c>
      <c r="H126" s="206"/>
    </row>
    <row r="127" spans="1:8">
      <c r="B127" s="305" t="s">
        <v>464</v>
      </c>
      <c r="C127" s="305" t="s">
        <v>186</v>
      </c>
      <c r="D127" s="305">
        <v>262</v>
      </c>
      <c r="E127" s="305"/>
      <c r="F127" s="305" t="s">
        <v>205</v>
      </c>
      <c r="G127" s="352">
        <v>79</v>
      </c>
      <c r="H127" s="206"/>
    </row>
    <row r="128" spans="1:8">
      <c r="A128" s="351" t="s">
        <v>204</v>
      </c>
      <c r="G128" s="353">
        <f>SUM(G127)</f>
        <v>79</v>
      </c>
      <c r="H128" s="206"/>
    </row>
    <row r="129" spans="1:8">
      <c r="A129" s="351" t="s">
        <v>471</v>
      </c>
      <c r="G129" s="355">
        <f>+G125+G128</f>
        <v>226.16</v>
      </c>
      <c r="H129" s="206"/>
    </row>
    <row r="130" spans="1:8">
      <c r="A130" s="351"/>
      <c r="G130" s="361"/>
      <c r="H130" s="206"/>
    </row>
    <row r="131" spans="1:8">
      <c r="G131" s="361"/>
      <c r="H131" s="206"/>
    </row>
    <row r="132" spans="1:8">
      <c r="A132" s="351"/>
      <c r="G132" s="361"/>
      <c r="H132" s="206"/>
    </row>
    <row r="133" spans="1:8">
      <c r="A133" s="363" t="s">
        <v>188</v>
      </c>
      <c r="H133" s="206"/>
    </row>
    <row r="134" spans="1:8">
      <c r="B134" s="305" t="s">
        <v>464</v>
      </c>
      <c r="C134" s="305" t="s">
        <v>186</v>
      </c>
      <c r="D134" s="305">
        <v>258</v>
      </c>
      <c r="E134" s="305"/>
      <c r="F134" s="305" t="s">
        <v>185</v>
      </c>
      <c r="G134" s="352">
        <v>491</v>
      </c>
      <c r="H134" s="206"/>
    </row>
    <row r="135" spans="1:8">
      <c r="A135" s="351" t="s">
        <v>463</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593" t="s">
        <v>452</v>
      </c>
      <c r="B142" s="593"/>
      <c r="C142" s="593"/>
      <c r="D142" s="593"/>
      <c r="E142" s="593"/>
      <c r="F142" s="593"/>
      <c r="G142" s="593"/>
      <c r="H142" s="593"/>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129</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43739</v>
      </c>
      <c r="H1" s="557"/>
      <c r="I1" s="106" t="s">
        <v>49</v>
      </c>
    </row>
    <row r="2" spans="1:9" ht="21">
      <c r="A2" s="37" t="s">
        <v>152</v>
      </c>
      <c r="B2" s="35"/>
      <c r="C2" s="35"/>
      <c r="D2" s="36"/>
      <c r="E2" s="36" t="s">
        <v>51</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Allocations'!F155</f>
        <v>1261.54</v>
      </c>
      <c r="C6" s="140"/>
      <c r="D6" s="141"/>
      <c r="E6" s="142">
        <f>SUM(B6:D6)</f>
        <v>1261.54</v>
      </c>
      <c r="F6" s="143">
        <f>E6+'Sept-2019'!F6</f>
        <v>4730.7700000000004</v>
      </c>
      <c r="G6" s="143">
        <v>16400</v>
      </c>
      <c r="H6" s="144">
        <f>G6-F6</f>
        <v>11669.23</v>
      </c>
      <c r="I6" s="108">
        <f>F6/G6</f>
        <v>0.2884615853658537</v>
      </c>
    </row>
    <row r="7" spans="1:9" s="103" customFormat="1" ht="25.5" customHeight="1">
      <c r="A7" s="138" t="s">
        <v>146</v>
      </c>
      <c r="B7" s="139">
        <f>+'Salaries &amp; Fringe Allocations'!F156</f>
        <v>2192.86</v>
      </c>
      <c r="C7" s="140"/>
      <c r="D7" s="141">
        <f>+'Salaries &amp; Fringe Allocations'!F157</f>
        <v>2807.14</v>
      </c>
      <c r="E7" s="142">
        <f t="shared" ref="E7:E14" si="0">SUM(B7:D7)</f>
        <v>5000</v>
      </c>
      <c r="F7" s="143">
        <f>E7+'Sept-2019'!F7</f>
        <v>18750</v>
      </c>
      <c r="G7" s="143">
        <v>66000</v>
      </c>
      <c r="H7" s="144">
        <f>G7-F7</f>
        <v>47250</v>
      </c>
      <c r="I7" s="108">
        <f t="shared" ref="I7:I20" si="1">F7/G7</f>
        <v>0.28409090909090912</v>
      </c>
    </row>
    <row r="8" spans="1:9" s="103" customFormat="1" ht="25.5" customHeight="1">
      <c r="A8" s="138" t="s">
        <v>155</v>
      </c>
      <c r="B8" s="139"/>
      <c r="C8" s="140"/>
      <c r="D8" s="141">
        <f>+'Salaries &amp; Fringe Allocations'!F158</f>
        <v>3076.94</v>
      </c>
      <c r="E8" s="142">
        <f t="shared" si="0"/>
        <v>3076.94</v>
      </c>
      <c r="F8" s="143">
        <f>E8+'Sept-2019'!F8</f>
        <v>10000.060000000001</v>
      </c>
      <c r="G8" s="143">
        <v>40000</v>
      </c>
      <c r="H8" s="144">
        <f t="shared" ref="H8:H12" si="2">G8-F8</f>
        <v>29999.94</v>
      </c>
      <c r="I8" s="108">
        <f t="shared" si="1"/>
        <v>0.25000150000000004</v>
      </c>
    </row>
    <row r="9" spans="1:9" s="103" customFormat="1" ht="25.5" customHeight="1">
      <c r="A9" s="138" t="s">
        <v>147</v>
      </c>
      <c r="B9" s="139"/>
      <c r="C9" s="140"/>
      <c r="D9" s="141">
        <f>+'Salaries &amp; Fringe Allocations'!F159</f>
        <v>2192.3200000000002</v>
      </c>
      <c r="E9" s="142">
        <f t="shared" si="0"/>
        <v>2192.3200000000002</v>
      </c>
      <c r="F9" s="143">
        <f>E9+'Sept-2019'!F9</f>
        <v>7961.68</v>
      </c>
      <c r="G9" s="143">
        <v>30000</v>
      </c>
      <c r="H9" s="144">
        <f t="shared" si="2"/>
        <v>22038.32</v>
      </c>
      <c r="I9" s="108">
        <f t="shared" si="1"/>
        <v>0.26538933333333337</v>
      </c>
    </row>
    <row r="10" spans="1:9" s="103" customFormat="1" ht="25.5" customHeight="1">
      <c r="A10" s="138" t="s">
        <v>568</v>
      </c>
      <c r="B10" s="139"/>
      <c r="C10" s="140"/>
      <c r="D10" s="141">
        <f>+'Salaries &amp; Fringe Allocations'!F160</f>
        <v>1586.2</v>
      </c>
      <c r="E10" s="142">
        <f t="shared" si="0"/>
        <v>1586.2</v>
      </c>
      <c r="F10" s="143">
        <f>E10+'Sept-2019'!F10</f>
        <v>5796.84</v>
      </c>
      <c r="G10" s="143">
        <v>21500</v>
      </c>
      <c r="H10" s="144">
        <f t="shared" si="2"/>
        <v>15703.16</v>
      </c>
      <c r="I10" s="108">
        <f t="shared" si="1"/>
        <v>0.26962046511627907</v>
      </c>
    </row>
    <row r="11" spans="1:9" s="103" customFormat="1" ht="25.5" customHeight="1">
      <c r="A11" s="138" t="s">
        <v>148</v>
      </c>
      <c r="B11" s="139"/>
      <c r="C11" s="140"/>
      <c r="D11" s="141"/>
      <c r="E11" s="142">
        <f t="shared" si="0"/>
        <v>0</v>
      </c>
      <c r="F11" s="143">
        <f>E11+'Sept-2019'!F11</f>
        <v>6984.67</v>
      </c>
      <c r="G11" s="143">
        <v>36000</v>
      </c>
      <c r="H11" s="144">
        <f t="shared" si="2"/>
        <v>29015.33</v>
      </c>
      <c r="I11" s="108">
        <f t="shared" si="1"/>
        <v>0.1940186111111111</v>
      </c>
    </row>
    <row r="12" spans="1:9" s="103" customFormat="1" ht="25.5" customHeight="1">
      <c r="A12" s="138" t="s">
        <v>363</v>
      </c>
      <c r="B12" s="139">
        <f>+'Salaries &amp; Fringe Allocations'!F163</f>
        <v>846.15</v>
      </c>
      <c r="C12" s="140"/>
      <c r="D12" s="141"/>
      <c r="E12" s="142">
        <f t="shared" si="0"/>
        <v>846.15</v>
      </c>
      <c r="F12" s="143">
        <f>E12+'Sept-2019'!F12</f>
        <v>2538.4499999999998</v>
      </c>
      <c r="G12" s="143">
        <v>4000</v>
      </c>
      <c r="H12" s="144">
        <f t="shared" si="2"/>
        <v>1461.5500000000002</v>
      </c>
      <c r="I12" s="108">
        <f t="shared" si="1"/>
        <v>0.63461249999999991</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56762.47</v>
      </c>
      <c r="G16" s="148">
        <f>SUM(G6:G15)</f>
        <v>213900</v>
      </c>
      <c r="H16" s="148">
        <f>SUM(H6:H15)</f>
        <v>157137.52999999997</v>
      </c>
      <c r="I16" s="108">
        <f t="shared" si="1"/>
        <v>0.26536919121084618</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77949.997378497064</v>
      </c>
      <c r="G20" s="73">
        <f>G16+G18</f>
        <v>282036</v>
      </c>
      <c r="H20" s="73">
        <f>H16+H18</f>
        <v>204086.00262150291</v>
      </c>
      <c r="I20" s="110">
        <f t="shared" si="1"/>
        <v>0.27638314746520681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+'Oct-2019 GL'!G82</f>
        <v>271.3</v>
      </c>
      <c r="C23" s="140"/>
      <c r="D23" s="141"/>
      <c r="E23" s="142">
        <f>SUM(B23:D23)</f>
        <v>271.3</v>
      </c>
      <c r="F23" s="143">
        <f>E23+'Sept-2019'!F23</f>
        <v>1138.8799999999999</v>
      </c>
      <c r="G23" s="143">
        <v>4000</v>
      </c>
      <c r="H23" s="144">
        <f>G23-F23</f>
        <v>2861.12</v>
      </c>
      <c r="I23" s="108">
        <f t="shared" ref="I23:I37" si="6">F23/G23</f>
        <v>0.28471999999999997</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2146.69</v>
      </c>
      <c r="G26" s="143">
        <v>13200</v>
      </c>
      <c r="H26" s="144">
        <f t="shared" si="8"/>
        <v>11053.31</v>
      </c>
      <c r="I26" s="108">
        <f t="shared" si="6"/>
        <v>0.1626280303030303</v>
      </c>
      <c r="J26" s="102"/>
    </row>
    <row r="27" spans="1:10" s="103" customFormat="1" ht="24" customHeight="1">
      <c r="A27" s="161" t="s">
        <v>41</v>
      </c>
      <c r="B27" s="139">
        <f>+'Oct-2019 GL'!G117</f>
        <v>766</v>
      </c>
      <c r="C27" s="140"/>
      <c r="D27" s="141">
        <f>+'Oct-2019 GL'!G100</f>
        <v>648</v>
      </c>
      <c r="E27" s="142">
        <f t="shared" si="7"/>
        <v>1414</v>
      </c>
      <c r="F27" s="143">
        <f>E27+'Sept-2019'!F27</f>
        <v>4193.2700000000004</v>
      </c>
      <c r="G27" s="143">
        <v>12000</v>
      </c>
      <c r="H27" s="144">
        <f t="shared" si="8"/>
        <v>7806.73</v>
      </c>
      <c r="I27" s="108">
        <f t="shared" si="6"/>
        <v>0.34943916666666669</v>
      </c>
      <c r="J27" s="102"/>
    </row>
    <row r="28" spans="1:10" s="103" customFormat="1" ht="24" customHeight="1">
      <c r="A28" s="161" t="s">
        <v>42</v>
      </c>
      <c r="B28" s="139"/>
      <c r="C28" s="9"/>
      <c r="D28" s="9"/>
      <c r="E28" s="142">
        <f>SUM(B28:D28)</f>
        <v>0</v>
      </c>
      <c r="F28" s="143">
        <f>E28+'Sept-2019'!F28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1283.95</v>
      </c>
      <c r="G30" s="143">
        <v>6475</v>
      </c>
      <c r="H30" s="144">
        <f t="shared" si="8"/>
        <v>5191.05</v>
      </c>
      <c r="I30" s="108">
        <f t="shared" si="6"/>
        <v>0.19829343629343629</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81</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1361.8200000000002</v>
      </c>
      <c r="G33" s="143">
        <v>3000.7</v>
      </c>
      <c r="H33" s="144">
        <f>G33-F33</f>
        <v>1638.8799999999997</v>
      </c>
      <c r="I33" s="108">
        <f t="shared" si="6"/>
        <v>0.45383410537541247</v>
      </c>
      <c r="J33" s="102"/>
    </row>
    <row r="34" spans="1:10" s="103" customFormat="1" ht="24" customHeight="1">
      <c r="A34" s="162" t="s">
        <v>77</v>
      </c>
      <c r="B34" s="139">
        <f>+'Oct-2019 GL'!G152</f>
        <v>355.01</v>
      </c>
      <c r="C34" s="140"/>
      <c r="D34" s="141"/>
      <c r="E34" s="142">
        <f t="shared" si="7"/>
        <v>355.01</v>
      </c>
      <c r="F34" s="143">
        <f>E34+'Sept-2019'!F34</f>
        <v>1036.02</v>
      </c>
      <c r="G34" s="143">
        <v>3000</v>
      </c>
      <c r="H34" s="144">
        <f t="shared" si="4"/>
        <v>1963.98</v>
      </c>
      <c r="I34" s="108">
        <f t="shared" si="6"/>
        <v>0.34533999999999998</v>
      </c>
      <c r="J34" s="102"/>
    </row>
    <row r="35" spans="1:10" s="103" customFormat="1" ht="24" customHeight="1">
      <c r="A35" s="162" t="s">
        <v>150</v>
      </c>
      <c r="B35" s="139">
        <f>+'Oct-2019 GL'!G157</f>
        <v>443</v>
      </c>
      <c r="C35" s="140"/>
      <c r="D35" s="141"/>
      <c r="E35" s="142">
        <f t="shared" si="7"/>
        <v>443</v>
      </c>
      <c r="F35" s="143">
        <f>E35+'Sept-2019'!F35</f>
        <v>1757.72</v>
      </c>
      <c r="G35" s="143">
        <v>4000</v>
      </c>
      <c r="H35" s="144">
        <f t="shared" si="4"/>
        <v>2242.2799999999997</v>
      </c>
      <c r="I35" s="108">
        <f t="shared" si="6"/>
        <v>0.43942999999999999</v>
      </c>
      <c r="J35" s="102"/>
    </row>
    <row r="36" spans="1:10" s="103" customFormat="1" ht="24" customHeight="1">
      <c r="A36" s="162" t="s">
        <v>151</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18528.59</v>
      </c>
      <c r="G37" s="167">
        <f>SUM(G23:G36)</f>
        <v>76745.7</v>
      </c>
      <c r="H37" s="167">
        <f>SUM(H23:H36)</f>
        <v>58217.110000000008</v>
      </c>
      <c r="I37" s="110">
        <f t="shared" si="6"/>
        <v>0.24142837970075198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+'Oct-2019 GL'!G10</f>
        <v>96842</v>
      </c>
      <c r="D41" s="170"/>
      <c r="E41" s="171">
        <f>SUM(B41:D41)</f>
        <v>96842</v>
      </c>
      <c r="F41" s="143">
        <f>E41+'Sept-2019'!F41</f>
        <v>340593.48</v>
      </c>
      <c r="G41" s="144">
        <v>1452829.24</v>
      </c>
      <c r="H41" s="144">
        <f>G41-F41-F42</f>
        <v>1110075.1300000001</v>
      </c>
      <c r="I41" s="108">
        <f t="shared" ref="I41:I56" si="13">F41/G41</f>
        <v>0.23443462632951961</v>
      </c>
    </row>
    <row r="42" spans="1:10" s="168" customFormat="1" ht="21.75" customHeight="1">
      <c r="A42" s="138" t="s">
        <v>83</v>
      </c>
      <c r="B42" s="139"/>
      <c r="C42" s="170">
        <f>+'Oct-2019 GL'!G13</f>
        <v>164.11</v>
      </c>
      <c r="D42" s="170"/>
      <c r="E42" s="171">
        <f>SUM(B42:D42)</f>
        <v>164.11</v>
      </c>
      <c r="F42" s="143">
        <f>+E42+'Sept-2019'!F42</f>
        <v>2160.63</v>
      </c>
      <c r="G42" s="144"/>
      <c r="H42" s="144"/>
      <c r="I42" s="108">
        <v>0</v>
      </c>
    </row>
    <row r="43" spans="1:10" s="168" customFormat="1" ht="21.75" customHeight="1">
      <c r="A43" s="138" t="s">
        <v>80</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78</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79</v>
      </c>
      <c r="B46" s="139"/>
      <c r="C46" s="140"/>
      <c r="D46" s="140"/>
      <c r="E46" s="172">
        <f t="shared" si="14"/>
        <v>0</v>
      </c>
      <c r="F46" s="143">
        <f>E46+'Sept-2019'!F46</f>
        <v>0</v>
      </c>
      <c r="G46" s="144">
        <v>8500</v>
      </c>
      <c r="H46" s="144">
        <f t="shared" si="15"/>
        <v>8500</v>
      </c>
      <c r="I46" s="108">
        <f t="shared" si="13"/>
        <v>0</v>
      </c>
    </row>
    <row r="47" spans="1:10" s="168" customFormat="1" ht="21.75" customHeight="1">
      <c r="A47" s="138" t="s">
        <v>168</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379435.30999999994</v>
      </c>
      <c r="G48" s="75">
        <f>SUM(G41:G47)</f>
        <v>1637294.25</v>
      </c>
      <c r="H48" s="75">
        <f t="shared" ref="H48" si="17">SUM(H41:H47)</f>
        <v>1257858.9400000002</v>
      </c>
      <c r="I48" s="110">
        <f t="shared" si="13"/>
        <v>0.23174533838373887</v>
      </c>
    </row>
    <row r="49" spans="1:12" s="175" customFormat="1" ht="16" thickTop="1">
      <c r="A49" s="117"/>
      <c r="B49" s="173"/>
      <c r="C49" s="98"/>
      <c r="D49" s="173"/>
      <c r="E49" s="174"/>
      <c r="F49" s="69"/>
      <c r="G49" s="69"/>
      <c r="H49" s="69"/>
      <c r="I49" s="109"/>
      <c r="L49" s="175">
        <f>60*12</f>
        <v>720</v>
      </c>
    </row>
    <row r="50" spans="1:12" s="175" customFormat="1" ht="15.5">
      <c r="A50" s="10" t="s">
        <v>157</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475913.897378497</v>
      </c>
      <c r="G52" s="77">
        <f>G37+G20+G48+G50</f>
        <v>2013608.54</v>
      </c>
      <c r="H52" s="77">
        <f>H37+H20+H48+H50</f>
        <v>1537694.6426215032</v>
      </c>
      <c r="I52" s="110">
        <f t="shared" si="13"/>
        <v>0.23634876785857145</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490328.53737849701</v>
      </c>
      <c r="G56" s="77">
        <f t="shared" si="18"/>
        <v>2256075.86</v>
      </c>
      <c r="H56" s="77">
        <f t="shared" si="18"/>
        <v>1765747.3226215031</v>
      </c>
      <c r="I56" s="110">
        <f t="shared" si="13"/>
        <v>0.21733690168490036</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508" t="s">
        <v>7</v>
      </c>
      <c r="B60" s="509"/>
      <c r="C60" s="509"/>
      <c r="D60" s="509"/>
      <c r="E60" s="510"/>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569</v>
      </c>
      <c r="B77" s="402">
        <v>43776</v>
      </c>
      <c r="C77" s="7"/>
      <c r="D77" s="7"/>
      <c r="E77" s="7"/>
      <c r="F77" s="405" t="s">
        <v>445</v>
      </c>
      <c r="G77" s="88"/>
      <c r="H77" s="403">
        <v>43776</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443</v>
      </c>
      <c r="B81" s="402">
        <v>43776</v>
      </c>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6"/>
  <sheetViews>
    <sheetView workbookViewId="0">
      <pane ySplit="5" topLeftCell="A105"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560</v>
      </c>
      <c r="B3" s="595"/>
      <c r="C3" s="595"/>
      <c r="D3" s="595"/>
      <c r="E3" s="595"/>
      <c r="F3" s="595"/>
      <c r="G3" s="595"/>
      <c r="H3" s="595"/>
    </row>
    <row r="5" spans="1:8" ht="24">
      <c r="A5" s="304"/>
      <c r="B5" s="354" t="s">
        <v>153</v>
      </c>
      <c r="C5" s="401" t="s">
        <v>430</v>
      </c>
      <c r="D5" s="354" t="s">
        <v>274</v>
      </c>
      <c r="E5" s="354" t="s">
        <v>273</v>
      </c>
      <c r="F5" s="354" t="s">
        <v>272</v>
      </c>
      <c r="G5" s="350" t="s">
        <v>271</v>
      </c>
      <c r="H5" s="203" t="s">
        <v>278</v>
      </c>
    </row>
    <row r="6" spans="1:8">
      <c r="A6" s="351" t="s">
        <v>270</v>
      </c>
      <c r="H6" s="206"/>
    </row>
    <row r="7" spans="1:8">
      <c r="A7" s="351" t="s">
        <v>269</v>
      </c>
      <c r="H7" s="305"/>
    </row>
    <row r="8" spans="1:8">
      <c r="B8" s="305" t="s">
        <v>556</v>
      </c>
      <c r="C8" s="305" t="s">
        <v>186</v>
      </c>
      <c r="D8" s="305" t="s">
        <v>555</v>
      </c>
      <c r="E8" s="305"/>
      <c r="F8" s="305" t="s">
        <v>559</v>
      </c>
      <c r="G8" s="371">
        <v>50385</v>
      </c>
      <c r="H8" s="305"/>
    </row>
    <row r="9" spans="1:8">
      <c r="B9" s="305" t="s">
        <v>554</v>
      </c>
      <c r="C9" s="305" t="s">
        <v>186</v>
      </c>
      <c r="D9" s="305" t="s">
        <v>553</v>
      </c>
      <c r="E9" s="305"/>
      <c r="F9" s="305" t="s">
        <v>558</v>
      </c>
      <c r="G9" s="371">
        <v>46457</v>
      </c>
      <c r="H9" s="305"/>
    </row>
    <row r="10" spans="1:8">
      <c r="A10" s="351" t="s">
        <v>557</v>
      </c>
      <c r="G10" s="360">
        <f>SUM(G8:G9)</f>
        <v>96842</v>
      </c>
      <c r="H10" s="305"/>
    </row>
    <row r="11" spans="1:8" s="308" customFormat="1">
      <c r="A11" s="384" t="s">
        <v>267</v>
      </c>
      <c r="G11" s="393"/>
    </row>
    <row r="12" spans="1:8" s="308" customFormat="1">
      <c r="B12" s="385" t="s">
        <v>519</v>
      </c>
      <c r="C12" s="385" t="s">
        <v>378</v>
      </c>
      <c r="D12" s="385">
        <v>12628</v>
      </c>
      <c r="E12" s="385" t="s">
        <v>518</v>
      </c>
      <c r="F12" s="385" t="s">
        <v>562</v>
      </c>
      <c r="G12" s="394">
        <v>164.11</v>
      </c>
      <c r="H12" s="206">
        <v>12628</v>
      </c>
    </row>
    <row r="13" spans="1:8" s="308" customFormat="1">
      <c r="A13" s="384" t="s">
        <v>263</v>
      </c>
      <c r="G13" s="395">
        <f>SUM(G12)</f>
        <v>164.11</v>
      </c>
    </row>
    <row r="14" spans="1:8" s="308" customFormat="1">
      <c r="A14" s="384" t="s">
        <v>420</v>
      </c>
      <c r="G14" s="395">
        <f>+G13+G10</f>
        <v>97006.11</v>
      </c>
    </row>
    <row r="15" spans="1:8">
      <c r="A15" s="351" t="s">
        <v>262</v>
      </c>
      <c r="G15" s="359"/>
      <c r="H15" s="206"/>
    </row>
    <row r="16" spans="1:8">
      <c r="B16" s="305" t="s">
        <v>556</v>
      </c>
      <c r="C16" s="305" t="s">
        <v>186</v>
      </c>
      <c r="D16" s="305" t="s">
        <v>555</v>
      </c>
      <c r="E16" s="305"/>
      <c r="F16" s="305" t="s">
        <v>419</v>
      </c>
      <c r="G16" s="371">
        <v>3854.47</v>
      </c>
      <c r="H16" s="206"/>
    </row>
    <row r="17" spans="1:8">
      <c r="B17" s="305" t="s">
        <v>554</v>
      </c>
      <c r="C17" s="305" t="s">
        <v>186</v>
      </c>
      <c r="D17" s="305" t="s">
        <v>553</v>
      </c>
      <c r="E17" s="305"/>
      <c r="F17" s="305" t="s">
        <v>419</v>
      </c>
      <c r="G17" s="371">
        <v>3553.98</v>
      </c>
      <c r="H17" s="206"/>
    </row>
    <row r="18" spans="1:8">
      <c r="A18" s="351" t="s">
        <v>261</v>
      </c>
      <c r="G18" s="360">
        <f>SUM(G16:G17)</f>
        <v>7408.45</v>
      </c>
      <c r="H18" s="206"/>
    </row>
    <row r="19" spans="1:8" s="308" customFormat="1">
      <c r="A19" s="307" t="s">
        <v>340</v>
      </c>
      <c r="G19" s="393"/>
    </row>
    <row r="20" spans="1:8" s="308" customFormat="1">
      <c r="B20" s="375">
        <v>43738</v>
      </c>
      <c r="C20" s="309" t="s">
        <v>186</v>
      </c>
      <c r="D20" s="309">
        <v>192</v>
      </c>
      <c r="E20" s="309"/>
      <c r="F20" s="309" t="s">
        <v>411</v>
      </c>
      <c r="G20" s="396">
        <v>2898.28</v>
      </c>
    </row>
    <row r="21" spans="1:8" s="308" customFormat="1">
      <c r="A21" s="307" t="s">
        <v>341</v>
      </c>
      <c r="G21" s="397">
        <f>SUM(G20)</f>
        <v>2898.28</v>
      </c>
    </row>
    <row r="22" spans="1:8">
      <c r="A22" s="351" t="s">
        <v>260</v>
      </c>
      <c r="G22" s="359"/>
      <c r="H22" s="206"/>
    </row>
    <row r="23" spans="1:8">
      <c r="B23" s="305" t="s">
        <v>556</v>
      </c>
      <c r="C23" s="305" t="s">
        <v>186</v>
      </c>
      <c r="D23" s="305" t="s">
        <v>555</v>
      </c>
      <c r="E23" s="305"/>
      <c r="F23" s="305" t="s">
        <v>415</v>
      </c>
      <c r="G23" s="371">
        <v>498.62</v>
      </c>
      <c r="H23" s="206"/>
    </row>
    <row r="24" spans="1:8">
      <c r="B24" s="305" t="s">
        <v>554</v>
      </c>
      <c r="C24" s="305" t="s">
        <v>186</v>
      </c>
      <c r="D24" s="305" t="s">
        <v>553</v>
      </c>
      <c r="E24" s="305"/>
      <c r="F24" s="305" t="s">
        <v>415</v>
      </c>
      <c r="G24" s="371">
        <v>401.87</v>
      </c>
      <c r="H24" s="308"/>
    </row>
    <row r="25" spans="1:8">
      <c r="A25" s="351" t="s">
        <v>253</v>
      </c>
      <c r="G25" s="360">
        <f>SUM(G23:G24)</f>
        <v>900.49</v>
      </c>
      <c r="H25" s="308"/>
    </row>
    <row r="26" spans="1:8">
      <c r="A26" s="351" t="s">
        <v>483</v>
      </c>
      <c r="G26" s="360">
        <f>+G14+G18+G21+G25</f>
        <v>108213.33</v>
      </c>
      <c r="H26" s="308"/>
    </row>
    <row r="27" spans="1:8">
      <c r="A27" s="351" t="s">
        <v>414</v>
      </c>
      <c r="G27" s="359"/>
      <c r="H27" s="206"/>
    </row>
    <row r="28" spans="1:8">
      <c r="A28" s="351" t="s">
        <v>252</v>
      </c>
      <c r="G28" s="359"/>
      <c r="H28" s="206"/>
    </row>
    <row r="29" spans="1:8">
      <c r="A29" s="351" t="s">
        <v>552</v>
      </c>
      <c r="G29" s="359"/>
      <c r="H29" s="206"/>
    </row>
    <row r="30" spans="1:8">
      <c r="B30" s="305" t="s">
        <v>517</v>
      </c>
      <c r="C30" s="305" t="s">
        <v>186</v>
      </c>
      <c r="D30" s="305" t="s">
        <v>551</v>
      </c>
      <c r="E30" s="305"/>
      <c r="F30" s="305" t="s">
        <v>550</v>
      </c>
      <c r="G30" s="371">
        <v>13963.15</v>
      </c>
      <c r="H30" s="206"/>
    </row>
    <row r="31" spans="1:8">
      <c r="A31" s="351" t="s">
        <v>549</v>
      </c>
      <c r="G31" s="360">
        <v>13963.15</v>
      </c>
      <c r="H31" s="206"/>
    </row>
    <row r="32" spans="1:8">
      <c r="A32" s="351" t="s">
        <v>249</v>
      </c>
      <c r="G32" s="360">
        <v>13963.15</v>
      </c>
      <c r="H32" s="206"/>
    </row>
    <row r="33" spans="1:8">
      <c r="A33" s="351" t="s">
        <v>248</v>
      </c>
      <c r="G33" s="359"/>
      <c r="H33" s="206"/>
    </row>
    <row r="35" spans="1:8">
      <c r="A35" s="351" t="s">
        <v>247</v>
      </c>
      <c r="G35" s="359"/>
      <c r="H35" s="206"/>
    </row>
    <row r="36" spans="1:8">
      <c r="B36" s="305" t="s">
        <v>548</v>
      </c>
      <c r="C36" s="305" t="s">
        <v>174</v>
      </c>
      <c r="D36" s="305">
        <v>292534359</v>
      </c>
      <c r="E36" s="305" t="s">
        <v>480</v>
      </c>
      <c r="F36" s="305" t="s">
        <v>547</v>
      </c>
      <c r="G36" s="371">
        <v>3688.1</v>
      </c>
      <c r="H36" s="206">
        <v>12569</v>
      </c>
    </row>
    <row r="37" spans="1:8">
      <c r="A37" s="351" t="s">
        <v>246</v>
      </c>
      <c r="G37" s="360">
        <v>3688.1</v>
      </c>
      <c r="H37" s="206"/>
    </row>
    <row r="38" spans="1:8">
      <c r="A38" s="351"/>
      <c r="G38" s="362"/>
      <c r="H38" s="206"/>
    </row>
    <row r="39" spans="1:8" s="3" customFormat="1">
      <c r="A39" s="386" t="s">
        <v>245</v>
      </c>
      <c r="G39" s="1"/>
    </row>
    <row r="40" spans="1:8" s="3" customFormat="1">
      <c r="B40" s="385" t="s">
        <v>523</v>
      </c>
      <c r="C40" s="385" t="s">
        <v>174</v>
      </c>
      <c r="D40" s="385" t="s">
        <v>563</v>
      </c>
      <c r="E40" s="385" t="s">
        <v>243</v>
      </c>
      <c r="F40" s="385" t="s">
        <v>564</v>
      </c>
      <c r="G40" s="394">
        <v>179.49</v>
      </c>
      <c r="H40" s="206">
        <v>12527</v>
      </c>
    </row>
    <row r="41" spans="1:8" s="3" customFormat="1">
      <c r="A41" s="386" t="s">
        <v>241</v>
      </c>
      <c r="G41" s="395">
        <v>179.49</v>
      </c>
    </row>
    <row r="42" spans="1:8" s="201" customFormat="1">
      <c r="A42" s="205" t="s">
        <v>240</v>
      </c>
      <c r="G42" s="278"/>
      <c r="H42" s="206"/>
    </row>
    <row r="43" spans="1:8" s="201" customFormat="1">
      <c r="B43" s="320">
        <v>43768</v>
      </c>
      <c r="C43" s="206" t="s">
        <v>186</v>
      </c>
      <c r="D43" s="206">
        <v>154</v>
      </c>
      <c r="E43" s="206"/>
      <c r="F43" s="210" t="s">
        <v>325</v>
      </c>
      <c r="G43" s="387">
        <v>-454.87</v>
      </c>
      <c r="H43" s="206"/>
    </row>
    <row r="44" spans="1:8" s="201" customFormat="1">
      <c r="A44" s="205" t="s">
        <v>239</v>
      </c>
      <c r="G44" s="281">
        <f>SUM(G43)</f>
        <v>-454.87</v>
      </c>
      <c r="H44" s="206"/>
    </row>
    <row r="45" spans="1:8" s="201" customFormat="1">
      <c r="A45" s="205" t="s">
        <v>238</v>
      </c>
      <c r="G45" s="278"/>
      <c r="H45" s="206"/>
    </row>
    <row r="46" spans="1:8" s="201" customFormat="1">
      <c r="B46" s="320">
        <v>43768</v>
      </c>
      <c r="C46" s="206" t="s">
        <v>186</v>
      </c>
      <c r="D46" s="206">
        <v>155</v>
      </c>
      <c r="E46" s="206"/>
      <c r="F46" s="206" t="s">
        <v>237</v>
      </c>
      <c r="G46" s="387">
        <v>-13.57</v>
      </c>
      <c r="H46" s="206"/>
    </row>
    <row r="47" spans="1:8" s="201" customFormat="1">
      <c r="A47" s="205" t="s">
        <v>236</v>
      </c>
      <c r="G47" s="281">
        <f>SUM(G46)</f>
        <v>-13.57</v>
      </c>
      <c r="H47" s="206"/>
    </row>
    <row r="48" spans="1:8" s="201" customFormat="1">
      <c r="A48" s="205"/>
      <c r="G48" s="281"/>
      <c r="H48" s="206"/>
    </row>
    <row r="49" spans="1:8" s="3" customFormat="1">
      <c r="A49" s="386" t="s">
        <v>235</v>
      </c>
      <c r="G49" s="395">
        <f>+G37+G41+G44+G47</f>
        <v>3399.15</v>
      </c>
    </row>
    <row r="50" spans="1:8" s="3" customFormat="1">
      <c r="A50" s="386"/>
      <c r="G50" s="395"/>
    </row>
    <row r="51" spans="1:8" ht="15" thickBot="1">
      <c r="A51" s="351" t="s">
        <v>546</v>
      </c>
      <c r="G51" s="398">
        <f>+G32+G49</f>
        <v>17362.3</v>
      </c>
      <c r="H51" s="206"/>
    </row>
    <row r="52" spans="1:8" ht="15" thickTop="1">
      <c r="A52" s="351"/>
      <c r="G52" s="362"/>
      <c r="H52" s="206"/>
    </row>
    <row r="53" spans="1:8" s="359" customFormat="1">
      <c r="A53" s="358" t="s">
        <v>234</v>
      </c>
      <c r="H53" s="206"/>
    </row>
    <row r="54" spans="1:8" s="359" customFormat="1">
      <c r="A54" s="358" t="s">
        <v>478</v>
      </c>
      <c r="H54" s="206"/>
    </row>
    <row r="55" spans="1:8" s="359" customFormat="1">
      <c r="B55" s="388">
        <v>43769</v>
      </c>
      <c r="C55" s="327" t="s">
        <v>186</v>
      </c>
      <c r="D55" s="327">
        <v>261</v>
      </c>
      <c r="E55" s="327"/>
      <c r="F55" s="327" t="s">
        <v>411</v>
      </c>
      <c r="G55" s="371">
        <v>417.89</v>
      </c>
      <c r="H55" s="206"/>
    </row>
    <row r="56" spans="1:8" s="359" customFormat="1">
      <c r="A56" s="358" t="s">
        <v>477</v>
      </c>
      <c r="G56" s="355">
        <f>SUM(G55)</f>
        <v>417.89</v>
      </c>
      <c r="H56" s="206"/>
    </row>
    <row r="57" spans="1:8" s="359" customFormat="1">
      <c r="A57" s="274" t="s">
        <v>284</v>
      </c>
      <c r="H57" s="206"/>
    </row>
    <row r="58" spans="1:8">
      <c r="A58" s="351" t="s">
        <v>232</v>
      </c>
      <c r="G58" s="359"/>
      <c r="H58" s="206"/>
    </row>
    <row r="59" spans="1:8">
      <c r="B59" s="389">
        <v>43769</v>
      </c>
      <c r="C59" s="305" t="s">
        <v>186</v>
      </c>
      <c r="D59" s="305">
        <v>246</v>
      </c>
      <c r="E59" s="305"/>
      <c r="F59" s="305" t="s">
        <v>231</v>
      </c>
      <c r="G59" s="371">
        <v>851</v>
      </c>
      <c r="H59" s="206"/>
    </row>
    <row r="60" spans="1:8">
      <c r="A60" s="351" t="s">
        <v>230</v>
      </c>
      <c r="G60" s="360">
        <f>SUM(G59)</f>
        <v>851</v>
      </c>
      <c r="H60" s="206"/>
    </row>
    <row r="61" spans="1:8">
      <c r="A61" s="351" t="s">
        <v>229</v>
      </c>
      <c r="G61" s="359"/>
      <c r="H61" s="206"/>
    </row>
    <row r="62" spans="1:8">
      <c r="B62" s="389">
        <v>43769</v>
      </c>
      <c r="C62" s="305" t="s">
        <v>186</v>
      </c>
      <c r="D62" s="305">
        <v>248</v>
      </c>
      <c r="E62" s="305"/>
      <c r="F62" s="305" t="s">
        <v>228</v>
      </c>
      <c r="G62" s="371">
        <v>199</v>
      </c>
      <c r="H62" s="206"/>
    </row>
    <row r="63" spans="1:8">
      <c r="A63" s="351" t="s">
        <v>227</v>
      </c>
      <c r="G63" s="360">
        <f>SUM(G62)</f>
        <v>199</v>
      </c>
      <c r="H63" s="206"/>
    </row>
    <row r="64" spans="1:8">
      <c r="A64" s="351" t="s">
        <v>226</v>
      </c>
      <c r="G64" s="359"/>
      <c r="H64" s="206"/>
    </row>
    <row r="65" spans="1:8">
      <c r="B65" s="389">
        <v>43769</v>
      </c>
      <c r="C65" s="305" t="s">
        <v>186</v>
      </c>
      <c r="D65" s="305">
        <v>249</v>
      </c>
      <c r="E65" s="305"/>
      <c r="F65" s="305" t="s">
        <v>225</v>
      </c>
      <c r="G65" s="371">
        <v>204</v>
      </c>
      <c r="H65" s="206"/>
    </row>
    <row r="66" spans="1:8">
      <c r="A66" s="351" t="s">
        <v>224</v>
      </c>
      <c r="G66" s="360">
        <f>SUM(G65)</f>
        <v>204</v>
      </c>
      <c r="H66" s="206"/>
    </row>
    <row r="67" spans="1:8">
      <c r="A67" s="351" t="s">
        <v>223</v>
      </c>
      <c r="G67" s="359"/>
      <c r="H67" s="206"/>
    </row>
    <row r="68" spans="1:8">
      <c r="B68" s="389">
        <v>43769</v>
      </c>
      <c r="C68" s="305" t="s">
        <v>186</v>
      </c>
      <c r="D68" s="305">
        <v>250</v>
      </c>
      <c r="E68" s="305"/>
      <c r="F68" s="305" t="s">
        <v>222</v>
      </c>
      <c r="G68" s="371">
        <v>40</v>
      </c>
      <c r="H68" s="206"/>
    </row>
    <row r="69" spans="1:8">
      <c r="A69" s="351" t="s">
        <v>221</v>
      </c>
      <c r="G69" s="360">
        <f>SUM(G68)</f>
        <v>40</v>
      </c>
      <c r="H69" s="206"/>
    </row>
    <row r="70" spans="1:8">
      <c r="A70" s="274" t="s">
        <v>506</v>
      </c>
      <c r="G70" s="355">
        <f>+G60+G63+G66+G69</f>
        <v>1294</v>
      </c>
      <c r="H70" s="206"/>
    </row>
    <row r="71" spans="1:8">
      <c r="A71" s="351"/>
      <c r="G71" s="362"/>
      <c r="H71" s="206"/>
    </row>
    <row r="72" spans="1:8">
      <c r="A72" s="351" t="s">
        <v>409</v>
      </c>
      <c r="G72" s="359"/>
      <c r="H72" s="206"/>
    </row>
    <row r="73" spans="1:8">
      <c r="B73" s="389">
        <v>43769</v>
      </c>
      <c r="C73" s="305" t="s">
        <v>186</v>
      </c>
      <c r="D73" s="305">
        <v>251</v>
      </c>
      <c r="E73" s="305"/>
      <c r="F73" s="305" t="s">
        <v>219</v>
      </c>
      <c r="G73" s="371">
        <v>141</v>
      </c>
      <c r="H73" s="206"/>
    </row>
    <row r="74" spans="1:8">
      <c r="A74" s="351" t="s">
        <v>408</v>
      </c>
      <c r="G74" s="355">
        <f>SUM(G73)</f>
        <v>141</v>
      </c>
      <c r="H74" s="206"/>
    </row>
    <row r="75" spans="1:8">
      <c r="A75" s="351"/>
      <c r="G75" s="360"/>
      <c r="H75" s="206"/>
    </row>
    <row r="76" spans="1:8" ht="15" thickBot="1">
      <c r="A76" s="364" t="s">
        <v>505</v>
      </c>
      <c r="G76" s="383">
        <f>+G51+G70+G74+G56</f>
        <v>19215.189999999999</v>
      </c>
      <c r="H76" s="206"/>
    </row>
    <row r="77" spans="1:8" ht="15" thickTop="1">
      <c r="A77" s="364" t="s">
        <v>379</v>
      </c>
      <c r="G77" s="359"/>
      <c r="H77" s="206"/>
    </row>
    <row r="78" spans="1:8">
      <c r="A78" s="351" t="s">
        <v>184</v>
      </c>
      <c r="G78" s="359"/>
      <c r="H78" s="206"/>
    </row>
    <row r="79" spans="1:8">
      <c r="B79" s="305" t="s">
        <v>523</v>
      </c>
      <c r="C79" s="305" t="s">
        <v>174</v>
      </c>
      <c r="D79" s="305" t="s">
        <v>527</v>
      </c>
      <c r="E79" s="305" t="s">
        <v>443</v>
      </c>
      <c r="F79" s="305" t="s">
        <v>526</v>
      </c>
      <c r="G79" s="371">
        <v>133.06</v>
      </c>
      <c r="H79" s="206">
        <v>12546</v>
      </c>
    </row>
    <row r="80" spans="1:8">
      <c r="B80" s="305" t="s">
        <v>523</v>
      </c>
      <c r="C80" s="305" t="s">
        <v>174</v>
      </c>
      <c r="D80" s="305" t="s">
        <v>525</v>
      </c>
      <c r="E80" s="305" t="s">
        <v>457</v>
      </c>
      <c r="F80" s="305" t="s">
        <v>524</v>
      </c>
      <c r="G80" s="371">
        <v>108</v>
      </c>
      <c r="H80" s="206">
        <v>12548</v>
      </c>
    </row>
    <row r="81" spans="1:8">
      <c r="B81" s="305" t="s">
        <v>523</v>
      </c>
      <c r="C81" s="305" t="s">
        <v>174</v>
      </c>
      <c r="D81" s="305" t="s">
        <v>522</v>
      </c>
      <c r="E81" s="305" t="s">
        <v>370</v>
      </c>
      <c r="F81" s="305" t="s">
        <v>521</v>
      </c>
      <c r="G81" s="371">
        <v>30.24</v>
      </c>
      <c r="H81" s="206">
        <v>12547</v>
      </c>
    </row>
    <row r="82" spans="1:8">
      <c r="A82" s="363" t="s">
        <v>520</v>
      </c>
      <c r="G82" s="355">
        <f>SUM(G79:G81)</f>
        <v>271.3</v>
      </c>
      <c r="H82" s="206"/>
    </row>
    <row r="83" spans="1:8" s="269" customFormat="1">
      <c r="A83" s="400" t="s">
        <v>400</v>
      </c>
      <c r="G83" s="325"/>
      <c r="H83" s="305"/>
    </row>
    <row r="84" spans="1:8">
      <c r="B84" s="305" t="s">
        <v>523</v>
      </c>
      <c r="C84" s="305" t="s">
        <v>174</v>
      </c>
      <c r="D84" s="305" t="s">
        <v>545</v>
      </c>
      <c r="E84" s="305" t="s">
        <v>443</v>
      </c>
      <c r="F84" s="305" t="s">
        <v>544</v>
      </c>
      <c r="G84" s="371">
        <v>30.5</v>
      </c>
      <c r="H84" s="206">
        <v>12546</v>
      </c>
    </row>
    <row r="85" spans="1:8">
      <c r="A85" s="351" t="s">
        <v>211</v>
      </c>
      <c r="G85" s="360">
        <f>SUM(G84)</f>
        <v>30.5</v>
      </c>
      <c r="H85" s="206"/>
    </row>
    <row r="86" spans="1:8" s="269" customFormat="1">
      <c r="A86" s="299" t="s">
        <v>394</v>
      </c>
      <c r="G86" s="325"/>
      <c r="H86" s="305"/>
    </row>
    <row r="87" spans="1:8" s="269" customFormat="1">
      <c r="B87" s="390">
        <v>43769</v>
      </c>
      <c r="C87" s="301" t="s">
        <v>186</v>
      </c>
      <c r="D87" s="301">
        <v>185</v>
      </c>
      <c r="E87" s="301"/>
      <c r="F87" s="301" t="s">
        <v>212</v>
      </c>
      <c r="G87" s="399">
        <v>254</v>
      </c>
      <c r="H87" s="305"/>
    </row>
    <row r="88" spans="1:8" s="269" customFormat="1">
      <c r="A88" s="299" t="s">
        <v>393</v>
      </c>
      <c r="G88" s="326">
        <f>SUM(G87)</f>
        <v>254</v>
      </c>
      <c r="H88" s="305"/>
    </row>
    <row r="89" spans="1:8">
      <c r="B89" s="305"/>
      <c r="C89" s="305"/>
      <c r="D89" s="305"/>
      <c r="E89" s="305"/>
      <c r="F89" s="305"/>
      <c r="G89" s="371"/>
      <c r="H89" s="206"/>
    </row>
    <row r="90" spans="1:8" s="269" customFormat="1">
      <c r="A90" s="322" t="s">
        <v>437</v>
      </c>
      <c r="G90" s="311">
        <f>+G84+G88</f>
        <v>284.5</v>
      </c>
      <c r="H90" s="305"/>
    </row>
    <row r="91" spans="1:8">
      <c r="B91" s="305"/>
      <c r="C91" s="305"/>
      <c r="D91" s="305"/>
      <c r="E91" s="305"/>
      <c r="F91" s="305"/>
      <c r="G91" s="371"/>
      <c r="H91" s="206"/>
    </row>
    <row r="92" spans="1:8">
      <c r="A92" s="364" t="s">
        <v>357</v>
      </c>
      <c r="G92" s="359"/>
      <c r="H92" s="206"/>
    </row>
    <row r="93" spans="1:8">
      <c r="A93" s="351" t="s">
        <v>214</v>
      </c>
      <c r="G93" s="359"/>
      <c r="H93" s="206"/>
    </row>
    <row r="94" spans="1:8">
      <c r="B94" s="389">
        <v>43769</v>
      </c>
      <c r="C94" s="305" t="s">
        <v>186</v>
      </c>
      <c r="D94" s="305">
        <v>253</v>
      </c>
      <c r="E94" s="305"/>
      <c r="F94" s="305" t="s">
        <v>213</v>
      </c>
      <c r="G94" s="371">
        <v>683</v>
      </c>
      <c r="H94" s="206"/>
    </row>
    <row r="95" spans="1:8">
      <c r="A95" s="351" t="s">
        <v>475</v>
      </c>
      <c r="G95" s="355">
        <f>SUM(G94)</f>
        <v>683</v>
      </c>
      <c r="H95" s="206"/>
    </row>
    <row r="96" spans="1:8">
      <c r="G96" s="362"/>
      <c r="H96" s="206"/>
    </row>
    <row r="97" spans="1:8">
      <c r="A97" s="364" t="s">
        <v>329</v>
      </c>
      <c r="G97" s="359"/>
      <c r="H97" s="206"/>
    </row>
    <row r="98" spans="1:8">
      <c r="A98" s="351" t="s">
        <v>200</v>
      </c>
      <c r="G98" s="359"/>
      <c r="H98" s="206"/>
    </row>
    <row r="99" spans="1:8">
      <c r="B99" s="305" t="s">
        <v>523</v>
      </c>
      <c r="C99" s="305" t="s">
        <v>174</v>
      </c>
      <c r="D99" s="305">
        <v>1985</v>
      </c>
      <c r="E99" s="305" t="s">
        <v>181</v>
      </c>
      <c r="F99" s="305" t="s">
        <v>528</v>
      </c>
      <c r="G99" s="371">
        <v>648</v>
      </c>
      <c r="H99" s="206">
        <v>12535</v>
      </c>
    </row>
    <row r="100" spans="1:8">
      <c r="A100" s="274" t="s">
        <v>344</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197</v>
      </c>
      <c r="G105" s="359"/>
      <c r="H105" s="206"/>
    </row>
    <row r="106" spans="1:8">
      <c r="A106" s="351" t="s">
        <v>196</v>
      </c>
      <c r="G106" s="359"/>
      <c r="H106" s="206"/>
    </row>
    <row r="107" spans="1:8">
      <c r="B107" s="389">
        <v>43769</v>
      </c>
      <c r="C107" s="305" t="s">
        <v>186</v>
      </c>
      <c r="D107" s="305">
        <v>260</v>
      </c>
      <c r="E107" s="305"/>
      <c r="F107" s="305" t="s">
        <v>195</v>
      </c>
      <c r="G107" s="371">
        <v>145</v>
      </c>
      <c r="H107" s="206"/>
    </row>
    <row r="108" spans="1:8">
      <c r="A108" s="351" t="s">
        <v>468</v>
      </c>
      <c r="G108" s="360">
        <f>SUM(G107)</f>
        <v>145</v>
      </c>
      <c r="H108" s="206"/>
    </row>
    <row r="109" spans="1:8">
      <c r="A109" s="351" t="s">
        <v>191</v>
      </c>
      <c r="G109" s="359"/>
      <c r="H109" s="206"/>
    </row>
    <row r="110" spans="1:8">
      <c r="A110" s="351" t="s">
        <v>466</v>
      </c>
      <c r="G110" s="359"/>
      <c r="H110" s="206"/>
    </row>
    <row r="111" spans="1:8">
      <c r="B111" s="389">
        <v>43769</v>
      </c>
      <c r="C111" s="305" t="s">
        <v>186</v>
      </c>
      <c r="D111" s="305">
        <v>257</v>
      </c>
      <c r="E111" s="305"/>
      <c r="F111" s="305" t="s">
        <v>190</v>
      </c>
      <c r="G111" s="371">
        <v>130</v>
      </c>
      <c r="H111" s="206"/>
    </row>
    <row r="112" spans="1:8">
      <c r="A112" s="351" t="s">
        <v>465</v>
      </c>
      <c r="G112" s="360">
        <f>SUM(G111)</f>
        <v>130</v>
      </c>
      <c r="H112" s="206"/>
    </row>
    <row r="113" spans="1:8">
      <c r="A113" s="351" t="s">
        <v>565</v>
      </c>
      <c r="G113" s="360"/>
      <c r="H113" s="206"/>
    </row>
    <row r="114" spans="1:8">
      <c r="B114" s="389">
        <v>43769</v>
      </c>
      <c r="C114" s="305" t="s">
        <v>186</v>
      </c>
      <c r="D114" s="305">
        <v>257</v>
      </c>
      <c r="E114" s="305"/>
      <c r="F114" s="305" t="s">
        <v>566</v>
      </c>
      <c r="G114" s="371">
        <v>491</v>
      </c>
      <c r="H114" s="206"/>
    </row>
    <row r="115" spans="1:8">
      <c r="A115" s="351"/>
      <c r="G115" s="360">
        <f>SUM(G114)</f>
        <v>491</v>
      </c>
      <c r="H115" s="206"/>
    </row>
    <row r="116" spans="1:8">
      <c r="A116" s="351"/>
      <c r="G116" s="360"/>
      <c r="H116" s="206"/>
    </row>
    <row r="117" spans="1:8" s="259" customFormat="1">
      <c r="A117" s="275" t="s">
        <v>343</v>
      </c>
      <c r="G117" s="288">
        <f>+G108+G112+G115</f>
        <v>766</v>
      </c>
      <c r="H117" s="206"/>
    </row>
    <row r="118" spans="1:8" s="201" customFormat="1">
      <c r="A118" s="205"/>
      <c r="G118" s="289"/>
      <c r="H118" s="206"/>
    </row>
    <row r="119" spans="1:8" s="258" customFormat="1">
      <c r="A119" s="274" t="s">
        <v>353</v>
      </c>
      <c r="G119" s="288">
        <f>+G100+G117</f>
        <v>1414</v>
      </c>
      <c r="H119" s="206"/>
    </row>
    <row r="120" spans="1:8">
      <c r="G120" s="360"/>
      <c r="H120" s="206"/>
    </row>
    <row r="121" spans="1:8">
      <c r="A121" s="274" t="s">
        <v>507</v>
      </c>
      <c r="G121" s="359"/>
      <c r="H121" s="206"/>
    </row>
    <row r="122" spans="1:8">
      <c r="A122" s="351" t="s">
        <v>193</v>
      </c>
      <c r="G122" s="359"/>
      <c r="H122" s="206"/>
    </row>
    <row r="123" spans="1:8">
      <c r="B123" s="389">
        <v>43769</v>
      </c>
      <c r="C123" s="305" t="s">
        <v>186</v>
      </c>
      <c r="D123" s="305">
        <v>256</v>
      </c>
      <c r="E123" s="305"/>
      <c r="F123" s="305" t="s">
        <v>192</v>
      </c>
      <c r="G123" s="371">
        <v>274</v>
      </c>
      <c r="H123" s="206"/>
    </row>
    <row r="124" spans="1:8">
      <c r="A124" s="351" t="s">
        <v>467</v>
      </c>
      <c r="G124" s="355">
        <f>SUM(G123)</f>
        <v>274</v>
      </c>
      <c r="H124" s="206"/>
    </row>
    <row r="125" spans="1:8">
      <c r="G125" s="360"/>
      <c r="H125" s="206"/>
    </row>
    <row r="126" spans="1:8">
      <c r="A126" s="274" t="s">
        <v>334</v>
      </c>
      <c r="G126" s="362"/>
      <c r="H126" s="206"/>
    </row>
    <row r="127" spans="1:8">
      <c r="A127" s="351" t="s">
        <v>217</v>
      </c>
      <c r="G127" s="359"/>
      <c r="H127" s="206"/>
    </row>
    <row r="128" spans="1:8">
      <c r="A128" s="351" t="s">
        <v>407</v>
      </c>
      <c r="G128" s="359"/>
      <c r="H128" s="206"/>
    </row>
    <row r="129" spans="1:8">
      <c r="B129" s="389">
        <v>43769</v>
      </c>
      <c r="C129" s="305" t="s">
        <v>186</v>
      </c>
      <c r="D129" s="305">
        <v>252</v>
      </c>
      <c r="E129" s="305"/>
      <c r="F129" s="305" t="s">
        <v>216</v>
      </c>
      <c r="G129" s="371">
        <v>0</v>
      </c>
      <c r="H129" s="206"/>
    </row>
    <row r="130" spans="1:8">
      <c r="A130" s="351" t="s">
        <v>476</v>
      </c>
      <c r="G130" s="360">
        <f>SUM(G129)</f>
        <v>0</v>
      </c>
      <c r="H130" s="206"/>
    </row>
    <row r="131" spans="1:8">
      <c r="A131" s="351" t="s">
        <v>534</v>
      </c>
      <c r="G131" s="359"/>
      <c r="H131" s="206"/>
    </row>
    <row r="132" spans="1:8">
      <c r="B132" s="305" t="s">
        <v>523</v>
      </c>
      <c r="C132" s="305" t="s">
        <v>533</v>
      </c>
      <c r="D132" s="305" t="s">
        <v>532</v>
      </c>
      <c r="E132" s="305" t="s">
        <v>531</v>
      </c>
      <c r="F132" s="305" t="s">
        <v>530</v>
      </c>
      <c r="G132" s="371">
        <v>72</v>
      </c>
      <c r="H132" s="206" t="s">
        <v>561</v>
      </c>
    </row>
    <row r="133" spans="1:8">
      <c r="A133" s="351" t="s">
        <v>529</v>
      </c>
      <c r="G133" s="360">
        <v>72</v>
      </c>
      <c r="H133" s="206"/>
    </row>
    <row r="134" spans="1:8">
      <c r="A134" s="351" t="s">
        <v>203</v>
      </c>
      <c r="G134" s="359"/>
      <c r="H134" s="206"/>
    </row>
    <row r="135" spans="1:8">
      <c r="B135" s="389">
        <v>43769</v>
      </c>
      <c r="C135" s="305" t="s">
        <v>186</v>
      </c>
      <c r="D135" s="305">
        <v>254</v>
      </c>
      <c r="E135" s="305"/>
      <c r="F135" s="305" t="s">
        <v>202</v>
      </c>
      <c r="G135" s="371">
        <v>35</v>
      </c>
      <c r="H135" s="206"/>
    </row>
    <row r="136" spans="1:8">
      <c r="A136" s="351" t="s">
        <v>201</v>
      </c>
      <c r="G136" s="360">
        <f>SUM(G135)</f>
        <v>35</v>
      </c>
      <c r="H136" s="206"/>
    </row>
    <row r="137" spans="1:8">
      <c r="A137" s="351" t="s">
        <v>470</v>
      </c>
      <c r="G137" s="355">
        <f>+G130+G133+G136</f>
        <v>107</v>
      </c>
      <c r="H137" s="206"/>
    </row>
    <row r="138" spans="1:8">
      <c r="G138" s="362"/>
      <c r="H138" s="206"/>
    </row>
    <row r="139" spans="1:8">
      <c r="A139" s="351"/>
      <c r="G139" s="362"/>
      <c r="H139" s="206"/>
    </row>
    <row r="140" spans="1:8">
      <c r="A140" s="221" t="s">
        <v>338</v>
      </c>
      <c r="G140" s="359"/>
      <c r="H140" s="206"/>
    </row>
    <row r="141" spans="1:8">
      <c r="A141" s="351" t="s">
        <v>210</v>
      </c>
      <c r="G141" s="359"/>
      <c r="H141" s="206"/>
    </row>
    <row r="142" spans="1:8">
      <c r="A142" s="351" t="s">
        <v>209</v>
      </c>
      <c r="G142" s="359"/>
      <c r="H142" s="206"/>
    </row>
    <row r="143" spans="1:8">
      <c r="B143" s="305" t="s">
        <v>543</v>
      </c>
      <c r="C143" s="305" t="s">
        <v>174</v>
      </c>
      <c r="D143" s="305" t="s">
        <v>542</v>
      </c>
      <c r="E143" s="305" t="s">
        <v>433</v>
      </c>
      <c r="F143" s="305" t="s">
        <v>541</v>
      </c>
      <c r="G143" s="371">
        <v>116.16</v>
      </c>
      <c r="H143" s="206">
        <v>12639</v>
      </c>
    </row>
    <row r="144" spans="1:8">
      <c r="A144" s="351" t="s">
        <v>207</v>
      </c>
      <c r="G144" s="360">
        <f>SUM(G143)</f>
        <v>116.16</v>
      </c>
      <c r="H144" s="206"/>
    </row>
    <row r="145" spans="1:8">
      <c r="A145" s="351" t="s">
        <v>540</v>
      </c>
      <c r="G145" s="359"/>
      <c r="H145" s="206"/>
    </row>
    <row r="146" spans="1:8">
      <c r="B146" s="305" t="s">
        <v>539</v>
      </c>
      <c r="C146" s="305" t="s">
        <v>533</v>
      </c>
      <c r="D146" s="305" t="s">
        <v>538</v>
      </c>
      <c r="E146" s="305" t="s">
        <v>537</v>
      </c>
      <c r="F146" s="305" t="s">
        <v>536</v>
      </c>
      <c r="G146" s="371">
        <v>80.849999999999994</v>
      </c>
      <c r="H146" s="206" t="s">
        <v>561</v>
      </c>
    </row>
    <row r="147" spans="1:8">
      <c r="A147" s="351" t="s">
        <v>535</v>
      </c>
      <c r="G147" s="360">
        <f>SUM(G146)</f>
        <v>80.849999999999994</v>
      </c>
      <c r="H147" s="206"/>
    </row>
    <row r="148" spans="1:8">
      <c r="A148" s="351" t="s">
        <v>206</v>
      </c>
      <c r="G148" s="359"/>
      <c r="H148" s="206"/>
    </row>
    <row r="149" spans="1:8">
      <c r="B149" s="389">
        <v>43769</v>
      </c>
      <c r="C149" s="305" t="s">
        <v>186</v>
      </c>
      <c r="D149" s="305">
        <v>262</v>
      </c>
      <c r="E149" s="305"/>
      <c r="F149" s="305" t="s">
        <v>205</v>
      </c>
      <c r="G149" s="371">
        <v>158</v>
      </c>
      <c r="H149" s="206"/>
    </row>
    <row r="150" spans="1:8">
      <c r="A150" s="351" t="s">
        <v>204</v>
      </c>
      <c r="G150" s="360">
        <f>SUM(G149)</f>
        <v>158</v>
      </c>
      <c r="H150" s="206"/>
    </row>
    <row r="152" spans="1:8">
      <c r="A152" s="351" t="s">
        <v>471</v>
      </c>
      <c r="G152" s="355">
        <f>+G144+G147+G150</f>
        <v>355.01</v>
      </c>
      <c r="H152" s="206"/>
    </row>
    <row r="153" spans="1:8">
      <c r="G153" s="362"/>
      <c r="H153" s="206"/>
    </row>
    <row r="154" spans="1:8">
      <c r="A154" s="351"/>
      <c r="G154" s="362"/>
      <c r="H154" s="206"/>
    </row>
    <row r="155" spans="1:8">
      <c r="A155" s="363" t="s">
        <v>188</v>
      </c>
      <c r="G155" s="359"/>
      <c r="H155" s="206"/>
    </row>
    <row r="156" spans="1:8">
      <c r="B156" s="389">
        <v>43769</v>
      </c>
      <c r="C156" s="305" t="s">
        <v>186</v>
      </c>
      <c r="D156" s="305">
        <v>258</v>
      </c>
      <c r="E156" s="305"/>
      <c r="F156" s="305" t="s">
        <v>185</v>
      </c>
      <c r="G156" s="371">
        <v>443</v>
      </c>
      <c r="H156" s="206"/>
    </row>
    <row r="157" spans="1:8">
      <c r="A157" s="351" t="s">
        <v>463</v>
      </c>
      <c r="G157" s="355">
        <f>SUM(G156)</f>
        <v>443</v>
      </c>
      <c r="H157" s="206"/>
    </row>
    <row r="158" spans="1:8">
      <c r="A158" s="351"/>
      <c r="G158" s="360"/>
      <c r="H158" s="206"/>
    </row>
    <row r="159" spans="1:8" s="269" customFormat="1">
      <c r="A159" s="400" t="s">
        <v>441</v>
      </c>
      <c r="G159" s="330"/>
      <c r="H159" s="305"/>
    </row>
    <row r="160" spans="1:8" s="269" customFormat="1">
      <c r="A160" s="299" t="s">
        <v>392</v>
      </c>
      <c r="G160" s="325"/>
      <c r="H160" s="305"/>
    </row>
    <row r="161" spans="1:8" s="269" customFormat="1">
      <c r="B161" s="390">
        <v>43769</v>
      </c>
      <c r="C161" s="301" t="s">
        <v>186</v>
      </c>
      <c r="D161" s="301">
        <v>196</v>
      </c>
      <c r="E161" s="301"/>
      <c r="F161" s="301" t="s">
        <v>151</v>
      </c>
      <c r="G161" s="399">
        <v>34</v>
      </c>
      <c r="H161" s="305"/>
    </row>
    <row r="162" spans="1:8" s="269" customFormat="1">
      <c r="A162" s="400" t="s">
        <v>442</v>
      </c>
      <c r="G162" s="311">
        <f>SUM(G161)</f>
        <v>34</v>
      </c>
      <c r="H162" s="305"/>
    </row>
    <row r="163" spans="1:8" s="269" customFormat="1">
      <c r="G163" s="325"/>
      <c r="H163" s="305"/>
    </row>
    <row r="164" spans="1:8">
      <c r="A164" s="351" t="s">
        <v>349</v>
      </c>
      <c r="G164" s="359"/>
      <c r="H164" s="206"/>
    </row>
    <row r="165" spans="1:8">
      <c r="B165" s="305" t="s">
        <v>517</v>
      </c>
      <c r="C165" s="305" t="s">
        <v>186</v>
      </c>
      <c r="D165" s="305" t="s">
        <v>516</v>
      </c>
      <c r="E165" s="305"/>
      <c r="F165" s="305" t="s">
        <v>515</v>
      </c>
      <c r="G165" s="371">
        <v>6922.5</v>
      </c>
      <c r="H165" s="206"/>
    </row>
    <row r="166" spans="1:8">
      <c r="A166" s="351" t="s">
        <v>346</v>
      </c>
      <c r="G166" s="355">
        <f>SUM(G165)</f>
        <v>6922.5</v>
      </c>
      <c r="H166" s="206"/>
    </row>
    <row r="167" spans="1:8">
      <c r="H167" s="206"/>
    </row>
    <row r="168" spans="1:8">
      <c r="H168" s="206"/>
    </row>
    <row r="169" spans="1:8">
      <c r="A169" s="593" t="s">
        <v>567</v>
      </c>
      <c r="B169" s="593"/>
      <c r="C169" s="593"/>
      <c r="D169" s="593"/>
      <c r="E169" s="593"/>
      <c r="F169" s="593"/>
      <c r="G169" s="593"/>
      <c r="H169" s="593"/>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130</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xSplit="1" ySplit="5" topLeftCell="B67" activePane="bottomRight" state="frozen"/>
      <selection pane="topRight" activeCell="B1" sqref="B1"/>
      <selection pane="bottomLeft" activeCell="A6" sqref="A6"/>
      <selection pane="bottomRight" activeCell="A76" sqref="A76:XFD83"/>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43770</v>
      </c>
      <c r="H1" s="557"/>
      <c r="I1" s="106" t="s">
        <v>49</v>
      </c>
    </row>
    <row r="2" spans="1:9" ht="21">
      <c r="A2" s="37" t="s">
        <v>152</v>
      </c>
      <c r="B2" s="35"/>
      <c r="C2" s="35"/>
      <c r="D2" s="36"/>
      <c r="E2" s="437" t="s">
        <v>52</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Allocations'!F208</f>
        <v>1892.31</v>
      </c>
      <c r="C6" s="140"/>
      <c r="D6" s="141"/>
      <c r="E6" s="142">
        <f>SUM(B6:D6)</f>
        <v>1892.31</v>
      </c>
      <c r="F6" s="143">
        <f>E6+'Oct-2019'!F6</f>
        <v>6623.08</v>
      </c>
      <c r="G6" s="143">
        <v>16400</v>
      </c>
      <c r="H6" s="144">
        <f>G6-F6</f>
        <v>9776.92</v>
      </c>
      <c r="I6" s="108">
        <f>F6/G6</f>
        <v>0.40384634146341464</v>
      </c>
    </row>
    <row r="7" spans="1:9" s="103" customFormat="1" ht="25.5" customHeight="1">
      <c r="A7" s="138" t="s">
        <v>146</v>
      </c>
      <c r="B7" s="139">
        <f>+'Salaries &amp; Fringe Allocations'!F209</f>
        <v>3107.14</v>
      </c>
      <c r="C7" s="140"/>
      <c r="D7" s="141">
        <f>+'Salaries &amp; Fringe Allocations'!F210</f>
        <v>4392.8599999999997</v>
      </c>
      <c r="E7" s="142">
        <f t="shared" ref="E7:E12" si="0">SUM(B7:D7)</f>
        <v>7500</v>
      </c>
      <c r="F7" s="143">
        <f>E7+'Oct-2019'!F7</f>
        <v>26250</v>
      </c>
      <c r="G7" s="143">
        <v>66000</v>
      </c>
      <c r="H7" s="144">
        <f>G7-F7</f>
        <v>39750</v>
      </c>
      <c r="I7" s="108">
        <f t="shared" ref="I7:I20" si="1">F7/G7</f>
        <v>0.39772727272727271</v>
      </c>
    </row>
    <row r="8" spans="1:9" s="103" customFormat="1" ht="25.5" customHeight="1">
      <c r="A8" s="138" t="s">
        <v>155</v>
      </c>
      <c r="B8" s="139"/>
      <c r="C8" s="140"/>
      <c r="D8" s="141">
        <f>+'Salaries &amp; Fringe Allocations'!F211</f>
        <v>4615.41</v>
      </c>
      <c r="E8" s="142">
        <f t="shared" si="0"/>
        <v>4615.41</v>
      </c>
      <c r="F8" s="143">
        <f>E8+'Oct-2019'!F8</f>
        <v>14615.470000000001</v>
      </c>
      <c r="G8" s="143">
        <v>40000</v>
      </c>
      <c r="H8" s="144">
        <f t="shared" ref="H8:H12" si="2">G8-F8</f>
        <v>25384.53</v>
      </c>
      <c r="I8" s="108">
        <f t="shared" si="1"/>
        <v>0.36538675000000004</v>
      </c>
    </row>
    <row r="9" spans="1:9" s="103" customFormat="1" ht="25.5" customHeight="1">
      <c r="A9" s="138" t="s">
        <v>147</v>
      </c>
      <c r="B9" s="139"/>
      <c r="C9" s="140"/>
      <c r="D9" s="141">
        <f>+'Salaries &amp; Fringe Allocations'!F212</f>
        <v>3461.55</v>
      </c>
      <c r="E9" s="142">
        <f t="shared" si="0"/>
        <v>3461.55</v>
      </c>
      <c r="F9" s="143">
        <f>E9+'Oct-2019'!F9</f>
        <v>11423.23</v>
      </c>
      <c r="G9" s="143">
        <v>30000</v>
      </c>
      <c r="H9" s="144">
        <f t="shared" si="2"/>
        <v>18576.77</v>
      </c>
      <c r="I9" s="108">
        <f t="shared" si="1"/>
        <v>0.38077433333333333</v>
      </c>
    </row>
    <row r="10" spans="1:9" s="103" customFormat="1" ht="25.5" customHeight="1">
      <c r="A10" s="138" t="s">
        <v>568</v>
      </c>
      <c r="B10" s="139"/>
      <c r="C10" s="140"/>
      <c r="D10" s="141">
        <f>+'Salaries &amp; Fringe Allocations'!F213</f>
        <v>2163</v>
      </c>
      <c r="E10" s="142">
        <f t="shared" si="0"/>
        <v>2163</v>
      </c>
      <c r="F10" s="143">
        <f>E10+'Oct-2019'!F10</f>
        <v>7959.84</v>
      </c>
      <c r="G10" s="143">
        <v>21500</v>
      </c>
      <c r="H10" s="144">
        <f t="shared" si="2"/>
        <v>13540.16</v>
      </c>
      <c r="I10" s="108">
        <f t="shared" si="1"/>
        <v>0.37022511627906979</v>
      </c>
    </row>
    <row r="11" spans="1:9" s="103" customFormat="1" ht="25.5" customHeight="1">
      <c r="A11" s="138" t="s">
        <v>148</v>
      </c>
      <c r="B11" s="139">
        <f>+'Salaries &amp; Fringe Allocations'!F214</f>
        <v>1291.22</v>
      </c>
      <c r="C11" s="140"/>
      <c r="D11" s="141">
        <f>+'Salaries &amp; Fringe Allocations'!F215</f>
        <v>2362.65</v>
      </c>
      <c r="E11" s="142">
        <f t="shared" si="0"/>
        <v>3653.87</v>
      </c>
      <c r="F11" s="143">
        <f>E11+'Oct-2019'!F11</f>
        <v>10638.54</v>
      </c>
      <c r="G11" s="143">
        <v>36000</v>
      </c>
      <c r="H11" s="144">
        <f t="shared" si="2"/>
        <v>25361.46</v>
      </c>
      <c r="I11" s="108">
        <f t="shared" si="1"/>
        <v>0.29551500000000003</v>
      </c>
    </row>
    <row r="12" spans="1:9" s="103" customFormat="1" ht="25.5" customHeight="1">
      <c r="A12" s="138" t="s">
        <v>363</v>
      </c>
      <c r="B12" s="139">
        <f>+'Salaries &amp; Fringe Allocations'!F216</f>
        <v>1057.69</v>
      </c>
      <c r="C12" s="140"/>
      <c r="D12" s="141"/>
      <c r="E12" s="142">
        <f t="shared" si="0"/>
        <v>1057.69</v>
      </c>
      <c r="F12" s="143">
        <f>E12+'Oct-2019'!F12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169</v>
      </c>
      <c r="B23" s="139"/>
      <c r="C23" s="140"/>
      <c r="D23" s="141">
        <f>+'Nov-19 GL'!G84</f>
        <v>396.02</v>
      </c>
      <c r="E23" s="142">
        <f>SUM(B23:D23)</f>
        <v>396.02</v>
      </c>
      <c r="F23" s="143">
        <f>E23+'Oct-2019'!F23</f>
        <v>1534.8999999999999</v>
      </c>
      <c r="G23" s="143">
        <v>4000</v>
      </c>
      <c r="H23" s="144">
        <f>G23-F23</f>
        <v>2465.1000000000004</v>
      </c>
      <c r="I23" s="108">
        <f t="shared" ref="I23:I37" si="6">F23/G23</f>
        <v>0.38372499999999998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2743.69</v>
      </c>
      <c r="G26" s="143">
        <v>13200</v>
      </c>
      <c r="H26" s="144">
        <f t="shared" si="8"/>
        <v>10456.31</v>
      </c>
      <c r="I26" s="108">
        <f t="shared" si="6"/>
        <v>0.20785530303030303</v>
      </c>
      <c r="J26" s="102"/>
    </row>
    <row r="27" spans="1:10" s="103" customFormat="1" ht="24" customHeight="1">
      <c r="A27" s="161" t="s">
        <v>41</v>
      </c>
      <c r="B27" s="139">
        <f>+'Nov-19 GL'!G128</f>
        <v>539</v>
      </c>
      <c r="C27" s="140"/>
      <c r="D27" s="141">
        <f>+'Nov-19 GL'!G112</f>
        <v>648</v>
      </c>
      <c r="E27" s="142">
        <f t="shared" si="7"/>
        <v>1187</v>
      </c>
      <c r="F27" s="143">
        <f>E27+'Oct-2019'!F27</f>
        <v>5380.27</v>
      </c>
      <c r="G27" s="143">
        <v>12000</v>
      </c>
      <c r="H27" s="144">
        <f t="shared" si="8"/>
        <v>6619.73</v>
      </c>
      <c r="I27" s="108">
        <f t="shared" si="6"/>
        <v>0.44835583333333334</v>
      </c>
      <c r="J27" s="102"/>
    </row>
    <row r="28" spans="1:10" s="103" customFormat="1" ht="24" customHeight="1">
      <c r="A28" s="161" t="s">
        <v>42</v>
      </c>
      <c r="B28" s="139">
        <f>+'Nov-19 GL'!G107</f>
        <v>770</v>
      </c>
      <c r="C28" s="9"/>
      <c r="D28" s="9"/>
      <c r="E28" s="142">
        <f>SUM(B28:D28)</f>
        <v>770</v>
      </c>
      <c r="F28" s="143">
        <f>E28+'Oct-2019'!F28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1621.95</v>
      </c>
      <c r="G30" s="143">
        <v>6475</v>
      </c>
      <c r="H30" s="144">
        <f t="shared" si="8"/>
        <v>4853.05</v>
      </c>
      <c r="I30" s="108">
        <f t="shared" si="6"/>
        <v>0.2504942084942085</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81</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1787.8200000000002</v>
      </c>
      <c r="G33" s="143">
        <v>3000.7</v>
      </c>
      <c r="H33" s="144">
        <f>G33-F33</f>
        <v>1212.8799999999997</v>
      </c>
      <c r="I33" s="108">
        <f t="shared" si="6"/>
        <v>0.5958009797713868</v>
      </c>
      <c r="J33" s="102"/>
    </row>
    <row r="34" spans="1:10" s="103" customFormat="1" ht="24" customHeight="1">
      <c r="A34" s="162" t="s">
        <v>77</v>
      </c>
      <c r="B34" s="139">
        <f>+'Nov-19 GL'!G162</f>
        <v>261.01</v>
      </c>
      <c r="C34" s="140"/>
      <c r="D34" s="141"/>
      <c r="E34" s="142">
        <f t="shared" si="7"/>
        <v>261.01</v>
      </c>
      <c r="F34" s="143">
        <f>E34+'Oct-2019'!F34</f>
        <v>1297.03</v>
      </c>
      <c r="G34" s="143">
        <v>3000</v>
      </c>
      <c r="H34" s="144">
        <f t="shared" si="4"/>
        <v>1702.97</v>
      </c>
      <c r="I34" s="108">
        <f t="shared" si="6"/>
        <v>0.4323433333333333</v>
      </c>
      <c r="J34" s="102"/>
    </row>
    <row r="35" spans="1:10" s="103" customFormat="1" ht="24" customHeight="1">
      <c r="A35" s="162" t="s">
        <v>150</v>
      </c>
      <c r="B35" s="139">
        <f>+'Nov-19 GL'!G167</f>
        <v>597</v>
      </c>
      <c r="C35" s="140"/>
      <c r="D35" s="141"/>
      <c r="E35" s="142">
        <f t="shared" si="7"/>
        <v>597</v>
      </c>
      <c r="F35" s="143">
        <f>E35+'Oct-2019'!F35</f>
        <v>2354.7200000000003</v>
      </c>
      <c r="G35" s="143">
        <v>4000</v>
      </c>
      <c r="H35" s="144">
        <f t="shared" si="4"/>
        <v>1645.2799999999997</v>
      </c>
      <c r="I35" s="108">
        <f t="shared" si="6"/>
        <v>0.58868000000000009</v>
      </c>
      <c r="J35" s="102"/>
    </row>
    <row r="36" spans="1:10" s="103" customFormat="1" ht="24" customHeight="1">
      <c r="A36" s="162" t="s">
        <v>151</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+'Nov-19 GL'!G11</f>
        <v>93666.89</v>
      </c>
      <c r="D41" s="170"/>
      <c r="E41" s="171">
        <f>SUM(B41:D41)</f>
        <v>93666.89</v>
      </c>
      <c r="F41" s="143">
        <f>E41+'Oct-2019'!F41</f>
        <v>434260.37</v>
      </c>
      <c r="G41" s="144">
        <v>1452829.24</v>
      </c>
      <c r="H41" s="144">
        <f>G41-F41-F42</f>
        <v>1016408.24</v>
      </c>
      <c r="I41" s="108">
        <f t="shared" ref="I41:I56" si="13">F41/G41</f>
        <v>0.29890668362374095</v>
      </c>
    </row>
    <row r="42" spans="1:10" s="168" customFormat="1" ht="21.75" customHeight="1">
      <c r="A42" s="138" t="s">
        <v>83</v>
      </c>
      <c r="B42" s="139"/>
      <c r="C42" s="170"/>
      <c r="D42" s="170"/>
      <c r="E42" s="171">
        <f>SUM(B42:D42)</f>
        <v>0</v>
      </c>
      <c r="F42" s="143">
        <f>+E42+'Oct-2019'!F42</f>
        <v>2160.63</v>
      </c>
      <c r="G42" s="144"/>
      <c r="H42" s="144"/>
      <c r="I42" s="108"/>
    </row>
    <row r="43" spans="1:10" s="168" customFormat="1" ht="21.75" customHeight="1">
      <c r="A43" s="138" t="s">
        <v>80</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78</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79</v>
      </c>
      <c r="B46" s="139"/>
      <c r="C46" s="140"/>
      <c r="D46" s="140"/>
      <c r="E46" s="172">
        <f t="shared" si="14"/>
        <v>0</v>
      </c>
      <c r="F46" s="143">
        <f>E46+'Oct-2019'!F46</f>
        <v>0</v>
      </c>
      <c r="G46" s="144">
        <v>8500</v>
      </c>
      <c r="H46" s="144">
        <f t="shared" si="15"/>
        <v>8500</v>
      </c>
      <c r="I46" s="108">
        <f t="shared" si="13"/>
        <v>0</v>
      </c>
    </row>
    <row r="47" spans="1:10" s="168" customFormat="1" ht="21.75" customHeight="1">
      <c r="A47" s="138" t="s">
        <v>168</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8" customHeight="1">
      <c r="A50" s="10" t="s">
        <v>157</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613465.20153087797</v>
      </c>
      <c r="G52" s="77">
        <f>G37+G20+G48+G50</f>
        <v>2013608.54</v>
      </c>
      <c r="H52" s="77">
        <f>H37+H20+H48+H50</f>
        <v>1400143.3384691223</v>
      </c>
      <c r="I52" s="110">
        <f t="shared" si="13"/>
        <v>0.30465961449035073</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643099.63153087802</v>
      </c>
      <c r="G56" s="77">
        <f t="shared" si="18"/>
        <v>2256075.86</v>
      </c>
      <c r="H56" s="77">
        <f t="shared" si="18"/>
        <v>1612976.2284691222</v>
      </c>
      <c r="I56" s="110">
        <f t="shared" si="13"/>
        <v>0.28505230827250555</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v>43811</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5"/>
  <sheetViews>
    <sheetView workbookViewId="0">
      <pane ySplit="5" topLeftCell="A96" activePane="bottomLeft" state="frozen"/>
      <selection pane="bottomLeft" activeCell="D93" sqref="D93"/>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597" t="s">
        <v>277</v>
      </c>
      <c r="B1" s="597"/>
      <c r="C1" s="597"/>
      <c r="D1" s="597"/>
      <c r="E1" s="597"/>
      <c r="F1" s="597"/>
      <c r="G1" s="597"/>
      <c r="H1" s="597"/>
    </row>
    <row r="2" spans="1:8" ht="20.25" customHeight="1">
      <c r="A2" s="597" t="s">
        <v>276</v>
      </c>
      <c r="B2" s="597"/>
      <c r="C2" s="597"/>
      <c r="D2" s="597"/>
      <c r="E2" s="597"/>
      <c r="F2" s="597"/>
      <c r="G2" s="597"/>
      <c r="H2" s="597"/>
    </row>
    <row r="3" spans="1:8" ht="20.25" customHeight="1">
      <c r="A3" s="598" t="s">
        <v>616</v>
      </c>
      <c r="B3" s="598"/>
      <c r="C3" s="598"/>
      <c r="D3" s="598"/>
      <c r="E3" s="598"/>
      <c r="F3" s="598"/>
      <c r="G3" s="598"/>
      <c r="H3" s="598"/>
    </row>
    <row r="5" spans="1:8" ht="24">
      <c r="A5" s="304"/>
      <c r="B5" s="417" t="s">
        <v>153</v>
      </c>
      <c r="C5" s="418" t="s">
        <v>430</v>
      </c>
      <c r="D5" s="417" t="s">
        <v>274</v>
      </c>
      <c r="E5" s="417" t="s">
        <v>273</v>
      </c>
      <c r="F5" s="417" t="s">
        <v>272</v>
      </c>
      <c r="G5" s="416" t="s">
        <v>271</v>
      </c>
      <c r="H5" s="415" t="s">
        <v>278</v>
      </c>
    </row>
    <row r="6" spans="1:8" ht="15" customHeight="1">
      <c r="A6" s="414"/>
      <c r="H6" s="419"/>
    </row>
    <row r="7" spans="1:8" s="407" customFormat="1" ht="15" customHeight="1">
      <c r="A7" s="410" t="s">
        <v>270</v>
      </c>
      <c r="H7" s="412"/>
    </row>
    <row r="8" spans="1:8" s="407" customFormat="1" ht="15" customHeight="1">
      <c r="A8" s="410" t="s">
        <v>269</v>
      </c>
      <c r="H8" s="412"/>
    </row>
    <row r="9" spans="1:8" s="407" customFormat="1" ht="15" customHeight="1">
      <c r="B9" s="412" t="s">
        <v>606</v>
      </c>
      <c r="C9" s="412" t="s">
        <v>186</v>
      </c>
      <c r="D9" s="412">
        <v>60</v>
      </c>
      <c r="E9" s="412"/>
      <c r="F9" s="412" t="s">
        <v>615</v>
      </c>
      <c r="G9" s="411">
        <v>46928.89</v>
      </c>
      <c r="H9" s="412"/>
    </row>
    <row r="10" spans="1:8" s="407" customFormat="1" ht="15" customHeight="1">
      <c r="B10" s="412" t="s">
        <v>613</v>
      </c>
      <c r="C10" s="412" t="s">
        <v>186</v>
      </c>
      <c r="D10" s="412">
        <v>61</v>
      </c>
      <c r="E10" s="412"/>
      <c r="F10" s="412" t="s">
        <v>614</v>
      </c>
      <c r="G10" s="411">
        <v>46738</v>
      </c>
      <c r="H10" s="412"/>
    </row>
    <row r="11" spans="1:8" s="407" customFormat="1" ht="15" customHeight="1">
      <c r="A11" s="410" t="s">
        <v>557</v>
      </c>
      <c r="G11" s="409">
        <f>SUM(G9:G10)</f>
        <v>93666.89</v>
      </c>
      <c r="H11" s="412"/>
    </row>
    <row r="12" spans="1:8" s="407" customFormat="1" ht="15" customHeight="1">
      <c r="A12" s="410" t="s">
        <v>262</v>
      </c>
      <c r="H12" s="419"/>
    </row>
    <row r="13" spans="1:8" s="407" customFormat="1" ht="15" customHeight="1">
      <c r="B13" s="412" t="s">
        <v>606</v>
      </c>
      <c r="C13" s="412" t="s">
        <v>186</v>
      </c>
      <c r="D13" s="412">
        <v>60</v>
      </c>
      <c r="E13" s="412"/>
      <c r="F13" s="412" t="s">
        <v>419</v>
      </c>
      <c r="G13" s="411">
        <v>3602.67</v>
      </c>
      <c r="H13" s="419"/>
    </row>
    <row r="14" spans="1:8" s="407" customFormat="1" ht="15" customHeight="1">
      <c r="B14" s="412" t="s">
        <v>613</v>
      </c>
      <c r="C14" s="412" t="s">
        <v>186</v>
      </c>
      <c r="D14" s="412">
        <v>61</v>
      </c>
      <c r="E14" s="412"/>
      <c r="F14" s="412" t="s">
        <v>419</v>
      </c>
      <c r="G14" s="411">
        <v>1215.99</v>
      </c>
      <c r="H14" s="412"/>
    </row>
    <row r="15" spans="1:8" s="407" customFormat="1" ht="15" customHeight="1">
      <c r="A15" s="410" t="s">
        <v>261</v>
      </c>
      <c r="G15" s="409">
        <f>SUM(G13:G14)</f>
        <v>4818.66</v>
      </c>
      <c r="H15" s="419"/>
    </row>
    <row r="16" spans="1:8" s="407" customFormat="1" ht="15" customHeight="1">
      <c r="A16" s="410" t="s">
        <v>340</v>
      </c>
      <c r="H16" s="419"/>
    </row>
    <row r="17" spans="1:8" s="407" customFormat="1" ht="15" customHeight="1">
      <c r="B17" s="412" t="s">
        <v>589</v>
      </c>
      <c r="C17" s="412" t="s">
        <v>186</v>
      </c>
      <c r="D17" s="412">
        <v>56</v>
      </c>
      <c r="E17" s="412"/>
      <c r="F17" s="412" t="s">
        <v>411</v>
      </c>
      <c r="G17" s="411">
        <v>2294</v>
      </c>
      <c r="H17" s="419"/>
    </row>
    <row r="18" spans="1:8" s="407" customFormat="1" ht="15" customHeight="1">
      <c r="A18" s="410" t="s">
        <v>341</v>
      </c>
      <c r="G18" s="409">
        <f>SUM(G17)</f>
        <v>2294</v>
      </c>
      <c r="H18" s="419"/>
    </row>
    <row r="19" spans="1:8" s="407" customFormat="1" ht="15" customHeight="1">
      <c r="A19" s="410" t="s">
        <v>260</v>
      </c>
      <c r="H19" s="419"/>
    </row>
    <row r="20" spans="1:8" s="407" customFormat="1" ht="15" customHeight="1">
      <c r="B20" s="412" t="s">
        <v>606</v>
      </c>
      <c r="C20" s="412" t="s">
        <v>186</v>
      </c>
      <c r="D20" s="412">
        <v>60</v>
      </c>
      <c r="E20" s="412"/>
      <c r="F20" s="412" t="s">
        <v>415</v>
      </c>
      <c r="G20" s="411">
        <v>425.99</v>
      </c>
      <c r="H20" s="419"/>
    </row>
    <row r="21" spans="1:8" s="407" customFormat="1" ht="15" customHeight="1">
      <c r="B21" s="412" t="s">
        <v>613</v>
      </c>
      <c r="C21" s="412" t="s">
        <v>186</v>
      </c>
      <c r="D21" s="412">
        <v>61</v>
      </c>
      <c r="E21" s="412"/>
      <c r="F21" s="412" t="s">
        <v>415</v>
      </c>
      <c r="G21" s="411">
        <v>399.82</v>
      </c>
      <c r="H21" s="419"/>
    </row>
    <row r="22" spans="1:8" s="407" customFormat="1" ht="15" customHeight="1">
      <c r="A22" s="410" t="s">
        <v>253</v>
      </c>
      <c r="G22" s="409">
        <f>SUM(G20:G21)</f>
        <v>825.81</v>
      </c>
      <c r="H22" s="419"/>
    </row>
    <row r="23" spans="1:8" s="407" customFormat="1" ht="15" customHeight="1">
      <c r="A23" s="410" t="s">
        <v>483</v>
      </c>
      <c r="G23" s="409">
        <f>+G11+G15+G18+G22</f>
        <v>101605.36</v>
      </c>
      <c r="H23" s="419"/>
    </row>
    <row r="24" spans="1:8" s="407" customFormat="1" ht="15" customHeight="1">
      <c r="A24" s="410" t="s">
        <v>414</v>
      </c>
      <c r="H24" s="419"/>
    </row>
    <row r="25" spans="1:8" s="407" customFormat="1" ht="15" customHeight="1">
      <c r="A25" s="410" t="s">
        <v>252</v>
      </c>
      <c r="H25" s="419"/>
    </row>
    <row r="26" spans="1:8" s="407" customFormat="1" ht="15" customHeight="1">
      <c r="A26" s="410" t="s">
        <v>552</v>
      </c>
      <c r="H26" s="419"/>
    </row>
    <row r="27" spans="1:8" s="407" customFormat="1" ht="15" customHeight="1">
      <c r="B27" s="412" t="s">
        <v>589</v>
      </c>
      <c r="C27" s="412" t="s">
        <v>186</v>
      </c>
      <c r="D27" s="412">
        <v>39</v>
      </c>
      <c r="E27" s="412"/>
      <c r="F27" s="412" t="s">
        <v>612</v>
      </c>
      <c r="G27" s="411">
        <v>24343</v>
      </c>
      <c r="H27" s="419"/>
    </row>
    <row r="28" spans="1:8" s="407" customFormat="1" ht="15" customHeight="1">
      <c r="A28" s="410" t="s">
        <v>549</v>
      </c>
      <c r="G28" s="409">
        <f>SUM(G27)</f>
        <v>24343</v>
      </c>
      <c r="H28" s="419"/>
    </row>
    <row r="29" spans="1:8" s="407" customFormat="1" ht="15" customHeight="1">
      <c r="A29" s="410" t="s">
        <v>249</v>
      </c>
      <c r="G29" s="409">
        <f>SUM(G28)</f>
        <v>24343</v>
      </c>
      <c r="H29" s="419"/>
    </row>
    <row r="30" spans="1:8" s="407" customFormat="1" ht="15" customHeight="1">
      <c r="A30" s="410" t="s">
        <v>248</v>
      </c>
      <c r="H30" s="419"/>
    </row>
    <row r="31" spans="1:8" s="407" customFormat="1" ht="15" customHeight="1">
      <c r="A31" s="410" t="s">
        <v>247</v>
      </c>
      <c r="H31" s="419"/>
    </row>
    <row r="32" spans="1:8" s="407" customFormat="1" ht="15" customHeight="1">
      <c r="B32" s="412" t="s">
        <v>580</v>
      </c>
      <c r="C32" s="412" t="s">
        <v>174</v>
      </c>
      <c r="D32" s="412">
        <v>292676700</v>
      </c>
      <c r="E32" s="412" t="s">
        <v>480</v>
      </c>
      <c r="F32" s="412" t="s">
        <v>611</v>
      </c>
      <c r="G32" s="411">
        <v>3670.26</v>
      </c>
      <c r="H32" s="419">
        <v>12658</v>
      </c>
    </row>
    <row r="33" spans="1:8" s="407" customFormat="1" ht="15" customHeight="1">
      <c r="A33" s="410" t="s">
        <v>246</v>
      </c>
      <c r="G33" s="409">
        <f>SUM(G32)</f>
        <v>3670.26</v>
      </c>
      <c r="H33" s="419"/>
    </row>
    <row r="34" spans="1:8" s="407" customFormat="1" ht="15" customHeight="1">
      <c r="A34" s="410" t="s">
        <v>245</v>
      </c>
      <c r="H34" s="419"/>
    </row>
    <row r="35" spans="1:8" s="407" customFormat="1" ht="15" customHeight="1">
      <c r="B35" s="412" t="s">
        <v>580</v>
      </c>
      <c r="C35" s="412" t="s">
        <v>174</v>
      </c>
      <c r="D35" s="412" t="s">
        <v>610</v>
      </c>
      <c r="E35" s="412" t="s">
        <v>243</v>
      </c>
      <c r="F35" s="412" t="s">
        <v>564</v>
      </c>
      <c r="G35" s="411">
        <v>557.84649999999999</v>
      </c>
      <c r="H35" s="419">
        <v>12665</v>
      </c>
    </row>
    <row r="36" spans="1:8" s="407" customFormat="1" ht="15" customHeight="1">
      <c r="A36" s="410" t="s">
        <v>241</v>
      </c>
      <c r="G36" s="409">
        <f>SUM(G35)</f>
        <v>557.84649999999999</v>
      </c>
      <c r="H36" s="419"/>
    </row>
    <row r="37" spans="1:8" s="421" customFormat="1" ht="15" customHeight="1">
      <c r="A37" s="420" t="s">
        <v>240</v>
      </c>
      <c r="G37" s="422"/>
      <c r="H37" s="423"/>
    </row>
    <row r="38" spans="1:8" s="421" customFormat="1" ht="15" customHeight="1">
      <c r="B38" s="424">
        <v>43799</v>
      </c>
      <c r="C38" s="423" t="s">
        <v>186</v>
      </c>
      <c r="D38" s="423">
        <v>154</v>
      </c>
      <c r="E38" s="423"/>
      <c r="F38" s="423" t="s">
        <v>325</v>
      </c>
      <c r="G38" s="425">
        <v>-1267.3845142857142</v>
      </c>
      <c r="H38" s="423"/>
    </row>
    <row r="39" spans="1:8" s="421" customFormat="1" ht="15" customHeight="1">
      <c r="A39" s="420" t="s">
        <v>239</v>
      </c>
      <c r="G39" s="426">
        <f>SUM(G38)</f>
        <v>-1267.3845142857142</v>
      </c>
      <c r="H39" s="423"/>
    </row>
    <row r="40" spans="1:8" s="421" customFormat="1" ht="15" customHeight="1">
      <c r="A40" s="420" t="s">
        <v>238</v>
      </c>
      <c r="G40" s="422"/>
      <c r="H40" s="423"/>
    </row>
    <row r="41" spans="1:8" s="421" customFormat="1" ht="15" customHeight="1">
      <c r="B41" s="424">
        <v>43799</v>
      </c>
      <c r="C41" s="423" t="s">
        <v>186</v>
      </c>
      <c r="D41" s="423">
        <v>155</v>
      </c>
      <c r="E41" s="423"/>
      <c r="F41" s="423" t="s">
        <v>237</v>
      </c>
      <c r="G41" s="425">
        <v>-78.878500000000017</v>
      </c>
      <c r="H41" s="423"/>
    </row>
    <row r="42" spans="1:8" s="421" customFormat="1" ht="15" customHeight="1">
      <c r="A42" s="420" t="s">
        <v>236</v>
      </c>
      <c r="G42" s="426">
        <f>SUM(G41)</f>
        <v>-78.878500000000017</v>
      </c>
      <c r="H42" s="423"/>
    </row>
    <row r="43" spans="1:8" s="407" customFormat="1" ht="15" customHeight="1">
      <c r="A43" s="410"/>
      <c r="G43" s="409"/>
      <c r="H43" s="419"/>
    </row>
    <row r="44" spans="1:8" s="407" customFormat="1" ht="15" customHeight="1">
      <c r="A44" s="410" t="s">
        <v>235</v>
      </c>
      <c r="G44" s="409">
        <f>+G33+G36+G39+G42</f>
        <v>2881.8434857142856</v>
      </c>
      <c r="H44" s="419"/>
    </row>
    <row r="46" spans="1:8" s="407" customFormat="1" ht="15" customHeight="1">
      <c r="A46" s="410" t="s">
        <v>234</v>
      </c>
      <c r="H46" s="419"/>
    </row>
    <row r="47" spans="1:8" s="407" customFormat="1" ht="15" customHeight="1">
      <c r="A47" s="410" t="s">
        <v>478</v>
      </c>
      <c r="H47" s="419"/>
    </row>
    <row r="48" spans="1:8" s="407" customFormat="1" ht="15" customHeight="1">
      <c r="B48" s="412" t="s">
        <v>589</v>
      </c>
      <c r="C48" s="412" t="s">
        <v>186</v>
      </c>
      <c r="D48" s="412">
        <v>56</v>
      </c>
      <c r="E48" s="412"/>
      <c r="F48" s="412" t="s">
        <v>411</v>
      </c>
      <c r="G48" s="411">
        <v>576</v>
      </c>
      <c r="H48" s="419"/>
    </row>
    <row r="49" spans="1:8" s="407" customFormat="1" ht="15" customHeight="1">
      <c r="A49" s="410" t="s">
        <v>477</v>
      </c>
      <c r="G49" s="409">
        <f>SUM(G48)</f>
        <v>576</v>
      </c>
      <c r="H49" s="419"/>
    </row>
    <row r="51" spans="1:8" s="359" customFormat="1" ht="14.5">
      <c r="A51" s="274" t="s">
        <v>284</v>
      </c>
      <c r="H51" s="206"/>
    </row>
    <row r="52" spans="1:8" s="407" customFormat="1" ht="15" customHeight="1">
      <c r="A52" s="410" t="s">
        <v>232</v>
      </c>
      <c r="H52" s="419"/>
    </row>
    <row r="53" spans="1:8" s="407" customFormat="1" ht="15" customHeight="1">
      <c r="B53" s="412" t="s">
        <v>589</v>
      </c>
      <c r="C53" s="412" t="s">
        <v>186</v>
      </c>
      <c r="D53" s="412">
        <v>53</v>
      </c>
      <c r="E53" s="412"/>
      <c r="F53" s="412" t="s">
        <v>231</v>
      </c>
      <c r="G53" s="411">
        <v>1411</v>
      </c>
      <c r="H53" s="419"/>
    </row>
    <row r="54" spans="1:8" s="407" customFormat="1" ht="15" customHeight="1">
      <c r="A54" s="410" t="s">
        <v>230</v>
      </c>
      <c r="G54" s="409">
        <f>SUM(G53)</f>
        <v>1411</v>
      </c>
      <c r="H54" s="419"/>
    </row>
    <row r="55" spans="1:8" s="407" customFormat="1" ht="15" customHeight="1">
      <c r="A55" s="410" t="s">
        <v>229</v>
      </c>
      <c r="H55" s="419"/>
    </row>
    <row r="56" spans="1:8" s="407" customFormat="1" ht="15" customHeight="1">
      <c r="B56" s="412" t="s">
        <v>589</v>
      </c>
      <c r="C56" s="412" t="s">
        <v>186</v>
      </c>
      <c r="D56" s="412">
        <v>49</v>
      </c>
      <c r="E56" s="412"/>
      <c r="F56" s="412" t="s">
        <v>228</v>
      </c>
      <c r="G56" s="411">
        <v>344</v>
      </c>
      <c r="H56" s="419"/>
    </row>
    <row r="57" spans="1:8" s="407" customFormat="1" ht="15" customHeight="1">
      <c r="A57" s="410" t="s">
        <v>227</v>
      </c>
      <c r="G57" s="409">
        <f>SUM(G56)</f>
        <v>344</v>
      </c>
      <c r="H57" s="419"/>
    </row>
    <row r="58" spans="1:8" s="407" customFormat="1" ht="15" customHeight="1">
      <c r="A58" s="410" t="s">
        <v>226</v>
      </c>
      <c r="H58" s="419"/>
    </row>
    <row r="59" spans="1:8" s="407" customFormat="1" ht="15" customHeight="1">
      <c r="B59" s="412" t="s">
        <v>589</v>
      </c>
      <c r="C59" s="412" t="s">
        <v>186</v>
      </c>
      <c r="D59" s="412">
        <v>45</v>
      </c>
      <c r="E59" s="412"/>
      <c r="F59" s="412" t="s">
        <v>225</v>
      </c>
      <c r="G59" s="411">
        <v>345</v>
      </c>
      <c r="H59" s="419"/>
    </row>
    <row r="60" spans="1:8" s="407" customFormat="1" ht="15" customHeight="1">
      <c r="A60" s="410" t="s">
        <v>224</v>
      </c>
      <c r="G60" s="409">
        <f>SUM(G59)</f>
        <v>345</v>
      </c>
      <c r="H60" s="419"/>
    </row>
    <row r="61" spans="1:8" s="407" customFormat="1" ht="15" customHeight="1">
      <c r="A61" s="410" t="s">
        <v>223</v>
      </c>
      <c r="H61" s="419"/>
    </row>
    <row r="62" spans="1:8" s="407" customFormat="1" ht="15" customHeight="1">
      <c r="B62" s="412" t="s">
        <v>589</v>
      </c>
      <c r="C62" s="412" t="s">
        <v>186</v>
      </c>
      <c r="D62" s="412">
        <v>54</v>
      </c>
      <c r="E62" s="412"/>
      <c r="F62" s="412" t="s">
        <v>222</v>
      </c>
      <c r="G62" s="411">
        <v>68</v>
      </c>
      <c r="H62" s="419"/>
    </row>
    <row r="63" spans="1:8" s="407" customFormat="1" ht="15" customHeight="1">
      <c r="A63" s="410" t="s">
        <v>221</v>
      </c>
      <c r="G63" s="409">
        <f>SUM(G62)</f>
        <v>68</v>
      </c>
      <c r="H63" s="419"/>
    </row>
    <row r="65" spans="1:8" s="407" customFormat="1" ht="15.75" customHeight="1">
      <c r="A65" s="274" t="s">
        <v>506</v>
      </c>
      <c r="G65" s="427">
        <f>+G54+G57+G60+G63</f>
        <v>2168</v>
      </c>
      <c r="H65" s="419"/>
    </row>
    <row r="66" spans="1:8" s="407" customFormat="1" ht="15" customHeight="1">
      <c r="A66" s="410" t="s">
        <v>409</v>
      </c>
      <c r="H66" s="419"/>
    </row>
    <row r="67" spans="1:8" s="407" customFormat="1" ht="15" customHeight="1">
      <c r="B67" s="412" t="s">
        <v>589</v>
      </c>
      <c r="C67" s="412" t="s">
        <v>186</v>
      </c>
      <c r="D67" s="412">
        <v>47</v>
      </c>
      <c r="E67" s="412"/>
      <c r="F67" s="412" t="s">
        <v>219</v>
      </c>
      <c r="G67" s="411">
        <v>254</v>
      </c>
      <c r="H67" s="419"/>
    </row>
    <row r="68" spans="1:8" s="407" customFormat="1" ht="15" customHeight="1">
      <c r="A68" s="410" t="s">
        <v>408</v>
      </c>
      <c r="G68" s="427">
        <f>SUM(G67)</f>
        <v>254</v>
      </c>
      <c r="H68" s="419"/>
    </row>
    <row r="69" spans="1:8" s="407" customFormat="1" ht="15" customHeight="1">
      <c r="G69" s="409"/>
      <c r="H69" s="419"/>
    </row>
    <row r="70" spans="1:8" s="407" customFormat="1" ht="15" customHeight="1">
      <c r="A70" s="364" t="s">
        <v>546</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379</v>
      </c>
      <c r="G76" s="359"/>
      <c r="H76" s="206"/>
    </row>
    <row r="77" spans="1:8" s="407" customFormat="1" ht="15" customHeight="1">
      <c r="A77" s="410" t="s">
        <v>184</v>
      </c>
      <c r="H77" s="419"/>
    </row>
    <row r="78" spans="1:8" s="407" customFormat="1" ht="15" customHeight="1">
      <c r="B78" s="412" t="s">
        <v>580</v>
      </c>
      <c r="C78" s="412" t="s">
        <v>174</v>
      </c>
      <c r="D78" s="412" t="s">
        <v>587</v>
      </c>
      <c r="E78" s="412" t="s">
        <v>370</v>
      </c>
      <c r="F78" s="412" t="s">
        <v>586</v>
      </c>
      <c r="G78" s="411">
        <v>30.24</v>
      </c>
      <c r="H78" s="419">
        <v>12646</v>
      </c>
    </row>
    <row r="79" spans="1:8" s="407" customFormat="1" ht="15" customHeight="1">
      <c r="B79" s="412" t="s">
        <v>580</v>
      </c>
      <c r="C79" s="412" t="s">
        <v>174</v>
      </c>
      <c r="D79" s="412" t="s">
        <v>585</v>
      </c>
      <c r="E79" s="412" t="s">
        <v>373</v>
      </c>
      <c r="F79" s="412" t="s">
        <v>584</v>
      </c>
      <c r="G79" s="411">
        <v>28.94</v>
      </c>
      <c r="H79" s="419">
        <v>12647</v>
      </c>
    </row>
    <row r="80" spans="1:8" s="407" customFormat="1" ht="15" customHeight="1">
      <c r="B80" s="412" t="s">
        <v>580</v>
      </c>
      <c r="C80" s="412" t="s">
        <v>174</v>
      </c>
      <c r="D80" s="412" t="s">
        <v>583</v>
      </c>
      <c r="E80" s="412" t="s">
        <v>373</v>
      </c>
      <c r="F80" s="412" t="s">
        <v>582</v>
      </c>
      <c r="G80" s="411">
        <v>28.94</v>
      </c>
      <c r="H80" s="419">
        <v>12647</v>
      </c>
    </row>
    <row r="81" spans="1:8" s="407" customFormat="1" ht="15" customHeight="1">
      <c r="B81" s="412" t="s">
        <v>580</v>
      </c>
      <c r="C81" s="412" t="s">
        <v>174</v>
      </c>
      <c r="D81" s="412">
        <v>11063</v>
      </c>
      <c r="E81" s="412" t="s">
        <v>377</v>
      </c>
      <c r="F81" s="412" t="s">
        <v>581</v>
      </c>
      <c r="G81" s="411">
        <v>150</v>
      </c>
      <c r="H81" s="419">
        <v>12585</v>
      </c>
    </row>
    <row r="82" spans="1:8" s="407" customFormat="1" ht="15" customHeight="1">
      <c r="B82" s="412" t="s">
        <v>580</v>
      </c>
      <c r="C82" s="412" t="s">
        <v>174</v>
      </c>
      <c r="D82" s="412" t="s">
        <v>579</v>
      </c>
      <c r="E82" s="412" t="s">
        <v>457</v>
      </c>
      <c r="F82" s="412" t="s">
        <v>578</v>
      </c>
      <c r="G82" s="411">
        <v>43.2</v>
      </c>
      <c r="H82" s="419">
        <v>12648</v>
      </c>
    </row>
    <row r="83" spans="1:8" s="407" customFormat="1" ht="15" customHeight="1">
      <c r="B83" s="412" t="s">
        <v>577</v>
      </c>
      <c r="C83" s="412" t="s">
        <v>174</v>
      </c>
      <c r="D83" s="412" t="s">
        <v>576</v>
      </c>
      <c r="E83" s="412" t="s">
        <v>443</v>
      </c>
      <c r="F83" s="412" t="s">
        <v>575</v>
      </c>
      <c r="G83" s="411">
        <v>114.7</v>
      </c>
      <c r="H83" s="419">
        <v>12702</v>
      </c>
    </row>
    <row r="84" spans="1:8" s="407" customFormat="1" ht="15" customHeight="1">
      <c r="A84" s="410" t="s">
        <v>365</v>
      </c>
      <c r="G84" s="409">
        <v>396.02</v>
      </c>
      <c r="H84" s="419"/>
    </row>
    <row r="85" spans="1:8" s="407" customFormat="1" ht="15" customHeight="1">
      <c r="G85" s="409"/>
      <c r="H85" s="419"/>
    </row>
    <row r="86" spans="1:8" s="407" customFormat="1" ht="15" customHeight="1">
      <c r="A86" s="400" t="s">
        <v>400</v>
      </c>
      <c r="H86" s="419"/>
    </row>
    <row r="87" spans="1:8" s="407" customFormat="1" ht="15" customHeight="1">
      <c r="B87" s="412" t="s">
        <v>580</v>
      </c>
      <c r="C87" s="412" t="s">
        <v>174</v>
      </c>
      <c r="D87" s="412" t="s">
        <v>607</v>
      </c>
      <c r="E87" s="412" t="s">
        <v>397</v>
      </c>
      <c r="F87" s="412" t="s">
        <v>602</v>
      </c>
      <c r="G87" s="411">
        <v>712.92</v>
      </c>
      <c r="H87" s="419">
        <v>12813</v>
      </c>
    </row>
    <row r="88" spans="1:8" s="407" customFormat="1" ht="15" customHeight="1">
      <c r="B88" s="412" t="s">
        <v>580</v>
      </c>
      <c r="C88" s="412" t="s">
        <v>174</v>
      </c>
      <c r="D88" s="412" t="s">
        <v>608</v>
      </c>
      <c r="E88" s="412" t="s">
        <v>397</v>
      </c>
      <c r="F88" s="412" t="s">
        <v>602</v>
      </c>
      <c r="G88" s="411">
        <v>17.899999999999999</v>
      </c>
      <c r="H88" s="419">
        <v>12813</v>
      </c>
    </row>
    <row r="89" spans="1:8" s="407" customFormat="1" ht="15" customHeight="1">
      <c r="B89" s="412" t="s">
        <v>606</v>
      </c>
      <c r="C89" s="412" t="s">
        <v>174</v>
      </c>
      <c r="D89" s="412" t="s">
        <v>605</v>
      </c>
      <c r="E89" s="412" t="s">
        <v>397</v>
      </c>
      <c r="F89" s="412" t="s">
        <v>602</v>
      </c>
      <c r="G89" s="411">
        <v>31.96</v>
      </c>
      <c r="H89" s="419">
        <v>12813</v>
      </c>
    </row>
    <row r="90" spans="1:8" s="407" customFormat="1" ht="15" customHeight="1">
      <c r="B90" s="412" t="s">
        <v>604</v>
      </c>
      <c r="C90" s="412" t="s">
        <v>174</v>
      </c>
      <c r="D90" s="412" t="s">
        <v>603</v>
      </c>
      <c r="E90" s="412" t="s">
        <v>397</v>
      </c>
      <c r="F90" s="412" t="s">
        <v>602</v>
      </c>
      <c r="G90" s="411">
        <v>128.43</v>
      </c>
      <c r="H90" s="419">
        <v>12813</v>
      </c>
    </row>
    <row r="91" spans="1:8" s="407" customFormat="1" ht="15" customHeight="1">
      <c r="A91" s="410" t="s">
        <v>395</v>
      </c>
      <c r="G91" s="409">
        <f>SUM(G87:G90)</f>
        <v>891.21</v>
      </c>
      <c r="H91" s="419"/>
    </row>
    <row r="92" spans="1:8" s="407" customFormat="1" ht="15" customHeight="1">
      <c r="A92" s="410" t="s">
        <v>394</v>
      </c>
      <c r="H92" s="419"/>
    </row>
    <row r="93" spans="1:8" s="407" customFormat="1" ht="15" customHeight="1">
      <c r="B93" s="412" t="s">
        <v>589</v>
      </c>
      <c r="C93" s="412" t="s">
        <v>186</v>
      </c>
      <c r="D93" s="412">
        <v>55</v>
      </c>
      <c r="E93" s="412"/>
      <c r="F93" s="412" t="s">
        <v>212</v>
      </c>
      <c r="G93" s="411">
        <v>259</v>
      </c>
      <c r="H93" s="419"/>
    </row>
    <row r="94" spans="1:8" s="407" customFormat="1" ht="15" customHeight="1">
      <c r="A94" s="410" t="s">
        <v>393</v>
      </c>
      <c r="G94" s="409">
        <f>SUM(G93)</f>
        <v>259</v>
      </c>
      <c r="H94" s="419"/>
    </row>
    <row r="95" spans="1:8" s="407" customFormat="1" ht="15" customHeight="1">
      <c r="A95" s="400" t="s">
        <v>601</v>
      </c>
      <c r="G95" s="409">
        <f>+G94+G91</f>
        <v>1150.21</v>
      </c>
      <c r="H95" s="419"/>
    </row>
    <row r="96" spans="1:8" s="407" customFormat="1" ht="15" customHeight="1">
      <c r="H96" s="408"/>
    </row>
    <row r="97" spans="1:8" s="349" customFormat="1" ht="14.5">
      <c r="A97" s="364" t="s">
        <v>357</v>
      </c>
      <c r="G97" s="359"/>
      <c r="H97" s="206"/>
    </row>
    <row r="98" spans="1:8" s="407" customFormat="1" ht="15" customHeight="1">
      <c r="A98" s="410" t="s">
        <v>406</v>
      </c>
      <c r="H98" s="419"/>
    </row>
    <row r="99" spans="1:8" s="407" customFormat="1" ht="15" customHeight="1">
      <c r="A99" s="410" t="s">
        <v>214</v>
      </c>
      <c r="H99" s="419"/>
    </row>
    <row r="100" spans="1:8" s="407" customFormat="1" ht="15" customHeight="1">
      <c r="B100" s="412" t="s">
        <v>589</v>
      </c>
      <c r="C100" s="412" t="s">
        <v>186</v>
      </c>
      <c r="D100" s="412">
        <v>41</v>
      </c>
      <c r="E100" s="412"/>
      <c r="F100" s="412" t="s">
        <v>213</v>
      </c>
      <c r="G100" s="411">
        <v>597</v>
      </c>
      <c r="H100" s="419"/>
    </row>
    <row r="101" spans="1:8" s="407" customFormat="1" ht="15" customHeight="1">
      <c r="A101" s="410" t="s">
        <v>618</v>
      </c>
      <c r="G101" s="409">
        <f>SUM(G100:G100)</f>
        <v>597</v>
      </c>
      <c r="H101" s="419"/>
    </row>
    <row r="102" spans="1:8" s="407" customFormat="1" ht="15" customHeight="1">
      <c r="A102" s="410" t="s">
        <v>609</v>
      </c>
      <c r="G102" s="409">
        <f>+G101</f>
        <v>597</v>
      </c>
      <c r="H102" s="419"/>
    </row>
    <row r="103" spans="1:8" s="407" customFormat="1" ht="15" customHeight="1">
      <c r="A103" s="410"/>
      <c r="H103" s="419"/>
    </row>
    <row r="104" spans="1:8" s="407" customFormat="1" ht="15" customHeight="1">
      <c r="A104" s="410" t="s">
        <v>619</v>
      </c>
      <c r="H104" s="419"/>
    </row>
    <row r="105" spans="1:8" s="407" customFormat="1" ht="15" customHeight="1">
      <c r="A105" s="410" t="s">
        <v>620</v>
      </c>
      <c r="H105" s="419"/>
    </row>
    <row r="106" spans="1:8" s="407" customFormat="1" ht="15" customHeight="1">
      <c r="B106" s="412" t="s">
        <v>589</v>
      </c>
      <c r="C106" s="412" t="s">
        <v>186</v>
      </c>
      <c r="D106" s="412">
        <v>41</v>
      </c>
      <c r="E106" s="412"/>
      <c r="F106" s="412" t="s">
        <v>617</v>
      </c>
      <c r="G106" s="411">
        <v>770</v>
      </c>
      <c r="H106" s="419"/>
    </row>
    <row r="107" spans="1:8" s="407" customFormat="1" ht="15" customHeight="1">
      <c r="A107" s="410" t="s">
        <v>621</v>
      </c>
      <c r="G107" s="409">
        <f>SUM(G106:G106)</f>
        <v>770</v>
      </c>
      <c r="H107" s="419"/>
    </row>
    <row r="108" spans="1:8" s="407" customFormat="1" ht="15" customHeight="1">
      <c r="A108" s="410"/>
      <c r="G108" s="428"/>
      <c r="H108" s="419"/>
    </row>
    <row r="109" spans="1:8" s="349" customFormat="1" ht="14.5">
      <c r="A109" s="364" t="s">
        <v>329</v>
      </c>
      <c r="G109" s="359"/>
      <c r="H109" s="206"/>
    </row>
    <row r="110" spans="1:8" s="407" customFormat="1" ht="15" customHeight="1">
      <c r="A110" s="410" t="s">
        <v>200</v>
      </c>
      <c r="H110" s="419"/>
    </row>
    <row r="111" spans="1:8" s="407" customFormat="1" ht="15" customHeight="1">
      <c r="B111" s="412" t="s">
        <v>580</v>
      </c>
      <c r="C111" s="412" t="s">
        <v>174</v>
      </c>
      <c r="D111" s="412" t="s">
        <v>595</v>
      </c>
      <c r="E111" s="412" t="s">
        <v>181</v>
      </c>
      <c r="F111" s="412" t="s">
        <v>594</v>
      </c>
      <c r="G111" s="411">
        <v>648</v>
      </c>
      <c r="H111" s="419">
        <v>12642</v>
      </c>
    </row>
    <row r="112" spans="1:8" s="407" customFormat="1" ht="15" customHeight="1">
      <c r="A112" s="274" t="s">
        <v>344</v>
      </c>
      <c r="G112" s="409">
        <v>648</v>
      </c>
      <c r="H112" s="419"/>
    </row>
    <row r="113" spans="1:8" s="407" customFormat="1" ht="15" customHeight="1">
      <c r="A113" s="410" t="s">
        <v>197</v>
      </c>
      <c r="H113" s="419"/>
    </row>
    <row r="114" spans="1:8" s="407" customFormat="1" ht="15" customHeight="1">
      <c r="A114" s="410" t="s">
        <v>196</v>
      </c>
      <c r="H114" s="419"/>
    </row>
    <row r="115" spans="1:8" s="407" customFormat="1" ht="15" customHeight="1">
      <c r="B115" s="412" t="s">
        <v>589</v>
      </c>
      <c r="C115" s="412" t="s">
        <v>186</v>
      </c>
      <c r="D115" s="412">
        <v>40</v>
      </c>
      <c r="E115" s="412"/>
      <c r="F115" s="412" t="s">
        <v>195</v>
      </c>
      <c r="G115" s="411">
        <v>162</v>
      </c>
      <c r="H115" s="419"/>
    </row>
    <row r="116" spans="1:8" s="407" customFormat="1" ht="15" customHeight="1">
      <c r="A116" s="410" t="s">
        <v>194</v>
      </c>
      <c r="G116" s="409">
        <v>162</v>
      </c>
      <c r="H116" s="419"/>
    </row>
    <row r="117" spans="1:8" s="407" customFormat="1" ht="15" customHeight="1">
      <c r="A117" s="410" t="s">
        <v>468</v>
      </c>
      <c r="G117" s="409">
        <v>162</v>
      </c>
      <c r="H117" s="419"/>
    </row>
    <row r="118" spans="1:8" s="407" customFormat="1" ht="15" customHeight="1">
      <c r="A118" s="410" t="s">
        <v>191</v>
      </c>
      <c r="H118" s="419"/>
    </row>
    <row r="119" spans="1:8" s="407" customFormat="1" ht="15" customHeight="1">
      <c r="A119" s="410" t="s">
        <v>466</v>
      </c>
      <c r="H119" s="419"/>
    </row>
    <row r="120" spans="1:8" s="407" customFormat="1" ht="15" customHeight="1">
      <c r="B120" s="412" t="s">
        <v>589</v>
      </c>
      <c r="C120" s="412" t="s">
        <v>186</v>
      </c>
      <c r="D120" s="412">
        <v>46</v>
      </c>
      <c r="E120" s="412"/>
      <c r="F120" s="412" t="s">
        <v>190</v>
      </c>
      <c r="G120" s="411">
        <v>98</v>
      </c>
      <c r="H120" s="419"/>
    </row>
    <row r="121" spans="1:8" s="407" customFormat="1" ht="15" customHeight="1">
      <c r="A121" s="410" t="s">
        <v>465</v>
      </c>
      <c r="G121" s="409">
        <v>98</v>
      </c>
      <c r="H121" s="419"/>
    </row>
    <row r="122" spans="1:8" s="407" customFormat="1" ht="15" customHeight="1">
      <c r="G122" s="409"/>
      <c r="H122" s="419"/>
    </row>
    <row r="123" spans="1:8" s="407" customFormat="1" ht="15" customHeight="1">
      <c r="A123" s="410" t="s">
        <v>593</v>
      </c>
      <c r="H123" s="419"/>
    </row>
    <row r="124" spans="1:8" s="407" customFormat="1" ht="15" customHeight="1">
      <c r="A124" s="410" t="s">
        <v>592</v>
      </c>
      <c r="H124" s="419"/>
    </row>
    <row r="125" spans="1:8" s="431" customFormat="1" ht="15" customHeight="1">
      <c r="B125" s="412" t="s">
        <v>589</v>
      </c>
      <c r="C125" s="412" t="s">
        <v>186</v>
      </c>
      <c r="D125" s="412">
        <v>48</v>
      </c>
      <c r="E125" s="412"/>
      <c r="F125" s="412" t="s">
        <v>591</v>
      </c>
      <c r="G125" s="411">
        <v>279</v>
      </c>
      <c r="H125" s="419"/>
    </row>
    <row r="126" spans="1:8" s="431" customFormat="1" ht="15" customHeight="1">
      <c r="A126" s="410" t="s">
        <v>590</v>
      </c>
      <c r="G126" s="409">
        <v>279</v>
      </c>
      <c r="H126" s="419"/>
    </row>
    <row r="127" spans="1:8" s="431" customFormat="1" ht="15" customHeight="1">
      <c r="A127" s="410"/>
      <c r="G127" s="409"/>
      <c r="H127" s="419"/>
    </row>
    <row r="128" spans="1:8" s="274" customFormat="1" ht="11.5">
      <c r="A128" s="274" t="s">
        <v>343</v>
      </c>
      <c r="G128" s="429">
        <f>+G116+G121+G126</f>
        <v>539</v>
      </c>
      <c r="H128" s="423"/>
    </row>
    <row r="129" spans="1:8" s="432" customFormat="1" ht="11.5">
      <c r="A129" s="420"/>
      <c r="G129" s="430"/>
      <c r="H129" s="423"/>
    </row>
    <row r="130" spans="1:8" s="433" customFormat="1" ht="11.5">
      <c r="A130" s="274" t="s">
        <v>353</v>
      </c>
      <c r="G130" s="429">
        <f>+G112+G128</f>
        <v>1187</v>
      </c>
      <c r="H130" s="423"/>
    </row>
    <row r="131" spans="1:8" s="433" customFormat="1" ht="11.5">
      <c r="A131" s="274"/>
      <c r="G131" s="430"/>
      <c r="H131" s="423"/>
    </row>
    <row r="132" spans="1:8" s="407" customFormat="1" ht="15" customHeight="1">
      <c r="A132" s="274" t="s">
        <v>507</v>
      </c>
      <c r="H132" s="419"/>
    </row>
    <row r="133" spans="1:8" s="407" customFormat="1" ht="15" customHeight="1">
      <c r="A133" s="410" t="s">
        <v>193</v>
      </c>
      <c r="H133" s="419"/>
    </row>
    <row r="134" spans="1:8" s="407" customFormat="1" ht="15" customHeight="1">
      <c r="B134" s="412" t="s">
        <v>589</v>
      </c>
      <c r="C134" s="412" t="s">
        <v>186</v>
      </c>
      <c r="D134" s="412">
        <v>50</v>
      </c>
      <c r="E134" s="412"/>
      <c r="F134" s="412" t="s">
        <v>192</v>
      </c>
      <c r="G134" s="411">
        <v>338</v>
      </c>
      <c r="H134" s="419"/>
    </row>
    <row r="135" spans="1:8" s="407" customFormat="1" ht="15" customHeight="1">
      <c r="A135" s="410" t="s">
        <v>467</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334</v>
      </c>
      <c r="H142" s="419"/>
    </row>
    <row r="143" spans="1:8" s="407" customFormat="1" ht="15" customHeight="1">
      <c r="A143" s="410" t="s">
        <v>407</v>
      </c>
      <c r="H143" s="419"/>
    </row>
    <row r="144" spans="1:8" s="407" customFormat="1" ht="15" customHeight="1">
      <c r="B144" s="412" t="s">
        <v>589</v>
      </c>
      <c r="C144" s="412" t="s">
        <v>186</v>
      </c>
      <c r="D144" s="412">
        <v>51</v>
      </c>
      <c r="E144" s="412"/>
      <c r="F144" s="412" t="s">
        <v>216</v>
      </c>
      <c r="G144" s="411">
        <v>386</v>
      </c>
      <c r="H144" s="419"/>
    </row>
    <row r="145" spans="1:8" s="407" customFormat="1" ht="15" customHeight="1">
      <c r="A145" s="410" t="s">
        <v>215</v>
      </c>
      <c r="G145" s="409">
        <f>SUM(G144)</f>
        <v>386</v>
      </c>
      <c r="H145" s="419"/>
    </row>
    <row r="146" spans="1:8" s="407" customFormat="1" ht="15" customHeight="1">
      <c r="A146" s="410" t="s">
        <v>203</v>
      </c>
      <c r="H146" s="419"/>
    </row>
    <row r="147" spans="1:8" s="407" customFormat="1" ht="15" customHeight="1">
      <c r="B147" s="412" t="s">
        <v>589</v>
      </c>
      <c r="C147" s="412" t="s">
        <v>186</v>
      </c>
      <c r="D147" s="412">
        <v>42</v>
      </c>
      <c r="E147" s="412"/>
      <c r="F147" s="412" t="s">
        <v>202</v>
      </c>
      <c r="G147" s="411">
        <v>40</v>
      </c>
      <c r="H147" s="419"/>
    </row>
    <row r="148" spans="1:8" s="407" customFormat="1" ht="15" customHeight="1">
      <c r="A148" s="410" t="s">
        <v>201</v>
      </c>
      <c r="G148" s="409">
        <f>SUM(G147)</f>
        <v>40</v>
      </c>
      <c r="H148" s="419"/>
    </row>
    <row r="149" spans="1:8" s="407" customFormat="1" ht="15" customHeight="1">
      <c r="A149" s="410" t="s">
        <v>622</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338</v>
      </c>
      <c r="H152" s="419"/>
    </row>
    <row r="153" spans="1:8" s="407" customFormat="1" ht="15" customHeight="1">
      <c r="A153" s="410" t="s">
        <v>209</v>
      </c>
      <c r="H153" s="419"/>
    </row>
    <row r="154" spans="1:8" s="407" customFormat="1" ht="15" customHeight="1">
      <c r="B154" s="412" t="s">
        <v>600</v>
      </c>
      <c r="C154" s="412" t="s">
        <v>174</v>
      </c>
      <c r="D154" s="412" t="s">
        <v>599</v>
      </c>
      <c r="E154" s="412" t="s">
        <v>433</v>
      </c>
      <c r="F154" s="412" t="s">
        <v>541</v>
      </c>
      <c r="G154" s="411">
        <v>116.16</v>
      </c>
      <c r="H154" s="419">
        <v>12816</v>
      </c>
    </row>
    <row r="155" spans="1:8" s="407" customFormat="1" ht="15" customHeight="1">
      <c r="A155" s="410" t="s">
        <v>207</v>
      </c>
      <c r="G155" s="409">
        <f>SUM(G154)</f>
        <v>116.16</v>
      </c>
      <c r="H155" s="419"/>
    </row>
    <row r="156" spans="1:8" s="407" customFormat="1" ht="15" customHeight="1">
      <c r="A156" s="410" t="s">
        <v>540</v>
      </c>
      <c r="H156" s="419"/>
    </row>
    <row r="157" spans="1:8" s="407" customFormat="1" ht="15" customHeight="1">
      <c r="B157" s="412" t="s">
        <v>598</v>
      </c>
      <c r="C157" s="412" t="s">
        <v>533</v>
      </c>
      <c r="D157" s="412" t="s">
        <v>597</v>
      </c>
      <c r="E157" s="412" t="s">
        <v>537</v>
      </c>
      <c r="F157" s="412" t="s">
        <v>596</v>
      </c>
      <c r="G157" s="411">
        <v>50.85</v>
      </c>
      <c r="H157" s="419" t="s">
        <v>561</v>
      </c>
    </row>
    <row r="158" spans="1:8" s="407" customFormat="1" ht="15" customHeight="1">
      <c r="A158" s="410" t="s">
        <v>535</v>
      </c>
      <c r="G158" s="409">
        <f>SUM(G157)</f>
        <v>50.85</v>
      </c>
      <c r="H158" s="419"/>
    </row>
    <row r="159" spans="1:8" s="407" customFormat="1" ht="15" customHeight="1">
      <c r="A159" s="410" t="s">
        <v>206</v>
      </c>
      <c r="H159" s="419"/>
    </row>
    <row r="160" spans="1:8" s="407" customFormat="1" ht="15" customHeight="1">
      <c r="B160" s="412" t="s">
        <v>589</v>
      </c>
      <c r="C160" s="412" t="s">
        <v>186</v>
      </c>
      <c r="D160" s="412">
        <v>43</v>
      </c>
      <c r="E160" s="412"/>
      <c r="F160" s="412" t="s">
        <v>205</v>
      </c>
      <c r="G160" s="411">
        <v>94</v>
      </c>
      <c r="H160" s="419"/>
    </row>
    <row r="161" spans="1:8" s="407" customFormat="1" ht="15" customHeight="1">
      <c r="A161" s="410" t="s">
        <v>204</v>
      </c>
      <c r="G161" s="409">
        <f>SUM(G160)</f>
        <v>94</v>
      </c>
      <c r="H161" s="419"/>
    </row>
    <row r="162" spans="1:8" s="407" customFormat="1" ht="15" customHeight="1">
      <c r="A162" s="400" t="s">
        <v>623</v>
      </c>
      <c r="G162" s="409">
        <f>+G155+G158+G161</f>
        <v>261.01</v>
      </c>
      <c r="H162" s="419"/>
    </row>
    <row r="163" spans="1:8" s="349" customFormat="1" ht="14.5">
      <c r="A163" s="364"/>
      <c r="G163" s="359"/>
      <c r="H163" s="206"/>
    </row>
    <row r="164" spans="1:8" s="407" customFormat="1" ht="15" customHeight="1">
      <c r="A164" s="400" t="s">
        <v>188</v>
      </c>
      <c r="H164" s="419"/>
    </row>
    <row r="165" spans="1:8" s="407" customFormat="1" ht="15" customHeight="1">
      <c r="A165" s="410" t="s">
        <v>381</v>
      </c>
      <c r="H165" s="419"/>
    </row>
    <row r="166" spans="1:8" s="407" customFormat="1" ht="15" customHeight="1">
      <c r="B166" s="412" t="s">
        <v>589</v>
      </c>
      <c r="C166" s="412" t="s">
        <v>186</v>
      </c>
      <c r="D166" s="412">
        <v>52</v>
      </c>
      <c r="E166" s="412"/>
      <c r="F166" s="412" t="s">
        <v>185</v>
      </c>
      <c r="G166" s="411">
        <v>597</v>
      </c>
      <c r="H166" s="419"/>
    </row>
    <row r="167" spans="1:8" s="407" customFormat="1" ht="15" customHeight="1">
      <c r="A167" s="410" t="s">
        <v>588</v>
      </c>
      <c r="G167" s="409">
        <v>597</v>
      </c>
      <c r="H167" s="419"/>
    </row>
    <row r="168" spans="1:8" s="407" customFormat="1" ht="15" customHeight="1">
      <c r="A168" s="410"/>
      <c r="G168" s="409"/>
      <c r="H168" s="419"/>
    </row>
    <row r="169" spans="1:8" s="349" customFormat="1" ht="14.5">
      <c r="A169" s="351" t="s">
        <v>349</v>
      </c>
      <c r="G169" s="359"/>
      <c r="H169" s="206"/>
    </row>
    <row r="170" spans="1:8" s="349" customFormat="1" ht="14.5">
      <c r="B170" s="389">
        <v>43799</v>
      </c>
      <c r="C170" s="305" t="s">
        <v>186</v>
      </c>
      <c r="D170" s="305" t="s">
        <v>516</v>
      </c>
      <c r="E170" s="305"/>
      <c r="F170" s="305" t="s">
        <v>624</v>
      </c>
      <c r="G170" s="371">
        <v>15219.79</v>
      </c>
      <c r="H170" s="206"/>
    </row>
    <row r="171" spans="1:8" s="349" customFormat="1" ht="14.5">
      <c r="A171" s="351" t="s">
        <v>346</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596" t="s">
        <v>574</v>
      </c>
      <c r="B175" s="596"/>
      <c r="C175" s="596"/>
      <c r="D175" s="596"/>
      <c r="E175" s="596"/>
      <c r="F175" s="596"/>
      <c r="G175" s="596"/>
      <c r="H175" s="596"/>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131</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ySplit="5" topLeftCell="A57" activePane="bottomLeft" state="frozen"/>
      <selection pane="bottomLeft" activeCell="A77" sqref="A77:XFD8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43800</v>
      </c>
      <c r="H1" s="557"/>
      <c r="I1" s="106" t="s">
        <v>49</v>
      </c>
    </row>
    <row r="2" spans="1:9" ht="21">
      <c r="A2" s="37" t="s">
        <v>152</v>
      </c>
      <c r="B2" s="35"/>
      <c r="C2" s="35"/>
      <c r="D2" s="36"/>
      <c r="E2" s="36" t="s">
        <v>702</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Allocations'!F249</f>
        <v>1261.54</v>
      </c>
      <c r="C6" s="140"/>
      <c r="D6" s="141"/>
      <c r="E6" s="142">
        <f>SUM(B6:D6)</f>
        <v>1261.54</v>
      </c>
      <c r="F6" s="143">
        <f>E6+'Nov-2019'!F6</f>
        <v>7884.62</v>
      </c>
      <c r="G6" s="143">
        <v>16400</v>
      </c>
      <c r="H6" s="144">
        <f>G6-F6</f>
        <v>8515.380000000001</v>
      </c>
      <c r="I6" s="108">
        <f>F6/G6</f>
        <v>0.48076951219512193</v>
      </c>
    </row>
    <row r="7" spans="1:9" s="103" customFormat="1" ht="25.5" customHeight="1">
      <c r="A7" s="138" t="s">
        <v>146</v>
      </c>
      <c r="B7" s="139">
        <f>+'Salaries &amp; Fringe Allocations'!F250</f>
        <v>2071.4299999999998</v>
      </c>
      <c r="C7" s="140"/>
      <c r="D7" s="141">
        <f>+'Salaries &amp; Fringe Allocations'!F251</f>
        <v>2928.57</v>
      </c>
      <c r="E7" s="142">
        <f t="shared" ref="E7:E12" si="0">SUM(B7:D7)</f>
        <v>5000</v>
      </c>
      <c r="F7" s="143">
        <f>E7+'Nov-2019'!F7</f>
        <v>31250</v>
      </c>
      <c r="G7" s="143">
        <v>66000</v>
      </c>
      <c r="H7" s="144">
        <f>G7-F7</f>
        <v>34750</v>
      </c>
      <c r="I7" s="108">
        <f t="shared" ref="I7:I20" si="1">F7/G7</f>
        <v>0.47348484848484851</v>
      </c>
    </row>
    <row r="8" spans="1:9" s="103" customFormat="1" ht="25.5" customHeight="1">
      <c r="A8" s="138" t="s">
        <v>155</v>
      </c>
      <c r="B8" s="139"/>
      <c r="C8" s="140"/>
      <c r="D8" s="141">
        <f>+'Salaries &amp; Fringe Allocations'!F252</f>
        <v>3076.94</v>
      </c>
      <c r="E8" s="142">
        <f t="shared" si="0"/>
        <v>3076.94</v>
      </c>
      <c r="F8" s="143">
        <f>E8+'Nov-2019'!F8</f>
        <v>17692.41</v>
      </c>
      <c r="G8" s="143">
        <v>40000</v>
      </c>
      <c r="H8" s="144">
        <f t="shared" ref="H8:H12" si="2">G8-F8</f>
        <v>22307.59</v>
      </c>
      <c r="I8" s="108">
        <f t="shared" si="1"/>
        <v>0.44231025000000002</v>
      </c>
    </row>
    <row r="9" spans="1:9" s="103" customFormat="1" ht="25.5" customHeight="1">
      <c r="A9" s="138" t="s">
        <v>147</v>
      </c>
      <c r="B9" s="139"/>
      <c r="C9" s="140"/>
      <c r="D9" s="141">
        <f>+'Salaries &amp; Fringe Allocations'!F253</f>
        <v>2307.6999999999998</v>
      </c>
      <c r="E9" s="142">
        <f t="shared" si="0"/>
        <v>2307.6999999999998</v>
      </c>
      <c r="F9" s="143">
        <f>E9+'Nov-2019'!F9</f>
        <v>13730.93</v>
      </c>
      <c r="G9" s="143">
        <v>30000</v>
      </c>
      <c r="H9" s="144">
        <f t="shared" si="2"/>
        <v>16269.07</v>
      </c>
      <c r="I9" s="108">
        <f t="shared" si="1"/>
        <v>0.45769766666666667</v>
      </c>
    </row>
    <row r="10" spans="1:9" s="103" customFormat="1" ht="25.5" customHeight="1">
      <c r="A10" s="138" t="s">
        <v>568</v>
      </c>
      <c r="B10" s="139"/>
      <c r="C10" s="140"/>
      <c r="D10" s="141">
        <f>+'Salaries &amp; Fringe Allocations'!F254</f>
        <v>1355.48</v>
      </c>
      <c r="E10" s="142">
        <f t="shared" si="0"/>
        <v>1355.48</v>
      </c>
      <c r="F10" s="143">
        <f>E10+'Nov-2019'!F10</f>
        <v>9315.32</v>
      </c>
      <c r="G10" s="143">
        <v>21500</v>
      </c>
      <c r="H10" s="144">
        <f t="shared" si="2"/>
        <v>12184.68</v>
      </c>
      <c r="I10" s="108">
        <f t="shared" si="1"/>
        <v>0.43327069767441861</v>
      </c>
    </row>
    <row r="11" spans="1:9" s="103" customFormat="1" ht="25.5" customHeight="1">
      <c r="A11" s="138" t="s">
        <v>148</v>
      </c>
      <c r="B11" s="139">
        <f>+'Salaries &amp; Fringe Allocations'!F255</f>
        <v>1032.97</v>
      </c>
      <c r="C11" s="140"/>
      <c r="D11" s="141">
        <f>+'Salaries &amp; Fringe Allocations'!F256</f>
        <v>1890.12</v>
      </c>
      <c r="E11" s="142">
        <f t="shared" si="0"/>
        <v>2923.09</v>
      </c>
      <c r="F11" s="143">
        <f>E11+'Nov-2019'!F11</f>
        <v>13561.630000000001</v>
      </c>
      <c r="G11" s="143">
        <v>36000</v>
      </c>
      <c r="H11" s="144">
        <f t="shared" si="2"/>
        <v>22438.37</v>
      </c>
      <c r="I11" s="108">
        <f t="shared" si="1"/>
        <v>0.37671194444444445</v>
      </c>
    </row>
    <row r="12" spans="1:9" s="103" customFormat="1" ht="25.5" customHeight="1">
      <c r="A12" s="138" t="s">
        <v>363</v>
      </c>
      <c r="B12" s="139">
        <f>+'Salaries &amp; Fringe Allocations'!F257</f>
        <v>846.15</v>
      </c>
      <c r="C12" s="140"/>
      <c r="D12" s="141"/>
      <c r="E12" s="142">
        <f t="shared" si="0"/>
        <v>846.15</v>
      </c>
      <c r="F12" s="143">
        <f>E12+'Nov-2019'!F12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5212.0899999999992</v>
      </c>
      <c r="C16" s="147">
        <f>SUM(C6:C15)</f>
        <v>0</v>
      </c>
      <c r="D16" s="147">
        <f t="shared" ref="D16" si="3">SUM(D6:D15)</f>
        <v>11558.809999999998</v>
      </c>
      <c r="E16" s="147">
        <f>SUM(E6:E15)</f>
        <v>16770.900000000001</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Allocations'!Q249+'Salaries &amp; Fringe Allocations'!Q250+'Salaries &amp; Fringe Allocations'!Q255+'Salaries &amp; Fringe Allocations'!Q257</f>
        <v>1660.1696945844969</v>
      </c>
      <c r="C18" s="155"/>
      <c r="D18" s="155">
        <f>+'Salaries &amp; Fringe Allocations'!Q251+'Salaries &amp; Fringe Allocations'!Q252+'Salaries &amp; Fringe Allocations'!Q253+'Salaries &amp; Fringe Allocations'!Q254+'Salaries &amp; Fringe Allocations'!Q256</f>
        <v>3523.3158054155033</v>
      </c>
      <c r="E18" s="156">
        <f>SUM(B18:D18)</f>
        <v>5183.4855000000007</v>
      </c>
      <c r="F18" s="143">
        <f>E18+'Nov-2019'!F18</f>
        <v>32250.887030878017</v>
      </c>
      <c r="G18" s="71">
        <v>68136</v>
      </c>
      <c r="H18" s="72">
        <f>G18-F18</f>
        <v>35885.112969121983</v>
      </c>
      <c r="I18" s="108">
        <f t="shared" si="1"/>
        <v>0.4733310882775334</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6872.2596945844962</v>
      </c>
      <c r="C20" s="158">
        <f t="shared" si="5"/>
        <v>0</v>
      </c>
      <c r="D20" s="158">
        <f t="shared" si="5"/>
        <v>15082.125805415501</v>
      </c>
      <c r="E20" s="159">
        <f t="shared" si="5"/>
        <v>21954.385500000004</v>
      </c>
      <c r="F20" s="198">
        <f t="shared" si="5"/>
        <v>130128.08703087801</v>
      </c>
      <c r="G20" s="73">
        <f>G16+G18</f>
        <v>282036</v>
      </c>
      <c r="H20" s="73">
        <f>H16+H18</f>
        <v>151907.912969122</v>
      </c>
      <c r="I20" s="110">
        <f t="shared" si="1"/>
        <v>0.4613882165073892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+'Dec-19 GL'!G97</f>
        <v>349.14</v>
      </c>
      <c r="E23" s="142">
        <f>SUM(B23:D23)</f>
        <v>349.14</v>
      </c>
      <c r="F23" s="143">
        <f>E23+'Nov-2019'!F23</f>
        <v>1884.04</v>
      </c>
      <c r="G23" s="143">
        <v>4000</v>
      </c>
      <c r="H23" s="144">
        <f>G23-F23</f>
        <v>2115.96</v>
      </c>
      <c r="I23" s="108">
        <f t="shared" ref="I23:I37" si="6">F23/G23</f>
        <v>0.47100999999999998</v>
      </c>
      <c r="J23" s="102"/>
    </row>
    <row r="24" spans="1:10" s="103" customFormat="1" ht="24" customHeight="1">
      <c r="A24" s="161" t="s">
        <v>0</v>
      </c>
      <c r="B24" s="139">
        <f>+'Dec-19 GL'!G106</f>
        <v>92</v>
      </c>
      <c r="C24" s="140"/>
      <c r="D24" s="141">
        <f>+'Dec-19 GL'!G103</f>
        <v>732.89</v>
      </c>
      <c r="E24" s="142">
        <f t="shared" ref="E24:E35" si="7">SUM(B24:D24)</f>
        <v>824.89</v>
      </c>
      <c r="F24" s="143">
        <f>E24+'Nov-2019'!F24</f>
        <v>2731.09</v>
      </c>
      <c r="G24" s="143">
        <v>7000</v>
      </c>
      <c r="H24" s="144">
        <f t="shared" ref="H24:H31" si="8">G24-F24</f>
        <v>4268.91</v>
      </c>
      <c r="I24" s="108">
        <f t="shared" si="6"/>
        <v>0.39015571428571433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f>+'Dec-19 GL'!G119</f>
        <v>3031</v>
      </c>
      <c r="C26" s="140"/>
      <c r="D26" s="141"/>
      <c r="E26" s="142">
        <f t="shared" si="7"/>
        <v>3031</v>
      </c>
      <c r="F26" s="143">
        <f>E26+'Nov-2019'!F26</f>
        <v>5774.6900000000005</v>
      </c>
      <c r="G26" s="143">
        <v>13200</v>
      </c>
      <c r="H26" s="144">
        <f t="shared" si="8"/>
        <v>7425.3099999999995</v>
      </c>
      <c r="I26" s="108">
        <f t="shared" si="6"/>
        <v>0.4374765151515152</v>
      </c>
      <c r="J26" s="102"/>
    </row>
    <row r="27" spans="1:10" s="103" customFormat="1" ht="24" customHeight="1">
      <c r="A27" s="161" t="s">
        <v>41</v>
      </c>
      <c r="B27" s="139">
        <f>+'Dec-19 GL'!G141</f>
        <v>966</v>
      </c>
      <c r="C27" s="140"/>
      <c r="D27" s="141">
        <f>+'Dec-19 GL'!G124</f>
        <v>648</v>
      </c>
      <c r="E27" s="142">
        <f t="shared" si="7"/>
        <v>1614</v>
      </c>
      <c r="F27" s="143">
        <f>E27+'Nov-2019'!F27</f>
        <v>6994.27</v>
      </c>
      <c r="G27" s="143">
        <v>12000</v>
      </c>
      <c r="H27" s="144">
        <f t="shared" si="8"/>
        <v>5005.7299999999996</v>
      </c>
      <c r="I27" s="108">
        <f t="shared" si="6"/>
        <v>0.58285583333333335</v>
      </c>
      <c r="J27" s="102"/>
    </row>
    <row r="28" spans="1:10" s="103" customFormat="1" ht="24" customHeight="1">
      <c r="A28" s="161" t="s">
        <v>42</v>
      </c>
      <c r="B28" s="139"/>
      <c r="C28" s="9"/>
      <c r="D28" s="9"/>
      <c r="E28" s="142">
        <f>SUM(B28:D28)</f>
        <v>0</v>
      </c>
      <c r="F28" s="143">
        <f>E28+'Nov-2019'!F28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f>+'Dec-19 GL'!G150</f>
        <v>286</v>
      </c>
      <c r="C30" s="140"/>
      <c r="D30" s="141"/>
      <c r="E30" s="142">
        <f t="shared" si="7"/>
        <v>286</v>
      </c>
      <c r="F30" s="143">
        <f>E30+'Nov-2019'!F30</f>
        <v>1907.95</v>
      </c>
      <c r="G30" s="143">
        <v>6475</v>
      </c>
      <c r="H30" s="144">
        <f t="shared" si="8"/>
        <v>4567.05</v>
      </c>
      <c r="I30" s="108">
        <f t="shared" si="6"/>
        <v>0.29466409266409266</v>
      </c>
      <c r="J30" s="102"/>
    </row>
    <row r="31" spans="1:10" s="103" customFormat="1" ht="24" customHeight="1">
      <c r="A31" s="162" t="s">
        <v>44</v>
      </c>
      <c r="B31" s="139">
        <f>+'Dec-19 GL'!G33</f>
        <v>1255.3200000000002</v>
      </c>
      <c r="C31" s="140"/>
      <c r="D31" s="141"/>
      <c r="E31" s="142">
        <f t="shared" si="7"/>
        <v>1255.3200000000002</v>
      </c>
      <c r="F31" s="143">
        <f>E31+'Nov-2019'!F31</f>
        <v>5733.09</v>
      </c>
      <c r="G31" s="143">
        <v>13000</v>
      </c>
      <c r="H31" s="144">
        <f t="shared" si="8"/>
        <v>7266.91</v>
      </c>
      <c r="I31" s="108">
        <f t="shared" si="6"/>
        <v>0.44100692307692307</v>
      </c>
      <c r="J31" s="102"/>
    </row>
    <row r="32" spans="1:10" s="103" customFormat="1" ht="24" customHeight="1">
      <c r="A32" s="162" t="s">
        <v>81</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f>+'Dec-19 GL'!G156</f>
        <v>40</v>
      </c>
      <c r="C33" s="140"/>
      <c r="D33" s="141"/>
      <c r="E33" s="142">
        <f t="shared" si="7"/>
        <v>40</v>
      </c>
      <c r="F33" s="143">
        <f>E33+'Nov-2019'!F33</f>
        <v>1827.8200000000002</v>
      </c>
      <c r="G33" s="143">
        <v>3000.7</v>
      </c>
      <c r="H33" s="144">
        <f>G33-F33</f>
        <v>1172.8799999999997</v>
      </c>
      <c r="I33" s="108">
        <f t="shared" si="6"/>
        <v>0.60913120271936561</v>
      </c>
      <c r="J33" s="102"/>
    </row>
    <row r="34" spans="1:10" s="103" customFormat="1" ht="24" customHeight="1">
      <c r="A34" s="162" t="s">
        <v>77</v>
      </c>
      <c r="B34" s="139">
        <f>+'Dec-19 GL'!G173</f>
        <v>319.77</v>
      </c>
      <c r="C34" s="140"/>
      <c r="D34" s="141"/>
      <c r="E34" s="142">
        <f t="shared" si="7"/>
        <v>319.77</v>
      </c>
      <c r="F34" s="143">
        <f>E34+'Nov-2019'!F34</f>
        <v>1616.8</v>
      </c>
      <c r="G34" s="143">
        <v>3000</v>
      </c>
      <c r="H34" s="144">
        <f t="shared" si="4"/>
        <v>1383.2</v>
      </c>
      <c r="I34" s="108">
        <f t="shared" si="6"/>
        <v>0.53893333333333326</v>
      </c>
      <c r="J34" s="102"/>
    </row>
    <row r="35" spans="1:10" s="103" customFormat="1" ht="24" customHeight="1">
      <c r="A35" s="162" t="s">
        <v>150</v>
      </c>
      <c r="B35" s="139">
        <f>+'Dec-19 GL'!G185</f>
        <v>599</v>
      </c>
      <c r="C35" s="140"/>
      <c r="D35" s="141"/>
      <c r="E35" s="142">
        <f t="shared" si="7"/>
        <v>599</v>
      </c>
      <c r="F35" s="143">
        <f>E35+'Nov-2019'!F35</f>
        <v>2953.7200000000003</v>
      </c>
      <c r="G35" s="143">
        <v>4000</v>
      </c>
      <c r="H35" s="144">
        <f t="shared" si="4"/>
        <v>1046.2799999999997</v>
      </c>
      <c r="I35" s="108">
        <f t="shared" si="6"/>
        <v>0.73843000000000003</v>
      </c>
      <c r="J35" s="102"/>
    </row>
    <row r="36" spans="1:10" s="103" customFormat="1" ht="24" customHeight="1">
      <c r="A36" s="162" t="s">
        <v>151</v>
      </c>
      <c r="B36" s="151"/>
      <c r="C36" s="152"/>
      <c r="D36" s="163">
        <f>+'Dec-19 GL'!G178</f>
        <v>64.58</v>
      </c>
      <c r="E36" s="142">
        <f t="shared" ref="E36" si="9">SUM(B36:D36)</f>
        <v>64.58</v>
      </c>
      <c r="F36" s="143">
        <f>E36+'Nov-2019'!F36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6589.09</v>
      </c>
      <c r="C37" s="166">
        <f t="shared" ref="C37:E37" si="12">SUM(C23:C36)</f>
        <v>0</v>
      </c>
      <c r="D37" s="166">
        <f t="shared" si="12"/>
        <v>1794.61</v>
      </c>
      <c r="E37" s="166">
        <f t="shared" si="12"/>
        <v>8383.7000000000007</v>
      </c>
      <c r="F37" s="167">
        <f>SUM(F23:F36)</f>
        <v>33460.340000000004</v>
      </c>
      <c r="G37" s="167">
        <f>SUM(G23:G36)</f>
        <v>76745.7</v>
      </c>
      <c r="H37" s="167">
        <f>SUM(H23:H36)</f>
        <v>43285.359999999986</v>
      </c>
      <c r="I37" s="110">
        <f t="shared" si="6"/>
        <v>0.4359897688078942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+'Dec-19 GL'!G11</f>
        <v>157957.1</v>
      </c>
      <c r="D41" s="170"/>
      <c r="E41" s="171">
        <f>SUM(B41:D41)</f>
        <v>157957.1</v>
      </c>
      <c r="F41" s="143">
        <f>E41+'Nov-2019'!F41</f>
        <v>592217.47</v>
      </c>
      <c r="G41" s="144">
        <v>1452829.24</v>
      </c>
      <c r="H41" s="144">
        <f>G41-F41-F42</f>
        <v>858451.14</v>
      </c>
      <c r="I41" s="108">
        <f t="shared" ref="I41:I56" si="13">F41/G41</f>
        <v>0.40763047280078146</v>
      </c>
    </row>
    <row r="42" spans="1:10" s="168" customFormat="1" ht="21.75" customHeight="1">
      <c r="A42" s="138" t="s">
        <v>83</v>
      </c>
      <c r="B42" s="139"/>
      <c r="C42" s="170">
        <v>0</v>
      </c>
      <c r="D42" s="170"/>
      <c r="E42" s="171">
        <f>SUM(B42:D42)</f>
        <v>0</v>
      </c>
      <c r="F42" s="143">
        <f>+E42+'Nov-2019'!F42</f>
        <v>2160.63</v>
      </c>
      <c r="G42" s="144"/>
      <c r="H42" s="144"/>
      <c r="I42" s="108">
        <v>0</v>
      </c>
    </row>
    <row r="43" spans="1:10" s="168" customFormat="1" ht="21.75" customHeight="1">
      <c r="A43" s="138" t="s">
        <v>80</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78</v>
      </c>
      <c r="B44" s="139"/>
      <c r="C44" s="170">
        <f>+'Dec-19 GL'!G25</f>
        <v>12195.689999999999</v>
      </c>
      <c r="D44" s="170"/>
      <c r="E44" s="171">
        <f t="shared" si="14"/>
        <v>12195.689999999999</v>
      </c>
      <c r="F44" s="143">
        <f>E44+'Nov-2019'!F44</f>
        <v>43139.07</v>
      </c>
      <c r="G44" s="144">
        <v>111141.44</v>
      </c>
      <c r="H44" s="144">
        <f t="shared" si="15"/>
        <v>68002.37</v>
      </c>
      <c r="I44" s="108">
        <f t="shared" si="13"/>
        <v>0.3881456817547082</v>
      </c>
    </row>
    <row r="45" spans="1:10" s="168" customFormat="1" ht="21.75" customHeight="1">
      <c r="A45" s="138" t="s">
        <v>29</v>
      </c>
      <c r="B45" s="139"/>
      <c r="C45" s="140">
        <f>+'Dec-19 GL'!G28</f>
        <v>2919</v>
      </c>
      <c r="D45" s="140"/>
      <c r="E45" s="172">
        <f t="shared" si="14"/>
        <v>2919</v>
      </c>
      <c r="F45" s="143">
        <f>E45+'Nov-2019'!F45</f>
        <v>15769.48</v>
      </c>
      <c r="G45" s="144">
        <v>22373.57</v>
      </c>
      <c r="H45" s="144">
        <f t="shared" si="15"/>
        <v>6604.09</v>
      </c>
      <c r="I45" s="108">
        <f t="shared" si="13"/>
        <v>0.70482627493064365</v>
      </c>
    </row>
    <row r="46" spans="1:10" s="168" customFormat="1" ht="21.75" customHeight="1">
      <c r="A46" s="138" t="s">
        <v>79</v>
      </c>
      <c r="B46" s="139"/>
      <c r="C46" s="140"/>
      <c r="D46" s="140"/>
      <c r="E46" s="172">
        <f t="shared" si="14"/>
        <v>0</v>
      </c>
      <c r="F46" s="143">
        <f>E46+'Nov-2019'!F46</f>
        <v>0</v>
      </c>
      <c r="G46" s="144">
        <v>8500</v>
      </c>
      <c r="H46" s="144">
        <f t="shared" si="15"/>
        <v>8500</v>
      </c>
      <c r="I46" s="108">
        <f t="shared" si="13"/>
        <v>0</v>
      </c>
    </row>
    <row r="47" spans="1:10" s="168" customFormat="1" ht="21.75" customHeight="1">
      <c r="A47" s="138" t="s">
        <v>168</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173071.79</v>
      </c>
      <c r="D48" s="166">
        <f t="shared" si="16"/>
        <v>0</v>
      </c>
      <c r="E48" s="166">
        <f t="shared" si="16"/>
        <v>173071.79</v>
      </c>
      <c r="F48" s="75">
        <f>SUM(F41:F47)</f>
        <v>653286.64999999991</v>
      </c>
      <c r="G48" s="75">
        <f>SUM(G41:G47)</f>
        <v>1637294.25</v>
      </c>
      <c r="H48" s="75">
        <f t="shared" ref="H48" si="17">SUM(H41:H47)</f>
        <v>984007.6</v>
      </c>
      <c r="I48" s="110">
        <f t="shared" si="13"/>
        <v>0.39900381376163746</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13461.349694584496</v>
      </c>
      <c r="C52" s="158">
        <f>C20+C37+C48</f>
        <v>173071.79</v>
      </c>
      <c r="D52" s="158">
        <f>D20+D37+D48</f>
        <v>16876.735805415501</v>
      </c>
      <c r="E52" s="158">
        <f>E37+E20+E48+E50</f>
        <v>203409.87550000002</v>
      </c>
      <c r="F52" s="77">
        <f>F37+F20+F48+F50</f>
        <v>816875.07703087793</v>
      </c>
      <c r="G52" s="77">
        <f>G37+G20+G48+G50</f>
        <v>2013608.54</v>
      </c>
      <c r="H52" s="77">
        <f>H37+H20+H48+H50</f>
        <v>1196733.462969122</v>
      </c>
      <c r="I52" s="110">
        <f t="shared" si="13"/>
        <v>0.40567720130491597</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20159.28</v>
      </c>
      <c r="F54" s="143">
        <f>E54+'Nov-2019'!F54</f>
        <v>49793.71</v>
      </c>
      <c r="G54" s="76">
        <v>242467.32</v>
      </c>
      <c r="H54" s="180">
        <f>G54-F54</f>
        <v>192673.61000000002</v>
      </c>
      <c r="I54" s="108">
        <f t="shared" si="13"/>
        <v>0.20536256184957213</v>
      </c>
    </row>
    <row r="55" spans="1:9" s="103" customFormat="1" ht="15.5">
      <c r="A55" s="117"/>
      <c r="B55" s="178"/>
      <c r="C55" s="100"/>
      <c r="D55" s="100"/>
      <c r="E55" s="152"/>
      <c r="F55" s="78"/>
      <c r="G55" s="78"/>
      <c r="H55" s="78"/>
      <c r="I55" s="109"/>
    </row>
    <row r="56" spans="1:9" s="103" customFormat="1" ht="16" thickBot="1">
      <c r="A56" s="117" t="s">
        <v>33</v>
      </c>
      <c r="B56" s="181">
        <f t="shared" ref="B56:H56" si="18">B52+B54</f>
        <v>13461.349694584496</v>
      </c>
      <c r="C56" s="99">
        <f t="shared" si="18"/>
        <v>173071.79</v>
      </c>
      <c r="D56" s="99">
        <f t="shared" si="18"/>
        <v>16876.735805415501</v>
      </c>
      <c r="E56" s="158">
        <f t="shared" si="18"/>
        <v>223569.15550000002</v>
      </c>
      <c r="F56" s="77">
        <f t="shared" si="18"/>
        <v>866668.78703087789</v>
      </c>
      <c r="G56" s="77">
        <f t="shared" si="18"/>
        <v>2256075.86</v>
      </c>
      <c r="H56" s="77">
        <f t="shared" si="18"/>
        <v>1389407.0729691221</v>
      </c>
      <c r="I56" s="110">
        <f t="shared" si="13"/>
        <v>0.38414877903568273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32001.765500000005</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32001.765500000005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2"/>
  <sheetViews>
    <sheetView zoomScale="130" zoomScaleNormal="130" workbookViewId="0">
      <pane ySplit="5" topLeftCell="A180" activePane="bottomLeft" state="frozen"/>
      <selection pane="bottomLeft" activeCell="A186" sqref="A186:XFD190"/>
    </sheetView>
  </sheetViews>
  <sheetFormatPr defaultColWidth="9.1796875" defaultRowHeight="14.5"/>
  <cols>
    <col min="1" max="1" width="2.81640625" style="269" customWidth="1"/>
    <col min="2" max="4" width="12" style="269" customWidth="1"/>
    <col min="5" max="5" width="20.81640625" style="269" customWidth="1"/>
    <col min="6" max="6" width="69.54296875" style="269" customWidth="1"/>
    <col min="7" max="7" width="12" style="269" customWidth="1"/>
    <col min="8" max="8" width="10.453125" style="406" customWidth="1"/>
    <col min="9" max="16384" width="9.1796875" style="26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693</v>
      </c>
      <c r="B3" s="595"/>
      <c r="C3" s="595"/>
      <c r="D3" s="595"/>
      <c r="E3" s="595"/>
      <c r="F3" s="595"/>
      <c r="G3" s="595"/>
      <c r="H3" s="595"/>
    </row>
    <row r="5" spans="1:8" s="445" customFormat="1" ht="24" customHeight="1">
      <c r="A5" s="447"/>
      <c r="B5" s="401" t="s">
        <v>153</v>
      </c>
      <c r="C5" s="401" t="s">
        <v>430</v>
      </c>
      <c r="D5" s="401" t="s">
        <v>274</v>
      </c>
      <c r="E5" s="401" t="s">
        <v>273</v>
      </c>
      <c r="F5" s="401" t="s">
        <v>272</v>
      </c>
      <c r="G5" s="446" t="s">
        <v>271</v>
      </c>
      <c r="H5" s="415" t="s">
        <v>278</v>
      </c>
    </row>
    <row r="6" spans="1:8">
      <c r="A6" s="443" t="s">
        <v>270</v>
      </c>
      <c r="H6" s="444"/>
    </row>
    <row r="7" spans="1:8">
      <c r="A7" s="443" t="s">
        <v>269</v>
      </c>
      <c r="H7" s="444"/>
    </row>
    <row r="8" spans="1:8">
      <c r="B8" s="305" t="s">
        <v>674</v>
      </c>
      <c r="C8" s="305" t="s">
        <v>186</v>
      </c>
      <c r="D8" s="305">
        <v>98</v>
      </c>
      <c r="E8" s="305"/>
      <c r="F8" s="305" t="s">
        <v>692</v>
      </c>
      <c r="G8" s="352">
        <v>47009.24</v>
      </c>
      <c r="H8" s="444"/>
    </row>
    <row r="9" spans="1:8">
      <c r="B9" s="305" t="s">
        <v>673</v>
      </c>
      <c r="C9" s="305" t="s">
        <v>186</v>
      </c>
      <c r="D9" s="305">
        <v>99</v>
      </c>
      <c r="E9" s="305"/>
      <c r="F9" s="305" t="s">
        <v>691</v>
      </c>
      <c r="G9" s="352">
        <v>51352.86</v>
      </c>
      <c r="H9" s="444"/>
    </row>
    <row r="10" spans="1:8">
      <c r="B10" s="305" t="s">
        <v>645</v>
      </c>
      <c r="C10" s="305" t="s">
        <v>186</v>
      </c>
      <c r="D10" s="305">
        <v>149</v>
      </c>
      <c r="E10" s="305"/>
      <c r="F10" s="305" t="s">
        <v>690</v>
      </c>
      <c r="G10" s="352">
        <v>59595</v>
      </c>
      <c r="H10" s="444"/>
    </row>
    <row r="11" spans="1:8">
      <c r="A11" s="443" t="s">
        <v>268</v>
      </c>
      <c r="G11" s="360">
        <f>SUM(G8:G10)</f>
        <v>157957.1</v>
      </c>
      <c r="H11" s="444"/>
    </row>
    <row r="12" spans="1:8">
      <c r="A12" s="443" t="s">
        <v>267</v>
      </c>
      <c r="G12" s="325"/>
      <c r="H12" s="444"/>
    </row>
    <row r="13" spans="1:8">
      <c r="B13" s="305" t="s">
        <v>674</v>
      </c>
      <c r="C13" s="305" t="s">
        <v>174</v>
      </c>
      <c r="D13" s="305" t="s">
        <v>689</v>
      </c>
      <c r="E13" s="305" t="s">
        <v>684</v>
      </c>
      <c r="F13" s="305" t="s">
        <v>688</v>
      </c>
      <c r="G13" s="371">
        <v>338.02</v>
      </c>
      <c r="H13" s="444"/>
    </row>
    <row r="14" spans="1:8">
      <c r="B14" s="305" t="s">
        <v>687</v>
      </c>
      <c r="C14" s="305" t="s">
        <v>265</v>
      </c>
      <c r="D14" s="305"/>
      <c r="E14" s="305" t="s">
        <v>264</v>
      </c>
      <c r="F14" s="305" t="s">
        <v>686</v>
      </c>
      <c r="G14" s="371">
        <v>-338.02</v>
      </c>
      <c r="H14" s="444"/>
    </row>
    <row r="15" spans="1:8">
      <c r="B15" s="305" t="s">
        <v>673</v>
      </c>
      <c r="C15" s="305" t="s">
        <v>174</v>
      </c>
      <c r="D15" s="305" t="s">
        <v>685</v>
      </c>
      <c r="E15" s="305" t="s">
        <v>684</v>
      </c>
      <c r="F15" s="305" t="s">
        <v>683</v>
      </c>
      <c r="G15" s="371">
        <v>338.02</v>
      </c>
      <c r="H15" s="444"/>
    </row>
    <row r="16" spans="1:8">
      <c r="B16" s="305" t="s">
        <v>682</v>
      </c>
      <c r="C16" s="305" t="s">
        <v>265</v>
      </c>
      <c r="D16" s="305"/>
      <c r="E16" s="305" t="s">
        <v>264</v>
      </c>
      <c r="F16" s="305" t="s">
        <v>681</v>
      </c>
      <c r="G16" s="371">
        <v>-338.02</v>
      </c>
      <c r="H16" s="444"/>
    </row>
    <row r="17" spans="1:8">
      <c r="B17" s="305" t="s">
        <v>679</v>
      </c>
      <c r="C17" s="305" t="s">
        <v>265</v>
      </c>
      <c r="D17" s="305"/>
      <c r="E17" s="305" t="s">
        <v>264</v>
      </c>
      <c r="F17" s="305" t="s">
        <v>680</v>
      </c>
      <c r="G17" s="371">
        <v>-317.56</v>
      </c>
      <c r="H17" s="444"/>
    </row>
    <row r="18" spans="1:8">
      <c r="B18" s="305" t="s">
        <v>679</v>
      </c>
      <c r="C18" s="305" t="s">
        <v>174</v>
      </c>
      <c r="D18" s="305" t="s">
        <v>678</v>
      </c>
      <c r="E18" s="305" t="s">
        <v>677</v>
      </c>
      <c r="F18" s="305" t="s">
        <v>676</v>
      </c>
      <c r="G18" s="371">
        <v>317.56</v>
      </c>
      <c r="H18" s="444"/>
    </row>
    <row r="19" spans="1:8">
      <c r="A19" s="443" t="s">
        <v>263</v>
      </c>
      <c r="G19" s="360">
        <f>SUM(G13:G18)</f>
        <v>0</v>
      </c>
      <c r="H19" s="444"/>
    </row>
    <row r="20" spans="1:8">
      <c r="A20" s="443" t="s">
        <v>420</v>
      </c>
      <c r="G20" s="360">
        <f>+G11+G19</f>
        <v>157957.1</v>
      </c>
      <c r="H20" s="444"/>
    </row>
    <row r="21" spans="1:8">
      <c r="A21" s="443" t="s">
        <v>262</v>
      </c>
      <c r="G21" s="325"/>
      <c r="H21" s="444"/>
    </row>
    <row r="22" spans="1:8">
      <c r="B22" s="305" t="s">
        <v>674</v>
      </c>
      <c r="C22" s="305" t="s">
        <v>186</v>
      </c>
      <c r="D22" s="305">
        <v>98</v>
      </c>
      <c r="E22" s="305"/>
      <c r="F22" s="305" t="s">
        <v>675</v>
      </c>
      <c r="G22" s="371">
        <v>3646.17</v>
      </c>
      <c r="H22" s="444"/>
    </row>
    <row r="23" spans="1:8">
      <c r="B23" s="305" t="s">
        <v>673</v>
      </c>
      <c r="C23" s="305" t="s">
        <v>186</v>
      </c>
      <c r="D23" s="305">
        <v>99</v>
      </c>
      <c r="E23" s="305"/>
      <c r="F23" s="305" t="s">
        <v>675</v>
      </c>
      <c r="G23" s="371">
        <v>3973.66</v>
      </c>
      <c r="H23" s="444"/>
    </row>
    <row r="24" spans="1:8">
      <c r="B24" s="305" t="s">
        <v>645</v>
      </c>
      <c r="C24" s="305" t="s">
        <v>186</v>
      </c>
      <c r="D24" s="305">
        <v>149</v>
      </c>
      <c r="E24" s="305"/>
      <c r="F24" s="305" t="s">
        <v>675</v>
      </c>
      <c r="G24" s="371">
        <v>4575.8599999999997</v>
      </c>
      <c r="H24" s="444"/>
    </row>
    <row r="25" spans="1:8">
      <c r="A25" s="443" t="s">
        <v>261</v>
      </c>
      <c r="G25" s="360">
        <f>SUM(G22:G24)</f>
        <v>12195.689999999999</v>
      </c>
      <c r="H25" s="444"/>
    </row>
    <row r="26" spans="1:8">
      <c r="A26" s="443" t="s">
        <v>340</v>
      </c>
      <c r="G26" s="325"/>
      <c r="H26" s="444"/>
    </row>
    <row r="27" spans="1:8">
      <c r="B27" s="305" t="s">
        <v>645</v>
      </c>
      <c r="C27" s="305" t="s">
        <v>186</v>
      </c>
      <c r="D27" s="305">
        <v>123</v>
      </c>
      <c r="E27" s="305"/>
      <c r="F27" s="305" t="s">
        <v>411</v>
      </c>
      <c r="G27" s="371">
        <v>2919</v>
      </c>
      <c r="H27" s="444"/>
    </row>
    <row r="28" spans="1:8">
      <c r="A28" s="443" t="s">
        <v>341</v>
      </c>
      <c r="G28" s="360">
        <f>SUM(G27)</f>
        <v>2919</v>
      </c>
      <c r="H28" s="444"/>
    </row>
    <row r="29" spans="1:8">
      <c r="A29" s="443" t="s">
        <v>260</v>
      </c>
      <c r="G29" s="325"/>
      <c r="H29" s="444"/>
    </row>
    <row r="30" spans="1:8">
      <c r="B30" s="305" t="s">
        <v>674</v>
      </c>
      <c r="C30" s="305" t="s">
        <v>186</v>
      </c>
      <c r="D30" s="305">
        <v>98</v>
      </c>
      <c r="E30" s="305"/>
      <c r="F30" s="305" t="s">
        <v>415</v>
      </c>
      <c r="G30" s="371">
        <v>422.45</v>
      </c>
      <c r="H30" s="444"/>
    </row>
    <row r="31" spans="1:8">
      <c r="B31" s="305" t="s">
        <v>673</v>
      </c>
      <c r="C31" s="305" t="s">
        <v>186</v>
      </c>
      <c r="D31" s="305">
        <v>99</v>
      </c>
      <c r="E31" s="305"/>
      <c r="F31" s="305" t="s">
        <v>415</v>
      </c>
      <c r="G31" s="371">
        <v>397.76</v>
      </c>
      <c r="H31" s="444"/>
    </row>
    <row r="32" spans="1:8">
      <c r="B32" s="305" t="s">
        <v>645</v>
      </c>
      <c r="C32" s="305" t="s">
        <v>186</v>
      </c>
      <c r="D32" s="305">
        <v>149</v>
      </c>
      <c r="E32" s="305"/>
      <c r="F32" s="305" t="s">
        <v>415</v>
      </c>
      <c r="G32" s="371">
        <v>435.11</v>
      </c>
      <c r="H32" s="444"/>
    </row>
    <row r="33" spans="1:8">
      <c r="A33" s="443" t="s">
        <v>253</v>
      </c>
      <c r="G33" s="360">
        <f>SUM(G30:G32)</f>
        <v>1255.3200000000002</v>
      </c>
      <c r="H33" s="444"/>
    </row>
    <row r="34" spans="1:8">
      <c r="A34" s="443" t="s">
        <v>483</v>
      </c>
      <c r="G34" s="360">
        <f>+G20+G25+G28+G33</f>
        <v>174327.11000000002</v>
      </c>
      <c r="H34" s="444"/>
    </row>
    <row r="35" spans="1:8">
      <c r="A35" s="443" t="s">
        <v>414</v>
      </c>
      <c r="G35" s="325"/>
      <c r="H35" s="444"/>
    </row>
    <row r="36" spans="1:8">
      <c r="A36" s="443" t="s">
        <v>252</v>
      </c>
      <c r="G36" s="325"/>
      <c r="H36" s="444"/>
    </row>
    <row r="37" spans="1:8">
      <c r="A37" s="443" t="s">
        <v>552</v>
      </c>
      <c r="G37" s="325"/>
      <c r="H37" s="444"/>
    </row>
    <row r="38" spans="1:8">
      <c r="B38" s="305" t="s">
        <v>668</v>
      </c>
      <c r="C38" s="305" t="s">
        <v>186</v>
      </c>
      <c r="D38" s="305">
        <v>121</v>
      </c>
      <c r="E38" s="305"/>
      <c r="F38" s="305" t="s">
        <v>672</v>
      </c>
      <c r="G38" s="371">
        <v>16771</v>
      </c>
      <c r="H38" s="444"/>
    </row>
    <row r="39" spans="1:8">
      <c r="A39" s="443" t="s">
        <v>549</v>
      </c>
      <c r="G39" s="360">
        <f>SUM(G38)</f>
        <v>16771</v>
      </c>
      <c r="H39" s="444"/>
    </row>
    <row r="40" spans="1:8">
      <c r="A40" s="443"/>
      <c r="G40" s="360"/>
      <c r="H40" s="444"/>
    </row>
    <row r="41" spans="1:8">
      <c r="A41" s="443"/>
      <c r="G41" s="362"/>
      <c r="H41" s="444"/>
    </row>
    <row r="42" spans="1:8">
      <c r="A42" s="443"/>
      <c r="G42" s="362"/>
      <c r="H42" s="444"/>
    </row>
    <row r="43" spans="1:8">
      <c r="A43" s="443"/>
      <c r="G43" s="362"/>
      <c r="H43" s="444"/>
    </row>
    <row r="44" spans="1:8">
      <c r="A44" s="443" t="s">
        <v>248</v>
      </c>
      <c r="G44" s="325"/>
      <c r="H44" s="444"/>
    </row>
    <row r="45" spans="1:8">
      <c r="A45" s="443" t="s">
        <v>247</v>
      </c>
      <c r="G45" s="325"/>
      <c r="H45" s="444"/>
    </row>
    <row r="46" spans="1:8">
      <c r="B46" s="305" t="s">
        <v>650</v>
      </c>
      <c r="C46" s="305" t="s">
        <v>174</v>
      </c>
      <c r="D46" s="305">
        <v>292879522</v>
      </c>
      <c r="E46" s="305" t="s">
        <v>480</v>
      </c>
      <c r="F46" s="305" t="s">
        <v>671</v>
      </c>
      <c r="G46" s="371">
        <v>3688.1</v>
      </c>
      <c r="H46" s="444">
        <v>12820</v>
      </c>
    </row>
    <row r="47" spans="1:8">
      <c r="A47" s="443" t="s">
        <v>246</v>
      </c>
      <c r="G47" s="355">
        <f>SUM(G46)</f>
        <v>3688.1</v>
      </c>
      <c r="H47" s="444"/>
    </row>
    <row r="48" spans="1:8">
      <c r="A48" s="443" t="s">
        <v>245</v>
      </c>
      <c r="G48" s="325"/>
      <c r="H48" s="444"/>
    </row>
    <row r="49" spans="1:8">
      <c r="B49" s="305" t="s">
        <v>650</v>
      </c>
      <c r="C49" s="305" t="s">
        <v>174</v>
      </c>
      <c r="D49" s="305" t="s">
        <v>670</v>
      </c>
      <c r="E49" s="305" t="s">
        <v>243</v>
      </c>
      <c r="F49" s="305" t="s">
        <v>564</v>
      </c>
      <c r="G49" s="371">
        <v>264.69</v>
      </c>
      <c r="H49" s="444">
        <v>12822</v>
      </c>
    </row>
    <row r="50" spans="1:8">
      <c r="A50" s="443" t="s">
        <v>241</v>
      </c>
      <c r="G50" s="355">
        <f>SUM(G49)</f>
        <v>264.69</v>
      </c>
      <c r="H50" s="444"/>
    </row>
    <row r="51" spans="1:8">
      <c r="A51" s="443" t="s">
        <v>240</v>
      </c>
      <c r="G51" s="325"/>
      <c r="H51" s="444"/>
    </row>
    <row r="52" spans="1:8">
      <c r="B52" s="305" t="s">
        <v>668</v>
      </c>
      <c r="C52" s="305" t="s">
        <v>186</v>
      </c>
      <c r="D52" s="305">
        <v>137</v>
      </c>
      <c r="E52" s="305"/>
      <c r="F52" s="305" t="s">
        <v>669</v>
      </c>
      <c r="G52" s="371">
        <v>-806.3805000000001</v>
      </c>
      <c r="H52" s="444"/>
    </row>
    <row r="53" spans="1:8">
      <c r="A53" s="443" t="s">
        <v>239</v>
      </c>
      <c r="G53" s="355">
        <f>SUM(G52)</f>
        <v>-806.3805000000001</v>
      </c>
      <c r="H53" s="444"/>
    </row>
    <row r="54" spans="1:8">
      <c r="A54" s="443" t="s">
        <v>238</v>
      </c>
      <c r="G54" s="325"/>
      <c r="H54" s="444"/>
    </row>
    <row r="55" spans="1:8">
      <c r="B55" s="305" t="s">
        <v>668</v>
      </c>
      <c r="C55" s="305" t="s">
        <v>186</v>
      </c>
      <c r="D55" s="305">
        <v>138</v>
      </c>
      <c r="E55" s="305"/>
      <c r="F55" s="305" t="s">
        <v>237</v>
      </c>
      <c r="G55" s="371">
        <v>-50.925000000000004</v>
      </c>
      <c r="H55" s="444"/>
    </row>
    <row r="56" spans="1:8">
      <c r="A56" s="443" t="s">
        <v>236</v>
      </c>
      <c r="G56" s="355">
        <f>SUM(G55)</f>
        <v>-50.925000000000004</v>
      </c>
      <c r="H56" s="444"/>
    </row>
    <row r="57" spans="1:8">
      <c r="A57" s="443" t="s">
        <v>235</v>
      </c>
      <c r="G57" s="360">
        <f>+G47+G50+G53+G56</f>
        <v>3095.4844999999996</v>
      </c>
      <c r="H57" s="444"/>
    </row>
    <row r="58" spans="1:8">
      <c r="A58" s="443" t="s">
        <v>667</v>
      </c>
      <c r="G58" s="325"/>
      <c r="H58" s="444"/>
    </row>
    <row r="59" spans="1:8">
      <c r="A59" s="443" t="s">
        <v>234</v>
      </c>
      <c r="G59" s="325"/>
      <c r="H59" s="444"/>
    </row>
    <row r="60" spans="1:8">
      <c r="A60" s="443" t="s">
        <v>478</v>
      </c>
      <c r="G60" s="325"/>
      <c r="H60" s="444"/>
    </row>
    <row r="61" spans="1:8">
      <c r="B61" s="305" t="s">
        <v>645</v>
      </c>
      <c r="C61" s="305" t="s">
        <v>186</v>
      </c>
      <c r="D61" s="305">
        <v>123</v>
      </c>
      <c r="E61" s="305"/>
      <c r="F61" s="305" t="s">
        <v>411</v>
      </c>
      <c r="G61" s="371">
        <v>498</v>
      </c>
      <c r="H61" s="444"/>
    </row>
    <row r="62" spans="1:8">
      <c r="A62" s="443" t="s">
        <v>233</v>
      </c>
      <c r="G62" s="355">
        <f>SUM(G61)</f>
        <v>498</v>
      </c>
      <c r="H62" s="444"/>
    </row>
    <row r="63" spans="1:8">
      <c r="A63" s="443"/>
      <c r="G63" s="360"/>
      <c r="H63" s="444"/>
    </row>
    <row r="64" spans="1:8">
      <c r="A64" s="274" t="s">
        <v>284</v>
      </c>
      <c r="G64" s="362"/>
      <c r="H64" s="444"/>
    </row>
    <row r="65" spans="1:8">
      <c r="A65" s="443" t="s">
        <v>232</v>
      </c>
      <c r="G65" s="325"/>
      <c r="H65" s="444"/>
    </row>
    <row r="66" spans="1:8">
      <c r="B66" s="305" t="s">
        <v>645</v>
      </c>
      <c r="C66" s="305" t="s">
        <v>186</v>
      </c>
      <c r="D66" s="305">
        <v>132</v>
      </c>
      <c r="E66" s="305"/>
      <c r="F66" s="305" t="s">
        <v>231</v>
      </c>
      <c r="G66" s="371">
        <v>913</v>
      </c>
      <c r="H66" s="444"/>
    </row>
    <row r="67" spans="1:8">
      <c r="A67" s="443" t="s">
        <v>230</v>
      </c>
      <c r="G67" s="360">
        <f>SUM(G66)</f>
        <v>913</v>
      </c>
      <c r="H67" s="444"/>
    </row>
    <row r="68" spans="1:8">
      <c r="A68" s="443" t="s">
        <v>229</v>
      </c>
      <c r="G68" s="325"/>
      <c r="H68" s="444"/>
    </row>
    <row r="69" spans="1:8">
      <c r="B69" s="305" t="s">
        <v>645</v>
      </c>
      <c r="C69" s="305" t="s">
        <v>186</v>
      </c>
      <c r="D69" s="305">
        <v>131</v>
      </c>
      <c r="E69" s="305"/>
      <c r="F69" s="305" t="s">
        <v>228</v>
      </c>
      <c r="G69" s="371">
        <v>237</v>
      </c>
      <c r="H69" s="444"/>
    </row>
    <row r="70" spans="1:8">
      <c r="A70" s="443" t="s">
        <v>227</v>
      </c>
      <c r="G70" s="360">
        <f>SUM(G69)</f>
        <v>237</v>
      </c>
      <c r="H70" s="444"/>
    </row>
    <row r="71" spans="1:8">
      <c r="A71" s="443" t="s">
        <v>226</v>
      </c>
      <c r="G71" s="325"/>
      <c r="H71" s="444"/>
    </row>
    <row r="72" spans="1:8">
      <c r="B72" s="305" t="s">
        <v>645</v>
      </c>
      <c r="C72" s="305" t="s">
        <v>186</v>
      </c>
      <c r="D72" s="305">
        <v>127</v>
      </c>
      <c r="E72" s="305"/>
      <c r="F72" s="305" t="s">
        <v>225</v>
      </c>
      <c r="G72" s="371">
        <v>224</v>
      </c>
      <c r="H72" s="444"/>
    </row>
    <row r="73" spans="1:8">
      <c r="A73" s="443" t="s">
        <v>224</v>
      </c>
      <c r="G73" s="360">
        <f>SUM(G72)</f>
        <v>224</v>
      </c>
      <c r="H73" s="444"/>
    </row>
    <row r="74" spans="1:8">
      <c r="A74" s="443" t="s">
        <v>223</v>
      </c>
      <c r="G74" s="325"/>
      <c r="H74" s="444"/>
    </row>
    <row r="75" spans="1:8">
      <c r="B75" s="305" t="s">
        <v>645</v>
      </c>
      <c r="C75" s="305" t="s">
        <v>186</v>
      </c>
      <c r="D75" s="305">
        <v>136</v>
      </c>
      <c r="E75" s="305"/>
      <c r="F75" s="305" t="s">
        <v>222</v>
      </c>
      <c r="G75" s="371">
        <v>44</v>
      </c>
      <c r="H75" s="444"/>
    </row>
    <row r="76" spans="1:8">
      <c r="A76" s="443" t="s">
        <v>221</v>
      </c>
      <c r="G76" s="360">
        <f>SUM(G75)</f>
        <v>44</v>
      </c>
      <c r="H76" s="444"/>
    </row>
    <row r="77" spans="1:8">
      <c r="G77" s="325"/>
      <c r="H77" s="444"/>
    </row>
    <row r="78" spans="1:8">
      <c r="A78" s="274"/>
      <c r="G78" s="362"/>
      <c r="H78" s="444"/>
    </row>
    <row r="79" spans="1:8" ht="15" thickBot="1">
      <c r="A79" s="274" t="s">
        <v>506</v>
      </c>
      <c r="G79" s="457">
        <f>+G67+G70+G73+G76</f>
        <v>1418</v>
      </c>
      <c r="H79" s="444"/>
    </row>
    <row r="80" spans="1:8" ht="15" thickTop="1">
      <c r="A80" s="274"/>
      <c r="G80" s="362"/>
      <c r="H80" s="444"/>
    </row>
    <row r="81" spans="1:8">
      <c r="A81" s="274"/>
      <c r="G81" s="362"/>
      <c r="H81" s="444"/>
    </row>
    <row r="82" spans="1:8">
      <c r="A82" s="443" t="s">
        <v>409</v>
      </c>
      <c r="G82" s="325"/>
      <c r="H82" s="444"/>
    </row>
    <row r="83" spans="1:8">
      <c r="A83" s="443" t="s">
        <v>220</v>
      </c>
      <c r="G83" s="325"/>
      <c r="H83" s="444"/>
    </row>
    <row r="84" spans="1:8">
      <c r="B84" s="305" t="s">
        <v>645</v>
      </c>
      <c r="C84" s="305" t="s">
        <v>186</v>
      </c>
      <c r="D84" s="305">
        <v>129</v>
      </c>
      <c r="E84" s="305"/>
      <c r="F84" s="305" t="s">
        <v>219</v>
      </c>
      <c r="G84" s="371">
        <v>172</v>
      </c>
      <c r="H84" s="444"/>
    </row>
    <row r="85" spans="1:8">
      <c r="A85" s="443" t="s">
        <v>218</v>
      </c>
      <c r="G85" s="355">
        <f>SUM(G84)</f>
        <v>172</v>
      </c>
      <c r="H85" s="444"/>
    </row>
    <row r="86" spans="1:8">
      <c r="A86" s="443"/>
      <c r="G86" s="360"/>
      <c r="H86" s="444"/>
    </row>
    <row r="87" spans="1:8">
      <c r="A87" s="443" t="s">
        <v>703</v>
      </c>
      <c r="G87" s="456">
        <f>+G40+G57+G62+G79+G85</f>
        <v>5183.4844999999996</v>
      </c>
      <c r="H87" s="444"/>
    </row>
    <row r="89" spans="1:8">
      <c r="A89" s="443"/>
      <c r="G89" s="325"/>
      <c r="H89" s="444"/>
    </row>
    <row r="90" spans="1:8">
      <c r="A90" s="364" t="s">
        <v>379</v>
      </c>
      <c r="G90" s="325"/>
      <c r="H90" s="444"/>
    </row>
    <row r="91" spans="1:8">
      <c r="A91" s="443" t="s">
        <v>184</v>
      </c>
      <c r="G91" s="325"/>
      <c r="H91" s="444"/>
    </row>
    <row r="92" spans="1:8">
      <c r="B92" s="305" t="s">
        <v>641</v>
      </c>
      <c r="C92" s="305" t="s">
        <v>174</v>
      </c>
      <c r="D92" s="305" t="s">
        <v>644</v>
      </c>
      <c r="E92" s="305" t="s">
        <v>443</v>
      </c>
      <c r="F92" s="305" t="s">
        <v>643</v>
      </c>
      <c r="G92" s="371">
        <v>44.06</v>
      </c>
      <c r="H92" s="444">
        <v>12843</v>
      </c>
    </row>
    <row r="93" spans="1:8">
      <c r="B93" s="305" t="s">
        <v>641</v>
      </c>
      <c r="C93" s="305" t="s">
        <v>174</v>
      </c>
      <c r="D93" s="305">
        <v>11173</v>
      </c>
      <c r="E93" s="305" t="s">
        <v>377</v>
      </c>
      <c r="F93" s="305" t="s">
        <v>642</v>
      </c>
      <c r="G93" s="371">
        <v>150</v>
      </c>
      <c r="H93" s="305">
        <v>12831</v>
      </c>
    </row>
    <row r="94" spans="1:8">
      <c r="B94" s="305" t="s">
        <v>641</v>
      </c>
      <c r="C94" s="305" t="s">
        <v>174</v>
      </c>
      <c r="D94" s="305" t="s">
        <v>640</v>
      </c>
      <c r="E94" s="305" t="s">
        <v>373</v>
      </c>
      <c r="F94" s="305" t="s">
        <v>639</v>
      </c>
      <c r="G94" s="371">
        <v>57.88</v>
      </c>
      <c r="H94" s="444">
        <v>12842</v>
      </c>
    </row>
    <row r="95" spans="1:8">
      <c r="B95" s="305" t="s">
        <v>635</v>
      </c>
      <c r="C95" s="305" t="s">
        <v>174</v>
      </c>
      <c r="D95" s="305" t="s">
        <v>638</v>
      </c>
      <c r="E95" s="305" t="s">
        <v>637</v>
      </c>
      <c r="F95" s="305" t="s">
        <v>636</v>
      </c>
      <c r="G95" s="371">
        <v>21.6</v>
      </c>
      <c r="H95" s="444">
        <v>12845</v>
      </c>
    </row>
    <row r="96" spans="1:8">
      <c r="B96" s="305" t="s">
        <v>635</v>
      </c>
      <c r="C96" s="305" t="s">
        <v>174</v>
      </c>
      <c r="D96" s="305" t="s">
        <v>634</v>
      </c>
      <c r="E96" s="305" t="s">
        <v>457</v>
      </c>
      <c r="F96" s="305" t="s">
        <v>633</v>
      </c>
      <c r="G96" s="371">
        <v>75.599999999999994</v>
      </c>
      <c r="H96" s="444">
        <v>12844</v>
      </c>
    </row>
    <row r="97" spans="1:8">
      <c r="A97" s="443" t="s">
        <v>520</v>
      </c>
      <c r="G97" s="360">
        <f>SUM(G92:G96)</f>
        <v>349.14</v>
      </c>
      <c r="H97" s="444"/>
    </row>
    <row r="98" spans="1:8">
      <c r="A98" s="443"/>
      <c r="G98" s="362"/>
      <c r="H98" s="444"/>
    </row>
    <row r="99" spans="1:8">
      <c r="A99" s="451" t="s">
        <v>400</v>
      </c>
      <c r="G99" s="325"/>
      <c r="H99" s="444"/>
    </row>
    <row r="100" spans="1:8">
      <c r="A100" s="443" t="s">
        <v>632</v>
      </c>
      <c r="G100" s="325"/>
      <c r="H100" s="444"/>
    </row>
    <row r="101" spans="1:8">
      <c r="B101" s="305" t="s">
        <v>631</v>
      </c>
      <c r="C101" s="305" t="s">
        <v>174</v>
      </c>
      <c r="D101" s="305">
        <v>138575</v>
      </c>
      <c r="E101" s="305" t="s">
        <v>630</v>
      </c>
      <c r="F101" s="305" t="s">
        <v>629</v>
      </c>
      <c r="G101" s="371">
        <v>895.14</v>
      </c>
      <c r="H101" s="444">
        <v>12919</v>
      </c>
    </row>
    <row r="102" spans="1:8" s="325" customFormat="1">
      <c r="B102" s="388">
        <v>43830</v>
      </c>
      <c r="C102" s="327" t="s">
        <v>700</v>
      </c>
      <c r="D102" s="327" t="s">
        <v>701</v>
      </c>
      <c r="E102" s="327" t="s">
        <v>630</v>
      </c>
      <c r="F102" s="327" t="s">
        <v>629</v>
      </c>
      <c r="G102" s="371">
        <v>-162.25</v>
      </c>
      <c r="H102" s="206">
        <v>12919</v>
      </c>
    </row>
    <row r="103" spans="1:8">
      <c r="A103" s="443" t="s">
        <v>628</v>
      </c>
      <c r="G103" s="360">
        <f>SUM(G101:G102)</f>
        <v>732.89</v>
      </c>
      <c r="H103" s="444"/>
    </row>
    <row r="104" spans="1:8">
      <c r="A104" s="443" t="s">
        <v>394</v>
      </c>
      <c r="G104" s="325"/>
      <c r="H104" s="444"/>
    </row>
    <row r="105" spans="1:8">
      <c r="B105" s="305" t="s">
        <v>645</v>
      </c>
      <c r="C105" s="305" t="s">
        <v>186</v>
      </c>
      <c r="D105" s="305">
        <v>125</v>
      </c>
      <c r="E105" s="305"/>
      <c r="F105" s="305" t="s">
        <v>212</v>
      </c>
      <c r="G105" s="371">
        <v>92</v>
      </c>
      <c r="H105" s="444"/>
    </row>
    <row r="106" spans="1:8">
      <c r="A106" s="451" t="s">
        <v>211</v>
      </c>
      <c r="G106" s="360">
        <f>SUM(G105)</f>
        <v>92</v>
      </c>
      <c r="H106" s="444"/>
    </row>
    <row r="107" spans="1:8">
      <c r="A107" s="451"/>
      <c r="G107" s="360"/>
      <c r="H107" s="444"/>
    </row>
    <row r="108" spans="1:8">
      <c r="A108" s="451" t="s">
        <v>696</v>
      </c>
      <c r="G108" s="360">
        <f>+G103+G106</f>
        <v>824.89</v>
      </c>
      <c r="H108" s="444"/>
    </row>
    <row r="109" spans="1:8">
      <c r="G109" s="360"/>
      <c r="H109" s="444"/>
    </row>
    <row r="110" spans="1:8">
      <c r="A110" s="364" t="s">
        <v>357</v>
      </c>
      <c r="G110" s="362"/>
      <c r="H110" s="444"/>
    </row>
    <row r="111" spans="1:8">
      <c r="A111" s="443" t="s">
        <v>406</v>
      </c>
      <c r="G111" s="325"/>
      <c r="H111" s="444"/>
    </row>
    <row r="112" spans="1:8">
      <c r="A112" s="443" t="s">
        <v>214</v>
      </c>
      <c r="G112" s="325"/>
      <c r="H112" s="444"/>
    </row>
    <row r="113" spans="1:8">
      <c r="B113" s="305" t="s">
        <v>645</v>
      </c>
      <c r="C113" s="305" t="s">
        <v>186</v>
      </c>
      <c r="D113" s="305">
        <v>135</v>
      </c>
      <c r="E113" s="305"/>
      <c r="F113" s="305" t="s">
        <v>213</v>
      </c>
      <c r="G113" s="371">
        <v>946</v>
      </c>
      <c r="H113" s="444"/>
    </row>
    <row r="114" spans="1:8">
      <c r="A114" s="443" t="s">
        <v>666</v>
      </c>
      <c r="G114" s="360">
        <f>SUM(G113)</f>
        <v>946</v>
      </c>
      <c r="H114" s="444"/>
    </row>
    <row r="115" spans="1:8">
      <c r="A115" s="443" t="s">
        <v>665</v>
      </c>
      <c r="G115" s="325"/>
      <c r="H115" s="444"/>
    </row>
    <row r="116" spans="1:8">
      <c r="B116" s="305" t="s">
        <v>664</v>
      </c>
      <c r="C116" s="305" t="s">
        <v>174</v>
      </c>
      <c r="D116" s="305" t="s">
        <v>663</v>
      </c>
      <c r="E116" s="305" t="s">
        <v>662</v>
      </c>
      <c r="F116" s="305" t="s">
        <v>661</v>
      </c>
      <c r="G116" s="371">
        <v>1710</v>
      </c>
      <c r="H116" s="444">
        <v>12862</v>
      </c>
    </row>
    <row r="117" spans="1:8">
      <c r="B117" s="389">
        <v>43830</v>
      </c>
      <c r="C117" s="305" t="s">
        <v>174</v>
      </c>
      <c r="D117" s="305" t="s">
        <v>699</v>
      </c>
      <c r="E117" s="305" t="s">
        <v>662</v>
      </c>
      <c r="F117" s="305" t="s">
        <v>698</v>
      </c>
      <c r="G117" s="371">
        <v>375</v>
      </c>
      <c r="H117" s="444">
        <v>12938</v>
      </c>
    </row>
    <row r="118" spans="1:8">
      <c r="A118" s="443" t="s">
        <v>660</v>
      </c>
      <c r="G118" s="360">
        <f>SUM(G116:G117)</f>
        <v>2085</v>
      </c>
      <c r="H118" s="444"/>
    </row>
    <row r="119" spans="1:8">
      <c r="A119" s="364" t="s">
        <v>695</v>
      </c>
      <c r="G119" s="360">
        <f>+G114+G118</f>
        <v>3031</v>
      </c>
      <c r="H119" s="444"/>
    </row>
    <row r="120" spans="1:8">
      <c r="G120" s="325"/>
      <c r="H120" s="444"/>
    </row>
    <row r="121" spans="1:8">
      <c r="A121" s="364" t="s">
        <v>329</v>
      </c>
      <c r="G121" s="362"/>
      <c r="H121" s="444"/>
    </row>
    <row r="122" spans="1:8">
      <c r="A122" s="443" t="s">
        <v>200</v>
      </c>
      <c r="G122" s="325"/>
      <c r="H122" s="444"/>
    </row>
    <row r="123" spans="1:8">
      <c r="B123" s="305" t="s">
        <v>650</v>
      </c>
      <c r="C123" s="305" t="s">
        <v>174</v>
      </c>
      <c r="D123" s="305" t="s">
        <v>649</v>
      </c>
      <c r="E123" s="305" t="s">
        <v>181</v>
      </c>
      <c r="F123" s="305" t="s">
        <v>648</v>
      </c>
      <c r="G123" s="371">
        <v>648</v>
      </c>
      <c r="H123" s="444">
        <v>12719</v>
      </c>
    </row>
    <row r="124" spans="1:8">
      <c r="A124" s="274" t="s">
        <v>344</v>
      </c>
      <c r="G124" s="360">
        <f>SUM(G123)</f>
        <v>648</v>
      </c>
      <c r="H124" s="444"/>
    </row>
    <row r="125" spans="1:8">
      <c r="G125" s="325"/>
      <c r="H125" s="444"/>
    </row>
    <row r="126" spans="1:8">
      <c r="A126" s="443" t="s">
        <v>197</v>
      </c>
      <c r="G126" s="325"/>
      <c r="H126" s="444"/>
    </row>
    <row r="127" spans="1:8">
      <c r="A127" s="443" t="s">
        <v>196</v>
      </c>
      <c r="G127" s="325"/>
      <c r="H127" s="444"/>
    </row>
    <row r="128" spans="1:8">
      <c r="B128" s="305" t="s">
        <v>645</v>
      </c>
      <c r="C128" s="305" t="s">
        <v>186</v>
      </c>
      <c r="D128" s="305">
        <v>124</v>
      </c>
      <c r="E128" s="305"/>
      <c r="F128" s="305" t="s">
        <v>195</v>
      </c>
      <c r="G128" s="371">
        <v>259</v>
      </c>
      <c r="H128" s="444"/>
    </row>
    <row r="129" spans="1:8">
      <c r="A129" s="443" t="s">
        <v>468</v>
      </c>
      <c r="G129" s="360">
        <f>SUM(G128)</f>
        <v>259</v>
      </c>
      <c r="H129" s="444"/>
    </row>
    <row r="130" spans="1:8">
      <c r="G130" s="360"/>
      <c r="H130" s="444"/>
    </row>
    <row r="131" spans="1:8">
      <c r="A131" s="443" t="s">
        <v>191</v>
      </c>
      <c r="G131" s="325"/>
      <c r="H131" s="444"/>
    </row>
    <row r="132" spans="1:8">
      <c r="A132" s="443" t="s">
        <v>466</v>
      </c>
      <c r="G132" s="325"/>
      <c r="H132" s="444"/>
    </row>
    <row r="133" spans="1:8">
      <c r="B133" s="305" t="s">
        <v>645</v>
      </c>
      <c r="C133" s="305" t="s">
        <v>186</v>
      </c>
      <c r="D133" s="305">
        <v>128</v>
      </c>
      <c r="E133" s="305"/>
      <c r="F133" s="305" t="s">
        <v>190</v>
      </c>
      <c r="G133" s="371">
        <v>437</v>
      </c>
      <c r="H133" s="444"/>
    </row>
    <row r="134" spans="1:8">
      <c r="A134" s="443" t="s">
        <v>189</v>
      </c>
      <c r="G134" s="360">
        <v>437</v>
      </c>
      <c r="H134" s="444"/>
    </row>
    <row r="135" spans="1:8">
      <c r="A135" s="443"/>
      <c r="G135" s="360"/>
      <c r="H135" s="444"/>
    </row>
    <row r="136" spans="1:8">
      <c r="A136" s="443" t="s">
        <v>593</v>
      </c>
      <c r="G136" s="325"/>
      <c r="H136" s="444"/>
    </row>
    <row r="137" spans="1:8">
      <c r="A137" s="443" t="s">
        <v>592</v>
      </c>
      <c r="G137" s="325"/>
      <c r="H137" s="444"/>
    </row>
    <row r="138" spans="1:8">
      <c r="B138" s="305" t="s">
        <v>645</v>
      </c>
      <c r="C138" s="305" t="s">
        <v>186</v>
      </c>
      <c r="D138" s="305">
        <v>130</v>
      </c>
      <c r="E138" s="305"/>
      <c r="F138" s="305" t="s">
        <v>591</v>
      </c>
      <c r="G138" s="371">
        <v>270</v>
      </c>
      <c r="H138" s="444"/>
    </row>
    <row r="139" spans="1:8">
      <c r="A139" s="443" t="s">
        <v>646</v>
      </c>
      <c r="G139" s="360">
        <v>270</v>
      </c>
      <c r="H139" s="444"/>
    </row>
    <row r="140" spans="1:8" s="431" customFormat="1" ht="15" customHeight="1">
      <c r="A140" s="410"/>
      <c r="G140" s="452"/>
      <c r="H140" s="444"/>
    </row>
    <row r="141" spans="1:8" s="274" customFormat="1" ht="11.5">
      <c r="A141" s="274" t="s">
        <v>343</v>
      </c>
      <c r="G141" s="453">
        <f>+G129+G134+G139</f>
        <v>966</v>
      </c>
      <c r="H141" s="206"/>
    </row>
    <row r="142" spans="1:8" s="432" customFormat="1" ht="11.5">
      <c r="A142" s="420"/>
      <c r="G142" s="430"/>
      <c r="H142" s="206"/>
    </row>
    <row r="143" spans="1:8" s="433" customFormat="1" ht="11.5">
      <c r="A143" s="274" t="s">
        <v>353</v>
      </c>
      <c r="G143" s="453">
        <f>+G141+G124</f>
        <v>1614</v>
      </c>
      <c r="H143" s="206"/>
    </row>
    <row r="144" spans="1:8">
      <c r="G144" s="325"/>
      <c r="H144" s="444"/>
    </row>
    <row r="145" spans="1:8">
      <c r="G145" s="325"/>
      <c r="H145" s="444"/>
    </row>
    <row r="146" spans="1:8" s="433" customFormat="1" ht="11.5">
      <c r="A146" s="274" t="s">
        <v>507</v>
      </c>
      <c r="G146" s="430"/>
      <c r="H146" s="206"/>
    </row>
    <row r="147" spans="1:8">
      <c r="A147" s="443" t="s">
        <v>647</v>
      </c>
      <c r="G147" s="325"/>
      <c r="H147" s="444"/>
    </row>
    <row r="148" spans="1:8">
      <c r="A148" s="443" t="s">
        <v>193</v>
      </c>
      <c r="G148" s="325"/>
      <c r="H148" s="444"/>
    </row>
    <row r="149" spans="1:8">
      <c r="B149" s="305" t="s">
        <v>645</v>
      </c>
      <c r="C149" s="305" t="s">
        <v>186</v>
      </c>
      <c r="D149" s="305">
        <v>133</v>
      </c>
      <c r="E149" s="305"/>
      <c r="F149" s="305" t="s">
        <v>192</v>
      </c>
      <c r="G149" s="371">
        <v>286</v>
      </c>
      <c r="H149" s="444"/>
    </row>
    <row r="150" spans="1:8">
      <c r="A150" s="443" t="s">
        <v>383</v>
      </c>
      <c r="G150" s="360">
        <f>SUM(G149)</f>
        <v>286</v>
      </c>
      <c r="H150" s="444"/>
    </row>
    <row r="151" spans="1:8">
      <c r="G151" s="325"/>
      <c r="H151" s="444"/>
    </row>
    <row r="152" spans="1:8">
      <c r="G152" s="325"/>
      <c r="H152" s="444"/>
    </row>
    <row r="153" spans="1:8" s="407" customFormat="1" ht="15" customHeight="1">
      <c r="A153" s="274" t="s">
        <v>334</v>
      </c>
      <c r="G153" s="454"/>
      <c r="H153" s="444"/>
    </row>
    <row r="154" spans="1:8">
      <c r="A154" s="443" t="s">
        <v>203</v>
      </c>
      <c r="G154" s="325"/>
      <c r="H154" s="444"/>
    </row>
    <row r="155" spans="1:8">
      <c r="B155" s="305" t="s">
        <v>645</v>
      </c>
      <c r="C155" s="305" t="s">
        <v>186</v>
      </c>
      <c r="D155" s="305">
        <v>122</v>
      </c>
      <c r="E155" s="305"/>
      <c r="F155" s="305" t="s">
        <v>202</v>
      </c>
      <c r="G155" s="371">
        <v>40</v>
      </c>
      <c r="H155" s="444"/>
    </row>
    <row r="156" spans="1:8">
      <c r="A156" s="443" t="s">
        <v>201</v>
      </c>
      <c r="G156" s="360">
        <f>SUM(G155)</f>
        <v>40</v>
      </c>
      <c r="H156" s="444"/>
    </row>
    <row r="157" spans="1:8">
      <c r="A157" s="443"/>
      <c r="G157" s="362"/>
      <c r="H157" s="444"/>
    </row>
    <row r="158" spans="1:8">
      <c r="A158" s="443"/>
      <c r="G158" s="362"/>
      <c r="H158" s="444"/>
    </row>
    <row r="159" spans="1:8">
      <c r="A159" s="276" t="s">
        <v>338</v>
      </c>
      <c r="G159" s="362"/>
      <c r="H159" s="444"/>
    </row>
    <row r="160" spans="1:8">
      <c r="A160" s="443" t="s">
        <v>209</v>
      </c>
      <c r="G160" s="325"/>
      <c r="H160" s="444"/>
    </row>
    <row r="161" spans="1:8">
      <c r="B161" s="305" t="s">
        <v>659</v>
      </c>
      <c r="C161" s="305" t="s">
        <v>174</v>
      </c>
      <c r="D161" s="305" t="s">
        <v>658</v>
      </c>
      <c r="E161" s="305" t="s">
        <v>433</v>
      </c>
      <c r="F161" s="305" t="s">
        <v>541</v>
      </c>
      <c r="G161" s="371">
        <v>134.91999999999999</v>
      </c>
      <c r="H161" s="444">
        <v>12869</v>
      </c>
    </row>
    <row r="162" spans="1:8">
      <c r="A162" s="443" t="s">
        <v>207</v>
      </c>
      <c r="G162" s="360">
        <f>SUM(G161)</f>
        <v>134.91999999999999</v>
      </c>
      <c r="H162" s="444"/>
    </row>
    <row r="163" spans="1:8">
      <c r="A163" s="443"/>
      <c r="G163" s="362"/>
      <c r="H163" s="444"/>
    </row>
    <row r="164" spans="1:8">
      <c r="A164" s="443" t="s">
        <v>540</v>
      </c>
      <c r="G164" s="325"/>
      <c r="H164" s="444"/>
    </row>
    <row r="165" spans="1:8">
      <c r="B165" s="305" t="s">
        <v>641</v>
      </c>
      <c r="C165" s="305" t="s">
        <v>533</v>
      </c>
      <c r="D165" s="305" t="s">
        <v>657</v>
      </c>
      <c r="E165" s="305" t="s">
        <v>537</v>
      </c>
      <c r="F165" s="305" t="s">
        <v>655</v>
      </c>
      <c r="G165" s="371">
        <v>10</v>
      </c>
      <c r="H165" s="444" t="s">
        <v>561</v>
      </c>
    </row>
    <row r="166" spans="1:8">
      <c r="B166" s="305" t="s">
        <v>635</v>
      </c>
      <c r="C166" s="305" t="s">
        <v>533</v>
      </c>
      <c r="D166" s="305" t="s">
        <v>656</v>
      </c>
      <c r="E166" s="305" t="s">
        <v>537</v>
      </c>
      <c r="F166" s="305" t="s">
        <v>655</v>
      </c>
      <c r="G166" s="371">
        <v>50.85</v>
      </c>
      <c r="H166" s="444" t="s">
        <v>561</v>
      </c>
    </row>
    <row r="167" spans="1:8">
      <c r="A167" s="443" t="s">
        <v>535</v>
      </c>
      <c r="G167" s="360">
        <f>SUM(G165:G166)</f>
        <v>60.85</v>
      </c>
      <c r="H167" s="444"/>
    </row>
    <row r="168" spans="1:8">
      <c r="A168" s="443"/>
      <c r="G168" s="362"/>
      <c r="H168" s="444"/>
    </row>
    <row r="169" spans="1:8">
      <c r="A169" s="443" t="s">
        <v>206</v>
      </c>
      <c r="G169" s="325"/>
      <c r="H169" s="444"/>
    </row>
    <row r="170" spans="1:8">
      <c r="B170" s="305" t="s">
        <v>645</v>
      </c>
      <c r="C170" s="305" t="s">
        <v>186</v>
      </c>
      <c r="D170" s="305">
        <v>126</v>
      </c>
      <c r="E170" s="305"/>
      <c r="F170" s="305" t="s">
        <v>205</v>
      </c>
      <c r="G170" s="371">
        <v>124</v>
      </c>
      <c r="H170" s="444"/>
    </row>
    <row r="171" spans="1:8">
      <c r="A171" s="443" t="s">
        <v>204</v>
      </c>
      <c r="G171" s="360">
        <f>SUM(G170)</f>
        <v>124</v>
      </c>
      <c r="H171" s="444"/>
    </row>
    <row r="172" spans="1:8">
      <c r="A172" s="443"/>
      <c r="G172" s="360"/>
      <c r="H172" s="444"/>
    </row>
    <row r="173" spans="1:8">
      <c r="A173" s="443" t="s">
        <v>471</v>
      </c>
      <c r="G173" s="453">
        <f>+G162+G167+G171</f>
        <v>319.77</v>
      </c>
      <c r="H173" s="444"/>
    </row>
    <row r="174" spans="1:8">
      <c r="A174" s="443"/>
      <c r="G174" s="362"/>
      <c r="H174" s="444"/>
    </row>
    <row r="175" spans="1:8">
      <c r="A175" s="443"/>
      <c r="G175" s="362"/>
      <c r="H175" s="444"/>
    </row>
    <row r="176" spans="1:8">
      <c r="A176" s="451" t="s">
        <v>392</v>
      </c>
      <c r="G176" s="325"/>
      <c r="H176" s="444"/>
    </row>
    <row r="177" spans="1:8">
      <c r="B177" s="305" t="s">
        <v>645</v>
      </c>
      <c r="C177" s="305" t="s">
        <v>174</v>
      </c>
      <c r="D177" s="305" t="s">
        <v>654</v>
      </c>
      <c r="E177" s="305" t="s">
        <v>653</v>
      </c>
      <c r="F177" s="305" t="s">
        <v>652</v>
      </c>
      <c r="G177" s="371">
        <v>64.58</v>
      </c>
      <c r="H177" s="444">
        <v>12895</v>
      </c>
    </row>
    <row r="178" spans="1:8">
      <c r="A178" s="443" t="s">
        <v>651</v>
      </c>
      <c r="G178" s="360">
        <f>SUM(G177)</f>
        <v>64.58</v>
      </c>
      <c r="H178" s="444"/>
    </row>
    <row r="179" spans="1:8">
      <c r="A179" s="443"/>
      <c r="G179" s="360"/>
      <c r="H179" s="444"/>
    </row>
    <row r="180" spans="1:8">
      <c r="A180" s="443"/>
      <c r="G180" s="325"/>
      <c r="H180" s="444"/>
    </row>
    <row r="181" spans="1:8">
      <c r="A181" s="443" t="s">
        <v>188</v>
      </c>
      <c r="G181" s="325"/>
      <c r="H181" s="444"/>
    </row>
    <row r="182" spans="1:8">
      <c r="A182" s="443" t="s">
        <v>382</v>
      </c>
      <c r="G182" s="325"/>
      <c r="H182" s="444"/>
    </row>
    <row r="183" spans="1:8">
      <c r="A183" s="443" t="s">
        <v>381</v>
      </c>
      <c r="G183" s="325"/>
      <c r="H183" s="444"/>
    </row>
    <row r="184" spans="1:8">
      <c r="B184" s="305" t="s">
        <v>645</v>
      </c>
      <c r="C184" s="305" t="s">
        <v>186</v>
      </c>
      <c r="D184" s="305">
        <v>134</v>
      </c>
      <c r="E184" s="305"/>
      <c r="F184" s="305" t="s">
        <v>185</v>
      </c>
      <c r="G184" s="371">
        <v>599</v>
      </c>
      <c r="H184" s="444"/>
    </row>
    <row r="185" spans="1:8">
      <c r="A185" s="443" t="s">
        <v>463</v>
      </c>
      <c r="G185" s="360">
        <f>SUM(G184)</f>
        <v>599</v>
      </c>
      <c r="H185" s="444"/>
    </row>
    <row r="186" spans="1:8">
      <c r="A186" s="443"/>
      <c r="G186" s="360"/>
      <c r="H186" s="444"/>
    </row>
    <row r="187" spans="1:8" s="349" customFormat="1">
      <c r="A187" s="351" t="s">
        <v>349</v>
      </c>
      <c r="G187" s="359"/>
      <c r="H187" s="206"/>
    </row>
    <row r="188" spans="1:8" s="349" customFormat="1">
      <c r="B188" s="389">
        <v>43830</v>
      </c>
      <c r="C188" s="305" t="s">
        <v>186</v>
      </c>
      <c r="D188" s="305">
        <v>159</v>
      </c>
      <c r="E188" s="305"/>
      <c r="F188" s="305" t="s">
        <v>697</v>
      </c>
      <c r="G188" s="371">
        <v>20159.28</v>
      </c>
      <c r="H188" s="206"/>
    </row>
    <row r="189" spans="1:8" s="349" customFormat="1">
      <c r="A189" s="351" t="s">
        <v>346</v>
      </c>
      <c r="G189" s="360">
        <f>SUM(G188)</f>
        <v>20159.28</v>
      </c>
      <c r="H189" s="206"/>
    </row>
    <row r="190" spans="1:8" s="407" customFormat="1" ht="15" customHeight="1">
      <c r="A190" s="410"/>
      <c r="G190" s="455"/>
      <c r="H190" s="419"/>
    </row>
    <row r="192" spans="1:8">
      <c r="A192" s="593" t="s">
        <v>627</v>
      </c>
      <c r="B192" s="593"/>
      <c r="C192" s="593"/>
      <c r="D192" s="593"/>
      <c r="E192" s="593"/>
      <c r="F192" s="593"/>
      <c r="G192" s="593"/>
      <c r="H192" s="593"/>
    </row>
  </sheetData>
  <mergeCells count="4">
    <mergeCell ref="A1:H1"/>
    <mergeCell ref="A2:H2"/>
    <mergeCell ref="A3:H3"/>
    <mergeCell ref="A192:H192"/>
  </mergeCells>
  <printOptions horizontalCentered="1" headings="1" gridLines="1"/>
  <pageMargins left="0.17" right="0.17" top="0.25" bottom="0.45" header="0.05" footer="8.5300000000000001E-2"/>
  <pageSetup scale="85" orientation="landscape" r:id="rId1"/>
  <headerFooter>
    <oddFooter>&amp;L&amp;8&amp;Z&amp;F  Page &amp;P of &amp;N &amp;R&amp;8&amp;D  &amp;T</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132</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xSplit="1" ySplit="5" topLeftCell="B42" activePane="bottomRight" state="frozen"/>
      <selection pane="topRight" activeCell="B1" sqref="B1"/>
      <selection pane="bottomLeft" activeCell="A6" sqref="A6"/>
      <selection pane="bottomRight" activeCell="E58" sqref="E58"/>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43831</v>
      </c>
      <c r="H1" s="557"/>
      <c r="I1" s="106" t="s">
        <v>49</v>
      </c>
    </row>
    <row r="2" spans="1:9" ht="21">
      <c r="A2" s="37" t="s">
        <v>152</v>
      </c>
      <c r="B2" s="35"/>
      <c r="C2" s="35"/>
      <c r="D2" s="36"/>
      <c r="E2" s="461" t="s">
        <v>53</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Allocations'!F291</f>
        <v>3341.59</v>
      </c>
      <c r="C6" s="140"/>
      <c r="D6" s="141"/>
      <c r="E6" s="142">
        <f>SUM(B6:D6)</f>
        <v>3341.59</v>
      </c>
      <c r="F6" s="143">
        <f>E6+'Dec-2019'!F6</f>
        <v>11226.21</v>
      </c>
      <c r="G6" s="143">
        <v>16400</v>
      </c>
      <c r="H6" s="144">
        <f>G6-F6</f>
        <v>5173.7900000000009</v>
      </c>
      <c r="I6" s="108">
        <f>F6/G6</f>
        <v>0.68452499999999994</v>
      </c>
    </row>
    <row r="7" spans="1:9" s="103" customFormat="1" ht="25.5" customHeight="1">
      <c r="A7" s="138" t="s">
        <v>146</v>
      </c>
      <c r="B7" s="139">
        <f>+'Salaries &amp; Fringe Allocations'!F292</f>
        <v>2071.4299999999998</v>
      </c>
      <c r="C7" s="140"/>
      <c r="D7" s="141">
        <f>+'Salaries &amp; Fringe Allocations'!F293</f>
        <v>2928.57</v>
      </c>
      <c r="E7" s="142">
        <f t="shared" ref="E7:E12" si="0">SUM(B7:D7)</f>
        <v>5000</v>
      </c>
      <c r="F7" s="143">
        <f>E7+'Dec-2019'!F7</f>
        <v>36250</v>
      </c>
      <c r="G7" s="143">
        <v>66000</v>
      </c>
      <c r="H7" s="144">
        <f>G7-F7</f>
        <v>29750</v>
      </c>
      <c r="I7" s="108">
        <f t="shared" ref="I7:I20" si="1">F7/G7</f>
        <v>0.5492424242424242</v>
      </c>
    </row>
    <row r="8" spans="1:9" s="103" customFormat="1" ht="25.5" customHeight="1">
      <c r="A8" s="138" t="s">
        <v>155</v>
      </c>
      <c r="B8" s="139"/>
      <c r="C8" s="140"/>
      <c r="D8" s="141">
        <f>+'Salaries &amp; Fringe Allocations'!F294</f>
        <v>3076.94</v>
      </c>
      <c r="E8" s="142">
        <f t="shared" si="0"/>
        <v>3076.94</v>
      </c>
      <c r="F8" s="143">
        <f>E8+'Dec-2019'!F8</f>
        <v>20769.349999999999</v>
      </c>
      <c r="G8" s="143">
        <v>40000</v>
      </c>
      <c r="H8" s="144">
        <f t="shared" ref="H8:H12" si="2">G8-F8</f>
        <v>19230.650000000001</v>
      </c>
      <c r="I8" s="108">
        <f t="shared" si="1"/>
        <v>0.51923374999999994</v>
      </c>
    </row>
    <row r="9" spans="1:9" s="103" customFormat="1" ht="25.5" customHeight="1">
      <c r="A9" s="138" t="s">
        <v>147</v>
      </c>
      <c r="B9" s="139"/>
      <c r="C9" s="140"/>
      <c r="D9" s="141">
        <f>+'Salaries &amp; Fringe Allocations'!F295</f>
        <v>2307.6999999999998</v>
      </c>
      <c r="E9" s="142">
        <f t="shared" si="0"/>
        <v>2307.6999999999998</v>
      </c>
      <c r="F9" s="143">
        <f>E9+'Dec-2019'!F9</f>
        <v>16038.630000000001</v>
      </c>
      <c r="G9" s="143">
        <v>30000</v>
      </c>
      <c r="H9" s="144">
        <f t="shared" si="2"/>
        <v>13961.369999999999</v>
      </c>
      <c r="I9" s="108">
        <f t="shared" si="1"/>
        <v>0.53462100000000001</v>
      </c>
    </row>
    <row r="10" spans="1:9" s="103" customFormat="1" ht="25.5" customHeight="1">
      <c r="A10" s="138" t="s">
        <v>568</v>
      </c>
      <c r="B10" s="139"/>
      <c r="C10" s="140"/>
      <c r="D10" s="141">
        <f>+'Salaries &amp; Fringe Allocations'!F296</f>
        <v>1175.23</v>
      </c>
      <c r="E10" s="142">
        <f t="shared" si="0"/>
        <v>1175.23</v>
      </c>
      <c r="F10" s="143">
        <f>E10+'Dec-2019'!F10</f>
        <v>10490.55</v>
      </c>
      <c r="G10" s="143">
        <v>21500</v>
      </c>
      <c r="H10" s="144">
        <f t="shared" si="2"/>
        <v>11009.45</v>
      </c>
      <c r="I10" s="108">
        <f t="shared" si="1"/>
        <v>0.48793255813953484</v>
      </c>
    </row>
    <row r="11" spans="1:9" s="103" customFormat="1" ht="25.5" customHeight="1">
      <c r="A11" s="138" t="s">
        <v>148</v>
      </c>
      <c r="B11" s="139">
        <f>+'Salaries &amp; Fringe Allocations'!F297</f>
        <v>1057.1500000000001</v>
      </c>
      <c r="C11" s="140"/>
      <c r="D11" s="141">
        <f>+'Salaries &amp; Fringe Allocations'!F298</f>
        <v>1865.94</v>
      </c>
      <c r="E11" s="142">
        <f t="shared" si="0"/>
        <v>2923.09</v>
      </c>
      <c r="F11" s="143">
        <f>E11+'Dec-2019'!F11</f>
        <v>16484.72</v>
      </c>
      <c r="G11" s="143">
        <v>36000</v>
      </c>
      <c r="H11" s="144">
        <f t="shared" si="2"/>
        <v>19515.28</v>
      </c>
      <c r="I11" s="108">
        <f t="shared" si="1"/>
        <v>0.45790888888888892</v>
      </c>
    </row>
    <row r="12" spans="1:9" s="103" customFormat="1" ht="25.5" customHeight="1">
      <c r="A12" s="138" t="s">
        <v>363</v>
      </c>
      <c r="B12" s="139"/>
      <c r="C12" s="140"/>
      <c r="D12" s="141"/>
      <c r="E12" s="142">
        <f t="shared" si="0"/>
        <v>0</v>
      </c>
      <c r="F12" s="143">
        <f>E12+'Dec-2019'!F12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6470.17</v>
      </c>
      <c r="C16" s="147">
        <f>SUM(C6:C15)</f>
        <v>0</v>
      </c>
      <c r="D16" s="147">
        <f t="shared" ref="D16" si="3">SUM(D6:D15)</f>
        <v>11354.38</v>
      </c>
      <c r="E16" s="147">
        <f>SUM(E6:E15)</f>
        <v>17824.55</v>
      </c>
      <c r="F16" s="148">
        <f>SUM(F6:F15)</f>
        <v>115701.75</v>
      </c>
      <c r="G16" s="148">
        <f>SUM(G6:G15)</f>
        <v>213900</v>
      </c>
      <c r="H16" s="148">
        <f>SUM(H6:H15)</f>
        <v>98198.25</v>
      </c>
      <c r="I16" s="108">
        <f t="shared" si="1"/>
        <v>0.54091514726507717</v>
      </c>
    </row>
    <row r="17" spans="1:10" s="103" customFormat="1" ht="15.5">
      <c r="A17" s="150"/>
      <c r="B17" s="151"/>
      <c r="C17" s="152"/>
      <c r="D17" s="152"/>
      <c r="E17" s="153"/>
      <c r="F17" s="70"/>
      <c r="G17" s="70"/>
      <c r="H17" s="70"/>
      <c r="I17" s="109"/>
    </row>
    <row r="18" spans="1:10" s="103" customFormat="1" ht="15.5">
      <c r="A18" s="117" t="s">
        <v>34</v>
      </c>
      <c r="B18" s="154">
        <f>+'Salaries &amp; Fringe Allocations'!Q291+'Salaries &amp; Fringe Allocations'!Q292+'Salaries &amp; Fringe Allocations'!Q297</f>
        <v>1924.8301470413803</v>
      </c>
      <c r="C18" s="155"/>
      <c r="D18" s="155">
        <f>SUM('Salaries &amp; Fringe Allocations'!Q293:Q296)+'Salaries &amp; Fringe Allocations'!Q298</f>
        <v>3837.9028529586203</v>
      </c>
      <c r="E18" s="156">
        <f>SUM(B18:D18)</f>
        <v>5762.7330000000002</v>
      </c>
      <c r="F18" s="143">
        <f>E18+'Dec-2019'!F18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8395.0001470413808</v>
      </c>
      <c r="C20" s="158">
        <f t="shared" si="5"/>
        <v>0</v>
      </c>
      <c r="D20" s="158">
        <f t="shared" si="5"/>
        <v>15192.282852958619</v>
      </c>
      <c r="E20" s="159">
        <f t="shared" si="5"/>
        <v>23587.282999999999</v>
      </c>
      <c r="F20" s="198">
        <f t="shared" si="5"/>
        <v>153715.37003087802</v>
      </c>
      <c r="G20" s="73">
        <f>G16+G18</f>
        <v>282036</v>
      </c>
      <c r="H20" s="73">
        <f>H16+H18</f>
        <v>128320.62996912198</v>
      </c>
      <c r="I20" s="110">
        <f t="shared" si="1"/>
        <v>0.54502038757774907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+'Jan-2020 GL'!G99</f>
        <v>348.28000000000003</v>
      </c>
      <c r="E23" s="142">
        <f>SUM(B23:D23)</f>
        <v>348.28000000000003</v>
      </c>
      <c r="F23" s="143">
        <f>E23+'Dec-2019'!F23</f>
        <v>2232.3200000000002</v>
      </c>
      <c r="G23" s="143">
        <v>4000</v>
      </c>
      <c r="H23" s="144">
        <f>G23-F23</f>
        <v>1767.6799999999998</v>
      </c>
      <c r="I23" s="108">
        <f t="shared" ref="I23:I37" si="6">F23/G23</f>
        <v>0.55808000000000002</v>
      </c>
      <c r="J23" s="102"/>
    </row>
    <row r="24" spans="1:10" s="103" customFormat="1" ht="24" customHeight="1">
      <c r="A24" s="161" t="s">
        <v>0</v>
      </c>
      <c r="B24" s="139">
        <f>+'Jan-2020 GL'!G109</f>
        <v>275</v>
      </c>
      <c r="C24" s="140"/>
      <c r="D24" s="141">
        <f>+'Jan-2020 GL'!G106</f>
        <v>465.27</v>
      </c>
      <c r="E24" s="142">
        <f t="shared" ref="E24:E35" si="7">SUM(B24:D24)</f>
        <v>740.27</v>
      </c>
      <c r="F24" s="143">
        <f>E24+'Dec-2019'!F24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f>+'Jan-2020 GL'!G124</f>
        <v>2344</v>
      </c>
      <c r="C26" s="140"/>
      <c r="D26" s="141"/>
      <c r="E26" s="142">
        <f t="shared" si="7"/>
        <v>2344</v>
      </c>
      <c r="F26" s="143">
        <f>E26+'Dec-2019'!F26</f>
        <v>8118.6900000000005</v>
      </c>
      <c r="G26" s="143">
        <v>13200</v>
      </c>
      <c r="H26" s="144">
        <f t="shared" si="8"/>
        <v>5081.3099999999995</v>
      </c>
      <c r="I26" s="108">
        <f t="shared" si="6"/>
        <v>0.61505227272727281</v>
      </c>
      <c r="J26" s="102"/>
    </row>
    <row r="27" spans="1:10" s="103" customFormat="1" ht="24" customHeight="1">
      <c r="A27" s="161" t="s">
        <v>41</v>
      </c>
      <c r="B27" s="139">
        <f>+'Jan-2020 GL'!G147</f>
        <v>512</v>
      </c>
      <c r="C27" s="140"/>
      <c r="D27" s="141">
        <f>+'Jan-2020 GL'!G130</f>
        <v>648</v>
      </c>
      <c r="E27" s="142">
        <f t="shared" si="7"/>
        <v>1160</v>
      </c>
      <c r="F27" s="143">
        <f>E27+'Dec-2019'!F27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E28+'Dec-2019'!F28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f>+'Jan-2020 GL'!G155</f>
        <v>224</v>
      </c>
      <c r="C30" s="140"/>
      <c r="D30" s="141"/>
      <c r="E30" s="142">
        <f t="shared" si="7"/>
        <v>224</v>
      </c>
      <c r="F30" s="143">
        <f>E30+'Dec-2019'!F30</f>
        <v>2131.9499999999998</v>
      </c>
      <c r="G30" s="143">
        <v>6475</v>
      </c>
      <c r="H30" s="144">
        <f t="shared" si="8"/>
        <v>4343.05</v>
      </c>
      <c r="I30" s="108">
        <f t="shared" si="6"/>
        <v>0.32925868725868723</v>
      </c>
      <c r="J30" s="102"/>
    </row>
    <row r="31" spans="1:10" s="103" customFormat="1" ht="24" customHeight="1">
      <c r="A31" s="162" t="s">
        <v>44</v>
      </c>
      <c r="B31" s="139">
        <f>+'Jan-2020 GL'!G30</f>
        <v>2902.81</v>
      </c>
      <c r="C31" s="140"/>
      <c r="D31" s="141"/>
      <c r="E31" s="142">
        <f t="shared" si="7"/>
        <v>2902.81</v>
      </c>
      <c r="F31" s="143">
        <f>E31+'Dec-2019'!F31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f>+'Jan-2020 GL'!G169</f>
        <v>477</v>
      </c>
      <c r="C33" s="140"/>
      <c r="D33" s="141"/>
      <c r="E33" s="142">
        <f t="shared" si="7"/>
        <v>477</v>
      </c>
      <c r="F33" s="143">
        <f>E33+'Dec-2019'!F33</f>
        <v>2304.8200000000002</v>
      </c>
      <c r="G33" s="143">
        <v>3000.7</v>
      </c>
      <c r="H33" s="144">
        <f>G33-F33</f>
        <v>695.87999999999965</v>
      </c>
      <c r="I33" s="108">
        <f t="shared" si="6"/>
        <v>0.76809411137401284</v>
      </c>
      <c r="J33" s="102"/>
    </row>
    <row r="34" spans="1:10" s="103" customFormat="1" ht="24" customHeight="1">
      <c r="A34" s="162" t="s">
        <v>77</v>
      </c>
      <c r="B34" s="139">
        <f>+'Jan-2020 GL'!G184</f>
        <v>307.82</v>
      </c>
      <c r="C34" s="140"/>
      <c r="D34" s="141"/>
      <c r="E34" s="142">
        <f t="shared" si="7"/>
        <v>307.82</v>
      </c>
      <c r="F34" s="143">
        <f>E34+'Dec-2019'!F34</f>
        <v>1924.62</v>
      </c>
      <c r="G34" s="143">
        <v>3000</v>
      </c>
      <c r="H34" s="144">
        <f t="shared" si="4"/>
        <v>1075.3800000000001</v>
      </c>
      <c r="I34" s="108">
        <f t="shared" si="6"/>
        <v>0.64154</v>
      </c>
      <c r="J34" s="102"/>
    </row>
    <row r="35" spans="1:10" s="103" customFormat="1" ht="24" customHeight="1">
      <c r="A35" s="162" t="s">
        <v>150</v>
      </c>
      <c r="B35" s="139">
        <f>+'Jan-2020 GL'!G192</f>
        <v>435.88</v>
      </c>
      <c r="C35" s="140"/>
      <c r="D35" s="141"/>
      <c r="E35" s="142">
        <f t="shared" si="7"/>
        <v>435.88</v>
      </c>
      <c r="F35" s="143">
        <f>E35+'Dec-2019'!F35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E36+'Dec-2019'!F36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7478.5099999999993</v>
      </c>
      <c r="C37" s="166">
        <f t="shared" ref="C37:E37" si="12">SUM(C23:C36)</f>
        <v>0</v>
      </c>
      <c r="D37" s="166">
        <f t="shared" si="12"/>
        <v>1461.55</v>
      </c>
      <c r="E37" s="166">
        <f t="shared" si="12"/>
        <v>8940.06</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+'Jan-2020 GL'!G18</f>
        <v>114368.25</v>
      </c>
      <c r="D41" s="170"/>
      <c r="E41" s="171">
        <f>SUM(B41:D41)</f>
        <v>114368.25</v>
      </c>
      <c r="F41" s="143">
        <f>E41+'Dec-2019'!F41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+E42+'Dec-2019'!F42</f>
        <v>2160.63</v>
      </c>
      <c r="G42" s="144"/>
      <c r="H42" s="144"/>
      <c r="I42" s="108"/>
    </row>
    <row r="43" spans="1:10" s="168" customFormat="1" ht="21.75" customHeight="1">
      <c r="A43" s="138" t="s">
        <v>80</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78</v>
      </c>
      <c r="B44" s="139"/>
      <c r="C44" s="170">
        <f>+'Jan-2020 GL'!G23</f>
        <v>8769.51</v>
      </c>
      <c r="D44" s="170"/>
      <c r="E44" s="171">
        <f t="shared" si="14"/>
        <v>8769.51</v>
      </c>
      <c r="F44" s="143">
        <f>E44+'Dec-2019'!F44</f>
        <v>51908.58</v>
      </c>
      <c r="G44" s="144">
        <v>111141.44</v>
      </c>
      <c r="H44" s="144">
        <f t="shared" si="15"/>
        <v>59232.86</v>
      </c>
      <c r="I44" s="108">
        <f t="shared" si="13"/>
        <v>0.46704973410457884</v>
      </c>
    </row>
    <row r="45" spans="1:10" s="168" customFormat="1" ht="21.75" customHeight="1">
      <c r="A45" s="138" t="s">
        <v>29</v>
      </c>
      <c r="B45" s="139"/>
      <c r="C45" s="140">
        <f>+'Jan-2020 GL'!G26</f>
        <v>3064</v>
      </c>
      <c r="D45" s="140"/>
      <c r="E45" s="172">
        <f t="shared" si="14"/>
        <v>3064</v>
      </c>
      <c r="F45" s="143">
        <f>E45+'Dec-2019'!F45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E46+'Dec-2019'!F46</f>
        <v>0</v>
      </c>
      <c r="G46" s="144">
        <v>8500</v>
      </c>
      <c r="H46" s="144">
        <f t="shared" si="15"/>
        <v>8500</v>
      </c>
      <c r="I46" s="108">
        <f t="shared" si="13"/>
        <v>0</v>
      </c>
    </row>
    <row r="47" spans="1:10" s="168" customFormat="1" ht="21.75" customHeight="1">
      <c r="A47" s="138" t="s">
        <v>168</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126201.76</v>
      </c>
      <c r="D48" s="166">
        <f t="shared" si="16"/>
        <v>0</v>
      </c>
      <c r="E48" s="166">
        <f t="shared" si="16"/>
        <v>126201.76</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15873.510147041379</v>
      </c>
      <c r="C52" s="158">
        <f>C20+C37+C48</f>
        <v>126201.76</v>
      </c>
      <c r="D52" s="158">
        <f>D20+D37+D48</f>
        <v>16653.832852958618</v>
      </c>
      <c r="E52" s="158">
        <f>E37+E20+E48+E50</f>
        <v>158729.103</v>
      </c>
      <c r="F52" s="77">
        <f>F37+F20+F48+F50</f>
        <v>975604.18003087793</v>
      </c>
      <c r="G52" s="77">
        <f>G37+G20+G48+G50</f>
        <v>2013608.54</v>
      </c>
      <c r="H52" s="77">
        <f>H37+H20+H48+H50</f>
        <v>1038004.359969122</v>
      </c>
      <c r="I52" s="110">
        <f t="shared" si="13"/>
        <v>0.48450538456242243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26606.29</v>
      </c>
      <c r="F54" s="143">
        <f>E54+'Dec-2019'!F54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15873.510147041379</v>
      </c>
      <c r="C56" s="99">
        <f t="shared" si="18"/>
        <v>126201.76</v>
      </c>
      <c r="D56" s="99">
        <f t="shared" si="18"/>
        <v>16653.832852958618</v>
      </c>
      <c r="E56" s="158">
        <f t="shared" si="18"/>
        <v>185335.39300000001</v>
      </c>
      <c r="F56" s="77">
        <f t="shared" si="18"/>
        <v>1052004.1800308779</v>
      </c>
      <c r="G56" s="77">
        <f t="shared" si="18"/>
        <v>2256075.86</v>
      </c>
      <c r="H56" s="77">
        <f t="shared" si="18"/>
        <v>1204071.6799691219</v>
      </c>
      <c r="I56" s="110">
        <f t="shared" si="13"/>
        <v>0.46629822989678993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32688.532999999999</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32688.532999999999</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v>43886</v>
      </c>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activeCell="A3" sqref="A3:N3"/>
    </sheetView>
  </sheetViews>
  <sheetFormatPr defaultColWidth="9.1796875" defaultRowHeight="13"/>
  <cols>
    <col min="1" max="2" width="9.81640625" style="262" customWidth="1"/>
    <col min="3" max="3" width="14.81640625" style="262" customWidth="1"/>
    <col min="4" max="4" width="5.81640625" style="262" customWidth="1"/>
    <col min="5" max="5" width="1.81640625" style="262" customWidth="1"/>
    <col min="6" max="6" width="10.81640625" style="262" customWidth="1"/>
    <col min="7" max="7" width="9.81640625" style="262" customWidth="1"/>
    <col min="8" max="8" width="9" style="262" customWidth="1"/>
    <col min="9" max="9" width="17.81640625" style="262" customWidth="1"/>
    <col min="10" max="10" width="18.81640625" style="262" customWidth="1"/>
    <col min="11" max="11" width="2.81640625" style="262" customWidth="1"/>
    <col min="12" max="12" width="1.81640625" style="262" customWidth="1"/>
    <col min="13" max="13" width="25" style="262" customWidth="1"/>
    <col min="14" max="14" width="24" style="262" customWidth="1"/>
    <col min="15" max="15" width="2.81640625" style="262" customWidth="1"/>
    <col min="16" max="16384" width="9.1796875" style="262"/>
  </cols>
  <sheetData>
    <row r="1" spans="1:15" ht="20">
      <c r="A1" s="519" t="s">
        <v>84</v>
      </c>
      <c r="B1" s="519"/>
      <c r="C1" s="519"/>
      <c r="D1" s="519"/>
      <c r="E1" s="519"/>
      <c r="F1" s="519"/>
      <c r="G1" s="519"/>
      <c r="H1" s="519"/>
      <c r="I1" s="519"/>
      <c r="J1" s="519"/>
      <c r="K1" s="519"/>
      <c r="L1" s="519"/>
      <c r="M1" s="519"/>
      <c r="N1" s="519"/>
      <c r="O1" s="261"/>
    </row>
    <row r="2" spans="1:15" s="264" customFormat="1" ht="34.5" customHeight="1">
      <c r="A2" s="516" t="s">
        <v>85</v>
      </c>
      <c r="B2" s="517"/>
      <c r="C2" s="517"/>
      <c r="D2" s="517"/>
      <c r="E2" s="517"/>
      <c r="F2" s="517"/>
      <c r="G2" s="517"/>
      <c r="H2" s="518"/>
      <c r="I2" s="516" t="s">
        <v>144</v>
      </c>
      <c r="J2" s="517"/>
      <c r="K2" s="517"/>
      <c r="L2" s="517"/>
      <c r="M2" s="518"/>
      <c r="N2" s="263" t="s">
        <v>122</v>
      </c>
    </row>
    <row r="3" spans="1:15" s="264" customFormat="1" ht="34.5" customHeight="1">
      <c r="A3" s="516" t="s">
        <v>123</v>
      </c>
      <c r="B3" s="517"/>
      <c r="C3" s="517"/>
      <c r="D3" s="517"/>
      <c r="E3" s="517"/>
      <c r="F3" s="517"/>
      <c r="G3" s="517"/>
      <c r="H3" s="517"/>
      <c r="I3" s="517"/>
      <c r="J3" s="517"/>
      <c r="K3" s="517"/>
      <c r="L3" s="517"/>
      <c r="M3" s="517"/>
      <c r="N3" s="518"/>
    </row>
    <row r="4" spans="1:15" s="264" customFormat="1" ht="38.25" customHeight="1">
      <c r="A4" s="599"/>
      <c r="B4" s="600"/>
      <c r="C4" s="600"/>
      <c r="D4" s="600"/>
      <c r="E4" s="600"/>
      <c r="F4" s="600"/>
      <c r="G4" s="600"/>
      <c r="H4" s="600"/>
      <c r="I4" s="600"/>
      <c r="J4" s="600"/>
      <c r="K4" s="600"/>
      <c r="L4" s="601"/>
      <c r="M4" s="265" t="s">
        <v>124</v>
      </c>
      <c r="N4" s="265" t="s">
        <v>86</v>
      </c>
    </row>
    <row r="5" spans="1:15" s="264" customFormat="1" ht="34.4" customHeight="1">
      <c r="A5" s="516" t="s">
        <v>125</v>
      </c>
      <c r="B5" s="517"/>
      <c r="C5" s="517"/>
      <c r="D5" s="517"/>
      <c r="E5" s="517"/>
      <c r="F5" s="517"/>
      <c r="G5" s="518"/>
      <c r="H5" s="516" t="s">
        <v>126</v>
      </c>
      <c r="I5" s="517"/>
      <c r="J5" s="517"/>
      <c r="K5" s="517"/>
      <c r="L5" s="518"/>
      <c r="M5" s="516" t="s">
        <v>133</v>
      </c>
      <c r="N5" s="518"/>
    </row>
    <row r="6" spans="1:15" s="264" customFormat="1" ht="17.899999999999999" customHeight="1">
      <c r="A6" s="522" t="s">
        <v>87</v>
      </c>
      <c r="B6" s="523"/>
      <c r="C6" s="523"/>
      <c r="D6" s="523"/>
      <c r="E6" s="523"/>
      <c r="F6" s="523"/>
      <c r="G6" s="523"/>
      <c r="H6" s="523"/>
      <c r="I6" s="523"/>
      <c r="J6" s="523"/>
      <c r="K6" s="523"/>
      <c r="L6" s="524"/>
      <c r="M6" s="525" t="s">
        <v>88</v>
      </c>
      <c r="N6" s="526"/>
    </row>
    <row r="7" spans="1:15" s="264" customFormat="1" ht="27.75" customHeight="1">
      <c r="A7" s="527" t="s">
        <v>89</v>
      </c>
      <c r="B7" s="528"/>
      <c r="C7" s="528"/>
      <c r="D7" s="528"/>
      <c r="E7" s="528"/>
      <c r="F7" s="528"/>
      <c r="G7" s="528"/>
      <c r="H7" s="528"/>
      <c r="I7" s="528"/>
      <c r="J7" s="528"/>
      <c r="K7" s="528"/>
      <c r="L7" s="528"/>
      <c r="M7" s="528"/>
      <c r="N7" s="529"/>
    </row>
    <row r="8" spans="1:15" s="264" customFormat="1" ht="27.75" customHeight="1">
      <c r="A8" s="516" t="s">
        <v>90</v>
      </c>
      <c r="B8" s="517"/>
      <c r="C8" s="517"/>
      <c r="D8" s="517"/>
      <c r="E8" s="517"/>
      <c r="F8" s="517"/>
      <c r="G8" s="517"/>
      <c r="H8" s="517"/>
      <c r="I8" s="517"/>
      <c r="J8" s="517"/>
      <c r="K8" s="517"/>
      <c r="L8" s="518"/>
      <c r="M8" s="530"/>
      <c r="N8" s="531"/>
    </row>
    <row r="9" spans="1:15" s="264" customFormat="1" ht="27.75" customHeight="1">
      <c r="A9" s="516" t="s">
        <v>91</v>
      </c>
      <c r="B9" s="517"/>
      <c r="C9" s="517"/>
      <c r="D9" s="517"/>
      <c r="E9" s="517"/>
      <c r="F9" s="517"/>
      <c r="G9" s="517"/>
      <c r="H9" s="517"/>
      <c r="I9" s="517"/>
      <c r="J9" s="517"/>
      <c r="K9" s="517"/>
      <c r="L9" s="518"/>
      <c r="M9" s="530">
        <f>M8</f>
        <v>0</v>
      </c>
      <c r="N9" s="531"/>
    </row>
    <row r="10" spans="1:15" s="264" customFormat="1" ht="27.75" customHeight="1">
      <c r="A10" s="516" t="s">
        <v>92</v>
      </c>
      <c r="B10" s="517"/>
      <c r="C10" s="517"/>
      <c r="D10" s="517"/>
      <c r="E10" s="517"/>
      <c r="F10" s="517"/>
      <c r="G10" s="517"/>
      <c r="H10" s="517"/>
      <c r="I10" s="517"/>
      <c r="J10" s="517"/>
      <c r="K10" s="517"/>
      <c r="L10" s="518"/>
      <c r="M10" s="532">
        <f>M8-M9</f>
        <v>0</v>
      </c>
      <c r="N10" s="533"/>
    </row>
    <row r="11" spans="1:15" s="264" customFormat="1" ht="27.75" customHeight="1">
      <c r="A11" s="527" t="s">
        <v>93</v>
      </c>
      <c r="B11" s="528"/>
      <c r="C11" s="528"/>
      <c r="D11" s="528"/>
      <c r="E11" s="528"/>
      <c r="F11" s="528"/>
      <c r="G11" s="528"/>
      <c r="H11" s="528"/>
      <c r="I11" s="528"/>
      <c r="J11" s="528"/>
      <c r="K11" s="528"/>
      <c r="L11" s="528"/>
      <c r="M11" s="528"/>
      <c r="N11" s="529"/>
    </row>
    <row r="12" spans="1:15" s="264" customFormat="1" ht="27.75" customHeight="1">
      <c r="A12" s="516" t="s">
        <v>94</v>
      </c>
      <c r="B12" s="517"/>
      <c r="C12" s="517"/>
      <c r="D12" s="517"/>
      <c r="E12" s="517"/>
      <c r="F12" s="517"/>
      <c r="G12" s="517"/>
      <c r="H12" s="517"/>
      <c r="I12" s="517"/>
      <c r="J12" s="517"/>
      <c r="K12" s="517"/>
      <c r="L12" s="518"/>
      <c r="M12" s="520"/>
      <c r="N12" s="521"/>
    </row>
    <row r="13" spans="1:15" s="264" customFormat="1" ht="27.75" customHeight="1">
      <c r="A13" s="516" t="s">
        <v>142</v>
      </c>
      <c r="B13" s="517"/>
      <c r="C13" s="517"/>
      <c r="D13" s="517"/>
      <c r="E13" s="517"/>
      <c r="F13" s="517"/>
      <c r="G13" s="517"/>
      <c r="H13" s="517"/>
      <c r="I13" s="517"/>
      <c r="J13" s="517"/>
      <c r="K13" s="517"/>
      <c r="L13" s="518"/>
      <c r="M13" s="520">
        <f>M9</f>
        <v>0</v>
      </c>
      <c r="N13" s="521"/>
    </row>
    <row r="14" spans="1:15" s="264" customFormat="1" ht="27.75" customHeight="1">
      <c r="A14" s="516" t="s">
        <v>143</v>
      </c>
      <c r="B14" s="517"/>
      <c r="C14" s="517"/>
      <c r="D14" s="517"/>
      <c r="E14" s="517"/>
      <c r="F14" s="517"/>
      <c r="G14" s="517"/>
      <c r="H14" s="517"/>
      <c r="I14" s="517"/>
      <c r="J14" s="517"/>
      <c r="K14" s="517"/>
      <c r="L14" s="518"/>
      <c r="M14" s="534">
        <v>0</v>
      </c>
      <c r="N14" s="535"/>
    </row>
    <row r="15" spans="1:15" s="264" customFormat="1" ht="27.75" customHeight="1">
      <c r="A15" s="516" t="s">
        <v>95</v>
      </c>
      <c r="B15" s="517"/>
      <c r="C15" s="517"/>
      <c r="D15" s="517"/>
      <c r="E15" s="517"/>
      <c r="F15" s="517"/>
      <c r="G15" s="517"/>
      <c r="H15" s="517"/>
      <c r="I15" s="517"/>
      <c r="J15" s="517"/>
      <c r="K15" s="517"/>
      <c r="L15" s="518"/>
      <c r="M15" s="534">
        <v>0</v>
      </c>
      <c r="N15" s="535"/>
    </row>
    <row r="16" spans="1:15" s="264" customFormat="1" ht="27.75" customHeight="1">
      <c r="A16" s="516" t="s">
        <v>96</v>
      </c>
      <c r="B16" s="517"/>
      <c r="C16" s="517"/>
      <c r="D16" s="517"/>
      <c r="E16" s="517"/>
      <c r="F16" s="517"/>
      <c r="G16" s="517"/>
      <c r="H16" s="517"/>
      <c r="I16" s="517"/>
      <c r="J16" s="517"/>
      <c r="K16" s="517"/>
      <c r="L16" s="518"/>
      <c r="M16" s="536">
        <f>M13+M14+M15</f>
        <v>0</v>
      </c>
      <c r="N16" s="537"/>
    </row>
    <row r="17" spans="1:14" s="264" customFormat="1" ht="27.75" customHeight="1">
      <c r="A17" s="516" t="s">
        <v>97</v>
      </c>
      <c r="B17" s="517"/>
      <c r="C17" s="517"/>
      <c r="D17" s="517"/>
      <c r="E17" s="517"/>
      <c r="F17" s="517"/>
      <c r="G17" s="517"/>
      <c r="H17" s="517"/>
      <c r="I17" s="517"/>
      <c r="J17" s="517"/>
      <c r="K17" s="517"/>
      <c r="L17" s="518"/>
      <c r="M17" s="536">
        <f>M12-M16</f>
        <v>0</v>
      </c>
      <c r="N17" s="537"/>
    </row>
    <row r="18" spans="1:14" s="264" customFormat="1" ht="27.75" customHeight="1">
      <c r="A18" s="527" t="s">
        <v>98</v>
      </c>
      <c r="B18" s="528"/>
      <c r="C18" s="528"/>
      <c r="D18" s="528"/>
      <c r="E18" s="528"/>
      <c r="F18" s="528"/>
      <c r="G18" s="528"/>
      <c r="H18" s="528"/>
      <c r="I18" s="528"/>
      <c r="J18" s="528"/>
      <c r="K18" s="528"/>
      <c r="L18" s="528"/>
      <c r="M18" s="528"/>
      <c r="N18" s="529"/>
    </row>
    <row r="19" spans="1:14" s="264" customFormat="1" ht="27.75" customHeight="1">
      <c r="A19" s="516" t="s">
        <v>99</v>
      </c>
      <c r="B19" s="517"/>
      <c r="C19" s="517"/>
      <c r="D19" s="517"/>
      <c r="E19" s="517"/>
      <c r="F19" s="517"/>
      <c r="G19" s="517"/>
      <c r="H19" s="517"/>
      <c r="I19" s="517"/>
      <c r="J19" s="517"/>
      <c r="K19" s="517"/>
      <c r="L19" s="518"/>
      <c r="M19" s="538">
        <v>0</v>
      </c>
      <c r="N19" s="539"/>
    </row>
    <row r="20" spans="1:14" s="264" customFormat="1" ht="27.75" customHeight="1">
      <c r="A20" s="516" t="s">
        <v>100</v>
      </c>
      <c r="B20" s="517"/>
      <c r="C20" s="517"/>
      <c r="D20" s="517"/>
      <c r="E20" s="517"/>
      <c r="F20" s="517"/>
      <c r="G20" s="517"/>
      <c r="H20" s="517"/>
      <c r="I20" s="517"/>
      <c r="J20" s="517"/>
      <c r="K20" s="517"/>
      <c r="L20" s="518"/>
      <c r="M20" s="534">
        <v>0</v>
      </c>
      <c r="N20" s="535"/>
    </row>
    <row r="21" spans="1:14" s="264" customFormat="1" ht="27.75" customHeight="1">
      <c r="A21" s="516" t="s">
        <v>101</v>
      </c>
      <c r="B21" s="517"/>
      <c r="C21" s="517"/>
      <c r="D21" s="517"/>
      <c r="E21" s="517"/>
      <c r="F21" s="517"/>
      <c r="G21" s="517"/>
      <c r="H21" s="517"/>
      <c r="I21" s="517"/>
      <c r="J21" s="517"/>
      <c r="K21" s="517"/>
      <c r="L21" s="518"/>
      <c r="M21" s="532">
        <f>M19-M20</f>
        <v>0</v>
      </c>
      <c r="N21" s="533"/>
    </row>
    <row r="22" spans="1:14" s="264" customFormat="1" ht="27.75" customHeight="1">
      <c r="A22" s="527" t="s">
        <v>102</v>
      </c>
      <c r="B22" s="528"/>
      <c r="C22" s="528"/>
      <c r="D22" s="528"/>
      <c r="E22" s="528"/>
      <c r="F22" s="528"/>
      <c r="G22" s="528"/>
      <c r="H22" s="528"/>
      <c r="I22" s="528"/>
      <c r="J22" s="528"/>
      <c r="K22" s="528"/>
      <c r="L22" s="528"/>
      <c r="M22" s="528"/>
      <c r="N22" s="529"/>
    </row>
    <row r="23" spans="1:14" s="264" customFormat="1" ht="27.75" customHeight="1">
      <c r="A23" s="516" t="s">
        <v>103</v>
      </c>
      <c r="B23" s="517"/>
      <c r="C23" s="517"/>
      <c r="D23" s="517"/>
      <c r="E23" s="517"/>
      <c r="F23" s="517"/>
      <c r="G23" s="517"/>
      <c r="H23" s="517"/>
      <c r="I23" s="517"/>
      <c r="J23" s="517"/>
      <c r="K23" s="517"/>
      <c r="L23" s="518"/>
      <c r="M23" s="534">
        <v>0</v>
      </c>
      <c r="N23" s="535"/>
    </row>
    <row r="24" spans="1:14" s="264" customFormat="1" ht="27.75" customHeight="1">
      <c r="A24" s="516" t="s">
        <v>104</v>
      </c>
      <c r="B24" s="517"/>
      <c r="C24" s="517"/>
      <c r="D24" s="517"/>
      <c r="E24" s="517"/>
      <c r="F24" s="517"/>
      <c r="G24" s="517"/>
      <c r="H24" s="517"/>
      <c r="I24" s="517"/>
      <c r="J24" s="517"/>
      <c r="K24" s="517"/>
      <c r="L24" s="518"/>
      <c r="M24" s="534">
        <v>0</v>
      </c>
      <c r="N24" s="535"/>
    </row>
    <row r="25" spans="1:14" s="264" customFormat="1" ht="27.75" customHeight="1">
      <c r="A25" s="516" t="s">
        <v>105</v>
      </c>
      <c r="B25" s="517"/>
      <c r="C25" s="517"/>
      <c r="D25" s="517"/>
      <c r="E25" s="517"/>
      <c r="F25" s="517"/>
      <c r="G25" s="517"/>
      <c r="H25" s="517"/>
      <c r="I25" s="517"/>
      <c r="J25" s="517"/>
      <c r="K25" s="517"/>
      <c r="L25" s="518"/>
      <c r="M25" s="532">
        <f>M23-M24</f>
        <v>0</v>
      </c>
      <c r="N25" s="533"/>
    </row>
    <row r="26" spans="1:14" s="264" customFormat="1" ht="17.899999999999999" customHeight="1">
      <c r="A26" s="540" t="s">
        <v>106</v>
      </c>
      <c r="B26" s="541"/>
      <c r="C26" s="541"/>
      <c r="D26" s="541"/>
      <c r="E26" s="541"/>
      <c r="F26" s="541"/>
      <c r="G26" s="541"/>
      <c r="H26" s="541"/>
      <c r="I26" s="541"/>
      <c r="J26" s="541"/>
      <c r="K26" s="541"/>
      <c r="L26" s="541"/>
      <c r="M26" s="541"/>
      <c r="N26" s="542"/>
    </row>
    <row r="27" spans="1:14" s="264" customFormat="1" ht="15.65" customHeight="1">
      <c r="A27" s="543"/>
      <c r="B27" s="544"/>
      <c r="C27" s="544"/>
      <c r="D27" s="544"/>
      <c r="E27" s="544"/>
      <c r="F27" s="544"/>
      <c r="G27" s="544"/>
      <c r="H27" s="544"/>
      <c r="I27" s="544"/>
      <c r="J27" s="544"/>
      <c r="K27" s="544"/>
      <c r="L27" s="544"/>
      <c r="M27" s="544"/>
      <c r="N27" s="521"/>
    </row>
    <row r="28" spans="1:14" s="264" customFormat="1" ht="17.899999999999999" customHeight="1">
      <c r="A28" s="522" t="s">
        <v>107</v>
      </c>
      <c r="B28" s="523"/>
      <c r="C28" s="523"/>
      <c r="D28" s="523"/>
      <c r="E28" s="523"/>
      <c r="F28" s="523"/>
      <c r="G28" s="523"/>
      <c r="H28" s="523"/>
      <c r="I28" s="523"/>
      <c r="J28" s="523"/>
      <c r="K28" s="523"/>
      <c r="L28" s="523"/>
      <c r="M28" s="523"/>
      <c r="N28" s="524"/>
    </row>
    <row r="29" spans="1:14" s="264" customFormat="1" ht="30" customHeight="1">
      <c r="A29" s="516" t="s">
        <v>108</v>
      </c>
      <c r="B29" s="518"/>
      <c r="C29" s="265" t="s">
        <v>109</v>
      </c>
      <c r="D29" s="516" t="s">
        <v>110</v>
      </c>
      <c r="E29" s="517"/>
      <c r="F29" s="518"/>
      <c r="G29" s="543" t="s">
        <v>111</v>
      </c>
      <c r="H29" s="521"/>
      <c r="I29" s="266" t="s">
        <v>112</v>
      </c>
      <c r="J29" s="516" t="s">
        <v>113</v>
      </c>
      <c r="K29" s="517"/>
      <c r="L29" s="518"/>
      <c r="M29" s="265" t="s">
        <v>114</v>
      </c>
      <c r="N29" s="265" t="s">
        <v>115</v>
      </c>
    </row>
    <row r="30" spans="1:14" s="264" customFormat="1" ht="16.5">
      <c r="A30" s="543"/>
      <c r="B30" s="521"/>
      <c r="C30" s="45"/>
      <c r="D30" s="543"/>
      <c r="E30" s="544"/>
      <c r="F30" s="521"/>
      <c r="G30" s="552"/>
      <c r="H30" s="521"/>
      <c r="I30" s="266"/>
      <c r="J30" s="553"/>
      <c r="K30" s="554"/>
      <c r="L30" s="555"/>
      <c r="M30" s="265"/>
      <c r="N30" s="265"/>
    </row>
    <row r="31" spans="1:14" s="264" customFormat="1" ht="15.65" customHeight="1">
      <c r="A31" s="543"/>
      <c r="B31" s="521"/>
      <c r="C31" s="45"/>
      <c r="D31" s="543"/>
      <c r="E31" s="544"/>
      <c r="F31" s="521"/>
      <c r="G31" s="552"/>
      <c r="H31" s="521"/>
      <c r="I31" s="46"/>
      <c r="J31" s="553"/>
      <c r="K31" s="554"/>
      <c r="L31" s="555"/>
      <c r="M31" s="47"/>
      <c r="N31" s="48"/>
    </row>
    <row r="32" spans="1:14" s="264" customFormat="1" ht="75.75" customHeight="1">
      <c r="A32" s="540" t="s">
        <v>116</v>
      </c>
      <c r="B32" s="541"/>
      <c r="C32" s="541"/>
      <c r="D32" s="541"/>
      <c r="E32" s="541"/>
      <c r="F32" s="541"/>
      <c r="G32" s="541"/>
      <c r="H32" s="541"/>
      <c r="I32" s="541"/>
      <c r="J32" s="541"/>
      <c r="K32" s="541"/>
      <c r="L32" s="541"/>
      <c r="M32" s="541"/>
      <c r="N32" s="542"/>
    </row>
    <row r="33" spans="1:15" s="264" customFormat="1" ht="31.4" customHeight="1">
      <c r="A33" s="545" t="s">
        <v>117</v>
      </c>
      <c r="B33" s="546"/>
      <c r="C33" s="546"/>
      <c r="D33" s="546"/>
      <c r="E33" s="546"/>
      <c r="F33" s="546"/>
      <c r="G33" s="546"/>
      <c r="H33" s="546"/>
      <c r="I33" s="546"/>
      <c r="J33" s="546"/>
      <c r="K33" s="546"/>
      <c r="L33" s="547"/>
      <c r="M33" s="516" t="s">
        <v>118</v>
      </c>
      <c r="N33" s="518"/>
    </row>
    <row r="34" spans="1:15" s="264" customFormat="1" ht="31.4" customHeight="1">
      <c r="A34" s="548"/>
      <c r="B34" s="549"/>
      <c r="C34" s="549"/>
      <c r="D34" s="549"/>
      <c r="E34" s="549"/>
      <c r="F34" s="549"/>
      <c r="G34" s="549"/>
      <c r="H34" s="549"/>
      <c r="I34" s="549"/>
      <c r="J34" s="549"/>
      <c r="K34" s="549"/>
      <c r="L34" s="550"/>
      <c r="M34" s="516" t="s">
        <v>119</v>
      </c>
      <c r="N34" s="518"/>
    </row>
    <row r="35" spans="1:15" s="264" customFormat="1" ht="31.4" customHeight="1">
      <c r="A35" s="545" t="s">
        <v>120</v>
      </c>
      <c r="B35" s="546"/>
      <c r="C35" s="546"/>
      <c r="D35" s="546"/>
      <c r="E35" s="546"/>
      <c r="F35" s="546"/>
      <c r="G35" s="546"/>
      <c r="H35" s="546"/>
      <c r="I35" s="546"/>
      <c r="J35" s="546"/>
      <c r="K35" s="546"/>
      <c r="L35" s="547"/>
      <c r="M35" s="545" t="s">
        <v>121</v>
      </c>
      <c r="N35" s="547"/>
    </row>
    <row r="36" spans="1:15" s="264" customFormat="1" ht="31" customHeight="1">
      <c r="A36" s="548"/>
      <c r="B36" s="549"/>
      <c r="C36" s="549"/>
      <c r="D36" s="549"/>
      <c r="E36" s="549"/>
      <c r="F36" s="549"/>
      <c r="G36" s="549"/>
      <c r="H36" s="549"/>
      <c r="I36" s="549"/>
      <c r="J36" s="549"/>
      <c r="K36" s="549"/>
      <c r="L36" s="550"/>
      <c r="M36" s="548"/>
      <c r="N36" s="550"/>
    </row>
    <row r="37" spans="1:15" s="264" customFormat="1" ht="15.75" customHeight="1">
      <c r="A37" s="462"/>
      <c r="B37" s="462"/>
      <c r="C37" s="462"/>
      <c r="D37" s="462"/>
      <c r="E37" s="462"/>
      <c r="F37" s="462"/>
      <c r="G37" s="462"/>
      <c r="H37" s="462"/>
      <c r="I37" s="462"/>
      <c r="J37" s="462"/>
      <c r="K37" s="462"/>
      <c r="L37" s="462"/>
      <c r="M37" s="462"/>
      <c r="N37" s="462"/>
      <c r="O37" s="462"/>
    </row>
    <row r="38" spans="1:15" s="264" customFormat="1" ht="15.75" customHeight="1">
      <c r="A38" s="462"/>
      <c r="B38" s="462"/>
      <c r="C38" s="462"/>
      <c r="D38" s="462"/>
      <c r="E38" s="462"/>
      <c r="F38" s="462"/>
      <c r="G38" s="462"/>
      <c r="H38" s="462"/>
      <c r="I38" s="462"/>
      <c r="J38" s="462"/>
      <c r="K38" s="462"/>
      <c r="L38" s="462"/>
      <c r="M38" s="462"/>
      <c r="N38" s="462"/>
      <c r="O38" s="462"/>
    </row>
    <row r="39" spans="1:15" s="264" customFormat="1" ht="15.75" customHeight="1">
      <c r="A39" s="602"/>
      <c r="B39" s="602"/>
      <c r="C39" s="602"/>
      <c r="D39" s="602"/>
      <c r="E39" s="602"/>
      <c r="F39" s="602"/>
      <c r="G39" s="602"/>
      <c r="H39" s="602"/>
      <c r="I39" s="602"/>
      <c r="J39" s="602"/>
      <c r="K39" s="602"/>
      <c r="L39" s="602"/>
      <c r="M39" s="602"/>
      <c r="N39" s="602"/>
      <c r="O39" s="602"/>
    </row>
    <row r="40" spans="1:15" s="264" customFormat="1" ht="15.5"/>
    <row r="41" spans="1:15" s="264" customFormat="1" ht="15.5"/>
    <row r="42" spans="1:15" s="264" customFormat="1" ht="15.5"/>
    <row r="43" spans="1:15" s="264" customFormat="1" ht="15.5"/>
    <row r="44" spans="1:15" s="264" customFormat="1" ht="15.5"/>
    <row r="45" spans="1:15" s="264" customFormat="1" ht="15.5"/>
    <row r="46" spans="1:15" s="264" customFormat="1" ht="15.5"/>
    <row r="47" spans="1:15" s="264" customFormat="1" ht="15.5"/>
    <row r="48" spans="1:15" s="264" customFormat="1" ht="15.5"/>
    <row r="49" s="264"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8"/>
  <sheetViews>
    <sheetView workbookViewId="0">
      <pane ySplit="5" topLeftCell="A69" activePane="bottomLeft" state="frozen"/>
      <selection pane="bottomLeft" activeCell="A84" sqref="A84"/>
    </sheetView>
  </sheetViews>
  <sheetFormatPr defaultColWidth="9.1796875" defaultRowHeight="14.5"/>
  <cols>
    <col min="1" max="1" width="2.26953125" style="349" customWidth="1"/>
    <col min="2" max="2" width="9.26953125" style="349" customWidth="1"/>
    <col min="3" max="3" width="9.7265625" style="349" customWidth="1"/>
    <col min="4" max="4" width="12.7265625" style="349" customWidth="1"/>
    <col min="5" max="5" width="26.54296875" style="349" customWidth="1"/>
    <col min="6" max="6" width="73.453125" style="349" customWidth="1"/>
    <col min="7" max="7" width="11.26953125" style="349" customWidth="1"/>
    <col min="8" max="16384" width="9.1796875" style="34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728</v>
      </c>
      <c r="B3" s="595"/>
      <c r="C3" s="595"/>
      <c r="D3" s="595"/>
      <c r="E3" s="595"/>
      <c r="F3" s="595"/>
      <c r="G3" s="595"/>
      <c r="H3" s="595"/>
    </row>
    <row r="5" spans="1:8" ht="31.5" customHeight="1">
      <c r="A5" s="304"/>
      <c r="B5" s="354" t="s">
        <v>153</v>
      </c>
      <c r="C5" s="401" t="s">
        <v>430</v>
      </c>
      <c r="D5" s="354" t="s">
        <v>274</v>
      </c>
      <c r="E5" s="354" t="s">
        <v>273</v>
      </c>
      <c r="F5" s="354" t="s">
        <v>272</v>
      </c>
      <c r="G5" s="350" t="s">
        <v>271</v>
      </c>
      <c r="H5" s="463" t="s">
        <v>278</v>
      </c>
    </row>
    <row r="6" spans="1:8">
      <c r="A6" s="464" t="s">
        <v>270</v>
      </c>
      <c r="B6" s="3"/>
      <c r="C6" s="3"/>
      <c r="D6" s="3"/>
      <c r="E6" s="3"/>
      <c r="F6" s="3"/>
      <c r="G6" s="3"/>
      <c r="H6" s="444"/>
    </row>
    <row r="7" spans="1:8">
      <c r="A7" s="464" t="s">
        <v>269</v>
      </c>
      <c r="B7" s="3"/>
      <c r="C7" s="3"/>
      <c r="D7" s="3"/>
      <c r="E7" s="3"/>
      <c r="F7" s="3"/>
      <c r="G7" s="3"/>
      <c r="H7" s="305"/>
    </row>
    <row r="8" spans="1:8">
      <c r="A8" s="3"/>
      <c r="B8" s="465" t="s">
        <v>712</v>
      </c>
      <c r="C8" s="465" t="s">
        <v>186</v>
      </c>
      <c r="D8" s="465">
        <v>187</v>
      </c>
      <c r="E8" s="465"/>
      <c r="F8" s="465" t="s">
        <v>727</v>
      </c>
      <c r="G8" s="466">
        <v>47287.5</v>
      </c>
      <c r="H8" s="305"/>
    </row>
    <row r="9" spans="1:8">
      <c r="A9" s="3"/>
      <c r="B9" s="465" t="s">
        <v>720</v>
      </c>
      <c r="C9" s="465" t="s">
        <v>186</v>
      </c>
      <c r="D9" s="465">
        <v>188</v>
      </c>
      <c r="E9" s="465"/>
      <c r="F9" s="465" t="s">
        <v>726</v>
      </c>
      <c r="G9" s="466">
        <v>67080.75</v>
      </c>
      <c r="H9" s="305"/>
    </row>
    <row r="10" spans="1:8">
      <c r="A10" s="464" t="s">
        <v>268</v>
      </c>
      <c r="B10" s="3"/>
      <c r="C10" s="3"/>
      <c r="D10" s="3"/>
      <c r="E10" s="3"/>
      <c r="F10" s="3"/>
      <c r="G10" s="467">
        <f>SUM(G8:G9)</f>
        <v>114368.25</v>
      </c>
      <c r="H10" s="305"/>
    </row>
    <row r="11" spans="1:8">
      <c r="A11" s="464" t="s">
        <v>267</v>
      </c>
      <c r="B11" s="3"/>
      <c r="C11" s="3"/>
      <c r="D11" s="3"/>
      <c r="E11" s="3"/>
      <c r="F11" s="3"/>
      <c r="G11" s="3"/>
      <c r="H11" s="305"/>
    </row>
    <row r="12" spans="1:8">
      <c r="A12" s="3"/>
      <c r="B12" s="465" t="s">
        <v>712</v>
      </c>
      <c r="C12" s="465" t="s">
        <v>378</v>
      </c>
      <c r="D12" s="465">
        <v>12899</v>
      </c>
      <c r="E12" s="465" t="s">
        <v>489</v>
      </c>
      <c r="F12" s="465" t="s">
        <v>745</v>
      </c>
      <c r="G12" s="466">
        <v>241.36</v>
      </c>
      <c r="H12" s="305"/>
    </row>
    <row r="13" spans="1:8">
      <c r="A13" s="3"/>
      <c r="B13" s="465" t="s">
        <v>711</v>
      </c>
      <c r="C13" s="465" t="s">
        <v>174</v>
      </c>
      <c r="D13" s="465"/>
      <c r="E13" s="465" t="s">
        <v>725</v>
      </c>
      <c r="F13" s="465" t="s">
        <v>724</v>
      </c>
      <c r="G13" s="466">
        <v>313.17</v>
      </c>
      <c r="H13" s="305"/>
    </row>
    <row r="14" spans="1:8">
      <c r="A14" s="3"/>
      <c r="B14" s="465" t="s">
        <v>711</v>
      </c>
      <c r="C14" s="465" t="s">
        <v>378</v>
      </c>
      <c r="D14" s="465">
        <v>12940</v>
      </c>
      <c r="E14" s="465" t="s">
        <v>723</v>
      </c>
      <c r="F14" s="465" t="s">
        <v>722</v>
      </c>
      <c r="G14" s="466">
        <v>183.69</v>
      </c>
      <c r="H14" s="305"/>
    </row>
    <row r="15" spans="1:8">
      <c r="A15" s="3"/>
      <c r="B15" s="465" t="s">
        <v>721</v>
      </c>
      <c r="C15" s="465" t="s">
        <v>265</v>
      </c>
      <c r="D15" s="465"/>
      <c r="E15" s="465" t="s">
        <v>264</v>
      </c>
      <c r="F15" s="465" t="s">
        <v>744</v>
      </c>
      <c r="G15" s="466">
        <v>-738.22</v>
      </c>
      <c r="H15" s="305"/>
    </row>
    <row r="16" spans="1:8">
      <c r="A16" s="464" t="s">
        <v>263</v>
      </c>
      <c r="B16" s="3"/>
      <c r="C16" s="3"/>
      <c r="D16" s="3"/>
      <c r="E16" s="3"/>
      <c r="F16" s="3"/>
      <c r="G16" s="467">
        <f>SUM(G12:G15)</f>
        <v>0</v>
      </c>
      <c r="H16" s="305"/>
    </row>
    <row r="17" spans="1:8">
      <c r="A17" s="464"/>
      <c r="B17" s="3"/>
      <c r="C17" s="3"/>
      <c r="D17" s="3"/>
      <c r="E17" s="3"/>
      <c r="F17" s="3"/>
      <c r="G17" s="467"/>
      <c r="H17" s="305"/>
    </row>
    <row r="18" spans="1:8" ht="15" thickBot="1">
      <c r="A18" s="464" t="s">
        <v>420</v>
      </c>
      <c r="B18" s="3"/>
      <c r="C18" s="3"/>
      <c r="D18" s="3"/>
      <c r="E18" s="3"/>
      <c r="F18" s="3"/>
      <c r="G18" s="473">
        <f>+G10+G16</f>
        <v>114368.25</v>
      </c>
      <c r="H18" s="305"/>
    </row>
    <row r="19" spans="1:8" ht="15" thickTop="1">
      <c r="A19" s="464"/>
      <c r="B19" s="3"/>
      <c r="C19" s="3"/>
      <c r="D19" s="3"/>
      <c r="E19" s="3"/>
      <c r="F19" s="3"/>
      <c r="G19" s="469"/>
      <c r="H19" s="305"/>
    </row>
    <row r="20" spans="1:8">
      <c r="A20" s="464" t="s">
        <v>262</v>
      </c>
      <c r="B20" s="3"/>
      <c r="C20" s="3"/>
      <c r="D20" s="3"/>
      <c r="E20" s="3"/>
      <c r="F20" s="3"/>
      <c r="G20" s="3"/>
      <c r="H20" s="305"/>
    </row>
    <row r="21" spans="1:8">
      <c r="A21" s="3"/>
      <c r="B21" s="465" t="s">
        <v>712</v>
      </c>
      <c r="C21" s="465" t="s">
        <v>186</v>
      </c>
      <c r="D21" s="465">
        <v>187</v>
      </c>
      <c r="E21" s="465"/>
      <c r="F21" s="465" t="s">
        <v>675</v>
      </c>
      <c r="G21" s="466">
        <v>3637.8</v>
      </c>
      <c r="H21" s="305"/>
    </row>
    <row r="22" spans="1:8">
      <c r="A22" s="3"/>
      <c r="B22" s="465" t="s">
        <v>720</v>
      </c>
      <c r="C22" s="465" t="s">
        <v>186</v>
      </c>
      <c r="D22" s="465">
        <v>188</v>
      </c>
      <c r="E22" s="465"/>
      <c r="F22" s="465" t="s">
        <v>675</v>
      </c>
      <c r="G22" s="466">
        <v>5131.71</v>
      </c>
      <c r="H22" s="305"/>
    </row>
    <row r="23" spans="1:8">
      <c r="A23" s="464" t="s">
        <v>261</v>
      </c>
      <c r="B23" s="3"/>
      <c r="C23" s="3"/>
      <c r="D23" s="3"/>
      <c r="E23" s="3"/>
      <c r="F23" s="3"/>
      <c r="G23" s="470">
        <f>SUM(G21:G22)</f>
        <v>8769.51</v>
      </c>
      <c r="H23" s="305"/>
    </row>
    <row r="24" spans="1:8">
      <c r="A24" s="464" t="s">
        <v>340</v>
      </c>
      <c r="B24" s="3"/>
      <c r="C24" s="3"/>
      <c r="D24" s="3"/>
      <c r="E24" s="3"/>
      <c r="F24" s="3"/>
      <c r="G24" s="3"/>
      <c r="H24" s="305"/>
    </row>
    <row r="25" spans="1:8">
      <c r="A25" s="3"/>
      <c r="B25" s="465" t="s">
        <v>729</v>
      </c>
      <c r="C25" s="465" t="s">
        <v>186</v>
      </c>
      <c r="D25" s="465">
        <v>204</v>
      </c>
      <c r="E25" s="465"/>
      <c r="F25" s="465" t="s">
        <v>411</v>
      </c>
      <c r="G25" s="466">
        <v>3064</v>
      </c>
      <c r="H25" s="305"/>
    </row>
    <row r="26" spans="1:8">
      <c r="A26" s="464" t="s">
        <v>341</v>
      </c>
      <c r="B26" s="3"/>
      <c r="C26" s="3"/>
      <c r="D26" s="3"/>
      <c r="E26" s="3"/>
      <c r="F26" s="3"/>
      <c r="G26" s="470">
        <f>SUM(G25)</f>
        <v>3064</v>
      </c>
      <c r="H26" s="305"/>
    </row>
    <row r="27" spans="1:8">
      <c r="A27" s="464" t="s">
        <v>260</v>
      </c>
      <c r="B27" s="3"/>
      <c r="C27" s="3"/>
      <c r="D27" s="3"/>
      <c r="E27" s="3"/>
      <c r="F27" s="3"/>
      <c r="G27" s="3"/>
      <c r="H27" s="305"/>
    </row>
    <row r="28" spans="1:8">
      <c r="A28" s="3"/>
      <c r="B28" s="465" t="s">
        <v>712</v>
      </c>
      <c r="C28" s="465" t="s">
        <v>186</v>
      </c>
      <c r="D28" s="465">
        <v>187</v>
      </c>
      <c r="E28" s="465"/>
      <c r="F28" s="465" t="s">
        <v>415</v>
      </c>
      <c r="G28" s="466">
        <v>465.12</v>
      </c>
      <c r="H28" s="305"/>
    </row>
    <row r="29" spans="1:8">
      <c r="A29" s="3"/>
      <c r="B29" s="465" t="s">
        <v>720</v>
      </c>
      <c r="C29" s="465" t="s">
        <v>186</v>
      </c>
      <c r="D29" s="465">
        <v>188</v>
      </c>
      <c r="E29" s="465"/>
      <c r="F29" s="465" t="s">
        <v>415</v>
      </c>
      <c r="G29" s="466">
        <v>2437.69</v>
      </c>
      <c r="H29" s="305"/>
    </row>
    <row r="30" spans="1:8">
      <c r="A30" s="464" t="s">
        <v>253</v>
      </c>
      <c r="B30" s="3"/>
      <c r="C30" s="3"/>
      <c r="D30" s="3"/>
      <c r="E30" s="3"/>
      <c r="F30" s="3"/>
      <c r="G30" s="470">
        <f>SUM(G28:G29)</f>
        <v>2902.81</v>
      </c>
      <c r="H30" s="305"/>
    </row>
    <row r="31" spans="1:8">
      <c r="A31" s="464" t="s">
        <v>483</v>
      </c>
      <c r="B31" s="3"/>
      <c r="C31" s="3"/>
      <c r="D31" s="3"/>
      <c r="E31" s="3"/>
      <c r="F31" s="3"/>
      <c r="G31" s="467">
        <f>+G18+G23+G26+G30</f>
        <v>129104.56999999999</v>
      </c>
      <c r="H31" s="305"/>
    </row>
    <row r="32" spans="1:8">
      <c r="A32" s="464" t="s">
        <v>414</v>
      </c>
      <c r="B32" s="3"/>
      <c r="C32" s="3"/>
      <c r="D32" s="3"/>
      <c r="E32" s="3"/>
      <c r="F32" s="3"/>
      <c r="G32" s="3"/>
      <c r="H32" s="305"/>
    </row>
    <row r="33" spans="1:8">
      <c r="A33" s="464" t="s">
        <v>252</v>
      </c>
      <c r="B33" s="3"/>
      <c r="C33" s="3"/>
      <c r="D33" s="3"/>
      <c r="E33" s="3"/>
      <c r="F33" s="3"/>
      <c r="G33" s="3"/>
      <c r="H33" s="305"/>
    </row>
    <row r="34" spans="1:8">
      <c r="A34" s="464" t="s">
        <v>552</v>
      </c>
      <c r="B34" s="3"/>
      <c r="C34" s="3"/>
      <c r="D34" s="3"/>
      <c r="E34" s="3"/>
      <c r="F34" s="3"/>
      <c r="G34" s="3"/>
      <c r="H34" s="305"/>
    </row>
    <row r="35" spans="1:8">
      <c r="A35" s="3"/>
      <c r="B35" s="465" t="s">
        <v>729</v>
      </c>
      <c r="C35" s="465" t="s">
        <v>186</v>
      </c>
      <c r="D35" s="465">
        <v>212</v>
      </c>
      <c r="E35" s="465"/>
      <c r="F35" s="465"/>
      <c r="G35" s="466">
        <v>17825</v>
      </c>
      <c r="H35" s="305"/>
    </row>
    <row r="36" spans="1:8">
      <c r="A36" s="464" t="s">
        <v>549</v>
      </c>
      <c r="B36" s="3"/>
      <c r="C36" s="3"/>
      <c r="D36" s="3"/>
      <c r="E36" s="3"/>
      <c r="F36" s="3"/>
      <c r="G36" s="470">
        <f>SUM(G35)</f>
        <v>17825</v>
      </c>
      <c r="H36" s="305"/>
    </row>
    <row r="37" spans="1:8">
      <c r="A37" s="464" t="s">
        <v>249</v>
      </c>
      <c r="B37" s="3"/>
      <c r="C37" s="3"/>
      <c r="D37" s="3"/>
      <c r="E37" s="3"/>
      <c r="F37" s="3"/>
      <c r="G37" s="467">
        <v>17825</v>
      </c>
      <c r="H37" s="305"/>
    </row>
    <row r="38" spans="1:8">
      <c r="A38" s="464"/>
      <c r="B38" s="3"/>
      <c r="C38" s="3"/>
      <c r="D38" s="3"/>
      <c r="E38" s="3"/>
      <c r="F38" s="3"/>
      <c r="G38" s="469"/>
      <c r="H38" s="305"/>
    </row>
    <row r="39" spans="1:8">
      <c r="A39" s="464"/>
      <c r="B39" s="3"/>
      <c r="C39" s="3"/>
      <c r="D39" s="3"/>
      <c r="E39" s="3"/>
      <c r="F39" s="3"/>
      <c r="G39" s="469"/>
      <c r="H39" s="305"/>
    </row>
    <row r="40" spans="1:8">
      <c r="A40" s="464"/>
      <c r="B40" s="3"/>
      <c r="C40" s="3"/>
      <c r="D40" s="3"/>
      <c r="E40" s="3"/>
      <c r="F40" s="3"/>
      <c r="G40" s="469"/>
      <c r="H40" s="305"/>
    </row>
    <row r="41" spans="1:8">
      <c r="A41" s="464"/>
      <c r="B41" s="3"/>
      <c r="C41" s="3"/>
      <c r="D41" s="3"/>
      <c r="E41" s="3"/>
      <c r="F41" s="3"/>
      <c r="G41" s="469"/>
      <c r="H41" s="305"/>
    </row>
    <row r="42" spans="1:8">
      <c r="A42" s="464" t="s">
        <v>248</v>
      </c>
      <c r="B42" s="3"/>
      <c r="C42" s="3"/>
      <c r="D42" s="3"/>
      <c r="E42" s="3"/>
      <c r="F42" s="3"/>
      <c r="G42" s="3"/>
      <c r="H42" s="305"/>
    </row>
    <row r="43" spans="1:8">
      <c r="A43" s="464" t="s">
        <v>247</v>
      </c>
      <c r="B43" s="3"/>
      <c r="C43" s="3"/>
      <c r="D43" s="3"/>
      <c r="E43" s="3"/>
      <c r="F43" s="3"/>
      <c r="G43" s="3"/>
      <c r="H43" s="305"/>
    </row>
    <row r="44" spans="1:8">
      <c r="A44" s="3"/>
      <c r="B44" s="465" t="s">
        <v>707</v>
      </c>
      <c r="C44" s="465" t="s">
        <v>174</v>
      </c>
      <c r="D44" s="465">
        <v>293105697</v>
      </c>
      <c r="E44" s="465" t="s">
        <v>480</v>
      </c>
      <c r="F44" s="465" t="s">
        <v>719</v>
      </c>
      <c r="G44" s="466">
        <v>3581.26</v>
      </c>
      <c r="H44" s="305">
        <v>12878</v>
      </c>
    </row>
    <row r="45" spans="1:8">
      <c r="A45" s="464" t="s">
        <v>246</v>
      </c>
      <c r="B45" s="3"/>
      <c r="C45" s="3"/>
      <c r="D45" s="3"/>
      <c r="E45" s="3"/>
      <c r="F45" s="3"/>
      <c r="G45" s="470">
        <f>SUM(G44)</f>
        <v>3581.26</v>
      </c>
      <c r="H45" s="305"/>
    </row>
    <row r="46" spans="1:8">
      <c r="A46" s="464" t="s">
        <v>245</v>
      </c>
      <c r="B46" s="3"/>
      <c r="C46" s="3"/>
      <c r="D46" s="3"/>
      <c r="E46" s="3"/>
      <c r="F46" s="3"/>
      <c r="G46" s="3"/>
      <c r="H46" s="305"/>
    </row>
    <row r="47" spans="1:8">
      <c r="A47" s="3"/>
      <c r="B47" s="465" t="s">
        <v>707</v>
      </c>
      <c r="C47" s="465" t="s">
        <v>174</v>
      </c>
      <c r="D47" s="465" t="s">
        <v>718</v>
      </c>
      <c r="E47" s="465" t="s">
        <v>243</v>
      </c>
      <c r="F47" s="465" t="s">
        <v>564</v>
      </c>
      <c r="G47" s="466">
        <v>235.2</v>
      </c>
      <c r="H47" s="305">
        <v>12877</v>
      </c>
    </row>
    <row r="48" spans="1:8">
      <c r="A48" s="464" t="s">
        <v>241</v>
      </c>
      <c r="B48" s="3"/>
      <c r="C48" s="3"/>
      <c r="D48" s="3"/>
      <c r="E48" s="3"/>
      <c r="F48" s="3"/>
      <c r="G48" s="470">
        <f>SUM(G47)</f>
        <v>235.2</v>
      </c>
      <c r="H48" s="305"/>
    </row>
    <row r="49" spans="1:8">
      <c r="A49" s="464" t="s">
        <v>240</v>
      </c>
      <c r="B49" s="3"/>
      <c r="C49" s="3"/>
      <c r="D49" s="3"/>
      <c r="E49" s="3"/>
      <c r="F49" s="3"/>
      <c r="G49" s="3"/>
      <c r="H49" s="305"/>
    </row>
    <row r="50" spans="1:8">
      <c r="A50" s="3"/>
      <c r="B50" s="465" t="s">
        <v>729</v>
      </c>
      <c r="C50" s="465" t="s">
        <v>186</v>
      </c>
      <c r="D50" s="465">
        <v>213</v>
      </c>
      <c r="E50" s="465"/>
      <c r="F50" s="465" t="s">
        <v>669</v>
      </c>
      <c r="G50" s="466">
        <v>-661.17</v>
      </c>
      <c r="H50" s="305"/>
    </row>
    <row r="51" spans="1:8">
      <c r="A51" s="464" t="s">
        <v>239</v>
      </c>
      <c r="B51" s="3"/>
      <c r="C51" s="3"/>
      <c r="D51" s="3"/>
      <c r="E51" s="3"/>
      <c r="F51" s="3"/>
      <c r="G51" s="470">
        <f>SUM(G50)</f>
        <v>-661.17</v>
      </c>
      <c r="H51" s="305"/>
    </row>
    <row r="52" spans="1:8">
      <c r="A52" s="464" t="s">
        <v>238</v>
      </c>
      <c r="B52" s="3"/>
      <c r="C52" s="3"/>
      <c r="D52" s="3"/>
      <c r="E52" s="3"/>
      <c r="F52" s="3"/>
      <c r="G52" s="3"/>
      <c r="H52" s="305"/>
    </row>
    <row r="53" spans="1:8">
      <c r="A53" s="3"/>
      <c r="B53" s="465" t="s">
        <v>729</v>
      </c>
      <c r="C53" s="465" t="s">
        <v>186</v>
      </c>
      <c r="D53" s="465">
        <v>214</v>
      </c>
      <c r="E53" s="465"/>
      <c r="F53" s="465" t="s">
        <v>237</v>
      </c>
      <c r="G53" s="466">
        <v>-43.56</v>
      </c>
      <c r="H53" s="305"/>
    </row>
    <row r="54" spans="1:8" ht="15.75" customHeight="1">
      <c r="A54" s="464" t="s">
        <v>236</v>
      </c>
      <c r="B54" s="3"/>
      <c r="C54" s="3"/>
      <c r="D54" s="3"/>
      <c r="E54" s="3"/>
      <c r="F54" s="3"/>
      <c r="G54" s="470">
        <f>SUM(G53)</f>
        <v>-43.56</v>
      </c>
      <c r="H54" s="305"/>
    </row>
    <row r="55" spans="1:8" ht="15.75" customHeight="1">
      <c r="A55" s="464"/>
      <c r="B55" s="3"/>
      <c r="C55" s="3"/>
      <c r="D55" s="3"/>
      <c r="E55" s="3"/>
      <c r="F55" s="3"/>
      <c r="G55" s="472"/>
      <c r="H55" s="305"/>
    </row>
    <row r="56" spans="1:8" ht="15" thickBot="1">
      <c r="A56" s="464" t="s">
        <v>235</v>
      </c>
      <c r="B56" s="3"/>
      <c r="C56" s="3"/>
      <c r="D56" s="3"/>
      <c r="E56" s="3"/>
      <c r="F56" s="3"/>
      <c r="G56" s="473">
        <f>+G45+G48+G51+G54</f>
        <v>3111.73</v>
      </c>
      <c r="H56" s="305"/>
    </row>
    <row r="57" spans="1:8" ht="15" thickTop="1">
      <c r="A57" s="464"/>
      <c r="B57" s="3"/>
      <c r="C57" s="3"/>
      <c r="D57" s="3"/>
      <c r="E57" s="3"/>
      <c r="F57" s="3"/>
      <c r="G57" s="3"/>
      <c r="H57" s="305"/>
    </row>
    <row r="58" spans="1:8">
      <c r="A58" s="464" t="s">
        <v>234</v>
      </c>
      <c r="B58" s="3"/>
      <c r="C58" s="3"/>
      <c r="D58" s="3"/>
      <c r="E58" s="3"/>
      <c r="F58" s="3"/>
      <c r="G58" s="3"/>
      <c r="H58" s="305"/>
    </row>
    <row r="59" spans="1:8">
      <c r="A59" s="464" t="s">
        <v>478</v>
      </c>
      <c r="B59" s="3"/>
      <c r="C59" s="3"/>
      <c r="D59" s="3"/>
      <c r="E59" s="3"/>
      <c r="F59" s="3"/>
      <c r="G59" s="3"/>
      <c r="H59" s="305"/>
    </row>
    <row r="60" spans="1:8">
      <c r="A60" s="3"/>
      <c r="B60" s="465" t="s">
        <v>729</v>
      </c>
      <c r="C60" s="465" t="s">
        <v>186</v>
      </c>
      <c r="D60" s="465">
        <v>204</v>
      </c>
      <c r="E60" s="465"/>
      <c r="F60" s="465" t="s">
        <v>411</v>
      </c>
      <c r="G60" s="466">
        <v>479</v>
      </c>
      <c r="H60" s="305"/>
    </row>
    <row r="61" spans="1:8">
      <c r="A61" s="464" t="s">
        <v>477</v>
      </c>
      <c r="B61" s="3"/>
      <c r="C61" s="3"/>
      <c r="D61" s="3"/>
      <c r="E61" s="3"/>
      <c r="F61" s="3"/>
      <c r="G61" s="470">
        <f>SUM(G60)</f>
        <v>479</v>
      </c>
      <c r="H61" s="305"/>
    </row>
    <row r="62" spans="1:8">
      <c r="B62" s="3"/>
      <c r="C62" s="3"/>
      <c r="D62" s="3"/>
      <c r="E62" s="3"/>
      <c r="F62" s="3"/>
      <c r="G62" s="467"/>
      <c r="H62" s="305"/>
    </row>
    <row r="63" spans="1:8">
      <c r="A63" s="474" t="s">
        <v>284</v>
      </c>
      <c r="B63" s="3"/>
      <c r="C63" s="3"/>
      <c r="D63" s="3"/>
      <c r="E63" s="3"/>
      <c r="F63" s="3"/>
      <c r="G63" s="469"/>
      <c r="H63" s="305"/>
    </row>
    <row r="64" spans="1:8">
      <c r="A64" s="464" t="s">
        <v>232</v>
      </c>
      <c r="B64" s="3"/>
      <c r="C64" s="3"/>
      <c r="D64" s="3"/>
      <c r="E64" s="3"/>
      <c r="F64" s="3"/>
      <c r="G64" s="3"/>
      <c r="H64" s="305"/>
    </row>
    <row r="65" spans="1:8">
      <c r="A65" s="3"/>
      <c r="B65" s="465" t="s">
        <v>721</v>
      </c>
      <c r="C65" s="465" t="s">
        <v>186</v>
      </c>
      <c r="D65" s="465">
        <v>199</v>
      </c>
      <c r="E65" s="465"/>
      <c r="F65" s="465" t="s">
        <v>231</v>
      </c>
      <c r="G65" s="466">
        <v>1075</v>
      </c>
      <c r="H65" s="305"/>
    </row>
    <row r="66" spans="1:8">
      <c r="A66" s="464" t="s">
        <v>230</v>
      </c>
      <c r="B66" s="3"/>
      <c r="C66" s="3"/>
      <c r="D66" s="3"/>
      <c r="E66" s="3"/>
      <c r="F66" s="3"/>
      <c r="G66" s="467">
        <f>SUM(G65)</f>
        <v>1075</v>
      </c>
      <c r="H66" s="305"/>
    </row>
    <row r="67" spans="1:8">
      <c r="A67" s="464" t="s">
        <v>229</v>
      </c>
      <c r="B67" s="3"/>
      <c r="C67" s="3"/>
      <c r="D67" s="3"/>
      <c r="E67" s="3"/>
      <c r="F67" s="3"/>
      <c r="G67" s="3"/>
      <c r="H67" s="305"/>
    </row>
    <row r="68" spans="1:8">
      <c r="A68" s="3"/>
      <c r="B68" s="465" t="s">
        <v>721</v>
      </c>
      <c r="C68" s="465" t="s">
        <v>186</v>
      </c>
      <c r="D68" s="465">
        <v>201</v>
      </c>
      <c r="E68" s="465"/>
      <c r="F68" s="465" t="s">
        <v>228</v>
      </c>
      <c r="G68" s="466">
        <v>251</v>
      </c>
      <c r="H68" s="305"/>
    </row>
    <row r="69" spans="1:8">
      <c r="A69" s="464" t="s">
        <v>227</v>
      </c>
      <c r="B69" s="3"/>
      <c r="C69" s="3"/>
      <c r="D69" s="3"/>
      <c r="E69" s="3"/>
      <c r="F69" s="3"/>
      <c r="G69" s="467">
        <f>SUM(G68)</f>
        <v>251</v>
      </c>
      <c r="H69" s="305"/>
    </row>
    <row r="70" spans="1:8">
      <c r="A70" s="464" t="s">
        <v>226</v>
      </c>
      <c r="B70" s="3"/>
      <c r="C70" s="3"/>
      <c r="D70" s="3"/>
      <c r="E70" s="3"/>
      <c r="F70" s="3"/>
      <c r="G70" s="3"/>
      <c r="H70" s="305"/>
    </row>
    <row r="71" spans="1:8">
      <c r="A71" s="3"/>
      <c r="B71" s="465" t="s">
        <v>729</v>
      </c>
      <c r="C71" s="465" t="s">
        <v>186</v>
      </c>
      <c r="D71" s="465">
        <v>203</v>
      </c>
      <c r="E71" s="465"/>
      <c r="F71" s="465" t="s">
        <v>225</v>
      </c>
      <c r="G71" s="466">
        <v>499</v>
      </c>
      <c r="H71" s="305"/>
    </row>
    <row r="72" spans="1:8">
      <c r="A72" s="464" t="s">
        <v>224</v>
      </c>
      <c r="B72" s="3"/>
      <c r="C72" s="3"/>
      <c r="D72" s="3"/>
      <c r="E72" s="3"/>
      <c r="F72" s="3"/>
      <c r="G72" s="467">
        <f>SUM(G71)</f>
        <v>499</v>
      </c>
      <c r="H72" s="305"/>
    </row>
    <row r="73" spans="1:8">
      <c r="A73" s="464" t="s">
        <v>223</v>
      </c>
      <c r="B73" s="3"/>
      <c r="C73" s="3"/>
      <c r="D73" s="3"/>
      <c r="E73" s="3"/>
      <c r="F73" s="3"/>
      <c r="G73" s="3"/>
      <c r="H73" s="305"/>
    </row>
    <row r="74" spans="1:8">
      <c r="A74" s="3"/>
      <c r="B74" s="465" t="s">
        <v>721</v>
      </c>
      <c r="C74" s="465" t="s">
        <v>186</v>
      </c>
      <c r="D74" s="465">
        <v>198</v>
      </c>
      <c r="E74" s="465"/>
      <c r="F74" s="465" t="s">
        <v>222</v>
      </c>
      <c r="G74" s="466">
        <v>98</v>
      </c>
      <c r="H74" s="305"/>
    </row>
    <row r="75" spans="1:8">
      <c r="A75" s="464" t="s">
        <v>221</v>
      </c>
      <c r="B75" s="3"/>
      <c r="C75" s="3"/>
      <c r="D75" s="3"/>
      <c r="E75" s="3"/>
      <c r="F75" s="3"/>
      <c r="G75" s="467">
        <f>SUM(G74)</f>
        <v>98</v>
      </c>
      <c r="H75" s="305"/>
    </row>
    <row r="76" spans="1:8">
      <c r="A76" s="464"/>
      <c r="B76" s="3"/>
      <c r="C76" s="3"/>
      <c r="D76" s="3"/>
      <c r="E76" s="3"/>
      <c r="F76" s="3"/>
      <c r="G76" s="467"/>
      <c r="H76" s="305"/>
    </row>
    <row r="77" spans="1:8" ht="15" thickBot="1">
      <c r="A77" s="475" t="s">
        <v>410</v>
      </c>
      <c r="B77" s="3"/>
      <c r="C77" s="3"/>
      <c r="D77" s="3"/>
      <c r="E77" s="3"/>
      <c r="F77" s="3"/>
      <c r="G77" s="473">
        <f>+G66+G69+G72+G75</f>
        <v>1923</v>
      </c>
      <c r="H77" s="305"/>
    </row>
    <row r="78" spans="1:8" ht="15" thickTop="1">
      <c r="A78" s="464"/>
      <c r="B78" s="3"/>
      <c r="C78" s="3"/>
      <c r="D78" s="3"/>
      <c r="E78" s="3"/>
      <c r="F78" s="3"/>
      <c r="G78" s="469"/>
      <c r="H78" s="305"/>
    </row>
    <row r="79" spans="1:8">
      <c r="A79" s="464" t="s">
        <v>409</v>
      </c>
      <c r="B79" s="3"/>
      <c r="C79" s="3"/>
      <c r="D79" s="3"/>
      <c r="E79" s="3"/>
      <c r="F79" s="3"/>
      <c r="G79" s="3"/>
      <c r="H79" s="305"/>
    </row>
    <row r="80" spans="1:8">
      <c r="A80" s="464" t="s">
        <v>220</v>
      </c>
      <c r="B80" s="3"/>
      <c r="C80" s="3"/>
      <c r="D80" s="3"/>
      <c r="E80" s="3"/>
      <c r="F80" s="3"/>
      <c r="G80" s="3"/>
      <c r="H80" s="305"/>
    </row>
    <row r="81" spans="1:8">
      <c r="A81" s="3"/>
      <c r="B81" s="465" t="s">
        <v>721</v>
      </c>
      <c r="C81" s="465" t="s">
        <v>186</v>
      </c>
      <c r="D81" s="465">
        <v>202</v>
      </c>
      <c r="E81" s="465"/>
      <c r="F81" s="465" t="s">
        <v>219</v>
      </c>
      <c r="G81" s="466">
        <v>249</v>
      </c>
      <c r="H81" s="305"/>
    </row>
    <row r="82" spans="1:8">
      <c r="A82" s="464" t="s">
        <v>218</v>
      </c>
      <c r="B82" s="3"/>
      <c r="C82" s="3"/>
      <c r="D82" s="3"/>
      <c r="E82" s="3"/>
      <c r="F82" s="3"/>
      <c r="G82" s="470">
        <f>SUM(G81)</f>
        <v>249</v>
      </c>
      <c r="H82" s="305"/>
    </row>
    <row r="83" spans="1:8">
      <c r="A83" s="464"/>
      <c r="B83" s="3"/>
      <c r="C83" s="3"/>
      <c r="D83" s="3"/>
      <c r="E83" s="3"/>
      <c r="F83" s="3"/>
      <c r="G83" s="472"/>
      <c r="H83" s="305"/>
    </row>
    <row r="84" spans="1:8">
      <c r="A84" s="464" t="s">
        <v>703</v>
      </c>
      <c r="B84" s="3"/>
      <c r="C84" s="3"/>
      <c r="D84" s="3"/>
      <c r="E84" s="3"/>
      <c r="F84" s="3"/>
      <c r="G84" s="470">
        <f>+G56+G61+G77+G82</f>
        <v>5762.73</v>
      </c>
      <c r="H84" s="305"/>
    </row>
    <row r="85" spans="1:8">
      <c r="A85" s="464"/>
      <c r="B85" s="3"/>
      <c r="C85" s="3"/>
      <c r="D85" s="3"/>
      <c r="E85" s="3"/>
      <c r="F85" s="3"/>
      <c r="G85" s="467"/>
      <c r="H85" s="305"/>
    </row>
    <row r="86" spans="1:8" ht="15" thickBot="1">
      <c r="A86" s="464" t="s">
        <v>546</v>
      </c>
      <c r="B86" s="3"/>
      <c r="C86" s="3"/>
      <c r="D86" s="3"/>
      <c r="E86" s="3"/>
      <c r="F86" s="3"/>
      <c r="G86" s="473">
        <f>+G36+G56+G61+G77+G82</f>
        <v>23587.73</v>
      </c>
      <c r="H86" s="305"/>
    </row>
    <row r="87" spans="1:8" ht="15" thickTop="1">
      <c r="A87" s="3"/>
      <c r="B87" s="3"/>
      <c r="C87" s="3"/>
      <c r="D87" s="3"/>
      <c r="E87" s="3"/>
      <c r="F87" s="3"/>
      <c r="G87" s="3"/>
      <c r="H87" s="444"/>
    </row>
    <row r="91" spans="1:8" s="269" customFormat="1">
      <c r="A91" s="400" t="s">
        <v>379</v>
      </c>
      <c r="H91" s="444"/>
    </row>
    <row r="92" spans="1:8">
      <c r="A92" s="464" t="s">
        <v>184</v>
      </c>
      <c r="B92" s="3"/>
      <c r="C92" s="3"/>
      <c r="D92" s="3"/>
      <c r="E92" s="3"/>
      <c r="F92" s="3"/>
      <c r="G92" s="3"/>
      <c r="H92" s="444"/>
    </row>
    <row r="93" spans="1:8">
      <c r="A93" s="3"/>
      <c r="B93" s="465" t="s">
        <v>707</v>
      </c>
      <c r="C93" s="465" t="s">
        <v>174</v>
      </c>
      <c r="D93" s="465">
        <v>11228</v>
      </c>
      <c r="E93" s="465" t="s">
        <v>377</v>
      </c>
      <c r="F93" s="465" t="s">
        <v>706</v>
      </c>
      <c r="G93" s="466">
        <v>150</v>
      </c>
      <c r="H93" s="444">
        <v>12936</v>
      </c>
    </row>
    <row r="94" spans="1:8">
      <c r="A94" s="3"/>
      <c r="B94" s="465" t="s">
        <v>729</v>
      </c>
      <c r="C94" s="465" t="s">
        <v>174</v>
      </c>
      <c r="D94" s="465" t="s">
        <v>737</v>
      </c>
      <c r="E94" s="465" t="s">
        <v>443</v>
      </c>
      <c r="F94" s="465" t="s">
        <v>738</v>
      </c>
      <c r="G94" s="466">
        <v>66.099999999999994</v>
      </c>
      <c r="H94" s="444">
        <v>12959</v>
      </c>
    </row>
    <row r="95" spans="1:8">
      <c r="A95" s="3"/>
      <c r="B95" s="465" t="s">
        <v>707</v>
      </c>
      <c r="C95" s="465" t="s">
        <v>174</v>
      </c>
      <c r="D95" s="465" t="s">
        <v>731</v>
      </c>
      <c r="E95" s="465" t="s">
        <v>373</v>
      </c>
      <c r="F95" s="465" t="s">
        <v>732</v>
      </c>
      <c r="G95" s="466">
        <v>57.88</v>
      </c>
      <c r="H95" s="444">
        <v>12960</v>
      </c>
    </row>
    <row r="96" spans="1:8">
      <c r="A96" s="3"/>
      <c r="B96" s="465" t="s">
        <v>729</v>
      </c>
      <c r="C96" s="465" t="s">
        <v>174</v>
      </c>
      <c r="D96" s="465" t="s">
        <v>735</v>
      </c>
      <c r="E96" s="465" t="s">
        <v>373</v>
      </c>
      <c r="F96" s="465" t="s">
        <v>736</v>
      </c>
      <c r="G96" s="466">
        <v>28.94</v>
      </c>
      <c r="H96" s="444">
        <v>12960</v>
      </c>
    </row>
    <row r="97" spans="1:8">
      <c r="A97" s="3"/>
      <c r="B97" s="465" t="s">
        <v>707</v>
      </c>
      <c r="C97" s="465" t="s">
        <v>174</v>
      </c>
      <c r="D97" s="465" t="s">
        <v>733</v>
      </c>
      <c r="E97" s="465" t="s">
        <v>370</v>
      </c>
      <c r="F97" s="465" t="s">
        <v>734</v>
      </c>
      <c r="G97" s="466">
        <v>15.12</v>
      </c>
      <c r="H97" s="444">
        <v>12958</v>
      </c>
    </row>
    <row r="98" spans="1:8">
      <c r="A98" s="3"/>
      <c r="B98" s="465" t="s">
        <v>729</v>
      </c>
      <c r="C98" s="465" t="s">
        <v>174</v>
      </c>
      <c r="D98" s="465" t="s">
        <v>739</v>
      </c>
      <c r="E98" s="465" t="s">
        <v>370</v>
      </c>
      <c r="F98" s="465" t="s">
        <v>740</v>
      </c>
      <c r="G98" s="466">
        <v>30.24</v>
      </c>
      <c r="H98" s="444">
        <v>12958</v>
      </c>
    </row>
    <row r="99" spans="1:8">
      <c r="A99" s="464" t="s">
        <v>520</v>
      </c>
      <c r="B99" s="3"/>
      <c r="C99" s="3"/>
      <c r="D99" s="3"/>
      <c r="E99" s="3"/>
      <c r="F99" s="3"/>
      <c r="G99" s="470">
        <f>SUM(G93:G98)</f>
        <v>348.28000000000003</v>
      </c>
      <c r="H99" s="444"/>
    </row>
    <row r="103" spans="1:8">
      <c r="A103" s="451" t="s">
        <v>400</v>
      </c>
      <c r="B103" s="3"/>
      <c r="C103" s="3"/>
      <c r="D103" s="3"/>
      <c r="E103" s="3"/>
      <c r="F103" s="3"/>
      <c r="G103" s="3"/>
      <c r="H103" s="444"/>
    </row>
    <row r="104" spans="1:8">
      <c r="A104" s="464" t="s">
        <v>400</v>
      </c>
      <c r="B104" s="3"/>
      <c r="C104" s="3"/>
      <c r="D104" s="3"/>
      <c r="E104" s="3"/>
      <c r="F104" s="3"/>
      <c r="G104" s="3"/>
      <c r="H104" s="444"/>
    </row>
    <row r="105" spans="1:8">
      <c r="A105" s="3"/>
      <c r="B105" s="465" t="s">
        <v>715</v>
      </c>
      <c r="C105" s="465" t="s">
        <v>174</v>
      </c>
      <c r="D105" s="465" t="s">
        <v>714</v>
      </c>
      <c r="E105" s="465" t="s">
        <v>397</v>
      </c>
      <c r="F105" s="465" t="s">
        <v>602</v>
      </c>
      <c r="G105" s="466">
        <v>465.27</v>
      </c>
      <c r="H105" s="305">
        <v>12933</v>
      </c>
    </row>
    <row r="106" spans="1:8">
      <c r="A106" s="464" t="s">
        <v>395</v>
      </c>
      <c r="B106" s="3"/>
      <c r="C106" s="3"/>
      <c r="D106" s="3"/>
      <c r="E106" s="3"/>
      <c r="F106" s="3"/>
      <c r="G106" s="467">
        <f>SUM(G105)</f>
        <v>465.27</v>
      </c>
      <c r="H106" s="444"/>
    </row>
    <row r="107" spans="1:8">
      <c r="A107" s="464" t="s">
        <v>394</v>
      </c>
      <c r="B107" s="3"/>
      <c r="C107" s="3"/>
      <c r="D107" s="3"/>
      <c r="E107" s="3"/>
      <c r="F107" s="3"/>
      <c r="G107" s="3"/>
      <c r="H107" s="444"/>
    </row>
    <row r="108" spans="1:8">
      <c r="A108" s="3"/>
      <c r="B108" s="465" t="s">
        <v>729</v>
      </c>
      <c r="C108" s="465" t="s">
        <v>186</v>
      </c>
      <c r="D108" s="465">
        <v>195</v>
      </c>
      <c r="E108" s="465"/>
      <c r="F108" s="465" t="s">
        <v>212</v>
      </c>
      <c r="G108" s="466">
        <v>275</v>
      </c>
      <c r="H108" s="444"/>
    </row>
    <row r="109" spans="1:8">
      <c r="A109" s="464" t="s">
        <v>393</v>
      </c>
      <c r="B109" s="3"/>
      <c r="C109" s="3"/>
      <c r="D109" s="3"/>
      <c r="E109" s="3"/>
      <c r="F109" s="3"/>
      <c r="G109" s="467">
        <f>SUM(G108)</f>
        <v>275</v>
      </c>
      <c r="H109" s="444"/>
    </row>
    <row r="110" spans="1:8">
      <c r="A110" s="475" t="s">
        <v>601</v>
      </c>
      <c r="B110" s="3"/>
      <c r="C110" s="3"/>
      <c r="D110" s="3"/>
      <c r="E110" s="3"/>
      <c r="F110" s="3"/>
      <c r="G110" s="470">
        <f>+G106+G109</f>
        <v>740.27</v>
      </c>
      <c r="H110" s="444"/>
    </row>
    <row r="111" spans="1:8">
      <c r="A111" s="464"/>
      <c r="B111" s="3"/>
      <c r="C111" s="3"/>
      <c r="D111" s="3"/>
      <c r="E111" s="3"/>
      <c r="F111" s="3"/>
      <c r="G111" s="469"/>
      <c r="H111" s="444"/>
    </row>
    <row r="112" spans="1:8">
      <c r="A112" s="464"/>
      <c r="B112" s="3"/>
      <c r="C112" s="3"/>
      <c r="D112" s="3"/>
      <c r="E112" s="3"/>
      <c r="F112" s="3"/>
      <c r="G112" s="469"/>
      <c r="H112" s="444"/>
    </row>
    <row r="113" spans="1:8">
      <c r="A113" s="464"/>
      <c r="B113" s="3"/>
      <c r="C113" s="3"/>
      <c r="D113" s="3"/>
      <c r="E113" s="3"/>
      <c r="F113" s="3"/>
      <c r="G113" s="469"/>
      <c r="H113" s="444"/>
    </row>
    <row r="114" spans="1:8">
      <c r="A114" s="400" t="s">
        <v>357</v>
      </c>
      <c r="B114" s="3"/>
      <c r="C114" s="3"/>
      <c r="D114" s="3"/>
      <c r="E114" s="3"/>
      <c r="F114" s="3"/>
      <c r="G114" s="3"/>
      <c r="H114" s="305"/>
    </row>
    <row r="115" spans="1:8">
      <c r="A115" s="464" t="s">
        <v>406</v>
      </c>
      <c r="B115" s="3"/>
      <c r="C115" s="3"/>
      <c r="D115" s="3"/>
      <c r="E115" s="3"/>
      <c r="F115" s="3"/>
      <c r="G115" s="3"/>
      <c r="H115" s="305"/>
    </row>
    <row r="116" spans="1:8">
      <c r="A116" s="464" t="s">
        <v>214</v>
      </c>
      <c r="B116" s="3"/>
      <c r="C116" s="3"/>
      <c r="D116" s="3"/>
      <c r="E116" s="3"/>
      <c r="F116" s="3"/>
      <c r="G116" s="3"/>
      <c r="H116" s="305"/>
    </row>
    <row r="117" spans="1:8">
      <c r="A117" s="3"/>
      <c r="B117" s="465" t="s">
        <v>729</v>
      </c>
      <c r="C117" s="465" t="s">
        <v>186</v>
      </c>
      <c r="D117" s="465">
        <v>205</v>
      </c>
      <c r="E117" s="465"/>
      <c r="F117" s="465" t="s">
        <v>730</v>
      </c>
      <c r="G117" s="466">
        <v>544</v>
      </c>
      <c r="H117" s="305"/>
    </row>
    <row r="118" spans="1:8">
      <c r="A118" s="464" t="s">
        <v>475</v>
      </c>
      <c r="B118" s="3"/>
      <c r="C118" s="3"/>
      <c r="D118" s="3"/>
      <c r="E118" s="3"/>
      <c r="F118" s="3"/>
      <c r="G118" s="467">
        <f>SUM(G117)</f>
        <v>544</v>
      </c>
      <c r="H118" s="305"/>
    </row>
    <row r="119" spans="1:8">
      <c r="A119" s="464" t="s">
        <v>665</v>
      </c>
      <c r="B119" s="3"/>
      <c r="C119" s="3"/>
      <c r="D119" s="3"/>
      <c r="E119" s="3"/>
      <c r="F119" s="3"/>
      <c r="G119" s="3"/>
      <c r="H119" s="305"/>
    </row>
    <row r="120" spans="1:8">
      <c r="A120" s="3"/>
      <c r="B120" s="465" t="s">
        <v>711</v>
      </c>
      <c r="C120" s="465" t="s">
        <v>174</v>
      </c>
      <c r="D120" s="465" t="s">
        <v>717</v>
      </c>
      <c r="E120" s="465" t="s">
        <v>662</v>
      </c>
      <c r="F120" s="465" t="s">
        <v>716</v>
      </c>
      <c r="G120" s="466">
        <v>900</v>
      </c>
      <c r="H120" s="305">
        <v>12923</v>
      </c>
    </row>
    <row r="121" spans="1:8">
      <c r="A121" s="3"/>
      <c r="B121" s="465" t="s">
        <v>711</v>
      </c>
      <c r="C121" s="465" t="s">
        <v>174</v>
      </c>
      <c r="D121" s="465" t="s">
        <v>717</v>
      </c>
      <c r="E121" s="465" t="s">
        <v>662</v>
      </c>
      <c r="F121" s="385" t="s">
        <v>742</v>
      </c>
      <c r="G121" s="466">
        <v>900</v>
      </c>
      <c r="H121" s="305">
        <v>12976</v>
      </c>
    </row>
    <row r="122" spans="1:8" ht="15.75" customHeight="1">
      <c r="A122" s="464" t="s">
        <v>660</v>
      </c>
      <c r="B122" s="3"/>
      <c r="C122" s="3"/>
      <c r="D122" s="3"/>
      <c r="E122" s="3"/>
      <c r="F122" s="3"/>
      <c r="G122" s="467">
        <f>SUM(G120:G121)</f>
        <v>1800</v>
      </c>
      <c r="H122" s="444"/>
    </row>
    <row r="123" spans="1:8" ht="15.75" customHeight="1">
      <c r="A123" s="464"/>
      <c r="B123" s="3"/>
      <c r="C123" s="3"/>
      <c r="D123" s="3"/>
      <c r="E123" s="3"/>
      <c r="F123" s="3"/>
      <c r="G123" s="467"/>
      <c r="H123" s="444"/>
    </row>
    <row r="124" spans="1:8" s="269" customFormat="1">
      <c r="A124" s="400" t="s">
        <v>695</v>
      </c>
      <c r="G124" s="355">
        <f>+G118+G122</f>
        <v>2344</v>
      </c>
      <c r="H124" s="444"/>
    </row>
    <row r="125" spans="1:8">
      <c r="A125" s="464"/>
      <c r="B125" s="3"/>
      <c r="C125" s="3"/>
      <c r="D125" s="3"/>
      <c r="E125" s="3"/>
      <c r="F125" s="3"/>
      <c r="G125" s="467"/>
      <c r="H125" s="444"/>
    </row>
    <row r="126" spans="1:8">
      <c r="A126" s="464"/>
      <c r="B126" s="3"/>
      <c r="C126" s="3"/>
      <c r="D126" s="3"/>
      <c r="E126" s="3"/>
      <c r="F126" s="3"/>
      <c r="G126" s="469"/>
      <c r="H126" s="444"/>
    </row>
    <row r="127" spans="1:8">
      <c r="A127" s="400" t="s">
        <v>329</v>
      </c>
      <c r="B127" s="3"/>
      <c r="C127" s="3"/>
      <c r="D127" s="3"/>
      <c r="E127" s="3"/>
      <c r="F127" s="3"/>
      <c r="G127" s="3"/>
      <c r="H127" s="444"/>
    </row>
    <row r="128" spans="1:8">
      <c r="A128" s="464" t="s">
        <v>200</v>
      </c>
      <c r="B128" s="3"/>
      <c r="C128" s="3"/>
      <c r="D128" s="3"/>
      <c r="E128" s="3"/>
      <c r="F128" s="3"/>
      <c r="G128" s="3"/>
      <c r="H128" s="444"/>
    </row>
    <row r="129" spans="1:8">
      <c r="A129" s="3"/>
      <c r="B129" s="465" t="s">
        <v>707</v>
      </c>
      <c r="C129" s="465" t="s">
        <v>174</v>
      </c>
      <c r="D129" s="465">
        <v>2027</v>
      </c>
      <c r="E129" s="465" t="s">
        <v>181</v>
      </c>
      <c r="F129" s="465" t="s">
        <v>708</v>
      </c>
      <c r="G129" s="466">
        <v>648</v>
      </c>
      <c r="H129" s="444">
        <v>12886</v>
      </c>
    </row>
    <row r="130" spans="1:8">
      <c r="A130" s="474" t="s">
        <v>344</v>
      </c>
      <c r="B130" s="3"/>
      <c r="C130" s="3"/>
      <c r="D130" s="3"/>
      <c r="E130" s="3"/>
      <c r="F130" s="3"/>
      <c r="G130" s="470">
        <f>SUM(G129)</f>
        <v>648</v>
      </c>
      <c r="H130" s="444"/>
    </row>
    <row r="131" spans="1:8">
      <c r="A131" s="464" t="s">
        <v>197</v>
      </c>
      <c r="B131" s="3"/>
      <c r="C131" s="3"/>
      <c r="D131" s="3"/>
      <c r="E131" s="3"/>
      <c r="F131" s="3"/>
      <c r="G131" s="3"/>
      <c r="H131" s="444"/>
    </row>
    <row r="132" spans="1:8">
      <c r="A132" s="464" t="s">
        <v>196</v>
      </c>
      <c r="B132" s="3"/>
      <c r="C132" s="3"/>
      <c r="D132" s="3"/>
      <c r="E132" s="3"/>
      <c r="F132" s="3"/>
      <c r="G132" s="3"/>
      <c r="H132" s="444"/>
    </row>
    <row r="133" spans="1:8">
      <c r="A133" s="3"/>
      <c r="B133" s="465" t="s">
        <v>721</v>
      </c>
      <c r="C133" s="465" t="s">
        <v>186</v>
      </c>
      <c r="D133" s="465">
        <v>208</v>
      </c>
      <c r="E133" s="465"/>
      <c r="F133" s="465" t="s">
        <v>195</v>
      </c>
      <c r="G133" s="466">
        <v>59</v>
      </c>
      <c r="H133" s="444"/>
    </row>
    <row r="134" spans="1:8">
      <c r="A134" s="3"/>
      <c r="B134" s="465" t="s">
        <v>721</v>
      </c>
      <c r="C134" s="465" t="s">
        <v>186</v>
      </c>
      <c r="D134" s="465">
        <v>208</v>
      </c>
      <c r="E134" s="465"/>
      <c r="F134" s="465" t="s">
        <v>195</v>
      </c>
      <c r="G134" s="466">
        <v>118</v>
      </c>
      <c r="H134" s="444"/>
    </row>
    <row r="135" spans="1:8">
      <c r="A135" s="464" t="s">
        <v>468</v>
      </c>
      <c r="B135" s="3"/>
      <c r="C135" s="3"/>
      <c r="D135" s="3"/>
      <c r="E135" s="3"/>
      <c r="F135" s="3"/>
      <c r="G135" s="467">
        <f>SUM(G133:G134)</f>
        <v>177</v>
      </c>
      <c r="H135" s="444"/>
    </row>
    <row r="136" spans="1:8">
      <c r="A136" s="464" t="s">
        <v>191</v>
      </c>
      <c r="B136" s="3"/>
      <c r="C136" s="3"/>
      <c r="D136" s="3"/>
      <c r="E136" s="3"/>
      <c r="F136" s="3"/>
      <c r="G136" s="3"/>
      <c r="H136" s="444"/>
    </row>
    <row r="137" spans="1:8">
      <c r="A137" s="464" t="s">
        <v>466</v>
      </c>
      <c r="B137" s="3"/>
      <c r="C137" s="3"/>
      <c r="D137" s="3"/>
      <c r="E137" s="3"/>
      <c r="F137" s="3"/>
      <c r="G137" s="3"/>
      <c r="H137" s="444"/>
    </row>
    <row r="138" spans="1:8">
      <c r="A138" s="3"/>
      <c r="B138" s="465" t="s">
        <v>710</v>
      </c>
      <c r="C138" s="465" t="s">
        <v>186</v>
      </c>
      <c r="D138" s="465">
        <v>209</v>
      </c>
      <c r="E138" s="465"/>
      <c r="F138" s="465" t="s">
        <v>190</v>
      </c>
      <c r="G138" s="466">
        <v>50</v>
      </c>
      <c r="H138" s="444"/>
    </row>
    <row r="139" spans="1:8">
      <c r="A139" s="3"/>
      <c r="B139" s="465" t="s">
        <v>710</v>
      </c>
      <c r="C139" s="465" t="s">
        <v>186</v>
      </c>
      <c r="D139" s="465">
        <v>209</v>
      </c>
      <c r="E139" s="465"/>
      <c r="F139" s="465" t="s">
        <v>190</v>
      </c>
      <c r="G139" s="466">
        <v>100</v>
      </c>
      <c r="H139" s="444"/>
    </row>
    <row r="140" spans="1:8">
      <c r="A140" s="464" t="s">
        <v>189</v>
      </c>
      <c r="B140" s="3"/>
      <c r="C140" s="3"/>
      <c r="D140" s="3"/>
      <c r="E140" s="3"/>
      <c r="F140" s="3"/>
      <c r="G140" s="467">
        <f>SUM(G138:G139)</f>
        <v>150</v>
      </c>
      <c r="H140" s="444"/>
    </row>
    <row r="141" spans="1:8">
      <c r="A141" s="464" t="s">
        <v>593</v>
      </c>
      <c r="B141" s="3"/>
      <c r="C141" s="3"/>
      <c r="D141" s="3"/>
      <c r="E141" s="3"/>
      <c r="F141" s="3"/>
      <c r="G141" s="3"/>
      <c r="H141" s="444"/>
    </row>
    <row r="142" spans="1:8">
      <c r="A142" s="464" t="s">
        <v>592</v>
      </c>
      <c r="B142" s="3"/>
      <c r="C142" s="3"/>
      <c r="D142" s="3"/>
      <c r="E142" s="3"/>
      <c r="F142" s="3"/>
      <c r="G142" s="3"/>
      <c r="H142" s="444"/>
    </row>
    <row r="143" spans="1:8">
      <c r="A143" s="3"/>
      <c r="B143" s="465" t="s">
        <v>710</v>
      </c>
      <c r="C143" s="465" t="s">
        <v>186</v>
      </c>
      <c r="D143" s="465">
        <v>210</v>
      </c>
      <c r="E143" s="465"/>
      <c r="F143" s="465" t="s">
        <v>591</v>
      </c>
      <c r="G143" s="466">
        <v>62</v>
      </c>
      <c r="H143" s="444"/>
    </row>
    <row r="144" spans="1:8">
      <c r="A144" s="3"/>
      <c r="B144" s="465" t="s">
        <v>710</v>
      </c>
      <c r="C144" s="465" t="s">
        <v>186</v>
      </c>
      <c r="D144" s="465">
        <v>210</v>
      </c>
      <c r="E144" s="465"/>
      <c r="F144" s="465" t="s">
        <v>591</v>
      </c>
      <c r="G144" s="466">
        <v>123</v>
      </c>
      <c r="H144" s="206"/>
    </row>
    <row r="145" spans="1:8">
      <c r="A145" s="464" t="s">
        <v>590</v>
      </c>
      <c r="B145" s="3"/>
      <c r="C145" s="3"/>
      <c r="D145" s="3"/>
      <c r="E145" s="3"/>
      <c r="F145" s="3"/>
      <c r="G145" s="467">
        <f>SUM(G143:G144)</f>
        <v>185</v>
      </c>
      <c r="H145" s="206"/>
    </row>
    <row r="146" spans="1:8">
      <c r="B146" s="3"/>
      <c r="C146" s="3"/>
      <c r="D146" s="3"/>
      <c r="E146" s="3"/>
      <c r="F146" s="3"/>
      <c r="G146" s="467"/>
      <c r="H146" s="206"/>
    </row>
    <row r="147" spans="1:8" s="474" customFormat="1" ht="11.5">
      <c r="A147" s="474" t="s">
        <v>343</v>
      </c>
      <c r="G147" s="288">
        <f>+G135+G140+G145</f>
        <v>512</v>
      </c>
      <c r="H147" s="444"/>
    </row>
    <row r="148" spans="1:8" s="477" customFormat="1" ht="11.5">
      <c r="A148" s="476"/>
      <c r="G148" s="479"/>
      <c r="H148" s="444"/>
    </row>
    <row r="149" spans="1:8" s="478" customFormat="1" ht="15.75" customHeight="1" thickBot="1">
      <c r="A149" s="474" t="s">
        <v>353</v>
      </c>
      <c r="G149" s="287">
        <f>+G147+G130</f>
        <v>1160</v>
      </c>
      <c r="H149" s="444"/>
    </row>
    <row r="150" spans="1:8" ht="15" thickTop="1">
      <c r="B150" s="3"/>
      <c r="C150" s="3"/>
      <c r="D150" s="3"/>
      <c r="E150" s="3"/>
      <c r="F150" s="3"/>
      <c r="G150" s="469"/>
      <c r="H150" s="444"/>
    </row>
    <row r="151" spans="1:8">
      <c r="A151" s="474" t="s">
        <v>507</v>
      </c>
      <c r="B151" s="3"/>
      <c r="C151" s="3"/>
      <c r="D151" s="3"/>
      <c r="E151" s="3"/>
      <c r="F151" s="3"/>
      <c r="G151" s="3"/>
      <c r="H151" s="444"/>
    </row>
    <row r="152" spans="1:8">
      <c r="A152" s="464" t="s">
        <v>193</v>
      </c>
      <c r="B152" s="3"/>
      <c r="C152" s="3"/>
      <c r="D152" s="3"/>
      <c r="E152" s="3"/>
      <c r="F152" s="3"/>
      <c r="G152" s="3"/>
      <c r="H152" s="444"/>
    </row>
    <row r="153" spans="1:8">
      <c r="A153" s="3"/>
      <c r="B153" s="465" t="s">
        <v>729</v>
      </c>
      <c r="C153" s="465" t="s">
        <v>186</v>
      </c>
      <c r="D153" s="465">
        <v>211</v>
      </c>
      <c r="E153" s="465"/>
      <c r="F153" s="465" t="s">
        <v>192</v>
      </c>
      <c r="G153" s="466">
        <v>75</v>
      </c>
      <c r="H153" s="444"/>
    </row>
    <row r="154" spans="1:8">
      <c r="A154" s="3"/>
      <c r="B154" s="465" t="s">
        <v>729</v>
      </c>
      <c r="C154" s="465" t="s">
        <v>186</v>
      </c>
      <c r="D154" s="465">
        <v>211</v>
      </c>
      <c r="E154" s="465"/>
      <c r="F154" s="465" t="s">
        <v>192</v>
      </c>
      <c r="G154" s="466">
        <v>149</v>
      </c>
      <c r="H154" s="444"/>
    </row>
    <row r="155" spans="1:8">
      <c r="A155" s="481" t="s">
        <v>467</v>
      </c>
      <c r="B155" s="3"/>
      <c r="C155" s="3"/>
      <c r="D155" s="3"/>
      <c r="E155" s="3"/>
      <c r="F155" s="3"/>
      <c r="G155" s="467">
        <f>SUM(G153:G154)</f>
        <v>224</v>
      </c>
      <c r="H155" s="444"/>
    </row>
    <row r="156" spans="1:8">
      <c r="A156" s="464"/>
      <c r="B156" s="3"/>
      <c r="C156" s="3"/>
      <c r="D156" s="3"/>
      <c r="E156" s="3"/>
      <c r="F156" s="3"/>
      <c r="G156" s="467"/>
      <c r="H156" s="444"/>
    </row>
    <row r="157" spans="1:8">
      <c r="A157" s="474" t="s">
        <v>334</v>
      </c>
      <c r="B157" s="3"/>
      <c r="C157" s="3"/>
      <c r="D157" s="3"/>
      <c r="E157" s="3"/>
      <c r="F157" s="3"/>
      <c r="G157" s="469"/>
      <c r="H157" s="444"/>
    </row>
    <row r="158" spans="1:8">
      <c r="A158" s="464" t="s">
        <v>217</v>
      </c>
      <c r="B158" s="3"/>
      <c r="C158" s="3"/>
      <c r="D158" s="3"/>
      <c r="E158" s="3"/>
      <c r="F158" s="3"/>
      <c r="G158" s="3"/>
      <c r="H158" s="305"/>
    </row>
    <row r="159" spans="1:8">
      <c r="A159" s="464" t="s">
        <v>407</v>
      </c>
      <c r="B159" s="3"/>
      <c r="C159" s="3"/>
      <c r="D159" s="3"/>
      <c r="E159" s="3"/>
      <c r="F159" s="3"/>
      <c r="G159" s="3"/>
      <c r="H159" s="305"/>
    </row>
    <row r="160" spans="1:8">
      <c r="A160" s="3"/>
      <c r="B160" s="465" t="s">
        <v>729</v>
      </c>
      <c r="C160" s="465" t="s">
        <v>186</v>
      </c>
      <c r="D160" s="465">
        <v>194</v>
      </c>
      <c r="E160" s="465"/>
      <c r="F160" s="465" t="s">
        <v>216</v>
      </c>
      <c r="G160" s="466">
        <f>334</f>
        <v>334</v>
      </c>
      <c r="H160" s="305"/>
    </row>
    <row r="161" spans="1:8">
      <c r="A161" s="464" t="s">
        <v>476</v>
      </c>
      <c r="B161" s="3"/>
      <c r="C161" s="3"/>
      <c r="D161" s="3"/>
      <c r="E161" s="3"/>
      <c r="F161" s="3"/>
      <c r="G161" s="467">
        <f>SUM(G160)</f>
        <v>334</v>
      </c>
      <c r="H161" s="305"/>
    </row>
    <row r="162" spans="1:8" s="3" customFormat="1">
      <c r="A162" s="386" t="s">
        <v>534</v>
      </c>
    </row>
    <row r="163" spans="1:8" s="3" customFormat="1">
      <c r="B163" s="385" t="s">
        <v>729</v>
      </c>
      <c r="C163" s="385" t="s">
        <v>533</v>
      </c>
      <c r="D163" s="385" t="s">
        <v>746</v>
      </c>
      <c r="E163" s="385" t="s">
        <v>531</v>
      </c>
      <c r="F163" s="385" t="s">
        <v>747</v>
      </c>
      <c r="G163" s="484">
        <v>108</v>
      </c>
      <c r="H163" s="444" t="s">
        <v>561</v>
      </c>
    </row>
    <row r="164" spans="1:8" s="3" customFormat="1">
      <c r="A164" s="386" t="s">
        <v>529</v>
      </c>
      <c r="G164" s="485">
        <v>108</v>
      </c>
    </row>
    <row r="165" spans="1:8">
      <c r="A165" s="464" t="s">
        <v>203</v>
      </c>
      <c r="B165" s="3"/>
      <c r="C165" s="3"/>
      <c r="D165" s="3"/>
      <c r="E165" s="3"/>
      <c r="F165" s="3"/>
      <c r="G165" s="3"/>
      <c r="H165" s="444"/>
    </row>
    <row r="166" spans="1:8">
      <c r="A166" s="3"/>
      <c r="B166" s="465" t="s">
        <v>729</v>
      </c>
      <c r="C166" s="465" t="s">
        <v>186</v>
      </c>
      <c r="D166" s="465">
        <v>200</v>
      </c>
      <c r="E166" s="465"/>
      <c r="F166" s="465" t="s">
        <v>202</v>
      </c>
      <c r="G166" s="466">
        <v>35</v>
      </c>
      <c r="H166" s="444"/>
    </row>
    <row r="167" spans="1:8">
      <c r="A167" s="464" t="s">
        <v>201</v>
      </c>
      <c r="B167" s="3"/>
      <c r="C167" s="3"/>
      <c r="D167" s="3"/>
      <c r="E167" s="3"/>
      <c r="F167" s="3"/>
      <c r="G167" s="467">
        <f>SUM(G166)</f>
        <v>35</v>
      </c>
      <c r="H167" s="444"/>
    </row>
    <row r="168" spans="1:8">
      <c r="A168" s="464"/>
      <c r="B168" s="3"/>
      <c r="C168" s="3"/>
      <c r="D168" s="3"/>
      <c r="E168" s="3"/>
      <c r="F168" s="3"/>
      <c r="G168" s="469"/>
      <c r="H168" s="444"/>
    </row>
    <row r="169" spans="1:8" ht="15" thickBot="1">
      <c r="A169" s="276" t="s">
        <v>335</v>
      </c>
      <c r="B169" s="3"/>
      <c r="C169" s="3"/>
      <c r="D169" s="3"/>
      <c r="E169" s="3"/>
      <c r="F169" s="3"/>
      <c r="G169" s="287">
        <f>+G161+G164+G167</f>
        <v>477</v>
      </c>
      <c r="H169" s="444"/>
    </row>
    <row r="170" spans="1:8" ht="15" thickTop="1">
      <c r="B170" s="3"/>
      <c r="C170" s="3"/>
      <c r="D170" s="3"/>
      <c r="E170" s="3"/>
      <c r="F170" s="3"/>
      <c r="G170" s="469"/>
      <c r="H170" s="444"/>
    </row>
    <row r="171" spans="1:8">
      <c r="A171" s="480" t="s">
        <v>338</v>
      </c>
      <c r="B171" s="3"/>
      <c r="C171" s="3"/>
      <c r="D171" s="3"/>
      <c r="E171" s="3"/>
      <c r="F171" s="3"/>
      <c r="G171" s="3"/>
      <c r="H171" s="444"/>
    </row>
    <row r="172" spans="1:8">
      <c r="A172" s="464" t="s">
        <v>209</v>
      </c>
      <c r="B172" s="3"/>
      <c r="C172" s="3"/>
      <c r="D172" s="3"/>
      <c r="E172" s="3"/>
      <c r="F172" s="3"/>
      <c r="G172" s="3"/>
      <c r="H172" s="444"/>
    </row>
    <row r="173" spans="1:8">
      <c r="A173" s="3"/>
      <c r="B173" s="465" t="s">
        <v>712</v>
      </c>
      <c r="C173" s="465" t="s">
        <v>174</v>
      </c>
      <c r="D173" s="465" t="s">
        <v>713</v>
      </c>
      <c r="E173" s="465" t="s">
        <v>433</v>
      </c>
      <c r="F173" s="465" t="s">
        <v>541</v>
      </c>
      <c r="G173" s="466">
        <v>135.02000000000001</v>
      </c>
      <c r="H173" s="444">
        <v>12931</v>
      </c>
    </row>
    <row r="174" spans="1:8">
      <c r="A174" s="464" t="s">
        <v>207</v>
      </c>
      <c r="B174" s="3"/>
      <c r="C174" s="3"/>
      <c r="D174" s="3"/>
      <c r="E174" s="3"/>
      <c r="F174" s="3"/>
      <c r="G174" s="467">
        <f>SUM(G173)</f>
        <v>135.02000000000001</v>
      </c>
      <c r="H174" s="206"/>
    </row>
    <row r="175" spans="1:8">
      <c r="A175" s="464" t="s">
        <v>540</v>
      </c>
      <c r="B175" s="3"/>
      <c r="C175" s="3"/>
      <c r="D175" s="3"/>
      <c r="E175" s="3"/>
      <c r="F175" s="3"/>
      <c r="G175" s="3"/>
      <c r="H175" s="444"/>
    </row>
    <row r="176" spans="1:8">
      <c r="A176" s="3"/>
      <c r="B176" s="465" t="s">
        <v>712</v>
      </c>
      <c r="C176" s="465" t="s">
        <v>533</v>
      </c>
      <c r="D176" s="465"/>
      <c r="E176" s="465" t="s">
        <v>537</v>
      </c>
      <c r="F176" s="465" t="s">
        <v>709</v>
      </c>
      <c r="G176" s="466">
        <v>16.95</v>
      </c>
      <c r="H176" s="444" t="s">
        <v>282</v>
      </c>
    </row>
    <row r="177" spans="1:8">
      <c r="A177" s="3"/>
      <c r="B177" s="465" t="s">
        <v>711</v>
      </c>
      <c r="C177" s="465" t="s">
        <v>533</v>
      </c>
      <c r="D177" s="465"/>
      <c r="E177" s="465" t="s">
        <v>537</v>
      </c>
      <c r="F177" s="465" t="s">
        <v>709</v>
      </c>
      <c r="G177" s="466">
        <v>16.95</v>
      </c>
      <c r="H177" s="444" t="s">
        <v>282</v>
      </c>
    </row>
    <row r="178" spans="1:8">
      <c r="A178" s="3"/>
      <c r="B178" s="465" t="s">
        <v>710</v>
      </c>
      <c r="C178" s="465" t="s">
        <v>533</v>
      </c>
      <c r="D178" s="465"/>
      <c r="E178" s="465" t="s">
        <v>537</v>
      </c>
      <c r="F178" s="465" t="s">
        <v>709</v>
      </c>
      <c r="G178" s="466">
        <v>21.9</v>
      </c>
      <c r="H178" s="444" t="s">
        <v>282</v>
      </c>
    </row>
    <row r="179" spans="1:8">
      <c r="A179" s="464" t="s">
        <v>535</v>
      </c>
      <c r="B179" s="3"/>
      <c r="C179" s="3"/>
      <c r="D179" s="3"/>
      <c r="E179" s="3"/>
      <c r="F179" s="3"/>
      <c r="G179" s="467">
        <f>SUM(G176:G178)</f>
        <v>55.8</v>
      </c>
      <c r="H179" s="444"/>
    </row>
    <row r="180" spans="1:8">
      <c r="A180" s="464" t="s">
        <v>206</v>
      </c>
      <c r="B180" s="3"/>
      <c r="C180" s="3"/>
      <c r="D180" s="3"/>
      <c r="E180" s="3"/>
      <c r="F180" s="3"/>
      <c r="G180" s="3"/>
      <c r="H180" s="444"/>
    </row>
    <row r="181" spans="1:8">
      <c r="A181" s="3"/>
      <c r="B181" s="465" t="s">
        <v>729</v>
      </c>
      <c r="C181" s="465" t="s">
        <v>186</v>
      </c>
      <c r="D181" s="465">
        <v>197</v>
      </c>
      <c r="E181" s="465"/>
      <c r="F181" s="465" t="s">
        <v>205</v>
      </c>
      <c r="G181" s="466">
        <v>117</v>
      </c>
      <c r="H181" s="444"/>
    </row>
    <row r="182" spans="1:8">
      <c r="A182" s="464" t="s">
        <v>204</v>
      </c>
      <c r="B182" s="3"/>
      <c r="C182" s="3"/>
      <c r="D182" s="3"/>
      <c r="E182" s="3"/>
      <c r="F182" s="3"/>
      <c r="G182" s="467">
        <f>SUM(G181)</f>
        <v>117</v>
      </c>
      <c r="H182" s="444"/>
    </row>
    <row r="183" spans="1:8">
      <c r="A183" s="464"/>
      <c r="B183" s="3"/>
      <c r="C183" s="3"/>
      <c r="D183" s="3"/>
      <c r="E183" s="3"/>
      <c r="F183" s="3"/>
      <c r="G183" s="467"/>
      <c r="H183" s="444"/>
    </row>
    <row r="184" spans="1:8" ht="15" thickBot="1">
      <c r="A184" s="481" t="s">
        <v>623</v>
      </c>
      <c r="B184" s="3"/>
      <c r="C184" s="3"/>
      <c r="D184" s="3"/>
      <c r="E184" s="3"/>
      <c r="F184" s="3"/>
      <c r="G184" s="287">
        <f>+G174+G179+G182</f>
        <v>307.82</v>
      </c>
      <c r="H184" s="444"/>
    </row>
    <row r="185" spans="1:8" ht="15" thickTop="1">
      <c r="A185" s="464"/>
      <c r="B185" s="3"/>
      <c r="C185" s="3"/>
      <c r="D185" s="3"/>
      <c r="E185" s="3"/>
      <c r="F185" s="3"/>
      <c r="G185" s="469"/>
      <c r="H185" s="444"/>
    </row>
    <row r="186" spans="1:8">
      <c r="A186" s="464"/>
      <c r="B186" s="3"/>
      <c r="C186" s="3"/>
      <c r="D186" s="3"/>
      <c r="E186" s="3"/>
      <c r="F186" s="3"/>
      <c r="G186" s="469"/>
      <c r="H186" s="444"/>
    </row>
    <row r="187" spans="1:8">
      <c r="A187" s="475" t="s">
        <v>188</v>
      </c>
      <c r="B187" s="3"/>
      <c r="C187" s="3"/>
      <c r="D187" s="3"/>
      <c r="E187" s="3"/>
      <c r="F187" s="3"/>
      <c r="G187" s="3"/>
      <c r="H187" s="444"/>
    </row>
    <row r="188" spans="1:8">
      <c r="A188" s="464" t="s">
        <v>382</v>
      </c>
      <c r="B188" s="3"/>
      <c r="C188" s="3"/>
      <c r="D188" s="3"/>
      <c r="E188" s="3"/>
      <c r="F188" s="3"/>
      <c r="G188" s="3"/>
      <c r="H188" s="444"/>
    </row>
    <row r="189" spans="1:8">
      <c r="A189" s="464" t="s">
        <v>381</v>
      </c>
      <c r="B189" s="3"/>
      <c r="C189" s="3"/>
      <c r="D189" s="3"/>
      <c r="E189" s="3"/>
      <c r="F189" s="3"/>
      <c r="G189" s="3"/>
      <c r="H189" s="206"/>
    </row>
    <row r="190" spans="1:8">
      <c r="A190" s="3"/>
      <c r="B190" s="465" t="s">
        <v>729</v>
      </c>
      <c r="C190" s="465" t="s">
        <v>186</v>
      </c>
      <c r="D190" s="465">
        <v>206</v>
      </c>
      <c r="E190" s="465"/>
      <c r="F190" s="465" t="s">
        <v>185</v>
      </c>
      <c r="G190" s="466">
        <v>145</v>
      </c>
      <c r="H190" s="444"/>
    </row>
    <row r="191" spans="1:8">
      <c r="A191" s="3"/>
      <c r="B191" s="465" t="s">
        <v>729</v>
      </c>
      <c r="C191" s="465" t="s">
        <v>186</v>
      </c>
      <c r="D191" s="465">
        <v>206</v>
      </c>
      <c r="E191" s="465"/>
      <c r="F191" s="465" t="s">
        <v>185</v>
      </c>
      <c r="G191" s="466">
        <v>290.88</v>
      </c>
      <c r="H191" s="444"/>
    </row>
    <row r="192" spans="1:8">
      <c r="A192" s="475" t="s">
        <v>588</v>
      </c>
      <c r="B192" s="3"/>
      <c r="C192" s="3"/>
      <c r="D192" s="3"/>
      <c r="E192" s="3"/>
      <c r="F192" s="3"/>
      <c r="G192" s="470">
        <f>SUM(G190:G191)</f>
        <v>435.88</v>
      </c>
      <c r="H192" s="444"/>
    </row>
    <row r="193" spans="1:8">
      <c r="A193" s="464"/>
      <c r="B193" s="3"/>
      <c r="C193" s="3"/>
      <c r="D193" s="3"/>
      <c r="E193" s="3"/>
      <c r="F193" s="3"/>
      <c r="G193" s="467"/>
      <c r="H193" s="444"/>
    </row>
    <row r="194" spans="1:8" s="269" customFormat="1">
      <c r="A194" s="443"/>
      <c r="G194" s="362"/>
      <c r="H194" s="444"/>
    </row>
    <row r="195" spans="1:8">
      <c r="A195" s="351" t="s">
        <v>349</v>
      </c>
      <c r="G195" s="359"/>
      <c r="H195" s="206"/>
    </row>
    <row r="196" spans="1:8">
      <c r="B196" s="482" t="s">
        <v>729</v>
      </c>
      <c r="C196" s="305" t="s">
        <v>186</v>
      </c>
      <c r="D196" s="305">
        <v>227</v>
      </c>
      <c r="E196" s="305"/>
      <c r="F196" s="305" t="s">
        <v>743</v>
      </c>
      <c r="G196" s="371">
        <v>26606.29</v>
      </c>
      <c r="H196" s="206"/>
    </row>
    <row r="197" spans="1:8" ht="15" thickBot="1">
      <c r="A197" s="351" t="s">
        <v>346</v>
      </c>
      <c r="G197" s="457">
        <f>SUM(G196)</f>
        <v>26606.29</v>
      </c>
      <c r="H197" s="206"/>
    </row>
    <row r="198" spans="1:8" s="407" customFormat="1" ht="15" customHeight="1" thickTop="1">
      <c r="A198" s="410"/>
      <c r="G198" s="455"/>
      <c r="H198" s="419"/>
    </row>
    <row r="199" spans="1:8">
      <c r="A199" s="464"/>
      <c r="B199" s="3"/>
      <c r="C199" s="3"/>
      <c r="D199" s="3"/>
      <c r="E199" s="3"/>
      <c r="F199" s="3"/>
      <c r="G199" s="469"/>
      <c r="H199" s="444"/>
    </row>
    <row r="200" spans="1:8">
      <c r="A200" s="464"/>
      <c r="B200" s="3"/>
      <c r="C200" s="3"/>
      <c r="D200" s="3"/>
      <c r="E200" s="3"/>
      <c r="F200" s="3"/>
      <c r="G200" s="469"/>
      <c r="H200" s="444"/>
    </row>
    <row r="201" spans="1:8">
      <c r="A201" s="464"/>
      <c r="B201" s="3"/>
      <c r="C201" s="3"/>
      <c r="D201" s="3"/>
      <c r="E201" s="3"/>
      <c r="F201" s="3"/>
      <c r="G201" s="469"/>
      <c r="H201" s="444"/>
    </row>
    <row r="202" spans="1:8">
      <c r="A202" s="603" t="s">
        <v>741</v>
      </c>
      <c r="B202" s="603"/>
      <c r="C202" s="603"/>
      <c r="D202" s="603"/>
      <c r="E202" s="603"/>
      <c r="F202" s="603"/>
      <c r="G202" s="603"/>
      <c r="H202" s="603"/>
    </row>
    <row r="203" spans="1:8">
      <c r="A203" s="468"/>
      <c r="B203" s="468"/>
      <c r="C203" s="468"/>
      <c r="D203" s="468"/>
      <c r="E203" s="468"/>
      <c r="F203" s="468"/>
      <c r="G203" s="468"/>
      <c r="H203" s="468"/>
    </row>
    <row r="204" spans="1:8">
      <c r="A204" s="468"/>
      <c r="B204" s="468"/>
      <c r="C204" s="468"/>
      <c r="D204" s="468"/>
      <c r="E204" s="468"/>
      <c r="F204" s="468"/>
      <c r="G204" s="468"/>
      <c r="H204" s="468"/>
    </row>
    <row r="205" spans="1:8">
      <c r="A205" s="468"/>
      <c r="B205" s="468"/>
      <c r="C205" s="468"/>
      <c r="D205" s="468"/>
      <c r="E205" s="468"/>
      <c r="F205" s="468"/>
      <c r="G205" s="468"/>
      <c r="H205" s="468"/>
    </row>
    <row r="206" spans="1:8">
      <c r="A206" s="468"/>
      <c r="B206" s="468"/>
      <c r="C206" s="468"/>
      <c r="D206" s="468"/>
      <c r="E206" s="468"/>
      <c r="F206" s="468"/>
      <c r="G206" s="468"/>
      <c r="H206" s="468"/>
    </row>
    <row r="207" spans="1:8">
      <c r="A207" s="468"/>
      <c r="B207" s="468"/>
      <c r="C207" s="468"/>
      <c r="D207" s="468"/>
      <c r="E207" s="468"/>
      <c r="F207" s="468"/>
      <c r="G207" s="468"/>
      <c r="H207" s="468"/>
    </row>
    <row r="208" spans="1:8">
      <c r="A208" s="468"/>
      <c r="B208" s="468"/>
      <c r="C208" s="468"/>
      <c r="D208" s="468"/>
      <c r="E208" s="468"/>
      <c r="F208" s="468"/>
      <c r="G208" s="468"/>
      <c r="H208" s="468"/>
    </row>
    <row r="209" spans="1:8">
      <c r="A209" s="483"/>
      <c r="B209" s="483"/>
      <c r="C209" s="483"/>
      <c r="D209" s="483"/>
      <c r="E209" s="483"/>
      <c r="F209" s="483"/>
      <c r="G209" s="483"/>
      <c r="H209" s="483"/>
    </row>
    <row r="210" spans="1:8">
      <c r="A210" s="483"/>
      <c r="B210" s="483"/>
      <c r="C210" s="483"/>
      <c r="D210" s="483"/>
      <c r="E210" s="483"/>
      <c r="F210" s="483"/>
      <c r="G210" s="483"/>
      <c r="H210" s="483"/>
    </row>
    <row r="211" spans="1:8">
      <c r="A211" s="483"/>
      <c r="B211" s="483"/>
      <c r="C211" s="483"/>
      <c r="D211" s="483"/>
      <c r="E211" s="483"/>
      <c r="F211" s="483"/>
      <c r="G211" s="483"/>
      <c r="H211" s="483"/>
    </row>
    <row r="212" spans="1:8">
      <c r="A212" s="483"/>
      <c r="B212" s="483"/>
      <c r="C212" s="483"/>
      <c r="D212" s="483"/>
      <c r="E212" s="483"/>
      <c r="F212" s="483"/>
      <c r="G212" s="483"/>
      <c r="H212" s="483"/>
    </row>
    <row r="213" spans="1:8">
      <c r="A213" s="483"/>
      <c r="B213" s="483"/>
      <c r="C213" s="483"/>
      <c r="D213" s="483"/>
      <c r="E213" s="483"/>
      <c r="F213" s="483"/>
      <c r="G213" s="483"/>
      <c r="H213" s="483"/>
    </row>
    <row r="214" spans="1:8">
      <c r="A214" s="483"/>
      <c r="B214" s="483"/>
      <c r="C214" s="483"/>
      <c r="D214" s="483"/>
      <c r="E214" s="483"/>
      <c r="F214" s="483"/>
      <c r="G214" s="483"/>
      <c r="H214" s="483"/>
    </row>
    <row r="215" spans="1:8">
      <c r="A215" s="483"/>
      <c r="B215" s="483"/>
      <c r="C215" s="483"/>
      <c r="D215" s="483"/>
      <c r="E215" s="483"/>
      <c r="F215" s="483"/>
      <c r="G215" s="483"/>
      <c r="H215" s="483"/>
    </row>
    <row r="216" spans="1:8">
      <c r="A216" s="483"/>
      <c r="B216" s="483"/>
      <c r="C216" s="483"/>
      <c r="D216" s="483"/>
      <c r="E216" s="483"/>
      <c r="F216" s="483"/>
      <c r="G216" s="483"/>
      <c r="H216" s="483"/>
    </row>
    <row r="217" spans="1:8">
      <c r="A217" s="468"/>
      <c r="B217" s="468"/>
      <c r="C217" s="468"/>
      <c r="D217" s="468"/>
      <c r="E217" s="468"/>
      <c r="F217" s="468"/>
      <c r="G217" s="468"/>
      <c r="H217" s="468"/>
    </row>
    <row r="218" spans="1:8">
      <c r="A218" s="468"/>
      <c r="B218" s="468"/>
      <c r="C218" s="468"/>
      <c r="D218" s="468"/>
      <c r="E218" s="468"/>
      <c r="F218" s="468"/>
      <c r="G218" s="468"/>
      <c r="H218" s="468"/>
    </row>
    <row r="219" spans="1:8">
      <c r="A219" s="468"/>
      <c r="B219" s="468"/>
      <c r="C219" s="468"/>
      <c r="D219" s="468"/>
      <c r="E219" s="468"/>
      <c r="F219" s="468"/>
      <c r="G219" s="468"/>
      <c r="H219" s="468"/>
    </row>
    <row r="220" spans="1:8">
      <c r="A220" s="468"/>
      <c r="B220" s="468"/>
      <c r="C220" s="468"/>
      <c r="D220" s="468"/>
      <c r="E220" s="468"/>
      <c r="F220" s="468"/>
      <c r="G220" s="468"/>
      <c r="H220" s="468"/>
    </row>
    <row r="221" spans="1:8">
      <c r="H221" s="444"/>
    </row>
    <row r="222" spans="1:8">
      <c r="H222" s="444"/>
    </row>
    <row r="223" spans="1:8">
      <c r="H223" s="444"/>
    </row>
    <row r="224" spans="1:8">
      <c r="H224" s="444"/>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206"/>
    </row>
    <row r="236" spans="8:8">
      <c r="H236" s="206"/>
    </row>
    <row r="237" spans="8:8">
      <c r="H237" s="206"/>
    </row>
    <row r="238" spans="8:8">
      <c r="H238" s="419"/>
    </row>
  </sheetData>
  <sortState ref="A93:H98">
    <sortCondition ref="E93:E98"/>
    <sortCondition ref="H93:H98"/>
  </sortState>
  <mergeCells count="4">
    <mergeCell ref="A1:H1"/>
    <mergeCell ref="A2:H2"/>
    <mergeCell ref="A3:H3"/>
    <mergeCell ref="A202:H202"/>
  </mergeCells>
  <printOptions horizontalCentered="1" headings="1" gridLines="1"/>
  <pageMargins left="0.27" right="0.27" top="0.45" bottom="0.45" header="8.5300000000000001E-2" footer="8.5300000000000001E-2"/>
  <pageSetup scale="85" orientation="landscape" r:id="rId1"/>
  <headerFooter>
    <oddFooter>&amp;L&amp;8Page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R345"/>
  <sheetViews>
    <sheetView topLeftCell="A323" workbookViewId="0">
      <selection activeCell="H342" sqref="H342"/>
    </sheetView>
  </sheetViews>
  <sheetFormatPr defaultRowHeight="14.5"/>
  <cols>
    <col min="1" max="1" width="49.1796875" bestFit="1" customWidth="1"/>
    <col min="2" max="2" width="10.7265625" style="137"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72</v>
      </c>
      <c r="B1" s="129"/>
      <c r="C1" s="129"/>
      <c r="D1" s="215" t="s">
        <v>70</v>
      </c>
      <c r="E1" s="607" t="s">
        <v>448</v>
      </c>
      <c r="F1" s="607"/>
      <c r="G1" s="607"/>
      <c r="H1" s="607"/>
      <c r="I1" s="607"/>
      <c r="J1" s="607"/>
      <c r="K1" s="607"/>
      <c r="L1" s="607"/>
      <c r="M1" s="219"/>
    </row>
    <row r="2" spans="1:17" s="5" customFormat="1" ht="21">
      <c r="A2" s="604" t="str">
        <f>'Jul-2019'!A2</f>
        <v>Urban League of Essex County</v>
      </c>
      <c r="B2" s="605"/>
      <c r="C2" s="606"/>
      <c r="D2" s="215" t="s">
        <v>71</v>
      </c>
      <c r="E2" s="607">
        <v>2019</v>
      </c>
      <c r="F2" s="607"/>
      <c r="G2" s="607"/>
      <c r="H2" s="607"/>
      <c r="I2" s="607"/>
      <c r="J2" s="607"/>
      <c r="K2" s="607"/>
      <c r="L2" s="607"/>
      <c r="M2" s="219"/>
    </row>
    <row r="4" spans="1:17">
      <c r="A4" s="23" t="s">
        <v>158</v>
      </c>
      <c r="B4" s="130" t="s">
        <v>159</v>
      </c>
      <c r="C4" s="131"/>
      <c r="D4" s="126">
        <v>43658</v>
      </c>
      <c r="E4" s="24"/>
      <c r="F4" s="24"/>
      <c r="G4" s="24"/>
      <c r="H4" s="25"/>
      <c r="I4" s="28"/>
      <c r="J4" s="26"/>
      <c r="K4" s="26"/>
      <c r="L4" s="26"/>
      <c r="M4" s="26"/>
      <c r="N4" s="27"/>
      <c r="O4" s="28"/>
      <c r="P4" s="29"/>
      <c r="Q4" s="30"/>
    </row>
    <row r="5" spans="1:17" ht="43.5">
      <c r="A5" s="53" t="s">
        <v>61</v>
      </c>
      <c r="B5" s="132" t="s">
        <v>68</v>
      </c>
      <c r="C5" s="132" t="s">
        <v>69</v>
      </c>
      <c r="D5" s="54" t="s">
        <v>62</v>
      </c>
      <c r="E5" s="54" t="s">
        <v>63</v>
      </c>
      <c r="F5" s="54" t="s">
        <v>67</v>
      </c>
      <c r="G5" s="54"/>
      <c r="H5" s="55" t="s">
        <v>289</v>
      </c>
      <c r="I5" s="54" t="s">
        <v>288</v>
      </c>
      <c r="J5" s="55" t="s">
        <v>291</v>
      </c>
      <c r="K5" s="55" t="s">
        <v>292</v>
      </c>
      <c r="L5" s="55" t="s">
        <v>283</v>
      </c>
      <c r="M5" s="55" t="s">
        <v>293</v>
      </c>
      <c r="N5" s="54" t="s">
        <v>290</v>
      </c>
      <c r="O5" s="54" t="s">
        <v>64</v>
      </c>
      <c r="P5" s="54" t="s">
        <v>139</v>
      </c>
      <c r="Q5" s="54" t="s">
        <v>65</v>
      </c>
    </row>
    <row r="6" spans="1:17" s="3" customFormat="1">
      <c r="A6" s="125" t="s">
        <v>294</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161</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162</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165</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166</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167</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163</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164</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149</v>
      </c>
      <c r="B14" s="133"/>
      <c r="C14" s="133"/>
      <c r="D14" s="127"/>
      <c r="E14" s="57"/>
      <c r="F14" s="57"/>
      <c r="G14" s="57"/>
      <c r="H14" s="59"/>
      <c r="I14" s="59"/>
      <c r="J14" s="59"/>
      <c r="K14" s="59"/>
      <c r="L14" s="59"/>
      <c r="M14" s="59"/>
      <c r="N14" s="59"/>
      <c r="O14" s="59"/>
      <c r="P14" s="59"/>
      <c r="Q14" s="59">
        <f t="shared" si="0"/>
        <v>0</v>
      </c>
    </row>
    <row r="15" spans="1:17">
      <c r="A15" s="51" t="s">
        <v>66</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160</v>
      </c>
      <c r="B17" s="130" t="s">
        <v>159</v>
      </c>
      <c r="C17" s="131"/>
      <c r="D17" s="126">
        <v>43672</v>
      </c>
      <c r="E17" s="24"/>
      <c r="F17" s="24"/>
      <c r="G17" s="24"/>
      <c r="H17" s="25"/>
      <c r="I17" s="28"/>
      <c r="J17" s="26"/>
      <c r="K17" s="26"/>
      <c r="L17" s="26"/>
      <c r="M17" s="26"/>
      <c r="N17" s="27"/>
      <c r="O17" s="28"/>
      <c r="P17" s="29"/>
      <c r="Q17" s="30"/>
    </row>
    <row r="18" spans="1:18" s="3" customFormat="1" ht="43.5">
      <c r="A18" s="53" t="s">
        <v>61</v>
      </c>
      <c r="B18" s="132" t="s">
        <v>68</v>
      </c>
      <c r="C18" s="132" t="s">
        <v>69</v>
      </c>
      <c r="D18" s="54" t="s">
        <v>62</v>
      </c>
      <c r="E18" s="54" t="s">
        <v>63</v>
      </c>
      <c r="F18" s="54" t="s">
        <v>67</v>
      </c>
      <c r="G18" s="54"/>
      <c r="H18" s="55" t="s">
        <v>289</v>
      </c>
      <c r="I18" s="54" t="s">
        <v>288</v>
      </c>
      <c r="J18" s="55" t="s">
        <v>291</v>
      </c>
      <c r="K18" s="55" t="s">
        <v>292</v>
      </c>
      <c r="L18" s="55" t="s">
        <v>283</v>
      </c>
      <c r="M18" s="55" t="s">
        <v>293</v>
      </c>
      <c r="N18" s="54" t="s">
        <v>290</v>
      </c>
      <c r="O18" s="54" t="s">
        <v>64</v>
      </c>
      <c r="P18" s="54" t="s">
        <v>139</v>
      </c>
      <c r="Q18" s="54" t="s">
        <v>65</v>
      </c>
    </row>
    <row r="19" spans="1:18" s="3" customFormat="1">
      <c r="A19" s="125" t="s">
        <v>294</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161</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162</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165</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166</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167</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163</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164</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149</v>
      </c>
      <c r="B27" s="133"/>
      <c r="C27" s="133"/>
      <c r="D27" s="127"/>
      <c r="E27" s="212"/>
      <c r="F27" s="212"/>
      <c r="G27" s="212"/>
      <c r="H27" s="59"/>
      <c r="I27" s="59"/>
      <c r="J27" s="59"/>
      <c r="K27" s="59"/>
      <c r="L27" s="59"/>
      <c r="M27" s="57"/>
      <c r="N27" s="59"/>
      <c r="O27" s="59"/>
      <c r="P27" s="59"/>
      <c r="Q27" s="59">
        <f t="shared" si="5"/>
        <v>0</v>
      </c>
    </row>
    <row r="28" spans="1:18">
      <c r="A28" s="60" t="s">
        <v>66</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296</v>
      </c>
      <c r="B30" s="131"/>
      <c r="C30" s="131"/>
      <c r="D30" s="22"/>
      <c r="E30" s="24"/>
      <c r="F30" s="24"/>
      <c r="G30" s="24"/>
      <c r="H30" s="25"/>
      <c r="I30" s="28"/>
      <c r="J30" s="26"/>
      <c r="K30" s="26"/>
      <c r="L30" s="26"/>
      <c r="M30" s="26"/>
      <c r="N30" s="27"/>
      <c r="O30" s="28"/>
      <c r="P30" s="29"/>
      <c r="Q30" s="30"/>
    </row>
    <row r="31" spans="1:18" s="3" customFormat="1" ht="43.5">
      <c r="A31" s="53" t="s">
        <v>61</v>
      </c>
      <c r="B31" s="132" t="s">
        <v>68</v>
      </c>
      <c r="C31" s="132" t="s">
        <v>69</v>
      </c>
      <c r="D31" s="54" t="s">
        <v>62</v>
      </c>
      <c r="E31" s="54" t="s">
        <v>63</v>
      </c>
      <c r="F31" s="54" t="s">
        <v>67</v>
      </c>
      <c r="G31" s="54" t="s">
        <v>295</v>
      </c>
      <c r="H31" s="55" t="s">
        <v>289</v>
      </c>
      <c r="I31" s="54" t="s">
        <v>288</v>
      </c>
      <c r="J31" s="55" t="s">
        <v>291</v>
      </c>
      <c r="K31" s="55" t="s">
        <v>292</v>
      </c>
      <c r="L31" s="55" t="s">
        <v>283</v>
      </c>
      <c r="M31" s="55" t="s">
        <v>293</v>
      </c>
      <c r="N31" s="54" t="s">
        <v>290</v>
      </c>
      <c r="O31" s="54" t="s">
        <v>64</v>
      </c>
      <c r="P31" s="54" t="s">
        <v>139</v>
      </c>
      <c r="Q31" s="54" t="s">
        <v>65</v>
      </c>
    </row>
    <row r="32" spans="1:18">
      <c r="A32" s="125" t="s">
        <v>294</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161</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162</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165</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166</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167</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163</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164</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149</v>
      </c>
      <c r="B40" s="136"/>
      <c r="C40" s="136"/>
      <c r="D40" s="128"/>
      <c r="E40" s="57"/>
      <c r="F40" s="57"/>
      <c r="G40" s="57"/>
      <c r="H40" s="57"/>
      <c r="I40" s="57"/>
      <c r="J40" s="57"/>
      <c r="K40" s="57"/>
      <c r="L40" s="57"/>
      <c r="M40" s="57"/>
      <c r="N40" s="59"/>
      <c r="O40" s="57"/>
      <c r="P40" s="57"/>
      <c r="Q40" s="59">
        <f t="shared" si="14"/>
        <v>0</v>
      </c>
      <c r="R40" s="3" t="s">
        <v>24</v>
      </c>
    </row>
    <row r="41" spans="1:18">
      <c r="A41" s="60" t="s">
        <v>323</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360</v>
      </c>
      <c r="B45" s="130" t="s">
        <v>159</v>
      </c>
      <c r="C45" s="131"/>
      <c r="D45" s="126">
        <v>43686</v>
      </c>
      <c r="E45" s="24"/>
      <c r="F45" s="24"/>
      <c r="G45" s="24"/>
      <c r="H45" s="25"/>
      <c r="I45" s="28"/>
      <c r="J45" s="26"/>
      <c r="K45" s="26"/>
      <c r="L45" s="26"/>
      <c r="M45" s="26"/>
      <c r="N45" s="27"/>
      <c r="O45" s="28"/>
      <c r="P45" s="29"/>
      <c r="Q45" s="30"/>
    </row>
    <row r="46" spans="1:18" s="3" customFormat="1" ht="43.5">
      <c r="A46" s="53" t="s">
        <v>61</v>
      </c>
      <c r="B46" s="132" t="s">
        <v>68</v>
      </c>
      <c r="C46" s="132" t="s">
        <v>69</v>
      </c>
      <c r="D46" s="54" t="s">
        <v>62</v>
      </c>
      <c r="E46" s="54" t="s">
        <v>63</v>
      </c>
      <c r="F46" s="54" t="s">
        <v>67</v>
      </c>
      <c r="G46" s="54"/>
      <c r="H46" s="55" t="s">
        <v>289</v>
      </c>
      <c r="I46" s="54" t="s">
        <v>288</v>
      </c>
      <c r="J46" s="55" t="s">
        <v>291</v>
      </c>
      <c r="K46" s="55" t="s">
        <v>292</v>
      </c>
      <c r="L46" s="55" t="s">
        <v>283</v>
      </c>
      <c r="M46" s="55" t="s">
        <v>293</v>
      </c>
      <c r="N46" s="54" t="s">
        <v>290</v>
      </c>
      <c r="O46" s="54" t="s">
        <v>64</v>
      </c>
      <c r="P46" s="54" t="s">
        <v>139</v>
      </c>
      <c r="Q46" s="54" t="s">
        <v>65</v>
      </c>
    </row>
    <row r="47" spans="1:18" s="3" customFormat="1">
      <c r="A47" s="125" t="s">
        <v>294</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161</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162</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165</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166</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167</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163</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164</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363</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66</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361</v>
      </c>
      <c r="B58" s="130" t="s">
        <v>159</v>
      </c>
      <c r="C58" s="131"/>
      <c r="D58" s="126">
        <v>43700</v>
      </c>
      <c r="E58" s="24"/>
      <c r="F58" s="24"/>
      <c r="G58" s="24"/>
      <c r="H58" s="25"/>
      <c r="I58" s="28"/>
      <c r="J58" s="26"/>
      <c r="K58" s="26"/>
      <c r="L58" s="26"/>
      <c r="M58" s="26"/>
      <c r="N58" s="27"/>
      <c r="O58" s="28"/>
      <c r="P58" s="29"/>
      <c r="Q58" s="30"/>
    </row>
    <row r="59" spans="1:17" s="3" customFormat="1" ht="43.5">
      <c r="A59" s="53" t="s">
        <v>61</v>
      </c>
      <c r="B59" s="132" t="s">
        <v>68</v>
      </c>
      <c r="C59" s="132" t="s">
        <v>69</v>
      </c>
      <c r="D59" s="54" t="s">
        <v>62</v>
      </c>
      <c r="E59" s="54" t="s">
        <v>63</v>
      </c>
      <c r="F59" s="54" t="s">
        <v>67</v>
      </c>
      <c r="G59" s="54"/>
      <c r="H59" s="55" t="s">
        <v>289</v>
      </c>
      <c r="I59" s="54" t="s">
        <v>288</v>
      </c>
      <c r="J59" s="55" t="s">
        <v>291</v>
      </c>
      <c r="K59" s="55" t="s">
        <v>292</v>
      </c>
      <c r="L59" s="55" t="s">
        <v>283</v>
      </c>
      <c r="M59" s="55" t="s">
        <v>293</v>
      </c>
      <c r="N59" s="54" t="s">
        <v>290</v>
      </c>
      <c r="O59" s="54" t="s">
        <v>64</v>
      </c>
      <c r="P59" s="54" t="s">
        <v>139</v>
      </c>
      <c r="Q59" s="54" t="s">
        <v>65</v>
      </c>
    </row>
    <row r="60" spans="1:17" s="3" customFormat="1">
      <c r="A60" s="125" t="s">
        <v>294</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161</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162</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165</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166</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167</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163</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164</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363</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66</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362</v>
      </c>
      <c r="B71" s="131"/>
      <c r="C71" s="131"/>
      <c r="D71" s="22"/>
      <c r="E71" s="24"/>
      <c r="F71" s="24"/>
      <c r="G71" s="24"/>
      <c r="H71" s="25"/>
      <c r="I71" s="28"/>
      <c r="J71" s="26"/>
      <c r="K71" s="26"/>
      <c r="L71" s="26"/>
      <c r="M71" s="26"/>
      <c r="N71" s="27"/>
      <c r="O71" s="28"/>
      <c r="P71" s="29"/>
      <c r="Q71" s="30"/>
    </row>
    <row r="72" spans="1:18" s="3" customFormat="1" ht="43.5">
      <c r="A72" s="53" t="s">
        <v>61</v>
      </c>
      <c r="B72" s="132" t="s">
        <v>68</v>
      </c>
      <c r="C72" s="132" t="s">
        <v>69</v>
      </c>
      <c r="D72" s="54" t="s">
        <v>62</v>
      </c>
      <c r="E72" s="54" t="s">
        <v>63</v>
      </c>
      <c r="F72" s="54" t="s">
        <v>67</v>
      </c>
      <c r="G72" s="54" t="s">
        <v>295</v>
      </c>
      <c r="H72" s="55" t="s">
        <v>289</v>
      </c>
      <c r="I72" s="54" t="s">
        <v>288</v>
      </c>
      <c r="J72" s="55" t="s">
        <v>291</v>
      </c>
      <c r="K72" s="55" t="s">
        <v>292</v>
      </c>
      <c r="L72" s="55" t="s">
        <v>283</v>
      </c>
      <c r="M72" s="55" t="s">
        <v>293</v>
      </c>
      <c r="N72" s="54" t="s">
        <v>290</v>
      </c>
      <c r="O72" s="54" t="s">
        <v>64</v>
      </c>
      <c r="P72" s="54" t="s">
        <v>139</v>
      </c>
      <c r="Q72" s="54" t="s">
        <v>65</v>
      </c>
    </row>
    <row r="73" spans="1:18" s="3" customFormat="1">
      <c r="A73" s="125" t="s">
        <v>294</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161</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162</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165</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166</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167</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163</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164</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435</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323</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449</v>
      </c>
      <c r="B85" s="130" t="s">
        <v>159</v>
      </c>
      <c r="C85" s="131"/>
      <c r="D85" s="126">
        <v>43714</v>
      </c>
      <c r="E85" s="24"/>
      <c r="F85" s="24"/>
      <c r="G85" s="24"/>
      <c r="H85" s="25"/>
      <c r="I85" s="28"/>
      <c r="J85" s="26"/>
      <c r="K85" s="26"/>
      <c r="L85" s="26"/>
      <c r="M85" s="26"/>
      <c r="N85" s="27"/>
      <c r="O85" s="28"/>
      <c r="P85" s="29"/>
      <c r="Q85" s="30"/>
    </row>
    <row r="86" spans="1:18" s="3" customFormat="1" ht="43.5">
      <c r="A86" s="53" t="s">
        <v>61</v>
      </c>
      <c r="B86" s="132" t="s">
        <v>68</v>
      </c>
      <c r="C86" s="132" t="s">
        <v>69</v>
      </c>
      <c r="D86" s="54" t="s">
        <v>62</v>
      </c>
      <c r="E86" s="54" t="s">
        <v>63</v>
      </c>
      <c r="F86" s="54" t="s">
        <v>67</v>
      </c>
      <c r="G86" s="54"/>
      <c r="H86" s="55" t="s">
        <v>289</v>
      </c>
      <c r="I86" s="54" t="s">
        <v>288</v>
      </c>
      <c r="J86" s="55" t="s">
        <v>291</v>
      </c>
      <c r="K86" s="55" t="s">
        <v>292</v>
      </c>
      <c r="L86" s="55" t="s">
        <v>283</v>
      </c>
      <c r="M86" s="55" t="s">
        <v>293</v>
      </c>
      <c r="N86" s="54" t="s">
        <v>290</v>
      </c>
      <c r="O86" s="54" t="s">
        <v>64</v>
      </c>
      <c r="P86" s="54" t="s">
        <v>139</v>
      </c>
      <c r="Q86" s="54" t="s">
        <v>65</v>
      </c>
    </row>
    <row r="87" spans="1:18" s="3" customFormat="1">
      <c r="A87" s="125" t="s">
        <v>294</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161</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162</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165</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166</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167</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163</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164</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363</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66</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450</v>
      </c>
      <c r="B98" s="130" t="s">
        <v>159</v>
      </c>
      <c r="C98" s="131"/>
      <c r="D98" s="378">
        <v>43728</v>
      </c>
      <c r="E98" s="24"/>
      <c r="F98" s="24"/>
      <c r="G98" s="24"/>
      <c r="H98" s="25"/>
      <c r="I98" s="28"/>
      <c r="J98" s="26"/>
      <c r="K98" s="26"/>
      <c r="L98" s="26"/>
      <c r="M98" s="26"/>
      <c r="N98" s="27"/>
      <c r="O98" s="28"/>
      <c r="P98" s="29"/>
      <c r="Q98" s="30"/>
    </row>
    <row r="99" spans="1:17" s="3" customFormat="1" ht="43.5">
      <c r="A99" s="53" t="s">
        <v>61</v>
      </c>
      <c r="B99" s="132" t="s">
        <v>68</v>
      </c>
      <c r="C99" s="132" t="s">
        <v>69</v>
      </c>
      <c r="D99" s="379" t="s">
        <v>62</v>
      </c>
      <c r="E99" s="54" t="s">
        <v>63</v>
      </c>
      <c r="F99" s="54" t="s">
        <v>67</v>
      </c>
      <c r="G99" s="54"/>
      <c r="H99" s="55" t="s">
        <v>289</v>
      </c>
      <c r="I99" s="54" t="s">
        <v>288</v>
      </c>
      <c r="J99" s="55" t="s">
        <v>291</v>
      </c>
      <c r="K99" s="55" t="s">
        <v>292</v>
      </c>
      <c r="L99" s="55" t="s">
        <v>283</v>
      </c>
      <c r="M99" s="55" t="s">
        <v>293</v>
      </c>
      <c r="N99" s="54" t="s">
        <v>290</v>
      </c>
      <c r="O99" s="54" t="s">
        <v>64</v>
      </c>
      <c r="P99" s="54" t="s">
        <v>139</v>
      </c>
      <c r="Q99" s="54" t="s">
        <v>65</v>
      </c>
    </row>
    <row r="100" spans="1:17" s="3" customFormat="1">
      <c r="A100" s="125" t="s">
        <v>294</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161</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162</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165</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166</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167</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163</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164</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363</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66</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451</v>
      </c>
      <c r="B111" s="131"/>
      <c r="C111" s="131"/>
      <c r="D111" s="381"/>
      <c r="E111" s="24"/>
      <c r="F111" s="24"/>
      <c r="G111" s="24"/>
      <c r="H111" s="25"/>
      <c r="I111" s="28"/>
      <c r="J111" s="26"/>
      <c r="K111" s="26"/>
      <c r="L111" s="26"/>
      <c r="M111" s="26"/>
      <c r="N111" s="27"/>
      <c r="O111" s="28"/>
      <c r="P111" s="29"/>
      <c r="Q111" s="30"/>
    </row>
    <row r="112" spans="1:17" s="3" customFormat="1" ht="43.5">
      <c r="A112" s="53" t="s">
        <v>61</v>
      </c>
      <c r="B112" s="132" t="s">
        <v>68</v>
      </c>
      <c r="C112" s="132" t="s">
        <v>69</v>
      </c>
      <c r="D112" s="379" t="s">
        <v>62</v>
      </c>
      <c r="E112" s="54" t="s">
        <v>63</v>
      </c>
      <c r="F112" s="54" t="s">
        <v>67</v>
      </c>
      <c r="G112" s="54" t="s">
        <v>295</v>
      </c>
      <c r="H112" s="55" t="s">
        <v>289</v>
      </c>
      <c r="I112" s="54" t="s">
        <v>288</v>
      </c>
      <c r="J112" s="55" t="s">
        <v>291</v>
      </c>
      <c r="K112" s="55" t="s">
        <v>292</v>
      </c>
      <c r="L112" s="55" t="s">
        <v>283</v>
      </c>
      <c r="M112" s="55" t="s">
        <v>293</v>
      </c>
      <c r="N112" s="54" t="s">
        <v>290</v>
      </c>
      <c r="O112" s="54" t="s">
        <v>64</v>
      </c>
      <c r="P112" s="54" t="s">
        <v>139</v>
      </c>
      <c r="Q112" s="54" t="s">
        <v>65</v>
      </c>
    </row>
    <row r="113" spans="1:18" s="3" customFormat="1">
      <c r="A113" s="125" t="s">
        <v>294</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161</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162</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165</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166</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167</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163</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164</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435</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323</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509</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510</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511</v>
      </c>
      <c r="B127" s="130" t="s">
        <v>159</v>
      </c>
      <c r="C127" s="131"/>
      <c r="D127" s="126">
        <v>43742</v>
      </c>
      <c r="E127" s="24"/>
      <c r="F127" s="24"/>
      <c r="G127" s="24"/>
      <c r="H127" s="25"/>
      <c r="I127" s="28"/>
      <c r="J127" s="26"/>
      <c r="K127" s="26"/>
      <c r="L127" s="26"/>
      <c r="M127" s="26"/>
      <c r="N127" s="27"/>
      <c r="O127" s="28"/>
      <c r="P127" s="29"/>
      <c r="Q127" s="30"/>
    </row>
    <row r="128" spans="1:18" s="3" customFormat="1" ht="43.5">
      <c r="A128" s="53" t="s">
        <v>61</v>
      </c>
      <c r="B128" s="132" t="s">
        <v>68</v>
      </c>
      <c r="C128" s="132" t="s">
        <v>69</v>
      </c>
      <c r="D128" s="54" t="s">
        <v>62</v>
      </c>
      <c r="E128" s="54" t="s">
        <v>63</v>
      </c>
      <c r="F128" s="54" t="s">
        <v>67</v>
      </c>
      <c r="G128" s="54"/>
      <c r="H128" s="55" t="s">
        <v>289</v>
      </c>
      <c r="I128" s="54" t="s">
        <v>288</v>
      </c>
      <c r="J128" s="55" t="s">
        <v>291</v>
      </c>
      <c r="K128" s="55" t="s">
        <v>292</v>
      </c>
      <c r="L128" s="55" t="s">
        <v>283</v>
      </c>
      <c r="M128" s="55" t="s">
        <v>293</v>
      </c>
      <c r="N128" s="54" t="s">
        <v>290</v>
      </c>
      <c r="O128" s="54" t="s">
        <v>64</v>
      </c>
      <c r="P128" s="54" t="s">
        <v>139</v>
      </c>
      <c r="Q128" s="54" t="s">
        <v>65</v>
      </c>
    </row>
    <row r="129" spans="1:17" s="3" customFormat="1">
      <c r="A129" s="125" t="s">
        <v>294</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161</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162</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165</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166</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513</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163</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164</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363</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66</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512</v>
      </c>
      <c r="B140" s="130" t="s">
        <v>159</v>
      </c>
      <c r="C140" s="131"/>
      <c r="D140" s="378">
        <v>43756</v>
      </c>
      <c r="E140" s="24"/>
      <c r="F140" s="24"/>
      <c r="G140" s="24"/>
      <c r="H140" s="25"/>
      <c r="I140" s="28"/>
      <c r="J140" s="26"/>
      <c r="K140" s="26"/>
      <c r="L140" s="26"/>
      <c r="M140" s="26"/>
      <c r="N140" s="27"/>
      <c r="O140" s="28"/>
      <c r="P140" s="29"/>
      <c r="Q140" s="30"/>
    </row>
    <row r="141" spans="1:17" s="3" customFormat="1" ht="43.5">
      <c r="A141" s="53" t="s">
        <v>61</v>
      </c>
      <c r="B141" s="132" t="s">
        <v>68</v>
      </c>
      <c r="C141" s="132" t="s">
        <v>69</v>
      </c>
      <c r="D141" s="379" t="s">
        <v>62</v>
      </c>
      <c r="E141" s="54" t="s">
        <v>63</v>
      </c>
      <c r="F141" s="54" t="s">
        <v>67</v>
      </c>
      <c r="G141" s="54"/>
      <c r="H141" s="55" t="s">
        <v>289</v>
      </c>
      <c r="I141" s="54" t="s">
        <v>288</v>
      </c>
      <c r="J141" s="55" t="s">
        <v>291</v>
      </c>
      <c r="K141" s="55" t="s">
        <v>292</v>
      </c>
      <c r="L141" s="55" t="s">
        <v>283</v>
      </c>
      <c r="M141" s="55" t="s">
        <v>293</v>
      </c>
      <c r="N141" s="54" t="s">
        <v>290</v>
      </c>
      <c r="O141" s="54" t="s">
        <v>64</v>
      </c>
      <c r="P141" s="54" t="s">
        <v>139</v>
      </c>
      <c r="Q141" s="54" t="s">
        <v>65</v>
      </c>
    </row>
    <row r="142" spans="1:17" s="3" customFormat="1">
      <c r="A142" s="125" t="s">
        <v>294</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161</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162</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165</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166</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513</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163</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164</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363</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66</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514</v>
      </c>
      <c r="B153" s="131"/>
      <c r="C153" s="131"/>
      <c r="D153" s="381"/>
      <c r="E153" s="24"/>
      <c r="F153" s="24"/>
      <c r="G153" s="24"/>
      <c r="H153" s="25"/>
      <c r="I153" s="28"/>
      <c r="J153" s="26"/>
      <c r="K153" s="26"/>
      <c r="L153" s="26"/>
      <c r="M153" s="26"/>
      <c r="N153" s="27"/>
      <c r="O153" s="28"/>
      <c r="P153" s="29"/>
      <c r="Q153" s="30"/>
    </row>
    <row r="154" spans="1:18" s="3" customFormat="1" ht="43.5">
      <c r="A154" s="53" t="s">
        <v>61</v>
      </c>
      <c r="B154" s="132" t="s">
        <v>68</v>
      </c>
      <c r="C154" s="132" t="s">
        <v>69</v>
      </c>
      <c r="D154" s="379" t="s">
        <v>62</v>
      </c>
      <c r="E154" s="54" t="s">
        <v>63</v>
      </c>
      <c r="F154" s="54" t="s">
        <v>67</v>
      </c>
      <c r="G154" s="54" t="s">
        <v>295</v>
      </c>
      <c r="H154" s="55" t="s">
        <v>289</v>
      </c>
      <c r="I154" s="54" t="s">
        <v>288</v>
      </c>
      <c r="J154" s="55" t="s">
        <v>291</v>
      </c>
      <c r="K154" s="55" t="s">
        <v>292</v>
      </c>
      <c r="L154" s="55" t="s">
        <v>283</v>
      </c>
      <c r="M154" s="55" t="s">
        <v>293</v>
      </c>
      <c r="N154" s="54" t="s">
        <v>290</v>
      </c>
      <c r="O154" s="54" t="s">
        <v>64</v>
      </c>
      <c r="P154" s="54" t="s">
        <v>139</v>
      </c>
      <c r="Q154" s="54" t="s">
        <v>65</v>
      </c>
    </row>
    <row r="155" spans="1:18" s="3" customFormat="1">
      <c r="A155" s="125" t="s">
        <v>294</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161</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162</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165</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166</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513</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163</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164</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435</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323</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509</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510</v>
      </c>
      <c r="F166" s="256">
        <f>+F164-F165</f>
        <v>0</v>
      </c>
      <c r="G166" s="257"/>
      <c r="H166" s="257"/>
      <c r="I166" s="257"/>
      <c r="J166" s="256"/>
      <c r="K166" s="256"/>
      <c r="L166" s="257"/>
      <c r="M166" s="257"/>
      <c r="N166" s="257"/>
      <c r="O166" s="257"/>
      <c r="P166" s="257"/>
      <c r="Q166" s="257"/>
    </row>
    <row r="167" spans="1:18" s="3" customFormat="1" ht="15" thickTop="1">
      <c r="A167" s="23" t="s">
        <v>570</v>
      </c>
      <c r="B167" s="130" t="s">
        <v>159</v>
      </c>
      <c r="C167" s="131"/>
      <c r="D167" s="126">
        <v>43770</v>
      </c>
      <c r="E167" s="24"/>
      <c r="F167" s="24"/>
      <c r="G167" s="24"/>
      <c r="H167" s="25"/>
      <c r="I167" s="28"/>
      <c r="J167" s="26"/>
      <c r="K167" s="26"/>
      <c r="L167" s="26"/>
      <c r="M167" s="26"/>
      <c r="N167" s="27"/>
      <c r="O167" s="28"/>
      <c r="P167" s="29"/>
      <c r="Q167" s="30"/>
    </row>
    <row r="168" spans="1:18" s="3" customFormat="1" ht="43.5">
      <c r="A168" s="53" t="s">
        <v>61</v>
      </c>
      <c r="B168" s="132" t="s">
        <v>68</v>
      </c>
      <c r="C168" s="132" t="s">
        <v>69</v>
      </c>
      <c r="D168" s="54" t="s">
        <v>62</v>
      </c>
      <c r="E168" s="54" t="s">
        <v>63</v>
      </c>
      <c r="F168" s="54" t="s">
        <v>67</v>
      </c>
      <c r="G168" s="54"/>
      <c r="H168" s="55" t="s">
        <v>289</v>
      </c>
      <c r="I168" s="54" t="s">
        <v>288</v>
      </c>
      <c r="J168" s="55" t="s">
        <v>291</v>
      </c>
      <c r="K168" s="55" t="s">
        <v>292</v>
      </c>
      <c r="L168" s="55" t="s">
        <v>283</v>
      </c>
      <c r="M168" s="55" t="s">
        <v>293</v>
      </c>
      <c r="N168" s="54" t="s">
        <v>290</v>
      </c>
      <c r="O168" s="54" t="s">
        <v>64</v>
      </c>
      <c r="P168" s="54" t="s">
        <v>139</v>
      </c>
      <c r="Q168" s="54" t="s">
        <v>65</v>
      </c>
    </row>
    <row r="169" spans="1:18" s="3" customFormat="1">
      <c r="A169" s="125" t="s">
        <v>294</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161</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162</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165</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166</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513</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163</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164</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363</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66</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572</v>
      </c>
      <c r="B180" s="130" t="s">
        <v>159</v>
      </c>
      <c r="C180" s="131"/>
      <c r="D180" s="378">
        <v>43784</v>
      </c>
      <c r="E180" s="24"/>
      <c r="F180" s="24"/>
      <c r="G180" s="24"/>
      <c r="H180" s="25"/>
      <c r="I180" s="28"/>
      <c r="J180" s="26"/>
      <c r="K180" s="26"/>
      <c r="L180" s="26"/>
      <c r="M180" s="26"/>
      <c r="N180" s="27"/>
      <c r="O180" s="28"/>
      <c r="P180" s="29"/>
      <c r="Q180" s="30"/>
    </row>
    <row r="181" spans="1:17" s="3" customFormat="1" ht="43.5">
      <c r="A181" s="53" t="s">
        <v>61</v>
      </c>
      <c r="B181" s="132" t="s">
        <v>68</v>
      </c>
      <c r="C181" s="132" t="s">
        <v>69</v>
      </c>
      <c r="D181" s="54" t="s">
        <v>62</v>
      </c>
      <c r="E181" s="54" t="s">
        <v>63</v>
      </c>
      <c r="F181" s="54" t="s">
        <v>67</v>
      </c>
      <c r="G181" s="54"/>
      <c r="H181" s="55" t="s">
        <v>289</v>
      </c>
      <c r="I181" s="54" t="s">
        <v>288</v>
      </c>
      <c r="J181" s="55" t="s">
        <v>291</v>
      </c>
      <c r="K181" s="55" t="s">
        <v>292</v>
      </c>
      <c r="L181" s="55" t="s">
        <v>283</v>
      </c>
      <c r="M181" s="55" t="s">
        <v>293</v>
      </c>
      <c r="N181" s="54" t="s">
        <v>290</v>
      </c>
      <c r="O181" s="54" t="s">
        <v>64</v>
      </c>
      <c r="P181" s="54" t="s">
        <v>139</v>
      </c>
      <c r="Q181" s="54" t="s">
        <v>65</v>
      </c>
    </row>
    <row r="182" spans="1:17" s="3" customFormat="1">
      <c r="A182" s="125" t="s">
        <v>294</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161</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162</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165</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166</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513</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163</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164</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363</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66</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573</v>
      </c>
      <c r="B193" s="130" t="s">
        <v>159</v>
      </c>
      <c r="C193" s="131"/>
      <c r="D193" s="378">
        <v>43798</v>
      </c>
      <c r="E193" s="24"/>
      <c r="F193" s="24"/>
      <c r="G193" s="24"/>
      <c r="H193" s="25"/>
      <c r="I193" s="28"/>
      <c r="J193" s="26"/>
      <c r="K193" s="26"/>
      <c r="L193" s="26"/>
      <c r="M193" s="26"/>
      <c r="N193" s="27"/>
      <c r="O193" s="28"/>
      <c r="P193" s="29"/>
      <c r="Q193" s="30"/>
    </row>
    <row r="194" spans="1:18" s="3" customFormat="1" ht="43.5">
      <c r="A194" s="53" t="s">
        <v>61</v>
      </c>
      <c r="B194" s="132" t="s">
        <v>68</v>
      </c>
      <c r="C194" s="132" t="s">
        <v>69</v>
      </c>
      <c r="D194" s="54" t="s">
        <v>62</v>
      </c>
      <c r="E194" s="54" t="s">
        <v>63</v>
      </c>
      <c r="F194" s="54" t="s">
        <v>67</v>
      </c>
      <c r="G194" s="54"/>
      <c r="H194" s="55" t="s">
        <v>289</v>
      </c>
      <c r="I194" s="54" t="s">
        <v>288</v>
      </c>
      <c r="J194" s="55" t="s">
        <v>291</v>
      </c>
      <c r="K194" s="55" t="s">
        <v>292</v>
      </c>
      <c r="L194" s="55" t="s">
        <v>283</v>
      </c>
      <c r="M194" s="55" t="s">
        <v>293</v>
      </c>
      <c r="N194" s="54" t="s">
        <v>290</v>
      </c>
      <c r="O194" s="54" t="s">
        <v>64</v>
      </c>
      <c r="P194" s="54" t="s">
        <v>139</v>
      </c>
      <c r="Q194" s="54" t="s">
        <v>65</v>
      </c>
    </row>
    <row r="195" spans="1:18" s="3" customFormat="1">
      <c r="A195" s="125" t="s">
        <v>294</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161</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162</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165</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166</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513</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163</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164</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363</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66</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571</v>
      </c>
      <c r="B206" s="131"/>
      <c r="C206" s="131"/>
      <c r="D206" s="381"/>
      <c r="E206" s="24"/>
      <c r="F206" s="24"/>
      <c r="G206" s="24"/>
      <c r="H206" s="25"/>
      <c r="I206" s="28"/>
      <c r="J206" s="26"/>
      <c r="K206" s="26"/>
      <c r="L206" s="26"/>
      <c r="M206" s="26"/>
      <c r="N206" s="27"/>
      <c r="O206" s="28"/>
      <c r="P206" s="29"/>
      <c r="Q206" s="30"/>
    </row>
    <row r="207" spans="1:18" s="3" customFormat="1" ht="43.5">
      <c r="A207" s="53" t="s">
        <v>61</v>
      </c>
      <c r="B207" s="132" t="s">
        <v>68</v>
      </c>
      <c r="C207" s="132" t="s">
        <v>69</v>
      </c>
      <c r="D207" s="54" t="s">
        <v>62</v>
      </c>
      <c r="E207" s="54" t="s">
        <v>63</v>
      </c>
      <c r="F207" s="54" t="s">
        <v>67</v>
      </c>
      <c r="G207" s="54" t="s">
        <v>295</v>
      </c>
      <c r="H207" s="55" t="s">
        <v>289</v>
      </c>
      <c r="I207" s="54" t="s">
        <v>288</v>
      </c>
      <c r="J207" s="55" t="s">
        <v>291</v>
      </c>
      <c r="K207" s="55" t="s">
        <v>292</v>
      </c>
      <c r="L207" s="55" t="s">
        <v>283</v>
      </c>
      <c r="M207" s="55" t="s">
        <v>293</v>
      </c>
      <c r="N207" s="54" t="s">
        <v>290</v>
      </c>
      <c r="O207" s="54" t="s">
        <v>64</v>
      </c>
      <c r="P207" s="54" t="s">
        <v>139</v>
      </c>
      <c r="Q207" s="54" t="s">
        <v>65</v>
      </c>
    </row>
    <row r="208" spans="1:18" s="3" customFormat="1">
      <c r="A208" s="125" t="s">
        <v>294</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161</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162</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165</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166</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513</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163</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164</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435</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323</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509</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510</v>
      </c>
      <c r="F219" s="256">
        <f>+F217-F218</f>
        <v>0.83000000000174623</v>
      </c>
      <c r="G219" s="257"/>
      <c r="H219" s="257"/>
      <c r="I219" s="257"/>
      <c r="J219" s="256"/>
      <c r="K219" s="256"/>
      <c r="L219" s="257"/>
      <c r="M219" s="257"/>
      <c r="N219" s="257"/>
      <c r="O219" s="257"/>
      <c r="P219" s="257"/>
      <c r="Q219" s="257"/>
    </row>
    <row r="220" spans="1:18" ht="15" thickTop="1"/>
    <row r="221" spans="1:18" s="3" customFormat="1">
      <c r="A221" s="23" t="s">
        <v>625</v>
      </c>
      <c r="B221" s="130" t="s">
        <v>159</v>
      </c>
      <c r="C221" s="131"/>
      <c r="D221" s="378">
        <v>43812</v>
      </c>
      <c r="E221" s="24"/>
      <c r="F221" s="24"/>
      <c r="G221" s="24"/>
      <c r="H221" s="25"/>
      <c r="I221" s="28"/>
      <c r="J221" s="26"/>
      <c r="K221" s="26"/>
      <c r="L221" s="26"/>
      <c r="M221" s="26"/>
      <c r="N221" s="27"/>
      <c r="O221" s="28"/>
      <c r="P221" s="29"/>
      <c r="Q221" s="30"/>
    </row>
    <row r="222" spans="1:18" s="3" customFormat="1" ht="43.5">
      <c r="A222" s="53" t="s">
        <v>61</v>
      </c>
      <c r="B222" s="132" t="s">
        <v>68</v>
      </c>
      <c r="C222" s="132" t="s">
        <v>69</v>
      </c>
      <c r="D222" s="54" t="s">
        <v>62</v>
      </c>
      <c r="E222" s="54" t="s">
        <v>63</v>
      </c>
      <c r="F222" s="54" t="s">
        <v>67</v>
      </c>
      <c r="G222" s="54"/>
      <c r="H222" s="55" t="s">
        <v>289</v>
      </c>
      <c r="I222" s="54" t="s">
        <v>288</v>
      </c>
      <c r="J222" s="55" t="s">
        <v>291</v>
      </c>
      <c r="K222" s="55" t="s">
        <v>292</v>
      </c>
      <c r="L222" s="55" t="s">
        <v>283</v>
      </c>
      <c r="M222" s="55" t="s">
        <v>293</v>
      </c>
      <c r="N222" s="54" t="s">
        <v>290</v>
      </c>
      <c r="O222" s="54" t="s">
        <v>64</v>
      </c>
      <c r="P222" s="54" t="s">
        <v>139</v>
      </c>
      <c r="Q222" s="54" t="s">
        <v>65</v>
      </c>
    </row>
    <row r="223" spans="1:18" s="3" customFormat="1">
      <c r="A223" s="125" t="s">
        <v>294</v>
      </c>
      <c r="B223" s="133">
        <f>7.5+6.5</f>
        <v>14</v>
      </c>
      <c r="C223" s="133">
        <v>70</v>
      </c>
      <c r="D223" s="207">
        <f t="shared" ref="D223" si="170">B223/C223</f>
        <v>0.2</v>
      </c>
      <c r="E223" s="212">
        <v>3153.85</v>
      </c>
      <c r="F223" s="212">
        <f t="shared" ref="F223:F224" si="171">ROUND(D223*E223,2)</f>
        <v>630.77</v>
      </c>
      <c r="G223" s="208"/>
      <c r="H223" s="211"/>
      <c r="I223" s="211"/>
      <c r="J223" s="211"/>
      <c r="K223" s="212">
        <f>-98.62*D223</f>
        <v>-19.724000000000004</v>
      </c>
      <c r="L223" s="211"/>
      <c r="M223" s="58">
        <f>-7.94*D223</f>
        <v>-1.5880000000000001</v>
      </c>
      <c r="N223" s="211"/>
      <c r="O223" s="57"/>
      <c r="P223" s="57"/>
      <c r="Q223" s="59">
        <f t="shared" ref="Q223:Q231" si="172">SUM(H223:P223)</f>
        <v>-21.312000000000005</v>
      </c>
    </row>
    <row r="224" spans="1:18" s="3" customFormat="1" ht="15" customHeight="1">
      <c r="A224" s="125" t="s">
        <v>161</v>
      </c>
      <c r="B224" s="133">
        <f>14+15</f>
        <v>29</v>
      </c>
      <c r="C224" s="133">
        <v>70</v>
      </c>
      <c r="D224" s="207">
        <f>B224/C224</f>
        <v>0.41428571428571431</v>
      </c>
      <c r="E224" s="212">
        <v>2500</v>
      </c>
      <c r="F224" s="212">
        <f t="shared" si="171"/>
        <v>1035.71</v>
      </c>
      <c r="G224" s="213"/>
      <c r="H224" s="211"/>
      <c r="I224" s="211"/>
      <c r="J224" s="211"/>
      <c r="K224" s="212">
        <f>-95.42*D224</f>
        <v>-39.531142857142861</v>
      </c>
      <c r="L224" s="211"/>
      <c r="M224" s="58">
        <f>-3.28*D224</f>
        <v>-1.3588571428571428</v>
      </c>
      <c r="N224" s="211"/>
      <c r="O224" s="57"/>
      <c r="P224" s="57"/>
      <c r="Q224" s="59">
        <f t="shared" si="172"/>
        <v>-40.89</v>
      </c>
    </row>
    <row r="225" spans="1:17" s="3" customFormat="1">
      <c r="A225" s="125" t="s">
        <v>162</v>
      </c>
      <c r="B225" s="133">
        <f>21+20</f>
        <v>41</v>
      </c>
      <c r="C225" s="133">
        <v>70</v>
      </c>
      <c r="D225" s="207">
        <f>B225/C225</f>
        <v>0.58571428571428574</v>
      </c>
      <c r="E225" s="212">
        <v>0</v>
      </c>
      <c r="F225" s="212">
        <f>ROUND(D225*E224,2)</f>
        <v>1464.29</v>
      </c>
      <c r="G225" s="213"/>
      <c r="H225" s="211"/>
      <c r="I225" s="211"/>
      <c r="J225" s="211"/>
      <c r="K225" s="212">
        <f>-95.42*D225</f>
        <v>-55.888857142857148</v>
      </c>
      <c r="L225" s="211"/>
      <c r="M225" s="58">
        <f>-3.28*D225</f>
        <v>-1.921142857142857</v>
      </c>
      <c r="N225" s="211"/>
      <c r="O225" s="57"/>
      <c r="P225" s="57"/>
      <c r="Q225" s="59">
        <f t="shared" si="172"/>
        <v>-57.81</v>
      </c>
    </row>
    <row r="226" spans="1:17" s="3" customFormat="1" ht="15" customHeight="1">
      <c r="A226" s="125" t="s">
        <v>165</v>
      </c>
      <c r="B226" s="133">
        <v>70</v>
      </c>
      <c r="C226" s="133">
        <v>70</v>
      </c>
      <c r="D226" s="207">
        <f t="shared" ref="D226:D231" si="173">B226/C226</f>
        <v>1</v>
      </c>
      <c r="E226" s="212">
        <v>1538.47</v>
      </c>
      <c r="F226" s="212">
        <f t="shared" ref="F226:F228" si="174">ROUND(D226*E226,2)</f>
        <v>1538.47</v>
      </c>
      <c r="G226" s="213"/>
      <c r="H226" s="211"/>
      <c r="I226" s="211"/>
      <c r="J226" s="211"/>
      <c r="K226" s="212">
        <v>0</v>
      </c>
      <c r="L226" s="211"/>
      <c r="M226" s="58"/>
      <c r="N226" s="211"/>
      <c r="O226" s="57"/>
      <c r="P226" s="57"/>
      <c r="Q226" s="59">
        <f t="shared" si="172"/>
        <v>0</v>
      </c>
    </row>
    <row r="227" spans="1:17" s="3" customFormat="1">
      <c r="A227" s="125" t="s">
        <v>166</v>
      </c>
      <c r="B227" s="133">
        <v>70</v>
      </c>
      <c r="C227" s="133">
        <f>+B227</f>
        <v>70</v>
      </c>
      <c r="D227" s="207">
        <f t="shared" si="173"/>
        <v>1</v>
      </c>
      <c r="E227" s="212">
        <v>1153.8499999999999</v>
      </c>
      <c r="F227" s="212">
        <f t="shared" si="174"/>
        <v>1153.8499999999999</v>
      </c>
      <c r="G227" s="213"/>
      <c r="H227" s="211"/>
      <c r="I227" s="211"/>
      <c r="J227" s="211"/>
      <c r="K227" s="212">
        <f>-98.62*D227</f>
        <v>-98.62</v>
      </c>
      <c r="L227" s="211"/>
      <c r="M227" s="58">
        <v>-3.28</v>
      </c>
      <c r="N227" s="211"/>
      <c r="O227" s="57"/>
      <c r="P227" s="57"/>
      <c r="Q227" s="59">
        <f t="shared" si="172"/>
        <v>-101.9</v>
      </c>
    </row>
    <row r="228" spans="1:17" s="3" customFormat="1" ht="15" customHeight="1">
      <c r="A228" s="125" t="s">
        <v>513</v>
      </c>
      <c r="B228" s="133">
        <v>50</v>
      </c>
      <c r="C228" s="133">
        <f>+B228</f>
        <v>50</v>
      </c>
      <c r="D228" s="207">
        <f t="shared" si="173"/>
        <v>1</v>
      </c>
      <c r="E228" s="212">
        <v>620.05999999999995</v>
      </c>
      <c r="F228" s="212">
        <f t="shared" si="174"/>
        <v>620.05999999999995</v>
      </c>
      <c r="G228" s="213"/>
      <c r="H228" s="211"/>
      <c r="I228" s="211"/>
      <c r="J228" s="211"/>
      <c r="K228" s="212">
        <v>0</v>
      </c>
      <c r="L228" s="211"/>
      <c r="M228" s="348"/>
      <c r="N228" s="211"/>
      <c r="O228" s="57"/>
      <c r="P228" s="57"/>
      <c r="Q228" s="59">
        <f t="shared" si="172"/>
        <v>0</v>
      </c>
    </row>
    <row r="229" spans="1:17" s="3" customFormat="1">
      <c r="A229" s="125" t="s">
        <v>163</v>
      </c>
      <c r="B229" s="133">
        <f>11.75*2</f>
        <v>23.5</v>
      </c>
      <c r="C229" s="133">
        <v>70</v>
      </c>
      <c r="D229" s="207">
        <f t="shared" si="173"/>
        <v>0.33571428571428569</v>
      </c>
      <c r="E229" s="212">
        <v>1538.47</v>
      </c>
      <c r="F229" s="57">
        <f>ROUND(D229*E229,2)</f>
        <v>516.49</v>
      </c>
      <c r="G229" s="213"/>
      <c r="H229" s="211"/>
      <c r="I229" s="211"/>
      <c r="J229" s="211"/>
      <c r="K229" s="212">
        <f>-122.97*D229</f>
        <v>-41.282785714285708</v>
      </c>
      <c r="L229" s="211"/>
      <c r="M229" s="58">
        <f>-14.35*D229</f>
        <v>-4.8174999999999999</v>
      </c>
      <c r="N229" s="211"/>
      <c r="O229" s="57"/>
      <c r="P229" s="57"/>
      <c r="Q229" s="59">
        <f t="shared" si="172"/>
        <v>-46.100285714285711</v>
      </c>
    </row>
    <row r="230" spans="1:17" s="3" customFormat="1">
      <c r="A230" s="125" t="s">
        <v>164</v>
      </c>
      <c r="B230" s="133">
        <f>21.5*2</f>
        <v>43</v>
      </c>
      <c r="C230" s="133">
        <v>70</v>
      </c>
      <c r="D230" s="207">
        <f t="shared" si="173"/>
        <v>0.61428571428571432</v>
      </c>
      <c r="E230" s="212"/>
      <c r="F230" s="57">
        <f>ROUND(D230*E229,2)</f>
        <v>945.06</v>
      </c>
      <c r="G230" s="213"/>
      <c r="H230" s="211"/>
      <c r="I230" s="211"/>
      <c r="J230" s="211"/>
      <c r="K230" s="212">
        <f>-122.97*D230</f>
        <v>-75.538714285714292</v>
      </c>
      <c r="L230" s="211"/>
      <c r="M230" s="58">
        <f>-14.35*D230</f>
        <v>-8.8149999999999995</v>
      </c>
      <c r="N230" s="211"/>
      <c r="O230" s="57"/>
      <c r="P230" s="57"/>
      <c r="Q230" s="59">
        <f t="shared" si="172"/>
        <v>-84.35371428571429</v>
      </c>
    </row>
    <row r="231" spans="1:17" s="3" customFormat="1">
      <c r="A231" s="125" t="s">
        <v>363</v>
      </c>
      <c r="B231" s="133">
        <v>7</v>
      </c>
      <c r="C231" s="133">
        <v>70</v>
      </c>
      <c r="D231" s="127">
        <f t="shared" si="173"/>
        <v>0.1</v>
      </c>
      <c r="E231" s="212">
        <v>4230.7700000000004</v>
      </c>
      <c r="F231" s="212">
        <f>ROUND(D231*E231,2)</f>
        <v>423.08</v>
      </c>
      <c r="G231" s="212"/>
      <c r="H231" s="211"/>
      <c r="I231" s="211"/>
      <c r="J231" s="211"/>
      <c r="K231" s="57">
        <f>-98.62*D231</f>
        <v>-9.8620000000000019</v>
      </c>
      <c r="L231" s="211"/>
      <c r="M231" s="58">
        <f>-7.94*D231</f>
        <v>-0.79400000000000004</v>
      </c>
      <c r="N231" s="211"/>
      <c r="O231" s="59"/>
      <c r="P231" s="59"/>
      <c r="Q231" s="59">
        <f t="shared" si="172"/>
        <v>-10.656000000000002</v>
      </c>
    </row>
    <row r="232" spans="1:17" s="3" customFormat="1">
      <c r="A232" s="60" t="s">
        <v>66</v>
      </c>
      <c r="B232" s="135"/>
      <c r="C232" s="333"/>
      <c r="D232" s="380"/>
      <c r="E232" s="62">
        <f>SUBTOTAL(109,'Salaries &amp; Fringe Allocations'!E223:E231)</f>
        <v>14735.47</v>
      </c>
      <c r="F232" s="62">
        <f>SUBTOTAL(109,'Salaries &amp; Fringe Allocations'!F223:F231)</f>
        <v>8327.7799999999988</v>
      </c>
      <c r="G232" s="209"/>
      <c r="H232" s="62">
        <f>SUBTOTAL(109,'Salaries &amp; Fringe Allocations'!H223:H231)</f>
        <v>0</v>
      </c>
      <c r="I232" s="62">
        <f>SUBTOTAL(109,'Salaries &amp; Fringe Allocations'!I223:I231)</f>
        <v>0</v>
      </c>
      <c r="J232" s="62">
        <f>SUBTOTAL(109,'Salaries &amp; Fringe Allocations'!J223:J231)</f>
        <v>0</v>
      </c>
      <c r="K232" s="62">
        <f>SUBTOTAL(109,'Salaries &amp; Fringe Allocations'!K223:K231)</f>
        <v>-340.44750000000005</v>
      </c>
      <c r="L232" s="62">
        <f>SUBTOTAL(109,'Salaries &amp; Fringe Allocations'!L223:L231)</f>
        <v>0</v>
      </c>
      <c r="M232" s="62">
        <f>SUBTOTAL(109,'Salaries &amp; Fringe Allocations'!M223:M231)</f>
        <v>-22.574499999999997</v>
      </c>
      <c r="N232" s="62">
        <f>SUBTOTAL(109,'Salaries &amp; Fringe Allocations'!N223:N231)</f>
        <v>0</v>
      </c>
      <c r="O232" s="62">
        <f>SUBTOTAL(109,'Salaries &amp; Fringe Allocations'!O223:O231)</f>
        <v>0</v>
      </c>
      <c r="P232" s="62">
        <f>SUBTOTAL(109,'Salaries &amp; Fringe Allocations'!P223:P231)</f>
        <v>0</v>
      </c>
      <c r="Q232" s="62">
        <f>SUBTOTAL(109,'Salaries &amp; Fringe Allocations'!Q223:Q231)</f>
        <v>-363.02199999999999</v>
      </c>
    </row>
    <row r="233" spans="1:17" s="3" customFormat="1">
      <c r="B233" s="137"/>
      <c r="C233" s="137"/>
      <c r="D233" s="1"/>
    </row>
    <row r="234" spans="1:17" s="3" customFormat="1">
      <c r="A234" s="23" t="s">
        <v>626</v>
      </c>
      <c r="B234" s="130" t="s">
        <v>159</v>
      </c>
      <c r="C234" s="131"/>
      <c r="D234" s="378">
        <v>43826</v>
      </c>
      <c r="E234" s="24"/>
      <c r="F234" s="24"/>
      <c r="G234" s="24"/>
      <c r="H234" s="25"/>
      <c r="I234" s="28"/>
      <c r="J234" s="26"/>
      <c r="K234" s="26"/>
      <c r="L234" s="26"/>
      <c r="M234" s="26"/>
      <c r="N234" s="27"/>
      <c r="O234" s="28"/>
      <c r="P234" s="29"/>
      <c r="Q234" s="30"/>
    </row>
    <row r="235" spans="1:17" s="3" customFormat="1" ht="43.5">
      <c r="A235" s="53" t="s">
        <v>61</v>
      </c>
      <c r="B235" s="132" t="s">
        <v>68</v>
      </c>
      <c r="C235" s="132" t="s">
        <v>69</v>
      </c>
      <c r="D235" s="54" t="s">
        <v>62</v>
      </c>
      <c r="E235" s="54" t="s">
        <v>63</v>
      </c>
      <c r="F235" s="54" t="s">
        <v>67</v>
      </c>
      <c r="G235" s="54"/>
      <c r="H235" s="55" t="s">
        <v>289</v>
      </c>
      <c r="I235" s="54" t="s">
        <v>288</v>
      </c>
      <c r="J235" s="55" t="s">
        <v>291</v>
      </c>
      <c r="K235" s="55" t="s">
        <v>292</v>
      </c>
      <c r="L235" s="55" t="s">
        <v>283</v>
      </c>
      <c r="M235" s="55" t="s">
        <v>293</v>
      </c>
      <c r="N235" s="54" t="s">
        <v>290</v>
      </c>
      <c r="O235" s="54" t="s">
        <v>64</v>
      </c>
      <c r="P235" s="54" t="s">
        <v>139</v>
      </c>
      <c r="Q235" s="54" t="s">
        <v>65</v>
      </c>
    </row>
    <row r="236" spans="1:17" s="3" customFormat="1">
      <c r="A236" s="125" t="s">
        <v>294</v>
      </c>
      <c r="B236" s="133">
        <f>7.5+6.5</f>
        <v>14</v>
      </c>
      <c r="C236" s="133">
        <v>70</v>
      </c>
      <c r="D236" s="207">
        <f t="shared" ref="D236:D237" si="175">B236/C236</f>
        <v>0.2</v>
      </c>
      <c r="E236" s="212">
        <v>3153.85</v>
      </c>
      <c r="F236" s="212">
        <f t="shared" ref="F236:F237" si="176">ROUND(D236*E236,2)</f>
        <v>630.77</v>
      </c>
      <c r="G236" s="208"/>
      <c r="H236" s="211"/>
      <c r="I236" s="211"/>
      <c r="J236" s="211"/>
      <c r="K236" s="212">
        <f>-98.62*D236</f>
        <v>-19.724000000000004</v>
      </c>
      <c r="L236" s="211"/>
      <c r="M236" s="58">
        <f>-7.94*D236</f>
        <v>-1.5880000000000001</v>
      </c>
      <c r="N236" s="211"/>
      <c r="O236" s="57"/>
      <c r="P236" s="57"/>
      <c r="Q236" s="59">
        <f t="shared" ref="Q236:Q244" si="177">SUM(H236:P236)</f>
        <v>-21.312000000000005</v>
      </c>
    </row>
    <row r="237" spans="1:17" s="3" customFormat="1" ht="15" customHeight="1">
      <c r="A237" s="125" t="s">
        <v>161</v>
      </c>
      <c r="B237" s="133">
        <f>14+15</f>
        <v>29</v>
      </c>
      <c r="C237" s="133">
        <v>70</v>
      </c>
      <c r="D237" s="207">
        <f t="shared" si="175"/>
        <v>0.41428571428571431</v>
      </c>
      <c r="E237" s="212">
        <v>2500</v>
      </c>
      <c r="F237" s="212">
        <f t="shared" si="176"/>
        <v>1035.71</v>
      </c>
      <c r="G237" s="213"/>
      <c r="H237" s="211"/>
      <c r="I237" s="211"/>
      <c r="J237" s="211"/>
      <c r="K237" s="212">
        <f>-95.42*D237</f>
        <v>-39.531142857142861</v>
      </c>
      <c r="L237" s="211"/>
      <c r="M237" s="58">
        <f>-3.28*D237</f>
        <v>-1.3588571428571428</v>
      </c>
      <c r="N237" s="211"/>
      <c r="O237" s="57"/>
      <c r="P237" s="57"/>
      <c r="Q237" s="59">
        <f t="shared" si="177"/>
        <v>-40.89</v>
      </c>
    </row>
    <row r="238" spans="1:17" s="3" customFormat="1">
      <c r="A238" s="125" t="s">
        <v>162</v>
      </c>
      <c r="B238" s="133">
        <f>21+20</f>
        <v>41</v>
      </c>
      <c r="C238" s="133">
        <v>70</v>
      </c>
      <c r="D238" s="207">
        <f>B238/C238</f>
        <v>0.58571428571428574</v>
      </c>
      <c r="E238" s="212">
        <v>0</v>
      </c>
      <c r="F238" s="212">
        <f>ROUND(D238*E237,2)</f>
        <v>1464.29</v>
      </c>
      <c r="G238" s="213"/>
      <c r="H238" s="211"/>
      <c r="I238" s="211"/>
      <c r="J238" s="211"/>
      <c r="K238" s="212">
        <f>-95.42*D238</f>
        <v>-55.888857142857148</v>
      </c>
      <c r="L238" s="211"/>
      <c r="M238" s="58">
        <f>-3.28*D238</f>
        <v>-1.921142857142857</v>
      </c>
      <c r="N238" s="211"/>
      <c r="O238" s="57"/>
      <c r="P238" s="57"/>
      <c r="Q238" s="59">
        <f t="shared" si="177"/>
        <v>-57.81</v>
      </c>
    </row>
    <row r="239" spans="1:17" s="3" customFormat="1" ht="15" customHeight="1">
      <c r="A239" s="125" t="s">
        <v>165</v>
      </c>
      <c r="B239" s="133">
        <v>70</v>
      </c>
      <c r="C239" s="133">
        <v>70</v>
      </c>
      <c r="D239" s="207">
        <f t="shared" ref="D239:D244" si="178">B239/C239</f>
        <v>1</v>
      </c>
      <c r="E239" s="212">
        <v>1538.47</v>
      </c>
      <c r="F239" s="212">
        <f t="shared" ref="F239:F241" si="179">ROUND(D239*E239,2)</f>
        <v>1538.47</v>
      </c>
      <c r="G239" s="213"/>
      <c r="H239" s="211"/>
      <c r="I239" s="211"/>
      <c r="J239" s="211"/>
      <c r="K239" s="212">
        <v>0</v>
      </c>
      <c r="L239" s="211"/>
      <c r="M239" s="58"/>
      <c r="N239" s="211"/>
      <c r="O239" s="57"/>
      <c r="P239" s="57"/>
      <c r="Q239" s="59">
        <f t="shared" si="177"/>
        <v>0</v>
      </c>
    </row>
    <row r="240" spans="1:17" s="3" customFormat="1">
      <c r="A240" s="125" t="s">
        <v>166</v>
      </c>
      <c r="B240" s="133">
        <v>70</v>
      </c>
      <c r="C240" s="133">
        <f>+B240</f>
        <v>70</v>
      </c>
      <c r="D240" s="207">
        <f t="shared" si="178"/>
        <v>1</v>
      </c>
      <c r="E240" s="212">
        <v>1153.8499999999999</v>
      </c>
      <c r="F240" s="212">
        <f t="shared" si="179"/>
        <v>1153.8499999999999</v>
      </c>
      <c r="G240" s="213"/>
      <c r="H240" s="211"/>
      <c r="I240" s="211"/>
      <c r="J240" s="211"/>
      <c r="K240" s="212">
        <f>-98.62*D240</f>
        <v>-98.62</v>
      </c>
      <c r="L240" s="211"/>
      <c r="M240" s="58">
        <v>-3.28</v>
      </c>
      <c r="N240" s="211"/>
      <c r="O240" s="57"/>
      <c r="P240" s="57"/>
      <c r="Q240" s="59">
        <f t="shared" si="177"/>
        <v>-101.9</v>
      </c>
    </row>
    <row r="241" spans="1:18" s="3" customFormat="1" ht="15" customHeight="1">
      <c r="A241" s="125" t="s">
        <v>513</v>
      </c>
      <c r="B241" s="133">
        <v>50</v>
      </c>
      <c r="C241" s="133">
        <f>+B241</f>
        <v>50</v>
      </c>
      <c r="D241" s="207">
        <f t="shared" si="178"/>
        <v>1</v>
      </c>
      <c r="E241" s="212">
        <v>735.42</v>
      </c>
      <c r="F241" s="212">
        <f t="shared" si="179"/>
        <v>735.42</v>
      </c>
      <c r="G241" s="213"/>
      <c r="H241" s="211"/>
      <c r="I241" s="211"/>
      <c r="J241" s="211"/>
      <c r="K241" s="212">
        <v>0</v>
      </c>
      <c r="L241" s="211"/>
      <c r="M241" s="348"/>
      <c r="N241" s="211"/>
      <c r="O241" s="57"/>
      <c r="P241" s="57"/>
      <c r="Q241" s="59">
        <f t="shared" si="177"/>
        <v>0</v>
      </c>
    </row>
    <row r="242" spans="1:18" s="3" customFormat="1">
      <c r="A242" s="125" t="s">
        <v>163</v>
      </c>
      <c r="B242" s="133">
        <f>11.75*2</f>
        <v>23.5</v>
      </c>
      <c r="C242" s="133">
        <v>70</v>
      </c>
      <c r="D242" s="207">
        <f t="shared" si="178"/>
        <v>0.33571428571428569</v>
      </c>
      <c r="E242" s="212">
        <v>1538.47</v>
      </c>
      <c r="F242" s="57">
        <f>ROUND(D242*E242,2)</f>
        <v>516.49</v>
      </c>
      <c r="G242" s="213"/>
      <c r="H242" s="211"/>
      <c r="I242" s="211"/>
      <c r="J242" s="211"/>
      <c r="K242" s="212">
        <f>-255.06*D242</f>
        <v>-85.627285714285705</v>
      </c>
      <c r="L242" s="211"/>
      <c r="M242" s="58">
        <f>-20.43*D242</f>
        <v>-6.8586428571428568</v>
      </c>
      <c r="N242" s="211"/>
      <c r="O242" s="57"/>
      <c r="P242" s="57"/>
      <c r="Q242" s="59">
        <f t="shared" si="177"/>
        <v>-92.485928571428559</v>
      </c>
    </row>
    <row r="243" spans="1:18" s="3" customFormat="1">
      <c r="A243" s="125" t="s">
        <v>164</v>
      </c>
      <c r="B243" s="133">
        <f>21.5*2</f>
        <v>43</v>
      </c>
      <c r="C243" s="133">
        <v>70</v>
      </c>
      <c r="D243" s="207">
        <f t="shared" si="178"/>
        <v>0.61428571428571432</v>
      </c>
      <c r="E243" s="212"/>
      <c r="F243" s="57">
        <f>ROUND(D243*E242,2)</f>
        <v>945.06</v>
      </c>
      <c r="G243" s="213"/>
      <c r="H243" s="211"/>
      <c r="I243" s="211"/>
      <c r="J243" s="211"/>
      <c r="K243" s="212">
        <f>-255.06*D243</f>
        <v>-156.67971428571428</v>
      </c>
      <c r="L243" s="211"/>
      <c r="M243" s="58">
        <f>-20.43*D243</f>
        <v>-12.549857142857144</v>
      </c>
      <c r="N243" s="211"/>
      <c r="O243" s="57"/>
      <c r="P243" s="57"/>
      <c r="Q243" s="59">
        <f t="shared" si="177"/>
        <v>-169.22957142857143</v>
      </c>
    </row>
    <row r="244" spans="1:18" s="3" customFormat="1">
      <c r="A244" s="125" t="s">
        <v>363</v>
      </c>
      <c r="B244" s="133">
        <v>7</v>
      </c>
      <c r="C244" s="133">
        <v>70</v>
      </c>
      <c r="D244" s="127">
        <f t="shared" si="178"/>
        <v>0.1</v>
      </c>
      <c r="E244" s="212">
        <v>4230.7700000000004</v>
      </c>
      <c r="F244" s="212">
        <f>ROUND(D244*E244,2)</f>
        <v>423.08</v>
      </c>
      <c r="G244" s="212"/>
      <c r="H244" s="211"/>
      <c r="I244" s="211"/>
      <c r="J244" s="211"/>
      <c r="K244" s="57">
        <f>-98.62*D244</f>
        <v>-9.8620000000000019</v>
      </c>
      <c r="L244" s="211"/>
      <c r="M244" s="58">
        <f>-7.94*D244</f>
        <v>-0.79400000000000004</v>
      </c>
      <c r="N244" s="211"/>
      <c r="O244" s="59"/>
      <c r="P244" s="59"/>
      <c r="Q244" s="59">
        <f t="shared" si="177"/>
        <v>-10.656000000000002</v>
      </c>
    </row>
    <row r="245" spans="1:18" s="3" customFormat="1">
      <c r="A245" s="60" t="s">
        <v>66</v>
      </c>
      <c r="B245" s="135"/>
      <c r="C245" s="333"/>
      <c r="D245" s="380"/>
      <c r="E245" s="62">
        <f>SUBTOTAL(109,'Salaries &amp; Fringe Allocations'!E236:E244)</f>
        <v>14850.83</v>
      </c>
      <c r="F245" s="62">
        <f>SUBTOTAL(109,'Salaries &amp; Fringe Allocations'!F236:F244)</f>
        <v>8443.14</v>
      </c>
      <c r="G245" s="209"/>
      <c r="H245" s="62">
        <f>SUBTOTAL(109,'Salaries &amp; Fringe Allocations'!H236:H244)</f>
        <v>0</v>
      </c>
      <c r="I245" s="62">
        <f>SUBTOTAL(109,'Salaries &amp; Fringe Allocations'!I236:I244)</f>
        <v>0</v>
      </c>
      <c r="J245" s="62">
        <f>SUBTOTAL(109,'Salaries &amp; Fringe Allocations'!J236:J244)</f>
        <v>0</v>
      </c>
      <c r="K245" s="62">
        <f>SUBTOTAL(109,'Salaries &amp; Fringe Allocations'!K236:K244)</f>
        <v>-465.93299999999999</v>
      </c>
      <c r="L245" s="62">
        <f>SUBTOTAL(109,'Salaries &amp; Fringe Allocations'!L236:L244)</f>
        <v>0</v>
      </c>
      <c r="M245" s="62">
        <f>SUBTOTAL(109,'Salaries &amp; Fringe Allocations'!M236:M244)</f>
        <v>-28.3505</v>
      </c>
      <c r="N245" s="62">
        <f>SUBTOTAL(109,'Salaries &amp; Fringe Allocations'!N236:N244)</f>
        <v>0</v>
      </c>
      <c r="O245" s="62">
        <f>SUBTOTAL(109,'Salaries &amp; Fringe Allocations'!O236:O244)</f>
        <v>0</v>
      </c>
      <c r="P245" s="62">
        <f>SUBTOTAL(109,'Salaries &amp; Fringe Allocations'!P236:P244)</f>
        <v>0</v>
      </c>
      <c r="Q245" s="62">
        <f>SUBTOTAL(109,'Salaries &amp; Fringe Allocations'!Q236:Q244)</f>
        <v>-494.2835</v>
      </c>
    </row>
    <row r="246" spans="1:18" s="3" customFormat="1">
      <c r="B246" s="137"/>
      <c r="C246" s="137"/>
      <c r="D246" s="1"/>
    </row>
    <row r="247" spans="1:18" s="3" customFormat="1" ht="31">
      <c r="A247" s="220" t="s">
        <v>694</v>
      </c>
      <c r="B247" s="131"/>
      <c r="C247" s="131"/>
      <c r="D247" s="381"/>
      <c r="E247" s="24"/>
      <c r="F247" s="24"/>
      <c r="G247" s="24"/>
      <c r="H247" s="25"/>
      <c r="I247" s="28"/>
      <c r="J247" s="26"/>
      <c r="K247" s="26"/>
      <c r="L247" s="26"/>
      <c r="M247" s="26"/>
      <c r="N247" s="27"/>
      <c r="O247" s="28"/>
      <c r="P247" s="29"/>
      <c r="Q247" s="30"/>
    </row>
    <row r="248" spans="1:18" s="3" customFormat="1" ht="43.5">
      <c r="A248" s="53" t="s">
        <v>61</v>
      </c>
      <c r="B248" s="132" t="s">
        <v>68</v>
      </c>
      <c r="C248" s="132" t="s">
        <v>69</v>
      </c>
      <c r="D248" s="54" t="s">
        <v>62</v>
      </c>
      <c r="E248" s="54" t="s">
        <v>63</v>
      </c>
      <c r="F248" s="54" t="s">
        <v>67</v>
      </c>
      <c r="G248" s="54" t="s">
        <v>295</v>
      </c>
      <c r="H248" s="55" t="s">
        <v>289</v>
      </c>
      <c r="I248" s="54" t="s">
        <v>288</v>
      </c>
      <c r="J248" s="55" t="s">
        <v>291</v>
      </c>
      <c r="K248" s="55" t="s">
        <v>292</v>
      </c>
      <c r="L248" s="55" t="s">
        <v>283</v>
      </c>
      <c r="M248" s="55" t="s">
        <v>293</v>
      </c>
      <c r="N248" s="54" t="s">
        <v>290</v>
      </c>
      <c r="O248" s="54" t="s">
        <v>64</v>
      </c>
      <c r="P248" s="54" t="s">
        <v>139</v>
      </c>
      <c r="Q248" s="54" t="s">
        <v>65</v>
      </c>
    </row>
    <row r="249" spans="1:18" s="1" customFormat="1">
      <c r="A249" s="125" t="s">
        <v>294</v>
      </c>
      <c r="B249" s="136">
        <f>+B223+B236</f>
        <v>28</v>
      </c>
      <c r="C249" s="136">
        <f>+C223+C236</f>
        <v>140</v>
      </c>
      <c r="D249" s="214">
        <f t="shared" ref="D249:D250" si="180">B249/C249</f>
        <v>0.2</v>
      </c>
      <c r="E249" s="212">
        <f>+E223+E236</f>
        <v>6307.7</v>
      </c>
      <c r="F249" s="212">
        <f t="shared" ref="F249:F250" si="181">ROUND(D249*E249,2)</f>
        <v>1261.54</v>
      </c>
      <c r="G249" s="448">
        <f>+F249/$F$258</f>
        <v>7.5221961850586425E-2</v>
      </c>
      <c r="H249" s="212">
        <f>+G249*'Dec-19 GL'!$G$79</f>
        <v>106.66474190413155</v>
      </c>
      <c r="I249" s="212">
        <f>+G249*'Dec-19 GL'!$G$85</f>
        <v>12.938177438300865</v>
      </c>
      <c r="J249" s="212">
        <f>1068.35*D249</f>
        <v>213.67</v>
      </c>
      <c r="K249" s="212">
        <f>K223+K236</f>
        <v>-39.448000000000008</v>
      </c>
      <c r="L249" s="212">
        <f>91.06*D249</f>
        <v>18.212</v>
      </c>
      <c r="M249" s="212">
        <f>M223+M236</f>
        <v>-3.1760000000000002</v>
      </c>
      <c r="N249" s="212">
        <f>+$G249*'Dec-19 GL'!$G$62</f>
        <v>37.460537001592037</v>
      </c>
      <c r="O249" s="212">
        <f t="shared" ref="O249:P249" si="182">+O210+O223</f>
        <v>0</v>
      </c>
      <c r="P249" s="212">
        <f t="shared" si="182"/>
        <v>0</v>
      </c>
      <c r="Q249" s="348">
        <f t="shared" ref="Q249:Q257" si="183">SUM(H249:P249)</f>
        <v>346.32145634402445</v>
      </c>
      <c r="R249" s="1" t="s">
        <v>24</v>
      </c>
    </row>
    <row r="250" spans="1:18" s="1" customFormat="1">
      <c r="A250" s="125" t="s">
        <v>161</v>
      </c>
      <c r="B250" s="136">
        <f t="shared" ref="B250:C250" si="184">+B224+B237</f>
        <v>58</v>
      </c>
      <c r="C250" s="136">
        <f t="shared" si="184"/>
        <v>140</v>
      </c>
      <c r="D250" s="214">
        <f t="shared" si="180"/>
        <v>0.41428571428571431</v>
      </c>
      <c r="E250" s="212">
        <f t="shared" ref="E250:E257" si="185">+E224+E237</f>
        <v>5000</v>
      </c>
      <c r="F250" s="212">
        <f t="shared" si="181"/>
        <v>2071.4299999999998</v>
      </c>
      <c r="G250" s="448">
        <f t="shared" ref="G250:G257" si="186">+F250/$F$258</f>
        <v>0.12351334752458125</v>
      </c>
      <c r="H250" s="212">
        <f>+G250*'Dec-19 GL'!$G$79</f>
        <v>175.1419267898562</v>
      </c>
      <c r="I250" s="212">
        <f>+G250*'Dec-19 GL'!$G$85</f>
        <v>21.244295774227975</v>
      </c>
      <c r="J250" s="212">
        <f>1033.68*D250</f>
        <v>428.23885714285717</v>
      </c>
      <c r="K250" s="212">
        <f t="shared" ref="K250:M257" si="187">K224+K237</f>
        <v>-79.062285714285721</v>
      </c>
      <c r="L250" s="212">
        <f>78.04*D250</f>
        <v>32.330857142857148</v>
      </c>
      <c r="M250" s="212">
        <f t="shared" si="187"/>
        <v>-2.7177142857142855</v>
      </c>
      <c r="N250" s="212">
        <f>+$G250*'Dec-19 GL'!$G$62</f>
        <v>61.50964706724146</v>
      </c>
      <c r="O250" s="212">
        <f t="shared" ref="O250:P250" si="188">+O211+O224</f>
        <v>0</v>
      </c>
      <c r="P250" s="212">
        <f t="shared" si="188"/>
        <v>0</v>
      </c>
      <c r="Q250" s="348">
        <f t="shared" si="183"/>
        <v>636.68558391703982</v>
      </c>
      <c r="R250" s="1" t="s">
        <v>24</v>
      </c>
    </row>
    <row r="251" spans="1:18" s="1" customFormat="1">
      <c r="A251" s="125" t="s">
        <v>162</v>
      </c>
      <c r="B251" s="136">
        <f t="shared" ref="B251:C251" si="189">+B225+B238</f>
        <v>82</v>
      </c>
      <c r="C251" s="136">
        <f t="shared" si="189"/>
        <v>140</v>
      </c>
      <c r="D251" s="214">
        <f>B251/C250</f>
        <v>0.58571428571428574</v>
      </c>
      <c r="E251" s="212">
        <f t="shared" si="185"/>
        <v>0</v>
      </c>
      <c r="F251" s="212">
        <f>ROUND(D251*E250,2)</f>
        <v>2928.57</v>
      </c>
      <c r="G251" s="448">
        <f t="shared" si="186"/>
        <v>0.17462211330340052</v>
      </c>
      <c r="H251" s="212">
        <f>+G251*'Dec-19 GL'!$G$79</f>
        <v>247.61415666422195</v>
      </c>
      <c r="I251" s="212">
        <f>+G251*'Dec-19 GL'!$G$85</f>
        <v>30.035003488184891</v>
      </c>
      <c r="J251" s="212">
        <f>1033.68*D251</f>
        <v>605.44114285714295</v>
      </c>
      <c r="K251" s="212">
        <f t="shared" si="187"/>
        <v>-111.7777142857143</v>
      </c>
      <c r="L251" s="212">
        <f>78.04*D251</f>
        <v>45.709142857142865</v>
      </c>
      <c r="M251" s="212">
        <f t="shared" si="187"/>
        <v>-3.8422857142857141</v>
      </c>
      <c r="N251" s="212">
        <f>+$G251*'Dec-19 GL'!$G$62</f>
        <v>86.961812425093456</v>
      </c>
      <c r="O251" s="212">
        <f t="shared" ref="O251:P251" si="190">+O212+O225</f>
        <v>0</v>
      </c>
      <c r="P251" s="212">
        <f t="shared" si="190"/>
        <v>0</v>
      </c>
      <c r="Q251" s="348">
        <f t="shared" si="183"/>
        <v>900.14125829178624</v>
      </c>
    </row>
    <row r="252" spans="1:18" s="1" customFormat="1">
      <c r="A252" s="125" t="s">
        <v>165</v>
      </c>
      <c r="B252" s="136">
        <f t="shared" ref="B252:C252" si="191">+B226+B239</f>
        <v>140</v>
      </c>
      <c r="C252" s="136">
        <f t="shared" si="191"/>
        <v>140</v>
      </c>
      <c r="D252" s="214">
        <f t="shared" ref="D252:D255" si="192">B252/C252</f>
        <v>1</v>
      </c>
      <c r="E252" s="212">
        <f t="shared" si="185"/>
        <v>3076.94</v>
      </c>
      <c r="F252" s="212">
        <f t="shared" ref="F252:F255" si="193">ROUND(D252*E252,2)</f>
        <v>3076.94</v>
      </c>
      <c r="G252" s="448">
        <f t="shared" si="186"/>
        <v>0.18346898496801006</v>
      </c>
      <c r="H252" s="212">
        <f>+G252*'Dec-19 GL'!$G$79</f>
        <v>260.15902068463828</v>
      </c>
      <c r="I252" s="212">
        <f>+G252*'Dec-19 GL'!$G$85</f>
        <v>31.556665414497729</v>
      </c>
      <c r="J252" s="212">
        <v>0</v>
      </c>
      <c r="K252" s="212">
        <f t="shared" si="187"/>
        <v>0</v>
      </c>
      <c r="L252" s="212">
        <v>0</v>
      </c>
      <c r="M252" s="212">
        <f t="shared" si="187"/>
        <v>0</v>
      </c>
      <c r="N252" s="212">
        <f>+$G252*'Dec-19 GL'!$G$62</f>
        <v>91.367554514069013</v>
      </c>
      <c r="O252" s="212">
        <f t="shared" ref="O252:P252" si="194">+O213+O226</f>
        <v>0</v>
      </c>
      <c r="P252" s="212">
        <f t="shared" si="194"/>
        <v>0</v>
      </c>
      <c r="Q252" s="348">
        <f t="shared" si="183"/>
        <v>383.08324061320502</v>
      </c>
    </row>
    <row r="253" spans="1:18" s="1" customFormat="1">
      <c r="A253" s="125" t="s">
        <v>166</v>
      </c>
      <c r="B253" s="136">
        <f t="shared" ref="B253:C253" si="195">+B227+B240</f>
        <v>140</v>
      </c>
      <c r="C253" s="136">
        <f t="shared" si="195"/>
        <v>140</v>
      </c>
      <c r="D253" s="214">
        <f t="shared" si="192"/>
        <v>1</v>
      </c>
      <c r="E253" s="212">
        <f t="shared" si="185"/>
        <v>2307.6999999999998</v>
      </c>
      <c r="F253" s="212">
        <f t="shared" si="193"/>
        <v>2307.6999999999998</v>
      </c>
      <c r="G253" s="448">
        <f t="shared" si="186"/>
        <v>0.13760144059054669</v>
      </c>
      <c r="H253" s="212">
        <f>+G253*'Dec-19 GL'!$G$79</f>
        <v>195.11884275739521</v>
      </c>
      <c r="I253" s="212">
        <f>+G253*'Dec-19 GL'!$G$85</f>
        <v>23.66744778157403</v>
      </c>
      <c r="J253" s="212">
        <v>1068.3499999999999</v>
      </c>
      <c r="K253" s="212">
        <f t="shared" si="187"/>
        <v>-197.24</v>
      </c>
      <c r="L253" s="212">
        <v>43.54</v>
      </c>
      <c r="M253" s="212">
        <f t="shared" si="187"/>
        <v>-6.56</v>
      </c>
      <c r="N253" s="212">
        <f>+$G253*'Dec-19 GL'!$G$62</f>
        <v>68.525517414092249</v>
      </c>
      <c r="O253" s="212">
        <f t="shared" ref="O253:P253" si="196">+O214+O227</f>
        <v>0</v>
      </c>
      <c r="P253" s="212">
        <f t="shared" si="196"/>
        <v>0</v>
      </c>
      <c r="Q253" s="348">
        <f t="shared" si="183"/>
        <v>1195.4018079530615</v>
      </c>
    </row>
    <row r="254" spans="1:18" s="1" customFormat="1" ht="15" customHeight="1">
      <c r="A254" s="125" t="s">
        <v>513</v>
      </c>
      <c r="B254" s="136">
        <f t="shared" ref="B254:C254" si="197">+B228+B241</f>
        <v>100</v>
      </c>
      <c r="C254" s="136">
        <f t="shared" si="197"/>
        <v>100</v>
      </c>
      <c r="D254" s="214">
        <f t="shared" si="192"/>
        <v>1</v>
      </c>
      <c r="E254" s="212">
        <f t="shared" si="185"/>
        <v>1355.48</v>
      </c>
      <c r="F254" s="212">
        <f t="shared" si="193"/>
        <v>1355.48</v>
      </c>
      <c r="G254" s="448">
        <f t="shared" si="186"/>
        <v>8.0823330888622549E-2</v>
      </c>
      <c r="H254" s="212">
        <f>+G254*'Dec-19 GL'!$G$79</f>
        <v>114.60748320006678</v>
      </c>
      <c r="I254" s="212">
        <f>+G254*'Dec-19 GL'!$G$85</f>
        <v>13.901612912843078</v>
      </c>
      <c r="J254" s="212">
        <v>0</v>
      </c>
      <c r="K254" s="212">
        <f t="shared" si="187"/>
        <v>0</v>
      </c>
      <c r="L254" s="212">
        <v>0</v>
      </c>
      <c r="M254" s="212">
        <f t="shared" si="187"/>
        <v>0</v>
      </c>
      <c r="N254" s="212">
        <f>+$G254*'Dec-19 GL'!$G$62</f>
        <v>40.250018782534028</v>
      </c>
      <c r="O254" s="212">
        <f t="shared" ref="O254:P254" si="198">+O215+O228</f>
        <v>0</v>
      </c>
      <c r="P254" s="212">
        <f t="shared" si="198"/>
        <v>0</v>
      </c>
      <c r="Q254" s="348">
        <f t="shared" si="183"/>
        <v>168.75911489544387</v>
      </c>
    </row>
    <row r="255" spans="1:18" s="1" customFormat="1">
      <c r="A255" s="125" t="s">
        <v>163</v>
      </c>
      <c r="B255" s="136">
        <f t="shared" ref="B255:C255" si="199">+B229+B242</f>
        <v>47</v>
      </c>
      <c r="C255" s="136">
        <f t="shared" si="199"/>
        <v>140</v>
      </c>
      <c r="D255" s="214">
        <f t="shared" si="192"/>
        <v>0.33571428571428569</v>
      </c>
      <c r="E255" s="212">
        <f t="shared" si="185"/>
        <v>3076.94</v>
      </c>
      <c r="F255" s="212">
        <f t="shared" si="193"/>
        <v>1032.97</v>
      </c>
      <c r="G255" s="448">
        <f t="shared" si="186"/>
        <v>6.1592997394296072E-2</v>
      </c>
      <c r="H255" s="212">
        <f>+G255*'Dec-19 GL'!$G$79</f>
        <v>87.338870305111826</v>
      </c>
      <c r="I255" s="212">
        <f>+G255*'Dec-19 GL'!$G$85</f>
        <v>10.593995551818924</v>
      </c>
      <c r="J255" s="212">
        <f>1332.17*D255</f>
        <v>447.2285</v>
      </c>
      <c r="K255" s="212">
        <f t="shared" si="187"/>
        <v>-126.91007142857141</v>
      </c>
      <c r="L255" s="212">
        <f>123.49*D255</f>
        <v>41.457357142857141</v>
      </c>
      <c r="M255" s="212">
        <f t="shared" si="187"/>
        <v>-11.676142857142857</v>
      </c>
      <c r="N255" s="212">
        <f>+$G255*'Dec-19 GL'!$G$62</f>
        <v>30.673312702359443</v>
      </c>
      <c r="O255" s="212">
        <f t="shared" ref="O255:P255" si="200">+O216+O229</f>
        <v>0</v>
      </c>
      <c r="P255" s="212">
        <f t="shared" si="200"/>
        <v>0</v>
      </c>
      <c r="Q255" s="348">
        <f t="shared" si="183"/>
        <v>478.70582141643303</v>
      </c>
      <c r="R255" s="1" t="s">
        <v>24</v>
      </c>
    </row>
    <row r="256" spans="1:18" s="1" customFormat="1">
      <c r="A256" s="125" t="s">
        <v>164</v>
      </c>
      <c r="B256" s="136">
        <f t="shared" ref="B256:C256" si="201">+B230+B243</f>
        <v>86</v>
      </c>
      <c r="C256" s="136">
        <f t="shared" si="201"/>
        <v>140</v>
      </c>
      <c r="D256" s="214">
        <f>B256/C255</f>
        <v>0.61428571428571432</v>
      </c>
      <c r="E256" s="212">
        <f t="shared" si="185"/>
        <v>0</v>
      </c>
      <c r="F256" s="212">
        <f>ROUND(D256*E255,2)</f>
        <v>1890.12</v>
      </c>
      <c r="G256" s="448">
        <f t="shared" si="186"/>
        <v>0.11270235944403698</v>
      </c>
      <c r="H256" s="212">
        <f>+G256*'Dec-19 GL'!$G$79</f>
        <v>159.81194569164444</v>
      </c>
      <c r="I256" s="212">
        <f>+G256*'Dec-19 GL'!$G$85</f>
        <v>19.384805824374361</v>
      </c>
      <c r="J256" s="212">
        <f>1332.17*D256</f>
        <v>818.33300000000008</v>
      </c>
      <c r="K256" s="212">
        <f t="shared" si="187"/>
        <v>-232.21842857142857</v>
      </c>
      <c r="L256" s="212">
        <f>123.49*D256</f>
        <v>75.858142857142852</v>
      </c>
      <c r="M256" s="212">
        <f t="shared" si="187"/>
        <v>-21.364857142857144</v>
      </c>
      <c r="N256" s="212">
        <f>+$G256*'Dec-19 GL'!$G$62</f>
        <v>56.125775003130414</v>
      </c>
      <c r="O256" s="212">
        <f t="shared" ref="O256:P257" si="202">+O217+O230</f>
        <v>0</v>
      </c>
      <c r="P256" s="212">
        <f t="shared" si="202"/>
        <v>0</v>
      </c>
      <c r="Q256" s="348">
        <f t="shared" si="183"/>
        <v>875.93038366200653</v>
      </c>
    </row>
    <row r="257" spans="1:18" s="1" customFormat="1">
      <c r="A257" s="125" t="s">
        <v>435</v>
      </c>
      <c r="B257" s="136">
        <f t="shared" ref="B257:C257" si="203">+B231+B244</f>
        <v>14</v>
      </c>
      <c r="C257" s="136">
        <f t="shared" si="203"/>
        <v>140</v>
      </c>
      <c r="D257" s="128">
        <f>B257/C257</f>
        <v>0.1</v>
      </c>
      <c r="E257" s="212">
        <f t="shared" si="185"/>
        <v>8461.5400000000009</v>
      </c>
      <c r="F257" s="212">
        <f>ROUND(D257*E257,2)</f>
        <v>846.15</v>
      </c>
      <c r="G257" s="448">
        <f t="shared" si="186"/>
        <v>5.0453464035919354E-2</v>
      </c>
      <c r="H257" s="212">
        <f>+G257*'Dec-19 GL'!$G$79</f>
        <v>71.543012002933651</v>
      </c>
      <c r="I257" s="212">
        <f>+G257*'Dec-19 GL'!$G$85</f>
        <v>8.6779958141781286</v>
      </c>
      <c r="J257" s="212">
        <f>1068.35*D257</f>
        <v>106.83499999999999</v>
      </c>
      <c r="K257" s="212">
        <f t="shared" si="187"/>
        <v>-19.724000000000004</v>
      </c>
      <c r="L257" s="212">
        <f>75.87*D257</f>
        <v>7.5870000000000006</v>
      </c>
      <c r="M257" s="212">
        <f t="shared" si="187"/>
        <v>-1.5880000000000001</v>
      </c>
      <c r="N257" s="212">
        <f>+$G257*'Dec-19 GL'!$G$62</f>
        <v>25.12582508988784</v>
      </c>
      <c r="O257" s="212">
        <f t="shared" si="202"/>
        <v>0</v>
      </c>
      <c r="P257" s="212"/>
      <c r="Q257" s="348">
        <f t="shared" si="183"/>
        <v>198.45683290699964</v>
      </c>
      <c r="R257" s="1" t="s">
        <v>24</v>
      </c>
    </row>
    <row r="258" spans="1:18" s="1" customFormat="1">
      <c r="A258" s="449" t="s">
        <v>323</v>
      </c>
      <c r="B258" s="450"/>
      <c r="C258" s="333"/>
      <c r="D258" s="380"/>
      <c r="E258" s="250">
        <f>SUBTOTAL(109,'Salaries &amp; Fringe Allocations'!E249:E257)</f>
        <v>29586.3</v>
      </c>
      <c r="F258" s="250">
        <f>SUBTOTAL(109,'Salaries &amp; Fringe Allocations'!F249:F257)</f>
        <v>16770.900000000001</v>
      </c>
      <c r="G258" s="391">
        <f>SUM(G249:G257)</f>
        <v>0.99999999999999989</v>
      </c>
      <c r="H258" s="250">
        <f>SUBTOTAL(109,'Salaries &amp; Fringe Allocations'!H249:H257)</f>
        <v>1418</v>
      </c>
      <c r="I258" s="250">
        <f>SUBTOTAL(109,'Salaries &amp; Fringe Allocations'!I249:I257)</f>
        <v>171.99999999999997</v>
      </c>
      <c r="J258" s="250">
        <f>SUBTOTAL(109,'Salaries &amp; Fringe Allocations'!J249:J257)</f>
        <v>3688.0965000000001</v>
      </c>
      <c r="K258" s="250">
        <f>SUBTOTAL(109,'Salaries &amp; Fringe Allocations'!K249:K257)</f>
        <v>-806.3805000000001</v>
      </c>
      <c r="L258" s="250">
        <f>SUBTOTAL(109,'Salaries &amp; Fringe Allocations'!L249:L257)</f>
        <v>264.69450000000001</v>
      </c>
      <c r="M258" s="250">
        <f>SUBTOTAL(109,'Salaries &amp; Fringe Allocations'!M249:M257)</f>
        <v>-50.925000000000004</v>
      </c>
      <c r="N258" s="250">
        <f>SUBTOTAL(109,'Salaries &amp; Fringe Allocations'!N249:N257)</f>
        <v>497.99999999999994</v>
      </c>
      <c r="O258" s="250">
        <f>SUBTOTAL(109,'Salaries &amp; Fringe Allocations'!O249:O257)</f>
        <v>0</v>
      </c>
      <c r="P258" s="250">
        <f>SUBTOTAL(109,'Salaries &amp; Fringe Allocations'!P249:P257)</f>
        <v>0</v>
      </c>
      <c r="Q258" s="250">
        <f>SUBTOTAL(109,'Salaries &amp; Fringe Allocations'!Q249:Q257)</f>
        <v>5183.4854999999998</v>
      </c>
    </row>
    <row r="259" spans="1:18" s="3" customFormat="1">
      <c r="A259" s="252"/>
      <c r="B259" s="217"/>
      <c r="C259" s="217"/>
      <c r="D259" s="216"/>
      <c r="E259" s="372" t="s">
        <v>509</v>
      </c>
      <c r="F259" s="373">
        <f>+'Dec-19 GL'!G39</f>
        <v>16771</v>
      </c>
      <c r="G259" s="373"/>
      <c r="H259" s="373"/>
      <c r="I259" s="373"/>
      <c r="J259" s="373"/>
      <c r="K259" s="373"/>
      <c r="L259" s="373"/>
      <c r="M259" s="373"/>
      <c r="N259" s="373"/>
      <c r="O259" s="373"/>
      <c r="P259" s="373"/>
      <c r="Q259" s="373"/>
    </row>
    <row r="260" spans="1:18" s="1" customFormat="1" ht="15" thickBot="1">
      <c r="A260" s="253"/>
      <c r="B260" s="254"/>
      <c r="C260" s="254"/>
      <c r="D260" s="255"/>
      <c r="E260" s="374" t="s">
        <v>510</v>
      </c>
      <c r="F260" s="256">
        <f>+F258-F259</f>
        <v>-9.9999999998544808E-2</v>
      </c>
      <c r="G260" s="257"/>
      <c r="H260" s="257"/>
      <c r="I260" s="257"/>
      <c r="J260" s="256"/>
      <c r="K260" s="256"/>
      <c r="L260" s="257"/>
      <c r="M260" s="257"/>
      <c r="N260" s="257"/>
      <c r="O260" s="257"/>
      <c r="P260" s="257"/>
      <c r="Q260" s="257"/>
    </row>
    <row r="261" spans="1:18" ht="15" thickTop="1"/>
    <row r="262" spans="1:18" s="3" customFormat="1">
      <c r="B262" s="137"/>
      <c r="C262" s="137"/>
    </row>
    <row r="263" spans="1:18" s="3" customFormat="1">
      <c r="A263" s="23" t="s">
        <v>704</v>
      </c>
      <c r="B263" s="130" t="s">
        <v>159</v>
      </c>
      <c r="C263" s="131"/>
      <c r="D263" s="378">
        <v>43840</v>
      </c>
      <c r="E263" s="24"/>
      <c r="F263" s="24"/>
      <c r="G263" s="24"/>
      <c r="H263" s="25"/>
      <c r="I263" s="28"/>
      <c r="J263" s="26"/>
      <c r="K263" s="26"/>
      <c r="L263" s="26"/>
      <c r="M263" s="26"/>
      <c r="N263" s="27"/>
      <c r="O263" s="28"/>
      <c r="P263" s="29"/>
      <c r="Q263" s="30"/>
    </row>
    <row r="264" spans="1:18" s="3" customFormat="1" ht="43.5">
      <c r="A264" s="53" t="s">
        <v>61</v>
      </c>
      <c r="B264" s="132" t="s">
        <v>68</v>
      </c>
      <c r="C264" s="132" t="s">
        <v>69</v>
      </c>
      <c r="D264" s="54" t="s">
        <v>62</v>
      </c>
      <c r="E264" s="54" t="s">
        <v>63</v>
      </c>
      <c r="F264" s="54" t="s">
        <v>67</v>
      </c>
      <c r="G264" s="54"/>
      <c r="H264" s="55" t="s">
        <v>289</v>
      </c>
      <c r="I264" s="54" t="s">
        <v>288</v>
      </c>
      <c r="J264" s="55" t="s">
        <v>291</v>
      </c>
      <c r="K264" s="55" t="s">
        <v>292</v>
      </c>
      <c r="L264" s="55" t="s">
        <v>283</v>
      </c>
      <c r="M264" s="55" t="s">
        <v>293</v>
      </c>
      <c r="N264" s="54" t="s">
        <v>290</v>
      </c>
      <c r="O264" s="54" t="s">
        <v>64</v>
      </c>
      <c r="P264" s="54" t="s">
        <v>139</v>
      </c>
      <c r="Q264" s="54" t="s">
        <v>65</v>
      </c>
    </row>
    <row r="265" spans="1:18" s="3" customFormat="1">
      <c r="A265" s="125" t="s">
        <v>294</v>
      </c>
      <c r="B265" s="133">
        <f>7.5+6.5</f>
        <v>14</v>
      </c>
      <c r="C265" s="133">
        <v>70</v>
      </c>
      <c r="D265" s="207">
        <f t="shared" ref="D265" si="204">B265/C265</f>
        <v>0.2</v>
      </c>
      <c r="E265" s="212">
        <f>3246.39+10000</f>
        <v>13246.39</v>
      </c>
      <c r="F265" s="212">
        <f t="shared" ref="F265:F266" si="205">ROUND(D265*E265,2)</f>
        <v>2649.28</v>
      </c>
      <c r="G265" s="208"/>
      <c r="H265" s="211"/>
      <c r="I265" s="211"/>
      <c r="J265" s="211"/>
      <c r="K265" s="212">
        <f>-98.62*D265</f>
        <v>-19.724000000000004</v>
      </c>
      <c r="L265" s="211"/>
      <c r="M265" s="58">
        <f>-7.94*D265</f>
        <v>-1.5880000000000001</v>
      </c>
      <c r="N265" s="211"/>
      <c r="O265" s="57"/>
      <c r="P265" s="57"/>
      <c r="Q265" s="59">
        <f t="shared" ref="Q265:Q273" si="206">SUM(H265:P265)</f>
        <v>-21.312000000000005</v>
      </c>
    </row>
    <row r="266" spans="1:18" s="3" customFormat="1" ht="15" customHeight="1">
      <c r="A266" s="125" t="s">
        <v>161</v>
      </c>
      <c r="B266" s="133">
        <f>14+15</f>
        <v>29</v>
      </c>
      <c r="C266" s="133">
        <v>70</v>
      </c>
      <c r="D266" s="207">
        <f>B266/C266</f>
        <v>0.41428571428571431</v>
      </c>
      <c r="E266" s="212">
        <v>2500</v>
      </c>
      <c r="F266" s="212">
        <f t="shared" si="205"/>
        <v>1035.71</v>
      </c>
      <c r="G266" s="213"/>
      <c r="H266" s="211"/>
      <c r="I266" s="211"/>
      <c r="J266" s="211"/>
      <c r="K266" s="212">
        <f>-95.42*D266</f>
        <v>-39.531142857142861</v>
      </c>
      <c r="L266" s="211"/>
      <c r="M266" s="58">
        <f>-3.28*D266</f>
        <v>-1.3588571428571428</v>
      </c>
      <c r="N266" s="211"/>
      <c r="O266" s="57"/>
      <c r="P266" s="57"/>
      <c r="Q266" s="59">
        <f t="shared" si="206"/>
        <v>-40.89</v>
      </c>
    </row>
    <row r="267" spans="1:18" s="3" customFormat="1">
      <c r="A267" s="125" t="s">
        <v>162</v>
      </c>
      <c r="B267" s="133">
        <f>21+20</f>
        <v>41</v>
      </c>
      <c r="C267" s="133">
        <v>70</v>
      </c>
      <c r="D267" s="207">
        <f>B267/C267</f>
        <v>0.58571428571428574</v>
      </c>
      <c r="E267" s="212">
        <v>0</v>
      </c>
      <c r="F267" s="212">
        <f>ROUND(D267*E266,2)</f>
        <v>1464.29</v>
      </c>
      <c r="G267" s="213"/>
      <c r="H267" s="211"/>
      <c r="I267" s="211"/>
      <c r="J267" s="211"/>
      <c r="K267" s="212">
        <f>-95.42*D267</f>
        <v>-55.888857142857148</v>
      </c>
      <c r="L267" s="211"/>
      <c r="M267" s="58">
        <f>-3.28*D267</f>
        <v>-1.921142857142857</v>
      </c>
      <c r="N267" s="211"/>
      <c r="O267" s="57"/>
      <c r="P267" s="57"/>
      <c r="Q267" s="59">
        <f t="shared" si="206"/>
        <v>-57.81</v>
      </c>
    </row>
    <row r="268" spans="1:18" s="3" customFormat="1" ht="15" customHeight="1">
      <c r="A268" s="125" t="s">
        <v>165</v>
      </c>
      <c r="B268" s="133">
        <v>70</v>
      </c>
      <c r="C268" s="133">
        <v>70</v>
      </c>
      <c r="D268" s="207">
        <f t="shared" ref="D268:D273" si="207">B268/C268</f>
        <v>1</v>
      </c>
      <c r="E268" s="212">
        <v>1538.47</v>
      </c>
      <c r="F268" s="212">
        <f t="shared" ref="F268:F270" si="208">ROUND(D268*E268,2)</f>
        <v>1538.47</v>
      </c>
      <c r="G268" s="213"/>
      <c r="H268" s="211"/>
      <c r="I268" s="211"/>
      <c r="J268" s="211"/>
      <c r="K268" s="212">
        <v>0</v>
      </c>
      <c r="L268" s="211"/>
      <c r="M268" s="58"/>
      <c r="N268" s="211"/>
      <c r="O268" s="57"/>
      <c r="P268" s="57"/>
      <c r="Q268" s="59">
        <f t="shared" si="206"/>
        <v>0</v>
      </c>
    </row>
    <row r="269" spans="1:18" s="3" customFormat="1">
      <c r="A269" s="125" t="s">
        <v>166</v>
      </c>
      <c r="B269" s="133">
        <v>70</v>
      </c>
      <c r="C269" s="133">
        <f>+B269</f>
        <v>70</v>
      </c>
      <c r="D269" s="207">
        <f t="shared" si="207"/>
        <v>1</v>
      </c>
      <c r="E269" s="212">
        <v>1153.8499999999999</v>
      </c>
      <c r="F269" s="212">
        <f t="shared" si="208"/>
        <v>1153.8499999999999</v>
      </c>
      <c r="G269" s="213"/>
      <c r="H269" s="211"/>
      <c r="I269" s="211"/>
      <c r="J269" s="211"/>
      <c r="K269" s="212">
        <f>-98.62*D269</f>
        <v>-98.62</v>
      </c>
      <c r="L269" s="211"/>
      <c r="M269" s="58">
        <v>-3.28</v>
      </c>
      <c r="N269" s="211"/>
      <c r="O269" s="57"/>
      <c r="P269" s="57"/>
      <c r="Q269" s="59">
        <f t="shared" si="206"/>
        <v>-101.9</v>
      </c>
    </row>
    <row r="270" spans="1:18" s="3" customFormat="1" ht="15" customHeight="1">
      <c r="A270" s="125" t="s">
        <v>513</v>
      </c>
      <c r="B270" s="133">
        <v>29.5</v>
      </c>
      <c r="C270" s="133">
        <f>+B270</f>
        <v>29.5</v>
      </c>
      <c r="D270" s="207">
        <f t="shared" si="207"/>
        <v>1</v>
      </c>
      <c r="E270" s="212">
        <v>425.39</v>
      </c>
      <c r="F270" s="212">
        <f t="shared" si="208"/>
        <v>425.39</v>
      </c>
      <c r="G270" s="213"/>
      <c r="H270" s="211"/>
      <c r="I270" s="211"/>
      <c r="J270" s="211"/>
      <c r="K270" s="212">
        <v>0</v>
      </c>
      <c r="L270" s="211"/>
      <c r="M270" s="348"/>
      <c r="N270" s="211"/>
      <c r="O270" s="57"/>
      <c r="P270" s="57"/>
      <c r="Q270" s="59">
        <f t="shared" si="206"/>
        <v>0</v>
      </c>
    </row>
    <row r="271" spans="1:18" s="3" customFormat="1">
      <c r="A271" s="125" t="s">
        <v>163</v>
      </c>
      <c r="B271" s="133">
        <f>11.75+12.85</f>
        <v>24.6</v>
      </c>
      <c r="C271" s="133">
        <v>70</v>
      </c>
      <c r="D271" s="207">
        <f t="shared" si="207"/>
        <v>0.35142857142857142</v>
      </c>
      <c r="E271" s="212">
        <v>1538.47</v>
      </c>
      <c r="F271" s="57">
        <f>ROUND(D271*E271,2)</f>
        <v>540.66</v>
      </c>
      <c r="G271" s="213"/>
      <c r="H271" s="211"/>
      <c r="I271" s="211"/>
      <c r="J271" s="211"/>
      <c r="K271" s="212">
        <f>-122.97*D271</f>
        <v>-43.215171428571431</v>
      </c>
      <c r="L271" s="211"/>
      <c r="M271" s="58">
        <f>-14.35*D271</f>
        <v>-5.0430000000000001</v>
      </c>
      <c r="N271" s="211"/>
      <c r="O271" s="57"/>
      <c r="P271" s="57"/>
      <c r="Q271" s="59">
        <f t="shared" si="206"/>
        <v>-48.25817142857143</v>
      </c>
    </row>
    <row r="272" spans="1:18" s="3" customFormat="1">
      <c r="A272" s="125" t="s">
        <v>164</v>
      </c>
      <c r="B272" s="133">
        <f>21.5+20.4</f>
        <v>41.9</v>
      </c>
      <c r="C272" s="133">
        <v>70</v>
      </c>
      <c r="D272" s="207">
        <f t="shared" si="207"/>
        <v>0.59857142857142853</v>
      </c>
      <c r="E272" s="212"/>
      <c r="F272" s="57">
        <f>ROUND(D272*E271,2)</f>
        <v>920.88</v>
      </c>
      <c r="G272" s="213"/>
      <c r="H272" s="211"/>
      <c r="I272" s="211"/>
      <c r="J272" s="211"/>
      <c r="K272" s="212">
        <f>-122.97*D272</f>
        <v>-73.606328571428563</v>
      </c>
      <c r="L272" s="211"/>
      <c r="M272" s="58">
        <f>-14.35*D272</f>
        <v>-8.5894999999999992</v>
      </c>
      <c r="N272" s="211"/>
      <c r="O272" s="57"/>
      <c r="P272" s="57"/>
      <c r="Q272" s="59">
        <f t="shared" si="206"/>
        <v>-82.195828571428564</v>
      </c>
    </row>
    <row r="273" spans="1:17" s="3" customFormat="1">
      <c r="A273" s="125" t="s">
        <v>363</v>
      </c>
      <c r="B273" s="133">
        <v>7</v>
      </c>
      <c r="C273" s="133">
        <v>70</v>
      </c>
      <c r="D273" s="127">
        <f t="shared" si="207"/>
        <v>0.1</v>
      </c>
      <c r="E273" s="212">
        <v>0</v>
      </c>
      <c r="F273" s="212">
        <f>ROUND(D273*E273,2)</f>
        <v>0</v>
      </c>
      <c r="G273" s="212"/>
      <c r="H273" s="211"/>
      <c r="I273" s="211"/>
      <c r="J273" s="211"/>
      <c r="K273" s="57">
        <v>0</v>
      </c>
      <c r="L273" s="211"/>
      <c r="M273" s="58">
        <v>0</v>
      </c>
      <c r="N273" s="211"/>
      <c r="O273" s="59"/>
      <c r="P273" s="59"/>
      <c r="Q273" s="59">
        <f t="shared" si="206"/>
        <v>0</v>
      </c>
    </row>
    <row r="274" spans="1:17" s="3" customFormat="1">
      <c r="A274" s="60" t="s">
        <v>66</v>
      </c>
      <c r="B274" s="135"/>
      <c r="C274" s="333"/>
      <c r="D274" s="380"/>
      <c r="E274" s="62">
        <f>SUBTOTAL(109,'Salaries &amp; Fringe Allocations'!E265:E273)</f>
        <v>20402.57</v>
      </c>
      <c r="F274" s="62">
        <f>SUBTOTAL(109,'Salaries &amp; Fringe Allocations'!F265:F273)</f>
        <v>9728.5299999999988</v>
      </c>
      <c r="G274" s="209"/>
      <c r="H274" s="62">
        <f>SUBTOTAL(109,'Salaries &amp; Fringe Allocations'!H265:H273)</f>
        <v>0</v>
      </c>
      <c r="I274" s="62">
        <f>SUBTOTAL(109,'Salaries &amp; Fringe Allocations'!I265:I273)</f>
        <v>0</v>
      </c>
      <c r="J274" s="62">
        <f>SUBTOTAL(109,'Salaries &amp; Fringe Allocations'!J265:J273)</f>
        <v>0</v>
      </c>
      <c r="K274" s="62">
        <f>SUBTOTAL(109,'Salaries &amp; Fringe Allocations'!K265:K273)</f>
        <v>-330.58549999999997</v>
      </c>
      <c r="L274" s="62">
        <f>SUBTOTAL(109,'Salaries &amp; Fringe Allocations'!L265:L273)</f>
        <v>0</v>
      </c>
      <c r="M274" s="62">
        <f>SUBTOTAL(109,'Salaries &amp; Fringe Allocations'!M265:M273)</f>
        <v>-21.780499999999996</v>
      </c>
      <c r="N274" s="62">
        <f>SUBTOTAL(109,'Salaries &amp; Fringe Allocations'!N265:N273)</f>
        <v>0</v>
      </c>
      <c r="O274" s="62">
        <f>SUBTOTAL(109,'Salaries &amp; Fringe Allocations'!O265:O273)</f>
        <v>0</v>
      </c>
      <c r="P274" s="62">
        <f>SUBTOTAL(109,'Salaries &amp; Fringe Allocations'!P265:P273)</f>
        <v>0</v>
      </c>
      <c r="Q274" s="62">
        <f>SUBTOTAL(109,'Salaries &amp; Fringe Allocations'!Q265:Q273)</f>
        <v>-352.36599999999999</v>
      </c>
    </row>
    <row r="275" spans="1:17" s="3" customFormat="1">
      <c r="B275" s="137"/>
      <c r="C275" s="137"/>
      <c r="D275" s="1"/>
    </row>
    <row r="276" spans="1:17" s="3" customFormat="1">
      <c r="A276" s="23" t="s">
        <v>748</v>
      </c>
      <c r="B276" s="130" t="s">
        <v>159</v>
      </c>
      <c r="C276" s="131"/>
      <c r="D276" s="378">
        <v>43854</v>
      </c>
      <c r="E276" s="24"/>
      <c r="F276" s="24"/>
      <c r="G276" s="24"/>
      <c r="H276" s="25"/>
      <c r="I276" s="28"/>
      <c r="J276" s="26"/>
      <c r="K276" s="26"/>
      <c r="L276" s="26"/>
      <c r="M276" s="26"/>
      <c r="N276" s="27"/>
      <c r="O276" s="28"/>
      <c r="P276" s="29"/>
      <c r="Q276" s="30"/>
    </row>
    <row r="277" spans="1:17" s="3" customFormat="1" ht="43.5">
      <c r="A277" s="53" t="s">
        <v>61</v>
      </c>
      <c r="B277" s="132" t="s">
        <v>68</v>
      </c>
      <c r="C277" s="132" t="s">
        <v>69</v>
      </c>
      <c r="D277" s="54" t="s">
        <v>62</v>
      </c>
      <c r="E277" s="54" t="s">
        <v>63</v>
      </c>
      <c r="F277" s="54" t="s">
        <v>67</v>
      </c>
      <c r="G277" s="54"/>
      <c r="H277" s="55" t="s">
        <v>289</v>
      </c>
      <c r="I277" s="54" t="s">
        <v>288</v>
      </c>
      <c r="J277" s="55" t="s">
        <v>291</v>
      </c>
      <c r="K277" s="55" t="s">
        <v>292</v>
      </c>
      <c r="L277" s="55" t="s">
        <v>283</v>
      </c>
      <c r="M277" s="55" t="s">
        <v>293</v>
      </c>
      <c r="N277" s="54" t="s">
        <v>290</v>
      </c>
      <c r="O277" s="54" t="s">
        <v>64</v>
      </c>
      <c r="P277" s="54" t="s">
        <v>139</v>
      </c>
      <c r="Q277" s="54" t="s">
        <v>65</v>
      </c>
    </row>
    <row r="278" spans="1:17" s="3" customFormat="1">
      <c r="A278" s="125" t="s">
        <v>294</v>
      </c>
      <c r="B278" s="133">
        <f>7.5+6.5</f>
        <v>14</v>
      </c>
      <c r="C278" s="133">
        <v>70</v>
      </c>
      <c r="D278" s="207">
        <f t="shared" ref="D278:D279" si="209">B278/C278</f>
        <v>0.2</v>
      </c>
      <c r="E278" s="212">
        <v>3461.54</v>
      </c>
      <c r="F278" s="212">
        <f t="shared" ref="F278:F279" si="210">ROUND(D278*E278,2)</f>
        <v>692.31</v>
      </c>
      <c r="G278" s="208"/>
      <c r="H278" s="211"/>
      <c r="I278" s="211"/>
      <c r="J278" s="211"/>
      <c r="K278" s="212">
        <f>-98.62*D278</f>
        <v>-19.724000000000004</v>
      </c>
      <c r="L278" s="211"/>
      <c r="M278" s="58">
        <f>-7.94*D278</f>
        <v>-1.5880000000000001</v>
      </c>
      <c r="N278" s="211"/>
      <c r="O278" s="57"/>
      <c r="P278" s="57"/>
      <c r="Q278" s="59">
        <f t="shared" ref="Q278:Q286" si="211">SUM(H278:P278)</f>
        <v>-21.312000000000005</v>
      </c>
    </row>
    <row r="279" spans="1:17" s="3" customFormat="1" ht="15" customHeight="1">
      <c r="A279" s="125" t="s">
        <v>161</v>
      </c>
      <c r="B279" s="133">
        <f>14+15</f>
        <v>29</v>
      </c>
      <c r="C279" s="133">
        <v>70</v>
      </c>
      <c r="D279" s="207">
        <f t="shared" si="209"/>
        <v>0.41428571428571431</v>
      </c>
      <c r="E279" s="212">
        <v>2500</v>
      </c>
      <c r="F279" s="212">
        <f t="shared" si="210"/>
        <v>1035.71</v>
      </c>
      <c r="G279" s="213"/>
      <c r="H279" s="211"/>
      <c r="I279" s="211"/>
      <c r="J279" s="211"/>
      <c r="K279" s="212">
        <f>-95.42*D279</f>
        <v>-39.531142857142861</v>
      </c>
      <c r="L279" s="211"/>
      <c r="M279" s="58">
        <f>-3.28*D279</f>
        <v>-1.3588571428571428</v>
      </c>
      <c r="N279" s="211"/>
      <c r="O279" s="57"/>
      <c r="P279" s="57"/>
      <c r="Q279" s="59">
        <f t="shared" si="211"/>
        <v>-40.89</v>
      </c>
    </row>
    <row r="280" spans="1:17" s="3" customFormat="1">
      <c r="A280" s="125" t="s">
        <v>162</v>
      </c>
      <c r="B280" s="133">
        <f>21+20</f>
        <v>41</v>
      </c>
      <c r="C280" s="133">
        <v>70</v>
      </c>
      <c r="D280" s="207">
        <f>B280/C280</f>
        <v>0.58571428571428574</v>
      </c>
      <c r="E280" s="212">
        <v>0</v>
      </c>
      <c r="F280" s="212">
        <f>ROUND(D280*E279,2)</f>
        <v>1464.29</v>
      </c>
      <c r="G280" s="213"/>
      <c r="H280" s="211"/>
      <c r="I280" s="211"/>
      <c r="J280" s="211"/>
      <c r="K280" s="212">
        <f>-95.42*D280</f>
        <v>-55.888857142857148</v>
      </c>
      <c r="L280" s="211"/>
      <c r="M280" s="58">
        <f>-3.28*D280</f>
        <v>-1.921142857142857</v>
      </c>
      <c r="N280" s="211"/>
      <c r="O280" s="57"/>
      <c r="P280" s="57"/>
      <c r="Q280" s="59">
        <f t="shared" si="211"/>
        <v>-57.81</v>
      </c>
    </row>
    <row r="281" spans="1:17" s="3" customFormat="1" ht="15" customHeight="1">
      <c r="A281" s="125" t="s">
        <v>165</v>
      </c>
      <c r="B281" s="133">
        <v>70</v>
      </c>
      <c r="C281" s="133">
        <v>70</v>
      </c>
      <c r="D281" s="207">
        <f t="shared" ref="D281:D286" si="212">B281/C281</f>
        <v>1</v>
      </c>
      <c r="E281" s="212">
        <v>1538.47</v>
      </c>
      <c r="F281" s="212">
        <f t="shared" ref="F281:F283" si="213">ROUND(D281*E281,2)</f>
        <v>1538.47</v>
      </c>
      <c r="G281" s="213"/>
      <c r="H281" s="211"/>
      <c r="I281" s="211"/>
      <c r="J281" s="211"/>
      <c r="K281" s="212">
        <v>0</v>
      </c>
      <c r="L281" s="211"/>
      <c r="M281" s="58"/>
      <c r="N281" s="211"/>
      <c r="O281" s="57"/>
      <c r="P281" s="57"/>
      <c r="Q281" s="59">
        <f t="shared" si="211"/>
        <v>0</v>
      </c>
    </row>
    <row r="282" spans="1:17" s="3" customFormat="1">
      <c r="A282" s="125" t="s">
        <v>166</v>
      </c>
      <c r="B282" s="133">
        <v>70</v>
      </c>
      <c r="C282" s="133">
        <f>+B282</f>
        <v>70</v>
      </c>
      <c r="D282" s="207">
        <f t="shared" si="212"/>
        <v>1</v>
      </c>
      <c r="E282" s="212">
        <v>1153.8499999999999</v>
      </c>
      <c r="F282" s="212">
        <f t="shared" si="213"/>
        <v>1153.8499999999999</v>
      </c>
      <c r="G282" s="213"/>
      <c r="H282" s="211"/>
      <c r="I282" s="211"/>
      <c r="J282" s="211"/>
      <c r="K282" s="212">
        <f>-98.62*D282</f>
        <v>-98.62</v>
      </c>
      <c r="L282" s="211"/>
      <c r="M282" s="58">
        <v>-3.28</v>
      </c>
      <c r="N282" s="211"/>
      <c r="O282" s="57"/>
      <c r="P282" s="57"/>
      <c r="Q282" s="59">
        <f t="shared" si="211"/>
        <v>-101.9</v>
      </c>
    </row>
    <row r="283" spans="1:17" s="3" customFormat="1" ht="15" customHeight="1">
      <c r="A283" s="125" t="s">
        <v>513</v>
      </c>
      <c r="B283" s="133">
        <v>52</v>
      </c>
      <c r="C283" s="133">
        <f>+B283</f>
        <v>52</v>
      </c>
      <c r="D283" s="207">
        <f t="shared" si="212"/>
        <v>1</v>
      </c>
      <c r="E283" s="212">
        <v>749.84</v>
      </c>
      <c r="F283" s="212">
        <f t="shared" si="213"/>
        <v>749.84</v>
      </c>
      <c r="G283" s="213"/>
      <c r="H283" s="211"/>
      <c r="I283" s="211"/>
      <c r="J283" s="211"/>
      <c r="K283" s="212">
        <v>0</v>
      </c>
      <c r="L283" s="211"/>
      <c r="M283" s="348"/>
      <c r="N283" s="211"/>
      <c r="O283" s="57"/>
      <c r="P283" s="57"/>
      <c r="Q283" s="59">
        <f t="shared" si="211"/>
        <v>0</v>
      </c>
    </row>
    <row r="284" spans="1:17" s="3" customFormat="1">
      <c r="A284" s="125" t="s">
        <v>163</v>
      </c>
      <c r="B284" s="133">
        <f>11.75*2</f>
        <v>23.5</v>
      </c>
      <c r="C284" s="133">
        <v>70</v>
      </c>
      <c r="D284" s="207">
        <f t="shared" si="212"/>
        <v>0.33571428571428569</v>
      </c>
      <c r="E284" s="212">
        <v>1538.47</v>
      </c>
      <c r="F284" s="57">
        <f>ROUND(D284*E284,2)</f>
        <v>516.49</v>
      </c>
      <c r="G284" s="213"/>
      <c r="H284" s="211"/>
      <c r="I284" s="211"/>
      <c r="J284" s="211"/>
      <c r="K284" s="212">
        <f>-122.97*D284</f>
        <v>-41.282785714285708</v>
      </c>
      <c r="L284" s="211"/>
      <c r="M284" s="58">
        <f>-14.35*D284</f>
        <v>-4.8174999999999999</v>
      </c>
      <c r="N284" s="211"/>
      <c r="O284" s="57"/>
      <c r="P284" s="57"/>
      <c r="Q284" s="59">
        <f t="shared" si="211"/>
        <v>-46.100285714285711</v>
      </c>
    </row>
    <row r="285" spans="1:17" s="3" customFormat="1">
      <c r="A285" s="125" t="s">
        <v>164</v>
      </c>
      <c r="B285" s="133">
        <f>21.5*2</f>
        <v>43</v>
      </c>
      <c r="C285" s="133">
        <v>70</v>
      </c>
      <c r="D285" s="207">
        <f t="shared" si="212"/>
        <v>0.61428571428571432</v>
      </c>
      <c r="E285" s="212"/>
      <c r="F285" s="57">
        <f>ROUND(D285*E284,2)</f>
        <v>945.06</v>
      </c>
      <c r="G285" s="213"/>
      <c r="H285" s="211"/>
      <c r="I285" s="211"/>
      <c r="J285" s="211"/>
      <c r="K285" s="212">
        <f>-122.97*D285</f>
        <v>-75.538714285714292</v>
      </c>
      <c r="L285" s="211"/>
      <c r="M285" s="58">
        <f>-14.35*D285</f>
        <v>-8.8149999999999995</v>
      </c>
      <c r="N285" s="211"/>
      <c r="O285" s="57"/>
      <c r="P285" s="57"/>
      <c r="Q285" s="59">
        <f t="shared" si="211"/>
        <v>-84.35371428571429</v>
      </c>
    </row>
    <row r="286" spans="1:17" s="3" customFormat="1">
      <c r="A286" s="125" t="s">
        <v>363</v>
      </c>
      <c r="B286" s="133">
        <v>7</v>
      </c>
      <c r="C286" s="133">
        <v>70</v>
      </c>
      <c r="D286" s="127">
        <f t="shared" si="212"/>
        <v>0.1</v>
      </c>
      <c r="E286" s="212">
        <v>0</v>
      </c>
      <c r="F286" s="212">
        <f>ROUND(D286*E286,2)</f>
        <v>0</v>
      </c>
      <c r="G286" s="212"/>
      <c r="H286" s="211"/>
      <c r="I286" s="211"/>
      <c r="J286" s="211"/>
      <c r="K286" s="57">
        <v>0</v>
      </c>
      <c r="L286" s="211"/>
      <c r="M286" s="58">
        <v>0</v>
      </c>
      <c r="N286" s="211"/>
      <c r="O286" s="59"/>
      <c r="P286" s="59"/>
      <c r="Q286" s="59">
        <f t="shared" si="211"/>
        <v>0</v>
      </c>
    </row>
    <row r="287" spans="1:17" s="3" customFormat="1">
      <c r="A287" s="60" t="s">
        <v>66</v>
      </c>
      <c r="B287" s="135"/>
      <c r="C287" s="333"/>
      <c r="D287" s="380"/>
      <c r="E287" s="62">
        <f>SUBTOTAL(109,'Salaries &amp; Fringe Allocations'!E278:E286)</f>
        <v>10942.17</v>
      </c>
      <c r="F287" s="62">
        <f>SUBTOTAL(109,'Salaries &amp; Fringe Allocations'!F278:F286)</f>
        <v>8096.0199999999986</v>
      </c>
      <c r="G287" s="209"/>
      <c r="H287" s="62">
        <f>SUBTOTAL(109,'Salaries &amp; Fringe Allocations'!H278:H286)</f>
        <v>0</v>
      </c>
      <c r="I287" s="62">
        <f>SUBTOTAL(109,'Salaries &amp; Fringe Allocations'!I278:I286)</f>
        <v>0</v>
      </c>
      <c r="J287" s="62">
        <f>SUBTOTAL(109,'Salaries &amp; Fringe Allocations'!J278:J286)</f>
        <v>0</v>
      </c>
      <c r="K287" s="62">
        <f>SUBTOTAL(109,'Salaries &amp; Fringe Allocations'!K278:K286)</f>
        <v>-330.58550000000002</v>
      </c>
      <c r="L287" s="62">
        <f>SUBTOTAL(109,'Salaries &amp; Fringe Allocations'!L278:L286)</f>
        <v>0</v>
      </c>
      <c r="M287" s="62">
        <f>SUBTOTAL(109,'Salaries &amp; Fringe Allocations'!M278:M286)</f>
        <v>-21.780499999999996</v>
      </c>
      <c r="N287" s="62">
        <f>SUBTOTAL(109,'Salaries &amp; Fringe Allocations'!N278:N286)</f>
        <v>0</v>
      </c>
      <c r="O287" s="62">
        <f>SUBTOTAL(109,'Salaries &amp; Fringe Allocations'!O278:O286)</f>
        <v>0</v>
      </c>
      <c r="P287" s="62">
        <f>SUBTOTAL(109,'Salaries &amp; Fringe Allocations'!P278:P286)</f>
        <v>0</v>
      </c>
      <c r="Q287" s="62">
        <f>SUBTOTAL(109,'Salaries &amp; Fringe Allocations'!Q278:Q286)</f>
        <v>-352.36599999999999</v>
      </c>
    </row>
    <row r="288" spans="1:17" s="3" customFormat="1">
      <c r="B288" s="137"/>
      <c r="C288" s="137"/>
      <c r="D288" s="1"/>
    </row>
    <row r="289" spans="1:18" s="3" customFormat="1" ht="31">
      <c r="A289" s="220" t="s">
        <v>705</v>
      </c>
      <c r="B289" s="131"/>
      <c r="C289" s="131"/>
      <c r="D289" s="381"/>
      <c r="E289" s="24"/>
      <c r="F289" s="24"/>
      <c r="G289" s="24"/>
      <c r="H289" s="25"/>
      <c r="I289" s="28"/>
      <c r="J289" s="26"/>
      <c r="K289" s="26"/>
      <c r="L289" s="26"/>
      <c r="M289" s="26"/>
      <c r="N289" s="27"/>
      <c r="O289" s="28"/>
      <c r="P289" s="29"/>
      <c r="Q289" s="30"/>
    </row>
    <row r="290" spans="1:18" s="3" customFormat="1" ht="43.5">
      <c r="A290" s="53" t="s">
        <v>61</v>
      </c>
      <c r="B290" s="132" t="s">
        <v>68</v>
      </c>
      <c r="C290" s="132" t="s">
        <v>69</v>
      </c>
      <c r="D290" s="54" t="s">
        <v>62</v>
      </c>
      <c r="E290" s="54" t="s">
        <v>63</v>
      </c>
      <c r="F290" s="54" t="s">
        <v>67</v>
      </c>
      <c r="G290" s="54" t="s">
        <v>295</v>
      </c>
      <c r="H290" s="55" t="s">
        <v>289</v>
      </c>
      <c r="I290" s="54" t="s">
        <v>288</v>
      </c>
      <c r="J290" s="55" t="s">
        <v>291</v>
      </c>
      <c r="K290" s="55" t="s">
        <v>292</v>
      </c>
      <c r="L290" s="55" t="s">
        <v>283</v>
      </c>
      <c r="M290" s="55" t="s">
        <v>293</v>
      </c>
      <c r="N290" s="54" t="s">
        <v>290</v>
      </c>
      <c r="O290" s="54" t="s">
        <v>64</v>
      </c>
      <c r="P290" s="54" t="s">
        <v>139</v>
      </c>
      <c r="Q290" s="54" t="s">
        <v>65</v>
      </c>
    </row>
    <row r="291" spans="1:18" s="1" customFormat="1">
      <c r="A291" s="125" t="s">
        <v>294</v>
      </c>
      <c r="B291" s="136">
        <f>+B265+B278</f>
        <v>28</v>
      </c>
      <c r="C291" s="136">
        <f>+C265+C278</f>
        <v>140</v>
      </c>
      <c r="D291" s="214">
        <f t="shared" ref="D291:D292" si="214">B291/C291</f>
        <v>0.2</v>
      </c>
      <c r="E291" s="212">
        <f>+E265+E278</f>
        <v>16707.93</v>
      </c>
      <c r="F291" s="212">
        <f t="shared" ref="F291:F292" si="215">ROUND(D291*E291,2)</f>
        <v>3341.59</v>
      </c>
      <c r="G291" s="448">
        <f>+F291/$F$300</f>
        <v>0.18747121245697648</v>
      </c>
      <c r="H291" s="212">
        <f>+G291*'Jan-2020 GL'!$G$77</f>
        <v>360.50714155476578</v>
      </c>
      <c r="I291" s="212">
        <f>+G291*'Jan-2020 GL'!$G$82</f>
        <v>46.680331901787142</v>
      </c>
      <c r="J291" s="212">
        <f>1068.35*D291</f>
        <v>213.67</v>
      </c>
      <c r="K291" s="212">
        <f>K265+K278</f>
        <v>-39.448000000000008</v>
      </c>
      <c r="L291" s="212">
        <f>75.16*D291</f>
        <v>15.032</v>
      </c>
      <c r="M291" s="212">
        <f>M265+M278</f>
        <v>-3.1760000000000002</v>
      </c>
      <c r="N291" s="212">
        <f>+$G291*'Jan-2020 GL'!$G$61</f>
        <v>89.79871076689173</v>
      </c>
      <c r="O291" s="212">
        <f t="shared" ref="O291:P291" si="216">+O252+O265</f>
        <v>0</v>
      </c>
      <c r="P291" s="212">
        <f t="shared" si="216"/>
        <v>0</v>
      </c>
      <c r="Q291" s="348">
        <f t="shared" ref="Q291:Q299" si="217">SUM(H291:P291)</f>
        <v>683.06418422344473</v>
      </c>
      <c r="R291" s="1" t="s">
        <v>24</v>
      </c>
    </row>
    <row r="292" spans="1:18" s="1" customFormat="1">
      <c r="A292" s="125" t="s">
        <v>161</v>
      </c>
      <c r="B292" s="136">
        <f t="shared" ref="B292:C292" si="218">+B266+B279</f>
        <v>58</v>
      </c>
      <c r="C292" s="136">
        <f t="shared" si="218"/>
        <v>140</v>
      </c>
      <c r="D292" s="214">
        <f t="shared" si="214"/>
        <v>0.41428571428571431</v>
      </c>
      <c r="E292" s="212">
        <f t="shared" ref="E292:E299" si="219">+E266+E279</f>
        <v>5000</v>
      </c>
      <c r="F292" s="212">
        <f t="shared" si="215"/>
        <v>2071.4299999999998</v>
      </c>
      <c r="G292" s="448">
        <f t="shared" ref="G292:G298" si="220">+F292/$F$300</f>
        <v>0.1162121904900825</v>
      </c>
      <c r="H292" s="212">
        <f>+G292*'Jan-2020 GL'!$G$77</f>
        <v>223.47604231242863</v>
      </c>
      <c r="I292" s="212">
        <f>+G292*'Jan-2020 GL'!$G$82</f>
        <v>28.936835432030541</v>
      </c>
      <c r="J292" s="212">
        <f>1033.68*D292</f>
        <v>428.23885714285717</v>
      </c>
      <c r="K292" s="212">
        <f t="shared" ref="K292" si="221">K266+K279</f>
        <v>-79.062285714285721</v>
      </c>
      <c r="L292" s="212">
        <f>82.32*D292</f>
        <v>34.103999999999999</v>
      </c>
      <c r="M292" s="212">
        <f t="shared" ref="M292" si="222">M266+M279</f>
        <v>-2.7177142857142855</v>
      </c>
      <c r="N292" s="212">
        <f>+$G292*'Jan-2020 GL'!$G$61</f>
        <v>55.665639244749514</v>
      </c>
      <c r="O292" s="212">
        <f t="shared" ref="O292:P292" si="223">+O253+O266</f>
        <v>0</v>
      </c>
      <c r="P292" s="212">
        <f t="shared" si="223"/>
        <v>0</v>
      </c>
      <c r="Q292" s="348">
        <f t="shared" si="217"/>
        <v>688.64137413206595</v>
      </c>
      <c r="R292" s="1" t="s">
        <v>24</v>
      </c>
    </row>
    <row r="293" spans="1:18" s="1" customFormat="1">
      <c r="A293" s="125" t="s">
        <v>162</v>
      </c>
      <c r="B293" s="136">
        <f t="shared" ref="B293:C293" si="224">+B267+B280</f>
        <v>82</v>
      </c>
      <c r="C293" s="136">
        <f t="shared" si="224"/>
        <v>140</v>
      </c>
      <c r="D293" s="214">
        <f>B293/C292</f>
        <v>0.58571428571428574</v>
      </c>
      <c r="E293" s="212">
        <f t="shared" si="219"/>
        <v>0</v>
      </c>
      <c r="F293" s="212">
        <f>ROUND(D293*E292,2)</f>
        <v>2928.57</v>
      </c>
      <c r="G293" s="448">
        <f t="shared" si="220"/>
        <v>0.16429979999495081</v>
      </c>
      <c r="H293" s="212">
        <f>+G293*'Jan-2020 GL'!$G$77</f>
        <v>315.94851539029042</v>
      </c>
      <c r="I293" s="212">
        <f>+G293*'Jan-2020 GL'!$G$82</f>
        <v>40.910650198742751</v>
      </c>
      <c r="J293" s="212">
        <f>1033.68*D293</f>
        <v>605.44114285714295</v>
      </c>
      <c r="K293" s="212">
        <f t="shared" ref="K293" si="225">K267+K280</f>
        <v>-111.7777142857143</v>
      </c>
      <c r="L293" s="212">
        <f>82.32*D293</f>
        <v>48.216000000000001</v>
      </c>
      <c r="M293" s="212">
        <f t="shared" ref="M293" si="226">M267+M280</f>
        <v>-3.8422857142857141</v>
      </c>
      <c r="N293" s="212">
        <f>+$G293*'Jan-2020 GL'!$G$61</f>
        <v>78.699604197581436</v>
      </c>
      <c r="O293" s="212">
        <f t="shared" ref="O293:P293" si="227">+O254+O267</f>
        <v>0</v>
      </c>
      <c r="P293" s="212">
        <f t="shared" si="227"/>
        <v>0</v>
      </c>
      <c r="Q293" s="348">
        <f t="shared" si="217"/>
        <v>973.59591264375763</v>
      </c>
    </row>
    <row r="294" spans="1:18" s="1" customFormat="1">
      <c r="A294" s="125" t="s">
        <v>165</v>
      </c>
      <c r="B294" s="136">
        <f t="shared" ref="B294:C294" si="228">+B268+B281</f>
        <v>140</v>
      </c>
      <c r="C294" s="136">
        <f t="shared" si="228"/>
        <v>140</v>
      </c>
      <c r="D294" s="214">
        <f t="shared" ref="D294:D297" si="229">B294/C294</f>
        <v>1</v>
      </c>
      <c r="E294" s="212">
        <f t="shared" si="219"/>
        <v>3076.94</v>
      </c>
      <c r="F294" s="212">
        <f t="shared" ref="F294:F297" si="230">ROUND(D294*E294,2)</f>
        <v>3076.94</v>
      </c>
      <c r="G294" s="448">
        <f t="shared" si="220"/>
        <v>0.17262371280060368</v>
      </c>
      <c r="H294" s="212">
        <f>+G294*'Jan-2020 GL'!$G$77</f>
        <v>331.95539971556087</v>
      </c>
      <c r="I294" s="212">
        <f>+G294*'Jan-2020 GL'!$G$82</f>
        <v>42.983304487350317</v>
      </c>
      <c r="J294" s="212">
        <v>0</v>
      </c>
      <c r="K294" s="212">
        <f t="shared" ref="K294" si="231">K268+K281</f>
        <v>0</v>
      </c>
      <c r="L294" s="212">
        <v>0</v>
      </c>
      <c r="M294" s="212">
        <f t="shared" ref="M294" si="232">M268+M281</f>
        <v>0</v>
      </c>
      <c r="N294" s="212">
        <f>+$G294*'Jan-2020 GL'!$G$61</f>
        <v>82.686758431489167</v>
      </c>
      <c r="O294" s="212">
        <f t="shared" ref="O294:P294" si="233">+O255+O268</f>
        <v>0</v>
      </c>
      <c r="P294" s="212">
        <f t="shared" si="233"/>
        <v>0</v>
      </c>
      <c r="Q294" s="348">
        <f t="shared" si="217"/>
        <v>457.62546263440038</v>
      </c>
    </row>
    <row r="295" spans="1:18" s="1" customFormat="1">
      <c r="A295" s="125" t="s">
        <v>166</v>
      </c>
      <c r="B295" s="136">
        <f t="shared" ref="B295:C295" si="234">+B269+B282</f>
        <v>140</v>
      </c>
      <c r="C295" s="136">
        <f t="shared" si="234"/>
        <v>140</v>
      </c>
      <c r="D295" s="214">
        <f t="shared" si="229"/>
        <v>1</v>
      </c>
      <c r="E295" s="212">
        <f t="shared" si="219"/>
        <v>2307.6999999999998</v>
      </c>
      <c r="F295" s="212">
        <f t="shared" si="230"/>
        <v>2307.6999999999998</v>
      </c>
      <c r="G295" s="448">
        <f t="shared" si="220"/>
        <v>0.12946750408846225</v>
      </c>
      <c r="H295" s="212">
        <f>+G295*'Jan-2020 GL'!$G$77</f>
        <v>248.96601036211291</v>
      </c>
      <c r="I295" s="212">
        <f>+G295*'Jan-2020 GL'!$G$82</f>
        <v>32.237408518027102</v>
      </c>
      <c r="J295" s="212">
        <v>1068.3499999999999</v>
      </c>
      <c r="K295" s="212">
        <f t="shared" ref="K295" si="235">K269+K282</f>
        <v>-197.24</v>
      </c>
      <c r="L295" s="212">
        <v>47.82</v>
      </c>
      <c r="M295" s="212">
        <f t="shared" ref="M295" si="236">M269+M282</f>
        <v>-6.56</v>
      </c>
      <c r="N295" s="212">
        <f>+$G295*'Jan-2020 GL'!$G$61</f>
        <v>62.014934458373418</v>
      </c>
      <c r="O295" s="212">
        <f t="shared" ref="O295:P295" si="237">+O256+O269</f>
        <v>0</v>
      </c>
      <c r="P295" s="212">
        <f t="shared" si="237"/>
        <v>0</v>
      </c>
      <c r="Q295" s="348">
        <f t="shared" si="217"/>
        <v>1255.5883533385131</v>
      </c>
    </row>
    <row r="296" spans="1:18" s="1" customFormat="1" ht="15" customHeight="1">
      <c r="A296" s="125" t="s">
        <v>513</v>
      </c>
      <c r="B296" s="136">
        <f t="shared" ref="B296:C296" si="238">+B270+B283</f>
        <v>81.5</v>
      </c>
      <c r="C296" s="136">
        <f t="shared" si="238"/>
        <v>81.5</v>
      </c>
      <c r="D296" s="214">
        <f t="shared" si="229"/>
        <v>1</v>
      </c>
      <c r="E296" s="212">
        <f t="shared" si="219"/>
        <v>1175.23</v>
      </c>
      <c r="F296" s="212">
        <f t="shared" si="230"/>
        <v>1175.23</v>
      </c>
      <c r="G296" s="448">
        <f t="shared" si="220"/>
        <v>6.5933221315545132E-2</v>
      </c>
      <c r="H296" s="212">
        <f>+G296*'Jan-2020 GL'!$G$77</f>
        <v>126.78958458979329</v>
      </c>
      <c r="I296" s="212">
        <f>+G296*'Jan-2020 GL'!$G$82</f>
        <v>16.417372107570738</v>
      </c>
      <c r="J296" s="212">
        <v>0</v>
      </c>
      <c r="K296" s="212">
        <f t="shared" ref="K296" si="239">K270+K283</f>
        <v>0</v>
      </c>
      <c r="L296" s="212">
        <v>0</v>
      </c>
      <c r="M296" s="212">
        <f t="shared" ref="M296" si="240">M270+M283</f>
        <v>0</v>
      </c>
      <c r="N296" s="212">
        <f>+$G296*'Jan-2020 GL'!$G$61</f>
        <v>31.582013010146117</v>
      </c>
      <c r="O296" s="212">
        <f t="shared" ref="O296:P296" si="241">+O257+O270</f>
        <v>0</v>
      </c>
      <c r="P296" s="212">
        <f t="shared" si="241"/>
        <v>0</v>
      </c>
      <c r="Q296" s="348">
        <f t="shared" si="217"/>
        <v>174.78896970751015</v>
      </c>
    </row>
    <row r="297" spans="1:18" s="1" customFormat="1">
      <c r="A297" s="125" t="s">
        <v>163</v>
      </c>
      <c r="B297" s="136">
        <f t="shared" ref="B297:C297" si="242">+B271+B284</f>
        <v>48.1</v>
      </c>
      <c r="C297" s="136">
        <f t="shared" si="242"/>
        <v>140</v>
      </c>
      <c r="D297" s="214">
        <f t="shared" si="229"/>
        <v>0.34357142857142858</v>
      </c>
      <c r="E297" s="212">
        <f t="shared" si="219"/>
        <v>3076.94</v>
      </c>
      <c r="F297" s="212">
        <f t="shared" si="230"/>
        <v>1057.1500000000001</v>
      </c>
      <c r="G297" s="448">
        <f t="shared" si="220"/>
        <v>5.9308650148250597E-2</v>
      </c>
      <c r="H297" s="212">
        <f>+G297*'Jan-2020 GL'!$G$77</f>
        <v>114.05053423508589</v>
      </c>
      <c r="I297" s="212">
        <f>+G297*'Jan-2020 GL'!$G$82</f>
        <v>14.767853886914398</v>
      </c>
      <c r="J297" s="212">
        <f>1332.17*D297</f>
        <v>457.69555000000003</v>
      </c>
      <c r="K297" s="212">
        <f t="shared" ref="K297" si="243">K271+K284</f>
        <v>-84.497957142857132</v>
      </c>
      <c r="L297" s="212">
        <f>94.77*D297</f>
        <v>32.560264285714283</v>
      </c>
      <c r="M297" s="212">
        <f t="shared" ref="M297" si="244">M271+M284</f>
        <v>-9.8605</v>
      </c>
      <c r="N297" s="212">
        <f>+$G297*'Jan-2020 GL'!$G$61</f>
        <v>28.408843421012037</v>
      </c>
      <c r="O297" s="212">
        <f t="shared" ref="O297:P297" si="245">+O258+O271</f>
        <v>0</v>
      </c>
      <c r="P297" s="212">
        <f t="shared" si="245"/>
        <v>0</v>
      </c>
      <c r="Q297" s="348">
        <f t="shared" si="217"/>
        <v>553.12458868586964</v>
      </c>
      <c r="R297" s="1" t="s">
        <v>24</v>
      </c>
    </row>
    <row r="298" spans="1:18" s="1" customFormat="1">
      <c r="A298" s="125" t="s">
        <v>164</v>
      </c>
      <c r="B298" s="136">
        <f t="shared" ref="B298:C298" si="246">+B272+B285</f>
        <v>84.9</v>
      </c>
      <c r="C298" s="136">
        <f t="shared" si="246"/>
        <v>140</v>
      </c>
      <c r="D298" s="214">
        <f>B298/C297</f>
        <v>0.60642857142857143</v>
      </c>
      <c r="E298" s="212">
        <f t="shared" si="219"/>
        <v>0</v>
      </c>
      <c r="F298" s="212">
        <f>ROUND(D298*E297,2)</f>
        <v>1865.94</v>
      </c>
      <c r="G298" s="448">
        <f t="shared" si="220"/>
        <v>0.10468370870512861</v>
      </c>
      <c r="H298" s="212">
        <f>+G298*'Jan-2020 GL'!$G$77</f>
        <v>201.30677183996232</v>
      </c>
      <c r="I298" s="212">
        <f>+G298*'Jan-2020 GL'!$G$82</f>
        <v>26.066243467577024</v>
      </c>
      <c r="J298" s="212">
        <f>1332.17*D298</f>
        <v>807.86595</v>
      </c>
      <c r="K298" s="212">
        <f t="shared" ref="K298" si="247">K272+K285</f>
        <v>-149.14504285714287</v>
      </c>
      <c r="L298" s="212">
        <f>94.77*D298</f>
        <v>57.471235714285712</v>
      </c>
      <c r="M298" s="212">
        <f t="shared" ref="M298" si="248">M272+M285</f>
        <v>-17.404499999999999</v>
      </c>
      <c r="N298" s="212">
        <f>+$G298*'Jan-2020 GL'!$G$61</f>
        <v>50.143496469756606</v>
      </c>
      <c r="O298" s="212">
        <f t="shared" ref="O298:P298" si="249">+O259+O272</f>
        <v>0</v>
      </c>
      <c r="P298" s="212">
        <f t="shared" si="249"/>
        <v>0</v>
      </c>
      <c r="Q298" s="348">
        <f t="shared" si="217"/>
        <v>976.30415463443876</v>
      </c>
    </row>
    <row r="299" spans="1:18" s="1" customFormat="1">
      <c r="A299" s="125" t="s">
        <v>435</v>
      </c>
      <c r="B299" s="136">
        <f t="shared" ref="B299:C299" si="250">+B273+B286</f>
        <v>14</v>
      </c>
      <c r="C299" s="136">
        <f t="shared" si="250"/>
        <v>140</v>
      </c>
      <c r="D299" s="128">
        <f>B299/C299</f>
        <v>0.1</v>
      </c>
      <c r="E299" s="212">
        <f t="shared" si="219"/>
        <v>0</v>
      </c>
      <c r="F299" s="212">
        <f>ROUND(D299*E299,2)</f>
        <v>0</v>
      </c>
      <c r="G299" s="448">
        <f t="shared" ref="G299" si="251">+F299/$F$258</f>
        <v>0</v>
      </c>
      <c r="H299" s="212">
        <f>+G299*'Jan-2020 GL'!$G$77</f>
        <v>0</v>
      </c>
      <c r="I299" s="212">
        <f>+G299*'Jan-2020 GL'!$G$82</f>
        <v>0</v>
      </c>
      <c r="J299" s="212">
        <v>0</v>
      </c>
      <c r="K299" s="212">
        <f t="shared" ref="K299" si="252">K273+K286</f>
        <v>0</v>
      </c>
      <c r="L299" s="212">
        <v>0</v>
      </c>
      <c r="M299" s="212">
        <f t="shared" ref="M299" si="253">M273+M286</f>
        <v>0</v>
      </c>
      <c r="N299" s="212">
        <f>+$G299*'Jan-2020 GL'!$G$61</f>
        <v>0</v>
      </c>
      <c r="O299" s="212">
        <f t="shared" ref="O299" si="254">+O260+O273</f>
        <v>0</v>
      </c>
      <c r="P299" s="212"/>
      <c r="Q299" s="348">
        <f t="shared" si="217"/>
        <v>0</v>
      </c>
      <c r="R299" s="1" t="s">
        <v>24</v>
      </c>
    </row>
    <row r="300" spans="1:18" s="1" customFormat="1">
      <c r="A300" s="449" t="s">
        <v>323</v>
      </c>
      <c r="B300" s="450"/>
      <c r="C300" s="333"/>
      <c r="D300" s="380"/>
      <c r="E300" s="250">
        <f>SUBTOTAL(109,'Salaries &amp; Fringe Allocations'!E291:E299)</f>
        <v>31344.739999999998</v>
      </c>
      <c r="F300" s="471">
        <f>SUBTOTAL(109,'Salaries &amp; Fringe Allocations'!F291:F299)</f>
        <v>17824.55</v>
      </c>
      <c r="G300" s="391">
        <f>SUM(G291:G299)</f>
        <v>1.0000000000000002</v>
      </c>
      <c r="H300" s="321">
        <f>SUBTOTAL(109,'Salaries &amp; Fringe Allocations'!H291:H299)</f>
        <v>1923</v>
      </c>
      <c r="I300" s="321">
        <f>SUBTOTAL(109,'Salaries &amp; Fringe Allocations'!I291:I299)</f>
        <v>249.00000000000006</v>
      </c>
      <c r="J300" s="321">
        <f>SUBTOTAL(109,'Salaries &amp; Fringe Allocations'!J291:J299)</f>
        <v>3581.2614999999996</v>
      </c>
      <c r="K300" s="321">
        <f>SUBTOTAL(109,'Salaries &amp; Fringe Allocations'!K291:K299)</f>
        <v>-661.17100000000005</v>
      </c>
      <c r="L300" s="321">
        <f>SUBTOTAL(109,'Salaries &amp; Fringe Allocations'!L291:L299)</f>
        <v>235.20349999999999</v>
      </c>
      <c r="M300" s="321">
        <f>SUBTOTAL(109,'Salaries &amp; Fringe Allocations'!M291:M299)</f>
        <v>-43.561</v>
      </c>
      <c r="N300" s="250">
        <f>SUBTOTAL(109,'Salaries &amp; Fringe Allocations'!N291:N299)</f>
        <v>479</v>
      </c>
      <c r="O300" s="250">
        <f>SUBTOTAL(109,'Salaries &amp; Fringe Allocations'!O291:O299)</f>
        <v>0</v>
      </c>
      <c r="P300" s="250">
        <f>SUBTOTAL(109,'Salaries &amp; Fringe Allocations'!P291:P299)</f>
        <v>0</v>
      </c>
      <c r="Q300" s="250">
        <f>SUBTOTAL(109,'Salaries &amp; Fringe Allocations'!Q291:Q299)</f>
        <v>5762.7330000000002</v>
      </c>
    </row>
    <row r="301" spans="1:18" s="3" customFormat="1">
      <c r="A301" s="252"/>
      <c r="B301" s="217"/>
      <c r="C301" s="217"/>
      <c r="D301" s="216"/>
      <c r="E301" s="372" t="s">
        <v>509</v>
      </c>
      <c r="F301" s="458">
        <v>17825</v>
      </c>
      <c r="G301" s="373"/>
      <c r="H301" s="373"/>
      <c r="I301" s="373"/>
      <c r="J301" s="373"/>
      <c r="K301" s="373"/>
      <c r="L301" s="373"/>
      <c r="M301" s="373"/>
      <c r="N301" s="373"/>
      <c r="O301" s="373"/>
      <c r="P301" s="373"/>
      <c r="Q301" s="373"/>
    </row>
    <row r="302" spans="1:18" s="1" customFormat="1" ht="15" thickBot="1">
      <c r="A302" s="253"/>
      <c r="B302" s="254"/>
      <c r="C302" s="254"/>
      <c r="D302" s="255"/>
      <c r="E302" s="374" t="s">
        <v>510</v>
      </c>
      <c r="F302" s="459">
        <f>+F300-F301</f>
        <v>-0.4500000000007276</v>
      </c>
      <c r="G302" s="257"/>
      <c r="H302" s="257"/>
      <c r="I302" s="257"/>
      <c r="J302" s="256"/>
      <c r="K302" s="256"/>
      <c r="L302" s="257"/>
      <c r="M302" s="257"/>
      <c r="N302" s="257"/>
      <c r="O302" s="257"/>
      <c r="P302" s="257"/>
      <c r="Q302" s="257"/>
    </row>
    <row r="303" spans="1:18" s="3" customFormat="1" ht="15" thickTop="1">
      <c r="B303" s="137"/>
      <c r="C303" s="137"/>
      <c r="F303" s="460"/>
    </row>
    <row r="304" spans="1:18">
      <c r="D304" s="489"/>
      <c r="F304" s="460"/>
    </row>
    <row r="305" spans="1:17" s="3" customFormat="1">
      <c r="A305" s="23" t="s">
        <v>750</v>
      </c>
      <c r="B305" s="130" t="s">
        <v>159</v>
      </c>
      <c r="C305" s="131"/>
      <c r="D305" s="378">
        <v>43868</v>
      </c>
      <c r="E305" s="24"/>
      <c r="F305" s="24"/>
      <c r="G305" s="24"/>
      <c r="H305" s="25"/>
      <c r="I305" s="28"/>
      <c r="J305" s="26"/>
      <c r="K305" s="26"/>
      <c r="L305" s="26"/>
      <c r="M305" s="26"/>
      <c r="N305" s="27"/>
      <c r="O305" s="28"/>
      <c r="P305" s="29"/>
      <c r="Q305" s="30"/>
    </row>
    <row r="306" spans="1:17" s="3" customFormat="1" ht="43.5">
      <c r="A306" s="53" t="s">
        <v>61</v>
      </c>
      <c r="B306" s="132" t="s">
        <v>68</v>
      </c>
      <c r="C306" s="132" t="s">
        <v>69</v>
      </c>
      <c r="D306" s="54" t="s">
        <v>62</v>
      </c>
      <c r="E306" s="54" t="s">
        <v>63</v>
      </c>
      <c r="F306" s="54" t="s">
        <v>67</v>
      </c>
      <c r="G306" s="54"/>
      <c r="H306" s="55" t="s">
        <v>289</v>
      </c>
      <c r="I306" s="54" t="s">
        <v>288</v>
      </c>
      <c r="J306" s="55" t="s">
        <v>291</v>
      </c>
      <c r="K306" s="55" t="s">
        <v>292</v>
      </c>
      <c r="L306" s="55" t="s">
        <v>283</v>
      </c>
      <c r="M306" s="55" t="s">
        <v>293</v>
      </c>
      <c r="N306" s="54" t="s">
        <v>290</v>
      </c>
      <c r="O306" s="54" t="s">
        <v>64</v>
      </c>
      <c r="P306" s="54" t="s">
        <v>139</v>
      </c>
      <c r="Q306" s="54" t="s">
        <v>65</v>
      </c>
    </row>
    <row r="307" spans="1:17" s="3" customFormat="1">
      <c r="A307" s="125" t="s">
        <v>294</v>
      </c>
      <c r="B307" s="133">
        <f>7.5+6.5</f>
        <v>14</v>
      </c>
      <c r="C307" s="133">
        <v>70</v>
      </c>
      <c r="D307" s="207">
        <f t="shared" ref="D307" si="255">B307/C307</f>
        <v>0.2</v>
      </c>
      <c r="E307" s="212">
        <v>3461.54</v>
      </c>
      <c r="F307" s="212">
        <f t="shared" ref="F307:F308" si="256">ROUND(D307*E307,2)</f>
        <v>692.31</v>
      </c>
      <c r="G307" s="208"/>
      <c r="H307" s="211"/>
      <c r="I307" s="211"/>
      <c r="J307" s="211"/>
      <c r="K307" s="212">
        <f>-98.62*D307</f>
        <v>-19.724000000000004</v>
      </c>
      <c r="L307" s="211"/>
      <c r="M307" s="58">
        <f>-7.94*D307</f>
        <v>-1.5880000000000001</v>
      </c>
      <c r="N307" s="211"/>
      <c r="O307" s="57"/>
      <c r="P307" s="57"/>
      <c r="Q307" s="59">
        <f t="shared" ref="Q307:Q314" si="257">SUM(H307:P307)</f>
        <v>-21.312000000000005</v>
      </c>
    </row>
    <row r="308" spans="1:17" s="3" customFormat="1" ht="15" customHeight="1">
      <c r="A308" s="125" t="s">
        <v>161</v>
      </c>
      <c r="B308" s="133">
        <f>14+15</f>
        <v>29</v>
      </c>
      <c r="C308" s="133">
        <v>70</v>
      </c>
      <c r="D308" s="207">
        <f>B308/C308</f>
        <v>0.41428571428571431</v>
      </c>
      <c r="E308" s="212">
        <v>2500</v>
      </c>
      <c r="F308" s="212">
        <f t="shared" si="256"/>
        <v>1035.71</v>
      </c>
      <c r="G308" s="213"/>
      <c r="H308" s="211"/>
      <c r="I308" s="211"/>
      <c r="J308" s="211"/>
      <c r="K308" s="212">
        <f>-95.42*D308</f>
        <v>-39.531142857142861</v>
      </c>
      <c r="L308" s="211"/>
      <c r="M308" s="58">
        <f>-3.28*D308</f>
        <v>-1.3588571428571428</v>
      </c>
      <c r="N308" s="211"/>
      <c r="O308" s="57"/>
      <c r="P308" s="57"/>
      <c r="Q308" s="59">
        <f t="shared" si="257"/>
        <v>-40.89</v>
      </c>
    </row>
    <row r="309" spans="1:17" s="3" customFormat="1">
      <c r="A309" s="125" t="s">
        <v>162</v>
      </c>
      <c r="B309" s="133">
        <f>21+20</f>
        <v>41</v>
      </c>
      <c r="C309" s="133">
        <v>70</v>
      </c>
      <c r="D309" s="207">
        <f>B309/C309</f>
        <v>0.58571428571428574</v>
      </c>
      <c r="E309" s="212">
        <v>0</v>
      </c>
      <c r="F309" s="212">
        <f>ROUND(D309*E308,2)</f>
        <v>1464.29</v>
      </c>
      <c r="G309" s="213"/>
      <c r="H309" s="211"/>
      <c r="I309" s="211"/>
      <c r="J309" s="211"/>
      <c r="K309" s="212">
        <f>-95.42*D309</f>
        <v>-55.888857142857148</v>
      </c>
      <c r="L309" s="211"/>
      <c r="M309" s="58">
        <f>-3.28*D309</f>
        <v>-1.921142857142857</v>
      </c>
      <c r="N309" s="211"/>
      <c r="O309" s="57"/>
      <c r="P309" s="57"/>
      <c r="Q309" s="59">
        <f t="shared" si="257"/>
        <v>-57.81</v>
      </c>
    </row>
    <row r="310" spans="1:17" s="3" customFormat="1" ht="15" customHeight="1">
      <c r="A310" s="125" t="s">
        <v>165</v>
      </c>
      <c r="B310" s="133">
        <v>70</v>
      </c>
      <c r="C310" s="133">
        <v>70</v>
      </c>
      <c r="D310" s="207">
        <f t="shared" ref="D310:D314" si="258">B310/C310</f>
        <v>1</v>
      </c>
      <c r="E310" s="212">
        <v>1538.47</v>
      </c>
      <c r="F310" s="212">
        <f t="shared" ref="F310:F312" si="259">ROUND(D310*E310,2)</f>
        <v>1538.47</v>
      </c>
      <c r="G310" s="213"/>
      <c r="H310" s="211"/>
      <c r="I310" s="211"/>
      <c r="J310" s="211"/>
      <c r="K310" s="212">
        <v>0</v>
      </c>
      <c r="L310" s="211"/>
      <c r="M310" s="58"/>
      <c r="N310" s="211"/>
      <c r="O310" s="57"/>
      <c r="P310" s="57"/>
      <c r="Q310" s="59">
        <f t="shared" si="257"/>
        <v>0</v>
      </c>
    </row>
    <row r="311" spans="1:17" s="3" customFormat="1">
      <c r="A311" s="125" t="s">
        <v>166</v>
      </c>
      <c r="B311" s="133">
        <f>58.5+7</f>
        <v>65.5</v>
      </c>
      <c r="C311" s="133">
        <f>+B311</f>
        <v>65.5</v>
      </c>
      <c r="D311" s="207">
        <f t="shared" si="258"/>
        <v>1</v>
      </c>
      <c r="E311" s="212">
        <v>1079.68</v>
      </c>
      <c r="F311" s="212">
        <f t="shared" si="259"/>
        <v>1079.68</v>
      </c>
      <c r="G311" s="213"/>
      <c r="H311" s="211"/>
      <c r="I311" s="211"/>
      <c r="J311" s="211"/>
      <c r="K311" s="212">
        <f>-98.62*D311</f>
        <v>-98.62</v>
      </c>
      <c r="L311" s="211"/>
      <c r="M311" s="58">
        <v>-3.28</v>
      </c>
      <c r="N311" s="211"/>
      <c r="O311" s="57"/>
      <c r="P311" s="57"/>
      <c r="Q311" s="59">
        <f t="shared" si="257"/>
        <v>-101.9</v>
      </c>
    </row>
    <row r="312" spans="1:17" s="3" customFormat="1" ht="15" customHeight="1">
      <c r="A312" s="125" t="s">
        <v>513</v>
      </c>
      <c r="B312" s="133">
        <v>49</v>
      </c>
      <c r="C312" s="133">
        <f>+B312</f>
        <v>49</v>
      </c>
      <c r="D312" s="207">
        <f t="shared" si="258"/>
        <v>1</v>
      </c>
      <c r="E312" s="212">
        <v>706.58</v>
      </c>
      <c r="F312" s="212">
        <f t="shared" si="259"/>
        <v>706.58</v>
      </c>
      <c r="G312" s="213"/>
      <c r="H312" s="211"/>
      <c r="I312" s="211"/>
      <c r="J312" s="211"/>
      <c r="K312" s="212">
        <v>0</v>
      </c>
      <c r="L312" s="211"/>
      <c r="M312" s="348"/>
      <c r="N312" s="211"/>
      <c r="O312" s="57"/>
      <c r="P312" s="57"/>
      <c r="Q312" s="59">
        <f t="shared" si="257"/>
        <v>0</v>
      </c>
    </row>
    <row r="313" spans="1:17" s="3" customFormat="1">
      <c r="A313" s="125" t="s">
        <v>163</v>
      </c>
      <c r="B313" s="133">
        <f>11.75+11.75</f>
        <v>23.5</v>
      </c>
      <c r="C313" s="133">
        <v>70</v>
      </c>
      <c r="D313" s="207">
        <f t="shared" si="258"/>
        <v>0.33571428571428569</v>
      </c>
      <c r="E313" s="212">
        <v>1538.47</v>
      </c>
      <c r="F313" s="212">
        <f>ROUND(D313*E313,2)</f>
        <v>516.49</v>
      </c>
      <c r="G313" s="213"/>
      <c r="H313" s="211"/>
      <c r="I313" s="211"/>
      <c r="J313" s="211"/>
      <c r="K313" s="212">
        <f>-122.97*D313</f>
        <v>-41.282785714285708</v>
      </c>
      <c r="L313" s="211"/>
      <c r="M313" s="58">
        <f>-14.35*D313</f>
        <v>-4.8174999999999999</v>
      </c>
      <c r="N313" s="211"/>
      <c r="O313" s="57"/>
      <c r="P313" s="57"/>
      <c r="Q313" s="59">
        <f t="shared" si="257"/>
        <v>-46.100285714285711</v>
      </c>
    </row>
    <row r="314" spans="1:17" s="3" customFormat="1">
      <c r="A314" s="125" t="s">
        <v>164</v>
      </c>
      <c r="B314" s="133">
        <f>21.5+21.5</f>
        <v>43</v>
      </c>
      <c r="C314" s="133">
        <v>70</v>
      </c>
      <c r="D314" s="207">
        <f t="shared" si="258"/>
        <v>0.61428571428571432</v>
      </c>
      <c r="E314" s="212"/>
      <c r="F314" s="212">
        <f>ROUND(D314*E313,2)</f>
        <v>945.06</v>
      </c>
      <c r="G314" s="213"/>
      <c r="H314" s="211"/>
      <c r="I314" s="211"/>
      <c r="J314" s="211"/>
      <c r="K314" s="212">
        <f>-122.97*D314</f>
        <v>-75.538714285714292</v>
      </c>
      <c r="L314" s="211"/>
      <c r="M314" s="58">
        <f>-14.35*D314</f>
        <v>-8.8149999999999995</v>
      </c>
      <c r="N314" s="211"/>
      <c r="O314" s="57"/>
      <c r="P314" s="57"/>
      <c r="Q314" s="59">
        <f t="shared" si="257"/>
        <v>-84.35371428571429</v>
      </c>
    </row>
    <row r="315" spans="1:17" s="3" customFormat="1">
      <c r="A315" s="125"/>
      <c r="B315" s="133"/>
      <c r="C315" s="133"/>
      <c r="D315" s="127"/>
      <c r="E315" s="212"/>
      <c r="F315" s="212"/>
      <c r="G315" s="212"/>
      <c r="H315" s="211"/>
      <c r="I315" s="211"/>
      <c r="J315" s="211"/>
      <c r="K315" s="57"/>
      <c r="L315" s="211"/>
      <c r="M315" s="58"/>
      <c r="N315" s="211"/>
      <c r="O315" s="59"/>
      <c r="P315" s="59"/>
      <c r="Q315" s="59"/>
    </row>
    <row r="316" spans="1:17" s="3" customFormat="1">
      <c r="A316" s="60" t="s">
        <v>66</v>
      </c>
      <c r="B316" s="135"/>
      <c r="C316" s="333"/>
      <c r="D316" s="380"/>
      <c r="E316" s="62">
        <f>SUBTOTAL(109,'Salaries &amp; Fringe Allocations'!E307:E315)</f>
        <v>10824.74</v>
      </c>
      <c r="F316" s="62">
        <f>SUBTOTAL(109,'Salaries &amp; Fringe Allocations'!F307:F315)</f>
        <v>7978.59</v>
      </c>
      <c r="G316" s="209"/>
      <c r="H316" s="62">
        <f>SUBTOTAL(109,'Salaries &amp; Fringe Allocations'!H307:H315)</f>
        <v>0</v>
      </c>
      <c r="I316" s="62">
        <f>SUBTOTAL(109,'Salaries &amp; Fringe Allocations'!I307:I315)</f>
        <v>0</v>
      </c>
      <c r="J316" s="62">
        <f>SUBTOTAL(109,'Salaries &amp; Fringe Allocations'!J307:J315)</f>
        <v>0</v>
      </c>
      <c r="K316" s="62">
        <f>SUBTOTAL(109,'Salaries &amp; Fringe Allocations'!K307:K315)</f>
        <v>-330.58550000000002</v>
      </c>
      <c r="L316" s="62">
        <f>SUBTOTAL(109,'Salaries &amp; Fringe Allocations'!L307:L315)</f>
        <v>0</v>
      </c>
      <c r="M316" s="62">
        <f>SUBTOTAL(109,'Salaries &amp; Fringe Allocations'!M307:M315)</f>
        <v>-21.780499999999996</v>
      </c>
      <c r="N316" s="62">
        <f>SUBTOTAL(109,'Salaries &amp; Fringe Allocations'!N307:N315)</f>
        <v>0</v>
      </c>
      <c r="O316" s="62">
        <f>SUBTOTAL(109,'Salaries &amp; Fringe Allocations'!O307:O315)</f>
        <v>0</v>
      </c>
      <c r="P316" s="62">
        <f>SUBTOTAL(109,'Salaries &amp; Fringe Allocations'!P307:P315)</f>
        <v>0</v>
      </c>
      <c r="Q316" s="62">
        <f>SUBTOTAL(109,'Salaries &amp; Fringe Allocations'!Q307:Q315)</f>
        <v>-352.36599999999999</v>
      </c>
    </row>
    <row r="317" spans="1:17" s="3" customFormat="1">
      <c r="B317" s="137"/>
      <c r="C317" s="137"/>
      <c r="D317" s="1"/>
    </row>
    <row r="318" spans="1:17" s="3" customFormat="1">
      <c r="A318" s="23" t="s">
        <v>751</v>
      </c>
      <c r="B318" s="130" t="s">
        <v>159</v>
      </c>
      <c r="C318" s="131"/>
      <c r="D318" s="378">
        <v>43882</v>
      </c>
      <c r="E318" s="24"/>
      <c r="F318" s="24"/>
      <c r="G318" s="24"/>
      <c r="H318" s="25"/>
      <c r="I318" s="28"/>
      <c r="J318" s="26"/>
      <c r="K318" s="26"/>
      <c r="L318" s="26"/>
      <c r="M318" s="26"/>
      <c r="N318" s="27"/>
      <c r="O318" s="28"/>
      <c r="P318" s="29"/>
      <c r="Q318" s="30"/>
    </row>
    <row r="319" spans="1:17" s="3" customFormat="1" ht="43.5">
      <c r="A319" s="53" t="s">
        <v>61</v>
      </c>
      <c r="B319" s="132" t="s">
        <v>68</v>
      </c>
      <c r="C319" s="132" t="s">
        <v>69</v>
      </c>
      <c r="D319" s="54" t="s">
        <v>62</v>
      </c>
      <c r="E319" s="54" t="s">
        <v>63</v>
      </c>
      <c r="F319" s="54" t="s">
        <v>67</v>
      </c>
      <c r="G319" s="54"/>
      <c r="H319" s="55" t="s">
        <v>289</v>
      </c>
      <c r="I319" s="54" t="s">
        <v>288</v>
      </c>
      <c r="J319" s="55" t="s">
        <v>291</v>
      </c>
      <c r="K319" s="55" t="s">
        <v>292</v>
      </c>
      <c r="L319" s="55" t="s">
        <v>283</v>
      </c>
      <c r="M319" s="55" t="s">
        <v>293</v>
      </c>
      <c r="N319" s="54" t="s">
        <v>290</v>
      </c>
      <c r="O319" s="54" t="s">
        <v>64</v>
      </c>
      <c r="P319" s="54" t="s">
        <v>139</v>
      </c>
      <c r="Q319" s="54" t="s">
        <v>65</v>
      </c>
    </row>
    <row r="320" spans="1:17" s="3" customFormat="1">
      <c r="A320" s="125" t="s">
        <v>294</v>
      </c>
      <c r="B320" s="133">
        <f>7.5+6.5</f>
        <v>14</v>
      </c>
      <c r="C320" s="133">
        <v>70</v>
      </c>
      <c r="D320" s="207">
        <f t="shared" ref="D320:D321" si="260">B320/C320</f>
        <v>0.2</v>
      </c>
      <c r="E320" s="212">
        <v>3461.54</v>
      </c>
      <c r="F320" s="212">
        <f t="shared" ref="F320:F321" si="261">ROUND(D320*E320,2)</f>
        <v>692.31</v>
      </c>
      <c r="G320" s="208"/>
      <c r="H320" s="211"/>
      <c r="I320" s="211"/>
      <c r="J320" s="211"/>
      <c r="K320" s="212">
        <f>-98.62*D320</f>
        <v>-19.724000000000004</v>
      </c>
      <c r="L320" s="211"/>
      <c r="M320" s="58">
        <f>-7.94*D320</f>
        <v>-1.5880000000000001</v>
      </c>
      <c r="N320" s="211"/>
      <c r="O320" s="57"/>
      <c r="P320" s="57"/>
      <c r="Q320" s="59">
        <f t="shared" ref="Q320:Q327" si="262">SUM(H320:P320)</f>
        <v>-21.312000000000005</v>
      </c>
    </row>
    <row r="321" spans="1:18" s="3" customFormat="1" ht="15" customHeight="1">
      <c r="A321" s="125" t="s">
        <v>161</v>
      </c>
      <c r="B321" s="133">
        <f>14+15</f>
        <v>29</v>
      </c>
      <c r="C321" s="133">
        <v>70</v>
      </c>
      <c r="D321" s="207">
        <f t="shared" si="260"/>
        <v>0.41428571428571431</v>
      </c>
      <c r="E321" s="212">
        <v>2500</v>
      </c>
      <c r="F321" s="212">
        <f t="shared" si="261"/>
        <v>1035.71</v>
      </c>
      <c r="G321" s="213"/>
      <c r="H321" s="211"/>
      <c r="I321" s="211"/>
      <c r="J321" s="211"/>
      <c r="K321" s="212">
        <f>-95.42*D321</f>
        <v>-39.531142857142861</v>
      </c>
      <c r="L321" s="211"/>
      <c r="M321" s="58">
        <f>-3.28*D321</f>
        <v>-1.3588571428571428</v>
      </c>
      <c r="N321" s="211"/>
      <c r="O321" s="57"/>
      <c r="P321" s="57"/>
      <c r="Q321" s="59">
        <f t="shared" si="262"/>
        <v>-40.89</v>
      </c>
    </row>
    <row r="322" spans="1:18" s="3" customFormat="1">
      <c r="A322" s="125" t="s">
        <v>162</v>
      </c>
      <c r="B322" s="133">
        <f>21+20</f>
        <v>41</v>
      </c>
      <c r="C322" s="133">
        <v>70</v>
      </c>
      <c r="D322" s="207">
        <f>B322/C322</f>
        <v>0.58571428571428574</v>
      </c>
      <c r="E322" s="212">
        <v>0</v>
      </c>
      <c r="F322" s="212">
        <f>ROUND(D322*E321,2)</f>
        <v>1464.29</v>
      </c>
      <c r="G322" s="213"/>
      <c r="H322" s="211"/>
      <c r="I322" s="211"/>
      <c r="J322" s="211"/>
      <c r="K322" s="212">
        <f>-95.42*D322</f>
        <v>-55.888857142857148</v>
      </c>
      <c r="L322" s="211"/>
      <c r="M322" s="58">
        <f>-3.28*D322</f>
        <v>-1.921142857142857</v>
      </c>
      <c r="N322" s="211"/>
      <c r="O322" s="57"/>
      <c r="P322" s="57"/>
      <c r="Q322" s="59">
        <f t="shared" si="262"/>
        <v>-57.81</v>
      </c>
    </row>
    <row r="323" spans="1:18" s="3" customFormat="1" ht="15" customHeight="1">
      <c r="A323" s="125" t="s">
        <v>165</v>
      </c>
      <c r="B323" s="133">
        <v>70</v>
      </c>
      <c r="C323" s="133">
        <v>70</v>
      </c>
      <c r="D323" s="207">
        <f t="shared" ref="D323:D327" si="263">B323/C323</f>
        <v>1</v>
      </c>
      <c r="E323" s="212">
        <v>1538.46</v>
      </c>
      <c r="F323" s="212">
        <f t="shared" ref="F323:F325" si="264">ROUND(D323*E323,2)</f>
        <v>1538.46</v>
      </c>
      <c r="G323" s="213"/>
      <c r="H323" s="211"/>
      <c r="I323" s="211"/>
      <c r="J323" s="211"/>
      <c r="K323" s="212">
        <v>0</v>
      </c>
      <c r="L323" s="211"/>
      <c r="M323" s="58"/>
      <c r="N323" s="211"/>
      <c r="O323" s="57"/>
      <c r="P323" s="57"/>
      <c r="Q323" s="59">
        <f t="shared" si="262"/>
        <v>0</v>
      </c>
    </row>
    <row r="324" spans="1:18" s="3" customFormat="1">
      <c r="A324" s="125" t="s">
        <v>166</v>
      </c>
      <c r="B324" s="133">
        <v>57</v>
      </c>
      <c r="C324" s="133">
        <f>+B324</f>
        <v>57</v>
      </c>
      <c r="D324" s="207">
        <f t="shared" si="263"/>
        <v>1</v>
      </c>
      <c r="E324" s="212">
        <v>939.56</v>
      </c>
      <c r="F324" s="212">
        <f t="shared" si="264"/>
        <v>939.56</v>
      </c>
      <c r="G324" s="213"/>
      <c r="H324" s="211"/>
      <c r="I324" s="211"/>
      <c r="J324" s="211"/>
      <c r="K324" s="212">
        <f>-98.62*D324</f>
        <v>-98.62</v>
      </c>
      <c r="L324" s="211"/>
      <c r="M324" s="58">
        <v>-3.28</v>
      </c>
      <c r="N324" s="211"/>
      <c r="O324" s="57"/>
      <c r="P324" s="57"/>
      <c r="Q324" s="59">
        <f t="shared" si="262"/>
        <v>-101.9</v>
      </c>
    </row>
    <row r="325" spans="1:18" s="3" customFormat="1" ht="15" customHeight="1">
      <c r="A325" s="125" t="s">
        <v>513</v>
      </c>
      <c r="B325" s="133">
        <v>52</v>
      </c>
      <c r="C325" s="133">
        <f>+B325</f>
        <v>52</v>
      </c>
      <c r="D325" s="207">
        <f t="shared" si="263"/>
        <v>1</v>
      </c>
      <c r="E325" s="212">
        <v>749.84</v>
      </c>
      <c r="F325" s="212">
        <f t="shared" si="264"/>
        <v>749.84</v>
      </c>
      <c r="G325" s="213"/>
      <c r="H325" s="211"/>
      <c r="I325" s="211"/>
      <c r="J325" s="211"/>
      <c r="K325" s="212">
        <v>0</v>
      </c>
      <c r="L325" s="211"/>
      <c r="M325" s="348"/>
      <c r="N325" s="211"/>
      <c r="O325" s="57"/>
      <c r="P325" s="57"/>
      <c r="Q325" s="59">
        <f t="shared" si="262"/>
        <v>0</v>
      </c>
    </row>
    <row r="326" spans="1:18" s="3" customFormat="1">
      <c r="A326" s="125" t="s">
        <v>163</v>
      </c>
      <c r="B326" s="133">
        <f>11.75*2</f>
        <v>23.5</v>
      </c>
      <c r="C326" s="133">
        <v>70</v>
      </c>
      <c r="D326" s="207">
        <f t="shared" si="263"/>
        <v>0.33571428571428569</v>
      </c>
      <c r="E326" s="212">
        <v>1538.47</v>
      </c>
      <c r="F326" s="57">
        <f>ROUND(D326*E326,2)</f>
        <v>516.49</v>
      </c>
      <c r="G326" s="213"/>
      <c r="H326" s="211"/>
      <c r="I326" s="211"/>
      <c r="J326" s="211"/>
      <c r="K326" s="212">
        <f>-122.97*D326</f>
        <v>-41.282785714285708</v>
      </c>
      <c r="L326" s="211"/>
      <c r="M326" s="58">
        <f>-14.35*D326</f>
        <v>-4.8174999999999999</v>
      </c>
      <c r="N326" s="211"/>
      <c r="O326" s="57"/>
      <c r="P326" s="57"/>
      <c r="Q326" s="59">
        <f t="shared" si="262"/>
        <v>-46.100285714285711</v>
      </c>
    </row>
    <row r="327" spans="1:18" s="3" customFormat="1">
      <c r="A327" s="125" t="s">
        <v>164</v>
      </c>
      <c r="B327" s="133">
        <f>21.5*2</f>
        <v>43</v>
      </c>
      <c r="C327" s="133">
        <v>70</v>
      </c>
      <c r="D327" s="207">
        <f t="shared" si="263"/>
        <v>0.61428571428571432</v>
      </c>
      <c r="E327" s="212"/>
      <c r="F327" s="57">
        <f>ROUND(D327*E326,2)</f>
        <v>945.06</v>
      </c>
      <c r="G327" s="213"/>
      <c r="H327" s="211"/>
      <c r="I327" s="211"/>
      <c r="J327" s="211"/>
      <c r="K327" s="212">
        <f>-122.97*D327</f>
        <v>-75.538714285714292</v>
      </c>
      <c r="L327" s="211"/>
      <c r="M327" s="58">
        <f>-14.35*D327</f>
        <v>-8.8149999999999995</v>
      </c>
      <c r="N327" s="211"/>
      <c r="O327" s="57"/>
      <c r="P327" s="57"/>
      <c r="Q327" s="59">
        <f t="shared" si="262"/>
        <v>-84.35371428571429</v>
      </c>
    </row>
    <row r="328" spans="1:18" s="3" customFormat="1">
      <c r="A328" s="125"/>
      <c r="B328" s="133"/>
      <c r="C328" s="133"/>
      <c r="D328" s="127"/>
      <c r="E328" s="212"/>
      <c r="F328" s="212"/>
      <c r="G328" s="212"/>
      <c r="H328" s="211"/>
      <c r="I328" s="211"/>
      <c r="J328" s="211"/>
      <c r="K328" s="57"/>
      <c r="L328" s="211"/>
      <c r="M328" s="58"/>
      <c r="N328" s="211"/>
      <c r="O328" s="59"/>
      <c r="P328" s="59"/>
      <c r="Q328" s="59"/>
    </row>
    <row r="329" spans="1:18" s="3" customFormat="1">
      <c r="A329" s="60" t="s">
        <v>66</v>
      </c>
      <c r="B329" s="135"/>
      <c r="C329" s="333"/>
      <c r="D329" s="380"/>
      <c r="E329" s="62">
        <f>SUBTOTAL(109,'Salaries &amp; Fringe Allocations'!E320:E328)</f>
        <v>10727.869999999999</v>
      </c>
      <c r="F329" s="62">
        <f>SUBTOTAL(109,'Salaries &amp; Fringe Allocations'!F320:F328)</f>
        <v>7881.7199999999993</v>
      </c>
      <c r="G329" s="209"/>
      <c r="H329" s="62">
        <f>SUBTOTAL(109,'Salaries &amp; Fringe Allocations'!H320:H328)</f>
        <v>0</v>
      </c>
      <c r="I329" s="62">
        <f>SUBTOTAL(109,'Salaries &amp; Fringe Allocations'!I320:I328)</f>
        <v>0</v>
      </c>
      <c r="J329" s="62">
        <f>SUBTOTAL(109,'Salaries &amp; Fringe Allocations'!J320:J328)</f>
        <v>0</v>
      </c>
      <c r="K329" s="62">
        <f>SUBTOTAL(109,'Salaries &amp; Fringe Allocations'!K320:K328)</f>
        <v>-330.58550000000002</v>
      </c>
      <c r="L329" s="62">
        <f>SUBTOTAL(109,'Salaries &amp; Fringe Allocations'!L320:L328)</f>
        <v>0</v>
      </c>
      <c r="M329" s="62">
        <f>SUBTOTAL(109,'Salaries &amp; Fringe Allocations'!M320:M328)</f>
        <v>-21.780499999999996</v>
      </c>
      <c r="N329" s="62">
        <f>SUBTOTAL(109,'Salaries &amp; Fringe Allocations'!N320:N328)</f>
        <v>0</v>
      </c>
      <c r="O329" s="62">
        <f>SUBTOTAL(109,'Salaries &amp; Fringe Allocations'!O320:O328)</f>
        <v>0</v>
      </c>
      <c r="P329" s="62">
        <f>SUBTOTAL(109,'Salaries &amp; Fringe Allocations'!P320:P328)</f>
        <v>0</v>
      </c>
      <c r="Q329" s="62">
        <f>SUBTOTAL(109,'Salaries &amp; Fringe Allocations'!Q320:Q328)</f>
        <v>-352.36599999999999</v>
      </c>
    </row>
    <row r="330" spans="1:18" s="3" customFormat="1">
      <c r="B330" s="137"/>
      <c r="C330" s="137"/>
      <c r="D330" s="1"/>
    </row>
    <row r="331" spans="1:18" s="3" customFormat="1" ht="31">
      <c r="A331" s="220" t="s">
        <v>749</v>
      </c>
      <c r="B331" s="131"/>
      <c r="C331" s="131"/>
      <c r="D331" s="381"/>
      <c r="E331" s="24"/>
      <c r="F331" s="24"/>
      <c r="G331" s="24"/>
      <c r="H331" s="25"/>
      <c r="I331" s="28"/>
      <c r="J331" s="26"/>
      <c r="K331" s="26"/>
      <c r="L331" s="26"/>
      <c r="M331" s="26"/>
      <c r="N331" s="27"/>
      <c r="O331" s="28"/>
      <c r="P331" s="29"/>
      <c r="Q331" s="30"/>
    </row>
    <row r="332" spans="1:18" s="3" customFormat="1" ht="43.5">
      <c r="A332" s="53" t="s">
        <v>61</v>
      </c>
      <c r="B332" s="132" t="s">
        <v>68</v>
      </c>
      <c r="C332" s="132" t="s">
        <v>69</v>
      </c>
      <c r="D332" s="54" t="s">
        <v>62</v>
      </c>
      <c r="E332" s="54" t="s">
        <v>63</v>
      </c>
      <c r="F332" s="54" t="s">
        <v>67</v>
      </c>
      <c r="G332" s="54" t="s">
        <v>295</v>
      </c>
      <c r="H332" s="55" t="s">
        <v>289</v>
      </c>
      <c r="I332" s="54" t="s">
        <v>288</v>
      </c>
      <c r="J332" s="55" t="s">
        <v>291</v>
      </c>
      <c r="K332" s="55" t="s">
        <v>292</v>
      </c>
      <c r="L332" s="55" t="s">
        <v>283</v>
      </c>
      <c r="M332" s="55" t="s">
        <v>293</v>
      </c>
      <c r="N332" s="54" t="s">
        <v>290</v>
      </c>
      <c r="O332" s="54" t="s">
        <v>64</v>
      </c>
      <c r="P332" s="54" t="s">
        <v>139</v>
      </c>
      <c r="Q332" s="54" t="s">
        <v>65</v>
      </c>
    </row>
    <row r="333" spans="1:18" s="1" customFormat="1">
      <c r="A333" s="125" t="s">
        <v>294</v>
      </c>
      <c r="B333" s="136">
        <f>+B307+B320</f>
        <v>28</v>
      </c>
      <c r="C333" s="136">
        <f>+C307+C320</f>
        <v>140</v>
      </c>
      <c r="D333" s="214">
        <f t="shared" ref="D333:D334" si="265">B333/C333</f>
        <v>0.2</v>
      </c>
      <c r="E333" s="212">
        <f>+E307+E320</f>
        <v>6923.08</v>
      </c>
      <c r="F333" s="212">
        <f t="shared" ref="F333:F334" si="266">ROUND(D333*E333,2)</f>
        <v>1384.62</v>
      </c>
      <c r="G333" s="448">
        <f>+F333/$F$342</f>
        <v>8.7300996828559352E-2</v>
      </c>
      <c r="H333" s="212">
        <f>+G333*'Feb-2020 GL'!$G$61</f>
        <v>148.8481995926937</v>
      </c>
      <c r="I333" s="212">
        <f>+G333*'Feb-2020 GL'!$G$65</f>
        <v>15.190373448169327</v>
      </c>
      <c r="J333" s="212">
        <f>1068.35*D333</f>
        <v>213.67</v>
      </c>
      <c r="K333" s="212">
        <f>K307+K320</f>
        <v>-39.448000000000008</v>
      </c>
      <c r="L333" s="212">
        <f>75.16*D333</f>
        <v>15.032</v>
      </c>
      <c r="M333" s="212">
        <f>M307+M320</f>
        <v>-3.1760000000000002</v>
      </c>
      <c r="N333" s="212">
        <f>+$G333*'Feb-2020 GL'!$G$47</f>
        <v>37.190224648966286</v>
      </c>
      <c r="O333" s="212">
        <f t="shared" ref="O333:P333" si="267">+O294+O307</f>
        <v>0</v>
      </c>
      <c r="P333" s="212">
        <f t="shared" si="267"/>
        <v>0</v>
      </c>
      <c r="Q333" s="348">
        <f t="shared" ref="Q333:Q340" si="268">SUM(H333:P333)</f>
        <v>387.30679768982935</v>
      </c>
      <c r="R333" s="1" t="s">
        <v>24</v>
      </c>
    </row>
    <row r="334" spans="1:18" s="1" customFormat="1">
      <c r="A334" s="125" t="s">
        <v>161</v>
      </c>
      <c r="B334" s="136">
        <f t="shared" ref="B334:C334" si="269">+B308+B321</f>
        <v>58</v>
      </c>
      <c r="C334" s="136">
        <f t="shared" si="269"/>
        <v>140</v>
      </c>
      <c r="D334" s="214">
        <f t="shared" si="265"/>
        <v>0.41428571428571431</v>
      </c>
      <c r="E334" s="212">
        <f t="shared" ref="E334:E340" si="270">+E308+E321</f>
        <v>5000</v>
      </c>
      <c r="F334" s="212">
        <f t="shared" si="266"/>
        <v>2071.4299999999998</v>
      </c>
      <c r="G334" s="448">
        <f t="shared" ref="G334:G340" si="271">+F334/$F$342</f>
        <v>0.13060471743914048</v>
      </c>
      <c r="H334" s="212">
        <f>+G334*'Feb-2020 GL'!$G$61</f>
        <v>222.68104323373453</v>
      </c>
      <c r="I334" s="212">
        <f>+G334*'Feb-2020 GL'!$G$65</f>
        <v>22.725220834410443</v>
      </c>
      <c r="J334" s="212">
        <f>1033.68*D334</f>
        <v>428.23885714285717</v>
      </c>
      <c r="K334" s="212">
        <f t="shared" ref="K334:K340" si="272">K308+K321</f>
        <v>-79.062285714285721</v>
      </c>
      <c r="L334" s="212">
        <f>82.32*D334</f>
        <v>34.103999999999999</v>
      </c>
      <c r="M334" s="212">
        <f t="shared" ref="M334:M340" si="273">M308+M321</f>
        <v>-2.7177142857142855</v>
      </c>
      <c r="N334" s="212">
        <f>+$G334*'Feb-2020 GL'!$G$47</f>
        <v>55.637609629073843</v>
      </c>
      <c r="O334" s="212">
        <f t="shared" ref="O334:P334" si="274">+O295+O308</f>
        <v>0</v>
      </c>
      <c r="P334" s="212">
        <f t="shared" si="274"/>
        <v>0</v>
      </c>
      <c r="Q334" s="348">
        <f t="shared" si="268"/>
        <v>681.60673084007601</v>
      </c>
      <c r="R334" s="1" t="s">
        <v>24</v>
      </c>
    </row>
    <row r="335" spans="1:18" s="1" customFormat="1">
      <c r="A335" s="125" t="s">
        <v>162</v>
      </c>
      <c r="B335" s="136">
        <f t="shared" ref="B335:C335" si="275">+B309+B322</f>
        <v>82</v>
      </c>
      <c r="C335" s="136">
        <f t="shared" si="275"/>
        <v>140</v>
      </c>
      <c r="D335" s="214">
        <f>B335/C334</f>
        <v>0.58571428571428574</v>
      </c>
      <c r="E335" s="212">
        <f t="shared" si="270"/>
        <v>0</v>
      </c>
      <c r="F335" s="212">
        <f>ROUND(D335*E334,2)</f>
        <v>2928.57</v>
      </c>
      <c r="G335" s="448">
        <f t="shared" si="271"/>
        <v>0.1846478313777167</v>
      </c>
      <c r="H335" s="212">
        <f>+G335*'Feb-2020 GL'!$G$61</f>
        <v>314.82455249900698</v>
      </c>
      <c r="I335" s="212">
        <f>+G335*'Feb-2020 GL'!$G$65</f>
        <v>32.128722659722705</v>
      </c>
      <c r="J335" s="212">
        <f>1033.68*D335</f>
        <v>605.44114285714295</v>
      </c>
      <c r="K335" s="212">
        <f t="shared" si="272"/>
        <v>-111.7777142857143</v>
      </c>
      <c r="L335" s="212">
        <f>82.32*D335</f>
        <v>48.216000000000001</v>
      </c>
      <c r="M335" s="212">
        <f t="shared" si="273"/>
        <v>-3.8422857142857141</v>
      </c>
      <c r="N335" s="212">
        <f>+$G335*'Feb-2020 GL'!$G$47</f>
        <v>78.659976166907313</v>
      </c>
      <c r="O335" s="212">
        <f t="shared" ref="O335:P335" si="276">+O296+O309</f>
        <v>0</v>
      </c>
      <c r="P335" s="212">
        <f t="shared" si="276"/>
        <v>0</v>
      </c>
      <c r="Q335" s="348">
        <f t="shared" si="268"/>
        <v>963.65039418277991</v>
      </c>
    </row>
    <row r="336" spans="1:18" s="1" customFormat="1">
      <c r="A336" s="125" t="s">
        <v>165</v>
      </c>
      <c r="B336" s="136">
        <f t="shared" ref="B336:C336" si="277">+B310+B323</f>
        <v>140</v>
      </c>
      <c r="C336" s="136">
        <f t="shared" si="277"/>
        <v>140</v>
      </c>
      <c r="D336" s="214">
        <f t="shared" ref="D336:D339" si="278">B336/C336</f>
        <v>1</v>
      </c>
      <c r="E336" s="212">
        <f t="shared" si="270"/>
        <v>3076.9300000000003</v>
      </c>
      <c r="F336" s="212">
        <f t="shared" ref="F336:F339" si="279">ROUND(D336*E336,2)</f>
        <v>3076.93</v>
      </c>
      <c r="G336" s="448">
        <f t="shared" si="271"/>
        <v>0.19400200500621048</v>
      </c>
      <c r="H336" s="212">
        <f>+G336*'Feb-2020 GL'!$G$61</f>
        <v>330.77341853558886</v>
      </c>
      <c r="I336" s="212">
        <f>+G336*'Feb-2020 GL'!$G$65</f>
        <v>33.756348871080625</v>
      </c>
      <c r="J336" s="212">
        <v>0</v>
      </c>
      <c r="K336" s="212">
        <f t="shared" si="272"/>
        <v>0</v>
      </c>
      <c r="L336" s="212">
        <v>0</v>
      </c>
      <c r="M336" s="212">
        <f t="shared" si="273"/>
        <v>0</v>
      </c>
      <c r="N336" s="212">
        <f>+$G336*'Feb-2020 GL'!$G$47</f>
        <v>82.644854132645662</v>
      </c>
      <c r="O336" s="212">
        <f t="shared" ref="O336:P336" si="280">+O297+O310</f>
        <v>0</v>
      </c>
      <c r="P336" s="212">
        <f t="shared" si="280"/>
        <v>0</v>
      </c>
      <c r="Q336" s="348">
        <f t="shared" si="268"/>
        <v>447.17462153931513</v>
      </c>
    </row>
    <row r="337" spans="1:18" s="1" customFormat="1">
      <c r="A337" s="125" t="s">
        <v>166</v>
      </c>
      <c r="B337" s="136">
        <f t="shared" ref="B337:C337" si="281">+B311+B324</f>
        <v>122.5</v>
      </c>
      <c r="C337" s="136">
        <f t="shared" si="281"/>
        <v>122.5</v>
      </c>
      <c r="D337" s="214">
        <f t="shared" si="278"/>
        <v>1</v>
      </c>
      <c r="E337" s="212">
        <f t="shared" si="270"/>
        <v>2019.24</v>
      </c>
      <c r="F337" s="212">
        <f t="shared" si="279"/>
        <v>2019.24</v>
      </c>
      <c r="G337" s="448">
        <f t="shared" si="271"/>
        <v>0.12731411133459014</v>
      </c>
      <c r="H337" s="212">
        <f>+G337*'Feb-2020 GL'!$G$61</f>
        <v>217.07055982547618</v>
      </c>
      <c r="I337" s="212">
        <f>+G337*'Feb-2020 GL'!$G$65</f>
        <v>22.152655372218685</v>
      </c>
      <c r="J337" s="212">
        <v>1068.3499999999999</v>
      </c>
      <c r="K337" s="212">
        <f t="shared" si="272"/>
        <v>-197.24</v>
      </c>
      <c r="L337" s="212">
        <v>47.82</v>
      </c>
      <c r="M337" s="212">
        <f t="shared" si="273"/>
        <v>-6.56</v>
      </c>
      <c r="N337" s="212">
        <f>+$G337*'Feb-2020 GL'!$G$47</f>
        <v>54.235811428535399</v>
      </c>
      <c r="O337" s="212">
        <f t="shared" ref="O337:P337" si="282">+O298+O311</f>
        <v>0</v>
      </c>
      <c r="P337" s="212">
        <f t="shared" si="282"/>
        <v>0</v>
      </c>
      <c r="Q337" s="348">
        <f t="shared" si="268"/>
        <v>1205.8290266262302</v>
      </c>
    </row>
    <row r="338" spans="1:18" s="1" customFormat="1" ht="15" customHeight="1">
      <c r="A338" s="125" t="s">
        <v>513</v>
      </c>
      <c r="B338" s="136">
        <f t="shared" ref="B338:C338" si="283">+B312+B325</f>
        <v>101</v>
      </c>
      <c r="C338" s="136">
        <f t="shared" si="283"/>
        <v>101</v>
      </c>
      <c r="D338" s="214">
        <f t="shared" si="278"/>
        <v>1</v>
      </c>
      <c r="E338" s="212">
        <f t="shared" si="270"/>
        <v>1456.42</v>
      </c>
      <c r="F338" s="212">
        <f t="shared" si="279"/>
        <v>1456.42</v>
      </c>
      <c r="G338" s="448">
        <f t="shared" si="271"/>
        <v>9.182802342956943E-2</v>
      </c>
      <c r="H338" s="212">
        <f>+G338*'Feb-2020 GL'!$G$61</f>
        <v>156.56677994741588</v>
      </c>
      <c r="I338" s="212">
        <f>+G338*'Feb-2020 GL'!$G$65</f>
        <v>15.978076076745081</v>
      </c>
      <c r="J338" s="212">
        <v>0</v>
      </c>
      <c r="K338" s="212">
        <f t="shared" si="272"/>
        <v>0</v>
      </c>
      <c r="L338" s="212">
        <v>0</v>
      </c>
      <c r="M338" s="212">
        <f t="shared" si="273"/>
        <v>0</v>
      </c>
      <c r="N338" s="212">
        <f>+$G338*'Feb-2020 GL'!$G$47</f>
        <v>39.118737980996578</v>
      </c>
      <c r="O338" s="212">
        <f t="shared" ref="O338:P338" si="284">+O299+O312</f>
        <v>0</v>
      </c>
      <c r="P338" s="212">
        <f t="shared" si="284"/>
        <v>0</v>
      </c>
      <c r="Q338" s="348">
        <f t="shared" si="268"/>
        <v>211.66359400515753</v>
      </c>
    </row>
    <row r="339" spans="1:18" s="1" customFormat="1">
      <c r="A339" s="125" t="s">
        <v>163</v>
      </c>
      <c r="B339" s="136">
        <f t="shared" ref="B339:C339" si="285">+B313+B326</f>
        <v>47</v>
      </c>
      <c r="C339" s="136">
        <f t="shared" si="285"/>
        <v>140</v>
      </c>
      <c r="D339" s="214">
        <f t="shared" si="278"/>
        <v>0.33571428571428569</v>
      </c>
      <c r="E339" s="212">
        <f t="shared" si="270"/>
        <v>3076.94</v>
      </c>
      <c r="F339" s="212">
        <f t="shared" si="279"/>
        <v>1032.97</v>
      </c>
      <c r="G339" s="448">
        <f t="shared" si="271"/>
        <v>6.5129285070269799E-2</v>
      </c>
      <c r="H339" s="212">
        <f>+G339*'Feb-2020 GL'!$G$61</f>
        <v>111.04543104481</v>
      </c>
      <c r="I339" s="212">
        <f>+G339*'Feb-2020 GL'!$G$65</f>
        <v>11.332495602226945</v>
      </c>
      <c r="J339" s="212">
        <f>1332.17*D339</f>
        <v>447.2285</v>
      </c>
      <c r="K339" s="212">
        <f t="shared" si="272"/>
        <v>-82.565571428571417</v>
      </c>
      <c r="L339" s="212">
        <f>94.77*D339</f>
        <v>31.815642857142855</v>
      </c>
      <c r="M339" s="212">
        <f t="shared" si="273"/>
        <v>-9.6349999999999998</v>
      </c>
      <c r="N339" s="212">
        <f>+$G339*'Feb-2020 GL'!$G$47</f>
        <v>27.745075439934933</v>
      </c>
      <c r="O339" s="212">
        <f t="shared" ref="O339:P339" si="286">+O300+O313</f>
        <v>0</v>
      </c>
      <c r="P339" s="212">
        <f t="shared" si="286"/>
        <v>0</v>
      </c>
      <c r="Q339" s="348">
        <f t="shared" si="268"/>
        <v>536.96657351554336</v>
      </c>
      <c r="R339" s="1" t="s">
        <v>24</v>
      </c>
    </row>
    <row r="340" spans="1:18" s="1" customFormat="1">
      <c r="A340" s="125" t="s">
        <v>164</v>
      </c>
      <c r="B340" s="136">
        <f t="shared" ref="B340:C340" si="287">+B314+B327</f>
        <v>86</v>
      </c>
      <c r="C340" s="136">
        <f t="shared" si="287"/>
        <v>140</v>
      </c>
      <c r="D340" s="214">
        <f>B340/C339</f>
        <v>0.61428571428571432</v>
      </c>
      <c r="E340" s="212">
        <f t="shared" si="270"/>
        <v>0</v>
      </c>
      <c r="F340" s="212">
        <f>ROUND(D340*E339,2)</f>
        <v>1890.12</v>
      </c>
      <c r="G340" s="448">
        <f t="shared" si="271"/>
        <v>0.11917302951394362</v>
      </c>
      <c r="H340" s="212">
        <f>+G340*'Feb-2020 GL'!$G$61</f>
        <v>203.19001532127388</v>
      </c>
      <c r="I340" s="212">
        <f>+G340*'Feb-2020 GL'!$G$65</f>
        <v>20.736107135426192</v>
      </c>
      <c r="J340" s="212">
        <f>1332.17*D340</f>
        <v>818.33300000000008</v>
      </c>
      <c r="K340" s="212">
        <f t="shared" si="272"/>
        <v>-151.07742857142858</v>
      </c>
      <c r="L340" s="212">
        <f>94.77*D340</f>
        <v>58.215857142857146</v>
      </c>
      <c r="M340" s="212">
        <f t="shared" si="273"/>
        <v>-17.63</v>
      </c>
      <c r="N340" s="212">
        <f>+$G340*'Feb-2020 GL'!$G$47</f>
        <v>50.767710572939983</v>
      </c>
      <c r="O340" s="212">
        <f t="shared" ref="O340:P340" si="288">+O301+O314</f>
        <v>0</v>
      </c>
      <c r="P340" s="212">
        <f t="shared" si="288"/>
        <v>0</v>
      </c>
      <c r="Q340" s="348">
        <f t="shared" si="268"/>
        <v>982.5352616010689</v>
      </c>
    </row>
    <row r="341" spans="1:18" s="1" customFormat="1">
      <c r="A341" s="125"/>
      <c r="B341" s="136"/>
      <c r="C341" s="136"/>
      <c r="D341" s="128"/>
      <c r="E341" s="212"/>
      <c r="F341" s="212"/>
      <c r="G341" s="448"/>
      <c r="H341" s="212"/>
      <c r="I341" s="212"/>
      <c r="J341" s="212"/>
      <c r="K341" s="212"/>
      <c r="L341" s="212"/>
      <c r="M341" s="212"/>
      <c r="N341" s="212"/>
      <c r="O341" s="212"/>
      <c r="P341" s="212"/>
      <c r="Q341" s="348"/>
    </row>
    <row r="342" spans="1:18" s="1" customFormat="1">
      <c r="A342" s="449" t="s">
        <v>323</v>
      </c>
      <c r="B342" s="450"/>
      <c r="C342" s="333"/>
      <c r="D342" s="380"/>
      <c r="E342" s="250">
        <f>SUBTOTAL(109,'Salaries &amp; Fringe Allocations'!E333:E341)</f>
        <v>21552.609999999997</v>
      </c>
      <c r="F342" s="471">
        <f>SUBTOTAL(109,'Salaries &amp; Fringe Allocations'!F333:F341)</f>
        <v>15860.3</v>
      </c>
      <c r="G342" s="391">
        <f>SUM(G333:G341)</f>
        <v>1</v>
      </c>
      <c r="H342" s="321">
        <f>SUBTOTAL(109,'Salaries &amp; Fringe Allocations'!H333:H341)</f>
        <v>1705</v>
      </c>
      <c r="I342" s="321">
        <f>SUBTOTAL(109,'Salaries &amp; Fringe Allocations'!I333:I341)</f>
        <v>173.99999999999997</v>
      </c>
      <c r="J342" s="321">
        <f>SUBTOTAL(109,'Salaries &amp; Fringe Allocations'!J333:J341)</f>
        <v>3581.2615000000001</v>
      </c>
      <c r="K342" s="321">
        <f>SUBTOTAL(109,'Salaries &amp; Fringe Allocations'!K333:K341)</f>
        <v>-661.17100000000005</v>
      </c>
      <c r="L342" s="321">
        <f>SUBTOTAL(109,'Salaries &amp; Fringe Allocations'!L333:L341)</f>
        <v>235.20349999999999</v>
      </c>
      <c r="M342" s="321">
        <f>SUBTOTAL(109,'Salaries &amp; Fringe Allocations'!M333:M341)</f>
        <v>-43.560999999999993</v>
      </c>
      <c r="N342" s="321">
        <f>SUBTOTAL(109,'Salaries &amp; Fringe Allocations'!N333:N341)</f>
        <v>425.99999999999994</v>
      </c>
      <c r="O342" s="250">
        <f>SUBTOTAL(109,'Salaries &amp; Fringe Allocations'!O333:O341)</f>
        <v>0</v>
      </c>
      <c r="P342" s="250">
        <f>SUBTOTAL(109,'Salaries &amp; Fringe Allocations'!P333:P341)</f>
        <v>0</v>
      </c>
      <c r="Q342" s="250">
        <f>SUBTOTAL(109,'Salaries &amp; Fringe Allocations'!Q333:Q341)</f>
        <v>5416.7330000000002</v>
      </c>
    </row>
    <row r="343" spans="1:18" s="3" customFormat="1">
      <c r="A343" s="252"/>
      <c r="B343" s="217"/>
      <c r="C343" s="217"/>
      <c r="D343" s="216"/>
      <c r="E343" s="372" t="s">
        <v>509</v>
      </c>
      <c r="F343" s="458">
        <f>+'Feb-2020 GL'!G27</f>
        <v>15860</v>
      </c>
      <c r="G343" s="373"/>
      <c r="H343" s="373"/>
      <c r="I343" s="373"/>
      <c r="J343" s="373"/>
      <c r="K343" s="373"/>
      <c r="L343" s="373"/>
      <c r="M343" s="373"/>
      <c r="N343" s="373"/>
      <c r="O343" s="373"/>
      <c r="P343" s="373"/>
      <c r="Q343" s="373"/>
    </row>
    <row r="344" spans="1:18" s="1" customFormat="1" ht="15" thickBot="1">
      <c r="A344" s="253"/>
      <c r="B344" s="254"/>
      <c r="C344" s="254"/>
      <c r="D344" s="255"/>
      <c r="E344" s="374" t="s">
        <v>510</v>
      </c>
      <c r="F344" s="459">
        <f>+F342-F343</f>
        <v>0.2999999999992724</v>
      </c>
      <c r="G344" s="257"/>
      <c r="H344" s="257"/>
      <c r="I344" s="257"/>
      <c r="J344" s="256"/>
      <c r="K344" s="256"/>
      <c r="L344" s="257"/>
      <c r="M344" s="257"/>
      <c r="N344" s="257"/>
      <c r="O344" s="257"/>
      <c r="P344" s="257"/>
      <c r="Q344" s="257"/>
    </row>
    <row r="345" spans="1:18" s="3" customFormat="1" ht="15" thickTop="1">
      <c r="B345" s="137"/>
      <c r="C345" s="137"/>
      <c r="F345" s="460"/>
    </row>
  </sheetData>
  <mergeCells count="3">
    <mergeCell ref="A2:C2"/>
    <mergeCell ref="E1:L1"/>
    <mergeCell ref="E2:L2"/>
  </mergeCells>
  <pageMargins left="0.17" right="0.17" top="0.25" bottom="0.45" header="0.05" footer="9.5299999999999996E-2"/>
  <pageSetup paperSize="5" scale="69"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abSelected="1" zoomScaleNormal="100" zoomScaleSheetLayoutView="70" workbookViewId="0">
      <pane ySplit="5" topLeftCell="A46" activePane="bottomLeft" state="frozen"/>
      <selection pane="bottomLeft" activeCell="E62" sqref="E6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8" t="s">
        <v>54</v>
      </c>
      <c r="F1" s="104"/>
      <c r="G1" s="556">
        <v>43862</v>
      </c>
      <c r="H1" s="557"/>
      <c r="I1" s="106" t="s">
        <v>49</v>
      </c>
    </row>
    <row r="2" spans="1:9" ht="21">
      <c r="A2" s="37" t="s">
        <v>152</v>
      </c>
      <c r="B2" s="35"/>
      <c r="C2" s="35"/>
      <c r="D2" s="36"/>
      <c r="E2" s="609"/>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Allocations'!F333</f>
        <v>1384.62</v>
      </c>
      <c r="C6" s="140"/>
      <c r="D6" s="141"/>
      <c r="E6" s="142">
        <f>SUM(B6:D6)</f>
        <v>1384.62</v>
      </c>
      <c r="F6" s="143">
        <f>E6+'Jan-2020'!F6</f>
        <v>12610.829999999998</v>
      </c>
      <c r="G6" s="143">
        <v>16400</v>
      </c>
      <c r="H6" s="144">
        <f>G6-F6</f>
        <v>3789.1700000000019</v>
      </c>
      <c r="I6" s="108">
        <f>F6/G6</f>
        <v>0.76895304878048765</v>
      </c>
    </row>
    <row r="7" spans="1:9" s="103" customFormat="1" ht="25.5" customHeight="1">
      <c r="A7" s="138" t="s">
        <v>146</v>
      </c>
      <c r="B7" s="139">
        <f>+'Salaries &amp; Fringe Allocations'!F334</f>
        <v>2071.4299999999998</v>
      </c>
      <c r="C7" s="140"/>
      <c r="D7" s="141">
        <f>+'Salaries &amp; Fringe Allocations'!F335</f>
        <v>2928.57</v>
      </c>
      <c r="E7" s="142">
        <f t="shared" ref="E7:E12" si="0">SUM(B7:D7)</f>
        <v>5000</v>
      </c>
      <c r="F7" s="143">
        <f>E7+'Jan-2020'!F7</f>
        <v>41250</v>
      </c>
      <c r="G7" s="143">
        <v>66000</v>
      </c>
      <c r="H7" s="144">
        <f>G7-F7</f>
        <v>24750</v>
      </c>
      <c r="I7" s="108">
        <f t="shared" ref="I7:I20" si="1">F7/G7</f>
        <v>0.625</v>
      </c>
    </row>
    <row r="8" spans="1:9" s="103" customFormat="1" ht="25.5" customHeight="1">
      <c r="A8" s="138" t="s">
        <v>155</v>
      </c>
      <c r="B8" s="139"/>
      <c r="C8" s="140"/>
      <c r="D8" s="141">
        <f>+'Salaries &amp; Fringe Allocations'!F336</f>
        <v>3076.93</v>
      </c>
      <c r="E8" s="142">
        <f t="shared" si="0"/>
        <v>3076.93</v>
      </c>
      <c r="F8" s="143">
        <f>E8+'Jan-2020'!F8</f>
        <v>23846.28</v>
      </c>
      <c r="G8" s="143">
        <v>40000</v>
      </c>
      <c r="H8" s="144">
        <f t="shared" ref="H8:H12" si="2">G8-F8</f>
        <v>16153.720000000001</v>
      </c>
      <c r="I8" s="108">
        <f t="shared" si="1"/>
        <v>0.59615699999999994</v>
      </c>
    </row>
    <row r="9" spans="1:9" s="103" customFormat="1" ht="25.5" customHeight="1">
      <c r="A9" s="138" t="s">
        <v>147</v>
      </c>
      <c r="B9" s="139"/>
      <c r="C9" s="140"/>
      <c r="D9" s="141">
        <f>+'Salaries &amp; Fringe Allocations'!F337</f>
        <v>2019.24</v>
      </c>
      <c r="E9" s="142">
        <f t="shared" si="0"/>
        <v>2019.24</v>
      </c>
      <c r="F9" s="143">
        <f>E9+'Jan-2020'!F9</f>
        <v>18057.870000000003</v>
      </c>
      <c r="G9" s="143">
        <v>30000</v>
      </c>
      <c r="H9" s="144">
        <f t="shared" si="2"/>
        <v>11942.129999999997</v>
      </c>
      <c r="I9" s="108">
        <f t="shared" si="1"/>
        <v>0.60192900000000005</v>
      </c>
    </row>
    <row r="10" spans="1:9" s="103" customFormat="1" ht="25.5" customHeight="1">
      <c r="A10" s="138" t="s">
        <v>778</v>
      </c>
      <c r="B10" s="139"/>
      <c r="C10" s="140"/>
      <c r="D10" s="141">
        <f>+'Salaries &amp; Fringe Allocations'!F338</f>
        <v>1456.42</v>
      </c>
      <c r="E10" s="142">
        <f t="shared" si="0"/>
        <v>1456.42</v>
      </c>
      <c r="F10" s="143">
        <f>E10+'Jan-2020'!F10</f>
        <v>11946.97</v>
      </c>
      <c r="G10" s="143">
        <v>21500</v>
      </c>
      <c r="H10" s="144">
        <f t="shared" si="2"/>
        <v>9553.0300000000007</v>
      </c>
      <c r="I10" s="108">
        <f t="shared" si="1"/>
        <v>0.55567302325581391</v>
      </c>
    </row>
    <row r="11" spans="1:9" s="103" customFormat="1" ht="25.5" customHeight="1">
      <c r="A11" s="138" t="s">
        <v>148</v>
      </c>
      <c r="B11" s="139">
        <f>+'Salaries &amp; Fringe Allocations'!F339</f>
        <v>1032.97</v>
      </c>
      <c r="C11" s="140"/>
      <c r="D11" s="141">
        <f>+'Salaries &amp; Fringe Allocations'!F340</f>
        <v>1890.12</v>
      </c>
      <c r="E11" s="142">
        <f t="shared" si="0"/>
        <v>2923.09</v>
      </c>
      <c r="F11" s="143">
        <f>E11+'Jan-2020'!F11</f>
        <v>19407.810000000001</v>
      </c>
      <c r="G11" s="143">
        <v>36000</v>
      </c>
      <c r="H11" s="144">
        <f t="shared" si="2"/>
        <v>16592.189999999999</v>
      </c>
      <c r="I11" s="108">
        <f t="shared" si="1"/>
        <v>0.5391058333333334</v>
      </c>
    </row>
    <row r="12" spans="1:9" s="103" customFormat="1" ht="25.5" customHeight="1">
      <c r="A12" s="138" t="s">
        <v>363</v>
      </c>
      <c r="B12" s="139"/>
      <c r="C12" s="140"/>
      <c r="D12" s="141"/>
      <c r="E12" s="142">
        <f t="shared" si="0"/>
        <v>0</v>
      </c>
      <c r="F12" s="143">
        <f>E12+'Jan-2020'!F12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4489.0199999999995</v>
      </c>
      <c r="C16" s="147">
        <f>SUM(C6:C15)</f>
        <v>0</v>
      </c>
      <c r="D16" s="147">
        <f t="shared" ref="D16" si="3">SUM(D6:D15)</f>
        <v>11371.279999999999</v>
      </c>
      <c r="E16" s="147">
        <f>SUM(E6:E15)</f>
        <v>15860.3</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60"/>
      <c r="F17" s="70"/>
      <c r="G17" s="70"/>
      <c r="H17" s="70"/>
      <c r="I17" s="109"/>
    </row>
    <row r="18" spans="1:10" s="103" customFormat="1" ht="15.5">
      <c r="A18" s="117" t="s">
        <v>34</v>
      </c>
      <c r="B18" s="154">
        <f>+'Salaries &amp; Fringe Allocations'!Q333+'Salaries &amp; Fringe Allocations'!Q334+'Salaries &amp; Fringe Allocations'!Q339</f>
        <v>1605.8801020454487</v>
      </c>
      <c r="C18" s="155"/>
      <c r="D18" s="155">
        <f>+'Salaries &amp; Fringe Allocations'!Q335+'Salaries &amp; Fringe Allocations'!Q336+'Salaries &amp; Fringe Allocations'!Q337+'Salaries &amp; Fringe Allocations'!Q338+'Salaries &amp; Fringe Allocations'!Q340</f>
        <v>3810.8528979545517</v>
      </c>
      <c r="E18" s="156">
        <f>SUM(B18:D18)</f>
        <v>5416.7330000000002</v>
      </c>
      <c r="F18" s="143">
        <f>E18+'Jan-2020'!F18</f>
        <v>43430.353030878017</v>
      </c>
      <c r="G18" s="71">
        <v>68136</v>
      </c>
      <c r="H18" s="72">
        <f>G18-F18</f>
        <v>24705.646969121983</v>
      </c>
      <c r="I18" s="108">
        <f t="shared" si="1"/>
        <v>0.63740684852175089</v>
      </c>
    </row>
    <row r="19" spans="1:10" s="103" customFormat="1" ht="15.5">
      <c r="A19" s="150"/>
      <c r="B19" s="151"/>
      <c r="C19" s="152"/>
      <c r="D19" s="152"/>
      <c r="E19" s="160"/>
      <c r="F19" s="70"/>
      <c r="G19" s="70"/>
      <c r="H19" s="70">
        <f t="shared" ref="H19:H35" si="4">G19-F19</f>
        <v>0</v>
      </c>
      <c r="I19" s="109"/>
    </row>
    <row r="20" spans="1:10" s="103" customFormat="1" ht="16" thickBot="1">
      <c r="A20" s="117" t="s">
        <v>6</v>
      </c>
      <c r="B20" s="157">
        <f t="shared" ref="B20:F20" si="5">B16+B18</f>
        <v>6094.900102045448</v>
      </c>
      <c r="C20" s="158">
        <f t="shared" si="5"/>
        <v>0</v>
      </c>
      <c r="D20" s="158">
        <f t="shared" si="5"/>
        <v>15182.132897954551</v>
      </c>
      <c r="E20" s="159">
        <f t="shared" si="5"/>
        <v>21277.032999999999</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+'Feb-2020 GL'!G75</f>
        <v>165.12</v>
      </c>
      <c r="E23" s="142">
        <f>SUM(B23:D23)</f>
        <v>165.12</v>
      </c>
      <c r="F23" s="143">
        <f>E23+'Jan-2020'!F23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E24+'Jan-2020'!F24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f>+'Feb-2020 GL'!G87</f>
        <v>1444</v>
      </c>
      <c r="C26" s="140"/>
      <c r="D26" s="141"/>
      <c r="E26" s="142">
        <f t="shared" si="7"/>
        <v>1444</v>
      </c>
      <c r="F26" s="143">
        <f>E26+'Jan-2020'!F26</f>
        <v>9562.69</v>
      </c>
      <c r="G26" s="143">
        <v>13200</v>
      </c>
      <c r="H26" s="144">
        <f t="shared" si="8"/>
        <v>3637.3099999999995</v>
      </c>
      <c r="I26" s="108">
        <f t="shared" si="6"/>
        <v>0.72444621212121219</v>
      </c>
      <c r="J26" s="102"/>
    </row>
    <row r="27" spans="1:10" s="103" customFormat="1" ht="24" customHeight="1">
      <c r="A27" s="161" t="s">
        <v>41</v>
      </c>
      <c r="B27" s="139">
        <f>+'Feb-2020 GL'!G111</f>
        <v>493</v>
      </c>
      <c r="C27" s="140"/>
      <c r="D27" s="141">
        <f>+'Feb-2020 GL'!G92</f>
        <v>648</v>
      </c>
      <c r="E27" s="142">
        <f t="shared" si="7"/>
        <v>1141</v>
      </c>
      <c r="F27" s="143">
        <f>E27+'Jan-2020'!F27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E28+'Jan-2020'!F28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f>+'Feb-2020 GL'!G120</f>
        <v>208</v>
      </c>
      <c r="C30" s="140"/>
      <c r="D30" s="141"/>
      <c r="E30" s="142">
        <f t="shared" si="7"/>
        <v>208</v>
      </c>
      <c r="F30" s="143">
        <f>E30+'Jan-2020'!F30</f>
        <v>2339.9499999999998</v>
      </c>
      <c r="G30" s="143">
        <v>6475</v>
      </c>
      <c r="H30" s="144">
        <f t="shared" si="8"/>
        <v>4135.05</v>
      </c>
      <c r="I30" s="108">
        <f t="shared" si="6"/>
        <v>0.36138223938223935</v>
      </c>
      <c r="J30" s="102"/>
    </row>
    <row r="31" spans="1:10" s="103" customFormat="1" ht="24" customHeight="1">
      <c r="A31" s="162" t="s">
        <v>44</v>
      </c>
      <c r="B31" s="139">
        <f>+'Feb-2020 GL'!G21</f>
        <v>1186.4099999999999</v>
      </c>
      <c r="C31" s="140"/>
      <c r="D31" s="141"/>
      <c r="E31" s="142">
        <f t="shared" si="7"/>
        <v>1186.4099999999999</v>
      </c>
      <c r="F31" s="143">
        <f>E31+'Jan-2020'!F31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f>+'Feb-2020 GL'!G130</f>
        <v>369</v>
      </c>
      <c r="C33" s="140"/>
      <c r="D33" s="141"/>
      <c r="E33" s="142">
        <f t="shared" si="7"/>
        <v>369</v>
      </c>
      <c r="F33" s="143">
        <f>E33+'Jan-2020'!F33</f>
        <v>2673.82</v>
      </c>
      <c r="G33" s="143">
        <v>3000.7</v>
      </c>
      <c r="H33" s="144">
        <f>G33-F33</f>
        <v>326.87999999999965</v>
      </c>
      <c r="I33" s="108">
        <f t="shared" si="6"/>
        <v>0.89106541806911732</v>
      </c>
      <c r="J33" s="102"/>
    </row>
    <row r="34" spans="1:10" s="103" customFormat="1" ht="24" customHeight="1">
      <c r="A34" s="162" t="s">
        <v>77</v>
      </c>
      <c r="B34" s="139">
        <f>+'Feb-2020 GL'!G145</f>
        <v>325.82</v>
      </c>
      <c r="C34" s="140"/>
      <c r="D34" s="141"/>
      <c r="E34" s="142">
        <f t="shared" si="7"/>
        <v>325.82</v>
      </c>
      <c r="F34" s="143">
        <f>E34+'Jan-2020'!F34</f>
        <v>2250.44</v>
      </c>
      <c r="G34" s="143">
        <v>3000</v>
      </c>
      <c r="H34" s="144">
        <f t="shared" si="4"/>
        <v>749.56</v>
      </c>
      <c r="I34" s="108">
        <f t="shared" si="6"/>
        <v>0.75014666666666674</v>
      </c>
      <c r="J34" s="102"/>
    </row>
    <row r="35" spans="1:10" s="103" customFormat="1" ht="24" customHeight="1">
      <c r="A35" s="162" t="s">
        <v>150</v>
      </c>
      <c r="B35" s="139">
        <f>+'Feb-2020 GL'!G154</f>
        <v>436</v>
      </c>
      <c r="C35" s="140"/>
      <c r="D35" s="141"/>
      <c r="E35" s="142">
        <f t="shared" si="7"/>
        <v>436</v>
      </c>
      <c r="F35" s="143">
        <f>E35+'Jan-2020'!F35</f>
        <v>3825.6000000000004</v>
      </c>
      <c r="G35" s="143">
        <v>4000</v>
      </c>
      <c r="H35" s="144">
        <f t="shared" si="4"/>
        <v>174.39999999999964</v>
      </c>
      <c r="I35" s="108">
        <f t="shared" si="6"/>
        <v>0.95640000000000014</v>
      </c>
      <c r="J35" s="102"/>
    </row>
    <row r="36" spans="1:10" s="103" customFormat="1" ht="24" customHeight="1">
      <c r="A36" s="162" t="s">
        <v>151</v>
      </c>
      <c r="B36" s="151">
        <f>+'Feb-2020 GL'!G161</f>
        <v>38</v>
      </c>
      <c r="C36" s="152"/>
      <c r="D36" s="163"/>
      <c r="E36" s="142">
        <f t="shared" ref="E36" si="9">SUM(B36:D36)</f>
        <v>38</v>
      </c>
      <c r="F36" s="143">
        <f>E36+'Jan-2020'!F36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4500.2299999999996</v>
      </c>
      <c r="C37" s="166">
        <f t="shared" ref="C37:E37" si="12">SUM(C23:C36)</f>
        <v>0</v>
      </c>
      <c r="D37" s="166">
        <f t="shared" si="12"/>
        <v>813.12</v>
      </c>
      <c r="E37" s="166">
        <f t="shared" si="12"/>
        <v>5313.3499999999995</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+'Feb-2020 GL'!G10</f>
        <v>127305.05</v>
      </c>
      <c r="D41" s="170"/>
      <c r="E41" s="171">
        <f>SUM(B41:D41)</f>
        <v>127305.05</v>
      </c>
      <c r="F41" s="143">
        <f>E41+'Jan-2020'!F41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+E42+'Jan-2020'!F42</f>
        <v>2160.63</v>
      </c>
      <c r="G42" s="144"/>
      <c r="H42" s="144"/>
      <c r="I42" s="108">
        <v>0</v>
      </c>
    </row>
    <row r="43" spans="1:10" s="168" customFormat="1" ht="21.75" customHeight="1">
      <c r="A43" s="138" t="s">
        <v>80</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78</v>
      </c>
      <c r="B44" s="139"/>
      <c r="C44" s="170">
        <f>+'Feb-2020 GL'!G14</f>
        <v>9738.5</v>
      </c>
      <c r="D44" s="170"/>
      <c r="E44" s="171">
        <f t="shared" si="14"/>
        <v>9738.5</v>
      </c>
      <c r="F44" s="143">
        <f>E44+'Jan-2020'!F44</f>
        <v>61647.08</v>
      </c>
      <c r="G44" s="144">
        <v>111141.44</v>
      </c>
      <c r="H44" s="144">
        <f t="shared" si="15"/>
        <v>49494.36</v>
      </c>
      <c r="I44" s="108">
        <f t="shared" si="13"/>
        <v>0.55467231664444872</v>
      </c>
    </row>
    <row r="45" spans="1:10" s="168" customFormat="1" ht="21.75" customHeight="1">
      <c r="A45" s="138" t="s">
        <v>29</v>
      </c>
      <c r="B45" s="139"/>
      <c r="C45" s="140">
        <f>+'Feb-2020 GL'!G17</f>
        <v>3420</v>
      </c>
      <c r="D45" s="140"/>
      <c r="E45" s="172">
        <f t="shared" si="14"/>
        <v>3420</v>
      </c>
      <c r="F45" s="143">
        <f>E45+'Jan-2020'!F45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E46+'Jan-2020'!F46</f>
        <v>0</v>
      </c>
      <c r="G46" s="144">
        <v>8500</v>
      </c>
      <c r="H46" s="144">
        <f t="shared" si="15"/>
        <v>8500</v>
      </c>
      <c r="I46" s="108">
        <f t="shared" si="13"/>
        <v>0</v>
      </c>
    </row>
    <row r="47" spans="1:10" s="168" customFormat="1" ht="21.75" customHeight="1">
      <c r="A47" s="138" t="s">
        <v>168</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140463.54999999999</v>
      </c>
      <c r="D48" s="166">
        <f t="shared" si="16"/>
        <v>0</v>
      </c>
      <c r="E48" s="166">
        <f t="shared" si="16"/>
        <v>140463.54999999999</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10595.130102045448</v>
      </c>
      <c r="C52" s="158">
        <f>C20+C37+C48</f>
        <v>140463.54999999999</v>
      </c>
      <c r="D52" s="158">
        <f>D20+D37+D48</f>
        <v>15995.252897954551</v>
      </c>
      <c r="E52" s="158">
        <f>E37+E20+E48+E50</f>
        <v>167053.93299999999</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f>+'Feb-2020 GL'!G167</f>
        <v>42664.01</v>
      </c>
      <c r="F54" s="143">
        <f>E54+'Jan-2020'!F54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10595.130102045448</v>
      </c>
      <c r="C56" s="99">
        <f t="shared" si="18"/>
        <v>140463.54999999999</v>
      </c>
      <c r="D56" s="99">
        <f t="shared" si="18"/>
        <v>15995.252897954551</v>
      </c>
      <c r="E56" s="158">
        <f t="shared" si="18"/>
        <v>209717.943</v>
      </c>
      <c r="F56" s="77">
        <f t="shared" si="18"/>
        <v>1261722.1230308779</v>
      </c>
      <c r="G56" s="77">
        <f t="shared" si="18"/>
        <v>2256075.86</v>
      </c>
      <c r="H56" s="77">
        <f t="shared" si="18"/>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28823.972999999998</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28823.972999999998</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v>43895</v>
      </c>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0"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2"/>
  <sheetViews>
    <sheetView workbookViewId="0">
      <pane ySplit="5" topLeftCell="A156" activePane="bottomLeft" state="frozen"/>
      <selection pane="bottomLeft" activeCell="G167" sqref="G167"/>
    </sheetView>
  </sheetViews>
  <sheetFormatPr defaultColWidth="9.1796875" defaultRowHeight="14.5"/>
  <cols>
    <col min="1" max="1" width="2.26953125" style="269" customWidth="1"/>
    <col min="2" max="4" width="12" style="269" customWidth="1"/>
    <col min="5" max="5" width="31.81640625" style="269" customWidth="1"/>
    <col min="6" max="6" width="52.453125" style="269" customWidth="1"/>
    <col min="7" max="7" width="12" style="269" customWidth="1"/>
    <col min="8" max="8" width="9.1796875" style="349"/>
    <col min="9" max="16384" width="9.1796875" style="269"/>
  </cols>
  <sheetData>
    <row r="1" spans="1:8" ht="18">
      <c r="A1" s="610" t="s">
        <v>277</v>
      </c>
      <c r="B1" s="610"/>
      <c r="C1" s="610"/>
      <c r="D1" s="610"/>
      <c r="E1" s="610"/>
      <c r="F1" s="610"/>
      <c r="G1" s="610"/>
      <c r="H1" s="610"/>
    </row>
    <row r="2" spans="1:8" ht="18">
      <c r="A2" s="610" t="s">
        <v>276</v>
      </c>
      <c r="B2" s="610"/>
      <c r="C2" s="610"/>
      <c r="D2" s="610"/>
      <c r="E2" s="610"/>
      <c r="F2" s="610"/>
      <c r="G2" s="610"/>
      <c r="H2" s="610"/>
    </row>
    <row r="3" spans="1:8">
      <c r="A3" s="611" t="s">
        <v>777</v>
      </c>
      <c r="B3" s="611"/>
      <c r="C3" s="611"/>
      <c r="D3" s="611"/>
      <c r="E3" s="611"/>
      <c r="F3" s="611"/>
      <c r="G3" s="611"/>
      <c r="H3" s="611"/>
    </row>
    <row r="5" spans="1:8">
      <c r="A5" s="304"/>
      <c r="B5" s="497" t="s">
        <v>153</v>
      </c>
      <c r="C5" s="497" t="s">
        <v>430</v>
      </c>
      <c r="D5" s="497" t="s">
        <v>274</v>
      </c>
      <c r="E5" s="497" t="s">
        <v>273</v>
      </c>
      <c r="F5" s="497" t="s">
        <v>272</v>
      </c>
      <c r="G5" s="495" t="s">
        <v>271</v>
      </c>
      <c r="H5" s="496" t="s">
        <v>278</v>
      </c>
    </row>
    <row r="6" spans="1:8">
      <c r="A6" s="492" t="s">
        <v>270</v>
      </c>
      <c r="H6" s="305"/>
    </row>
    <row r="7" spans="1:8">
      <c r="A7" s="492" t="s">
        <v>269</v>
      </c>
      <c r="H7" s="305"/>
    </row>
    <row r="8" spans="1:8">
      <c r="B8" s="494" t="s">
        <v>765</v>
      </c>
      <c r="C8" s="494" t="s">
        <v>186</v>
      </c>
      <c r="D8" s="494">
        <v>189</v>
      </c>
      <c r="E8" s="494"/>
      <c r="F8" s="494" t="s">
        <v>776</v>
      </c>
      <c r="G8" s="493">
        <v>62739.9</v>
      </c>
      <c r="H8" s="305"/>
    </row>
    <row r="9" spans="1:8">
      <c r="B9" s="494" t="s">
        <v>774</v>
      </c>
      <c r="C9" s="494" t="s">
        <v>186</v>
      </c>
      <c r="D9" s="494">
        <v>261</v>
      </c>
      <c r="E9" s="494"/>
      <c r="F9" s="494" t="s">
        <v>775</v>
      </c>
      <c r="G9" s="493">
        <v>64565.15</v>
      </c>
      <c r="H9" s="305"/>
    </row>
    <row r="10" spans="1:8">
      <c r="A10" s="492" t="s">
        <v>557</v>
      </c>
      <c r="G10" s="499">
        <f>SUM(G8:G9)</f>
        <v>127305.05</v>
      </c>
      <c r="H10" s="305"/>
    </row>
    <row r="11" spans="1:8">
      <c r="A11" s="492" t="s">
        <v>262</v>
      </c>
      <c r="H11" s="305"/>
    </row>
    <row r="12" spans="1:8">
      <c r="B12" s="494" t="s">
        <v>765</v>
      </c>
      <c r="C12" s="494" t="s">
        <v>186</v>
      </c>
      <c r="D12" s="494">
        <v>189</v>
      </c>
      <c r="E12" s="494"/>
      <c r="F12" s="494" t="s">
        <v>675</v>
      </c>
      <c r="G12" s="493">
        <v>4799.28</v>
      </c>
      <c r="H12" s="305"/>
    </row>
    <row r="13" spans="1:8">
      <c r="B13" s="494" t="s">
        <v>774</v>
      </c>
      <c r="C13" s="494" t="s">
        <v>186</v>
      </c>
      <c r="D13" s="494">
        <v>261</v>
      </c>
      <c r="E13" s="494"/>
      <c r="F13" s="494" t="s">
        <v>675</v>
      </c>
      <c r="G13" s="493">
        <v>4939.22</v>
      </c>
      <c r="H13" s="305"/>
    </row>
    <row r="14" spans="1:8">
      <c r="A14" s="492" t="s">
        <v>261</v>
      </c>
      <c r="G14" s="499">
        <f>SUM(G12:G13)</f>
        <v>9738.5</v>
      </c>
      <c r="H14" s="305"/>
    </row>
    <row r="15" spans="1:8">
      <c r="A15" s="492" t="s">
        <v>340</v>
      </c>
      <c r="H15" s="305"/>
    </row>
    <row r="16" spans="1:8">
      <c r="B16" s="494" t="s">
        <v>759</v>
      </c>
      <c r="C16" s="494" t="s">
        <v>186</v>
      </c>
      <c r="D16" s="494">
        <v>248</v>
      </c>
      <c r="E16" s="494"/>
      <c r="F16" s="494" t="s">
        <v>411</v>
      </c>
      <c r="G16" s="493">
        <v>3420</v>
      </c>
      <c r="H16" s="305"/>
    </row>
    <row r="17" spans="1:8">
      <c r="A17" s="492" t="s">
        <v>341</v>
      </c>
      <c r="G17" s="499">
        <f>SUM(G16)</f>
        <v>3420</v>
      </c>
      <c r="H17" s="305"/>
    </row>
    <row r="18" spans="1:8">
      <c r="A18" s="492" t="s">
        <v>260</v>
      </c>
      <c r="H18" s="305"/>
    </row>
    <row r="19" spans="1:8">
      <c r="B19" s="494" t="s">
        <v>765</v>
      </c>
      <c r="C19" s="494" t="s">
        <v>186</v>
      </c>
      <c r="D19" s="494">
        <v>189</v>
      </c>
      <c r="E19" s="494"/>
      <c r="F19" s="494" t="s">
        <v>415</v>
      </c>
      <c r="G19" s="493">
        <v>401.87</v>
      </c>
      <c r="H19" s="305"/>
    </row>
    <row r="20" spans="1:8">
      <c r="B20" s="494" t="s">
        <v>774</v>
      </c>
      <c r="C20" s="494" t="s">
        <v>186</v>
      </c>
      <c r="D20" s="494">
        <v>261</v>
      </c>
      <c r="E20" s="494"/>
      <c r="F20" s="494" t="s">
        <v>415</v>
      </c>
      <c r="G20" s="493">
        <v>784.54</v>
      </c>
      <c r="H20" s="305"/>
    </row>
    <row r="21" spans="1:8">
      <c r="A21" s="492" t="s">
        <v>253</v>
      </c>
      <c r="G21" s="499">
        <f>SUM(G19:G20)</f>
        <v>1186.4099999999999</v>
      </c>
      <c r="H21" s="305"/>
    </row>
    <row r="22" spans="1:8">
      <c r="A22" s="492" t="s">
        <v>483</v>
      </c>
      <c r="G22" s="491">
        <f>+G21+G17+G14+G10</f>
        <v>141649.96</v>
      </c>
      <c r="H22" s="305"/>
    </row>
    <row r="23" spans="1:8">
      <c r="A23" s="492" t="s">
        <v>414</v>
      </c>
      <c r="H23" s="305"/>
    </row>
    <row r="24" spans="1:8">
      <c r="A24" s="492" t="s">
        <v>252</v>
      </c>
      <c r="H24" s="305"/>
    </row>
    <row r="25" spans="1:8">
      <c r="A25" s="492" t="s">
        <v>552</v>
      </c>
      <c r="H25" s="305"/>
    </row>
    <row r="26" spans="1:8">
      <c r="B26" s="494" t="s">
        <v>760</v>
      </c>
      <c r="C26" s="494" t="s">
        <v>186</v>
      </c>
      <c r="D26" s="494">
        <v>288</v>
      </c>
      <c r="E26" s="494"/>
      <c r="F26" s="494"/>
      <c r="G26" s="493">
        <v>15860</v>
      </c>
      <c r="H26" s="305"/>
    </row>
    <row r="27" spans="1:8">
      <c r="A27" s="492" t="s">
        <v>249</v>
      </c>
      <c r="G27" s="499">
        <f>SUM(G26)</f>
        <v>15860</v>
      </c>
      <c r="H27" s="305"/>
    </row>
    <row r="28" spans="1:8">
      <c r="A28" s="492" t="s">
        <v>248</v>
      </c>
      <c r="H28" s="305"/>
    </row>
    <row r="29" spans="1:8">
      <c r="A29" s="492" t="s">
        <v>247</v>
      </c>
      <c r="H29" s="305"/>
    </row>
    <row r="30" spans="1:8">
      <c r="B30" s="494" t="s">
        <v>762</v>
      </c>
      <c r="C30" s="494" t="s">
        <v>174</v>
      </c>
      <c r="D30" s="494">
        <v>293308978</v>
      </c>
      <c r="E30" s="494" t="s">
        <v>480</v>
      </c>
      <c r="F30" s="494" t="s">
        <v>773</v>
      </c>
      <c r="G30" s="493">
        <v>3581.26</v>
      </c>
      <c r="H30" s="305">
        <v>12950</v>
      </c>
    </row>
    <row r="31" spans="1:8">
      <c r="A31" s="492" t="s">
        <v>246</v>
      </c>
      <c r="G31" s="491">
        <v>3581.26</v>
      </c>
      <c r="H31" s="305"/>
    </row>
    <row r="32" spans="1:8">
      <c r="A32" s="492" t="s">
        <v>245</v>
      </c>
      <c r="H32" s="305"/>
    </row>
    <row r="33" spans="1:8">
      <c r="B33" s="494" t="s">
        <v>762</v>
      </c>
      <c r="C33" s="494" t="s">
        <v>174</v>
      </c>
      <c r="D33" s="494" t="s">
        <v>772</v>
      </c>
      <c r="E33" s="494" t="s">
        <v>243</v>
      </c>
      <c r="F33" s="494" t="s">
        <v>564</v>
      </c>
      <c r="G33" s="493">
        <v>235.2</v>
      </c>
      <c r="H33" s="305">
        <v>12949</v>
      </c>
    </row>
    <row r="34" spans="1:8">
      <c r="A34" s="492" t="s">
        <v>241</v>
      </c>
      <c r="G34" s="491">
        <v>235.2</v>
      </c>
      <c r="H34" s="305"/>
    </row>
    <row r="35" spans="1:8">
      <c r="A35" s="492" t="s">
        <v>240</v>
      </c>
      <c r="H35" s="305"/>
    </row>
    <row r="36" spans="1:8">
      <c r="B36" s="494" t="s">
        <v>760</v>
      </c>
      <c r="C36" s="494" t="s">
        <v>186</v>
      </c>
      <c r="D36" s="494">
        <v>289</v>
      </c>
      <c r="E36" s="494"/>
      <c r="F36" s="494" t="s">
        <v>669</v>
      </c>
      <c r="G36" s="493">
        <v>-661.17</v>
      </c>
      <c r="H36" s="305"/>
    </row>
    <row r="37" spans="1:8">
      <c r="A37" s="492" t="s">
        <v>239</v>
      </c>
      <c r="G37" s="491">
        <v>-661.17</v>
      </c>
      <c r="H37" s="305"/>
    </row>
    <row r="38" spans="1:8">
      <c r="A38" s="492" t="s">
        <v>238</v>
      </c>
      <c r="H38" s="305"/>
    </row>
    <row r="39" spans="1:8">
      <c r="B39" s="494" t="s">
        <v>760</v>
      </c>
      <c r="C39" s="494" t="s">
        <v>186</v>
      </c>
      <c r="D39" s="494">
        <v>290</v>
      </c>
      <c r="E39" s="494"/>
      <c r="F39" s="494" t="s">
        <v>237</v>
      </c>
      <c r="G39" s="493">
        <v>-43.56</v>
      </c>
      <c r="H39" s="305"/>
    </row>
    <row r="40" spans="1:8">
      <c r="A40" s="492" t="s">
        <v>236</v>
      </c>
      <c r="G40" s="491">
        <v>-43.56</v>
      </c>
      <c r="H40" s="305"/>
    </row>
    <row r="41" spans="1:8" ht="15" thickBot="1">
      <c r="A41" s="492" t="s">
        <v>235</v>
      </c>
      <c r="G41" s="473">
        <f>+G31+G34+G37+G40</f>
        <v>3111.73</v>
      </c>
      <c r="H41" s="305"/>
    </row>
    <row r="42" spans="1:8" s="349" customFormat="1" ht="15" thickTop="1">
      <c r="A42" s="464"/>
      <c r="B42" s="3"/>
      <c r="C42" s="3"/>
      <c r="D42" s="3"/>
      <c r="E42" s="3"/>
      <c r="F42" s="3"/>
      <c r="G42" s="472"/>
      <c r="H42" s="305"/>
    </row>
    <row r="43" spans="1:8">
      <c r="A43" s="492" t="s">
        <v>667</v>
      </c>
      <c r="G43" s="317"/>
      <c r="H43" s="305"/>
    </row>
    <row r="44" spans="1:8">
      <c r="A44" s="492" t="s">
        <v>234</v>
      </c>
      <c r="H44" s="305"/>
    </row>
    <row r="45" spans="1:8">
      <c r="A45" s="492" t="s">
        <v>478</v>
      </c>
      <c r="H45" s="305"/>
    </row>
    <row r="46" spans="1:8">
      <c r="B46" s="494" t="s">
        <v>759</v>
      </c>
      <c r="C46" s="494" t="s">
        <v>186</v>
      </c>
      <c r="D46" s="494">
        <v>248</v>
      </c>
      <c r="E46" s="494"/>
      <c r="F46" s="494" t="s">
        <v>411</v>
      </c>
      <c r="G46" s="493">
        <v>426</v>
      </c>
      <c r="H46" s="305"/>
    </row>
    <row r="47" spans="1:8">
      <c r="A47" s="492" t="s">
        <v>477</v>
      </c>
      <c r="G47" s="499">
        <f>SUM(G46)</f>
        <v>426</v>
      </c>
      <c r="H47" s="305"/>
    </row>
    <row r="48" spans="1:8">
      <c r="G48" s="491"/>
      <c r="H48" s="305"/>
    </row>
    <row r="49" spans="1:8">
      <c r="A49" s="492" t="s">
        <v>232</v>
      </c>
      <c r="H49" s="305"/>
    </row>
    <row r="50" spans="1:8">
      <c r="B50" s="494" t="s">
        <v>759</v>
      </c>
      <c r="C50" s="494" t="s">
        <v>186</v>
      </c>
      <c r="D50" s="494">
        <v>287</v>
      </c>
      <c r="E50" s="494"/>
      <c r="F50" s="494" t="s">
        <v>231</v>
      </c>
      <c r="G50" s="493">
        <v>952</v>
      </c>
      <c r="H50" s="305"/>
    </row>
    <row r="51" spans="1:8">
      <c r="A51" s="492" t="s">
        <v>230</v>
      </c>
      <c r="G51" s="491">
        <f>SUM(G50)</f>
        <v>952</v>
      </c>
      <c r="H51" s="305"/>
    </row>
    <row r="52" spans="1:8">
      <c r="A52" s="492" t="s">
        <v>229</v>
      </c>
      <c r="H52" s="305"/>
    </row>
    <row r="53" spans="1:8">
      <c r="B53" s="494" t="s">
        <v>759</v>
      </c>
      <c r="C53" s="494" t="s">
        <v>186</v>
      </c>
      <c r="D53" s="494">
        <v>283</v>
      </c>
      <c r="E53" s="494"/>
      <c r="F53" s="494" t="s">
        <v>228</v>
      </c>
      <c r="G53" s="493">
        <v>223</v>
      </c>
      <c r="H53" s="305"/>
    </row>
    <row r="54" spans="1:8">
      <c r="A54" s="492" t="s">
        <v>227</v>
      </c>
      <c r="G54" s="491">
        <f>SUM(G53)</f>
        <v>223</v>
      </c>
      <c r="H54" s="305"/>
    </row>
    <row r="55" spans="1:8">
      <c r="A55" s="492" t="s">
        <v>226</v>
      </c>
      <c r="H55" s="305"/>
    </row>
    <row r="56" spans="1:8">
      <c r="B56" s="494" t="s">
        <v>759</v>
      </c>
      <c r="C56" s="494" t="s">
        <v>186</v>
      </c>
      <c r="D56" s="494">
        <v>285</v>
      </c>
      <c r="E56" s="494"/>
      <c r="F56" s="494" t="s">
        <v>225</v>
      </c>
      <c r="G56" s="493">
        <v>443</v>
      </c>
      <c r="H56" s="305"/>
    </row>
    <row r="57" spans="1:8">
      <c r="A57" s="492" t="s">
        <v>224</v>
      </c>
      <c r="G57" s="491">
        <f>SUM(G56)</f>
        <v>443</v>
      </c>
      <c r="H57" s="305"/>
    </row>
    <row r="58" spans="1:8">
      <c r="A58" s="492" t="s">
        <v>223</v>
      </c>
      <c r="H58" s="305"/>
    </row>
    <row r="59" spans="1:8">
      <c r="B59" s="494" t="s">
        <v>759</v>
      </c>
      <c r="C59" s="494" t="s">
        <v>186</v>
      </c>
      <c r="D59" s="494">
        <v>286</v>
      </c>
      <c r="E59" s="494"/>
      <c r="F59" s="494" t="s">
        <v>222</v>
      </c>
      <c r="G59" s="493">
        <v>87</v>
      </c>
      <c r="H59" s="305"/>
    </row>
    <row r="60" spans="1:8">
      <c r="A60" s="492" t="s">
        <v>221</v>
      </c>
      <c r="G60" s="491">
        <f>SUM(G59)</f>
        <v>87</v>
      </c>
      <c r="H60" s="305"/>
    </row>
    <row r="61" spans="1:8" s="349" customFormat="1" ht="15" thickBot="1">
      <c r="A61" s="475" t="s">
        <v>410</v>
      </c>
      <c r="B61" s="3"/>
      <c r="C61" s="3"/>
      <c r="D61" s="3"/>
      <c r="E61" s="3"/>
      <c r="F61" s="3"/>
      <c r="G61" s="473">
        <f>+G51+G54+G57+G60</f>
        <v>1705</v>
      </c>
      <c r="H61" s="305"/>
    </row>
    <row r="62" spans="1:8" ht="15" thickTop="1">
      <c r="A62" s="492" t="s">
        <v>409</v>
      </c>
      <c r="H62" s="305"/>
    </row>
    <row r="63" spans="1:8">
      <c r="A63" s="492" t="s">
        <v>220</v>
      </c>
      <c r="H63" s="305"/>
    </row>
    <row r="64" spans="1:8">
      <c r="B64" s="494" t="s">
        <v>759</v>
      </c>
      <c r="C64" s="494" t="s">
        <v>186</v>
      </c>
      <c r="D64" s="494">
        <v>284</v>
      </c>
      <c r="E64" s="494"/>
      <c r="F64" s="494" t="s">
        <v>219</v>
      </c>
      <c r="G64" s="493">
        <v>174</v>
      </c>
      <c r="H64" s="305"/>
    </row>
    <row r="65" spans="1:8">
      <c r="A65" s="492" t="s">
        <v>408</v>
      </c>
      <c r="G65" s="499">
        <f>SUM(G64)</f>
        <v>174</v>
      </c>
      <c r="H65" s="305"/>
    </row>
    <row r="66" spans="1:8">
      <c r="A66" s="492"/>
      <c r="G66" s="503"/>
      <c r="H66" s="305"/>
    </row>
    <row r="67" spans="1:8" ht="15" thickBot="1">
      <c r="A67" s="464" t="s">
        <v>703</v>
      </c>
      <c r="G67" s="500">
        <f>+G41+G47+G61+G65</f>
        <v>5416.73</v>
      </c>
      <c r="H67" s="305"/>
    </row>
    <row r="68" spans="1:8" ht="15" thickTop="1">
      <c r="G68" s="498"/>
      <c r="H68" s="305"/>
    </row>
    <row r="69" spans="1:8" ht="15" thickBot="1">
      <c r="A69" s="492" t="s">
        <v>546</v>
      </c>
      <c r="G69" s="500">
        <f>+G67+G27</f>
        <v>21276.73</v>
      </c>
      <c r="H69" s="305"/>
    </row>
    <row r="70" spans="1:8" ht="15" thickTop="1">
      <c r="A70" s="492"/>
      <c r="H70" s="305"/>
    </row>
    <row r="71" spans="1:8">
      <c r="A71" s="400" t="s">
        <v>379</v>
      </c>
      <c r="H71" s="444"/>
    </row>
    <row r="72" spans="1:8">
      <c r="A72" s="492" t="s">
        <v>184</v>
      </c>
      <c r="H72" s="305"/>
    </row>
    <row r="73" spans="1:8">
      <c r="B73" s="494" t="s">
        <v>757</v>
      </c>
      <c r="C73" s="494" t="s">
        <v>174</v>
      </c>
      <c r="D73" s="494" t="s">
        <v>756</v>
      </c>
      <c r="E73" s="494" t="s">
        <v>370</v>
      </c>
      <c r="F73" s="494" t="s">
        <v>755</v>
      </c>
      <c r="G73" s="493">
        <v>15.12</v>
      </c>
      <c r="H73" s="444">
        <v>12994</v>
      </c>
    </row>
    <row r="74" spans="1:8">
      <c r="B74" s="494" t="s">
        <v>754</v>
      </c>
      <c r="C74" s="494" t="s">
        <v>174</v>
      </c>
      <c r="D74" s="494"/>
      <c r="E74" s="494" t="s">
        <v>377</v>
      </c>
      <c r="F74" s="494" t="s">
        <v>753</v>
      </c>
      <c r="G74" s="493">
        <v>150</v>
      </c>
      <c r="H74" s="444">
        <v>12961</v>
      </c>
    </row>
    <row r="75" spans="1:8" ht="15" thickBot="1">
      <c r="A75" s="492" t="s">
        <v>365</v>
      </c>
      <c r="G75" s="500">
        <f>SUM(G73:G74)</f>
        <v>165.12</v>
      </c>
      <c r="H75" s="444"/>
    </row>
    <row r="76" spans="1:8" ht="15" thickTop="1">
      <c r="H76" s="3"/>
    </row>
    <row r="77" spans="1:8">
      <c r="H77" s="3"/>
    </row>
    <row r="78" spans="1:8" s="349" customFormat="1">
      <c r="A78" s="400" t="s">
        <v>357</v>
      </c>
      <c r="B78" s="3"/>
      <c r="C78" s="3"/>
      <c r="D78" s="3"/>
      <c r="E78" s="3"/>
      <c r="F78" s="3"/>
      <c r="G78" s="3"/>
      <c r="H78" s="305"/>
    </row>
    <row r="79" spans="1:8">
      <c r="A79" s="492" t="s">
        <v>406</v>
      </c>
    </row>
    <row r="80" spans="1:8">
      <c r="A80" s="492" t="s">
        <v>214</v>
      </c>
    </row>
    <row r="81" spans="1:8">
      <c r="B81" s="494" t="s">
        <v>759</v>
      </c>
      <c r="C81" s="494" t="s">
        <v>186</v>
      </c>
      <c r="D81" s="494">
        <v>270</v>
      </c>
      <c r="E81" s="494"/>
      <c r="F81" s="494" t="s">
        <v>730</v>
      </c>
      <c r="G81" s="493">
        <v>544</v>
      </c>
    </row>
    <row r="82" spans="1:8">
      <c r="B82" s="494" t="s">
        <v>759</v>
      </c>
      <c r="C82" s="494" t="s">
        <v>186</v>
      </c>
      <c r="D82" s="494">
        <v>270</v>
      </c>
      <c r="E82" s="494"/>
      <c r="F82" s="494" t="s">
        <v>730</v>
      </c>
      <c r="G82" s="493">
        <v>0</v>
      </c>
      <c r="H82" s="444"/>
    </row>
    <row r="83" spans="1:8">
      <c r="A83" s="492" t="s">
        <v>475</v>
      </c>
      <c r="G83" s="491">
        <v>544</v>
      </c>
      <c r="H83" s="444"/>
    </row>
    <row r="84" spans="1:8">
      <c r="A84" s="492" t="s">
        <v>665</v>
      </c>
      <c r="H84" s="444"/>
    </row>
    <row r="85" spans="1:8">
      <c r="B85" s="494" t="s">
        <v>771</v>
      </c>
      <c r="C85" s="494" t="s">
        <v>174</v>
      </c>
      <c r="D85" s="494" t="s">
        <v>770</v>
      </c>
      <c r="E85" s="494" t="s">
        <v>662</v>
      </c>
      <c r="F85" s="494" t="s">
        <v>769</v>
      </c>
      <c r="G85" s="493">
        <v>900</v>
      </c>
      <c r="H85" s="444">
        <v>12995</v>
      </c>
    </row>
    <row r="86" spans="1:8">
      <c r="A86" s="492" t="s">
        <v>660</v>
      </c>
      <c r="G86" s="491">
        <v>900</v>
      </c>
      <c r="H86" s="444"/>
    </row>
    <row r="87" spans="1:8" ht="15" thickBot="1">
      <c r="A87" s="492" t="s">
        <v>609</v>
      </c>
      <c r="G87" s="500">
        <f>+G86+G83</f>
        <v>1444</v>
      </c>
      <c r="H87" s="444"/>
    </row>
    <row r="88" spans="1:8" ht="15" thickTop="1">
      <c r="A88" s="492"/>
      <c r="H88" s="305"/>
    </row>
    <row r="89" spans="1:8">
      <c r="A89" s="400" t="s">
        <v>329</v>
      </c>
      <c r="H89" s="305"/>
    </row>
    <row r="90" spans="1:8">
      <c r="A90" s="492" t="s">
        <v>200</v>
      </c>
      <c r="H90" s="444"/>
    </row>
    <row r="91" spans="1:8">
      <c r="B91" s="494" t="s">
        <v>762</v>
      </c>
      <c r="C91" s="494" t="s">
        <v>174</v>
      </c>
      <c r="D91" s="494"/>
      <c r="E91" s="494" t="s">
        <v>181</v>
      </c>
      <c r="F91" s="494" t="s">
        <v>761</v>
      </c>
      <c r="G91" s="493">
        <v>648</v>
      </c>
      <c r="H91" s="444">
        <v>12946</v>
      </c>
    </row>
    <row r="92" spans="1:8">
      <c r="A92" s="474" t="s">
        <v>344</v>
      </c>
      <c r="G92" s="499">
        <f>SUM(G91)</f>
        <v>648</v>
      </c>
      <c r="H92" s="444"/>
    </row>
    <row r="93" spans="1:8">
      <c r="A93" s="492" t="s">
        <v>197</v>
      </c>
      <c r="H93" s="444"/>
    </row>
    <row r="94" spans="1:8">
      <c r="A94" s="492" t="s">
        <v>196</v>
      </c>
      <c r="H94" s="444"/>
    </row>
    <row r="95" spans="1:8">
      <c r="B95" s="494" t="s">
        <v>759</v>
      </c>
      <c r="C95" s="494" t="s">
        <v>186</v>
      </c>
      <c r="D95" s="494">
        <v>277</v>
      </c>
      <c r="E95" s="494"/>
      <c r="F95" s="494" t="s">
        <v>195</v>
      </c>
      <c r="G95" s="493">
        <v>57</v>
      </c>
      <c r="H95" s="444"/>
    </row>
    <row r="96" spans="1:8">
      <c r="B96" s="494" t="s">
        <v>759</v>
      </c>
      <c r="C96" s="494" t="s">
        <v>186</v>
      </c>
      <c r="D96" s="494">
        <v>277</v>
      </c>
      <c r="E96" s="494"/>
      <c r="F96" s="494" t="s">
        <v>195</v>
      </c>
      <c r="G96" s="493">
        <v>113</v>
      </c>
      <c r="H96" s="444"/>
    </row>
    <row r="97" spans="1:8">
      <c r="A97" s="492" t="s">
        <v>468</v>
      </c>
      <c r="G97" s="491">
        <f>SUM(G95:G96)</f>
        <v>170</v>
      </c>
      <c r="H97" s="444"/>
    </row>
    <row r="98" spans="1:8">
      <c r="G98" s="491"/>
      <c r="H98" s="444"/>
    </row>
    <row r="99" spans="1:8">
      <c r="A99" s="492" t="s">
        <v>191</v>
      </c>
      <c r="H99" s="444"/>
    </row>
    <row r="100" spans="1:8">
      <c r="A100" s="492" t="s">
        <v>466</v>
      </c>
      <c r="H100" s="444"/>
    </row>
    <row r="101" spans="1:8">
      <c r="B101" s="494" t="s">
        <v>760</v>
      </c>
      <c r="C101" s="494" t="s">
        <v>186</v>
      </c>
      <c r="D101" s="494">
        <v>281</v>
      </c>
      <c r="E101" s="494"/>
      <c r="F101" s="494" t="s">
        <v>190</v>
      </c>
      <c r="G101" s="493">
        <v>92</v>
      </c>
      <c r="H101" s="444"/>
    </row>
    <row r="102" spans="1:8">
      <c r="B102" s="494" t="s">
        <v>760</v>
      </c>
      <c r="C102" s="494" t="s">
        <v>186</v>
      </c>
      <c r="D102" s="494">
        <v>281</v>
      </c>
      <c r="E102" s="494"/>
      <c r="F102" s="494" t="s">
        <v>190</v>
      </c>
      <c r="G102" s="493">
        <v>46</v>
      </c>
      <c r="H102" s="444"/>
    </row>
    <row r="103" spans="1:8">
      <c r="A103" s="492" t="s">
        <v>465</v>
      </c>
      <c r="G103" s="491">
        <f>SUM(G101:G102)</f>
        <v>138</v>
      </c>
      <c r="H103" s="444"/>
    </row>
    <row r="104" spans="1:8">
      <c r="G104" s="491"/>
      <c r="H104" s="444"/>
    </row>
    <row r="105" spans="1:8">
      <c r="A105" s="492" t="s">
        <v>593</v>
      </c>
      <c r="H105" s="206"/>
    </row>
    <row r="106" spans="1:8">
      <c r="A106" s="492" t="s">
        <v>592</v>
      </c>
      <c r="H106" s="206"/>
    </row>
    <row r="107" spans="1:8">
      <c r="B107" s="494" t="s">
        <v>759</v>
      </c>
      <c r="C107" s="494" t="s">
        <v>186</v>
      </c>
      <c r="D107" s="494">
        <v>276</v>
      </c>
      <c r="E107" s="494"/>
      <c r="F107" s="494" t="s">
        <v>591</v>
      </c>
      <c r="G107" s="493">
        <v>123</v>
      </c>
      <c r="H107" s="206"/>
    </row>
    <row r="108" spans="1:8">
      <c r="B108" s="494" t="s">
        <v>759</v>
      </c>
      <c r="C108" s="494" t="s">
        <v>186</v>
      </c>
      <c r="D108" s="494">
        <v>276</v>
      </c>
      <c r="E108" s="494"/>
      <c r="F108" s="494" t="s">
        <v>591</v>
      </c>
      <c r="G108" s="493">
        <v>62</v>
      </c>
      <c r="H108" s="444"/>
    </row>
    <row r="109" spans="1:8">
      <c r="A109" s="492" t="s">
        <v>590</v>
      </c>
      <c r="G109" s="491">
        <f>SUM(G107:G108)</f>
        <v>185</v>
      </c>
      <c r="H109" s="444"/>
    </row>
    <row r="110" spans="1:8">
      <c r="G110" s="491"/>
      <c r="H110" s="444"/>
    </row>
    <row r="111" spans="1:8" s="474" customFormat="1" ht="15.75" customHeight="1">
      <c r="A111" s="474" t="s">
        <v>343</v>
      </c>
      <c r="G111" s="280">
        <f>+G97+G103+G109</f>
        <v>493</v>
      </c>
      <c r="H111" s="444"/>
    </row>
    <row r="112" spans="1:8" s="477" customFormat="1" ht="15.75" customHeight="1">
      <c r="A112" s="476"/>
      <c r="G112" s="501"/>
      <c r="H112" s="444"/>
    </row>
    <row r="113" spans="1:8" s="478" customFormat="1" ht="15.75" customHeight="1" thickBot="1">
      <c r="A113" s="474" t="s">
        <v>353</v>
      </c>
      <c r="G113" s="287">
        <f>+G92+G111</f>
        <v>1141</v>
      </c>
      <c r="H113" s="444"/>
    </row>
    <row r="114" spans="1:8" ht="15" thickTop="1">
      <c r="A114" s="492"/>
      <c r="H114" s="305"/>
    </row>
    <row r="115" spans="1:8">
      <c r="A115" s="474" t="s">
        <v>507</v>
      </c>
      <c r="H115" s="305"/>
    </row>
    <row r="116" spans="1:8">
      <c r="A116" s="492" t="s">
        <v>647</v>
      </c>
      <c r="H116" s="444"/>
    </row>
    <row r="117" spans="1:8">
      <c r="A117" s="492" t="s">
        <v>193</v>
      </c>
      <c r="H117" s="444"/>
    </row>
    <row r="118" spans="1:8">
      <c r="B118" s="494" t="s">
        <v>759</v>
      </c>
      <c r="C118" s="494" t="s">
        <v>186</v>
      </c>
      <c r="D118" s="494">
        <v>274</v>
      </c>
      <c r="E118" s="494"/>
      <c r="F118" s="494" t="s">
        <v>192</v>
      </c>
      <c r="G118" s="493">
        <v>139</v>
      </c>
      <c r="H118" s="444"/>
    </row>
    <row r="119" spans="1:8">
      <c r="B119" s="494" t="s">
        <v>759</v>
      </c>
      <c r="C119" s="494" t="s">
        <v>186</v>
      </c>
      <c r="D119" s="494">
        <v>274</v>
      </c>
      <c r="E119" s="494"/>
      <c r="F119" s="494" t="s">
        <v>192</v>
      </c>
      <c r="G119" s="493">
        <v>69</v>
      </c>
      <c r="H119" s="444"/>
    </row>
    <row r="120" spans="1:8">
      <c r="A120" s="492" t="s">
        <v>467</v>
      </c>
      <c r="G120" s="499">
        <f>SUM(G118:G119)</f>
        <v>208</v>
      </c>
      <c r="H120" s="444"/>
    </row>
    <row r="121" spans="1:8">
      <c r="G121" s="491"/>
      <c r="H121" s="444"/>
    </row>
    <row r="122" spans="1:8">
      <c r="A122" s="474" t="s">
        <v>334</v>
      </c>
      <c r="H122" s="305"/>
    </row>
    <row r="123" spans="1:8">
      <c r="A123" s="492" t="s">
        <v>217</v>
      </c>
      <c r="H123" s="305"/>
    </row>
    <row r="124" spans="1:8">
      <c r="A124" s="492" t="s">
        <v>407</v>
      </c>
      <c r="H124" s="305"/>
    </row>
    <row r="125" spans="1:8">
      <c r="B125" s="494" t="s">
        <v>759</v>
      </c>
      <c r="C125" s="494" t="s">
        <v>186</v>
      </c>
      <c r="D125" s="494">
        <v>268</v>
      </c>
      <c r="E125" s="494"/>
      <c r="F125" s="494" t="s">
        <v>216</v>
      </c>
      <c r="G125" s="493">
        <v>334</v>
      </c>
      <c r="H125" s="305"/>
    </row>
    <row r="126" spans="1:8">
      <c r="A126" s="492" t="s">
        <v>476</v>
      </c>
      <c r="G126" s="491">
        <f>SUM(G125)</f>
        <v>334</v>
      </c>
      <c r="H126" s="305"/>
    </row>
    <row r="127" spans="1:8">
      <c r="A127" s="492" t="s">
        <v>203</v>
      </c>
      <c r="H127" s="305"/>
    </row>
    <row r="128" spans="1:8">
      <c r="B128" s="494" t="s">
        <v>759</v>
      </c>
      <c r="C128" s="494" t="s">
        <v>186</v>
      </c>
      <c r="D128" s="494">
        <v>265</v>
      </c>
      <c r="E128" s="494"/>
      <c r="F128" s="494" t="s">
        <v>202</v>
      </c>
      <c r="G128" s="493">
        <v>35</v>
      </c>
      <c r="H128" s="305"/>
    </row>
    <row r="129" spans="1:8">
      <c r="A129" s="492" t="s">
        <v>201</v>
      </c>
      <c r="G129" s="491">
        <f>SUM(G128)</f>
        <v>35</v>
      </c>
      <c r="H129" s="305"/>
    </row>
    <row r="130" spans="1:8" ht="15" thickBot="1">
      <c r="A130" s="492" t="s">
        <v>470</v>
      </c>
      <c r="G130" s="500">
        <f>+G129+G126</f>
        <v>369</v>
      </c>
      <c r="H130" s="305"/>
    </row>
    <row r="131" spans="1:8" ht="15" thickTop="1">
      <c r="A131" s="492"/>
      <c r="H131" s="444"/>
    </row>
    <row r="132" spans="1:8">
      <c r="A132" s="480" t="s">
        <v>338</v>
      </c>
      <c r="H132" s="444"/>
    </row>
    <row r="133" spans="1:8">
      <c r="A133" s="492" t="s">
        <v>210</v>
      </c>
      <c r="H133" s="444"/>
    </row>
    <row r="134" spans="1:8">
      <c r="A134" s="492" t="s">
        <v>209</v>
      </c>
    </row>
    <row r="135" spans="1:8">
      <c r="B135" s="494" t="s">
        <v>754</v>
      </c>
      <c r="C135" s="494" t="s">
        <v>174</v>
      </c>
      <c r="D135" s="494" t="s">
        <v>768</v>
      </c>
      <c r="E135" s="494" t="s">
        <v>433</v>
      </c>
      <c r="F135" s="494" t="s">
        <v>541</v>
      </c>
      <c r="G135" s="493">
        <v>135.02000000000001</v>
      </c>
      <c r="H135" s="444">
        <v>13014</v>
      </c>
    </row>
    <row r="136" spans="1:8">
      <c r="A136" s="492" t="s">
        <v>207</v>
      </c>
      <c r="G136" s="491">
        <f>SUM(G135)</f>
        <v>135.02000000000001</v>
      </c>
    </row>
    <row r="137" spans="1:8">
      <c r="A137" s="492" t="s">
        <v>540</v>
      </c>
      <c r="H137" s="444"/>
    </row>
    <row r="138" spans="1:8">
      <c r="B138" s="494" t="s">
        <v>765</v>
      </c>
      <c r="C138" s="494" t="s">
        <v>533</v>
      </c>
      <c r="D138" s="494" t="s">
        <v>767</v>
      </c>
      <c r="E138" s="494" t="s">
        <v>537</v>
      </c>
      <c r="F138" s="494" t="s">
        <v>763</v>
      </c>
      <c r="G138" s="493">
        <v>21.9</v>
      </c>
      <c r="H138" s="444"/>
    </row>
    <row r="139" spans="1:8">
      <c r="B139" s="494" t="s">
        <v>765</v>
      </c>
      <c r="C139" s="494" t="s">
        <v>533</v>
      </c>
      <c r="D139" s="494" t="s">
        <v>766</v>
      </c>
      <c r="E139" s="494" t="s">
        <v>537</v>
      </c>
      <c r="F139" s="494" t="s">
        <v>763</v>
      </c>
      <c r="G139" s="493">
        <v>16.95</v>
      </c>
      <c r="H139" s="305"/>
    </row>
    <row r="140" spans="1:8">
      <c r="B140" s="494" t="s">
        <v>765</v>
      </c>
      <c r="C140" s="494" t="s">
        <v>533</v>
      </c>
      <c r="D140" s="494" t="s">
        <v>764</v>
      </c>
      <c r="E140" s="494" t="s">
        <v>537</v>
      </c>
      <c r="F140" s="494" t="s">
        <v>763</v>
      </c>
      <c r="G140" s="493">
        <v>16.95</v>
      </c>
      <c r="H140" s="444"/>
    </row>
    <row r="141" spans="1:8">
      <c r="A141" s="492" t="s">
        <v>535</v>
      </c>
      <c r="G141" s="491">
        <f>SUM(G138:G140)</f>
        <v>55.8</v>
      </c>
      <c r="H141" s="444"/>
    </row>
    <row r="142" spans="1:8">
      <c r="A142" s="492" t="s">
        <v>206</v>
      </c>
      <c r="H142" s="444"/>
    </row>
    <row r="143" spans="1:8">
      <c r="B143" s="494" t="s">
        <v>759</v>
      </c>
      <c r="C143" s="494" t="s">
        <v>186</v>
      </c>
      <c r="D143" s="494">
        <v>266</v>
      </c>
      <c r="E143" s="494"/>
      <c r="F143" s="494" t="s">
        <v>205</v>
      </c>
      <c r="G143" s="493">
        <v>135</v>
      </c>
      <c r="H143" s="444"/>
    </row>
    <row r="144" spans="1:8">
      <c r="A144" s="492" t="s">
        <v>204</v>
      </c>
      <c r="G144" s="491">
        <f>SUM(G143)</f>
        <v>135</v>
      </c>
      <c r="H144" s="444"/>
    </row>
    <row r="145" spans="1:8">
      <c r="A145" s="492" t="s">
        <v>471</v>
      </c>
      <c r="G145" s="499">
        <f>+G136+G141+G144</f>
        <v>325.82</v>
      </c>
      <c r="H145" s="444"/>
    </row>
    <row r="146" spans="1:8">
      <c r="A146" s="492"/>
      <c r="G146" s="498"/>
      <c r="H146" s="444"/>
    </row>
    <row r="147" spans="1:8">
      <c r="A147" s="492"/>
      <c r="G147" s="498"/>
      <c r="H147" s="444"/>
    </row>
    <row r="148" spans="1:8">
      <c r="A148" s="492"/>
      <c r="G148" s="498"/>
      <c r="H148" s="444"/>
    </row>
    <row r="149" spans="1:8">
      <c r="A149" s="492"/>
      <c r="G149" s="498"/>
      <c r="H149" s="444"/>
    </row>
    <row r="150" spans="1:8">
      <c r="A150" s="492"/>
      <c r="G150" s="498"/>
      <c r="H150" s="444"/>
    </row>
    <row r="151" spans="1:8">
      <c r="A151" s="451" t="s">
        <v>188</v>
      </c>
      <c r="H151" s="444"/>
    </row>
    <row r="152" spans="1:8">
      <c r="B152" s="494" t="s">
        <v>759</v>
      </c>
      <c r="C152" s="494" t="s">
        <v>186</v>
      </c>
      <c r="D152" s="494">
        <v>273</v>
      </c>
      <c r="E152" s="494"/>
      <c r="F152" s="494" t="s">
        <v>185</v>
      </c>
      <c r="G152" s="493">
        <v>145</v>
      </c>
      <c r="H152" s="444"/>
    </row>
    <row r="153" spans="1:8">
      <c r="B153" s="494" t="s">
        <v>759</v>
      </c>
      <c r="C153" s="494" t="s">
        <v>186</v>
      </c>
      <c r="D153" s="494">
        <v>273</v>
      </c>
      <c r="E153" s="494"/>
      <c r="F153" s="494" t="s">
        <v>185</v>
      </c>
      <c r="G153" s="493">
        <v>291</v>
      </c>
      <c r="H153" s="444"/>
    </row>
    <row r="154" spans="1:8">
      <c r="A154" s="492" t="s">
        <v>463</v>
      </c>
      <c r="G154" s="499">
        <f>SUM(G152:G153)</f>
        <v>436</v>
      </c>
      <c r="H154" s="444"/>
    </row>
    <row r="155" spans="1:8">
      <c r="A155" s="492" t="s">
        <v>758</v>
      </c>
      <c r="G155" s="491"/>
      <c r="H155" s="444"/>
    </row>
    <row r="156" spans="1:8">
      <c r="G156" s="498"/>
      <c r="H156" s="444"/>
    </row>
    <row r="157" spans="1:8">
      <c r="A157" s="492"/>
      <c r="G157" s="498"/>
      <c r="H157" s="444"/>
    </row>
    <row r="158" spans="1:8">
      <c r="A158" s="492"/>
      <c r="G158" s="498"/>
      <c r="H158" s="444"/>
    </row>
    <row r="159" spans="1:8">
      <c r="A159" s="451" t="s">
        <v>392</v>
      </c>
      <c r="H159" s="444"/>
    </row>
    <row r="160" spans="1:8">
      <c r="B160" s="494" t="s">
        <v>759</v>
      </c>
      <c r="C160" s="494" t="s">
        <v>186</v>
      </c>
      <c r="D160" s="494">
        <v>267</v>
      </c>
      <c r="E160" s="494"/>
      <c r="F160" s="494" t="s">
        <v>151</v>
      </c>
      <c r="G160" s="493">
        <v>38</v>
      </c>
      <c r="H160" s="305"/>
    </row>
    <row r="161" spans="1:8">
      <c r="A161" s="492" t="s">
        <v>651</v>
      </c>
      <c r="G161" s="499">
        <f>SUM(G160)</f>
        <v>38</v>
      </c>
      <c r="H161" s="305"/>
    </row>
    <row r="162" spans="1:8">
      <c r="A162" s="492"/>
      <c r="G162" s="498"/>
      <c r="H162" s="444"/>
    </row>
    <row r="163" spans="1:8">
      <c r="H163" s="444"/>
    </row>
    <row r="165" spans="1:8" s="308" customFormat="1">
      <c r="A165" s="384" t="s">
        <v>349</v>
      </c>
    </row>
    <row r="166" spans="1:8" s="308" customFormat="1">
      <c r="B166" s="385" t="s">
        <v>760</v>
      </c>
      <c r="C166" s="385" t="s">
        <v>186</v>
      </c>
      <c r="D166" s="385">
        <v>293</v>
      </c>
      <c r="E166" s="385"/>
      <c r="F166" s="385" t="s">
        <v>779</v>
      </c>
      <c r="G166" s="484">
        <v>42664.01</v>
      </c>
    </row>
    <row r="167" spans="1:8" s="308" customFormat="1">
      <c r="A167" s="384" t="s">
        <v>346</v>
      </c>
      <c r="G167" s="502">
        <f>SUM(G166)</f>
        <v>42664.01</v>
      </c>
    </row>
    <row r="169" spans="1:8">
      <c r="H169" s="444"/>
    </row>
    <row r="170" spans="1:8">
      <c r="H170" s="444"/>
    </row>
    <row r="171" spans="1:8">
      <c r="A171" s="612" t="s">
        <v>752</v>
      </c>
      <c r="B171" s="612"/>
      <c r="C171" s="612"/>
      <c r="D171" s="612"/>
      <c r="E171" s="612"/>
      <c r="F171" s="612"/>
      <c r="G171" s="612"/>
      <c r="H171" s="612"/>
    </row>
    <row r="172" spans="1:8">
      <c r="H172" s="444"/>
    </row>
    <row r="173" spans="1:8">
      <c r="H173" s="444"/>
    </row>
    <row r="174" spans="1:8">
      <c r="H174" s="444"/>
    </row>
    <row r="175" spans="1:8">
      <c r="H175" s="444"/>
    </row>
    <row r="176" spans="1:8">
      <c r="H176" s="444"/>
    </row>
    <row r="177" spans="8:8">
      <c r="H177" s="444"/>
    </row>
    <row r="178" spans="8:8">
      <c r="H178" s="206"/>
    </row>
    <row r="179" spans="8:8">
      <c r="H179" s="444"/>
    </row>
    <row r="180" spans="8:8">
      <c r="H180" s="444"/>
    </row>
    <row r="181" spans="8:8">
      <c r="H181" s="444"/>
    </row>
    <row r="182" spans="8:8">
      <c r="H182" s="444"/>
    </row>
    <row r="183" spans="8:8">
      <c r="H183" s="444"/>
    </row>
    <row r="184" spans="8:8">
      <c r="H184" s="444"/>
    </row>
    <row r="185" spans="8:8">
      <c r="H185" s="444"/>
    </row>
    <row r="186" spans="8:8">
      <c r="H186" s="444"/>
    </row>
    <row r="187" spans="8:8">
      <c r="H187" s="444"/>
    </row>
    <row r="188" spans="8:8">
      <c r="H188" s="444"/>
    </row>
    <row r="189" spans="8:8">
      <c r="H189" s="444"/>
    </row>
    <row r="190" spans="8:8">
      <c r="H190" s="444"/>
    </row>
    <row r="191" spans="8:8">
      <c r="H191" s="444"/>
    </row>
    <row r="192" spans="8:8">
      <c r="H192" s="444"/>
    </row>
    <row r="193" spans="8:8">
      <c r="H193" s="206"/>
    </row>
    <row r="194" spans="8:8">
      <c r="H194" s="444"/>
    </row>
    <row r="195" spans="8:8">
      <c r="H195" s="444"/>
    </row>
    <row r="196" spans="8:8">
      <c r="H196" s="444"/>
    </row>
    <row r="197" spans="8:8">
      <c r="H197" s="444"/>
    </row>
    <row r="198" spans="8:8">
      <c r="H198" s="444"/>
    </row>
    <row r="199" spans="8:8">
      <c r="H199" s="206"/>
    </row>
    <row r="200" spans="8:8">
      <c r="H200" s="206"/>
    </row>
    <row r="201" spans="8:8">
      <c r="H201" s="206"/>
    </row>
    <row r="202" spans="8:8">
      <c r="H202" s="419"/>
    </row>
    <row r="203" spans="8:8">
      <c r="H203" s="444"/>
    </row>
    <row r="204" spans="8:8">
      <c r="H204" s="444"/>
    </row>
    <row r="205" spans="8:8">
      <c r="H205" s="444"/>
    </row>
    <row r="206" spans="8:8">
      <c r="H206" s="269"/>
    </row>
    <row r="207" spans="8:8">
      <c r="H207" s="490"/>
    </row>
    <row r="208" spans="8:8">
      <c r="H208" s="490"/>
    </row>
    <row r="209" spans="8:8">
      <c r="H209" s="490"/>
    </row>
    <row r="210" spans="8:8">
      <c r="H210" s="490"/>
    </row>
    <row r="211" spans="8:8">
      <c r="H211" s="490"/>
    </row>
    <row r="212" spans="8:8">
      <c r="H212" s="490"/>
    </row>
    <row r="213" spans="8:8">
      <c r="H213" s="490"/>
    </row>
    <row r="214" spans="8:8">
      <c r="H214" s="490"/>
    </row>
    <row r="215" spans="8:8">
      <c r="H215" s="490"/>
    </row>
    <row r="216" spans="8:8">
      <c r="H216" s="490"/>
    </row>
    <row r="217" spans="8:8">
      <c r="H217" s="490"/>
    </row>
    <row r="218" spans="8:8">
      <c r="H218" s="490"/>
    </row>
    <row r="219" spans="8:8">
      <c r="H219" s="490"/>
    </row>
    <row r="220" spans="8:8">
      <c r="H220" s="490"/>
    </row>
    <row r="221" spans="8:8">
      <c r="H221" s="490"/>
    </row>
    <row r="222" spans="8:8">
      <c r="H222" s="490"/>
    </row>
    <row r="223" spans="8:8">
      <c r="H223" s="490"/>
    </row>
    <row r="224" spans="8:8">
      <c r="H224" s="490"/>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444"/>
    </row>
    <row r="236" spans="8:8">
      <c r="H236" s="444"/>
    </row>
    <row r="237" spans="8:8">
      <c r="H237" s="444"/>
    </row>
    <row r="238" spans="8:8">
      <c r="H238" s="444"/>
    </row>
    <row r="239" spans="8:8">
      <c r="H239" s="206"/>
    </row>
    <row r="240" spans="8:8">
      <c r="H240" s="206"/>
    </row>
    <row r="241" spans="8:8">
      <c r="H241" s="206"/>
    </row>
    <row r="242" spans="8:8">
      <c r="H242" s="419"/>
    </row>
  </sheetData>
  <mergeCells count="4">
    <mergeCell ref="A1:H1"/>
    <mergeCell ref="A2:H2"/>
    <mergeCell ref="A3:H3"/>
    <mergeCell ref="A171:H171"/>
  </mergeCells>
  <printOptions horizontalCentered="1" headings="1" gridLines="1"/>
  <pageMargins left="0.27" right="0.27" top="0.25" bottom="0.45" header="0.3" footer="0.3"/>
  <pageSetup scale="90" orientation="landscape" r:id="rId1"/>
  <headerFooter>
    <oddFooter>Page &amp;P of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134</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3" zoomScaleNormal="100" zoomScaleSheetLayoutView="70" workbookViewId="0">
      <selection activeCell="A10" sqref="A10"/>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1" t="s">
        <v>55</v>
      </c>
      <c r="F1" s="104"/>
      <c r="G1" s="504">
        <v>43891</v>
      </c>
      <c r="H1" s="505"/>
      <c r="I1" s="106" t="s">
        <v>49</v>
      </c>
    </row>
    <row r="2" spans="1:9" ht="21">
      <c r="A2" s="37" t="s">
        <v>152</v>
      </c>
      <c r="B2" s="35"/>
      <c r="C2" s="35"/>
      <c r="D2" s="36"/>
      <c r="E2" s="512"/>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E6+'Feb-2020'!F6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E7+'Feb-2020'!F7</f>
        <v>41250</v>
      </c>
      <c r="G7" s="143">
        <v>66000</v>
      </c>
      <c r="H7" s="144">
        <f>G7-F7</f>
        <v>24750</v>
      </c>
      <c r="I7" s="108">
        <f t="shared" ref="I7:I20" si="1">F7/G7</f>
        <v>0.625</v>
      </c>
    </row>
    <row r="8" spans="1:9" s="103" customFormat="1" ht="25.5" customHeight="1">
      <c r="A8" s="138" t="s">
        <v>155</v>
      </c>
      <c r="B8" s="139"/>
      <c r="C8" s="140"/>
      <c r="D8" s="141"/>
      <c r="E8" s="142">
        <f t="shared" si="0"/>
        <v>0</v>
      </c>
      <c r="F8" s="143">
        <f>E8+'Feb-2020'!F8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E9+'Feb-2020'!F9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E10+'Feb-2020'!F10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E11+'Feb-2020'!F11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E12+'Feb-2020'!F12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E18+'Feb-2020'!F18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E23+'Feb-2020'!F23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E24+'Feb-2020'!F24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E26+'Feb-2020'!F26</f>
        <v>9562.69</v>
      </c>
      <c r="G26" s="143">
        <v>13200</v>
      </c>
      <c r="H26" s="144">
        <f t="shared" si="8"/>
        <v>3637.3099999999995</v>
      </c>
      <c r="I26" s="108">
        <f t="shared" si="6"/>
        <v>0.72444621212121219</v>
      </c>
      <c r="J26" s="102"/>
    </row>
    <row r="27" spans="1:10" s="103" customFormat="1" ht="24" customHeight="1">
      <c r="A27" s="161" t="s">
        <v>41</v>
      </c>
      <c r="B27" s="139"/>
      <c r="C27" s="140"/>
      <c r="D27" s="141"/>
      <c r="E27" s="142">
        <f t="shared" si="7"/>
        <v>0</v>
      </c>
      <c r="F27" s="143">
        <f>E27+'Feb-2020'!F27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E28+'Feb-2020'!F28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E31+'Feb-2020'!F31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E34+'Feb-2020'!F34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E35+'Feb-2020'!F35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E36+'Feb-2020'!F36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E41+'Feb-2020'!F41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+E42+'Feb-2020'!F42</f>
        <v>2160.63</v>
      </c>
      <c r="G42" s="144"/>
      <c r="H42" s="144"/>
      <c r="I42" s="108" t="e">
        <f t="shared" si="13"/>
        <v>#DIV/0!</v>
      </c>
    </row>
    <row r="43" spans="1:10" s="168" customFormat="1" ht="21.75" customHeight="1">
      <c r="A43" s="138" t="s">
        <v>80</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E44+'Feb-2020'!F44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E45+'Feb-2020'!F45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E46+'Feb-2020'!F46</f>
        <v>0</v>
      </c>
      <c r="G46" s="144">
        <v>8500</v>
      </c>
      <c r="H46" s="144">
        <f t="shared" si="15"/>
        <v>8500</v>
      </c>
      <c r="I46" s="108">
        <f t="shared" si="13"/>
        <v>0</v>
      </c>
    </row>
    <row r="47" spans="1:10" s="168" customFormat="1" ht="21.75" customHeight="1">
      <c r="A47" s="138" t="s">
        <v>168</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E54+'Feb-2020'!F54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1261722.1230308779</v>
      </c>
      <c r="G56" s="77">
        <f t="shared" si="18"/>
        <v>2256075.86</v>
      </c>
      <c r="H56" s="77">
        <f t="shared" si="18"/>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135</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selection activeCell="A10" sqref="A10"/>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1" t="s">
        <v>56</v>
      </c>
      <c r="F1" s="104"/>
      <c r="G1" s="504">
        <v>43922</v>
      </c>
      <c r="H1" s="505"/>
      <c r="I1" s="106" t="s">
        <v>49</v>
      </c>
    </row>
    <row r="2" spans="1:9" ht="21">
      <c r="A2" s="37" t="s">
        <v>152</v>
      </c>
      <c r="B2" s="35"/>
      <c r="C2" s="35"/>
      <c r="D2" s="36"/>
      <c r="E2" s="512"/>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E6+'Mar-2020'!F6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E7+'Mar-2020'!F7</f>
        <v>41250</v>
      </c>
      <c r="G7" s="143">
        <v>66000</v>
      </c>
      <c r="H7" s="144">
        <f>G7-F7</f>
        <v>24750</v>
      </c>
      <c r="I7" s="108">
        <f t="shared" ref="I7:I20" si="1">F7/G7</f>
        <v>0.625</v>
      </c>
    </row>
    <row r="8" spans="1:9" s="103" customFormat="1" ht="25.5" customHeight="1">
      <c r="A8" s="138" t="s">
        <v>155</v>
      </c>
      <c r="B8" s="139"/>
      <c r="C8" s="140"/>
      <c r="D8" s="141"/>
      <c r="E8" s="142">
        <f t="shared" si="0"/>
        <v>0</v>
      </c>
      <c r="F8" s="143">
        <f>E8+'Mar-2020'!F8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E9+'Mar-2020'!F9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E10+'Mar-2020'!F10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E11+'Mar-2020'!F11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E12+'Mar-2020'!F12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E23+'Mar-2020'!F23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E24+'Mar-2020'!F24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9562.69</v>
      </c>
      <c r="G26" s="143">
        <v>13200</v>
      </c>
      <c r="H26" s="144">
        <f t="shared" si="8"/>
        <v>3637.3099999999995</v>
      </c>
      <c r="I26" s="108">
        <f t="shared" si="6"/>
        <v>0.72444621212121219</v>
      </c>
      <c r="J26" s="102"/>
    </row>
    <row r="27" spans="1:10" s="103" customFormat="1" ht="24" customHeight="1">
      <c r="A27" s="161" t="s">
        <v>41</v>
      </c>
      <c r="B27" s="139"/>
      <c r="C27" s="140"/>
      <c r="D27" s="141"/>
      <c r="E27" s="142">
        <f t="shared" si="7"/>
        <v>0</v>
      </c>
      <c r="F27" s="143">
        <f>E27+'Mar-2020'!F27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E28+'Mar-2020'!F28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E31+'Mar-2020'!F31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E34+'Mar-2020'!F34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E35+'Mar-2020'!F35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E36+'Mar-2020'!F36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E41+'Mar-2020'!F41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 t="shared" ref="E42:E43" si="14">SUM(B42:D42)</f>
        <v>0</v>
      </c>
      <c r="F42" s="143">
        <f>+E42+'Mar-2020'!F42</f>
        <v>2160.63</v>
      </c>
      <c r="G42" s="144"/>
      <c r="H42" s="144"/>
      <c r="I42" s="108" t="e">
        <f t="shared" si="13"/>
        <v>#DIV/0!</v>
      </c>
    </row>
    <row r="43" spans="1:10" s="168" customFormat="1" ht="21.75" customHeight="1">
      <c r="A43" s="138" t="s">
        <v>80</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78</v>
      </c>
      <c r="B44" s="139"/>
      <c r="C44" s="170"/>
      <c r="D44" s="170"/>
      <c r="E44" s="171">
        <f t="shared" ref="E44:E47" si="16">SUM(B44:D44)</f>
        <v>0</v>
      </c>
      <c r="F44" s="143">
        <f>E44+'Mar-2020'!F44</f>
        <v>61647.08</v>
      </c>
      <c r="G44" s="144">
        <v>111141.44</v>
      </c>
      <c r="H44" s="144">
        <f t="shared" si="15"/>
        <v>49494.36</v>
      </c>
      <c r="I44" s="108">
        <f t="shared" si="13"/>
        <v>0.55467231664444872</v>
      </c>
    </row>
    <row r="45" spans="1:10" s="168" customFormat="1" ht="21.75" customHeight="1">
      <c r="A45" s="138" t="s">
        <v>29</v>
      </c>
      <c r="B45" s="139"/>
      <c r="C45" s="140"/>
      <c r="D45" s="140"/>
      <c r="E45" s="172">
        <f t="shared" si="16"/>
        <v>0</v>
      </c>
      <c r="F45" s="143">
        <f>E45+'Mar-2020'!F45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6"/>
        <v>0</v>
      </c>
      <c r="F46" s="143">
        <f>E46+'Mar-2020'!F46</f>
        <v>0</v>
      </c>
      <c r="G46" s="144">
        <v>8500</v>
      </c>
      <c r="H46" s="144">
        <f t="shared" si="15"/>
        <v>8500</v>
      </c>
      <c r="I46" s="108">
        <f t="shared" si="13"/>
        <v>0</v>
      </c>
    </row>
    <row r="47" spans="1:10" s="168" customFormat="1" ht="21.75" customHeight="1">
      <c r="A47" s="138" t="s">
        <v>168</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919951.96</v>
      </c>
      <c r="G48" s="75">
        <f>SUM(G41:G47)</f>
        <v>1637294.25</v>
      </c>
      <c r="H48" s="75">
        <f t="shared" ref="H48" si="18">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1261722.1230308779</v>
      </c>
      <c r="G56" s="77">
        <f t="shared" si="19"/>
        <v>2256075.86</v>
      </c>
      <c r="H56" s="77">
        <f t="shared" si="19"/>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135</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8" t="s">
        <v>57</v>
      </c>
      <c r="F1" s="104"/>
      <c r="G1" s="556">
        <v>43952</v>
      </c>
      <c r="H1" s="557"/>
      <c r="I1" s="106" t="s">
        <v>49</v>
      </c>
    </row>
    <row r="2" spans="1:9" ht="21">
      <c r="A2" s="37" t="s">
        <v>152</v>
      </c>
      <c r="B2" s="35"/>
      <c r="C2" s="35"/>
      <c r="D2" s="36"/>
      <c r="E2" s="609"/>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E6+'Apr-2020'!F6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E7+'Apr-2020'!F7</f>
        <v>41250</v>
      </c>
      <c r="G7" s="143">
        <v>66000</v>
      </c>
      <c r="H7" s="144">
        <f>G7-F7</f>
        <v>24750</v>
      </c>
      <c r="I7" s="108">
        <f t="shared" ref="I7:I20" si="1">F7/G7</f>
        <v>0.625</v>
      </c>
    </row>
    <row r="8" spans="1:9" s="103" customFormat="1" ht="25.5" customHeight="1">
      <c r="A8" s="138" t="s">
        <v>155</v>
      </c>
      <c r="B8" s="139"/>
      <c r="C8" s="140"/>
      <c r="D8" s="141"/>
      <c r="E8" s="142">
        <f t="shared" si="0"/>
        <v>0</v>
      </c>
      <c r="F8" s="143">
        <f>E8+'Apr-2020'!F8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E9+'Apr-2020'!F9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E10+'Apr-2020'!F10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E11+'Apr-2020'!F11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E12+'Apr-2020'!F12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E23+'Apr-2020'!F23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E24+'Apr-2020'!F24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9562.69</v>
      </c>
      <c r="G26" s="143">
        <v>13200</v>
      </c>
      <c r="H26" s="144">
        <f t="shared" si="8"/>
        <v>3637.3099999999995</v>
      </c>
      <c r="I26" s="108">
        <f t="shared" si="6"/>
        <v>0.72444621212121219</v>
      </c>
      <c r="J26" s="102"/>
    </row>
    <row r="27" spans="1:10" s="103" customFormat="1" ht="24" customHeight="1">
      <c r="A27" s="161" t="s">
        <v>41</v>
      </c>
      <c r="B27" s="139"/>
      <c r="C27" s="140"/>
      <c r="D27" s="141"/>
      <c r="E27" s="142">
        <f t="shared" si="7"/>
        <v>0</v>
      </c>
      <c r="F27" s="143">
        <f>E27+'Apr-2020'!F27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E28+'Apr-2020'!F28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E31+'Apr-2020'!F31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E34+'Apr-2020'!F34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E35+'Apr-2020'!F35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E36+'Apr-2020'!F36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E41+'Apr-2020'!F41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E42+'Apr-2020'!F42</f>
        <v>2160.63</v>
      </c>
      <c r="G42" s="144"/>
      <c r="H42" s="144"/>
      <c r="I42" s="108" t="e">
        <f t="shared" si="13"/>
        <v>#DIV/0!</v>
      </c>
    </row>
    <row r="43" spans="1:10" s="168" customFormat="1" ht="21.75" customHeight="1">
      <c r="A43" s="138" t="s">
        <v>80</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E44+'Apr-2020'!F44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E45+'Apr-2020'!F45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E46+'Apr-2020'!F46</f>
        <v>0</v>
      </c>
      <c r="G46" s="144">
        <v>8500</v>
      </c>
      <c r="H46" s="144">
        <f t="shared" si="15"/>
        <v>8500</v>
      </c>
      <c r="I46" s="108">
        <f t="shared" si="13"/>
        <v>0</v>
      </c>
    </row>
    <row r="47" spans="1:10" s="168" customFormat="1" ht="21.75" customHeight="1">
      <c r="A47" s="138" t="s">
        <v>168</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1261722.1230308779</v>
      </c>
      <c r="G56" s="77">
        <f t="shared" si="18"/>
        <v>2256075.86</v>
      </c>
      <c r="H56" s="77">
        <f t="shared" si="18"/>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136</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8" t="s">
        <v>58</v>
      </c>
      <c r="F1" s="104"/>
      <c r="G1" s="556">
        <v>43983</v>
      </c>
      <c r="H1" s="557"/>
      <c r="I1" s="106" t="s">
        <v>49</v>
      </c>
    </row>
    <row r="2" spans="1:9" ht="21">
      <c r="A2" s="37" t="s">
        <v>152</v>
      </c>
      <c r="B2" s="35"/>
      <c r="C2" s="35"/>
      <c r="D2" s="36"/>
      <c r="E2" s="609"/>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E6+'May-2020'!F6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E7+'May-2020'!F7</f>
        <v>41250</v>
      </c>
      <c r="G7" s="143">
        <v>66000</v>
      </c>
      <c r="H7" s="144">
        <f>G7-F7</f>
        <v>24750</v>
      </c>
      <c r="I7" s="108">
        <f t="shared" ref="I7:I20" si="1">F7/G7</f>
        <v>0.625</v>
      </c>
    </row>
    <row r="8" spans="1:9" s="103" customFormat="1" ht="25.5" customHeight="1">
      <c r="A8" s="138" t="s">
        <v>155</v>
      </c>
      <c r="B8" s="139"/>
      <c r="C8" s="140"/>
      <c r="D8" s="141"/>
      <c r="E8" s="142">
        <f t="shared" si="0"/>
        <v>0</v>
      </c>
      <c r="F8" s="143">
        <f>E8+'May-2020'!F8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E9+'May-2020'!F9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E10+'May-2020'!F10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E11+'May-2020'!F11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E12+'May-2020'!F12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E23+'May-2020'!F23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E24+'May-2020'!F24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9562.69</v>
      </c>
      <c r="G26" s="143">
        <v>13200</v>
      </c>
      <c r="H26" s="144">
        <f t="shared" si="8"/>
        <v>3637.3099999999995</v>
      </c>
      <c r="I26" s="108">
        <f t="shared" si="6"/>
        <v>0.72444621212121219</v>
      </c>
      <c r="J26" s="102"/>
    </row>
    <row r="27" spans="1:10" s="103" customFormat="1" ht="24" customHeight="1">
      <c r="A27" s="161" t="s">
        <v>41</v>
      </c>
      <c r="B27" s="139"/>
      <c r="C27" s="140"/>
      <c r="D27" s="141"/>
      <c r="E27" s="142">
        <f t="shared" si="7"/>
        <v>0</v>
      </c>
      <c r="F27" s="143">
        <f>E27+'May-2020'!F27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E28+'May-2020'!F28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E31+'May-2020'!F31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E34+'May-2020'!F34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E35+'May-2020'!F35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E36+'May-2020'!F36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E41+'May-2020'!F41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E42+'May-2020'!F42</f>
        <v>2160.63</v>
      </c>
      <c r="G42" s="144"/>
      <c r="H42" s="144"/>
      <c r="I42" s="108" t="e">
        <f t="shared" si="13"/>
        <v>#DIV/0!</v>
      </c>
    </row>
    <row r="43" spans="1:10" s="168" customFormat="1" ht="21.75" customHeight="1">
      <c r="A43" s="138" t="s">
        <v>80</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E44+'May-2020'!F44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E45+'May-2020'!F45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E46+'May-2020'!F46</f>
        <v>0</v>
      </c>
      <c r="G46" s="144">
        <v>8500</v>
      </c>
      <c r="H46" s="144">
        <f t="shared" si="15"/>
        <v>8500</v>
      </c>
      <c r="I46" s="108">
        <f t="shared" si="13"/>
        <v>0</v>
      </c>
    </row>
    <row r="47" spans="1:10" s="168" customFormat="1" ht="21.75" customHeight="1">
      <c r="A47" s="138" t="s">
        <v>168</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1261722.1230308779</v>
      </c>
      <c r="G56" s="77">
        <f t="shared" si="18"/>
        <v>2256075.86</v>
      </c>
      <c r="H56" s="77">
        <f t="shared" si="18"/>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137</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72</v>
      </c>
      <c r="B1" s="31"/>
      <c r="C1" s="613" t="s">
        <v>82</v>
      </c>
      <c r="D1" s="613"/>
      <c r="E1" s="438" t="s">
        <v>60</v>
      </c>
      <c r="F1" s="104"/>
      <c r="G1" s="440" t="s">
        <v>59</v>
      </c>
      <c r="H1" s="114"/>
      <c r="I1" s="106" t="s">
        <v>49</v>
      </c>
    </row>
    <row r="2" spans="1:9" ht="21">
      <c r="A2" s="37" t="s">
        <v>152</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E6+'Jun-2020'!F6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E7+'Jun-2020'!F7</f>
        <v>41250</v>
      </c>
      <c r="G7" s="143">
        <v>66000</v>
      </c>
      <c r="H7" s="144">
        <f>G7-F7</f>
        <v>24750</v>
      </c>
      <c r="I7" s="108">
        <f t="shared" ref="I7:I20" si="1">F7/G7</f>
        <v>0.625</v>
      </c>
    </row>
    <row r="8" spans="1:9" s="103" customFormat="1" ht="25.5" customHeight="1">
      <c r="A8" s="138" t="s">
        <v>155</v>
      </c>
      <c r="B8" s="139"/>
      <c r="C8" s="140"/>
      <c r="D8" s="141"/>
      <c r="E8" s="142">
        <f t="shared" si="0"/>
        <v>0</v>
      </c>
      <c r="F8" s="143">
        <f>E8+'Jun-2020'!F8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E9+'Jun-2020'!F9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E10+'Jun-2020'!F10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E11+'Jun-2020'!F11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E12+'Jun-2020'!F12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E23+'Jun-2020'!F23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E24+'Jun-2020'!F24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9562.69</v>
      </c>
      <c r="G26" s="143">
        <v>13200</v>
      </c>
      <c r="H26" s="144">
        <f t="shared" si="8"/>
        <v>3637.3099999999995</v>
      </c>
      <c r="I26" s="108">
        <f t="shared" si="6"/>
        <v>0.72444621212121219</v>
      </c>
      <c r="J26" s="102"/>
    </row>
    <row r="27" spans="1:10" s="103" customFormat="1" ht="24" customHeight="1">
      <c r="A27" s="161" t="s">
        <v>41</v>
      </c>
      <c r="B27" s="139"/>
      <c r="C27" s="140"/>
      <c r="D27" s="141"/>
      <c r="E27" s="142">
        <f t="shared" si="7"/>
        <v>0</v>
      </c>
      <c r="F27" s="143">
        <f>E27+'Jun-2020'!F27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E28+'Jun-2020'!F28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E31+'Jun-2020'!F31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E34+'Jun-2020'!F34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E35+'Jun-2020'!F35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E36+'Jun-2020'!F36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E41+'Jun-2020'!F41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E42+'Jun-2020'!F42</f>
        <v>2160.63</v>
      </c>
      <c r="G42" s="144"/>
      <c r="H42" s="144"/>
      <c r="I42" s="108" t="e">
        <f t="shared" si="13"/>
        <v>#DIV/0!</v>
      </c>
    </row>
    <row r="43" spans="1:10" s="168" customFormat="1" ht="21.75" customHeight="1">
      <c r="A43" s="138" t="s">
        <v>80</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E44+'Jun-2020'!F44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E45+'Jun-2020'!F45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E46+'Jun-2020'!F46</f>
        <v>0</v>
      </c>
      <c r="G46" s="144">
        <v>8500</v>
      </c>
      <c r="H46" s="144">
        <f t="shared" si="15"/>
        <v>8500</v>
      </c>
      <c r="I46" s="108">
        <f t="shared" si="13"/>
        <v>0</v>
      </c>
    </row>
    <row r="47" spans="1:10" s="168" customFormat="1" ht="21.75" customHeight="1">
      <c r="A47" s="138" t="s">
        <v>168</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1261722.1230308779</v>
      </c>
      <c r="G56" s="77">
        <f t="shared" si="18"/>
        <v>2256075.86</v>
      </c>
      <c r="H56" s="77">
        <f t="shared" si="18"/>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138</v>
      </c>
      <c r="N4" s="43" t="s">
        <v>86</v>
      </c>
    </row>
    <row r="5" spans="1:15" s="42" customFormat="1" ht="34.4" customHeight="1">
      <c r="A5" s="563" t="s">
        <v>125</v>
      </c>
      <c r="B5" s="564"/>
      <c r="C5" s="564"/>
      <c r="D5" s="564"/>
      <c r="E5" s="564"/>
      <c r="F5" s="564"/>
      <c r="G5" s="565"/>
      <c r="H5" s="563" t="s">
        <v>126</v>
      </c>
      <c r="I5" s="564"/>
      <c r="J5" s="564"/>
      <c r="K5" s="564"/>
      <c r="L5" s="565"/>
      <c r="M5" s="563" t="s">
        <v>137</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31</vt:i4>
      </vt:variant>
    </vt:vector>
  </HeadingPairs>
  <TitlesOfParts>
    <vt:vector size="67" baseType="lpstr">
      <vt:lpstr>June Salary &amp; Benefits </vt:lpstr>
      <vt:lpstr>Jul-2019</vt:lpstr>
      <vt:lpstr>Jul-2019 GL</vt:lpstr>
      <vt:lpstr>JULY FR</vt:lpstr>
      <vt:lpstr>Aug-2019</vt:lpstr>
      <vt:lpstr>Aug 2019 GL</vt:lpstr>
      <vt:lpstr>AUG-FR</vt:lpstr>
      <vt:lpstr>Sept-2019</vt:lpstr>
      <vt:lpstr>Sept-2019 GL</vt:lpstr>
      <vt:lpstr>Sept-FR</vt:lpstr>
      <vt:lpstr>Oct-2019</vt:lpstr>
      <vt:lpstr>Oct-2019 GL</vt:lpstr>
      <vt:lpstr>Oct-FR</vt:lpstr>
      <vt:lpstr>Nov-2019</vt:lpstr>
      <vt:lpstr>Nov-19 GL</vt:lpstr>
      <vt:lpstr>Nov-FR </vt:lpstr>
      <vt:lpstr>Dec-2019</vt:lpstr>
      <vt:lpstr>Dec-19 GL</vt:lpstr>
      <vt:lpstr>Dec-FR</vt:lpstr>
      <vt:lpstr>Jan-2020</vt:lpstr>
      <vt:lpstr>Jan-FR</vt:lpstr>
      <vt:lpstr>Jan-2020 GL</vt:lpstr>
      <vt:lpstr>Salaries &amp; Fringe Allocations</vt:lpstr>
      <vt:lpstr>Feb-2020</vt:lpstr>
      <vt:lpstr>Feb-2020 GL</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'Dec-19 GL'!Print_Area</vt:lpstr>
      <vt:lpstr>'Dec-2019'!Print_Area</vt:lpstr>
      <vt:lpstr>'Feb-2020'!Print_Area</vt:lpstr>
      <vt:lpstr>'Feb-2020 GL'!Print_Area</vt:lpstr>
      <vt:lpstr>'Jan-2020'!Print_Area</vt:lpstr>
      <vt:lpstr>'Jan-2020 GL'!Print_Area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'Dec-19 GL'!Print_Titles</vt:lpstr>
      <vt:lpstr>'Feb-2020 GL'!Print_Titles</vt:lpstr>
      <vt:lpstr>'Jan-2020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2020-03-09T13:08:55Z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