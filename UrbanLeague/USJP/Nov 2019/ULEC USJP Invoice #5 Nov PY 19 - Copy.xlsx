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923" firstSheet="7" activeTab="12"/>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Aug-19 PL" sheetId="186" r:id="rId9"/>
    <sheet name="Sept-2019" sheetId="150" r:id="rId10"/>
    <sheet name="Sept-2019 GL" sheetId="181" r:id="rId11"/>
    <sheet name="Sept-FR" sheetId="166" r:id="rId12"/>
    <sheet name="Sep-19 PL" sheetId="185" r:id="rId13"/>
    <sheet name="Oct-2019" sheetId="151" r:id="rId14"/>
    <sheet name="Oct-2019 GL" sheetId="182" r:id="rId15"/>
    <sheet name="Oct-FR" sheetId="167" r:id="rId16"/>
    <sheet name="Nov-2019" sheetId="152" r:id="rId17"/>
    <sheet name="Nov-19 GL" sheetId="183" r:id="rId18"/>
    <sheet name="Nov-19 PL" sheetId="184" r:id="rId19"/>
    <sheet name="Nov-FR " sheetId="168" r:id="rId20"/>
    <sheet name="Dec-2019" sheetId="153" r:id="rId21"/>
    <sheet name="Dec-FR" sheetId="169" r:id="rId22"/>
    <sheet name="Jan-2020" sheetId="154" r:id="rId23"/>
    <sheet name="Jan-FR" sheetId="170" r:id="rId24"/>
    <sheet name="Feb-2020" sheetId="155" r:id="rId25"/>
    <sheet name="Feb-FR" sheetId="171" r:id="rId26"/>
    <sheet name="Mar-2020" sheetId="156" r:id="rId27"/>
    <sheet name="Mar-FR " sheetId="172" r:id="rId28"/>
    <sheet name="Apr-2020" sheetId="157" r:id="rId29"/>
    <sheet name="Apr-FR" sheetId="173" r:id="rId30"/>
    <sheet name="May-2020" sheetId="158" r:id="rId31"/>
    <sheet name="May-FR " sheetId="174" r:id="rId32"/>
    <sheet name="Jun-2020" sheetId="159" r:id="rId33"/>
    <sheet name="Jun-FR " sheetId="175" r:id="rId34"/>
    <sheet name="PY 19 Closeout" sheetId="160" r:id="rId35"/>
    <sheet name="Closelout-FR " sheetId="177" r:id="rId36"/>
  </sheets>
  <definedNames>
    <definedName name="_xlnm.Print_Area" localSheetId="28">'Apr-2020'!$A$1:$I$87</definedName>
    <definedName name="_xlnm.Print_Area" localSheetId="6">'Aug 2019 GL'!$A$1:$H$157</definedName>
    <definedName name="_xlnm.Print_Area" localSheetId="5">'Aug-2019'!$A$1:$I$87</definedName>
    <definedName name="_xlnm.Print_Area" localSheetId="20">'Dec-2019'!$A$1:$I$87</definedName>
    <definedName name="_xlnm.Print_Area" localSheetId="24">'Feb-2020'!$A$1:$I$87</definedName>
    <definedName name="_xlnm.Print_Area" localSheetId="22">'Jan-2020'!$A$1:$I$87</definedName>
    <definedName name="_xlnm.Print_Area" localSheetId="2">'Jul-2019'!$A$1:$I$87</definedName>
    <definedName name="_xlnm.Print_Area" localSheetId="3">'Jul-2019 GL'!$A$1:$H$158</definedName>
    <definedName name="_xlnm.Print_Area" localSheetId="4">'JULY FR'!$A$1:$N$36</definedName>
    <definedName name="_xlnm.Print_Area" localSheetId="32">'Jun-2020'!$A$1:$I$87</definedName>
    <definedName name="_xlnm.Print_Area" localSheetId="0">'June Salary &amp; Benefits '!$A$1:$L$43</definedName>
    <definedName name="_xlnm.Print_Area" localSheetId="26">'Mar-2020'!$A$1:$I$87</definedName>
    <definedName name="_xlnm.Print_Area" localSheetId="30">'May-2020'!$A$1:$I$87</definedName>
    <definedName name="_xlnm.Print_Area" localSheetId="16">'Nov-2019'!$A$1:$I$87</definedName>
    <definedName name="_xlnm.Print_Area" localSheetId="13">'Oct-2019'!$A$1:$I$87</definedName>
    <definedName name="_xlnm.Print_Area" localSheetId="14">'Oct-2019 GL'!$A$1:$H$170</definedName>
    <definedName name="_xlnm.Print_Area" localSheetId="34">'PY 19 Closeout'!$A$1:$I$87</definedName>
    <definedName name="_xlnm.Print_Area" localSheetId="1">'Salaries &amp; Fringe Allocations'!$A$167:$Q$219</definedName>
    <definedName name="_xlnm.Print_Area" localSheetId="9">'Sept-2019'!$A$1:$I$87</definedName>
    <definedName name="_xlnm.Print_Area" localSheetId="10">'Sept-2019 GL'!$A$1:$H$142</definedName>
    <definedName name="_xlnm.Print_Titles" localSheetId="6">'Aug 2019 GL'!$1:$5</definedName>
    <definedName name="_xlnm.Print_Titles" localSheetId="3">'Jul-2019 GL'!$1:$5</definedName>
    <definedName name="_xlnm.Print_Titles" localSheetId="17">'Nov-19 GL'!$1:$5</definedName>
    <definedName name="_xlnm.Print_Titles" localSheetId="14">'Oct-2019 GL'!$1:$5</definedName>
    <definedName name="_xlnm.Print_Titles" localSheetId="10">'Sept-2019 GL'!$1:$5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71" i="183" l="1"/>
  <c r="G102" i="183"/>
  <c r="E54" i="152" l="1"/>
  <c r="E42" i="153" l="1"/>
  <c r="E42" i="152"/>
  <c r="H41" i="69"/>
  <c r="E42" i="69"/>
  <c r="F42" i="69"/>
  <c r="E42" i="160"/>
  <c r="E42" i="159"/>
  <c r="E42" i="158"/>
  <c r="E42" i="157"/>
  <c r="E43" i="157"/>
  <c r="E42" i="156"/>
  <c r="E42" i="155"/>
  <c r="E42" i="154"/>
  <c r="F42" i="149"/>
  <c r="H41" i="149" s="1"/>
  <c r="L49" i="151" l="1"/>
  <c r="D27" i="152" l="1"/>
  <c r="B35" i="152"/>
  <c r="G161" i="183"/>
  <c r="G158" i="183"/>
  <c r="G155" i="183"/>
  <c r="G148" i="183"/>
  <c r="G145" i="183"/>
  <c r="G128" i="183"/>
  <c r="G130" i="183" s="1"/>
  <c r="G135" i="183"/>
  <c r="B30" i="152" s="1"/>
  <c r="G101" i="183"/>
  <c r="B26" i="152" s="1"/>
  <c r="G107" i="183"/>
  <c r="B28" i="152" s="1"/>
  <c r="B27" i="152" l="1"/>
  <c r="G149" i="183"/>
  <c r="B33" i="152"/>
  <c r="G162" i="183"/>
  <c r="B34" i="152" s="1"/>
  <c r="G94" i="183" l="1"/>
  <c r="B24" i="152" s="1"/>
  <c r="D23" i="152"/>
  <c r="G49" i="183"/>
  <c r="N211" i="163" s="1"/>
  <c r="G68" i="183"/>
  <c r="I209" i="163" s="1"/>
  <c r="G63" i="183"/>
  <c r="G60" i="183"/>
  <c r="G57" i="183"/>
  <c r="G54" i="183"/>
  <c r="L215" i="163"/>
  <c r="L214" i="163"/>
  <c r="N212" i="163" l="1"/>
  <c r="G65" i="183"/>
  <c r="H211" i="163" s="1"/>
  <c r="N216" i="163"/>
  <c r="I214" i="163"/>
  <c r="I216" i="163"/>
  <c r="I212" i="163"/>
  <c r="N214" i="163"/>
  <c r="N210" i="163"/>
  <c r="I215" i="163"/>
  <c r="I211" i="163"/>
  <c r="N208" i="163"/>
  <c r="N213" i="163"/>
  <c r="N209" i="163"/>
  <c r="I210" i="163"/>
  <c r="I208" i="163"/>
  <c r="I213" i="163"/>
  <c r="N215" i="163"/>
  <c r="J215" i="163"/>
  <c r="J214" i="163"/>
  <c r="H210" i="163" l="1"/>
  <c r="H216" i="163"/>
  <c r="H214" i="163"/>
  <c r="H209" i="163"/>
  <c r="H208" i="163"/>
  <c r="H215" i="163"/>
  <c r="H212" i="163"/>
  <c r="H213" i="163"/>
  <c r="G42" i="183" l="1"/>
  <c r="G39" i="183"/>
  <c r="G36" i="183"/>
  <c r="G33" i="183"/>
  <c r="G28" i="183"/>
  <c r="G22" i="183"/>
  <c r="B31" i="152" s="1"/>
  <c r="G18" i="183"/>
  <c r="C45" i="152" s="1"/>
  <c r="G15" i="183"/>
  <c r="C44" i="152" s="1"/>
  <c r="G11" i="183"/>
  <c r="G91" i="183"/>
  <c r="G29" i="183" l="1"/>
  <c r="F218" i="163"/>
  <c r="D24" i="152"/>
  <c r="G95" i="183"/>
  <c r="G23" i="183"/>
  <c r="G44" i="183"/>
  <c r="G70" i="183" s="1"/>
  <c r="C41" i="152"/>
  <c r="B12" i="152" l="1"/>
  <c r="D11" i="152"/>
  <c r="B11" i="152"/>
  <c r="D9" i="152"/>
  <c r="D10" i="152"/>
  <c r="D8" i="152"/>
  <c r="D7" i="152"/>
  <c r="B7" i="152"/>
  <c r="B6" i="152"/>
  <c r="B202" i="163" l="1"/>
  <c r="B201" i="163"/>
  <c r="B189" i="163"/>
  <c r="B188" i="163"/>
  <c r="D197" i="163" l="1"/>
  <c r="D184" i="163"/>
  <c r="D183" i="163"/>
  <c r="B171" i="163"/>
  <c r="B170" i="163"/>
  <c r="B209" i="163" s="1"/>
  <c r="M213" i="163"/>
  <c r="M212" i="163"/>
  <c r="M211" i="163"/>
  <c r="M208" i="163"/>
  <c r="K213" i="163"/>
  <c r="K212" i="163"/>
  <c r="K211" i="163"/>
  <c r="K208" i="163"/>
  <c r="C216" i="163"/>
  <c r="C214" i="163"/>
  <c r="C213" i="163"/>
  <c r="C212" i="163"/>
  <c r="C211" i="163"/>
  <c r="C209" i="163"/>
  <c r="C208" i="163"/>
  <c r="E216" i="163"/>
  <c r="E215" i="163"/>
  <c r="E214" i="163"/>
  <c r="E213" i="163"/>
  <c r="E212" i="163"/>
  <c r="E211" i="163"/>
  <c r="E210" i="163"/>
  <c r="E209" i="163"/>
  <c r="E208" i="163"/>
  <c r="B210" i="163"/>
  <c r="B211" i="163"/>
  <c r="B212" i="163"/>
  <c r="B213" i="163"/>
  <c r="B214" i="163"/>
  <c r="D214" i="163" s="1"/>
  <c r="B215" i="163"/>
  <c r="B216" i="163"/>
  <c r="B208" i="163"/>
  <c r="D215" i="163" l="1"/>
  <c r="M189" i="163"/>
  <c r="K188" i="163"/>
  <c r="D189" i="163"/>
  <c r="K189" i="163" s="1"/>
  <c r="D188" i="163"/>
  <c r="F188" i="163" s="1"/>
  <c r="D202" i="163"/>
  <c r="D201" i="163"/>
  <c r="M201" i="163" s="1"/>
  <c r="M203" i="163"/>
  <c r="K203" i="163"/>
  <c r="M197" i="163"/>
  <c r="K197" i="163"/>
  <c r="M196" i="163"/>
  <c r="K196" i="163"/>
  <c r="M195" i="163"/>
  <c r="K195" i="163"/>
  <c r="M190" i="163"/>
  <c r="K190" i="163"/>
  <c r="M184" i="163"/>
  <c r="K184" i="163"/>
  <c r="M183" i="163"/>
  <c r="K183" i="163"/>
  <c r="M182" i="163"/>
  <c r="K182" i="163"/>
  <c r="M169" i="163"/>
  <c r="K173" i="163"/>
  <c r="K169" i="163"/>
  <c r="K201" i="163" l="1"/>
  <c r="F201" i="163"/>
  <c r="M188" i="163"/>
  <c r="F189" i="163"/>
  <c r="F202" i="163"/>
  <c r="K202" i="163"/>
  <c r="M202" i="163"/>
  <c r="P204" i="163"/>
  <c r="O204" i="163"/>
  <c r="N204" i="163"/>
  <c r="L204" i="163"/>
  <c r="J204" i="163"/>
  <c r="I204" i="163"/>
  <c r="H204" i="163"/>
  <c r="E204" i="163"/>
  <c r="Q203" i="163"/>
  <c r="D203" i="163"/>
  <c r="F203" i="163" s="1"/>
  <c r="Q200" i="163"/>
  <c r="C200" i="163"/>
  <c r="D200" i="163" s="1"/>
  <c r="F200" i="163" s="1"/>
  <c r="C199" i="163"/>
  <c r="D199" i="163" s="1"/>
  <c r="K199" i="163" s="1"/>
  <c r="Q198" i="163"/>
  <c r="D198" i="163"/>
  <c r="F198" i="163" s="1"/>
  <c r="B197" i="163"/>
  <c r="B196" i="163"/>
  <c r="D196" i="163" s="1"/>
  <c r="B195" i="163"/>
  <c r="D195" i="163" s="1"/>
  <c r="O216" i="163"/>
  <c r="D216" i="163"/>
  <c r="L216" i="163" s="1"/>
  <c r="P215" i="163"/>
  <c r="O215" i="163"/>
  <c r="P214" i="163"/>
  <c r="O214" i="163"/>
  <c r="F215" i="163"/>
  <c r="P213" i="163"/>
  <c r="O213" i="163"/>
  <c r="P212" i="163"/>
  <c r="O212" i="163"/>
  <c r="P211" i="163"/>
  <c r="O211" i="163"/>
  <c r="P210" i="163"/>
  <c r="O210" i="163"/>
  <c r="P209" i="163"/>
  <c r="O209" i="163"/>
  <c r="P208" i="163"/>
  <c r="O208" i="163"/>
  <c r="P191" i="163"/>
  <c r="O191" i="163"/>
  <c r="N191" i="163"/>
  <c r="L191" i="163"/>
  <c r="J191" i="163"/>
  <c r="I191" i="163"/>
  <c r="H191" i="163"/>
  <c r="E191" i="163"/>
  <c r="Q190" i="163"/>
  <c r="F190" i="163"/>
  <c r="D190" i="163"/>
  <c r="Q189" i="163"/>
  <c r="Q187" i="163"/>
  <c r="C187" i="163"/>
  <c r="D187" i="163" s="1"/>
  <c r="F187" i="163" s="1"/>
  <c r="D186" i="163"/>
  <c r="K186" i="163" s="1"/>
  <c r="C186" i="163"/>
  <c r="Q185" i="163"/>
  <c r="D185" i="163"/>
  <c r="F185" i="163" s="1"/>
  <c r="Q184" i="163"/>
  <c r="B184" i="163"/>
  <c r="B183" i="163"/>
  <c r="D209" i="163" s="1"/>
  <c r="L209" i="163" s="1"/>
  <c r="B182" i="163"/>
  <c r="D182" i="163" s="1"/>
  <c r="P178" i="163"/>
  <c r="O178" i="163"/>
  <c r="N178" i="163"/>
  <c r="L178" i="163"/>
  <c r="J178" i="163"/>
  <c r="I178" i="163"/>
  <c r="H178" i="163"/>
  <c r="E178" i="163"/>
  <c r="D177" i="163"/>
  <c r="D176" i="163"/>
  <c r="D175" i="163"/>
  <c r="Q174" i="163"/>
  <c r="F174" i="163"/>
  <c r="D174" i="163"/>
  <c r="F173" i="163"/>
  <c r="D173" i="163"/>
  <c r="Q173" i="163" s="1"/>
  <c r="C173" i="163"/>
  <c r="Q172" i="163"/>
  <c r="F172" i="163"/>
  <c r="D172" i="163"/>
  <c r="D171" i="163"/>
  <c r="D170" i="163"/>
  <c r="D169" i="163"/>
  <c r="Q202" i="163" l="1"/>
  <c r="F176" i="163"/>
  <c r="K176" i="163"/>
  <c r="K215" i="163" s="1"/>
  <c r="M176" i="163"/>
  <c r="M215" i="163" s="1"/>
  <c r="K175" i="163"/>
  <c r="K214" i="163" s="1"/>
  <c r="M175" i="163"/>
  <c r="M214" i="163" s="1"/>
  <c r="K177" i="163"/>
  <c r="K216" i="163" s="1"/>
  <c r="M177" i="163"/>
  <c r="M216" i="163" s="1"/>
  <c r="M171" i="163"/>
  <c r="M210" i="163" s="1"/>
  <c r="K171" i="163"/>
  <c r="K210" i="163" s="1"/>
  <c r="M170" i="163"/>
  <c r="M209" i="163" s="1"/>
  <c r="K170" i="163"/>
  <c r="K209" i="163" s="1"/>
  <c r="D212" i="163"/>
  <c r="F175" i="163"/>
  <c r="Q175" i="163"/>
  <c r="K178" i="163"/>
  <c r="Q201" i="163"/>
  <c r="Q188" i="163"/>
  <c r="F184" i="163"/>
  <c r="D208" i="163"/>
  <c r="D211" i="163"/>
  <c r="F211" i="163" s="1"/>
  <c r="D213" i="163"/>
  <c r="F213" i="163" s="1"/>
  <c r="F214" i="163"/>
  <c r="Q197" i="163"/>
  <c r="F197" i="163"/>
  <c r="F196" i="163"/>
  <c r="F195" i="163"/>
  <c r="E217" i="163"/>
  <c r="F199" i="163"/>
  <c r="F169" i="163"/>
  <c r="Q199" i="163"/>
  <c r="D210" i="163"/>
  <c r="F210" i="163" s="1"/>
  <c r="F170" i="163"/>
  <c r="O217" i="163"/>
  <c r="F212" i="163"/>
  <c r="Q169" i="163"/>
  <c r="F183" i="163"/>
  <c r="F182" i="163"/>
  <c r="M191" i="163"/>
  <c r="J209" i="163"/>
  <c r="F171" i="163"/>
  <c r="F177" i="163"/>
  <c r="F186" i="163"/>
  <c r="J208" i="163"/>
  <c r="P217" i="163"/>
  <c r="F209" i="163"/>
  <c r="J216" i="163"/>
  <c r="F216" i="163"/>
  <c r="E11" i="151"/>
  <c r="E13" i="151"/>
  <c r="E14" i="151"/>
  <c r="Q171" i="163" l="1"/>
  <c r="J210" i="163"/>
  <c r="Q176" i="163"/>
  <c r="L208" i="163"/>
  <c r="F208" i="163"/>
  <c r="F178" i="163"/>
  <c r="Q196" i="163"/>
  <c r="M204" i="163"/>
  <c r="Q195" i="163"/>
  <c r="K204" i="163"/>
  <c r="L210" i="163"/>
  <c r="L217" i="163" s="1"/>
  <c r="F204" i="163"/>
  <c r="J217" i="163"/>
  <c r="Q182" i="163"/>
  <c r="K191" i="163"/>
  <c r="F191" i="163"/>
  <c r="M217" i="163"/>
  <c r="M178" i="163"/>
  <c r="Q186" i="163"/>
  <c r="F217" i="163"/>
  <c r="G209" i="163" s="1"/>
  <c r="Q183" i="163"/>
  <c r="Q170" i="163"/>
  <c r="Q177" i="163"/>
  <c r="G166" i="182"/>
  <c r="F219" i="163" l="1"/>
  <c r="G214" i="163"/>
  <c r="G210" i="163"/>
  <c r="G215" i="163"/>
  <c r="G213" i="163"/>
  <c r="G216" i="163"/>
  <c r="G212" i="163"/>
  <c r="G208" i="163"/>
  <c r="G211" i="163"/>
  <c r="Q204" i="163"/>
  <c r="Q178" i="163"/>
  <c r="K217" i="163"/>
  <c r="Q191" i="163"/>
  <c r="G147" i="182"/>
  <c r="E54" i="151" l="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D163" i="163" s="1"/>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P164" i="163" s="1"/>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J163" i="163" l="1"/>
  <c r="L163" i="163"/>
  <c r="K150" i="163"/>
  <c r="M150" i="163"/>
  <c r="D160" i="163"/>
  <c r="F150" i="163"/>
  <c r="M163" i="163"/>
  <c r="F131" i="163"/>
  <c r="M131" i="163"/>
  <c r="K131" i="163"/>
  <c r="F142" i="163"/>
  <c r="K142" i="163"/>
  <c r="M142" i="163"/>
  <c r="F146" i="163"/>
  <c r="M146" i="163"/>
  <c r="M159" i="163" s="1"/>
  <c r="K146" i="163"/>
  <c r="F158" i="163"/>
  <c r="G51" i="182"/>
  <c r="G76" i="182" s="1"/>
  <c r="D155" i="163"/>
  <c r="F161" i="163"/>
  <c r="F160" i="163"/>
  <c r="E164" i="163"/>
  <c r="C159" i="163"/>
  <c r="D159" i="163" s="1"/>
  <c r="F159" i="163" s="1"/>
  <c r="F130" i="163"/>
  <c r="K130" i="163"/>
  <c r="B156" i="163"/>
  <c r="D133" i="163"/>
  <c r="K133" i="163" s="1"/>
  <c r="Q133" i="163" s="1"/>
  <c r="K149" i="163"/>
  <c r="M149" i="163"/>
  <c r="M135" i="163"/>
  <c r="M161" i="163" s="1"/>
  <c r="K135" i="163"/>
  <c r="M136" i="163"/>
  <c r="K136" i="163"/>
  <c r="M143" i="163"/>
  <c r="M156" i="163" s="1"/>
  <c r="K129" i="163"/>
  <c r="F129" i="163"/>
  <c r="Q131" i="163"/>
  <c r="F143" i="163"/>
  <c r="J162" i="163"/>
  <c r="L162" i="163"/>
  <c r="K148" i="163"/>
  <c r="Q148" i="163" s="1"/>
  <c r="F148" i="163"/>
  <c r="F163" i="163"/>
  <c r="F136" i="163"/>
  <c r="K137" i="163"/>
  <c r="F137" i="163"/>
  <c r="D156" i="163"/>
  <c r="B157" i="163"/>
  <c r="D157" i="163" s="1"/>
  <c r="D144" i="163"/>
  <c r="K144" i="163" s="1"/>
  <c r="O164" i="163"/>
  <c r="K159" i="163"/>
  <c r="G31" i="181"/>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F46" i="149"/>
  <c r="F45" i="149"/>
  <c r="F44" i="149"/>
  <c r="F43" i="149"/>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F42" i="150" s="1"/>
  <c r="F42" i="151"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M108"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F42" i="152" l="1"/>
  <c r="H41" i="151"/>
  <c r="B115" i="163"/>
  <c r="F120"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D117" i="163"/>
  <c r="F117" i="163" s="1"/>
  <c r="D9" i="150" s="1"/>
  <c r="E122" i="163"/>
  <c r="M102" i="163"/>
  <c r="K102" i="163"/>
  <c r="F102" i="163"/>
  <c r="L114" i="163"/>
  <c r="M106" i="163"/>
  <c r="M119" i="163" s="1"/>
  <c r="K106" i="163"/>
  <c r="F107" i="163"/>
  <c r="M107" i="163"/>
  <c r="K107" i="163"/>
  <c r="K117" i="163"/>
  <c r="Q91" i="163"/>
  <c r="F94" i="163"/>
  <c r="K94" i="163"/>
  <c r="M94" i="163"/>
  <c r="F101" i="163"/>
  <c r="M101" i="163"/>
  <c r="K101" i="163"/>
  <c r="K87" i="163"/>
  <c r="D88" i="163"/>
  <c r="K89" i="163"/>
  <c r="M87" i="163"/>
  <c r="M89" i="163"/>
  <c r="B120" i="163"/>
  <c r="D120" i="163" s="1"/>
  <c r="G147" i="180"/>
  <c r="G152" i="180"/>
  <c r="B36" i="149" s="1"/>
  <c r="B67" i="163"/>
  <c r="B54" i="163"/>
  <c r="G9" i="180"/>
  <c r="B62" i="163"/>
  <c r="B61" i="163"/>
  <c r="B66" i="163"/>
  <c r="B49" i="163"/>
  <c r="B48" i="163"/>
  <c r="F42" i="15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D18" i="151" s="1"/>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F42" i="154"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42" i="155" l="1"/>
  <c r="F124" i="163"/>
  <c r="G116" i="163"/>
  <c r="G121" i="163"/>
  <c r="G117" i="163"/>
  <c r="G113" i="163"/>
  <c r="G119" i="163"/>
  <c r="G115" i="163"/>
  <c r="G118" i="163"/>
  <c r="G114" i="163"/>
  <c r="G120" i="163"/>
  <c r="G21" i="180"/>
  <c r="G25" i="180"/>
  <c r="G29" i="180"/>
  <c r="F42" i="156" l="1"/>
  <c r="I118" i="163"/>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F42" i="157" l="1"/>
  <c r="G13" i="180"/>
  <c r="G14" i="180" s="1"/>
  <c r="F42" i="158" l="1"/>
  <c r="D23" i="149"/>
  <c r="D24" i="149"/>
  <c r="B31" i="149"/>
  <c r="D27" i="149"/>
  <c r="G66" i="180"/>
  <c r="G47" i="180"/>
  <c r="C45" i="149"/>
  <c r="C44" i="149"/>
  <c r="C42" i="149"/>
  <c r="G51" i="180"/>
  <c r="G62" i="180" s="1"/>
  <c r="O81" i="163"/>
  <c r="F42" i="159" l="1"/>
  <c r="E42" i="149"/>
  <c r="C41" i="149"/>
  <c r="G68" i="180"/>
  <c r="C81" i="163"/>
  <c r="E81" i="163"/>
  <c r="B81" i="163"/>
  <c r="D68" i="163"/>
  <c r="D55" i="163"/>
  <c r="F55" i="163" s="1"/>
  <c r="F42" i="160" l="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M12"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58" i="153"/>
  <c r="E58" i="154"/>
  <c r="E58" i="155"/>
  <c r="E58" i="156"/>
  <c r="E58" i="157"/>
  <c r="E58" i="158"/>
  <c r="E58" i="159"/>
  <c r="E58" i="160"/>
  <c r="E36" i="149"/>
  <c r="E36" i="150"/>
  <c r="E36" i="151"/>
  <c r="E36" i="152"/>
  <c r="E36" i="153"/>
  <c r="E36" i="154"/>
  <c r="E36" i="155"/>
  <c r="E36" i="156"/>
  <c r="E37" i="156" s="1"/>
  <c r="E36" i="157"/>
  <c r="E36" i="158"/>
  <c r="E36" i="159"/>
  <c r="E36" i="160"/>
  <c r="E37" i="160" s="1"/>
  <c r="E36" i="69"/>
  <c r="F36" i="69" s="1"/>
  <c r="C37" i="149"/>
  <c r="D37" i="149"/>
  <c r="C37" i="150"/>
  <c r="D37" i="150"/>
  <c r="C37" i="151"/>
  <c r="D37" i="151"/>
  <c r="C37" i="152"/>
  <c r="D37" i="152"/>
  <c r="C37" i="153"/>
  <c r="D37" i="153"/>
  <c r="E37" i="153"/>
  <c r="C37" i="154"/>
  <c r="D37" i="154"/>
  <c r="C37" i="155"/>
  <c r="D37" i="155"/>
  <c r="E37" i="155"/>
  <c r="C37" i="156"/>
  <c r="D37" i="156"/>
  <c r="C37" i="157"/>
  <c r="D37" i="157"/>
  <c r="E37" i="157"/>
  <c r="C37" i="158"/>
  <c r="D37" i="158"/>
  <c r="C37" i="159"/>
  <c r="D37" i="159"/>
  <c r="E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E37" i="158"/>
  <c r="E37" i="154"/>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13" i="172"/>
  <c r="M16" i="172" s="1"/>
  <c r="M17" i="172" s="1"/>
  <c r="M10" i="172"/>
  <c r="M9" i="172"/>
  <c r="M25" i="171"/>
  <c r="M21" i="171"/>
  <c r="M9" i="171"/>
  <c r="M13" i="171" s="1"/>
  <c r="M16" i="171" s="1"/>
  <c r="M17" i="171" s="1"/>
  <c r="M25" i="170"/>
  <c r="M21" i="170"/>
  <c r="M9" i="170"/>
  <c r="M13" i="170" s="1"/>
  <c r="M16" i="170" s="1"/>
  <c r="M17" i="170" s="1"/>
  <c r="M25" i="169"/>
  <c r="M21" i="169"/>
  <c r="M10"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H36" i="154" l="1"/>
  <c r="I36" i="154"/>
  <c r="F36" i="155"/>
  <c r="M13" i="174"/>
  <c r="M16" i="174" s="1"/>
  <c r="M17" i="174" s="1"/>
  <c r="M10" i="177"/>
  <c r="M10" i="175"/>
  <c r="M10" i="173"/>
  <c r="M10" i="171"/>
  <c r="M10" i="170"/>
  <c r="M10" i="168"/>
  <c r="M10" i="167"/>
  <c r="M10" i="166"/>
  <c r="M10" i="165"/>
  <c r="M13" i="164"/>
  <c r="M16" i="164" s="1"/>
  <c r="M17" i="164" s="1"/>
  <c r="M10" i="164"/>
  <c r="H36" i="155" l="1"/>
  <c r="I36" i="155"/>
  <c r="F36" i="156"/>
  <c r="I42" i="149"/>
  <c r="I42" i="153"/>
  <c r="I42" i="154"/>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62" i="160"/>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62" i="159"/>
  <c r="E50" i="159"/>
  <c r="G48" i="159"/>
  <c r="D48" i="159"/>
  <c r="C48" i="159"/>
  <c r="B48" i="159"/>
  <c r="E47" i="159"/>
  <c r="E46" i="159"/>
  <c r="E45" i="159"/>
  <c r="E44" i="159"/>
  <c r="E43" i="159"/>
  <c r="E48" i="159" s="1"/>
  <c r="E41" i="159"/>
  <c r="E35" i="159"/>
  <c r="E34" i="159"/>
  <c r="E33" i="159"/>
  <c r="E32" i="159"/>
  <c r="E31" i="159"/>
  <c r="E30" i="159"/>
  <c r="E29" i="159"/>
  <c r="E28" i="159"/>
  <c r="E27" i="159"/>
  <c r="E26" i="159"/>
  <c r="E25" i="159"/>
  <c r="E24" i="159"/>
  <c r="E23" i="159"/>
  <c r="H19" i="159"/>
  <c r="E18" i="159"/>
  <c r="G16" i="159"/>
  <c r="G20" i="159" s="1"/>
  <c r="D16" i="159"/>
  <c r="D20" i="159" s="1"/>
  <c r="D52" i="159" s="1"/>
  <c r="D56" i="159" s="1"/>
  <c r="C16" i="159"/>
  <c r="C20" i="159" s="1"/>
  <c r="B16" i="159"/>
  <c r="B20" i="159" s="1"/>
  <c r="E12" i="159"/>
  <c r="E11" i="159"/>
  <c r="E10" i="159"/>
  <c r="E9" i="159"/>
  <c r="E8" i="159"/>
  <c r="E7" i="159"/>
  <c r="E6" i="159"/>
  <c r="E62" i="158"/>
  <c r="E50" i="158"/>
  <c r="G48" i="158"/>
  <c r="D48" i="158"/>
  <c r="C48" i="158"/>
  <c r="B48" i="158"/>
  <c r="E47" i="158"/>
  <c r="E46" i="158"/>
  <c r="E45" i="158"/>
  <c r="E44" i="158"/>
  <c r="E43" i="158"/>
  <c r="E41" i="158"/>
  <c r="E48" i="158" s="1"/>
  <c r="E35" i="158"/>
  <c r="E34" i="158"/>
  <c r="E33" i="158"/>
  <c r="E32" i="158"/>
  <c r="E31" i="158"/>
  <c r="E30" i="158"/>
  <c r="E29" i="158"/>
  <c r="E28" i="158"/>
  <c r="E27" i="158"/>
  <c r="E26" i="158"/>
  <c r="E25" i="158"/>
  <c r="E24" i="158"/>
  <c r="E23" i="158"/>
  <c r="C20" i="158"/>
  <c r="C52" i="158" s="1"/>
  <c r="C56" i="158" s="1"/>
  <c r="H19" i="158"/>
  <c r="E18" i="158"/>
  <c r="G16" i="158"/>
  <c r="G20" i="158" s="1"/>
  <c r="D16" i="158"/>
  <c r="D20" i="158" s="1"/>
  <c r="D52" i="158" s="1"/>
  <c r="D56" i="158" s="1"/>
  <c r="C16" i="158"/>
  <c r="B16" i="158"/>
  <c r="B20" i="158" s="1"/>
  <c r="E12" i="158"/>
  <c r="E11" i="158"/>
  <c r="E10" i="158"/>
  <c r="E9" i="158"/>
  <c r="E8" i="158"/>
  <c r="E7" i="158"/>
  <c r="E6" i="158"/>
  <c r="E62" i="157"/>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62" i="156"/>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62" i="155"/>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62" i="154"/>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D52" i="154" s="1"/>
  <c r="D56" i="154" s="1"/>
  <c r="C16" i="154"/>
  <c r="C20" i="154" s="1"/>
  <c r="B16" i="154"/>
  <c r="B20" i="154" s="1"/>
  <c r="E12" i="154"/>
  <c r="E11" i="154"/>
  <c r="E10" i="154"/>
  <c r="E9" i="154"/>
  <c r="E8" i="154"/>
  <c r="E7" i="154"/>
  <c r="E6" i="154"/>
  <c r="E62" i="153"/>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C52" i="153" s="1"/>
  <c r="C56"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D52" i="152" s="1"/>
  <c r="D56"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C20" i="151"/>
  <c r="H19" i="151"/>
  <c r="E18" i="151"/>
  <c r="G16" i="151"/>
  <c r="G20" i="151" s="1"/>
  <c r="D16" i="151"/>
  <c r="D20" i="151" s="1"/>
  <c r="D52" i="151" s="1"/>
  <c r="D56" i="151" s="1"/>
  <c r="C16" i="151"/>
  <c r="B16" i="151"/>
  <c r="B20" i="151" s="1"/>
  <c r="B52" i="151" s="1"/>
  <c r="B56"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E37" i="152" l="1"/>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52" i="158" s="1"/>
  <c r="E56"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G52" i="159"/>
  <c r="G56" i="159" s="1"/>
  <c r="B52" i="155"/>
  <c r="B56" i="155" s="1"/>
  <c r="G52" i="155"/>
  <c r="G56" i="155" s="1"/>
  <c r="E16" i="156"/>
  <c r="E20" i="156" s="1"/>
  <c r="C52" i="156"/>
  <c r="C56" i="156" s="1"/>
  <c r="E48" i="156"/>
  <c r="G52" i="160"/>
  <c r="G56" i="160" s="1"/>
  <c r="E16" i="159"/>
  <c r="E20" i="159" s="1"/>
  <c r="E52" i="159" s="1"/>
  <c r="E56" i="159" s="1"/>
  <c r="E16" i="160"/>
  <c r="E20"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2" i="152" l="1"/>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E46" i="69"/>
  <c r="F46" i="69" s="1"/>
  <c r="E45" i="69"/>
  <c r="F45" i="69" s="1"/>
  <c r="E44" i="69"/>
  <c r="F44" i="6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F48" i="149" s="1"/>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37" i="149" l="1"/>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<sst xmlns="http://schemas.openxmlformats.org/spreadsheetml/2006/main" count="4075" uniqueCount="784">
  <si>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</si>
  <si>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</si>
  <si>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</si>
  <si>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</si>
  <si>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</si>
  <si>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</si>
  <si>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</si>
  <si>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</si>
  <si>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</si>
  <si>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</si>
  <si>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</si>
  <si>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</si>
  <si>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</si>
  <si>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</si>
  <si>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</si>
  <si>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</si>
  <si>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</si>
  <si>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</si>
  <si>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</si>
  <si>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</si>
  <si>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</si>
  <si>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</si>
  <si>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</si>
  <si>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</si>
  <si>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</si>
  <si>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</si>
  <si>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</si>
  <si>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</si>
  <si>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</si>
  <si>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</si>
  <si>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</si>
  <si>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</si>
  <si>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</si>
  <si>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</si>
  <si>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</si>
  <si>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</si>
  <si>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</si>
  <si>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</si>
  <si>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</si>
  <si>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</si>
  <si>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</si>
  <si>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</si>
  <si>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</si>
  <si>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</si>
  <si>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</si>
  <si>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</si>
  <si>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</si>
  <si>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</si>
  <si>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</si>
  <si>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</si>
  <si>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</si>
  <si>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</si>
  <si>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</si>
  <si>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6</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</si>
  <si>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</si>
  <si>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</si>
  <si>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</si>
  <si>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</si>
  <si>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</si>
  <si>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</si>
  <si>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</si>
  <si>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</si>
  <si>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</si>
  <si>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</si>
  <si>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</si>
  <si>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</si>
  <si>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</si>
  <si>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</si>
  <si>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</si>
  <si>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</si>
  <si>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</si>
  <si>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</si>
  <si>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</si>
  <si>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</si>
  <si>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</si>
  <si>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</si>
  <si>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</si>
  <si>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</si>
  <si>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</si>
  <si>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</si>
  <si>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</si>
  <si>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</si>
  <si>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</si>
  <si>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</si>
  <si>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</si>
  <si>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</si>
  <si>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</si>
  <si>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</si>
  <si>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</si>
  <si>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</si>
  <si>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</si>
  <si>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</si>
  <si>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</si>
  <si>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</si>
  <si>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</si>
  <si>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</si>
  <si>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</si>
  <si>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</si>
  <si>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</si>
  <si>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</si>
  <si>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</si>
  <si>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</si>
  <si>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</si>
  <si>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</si>
  <si>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</si>
  <si>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</si>
  <si>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</si>
  <si>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</si>
  <si>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</si>
  <si>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</si>
  <si>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</si>
  <si>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</si>
  <si>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</si>
  <si>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</si>
  <si>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</si>
  <si>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</si>
  <si>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</si>
  <si>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</si>
  <si>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</si>
  <si>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</si>
  <si>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</si>
  <si>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</si>
  <si>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</si>
  <si>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</si>
  <si>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</si>
  <si>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</si>
  <si>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</si>
  <si>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</si>
  <si>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</si>
  <si>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</si>
  <si>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</si>
  <si>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</si>
  <si>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</si>
  <si>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</si>
  <si>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</si>
  <si>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</si>
  <si>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</si>
  <si>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</si>
  <si>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</si>
  <si>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</si>
  <si>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</si>
  <si>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</si>
  <si>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</si>
  <si>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</si>
  <si>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</si>
  <si>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</si>
  <si>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</si>
  <si>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</si>
  <si>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</si>
  <si>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</si>
  <si>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</si>
  <si>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</si>
  <si>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</si>
  <si>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</si>
  <si>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</si>
  <si>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</si>
  <si>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</si>
  <si>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</si>
  <si>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</si>
  <si>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</si>
  <si>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</si>
  <si>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</si>
  <si>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</si>
  <si>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</si>
  <si>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</si>
  <si>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</si>
  <si>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</si>
  <si>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</si>
  <si>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</si>
  <si>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</si>
  <si>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</si>
  <si>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</si>
  <si>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</si>
  <si>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</si>
  <si>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</si>
  <si>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</si>
  <si>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</si>
  <si>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</si>
  <si>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</si>
  <si>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</si>
  <si>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</si>
  <si>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</si>
  <si>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</si>
  <si>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</si>
  <si>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</si>
  <si>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</si>
  <si>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</si>
  <si>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</si>
  <si>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</si>
  <si>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</si>
  <si>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</si>
  <si>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</si>
  <si>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</si>
  <si>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</si>
  <si>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</si>
  <si>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</si>
  <si>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</si>
  <si>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</si>
  <si>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</si>
  <si>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</si>
  <si>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</si>
  <si>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</si>
  <si>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</si>
  <si>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</si>
  <si>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</si>
  <si>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</si>
  <si>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</si>
  <si>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</si>
  <si>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</si>
  <si>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</si>
  <si>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</si>
  <si>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</si>
  <si>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</si>
  <si>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</si>
  <si>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</si>
  <si>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</si>
  <si>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</si>
  <si>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</si>
  <si>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</si>
  <si>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</si>
  <si>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</si>
  <si>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</si>
  <si>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</si>
  <si>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</si>
  <si>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</si>
  <si>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</si>
  <si>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</si>
  <si>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</si>
  <si>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</si>
  <si>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</si>
  <si>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</si>
  <si>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</si>
  <si>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</si>
  <si>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</si>
  <si>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</si>
  <si>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</si>
  <si>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</si>
  <si>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</si>
  <si>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</si>
  <si>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</si>
  <si>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</si>
  <si>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</si>
  <si>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</si>
  <si>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</si>
  <si>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</si>
  <si>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</si>
  <si>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</si>
  <si>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</si>
  <si>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</si>
  <si>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</si>
  <si>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</si>
  <si>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</si>
  <si>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</si>
  <si>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</si>
  <si>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</si>
  <si>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</si>
  <si>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</si>
  <si>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</si>
  <si>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</si>
  <si>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</si>
  <si>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</si>
  <si>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</si>
  <si>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</si>
  <si>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</si>
  <si>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</si>
  <si>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</si>
  <si>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</si>
  <si>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</si>
  <si>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</si>
  <si>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</si>
  <si>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</si>
  <si>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</si>
  <si>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</si>
  <si>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</si>
  <si>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</si>
  <si>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</si>
  <si>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</si>
  <si>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</si>
  <si>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</si>
  <si>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</si>
  <si>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</si>
  <si>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</si>
  <si>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</si>
  <si>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</si>
  <si>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</si>
  <si>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</si>
  <si>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</si>
  <si>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</si>
  <si>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</si>
  <si>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</si>
  <si>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</si>
  <si>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</si>
  <si>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</si>
  <si>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</si>
  <si>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</si>
  <si>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</si>
  <si>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</si>
  <si>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</si>
  <si>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</si>
  <si>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</si>
  <si>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</si>
  <si>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</si>
  <si>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</si>
  <si>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</si>
  <si>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</si>
  <si>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</si>
  <si>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</si>
  <si>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</si>
  <si>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</si>
  <si>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</si>
  <si>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</si>
  <si>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</si>
  <si>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</si>
  <si>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</si>
  <si>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</si>
  <si>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</si>
  <si>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</si>
  <si>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</si>
  <si>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</si>
  <si>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</si>
  <si>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</si>
  <si>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</si>
  <si>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</si>
  <si>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</si>
  <si>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</si>
  <si>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</si>
  <si>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</si>
  <si>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</si>
  <si>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</si>
  <si>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</si>
  <si>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</si>
  <si>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</si>
  <si>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</si>
  <si>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</si>
  <si>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</si>
  <si>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</si>
  <si>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</si>
  <si>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</si>
  <si>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</si>
  <si>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</si>
  <si>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</si>
  <si>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</si>
  <si>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</si>
  <si>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</si>
  <si>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</si>
  <si>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</si>
  <si>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</si>
  <si>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</si>
  <si>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</si>
  <si>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</si>
  <si>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</si>
  <si>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</si>
  <si>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</si>
  <si>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</si>
  <si>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</si>
  <si>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</si>
  <si>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</si>
  <si>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</si>
  <si>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</si>
  <si>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</si>
  <si>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</si>
  <si>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</si>
  <si>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</si>
  <si>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</si>
  <si>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</si>
  <si>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</si>
  <si>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</si>
  <si>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</si>
  <si>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</si>
  <si>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</si>
  <si>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</si>
  <si>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</si>
  <si>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</si>
  <si>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</si>
  <si>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</si>
  <si>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</si>
  <si>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</si>
  <si>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</si>
  <si>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</si>
  <si>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</si>
  <si>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</si>
  <si>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</si>
  <si>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</si>
  <si>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</si>
  <si>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</si>
  <si>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</si>
  <si>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</si>
  <si>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</si>
  <si>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</si>
  <si>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</si>
  <si>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</si>
  <si>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</si>
  <si>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</si>
  <si>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</si>
  <si>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</si>
  <si>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</si>
  <si>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</si>
  <si>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</si>
  <si>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</si>
  <si>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</si>
  <si>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</si>
  <si>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</si>
  <si>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</si>
  <si>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</si>
  <si>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</si>
  <si>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</si>
  <si>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</si>
  <si>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</si>
  <si>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</si>
  <si>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</si>
  <si>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</si>
  <si>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</si>
  <si>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</si>
  <si>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</si>
  <si>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</si>
  <si>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</si>
  <si>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</si>
  <si>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</si>
  <si>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</si>
  <si>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</si>
  <si>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</si>
  <si>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</si>
  <si>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</si>
  <si>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</si>
  <si>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</si>
  <si>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</si>
  <si>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</si>
  <si>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</si>
  <si>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</si>
  <si>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</si>
  <si>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</si>
  <si>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</si>
  <si>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</si>
  <si>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</si>
  <si>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</si>
  <si>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</si>
  <si>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</si>
  <si>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</si>
  <si>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</si>
  <si>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</si>
  <si>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</si>
  <si>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</si>
  <si>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</si>
  <si>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</si>
  <si>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</si>
  <si>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</si>
  <si>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</si>
  <si>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</si>
  <si>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</si>
  <si>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</si>
  <si>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</si>
  <si>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</si>
  <si>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</si>
  <si>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</si>
  <si>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</si>
  <si>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</si>
  <si>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</si>
  <si>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</si>
  <si>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</si>
  <si>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</si>
  <si>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</si>
  <si>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</si>
  <si>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</si>
  <si>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</si>
  <si>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</si>
  <si>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</si>
  <si>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</si>
  <si>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</si>
  <si>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</si>
  <si>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</si>
  <si>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</si>
  <si>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</si>
  <si>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</si>
  <si>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</si>
  <si>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</si>
  <si>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</si>
  <si>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</si>
  <si>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</si>
  <si>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</si>
  <si>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</si>
  <si>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</si>
  <si>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</si>
  <si>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</si>
  <si>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</si>
  <si>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</si>
  <si>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</si>
  <si>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</si>
  <si>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</si>
  <si>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</si>
  <si>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</si>
  <si>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</si>
  <si>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</si>
  <si>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</si>
  <si>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</si>
  <si>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</si>
  <si>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</si>
  <si>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</si>
  <si>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</si>
  <si>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</si>
  <si>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</si>
  <si>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</si>
  <si>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</si>
  <si>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</si>
  <si>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</si>
  <si>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</si>
  <si>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</si>
  <si>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</si>
  <si>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</si>
  <si>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</si>
  <si>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</si>
  <si>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</si>
  <si>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</si>
  <si>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</si>
  <si>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</si>
  <si>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</si>
  <si>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</si>
  <si>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</si>
  <si>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</si>
  <si>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</si>
  <si>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</si>
  <si>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</si>
  <si>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</si>
  <si>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</si>
  <si>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</si>
  <si>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</si>
  <si>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</si>
  <si>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</si>
  <si>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</si>
  <si>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</si>
  <si>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</si>
  <si>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</si>
  <si>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</si>
  <si>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</si>
  <si>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</si>
  <si>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</si>
  <si>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</si>
  <si>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</si>
  <si>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</si>
  <si>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</si>
  <si>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</si>
  <si>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</si>
  <si>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</si>
  <si>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</si>
  <si>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</si>
  <si>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</si>
  <si>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</si>
  <si>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</si>
  <si>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</si>
  <si>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</si>
  <si>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</si>
  <si>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</si>
  <si>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</si>
  <si>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</si>
  <si>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</si>
  <si>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</si>
  <si>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</si>
  <si>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</si>
  <si>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</si>
  <si>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</si>
  <si>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</si>
  <si>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</si>
  <si>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</si>
  <si>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</si>
  <si>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</si>
  <si>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</si>
  <si>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</si>
  <si>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</si>
  <si>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</si>
  <si>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</si>
  <si>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</si>
  <si>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</si>
  <si>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</si>
  <si>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</si>
  <si>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</si>
  <si>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</si>
  <si>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</si>
  <si>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</si>
  <si>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</si>
  <si>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</si>
  <si>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</si>
  <si>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</si>
  <si>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</si>
  <si>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</si>
  <si>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</si>
  <si>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</si>
  <si>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</si>
  <si>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</si>
  <si>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</si>
  <si>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</si>
  <si>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</si>
  <si>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</si>
  <si>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</si>
  <si>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</si>
  <si>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</si>
  <si>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</si>
  <si>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</si>
  <si>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</si>
  <si>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</si>
  <si>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</si>
  <si>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</si>
  <si>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</si>
  <si>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</si>
  <si>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</si>
  <si>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</si>
  <si>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</si>
  <si>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</si>
  <si>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</si>
  <si>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</si>
  <si>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</si>
  <si>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</si>
  <si>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</si>
  <si>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</si>
  <si>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</si>
  <si>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</si>
  <si>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</si>
  <si>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</si>
  <si>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</si>
  <si>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</si>
  <si>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</si>
  <si>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</si>
  <si>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</si>
  <si>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</si>
  <si>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</si>
  <si>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</si>
  <si>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</si>
  <si>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</si>
  <si>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Profit and Loss Detail</t>
  </si>
  <si>
    <t>Location</t>
  </si>
  <si>
    <t>Class</t>
  </si>
  <si>
    <t>Split</t>
  </si>
  <si>
    <t>Balance</t>
  </si>
  <si>
    <t>Ordinary Income/Expenses</t>
  </si>
  <si>
    <t xml:space="preserve">   Income</t>
  </si>
  <si>
    <t xml:space="preserve">      4500 Revenue from Government Grants</t>
  </si>
  <si>
    <t xml:space="preserve">         4520 Federal Grants</t>
  </si>
  <si>
    <t xml:space="preserve">            4521 USJP Grant</t>
  </si>
  <si>
    <t xml:space="preserve">               4521.2 USJP 18.19</t>
  </si>
  <si>
    <t>451 USJP Program</t>
  </si>
  <si>
    <t>Invoice for Sept</t>
  </si>
  <si>
    <t>-Split-</t>
  </si>
  <si>
    <t xml:space="preserve">               Total for 4521.2 USJP 18.19</t>
  </si>
  <si>
    <t xml:space="preserve">            Total for 4521 USJP Grant</t>
  </si>
  <si>
    <t xml:space="preserve">            4521.1 USJP - Payroll Reimb</t>
  </si>
  <si>
    <t>USJP Participant Payroll</t>
  </si>
  <si>
    <t xml:space="preserve">            Total for 4521.1 USJP - Payroll Reimb</t>
  </si>
  <si>
    <t xml:space="preserve">         Total for 4520 Federal Grants</t>
  </si>
  <si>
    <t xml:space="preserve">      Total for 4500 Revenue from Government Grants</t>
  </si>
  <si>
    <t xml:space="preserve">   Total for Income</t>
  </si>
  <si>
    <t xml:space="preserve">   Expenses</t>
  </si>
  <si>
    <t xml:space="preserve">      7100 Participant Salaries &amp; Wages</t>
  </si>
  <si>
    <t xml:space="preserve">         7112 Participant Wages - USJP</t>
  </si>
  <si>
    <t>USJP Participant Salaries 09/23</t>
  </si>
  <si>
    <t xml:space="preserve">            Total for 7112 Participant Wages - USJP</t>
  </si>
  <si>
    <t xml:space="preserve">            7112.1 USJP Manual Checks</t>
  </si>
  <si>
    <t>1010 Cash:Checking Active:Bank of America:BOA Operating Acct 3973</t>
  </si>
  <si>
    <t>09/26/2019</t>
  </si>
  <si>
    <t>2000 Accounts Payable</t>
  </si>
  <si>
    <t xml:space="preserve">            Total for 7112.1 USJP Manual Checks</t>
  </si>
  <si>
    <t xml:space="preserve">         Total for 7112 Participant Wages - USJP with sub-accounts</t>
  </si>
  <si>
    <t xml:space="preserve">         7120 Payroll Taxes</t>
  </si>
  <si>
    <t xml:space="preserve">         Total for 7120 Payroll Taxes</t>
  </si>
  <si>
    <t xml:space="preserve">         7130 Worker's Compensation - USJP</t>
  </si>
  <si>
    <t xml:space="preserve">         Total for 7130 Worker's Compensation - USJP</t>
  </si>
  <si>
    <t xml:space="preserve">         7132 Payroll Expenses - Fees</t>
  </si>
  <si>
    <t xml:space="preserve">         Total for 7132 Payroll Expenses - Fees</t>
  </si>
  <si>
    <t xml:space="preserve">      Total for 7100 Participant Salaries &amp; Wages</t>
  </si>
  <si>
    <t xml:space="preserve">      7200 Salaries &amp; Related Expenses</t>
  </si>
  <si>
    <t xml:space="preserve">         7220 Salaries &amp; Wages</t>
  </si>
  <si>
    <t xml:space="preserve">            7222 Staff</t>
  </si>
  <si>
    <t xml:space="preserve">            Total for 7222 Staff</t>
  </si>
  <si>
    <t xml:space="preserve">         Total for 7220 Salaries &amp; Wages</t>
  </si>
  <si>
    <t xml:space="preserve">         7240 Employee Benefits</t>
  </si>
  <si>
    <t xml:space="preserve">            7241 Health Insurance</t>
  </si>
  <si>
    <t xml:space="preserve">            Total for 7241 Health Insurance</t>
  </si>
  <si>
    <t xml:space="preserve">            7242 Life and Dental Insurance</t>
  </si>
  <si>
    <t xml:space="preserve">            Total for 7242 Life and Dental Insurance</t>
  </si>
  <si>
    <t xml:space="preserve">            7244 Employee Contrib - Health</t>
  </si>
  <si>
    <t>Employee Medical Contrib</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</si>
  <si>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</si>
  <si>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</si>
  <si>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</si>
  <si>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</si>
  <si>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</si>
  <si>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</si>
  <si>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</si>
  <si>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 xml:space="preserve">               Total for 7248 Allocated W Comp</t>
  </si>
  <si>
    <t xml:space="preserve">            Total for 7245 Worker's Compensation Insurance</t>
  </si>
  <si>
    <t xml:space="preserve">            7251 Social Security</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</si>
  <si>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</si>
  <si>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</si>
  <si>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</si>
  <si>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</si>
  <si>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</si>
  <si>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</si>
  <si>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</si>
  <si>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</si>
  <si>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</si>
  <si>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</si>
  <si>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</si>
  <si>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</si>
  <si>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</si>
  <si>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</si>
  <si>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7520 Accounting Fees</t>
  </si>
  <si>
    <t xml:space="preserve">            7521 Allocated Acctg and Audit</t>
  </si>
  <si>
    <t xml:space="preserve">            Total for 7521 Allocated Acctg and Audit</t>
  </si>
  <si>
    <t xml:space="preserve">         Total for 7520 Accounting Fees</t>
  </si>
  <si>
    <t xml:space="preserve">      Total for 7500 Contract Service Expenses</t>
  </si>
  <si>
    <t xml:space="preserve">      8100 Operating Expenses</t>
  </si>
  <si>
    <t xml:space="preserve">         8130 Telephone &amp; Telecommunications</t>
  </si>
  <si>
    <t xml:space="preserve">            8132 Cell Phone Services</t>
  </si>
  <si>
    <t xml:space="preserve">            Total for 8132 Cell Phone Services</t>
  </si>
  <si>
    <t xml:space="preserve">            8135.5 Allocated Telephone</t>
  </si>
  <si>
    <t xml:space="preserve">            Total for 8135.5 Allocated Telephone</t>
  </si>
  <si>
    <t xml:space="preserve">         Total for 8130 Telephone &amp; Telecommunications</t>
  </si>
  <si>
    <t xml:space="preserve">         8191 Web Hosting Alloc</t>
  </si>
  <si>
    <t xml:space="preserve">         Total for 8191 Web Hosting Alloc</t>
  </si>
  <si>
    <t xml:space="preserve">      Total for 8100 Operating Expenses</t>
  </si>
  <si>
    <t xml:space="preserve">      8200 Facility &amp; Equipment Expenses</t>
  </si>
  <si>
    <t xml:space="preserve">         8205 Rent, Parking, Other Occupancy</t>
  </si>
  <si>
    <t xml:space="preserve">         Total for 8205 Rent, Parking, Other Occupancy</t>
  </si>
  <si>
    <t xml:space="preserve">         8210 Utilities</t>
  </si>
  <si>
    <t xml:space="preserve">            8210.5 Allocated Utilities</t>
  </si>
  <si>
    <t xml:space="preserve">            Total for 8210.5 Allocated Utilities</t>
  </si>
  <si>
    <t xml:space="preserve">         Total for 8210 Utilities</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</si>
  <si>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</si>
  <si>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</si>
  <si>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</si>
  <si>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</si>
  <si>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</si>
  <si>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 xml:space="preserve">            8239 Alloc Repairs and Maint</t>
  </si>
  <si>
    <t xml:space="preserve">            Total for 8239 Alloc Repairs and Maint</t>
  </si>
  <si>
    <t xml:space="preserve">         Total for 8230 Building Repair &amp; Maintenance</t>
  </si>
  <si>
    <t xml:space="preserve">         8250 Mortgage Interest Expense</t>
  </si>
  <si>
    <t xml:space="preserve">            8250.1 Allocated 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</si>
  <si>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</si>
  <si>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</si>
  <si>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</si>
  <si>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</si>
  <si>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</si>
  <si>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</si>
  <si>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</si>
  <si>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</si>
  <si>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</si>
  <si>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</si>
  <si>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</si>
  <si>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USJP Mileage Reimbursement 8/9/19 - 8/28/19</t>
  </si>
  <si>
    <t>508 Central Avenue</t>
  </si>
  <si>
    <t>Mileage Reimbursement 8/23/19 Passaic to Newark (Pickup checks for Passaic)</t>
  </si>
  <si>
    <t xml:space="preserve">         Total for 8310 Transportation &amp; Parking</t>
  </si>
  <si>
    <t xml:space="preserve">      Total for 8300 Travel &amp; Meetings Expenses</t>
  </si>
  <si>
    <t xml:space="preserve">   Total for Expenses</t>
  </si>
  <si>
    <t>Net Income</t>
  </si>
  <si>
    <t>Monday, Feb 03, 2020 10:04:31 AM GMT-8 - Cash Basis</t>
  </si>
  <si>
    <t>August Est</t>
  </si>
  <si>
    <t>08/23/2019</t>
  </si>
  <si>
    <t>UNDALEEB NAQVI</t>
  </si>
  <si>
    <t>Net Manual Check for 30 hours. Check never received. 7.18.19 - 7.31.19</t>
  </si>
  <si>
    <t>Barbara Lansing</t>
  </si>
  <si>
    <t>USJP Training Hours for Barbara Lansing 7.18.19 - 7.31.19 Check never received.</t>
  </si>
  <si>
    <t>08/27/2019</t>
  </si>
  <si>
    <t>Paycom Payroll, LLC (deleted)</t>
  </si>
  <si>
    <t>Payroll Void ck - Lost in the Mail For Barbara Lsansing &amp; Undaleeb Naqvi.            19-34-08</t>
  </si>
  <si>
    <t>Salary Allocation - August</t>
  </si>
  <si>
    <t>Employee Health Insurance 08/15/19 - 09/15/19</t>
  </si>
  <si>
    <t xml:space="preserve">         7515 IT Support</t>
  </si>
  <si>
    <t xml:space="preserve">            7515.5 Allocated IT consultants</t>
  </si>
  <si>
    <t xml:space="preserve">            Total for 7515.5 Allocated IT consultants</t>
  </si>
  <si>
    <t xml:space="preserve">         Total for 7515 IT Support</t>
  </si>
  <si>
    <t xml:space="preserve">         7540 Instructors/Consultants/Subs</t>
  </si>
  <si>
    <t>06.30.19VH</t>
  </si>
  <si>
    <t>Vann Holland</t>
  </si>
  <si>
    <t>506 Central Ave</t>
  </si>
  <si>
    <t>Job Readiness Training 6.17.19 - 6.28.19</t>
  </si>
  <si>
    <t xml:space="preserve">         Total for 7540 Instructors/Consultants/Subs</t>
  </si>
  <si>
    <t xml:space="preserve">         8110 Supplies</t>
  </si>
  <si>
    <t xml:space="preserve">            Total for 8110 Supplies</t>
  </si>
  <si>
    <t xml:space="preserve">            8112 Alloc Supplies</t>
  </si>
  <si>
    <t xml:space="preserve">            Total for 8112 Alloc Supplies</t>
  </si>
  <si>
    <t xml:space="preserve">         Total for 8110 Supplies with sub-accounts</t>
  </si>
  <si>
    <t xml:space="preserve">         8140 Postage &amp; Shipping</t>
  </si>
  <si>
    <t xml:space="preserve">         Total for 8140 Postage &amp; Shipping</t>
  </si>
  <si>
    <t xml:space="preserve">            8228 Postage Lease</t>
  </si>
  <si>
    <t xml:space="preserve">            Total for 8228 Postage Lease</t>
  </si>
  <si>
    <t>Monday, Feb 03, 2020 10:05:43 AM GMT-8 - Cash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</si>
</sst>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89">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555">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27" fillId="0" borderId="32" xfId="12" applyFont="1" applyFill="1" applyBorder="1" applyAlignment="1">
      <alignment horizontal="left" wrapText="1"/>
    </xf>
    <xf numFmtId="0" fontId="27" fillId="0" borderId="33" xfId="12" applyFont="1" applyFill="1" applyBorder="1" applyAlignment="1">
      <alignment horizontal="left" wrapText="1"/>
    </xf>
    <xf numFmtId="0" fontId="27" fillId="0" borderId="34" xfId="12" applyFont="1" applyFill="1" applyBorder="1" applyAlignment="1">
      <alignment horizontal="left" wrapText="1"/>
    </xf>
    <xf numFmtId="0" fontId="26" fillId="0" borderId="31" xfId="12" applyFont="1" applyFill="1" applyBorder="1" applyAlignment="1">
      <alignment horizontal="center" wrapText="1"/>
    </xf>
    <xf numFmtId="44" fontId="28" fillId="0" borderId="32" xfId="12" applyNumberFormat="1" applyFont="1" applyFill="1" applyBorder="1" applyAlignment="1">
      <alignment horizontal="left" wrapText="1"/>
    </xf>
    <xf numFmtId="0" fontId="28"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8" fillId="0" borderId="32" xfId="12" applyFont="1" applyFill="1" applyBorder="1" applyAlignment="1">
      <alignment horizontal="left" wrapText="1"/>
    </xf>
    <xf numFmtId="0" fontId="28" fillId="0" borderId="33"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33" fillId="0" borderId="0" xfId="12" applyFont="1" applyFill="1" applyBorder="1" applyAlignment="1">
      <alignment horizontal="right" vertical="top" wrapText="1" inden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0" borderId="32" xfId="12" applyFont="1" applyFill="1" applyBorder="1" applyAlignment="1">
      <alignment horizontal="left" vertical="top" wrapText="1"/>
    </xf>
    <xf numFmtId="0" fontId="27" fillId="0" borderId="33" xfId="12" applyFont="1" applyFill="1" applyBorder="1" applyAlignment="1">
      <alignment horizontal="left" vertical="top" wrapText="1"/>
    </xf>
    <xf numFmtId="0" fontId="27" fillId="0" borderId="34" xfId="12" applyFont="1" applyFill="1" applyBorder="1" applyAlignment="1">
      <alignment horizontal="left"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22" fillId="5" borderId="2" xfId="4" applyFont="1" applyFill="1" applyBorder="1" applyAlignment="1">
      <alignment horizontal="center" wrapText="1"/>
    </xf>
    <xf numFmtId="0" fontId="44" fillId="0" borderId="0" xfId="0" applyFont="1" applyAlignment="1">
      <alignment horizontal="center"/>
    </xf>
    <xf numFmtId="0" fontId="0" fillId="0" borderId="0" xfId="0"/>
    <xf numFmtId="0" fontId="43" fillId="0" borderId="0" xfId="0" applyFont="1" applyAlignment="1">
      <alignment horizontal="center"/>
    </xf>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0" fontId="40" fillId="0" borderId="0" xfId="0" quotePrefix="1"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40" fillId="0" borderId="0" xfId="0" applyFont="1" applyAlignment="1">
      <alignment horizontal="center"/>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298</v>
      </c>
      <c r="C2" s="246"/>
      <c r="D2" s="246"/>
      <c r="E2" s="247"/>
      <c r="G2" s="248"/>
      <c r="K2" s="223" t="s">
        <v>160</v>
      </c>
      <c r="L2" s="223" t="s">
        <v>299</v>
      </c>
    </row>
    <row r="3" spans="2:12">
      <c r="K3" s="224">
        <v>43658</v>
      </c>
      <c r="L3" s="222" t="s">
        <v>322</v>
      </c>
    </row>
    <row r="4" spans="2:12">
      <c r="K4" s="224">
        <v>43672</v>
      </c>
      <c r="L4" s="222" t="s">
        <v>321</v>
      </c>
    </row>
    <row r="5" spans="2:12">
      <c r="K5" s="224"/>
      <c r="L5" s="225"/>
    </row>
    <row r="6" spans="2:12">
      <c r="I6" s="226"/>
    </row>
    <row r="8" spans="2:12">
      <c r="B8" s="227" t="s">
        <v>300</v>
      </c>
      <c r="C8" s="228">
        <v>43658</v>
      </c>
      <c r="D8" s="228">
        <v>43672</v>
      </c>
      <c r="E8" s="228"/>
      <c r="F8" s="229" t="s">
        <v>67</v>
      </c>
      <c r="G8" s="227" t="s">
        <v>323</v>
      </c>
      <c r="H8" s="227" t="s">
        <v>301</v>
      </c>
      <c r="I8" s="227"/>
    </row>
    <row r="9" spans="2:12" ht="20.25" customHeight="1">
      <c r="J9" s="230" t="s">
        <v>302</v>
      </c>
      <c r="K9" s="230" t="s">
        <v>303</v>
      </c>
    </row>
    <row r="10" spans="2:12">
      <c r="B10" s="222" t="s">
        <v>155</v>
      </c>
      <c r="C10" s="231">
        <v>0</v>
      </c>
      <c r="D10" s="231">
        <v>0</v>
      </c>
      <c r="E10" s="231">
        <v>0</v>
      </c>
      <c r="F10" s="231">
        <f>SUM(C10:E10)</f>
        <v>0</v>
      </c>
      <c r="H10" s="231">
        <v>0.5</v>
      </c>
      <c r="I10" s="231">
        <f>F10*H10</f>
        <v>0</v>
      </c>
    </row>
    <row r="11" spans="2:12">
      <c r="B11" s="222" t="s">
        <v>147</v>
      </c>
      <c r="C11" s="231"/>
      <c r="D11" s="231"/>
      <c r="E11" s="231"/>
      <c r="F11" s="231">
        <f t="shared" ref="F11:F19" si="0">SUM(C11:E11)</f>
        <v>0</v>
      </c>
      <c r="H11" s="231">
        <v>1</v>
      </c>
      <c r="I11" s="231">
        <f t="shared" ref="I11:I12" si="1">F11*H11</f>
        <v>0</v>
      </c>
    </row>
    <row r="12" spans="2:12">
      <c r="B12" s="222" t="s">
        <v>315</v>
      </c>
      <c r="C12" s="231"/>
      <c r="D12" s="231"/>
      <c r="E12" s="231"/>
      <c r="F12" s="231">
        <f t="shared" si="0"/>
        <v>0</v>
      </c>
      <c r="H12" s="231">
        <v>1</v>
      </c>
      <c r="I12" s="231">
        <f t="shared" si="1"/>
        <v>0</v>
      </c>
      <c r="J12" s="232"/>
      <c r="K12" s="231"/>
      <c r="L12" s="232"/>
    </row>
    <row r="13" spans="2:12">
      <c r="B13" s="222" t="s">
        <v>316</v>
      </c>
      <c r="C13" s="231"/>
      <c r="D13" s="231"/>
      <c r="E13" s="231"/>
      <c r="F13" s="231">
        <f>SUM(C13:E13)</f>
        <v>0</v>
      </c>
      <c r="H13" s="231">
        <v>0.2</v>
      </c>
      <c r="I13" s="231">
        <f>F13*H13</f>
        <v>0</v>
      </c>
      <c r="J13" s="231">
        <f>SUM(I10:I13)</f>
        <v>0</v>
      </c>
      <c r="K13" s="231">
        <f>SUM(I10:I13)</f>
        <v>0</v>
      </c>
    </row>
    <row r="14" spans="2:12">
      <c r="B14" s="222" t="s">
        <v>317</v>
      </c>
      <c r="C14" s="233"/>
      <c r="D14" s="231"/>
      <c r="E14" s="231"/>
      <c r="F14" s="231"/>
      <c r="H14" s="231"/>
      <c r="I14" s="231"/>
      <c r="J14" s="231"/>
      <c r="K14" s="231"/>
    </row>
    <row r="15" spans="2:12">
      <c r="B15" s="222" t="s">
        <v>318</v>
      </c>
      <c r="C15" s="231"/>
      <c r="D15" s="231"/>
      <c r="E15" s="231"/>
      <c r="F15" s="231">
        <f>SUM(C15:E15)</f>
        <v>0</v>
      </c>
      <c r="H15" s="231">
        <v>1</v>
      </c>
      <c r="I15" s="231">
        <f>F15*H15</f>
        <v>0</v>
      </c>
      <c r="J15" s="231">
        <f>I15</f>
        <v>0</v>
      </c>
      <c r="K15" s="231">
        <f>I15</f>
        <v>0</v>
      </c>
      <c r="L15" s="222" t="s">
        <v>308</v>
      </c>
    </row>
    <row r="16" spans="2:12">
      <c r="B16" s="222" t="s">
        <v>319</v>
      </c>
      <c r="C16" s="231"/>
      <c r="D16" s="231"/>
      <c r="E16" s="231"/>
      <c r="F16" s="231"/>
      <c r="H16" s="231"/>
      <c r="I16" s="231"/>
      <c r="J16" s="231"/>
      <c r="K16" s="231"/>
    </row>
    <row r="17" spans="2:15">
      <c r="B17" s="222" t="s">
        <v>320</v>
      </c>
    </row>
    <row r="18" spans="2:15">
      <c r="B18" s="222" t="s">
        <v>150</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309</v>
      </c>
      <c r="I22" s="238">
        <v>0</v>
      </c>
    </row>
    <row r="23" spans="2:15">
      <c r="B23" s="222" t="s">
        <v>310</v>
      </c>
      <c r="I23" s="238">
        <v>0</v>
      </c>
      <c r="J23" s="231">
        <f>SUM(I22:I23)</f>
        <v>0</v>
      </c>
      <c r="K23" s="231">
        <f>J23</f>
        <v>0</v>
      </c>
    </row>
    <row r="26" spans="2:15">
      <c r="B26" s="227" t="s">
        <v>311</v>
      </c>
      <c r="C26" s="239" t="s">
        <v>312</v>
      </c>
      <c r="D26" s="239" t="s">
        <v>313</v>
      </c>
      <c r="E26" s="228"/>
      <c r="F26" s="229" t="s">
        <v>67</v>
      </c>
      <c r="G26" s="227"/>
      <c r="H26" s="227" t="s">
        <v>301</v>
      </c>
      <c r="I26" s="227"/>
    </row>
    <row r="27" spans="2:15">
      <c r="J27" s="230" t="s">
        <v>302</v>
      </c>
      <c r="K27" s="230" t="s">
        <v>303</v>
      </c>
    </row>
    <row r="28" spans="2:15">
      <c r="B28" s="222" t="s">
        <v>304</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305</v>
      </c>
      <c r="C29" s="231"/>
      <c r="D29" s="231"/>
      <c r="E29" s="231"/>
      <c r="F29" s="231">
        <f t="shared" ref="F29:F32" si="2">SUM(C29:E29)</f>
        <v>0</v>
      </c>
      <c r="H29" s="231">
        <v>1</v>
      </c>
      <c r="I29" s="231">
        <f t="shared" ref="I29:I30" si="3">F29*H29</f>
        <v>0</v>
      </c>
      <c r="O29" s="232"/>
    </row>
    <row r="30" spans="2:15">
      <c r="B30" s="222" t="s">
        <v>306</v>
      </c>
      <c r="C30" s="231"/>
      <c r="D30" s="231"/>
      <c r="E30" s="231"/>
      <c r="F30" s="231">
        <f t="shared" si="2"/>
        <v>0</v>
      </c>
      <c r="H30" s="231">
        <v>1</v>
      </c>
      <c r="I30" s="231">
        <f t="shared" si="3"/>
        <v>0</v>
      </c>
      <c r="O30" s="232"/>
    </row>
    <row r="31" spans="2:15">
      <c r="B31" s="222" t="s">
        <v>307</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307</v>
      </c>
      <c r="C32" s="231"/>
      <c r="D32" s="231"/>
      <c r="E32" s="231"/>
      <c r="F32" s="231">
        <f t="shared" si="2"/>
        <v>0</v>
      </c>
      <c r="H32" s="231">
        <v>1</v>
      </c>
      <c r="I32" s="231">
        <f t="shared" ref="I32" si="5">F32*H32</f>
        <v>0</v>
      </c>
      <c r="J32" s="231">
        <f t="shared" si="4"/>
        <v>0</v>
      </c>
      <c r="K32" s="231">
        <f t="shared" si="4"/>
        <v>0</v>
      </c>
      <c r="O32" s="232"/>
    </row>
    <row r="33" spans="2:15">
      <c r="B33" s="222" t="s">
        <v>314</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pageSetUpPr fitToPage="1"/>
  </sheetPr>
  <dimension ref="A1:R220"/>
  <sheetViews>
    <sheetView topLeftCell="A213" workbookViewId="0">
      <selection activeCell="F218" sqref="F218"/>
    </sheetView>
  </sheetViews>
  <sheetFormatPr defaultRowHeight="14.5"/>
  <cols>
    <col min="1" max="1" width="49.1796875" bestFit="1" customWidth="1"/>
    <col min="2" max="2" width="9.54296875" style="137" bestFit="1"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73</v>
      </c>
      <c r="B1" s="129"/>
      <c r="C1" s="129"/>
      <c r="D1" s="215" t="s">
        <v>71</v>
      </c>
      <c r="E1" s="446" t="s">
        <v>449</v>
      </c>
      <c r="F1" s="446"/>
      <c r="G1" s="446"/>
      <c r="H1" s="446"/>
      <c r="I1" s="446"/>
      <c r="J1" s="446"/>
      <c r="K1" s="446"/>
      <c r="L1" s="446"/>
      <c r="M1" s="219"/>
    </row>
    <row r="2" spans="1:17" s="5" customFormat="1" ht="21">
      <c r="A2" s="443" t="str">
        <f>'Jul-2019'!A2</f>
        <v>Urban League of Essex County</v>
      </c>
      <c r="B2" s="444"/>
      <c r="C2" s="445"/>
      <c r="D2" s="215" t="s">
        <v>72</v>
      </c>
      <c r="E2" s="446">
        <v>2019</v>
      </c>
      <c r="F2" s="446"/>
      <c r="G2" s="446"/>
      <c r="H2" s="446"/>
      <c r="I2" s="446"/>
      <c r="J2" s="446"/>
      <c r="K2" s="446"/>
      <c r="L2" s="446"/>
      <c r="M2" s="219"/>
    </row>
    <row r="4" spans="1:17">
      <c r="A4" s="23" t="s">
        <v>159</v>
      </c>
      <c r="B4" s="130" t="s">
        <v>160</v>
      </c>
      <c r="C4" s="131"/>
      <c r="D4" s="126">
        <v>43658</v>
      </c>
      <c r="E4" s="24"/>
      <c r="F4" s="24"/>
      <c r="G4" s="24"/>
      <c r="H4" s="25"/>
      <c r="I4" s="28"/>
      <c r="J4" s="26"/>
      <c r="K4" s="26"/>
      <c r="L4" s="26"/>
      <c r="M4" s="26"/>
      <c r="N4" s="27"/>
      <c r="O4" s="28"/>
      <c r="P4" s="29"/>
      <c r="Q4" s="30"/>
    </row>
    <row r="5" spans="1:17" ht="43.5">
      <c r="A5" s="53" t="s">
        <v>62</v>
      </c>
      <c r="B5" s="132" t="s">
        <v>69</v>
      </c>
      <c r="C5" s="132" t="s">
        <v>70</v>
      </c>
      <c r="D5" s="54" t="s">
        <v>63</v>
      </c>
      <c r="E5" s="54" t="s">
        <v>64</v>
      </c>
      <c r="F5" s="54" t="s">
        <v>68</v>
      </c>
      <c r="G5" s="54"/>
      <c r="H5" s="55" t="s">
        <v>290</v>
      </c>
      <c r="I5" s="54" t="s">
        <v>289</v>
      </c>
      <c r="J5" s="55" t="s">
        <v>292</v>
      </c>
      <c r="K5" s="55" t="s">
        <v>293</v>
      </c>
      <c r="L5" s="55" t="s">
        <v>284</v>
      </c>
      <c r="M5" s="55" t="s">
        <v>294</v>
      </c>
      <c r="N5" s="54" t="s">
        <v>291</v>
      </c>
      <c r="O5" s="54" t="s">
        <v>65</v>
      </c>
      <c r="P5" s="54" t="s">
        <v>140</v>
      </c>
      <c r="Q5" s="54" t="s">
        <v>66</v>
      </c>
    </row>
    <row r="6" spans="1:17" s="3" customFormat="1">
      <c r="A6" s="125" t="s">
        <v>295</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162</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163</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166</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167</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168</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164</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165</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150</v>
      </c>
      <c r="B14" s="133"/>
      <c r="C14" s="133"/>
      <c r="D14" s="127"/>
      <c r="E14" s="57"/>
      <c r="F14" s="57"/>
      <c r="G14" s="57"/>
      <c r="H14" s="59"/>
      <c r="I14" s="59"/>
      <c r="J14" s="59"/>
      <c r="K14" s="59"/>
      <c r="L14" s="59"/>
      <c r="M14" s="59"/>
      <c r="N14" s="59"/>
      <c r="O14" s="59"/>
      <c r="P14" s="59"/>
      <c r="Q14" s="59">
        <f t="shared" si="0"/>
        <v>0</v>
      </c>
    </row>
    <row r="15" spans="1:17">
      <c r="A15" s="51" t="s">
        <v>67</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161</v>
      </c>
      <c r="B17" s="130" t="s">
        <v>160</v>
      </c>
      <c r="C17" s="131"/>
      <c r="D17" s="126">
        <v>43672</v>
      </c>
      <c r="E17" s="24"/>
      <c r="F17" s="24"/>
      <c r="G17" s="24"/>
      <c r="H17" s="25"/>
      <c r="I17" s="28"/>
      <c r="J17" s="26"/>
      <c r="K17" s="26"/>
      <c r="L17" s="26"/>
      <c r="M17" s="26"/>
      <c r="N17" s="27"/>
      <c r="O17" s="28"/>
      <c r="P17" s="29"/>
      <c r="Q17" s="30"/>
    </row>
    <row r="18" spans="1:18" s="3" customFormat="1" ht="43.5">
      <c r="A18" s="53" t="s">
        <v>62</v>
      </c>
      <c r="B18" s="132" t="s">
        <v>69</v>
      </c>
      <c r="C18" s="132" t="s">
        <v>70</v>
      </c>
      <c r="D18" s="54" t="s">
        <v>63</v>
      </c>
      <c r="E18" s="54" t="s">
        <v>64</v>
      </c>
      <c r="F18" s="54" t="s">
        <v>68</v>
      </c>
      <c r="G18" s="54"/>
      <c r="H18" s="55" t="s">
        <v>290</v>
      </c>
      <c r="I18" s="54" t="s">
        <v>289</v>
      </c>
      <c r="J18" s="55" t="s">
        <v>292</v>
      </c>
      <c r="K18" s="55" t="s">
        <v>293</v>
      </c>
      <c r="L18" s="55" t="s">
        <v>284</v>
      </c>
      <c r="M18" s="55" t="s">
        <v>294</v>
      </c>
      <c r="N18" s="54" t="s">
        <v>291</v>
      </c>
      <c r="O18" s="54" t="s">
        <v>65</v>
      </c>
      <c r="P18" s="54" t="s">
        <v>140</v>
      </c>
      <c r="Q18" s="54" t="s">
        <v>66</v>
      </c>
    </row>
    <row r="19" spans="1:18" s="3" customFormat="1">
      <c r="A19" s="125" t="s">
        <v>295</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162</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163</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166</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167</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168</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164</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165</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150</v>
      </c>
      <c r="B27" s="133"/>
      <c r="C27" s="133"/>
      <c r="D27" s="127"/>
      <c r="E27" s="212"/>
      <c r="F27" s="212"/>
      <c r="G27" s="212"/>
      <c r="H27" s="59"/>
      <c r="I27" s="59"/>
      <c r="J27" s="59"/>
      <c r="K27" s="59"/>
      <c r="L27" s="59"/>
      <c r="M27" s="57"/>
      <c r="N27" s="59"/>
      <c r="O27" s="59"/>
      <c r="P27" s="59"/>
      <c r="Q27" s="59">
        <f t="shared" si="5"/>
        <v>0</v>
      </c>
    </row>
    <row r="28" spans="1:18">
      <c r="A28" s="60" t="s">
        <v>67</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297</v>
      </c>
      <c r="B30" s="131"/>
      <c r="C30" s="131"/>
      <c r="D30" s="22"/>
      <c r="E30" s="24"/>
      <c r="F30" s="24"/>
      <c r="G30" s="24"/>
      <c r="H30" s="25"/>
      <c r="I30" s="28"/>
      <c r="J30" s="26"/>
      <c r="K30" s="26"/>
      <c r="L30" s="26"/>
      <c r="M30" s="26"/>
      <c r="N30" s="27"/>
      <c r="O30" s="28"/>
      <c r="P30" s="29"/>
      <c r="Q30" s="30"/>
    </row>
    <row r="31" spans="1:18" s="3" customFormat="1" ht="43.5">
      <c r="A31" s="53" t="s">
        <v>62</v>
      </c>
      <c r="B31" s="132" t="s">
        <v>69</v>
      </c>
      <c r="C31" s="132" t="s">
        <v>70</v>
      </c>
      <c r="D31" s="54" t="s">
        <v>63</v>
      </c>
      <c r="E31" s="54" t="s">
        <v>64</v>
      </c>
      <c r="F31" s="54" t="s">
        <v>68</v>
      </c>
      <c r="G31" s="54" t="s">
        <v>296</v>
      </c>
      <c r="H31" s="55" t="s">
        <v>290</v>
      </c>
      <c r="I31" s="54" t="s">
        <v>289</v>
      </c>
      <c r="J31" s="55" t="s">
        <v>292</v>
      </c>
      <c r="K31" s="55" t="s">
        <v>293</v>
      </c>
      <c r="L31" s="55" t="s">
        <v>284</v>
      </c>
      <c r="M31" s="55" t="s">
        <v>294</v>
      </c>
      <c r="N31" s="54" t="s">
        <v>291</v>
      </c>
      <c r="O31" s="54" t="s">
        <v>65</v>
      </c>
      <c r="P31" s="54" t="s">
        <v>140</v>
      </c>
      <c r="Q31" s="54" t="s">
        <v>66</v>
      </c>
    </row>
    <row r="32" spans="1:18">
      <c r="A32" s="125" t="s">
        <v>295</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162</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163</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166</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167</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168</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164</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165</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150</v>
      </c>
      <c r="B40" s="136"/>
      <c r="C40" s="136"/>
      <c r="D40" s="128"/>
      <c r="E40" s="57"/>
      <c r="F40" s="57"/>
      <c r="G40" s="57"/>
      <c r="H40" s="57"/>
      <c r="I40" s="57"/>
      <c r="J40" s="57"/>
      <c r="K40" s="57"/>
      <c r="L40" s="57"/>
      <c r="M40" s="57"/>
      <c r="N40" s="59"/>
      <c r="O40" s="57"/>
      <c r="P40" s="57"/>
      <c r="Q40" s="59">
        <f t="shared" si="14"/>
        <v>0</v>
      </c>
      <c r="R40" s="3" t="s">
        <v>24</v>
      </c>
    </row>
    <row r="41" spans="1:18">
      <c r="A41" s="60" t="s">
        <v>324</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361</v>
      </c>
      <c r="B45" s="130" t="s">
        <v>160</v>
      </c>
      <c r="C45" s="131"/>
      <c r="D45" s="126">
        <v>43686</v>
      </c>
      <c r="E45" s="24"/>
      <c r="F45" s="24"/>
      <c r="G45" s="24"/>
      <c r="H45" s="25"/>
      <c r="I45" s="28"/>
      <c r="J45" s="26"/>
      <c r="K45" s="26"/>
      <c r="L45" s="26"/>
      <c r="M45" s="26"/>
      <c r="N45" s="27"/>
      <c r="O45" s="28"/>
      <c r="P45" s="29"/>
      <c r="Q45" s="30"/>
    </row>
    <row r="46" spans="1:18" s="3" customFormat="1" ht="43.5">
      <c r="A46" s="53" t="s">
        <v>62</v>
      </c>
      <c r="B46" s="132" t="s">
        <v>69</v>
      </c>
      <c r="C46" s="132" t="s">
        <v>70</v>
      </c>
      <c r="D46" s="54" t="s">
        <v>63</v>
      </c>
      <c r="E46" s="54" t="s">
        <v>64</v>
      </c>
      <c r="F46" s="54" t="s">
        <v>68</v>
      </c>
      <c r="G46" s="54"/>
      <c r="H46" s="55" t="s">
        <v>290</v>
      </c>
      <c r="I46" s="54" t="s">
        <v>289</v>
      </c>
      <c r="J46" s="55" t="s">
        <v>292</v>
      </c>
      <c r="K46" s="55" t="s">
        <v>293</v>
      </c>
      <c r="L46" s="55" t="s">
        <v>284</v>
      </c>
      <c r="M46" s="55" t="s">
        <v>294</v>
      </c>
      <c r="N46" s="54" t="s">
        <v>291</v>
      </c>
      <c r="O46" s="54" t="s">
        <v>65</v>
      </c>
      <c r="P46" s="54" t="s">
        <v>140</v>
      </c>
      <c r="Q46" s="54" t="s">
        <v>66</v>
      </c>
    </row>
    <row r="47" spans="1:18" s="3" customFormat="1">
      <c r="A47" s="125" t="s">
        <v>295</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162</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163</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166</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167</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168</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164</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165</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364</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67</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362</v>
      </c>
      <c r="B58" s="130" t="s">
        <v>160</v>
      </c>
      <c r="C58" s="131"/>
      <c r="D58" s="126">
        <v>43700</v>
      </c>
      <c r="E58" s="24"/>
      <c r="F58" s="24"/>
      <c r="G58" s="24"/>
      <c r="H58" s="25"/>
      <c r="I58" s="28"/>
      <c r="J58" s="26"/>
      <c r="K58" s="26"/>
      <c r="L58" s="26"/>
      <c r="M58" s="26"/>
      <c r="N58" s="27"/>
      <c r="O58" s="28"/>
      <c r="P58" s="29"/>
      <c r="Q58" s="30"/>
    </row>
    <row r="59" spans="1:17" s="3" customFormat="1" ht="43.5">
      <c r="A59" s="53" t="s">
        <v>62</v>
      </c>
      <c r="B59" s="132" t="s">
        <v>69</v>
      </c>
      <c r="C59" s="132" t="s">
        <v>70</v>
      </c>
      <c r="D59" s="54" t="s">
        <v>63</v>
      </c>
      <c r="E59" s="54" t="s">
        <v>64</v>
      </c>
      <c r="F59" s="54" t="s">
        <v>68</v>
      </c>
      <c r="G59" s="54"/>
      <c r="H59" s="55" t="s">
        <v>290</v>
      </c>
      <c r="I59" s="54" t="s">
        <v>289</v>
      </c>
      <c r="J59" s="55" t="s">
        <v>292</v>
      </c>
      <c r="K59" s="55" t="s">
        <v>293</v>
      </c>
      <c r="L59" s="55" t="s">
        <v>284</v>
      </c>
      <c r="M59" s="55" t="s">
        <v>294</v>
      </c>
      <c r="N59" s="54" t="s">
        <v>291</v>
      </c>
      <c r="O59" s="54" t="s">
        <v>65</v>
      </c>
      <c r="P59" s="54" t="s">
        <v>140</v>
      </c>
      <c r="Q59" s="54" t="s">
        <v>66</v>
      </c>
    </row>
    <row r="60" spans="1:17" s="3" customFormat="1">
      <c r="A60" s="125" t="s">
        <v>295</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162</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163</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166</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167</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168</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164</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165</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364</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67</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363</v>
      </c>
      <c r="B71" s="131"/>
      <c r="C71" s="131"/>
      <c r="D71" s="22"/>
      <c r="E71" s="24"/>
      <c r="F71" s="24"/>
      <c r="G71" s="24"/>
      <c r="H71" s="25"/>
      <c r="I71" s="28"/>
      <c r="J71" s="26"/>
      <c r="K71" s="26"/>
      <c r="L71" s="26"/>
      <c r="M71" s="26"/>
      <c r="N71" s="27"/>
      <c r="O71" s="28"/>
      <c r="P71" s="29"/>
      <c r="Q71" s="30"/>
    </row>
    <row r="72" spans="1:18" s="3" customFormat="1" ht="43.5">
      <c r="A72" s="53" t="s">
        <v>62</v>
      </c>
      <c r="B72" s="132" t="s">
        <v>69</v>
      </c>
      <c r="C72" s="132" t="s">
        <v>70</v>
      </c>
      <c r="D72" s="54" t="s">
        <v>63</v>
      </c>
      <c r="E72" s="54" t="s">
        <v>64</v>
      </c>
      <c r="F72" s="54" t="s">
        <v>68</v>
      </c>
      <c r="G72" s="54" t="s">
        <v>296</v>
      </c>
      <c r="H72" s="55" t="s">
        <v>290</v>
      </c>
      <c r="I72" s="54" t="s">
        <v>289</v>
      </c>
      <c r="J72" s="55" t="s">
        <v>292</v>
      </c>
      <c r="K72" s="55" t="s">
        <v>293</v>
      </c>
      <c r="L72" s="55" t="s">
        <v>284</v>
      </c>
      <c r="M72" s="55" t="s">
        <v>294</v>
      </c>
      <c r="N72" s="54" t="s">
        <v>291</v>
      </c>
      <c r="O72" s="54" t="s">
        <v>65</v>
      </c>
      <c r="P72" s="54" t="s">
        <v>140</v>
      </c>
      <c r="Q72" s="54" t="s">
        <v>66</v>
      </c>
    </row>
    <row r="73" spans="1:18" s="3" customFormat="1">
      <c r="A73" s="125" t="s">
        <v>295</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162</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163</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166</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167</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168</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164</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165</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436</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324</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450</v>
      </c>
      <c r="B85" s="130" t="s">
        <v>160</v>
      </c>
      <c r="C85" s="131"/>
      <c r="D85" s="126">
        <v>43714</v>
      </c>
      <c r="E85" s="24"/>
      <c r="F85" s="24"/>
      <c r="G85" s="24"/>
      <c r="H85" s="25"/>
      <c r="I85" s="28"/>
      <c r="J85" s="26"/>
      <c r="K85" s="26"/>
      <c r="L85" s="26"/>
      <c r="M85" s="26"/>
      <c r="N85" s="27"/>
      <c r="O85" s="28"/>
      <c r="P85" s="29"/>
      <c r="Q85" s="30"/>
    </row>
    <row r="86" spans="1:18" s="3" customFormat="1" ht="43.5">
      <c r="A86" s="53" t="s">
        <v>62</v>
      </c>
      <c r="B86" s="132" t="s">
        <v>69</v>
      </c>
      <c r="C86" s="132" t="s">
        <v>70</v>
      </c>
      <c r="D86" s="54" t="s">
        <v>63</v>
      </c>
      <c r="E86" s="54" t="s">
        <v>64</v>
      </c>
      <c r="F86" s="54" t="s">
        <v>68</v>
      </c>
      <c r="G86" s="54"/>
      <c r="H86" s="55" t="s">
        <v>290</v>
      </c>
      <c r="I86" s="54" t="s">
        <v>289</v>
      </c>
      <c r="J86" s="55" t="s">
        <v>292</v>
      </c>
      <c r="K86" s="55" t="s">
        <v>293</v>
      </c>
      <c r="L86" s="55" t="s">
        <v>284</v>
      </c>
      <c r="M86" s="55" t="s">
        <v>294</v>
      </c>
      <c r="N86" s="54" t="s">
        <v>291</v>
      </c>
      <c r="O86" s="54" t="s">
        <v>65</v>
      </c>
      <c r="P86" s="54" t="s">
        <v>140</v>
      </c>
      <c r="Q86" s="54" t="s">
        <v>66</v>
      </c>
    </row>
    <row r="87" spans="1:18" s="3" customFormat="1">
      <c r="A87" s="125" t="s">
        <v>295</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162</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163</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166</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167</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168</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164</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165</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364</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67</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451</v>
      </c>
      <c r="B98" s="130" t="s">
        <v>160</v>
      </c>
      <c r="C98" s="131"/>
      <c r="D98" s="378">
        <v>43728</v>
      </c>
      <c r="E98" s="24"/>
      <c r="F98" s="24"/>
      <c r="G98" s="24"/>
      <c r="H98" s="25"/>
      <c r="I98" s="28"/>
      <c r="J98" s="26"/>
      <c r="K98" s="26"/>
      <c r="L98" s="26"/>
      <c r="M98" s="26"/>
      <c r="N98" s="27"/>
      <c r="O98" s="28"/>
      <c r="P98" s="29"/>
      <c r="Q98" s="30"/>
    </row>
    <row r="99" spans="1:17" s="3" customFormat="1" ht="43.5">
      <c r="A99" s="53" t="s">
        <v>62</v>
      </c>
      <c r="B99" s="132" t="s">
        <v>69</v>
      </c>
      <c r="C99" s="132" t="s">
        <v>70</v>
      </c>
      <c r="D99" s="379" t="s">
        <v>63</v>
      </c>
      <c r="E99" s="54" t="s">
        <v>64</v>
      </c>
      <c r="F99" s="54" t="s">
        <v>68</v>
      </c>
      <c r="G99" s="54"/>
      <c r="H99" s="55" t="s">
        <v>290</v>
      </c>
      <c r="I99" s="54" t="s">
        <v>289</v>
      </c>
      <c r="J99" s="55" t="s">
        <v>292</v>
      </c>
      <c r="K99" s="55" t="s">
        <v>293</v>
      </c>
      <c r="L99" s="55" t="s">
        <v>284</v>
      </c>
      <c r="M99" s="55" t="s">
        <v>294</v>
      </c>
      <c r="N99" s="54" t="s">
        <v>291</v>
      </c>
      <c r="O99" s="54" t="s">
        <v>65</v>
      </c>
      <c r="P99" s="54" t="s">
        <v>140</v>
      </c>
      <c r="Q99" s="54" t="s">
        <v>66</v>
      </c>
    </row>
    <row r="100" spans="1:17" s="3" customFormat="1">
      <c r="A100" s="125" t="s">
        <v>295</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162</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163</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166</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167</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168</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164</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165</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364</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67</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452</v>
      </c>
      <c r="B111" s="131"/>
      <c r="C111" s="131"/>
      <c r="D111" s="381"/>
      <c r="E111" s="24"/>
      <c r="F111" s="24"/>
      <c r="G111" s="24"/>
      <c r="H111" s="25"/>
      <c r="I111" s="28"/>
      <c r="J111" s="26"/>
      <c r="K111" s="26"/>
      <c r="L111" s="26"/>
      <c r="M111" s="26"/>
      <c r="N111" s="27"/>
      <c r="O111" s="28"/>
      <c r="P111" s="29"/>
      <c r="Q111" s="30"/>
    </row>
    <row r="112" spans="1:17" s="3" customFormat="1" ht="43.5">
      <c r="A112" s="53" t="s">
        <v>62</v>
      </c>
      <c r="B112" s="132" t="s">
        <v>69</v>
      </c>
      <c r="C112" s="132" t="s">
        <v>70</v>
      </c>
      <c r="D112" s="379" t="s">
        <v>63</v>
      </c>
      <c r="E112" s="54" t="s">
        <v>64</v>
      </c>
      <c r="F112" s="54" t="s">
        <v>68</v>
      </c>
      <c r="G112" s="54" t="s">
        <v>296</v>
      </c>
      <c r="H112" s="55" t="s">
        <v>290</v>
      </c>
      <c r="I112" s="54" t="s">
        <v>289</v>
      </c>
      <c r="J112" s="55" t="s">
        <v>292</v>
      </c>
      <c r="K112" s="55" t="s">
        <v>293</v>
      </c>
      <c r="L112" s="55" t="s">
        <v>284</v>
      </c>
      <c r="M112" s="55" t="s">
        <v>294</v>
      </c>
      <c r="N112" s="54" t="s">
        <v>291</v>
      </c>
      <c r="O112" s="54" t="s">
        <v>65</v>
      </c>
      <c r="P112" s="54" t="s">
        <v>140</v>
      </c>
      <c r="Q112" s="54" t="s">
        <v>66</v>
      </c>
    </row>
    <row r="113" spans="1:18" s="3" customFormat="1">
      <c r="A113" s="125" t="s">
        <v>295</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162</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163</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166</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167</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168</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164</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165</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436</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324</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510</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511</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512</v>
      </c>
      <c r="B127" s="130" t="s">
        <v>160</v>
      </c>
      <c r="C127" s="131"/>
      <c r="D127" s="126">
        <v>43742</v>
      </c>
      <c r="E127" s="24"/>
      <c r="F127" s="24"/>
      <c r="G127" s="24"/>
      <c r="H127" s="25"/>
      <c r="I127" s="28"/>
      <c r="J127" s="26"/>
      <c r="K127" s="26"/>
      <c r="L127" s="26"/>
      <c r="M127" s="26"/>
      <c r="N127" s="27"/>
      <c r="O127" s="28"/>
      <c r="P127" s="29"/>
      <c r="Q127" s="30"/>
    </row>
    <row r="128" spans="1:18" s="3" customFormat="1" ht="43.5">
      <c r="A128" s="53" t="s">
        <v>62</v>
      </c>
      <c r="B128" s="132" t="s">
        <v>69</v>
      </c>
      <c r="C128" s="132" t="s">
        <v>70</v>
      </c>
      <c r="D128" s="54" t="s">
        <v>63</v>
      </c>
      <c r="E128" s="54" t="s">
        <v>64</v>
      </c>
      <c r="F128" s="54" t="s">
        <v>68</v>
      </c>
      <c r="G128" s="54"/>
      <c r="H128" s="55" t="s">
        <v>290</v>
      </c>
      <c r="I128" s="54" t="s">
        <v>289</v>
      </c>
      <c r="J128" s="55" t="s">
        <v>292</v>
      </c>
      <c r="K128" s="55" t="s">
        <v>293</v>
      </c>
      <c r="L128" s="55" t="s">
        <v>284</v>
      </c>
      <c r="M128" s="55" t="s">
        <v>294</v>
      </c>
      <c r="N128" s="54" t="s">
        <v>291</v>
      </c>
      <c r="O128" s="54" t="s">
        <v>65</v>
      </c>
      <c r="P128" s="54" t="s">
        <v>140</v>
      </c>
      <c r="Q128" s="54" t="s">
        <v>66</v>
      </c>
    </row>
    <row r="129" spans="1:17" s="3" customFormat="1">
      <c r="A129" s="125" t="s">
        <v>295</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162</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163</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166</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167</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514</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164</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165</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364</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67</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513</v>
      </c>
      <c r="B140" s="130" t="s">
        <v>160</v>
      </c>
      <c r="C140" s="131"/>
      <c r="D140" s="378">
        <v>43756</v>
      </c>
      <c r="E140" s="24"/>
      <c r="F140" s="24"/>
      <c r="G140" s="24"/>
      <c r="H140" s="25"/>
      <c r="I140" s="28"/>
      <c r="J140" s="26"/>
      <c r="K140" s="26"/>
      <c r="L140" s="26"/>
      <c r="M140" s="26"/>
      <c r="N140" s="27"/>
      <c r="O140" s="28"/>
      <c r="P140" s="29"/>
      <c r="Q140" s="30"/>
    </row>
    <row r="141" spans="1:17" s="3" customFormat="1" ht="43.5">
      <c r="A141" s="53" t="s">
        <v>62</v>
      </c>
      <c r="B141" s="132" t="s">
        <v>69</v>
      </c>
      <c r="C141" s="132" t="s">
        <v>70</v>
      </c>
      <c r="D141" s="379" t="s">
        <v>63</v>
      </c>
      <c r="E141" s="54" t="s">
        <v>64</v>
      </c>
      <c r="F141" s="54" t="s">
        <v>68</v>
      </c>
      <c r="G141" s="54"/>
      <c r="H141" s="55" t="s">
        <v>290</v>
      </c>
      <c r="I141" s="54" t="s">
        <v>289</v>
      </c>
      <c r="J141" s="55" t="s">
        <v>292</v>
      </c>
      <c r="K141" s="55" t="s">
        <v>293</v>
      </c>
      <c r="L141" s="55" t="s">
        <v>284</v>
      </c>
      <c r="M141" s="55" t="s">
        <v>294</v>
      </c>
      <c r="N141" s="54" t="s">
        <v>291</v>
      </c>
      <c r="O141" s="54" t="s">
        <v>65</v>
      </c>
      <c r="P141" s="54" t="s">
        <v>140</v>
      </c>
      <c r="Q141" s="54" t="s">
        <v>66</v>
      </c>
    </row>
    <row r="142" spans="1:17" s="3" customFormat="1">
      <c r="A142" s="125" t="s">
        <v>295</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162</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163</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166</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167</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514</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164</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165</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364</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67</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515</v>
      </c>
      <c r="B153" s="131"/>
      <c r="C153" s="131"/>
      <c r="D153" s="381"/>
      <c r="E153" s="24"/>
      <c r="F153" s="24"/>
      <c r="G153" s="24"/>
      <c r="H153" s="25"/>
      <c r="I153" s="28"/>
      <c r="J153" s="26"/>
      <c r="K153" s="26"/>
      <c r="L153" s="26"/>
      <c r="M153" s="26"/>
      <c r="N153" s="27"/>
      <c r="O153" s="28"/>
      <c r="P153" s="29"/>
      <c r="Q153" s="30"/>
    </row>
    <row r="154" spans="1:18" s="3" customFormat="1" ht="43.5">
      <c r="A154" s="53" t="s">
        <v>62</v>
      </c>
      <c r="B154" s="132" t="s">
        <v>69</v>
      </c>
      <c r="C154" s="132" t="s">
        <v>70</v>
      </c>
      <c r="D154" s="379" t="s">
        <v>63</v>
      </c>
      <c r="E154" s="54" t="s">
        <v>64</v>
      </c>
      <c r="F154" s="54" t="s">
        <v>68</v>
      </c>
      <c r="G154" s="54" t="s">
        <v>296</v>
      </c>
      <c r="H154" s="55" t="s">
        <v>290</v>
      </c>
      <c r="I154" s="54" t="s">
        <v>289</v>
      </c>
      <c r="J154" s="55" t="s">
        <v>292</v>
      </c>
      <c r="K154" s="55" t="s">
        <v>293</v>
      </c>
      <c r="L154" s="55" t="s">
        <v>284</v>
      </c>
      <c r="M154" s="55" t="s">
        <v>294</v>
      </c>
      <c r="N154" s="54" t="s">
        <v>291</v>
      </c>
      <c r="O154" s="54" t="s">
        <v>65</v>
      </c>
      <c r="P154" s="54" t="s">
        <v>140</v>
      </c>
      <c r="Q154" s="54" t="s">
        <v>66</v>
      </c>
    </row>
    <row r="155" spans="1:18" s="3" customFormat="1">
      <c r="A155" s="125" t="s">
        <v>295</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162</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163</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166</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167</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514</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164</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165</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436</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324</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510</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511</v>
      </c>
      <c r="F166" s="256">
        <f>+F164-F165</f>
        <v>0</v>
      </c>
      <c r="G166" s="257"/>
      <c r="H166" s="257"/>
      <c r="I166" s="257"/>
      <c r="J166" s="256"/>
      <c r="K166" s="256"/>
      <c r="L166" s="257"/>
      <c r="M166" s="257"/>
      <c r="N166" s="257"/>
      <c r="O166" s="257"/>
      <c r="P166" s="257"/>
      <c r="Q166" s="257"/>
    </row>
    <row r="167" spans="1:18" s="3" customFormat="1" ht="15" thickTop="1">
      <c r="A167" s="23" t="s">
        <v>571</v>
      </c>
      <c r="B167" s="130" t="s">
        <v>160</v>
      </c>
      <c r="C167" s="131"/>
      <c r="D167" s="126">
        <v>43770</v>
      </c>
      <c r="E167" s="24"/>
      <c r="F167" s="24"/>
      <c r="G167" s="24"/>
      <c r="H167" s="25"/>
      <c r="I167" s="28"/>
      <c r="J167" s="26"/>
      <c r="K167" s="26"/>
      <c r="L167" s="26"/>
      <c r="M167" s="26"/>
      <c r="N167" s="27"/>
      <c r="O167" s="28"/>
      <c r="P167" s="29"/>
      <c r="Q167" s="30"/>
    </row>
    <row r="168" spans="1:18" s="3" customFormat="1" ht="43.5">
      <c r="A168" s="53" t="s">
        <v>62</v>
      </c>
      <c r="B168" s="132" t="s">
        <v>69</v>
      </c>
      <c r="C168" s="132" t="s">
        <v>70</v>
      </c>
      <c r="D168" s="54" t="s">
        <v>63</v>
      </c>
      <c r="E168" s="54" t="s">
        <v>64</v>
      </c>
      <c r="F168" s="54" t="s">
        <v>68</v>
      </c>
      <c r="G168" s="54"/>
      <c r="H168" s="55" t="s">
        <v>290</v>
      </c>
      <c r="I168" s="54" t="s">
        <v>289</v>
      </c>
      <c r="J168" s="55" t="s">
        <v>292</v>
      </c>
      <c r="K168" s="55" t="s">
        <v>293</v>
      </c>
      <c r="L168" s="55" t="s">
        <v>284</v>
      </c>
      <c r="M168" s="55" t="s">
        <v>294</v>
      </c>
      <c r="N168" s="54" t="s">
        <v>291</v>
      </c>
      <c r="O168" s="54" t="s">
        <v>65</v>
      </c>
      <c r="P168" s="54" t="s">
        <v>140</v>
      </c>
      <c r="Q168" s="54" t="s">
        <v>66</v>
      </c>
    </row>
    <row r="169" spans="1:18" s="3" customFormat="1">
      <c r="A169" s="125" t="s">
        <v>295</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162</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163</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166</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167</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514</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164</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165</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364</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67</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573</v>
      </c>
      <c r="B180" s="130" t="s">
        <v>160</v>
      </c>
      <c r="C180" s="131"/>
      <c r="D180" s="378">
        <v>43784</v>
      </c>
      <c r="E180" s="24"/>
      <c r="F180" s="24"/>
      <c r="G180" s="24"/>
      <c r="H180" s="25"/>
      <c r="I180" s="28"/>
      <c r="J180" s="26"/>
      <c r="K180" s="26"/>
      <c r="L180" s="26"/>
      <c r="M180" s="26"/>
      <c r="N180" s="27"/>
      <c r="O180" s="28"/>
      <c r="P180" s="29"/>
      <c r="Q180" s="30"/>
    </row>
    <row r="181" spans="1:17" s="3" customFormat="1" ht="43.5">
      <c r="A181" s="53" t="s">
        <v>62</v>
      </c>
      <c r="B181" s="132" t="s">
        <v>69</v>
      </c>
      <c r="C181" s="132" t="s">
        <v>70</v>
      </c>
      <c r="D181" s="54" t="s">
        <v>63</v>
      </c>
      <c r="E181" s="54" t="s">
        <v>64</v>
      </c>
      <c r="F181" s="54" t="s">
        <v>68</v>
      </c>
      <c r="G181" s="54"/>
      <c r="H181" s="55" t="s">
        <v>290</v>
      </c>
      <c r="I181" s="54" t="s">
        <v>289</v>
      </c>
      <c r="J181" s="55" t="s">
        <v>292</v>
      </c>
      <c r="K181" s="55" t="s">
        <v>293</v>
      </c>
      <c r="L181" s="55" t="s">
        <v>284</v>
      </c>
      <c r="M181" s="55" t="s">
        <v>294</v>
      </c>
      <c r="N181" s="54" t="s">
        <v>291</v>
      </c>
      <c r="O181" s="54" t="s">
        <v>65</v>
      </c>
      <c r="P181" s="54" t="s">
        <v>140</v>
      </c>
      <c r="Q181" s="54" t="s">
        <v>66</v>
      </c>
    </row>
    <row r="182" spans="1:17" s="3" customFormat="1">
      <c r="A182" s="125" t="s">
        <v>295</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162</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163</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166</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167</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514</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164</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165</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364</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67</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574</v>
      </c>
      <c r="B193" s="130" t="s">
        <v>160</v>
      </c>
      <c r="C193" s="131"/>
      <c r="D193" s="378">
        <v>43798</v>
      </c>
      <c r="E193" s="24"/>
      <c r="F193" s="24"/>
      <c r="G193" s="24"/>
      <c r="H193" s="25"/>
      <c r="I193" s="28"/>
      <c r="J193" s="26"/>
      <c r="K193" s="26"/>
      <c r="L193" s="26"/>
      <c r="M193" s="26"/>
      <c r="N193" s="27"/>
      <c r="O193" s="28"/>
      <c r="P193" s="29"/>
      <c r="Q193" s="30"/>
    </row>
    <row r="194" spans="1:18" s="3" customFormat="1" ht="43.5">
      <c r="A194" s="53" t="s">
        <v>62</v>
      </c>
      <c r="B194" s="132" t="s">
        <v>69</v>
      </c>
      <c r="C194" s="132" t="s">
        <v>70</v>
      </c>
      <c r="D194" s="54" t="s">
        <v>63</v>
      </c>
      <c r="E194" s="54" t="s">
        <v>64</v>
      </c>
      <c r="F194" s="54" t="s">
        <v>68</v>
      </c>
      <c r="G194" s="54"/>
      <c r="H194" s="55" t="s">
        <v>290</v>
      </c>
      <c r="I194" s="54" t="s">
        <v>289</v>
      </c>
      <c r="J194" s="55" t="s">
        <v>292</v>
      </c>
      <c r="K194" s="55" t="s">
        <v>293</v>
      </c>
      <c r="L194" s="55" t="s">
        <v>284</v>
      </c>
      <c r="M194" s="55" t="s">
        <v>294</v>
      </c>
      <c r="N194" s="54" t="s">
        <v>291</v>
      </c>
      <c r="O194" s="54" t="s">
        <v>65</v>
      </c>
      <c r="P194" s="54" t="s">
        <v>140</v>
      </c>
      <c r="Q194" s="54" t="s">
        <v>66</v>
      </c>
    </row>
    <row r="195" spans="1:18" s="3" customFormat="1">
      <c r="A195" s="125" t="s">
        <v>295</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162</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163</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166</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167</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514</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164</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165</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364</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67</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572</v>
      </c>
      <c r="B206" s="131"/>
      <c r="C206" s="131"/>
      <c r="D206" s="381"/>
      <c r="E206" s="24"/>
      <c r="F206" s="24"/>
      <c r="G206" s="24"/>
      <c r="H206" s="25"/>
      <c r="I206" s="28"/>
      <c r="J206" s="26"/>
      <c r="K206" s="26"/>
      <c r="L206" s="26"/>
      <c r="M206" s="26"/>
      <c r="N206" s="27"/>
      <c r="O206" s="28"/>
      <c r="P206" s="29"/>
      <c r="Q206" s="30"/>
    </row>
    <row r="207" spans="1:18" s="3" customFormat="1" ht="43.5">
      <c r="A207" s="53" t="s">
        <v>62</v>
      </c>
      <c r="B207" s="132" t="s">
        <v>69</v>
      </c>
      <c r="C207" s="132" t="s">
        <v>70</v>
      </c>
      <c r="D207" s="54" t="s">
        <v>63</v>
      </c>
      <c r="E207" s="54" t="s">
        <v>64</v>
      </c>
      <c r="F207" s="54" t="s">
        <v>68</v>
      </c>
      <c r="G207" s="54" t="s">
        <v>296</v>
      </c>
      <c r="H207" s="55" t="s">
        <v>290</v>
      </c>
      <c r="I207" s="54" t="s">
        <v>289</v>
      </c>
      <c r="J207" s="55" t="s">
        <v>292</v>
      </c>
      <c r="K207" s="55" t="s">
        <v>293</v>
      </c>
      <c r="L207" s="55" t="s">
        <v>284</v>
      </c>
      <c r="M207" s="55" t="s">
        <v>294</v>
      </c>
      <c r="N207" s="54" t="s">
        <v>291</v>
      </c>
      <c r="O207" s="54" t="s">
        <v>65</v>
      </c>
      <c r="P207" s="54" t="s">
        <v>140</v>
      </c>
      <c r="Q207" s="54" t="s">
        <v>66</v>
      </c>
    </row>
    <row r="208" spans="1:18" s="3" customFormat="1">
      <c r="A208" s="125" t="s">
        <v>295</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162</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163</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166</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167</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514</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164</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165</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436</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324</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510</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511</v>
      </c>
      <c r="F219" s="256">
        <f>+F217-F218</f>
        <v>0.83000000000174623</v>
      </c>
      <c r="G219" s="257"/>
      <c r="H219" s="257"/>
      <c r="I219" s="257"/>
      <c r="J219" s="256"/>
      <c r="K219" s="256"/>
      <c r="L219" s="257"/>
      <c r="M219" s="257"/>
      <c r="N219" s="257"/>
      <c r="O219" s="257"/>
      <c r="P219" s="257"/>
      <c r="Q219" s="257"/>
    </row>
    <row r="220" spans="1:18" ht="15" thickTop="1"/>
  </sheetData>
  <mergeCells count="3">
    <mergeCell ref="A2:C2"/>
    <mergeCell ref="E1:L1"/>
    <mergeCell ref="E2:L2"/>
  </mergeCells>
  <pageMargins left="0.17" right="0.17" top="0.25" bottom="0.45" header="0.05" footer="9.5299999999999996E-2"/>
  <pageSetup paperSize="5" scale="62"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I95"/>
  <sheetViews>
    <sheetView zoomScaleNormal="100" zoomScaleSheetLayoutView="70" workbookViewId="0">
      <pane xSplit="1" ySplit="5" topLeftCell="B30" activePane="bottomRight" state="frozen"/>
      <selection activeCell="A5" sqref="A5"/>
      <selection pane="topRight" activeCell="A5" sqref="A5"/>
      <selection pane="bottomLeft" activeCell="A5" sqref="A5"/>
      <selection pane="bottomRight"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54" t="s">
        <v>36</v>
      </c>
      <c r="F1" s="104"/>
      <c r="G1" s="447">
        <v>43647</v>
      </c>
      <c r="H1" s="448"/>
      <c r="I1" s="106" t="s">
        <v>49</v>
      </c>
    </row>
    <row r="2" spans="1:9" ht="21">
      <c r="A2" s="37" t="s">
        <v>153</v>
      </c>
      <c r="B2" s="35"/>
      <c r="C2" s="35"/>
      <c r="D2" s="36"/>
      <c r="E2" s="455"/>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147</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156</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148</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157</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149</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150</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170</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77</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82</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78</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151</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152</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142</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84</v>
      </c>
      <c r="B42" s="139"/>
      <c r="C42" s="170">
        <v>0</v>
      </c>
      <c r="D42" s="170"/>
      <c r="E42" s="171">
        <f>SUM(B42:D42)</f>
        <v>0</v>
      </c>
      <c r="F42" s="144">
        <f>E42</f>
        <v>0</v>
      </c>
      <c r="G42" s="144"/>
      <c r="H42" s="144"/>
      <c r="I42" s="108" t="e">
        <f t="shared" si="18"/>
        <v>#DIV/0!</v>
      </c>
    </row>
    <row r="43" spans="1:9" s="168" customFormat="1" ht="21.75" customHeight="1">
      <c r="A43" s="138" t="s">
        <v>81</v>
      </c>
      <c r="B43" s="139"/>
      <c r="C43" s="140">
        <v>0</v>
      </c>
      <c r="D43" s="140"/>
      <c r="E43" s="172">
        <f>SUM(B43:D43)</f>
        <v>0</v>
      </c>
      <c r="F43" s="144">
        <f>E43</f>
        <v>0</v>
      </c>
      <c r="G43" s="144">
        <v>12820</v>
      </c>
      <c r="H43" s="144">
        <f>G43-F43</f>
        <v>12820</v>
      </c>
      <c r="I43" s="108">
        <f>F43/G43</f>
        <v>0</v>
      </c>
    </row>
    <row r="44" spans="1:9" s="168" customFormat="1" ht="21.75" customHeight="1">
      <c r="A44" s="138" t="s">
        <v>79</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80</v>
      </c>
      <c r="B46" s="139"/>
      <c r="C46" s="140">
        <v>0</v>
      </c>
      <c r="D46" s="140"/>
      <c r="E46" s="172">
        <f t="shared" si="19"/>
        <v>0</v>
      </c>
      <c r="F46" s="144">
        <f>E46</f>
        <v>0</v>
      </c>
      <c r="G46" s="144">
        <v>8500</v>
      </c>
      <c r="H46" s="144">
        <f t="shared" si="21"/>
        <v>8500</v>
      </c>
      <c r="I46" s="108">
        <f t="shared" si="18"/>
        <v>0</v>
      </c>
    </row>
    <row r="47" spans="1:9" s="168" customFormat="1" ht="21.75" customHeight="1">
      <c r="A47" s="138" t="s">
        <v>169</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451" t="s">
        <v>7</v>
      </c>
      <c r="B60" s="452"/>
      <c r="C60" s="452"/>
      <c r="D60" s="452"/>
      <c r="E60" s="453"/>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74</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75</v>
      </c>
      <c r="B82" s="7" t="s">
        <v>154</v>
      </c>
      <c r="C82" s="7"/>
      <c r="D82" s="7"/>
      <c r="E82" s="7"/>
      <c r="F82" s="86" t="s">
        <v>76</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
  <sheetViews>
    <sheetView workbookViewId="0">
      <pane ySplit="5" topLeftCell="A81"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456" t="s">
        <v>278</v>
      </c>
      <c r="B1" s="456"/>
      <c r="C1" s="456"/>
      <c r="D1" s="456"/>
      <c r="E1" s="456"/>
      <c r="F1" s="456"/>
      <c r="G1" s="456"/>
      <c r="H1" s="456"/>
    </row>
    <row r="2" spans="1:8" ht="18">
      <c r="A2" s="456" t="s">
        <v>277</v>
      </c>
      <c r="B2" s="456"/>
      <c r="C2" s="456"/>
      <c r="D2" s="456"/>
      <c r="E2" s="456"/>
      <c r="F2" s="456"/>
      <c r="G2" s="456"/>
      <c r="H2" s="456"/>
    </row>
    <row r="3" spans="1:8">
      <c r="A3" s="457" t="s">
        <v>276</v>
      </c>
      <c r="B3" s="457"/>
      <c r="C3" s="457"/>
      <c r="D3" s="457"/>
      <c r="E3" s="457"/>
      <c r="F3" s="457"/>
      <c r="G3" s="457"/>
      <c r="H3" s="457"/>
    </row>
    <row r="5" spans="1:8" s="204" customFormat="1" ht="28.5" customHeight="1">
      <c r="A5" s="202"/>
      <c r="B5" s="203" t="s">
        <v>154</v>
      </c>
      <c r="C5" s="203" t="s">
        <v>280</v>
      </c>
      <c r="D5" s="203" t="s">
        <v>275</v>
      </c>
      <c r="E5" s="203" t="s">
        <v>274</v>
      </c>
      <c r="F5" s="203" t="s">
        <v>273</v>
      </c>
      <c r="G5" s="277" t="s">
        <v>272</v>
      </c>
      <c r="H5" s="203" t="s">
        <v>279</v>
      </c>
    </row>
    <row r="6" spans="1:8">
      <c r="A6" s="205" t="s">
        <v>271</v>
      </c>
    </row>
    <row r="7" spans="1:8">
      <c r="A7" s="205" t="s">
        <v>270</v>
      </c>
    </row>
    <row r="8" spans="1:8">
      <c r="B8" s="206" t="s">
        <v>260</v>
      </c>
      <c r="C8" s="206" t="s">
        <v>187</v>
      </c>
      <c r="D8" s="206" t="s">
        <v>259</v>
      </c>
      <c r="E8" s="206"/>
      <c r="F8" s="206" t="s">
        <v>258</v>
      </c>
      <c r="G8" s="279">
        <v>13768.8</v>
      </c>
      <c r="H8" s="206"/>
    </row>
    <row r="9" spans="1:8">
      <c r="B9" s="206" t="s">
        <v>257</v>
      </c>
      <c r="C9" s="206" t="s">
        <v>187</v>
      </c>
      <c r="D9" s="206" t="s">
        <v>256</v>
      </c>
      <c r="E9" s="206"/>
      <c r="F9" s="206" t="s">
        <v>255</v>
      </c>
      <c r="G9" s="279">
        <v>45154.64</v>
      </c>
      <c r="H9" s="206"/>
    </row>
    <row r="10" spans="1:8">
      <c r="A10" s="205" t="s">
        <v>269</v>
      </c>
      <c r="G10" s="280">
        <f>SUM(G8:G9)</f>
        <v>58923.44</v>
      </c>
    </row>
    <row r="11" spans="1:8">
      <c r="A11" s="205" t="s">
        <v>268</v>
      </c>
    </row>
    <row r="12" spans="1:8">
      <c r="B12" s="206" t="s">
        <v>257</v>
      </c>
      <c r="C12" s="206" t="s">
        <v>187</v>
      </c>
      <c r="D12" s="206" t="s">
        <v>256</v>
      </c>
      <c r="E12" s="206"/>
      <c r="F12" s="210" t="s">
        <v>352</v>
      </c>
      <c r="G12" s="279">
        <v>284.81</v>
      </c>
      <c r="H12" s="206"/>
    </row>
    <row r="13" spans="1:8">
      <c r="B13" s="206" t="s">
        <v>267</v>
      </c>
      <c r="C13" s="206" t="s">
        <v>266</v>
      </c>
      <c r="D13" s="206"/>
      <c r="E13" s="206" t="s">
        <v>265</v>
      </c>
      <c r="F13" s="210" t="s">
        <v>353</v>
      </c>
      <c r="G13" s="279">
        <v>-38.76</v>
      </c>
      <c r="H13" s="206"/>
    </row>
    <row r="14" spans="1:8">
      <c r="A14" s="205" t="s">
        <v>264</v>
      </c>
      <c r="G14" s="281">
        <f>SUM(G12:G13)</f>
        <v>246.05</v>
      </c>
    </row>
    <row r="15" spans="1:8">
      <c r="A15" s="205" t="s">
        <v>263</v>
      </c>
    </row>
    <row r="16" spans="1:8">
      <c r="B16" s="206" t="s">
        <v>260</v>
      </c>
      <c r="C16" s="206" t="s">
        <v>187</v>
      </c>
      <c r="D16" s="206" t="s">
        <v>259</v>
      </c>
      <c r="E16" s="206"/>
      <c r="F16" s="206" t="s">
        <v>258</v>
      </c>
      <c r="G16" s="279">
        <v>1052.81</v>
      </c>
      <c r="H16" s="206"/>
    </row>
    <row r="17" spans="1:9">
      <c r="B17" s="206" t="s">
        <v>257</v>
      </c>
      <c r="C17" s="206" t="s">
        <v>187</v>
      </c>
      <c r="D17" s="206" t="s">
        <v>256</v>
      </c>
      <c r="E17" s="206"/>
      <c r="F17" s="206" t="s">
        <v>255</v>
      </c>
      <c r="G17" s="279">
        <v>3482.94</v>
      </c>
      <c r="H17" s="206"/>
    </row>
    <row r="18" spans="1:9">
      <c r="A18" s="205" t="s">
        <v>262</v>
      </c>
      <c r="G18" s="280">
        <f>SUM(G16:G17)</f>
        <v>4535.75</v>
      </c>
    </row>
    <row r="19" spans="1:9" s="3" customFormat="1">
      <c r="A19" s="267" t="s">
        <v>341</v>
      </c>
      <c r="G19" s="282"/>
    </row>
    <row r="20" spans="1:9">
      <c r="B20" s="206" t="s">
        <v>188</v>
      </c>
      <c r="C20" s="206" t="s">
        <v>187</v>
      </c>
      <c r="D20" s="206">
        <v>139</v>
      </c>
      <c r="E20" s="206"/>
      <c r="F20" s="210" t="s">
        <v>287</v>
      </c>
      <c r="G20" s="279">
        <v>2049.1999999999998</v>
      </c>
      <c r="H20" s="206"/>
      <c r="I20" s="260"/>
    </row>
    <row r="21" spans="1:9" s="3" customFormat="1">
      <c r="A21" s="267" t="s">
        <v>342</v>
      </c>
      <c r="G21" s="283">
        <f>SUM(G20)</f>
        <v>2049.1999999999998</v>
      </c>
      <c r="I21" s="268" t="s">
        <v>343</v>
      </c>
    </row>
    <row r="22" spans="1:9">
      <c r="A22" s="205" t="s">
        <v>261</v>
      </c>
    </row>
    <row r="23" spans="1:9">
      <c r="B23" s="206" t="s">
        <v>260</v>
      </c>
      <c r="C23" s="206" t="s">
        <v>187</v>
      </c>
      <c r="D23" s="206" t="s">
        <v>259</v>
      </c>
      <c r="E23" s="206"/>
      <c r="F23" s="206" t="s">
        <v>258</v>
      </c>
      <c r="G23" s="279">
        <v>393.64</v>
      </c>
      <c r="H23" s="206"/>
    </row>
    <row r="24" spans="1:9">
      <c r="B24" s="206" t="s">
        <v>257</v>
      </c>
      <c r="C24" s="206" t="s">
        <v>187</v>
      </c>
      <c r="D24" s="206" t="s">
        <v>256</v>
      </c>
      <c r="E24" s="206"/>
      <c r="F24" s="206" t="s">
        <v>255</v>
      </c>
      <c r="G24" s="279">
        <v>478.62</v>
      </c>
      <c r="H24" s="206"/>
    </row>
    <row r="25" spans="1:9">
      <c r="A25" s="205" t="s">
        <v>254</v>
      </c>
      <c r="G25" s="280">
        <f>SUM(G23:G24)</f>
        <v>872.26</v>
      </c>
    </row>
    <row r="26" spans="1:9">
      <c r="A26" s="205" t="s">
        <v>253</v>
      </c>
    </row>
    <row r="27" spans="1:9">
      <c r="B27" s="206" t="s">
        <v>188</v>
      </c>
      <c r="C27" s="206" t="s">
        <v>187</v>
      </c>
      <c r="D27" s="206" t="s">
        <v>252</v>
      </c>
      <c r="E27" s="206"/>
      <c r="F27" s="206" t="s">
        <v>251</v>
      </c>
      <c r="G27" s="279">
        <v>10715.26</v>
      </c>
      <c r="H27" s="206"/>
    </row>
    <row r="28" spans="1:9">
      <c r="A28" s="205" t="s">
        <v>250</v>
      </c>
      <c r="G28" s="280">
        <f>SUM(G27:G27)</f>
        <v>10715.26</v>
      </c>
    </row>
    <row r="29" spans="1:9">
      <c r="A29" s="205" t="s">
        <v>249</v>
      </c>
    </row>
    <row r="30" spans="1:9">
      <c r="A30" s="205" t="s">
        <v>248</v>
      </c>
    </row>
    <row r="31" spans="1:9">
      <c r="B31" s="206" t="s">
        <v>188</v>
      </c>
      <c r="C31" s="206" t="s">
        <v>187</v>
      </c>
      <c r="D31" s="206">
        <v>153</v>
      </c>
      <c r="E31" s="206" t="s">
        <v>281</v>
      </c>
      <c r="F31" s="206" t="s">
        <v>282</v>
      </c>
      <c r="G31" s="279">
        <v>223.73</v>
      </c>
      <c r="H31" s="206" t="s">
        <v>283</v>
      </c>
    </row>
    <row r="32" spans="1:9">
      <c r="B32" s="206" t="s">
        <v>188</v>
      </c>
      <c r="C32" s="206" t="s">
        <v>187</v>
      </c>
      <c r="D32" s="206">
        <v>153</v>
      </c>
      <c r="E32" s="206" t="s">
        <v>281</v>
      </c>
      <c r="F32" s="210" t="s">
        <v>325</v>
      </c>
      <c r="G32" s="284">
        <v>3547.28</v>
      </c>
      <c r="H32" s="206" t="s">
        <v>283</v>
      </c>
    </row>
    <row r="33" spans="1:8">
      <c r="A33" s="205" t="s">
        <v>247</v>
      </c>
      <c r="G33" s="281">
        <f>SUM(G31:G32)</f>
        <v>3771.01</v>
      </c>
    </row>
    <row r="34" spans="1:8">
      <c r="A34" s="205" t="s">
        <v>246</v>
      </c>
    </row>
    <row r="35" spans="1:8">
      <c r="B35" s="206" t="s">
        <v>184</v>
      </c>
      <c r="C35" s="206" t="s">
        <v>175</v>
      </c>
      <c r="D35" s="206" t="s">
        <v>245</v>
      </c>
      <c r="E35" s="206" t="s">
        <v>244</v>
      </c>
      <c r="F35" s="206" t="s">
        <v>243</v>
      </c>
      <c r="G35" s="284">
        <v>169.96</v>
      </c>
      <c r="H35" s="206">
        <v>12274</v>
      </c>
    </row>
    <row r="36" spans="1:8">
      <c r="A36" s="205" t="s">
        <v>242</v>
      </c>
      <c r="G36" s="281">
        <f>SUM(G35)</f>
        <v>169.96</v>
      </c>
    </row>
    <row r="37" spans="1:8">
      <c r="A37" s="205" t="s">
        <v>241</v>
      </c>
    </row>
    <row r="38" spans="1:8">
      <c r="B38" s="206" t="s">
        <v>188</v>
      </c>
      <c r="C38" s="206" t="s">
        <v>187</v>
      </c>
      <c r="D38" s="206">
        <v>154</v>
      </c>
      <c r="E38" s="206"/>
      <c r="F38" s="210" t="s">
        <v>326</v>
      </c>
      <c r="G38" s="279">
        <v>-757.36</v>
      </c>
      <c r="H38" s="206"/>
    </row>
    <row r="39" spans="1:8">
      <c r="A39" s="205" t="s">
        <v>240</v>
      </c>
      <c r="G39" s="281">
        <f>SUM(G38)</f>
        <v>-757.36</v>
      </c>
    </row>
    <row r="40" spans="1:8">
      <c r="A40" s="205" t="s">
        <v>239</v>
      </c>
    </row>
    <row r="41" spans="1:8">
      <c r="B41" s="206" t="s">
        <v>188</v>
      </c>
      <c r="C41" s="206" t="s">
        <v>187</v>
      </c>
      <c r="D41" s="206">
        <v>155</v>
      </c>
      <c r="E41" s="206"/>
      <c r="F41" s="206" t="s">
        <v>238</v>
      </c>
      <c r="G41" s="279">
        <v>-20.25</v>
      </c>
      <c r="H41" s="206"/>
    </row>
    <row r="42" spans="1:8">
      <c r="A42" s="205" t="s">
        <v>237</v>
      </c>
      <c r="G42" s="281">
        <f>SUM(G41)</f>
        <v>-20.25</v>
      </c>
    </row>
    <row r="43" spans="1:8" ht="15" thickBot="1">
      <c r="A43" s="205" t="s">
        <v>236</v>
      </c>
      <c r="G43" s="285">
        <f>+G33+G36+G39+G42</f>
        <v>3163.36</v>
      </c>
    </row>
    <row r="44" spans="1:8" ht="15" thickTop="1">
      <c r="A44" s="221" t="s">
        <v>235</v>
      </c>
    </row>
    <row r="45" spans="1:8">
      <c r="B45" s="206" t="s">
        <v>188</v>
      </c>
      <c r="C45" s="206" t="s">
        <v>187</v>
      </c>
      <c r="D45" s="206">
        <v>139</v>
      </c>
      <c r="E45" s="206"/>
      <c r="F45" s="210" t="s">
        <v>288</v>
      </c>
      <c r="G45" s="279">
        <v>371.1</v>
      </c>
      <c r="H45" s="206"/>
    </row>
    <row r="46" spans="1:8">
      <c r="A46" s="205" t="s">
        <v>234</v>
      </c>
      <c r="G46" s="280">
        <f>SUM(G45)</f>
        <v>371.1</v>
      </c>
    </row>
    <row r="47" spans="1:8" s="249" customFormat="1" ht="15.5">
      <c r="A47" s="274" t="s">
        <v>285</v>
      </c>
      <c r="G47" s="286"/>
    </row>
    <row r="48" spans="1:8">
      <c r="A48" s="205" t="s">
        <v>233</v>
      </c>
    </row>
    <row r="49" spans="1:8">
      <c r="B49" s="206" t="s">
        <v>188</v>
      </c>
      <c r="C49" s="206" t="s">
        <v>187</v>
      </c>
      <c r="D49" s="206">
        <v>133</v>
      </c>
      <c r="E49" s="206"/>
      <c r="F49" s="206" t="s">
        <v>232</v>
      </c>
      <c r="G49" s="279">
        <v>671.31</v>
      </c>
      <c r="H49" s="206"/>
    </row>
    <row r="50" spans="1:8">
      <c r="A50" s="205" t="s">
        <v>231</v>
      </c>
      <c r="G50" s="281">
        <f>SUM(G49)</f>
        <v>671.31</v>
      </c>
    </row>
    <row r="51" spans="1:8">
      <c r="A51" s="205" t="s">
        <v>230</v>
      </c>
    </row>
    <row r="52" spans="1:8">
      <c r="B52" s="206" t="s">
        <v>188</v>
      </c>
      <c r="C52" s="206" t="s">
        <v>187</v>
      </c>
      <c r="D52" s="206">
        <v>134</v>
      </c>
      <c r="E52" s="206"/>
      <c r="F52" s="206" t="s">
        <v>229</v>
      </c>
      <c r="G52" s="279">
        <v>157.01</v>
      </c>
      <c r="H52" s="206"/>
    </row>
    <row r="53" spans="1:8">
      <c r="A53" s="205" t="s">
        <v>228</v>
      </c>
      <c r="G53" s="281">
        <f>SUM(G52)</f>
        <v>157.01</v>
      </c>
    </row>
    <row r="54" spans="1:8">
      <c r="A54" s="205" t="s">
        <v>227</v>
      </c>
    </row>
    <row r="55" spans="1:8">
      <c r="B55" s="206" t="s">
        <v>188</v>
      </c>
      <c r="C55" s="206" t="s">
        <v>187</v>
      </c>
      <c r="D55" s="206">
        <v>135</v>
      </c>
      <c r="E55" s="206"/>
      <c r="F55" s="206" t="s">
        <v>226</v>
      </c>
      <c r="G55" s="279">
        <v>208.74</v>
      </c>
      <c r="H55" s="206"/>
    </row>
    <row r="56" spans="1:8">
      <c r="A56" s="205" t="s">
        <v>225</v>
      </c>
      <c r="G56" s="281">
        <f>SUM(G55)</f>
        <v>208.74</v>
      </c>
    </row>
    <row r="57" spans="1:8">
      <c r="A57" s="205" t="s">
        <v>224</v>
      </c>
    </row>
    <row r="58" spans="1:8">
      <c r="B58" s="206" t="s">
        <v>188</v>
      </c>
      <c r="C58" s="206" t="s">
        <v>187</v>
      </c>
      <c r="D58" s="206">
        <v>137</v>
      </c>
      <c r="E58" s="206"/>
      <c r="F58" s="206" t="s">
        <v>223</v>
      </c>
      <c r="G58" s="279">
        <v>38.270000000000003</v>
      </c>
      <c r="H58" s="206"/>
    </row>
    <row r="59" spans="1:8">
      <c r="A59" s="205" t="s">
        <v>222</v>
      </c>
      <c r="G59" s="281">
        <f>SUM(G58)</f>
        <v>38.270000000000003</v>
      </c>
    </row>
    <row r="60" spans="1:8" s="249" customFormat="1" ht="15.5">
      <c r="A60" s="274" t="s">
        <v>286</v>
      </c>
      <c r="G60" s="280">
        <f>+G50+G53+G56+G59</f>
        <v>1075.33</v>
      </c>
    </row>
    <row r="61" spans="1:8">
      <c r="A61" s="205" t="s">
        <v>221</v>
      </c>
    </row>
    <row r="62" spans="1:8">
      <c r="B62" s="206" t="s">
        <v>188</v>
      </c>
      <c r="C62" s="206" t="s">
        <v>187</v>
      </c>
      <c r="D62" s="206">
        <v>146</v>
      </c>
      <c r="E62" s="206"/>
      <c r="F62" s="206" t="s">
        <v>220</v>
      </c>
      <c r="G62" s="279">
        <v>140.46</v>
      </c>
      <c r="H62" s="206"/>
    </row>
    <row r="63" spans="1:8">
      <c r="A63" s="205" t="s">
        <v>219</v>
      </c>
      <c r="G63" s="280">
        <f>SUM(G62)</f>
        <v>140.46</v>
      </c>
    </row>
    <row r="64" spans="1:8">
      <c r="A64" s="205"/>
    </row>
    <row r="65" spans="1:8" ht="15" thickBot="1">
      <c r="A65" s="276" t="s">
        <v>357</v>
      </c>
      <c r="G65" s="287">
        <f>+G43+G46+G60+G63</f>
        <v>4750.25</v>
      </c>
    </row>
    <row r="66" spans="1:8" ht="15" thickTop="1"/>
    <row r="67" spans="1:8">
      <c r="A67" s="221" t="s">
        <v>328</v>
      </c>
    </row>
    <row r="68" spans="1:8">
      <c r="A68" s="205" t="s">
        <v>185</v>
      </c>
    </row>
    <row r="69" spans="1:8">
      <c r="B69" s="206" t="s">
        <v>184</v>
      </c>
      <c r="C69" s="206" t="s">
        <v>175</v>
      </c>
      <c r="D69" s="206" t="s">
        <v>183</v>
      </c>
      <c r="E69" s="206" t="s">
        <v>182</v>
      </c>
      <c r="F69" s="206" t="s">
        <v>181</v>
      </c>
      <c r="G69" s="279">
        <v>150</v>
      </c>
      <c r="H69" s="206">
        <v>12260</v>
      </c>
    </row>
    <row r="70" spans="1:8">
      <c r="B70" s="206" t="s">
        <v>180</v>
      </c>
      <c r="C70" s="206" t="s">
        <v>175</v>
      </c>
      <c r="D70" s="206" t="s">
        <v>179</v>
      </c>
      <c r="E70" s="206" t="s">
        <v>178</v>
      </c>
      <c r="F70" s="206" t="s">
        <v>177</v>
      </c>
      <c r="G70" s="279">
        <v>15.12</v>
      </c>
      <c r="H70" s="206">
        <v>12343</v>
      </c>
    </row>
    <row r="71" spans="1:8">
      <c r="B71" s="206" t="s">
        <v>176</v>
      </c>
      <c r="C71" s="206" t="s">
        <v>175</v>
      </c>
      <c r="D71" s="206" t="s">
        <v>174</v>
      </c>
      <c r="E71" s="206" t="s">
        <v>173</v>
      </c>
      <c r="F71" s="206" t="s">
        <v>172</v>
      </c>
      <c r="G71" s="279">
        <v>102.9</v>
      </c>
      <c r="H71" s="206">
        <v>12358</v>
      </c>
    </row>
    <row r="72" spans="1:8" s="259" customFormat="1">
      <c r="A72" s="221" t="s">
        <v>329</v>
      </c>
      <c r="G72" s="280">
        <v>268.02</v>
      </c>
    </row>
    <row r="73" spans="1:8">
      <c r="A73" s="205"/>
      <c r="G73" s="281"/>
    </row>
    <row r="74" spans="1:8">
      <c r="A74" s="221" t="s">
        <v>327</v>
      </c>
    </row>
    <row r="75" spans="1:8">
      <c r="B75" s="206" t="s">
        <v>188</v>
      </c>
      <c r="C75" s="206" t="s">
        <v>187</v>
      </c>
      <c r="D75" s="206">
        <v>144</v>
      </c>
      <c r="E75" s="206"/>
      <c r="F75" s="206" t="s">
        <v>213</v>
      </c>
      <c r="G75" s="279">
        <v>55.59</v>
      </c>
      <c r="H75" s="206"/>
    </row>
    <row r="76" spans="1:8" s="258" customFormat="1">
      <c r="A76" s="221" t="s">
        <v>212</v>
      </c>
      <c r="G76" s="288">
        <f>SUM(G75)</f>
        <v>55.59</v>
      </c>
    </row>
    <row r="77" spans="1:8">
      <c r="A77" s="205"/>
      <c r="G77" s="289"/>
    </row>
    <row r="78" spans="1:8">
      <c r="A78" s="221" t="s">
        <v>358</v>
      </c>
    </row>
    <row r="79" spans="1:8">
      <c r="A79" s="205" t="s">
        <v>215</v>
      </c>
    </row>
    <row r="80" spans="1:8">
      <c r="B80" s="206" t="s">
        <v>188</v>
      </c>
      <c r="C80" s="206" t="s">
        <v>187</v>
      </c>
      <c r="D80" s="206">
        <v>145</v>
      </c>
      <c r="E80" s="206"/>
      <c r="F80" s="206" t="s">
        <v>214</v>
      </c>
      <c r="G80" s="279">
        <v>361.69</v>
      </c>
      <c r="H80" s="206"/>
    </row>
    <row r="81" spans="1:8" s="258" customFormat="1">
      <c r="A81" s="221" t="s">
        <v>359</v>
      </c>
      <c r="G81" s="280">
        <f>SUM(G80)</f>
        <v>361.69</v>
      </c>
    </row>
    <row r="82" spans="1:8" s="258" customFormat="1">
      <c r="A82" s="221"/>
      <c r="G82" s="289"/>
    </row>
    <row r="83" spans="1:8">
      <c r="A83" s="221" t="s">
        <v>330</v>
      </c>
      <c r="G83" s="289"/>
    </row>
    <row r="84" spans="1:8">
      <c r="A84" s="205" t="s">
        <v>201</v>
      </c>
    </row>
    <row r="85" spans="1:8">
      <c r="B85" s="206" t="s">
        <v>184</v>
      </c>
      <c r="C85" s="206" t="s">
        <v>175</v>
      </c>
      <c r="D85" s="206" t="s">
        <v>200</v>
      </c>
      <c r="E85" s="206" t="s">
        <v>182</v>
      </c>
      <c r="F85" s="206" t="s">
        <v>199</v>
      </c>
      <c r="G85" s="279">
        <v>648</v>
      </c>
      <c r="H85" s="206">
        <v>12260</v>
      </c>
    </row>
    <row r="86" spans="1:8" s="258" customFormat="1">
      <c r="A86" s="221" t="s">
        <v>345</v>
      </c>
      <c r="G86" s="280">
        <f>SUM(G85)</f>
        <v>648</v>
      </c>
    </row>
    <row r="87" spans="1:8">
      <c r="A87" s="205" t="s">
        <v>198</v>
      </c>
    </row>
    <row r="88" spans="1:8">
      <c r="A88" s="205" t="s">
        <v>197</v>
      </c>
    </row>
    <row r="89" spans="1:8">
      <c r="B89" s="206" t="s">
        <v>188</v>
      </c>
      <c r="C89" s="206" t="s">
        <v>187</v>
      </c>
      <c r="D89" s="206">
        <v>148</v>
      </c>
      <c r="E89" s="206"/>
      <c r="F89" s="206" t="s">
        <v>196</v>
      </c>
      <c r="G89" s="279">
        <v>112.71</v>
      </c>
      <c r="H89" s="206"/>
    </row>
    <row r="90" spans="1:8">
      <c r="A90" s="205" t="s">
        <v>195</v>
      </c>
      <c r="G90" s="281">
        <f>SUM(G89)</f>
        <v>112.71</v>
      </c>
    </row>
    <row r="91" spans="1:8">
      <c r="A91" s="205" t="s">
        <v>192</v>
      </c>
    </row>
    <row r="92" spans="1:8">
      <c r="B92" s="206" t="s">
        <v>188</v>
      </c>
      <c r="C92" s="206" t="s">
        <v>187</v>
      </c>
      <c r="D92" s="206">
        <v>151</v>
      </c>
      <c r="E92" s="206"/>
      <c r="F92" s="206" t="s">
        <v>191</v>
      </c>
      <c r="G92" s="279">
        <v>219.56</v>
      </c>
      <c r="H92" s="206"/>
    </row>
    <row r="93" spans="1:8">
      <c r="A93" s="205" t="s">
        <v>190</v>
      </c>
      <c r="G93" s="281">
        <f>SUM(G92)</f>
        <v>219.56</v>
      </c>
    </row>
    <row r="94" spans="1:8" s="259" customFormat="1">
      <c r="A94" s="275" t="s">
        <v>344</v>
      </c>
      <c r="G94" s="288">
        <f>+G90+G93</f>
        <v>332.27</v>
      </c>
    </row>
    <row r="95" spans="1:8">
      <c r="A95" s="205"/>
      <c r="G95" s="289"/>
    </row>
    <row r="96" spans="1:8" s="258" customFormat="1">
      <c r="A96" s="274" t="s">
        <v>354</v>
      </c>
      <c r="G96" s="288">
        <f>+G86+G94</f>
        <v>980.27</v>
      </c>
    </row>
    <row r="97" spans="1:8">
      <c r="A97" s="205"/>
      <c r="G97" s="289"/>
    </row>
    <row r="98" spans="1:8">
      <c r="A98" s="221" t="s">
        <v>331</v>
      </c>
    </row>
    <row r="99" spans="1:8">
      <c r="A99" s="205" t="s">
        <v>215</v>
      </c>
    </row>
    <row r="100" spans="1:8">
      <c r="B100" s="206" t="s">
        <v>188</v>
      </c>
      <c r="C100" s="206" t="s">
        <v>187</v>
      </c>
      <c r="D100" s="206">
        <v>145</v>
      </c>
      <c r="E100" s="206"/>
      <c r="F100" s="206" t="s">
        <v>360</v>
      </c>
      <c r="G100" s="279">
        <v>1130.29</v>
      </c>
      <c r="H100" s="206"/>
    </row>
    <row r="101" spans="1:8" s="258" customFormat="1">
      <c r="A101" s="221" t="s">
        <v>332</v>
      </c>
      <c r="G101" s="280">
        <f>SUM(G100)</f>
        <v>1130.29</v>
      </c>
    </row>
    <row r="102" spans="1:8">
      <c r="G102" s="281"/>
    </row>
    <row r="103" spans="1:8">
      <c r="A103" s="221" t="s">
        <v>333</v>
      </c>
    </row>
    <row r="104" spans="1:8">
      <c r="A104" s="205" t="s">
        <v>194</v>
      </c>
    </row>
    <row r="105" spans="1:8">
      <c r="B105" s="206" t="s">
        <v>188</v>
      </c>
      <c r="C105" s="206" t="s">
        <v>187</v>
      </c>
      <c r="D105" s="206">
        <v>141</v>
      </c>
      <c r="E105" s="206"/>
      <c r="F105" s="206" t="s">
        <v>193</v>
      </c>
      <c r="G105" s="279">
        <v>200.95</v>
      </c>
      <c r="H105" s="206"/>
    </row>
    <row r="106" spans="1:8" s="258" customFormat="1">
      <c r="A106" s="221" t="s">
        <v>334</v>
      </c>
      <c r="G106" s="280">
        <f>SUM(G105)</f>
        <v>200.95</v>
      </c>
    </row>
    <row r="107" spans="1:8">
      <c r="G107" s="281"/>
    </row>
    <row r="108" spans="1:8">
      <c r="A108" s="221" t="s">
        <v>335</v>
      </c>
    </row>
    <row r="109" spans="1:8">
      <c r="A109" s="205" t="s">
        <v>218</v>
      </c>
    </row>
    <row r="110" spans="1:8">
      <c r="B110" s="206" t="s">
        <v>188</v>
      </c>
      <c r="C110" s="206" t="s">
        <v>187</v>
      </c>
      <c r="D110" s="206">
        <v>142</v>
      </c>
      <c r="E110" s="206"/>
      <c r="F110" s="206" t="s">
        <v>217</v>
      </c>
      <c r="G110" s="279">
        <v>242.69</v>
      </c>
      <c r="H110" s="206"/>
    </row>
    <row r="111" spans="1:8">
      <c r="A111" s="205" t="s">
        <v>216</v>
      </c>
      <c r="G111" s="281">
        <f>SUM(G110)</f>
        <v>242.69</v>
      </c>
    </row>
    <row r="112" spans="1:8">
      <c r="A112" s="205" t="s">
        <v>204</v>
      </c>
    </row>
    <row r="113" spans="1:8">
      <c r="B113" s="206" t="s">
        <v>188</v>
      </c>
      <c r="C113" s="206" t="s">
        <v>187</v>
      </c>
      <c r="D113" s="206">
        <v>152</v>
      </c>
      <c r="E113" s="206"/>
      <c r="F113" s="206" t="s">
        <v>203</v>
      </c>
      <c r="G113" s="279">
        <v>25.19</v>
      </c>
      <c r="H113" s="206"/>
    </row>
    <row r="114" spans="1:8">
      <c r="A114" s="205" t="s">
        <v>202</v>
      </c>
      <c r="G114" s="281">
        <f>SUM(G113)</f>
        <v>25.19</v>
      </c>
    </row>
    <row r="115" spans="1:8">
      <c r="A115" s="221" t="s">
        <v>336</v>
      </c>
      <c r="G115" s="288">
        <f>+G114+G111</f>
        <v>267.88</v>
      </c>
    </row>
    <row r="121" spans="1:8">
      <c r="A121" s="221" t="s">
        <v>339</v>
      </c>
    </row>
    <row r="122" spans="1:8">
      <c r="A122" s="205" t="s">
        <v>211</v>
      </c>
    </row>
    <row r="123" spans="1:8">
      <c r="A123" s="205" t="s">
        <v>210</v>
      </c>
    </row>
    <row r="124" spans="1:8">
      <c r="B124" s="206" t="s">
        <v>188</v>
      </c>
      <c r="C124" s="206" t="s">
        <v>187</v>
      </c>
      <c r="D124" s="206">
        <v>149</v>
      </c>
      <c r="E124" s="206"/>
      <c r="F124" s="206" t="s">
        <v>209</v>
      </c>
      <c r="G124" s="279">
        <v>111.74</v>
      </c>
      <c r="H124" s="206"/>
    </row>
    <row r="125" spans="1:8">
      <c r="A125" s="205" t="s">
        <v>208</v>
      </c>
      <c r="G125" s="281">
        <f>SUM(G124)</f>
        <v>111.74</v>
      </c>
    </row>
    <row r="126" spans="1:8">
      <c r="A126" s="205" t="s">
        <v>207</v>
      </c>
    </row>
    <row r="127" spans="1:8">
      <c r="B127" s="206" t="s">
        <v>188</v>
      </c>
      <c r="C127" s="206" t="s">
        <v>187</v>
      </c>
      <c r="D127" s="206">
        <v>147</v>
      </c>
      <c r="E127" s="206"/>
      <c r="F127" s="206" t="s">
        <v>206</v>
      </c>
      <c r="G127" s="279">
        <v>71.11</v>
      </c>
      <c r="H127" s="206"/>
    </row>
    <row r="128" spans="1:8">
      <c r="A128" s="205" t="s">
        <v>205</v>
      </c>
      <c r="G128" s="281">
        <f>SUM(G127)</f>
        <v>71.11</v>
      </c>
    </row>
    <row r="129" spans="1:9" s="258" customFormat="1">
      <c r="A129" s="221" t="s">
        <v>340</v>
      </c>
      <c r="G129" s="288">
        <f>+G125+G128</f>
        <v>182.85</v>
      </c>
    </row>
    <row r="130" spans="1:9">
      <c r="A130" s="205"/>
      <c r="G130" s="289"/>
    </row>
    <row r="131" spans="1:9">
      <c r="A131" s="221" t="s">
        <v>337</v>
      </c>
      <c r="G131" s="289"/>
    </row>
    <row r="132" spans="1:9">
      <c r="A132" s="205" t="s">
        <v>189</v>
      </c>
      <c r="G132" s="290"/>
    </row>
    <row r="133" spans="1:9">
      <c r="B133" s="206" t="s">
        <v>188</v>
      </c>
      <c r="C133" s="206" t="s">
        <v>187</v>
      </c>
      <c r="D133" s="206">
        <v>140</v>
      </c>
      <c r="E133" s="206"/>
      <c r="F133" s="206" t="s">
        <v>186</v>
      </c>
      <c r="G133" s="279">
        <v>320.72000000000003</v>
      </c>
      <c r="H133" s="206"/>
    </row>
    <row r="134" spans="1:9" s="258" customFormat="1">
      <c r="A134" s="221" t="s">
        <v>338</v>
      </c>
      <c r="G134" s="288">
        <f>SUM(G133)</f>
        <v>320.72000000000003</v>
      </c>
    </row>
    <row r="135" spans="1:9">
      <c r="A135" s="205"/>
      <c r="G135" s="289"/>
    </row>
    <row r="136" spans="1:9" s="269" customFormat="1">
      <c r="A136" s="273" t="s">
        <v>350</v>
      </c>
      <c r="G136" s="291"/>
    </row>
    <row r="137" spans="1:9" s="269" customFormat="1">
      <c r="B137" s="270">
        <v>43677</v>
      </c>
      <c r="C137" s="271" t="s">
        <v>187</v>
      </c>
      <c r="D137" s="272" t="s">
        <v>346</v>
      </c>
      <c r="E137" s="271"/>
      <c r="F137" s="271" t="s">
        <v>351</v>
      </c>
      <c r="G137" s="292">
        <v>7492.14</v>
      </c>
      <c r="I137" s="271"/>
    </row>
    <row r="138" spans="1:9" s="269" customFormat="1">
      <c r="A138" s="273" t="s">
        <v>347</v>
      </c>
      <c r="G138" s="293">
        <f>SUM(G137)</f>
        <v>7492.14</v>
      </c>
      <c r="I138" s="271"/>
    </row>
    <row r="139" spans="1:9" s="269" customFormat="1">
      <c r="A139" s="273" t="s">
        <v>348</v>
      </c>
      <c r="G139" s="291"/>
      <c r="I139" s="271"/>
    </row>
    <row r="140" spans="1:9" s="269" customFormat="1">
      <c r="B140" s="270">
        <v>43677</v>
      </c>
      <c r="C140" s="271" t="s">
        <v>187</v>
      </c>
      <c r="D140" s="272" t="s">
        <v>346</v>
      </c>
      <c r="E140" s="271"/>
      <c r="F140" s="271" t="s">
        <v>351</v>
      </c>
      <c r="G140" s="292">
        <f>+G137</f>
        <v>7492.14</v>
      </c>
      <c r="I140" s="271"/>
    </row>
    <row r="141" spans="1:9" s="269" customFormat="1">
      <c r="A141" s="273" t="s">
        <v>349</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458" t="s">
        <v>171</v>
      </c>
      <c r="B158" s="458"/>
      <c r="C158" s="458"/>
      <c r="D158" s="458"/>
      <c r="E158" s="458"/>
      <c r="F158" s="458"/>
      <c r="G158" s="458"/>
      <c r="H158" s="458"/>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462" t="s">
        <v>85</v>
      </c>
      <c r="B1" s="462"/>
      <c r="C1" s="462"/>
      <c r="D1" s="462"/>
      <c r="E1" s="462"/>
      <c r="F1" s="462"/>
      <c r="G1" s="462"/>
      <c r="H1" s="462"/>
      <c r="I1" s="462"/>
      <c r="J1" s="462"/>
      <c r="K1" s="462"/>
      <c r="L1" s="462"/>
      <c r="M1" s="462"/>
      <c r="N1" s="462"/>
      <c r="O1" s="261"/>
    </row>
    <row r="2" spans="1:15" s="264" customFormat="1" ht="34.5" customHeight="1">
      <c r="A2" s="459" t="s">
        <v>86</v>
      </c>
      <c r="B2" s="460"/>
      <c r="C2" s="460"/>
      <c r="D2" s="460"/>
      <c r="E2" s="460"/>
      <c r="F2" s="460"/>
      <c r="G2" s="460"/>
      <c r="H2" s="461"/>
      <c r="I2" s="459" t="s">
        <v>146</v>
      </c>
      <c r="J2" s="460"/>
      <c r="K2" s="460"/>
      <c r="L2" s="460"/>
      <c r="M2" s="461"/>
      <c r="N2" s="263" t="s">
        <v>123</v>
      </c>
    </row>
    <row r="3" spans="1:15" s="264" customFormat="1" ht="34.5" customHeight="1">
      <c r="A3" s="459" t="s">
        <v>355</v>
      </c>
      <c r="B3" s="460"/>
      <c r="C3" s="460"/>
      <c r="D3" s="460"/>
      <c r="E3" s="460"/>
      <c r="F3" s="460"/>
      <c r="G3" s="460"/>
      <c r="H3" s="460"/>
      <c r="I3" s="460"/>
      <c r="J3" s="460"/>
      <c r="K3" s="460"/>
      <c r="L3" s="460"/>
      <c r="M3" s="460"/>
      <c r="N3" s="461"/>
    </row>
    <row r="4" spans="1:15" s="264" customFormat="1" ht="38.25" customHeight="1">
      <c r="A4" s="459" t="s">
        <v>356</v>
      </c>
      <c r="B4" s="460"/>
      <c r="C4" s="460"/>
      <c r="D4" s="460"/>
      <c r="E4" s="460"/>
      <c r="F4" s="460"/>
      <c r="G4" s="460"/>
      <c r="H4" s="460"/>
      <c r="I4" s="460"/>
      <c r="J4" s="460"/>
      <c r="K4" s="460"/>
      <c r="L4" s="461"/>
      <c r="M4" s="265" t="s">
        <v>125</v>
      </c>
      <c r="N4" s="265" t="s">
        <v>141</v>
      </c>
    </row>
    <row r="5" spans="1:15" s="264" customFormat="1" ht="34.4" customHeight="1">
      <c r="A5" s="459" t="s">
        <v>126</v>
      </c>
      <c r="B5" s="460"/>
      <c r="C5" s="460"/>
      <c r="D5" s="460"/>
      <c r="E5" s="460"/>
      <c r="F5" s="460"/>
      <c r="G5" s="461"/>
      <c r="H5" s="459" t="s">
        <v>127</v>
      </c>
      <c r="I5" s="460"/>
      <c r="J5" s="460"/>
      <c r="K5" s="460"/>
      <c r="L5" s="461"/>
      <c r="M5" s="459" t="s">
        <v>128</v>
      </c>
      <c r="N5" s="461"/>
    </row>
    <row r="6" spans="1:15" s="264" customFormat="1" ht="17.899999999999999" customHeight="1">
      <c r="A6" s="465" t="s">
        <v>88</v>
      </c>
      <c r="B6" s="466"/>
      <c r="C6" s="466"/>
      <c r="D6" s="466"/>
      <c r="E6" s="466"/>
      <c r="F6" s="466"/>
      <c r="G6" s="466"/>
      <c r="H6" s="466"/>
      <c r="I6" s="466"/>
      <c r="J6" s="466"/>
      <c r="K6" s="466"/>
      <c r="L6" s="467"/>
      <c r="M6" s="468" t="s">
        <v>89</v>
      </c>
      <c r="N6" s="469"/>
    </row>
    <row r="7" spans="1:15" s="264" customFormat="1" ht="27.75" customHeight="1">
      <c r="A7" s="470" t="s">
        <v>90</v>
      </c>
      <c r="B7" s="471"/>
      <c r="C7" s="471"/>
      <c r="D7" s="471"/>
      <c r="E7" s="471"/>
      <c r="F7" s="471"/>
      <c r="G7" s="471"/>
      <c r="H7" s="471"/>
      <c r="I7" s="471"/>
      <c r="J7" s="471"/>
      <c r="K7" s="471"/>
      <c r="L7" s="471"/>
      <c r="M7" s="471"/>
      <c r="N7" s="472"/>
    </row>
    <row r="8" spans="1:15" s="264" customFormat="1" ht="27.75" customHeight="1">
      <c r="A8" s="459" t="s">
        <v>91</v>
      </c>
      <c r="B8" s="460"/>
      <c r="C8" s="460"/>
      <c r="D8" s="460"/>
      <c r="E8" s="460"/>
      <c r="F8" s="460"/>
      <c r="G8" s="460"/>
      <c r="H8" s="460"/>
      <c r="I8" s="460"/>
      <c r="J8" s="460"/>
      <c r="K8" s="460"/>
      <c r="L8" s="461"/>
      <c r="M8" s="473"/>
      <c r="N8" s="474"/>
    </row>
    <row r="9" spans="1:15" s="264" customFormat="1" ht="27.75" customHeight="1">
      <c r="A9" s="459" t="s">
        <v>92</v>
      </c>
      <c r="B9" s="460"/>
      <c r="C9" s="460"/>
      <c r="D9" s="460"/>
      <c r="E9" s="460"/>
      <c r="F9" s="460"/>
      <c r="G9" s="460"/>
      <c r="H9" s="460"/>
      <c r="I9" s="460"/>
      <c r="J9" s="460"/>
      <c r="K9" s="460"/>
      <c r="L9" s="461"/>
      <c r="M9" s="473">
        <f>M8</f>
        <v>0</v>
      </c>
      <c r="N9" s="474"/>
    </row>
    <row r="10" spans="1:15" s="264" customFormat="1" ht="27.75" customHeight="1">
      <c r="A10" s="459" t="s">
        <v>93</v>
      </c>
      <c r="B10" s="460"/>
      <c r="C10" s="460"/>
      <c r="D10" s="460"/>
      <c r="E10" s="460"/>
      <c r="F10" s="460"/>
      <c r="G10" s="460"/>
      <c r="H10" s="460"/>
      <c r="I10" s="460"/>
      <c r="J10" s="460"/>
      <c r="K10" s="460"/>
      <c r="L10" s="461"/>
      <c r="M10" s="475">
        <f>M8-M9</f>
        <v>0</v>
      </c>
      <c r="N10" s="476"/>
    </row>
    <row r="11" spans="1:15" s="264" customFormat="1" ht="27.75" customHeight="1">
      <c r="A11" s="470" t="s">
        <v>94</v>
      </c>
      <c r="B11" s="471"/>
      <c r="C11" s="471"/>
      <c r="D11" s="471"/>
      <c r="E11" s="471"/>
      <c r="F11" s="471"/>
      <c r="G11" s="471"/>
      <c r="H11" s="471"/>
      <c r="I11" s="471"/>
      <c r="J11" s="471"/>
      <c r="K11" s="471"/>
      <c r="L11" s="471"/>
      <c r="M11" s="471"/>
      <c r="N11" s="472"/>
    </row>
    <row r="12" spans="1:15" s="264" customFormat="1" ht="27.75" customHeight="1">
      <c r="A12" s="459" t="s">
        <v>95</v>
      </c>
      <c r="B12" s="460"/>
      <c r="C12" s="460"/>
      <c r="D12" s="460"/>
      <c r="E12" s="460"/>
      <c r="F12" s="460"/>
      <c r="G12" s="460"/>
      <c r="H12" s="460"/>
      <c r="I12" s="460"/>
      <c r="J12" s="460"/>
      <c r="K12" s="460"/>
      <c r="L12" s="461"/>
      <c r="M12" s="463">
        <f>+'Jul-2019'!G56</f>
        <v>2256075.86</v>
      </c>
      <c r="N12" s="464"/>
    </row>
    <row r="13" spans="1:15" s="264" customFormat="1" ht="27.75" customHeight="1">
      <c r="A13" s="459" t="s">
        <v>143</v>
      </c>
      <c r="B13" s="460"/>
      <c r="C13" s="460"/>
      <c r="D13" s="460"/>
      <c r="E13" s="460"/>
      <c r="F13" s="460"/>
      <c r="G13" s="460"/>
      <c r="H13" s="460"/>
      <c r="I13" s="460"/>
      <c r="J13" s="460"/>
      <c r="K13" s="460"/>
      <c r="L13" s="461"/>
      <c r="M13" s="463">
        <f>M9</f>
        <v>0</v>
      </c>
      <c r="N13" s="464"/>
    </row>
    <row r="14" spans="1:15" s="264" customFormat="1" ht="27.75" customHeight="1">
      <c r="A14" s="459" t="s">
        <v>144</v>
      </c>
      <c r="B14" s="460"/>
      <c r="C14" s="460"/>
      <c r="D14" s="460"/>
      <c r="E14" s="460"/>
      <c r="F14" s="460"/>
      <c r="G14" s="460"/>
      <c r="H14" s="460"/>
      <c r="I14" s="460"/>
      <c r="J14" s="460"/>
      <c r="K14" s="460"/>
      <c r="L14" s="461"/>
      <c r="M14" s="477">
        <v>0</v>
      </c>
      <c r="N14" s="478"/>
    </row>
    <row r="15" spans="1:15" s="264" customFormat="1" ht="27.75" customHeight="1">
      <c r="A15" s="459" t="s">
        <v>96</v>
      </c>
      <c r="B15" s="460"/>
      <c r="C15" s="460"/>
      <c r="D15" s="460"/>
      <c r="E15" s="460"/>
      <c r="F15" s="460"/>
      <c r="G15" s="460"/>
      <c r="H15" s="460"/>
      <c r="I15" s="460"/>
      <c r="J15" s="460"/>
      <c r="K15" s="460"/>
      <c r="L15" s="461"/>
      <c r="M15" s="477">
        <v>0</v>
      </c>
      <c r="N15" s="478"/>
    </row>
    <row r="16" spans="1:15" s="264" customFormat="1" ht="27.75" customHeight="1">
      <c r="A16" s="459" t="s">
        <v>97</v>
      </c>
      <c r="B16" s="460"/>
      <c r="C16" s="460"/>
      <c r="D16" s="460"/>
      <c r="E16" s="460"/>
      <c r="F16" s="460"/>
      <c r="G16" s="460"/>
      <c r="H16" s="460"/>
      <c r="I16" s="460"/>
      <c r="J16" s="460"/>
      <c r="K16" s="460"/>
      <c r="L16" s="461"/>
      <c r="M16" s="479">
        <f>M13+M14+M15</f>
        <v>0</v>
      </c>
      <c r="N16" s="480"/>
    </row>
    <row r="17" spans="1:14" s="264" customFormat="1" ht="27.75" customHeight="1">
      <c r="A17" s="459" t="s">
        <v>98</v>
      </c>
      <c r="B17" s="460"/>
      <c r="C17" s="460"/>
      <c r="D17" s="460"/>
      <c r="E17" s="460"/>
      <c r="F17" s="460"/>
      <c r="G17" s="460"/>
      <c r="H17" s="460"/>
      <c r="I17" s="460"/>
      <c r="J17" s="460"/>
      <c r="K17" s="460"/>
      <c r="L17" s="461"/>
      <c r="M17" s="479">
        <f>M12-M16</f>
        <v>2256075.86</v>
      </c>
      <c r="N17" s="480"/>
    </row>
    <row r="18" spans="1:14" s="264" customFormat="1" ht="27.75" customHeight="1">
      <c r="A18" s="470" t="s">
        <v>99</v>
      </c>
      <c r="B18" s="471"/>
      <c r="C18" s="471"/>
      <c r="D18" s="471"/>
      <c r="E18" s="471"/>
      <c r="F18" s="471"/>
      <c r="G18" s="471"/>
      <c r="H18" s="471"/>
      <c r="I18" s="471"/>
      <c r="J18" s="471"/>
      <c r="K18" s="471"/>
      <c r="L18" s="471"/>
      <c r="M18" s="471"/>
      <c r="N18" s="472"/>
    </row>
    <row r="19" spans="1:14" s="264" customFormat="1" ht="27.75" customHeight="1">
      <c r="A19" s="459" t="s">
        <v>100</v>
      </c>
      <c r="B19" s="460"/>
      <c r="C19" s="460"/>
      <c r="D19" s="460"/>
      <c r="E19" s="460"/>
      <c r="F19" s="460"/>
      <c r="G19" s="460"/>
      <c r="H19" s="460"/>
      <c r="I19" s="460"/>
      <c r="J19" s="460"/>
      <c r="K19" s="460"/>
      <c r="L19" s="461"/>
      <c r="M19" s="481">
        <f>+'Jul-2019'!G54</f>
        <v>242467.32</v>
      </c>
      <c r="N19" s="482"/>
    </row>
    <row r="20" spans="1:14" s="264" customFormat="1" ht="27.75" customHeight="1">
      <c r="A20" s="459" t="s">
        <v>101</v>
      </c>
      <c r="B20" s="460"/>
      <c r="C20" s="460"/>
      <c r="D20" s="460"/>
      <c r="E20" s="460"/>
      <c r="F20" s="460"/>
      <c r="G20" s="460"/>
      <c r="H20" s="460"/>
      <c r="I20" s="460"/>
      <c r="J20" s="460"/>
      <c r="K20" s="460"/>
      <c r="L20" s="461"/>
      <c r="M20" s="477">
        <f>+'Jul-2019'!E54</f>
        <v>7492.14</v>
      </c>
      <c r="N20" s="478"/>
    </row>
    <row r="21" spans="1:14" s="264" customFormat="1" ht="27.75" customHeight="1">
      <c r="A21" s="459" t="s">
        <v>102</v>
      </c>
      <c r="B21" s="460"/>
      <c r="C21" s="460"/>
      <c r="D21" s="460"/>
      <c r="E21" s="460"/>
      <c r="F21" s="460"/>
      <c r="G21" s="460"/>
      <c r="H21" s="460"/>
      <c r="I21" s="460"/>
      <c r="J21" s="460"/>
      <c r="K21" s="460"/>
      <c r="L21" s="461"/>
      <c r="M21" s="475">
        <f>M19-M20</f>
        <v>234975.18</v>
      </c>
      <c r="N21" s="476"/>
    </row>
    <row r="22" spans="1:14" s="264" customFormat="1" ht="27.75" customHeight="1">
      <c r="A22" s="470" t="s">
        <v>103</v>
      </c>
      <c r="B22" s="471"/>
      <c r="C22" s="471"/>
      <c r="D22" s="471"/>
      <c r="E22" s="471"/>
      <c r="F22" s="471"/>
      <c r="G22" s="471"/>
      <c r="H22" s="471"/>
      <c r="I22" s="471"/>
      <c r="J22" s="471"/>
      <c r="K22" s="471"/>
      <c r="L22" s="471"/>
      <c r="M22" s="471"/>
      <c r="N22" s="472"/>
    </row>
    <row r="23" spans="1:14" s="264" customFormat="1" ht="27.75" customHeight="1">
      <c r="A23" s="459" t="s">
        <v>104</v>
      </c>
      <c r="B23" s="460"/>
      <c r="C23" s="460"/>
      <c r="D23" s="460"/>
      <c r="E23" s="460"/>
      <c r="F23" s="460"/>
      <c r="G23" s="460"/>
      <c r="H23" s="460"/>
      <c r="I23" s="460"/>
      <c r="J23" s="460"/>
      <c r="K23" s="460"/>
      <c r="L23" s="461"/>
      <c r="M23" s="477">
        <v>0</v>
      </c>
      <c r="N23" s="478"/>
    </row>
    <row r="24" spans="1:14" s="264" customFormat="1" ht="27.75" customHeight="1">
      <c r="A24" s="459" t="s">
        <v>105</v>
      </c>
      <c r="B24" s="460"/>
      <c r="C24" s="460"/>
      <c r="D24" s="460"/>
      <c r="E24" s="460"/>
      <c r="F24" s="460"/>
      <c r="G24" s="460"/>
      <c r="H24" s="460"/>
      <c r="I24" s="460"/>
      <c r="J24" s="460"/>
      <c r="K24" s="460"/>
      <c r="L24" s="461"/>
      <c r="M24" s="477">
        <v>0</v>
      </c>
      <c r="N24" s="478"/>
    </row>
    <row r="25" spans="1:14" s="264" customFormat="1" ht="27.75" customHeight="1">
      <c r="A25" s="459" t="s">
        <v>106</v>
      </c>
      <c r="B25" s="460"/>
      <c r="C25" s="460"/>
      <c r="D25" s="460"/>
      <c r="E25" s="460"/>
      <c r="F25" s="460"/>
      <c r="G25" s="460"/>
      <c r="H25" s="460"/>
      <c r="I25" s="460"/>
      <c r="J25" s="460"/>
      <c r="K25" s="460"/>
      <c r="L25" s="461"/>
      <c r="M25" s="475">
        <f>M23-M24</f>
        <v>0</v>
      </c>
      <c r="N25" s="476"/>
    </row>
    <row r="26" spans="1:14" s="264" customFormat="1" ht="17.899999999999999" customHeight="1">
      <c r="A26" s="483" t="s">
        <v>107</v>
      </c>
      <c r="B26" s="484"/>
      <c r="C26" s="484"/>
      <c r="D26" s="484"/>
      <c r="E26" s="484"/>
      <c r="F26" s="484"/>
      <c r="G26" s="484"/>
      <c r="H26" s="484"/>
      <c r="I26" s="484"/>
      <c r="J26" s="484"/>
      <c r="K26" s="484"/>
      <c r="L26" s="484"/>
      <c r="M26" s="484"/>
      <c r="N26" s="485"/>
    </row>
    <row r="27" spans="1:14" s="264" customFormat="1" ht="15.65" customHeight="1">
      <c r="A27" s="486"/>
      <c r="B27" s="487"/>
      <c r="C27" s="487"/>
      <c r="D27" s="487"/>
      <c r="E27" s="487"/>
      <c r="F27" s="487"/>
      <c r="G27" s="487"/>
      <c r="H27" s="487"/>
      <c r="I27" s="487"/>
      <c r="J27" s="487"/>
      <c r="K27" s="487"/>
      <c r="L27" s="487"/>
      <c r="M27" s="487"/>
      <c r="N27" s="464"/>
    </row>
    <row r="28" spans="1:14" s="264" customFormat="1" ht="17.899999999999999" customHeight="1">
      <c r="A28" s="465" t="s">
        <v>108</v>
      </c>
      <c r="B28" s="466"/>
      <c r="C28" s="466"/>
      <c r="D28" s="466"/>
      <c r="E28" s="466"/>
      <c r="F28" s="466"/>
      <c r="G28" s="466"/>
      <c r="H28" s="466"/>
      <c r="I28" s="466"/>
      <c r="J28" s="466"/>
      <c r="K28" s="466"/>
      <c r="L28" s="466"/>
      <c r="M28" s="466"/>
      <c r="N28" s="467"/>
    </row>
    <row r="29" spans="1:14" s="264" customFormat="1" ht="30" customHeight="1">
      <c r="A29" s="459" t="s">
        <v>109</v>
      </c>
      <c r="B29" s="461"/>
      <c r="C29" s="265" t="s">
        <v>110</v>
      </c>
      <c r="D29" s="459" t="s">
        <v>111</v>
      </c>
      <c r="E29" s="460"/>
      <c r="F29" s="461"/>
      <c r="G29" s="486" t="s">
        <v>112</v>
      </c>
      <c r="H29" s="464"/>
      <c r="I29" s="266" t="s">
        <v>113</v>
      </c>
      <c r="J29" s="459" t="s">
        <v>114</v>
      </c>
      <c r="K29" s="460"/>
      <c r="L29" s="461"/>
      <c r="M29" s="265" t="s">
        <v>115</v>
      </c>
      <c r="N29" s="265" t="s">
        <v>116</v>
      </c>
    </row>
    <row r="30" spans="1:14" s="264" customFormat="1" ht="16.5">
      <c r="A30" s="486"/>
      <c r="B30" s="464"/>
      <c r="C30" s="45"/>
      <c r="D30" s="486"/>
      <c r="E30" s="487"/>
      <c r="F30" s="464"/>
      <c r="G30" s="495"/>
      <c r="H30" s="464"/>
      <c r="I30" s="266"/>
      <c r="J30" s="496"/>
      <c r="K30" s="497"/>
      <c r="L30" s="498"/>
      <c r="M30" s="265"/>
      <c r="N30" s="265"/>
    </row>
    <row r="31" spans="1:14" s="264" customFormat="1" ht="15.65" customHeight="1">
      <c r="A31" s="486"/>
      <c r="B31" s="464"/>
      <c r="C31" s="45"/>
      <c r="D31" s="486"/>
      <c r="E31" s="487"/>
      <c r="F31" s="464"/>
      <c r="G31" s="495"/>
      <c r="H31" s="464"/>
      <c r="I31" s="46"/>
      <c r="J31" s="496"/>
      <c r="K31" s="497"/>
      <c r="L31" s="498"/>
      <c r="M31" s="47"/>
      <c r="N31" s="48"/>
    </row>
    <row r="32" spans="1:14" s="264" customFormat="1" ht="75.75" customHeight="1">
      <c r="A32" s="483" t="s">
        <v>117</v>
      </c>
      <c r="B32" s="484"/>
      <c r="C32" s="484"/>
      <c r="D32" s="484"/>
      <c r="E32" s="484"/>
      <c r="F32" s="484"/>
      <c r="G32" s="484"/>
      <c r="H32" s="484"/>
      <c r="I32" s="484"/>
      <c r="J32" s="484"/>
      <c r="K32" s="484"/>
      <c r="L32" s="484"/>
      <c r="M32" s="484"/>
      <c r="N32" s="485"/>
    </row>
    <row r="33" spans="1:15" s="264" customFormat="1" ht="31.4" customHeight="1">
      <c r="A33" s="488" t="s">
        <v>118</v>
      </c>
      <c r="B33" s="489"/>
      <c r="C33" s="489"/>
      <c r="D33" s="489"/>
      <c r="E33" s="489"/>
      <c r="F33" s="489"/>
      <c r="G33" s="489"/>
      <c r="H33" s="489"/>
      <c r="I33" s="489"/>
      <c r="J33" s="489"/>
      <c r="K33" s="489"/>
      <c r="L33" s="490"/>
      <c r="M33" s="459" t="s">
        <v>119</v>
      </c>
      <c r="N33" s="461"/>
    </row>
    <row r="34" spans="1:15" s="264" customFormat="1" ht="31.4" customHeight="1">
      <c r="A34" s="491"/>
      <c r="B34" s="492"/>
      <c r="C34" s="492"/>
      <c r="D34" s="492"/>
      <c r="E34" s="492"/>
      <c r="F34" s="492"/>
      <c r="G34" s="492"/>
      <c r="H34" s="492"/>
      <c r="I34" s="492"/>
      <c r="J34" s="492"/>
      <c r="K34" s="492"/>
      <c r="L34" s="493"/>
      <c r="M34" s="459" t="s">
        <v>120</v>
      </c>
      <c r="N34" s="461"/>
    </row>
    <row r="35" spans="1:15" s="264" customFormat="1" ht="31.4" customHeight="1">
      <c r="A35" s="488" t="s">
        <v>121</v>
      </c>
      <c r="B35" s="489"/>
      <c r="C35" s="489"/>
      <c r="D35" s="489"/>
      <c r="E35" s="489"/>
      <c r="F35" s="489"/>
      <c r="G35" s="489"/>
      <c r="H35" s="489"/>
      <c r="I35" s="489"/>
      <c r="J35" s="489"/>
      <c r="K35" s="489"/>
      <c r="L35" s="490"/>
      <c r="M35" s="488" t="s">
        <v>122</v>
      </c>
      <c r="N35" s="490"/>
    </row>
    <row r="36" spans="1:15" s="264" customFormat="1" ht="31" customHeight="1">
      <c r="A36" s="491"/>
      <c r="B36" s="492"/>
      <c r="C36" s="492"/>
      <c r="D36" s="492"/>
      <c r="E36" s="492"/>
      <c r="F36" s="492"/>
      <c r="G36" s="492"/>
      <c r="H36" s="492"/>
      <c r="I36" s="492"/>
      <c r="J36" s="492"/>
      <c r="K36" s="492"/>
      <c r="L36" s="493"/>
      <c r="M36" s="491"/>
      <c r="N36" s="493"/>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9:O39"/>
    <mergeCell ref="A30:B30"/>
    <mergeCell ref="D30:F30"/>
    <mergeCell ref="G30:H30"/>
    <mergeCell ref="J30:L30"/>
    <mergeCell ref="A31:B31"/>
    <mergeCell ref="D31:F31"/>
    <mergeCell ref="G31:H31"/>
    <mergeCell ref="J31:L31"/>
    <mergeCell ref="A32:N32"/>
    <mergeCell ref="A33:L34"/>
    <mergeCell ref="M33:N33"/>
    <mergeCell ref="M34:N34"/>
    <mergeCell ref="A26:N26"/>
    <mergeCell ref="A27:N27"/>
    <mergeCell ref="A28:N28"/>
    <mergeCell ref="A35:L36"/>
    <mergeCell ref="M35:N36"/>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99">
        <v>43678</v>
      </c>
      <c r="H1" s="500"/>
      <c r="I1" s="106" t="s">
        <v>49</v>
      </c>
    </row>
    <row r="2" spans="1:9" ht="21">
      <c r="A2" s="37" t="s">
        <v>153</v>
      </c>
      <c r="B2" s="35"/>
      <c r="C2" s="35"/>
      <c r="D2" s="36"/>
      <c r="E2" s="36" t="s">
        <v>38</v>
      </c>
      <c r="F2" s="65"/>
      <c r="G2" s="501"/>
      <c r="H2" s="50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147</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156</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148</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157</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149</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364</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170</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78</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151</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152</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142</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84</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81</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79</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80</v>
      </c>
      <c r="B46" s="139"/>
      <c r="C46" s="140"/>
      <c r="D46" s="140"/>
      <c r="E46" s="172">
        <f t="shared" si="14"/>
        <v>0</v>
      </c>
      <c r="F46" s="143">
        <f>E46+'Jul-2019'!F46</f>
        <v>0</v>
      </c>
      <c r="G46" s="144">
        <v>8500</v>
      </c>
      <c r="H46" s="144">
        <f t="shared" si="15"/>
        <v>8500</v>
      </c>
      <c r="I46" s="108">
        <f t="shared" si="13"/>
        <v>0</v>
      </c>
    </row>
    <row r="47" spans="1:9" s="168" customFormat="1" ht="21.75" customHeight="1">
      <c r="A47" s="138" t="s">
        <v>169</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158</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445</v>
      </c>
      <c r="B77" s="336"/>
      <c r="C77" s="337"/>
      <c r="D77" s="337"/>
      <c r="E77" s="337"/>
      <c r="F77" s="338" t="s">
        <v>446</v>
      </c>
      <c r="G77" s="339"/>
      <c r="H77" s="340"/>
      <c r="I77" s="341"/>
    </row>
    <row r="78" spans="1:9" s="347" customFormat="1" ht="15.5">
      <c r="A78" s="343" t="s">
        <v>10</v>
      </c>
      <c r="B78" s="344" t="s">
        <v>154</v>
      </c>
      <c r="C78" s="344"/>
      <c r="D78" s="344"/>
      <c r="E78" s="344"/>
      <c r="F78" s="345" t="s">
        <v>11</v>
      </c>
      <c r="G78" s="345"/>
      <c r="H78" s="345" t="s">
        <v>154</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444</v>
      </c>
      <c r="B81" s="336"/>
      <c r="C81" s="337"/>
      <c r="D81" s="337"/>
      <c r="E81" s="337"/>
      <c r="F81" s="338" t="s">
        <v>448</v>
      </c>
      <c r="G81" s="339"/>
      <c r="H81" s="340"/>
      <c r="I81" s="341"/>
    </row>
    <row r="82" spans="1:9" s="347" customFormat="1" ht="15.5">
      <c r="A82" s="343" t="s">
        <v>19</v>
      </c>
      <c r="B82" s="344" t="s">
        <v>154</v>
      </c>
      <c r="C82" s="344"/>
      <c r="D82" s="344"/>
      <c r="E82" s="344"/>
      <c r="F82" s="502" t="s">
        <v>447</v>
      </c>
      <c r="G82" s="502"/>
      <c r="H82" s="345" t="s">
        <v>154</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FD157"/>
  <sheetViews>
    <sheetView workbookViewId="0">
      <pane ySplit="5" topLeftCell="A141" activePane="bottomLeft" state="frozen"/>
      <selection pane="bottomLeft" activeCell="A149" sqref="A149:XFD153"/>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03" t="s">
        <v>278</v>
      </c>
      <c r="B1" s="503"/>
      <c r="C1" s="503"/>
      <c r="D1" s="503"/>
      <c r="E1" s="503"/>
      <c r="F1" s="503"/>
      <c r="G1" s="503"/>
      <c r="H1" s="503"/>
    </row>
    <row r="2" spans="1:8" ht="18">
      <c r="A2" s="503" t="s">
        <v>277</v>
      </c>
      <c r="B2" s="503"/>
      <c r="C2" s="503"/>
      <c r="D2" s="503"/>
      <c r="E2" s="503"/>
      <c r="F2" s="503"/>
      <c r="G2" s="503"/>
      <c r="H2" s="503"/>
    </row>
    <row r="3" spans="1:8">
      <c r="A3" s="504" t="s">
        <v>432</v>
      </c>
      <c r="B3" s="504"/>
      <c r="C3" s="504"/>
      <c r="D3" s="504"/>
      <c r="E3" s="504"/>
      <c r="F3" s="504"/>
      <c r="G3" s="504"/>
      <c r="H3" s="504"/>
    </row>
    <row r="4" spans="1:8">
      <c r="A4" s="317"/>
      <c r="B4" s="317"/>
      <c r="C4" s="317"/>
      <c r="D4" s="317"/>
      <c r="E4" s="317"/>
      <c r="F4" s="317"/>
      <c r="G4" s="317"/>
      <c r="H4" s="318"/>
    </row>
    <row r="5" spans="1:8">
      <c r="A5" s="304"/>
      <c r="B5" s="302" t="s">
        <v>154</v>
      </c>
      <c r="C5" s="302" t="s">
        <v>431</v>
      </c>
      <c r="D5" s="302" t="s">
        <v>275</v>
      </c>
      <c r="E5" s="302" t="s">
        <v>274</v>
      </c>
      <c r="F5" s="302" t="s">
        <v>273</v>
      </c>
      <c r="G5" s="303" t="s">
        <v>272</v>
      </c>
      <c r="H5" s="302" t="s">
        <v>279</v>
      </c>
    </row>
    <row r="6" spans="1:8">
      <c r="A6" s="299" t="s">
        <v>271</v>
      </c>
      <c r="H6" s="305"/>
    </row>
    <row r="7" spans="1:8">
      <c r="B7" s="301" t="s">
        <v>419</v>
      </c>
      <c r="C7" s="301" t="s">
        <v>187</v>
      </c>
      <c r="D7" s="301" t="s">
        <v>418</v>
      </c>
      <c r="E7" s="301"/>
      <c r="F7" s="301" t="s">
        <v>430</v>
      </c>
      <c r="G7" s="300">
        <v>46610</v>
      </c>
      <c r="H7" s="305"/>
    </row>
    <row r="8" spans="1:8">
      <c r="B8" s="301" t="s">
        <v>417</v>
      </c>
      <c r="C8" s="301" t="s">
        <v>187</v>
      </c>
      <c r="D8" s="301">
        <v>162</v>
      </c>
      <c r="E8" s="301"/>
      <c r="F8" s="301" t="s">
        <v>429</v>
      </c>
      <c r="G8" s="300">
        <v>48474</v>
      </c>
      <c r="H8" s="305"/>
    </row>
    <row r="9" spans="1:8">
      <c r="A9" s="299" t="s">
        <v>269</v>
      </c>
      <c r="G9" s="311">
        <f>SUM(G7:G8)</f>
        <v>95084</v>
      </c>
      <c r="H9" s="305"/>
    </row>
    <row r="10" spans="1:8">
      <c r="A10" s="299" t="s">
        <v>268</v>
      </c>
      <c r="H10" s="305"/>
    </row>
    <row r="11" spans="1:8">
      <c r="B11" s="301" t="s">
        <v>425</v>
      </c>
      <c r="C11" s="301" t="s">
        <v>175</v>
      </c>
      <c r="D11" s="301" t="s">
        <v>428</v>
      </c>
      <c r="E11" s="301" t="s">
        <v>427</v>
      </c>
      <c r="F11" s="301" t="s">
        <v>426</v>
      </c>
      <c r="G11" s="300">
        <v>236.8</v>
      </c>
      <c r="H11" s="305">
        <v>12375</v>
      </c>
    </row>
    <row r="12" spans="1:8">
      <c r="B12" s="301" t="s">
        <v>425</v>
      </c>
      <c r="C12" s="301" t="s">
        <v>175</v>
      </c>
      <c r="D12" s="301" t="s">
        <v>424</v>
      </c>
      <c r="E12" s="301" t="s">
        <v>423</v>
      </c>
      <c r="F12" s="301" t="s">
        <v>422</v>
      </c>
      <c r="G12" s="300">
        <v>273.16000000000003</v>
      </c>
      <c r="H12" s="305">
        <v>12376</v>
      </c>
    </row>
    <row r="13" spans="1:8">
      <c r="A13" s="299" t="s">
        <v>264</v>
      </c>
      <c r="G13" s="311">
        <f>SUM(G11:G12)</f>
        <v>509.96000000000004</v>
      </c>
      <c r="H13" s="305"/>
    </row>
    <row r="14" spans="1:8">
      <c r="A14" s="299" t="s">
        <v>421</v>
      </c>
      <c r="G14" s="298">
        <f>+G13+G9</f>
        <v>95593.96</v>
      </c>
      <c r="H14" s="305"/>
    </row>
    <row r="15" spans="1:8">
      <c r="A15" s="299" t="s">
        <v>263</v>
      </c>
      <c r="H15" s="305"/>
    </row>
    <row r="16" spans="1:8">
      <c r="B16" s="301" t="s">
        <v>419</v>
      </c>
      <c r="C16" s="301" t="s">
        <v>187</v>
      </c>
      <c r="D16" s="301" t="s">
        <v>418</v>
      </c>
      <c r="E16" s="301"/>
      <c r="F16" s="301" t="s">
        <v>420</v>
      </c>
      <c r="G16" s="300">
        <v>3565.8</v>
      </c>
      <c r="H16" s="305"/>
    </row>
    <row r="17" spans="1:8">
      <c r="B17" s="301" t="s">
        <v>417</v>
      </c>
      <c r="C17" s="301" t="s">
        <v>187</v>
      </c>
      <c r="D17" s="301">
        <v>162</v>
      </c>
      <c r="E17" s="301"/>
      <c r="F17" s="301" t="s">
        <v>420</v>
      </c>
      <c r="G17" s="300">
        <v>3710.2</v>
      </c>
      <c r="H17" s="305"/>
    </row>
    <row r="18" spans="1:8">
      <c r="A18" s="299" t="s">
        <v>262</v>
      </c>
      <c r="G18" s="311">
        <v>7276</v>
      </c>
      <c r="H18" s="305"/>
    </row>
    <row r="19" spans="1:8" s="308" customFormat="1">
      <c r="A19" s="307" t="s">
        <v>341</v>
      </c>
    </row>
    <row r="20" spans="1:8" s="308" customFormat="1">
      <c r="B20" s="309" t="s">
        <v>381</v>
      </c>
      <c r="C20" s="309" t="s">
        <v>187</v>
      </c>
      <c r="D20" s="309">
        <v>192</v>
      </c>
      <c r="E20" s="309"/>
      <c r="F20" s="309" t="s">
        <v>412</v>
      </c>
      <c r="G20" s="310">
        <v>2741</v>
      </c>
    </row>
    <row r="21" spans="1:8" s="308" customFormat="1">
      <c r="A21" s="307" t="s">
        <v>342</v>
      </c>
      <c r="G21" s="319">
        <f>SUM(G20)</f>
        <v>2741</v>
      </c>
    </row>
    <row r="22" spans="1:8">
      <c r="A22" s="299" t="s">
        <v>261</v>
      </c>
      <c r="H22" s="305"/>
    </row>
    <row r="23" spans="1:8">
      <c r="B23" s="301" t="s">
        <v>419</v>
      </c>
      <c r="C23" s="301" t="s">
        <v>187</v>
      </c>
      <c r="D23" s="301" t="s">
        <v>418</v>
      </c>
      <c r="E23" s="301"/>
      <c r="F23" s="301" t="s">
        <v>416</v>
      </c>
      <c r="G23" s="300">
        <v>401.87</v>
      </c>
      <c r="H23" s="305"/>
    </row>
    <row r="24" spans="1:8">
      <c r="B24" s="301" t="s">
        <v>417</v>
      </c>
      <c r="C24" s="301" t="s">
        <v>187</v>
      </c>
      <c r="D24" s="301">
        <v>162</v>
      </c>
      <c r="E24" s="301"/>
      <c r="F24" s="301" t="s">
        <v>416</v>
      </c>
      <c r="G24" s="300">
        <v>599.82000000000005</v>
      </c>
      <c r="H24" s="305"/>
    </row>
    <row r="25" spans="1:8">
      <c r="A25" s="299" t="s">
        <v>254</v>
      </c>
      <c r="G25" s="311">
        <f>SUM(G23:G24)</f>
        <v>1001.69</v>
      </c>
      <c r="H25" s="305"/>
    </row>
    <row r="26" spans="1:8">
      <c r="A26" s="299" t="s">
        <v>415</v>
      </c>
      <c r="H26" s="305"/>
    </row>
    <row r="27" spans="1:8">
      <c r="A27" s="299" t="s">
        <v>253</v>
      </c>
      <c r="H27" s="305"/>
    </row>
    <row r="28" spans="1:8">
      <c r="B28" s="301" t="s">
        <v>381</v>
      </c>
      <c r="C28" s="301" t="s">
        <v>187</v>
      </c>
      <c r="D28" s="301">
        <v>175</v>
      </c>
      <c r="E28" s="301"/>
      <c r="F28" s="301" t="s">
        <v>435</v>
      </c>
      <c r="G28" s="300">
        <v>17145.830000000002</v>
      </c>
      <c r="H28" s="305"/>
    </row>
    <row r="29" spans="1:8">
      <c r="A29" s="299" t="s">
        <v>250</v>
      </c>
      <c r="G29" s="311">
        <f>SUM(G28)</f>
        <v>17145.830000000002</v>
      </c>
      <c r="H29" s="305"/>
    </row>
    <row r="30" spans="1:8">
      <c r="A30" s="299" t="s">
        <v>249</v>
      </c>
      <c r="H30" s="305"/>
    </row>
    <row r="31" spans="1:8">
      <c r="A31" s="299" t="s">
        <v>248</v>
      </c>
      <c r="H31" s="305"/>
    </row>
    <row r="32" spans="1:8">
      <c r="B32" s="301" t="s">
        <v>414</v>
      </c>
      <c r="C32" s="301" t="s">
        <v>187</v>
      </c>
      <c r="D32" s="301">
        <v>202</v>
      </c>
      <c r="E32" s="301"/>
      <c r="F32" s="301" t="s">
        <v>433</v>
      </c>
      <c r="G32" s="300">
        <v>3813.99</v>
      </c>
      <c r="H32" s="305" t="s">
        <v>437</v>
      </c>
    </row>
    <row r="33" spans="1:8">
      <c r="A33" s="299" t="s">
        <v>247</v>
      </c>
      <c r="G33" s="311">
        <f>SUM(G32)</f>
        <v>3813.99</v>
      </c>
      <c r="H33" s="305"/>
    </row>
    <row r="34" spans="1:8">
      <c r="A34" s="299" t="s">
        <v>246</v>
      </c>
      <c r="H34" s="305"/>
    </row>
    <row r="35" spans="1:8">
      <c r="B35" s="301" t="s">
        <v>413</v>
      </c>
      <c r="C35" s="301" t="s">
        <v>175</v>
      </c>
      <c r="D35" s="301"/>
      <c r="E35" s="301" t="s">
        <v>244</v>
      </c>
      <c r="F35" s="301" t="s">
        <v>243</v>
      </c>
      <c r="G35" s="300">
        <v>171.06</v>
      </c>
      <c r="H35" s="305">
        <v>12345</v>
      </c>
    </row>
    <row r="36" spans="1:8">
      <c r="A36" s="299" t="s">
        <v>242</v>
      </c>
      <c r="G36" s="311">
        <f>SUM(G35)</f>
        <v>171.06</v>
      </c>
      <c r="H36" s="305"/>
    </row>
    <row r="37" spans="1:8" s="201" customFormat="1">
      <c r="A37" s="205" t="s">
        <v>241</v>
      </c>
      <c r="G37" s="278"/>
    </row>
    <row r="38" spans="1:8" s="201" customFormat="1">
      <c r="B38" s="320">
        <v>43708</v>
      </c>
      <c r="C38" s="206" t="s">
        <v>187</v>
      </c>
      <c r="D38" s="206">
        <v>154</v>
      </c>
      <c r="E38" s="206"/>
      <c r="F38" s="210" t="s">
        <v>326</v>
      </c>
      <c r="G38" s="279">
        <v>-704.12</v>
      </c>
      <c r="H38" s="206"/>
    </row>
    <row r="39" spans="1:8" s="201" customFormat="1">
      <c r="A39" s="205" t="s">
        <v>240</v>
      </c>
      <c r="G39" s="280">
        <f>SUM(G38)</f>
        <v>-704.12</v>
      </c>
    </row>
    <row r="40" spans="1:8" s="201" customFormat="1">
      <c r="A40" s="205" t="s">
        <v>239</v>
      </c>
      <c r="G40" s="278"/>
    </row>
    <row r="41" spans="1:8" s="201" customFormat="1">
      <c r="B41" s="320">
        <v>43708</v>
      </c>
      <c r="C41" s="206" t="s">
        <v>187</v>
      </c>
      <c r="D41" s="206">
        <v>155</v>
      </c>
      <c r="E41" s="206"/>
      <c r="F41" s="206" t="s">
        <v>238</v>
      </c>
      <c r="G41" s="279">
        <v>-20.309999999999999</v>
      </c>
      <c r="H41" s="206"/>
    </row>
    <row r="42" spans="1:8" s="201" customFormat="1">
      <c r="A42" s="205" t="s">
        <v>237</v>
      </c>
      <c r="G42" s="280">
        <f>SUM(G41)</f>
        <v>-20.309999999999999</v>
      </c>
    </row>
    <row r="43" spans="1:8" s="201" customFormat="1" ht="15" thickBot="1">
      <c r="A43" s="205" t="s">
        <v>236</v>
      </c>
      <c r="G43" s="287">
        <f>+G33+G36+G39+G42</f>
        <v>3260.62</v>
      </c>
    </row>
    <row r="44" spans="1:8" ht="15" thickTop="1">
      <c r="A44" s="299"/>
      <c r="H44" s="305"/>
    </row>
    <row r="45" spans="1:8">
      <c r="A45" s="299" t="s">
        <v>235</v>
      </c>
      <c r="H45" s="305"/>
    </row>
    <row r="46" spans="1:8">
      <c r="B46" s="301" t="s">
        <v>381</v>
      </c>
      <c r="C46" s="301" t="s">
        <v>187</v>
      </c>
      <c r="D46" s="301">
        <v>192</v>
      </c>
      <c r="E46" s="301"/>
      <c r="F46" s="301" t="s">
        <v>412</v>
      </c>
      <c r="G46" s="300">
        <v>494</v>
      </c>
      <c r="H46" s="305"/>
    </row>
    <row r="47" spans="1:8">
      <c r="A47" s="299" t="s">
        <v>234</v>
      </c>
      <c r="G47" s="311">
        <f>SUM(G46)</f>
        <v>494</v>
      </c>
      <c r="H47" s="305"/>
    </row>
    <row r="48" spans="1:8" s="249" customFormat="1" ht="15.5">
      <c r="A48" s="274" t="s">
        <v>285</v>
      </c>
      <c r="G48" s="286"/>
    </row>
    <row r="49" spans="1:8">
      <c r="A49" s="299" t="s">
        <v>233</v>
      </c>
      <c r="H49" s="305"/>
    </row>
    <row r="50" spans="1:8">
      <c r="B50" s="301" t="s">
        <v>381</v>
      </c>
      <c r="C50" s="301" t="s">
        <v>187</v>
      </c>
      <c r="D50" s="301">
        <v>202</v>
      </c>
      <c r="E50" s="301"/>
      <c r="F50" s="301" t="s">
        <v>232</v>
      </c>
      <c r="G50" s="300">
        <v>1031</v>
      </c>
      <c r="H50" s="305"/>
    </row>
    <row r="51" spans="1:8">
      <c r="A51" s="299" t="s">
        <v>231</v>
      </c>
      <c r="G51" s="298">
        <f>SUM(G50)</f>
        <v>1031</v>
      </c>
      <c r="H51" s="305"/>
    </row>
    <row r="52" spans="1:8">
      <c r="A52" s="299" t="s">
        <v>230</v>
      </c>
      <c r="H52" s="305"/>
    </row>
    <row r="53" spans="1:8">
      <c r="B53" s="301" t="s">
        <v>381</v>
      </c>
      <c r="C53" s="301" t="s">
        <v>187</v>
      </c>
      <c r="D53" s="301">
        <v>200</v>
      </c>
      <c r="E53" s="301"/>
      <c r="F53" s="301" t="s">
        <v>229</v>
      </c>
      <c r="G53" s="300">
        <v>241</v>
      </c>
      <c r="H53" s="305"/>
    </row>
    <row r="54" spans="1:8">
      <c r="A54" s="299" t="s">
        <v>228</v>
      </c>
      <c r="G54" s="298">
        <v>241</v>
      </c>
      <c r="H54" s="305"/>
    </row>
    <row r="55" spans="1:8">
      <c r="A55" s="299" t="s">
        <v>227</v>
      </c>
      <c r="H55" s="305"/>
    </row>
    <row r="56" spans="1:8">
      <c r="B56" s="301" t="s">
        <v>381</v>
      </c>
      <c r="C56" s="301" t="s">
        <v>187</v>
      </c>
      <c r="D56" s="301">
        <v>199</v>
      </c>
      <c r="E56" s="301"/>
      <c r="F56" s="301" t="s">
        <v>226</v>
      </c>
      <c r="G56" s="300">
        <v>260</v>
      </c>
      <c r="H56" s="305"/>
    </row>
    <row r="57" spans="1:8">
      <c r="A57" s="299" t="s">
        <v>225</v>
      </c>
      <c r="G57" s="298">
        <v>260</v>
      </c>
      <c r="H57" s="305"/>
    </row>
    <row r="58" spans="1:8">
      <c r="A58" s="299" t="s">
        <v>224</v>
      </c>
      <c r="H58" s="305"/>
    </row>
    <row r="59" spans="1:8">
      <c r="B59" s="301" t="s">
        <v>381</v>
      </c>
      <c r="C59" s="301" t="s">
        <v>187</v>
      </c>
      <c r="D59" s="301">
        <v>194</v>
      </c>
      <c r="E59" s="301"/>
      <c r="F59" s="301" t="s">
        <v>223</v>
      </c>
      <c r="G59" s="300">
        <v>55</v>
      </c>
      <c r="H59" s="305"/>
    </row>
    <row r="60" spans="1:8">
      <c r="A60" s="299" t="s">
        <v>222</v>
      </c>
      <c r="G60" s="298">
        <v>55</v>
      </c>
      <c r="H60" s="305"/>
    </row>
    <row r="62" spans="1:8" s="313" customFormat="1">
      <c r="A62" s="312" t="s">
        <v>411</v>
      </c>
      <c r="G62" s="315">
        <f>+G51+G54+G57+G60</f>
        <v>1587</v>
      </c>
      <c r="H62" s="314"/>
    </row>
    <row r="63" spans="1:8">
      <c r="A63" s="299" t="s">
        <v>410</v>
      </c>
      <c r="H63" s="305"/>
    </row>
    <row r="64" spans="1:8">
      <c r="A64" s="299" t="s">
        <v>221</v>
      </c>
      <c r="H64" s="305"/>
    </row>
    <row r="65" spans="1:8">
      <c r="B65" s="301" t="s">
        <v>381</v>
      </c>
      <c r="C65" s="301" t="s">
        <v>187</v>
      </c>
      <c r="D65" s="301">
        <v>198</v>
      </c>
      <c r="E65" s="301"/>
      <c r="F65" s="301" t="s">
        <v>220</v>
      </c>
      <c r="G65" s="300">
        <v>213</v>
      </c>
      <c r="H65" s="305"/>
    </row>
    <row r="66" spans="1:8">
      <c r="A66" s="299" t="s">
        <v>409</v>
      </c>
      <c r="G66" s="311">
        <f>SUM(G65)</f>
        <v>213</v>
      </c>
      <c r="H66" s="305"/>
    </row>
    <row r="67" spans="1:8">
      <c r="G67" s="298"/>
      <c r="H67" s="305"/>
    </row>
    <row r="68" spans="1:8" s="201" customFormat="1" ht="15" thickBot="1">
      <c r="A68" s="276" t="s">
        <v>357</v>
      </c>
      <c r="G68" s="287">
        <f>+G43+G47+G62+G66</f>
        <v>5554.62</v>
      </c>
    </row>
    <row r="69" spans="1:8" s="201" customFormat="1" ht="15" thickTop="1">
      <c r="A69" s="276"/>
      <c r="G69" s="289"/>
    </row>
    <row r="70" spans="1:8" s="201" customFormat="1">
      <c r="A70" s="276" t="s">
        <v>328</v>
      </c>
      <c r="G70" s="278"/>
    </row>
    <row r="71" spans="1:8">
      <c r="A71" s="299" t="s">
        <v>380</v>
      </c>
      <c r="H71" s="305"/>
    </row>
    <row r="72" spans="1:8">
      <c r="A72" s="299" t="s">
        <v>185</v>
      </c>
      <c r="H72" s="305"/>
    </row>
    <row r="73" spans="1:8">
      <c r="B73" s="301" t="s">
        <v>376</v>
      </c>
      <c r="C73" s="301" t="s">
        <v>379</v>
      </c>
      <c r="D73" s="301">
        <v>12381</v>
      </c>
      <c r="E73" s="301" t="s">
        <v>378</v>
      </c>
      <c r="F73" s="301" t="s">
        <v>377</v>
      </c>
      <c r="G73" s="300">
        <v>150</v>
      </c>
      <c r="H73" s="305">
        <v>12381</v>
      </c>
    </row>
    <row r="74" spans="1:8">
      <c r="B74" s="301" t="s">
        <v>376</v>
      </c>
      <c r="C74" s="301" t="s">
        <v>175</v>
      </c>
      <c r="D74" s="301" t="s">
        <v>375</v>
      </c>
      <c r="E74" s="301" t="s">
        <v>374</v>
      </c>
      <c r="F74" s="301" t="s">
        <v>373</v>
      </c>
      <c r="G74" s="300">
        <v>57.89</v>
      </c>
      <c r="H74" s="305">
        <v>12461</v>
      </c>
    </row>
    <row r="75" spans="1:8">
      <c r="B75" s="301" t="s">
        <v>369</v>
      </c>
      <c r="C75" s="301" t="s">
        <v>175</v>
      </c>
      <c r="D75" s="301" t="s">
        <v>372</v>
      </c>
      <c r="E75" s="301" t="s">
        <v>371</v>
      </c>
      <c r="F75" s="301" t="s">
        <v>370</v>
      </c>
      <c r="G75" s="300">
        <v>30.24</v>
      </c>
      <c r="H75" s="305">
        <v>12462</v>
      </c>
    </row>
    <row r="76" spans="1:8">
      <c r="B76" s="301" t="s">
        <v>369</v>
      </c>
      <c r="C76" s="301" t="s">
        <v>175</v>
      </c>
      <c r="D76" s="301" t="s">
        <v>368</v>
      </c>
      <c r="E76" s="301" t="s">
        <v>173</v>
      </c>
      <c r="F76" s="301" t="s">
        <v>367</v>
      </c>
      <c r="G76" s="300">
        <v>49</v>
      </c>
      <c r="H76" s="305">
        <v>12463</v>
      </c>
    </row>
    <row r="77" spans="1:8">
      <c r="A77" s="299" t="s">
        <v>366</v>
      </c>
      <c r="G77" s="311">
        <f>SUM(G73:G76)</f>
        <v>287.13</v>
      </c>
      <c r="H77" s="305"/>
    </row>
    <row r="78" spans="1:8">
      <c r="A78" s="299"/>
      <c r="G78" s="330"/>
      <c r="H78" s="305"/>
    </row>
    <row r="79" spans="1:8">
      <c r="A79" s="322" t="s">
        <v>401</v>
      </c>
      <c r="H79" s="305"/>
    </row>
    <row r="80" spans="1:8">
      <c r="B80" s="301" t="s">
        <v>400</v>
      </c>
      <c r="C80" s="301" t="s">
        <v>175</v>
      </c>
      <c r="D80" s="301" t="s">
        <v>399</v>
      </c>
      <c r="E80" s="301" t="s">
        <v>398</v>
      </c>
      <c r="F80" s="301" t="s">
        <v>397</v>
      </c>
      <c r="G80" s="300">
        <v>329.9</v>
      </c>
      <c r="H80" s="305">
        <v>12449</v>
      </c>
    </row>
    <row r="81" spans="1:8">
      <c r="A81" s="299" t="s">
        <v>396</v>
      </c>
      <c r="G81" s="311">
        <f>SUM(G80)</f>
        <v>329.9</v>
      </c>
      <c r="H81" s="305"/>
    </row>
    <row r="82" spans="1:8">
      <c r="A82" s="299"/>
      <c r="G82" s="330"/>
      <c r="H82" s="305"/>
    </row>
    <row r="83" spans="1:8">
      <c r="A83" s="299" t="s">
        <v>395</v>
      </c>
      <c r="H83" s="305"/>
    </row>
    <row r="84" spans="1:8">
      <c r="B84" s="301" t="s">
        <v>381</v>
      </c>
      <c r="C84" s="301" t="s">
        <v>187</v>
      </c>
      <c r="D84" s="301">
        <v>185</v>
      </c>
      <c r="E84" s="301"/>
      <c r="F84" s="301" t="s">
        <v>213</v>
      </c>
      <c r="G84" s="300">
        <v>86</v>
      </c>
      <c r="H84" s="305"/>
    </row>
    <row r="85" spans="1:8">
      <c r="A85" s="299" t="s">
        <v>394</v>
      </c>
      <c r="G85" s="311">
        <f>SUM(G84)</f>
        <v>86</v>
      </c>
      <c r="H85" s="305"/>
    </row>
    <row r="86" spans="1:8" s="325" customFormat="1">
      <c r="A86" s="324"/>
      <c r="G86" s="326"/>
      <c r="H86" s="327"/>
    </row>
    <row r="87" spans="1:8">
      <c r="A87" s="322" t="s">
        <v>438</v>
      </c>
      <c r="G87" s="311">
        <f>+G81+G85</f>
        <v>415.9</v>
      </c>
      <c r="H87" s="305"/>
    </row>
    <row r="88" spans="1:8">
      <c r="A88" s="299"/>
      <c r="G88" s="306"/>
      <c r="H88" s="305"/>
    </row>
    <row r="89" spans="1:8">
      <c r="A89" s="276" t="s">
        <v>358</v>
      </c>
      <c r="G89" s="306"/>
      <c r="H89" s="305"/>
    </row>
    <row r="90" spans="1:8">
      <c r="A90" s="299" t="s">
        <v>407</v>
      </c>
      <c r="H90" s="305"/>
    </row>
    <row r="91" spans="1:8">
      <c r="B91" s="301" t="s">
        <v>381</v>
      </c>
      <c r="C91" s="301" t="s">
        <v>187</v>
      </c>
      <c r="D91" s="301">
        <v>180</v>
      </c>
      <c r="E91" s="301"/>
      <c r="F91" s="301" t="s">
        <v>214</v>
      </c>
      <c r="G91" s="300">
        <v>496</v>
      </c>
      <c r="H91" s="305"/>
    </row>
    <row r="92" spans="1:8">
      <c r="A92" s="276" t="s">
        <v>359</v>
      </c>
      <c r="G92" s="311">
        <v>496</v>
      </c>
      <c r="H92" s="305"/>
    </row>
    <row r="93" spans="1:8">
      <c r="A93" s="299"/>
      <c r="G93" s="298"/>
      <c r="H93" s="305"/>
    </row>
    <row r="94" spans="1:8" s="201" customFormat="1">
      <c r="A94" s="276" t="s">
        <v>330</v>
      </c>
      <c r="G94" s="289"/>
    </row>
    <row r="95" spans="1:8">
      <c r="A95" s="299" t="s">
        <v>201</v>
      </c>
      <c r="H95" s="305"/>
    </row>
    <row r="96" spans="1:8">
      <c r="B96" s="301" t="s">
        <v>389</v>
      </c>
      <c r="C96" s="301" t="s">
        <v>175</v>
      </c>
      <c r="D96" s="301" t="s">
        <v>392</v>
      </c>
      <c r="E96" s="301" t="s">
        <v>182</v>
      </c>
      <c r="F96" s="301" t="s">
        <v>391</v>
      </c>
      <c r="G96" s="300">
        <v>648</v>
      </c>
      <c r="H96" s="305">
        <v>12363</v>
      </c>
    </row>
    <row r="97" spans="1:8">
      <c r="A97" s="276" t="s">
        <v>345</v>
      </c>
      <c r="G97" s="298">
        <v>648</v>
      </c>
      <c r="H97" s="305"/>
    </row>
    <row r="98" spans="1:8">
      <c r="A98" s="299" t="s">
        <v>198</v>
      </c>
      <c r="H98" s="305"/>
    </row>
    <row r="99" spans="1:8">
      <c r="A99" s="299" t="s">
        <v>197</v>
      </c>
      <c r="H99" s="305"/>
    </row>
    <row r="100" spans="1:8">
      <c r="B100" s="301" t="s">
        <v>381</v>
      </c>
      <c r="C100" s="301" t="s">
        <v>187</v>
      </c>
      <c r="D100" s="301">
        <v>189</v>
      </c>
      <c r="E100" s="301"/>
      <c r="F100" s="301" t="s">
        <v>196</v>
      </c>
      <c r="G100" s="300">
        <v>176</v>
      </c>
      <c r="H100" s="305"/>
    </row>
    <row r="101" spans="1:8">
      <c r="A101" s="299" t="s">
        <v>195</v>
      </c>
      <c r="G101" s="298">
        <v>176</v>
      </c>
      <c r="H101" s="305"/>
    </row>
    <row r="102" spans="1:8">
      <c r="A102" s="299" t="s">
        <v>192</v>
      </c>
      <c r="H102" s="305"/>
    </row>
    <row r="103" spans="1:8">
      <c r="B103" s="301" t="s">
        <v>381</v>
      </c>
      <c r="C103" s="301" t="s">
        <v>187</v>
      </c>
      <c r="D103" s="301">
        <v>184</v>
      </c>
      <c r="E103" s="301"/>
      <c r="F103" s="301" t="s">
        <v>191</v>
      </c>
      <c r="G103" s="300">
        <v>97</v>
      </c>
      <c r="H103" s="305"/>
    </row>
    <row r="104" spans="1:8">
      <c r="A104" s="299" t="s">
        <v>190</v>
      </c>
      <c r="G104" s="298">
        <v>97</v>
      </c>
      <c r="H104" s="305"/>
    </row>
    <row r="105" spans="1:8" s="259" customFormat="1">
      <c r="A105" s="328" t="s">
        <v>344</v>
      </c>
      <c r="G105" s="288">
        <f>+G101+G104</f>
        <v>273</v>
      </c>
    </row>
    <row r="106" spans="1:8" s="201" customFormat="1">
      <c r="A106" s="205"/>
      <c r="G106" s="289"/>
    </row>
    <row r="107" spans="1:8" s="258" customFormat="1">
      <c r="A107" s="276" t="s">
        <v>354</v>
      </c>
      <c r="G107" s="288">
        <f>+G97+G105</f>
        <v>921</v>
      </c>
    </row>
    <row r="108" spans="1:8">
      <c r="A108" s="299"/>
      <c r="G108" s="298"/>
      <c r="H108" s="305"/>
    </row>
    <row r="109" spans="1:8" s="201" customFormat="1">
      <c r="A109" s="276" t="s">
        <v>333</v>
      </c>
      <c r="G109" s="278"/>
    </row>
    <row r="110" spans="1:8">
      <c r="A110" s="299" t="s">
        <v>390</v>
      </c>
      <c r="H110" s="305"/>
    </row>
    <row r="111" spans="1:8">
      <c r="B111" s="301" t="s">
        <v>389</v>
      </c>
      <c r="C111" s="301" t="s">
        <v>175</v>
      </c>
      <c r="D111" s="301" t="s">
        <v>388</v>
      </c>
      <c r="E111" s="301" t="s">
        <v>387</v>
      </c>
      <c r="F111" s="301" t="s">
        <v>386</v>
      </c>
      <c r="G111" s="300">
        <v>228</v>
      </c>
      <c r="H111" s="305">
        <v>12418</v>
      </c>
    </row>
    <row r="112" spans="1:8">
      <c r="A112" s="299" t="s">
        <v>385</v>
      </c>
      <c r="G112" s="298">
        <f>SUM(G111)</f>
        <v>228</v>
      </c>
      <c r="H112" s="305"/>
    </row>
    <row r="113" spans="1:8">
      <c r="A113" s="299" t="s">
        <v>194</v>
      </c>
      <c r="H113" s="305"/>
    </row>
    <row r="114" spans="1:8">
      <c r="B114" s="301" t="s">
        <v>381</v>
      </c>
      <c r="C114" s="301" t="s">
        <v>187</v>
      </c>
      <c r="D114" s="301">
        <v>183</v>
      </c>
      <c r="E114" s="301"/>
      <c r="F114" s="301" t="s">
        <v>193</v>
      </c>
      <c r="G114" s="300">
        <v>294</v>
      </c>
      <c r="H114" s="305"/>
    </row>
    <row r="115" spans="1:8">
      <c r="A115" s="299" t="s">
        <v>384</v>
      </c>
      <c r="G115" s="298">
        <f>SUM(G114)</f>
        <v>294</v>
      </c>
      <c r="H115" s="305"/>
    </row>
    <row r="116" spans="1:8">
      <c r="A116" s="276" t="s">
        <v>334</v>
      </c>
      <c r="G116" s="311">
        <f>+G112+G115</f>
        <v>522</v>
      </c>
      <c r="H116" s="305"/>
    </row>
    <row r="117" spans="1:8">
      <c r="A117" s="299"/>
      <c r="G117" s="306"/>
      <c r="H117" s="305"/>
    </row>
    <row r="118" spans="1:8">
      <c r="A118" s="299"/>
      <c r="G118" s="306"/>
      <c r="H118" s="305"/>
    </row>
    <row r="119" spans="1:8">
      <c r="A119" s="299"/>
      <c r="G119" s="306"/>
      <c r="H119" s="305"/>
    </row>
    <row r="120" spans="1:8">
      <c r="A120" s="221" t="s">
        <v>335</v>
      </c>
      <c r="G120" s="306"/>
      <c r="H120" s="305"/>
    </row>
    <row r="121" spans="1:8">
      <c r="A121" s="299" t="s">
        <v>218</v>
      </c>
      <c r="H121" s="305"/>
    </row>
    <row r="122" spans="1:8">
      <c r="A122" s="299" t="s">
        <v>408</v>
      </c>
      <c r="H122" s="305"/>
    </row>
    <row r="123" spans="1:8">
      <c r="B123" s="301" t="s">
        <v>381</v>
      </c>
      <c r="C123" s="301" t="s">
        <v>187</v>
      </c>
      <c r="D123" s="301">
        <v>181</v>
      </c>
      <c r="E123" s="301"/>
      <c r="F123" s="301" t="s">
        <v>217</v>
      </c>
      <c r="G123" s="300">
        <v>380</v>
      </c>
      <c r="H123" s="305"/>
    </row>
    <row r="124" spans="1:8">
      <c r="A124" s="299" t="s">
        <v>216</v>
      </c>
      <c r="G124" s="298">
        <f>SUM(G123)</f>
        <v>380</v>
      </c>
      <c r="H124" s="305"/>
    </row>
    <row r="125" spans="1:8">
      <c r="A125" s="299" t="s">
        <v>204</v>
      </c>
      <c r="G125" s="317"/>
      <c r="H125" s="305"/>
    </row>
    <row r="126" spans="1:8">
      <c r="B126" s="301" t="s">
        <v>381</v>
      </c>
      <c r="C126" s="301" t="s">
        <v>187</v>
      </c>
      <c r="D126" s="301">
        <v>188</v>
      </c>
      <c r="E126" s="301"/>
      <c r="F126" s="301" t="s">
        <v>203</v>
      </c>
      <c r="G126" s="300">
        <v>39</v>
      </c>
      <c r="H126" s="305"/>
    </row>
    <row r="127" spans="1:8">
      <c r="A127" s="299" t="s">
        <v>202</v>
      </c>
      <c r="G127" s="298">
        <f>SUM(G126)</f>
        <v>39</v>
      </c>
      <c r="H127" s="305"/>
    </row>
    <row r="128" spans="1:8">
      <c r="A128" s="299" t="s">
        <v>406</v>
      </c>
      <c r="H128" s="305"/>
    </row>
    <row r="129" spans="1:8">
      <c r="B129" s="301" t="s">
        <v>369</v>
      </c>
      <c r="C129" s="301" t="s">
        <v>175</v>
      </c>
      <c r="D129" s="301" t="s">
        <v>405</v>
      </c>
      <c r="E129" s="301" t="s">
        <v>404</v>
      </c>
      <c r="F129" s="301" t="s">
        <v>403</v>
      </c>
      <c r="G129" s="300">
        <v>156.94</v>
      </c>
      <c r="H129" s="305">
        <v>12464</v>
      </c>
    </row>
    <row r="130" spans="1:8">
      <c r="A130" s="299" t="s">
        <v>402</v>
      </c>
      <c r="G130" s="298">
        <f>SUM(G129)</f>
        <v>156.94</v>
      </c>
      <c r="H130" s="305"/>
    </row>
    <row r="131" spans="1:8">
      <c r="A131" s="299"/>
      <c r="G131" s="323"/>
      <c r="H131" s="305"/>
    </row>
    <row r="132" spans="1:8">
      <c r="A132" s="276" t="s">
        <v>336</v>
      </c>
      <c r="G132" s="311">
        <f>+G124+G127+G130</f>
        <v>575.94000000000005</v>
      </c>
      <c r="H132" s="305"/>
    </row>
    <row r="133" spans="1:8">
      <c r="A133" s="276"/>
      <c r="G133" s="330"/>
      <c r="H133" s="305"/>
    </row>
    <row r="134" spans="1:8">
      <c r="A134" s="276" t="s">
        <v>339</v>
      </c>
      <c r="H134" s="305"/>
    </row>
    <row r="135" spans="1:8">
      <c r="A135" s="299" t="s">
        <v>210</v>
      </c>
      <c r="H135" s="305"/>
    </row>
    <row r="136" spans="1:8">
      <c r="B136" s="301" t="s">
        <v>381</v>
      </c>
      <c r="C136" s="301" t="s">
        <v>187</v>
      </c>
      <c r="D136" s="301">
        <v>176</v>
      </c>
      <c r="E136" s="301" t="s">
        <v>434</v>
      </c>
      <c r="F136" s="301" t="s">
        <v>209</v>
      </c>
      <c r="G136" s="300">
        <v>161</v>
      </c>
      <c r="H136" s="305"/>
    </row>
    <row r="137" spans="1:8">
      <c r="A137" s="299" t="s">
        <v>208</v>
      </c>
      <c r="G137" s="298">
        <f>SUM(G136)</f>
        <v>161</v>
      </c>
      <c r="H137" s="305"/>
    </row>
    <row r="138" spans="1:8">
      <c r="A138" s="299" t="s">
        <v>207</v>
      </c>
      <c r="H138" s="305"/>
    </row>
    <row r="139" spans="1:8">
      <c r="B139" s="301" t="s">
        <v>381</v>
      </c>
      <c r="C139" s="301" t="s">
        <v>187</v>
      </c>
      <c r="D139" s="301">
        <v>187</v>
      </c>
      <c r="E139" s="301"/>
      <c r="F139" s="301" t="s">
        <v>206</v>
      </c>
      <c r="G139" s="300">
        <v>111</v>
      </c>
      <c r="H139" s="305"/>
    </row>
    <row r="140" spans="1:8">
      <c r="A140" s="299" t="s">
        <v>205</v>
      </c>
      <c r="G140" s="298">
        <f>SUM(G139)</f>
        <v>111</v>
      </c>
      <c r="H140" s="305"/>
    </row>
    <row r="141" spans="1:8">
      <c r="A141" s="322" t="s">
        <v>439</v>
      </c>
      <c r="G141" s="311">
        <f>+G137+G140</f>
        <v>272</v>
      </c>
      <c r="H141" s="305"/>
    </row>
    <row r="142" spans="1:8">
      <c r="A142" s="299"/>
      <c r="G142" s="306"/>
      <c r="H142" s="305"/>
    </row>
    <row r="143" spans="1:8">
      <c r="A143" s="322" t="s">
        <v>440</v>
      </c>
      <c r="H143" s="305"/>
    </row>
    <row r="144" spans="1:8">
      <c r="A144" s="299" t="s">
        <v>383</v>
      </c>
      <c r="H144" s="305"/>
    </row>
    <row r="145" spans="1:16384">
      <c r="A145" s="299" t="s">
        <v>382</v>
      </c>
      <c r="H145" s="305"/>
    </row>
    <row r="146" spans="1:16384">
      <c r="B146" s="301" t="s">
        <v>381</v>
      </c>
      <c r="C146" s="301" t="s">
        <v>187</v>
      </c>
      <c r="D146" s="301">
        <v>182</v>
      </c>
      <c r="E146" s="301"/>
      <c r="F146" s="301" t="s">
        <v>186</v>
      </c>
      <c r="G146" s="300">
        <v>503</v>
      </c>
      <c r="H146" s="305"/>
    </row>
    <row r="147" spans="1:16384" s="313" customFormat="1">
      <c r="A147" s="322" t="s">
        <v>441</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442</v>
      </c>
      <c r="G149" s="306"/>
      <c r="H149" s="305"/>
    </row>
    <row r="150" spans="1:16384">
      <c r="A150" s="299" t="s">
        <v>393</v>
      </c>
      <c r="H150" s="305"/>
    </row>
    <row r="151" spans="1:16384">
      <c r="B151" s="301" t="s">
        <v>381</v>
      </c>
      <c r="C151" s="301" t="s">
        <v>187</v>
      </c>
      <c r="D151" s="301">
        <v>196</v>
      </c>
      <c r="E151" s="301"/>
      <c r="F151" s="301" t="s">
        <v>152</v>
      </c>
      <c r="G151" s="300">
        <v>38</v>
      </c>
      <c r="H151" s="305"/>
    </row>
    <row r="152" spans="1:16384">
      <c r="A152" s="334" t="s">
        <v>443</v>
      </c>
      <c r="G152" s="311">
        <f>SUM(G151)</f>
        <v>38</v>
      </c>
      <c r="H152" s="305"/>
    </row>
    <row r="153" spans="1:16384">
      <c r="H153" s="305"/>
    </row>
    <row r="155" spans="1:16384">
      <c r="A155" s="316"/>
      <c r="B155" s="316"/>
      <c r="C155" s="316"/>
      <c r="D155" s="316"/>
      <c r="E155" s="316"/>
      <c r="F155" s="316"/>
      <c r="G155" s="316"/>
      <c r="H155" s="316"/>
    </row>
    <row r="156" spans="1:16384">
      <c r="A156" s="505" t="s">
        <v>365</v>
      </c>
      <c r="B156" s="505"/>
      <c r="C156" s="505"/>
      <c r="D156" s="505"/>
      <c r="E156" s="505"/>
      <c r="F156" s="505"/>
      <c r="G156" s="505"/>
      <c r="H156" s="505"/>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129</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rgb="FFFFFF00"/>
  </sheetPr>
  <dimension ref="A1:K175"/>
  <sheetViews>
    <sheetView workbookViewId="0">
      <selection sqref="A1:XFD1048576"/>
    </sheetView>
  </sheetViews>
  <sheetFormatPr defaultRowHeight="14.5"/>
  <cols>
    <col min="1" max="1" width="57.54296875" style="3" customWidth="1"/>
    <col min="2" max="2" width="9.453125" style="3" customWidth="1"/>
    <col min="3" max="4" width="12" style="3" customWidth="1"/>
    <col min="5" max="5" width="30.08984375" style="3" customWidth="1"/>
    <col min="6" max="6" width="16.36328125" style="3" customWidth="1"/>
    <col min="7" max="7" width="14.6328125" style="3" customWidth="1"/>
    <col min="8" max="8" width="80.81640625" style="3" customWidth="1"/>
    <col min="9" max="9" width="56.7265625" style="3" customWidth="1"/>
    <col min="10" max="10" width="11.1796875" style="3" customWidth="1"/>
    <col min="11" max="11" width="8.6328125" style="3" customWidth="1"/>
    <col min="12" max="16384" width="8.7265625" style="3"/>
  </cols>
  <sheetData>
    <row r="1" spans="1:11" ht="18">
      <c r="A1" s="545" t="s">
        <v>278</v>
      </c>
      <c r="B1" s="546"/>
      <c r="C1" s="546"/>
      <c r="D1" s="546"/>
      <c r="E1" s="546"/>
      <c r="F1" s="546"/>
      <c r="G1" s="546"/>
      <c r="H1" s="546"/>
      <c r="I1" s="546"/>
      <c r="J1" s="546"/>
      <c r="K1" s="546"/>
    </row>
    <row r="2" spans="1:11" ht="18">
      <c r="A2" s="545" t="s">
        <v>626</v>
      </c>
      <c r="B2" s="546"/>
      <c r="C2" s="546"/>
      <c r="D2" s="546"/>
      <c r="E2" s="546"/>
      <c r="F2" s="546"/>
      <c r="G2" s="546"/>
      <c r="H2" s="546"/>
      <c r="I2" s="546"/>
      <c r="J2" s="546"/>
      <c r="K2" s="546"/>
    </row>
    <row r="3" spans="1:11">
      <c r="A3" s="547" t="s">
        <v>432</v>
      </c>
      <c r="B3" s="546"/>
      <c r="C3" s="546"/>
      <c r="D3" s="546"/>
      <c r="E3" s="546"/>
      <c r="F3" s="546"/>
      <c r="G3" s="546"/>
      <c r="H3" s="546"/>
      <c r="I3" s="546"/>
      <c r="J3" s="546"/>
      <c r="K3" s="546"/>
    </row>
    <row r="5" spans="1:11" ht="24">
      <c r="B5" s="548" t="s">
        <v>154</v>
      </c>
      <c r="C5" s="548" t="s">
        <v>431</v>
      </c>
      <c r="D5" s="548" t="s">
        <v>275</v>
      </c>
      <c r="E5" s="548" t="s">
        <v>274</v>
      </c>
      <c r="F5" s="548" t="s">
        <v>627</v>
      </c>
      <c r="G5" s="548" t="s">
        <v>628</v>
      </c>
      <c r="H5" s="548" t="s">
        <v>273</v>
      </c>
      <c r="I5" s="548" t="s">
        <v>629</v>
      </c>
      <c r="J5" s="548" t="s">
        <v>272</v>
      </c>
      <c r="K5" s="548" t="s">
        <v>630</v>
      </c>
    </row>
    <row r="6" spans="1:11">
      <c r="A6" s="549" t="s">
        <v>631</v>
      </c>
    </row>
    <row r="7" spans="1:11">
      <c r="A7" s="549" t="s">
        <v>632</v>
      </c>
    </row>
    <row r="8" spans="1:11">
      <c r="A8" s="549" t="s">
        <v>633</v>
      </c>
    </row>
    <row r="9" spans="1:11">
      <c r="A9" s="549" t="s">
        <v>634</v>
      </c>
    </row>
    <row r="10" spans="1:11">
      <c r="A10" s="549" t="s">
        <v>635</v>
      </c>
    </row>
    <row r="11" spans="1:11">
      <c r="A11" s="549" t="s">
        <v>636</v>
      </c>
    </row>
    <row r="12" spans="1:11">
      <c r="B12" s="550" t="s">
        <v>381</v>
      </c>
      <c r="C12" s="550" t="s">
        <v>187</v>
      </c>
      <c r="D12" s="550">
        <v>211</v>
      </c>
      <c r="E12" s="550"/>
      <c r="F12" s="550"/>
      <c r="G12" s="550" t="s">
        <v>637</v>
      </c>
      <c r="H12" s="550" t="s">
        <v>753</v>
      </c>
      <c r="I12" s="551" t="s">
        <v>639</v>
      </c>
      <c r="J12" s="552">
        <v>29982.37</v>
      </c>
      <c r="K12" s="552">
        <v>29982.37</v>
      </c>
    </row>
    <row r="13" spans="1:11">
      <c r="A13" s="549" t="s">
        <v>640</v>
      </c>
      <c r="J13" s="553">
        <v>29982.37</v>
      </c>
    </row>
    <row r="14" spans="1:11">
      <c r="A14" s="549" t="s">
        <v>641</v>
      </c>
      <c r="J14" s="553">
        <v>29982.37</v>
      </c>
    </row>
    <row r="15" spans="1:11">
      <c r="A15" s="549" t="s">
        <v>642</v>
      </c>
    </row>
    <row r="16" spans="1:11">
      <c r="B16" s="550" t="s">
        <v>419</v>
      </c>
      <c r="C16" s="550" t="s">
        <v>187</v>
      </c>
      <c r="D16" s="550" t="s">
        <v>418</v>
      </c>
      <c r="E16" s="550"/>
      <c r="F16" s="550"/>
      <c r="G16" s="550" t="s">
        <v>637</v>
      </c>
      <c r="H16" s="550" t="s">
        <v>643</v>
      </c>
      <c r="I16" s="551" t="s">
        <v>639</v>
      </c>
      <c r="J16" s="552">
        <v>50577.67</v>
      </c>
      <c r="K16" s="552">
        <v>50577.67</v>
      </c>
    </row>
    <row r="17" spans="1:11">
      <c r="B17" s="550" t="s">
        <v>417</v>
      </c>
      <c r="C17" s="550" t="s">
        <v>187</v>
      </c>
      <c r="D17" s="550">
        <v>162</v>
      </c>
      <c r="E17" s="550"/>
      <c r="F17" s="550"/>
      <c r="G17" s="550" t="s">
        <v>637</v>
      </c>
      <c r="H17" s="550" t="s">
        <v>643</v>
      </c>
      <c r="I17" s="551" t="s">
        <v>639</v>
      </c>
      <c r="J17" s="552">
        <v>52784.02</v>
      </c>
      <c r="K17" s="552">
        <v>103361.69</v>
      </c>
    </row>
    <row r="18" spans="1:11">
      <c r="A18" s="549" t="s">
        <v>644</v>
      </c>
      <c r="J18" s="553">
        <v>103361.69</v>
      </c>
    </row>
    <row r="19" spans="1:11">
      <c r="A19" s="549" t="s">
        <v>645</v>
      </c>
      <c r="J19" s="553">
        <v>133344.06</v>
      </c>
    </row>
    <row r="20" spans="1:11">
      <c r="A20" s="549" t="s">
        <v>646</v>
      </c>
      <c r="J20" s="553">
        <v>133344.06</v>
      </c>
    </row>
    <row r="21" spans="1:11">
      <c r="A21" s="549" t="s">
        <v>647</v>
      </c>
      <c r="J21" s="553">
        <v>133344.06</v>
      </c>
    </row>
    <row r="22" spans="1:11">
      <c r="A22" s="549" t="s">
        <v>648</v>
      </c>
    </row>
    <row r="23" spans="1:11">
      <c r="A23" s="549" t="s">
        <v>649</v>
      </c>
    </row>
    <row r="24" spans="1:11">
      <c r="A24" s="549" t="s">
        <v>650</v>
      </c>
    </row>
    <row r="25" spans="1:11">
      <c r="B25" s="550" t="s">
        <v>419</v>
      </c>
      <c r="C25" s="550" t="s">
        <v>187</v>
      </c>
      <c r="D25" s="550" t="s">
        <v>418</v>
      </c>
      <c r="E25" s="550"/>
      <c r="F25" s="550"/>
      <c r="G25" s="550" t="s">
        <v>637</v>
      </c>
      <c r="H25" s="550" t="s">
        <v>430</v>
      </c>
      <c r="I25" s="551" t="s">
        <v>639</v>
      </c>
      <c r="J25" s="552">
        <v>46610</v>
      </c>
      <c r="K25" s="552">
        <v>46610</v>
      </c>
    </row>
    <row r="26" spans="1:11">
      <c r="B26" s="550" t="s">
        <v>417</v>
      </c>
      <c r="C26" s="550" t="s">
        <v>187</v>
      </c>
      <c r="D26" s="550">
        <v>162</v>
      </c>
      <c r="E26" s="550"/>
      <c r="F26" s="550"/>
      <c r="G26" s="550" t="s">
        <v>637</v>
      </c>
      <c r="H26" s="550" t="s">
        <v>429</v>
      </c>
      <c r="I26" s="551" t="s">
        <v>639</v>
      </c>
      <c r="J26" s="552">
        <v>48474</v>
      </c>
      <c r="K26" s="552">
        <v>95084</v>
      </c>
    </row>
    <row r="27" spans="1:11">
      <c r="A27" s="549" t="s">
        <v>652</v>
      </c>
      <c r="J27" s="553">
        <v>95084</v>
      </c>
    </row>
    <row r="28" spans="1:11">
      <c r="A28" s="549" t="s">
        <v>653</v>
      </c>
    </row>
    <row r="29" spans="1:11">
      <c r="B29" s="550" t="s">
        <v>376</v>
      </c>
      <c r="C29" s="550" t="s">
        <v>175</v>
      </c>
      <c r="D29" s="550" t="s">
        <v>428</v>
      </c>
      <c r="E29" s="550" t="s">
        <v>427</v>
      </c>
      <c r="F29" s="550" t="s">
        <v>746</v>
      </c>
      <c r="G29" s="550" t="s">
        <v>637</v>
      </c>
      <c r="H29" s="550" t="s">
        <v>426</v>
      </c>
      <c r="I29" s="550" t="s">
        <v>656</v>
      </c>
      <c r="J29" s="552">
        <v>236.8</v>
      </c>
      <c r="K29" s="552">
        <v>236.8</v>
      </c>
    </row>
    <row r="30" spans="1:11">
      <c r="B30" s="550" t="s">
        <v>376</v>
      </c>
      <c r="C30" s="550" t="s">
        <v>175</v>
      </c>
      <c r="D30" s="550" t="s">
        <v>424</v>
      </c>
      <c r="E30" s="550" t="s">
        <v>423</v>
      </c>
      <c r="F30" s="550" t="s">
        <v>746</v>
      </c>
      <c r="G30" s="550" t="s">
        <v>637</v>
      </c>
      <c r="H30" s="550" t="s">
        <v>422</v>
      </c>
      <c r="I30" s="550" t="s">
        <v>656</v>
      </c>
      <c r="J30" s="552">
        <v>273.16000000000003</v>
      </c>
      <c r="K30" s="552">
        <v>509.96</v>
      </c>
    </row>
    <row r="31" spans="1:11">
      <c r="B31" s="550" t="s">
        <v>754</v>
      </c>
      <c r="C31" s="550" t="s">
        <v>175</v>
      </c>
      <c r="D31" s="550"/>
      <c r="E31" s="550" t="s">
        <v>755</v>
      </c>
      <c r="F31" s="550"/>
      <c r="G31" s="550" t="s">
        <v>637</v>
      </c>
      <c r="H31" s="550" t="s">
        <v>756</v>
      </c>
      <c r="I31" s="550" t="s">
        <v>656</v>
      </c>
      <c r="J31" s="552">
        <v>257.17</v>
      </c>
      <c r="K31" s="552">
        <v>767.13</v>
      </c>
    </row>
    <row r="32" spans="1:11">
      <c r="B32" s="550" t="s">
        <v>754</v>
      </c>
      <c r="C32" s="550" t="s">
        <v>175</v>
      </c>
      <c r="D32" s="550"/>
      <c r="E32" s="550" t="s">
        <v>757</v>
      </c>
      <c r="F32" s="550"/>
      <c r="G32" s="550" t="s">
        <v>637</v>
      </c>
      <c r="H32" s="550" t="s">
        <v>758</v>
      </c>
      <c r="I32" s="550" t="s">
        <v>656</v>
      </c>
      <c r="J32" s="552">
        <v>273.13</v>
      </c>
      <c r="K32" s="552">
        <v>1040.26</v>
      </c>
    </row>
    <row r="33" spans="1:11">
      <c r="B33" s="550" t="s">
        <v>759</v>
      </c>
      <c r="C33" s="550" t="s">
        <v>266</v>
      </c>
      <c r="D33" s="550"/>
      <c r="E33" s="550" t="s">
        <v>760</v>
      </c>
      <c r="F33" s="550"/>
      <c r="G33" s="550" t="s">
        <v>637</v>
      </c>
      <c r="H33" s="550" t="s">
        <v>761</v>
      </c>
      <c r="I33" s="550" t="s">
        <v>654</v>
      </c>
      <c r="J33" s="552">
        <v>-530.29999999999995</v>
      </c>
      <c r="K33" s="552">
        <v>509.96</v>
      </c>
    </row>
    <row r="34" spans="1:11">
      <c r="A34" s="549" t="s">
        <v>657</v>
      </c>
      <c r="J34" s="553">
        <v>509.96</v>
      </c>
    </row>
    <row r="35" spans="1:11">
      <c r="A35" s="549" t="s">
        <v>658</v>
      </c>
      <c r="J35" s="553">
        <v>95593.96</v>
      </c>
    </row>
    <row r="36" spans="1:11">
      <c r="A36" s="549" t="s">
        <v>659</v>
      </c>
    </row>
    <row r="37" spans="1:11">
      <c r="B37" s="550" t="s">
        <v>419</v>
      </c>
      <c r="C37" s="550" t="s">
        <v>187</v>
      </c>
      <c r="D37" s="550" t="s">
        <v>418</v>
      </c>
      <c r="E37" s="550"/>
      <c r="F37" s="550"/>
      <c r="G37" s="550" t="s">
        <v>637</v>
      </c>
      <c r="H37" s="550" t="s">
        <v>420</v>
      </c>
      <c r="I37" s="551" t="s">
        <v>639</v>
      </c>
      <c r="J37" s="552">
        <v>3565.8</v>
      </c>
      <c r="K37" s="552">
        <v>3565.8</v>
      </c>
    </row>
    <row r="38" spans="1:11">
      <c r="B38" s="550" t="s">
        <v>417</v>
      </c>
      <c r="C38" s="550" t="s">
        <v>187</v>
      </c>
      <c r="D38" s="550">
        <v>162</v>
      </c>
      <c r="E38" s="550"/>
      <c r="F38" s="550"/>
      <c r="G38" s="550" t="s">
        <v>637</v>
      </c>
      <c r="H38" s="550" t="s">
        <v>420</v>
      </c>
      <c r="I38" s="551" t="s">
        <v>639</v>
      </c>
      <c r="J38" s="552">
        <v>3710.2</v>
      </c>
      <c r="K38" s="552">
        <v>7276</v>
      </c>
    </row>
    <row r="39" spans="1:11">
      <c r="A39" s="549" t="s">
        <v>660</v>
      </c>
      <c r="J39" s="553">
        <v>7276</v>
      </c>
    </row>
    <row r="40" spans="1:11">
      <c r="A40" s="549" t="s">
        <v>661</v>
      </c>
    </row>
    <row r="41" spans="1:11">
      <c r="B41" s="550" t="s">
        <v>381</v>
      </c>
      <c r="C41" s="550" t="s">
        <v>187</v>
      </c>
      <c r="D41" s="550">
        <v>192</v>
      </c>
      <c r="E41" s="550"/>
      <c r="F41" s="550"/>
      <c r="G41" s="550" t="s">
        <v>637</v>
      </c>
      <c r="H41" s="550" t="s">
        <v>412</v>
      </c>
      <c r="I41" s="551" t="s">
        <v>639</v>
      </c>
      <c r="J41" s="552">
        <v>2741</v>
      </c>
      <c r="K41" s="552">
        <v>2741</v>
      </c>
    </row>
    <row r="42" spans="1:11">
      <c r="A42" s="549" t="s">
        <v>662</v>
      </c>
      <c r="J42" s="553">
        <v>2741</v>
      </c>
    </row>
    <row r="43" spans="1:11">
      <c r="A43" s="549" t="s">
        <v>663</v>
      </c>
    </row>
    <row r="44" spans="1:11">
      <c r="B44" s="550" t="s">
        <v>419</v>
      </c>
      <c r="C44" s="550" t="s">
        <v>187</v>
      </c>
      <c r="D44" s="550" t="s">
        <v>418</v>
      </c>
      <c r="E44" s="550"/>
      <c r="F44" s="550"/>
      <c r="G44" s="550" t="s">
        <v>637</v>
      </c>
      <c r="H44" s="550" t="s">
        <v>416</v>
      </c>
      <c r="I44" s="551" t="s">
        <v>639</v>
      </c>
      <c r="J44" s="552">
        <v>401.87</v>
      </c>
      <c r="K44" s="552">
        <v>401.87</v>
      </c>
    </row>
    <row r="45" spans="1:11">
      <c r="B45" s="550" t="s">
        <v>417</v>
      </c>
      <c r="C45" s="550" t="s">
        <v>187</v>
      </c>
      <c r="D45" s="550">
        <v>162</v>
      </c>
      <c r="E45" s="550"/>
      <c r="F45" s="550"/>
      <c r="G45" s="550" t="s">
        <v>637</v>
      </c>
      <c r="H45" s="550" t="s">
        <v>416</v>
      </c>
      <c r="I45" s="551" t="s">
        <v>639</v>
      </c>
      <c r="J45" s="552">
        <v>599.82000000000005</v>
      </c>
      <c r="K45" s="552">
        <v>1001.69</v>
      </c>
    </row>
    <row r="46" spans="1:11">
      <c r="A46" s="549" t="s">
        <v>664</v>
      </c>
      <c r="J46" s="553">
        <v>1001.69</v>
      </c>
    </row>
    <row r="47" spans="1:11">
      <c r="A47" s="549" t="s">
        <v>665</v>
      </c>
      <c r="J47" s="553">
        <v>106612.65</v>
      </c>
    </row>
    <row r="48" spans="1:11">
      <c r="A48" s="549" t="s">
        <v>666</v>
      </c>
    </row>
    <row r="49" spans="1:11">
      <c r="A49" s="549" t="s">
        <v>667</v>
      </c>
    </row>
    <row r="50" spans="1:11">
      <c r="A50" s="549" t="s">
        <v>668</v>
      </c>
    </row>
    <row r="51" spans="1:11">
      <c r="B51" s="550" t="s">
        <v>381</v>
      </c>
      <c r="C51" s="550" t="s">
        <v>187</v>
      </c>
      <c r="D51" s="550">
        <v>175</v>
      </c>
      <c r="E51" s="550"/>
      <c r="F51" s="550"/>
      <c r="G51" s="550" t="s">
        <v>637</v>
      </c>
      <c r="H51" s="550" t="s">
        <v>762</v>
      </c>
      <c r="I51" s="551" t="s">
        <v>639</v>
      </c>
      <c r="J51" s="552">
        <v>17145.830000000002</v>
      </c>
      <c r="K51" s="552">
        <v>17145.830000000002</v>
      </c>
    </row>
    <row r="52" spans="1:11">
      <c r="A52" s="549" t="s">
        <v>669</v>
      </c>
      <c r="J52" s="553">
        <v>17145.830000000002</v>
      </c>
    </row>
    <row r="53" spans="1:11">
      <c r="A53" s="549" t="s">
        <v>670</v>
      </c>
      <c r="J53" s="553">
        <v>17145.830000000002</v>
      </c>
    </row>
    <row r="54" spans="1:11">
      <c r="A54" s="549" t="s">
        <v>671</v>
      </c>
    </row>
    <row r="55" spans="1:11">
      <c r="A55" s="549" t="s">
        <v>672</v>
      </c>
    </row>
    <row r="56" spans="1:11">
      <c r="B56" s="550" t="s">
        <v>414</v>
      </c>
      <c r="C56" s="550" t="s">
        <v>187</v>
      </c>
      <c r="D56" s="550">
        <v>202</v>
      </c>
      <c r="E56" s="550"/>
      <c r="F56" s="550"/>
      <c r="G56" s="550" t="s">
        <v>637</v>
      </c>
      <c r="H56" s="550" t="s">
        <v>763</v>
      </c>
      <c r="I56" s="551" t="s">
        <v>639</v>
      </c>
      <c r="J56" s="552">
        <v>3813.99</v>
      </c>
      <c r="K56" s="552">
        <v>3813.99</v>
      </c>
    </row>
    <row r="57" spans="1:11">
      <c r="A57" s="549" t="s">
        <v>673</v>
      </c>
      <c r="J57" s="553">
        <v>3813.99</v>
      </c>
    </row>
    <row r="58" spans="1:11">
      <c r="A58" s="549" t="s">
        <v>674</v>
      </c>
    </row>
    <row r="59" spans="1:11">
      <c r="B59" s="550" t="s">
        <v>381</v>
      </c>
      <c r="C59" s="550" t="s">
        <v>187</v>
      </c>
      <c r="D59" s="550">
        <v>208</v>
      </c>
      <c r="E59" s="550"/>
      <c r="F59" s="550"/>
      <c r="G59" s="550" t="s">
        <v>637</v>
      </c>
      <c r="H59" s="550"/>
      <c r="I59" s="551" t="s">
        <v>639</v>
      </c>
      <c r="J59" s="552">
        <v>171.06</v>
      </c>
      <c r="K59" s="552">
        <v>171.06</v>
      </c>
    </row>
    <row r="60" spans="1:11">
      <c r="A60" s="549" t="s">
        <v>675</v>
      </c>
      <c r="J60" s="553">
        <v>171.06</v>
      </c>
    </row>
    <row r="61" spans="1:11">
      <c r="A61" s="549" t="s">
        <v>676</v>
      </c>
    </row>
    <row r="62" spans="1:11">
      <c r="B62" s="550" t="s">
        <v>381</v>
      </c>
      <c r="C62" s="550" t="s">
        <v>187</v>
      </c>
      <c r="D62" s="550">
        <v>209</v>
      </c>
      <c r="E62" s="550"/>
      <c r="F62" s="550"/>
      <c r="G62" s="550" t="s">
        <v>637</v>
      </c>
      <c r="H62" s="550" t="s">
        <v>677</v>
      </c>
      <c r="I62" s="551" t="s">
        <v>639</v>
      </c>
      <c r="J62" s="552">
        <v>-704.12</v>
      </c>
      <c r="K62" s="552">
        <v>-704.12</v>
      </c>
    </row>
    <row r="63" spans="1:11">
      <c r="A63" s="549" t="s">
        <v>678</v>
      </c>
      <c r="J63" s="553">
        <v>-704.12</v>
      </c>
    </row>
    <row r="64" spans="1:11">
      <c r="A64" s="549" t="s">
        <v>679</v>
      </c>
    </row>
    <row r="65" spans="1:11">
      <c r="B65" s="550" t="s">
        <v>381</v>
      </c>
      <c r="C65" s="550" t="s">
        <v>187</v>
      </c>
      <c r="D65" s="550">
        <v>210</v>
      </c>
      <c r="E65" s="550"/>
      <c r="F65" s="550"/>
      <c r="G65" s="550" t="s">
        <v>637</v>
      </c>
      <c r="H65" s="550" t="s">
        <v>238</v>
      </c>
      <c r="I65" s="551" t="s">
        <v>639</v>
      </c>
      <c r="J65" s="552">
        <v>-20.309999999999999</v>
      </c>
      <c r="K65" s="552">
        <v>-20.309999999999999</v>
      </c>
    </row>
    <row r="66" spans="1:11">
      <c r="A66" s="549" t="s">
        <v>680</v>
      </c>
      <c r="J66" s="553">
        <v>-20.309999999999999</v>
      </c>
    </row>
    <row r="67" spans="1:11">
      <c r="A67" s="549" t="s">
        <v>681</v>
      </c>
      <c r="J67" s="553">
        <v>3260.62</v>
      </c>
    </row>
    <row r="68" spans="1:11">
      <c r="A68" s="549" t="s">
        <v>682</v>
      </c>
    </row>
    <row r="69" spans="1:11">
      <c r="A69" s="549" t="s">
        <v>683</v>
      </c>
    </row>
    <row r="70" spans="1:11">
      <c r="A70" s="549" t="s">
        <v>684</v>
      </c>
    </row>
    <row r="71" spans="1:11">
      <c r="B71" s="550" t="s">
        <v>381</v>
      </c>
      <c r="C71" s="550" t="s">
        <v>187</v>
      </c>
      <c r="D71" s="550">
        <v>192</v>
      </c>
      <c r="E71" s="550"/>
      <c r="F71" s="550"/>
      <c r="G71" s="550" t="s">
        <v>637</v>
      </c>
      <c r="H71" s="550" t="s">
        <v>412</v>
      </c>
      <c r="I71" s="551" t="s">
        <v>639</v>
      </c>
      <c r="J71" s="552">
        <v>494</v>
      </c>
      <c r="K71" s="552">
        <v>494</v>
      </c>
    </row>
    <row r="72" spans="1:11">
      <c r="A72" s="549" t="s">
        <v>685</v>
      </c>
      <c r="J72" s="553">
        <v>494</v>
      </c>
    </row>
    <row r="73" spans="1:11">
      <c r="A73" s="549" t="s">
        <v>686</v>
      </c>
      <c r="J73" s="553">
        <v>494</v>
      </c>
    </row>
    <row r="74" spans="1:11">
      <c r="A74" s="549" t="s">
        <v>687</v>
      </c>
    </row>
    <row r="75" spans="1:11">
      <c r="B75" s="550" t="s">
        <v>381</v>
      </c>
      <c r="C75" s="550" t="s">
        <v>187</v>
      </c>
      <c r="D75" s="550">
        <v>202</v>
      </c>
      <c r="E75" s="550"/>
      <c r="F75" s="550"/>
      <c r="G75" s="550" t="s">
        <v>637</v>
      </c>
      <c r="H75" s="550" t="s">
        <v>232</v>
      </c>
      <c r="I75" s="551" t="s">
        <v>639</v>
      </c>
      <c r="J75" s="552">
        <v>1031</v>
      </c>
      <c r="K75" s="552">
        <v>1031</v>
      </c>
    </row>
    <row r="76" spans="1:11">
      <c r="A76" s="549" t="s">
        <v>688</v>
      </c>
      <c r="J76" s="553">
        <v>1031</v>
      </c>
    </row>
    <row r="77" spans="1:11">
      <c r="A77" s="549" t="s">
        <v>689</v>
      </c>
    </row>
    <row r="78" spans="1:11">
      <c r="B78" s="550" t="s">
        <v>381</v>
      </c>
      <c r="C78" s="550" t="s">
        <v>187</v>
      </c>
      <c r="D78" s="550">
        <v>200</v>
      </c>
      <c r="E78" s="550"/>
      <c r="F78" s="550"/>
      <c r="G78" s="550" t="s">
        <v>637</v>
      </c>
      <c r="H78" s="550" t="s">
        <v>229</v>
      </c>
      <c r="I78" s="551" t="s">
        <v>639</v>
      </c>
      <c r="J78" s="552">
        <v>241</v>
      </c>
      <c r="K78" s="552">
        <v>241</v>
      </c>
    </row>
    <row r="79" spans="1:11">
      <c r="A79" s="549" t="s">
        <v>690</v>
      </c>
      <c r="J79" s="553">
        <v>241</v>
      </c>
    </row>
    <row r="80" spans="1:11">
      <c r="A80" s="549" t="s">
        <v>691</v>
      </c>
    </row>
    <row r="81" spans="1:11">
      <c r="B81" s="550" t="s">
        <v>381</v>
      </c>
      <c r="C81" s="550" t="s">
        <v>187</v>
      </c>
      <c r="D81" s="550">
        <v>199</v>
      </c>
      <c r="E81" s="550"/>
      <c r="F81" s="550"/>
      <c r="G81" s="550" t="s">
        <v>637</v>
      </c>
      <c r="H81" s="550" t="s">
        <v>226</v>
      </c>
      <c r="I81" s="551" t="s">
        <v>639</v>
      </c>
      <c r="J81" s="552">
        <v>260</v>
      </c>
      <c r="K81" s="552">
        <v>260</v>
      </c>
    </row>
    <row r="82" spans="1:11">
      <c r="A82" s="549" t="s">
        <v>692</v>
      </c>
      <c r="J82" s="553">
        <v>260</v>
      </c>
    </row>
    <row r="83" spans="1:11">
      <c r="A83" s="549" t="s">
        <v>693</v>
      </c>
    </row>
    <row r="84" spans="1:11">
      <c r="B84" s="550" t="s">
        <v>381</v>
      </c>
      <c r="C84" s="550" t="s">
        <v>187</v>
      </c>
      <c r="D84" s="550">
        <v>194</v>
      </c>
      <c r="E84" s="550"/>
      <c r="F84" s="550"/>
      <c r="G84" s="550" t="s">
        <v>637</v>
      </c>
      <c r="H84" s="550" t="s">
        <v>223</v>
      </c>
      <c r="I84" s="551" t="s">
        <v>639</v>
      </c>
      <c r="J84" s="552">
        <v>55</v>
      </c>
      <c r="K84" s="552">
        <v>55</v>
      </c>
    </row>
    <row r="85" spans="1:11">
      <c r="A85" s="549" t="s">
        <v>694</v>
      </c>
      <c r="J85" s="553">
        <v>55</v>
      </c>
    </row>
    <row r="86" spans="1:11">
      <c r="A86" s="549" t="s">
        <v>695</v>
      </c>
      <c r="J86" s="553">
        <v>2081</v>
      </c>
    </row>
    <row r="87" spans="1:11">
      <c r="A87" s="549" t="s">
        <v>696</v>
      </c>
    </row>
    <row r="88" spans="1:11">
      <c r="A88" s="549" t="s">
        <v>697</v>
      </c>
    </row>
    <row r="89" spans="1:11">
      <c r="B89" s="550" t="s">
        <v>381</v>
      </c>
      <c r="C89" s="550" t="s">
        <v>187</v>
      </c>
      <c r="D89" s="550">
        <v>198</v>
      </c>
      <c r="E89" s="550"/>
      <c r="F89" s="550"/>
      <c r="G89" s="550" t="s">
        <v>637</v>
      </c>
      <c r="H89" s="550" t="s">
        <v>220</v>
      </c>
      <c r="I89" s="551" t="s">
        <v>639</v>
      </c>
      <c r="J89" s="552">
        <v>213</v>
      </c>
      <c r="K89" s="552">
        <v>213</v>
      </c>
    </row>
    <row r="90" spans="1:11">
      <c r="A90" s="549" t="s">
        <v>698</v>
      </c>
      <c r="J90" s="553">
        <v>213</v>
      </c>
    </row>
    <row r="91" spans="1:11">
      <c r="A91" s="549" t="s">
        <v>699</v>
      </c>
      <c r="J91" s="553">
        <v>213</v>
      </c>
    </row>
    <row r="92" spans="1:11">
      <c r="A92" s="549" t="s">
        <v>700</v>
      </c>
      <c r="J92" s="553">
        <v>22700.45</v>
      </c>
    </row>
    <row r="93" spans="1:11">
      <c r="A93" s="549" t="s">
        <v>701</v>
      </c>
    </row>
    <row r="94" spans="1:11">
      <c r="A94" s="549" t="s">
        <v>764</v>
      </c>
    </row>
    <row r="95" spans="1:11">
      <c r="A95" s="549" t="s">
        <v>765</v>
      </c>
    </row>
    <row r="96" spans="1:11">
      <c r="B96" s="550" t="s">
        <v>381</v>
      </c>
      <c r="C96" s="550" t="s">
        <v>187</v>
      </c>
      <c r="D96" s="550">
        <v>181</v>
      </c>
      <c r="E96" s="550"/>
      <c r="F96" s="550"/>
      <c r="G96" s="550" t="s">
        <v>637</v>
      </c>
      <c r="H96" s="550" t="s">
        <v>217</v>
      </c>
      <c r="I96" s="551" t="s">
        <v>639</v>
      </c>
      <c r="J96" s="552">
        <v>380</v>
      </c>
      <c r="K96" s="552">
        <v>380</v>
      </c>
    </row>
    <row r="97" spans="1:11">
      <c r="A97" s="549" t="s">
        <v>766</v>
      </c>
      <c r="J97" s="553">
        <v>380</v>
      </c>
    </row>
    <row r="98" spans="1:11">
      <c r="A98" s="549" t="s">
        <v>767</v>
      </c>
      <c r="J98" s="553">
        <v>380</v>
      </c>
    </row>
    <row r="99" spans="1:11">
      <c r="A99" s="549" t="s">
        <v>702</v>
      </c>
    </row>
    <row r="100" spans="1:11">
      <c r="A100" s="549" t="s">
        <v>703</v>
      </c>
    </row>
    <row r="101" spans="1:11">
      <c r="B101" s="550" t="s">
        <v>381</v>
      </c>
      <c r="C101" s="550" t="s">
        <v>187</v>
      </c>
      <c r="D101" s="550">
        <v>180</v>
      </c>
      <c r="E101" s="550"/>
      <c r="F101" s="550"/>
      <c r="G101" s="550" t="s">
        <v>637</v>
      </c>
      <c r="H101" s="550" t="s">
        <v>214</v>
      </c>
      <c r="I101" s="551" t="s">
        <v>639</v>
      </c>
      <c r="J101" s="552">
        <v>496</v>
      </c>
      <c r="K101" s="552">
        <v>496</v>
      </c>
    </row>
    <row r="102" spans="1:11">
      <c r="A102" s="549" t="s">
        <v>704</v>
      </c>
      <c r="J102" s="553">
        <v>496</v>
      </c>
    </row>
    <row r="103" spans="1:11">
      <c r="A103" s="549" t="s">
        <v>705</v>
      </c>
      <c r="J103" s="553">
        <v>496</v>
      </c>
    </row>
    <row r="104" spans="1:11">
      <c r="A104" s="549" t="s">
        <v>768</v>
      </c>
    </row>
    <row r="105" spans="1:11">
      <c r="B105" s="550" t="s">
        <v>389</v>
      </c>
      <c r="C105" s="550" t="s">
        <v>175</v>
      </c>
      <c r="D105" s="550" t="s">
        <v>769</v>
      </c>
      <c r="E105" s="550" t="s">
        <v>770</v>
      </c>
      <c r="F105" s="550" t="s">
        <v>771</v>
      </c>
      <c r="G105" s="550" t="s">
        <v>637</v>
      </c>
      <c r="H105" s="550" t="s">
        <v>772</v>
      </c>
      <c r="I105" s="550" t="s">
        <v>656</v>
      </c>
      <c r="J105" s="552">
        <v>1275</v>
      </c>
      <c r="K105" s="552">
        <v>1275</v>
      </c>
    </row>
    <row r="106" spans="1:11">
      <c r="A106" s="549" t="s">
        <v>773</v>
      </c>
      <c r="J106" s="553">
        <v>1275</v>
      </c>
    </row>
    <row r="107" spans="1:11">
      <c r="A107" s="549" t="s">
        <v>706</v>
      </c>
      <c r="J107" s="553">
        <v>2151</v>
      </c>
    </row>
    <row r="108" spans="1:11">
      <c r="A108" s="549" t="s">
        <v>707</v>
      </c>
    </row>
    <row r="109" spans="1:11">
      <c r="A109" s="549" t="s">
        <v>774</v>
      </c>
    </row>
    <row r="110" spans="1:11">
      <c r="B110" s="550" t="s">
        <v>414</v>
      </c>
      <c r="C110" s="550" t="s">
        <v>175</v>
      </c>
      <c r="D110" s="550" t="s">
        <v>399</v>
      </c>
      <c r="E110" s="550" t="s">
        <v>398</v>
      </c>
      <c r="F110" s="550" t="s">
        <v>746</v>
      </c>
      <c r="G110" s="550" t="s">
        <v>637</v>
      </c>
      <c r="H110" s="550" t="s">
        <v>397</v>
      </c>
      <c r="I110" s="550" t="s">
        <v>656</v>
      </c>
      <c r="J110" s="552">
        <v>329.9</v>
      </c>
      <c r="K110" s="552">
        <v>329.9</v>
      </c>
    </row>
    <row r="111" spans="1:11">
      <c r="A111" s="549" t="s">
        <v>775</v>
      </c>
      <c r="J111" s="553">
        <v>329.9</v>
      </c>
    </row>
    <row r="112" spans="1:11">
      <c r="A112" s="549" t="s">
        <v>776</v>
      </c>
    </row>
    <row r="113" spans="1:11">
      <c r="B113" s="550" t="s">
        <v>381</v>
      </c>
      <c r="C113" s="550" t="s">
        <v>187</v>
      </c>
      <c r="D113" s="550">
        <v>185</v>
      </c>
      <c r="E113" s="550"/>
      <c r="F113" s="550"/>
      <c r="G113" s="550" t="s">
        <v>637</v>
      </c>
      <c r="H113" s="550" t="s">
        <v>213</v>
      </c>
      <c r="I113" s="551" t="s">
        <v>639</v>
      </c>
      <c r="J113" s="552">
        <v>86</v>
      </c>
      <c r="K113" s="552">
        <v>86</v>
      </c>
    </row>
    <row r="114" spans="1:11">
      <c r="A114" s="549" t="s">
        <v>777</v>
      </c>
      <c r="J114" s="553">
        <v>86</v>
      </c>
    </row>
    <row r="115" spans="1:11">
      <c r="A115" s="549" t="s">
        <v>778</v>
      </c>
      <c r="J115" s="553">
        <v>415.9</v>
      </c>
    </row>
    <row r="116" spans="1:11">
      <c r="A116" s="549" t="s">
        <v>708</v>
      </c>
    </row>
    <row r="117" spans="1:11">
      <c r="A117" s="549" t="s">
        <v>709</v>
      </c>
    </row>
    <row r="118" spans="1:11">
      <c r="B118" s="550" t="s">
        <v>381</v>
      </c>
      <c r="C118" s="550" t="s">
        <v>187</v>
      </c>
      <c r="D118" s="550">
        <v>205</v>
      </c>
      <c r="E118" s="550"/>
      <c r="F118" s="550"/>
      <c r="G118" s="550" t="s">
        <v>637</v>
      </c>
      <c r="H118" s="550" t="s">
        <v>209</v>
      </c>
      <c r="I118" s="551" t="s">
        <v>639</v>
      </c>
      <c r="J118" s="552">
        <v>161</v>
      </c>
      <c r="K118" s="552">
        <v>161</v>
      </c>
    </row>
    <row r="119" spans="1:11">
      <c r="A119" s="549" t="s">
        <v>710</v>
      </c>
      <c r="J119" s="553">
        <v>161</v>
      </c>
    </row>
    <row r="120" spans="1:11">
      <c r="A120" s="549" t="s">
        <v>711</v>
      </c>
    </row>
    <row r="121" spans="1:11">
      <c r="B121" s="550" t="s">
        <v>381</v>
      </c>
      <c r="C121" s="550" t="s">
        <v>187</v>
      </c>
      <c r="D121" s="550">
        <v>187</v>
      </c>
      <c r="E121" s="550"/>
      <c r="F121" s="550"/>
      <c r="G121" s="550" t="s">
        <v>637</v>
      </c>
      <c r="H121" s="550" t="s">
        <v>206</v>
      </c>
      <c r="I121" s="551" t="s">
        <v>639</v>
      </c>
      <c r="J121" s="552">
        <v>111</v>
      </c>
      <c r="K121" s="552">
        <v>111</v>
      </c>
    </row>
    <row r="122" spans="1:11">
      <c r="A122" s="549" t="s">
        <v>712</v>
      </c>
      <c r="J122" s="553">
        <v>111</v>
      </c>
    </row>
    <row r="123" spans="1:11">
      <c r="A123" s="549" t="s">
        <v>713</v>
      </c>
      <c r="J123" s="553">
        <v>272</v>
      </c>
    </row>
    <row r="124" spans="1:11">
      <c r="A124" s="549" t="s">
        <v>779</v>
      </c>
    </row>
    <row r="125" spans="1:11">
      <c r="B125" s="550" t="s">
        <v>381</v>
      </c>
      <c r="C125" s="550" t="s">
        <v>187</v>
      </c>
      <c r="D125" s="550">
        <v>196</v>
      </c>
      <c r="E125" s="550"/>
      <c r="F125" s="550"/>
      <c r="G125" s="550" t="s">
        <v>637</v>
      </c>
      <c r="H125" s="550" t="s">
        <v>152</v>
      </c>
      <c r="I125" s="551" t="s">
        <v>639</v>
      </c>
      <c r="J125" s="552">
        <v>38</v>
      </c>
      <c r="K125" s="552">
        <v>38</v>
      </c>
    </row>
    <row r="126" spans="1:11">
      <c r="A126" s="549" t="s">
        <v>780</v>
      </c>
      <c r="J126" s="553">
        <v>38</v>
      </c>
    </row>
    <row r="127" spans="1:11">
      <c r="A127" s="549" t="s">
        <v>714</v>
      </c>
    </row>
    <row r="128" spans="1:11">
      <c r="B128" s="550" t="s">
        <v>381</v>
      </c>
      <c r="C128" s="550" t="s">
        <v>187</v>
      </c>
      <c r="D128" s="550">
        <v>188</v>
      </c>
      <c r="E128" s="550"/>
      <c r="F128" s="550"/>
      <c r="G128" s="550" t="s">
        <v>637</v>
      </c>
      <c r="H128" s="550" t="s">
        <v>203</v>
      </c>
      <c r="I128" s="551" t="s">
        <v>639</v>
      </c>
      <c r="J128" s="552">
        <v>39</v>
      </c>
      <c r="K128" s="552">
        <v>39</v>
      </c>
    </row>
    <row r="129" spans="1:11">
      <c r="A129" s="549" t="s">
        <v>715</v>
      </c>
      <c r="J129" s="553">
        <v>39</v>
      </c>
    </row>
    <row r="130" spans="1:11">
      <c r="A130" s="549" t="s">
        <v>716</v>
      </c>
      <c r="J130" s="553">
        <v>764.9</v>
      </c>
    </row>
    <row r="131" spans="1:11">
      <c r="A131" s="549" t="s">
        <v>717</v>
      </c>
    </row>
    <row r="132" spans="1:11">
      <c r="A132" s="549" t="s">
        <v>718</v>
      </c>
    </row>
    <row r="133" spans="1:11">
      <c r="B133" s="550" t="s">
        <v>389</v>
      </c>
      <c r="C133" s="550" t="s">
        <v>175</v>
      </c>
      <c r="D133" s="550" t="s">
        <v>392</v>
      </c>
      <c r="E133" s="550" t="s">
        <v>182</v>
      </c>
      <c r="F133" s="550"/>
      <c r="G133" s="550" t="s">
        <v>637</v>
      </c>
      <c r="H133" s="550" t="s">
        <v>391</v>
      </c>
      <c r="I133" s="550" t="s">
        <v>656</v>
      </c>
      <c r="J133" s="552">
        <v>648</v>
      </c>
      <c r="K133" s="552">
        <v>648</v>
      </c>
    </row>
    <row r="134" spans="1:11">
      <c r="A134" s="549" t="s">
        <v>719</v>
      </c>
      <c r="J134" s="553">
        <v>648</v>
      </c>
    </row>
    <row r="135" spans="1:11">
      <c r="A135" s="549" t="s">
        <v>720</v>
      </c>
    </row>
    <row r="136" spans="1:11">
      <c r="A136" s="549" t="s">
        <v>721</v>
      </c>
    </row>
    <row r="137" spans="1:11">
      <c r="B137" s="550" t="s">
        <v>381</v>
      </c>
      <c r="C137" s="550" t="s">
        <v>187</v>
      </c>
      <c r="D137" s="550">
        <v>189</v>
      </c>
      <c r="E137" s="550"/>
      <c r="F137" s="550"/>
      <c r="G137" s="550" t="s">
        <v>637</v>
      </c>
      <c r="H137" s="550" t="s">
        <v>196</v>
      </c>
      <c r="I137" s="551" t="s">
        <v>639</v>
      </c>
      <c r="J137" s="552">
        <v>176</v>
      </c>
      <c r="K137" s="552">
        <v>176</v>
      </c>
    </row>
    <row r="138" spans="1:11">
      <c r="A138" s="549" t="s">
        <v>722</v>
      </c>
      <c r="J138" s="553">
        <v>176</v>
      </c>
    </row>
    <row r="139" spans="1:11">
      <c r="A139" s="549" t="s">
        <v>723</v>
      </c>
      <c r="J139" s="553">
        <v>176</v>
      </c>
    </row>
    <row r="140" spans="1:11">
      <c r="A140" s="549" t="s">
        <v>724</v>
      </c>
    </row>
    <row r="141" spans="1:11">
      <c r="A141" s="549" t="s">
        <v>781</v>
      </c>
    </row>
    <row r="142" spans="1:11">
      <c r="B142" s="550" t="s">
        <v>369</v>
      </c>
      <c r="C142" s="550" t="s">
        <v>175</v>
      </c>
      <c r="D142" s="550" t="s">
        <v>388</v>
      </c>
      <c r="E142" s="550" t="s">
        <v>387</v>
      </c>
      <c r="F142" s="550" t="s">
        <v>746</v>
      </c>
      <c r="G142" s="550" t="s">
        <v>637</v>
      </c>
      <c r="H142" s="550" t="s">
        <v>386</v>
      </c>
      <c r="I142" s="550" t="s">
        <v>656</v>
      </c>
      <c r="J142" s="552">
        <v>228</v>
      </c>
      <c r="K142" s="552">
        <v>228</v>
      </c>
    </row>
    <row r="143" spans="1:11">
      <c r="A143" s="549" t="s">
        <v>782</v>
      </c>
      <c r="J143" s="553">
        <v>228</v>
      </c>
    </row>
    <row r="144" spans="1:11">
      <c r="A144" s="549" t="s">
        <v>725</v>
      </c>
    </row>
    <row r="145" spans="1:11">
      <c r="B145" s="550" t="s">
        <v>381</v>
      </c>
      <c r="C145" s="550" t="s">
        <v>187</v>
      </c>
      <c r="D145" s="550">
        <v>58</v>
      </c>
      <c r="E145" s="550"/>
      <c r="F145" s="550"/>
      <c r="G145" s="550" t="s">
        <v>637</v>
      </c>
      <c r="H145" s="550" t="s">
        <v>193</v>
      </c>
      <c r="I145" s="551" t="s">
        <v>639</v>
      </c>
      <c r="J145" s="552">
        <v>294</v>
      </c>
      <c r="K145" s="552">
        <v>294</v>
      </c>
    </row>
    <row r="146" spans="1:11">
      <c r="A146" s="549" t="s">
        <v>726</v>
      </c>
      <c r="J146" s="553">
        <v>294</v>
      </c>
    </row>
    <row r="147" spans="1:11">
      <c r="A147" s="549" t="s">
        <v>727</v>
      </c>
      <c r="J147" s="553">
        <v>522</v>
      </c>
    </row>
    <row r="148" spans="1:11">
      <c r="A148" s="549" t="s">
        <v>728</v>
      </c>
    </row>
    <row r="149" spans="1:11">
      <c r="A149" s="549" t="s">
        <v>729</v>
      </c>
    </row>
    <row r="150" spans="1:11">
      <c r="B150" s="550" t="s">
        <v>381</v>
      </c>
      <c r="C150" s="550" t="s">
        <v>187</v>
      </c>
      <c r="D150" s="550">
        <v>184</v>
      </c>
      <c r="E150" s="550"/>
      <c r="F150" s="550"/>
      <c r="G150" s="550" t="s">
        <v>637</v>
      </c>
      <c r="H150" s="550" t="s">
        <v>191</v>
      </c>
      <c r="I150" s="551" t="s">
        <v>639</v>
      </c>
      <c r="J150" s="552">
        <v>97</v>
      </c>
      <c r="K150" s="552">
        <v>97</v>
      </c>
    </row>
    <row r="151" spans="1:11">
      <c r="A151" s="549" t="s">
        <v>730</v>
      </c>
      <c r="J151" s="553">
        <v>97</v>
      </c>
    </row>
    <row r="152" spans="1:11">
      <c r="A152" s="549" t="s">
        <v>731</v>
      </c>
      <c r="J152" s="553">
        <v>97</v>
      </c>
    </row>
    <row r="153" spans="1:11">
      <c r="A153" s="549" t="s">
        <v>732</v>
      </c>
    </row>
    <row r="154" spans="1:11">
      <c r="A154" s="549" t="s">
        <v>733</v>
      </c>
    </row>
    <row r="155" spans="1:11">
      <c r="B155" s="550" t="s">
        <v>381</v>
      </c>
      <c r="C155" s="550" t="s">
        <v>187</v>
      </c>
      <c r="D155" s="550">
        <v>79</v>
      </c>
      <c r="E155" s="550"/>
      <c r="F155" s="550"/>
      <c r="G155" s="550" t="s">
        <v>637</v>
      </c>
      <c r="H155" s="550" t="s">
        <v>592</v>
      </c>
      <c r="I155" s="551" t="s">
        <v>639</v>
      </c>
      <c r="J155" s="552">
        <v>253</v>
      </c>
      <c r="K155" s="552">
        <v>253</v>
      </c>
    </row>
    <row r="156" spans="1:11">
      <c r="A156" s="549" t="s">
        <v>734</v>
      </c>
      <c r="J156" s="553">
        <v>253</v>
      </c>
    </row>
    <row r="157" spans="1:11">
      <c r="A157" s="549" t="s">
        <v>735</v>
      </c>
      <c r="J157" s="553">
        <v>253</v>
      </c>
    </row>
    <row r="158" spans="1:11">
      <c r="A158" s="549" t="s">
        <v>736</v>
      </c>
    </row>
    <row r="159" spans="1:11">
      <c r="A159" s="549" t="s">
        <v>737</v>
      </c>
    </row>
    <row r="160" spans="1:11">
      <c r="A160" s="549" t="s">
        <v>738</v>
      </c>
    </row>
    <row r="161" spans="1:11">
      <c r="B161" s="550" t="s">
        <v>381</v>
      </c>
      <c r="C161" s="550" t="s">
        <v>187</v>
      </c>
      <c r="D161" s="550">
        <v>182</v>
      </c>
      <c r="E161" s="550"/>
      <c r="F161" s="550"/>
      <c r="G161" s="550" t="s">
        <v>637</v>
      </c>
      <c r="H161" s="550" t="s">
        <v>186</v>
      </c>
      <c r="I161" s="551" t="s">
        <v>639</v>
      </c>
      <c r="J161" s="552">
        <v>503</v>
      </c>
      <c r="K161" s="552">
        <v>503</v>
      </c>
    </row>
    <row r="162" spans="1:11">
      <c r="A162" s="549" t="s">
        <v>739</v>
      </c>
      <c r="J162" s="553">
        <v>503</v>
      </c>
    </row>
    <row r="163" spans="1:11">
      <c r="A163" s="549" t="s">
        <v>740</v>
      </c>
      <c r="J163" s="553">
        <v>503</v>
      </c>
    </row>
    <row r="164" spans="1:11">
      <c r="A164" s="549" t="s">
        <v>741</v>
      </c>
      <c r="J164" s="553">
        <v>503</v>
      </c>
    </row>
    <row r="165" spans="1:11">
      <c r="A165" s="549" t="s">
        <v>742</v>
      </c>
      <c r="J165" s="553">
        <v>2199</v>
      </c>
    </row>
    <row r="166" spans="1:11">
      <c r="A166" s="549" t="s">
        <v>743</v>
      </c>
    </row>
    <row r="167" spans="1:11">
      <c r="A167" s="549" t="s">
        <v>744</v>
      </c>
    </row>
    <row r="168" spans="1:11">
      <c r="B168" s="550" t="s">
        <v>376</v>
      </c>
      <c r="C168" s="550" t="s">
        <v>379</v>
      </c>
      <c r="D168" s="550">
        <v>12381</v>
      </c>
      <c r="E168" s="550" t="s">
        <v>378</v>
      </c>
      <c r="F168" s="550"/>
      <c r="G168" s="550" t="s">
        <v>637</v>
      </c>
      <c r="H168" s="550" t="s">
        <v>377</v>
      </c>
      <c r="I168" s="550" t="s">
        <v>654</v>
      </c>
      <c r="J168" s="552">
        <v>150</v>
      </c>
      <c r="K168" s="552">
        <v>150</v>
      </c>
    </row>
    <row r="169" spans="1:11">
      <c r="A169" s="549" t="s">
        <v>748</v>
      </c>
      <c r="J169" s="553">
        <v>150</v>
      </c>
    </row>
    <row r="170" spans="1:11">
      <c r="A170" s="549" t="s">
        <v>749</v>
      </c>
      <c r="J170" s="553">
        <v>150</v>
      </c>
    </row>
    <row r="171" spans="1:11">
      <c r="A171" s="549" t="s">
        <v>750</v>
      </c>
      <c r="J171" s="553">
        <v>134578</v>
      </c>
    </row>
    <row r="172" spans="1:11">
      <c r="A172" s="549" t="s">
        <v>751</v>
      </c>
      <c r="J172" s="553">
        <v>-1233.94</v>
      </c>
    </row>
    <row r="175" spans="1:11">
      <c r="A175" s="554" t="s">
        <v>783</v>
      </c>
      <c r="B175" s="546"/>
      <c r="C175" s="546"/>
      <c r="D175" s="546"/>
      <c r="E175" s="546"/>
      <c r="F175" s="546"/>
      <c r="G175" s="546"/>
      <c r="H175" s="546"/>
      <c r="I175" s="546"/>
      <c r="J175" s="546"/>
      <c r="K175" s="546"/>
    </row>
  </sheetData>
  <mergeCells count="4">
    <mergeCell ref="A1:K1"/>
    <mergeCell ref="A2:K2"/>
    <mergeCell ref="A3:K3"/>
    <mergeCell ref="A175:K17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FF00"/>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47">
        <v>43709</v>
      </c>
      <c r="H1" s="448"/>
      <c r="I1" s="106" t="s">
        <v>49</v>
      </c>
    </row>
    <row r="2" spans="1:9" ht="21">
      <c r="A2" s="37" t="s">
        <v>153</v>
      </c>
      <c r="B2" s="35"/>
      <c r="C2" s="35"/>
      <c r="D2" s="36"/>
      <c r="E2" s="36" t="s">
        <v>48</v>
      </c>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147</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156</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148</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157</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149</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364</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82</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78</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151</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152</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84</v>
      </c>
      <c r="B42" s="139"/>
      <c r="C42" s="170">
        <f>+'Sept-2019 GL'!G18</f>
        <v>1486.56</v>
      </c>
      <c r="D42" s="170"/>
      <c r="E42" s="171">
        <f>SUM(B42:D42)</f>
        <v>1486.56</v>
      </c>
      <c r="F42" s="143">
        <f>E42+'Aug-2019'!F42</f>
        <v>1996.52</v>
      </c>
      <c r="G42" s="144"/>
      <c r="H42" s="144"/>
      <c r="I42" s="108">
        <v>0</v>
      </c>
    </row>
    <row r="43" spans="1:10" s="168" customFormat="1" ht="21.75" customHeight="1">
      <c r="A43" s="138" t="s">
        <v>81</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79</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80</v>
      </c>
      <c r="B46" s="139"/>
      <c r="C46" s="140"/>
      <c r="D46" s="140"/>
      <c r="E46" s="172">
        <f t="shared" si="14"/>
        <v>0</v>
      </c>
      <c r="F46" s="143">
        <f>E46+'Aug-2019'!F46</f>
        <v>0</v>
      </c>
      <c r="G46" s="144">
        <v>8500</v>
      </c>
      <c r="H46" s="144">
        <f t="shared" si="15"/>
        <v>8500</v>
      </c>
      <c r="I46" s="108">
        <f t="shared" si="13"/>
        <v>0</v>
      </c>
    </row>
    <row r="47" spans="1:10" s="168" customFormat="1" ht="21.75" customHeight="1">
      <c r="A47" s="138" t="s">
        <v>169</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445</v>
      </c>
      <c r="B77" s="336"/>
      <c r="C77" s="337"/>
      <c r="D77" s="337"/>
      <c r="E77" s="337"/>
      <c r="F77" s="369" t="s">
        <v>446</v>
      </c>
      <c r="G77" s="339"/>
      <c r="H77" s="340"/>
      <c r="I77" s="341"/>
    </row>
    <row r="78" spans="1:9" s="347" customFormat="1" ht="15.5">
      <c r="A78" s="343" t="s">
        <v>10</v>
      </c>
      <c r="B78" s="344" t="s">
        <v>154</v>
      </c>
      <c r="C78" s="344"/>
      <c r="D78" s="344"/>
      <c r="E78" s="344"/>
      <c r="F78" s="345" t="s">
        <v>11</v>
      </c>
      <c r="G78" s="345"/>
      <c r="H78" s="345" t="s">
        <v>154</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444</v>
      </c>
      <c r="B81" s="336"/>
      <c r="C81" s="337"/>
      <c r="D81" s="337"/>
      <c r="E81" s="337"/>
      <c r="F81" s="369" t="s">
        <v>448</v>
      </c>
      <c r="G81" s="339"/>
      <c r="H81" s="340"/>
      <c r="I81" s="341"/>
    </row>
    <row r="82" spans="1:9" s="347" customFormat="1" ht="15.5">
      <c r="A82" s="343" t="s">
        <v>19</v>
      </c>
      <c r="B82" s="344" t="s">
        <v>154</v>
      </c>
      <c r="C82" s="344"/>
      <c r="D82" s="344"/>
      <c r="E82" s="344"/>
      <c r="F82" s="502" t="s">
        <v>447</v>
      </c>
      <c r="G82" s="502"/>
      <c r="H82" s="345" t="s">
        <v>154</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158"/>
  <sheetViews>
    <sheetView workbookViewId="0">
      <pane ySplit="5" topLeftCell="A134" activePane="bottomLeft" state="frozen"/>
      <selection pane="bottomLeft" activeCell="D156" sqref="D156"/>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37" t="s">
        <v>278</v>
      </c>
      <c r="B1" s="537"/>
      <c r="C1" s="537"/>
      <c r="D1" s="537"/>
      <c r="E1" s="537"/>
      <c r="F1" s="537"/>
      <c r="G1" s="537"/>
      <c r="H1" s="537"/>
    </row>
    <row r="2" spans="1:8" ht="18">
      <c r="A2" s="537" t="s">
        <v>277</v>
      </c>
      <c r="B2" s="537"/>
      <c r="C2" s="537"/>
      <c r="D2" s="537"/>
      <c r="E2" s="537"/>
      <c r="F2" s="537"/>
      <c r="G2" s="537"/>
      <c r="H2" s="537"/>
    </row>
    <row r="3" spans="1:8">
      <c r="A3" s="538" t="s">
        <v>505</v>
      </c>
      <c r="B3" s="538"/>
      <c r="C3" s="538"/>
      <c r="D3" s="538"/>
      <c r="E3" s="538"/>
      <c r="F3" s="538"/>
      <c r="G3" s="538"/>
      <c r="H3" s="538"/>
    </row>
    <row r="5" spans="1:8">
      <c r="A5" s="304"/>
      <c r="B5" s="354" t="s">
        <v>154</v>
      </c>
      <c r="C5" s="354" t="s">
        <v>431</v>
      </c>
      <c r="D5" s="354" t="s">
        <v>275</v>
      </c>
      <c r="E5" s="354" t="s">
        <v>274</v>
      </c>
      <c r="F5" s="354" t="s">
        <v>273</v>
      </c>
      <c r="G5" s="350" t="s">
        <v>272</v>
      </c>
      <c r="H5" s="203" t="s">
        <v>279</v>
      </c>
    </row>
    <row r="6" spans="1:8">
      <c r="A6" s="351" t="s">
        <v>270</v>
      </c>
    </row>
    <row r="7" spans="1:8">
      <c r="B7" s="305" t="s">
        <v>486</v>
      </c>
      <c r="C7" s="305" t="s">
        <v>187</v>
      </c>
      <c r="D7" s="305">
        <v>243</v>
      </c>
      <c r="E7" s="305"/>
      <c r="F7" s="305" t="s">
        <v>504</v>
      </c>
      <c r="G7" s="352">
        <v>47030</v>
      </c>
      <c r="H7" s="206"/>
    </row>
    <row r="8" spans="1:8">
      <c r="B8" s="305" t="s">
        <v>485</v>
      </c>
      <c r="C8" s="305" t="s">
        <v>187</v>
      </c>
      <c r="D8" s="305">
        <v>245</v>
      </c>
      <c r="E8" s="305"/>
      <c r="F8" s="305" t="s">
        <v>504</v>
      </c>
      <c r="G8" s="352">
        <v>43224</v>
      </c>
      <c r="H8" s="206"/>
    </row>
    <row r="9" spans="1:8">
      <c r="A9" s="351" t="s">
        <v>269</v>
      </c>
      <c r="G9" s="355">
        <f>SUM(G7:G8)</f>
        <v>90254</v>
      </c>
    </row>
    <row r="10" spans="1:8">
      <c r="A10" s="351" t="s">
        <v>268</v>
      </c>
      <c r="H10" s="367"/>
    </row>
    <row r="11" spans="1:8">
      <c r="B11" s="305" t="s">
        <v>498</v>
      </c>
      <c r="C11" s="305" t="s">
        <v>175</v>
      </c>
      <c r="D11" s="305" t="s">
        <v>503</v>
      </c>
      <c r="E11" s="305" t="s">
        <v>502</v>
      </c>
      <c r="F11" s="305" t="s">
        <v>501</v>
      </c>
      <c r="G11" s="352">
        <v>273.13</v>
      </c>
      <c r="H11" s="206">
        <v>12506</v>
      </c>
    </row>
    <row r="12" spans="1:8">
      <c r="B12" s="305" t="s">
        <v>498</v>
      </c>
      <c r="C12" s="305" t="s">
        <v>175</v>
      </c>
      <c r="D12" s="305" t="s">
        <v>500</v>
      </c>
      <c r="E12" s="305" t="s">
        <v>499</v>
      </c>
      <c r="F12" s="305" t="s">
        <v>495</v>
      </c>
      <c r="G12" s="352">
        <v>227.71</v>
      </c>
      <c r="H12" s="206">
        <v>12507</v>
      </c>
    </row>
    <row r="13" spans="1:8">
      <c r="B13" s="305" t="s">
        <v>498</v>
      </c>
      <c r="C13" s="305" t="s">
        <v>175</v>
      </c>
      <c r="D13" s="305" t="s">
        <v>497</v>
      </c>
      <c r="E13" s="305" t="s">
        <v>496</v>
      </c>
      <c r="F13" s="305" t="s">
        <v>495</v>
      </c>
      <c r="G13" s="352">
        <v>227.7</v>
      </c>
      <c r="H13" s="206">
        <v>12508</v>
      </c>
    </row>
    <row r="14" spans="1:8">
      <c r="B14" s="305" t="s">
        <v>485</v>
      </c>
      <c r="C14" s="305" t="s">
        <v>379</v>
      </c>
      <c r="D14" s="305">
        <v>12494</v>
      </c>
      <c r="E14" s="305" t="s">
        <v>494</v>
      </c>
      <c r="F14" s="305" t="s">
        <v>493</v>
      </c>
      <c r="G14" s="352">
        <v>101.59</v>
      </c>
      <c r="H14" s="305">
        <v>12494</v>
      </c>
    </row>
    <row r="15" spans="1:8">
      <c r="B15" s="305" t="s">
        <v>485</v>
      </c>
      <c r="C15" s="305" t="s">
        <v>379</v>
      </c>
      <c r="D15" s="305">
        <v>12496</v>
      </c>
      <c r="E15" s="305" t="s">
        <v>492</v>
      </c>
      <c r="F15" s="305" t="s">
        <v>491</v>
      </c>
      <c r="G15" s="352">
        <v>264.05</v>
      </c>
      <c r="H15" s="305">
        <v>12496</v>
      </c>
    </row>
    <row r="16" spans="1:8">
      <c r="B16" s="305" t="s">
        <v>485</v>
      </c>
      <c r="C16" s="305" t="s">
        <v>379</v>
      </c>
      <c r="D16" s="305">
        <v>12497</v>
      </c>
      <c r="E16" s="305" t="s">
        <v>490</v>
      </c>
      <c r="F16" s="305" t="s">
        <v>489</v>
      </c>
      <c r="G16" s="352">
        <v>146.51</v>
      </c>
      <c r="H16" s="305">
        <v>12497</v>
      </c>
    </row>
    <row r="17" spans="1:10">
      <c r="B17" s="305" t="s">
        <v>485</v>
      </c>
      <c r="C17" s="305" t="s">
        <v>379</v>
      </c>
      <c r="D17" s="305">
        <v>12495</v>
      </c>
      <c r="E17" s="305" t="s">
        <v>488</v>
      </c>
      <c r="F17" s="305" t="s">
        <v>487</v>
      </c>
      <c r="G17" s="352">
        <v>245.87</v>
      </c>
      <c r="H17" s="305">
        <v>12495</v>
      </c>
    </row>
    <row r="18" spans="1:10">
      <c r="A18" s="351" t="s">
        <v>264</v>
      </c>
      <c r="G18" s="355">
        <f>SUM(G11:G17)</f>
        <v>1486.56</v>
      </c>
      <c r="H18" s="206"/>
    </row>
    <row r="19" spans="1:10">
      <c r="A19" s="351" t="s">
        <v>421</v>
      </c>
      <c r="G19" s="360">
        <f>+G18+G9</f>
        <v>91740.56</v>
      </c>
      <c r="H19" s="206"/>
    </row>
    <row r="20" spans="1:10">
      <c r="A20" s="351" t="s">
        <v>263</v>
      </c>
      <c r="H20" s="206"/>
    </row>
    <row r="21" spans="1:10">
      <c r="B21" s="305" t="s">
        <v>486</v>
      </c>
      <c r="C21" s="305" t="s">
        <v>187</v>
      </c>
      <c r="D21" s="305">
        <v>243</v>
      </c>
      <c r="E21" s="305"/>
      <c r="F21" s="305" t="s">
        <v>420</v>
      </c>
      <c r="G21" s="352">
        <v>3597.9</v>
      </c>
      <c r="H21" s="206"/>
    </row>
    <row r="22" spans="1:10">
      <c r="B22" s="305" t="s">
        <v>485</v>
      </c>
      <c r="C22" s="305" t="s">
        <v>187</v>
      </c>
      <c r="D22" s="305">
        <v>245</v>
      </c>
      <c r="E22" s="305"/>
      <c r="F22" s="305" t="s">
        <v>420</v>
      </c>
      <c r="G22" s="352">
        <v>3306.62</v>
      </c>
      <c r="H22" s="206"/>
    </row>
    <row r="23" spans="1:10">
      <c r="A23" s="351" t="s">
        <v>262</v>
      </c>
      <c r="G23" s="355">
        <v>6904.52</v>
      </c>
      <c r="H23" s="206"/>
      <c r="J23" s="382"/>
    </row>
    <row r="24" spans="1:10" s="308" customFormat="1">
      <c r="A24" s="307" t="s">
        <v>341</v>
      </c>
    </row>
    <row r="25" spans="1:10" s="308" customFormat="1">
      <c r="B25" s="375">
        <v>43738</v>
      </c>
      <c r="C25" s="309" t="s">
        <v>187</v>
      </c>
      <c r="D25" s="309">
        <v>192</v>
      </c>
      <c r="E25" s="309"/>
      <c r="F25" s="309" t="s">
        <v>412</v>
      </c>
      <c r="G25" s="310">
        <v>2868</v>
      </c>
    </row>
    <row r="26" spans="1:10" s="308" customFormat="1">
      <c r="A26" s="307" t="s">
        <v>342</v>
      </c>
      <c r="G26" s="319">
        <f>SUM(G25)</f>
        <v>2868</v>
      </c>
    </row>
    <row r="27" spans="1:10">
      <c r="A27" s="351" t="s">
        <v>261</v>
      </c>
      <c r="H27" s="206"/>
    </row>
    <row r="28" spans="1:10">
      <c r="B28" s="305" t="s">
        <v>486</v>
      </c>
      <c r="C28" s="305" t="s">
        <v>187</v>
      </c>
      <c r="D28" s="305">
        <v>243</v>
      </c>
      <c r="E28" s="305"/>
      <c r="F28" s="305" t="s">
        <v>416</v>
      </c>
      <c r="G28" s="352">
        <v>403.93</v>
      </c>
      <c r="H28" s="206"/>
    </row>
    <row r="29" spans="1:10">
      <c r="B29" s="305" t="s">
        <v>485</v>
      </c>
      <c r="C29" s="305" t="s">
        <v>187</v>
      </c>
      <c r="D29" s="305">
        <v>245</v>
      </c>
      <c r="E29" s="305"/>
      <c r="F29" s="305" t="s">
        <v>416</v>
      </c>
      <c r="G29" s="352">
        <v>473.59</v>
      </c>
      <c r="H29" s="206"/>
    </row>
    <row r="30" spans="1:10">
      <c r="A30" s="351" t="s">
        <v>254</v>
      </c>
      <c r="G30" s="355">
        <v>877.52</v>
      </c>
      <c r="H30" s="206"/>
    </row>
    <row r="31" spans="1:10">
      <c r="A31" s="351" t="s">
        <v>484</v>
      </c>
      <c r="G31" s="353">
        <f>+G19+G23+G26+G30</f>
        <v>102390.6</v>
      </c>
      <c r="H31" s="206"/>
    </row>
    <row r="32" spans="1:10">
      <c r="A32" s="351" t="s">
        <v>415</v>
      </c>
      <c r="H32" s="206"/>
    </row>
    <row r="33" spans="1:8">
      <c r="A33" s="351" t="s">
        <v>253</v>
      </c>
      <c r="H33" s="206"/>
    </row>
    <row r="34" spans="1:8">
      <c r="B34" s="305" t="s">
        <v>483</v>
      </c>
      <c r="C34" s="305" t="s">
        <v>187</v>
      </c>
      <c r="D34" s="305">
        <v>242</v>
      </c>
      <c r="E34" s="305"/>
      <c r="F34" s="305" t="s">
        <v>482</v>
      </c>
      <c r="G34" s="352">
        <v>14938.24</v>
      </c>
      <c r="H34" s="206"/>
    </row>
    <row r="35" spans="1:8">
      <c r="A35" s="351" t="s">
        <v>250</v>
      </c>
      <c r="G35" s="355">
        <f>SUM(G34)</f>
        <v>14938.24</v>
      </c>
      <c r="H35" s="206"/>
    </row>
    <row r="36" spans="1:8">
      <c r="A36" s="351" t="s">
        <v>249</v>
      </c>
      <c r="H36" s="206"/>
    </row>
    <row r="37" spans="1:8" s="359" customFormat="1">
      <c r="A37" s="358" t="s">
        <v>248</v>
      </c>
      <c r="H37" s="206"/>
    </row>
    <row r="38" spans="1:8" s="359" customFormat="1">
      <c r="B38" s="327" t="s">
        <v>463</v>
      </c>
      <c r="C38" s="327" t="s">
        <v>175</v>
      </c>
      <c r="D38" s="327">
        <v>292271815</v>
      </c>
      <c r="E38" s="327" t="s">
        <v>481</v>
      </c>
      <c r="F38" s="327"/>
      <c r="G38" s="371">
        <v>3813.99</v>
      </c>
      <c r="H38" s="206">
        <v>12472</v>
      </c>
    </row>
    <row r="39" spans="1:8" s="359" customFormat="1">
      <c r="A39" s="358" t="s">
        <v>247</v>
      </c>
      <c r="G39" s="355">
        <f>SUM(G38:G38)</f>
        <v>3813.99</v>
      </c>
      <c r="H39" s="206"/>
    </row>
    <row r="40" spans="1:8" s="359" customFormat="1">
      <c r="A40" s="358" t="s">
        <v>246</v>
      </c>
      <c r="H40" s="206"/>
    </row>
    <row r="41" spans="1:8" s="359" customFormat="1">
      <c r="B41" s="327" t="s">
        <v>463</v>
      </c>
      <c r="C41" s="327" t="s">
        <v>175</v>
      </c>
      <c r="D41" s="327" t="s">
        <v>480</v>
      </c>
      <c r="E41" s="327" t="s">
        <v>244</v>
      </c>
      <c r="F41" s="327" t="s">
        <v>243</v>
      </c>
      <c r="G41" s="371">
        <v>171.06150000000002</v>
      </c>
      <c r="H41" s="206">
        <v>12433</v>
      </c>
    </row>
    <row r="42" spans="1:8" s="359" customFormat="1">
      <c r="A42" s="358" t="s">
        <v>242</v>
      </c>
      <c r="G42" s="355">
        <f>SUM(G41)</f>
        <v>171.06150000000002</v>
      </c>
      <c r="H42" s="206"/>
    </row>
    <row r="43" spans="1:8" s="359" customFormat="1">
      <c r="A43" s="358"/>
      <c r="G43" s="362"/>
      <c r="H43" s="206"/>
    </row>
    <row r="44" spans="1:8" s="201" customFormat="1">
      <c r="A44" s="205" t="s">
        <v>241</v>
      </c>
      <c r="G44" s="278"/>
      <c r="H44" s="206"/>
    </row>
    <row r="45" spans="1:8" s="201" customFormat="1">
      <c r="B45" s="320">
        <v>43708</v>
      </c>
      <c r="C45" s="206" t="s">
        <v>187</v>
      </c>
      <c r="D45" s="206">
        <v>154</v>
      </c>
      <c r="E45" s="206"/>
      <c r="F45" s="210" t="s">
        <v>326</v>
      </c>
      <c r="G45" s="279">
        <v>-704.11900000000014</v>
      </c>
      <c r="H45" s="206"/>
    </row>
    <row r="46" spans="1:8" s="201" customFormat="1">
      <c r="A46" s="205" t="s">
        <v>240</v>
      </c>
      <c r="G46" s="280">
        <f>SUM(G45)</f>
        <v>-704.11900000000014</v>
      </c>
      <c r="H46" s="206"/>
    </row>
    <row r="47" spans="1:8" s="201" customFormat="1">
      <c r="A47" s="205" t="s">
        <v>239</v>
      </c>
      <c r="G47" s="278"/>
      <c r="H47" s="206"/>
    </row>
    <row r="48" spans="1:8" s="201" customFormat="1">
      <c r="B48" s="320">
        <v>43708</v>
      </c>
      <c r="C48" s="206" t="s">
        <v>187</v>
      </c>
      <c r="D48" s="206">
        <v>155</v>
      </c>
      <c r="E48" s="206"/>
      <c r="F48" s="206" t="s">
        <v>238</v>
      </c>
      <c r="G48" s="279">
        <v>-20.314</v>
      </c>
      <c r="H48" s="206"/>
    </row>
    <row r="49" spans="1:8" s="201" customFormat="1">
      <c r="A49" s="205" t="s">
        <v>237</v>
      </c>
      <c r="G49" s="280">
        <f>SUM(G48)</f>
        <v>-20.314</v>
      </c>
      <c r="H49" s="206"/>
    </row>
    <row r="50" spans="1:8" s="359" customFormat="1">
      <c r="A50" s="358" t="s">
        <v>236</v>
      </c>
      <c r="G50" s="360">
        <f>+G42+G39+G46+G49</f>
        <v>3260.6184999999996</v>
      </c>
      <c r="H50" s="206"/>
    </row>
    <row r="51" spans="1:8" s="359" customFormat="1">
      <c r="H51" s="206"/>
    </row>
    <row r="52" spans="1:8" s="359" customFormat="1">
      <c r="A52" s="358" t="s">
        <v>235</v>
      </c>
      <c r="H52" s="206"/>
    </row>
    <row r="53" spans="1:8" s="359" customFormat="1">
      <c r="A53" s="358" t="s">
        <v>479</v>
      </c>
      <c r="H53" s="206"/>
    </row>
    <row r="54" spans="1:8" s="359" customFormat="1">
      <c r="B54" s="327" t="s">
        <v>465</v>
      </c>
      <c r="C54" s="327" t="s">
        <v>187</v>
      </c>
      <c r="D54" s="327">
        <v>261</v>
      </c>
      <c r="E54" s="327"/>
      <c r="F54" s="327" t="s">
        <v>412</v>
      </c>
      <c r="G54" s="371">
        <v>467</v>
      </c>
      <c r="H54" s="206"/>
    </row>
    <row r="55" spans="1:8" s="359" customFormat="1">
      <c r="A55" s="358" t="s">
        <v>478</v>
      </c>
      <c r="G55" s="355">
        <f>SUM(G54)</f>
        <v>467</v>
      </c>
      <c r="H55" s="206"/>
    </row>
    <row r="56" spans="1:8" s="359" customFormat="1">
      <c r="A56" s="274" t="s">
        <v>285</v>
      </c>
      <c r="H56" s="206"/>
    </row>
    <row r="57" spans="1:8">
      <c r="A57" s="351" t="s">
        <v>233</v>
      </c>
      <c r="H57" s="206"/>
    </row>
    <row r="58" spans="1:8">
      <c r="B58" s="305" t="s">
        <v>465</v>
      </c>
      <c r="C58" s="305" t="s">
        <v>187</v>
      </c>
      <c r="D58" s="305">
        <v>246</v>
      </c>
      <c r="E58" s="305"/>
      <c r="F58" s="305" t="s">
        <v>232</v>
      </c>
      <c r="G58" s="352">
        <v>904</v>
      </c>
      <c r="H58" s="206"/>
    </row>
    <row r="59" spans="1:8">
      <c r="A59" s="351" t="s">
        <v>231</v>
      </c>
      <c r="G59" s="353">
        <f>SUM(G58)</f>
        <v>904</v>
      </c>
      <c r="H59" s="206"/>
    </row>
    <row r="60" spans="1:8">
      <c r="A60" s="351" t="s">
        <v>230</v>
      </c>
      <c r="H60" s="206"/>
    </row>
    <row r="61" spans="1:8">
      <c r="B61" s="305" t="s">
        <v>465</v>
      </c>
      <c r="C61" s="305" t="s">
        <v>187</v>
      </c>
      <c r="D61" s="305">
        <v>248</v>
      </c>
      <c r="E61" s="305"/>
      <c r="F61" s="305" t="s">
        <v>229</v>
      </c>
      <c r="G61" s="352">
        <v>212</v>
      </c>
      <c r="H61" s="206"/>
    </row>
    <row r="62" spans="1:8">
      <c r="A62" s="351" t="s">
        <v>228</v>
      </c>
      <c r="G62" s="353">
        <f>SUM(G61)</f>
        <v>212</v>
      </c>
      <c r="H62" s="206"/>
    </row>
    <row r="63" spans="1:8">
      <c r="A63" s="351" t="s">
        <v>227</v>
      </c>
      <c r="H63" s="206"/>
    </row>
    <row r="64" spans="1:8">
      <c r="B64" s="305" t="s">
        <v>465</v>
      </c>
      <c r="C64" s="305" t="s">
        <v>187</v>
      </c>
      <c r="D64" s="305">
        <v>249</v>
      </c>
      <c r="E64" s="305"/>
      <c r="F64" s="305" t="s">
        <v>226</v>
      </c>
      <c r="G64" s="352">
        <v>221</v>
      </c>
      <c r="H64" s="206"/>
    </row>
    <row r="65" spans="1:8">
      <c r="A65" s="351" t="s">
        <v>225</v>
      </c>
      <c r="G65" s="353">
        <f>SUM(G64)</f>
        <v>221</v>
      </c>
      <c r="H65" s="206"/>
    </row>
    <row r="66" spans="1:8">
      <c r="A66" s="351" t="s">
        <v>224</v>
      </c>
      <c r="H66" s="206"/>
    </row>
    <row r="67" spans="1:8">
      <c r="B67" s="305" t="s">
        <v>465</v>
      </c>
      <c r="C67" s="305" t="s">
        <v>187</v>
      </c>
      <c r="D67" s="305">
        <v>250</v>
      </c>
      <c r="E67" s="305"/>
      <c r="F67" s="305" t="s">
        <v>223</v>
      </c>
      <c r="G67" s="352">
        <v>43</v>
      </c>
      <c r="H67" s="206"/>
    </row>
    <row r="68" spans="1:8">
      <c r="A68" s="351" t="s">
        <v>222</v>
      </c>
      <c r="G68" s="353">
        <f>SUM(G67)</f>
        <v>43</v>
      </c>
      <c r="H68" s="206"/>
    </row>
    <row r="69" spans="1:8">
      <c r="A69" s="274" t="s">
        <v>507</v>
      </c>
      <c r="G69" s="355">
        <f>+G59+G62+G65+G68</f>
        <v>1380</v>
      </c>
      <c r="H69" s="206"/>
    </row>
    <row r="70" spans="1:8">
      <c r="A70" s="351"/>
      <c r="G70" s="362"/>
      <c r="H70" s="206"/>
    </row>
    <row r="71" spans="1:8">
      <c r="A71" s="351" t="s">
        <v>410</v>
      </c>
      <c r="H71" s="206"/>
    </row>
    <row r="72" spans="1:8">
      <c r="B72" s="305" t="s">
        <v>465</v>
      </c>
      <c r="C72" s="305" t="s">
        <v>187</v>
      </c>
      <c r="D72" s="305">
        <v>251</v>
      </c>
      <c r="E72" s="305"/>
      <c r="F72" s="305" t="s">
        <v>220</v>
      </c>
      <c r="G72" s="352">
        <v>184</v>
      </c>
      <c r="H72" s="206"/>
    </row>
    <row r="73" spans="1:8">
      <c r="A73" s="351" t="s">
        <v>409</v>
      </c>
      <c r="G73" s="353">
        <f>SUM(G72)</f>
        <v>184</v>
      </c>
      <c r="H73" s="206"/>
    </row>
    <row r="74" spans="1:8" ht="15" thickBot="1">
      <c r="A74" s="364" t="s">
        <v>506</v>
      </c>
      <c r="G74" s="383">
        <f>+G35+G50+G55+G69+G73</f>
        <v>20229.858499999998</v>
      </c>
      <c r="H74" s="206"/>
    </row>
    <row r="75" spans="1:8" ht="15" thickTop="1">
      <c r="A75" s="364" t="s">
        <v>380</v>
      </c>
      <c r="H75" s="206"/>
    </row>
    <row r="76" spans="1:8">
      <c r="A76" s="351" t="s">
        <v>185</v>
      </c>
      <c r="H76" s="206"/>
    </row>
    <row r="77" spans="1:8">
      <c r="B77" s="305" t="s">
        <v>463</v>
      </c>
      <c r="C77" s="305" t="s">
        <v>379</v>
      </c>
      <c r="D77" s="305">
        <v>12457</v>
      </c>
      <c r="E77" s="305" t="s">
        <v>378</v>
      </c>
      <c r="F77" s="305" t="s">
        <v>462</v>
      </c>
      <c r="G77" s="352">
        <v>150</v>
      </c>
      <c r="H77" s="206">
        <v>12457</v>
      </c>
    </row>
    <row r="78" spans="1:8">
      <c r="B78" s="305" t="s">
        <v>456</v>
      </c>
      <c r="C78" s="305" t="s">
        <v>175</v>
      </c>
      <c r="D78" s="305" t="s">
        <v>461</v>
      </c>
      <c r="E78" s="305" t="s">
        <v>444</v>
      </c>
      <c r="F78" s="305" t="s">
        <v>460</v>
      </c>
      <c r="G78" s="352">
        <v>101.09</v>
      </c>
      <c r="H78" s="206">
        <v>12490</v>
      </c>
    </row>
    <row r="79" spans="1:8">
      <c r="B79" s="305" t="s">
        <v>456</v>
      </c>
      <c r="C79" s="305" t="s">
        <v>175</v>
      </c>
      <c r="D79" s="305" t="s">
        <v>459</v>
      </c>
      <c r="E79" s="305" t="s">
        <v>458</v>
      </c>
      <c r="F79" s="305" t="s">
        <v>457</v>
      </c>
      <c r="G79" s="352">
        <v>32.4</v>
      </c>
      <c r="H79" s="206">
        <v>12489</v>
      </c>
    </row>
    <row r="80" spans="1:8">
      <c r="B80" s="305" t="s">
        <v>456</v>
      </c>
      <c r="C80" s="305" t="s">
        <v>175</v>
      </c>
      <c r="D80" s="305" t="s">
        <v>455</v>
      </c>
      <c r="E80" s="305" t="s">
        <v>374</v>
      </c>
      <c r="F80" s="305" t="s">
        <v>454</v>
      </c>
      <c r="G80" s="352">
        <v>28.94</v>
      </c>
      <c r="H80" s="206">
        <v>12491</v>
      </c>
    </row>
    <row r="81" spans="1:9">
      <c r="A81" s="364" t="s">
        <v>366</v>
      </c>
      <c r="G81" s="368">
        <f>SUM(G77:G80)</f>
        <v>312.43</v>
      </c>
      <c r="H81" s="206"/>
    </row>
    <row r="82" spans="1:9">
      <c r="A82" s="351"/>
      <c r="G82" s="361"/>
      <c r="H82" s="206"/>
    </row>
    <row r="83" spans="1:9">
      <c r="A83" s="364" t="s">
        <v>358</v>
      </c>
      <c r="H83" s="206"/>
    </row>
    <row r="84" spans="1:9">
      <c r="A84" s="351" t="s">
        <v>215</v>
      </c>
      <c r="H84" s="206"/>
    </row>
    <row r="85" spans="1:9">
      <c r="B85" s="305" t="s">
        <v>465</v>
      </c>
      <c r="C85" s="305" t="s">
        <v>187</v>
      </c>
      <c r="D85" s="305">
        <v>253</v>
      </c>
      <c r="E85" s="305"/>
      <c r="F85" s="305" t="s">
        <v>214</v>
      </c>
      <c r="G85" s="352">
        <v>606</v>
      </c>
      <c r="H85" s="206"/>
    </row>
    <row r="86" spans="1:9">
      <c r="A86" s="351" t="s">
        <v>476</v>
      </c>
      <c r="G86" s="355">
        <f>SUM(G85)</f>
        <v>606</v>
      </c>
      <c r="H86" s="206"/>
    </row>
    <row r="87" spans="1:9">
      <c r="G87" s="353"/>
      <c r="H87" s="206"/>
    </row>
    <row r="88" spans="1:9">
      <c r="A88" s="364" t="s">
        <v>330</v>
      </c>
      <c r="H88" s="206"/>
    </row>
    <row r="89" spans="1:9">
      <c r="A89" s="351" t="s">
        <v>201</v>
      </c>
      <c r="H89" s="206"/>
    </row>
    <row r="90" spans="1:9">
      <c r="B90" s="305" t="s">
        <v>463</v>
      </c>
      <c r="C90" s="305" t="s">
        <v>175</v>
      </c>
      <c r="D90" s="305">
        <v>1967</v>
      </c>
      <c r="E90" s="305" t="s">
        <v>182</v>
      </c>
      <c r="F90" s="305" t="s">
        <v>470</v>
      </c>
      <c r="G90" s="352">
        <v>648</v>
      </c>
      <c r="H90" s="206">
        <v>12456</v>
      </c>
      <c r="I90" s="376"/>
    </row>
    <row r="91" spans="1:9">
      <c r="A91" s="276" t="s">
        <v>345</v>
      </c>
      <c r="G91" s="365">
        <f>SUM(G90)</f>
        <v>648</v>
      </c>
      <c r="H91" s="206"/>
    </row>
    <row r="92" spans="1:9">
      <c r="A92" s="351" t="s">
        <v>198</v>
      </c>
      <c r="H92" s="206"/>
    </row>
    <row r="93" spans="1:9">
      <c r="A93" s="351" t="s">
        <v>197</v>
      </c>
      <c r="H93" s="206"/>
    </row>
    <row r="94" spans="1:9">
      <c r="B94" s="305" t="s">
        <v>465</v>
      </c>
      <c r="C94" s="305" t="s">
        <v>187</v>
      </c>
      <c r="D94" s="305">
        <v>260</v>
      </c>
      <c r="E94" s="305"/>
      <c r="F94" s="305" t="s">
        <v>196</v>
      </c>
      <c r="G94" s="352">
        <v>135</v>
      </c>
      <c r="H94" s="206"/>
    </row>
    <row r="95" spans="1:9">
      <c r="A95" s="351" t="s">
        <v>469</v>
      </c>
      <c r="G95" s="353">
        <f>SUM(G94)</f>
        <v>135</v>
      </c>
      <c r="H95" s="206"/>
    </row>
    <row r="96" spans="1:9">
      <c r="A96" s="351" t="s">
        <v>192</v>
      </c>
      <c r="H96" s="206"/>
    </row>
    <row r="97" spans="1:8">
      <c r="A97" s="351" t="s">
        <v>467</v>
      </c>
      <c r="H97" s="206"/>
    </row>
    <row r="98" spans="1:8">
      <c r="B98" s="305" t="s">
        <v>465</v>
      </c>
      <c r="C98" s="305" t="s">
        <v>187</v>
      </c>
      <c r="D98" s="305">
        <v>257</v>
      </c>
      <c r="E98" s="305"/>
      <c r="F98" s="305" t="s">
        <v>191</v>
      </c>
      <c r="G98" s="352">
        <v>95</v>
      </c>
      <c r="H98" s="206"/>
    </row>
    <row r="99" spans="1:8">
      <c r="A99" s="351" t="s">
        <v>466</v>
      </c>
      <c r="G99" s="353">
        <f>SUM(G98)</f>
        <v>95</v>
      </c>
      <c r="H99" s="206"/>
    </row>
    <row r="100" spans="1:8" s="259" customFormat="1">
      <c r="A100" s="328" t="s">
        <v>344</v>
      </c>
      <c r="G100" s="288">
        <f>+G95+G99</f>
        <v>230</v>
      </c>
      <c r="H100" s="206"/>
    </row>
    <row r="101" spans="1:8" s="201" customFormat="1">
      <c r="A101" s="205"/>
      <c r="G101" s="289"/>
      <c r="H101" s="206"/>
    </row>
    <row r="102" spans="1:8" s="258" customFormat="1">
      <c r="A102" s="276" t="s">
        <v>354</v>
      </c>
      <c r="G102" s="288">
        <f>+G91+G100</f>
        <v>878</v>
      </c>
      <c r="H102" s="206"/>
    </row>
    <row r="103" spans="1:8">
      <c r="G103" s="353"/>
      <c r="H103" s="206"/>
    </row>
    <row r="104" spans="1:8">
      <c r="A104" s="276" t="s">
        <v>508</v>
      </c>
      <c r="H104" s="206"/>
    </row>
    <row r="105" spans="1:8">
      <c r="A105" s="351" t="s">
        <v>194</v>
      </c>
      <c r="H105" s="206"/>
    </row>
    <row r="106" spans="1:8">
      <c r="B106" s="305" t="s">
        <v>465</v>
      </c>
      <c r="C106" s="305" t="s">
        <v>187</v>
      </c>
      <c r="D106" s="305">
        <v>256</v>
      </c>
      <c r="E106" s="305"/>
      <c r="F106" s="305" t="s">
        <v>193</v>
      </c>
      <c r="G106" s="352">
        <v>287</v>
      </c>
      <c r="H106" s="206"/>
    </row>
    <row r="107" spans="1:8">
      <c r="A107" s="351" t="s">
        <v>468</v>
      </c>
      <c r="G107" s="355">
        <f>SUM(G106)</f>
        <v>287</v>
      </c>
      <c r="H107" s="206"/>
    </row>
    <row r="108" spans="1:8">
      <c r="G108" s="353"/>
      <c r="H108" s="206"/>
    </row>
    <row r="109" spans="1:8">
      <c r="A109" s="221" t="s">
        <v>335</v>
      </c>
      <c r="G109" s="361"/>
      <c r="H109" s="206"/>
    </row>
    <row r="110" spans="1:8">
      <c r="A110" s="351" t="s">
        <v>218</v>
      </c>
      <c r="H110" s="206"/>
    </row>
    <row r="111" spans="1:8">
      <c r="A111" s="351" t="s">
        <v>408</v>
      </c>
      <c r="H111" s="206"/>
    </row>
    <row r="112" spans="1:8">
      <c r="B112" s="305" t="s">
        <v>465</v>
      </c>
      <c r="C112" s="305" t="s">
        <v>187</v>
      </c>
      <c r="D112" s="305">
        <v>252</v>
      </c>
      <c r="E112" s="305"/>
      <c r="F112" s="305" t="s">
        <v>217</v>
      </c>
      <c r="G112" s="352">
        <v>372</v>
      </c>
      <c r="H112" s="206"/>
    </row>
    <row r="113" spans="1:8">
      <c r="A113" s="351" t="s">
        <v>477</v>
      </c>
      <c r="G113" s="353">
        <f>SUM(G112)</f>
        <v>372</v>
      </c>
      <c r="H113" s="206"/>
    </row>
    <row r="114" spans="1:8">
      <c r="A114" s="351" t="s">
        <v>204</v>
      </c>
      <c r="H114" s="206"/>
    </row>
    <row r="115" spans="1:8">
      <c r="B115" s="305" t="s">
        <v>465</v>
      </c>
      <c r="C115" s="305" t="s">
        <v>187</v>
      </c>
      <c r="D115" s="305">
        <v>254</v>
      </c>
      <c r="E115" s="305"/>
      <c r="F115" s="305" t="s">
        <v>203</v>
      </c>
      <c r="G115" s="352">
        <v>39</v>
      </c>
      <c r="H115" s="206"/>
    </row>
    <row r="116" spans="1:8">
      <c r="A116" s="351" t="s">
        <v>202</v>
      </c>
      <c r="G116" s="353">
        <f>SUM(G115)</f>
        <v>39</v>
      </c>
      <c r="H116" s="206"/>
    </row>
    <row r="117" spans="1:8">
      <c r="A117" s="351" t="s">
        <v>471</v>
      </c>
      <c r="G117" s="355">
        <f>+G113+G116</f>
        <v>411</v>
      </c>
      <c r="H117" s="206"/>
    </row>
    <row r="118" spans="1:8">
      <c r="G118" s="361"/>
      <c r="H118" s="206"/>
    </row>
    <row r="119" spans="1:8">
      <c r="A119" s="351"/>
      <c r="G119" s="361"/>
      <c r="H119" s="206"/>
    </row>
    <row r="120" spans="1:8">
      <c r="A120" s="221" t="s">
        <v>509</v>
      </c>
      <c r="H120" s="206"/>
    </row>
    <row r="121" spans="1:8">
      <c r="A121" s="351" t="s">
        <v>211</v>
      </c>
      <c r="H121" s="206"/>
    </row>
    <row r="122" spans="1:8">
      <c r="A122" s="351" t="s">
        <v>210</v>
      </c>
      <c r="H122" s="206"/>
    </row>
    <row r="123" spans="1:8">
      <c r="B123" s="305" t="s">
        <v>474</v>
      </c>
      <c r="C123" s="305" t="s">
        <v>175</v>
      </c>
      <c r="D123" s="305" t="s">
        <v>473</v>
      </c>
      <c r="E123" s="305" t="s">
        <v>434</v>
      </c>
      <c r="F123" s="305" t="s">
        <v>475</v>
      </c>
      <c r="G123" s="352">
        <v>57</v>
      </c>
      <c r="H123" s="206">
        <v>12522</v>
      </c>
    </row>
    <row r="124" spans="1:8">
      <c r="B124" s="305" t="s">
        <v>474</v>
      </c>
      <c r="C124" s="305" t="s">
        <v>175</v>
      </c>
      <c r="D124" s="305" t="s">
        <v>473</v>
      </c>
      <c r="E124" s="305" t="s">
        <v>434</v>
      </c>
      <c r="F124" s="305"/>
      <c r="G124" s="352">
        <v>90.16</v>
      </c>
      <c r="H124" s="206">
        <v>12522</v>
      </c>
    </row>
    <row r="125" spans="1:8">
      <c r="A125" s="351" t="s">
        <v>208</v>
      </c>
      <c r="G125" s="353">
        <f>SUM(G123:G124)</f>
        <v>147.16</v>
      </c>
      <c r="H125" s="206"/>
    </row>
    <row r="126" spans="1:8">
      <c r="A126" s="351" t="s">
        <v>207</v>
      </c>
      <c r="H126" s="206"/>
    </row>
    <row r="127" spans="1:8">
      <c r="B127" s="305" t="s">
        <v>465</v>
      </c>
      <c r="C127" s="305" t="s">
        <v>187</v>
      </c>
      <c r="D127" s="305">
        <v>262</v>
      </c>
      <c r="E127" s="305"/>
      <c r="F127" s="305" t="s">
        <v>206</v>
      </c>
      <c r="G127" s="352">
        <v>79</v>
      </c>
      <c r="H127" s="206"/>
    </row>
    <row r="128" spans="1:8">
      <c r="A128" s="351" t="s">
        <v>205</v>
      </c>
      <c r="G128" s="353">
        <f>SUM(G127)</f>
        <v>79</v>
      </c>
      <c r="H128" s="206"/>
    </row>
    <row r="129" spans="1:8">
      <c r="A129" s="351" t="s">
        <v>472</v>
      </c>
      <c r="G129" s="355">
        <f>+G125+G128</f>
        <v>226.16</v>
      </c>
      <c r="H129" s="206"/>
    </row>
    <row r="130" spans="1:8">
      <c r="A130" s="351"/>
      <c r="G130" s="361"/>
      <c r="H130" s="206"/>
    </row>
    <row r="131" spans="1:8">
      <c r="G131" s="361"/>
      <c r="H131" s="206"/>
    </row>
    <row r="132" spans="1:8">
      <c r="A132" s="351"/>
      <c r="G132" s="361"/>
      <c r="H132" s="206"/>
    </row>
    <row r="133" spans="1:8">
      <c r="A133" s="363" t="s">
        <v>189</v>
      </c>
      <c r="H133" s="206"/>
    </row>
    <row r="134" spans="1:8">
      <c r="B134" s="305" t="s">
        <v>465</v>
      </c>
      <c r="C134" s="305" t="s">
        <v>187</v>
      </c>
      <c r="D134" s="305">
        <v>258</v>
      </c>
      <c r="E134" s="305"/>
      <c r="F134" s="305" t="s">
        <v>186</v>
      </c>
      <c r="G134" s="352">
        <v>491</v>
      </c>
      <c r="H134" s="206"/>
    </row>
    <row r="135" spans="1:8">
      <c r="A135" s="351" t="s">
        <v>464</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36" t="s">
        <v>453</v>
      </c>
      <c r="B142" s="536"/>
      <c r="C142" s="536"/>
      <c r="D142" s="536"/>
      <c r="E142" s="536"/>
      <c r="F142" s="536"/>
      <c r="G142" s="536"/>
      <c r="H142" s="536"/>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130</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K163"/>
  <sheetViews>
    <sheetView tabSelected="1" workbookViewId="0">
      <selection sqref="A1:XFD1048576"/>
    </sheetView>
  </sheetViews>
  <sheetFormatPr defaultRowHeight="14.5"/>
  <cols>
    <col min="1" max="1" width="57.54296875" style="3" customWidth="1"/>
    <col min="2" max="2" width="9.453125" style="3" customWidth="1"/>
    <col min="3" max="3" width="12" style="3" customWidth="1"/>
    <col min="4" max="4" width="9.453125" style="3" customWidth="1"/>
    <col min="5" max="5" width="31.81640625" style="3" customWidth="1"/>
    <col min="6" max="6" width="16.36328125" style="3" customWidth="1"/>
    <col min="7" max="7" width="14.6328125" style="3" customWidth="1"/>
    <col min="8" max="8" width="86.81640625" style="3" customWidth="1"/>
    <col min="9" max="9" width="56.7265625" style="3" customWidth="1"/>
    <col min="10" max="10" width="11.1796875" style="3" customWidth="1"/>
    <col min="11" max="11" width="7.7265625" style="3" customWidth="1"/>
    <col min="12" max="16384" width="8.7265625" style="3"/>
  </cols>
  <sheetData>
    <row r="1" spans="1:11" ht="18">
      <c r="A1" s="545" t="s">
        <v>278</v>
      </c>
      <c r="B1" s="546"/>
      <c r="C1" s="546"/>
      <c r="D1" s="546"/>
      <c r="E1" s="546"/>
      <c r="F1" s="546"/>
      <c r="G1" s="546"/>
      <c r="H1" s="546"/>
      <c r="I1" s="546"/>
      <c r="J1" s="546"/>
      <c r="K1" s="546"/>
    </row>
    <row r="2" spans="1:11" ht="18">
      <c r="A2" s="545" t="s">
        <v>626</v>
      </c>
      <c r="B2" s="546"/>
      <c r="C2" s="546"/>
      <c r="D2" s="546"/>
      <c r="E2" s="546"/>
      <c r="F2" s="546"/>
      <c r="G2" s="546"/>
      <c r="H2" s="546"/>
      <c r="I2" s="546"/>
      <c r="J2" s="546"/>
      <c r="K2" s="546"/>
    </row>
    <row r="3" spans="1:11">
      <c r="A3" s="547" t="s">
        <v>505</v>
      </c>
      <c r="B3" s="546"/>
      <c r="C3" s="546"/>
      <c r="D3" s="546"/>
      <c r="E3" s="546"/>
      <c r="F3" s="546"/>
      <c r="G3" s="546"/>
      <c r="H3" s="546"/>
      <c r="I3" s="546"/>
      <c r="J3" s="546"/>
      <c r="K3" s="546"/>
    </row>
    <row r="5" spans="1:11" ht="24">
      <c r="B5" s="548" t="s">
        <v>154</v>
      </c>
      <c r="C5" s="548" t="s">
        <v>431</v>
      </c>
      <c r="D5" s="548" t="s">
        <v>275</v>
      </c>
      <c r="E5" s="548" t="s">
        <v>274</v>
      </c>
      <c r="F5" s="548" t="s">
        <v>627</v>
      </c>
      <c r="G5" s="548" t="s">
        <v>628</v>
      </c>
      <c r="H5" s="548" t="s">
        <v>273</v>
      </c>
      <c r="I5" s="548" t="s">
        <v>629</v>
      </c>
      <c r="J5" s="548" t="s">
        <v>272</v>
      </c>
      <c r="K5" s="548" t="s">
        <v>630</v>
      </c>
    </row>
    <row r="6" spans="1:11">
      <c r="A6" s="549" t="s">
        <v>631</v>
      </c>
    </row>
    <row r="7" spans="1:11">
      <c r="A7" s="549" t="s">
        <v>632</v>
      </c>
    </row>
    <row r="8" spans="1:11">
      <c r="A8" s="549" t="s">
        <v>633</v>
      </c>
    </row>
    <row r="9" spans="1:11">
      <c r="A9" s="549" t="s">
        <v>634</v>
      </c>
    </row>
    <row r="10" spans="1:11">
      <c r="A10" s="549" t="s">
        <v>635</v>
      </c>
    </row>
    <row r="11" spans="1:11">
      <c r="A11" s="549" t="s">
        <v>636</v>
      </c>
    </row>
    <row r="12" spans="1:11">
      <c r="B12" s="550" t="s">
        <v>465</v>
      </c>
      <c r="C12" s="550" t="s">
        <v>187</v>
      </c>
      <c r="D12" s="550">
        <v>332</v>
      </c>
      <c r="E12" s="550"/>
      <c r="F12" s="550"/>
      <c r="G12" s="550" t="s">
        <v>637</v>
      </c>
      <c r="H12" s="550" t="s">
        <v>638</v>
      </c>
      <c r="I12" s="551" t="s">
        <v>639</v>
      </c>
      <c r="J12" s="552">
        <v>27796.01</v>
      </c>
      <c r="K12" s="552">
        <v>27796.01</v>
      </c>
    </row>
    <row r="13" spans="1:11">
      <c r="A13" s="549" t="s">
        <v>640</v>
      </c>
      <c r="J13" s="553">
        <v>27796.01</v>
      </c>
    </row>
    <row r="14" spans="1:11">
      <c r="A14" s="549" t="s">
        <v>641</v>
      </c>
      <c r="J14" s="553">
        <v>27796.01</v>
      </c>
    </row>
    <row r="15" spans="1:11">
      <c r="A15" s="549" t="s">
        <v>642</v>
      </c>
    </row>
    <row r="16" spans="1:11">
      <c r="B16" s="550" t="s">
        <v>486</v>
      </c>
      <c r="C16" s="550" t="s">
        <v>187</v>
      </c>
      <c r="D16" s="550">
        <v>243</v>
      </c>
      <c r="E16" s="550"/>
      <c r="F16" s="550"/>
      <c r="G16" s="550" t="s">
        <v>637</v>
      </c>
      <c r="H16" s="550" t="s">
        <v>643</v>
      </c>
      <c r="I16" s="551" t="s">
        <v>639</v>
      </c>
      <c r="J16" s="552">
        <v>51031.83</v>
      </c>
      <c r="K16" s="552">
        <v>51031.83</v>
      </c>
    </row>
    <row r="17" spans="1:11">
      <c r="B17" s="550" t="s">
        <v>485</v>
      </c>
      <c r="C17" s="550" t="s">
        <v>187</v>
      </c>
      <c r="D17" s="550">
        <v>245</v>
      </c>
      <c r="E17" s="550"/>
      <c r="F17" s="550"/>
      <c r="G17" s="550" t="s">
        <v>637</v>
      </c>
      <c r="H17" s="550" t="s">
        <v>643</v>
      </c>
      <c r="I17" s="551" t="s">
        <v>639</v>
      </c>
      <c r="J17" s="552">
        <v>47004.21</v>
      </c>
      <c r="K17" s="552">
        <v>98036.04</v>
      </c>
    </row>
    <row r="18" spans="1:11">
      <c r="A18" s="549" t="s">
        <v>644</v>
      </c>
      <c r="J18" s="553">
        <v>98036.04</v>
      </c>
    </row>
    <row r="19" spans="1:11">
      <c r="A19" s="549" t="s">
        <v>645</v>
      </c>
      <c r="J19" s="553">
        <v>125832.05</v>
      </c>
    </row>
    <row r="20" spans="1:11">
      <c r="A20" s="549" t="s">
        <v>646</v>
      </c>
      <c r="J20" s="553">
        <v>125832.05</v>
      </c>
    </row>
    <row r="21" spans="1:11">
      <c r="A21" s="549" t="s">
        <v>647</v>
      </c>
      <c r="J21" s="553">
        <v>125832.05</v>
      </c>
    </row>
    <row r="22" spans="1:11">
      <c r="A22" s="549" t="s">
        <v>648</v>
      </c>
    </row>
    <row r="23" spans="1:11">
      <c r="A23" s="549" t="s">
        <v>649</v>
      </c>
    </row>
    <row r="24" spans="1:11">
      <c r="A24" s="549" t="s">
        <v>650</v>
      </c>
    </row>
    <row r="25" spans="1:11">
      <c r="B25" s="550" t="s">
        <v>486</v>
      </c>
      <c r="C25" s="550" t="s">
        <v>187</v>
      </c>
      <c r="D25" s="550">
        <v>243</v>
      </c>
      <c r="E25" s="550"/>
      <c r="F25" s="550"/>
      <c r="G25" s="550" t="s">
        <v>637</v>
      </c>
      <c r="H25" s="550" t="s">
        <v>504</v>
      </c>
      <c r="I25" s="551" t="s">
        <v>639</v>
      </c>
      <c r="J25" s="552">
        <v>47030</v>
      </c>
      <c r="K25" s="552">
        <v>47030</v>
      </c>
    </row>
    <row r="26" spans="1:11">
      <c r="B26" s="550" t="s">
        <v>485</v>
      </c>
      <c r="C26" s="550" t="s">
        <v>187</v>
      </c>
      <c r="D26" s="550">
        <v>245</v>
      </c>
      <c r="E26" s="550"/>
      <c r="F26" s="550"/>
      <c r="G26" s="550" t="s">
        <v>637</v>
      </c>
      <c r="H26" s="550" t="s">
        <v>651</v>
      </c>
      <c r="I26" s="551" t="s">
        <v>639</v>
      </c>
      <c r="J26" s="552">
        <v>43224</v>
      </c>
      <c r="K26" s="552">
        <v>90254</v>
      </c>
    </row>
    <row r="27" spans="1:11">
      <c r="A27" s="549" t="s">
        <v>652</v>
      </c>
      <c r="J27" s="553">
        <v>90254</v>
      </c>
    </row>
    <row r="28" spans="1:11">
      <c r="A28" s="549" t="s">
        <v>653</v>
      </c>
    </row>
    <row r="29" spans="1:11">
      <c r="B29" s="550" t="s">
        <v>485</v>
      </c>
      <c r="C29" s="550" t="s">
        <v>379</v>
      </c>
      <c r="D29" s="550">
        <v>12495</v>
      </c>
      <c r="E29" s="550" t="s">
        <v>488</v>
      </c>
      <c r="F29" s="550"/>
      <c r="G29" s="550" t="s">
        <v>637</v>
      </c>
      <c r="H29" s="550" t="s">
        <v>487</v>
      </c>
      <c r="I29" s="550" t="s">
        <v>654</v>
      </c>
      <c r="J29" s="552">
        <v>245.87</v>
      </c>
      <c r="K29" s="552">
        <v>245.87</v>
      </c>
    </row>
    <row r="30" spans="1:11">
      <c r="B30" s="550" t="s">
        <v>485</v>
      </c>
      <c r="C30" s="550" t="s">
        <v>379</v>
      </c>
      <c r="D30" s="550">
        <v>12494</v>
      </c>
      <c r="E30" s="550" t="s">
        <v>494</v>
      </c>
      <c r="F30" s="550"/>
      <c r="G30" s="550" t="s">
        <v>637</v>
      </c>
      <c r="H30" s="550" t="s">
        <v>493</v>
      </c>
      <c r="I30" s="550" t="s">
        <v>654</v>
      </c>
      <c r="J30" s="552">
        <v>101.59</v>
      </c>
      <c r="K30" s="552">
        <v>347.46</v>
      </c>
    </row>
    <row r="31" spans="1:11">
      <c r="B31" s="550" t="s">
        <v>485</v>
      </c>
      <c r="C31" s="550" t="s">
        <v>379</v>
      </c>
      <c r="D31" s="550">
        <v>12497</v>
      </c>
      <c r="E31" s="550" t="s">
        <v>490</v>
      </c>
      <c r="F31" s="550"/>
      <c r="G31" s="550" t="s">
        <v>637</v>
      </c>
      <c r="H31" s="550" t="s">
        <v>489</v>
      </c>
      <c r="I31" s="550" t="s">
        <v>654</v>
      </c>
      <c r="J31" s="552">
        <v>146.51</v>
      </c>
      <c r="K31" s="552">
        <v>493.97</v>
      </c>
    </row>
    <row r="32" spans="1:11">
      <c r="B32" s="550" t="s">
        <v>485</v>
      </c>
      <c r="C32" s="550" t="s">
        <v>379</v>
      </c>
      <c r="D32" s="550">
        <v>12496</v>
      </c>
      <c r="E32" s="550" t="s">
        <v>492</v>
      </c>
      <c r="F32" s="550"/>
      <c r="G32" s="550" t="s">
        <v>637</v>
      </c>
      <c r="H32" s="550" t="s">
        <v>491</v>
      </c>
      <c r="I32" s="550" t="s">
        <v>654</v>
      </c>
      <c r="J32" s="552">
        <v>264.05</v>
      </c>
      <c r="K32" s="552">
        <v>758.02</v>
      </c>
    </row>
    <row r="33" spans="1:11">
      <c r="B33" s="550" t="s">
        <v>655</v>
      </c>
      <c r="C33" s="550" t="s">
        <v>175</v>
      </c>
      <c r="D33" s="550" t="s">
        <v>503</v>
      </c>
      <c r="E33" s="550" t="s">
        <v>502</v>
      </c>
      <c r="F33" s="550"/>
      <c r="G33" s="550" t="s">
        <v>637</v>
      </c>
      <c r="H33" s="550" t="s">
        <v>501</v>
      </c>
      <c r="I33" s="550" t="s">
        <v>656</v>
      </c>
      <c r="J33" s="552">
        <v>273.13</v>
      </c>
      <c r="K33" s="552">
        <v>1031.1500000000001</v>
      </c>
    </row>
    <row r="34" spans="1:11">
      <c r="B34" s="550" t="s">
        <v>655</v>
      </c>
      <c r="C34" s="550" t="s">
        <v>175</v>
      </c>
      <c r="D34" s="550" t="s">
        <v>497</v>
      </c>
      <c r="E34" s="550" t="s">
        <v>496</v>
      </c>
      <c r="F34" s="550"/>
      <c r="G34" s="550" t="s">
        <v>637</v>
      </c>
      <c r="H34" s="550" t="s">
        <v>495</v>
      </c>
      <c r="I34" s="550" t="s">
        <v>656</v>
      </c>
      <c r="J34" s="552">
        <v>227.7</v>
      </c>
      <c r="K34" s="552">
        <v>1258.8499999999999</v>
      </c>
    </row>
    <row r="35" spans="1:11">
      <c r="B35" s="550" t="s">
        <v>655</v>
      </c>
      <c r="C35" s="550" t="s">
        <v>175</v>
      </c>
      <c r="D35" s="550" t="s">
        <v>500</v>
      </c>
      <c r="E35" s="550" t="s">
        <v>499</v>
      </c>
      <c r="F35" s="550"/>
      <c r="G35" s="550" t="s">
        <v>637</v>
      </c>
      <c r="H35" s="550" t="s">
        <v>495</v>
      </c>
      <c r="I35" s="550" t="s">
        <v>656</v>
      </c>
      <c r="J35" s="552">
        <v>227.71</v>
      </c>
      <c r="K35" s="552">
        <v>1486.56</v>
      </c>
    </row>
    <row r="36" spans="1:11">
      <c r="A36" s="549" t="s">
        <v>657</v>
      </c>
      <c r="J36" s="553">
        <v>1486.56</v>
      </c>
    </row>
    <row r="37" spans="1:11">
      <c r="A37" s="549" t="s">
        <v>658</v>
      </c>
      <c r="J37" s="553">
        <v>91740.56</v>
      </c>
    </row>
    <row r="38" spans="1:11">
      <c r="A38" s="549" t="s">
        <v>659</v>
      </c>
    </row>
    <row r="39" spans="1:11">
      <c r="B39" s="550" t="s">
        <v>486</v>
      </c>
      <c r="C39" s="550" t="s">
        <v>187</v>
      </c>
      <c r="D39" s="550">
        <v>243</v>
      </c>
      <c r="E39" s="550"/>
      <c r="F39" s="550"/>
      <c r="G39" s="550" t="s">
        <v>637</v>
      </c>
      <c r="H39" s="550" t="s">
        <v>420</v>
      </c>
      <c r="I39" s="551" t="s">
        <v>639</v>
      </c>
      <c r="J39" s="552">
        <v>3597.9</v>
      </c>
      <c r="K39" s="552">
        <v>3597.9</v>
      </c>
    </row>
    <row r="40" spans="1:11">
      <c r="B40" s="550" t="s">
        <v>485</v>
      </c>
      <c r="C40" s="550" t="s">
        <v>187</v>
      </c>
      <c r="D40" s="550">
        <v>245</v>
      </c>
      <c r="E40" s="550"/>
      <c r="F40" s="550"/>
      <c r="G40" s="550" t="s">
        <v>637</v>
      </c>
      <c r="H40" s="550" t="s">
        <v>420</v>
      </c>
      <c r="I40" s="551" t="s">
        <v>639</v>
      </c>
      <c r="J40" s="552">
        <v>3306.62</v>
      </c>
      <c r="K40" s="552">
        <v>6904.52</v>
      </c>
    </row>
    <row r="41" spans="1:11">
      <c r="A41" s="549" t="s">
        <v>660</v>
      </c>
      <c r="J41" s="553">
        <v>6904.52</v>
      </c>
    </row>
    <row r="42" spans="1:11">
      <c r="A42" s="549" t="s">
        <v>661</v>
      </c>
    </row>
    <row r="43" spans="1:11">
      <c r="B43" s="550" t="s">
        <v>465</v>
      </c>
      <c r="C43" s="550" t="s">
        <v>187</v>
      </c>
      <c r="D43" s="550">
        <v>272</v>
      </c>
      <c r="E43" s="550"/>
      <c r="F43" s="550"/>
      <c r="G43" s="550" t="s">
        <v>637</v>
      </c>
      <c r="H43" s="550" t="s">
        <v>412</v>
      </c>
      <c r="I43" s="551" t="s">
        <v>639</v>
      </c>
      <c r="J43" s="552">
        <v>2868</v>
      </c>
      <c r="K43" s="552">
        <v>2868</v>
      </c>
    </row>
    <row r="44" spans="1:11">
      <c r="A44" s="549" t="s">
        <v>662</v>
      </c>
      <c r="J44" s="553">
        <v>2868</v>
      </c>
    </row>
    <row r="45" spans="1:11">
      <c r="A45" s="549" t="s">
        <v>663</v>
      </c>
    </row>
    <row r="46" spans="1:11">
      <c r="B46" s="550" t="s">
        <v>486</v>
      </c>
      <c r="C46" s="550" t="s">
        <v>187</v>
      </c>
      <c r="D46" s="550">
        <v>243</v>
      </c>
      <c r="E46" s="550"/>
      <c r="F46" s="550"/>
      <c r="G46" s="550" t="s">
        <v>637</v>
      </c>
      <c r="H46" s="550" t="s">
        <v>416</v>
      </c>
      <c r="I46" s="551" t="s">
        <v>639</v>
      </c>
      <c r="J46" s="552">
        <v>403.93</v>
      </c>
      <c r="K46" s="552">
        <v>403.93</v>
      </c>
    </row>
    <row r="47" spans="1:11">
      <c r="B47" s="550" t="s">
        <v>485</v>
      </c>
      <c r="C47" s="550" t="s">
        <v>187</v>
      </c>
      <c r="D47" s="550">
        <v>245</v>
      </c>
      <c r="E47" s="550"/>
      <c r="F47" s="550"/>
      <c r="G47" s="550" t="s">
        <v>637</v>
      </c>
      <c r="H47" s="550" t="s">
        <v>416</v>
      </c>
      <c r="I47" s="551" t="s">
        <v>639</v>
      </c>
      <c r="J47" s="552">
        <v>473.59</v>
      </c>
      <c r="K47" s="552">
        <v>877.52</v>
      </c>
    </row>
    <row r="48" spans="1:11">
      <c r="A48" s="549" t="s">
        <v>664</v>
      </c>
      <c r="J48" s="553">
        <v>877.52</v>
      </c>
    </row>
    <row r="49" spans="1:11">
      <c r="A49" s="549" t="s">
        <v>665</v>
      </c>
      <c r="J49" s="553">
        <v>102390.6</v>
      </c>
    </row>
    <row r="50" spans="1:11">
      <c r="A50" s="549" t="s">
        <v>666</v>
      </c>
    </row>
    <row r="51" spans="1:11">
      <c r="A51" s="549" t="s">
        <v>667</v>
      </c>
    </row>
    <row r="52" spans="1:11">
      <c r="A52" s="549" t="s">
        <v>668</v>
      </c>
    </row>
    <row r="53" spans="1:11">
      <c r="B53" s="550" t="s">
        <v>483</v>
      </c>
      <c r="C53" s="550" t="s">
        <v>187</v>
      </c>
      <c r="D53" s="550">
        <v>242</v>
      </c>
      <c r="E53" s="550"/>
      <c r="F53" s="550"/>
      <c r="G53" s="550" t="s">
        <v>637</v>
      </c>
      <c r="H53" s="550" t="s">
        <v>482</v>
      </c>
      <c r="I53" s="551" t="s">
        <v>639</v>
      </c>
      <c r="J53" s="552">
        <v>14938.24</v>
      </c>
      <c r="K53" s="552">
        <v>14938.24</v>
      </c>
    </row>
    <row r="54" spans="1:11">
      <c r="A54" s="549" t="s">
        <v>669</v>
      </c>
      <c r="J54" s="553">
        <v>14938.24</v>
      </c>
    </row>
    <row r="55" spans="1:11">
      <c r="A55" s="549" t="s">
        <v>670</v>
      </c>
      <c r="J55" s="553">
        <v>14938.24</v>
      </c>
    </row>
    <row r="56" spans="1:11">
      <c r="A56" s="549" t="s">
        <v>671</v>
      </c>
    </row>
    <row r="57" spans="1:11">
      <c r="A57" s="549" t="s">
        <v>672</v>
      </c>
    </row>
    <row r="58" spans="1:11">
      <c r="B58" s="550" t="s">
        <v>456</v>
      </c>
      <c r="C58" s="550" t="s">
        <v>175</v>
      </c>
      <c r="D58" s="550">
        <v>292271815</v>
      </c>
      <c r="E58" s="550" t="s">
        <v>481</v>
      </c>
      <c r="F58" s="550"/>
      <c r="G58" s="550" t="s">
        <v>637</v>
      </c>
      <c r="H58" s="550"/>
      <c r="I58" s="550" t="s">
        <v>656</v>
      </c>
      <c r="J58" s="552">
        <v>3813.99</v>
      </c>
      <c r="K58" s="552">
        <v>3813.99</v>
      </c>
    </row>
    <row r="59" spans="1:11">
      <c r="A59" s="549" t="s">
        <v>673</v>
      </c>
      <c r="J59" s="553">
        <v>3813.99</v>
      </c>
    </row>
    <row r="60" spans="1:11">
      <c r="A60" s="549" t="s">
        <v>674</v>
      </c>
    </row>
    <row r="61" spans="1:11">
      <c r="B61" s="550" t="s">
        <v>463</v>
      </c>
      <c r="C61" s="550" t="s">
        <v>175</v>
      </c>
      <c r="D61" s="550" t="s">
        <v>480</v>
      </c>
      <c r="E61" s="550" t="s">
        <v>244</v>
      </c>
      <c r="F61" s="550"/>
      <c r="G61" s="550" t="s">
        <v>637</v>
      </c>
      <c r="H61" s="550" t="s">
        <v>243</v>
      </c>
      <c r="I61" s="550" t="s">
        <v>656</v>
      </c>
      <c r="J61" s="552">
        <v>171.06</v>
      </c>
      <c r="K61" s="552">
        <v>171.06</v>
      </c>
    </row>
    <row r="62" spans="1:11">
      <c r="A62" s="549" t="s">
        <v>675</v>
      </c>
      <c r="J62" s="553">
        <v>171.06</v>
      </c>
    </row>
    <row r="63" spans="1:11">
      <c r="A63" s="549" t="s">
        <v>676</v>
      </c>
    </row>
    <row r="64" spans="1:11">
      <c r="B64" s="550" t="s">
        <v>465</v>
      </c>
      <c r="C64" s="550" t="s">
        <v>187</v>
      </c>
      <c r="D64" s="550">
        <v>274</v>
      </c>
      <c r="E64" s="550"/>
      <c r="F64" s="550"/>
      <c r="G64" s="550" t="s">
        <v>637</v>
      </c>
      <c r="H64" s="550" t="s">
        <v>677</v>
      </c>
      <c r="I64" s="551" t="s">
        <v>639</v>
      </c>
      <c r="J64" s="552">
        <v>-704.12</v>
      </c>
      <c r="K64" s="552">
        <v>-704.12</v>
      </c>
    </row>
    <row r="65" spans="1:11">
      <c r="A65" s="549" t="s">
        <v>678</v>
      </c>
      <c r="J65" s="553">
        <v>-704.12</v>
      </c>
    </row>
    <row r="66" spans="1:11">
      <c r="A66" s="549" t="s">
        <v>679</v>
      </c>
    </row>
    <row r="67" spans="1:11">
      <c r="B67" s="550" t="s">
        <v>465</v>
      </c>
      <c r="C67" s="550" t="s">
        <v>187</v>
      </c>
      <c r="D67" s="550">
        <v>275</v>
      </c>
      <c r="E67" s="550"/>
      <c r="F67" s="550"/>
      <c r="G67" s="550" t="s">
        <v>637</v>
      </c>
      <c r="H67" s="550" t="s">
        <v>238</v>
      </c>
      <c r="I67" s="551" t="s">
        <v>639</v>
      </c>
      <c r="J67" s="552">
        <v>-1.35</v>
      </c>
      <c r="K67" s="552">
        <v>-1.35</v>
      </c>
    </row>
    <row r="68" spans="1:11">
      <c r="A68" s="549" t="s">
        <v>680</v>
      </c>
      <c r="J68" s="553">
        <v>-1.35</v>
      </c>
    </row>
    <row r="69" spans="1:11">
      <c r="A69" s="549" t="s">
        <v>681</v>
      </c>
      <c r="J69" s="553">
        <v>3279.58</v>
      </c>
    </row>
    <row r="70" spans="1:11">
      <c r="A70" s="549" t="s">
        <v>682</v>
      </c>
    </row>
    <row r="71" spans="1:11">
      <c r="A71" s="549" t="s">
        <v>683</v>
      </c>
    </row>
    <row r="72" spans="1:11">
      <c r="A72" s="549" t="s">
        <v>684</v>
      </c>
    </row>
    <row r="73" spans="1:11">
      <c r="B73" s="550" t="s">
        <v>465</v>
      </c>
      <c r="C73" s="550" t="s">
        <v>187</v>
      </c>
      <c r="D73" s="550">
        <v>272</v>
      </c>
      <c r="E73" s="550"/>
      <c r="F73" s="550"/>
      <c r="G73" s="550" t="s">
        <v>637</v>
      </c>
      <c r="H73" s="550" t="s">
        <v>412</v>
      </c>
      <c r="I73" s="551" t="s">
        <v>639</v>
      </c>
      <c r="J73" s="552">
        <v>467</v>
      </c>
      <c r="K73" s="552">
        <v>467</v>
      </c>
    </row>
    <row r="74" spans="1:11">
      <c r="A74" s="549" t="s">
        <v>685</v>
      </c>
      <c r="J74" s="553">
        <v>467</v>
      </c>
    </row>
    <row r="75" spans="1:11">
      <c r="A75" s="549" t="s">
        <v>686</v>
      </c>
      <c r="J75" s="553">
        <v>467</v>
      </c>
    </row>
    <row r="76" spans="1:11">
      <c r="A76" s="549" t="s">
        <v>687</v>
      </c>
    </row>
    <row r="77" spans="1:11">
      <c r="B77" s="550" t="s">
        <v>465</v>
      </c>
      <c r="C77" s="550" t="s">
        <v>187</v>
      </c>
      <c r="D77" s="550">
        <v>246</v>
      </c>
      <c r="E77" s="550"/>
      <c r="F77" s="550"/>
      <c r="G77" s="550" t="s">
        <v>637</v>
      </c>
      <c r="H77" s="550" t="s">
        <v>232</v>
      </c>
      <c r="I77" s="551" t="s">
        <v>639</v>
      </c>
      <c r="J77" s="552">
        <v>880</v>
      </c>
      <c r="K77" s="552">
        <v>880</v>
      </c>
    </row>
    <row r="78" spans="1:11">
      <c r="A78" s="549" t="s">
        <v>688</v>
      </c>
      <c r="J78" s="553">
        <v>880</v>
      </c>
    </row>
    <row r="79" spans="1:11">
      <c r="A79" s="549" t="s">
        <v>689</v>
      </c>
    </row>
    <row r="80" spans="1:11">
      <c r="B80" s="550" t="s">
        <v>465</v>
      </c>
      <c r="C80" s="550" t="s">
        <v>187</v>
      </c>
      <c r="D80" s="550">
        <v>248</v>
      </c>
      <c r="E80" s="550"/>
      <c r="F80" s="550"/>
      <c r="G80" s="550" t="s">
        <v>637</v>
      </c>
      <c r="H80" s="550" t="s">
        <v>229</v>
      </c>
      <c r="I80" s="551" t="s">
        <v>639</v>
      </c>
      <c r="J80" s="552">
        <v>206</v>
      </c>
      <c r="K80" s="552">
        <v>206</v>
      </c>
    </row>
    <row r="81" spans="1:11">
      <c r="A81" s="549" t="s">
        <v>690</v>
      </c>
      <c r="J81" s="553">
        <v>206</v>
      </c>
    </row>
    <row r="82" spans="1:11">
      <c r="A82" s="549" t="s">
        <v>691</v>
      </c>
    </row>
    <row r="83" spans="1:11">
      <c r="B83" s="550" t="s">
        <v>465</v>
      </c>
      <c r="C83" s="550" t="s">
        <v>187</v>
      </c>
      <c r="D83" s="550">
        <v>249</v>
      </c>
      <c r="E83" s="550"/>
      <c r="F83" s="550"/>
      <c r="G83" s="550" t="s">
        <v>637</v>
      </c>
      <c r="H83" s="550" t="s">
        <v>226</v>
      </c>
      <c r="I83" s="551" t="s">
        <v>639</v>
      </c>
      <c r="J83" s="552">
        <v>215</v>
      </c>
      <c r="K83" s="552">
        <v>215</v>
      </c>
    </row>
    <row r="84" spans="1:11">
      <c r="A84" s="549" t="s">
        <v>692</v>
      </c>
      <c r="J84" s="553">
        <v>215</v>
      </c>
    </row>
    <row r="85" spans="1:11">
      <c r="A85" s="549" t="s">
        <v>693</v>
      </c>
    </row>
    <row r="86" spans="1:11">
      <c r="B86" s="550" t="s">
        <v>465</v>
      </c>
      <c r="C86" s="550" t="s">
        <v>187</v>
      </c>
      <c r="D86" s="550">
        <v>250</v>
      </c>
      <c r="E86" s="550"/>
      <c r="F86" s="550"/>
      <c r="G86" s="550" t="s">
        <v>637</v>
      </c>
      <c r="H86" s="550" t="s">
        <v>223</v>
      </c>
      <c r="I86" s="551" t="s">
        <v>639</v>
      </c>
      <c r="J86" s="552">
        <v>42</v>
      </c>
      <c r="K86" s="552">
        <v>42</v>
      </c>
    </row>
    <row r="87" spans="1:11">
      <c r="A87" s="549" t="s">
        <v>694</v>
      </c>
      <c r="J87" s="553">
        <v>42</v>
      </c>
    </row>
    <row r="88" spans="1:11">
      <c r="A88" s="549" t="s">
        <v>695</v>
      </c>
      <c r="J88" s="553">
        <v>1810</v>
      </c>
    </row>
    <row r="89" spans="1:11">
      <c r="A89" s="549" t="s">
        <v>696</v>
      </c>
    </row>
    <row r="90" spans="1:11">
      <c r="A90" s="549" t="s">
        <v>697</v>
      </c>
    </row>
    <row r="91" spans="1:11">
      <c r="B91" s="550" t="s">
        <v>465</v>
      </c>
      <c r="C91" s="550" t="s">
        <v>187</v>
      </c>
      <c r="D91" s="550">
        <v>251</v>
      </c>
      <c r="E91" s="550"/>
      <c r="F91" s="550"/>
      <c r="G91" s="550" t="s">
        <v>637</v>
      </c>
      <c r="H91" s="550" t="s">
        <v>220</v>
      </c>
      <c r="I91" s="551" t="s">
        <v>639</v>
      </c>
      <c r="J91" s="552">
        <v>179</v>
      </c>
      <c r="K91" s="552">
        <v>179</v>
      </c>
    </row>
    <row r="92" spans="1:11">
      <c r="A92" s="549" t="s">
        <v>698</v>
      </c>
      <c r="J92" s="553">
        <v>179</v>
      </c>
    </row>
    <row r="93" spans="1:11">
      <c r="A93" s="549" t="s">
        <v>699</v>
      </c>
      <c r="J93" s="553">
        <v>179</v>
      </c>
    </row>
    <row r="94" spans="1:11">
      <c r="A94" s="549" t="s">
        <v>700</v>
      </c>
      <c r="J94" s="553">
        <v>20206.82</v>
      </c>
    </row>
    <row r="95" spans="1:11">
      <c r="A95" s="549" t="s">
        <v>701</v>
      </c>
    </row>
    <row r="96" spans="1:11">
      <c r="A96" s="549" t="s">
        <v>702</v>
      </c>
    </row>
    <row r="97" spans="1:11">
      <c r="A97" s="549" t="s">
        <v>703</v>
      </c>
    </row>
    <row r="98" spans="1:11">
      <c r="B98" s="550" t="s">
        <v>465</v>
      </c>
      <c r="C98" s="550" t="s">
        <v>187</v>
      </c>
      <c r="D98" s="550">
        <v>253</v>
      </c>
      <c r="E98" s="550"/>
      <c r="F98" s="550"/>
      <c r="G98" s="550" t="s">
        <v>637</v>
      </c>
      <c r="H98" s="550" t="s">
        <v>214</v>
      </c>
      <c r="I98" s="551" t="s">
        <v>639</v>
      </c>
      <c r="J98" s="552">
        <v>589</v>
      </c>
      <c r="K98" s="552">
        <v>589</v>
      </c>
    </row>
    <row r="99" spans="1:11">
      <c r="A99" s="549" t="s">
        <v>704</v>
      </c>
      <c r="J99" s="553">
        <v>589</v>
      </c>
    </row>
    <row r="100" spans="1:11">
      <c r="A100" s="549" t="s">
        <v>705</v>
      </c>
      <c r="J100" s="553">
        <v>589</v>
      </c>
    </row>
    <row r="101" spans="1:11">
      <c r="A101" s="549" t="s">
        <v>706</v>
      </c>
      <c r="J101" s="553">
        <v>589</v>
      </c>
    </row>
    <row r="102" spans="1:11">
      <c r="A102" s="549" t="s">
        <v>707</v>
      </c>
    </row>
    <row r="103" spans="1:11">
      <c r="A103" s="549" t="s">
        <v>708</v>
      </c>
    </row>
    <row r="104" spans="1:11">
      <c r="A104" s="549" t="s">
        <v>709</v>
      </c>
    </row>
    <row r="105" spans="1:11">
      <c r="B105" s="550" t="s">
        <v>655</v>
      </c>
      <c r="C105" s="550" t="s">
        <v>175</v>
      </c>
      <c r="D105" s="550" t="s">
        <v>473</v>
      </c>
      <c r="E105" s="550" t="s">
        <v>434</v>
      </c>
      <c r="F105" s="550"/>
      <c r="G105" s="550" t="s">
        <v>637</v>
      </c>
      <c r="H105" s="550"/>
      <c r="I105" s="550" t="s">
        <v>656</v>
      </c>
      <c r="J105" s="552">
        <v>90.16</v>
      </c>
      <c r="K105" s="552">
        <v>90.16</v>
      </c>
    </row>
    <row r="106" spans="1:11">
      <c r="B106" s="550" t="s">
        <v>655</v>
      </c>
      <c r="C106" s="550" t="s">
        <v>175</v>
      </c>
      <c r="D106" s="550" t="s">
        <v>473</v>
      </c>
      <c r="E106" s="550" t="s">
        <v>434</v>
      </c>
      <c r="F106" s="550"/>
      <c r="G106" s="550" t="s">
        <v>637</v>
      </c>
      <c r="H106" s="550" t="s">
        <v>475</v>
      </c>
      <c r="I106" s="550" t="s">
        <v>656</v>
      </c>
      <c r="J106" s="552">
        <v>57</v>
      </c>
      <c r="K106" s="552">
        <v>147.16</v>
      </c>
    </row>
    <row r="107" spans="1:11">
      <c r="A107" s="549" t="s">
        <v>710</v>
      </c>
      <c r="J107" s="553">
        <v>147.16</v>
      </c>
    </row>
    <row r="108" spans="1:11">
      <c r="A108" s="549" t="s">
        <v>711</v>
      </c>
    </row>
    <row r="109" spans="1:11">
      <c r="B109" s="550" t="s">
        <v>465</v>
      </c>
      <c r="C109" s="550" t="s">
        <v>187</v>
      </c>
      <c r="D109" s="550">
        <v>262</v>
      </c>
      <c r="E109" s="550"/>
      <c r="F109" s="550"/>
      <c r="G109" s="550" t="s">
        <v>637</v>
      </c>
      <c r="H109" s="550" t="s">
        <v>206</v>
      </c>
      <c r="I109" s="551" t="s">
        <v>639</v>
      </c>
      <c r="J109" s="552">
        <v>77</v>
      </c>
      <c r="K109" s="552">
        <v>77</v>
      </c>
    </row>
    <row r="110" spans="1:11">
      <c r="A110" s="549" t="s">
        <v>712</v>
      </c>
      <c r="J110" s="553">
        <v>77</v>
      </c>
    </row>
    <row r="111" spans="1:11">
      <c r="A111" s="549" t="s">
        <v>713</v>
      </c>
      <c r="J111" s="553">
        <v>224.16</v>
      </c>
    </row>
    <row r="112" spans="1:11">
      <c r="A112" s="549" t="s">
        <v>714</v>
      </c>
    </row>
    <row r="113" spans="1:11">
      <c r="B113" s="550" t="s">
        <v>465</v>
      </c>
      <c r="C113" s="550" t="s">
        <v>187</v>
      </c>
      <c r="D113" s="550">
        <v>254</v>
      </c>
      <c r="E113" s="550"/>
      <c r="F113" s="550"/>
      <c r="G113" s="550" t="s">
        <v>637</v>
      </c>
      <c r="H113" s="550" t="s">
        <v>203</v>
      </c>
      <c r="I113" s="551" t="s">
        <v>639</v>
      </c>
      <c r="J113" s="552">
        <v>38</v>
      </c>
      <c r="K113" s="552">
        <v>38</v>
      </c>
    </row>
    <row r="114" spans="1:11">
      <c r="A114" s="549" t="s">
        <v>715</v>
      </c>
      <c r="J114" s="553">
        <v>38</v>
      </c>
    </row>
    <row r="115" spans="1:11">
      <c r="A115" s="549" t="s">
        <v>716</v>
      </c>
      <c r="J115" s="553">
        <v>262.16000000000003</v>
      </c>
    </row>
    <row r="116" spans="1:11">
      <c r="A116" s="549" t="s">
        <v>717</v>
      </c>
    </row>
    <row r="117" spans="1:11">
      <c r="A117" s="549" t="s">
        <v>718</v>
      </c>
    </row>
    <row r="118" spans="1:11">
      <c r="B118" s="550" t="s">
        <v>463</v>
      </c>
      <c r="C118" s="550" t="s">
        <v>175</v>
      </c>
      <c r="D118" s="550">
        <v>1967</v>
      </c>
      <c r="E118" s="550" t="s">
        <v>182</v>
      </c>
      <c r="F118" s="550"/>
      <c r="G118" s="550" t="s">
        <v>637</v>
      </c>
      <c r="H118" s="550" t="s">
        <v>470</v>
      </c>
      <c r="I118" s="550" t="s">
        <v>656</v>
      </c>
      <c r="J118" s="552">
        <v>648</v>
      </c>
      <c r="K118" s="552">
        <v>648</v>
      </c>
    </row>
    <row r="119" spans="1:11">
      <c r="A119" s="549" t="s">
        <v>719</v>
      </c>
      <c r="J119" s="553">
        <v>648</v>
      </c>
    </row>
    <row r="120" spans="1:11">
      <c r="A120" s="549" t="s">
        <v>720</v>
      </c>
    </row>
    <row r="121" spans="1:11">
      <c r="A121" s="549" t="s">
        <v>721</v>
      </c>
    </row>
    <row r="122" spans="1:11">
      <c r="B122" s="550" t="s">
        <v>465</v>
      </c>
      <c r="C122" s="550" t="s">
        <v>187</v>
      </c>
      <c r="D122" s="550">
        <v>260</v>
      </c>
      <c r="E122" s="550"/>
      <c r="F122" s="550"/>
      <c r="G122" s="550" t="s">
        <v>637</v>
      </c>
      <c r="H122" s="550" t="s">
        <v>196</v>
      </c>
      <c r="I122" s="551" t="s">
        <v>639</v>
      </c>
      <c r="J122" s="552">
        <v>131</v>
      </c>
      <c r="K122" s="552">
        <v>131</v>
      </c>
    </row>
    <row r="123" spans="1:11">
      <c r="A123" s="549" t="s">
        <v>722</v>
      </c>
      <c r="J123" s="553">
        <v>131</v>
      </c>
    </row>
    <row r="124" spans="1:11">
      <c r="A124" s="549" t="s">
        <v>723</v>
      </c>
      <c r="J124" s="553">
        <v>131</v>
      </c>
    </row>
    <row r="125" spans="1:11">
      <c r="A125" s="549" t="s">
        <v>724</v>
      </c>
    </row>
    <row r="126" spans="1:11">
      <c r="A126" s="549" t="s">
        <v>725</v>
      </c>
    </row>
    <row r="127" spans="1:11">
      <c r="B127" s="550" t="s">
        <v>465</v>
      </c>
      <c r="C127" s="550" t="s">
        <v>187</v>
      </c>
      <c r="D127" s="550">
        <v>59</v>
      </c>
      <c r="E127" s="550"/>
      <c r="F127" s="550"/>
      <c r="G127" s="550" t="s">
        <v>637</v>
      </c>
      <c r="H127" s="550" t="s">
        <v>193</v>
      </c>
      <c r="I127" s="551" t="s">
        <v>639</v>
      </c>
      <c r="J127" s="552">
        <v>281</v>
      </c>
      <c r="K127" s="552">
        <v>281</v>
      </c>
    </row>
    <row r="128" spans="1:11">
      <c r="A128" s="549" t="s">
        <v>726</v>
      </c>
      <c r="J128" s="553">
        <v>281</v>
      </c>
    </row>
    <row r="129" spans="1:11">
      <c r="A129" s="549" t="s">
        <v>727</v>
      </c>
      <c r="J129" s="553">
        <v>281</v>
      </c>
    </row>
    <row r="130" spans="1:11">
      <c r="A130" s="549" t="s">
        <v>728</v>
      </c>
    </row>
    <row r="131" spans="1:11">
      <c r="A131" s="549" t="s">
        <v>729</v>
      </c>
    </row>
    <row r="132" spans="1:11">
      <c r="B132" s="550" t="s">
        <v>465</v>
      </c>
      <c r="C132" s="550" t="s">
        <v>187</v>
      </c>
      <c r="D132" s="550">
        <v>257</v>
      </c>
      <c r="E132" s="550"/>
      <c r="F132" s="550"/>
      <c r="G132" s="550" t="s">
        <v>637</v>
      </c>
      <c r="H132" s="550" t="s">
        <v>191</v>
      </c>
      <c r="I132" s="551" t="s">
        <v>639</v>
      </c>
      <c r="J132" s="552">
        <v>92</v>
      </c>
      <c r="K132" s="552">
        <v>92</v>
      </c>
    </row>
    <row r="133" spans="1:11">
      <c r="A133" s="549" t="s">
        <v>730</v>
      </c>
      <c r="J133" s="553">
        <v>92</v>
      </c>
    </row>
    <row r="134" spans="1:11">
      <c r="A134" s="549" t="s">
        <v>731</v>
      </c>
      <c r="J134" s="553">
        <v>92</v>
      </c>
    </row>
    <row r="135" spans="1:11">
      <c r="A135" s="549" t="s">
        <v>732</v>
      </c>
    </row>
    <row r="136" spans="1:11">
      <c r="A136" s="549" t="s">
        <v>733</v>
      </c>
    </row>
    <row r="137" spans="1:11">
      <c r="B137" s="550" t="s">
        <v>465</v>
      </c>
      <c r="C137" s="550" t="s">
        <v>187</v>
      </c>
      <c r="D137" s="550">
        <v>80</v>
      </c>
      <c r="E137" s="550"/>
      <c r="F137" s="550"/>
      <c r="G137" s="550" t="s">
        <v>637</v>
      </c>
      <c r="H137" s="550" t="s">
        <v>592</v>
      </c>
      <c r="I137" s="551" t="s">
        <v>639</v>
      </c>
      <c r="J137" s="552">
        <v>247</v>
      </c>
      <c r="K137" s="552">
        <v>247</v>
      </c>
    </row>
    <row r="138" spans="1:11">
      <c r="A138" s="549" t="s">
        <v>734</v>
      </c>
      <c r="J138" s="553">
        <v>247</v>
      </c>
    </row>
    <row r="139" spans="1:11">
      <c r="A139" s="549" t="s">
        <v>735</v>
      </c>
      <c r="J139" s="553">
        <v>247</v>
      </c>
    </row>
    <row r="140" spans="1:11">
      <c r="A140" s="549" t="s">
        <v>736</v>
      </c>
    </row>
    <row r="141" spans="1:11">
      <c r="A141" s="549" t="s">
        <v>737</v>
      </c>
    </row>
    <row r="142" spans="1:11">
      <c r="A142" s="549" t="s">
        <v>738</v>
      </c>
    </row>
    <row r="143" spans="1:11">
      <c r="B143" s="550" t="s">
        <v>465</v>
      </c>
      <c r="C143" s="550" t="s">
        <v>187</v>
      </c>
      <c r="D143" s="550">
        <v>258</v>
      </c>
      <c r="E143" s="550"/>
      <c r="F143" s="550"/>
      <c r="G143" s="550" t="s">
        <v>637</v>
      </c>
      <c r="H143" s="550" t="s">
        <v>186</v>
      </c>
      <c r="I143" s="551" t="s">
        <v>639</v>
      </c>
      <c r="J143" s="552">
        <v>478</v>
      </c>
      <c r="K143" s="552">
        <v>478</v>
      </c>
    </row>
    <row r="144" spans="1:11">
      <c r="A144" s="549" t="s">
        <v>739</v>
      </c>
      <c r="J144" s="553">
        <v>478</v>
      </c>
    </row>
    <row r="145" spans="1:11">
      <c r="A145" s="549" t="s">
        <v>740</v>
      </c>
      <c r="J145" s="553">
        <v>478</v>
      </c>
    </row>
    <row r="146" spans="1:11">
      <c r="A146" s="549" t="s">
        <v>741</v>
      </c>
      <c r="J146" s="553">
        <v>478</v>
      </c>
    </row>
    <row r="147" spans="1:11">
      <c r="A147" s="549" t="s">
        <v>742</v>
      </c>
      <c r="J147" s="553">
        <v>1877</v>
      </c>
    </row>
    <row r="148" spans="1:11">
      <c r="A148" s="549" t="s">
        <v>743</v>
      </c>
    </row>
    <row r="149" spans="1:11">
      <c r="A149" s="549" t="s">
        <v>744</v>
      </c>
    </row>
    <row r="150" spans="1:11">
      <c r="B150" s="550" t="s">
        <v>463</v>
      </c>
      <c r="C150" s="550" t="s">
        <v>379</v>
      </c>
      <c r="D150" s="550">
        <v>12457</v>
      </c>
      <c r="E150" s="550" t="s">
        <v>378</v>
      </c>
      <c r="F150" s="550"/>
      <c r="G150" s="550" t="s">
        <v>637</v>
      </c>
      <c r="H150" s="550" t="s">
        <v>462</v>
      </c>
      <c r="I150" s="550" t="s">
        <v>654</v>
      </c>
      <c r="J150" s="552">
        <v>150</v>
      </c>
      <c r="K150" s="552">
        <v>150</v>
      </c>
    </row>
    <row r="151" spans="1:11">
      <c r="B151" s="550" t="s">
        <v>498</v>
      </c>
      <c r="C151" s="550" t="s">
        <v>175</v>
      </c>
      <c r="D151" s="550" t="s">
        <v>368</v>
      </c>
      <c r="E151" s="550" t="s">
        <v>173</v>
      </c>
      <c r="F151" s="550"/>
      <c r="G151" s="550" t="s">
        <v>637</v>
      </c>
      <c r="H151" s="550" t="s">
        <v>745</v>
      </c>
      <c r="I151" s="550" t="s">
        <v>656</v>
      </c>
      <c r="J151" s="552">
        <v>49</v>
      </c>
      <c r="K151" s="552">
        <v>199</v>
      </c>
    </row>
    <row r="152" spans="1:11">
      <c r="B152" s="550" t="s">
        <v>498</v>
      </c>
      <c r="C152" s="550" t="s">
        <v>175</v>
      </c>
      <c r="D152" s="550" t="s">
        <v>372</v>
      </c>
      <c r="E152" s="550" t="s">
        <v>371</v>
      </c>
      <c r="F152" s="550" t="s">
        <v>746</v>
      </c>
      <c r="G152" s="550" t="s">
        <v>637</v>
      </c>
      <c r="H152" s="550" t="s">
        <v>747</v>
      </c>
      <c r="I152" s="550" t="s">
        <v>656</v>
      </c>
      <c r="J152" s="552">
        <v>30.24</v>
      </c>
      <c r="K152" s="552">
        <v>229.24</v>
      </c>
    </row>
    <row r="153" spans="1:11">
      <c r="B153" s="550" t="s">
        <v>498</v>
      </c>
      <c r="C153" s="550" t="s">
        <v>175</v>
      </c>
      <c r="D153" s="550" t="s">
        <v>375</v>
      </c>
      <c r="E153" s="550" t="s">
        <v>374</v>
      </c>
      <c r="F153" s="550"/>
      <c r="G153" s="550" t="s">
        <v>637</v>
      </c>
      <c r="H153" s="550" t="s">
        <v>373</v>
      </c>
      <c r="I153" s="550" t="s">
        <v>656</v>
      </c>
      <c r="J153" s="552">
        <v>57.89</v>
      </c>
      <c r="K153" s="552">
        <v>287.13</v>
      </c>
    </row>
    <row r="154" spans="1:11">
      <c r="B154" s="550" t="s">
        <v>456</v>
      </c>
      <c r="C154" s="550" t="s">
        <v>175</v>
      </c>
      <c r="D154" s="550" t="s">
        <v>459</v>
      </c>
      <c r="E154" s="550" t="s">
        <v>458</v>
      </c>
      <c r="F154" s="550"/>
      <c r="G154" s="550" t="s">
        <v>637</v>
      </c>
      <c r="H154" s="550" t="s">
        <v>457</v>
      </c>
      <c r="I154" s="550" t="s">
        <v>656</v>
      </c>
      <c r="J154" s="552">
        <v>32.4</v>
      </c>
      <c r="K154" s="552">
        <v>319.52999999999997</v>
      </c>
    </row>
    <row r="155" spans="1:11">
      <c r="B155" s="550" t="s">
        <v>456</v>
      </c>
      <c r="C155" s="550" t="s">
        <v>175</v>
      </c>
      <c r="D155" s="550" t="s">
        <v>461</v>
      </c>
      <c r="E155" s="550" t="s">
        <v>444</v>
      </c>
      <c r="F155" s="550" t="s">
        <v>746</v>
      </c>
      <c r="G155" s="550" t="s">
        <v>637</v>
      </c>
      <c r="H155" s="550" t="s">
        <v>460</v>
      </c>
      <c r="I155" s="550" t="s">
        <v>656</v>
      </c>
      <c r="J155" s="552">
        <v>101.09</v>
      </c>
      <c r="K155" s="552">
        <v>420.62</v>
      </c>
    </row>
    <row r="156" spans="1:11">
      <c r="B156" s="550" t="s">
        <v>456</v>
      </c>
      <c r="C156" s="550" t="s">
        <v>175</v>
      </c>
      <c r="D156" s="550" t="s">
        <v>455</v>
      </c>
      <c r="E156" s="550" t="s">
        <v>374</v>
      </c>
      <c r="F156" s="550"/>
      <c r="G156" s="550" t="s">
        <v>637</v>
      </c>
      <c r="H156" s="550" t="s">
        <v>454</v>
      </c>
      <c r="I156" s="550" t="s">
        <v>656</v>
      </c>
      <c r="J156" s="552">
        <v>28.94</v>
      </c>
      <c r="K156" s="552">
        <v>449.56</v>
      </c>
    </row>
    <row r="157" spans="1:11">
      <c r="A157" s="549" t="s">
        <v>748</v>
      </c>
      <c r="J157" s="553">
        <v>449.56</v>
      </c>
    </row>
    <row r="158" spans="1:11">
      <c r="A158" s="549" t="s">
        <v>749</v>
      </c>
      <c r="J158" s="553">
        <v>449.56</v>
      </c>
    </row>
    <row r="159" spans="1:11">
      <c r="A159" s="549" t="s">
        <v>750</v>
      </c>
      <c r="J159" s="553">
        <v>125775.14</v>
      </c>
    </row>
    <row r="160" spans="1:11">
      <c r="A160" s="549" t="s">
        <v>751</v>
      </c>
      <c r="J160" s="553">
        <v>56.91</v>
      </c>
    </row>
    <row r="163" spans="1:11">
      <c r="A163" s="554" t="s">
        <v>752</v>
      </c>
      <c r="B163" s="546"/>
      <c r="C163" s="546"/>
      <c r="D163" s="546"/>
      <c r="E163" s="546"/>
      <c r="F163" s="546"/>
      <c r="G163" s="546"/>
      <c r="H163" s="546"/>
      <c r="I163" s="546"/>
      <c r="J163" s="546"/>
      <c r="K163" s="546"/>
    </row>
  </sheetData>
  <mergeCells count="4">
    <mergeCell ref="A1:K1"/>
    <mergeCell ref="A2:K2"/>
    <mergeCell ref="A3:K3"/>
    <mergeCell ref="A163:K16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99">
        <v>43739</v>
      </c>
      <c r="H1" s="500"/>
      <c r="I1" s="106" t="s">
        <v>49</v>
      </c>
    </row>
    <row r="2" spans="1:9" ht="21">
      <c r="A2" s="37" t="s">
        <v>153</v>
      </c>
      <c r="B2" s="35"/>
      <c r="C2" s="35"/>
      <c r="D2" s="36"/>
      <c r="E2" s="36" t="s">
        <v>51</v>
      </c>
      <c r="F2" s="65"/>
      <c r="G2" s="501"/>
      <c r="H2" s="50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147</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156</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148</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569</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149</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364</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82</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78</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151</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152</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84</v>
      </c>
      <c r="B42" s="139"/>
      <c r="C42" s="170">
        <f>+'Oct-2019 GL'!G13</f>
        <v>164.11</v>
      </c>
      <c r="D42" s="170"/>
      <c r="E42" s="171">
        <f>SUM(B42:D42)</f>
        <v>164.11</v>
      </c>
      <c r="F42" s="143">
        <f>+E42+'Sept-2019'!F42</f>
        <v>2160.63</v>
      </c>
      <c r="G42" s="144"/>
      <c r="H42" s="144"/>
      <c r="I42" s="108">
        <v>0</v>
      </c>
    </row>
    <row r="43" spans="1:10" s="168" customFormat="1" ht="21.75" customHeight="1">
      <c r="A43" s="138" t="s">
        <v>81</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79</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80</v>
      </c>
      <c r="B46" s="139"/>
      <c r="C46" s="140"/>
      <c r="D46" s="140"/>
      <c r="E46" s="172">
        <f t="shared" si="14"/>
        <v>0</v>
      </c>
      <c r="F46" s="143">
        <f>E46+'Sept-2019'!F46</f>
        <v>0</v>
      </c>
      <c r="G46" s="144">
        <v>8500</v>
      </c>
      <c r="H46" s="144">
        <f t="shared" si="15"/>
        <v>8500</v>
      </c>
      <c r="I46" s="108">
        <f t="shared" si="13"/>
        <v>0</v>
      </c>
    </row>
    <row r="47" spans="1:10" s="168" customFormat="1" ht="21.75" customHeight="1">
      <c r="A47" s="138" t="s">
        <v>169</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158</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451" t="s">
        <v>7</v>
      </c>
      <c r="B60" s="452"/>
      <c r="C60" s="452"/>
      <c r="D60" s="452"/>
      <c r="E60" s="453"/>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570</v>
      </c>
      <c r="B77" s="402">
        <v>43776</v>
      </c>
      <c r="C77" s="7"/>
      <c r="D77" s="7"/>
      <c r="E77" s="7"/>
      <c r="F77" s="405" t="s">
        <v>446</v>
      </c>
      <c r="G77" s="88"/>
      <c r="H77" s="403">
        <v>43776</v>
      </c>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444</v>
      </c>
      <c r="B81" s="402">
        <v>43776</v>
      </c>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46"/>
  <sheetViews>
    <sheetView workbookViewId="0">
      <pane ySplit="5" topLeftCell="A162"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37" t="s">
        <v>278</v>
      </c>
      <c r="B1" s="537"/>
      <c r="C1" s="537"/>
      <c r="D1" s="537"/>
      <c r="E1" s="537"/>
      <c r="F1" s="537"/>
      <c r="G1" s="537"/>
      <c r="H1" s="537"/>
    </row>
    <row r="2" spans="1:8" ht="18">
      <c r="A2" s="537" t="s">
        <v>277</v>
      </c>
      <c r="B2" s="537"/>
      <c r="C2" s="537"/>
      <c r="D2" s="537"/>
      <c r="E2" s="537"/>
      <c r="F2" s="537"/>
      <c r="G2" s="537"/>
      <c r="H2" s="537"/>
    </row>
    <row r="3" spans="1:8">
      <c r="A3" s="538" t="s">
        <v>561</v>
      </c>
      <c r="B3" s="538"/>
      <c r="C3" s="538"/>
      <c r="D3" s="538"/>
      <c r="E3" s="538"/>
      <c r="F3" s="538"/>
      <c r="G3" s="538"/>
      <c r="H3" s="538"/>
    </row>
    <row r="5" spans="1:8" ht="24">
      <c r="A5" s="304"/>
      <c r="B5" s="354" t="s">
        <v>154</v>
      </c>
      <c r="C5" s="401" t="s">
        <v>431</v>
      </c>
      <c r="D5" s="354" t="s">
        <v>275</v>
      </c>
      <c r="E5" s="354" t="s">
        <v>274</v>
      </c>
      <c r="F5" s="354" t="s">
        <v>273</v>
      </c>
      <c r="G5" s="350" t="s">
        <v>272</v>
      </c>
      <c r="H5" s="203" t="s">
        <v>279</v>
      </c>
    </row>
    <row r="6" spans="1:8">
      <c r="A6" s="351" t="s">
        <v>271</v>
      </c>
      <c r="H6" s="206"/>
    </row>
    <row r="7" spans="1:8">
      <c r="A7" s="351" t="s">
        <v>270</v>
      </c>
      <c r="H7" s="305"/>
    </row>
    <row r="8" spans="1:8">
      <c r="B8" s="305" t="s">
        <v>557</v>
      </c>
      <c r="C8" s="305" t="s">
        <v>187</v>
      </c>
      <c r="D8" s="305" t="s">
        <v>556</v>
      </c>
      <c r="E8" s="305"/>
      <c r="F8" s="305" t="s">
        <v>560</v>
      </c>
      <c r="G8" s="371">
        <v>50385</v>
      </c>
      <c r="H8" s="305"/>
    </row>
    <row r="9" spans="1:8">
      <c r="B9" s="305" t="s">
        <v>555</v>
      </c>
      <c r="C9" s="305" t="s">
        <v>187</v>
      </c>
      <c r="D9" s="305" t="s">
        <v>554</v>
      </c>
      <c r="E9" s="305"/>
      <c r="F9" s="305" t="s">
        <v>559</v>
      </c>
      <c r="G9" s="371">
        <v>46457</v>
      </c>
      <c r="H9" s="305"/>
    </row>
    <row r="10" spans="1:8">
      <c r="A10" s="351" t="s">
        <v>558</v>
      </c>
      <c r="G10" s="360">
        <f>SUM(G8:G9)</f>
        <v>96842</v>
      </c>
      <c r="H10" s="305"/>
    </row>
    <row r="11" spans="1:8" s="308" customFormat="1">
      <c r="A11" s="384" t="s">
        <v>268</v>
      </c>
      <c r="G11" s="393"/>
    </row>
    <row r="12" spans="1:8" s="308" customFormat="1">
      <c r="B12" s="385" t="s">
        <v>520</v>
      </c>
      <c r="C12" s="385" t="s">
        <v>379</v>
      </c>
      <c r="D12" s="385">
        <v>12628</v>
      </c>
      <c r="E12" s="385" t="s">
        <v>519</v>
      </c>
      <c r="F12" s="385" t="s">
        <v>563</v>
      </c>
      <c r="G12" s="394">
        <v>164.11</v>
      </c>
      <c r="H12" s="206">
        <v>12628</v>
      </c>
    </row>
    <row r="13" spans="1:8" s="308" customFormat="1">
      <c r="A13" s="384" t="s">
        <v>264</v>
      </c>
      <c r="G13" s="395">
        <f>SUM(G12)</f>
        <v>164.11</v>
      </c>
    </row>
    <row r="14" spans="1:8" s="308" customFormat="1">
      <c r="A14" s="384" t="s">
        <v>421</v>
      </c>
      <c r="G14" s="395">
        <f>+G13+G10</f>
        <v>97006.11</v>
      </c>
    </row>
    <row r="15" spans="1:8">
      <c r="A15" s="351" t="s">
        <v>263</v>
      </c>
      <c r="G15" s="359"/>
      <c r="H15" s="206"/>
    </row>
    <row r="16" spans="1:8">
      <c r="B16" s="305" t="s">
        <v>557</v>
      </c>
      <c r="C16" s="305" t="s">
        <v>187</v>
      </c>
      <c r="D16" s="305" t="s">
        <v>556</v>
      </c>
      <c r="E16" s="305"/>
      <c r="F16" s="305" t="s">
        <v>420</v>
      </c>
      <c r="G16" s="371">
        <v>3854.47</v>
      </c>
      <c r="H16" s="206"/>
    </row>
    <row r="17" spans="1:8">
      <c r="B17" s="305" t="s">
        <v>555</v>
      </c>
      <c r="C17" s="305" t="s">
        <v>187</v>
      </c>
      <c r="D17" s="305" t="s">
        <v>554</v>
      </c>
      <c r="E17" s="305"/>
      <c r="F17" s="305" t="s">
        <v>420</v>
      </c>
      <c r="G17" s="371">
        <v>3553.98</v>
      </c>
      <c r="H17" s="206"/>
    </row>
    <row r="18" spans="1:8">
      <c r="A18" s="351" t="s">
        <v>262</v>
      </c>
      <c r="G18" s="360">
        <f>SUM(G16:G17)</f>
        <v>7408.45</v>
      </c>
      <c r="H18" s="206"/>
    </row>
    <row r="19" spans="1:8" s="308" customFormat="1">
      <c r="A19" s="307" t="s">
        <v>341</v>
      </c>
      <c r="G19" s="393"/>
    </row>
    <row r="20" spans="1:8" s="308" customFormat="1">
      <c r="B20" s="375">
        <v>43738</v>
      </c>
      <c r="C20" s="309" t="s">
        <v>187</v>
      </c>
      <c r="D20" s="309">
        <v>192</v>
      </c>
      <c r="E20" s="309"/>
      <c r="F20" s="309" t="s">
        <v>412</v>
      </c>
      <c r="G20" s="396">
        <v>2898.28</v>
      </c>
    </row>
    <row r="21" spans="1:8" s="308" customFormat="1">
      <c r="A21" s="307" t="s">
        <v>342</v>
      </c>
      <c r="G21" s="397">
        <f>SUM(G20)</f>
        <v>2898.28</v>
      </c>
    </row>
    <row r="22" spans="1:8">
      <c r="A22" s="351" t="s">
        <v>261</v>
      </c>
      <c r="G22" s="359"/>
      <c r="H22" s="206"/>
    </row>
    <row r="23" spans="1:8">
      <c r="B23" s="305" t="s">
        <v>557</v>
      </c>
      <c r="C23" s="305" t="s">
        <v>187</v>
      </c>
      <c r="D23" s="305" t="s">
        <v>556</v>
      </c>
      <c r="E23" s="305"/>
      <c r="F23" s="305" t="s">
        <v>416</v>
      </c>
      <c r="G23" s="371">
        <v>498.62</v>
      </c>
      <c r="H23" s="206"/>
    </row>
    <row r="24" spans="1:8">
      <c r="B24" s="305" t="s">
        <v>555</v>
      </c>
      <c r="C24" s="305" t="s">
        <v>187</v>
      </c>
      <c r="D24" s="305" t="s">
        <v>554</v>
      </c>
      <c r="E24" s="305"/>
      <c r="F24" s="305" t="s">
        <v>416</v>
      </c>
      <c r="G24" s="371">
        <v>401.87</v>
      </c>
      <c r="H24" s="308"/>
    </row>
    <row r="25" spans="1:8">
      <c r="A25" s="351" t="s">
        <v>254</v>
      </c>
      <c r="G25" s="360">
        <f>SUM(G23:G24)</f>
        <v>900.49</v>
      </c>
      <c r="H25" s="308"/>
    </row>
    <row r="26" spans="1:8">
      <c r="A26" s="351" t="s">
        <v>484</v>
      </c>
      <c r="G26" s="360">
        <f>+G14+G18+G21+G25</f>
        <v>108213.33</v>
      </c>
      <c r="H26" s="308"/>
    </row>
    <row r="27" spans="1:8">
      <c r="A27" s="351" t="s">
        <v>415</v>
      </c>
      <c r="G27" s="359"/>
      <c r="H27" s="206"/>
    </row>
    <row r="28" spans="1:8">
      <c r="A28" s="351" t="s">
        <v>253</v>
      </c>
      <c r="G28" s="359"/>
      <c r="H28" s="206"/>
    </row>
    <row r="29" spans="1:8">
      <c r="A29" s="351" t="s">
        <v>553</v>
      </c>
      <c r="G29" s="359"/>
      <c r="H29" s="206"/>
    </row>
    <row r="30" spans="1:8">
      <c r="B30" s="305" t="s">
        <v>518</v>
      </c>
      <c r="C30" s="305" t="s">
        <v>187</v>
      </c>
      <c r="D30" s="305" t="s">
        <v>552</v>
      </c>
      <c r="E30" s="305"/>
      <c r="F30" s="305" t="s">
        <v>551</v>
      </c>
      <c r="G30" s="371">
        <v>13963.15</v>
      </c>
      <c r="H30" s="206"/>
    </row>
    <row r="31" spans="1:8">
      <c r="A31" s="351" t="s">
        <v>550</v>
      </c>
      <c r="G31" s="360">
        <v>13963.15</v>
      </c>
      <c r="H31" s="206"/>
    </row>
    <row r="32" spans="1:8">
      <c r="A32" s="351" t="s">
        <v>250</v>
      </c>
      <c r="G32" s="360">
        <v>13963.15</v>
      </c>
      <c r="H32" s="206"/>
    </row>
    <row r="33" spans="1:8">
      <c r="A33" s="351" t="s">
        <v>249</v>
      </c>
      <c r="G33" s="359"/>
      <c r="H33" s="206"/>
    </row>
    <row r="35" spans="1:8">
      <c r="A35" s="351" t="s">
        <v>248</v>
      </c>
      <c r="G35" s="359"/>
      <c r="H35" s="206"/>
    </row>
    <row r="36" spans="1:8">
      <c r="B36" s="305" t="s">
        <v>549</v>
      </c>
      <c r="C36" s="305" t="s">
        <v>175</v>
      </c>
      <c r="D36" s="305">
        <v>292534359</v>
      </c>
      <c r="E36" s="305" t="s">
        <v>481</v>
      </c>
      <c r="F36" s="305" t="s">
        <v>548</v>
      </c>
      <c r="G36" s="371">
        <v>3688.1</v>
      </c>
      <c r="H36" s="206">
        <v>12569</v>
      </c>
    </row>
    <row r="37" spans="1:8">
      <c r="A37" s="351" t="s">
        <v>247</v>
      </c>
      <c r="G37" s="360">
        <v>3688.1</v>
      </c>
      <c r="H37" s="206"/>
    </row>
    <row r="38" spans="1:8">
      <c r="A38" s="351"/>
      <c r="G38" s="362"/>
      <c r="H38" s="206"/>
    </row>
    <row r="39" spans="1:8" s="3" customFormat="1">
      <c r="A39" s="386" t="s">
        <v>246</v>
      </c>
      <c r="G39" s="1"/>
    </row>
    <row r="40" spans="1:8" s="3" customFormat="1">
      <c r="B40" s="385" t="s">
        <v>524</v>
      </c>
      <c r="C40" s="385" t="s">
        <v>175</v>
      </c>
      <c r="D40" s="385" t="s">
        <v>564</v>
      </c>
      <c r="E40" s="385" t="s">
        <v>244</v>
      </c>
      <c r="F40" s="385" t="s">
        <v>565</v>
      </c>
      <c r="G40" s="394">
        <v>179.49</v>
      </c>
      <c r="H40" s="206">
        <v>12527</v>
      </c>
    </row>
    <row r="41" spans="1:8" s="3" customFormat="1">
      <c r="A41" s="386" t="s">
        <v>242</v>
      </c>
      <c r="G41" s="395">
        <v>179.49</v>
      </c>
    </row>
    <row r="42" spans="1:8" s="201" customFormat="1">
      <c r="A42" s="205" t="s">
        <v>241</v>
      </c>
      <c r="G42" s="278"/>
      <c r="H42" s="206"/>
    </row>
    <row r="43" spans="1:8" s="201" customFormat="1">
      <c r="B43" s="320">
        <v>43768</v>
      </c>
      <c r="C43" s="206" t="s">
        <v>187</v>
      </c>
      <c r="D43" s="206">
        <v>154</v>
      </c>
      <c r="E43" s="206"/>
      <c r="F43" s="210" t="s">
        <v>326</v>
      </c>
      <c r="G43" s="387">
        <v>-454.87</v>
      </c>
      <c r="H43" s="206"/>
    </row>
    <row r="44" spans="1:8" s="201" customFormat="1">
      <c r="A44" s="205" t="s">
        <v>240</v>
      </c>
      <c r="G44" s="281">
        <f>SUM(G43)</f>
        <v>-454.87</v>
      </c>
      <c r="H44" s="206"/>
    </row>
    <row r="45" spans="1:8" s="201" customFormat="1">
      <c r="A45" s="205" t="s">
        <v>239</v>
      </c>
      <c r="G45" s="278"/>
      <c r="H45" s="206"/>
    </row>
    <row r="46" spans="1:8" s="201" customFormat="1">
      <c r="B46" s="320">
        <v>43768</v>
      </c>
      <c r="C46" s="206" t="s">
        <v>187</v>
      </c>
      <c r="D46" s="206">
        <v>155</v>
      </c>
      <c r="E46" s="206"/>
      <c r="F46" s="206" t="s">
        <v>238</v>
      </c>
      <c r="G46" s="387">
        <v>-13.57</v>
      </c>
      <c r="H46" s="206"/>
    </row>
    <row r="47" spans="1:8" s="201" customFormat="1">
      <c r="A47" s="205" t="s">
        <v>237</v>
      </c>
      <c r="G47" s="281">
        <f>SUM(G46)</f>
        <v>-13.57</v>
      </c>
      <c r="H47" s="206"/>
    </row>
    <row r="48" spans="1:8" s="201" customFormat="1">
      <c r="A48" s="205"/>
      <c r="G48" s="281"/>
      <c r="H48" s="206"/>
    </row>
    <row r="49" spans="1:8" s="3" customFormat="1">
      <c r="A49" s="386" t="s">
        <v>236</v>
      </c>
      <c r="G49" s="395">
        <f>+G37+G41+G44+G47</f>
        <v>3399.15</v>
      </c>
    </row>
    <row r="50" spans="1:8" s="3" customFormat="1">
      <c r="A50" s="386"/>
      <c r="G50" s="395"/>
    </row>
    <row r="51" spans="1:8" ht="15" thickBot="1">
      <c r="A51" s="351" t="s">
        <v>547</v>
      </c>
      <c r="G51" s="398">
        <f>+G32+G49</f>
        <v>17362.3</v>
      </c>
      <c r="H51" s="206"/>
    </row>
    <row r="52" spans="1:8" ht="15" thickTop="1">
      <c r="A52" s="351"/>
      <c r="G52" s="362"/>
      <c r="H52" s="206"/>
    </row>
    <row r="53" spans="1:8" s="359" customFormat="1">
      <c r="A53" s="358" t="s">
        <v>235</v>
      </c>
      <c r="H53" s="206"/>
    </row>
    <row r="54" spans="1:8" s="359" customFormat="1">
      <c r="A54" s="358" t="s">
        <v>479</v>
      </c>
      <c r="H54" s="206"/>
    </row>
    <row r="55" spans="1:8" s="359" customFormat="1">
      <c r="B55" s="388">
        <v>43769</v>
      </c>
      <c r="C55" s="327" t="s">
        <v>187</v>
      </c>
      <c r="D55" s="327">
        <v>261</v>
      </c>
      <c r="E55" s="327"/>
      <c r="F55" s="327" t="s">
        <v>412</v>
      </c>
      <c r="G55" s="371">
        <v>417.89</v>
      </c>
      <c r="H55" s="206"/>
    </row>
    <row r="56" spans="1:8" s="359" customFormat="1">
      <c r="A56" s="358" t="s">
        <v>478</v>
      </c>
      <c r="G56" s="355">
        <f>SUM(G55)</f>
        <v>417.89</v>
      </c>
      <c r="H56" s="206"/>
    </row>
    <row r="57" spans="1:8" s="359" customFormat="1">
      <c r="A57" s="274" t="s">
        <v>285</v>
      </c>
      <c r="H57" s="206"/>
    </row>
    <row r="58" spans="1:8">
      <c r="A58" s="351" t="s">
        <v>233</v>
      </c>
      <c r="G58" s="359"/>
      <c r="H58" s="206"/>
    </row>
    <row r="59" spans="1:8">
      <c r="B59" s="389">
        <v>43769</v>
      </c>
      <c r="C59" s="305" t="s">
        <v>187</v>
      </c>
      <c r="D59" s="305">
        <v>246</v>
      </c>
      <c r="E59" s="305"/>
      <c r="F59" s="305" t="s">
        <v>232</v>
      </c>
      <c r="G59" s="371">
        <v>851</v>
      </c>
      <c r="H59" s="206"/>
    </row>
    <row r="60" spans="1:8">
      <c r="A60" s="351" t="s">
        <v>231</v>
      </c>
      <c r="G60" s="360">
        <f>SUM(G59)</f>
        <v>851</v>
      </c>
      <c r="H60" s="206"/>
    </row>
    <row r="61" spans="1:8">
      <c r="A61" s="351" t="s">
        <v>230</v>
      </c>
      <c r="G61" s="359"/>
      <c r="H61" s="206"/>
    </row>
    <row r="62" spans="1:8">
      <c r="B62" s="389">
        <v>43769</v>
      </c>
      <c r="C62" s="305" t="s">
        <v>187</v>
      </c>
      <c r="D62" s="305">
        <v>248</v>
      </c>
      <c r="E62" s="305"/>
      <c r="F62" s="305" t="s">
        <v>229</v>
      </c>
      <c r="G62" s="371">
        <v>199</v>
      </c>
      <c r="H62" s="206"/>
    </row>
    <row r="63" spans="1:8">
      <c r="A63" s="351" t="s">
        <v>228</v>
      </c>
      <c r="G63" s="360">
        <f>SUM(G62)</f>
        <v>199</v>
      </c>
      <c r="H63" s="206"/>
    </row>
    <row r="64" spans="1:8">
      <c r="A64" s="351" t="s">
        <v>227</v>
      </c>
      <c r="G64" s="359"/>
      <c r="H64" s="206"/>
    </row>
    <row r="65" spans="1:8">
      <c r="B65" s="389">
        <v>43769</v>
      </c>
      <c r="C65" s="305" t="s">
        <v>187</v>
      </c>
      <c r="D65" s="305">
        <v>249</v>
      </c>
      <c r="E65" s="305"/>
      <c r="F65" s="305" t="s">
        <v>226</v>
      </c>
      <c r="G65" s="371">
        <v>204</v>
      </c>
      <c r="H65" s="206"/>
    </row>
    <row r="66" spans="1:8">
      <c r="A66" s="351" t="s">
        <v>225</v>
      </c>
      <c r="G66" s="360">
        <f>SUM(G65)</f>
        <v>204</v>
      </c>
      <c r="H66" s="206"/>
    </row>
    <row r="67" spans="1:8">
      <c r="A67" s="351" t="s">
        <v>224</v>
      </c>
      <c r="G67" s="359"/>
      <c r="H67" s="206"/>
    </row>
    <row r="68" spans="1:8">
      <c r="B68" s="389">
        <v>43769</v>
      </c>
      <c r="C68" s="305" t="s">
        <v>187</v>
      </c>
      <c r="D68" s="305">
        <v>250</v>
      </c>
      <c r="E68" s="305"/>
      <c r="F68" s="305" t="s">
        <v>223</v>
      </c>
      <c r="G68" s="371">
        <v>40</v>
      </c>
      <c r="H68" s="206"/>
    </row>
    <row r="69" spans="1:8">
      <c r="A69" s="351" t="s">
        <v>222</v>
      </c>
      <c r="G69" s="360">
        <f>SUM(G68)</f>
        <v>40</v>
      </c>
      <c r="H69" s="206"/>
    </row>
    <row r="70" spans="1:8">
      <c r="A70" s="274" t="s">
        <v>507</v>
      </c>
      <c r="G70" s="355">
        <f>+G60+G63+G66+G69</f>
        <v>1294</v>
      </c>
      <c r="H70" s="206"/>
    </row>
    <row r="71" spans="1:8">
      <c r="A71" s="351"/>
      <c r="G71" s="362"/>
      <c r="H71" s="206"/>
    </row>
    <row r="72" spans="1:8">
      <c r="A72" s="351" t="s">
        <v>410</v>
      </c>
      <c r="G72" s="359"/>
      <c r="H72" s="206"/>
    </row>
    <row r="73" spans="1:8">
      <c r="B73" s="389">
        <v>43769</v>
      </c>
      <c r="C73" s="305" t="s">
        <v>187</v>
      </c>
      <c r="D73" s="305">
        <v>251</v>
      </c>
      <c r="E73" s="305"/>
      <c r="F73" s="305" t="s">
        <v>220</v>
      </c>
      <c r="G73" s="371">
        <v>141</v>
      </c>
      <c r="H73" s="206"/>
    </row>
    <row r="74" spans="1:8">
      <c r="A74" s="351" t="s">
        <v>409</v>
      </c>
      <c r="G74" s="355">
        <f>SUM(G73)</f>
        <v>141</v>
      </c>
      <c r="H74" s="206"/>
    </row>
    <row r="75" spans="1:8">
      <c r="A75" s="351"/>
      <c r="G75" s="360"/>
      <c r="H75" s="206"/>
    </row>
    <row r="76" spans="1:8" ht="15" thickBot="1">
      <c r="A76" s="364" t="s">
        <v>506</v>
      </c>
      <c r="G76" s="383">
        <f>+G51+G70+G74+G56</f>
        <v>19215.189999999999</v>
      </c>
      <c r="H76" s="206"/>
    </row>
    <row r="77" spans="1:8" ht="15" thickTop="1">
      <c r="A77" s="364" t="s">
        <v>380</v>
      </c>
      <c r="G77" s="359"/>
      <c r="H77" s="206"/>
    </row>
    <row r="78" spans="1:8">
      <c r="A78" s="351" t="s">
        <v>185</v>
      </c>
      <c r="G78" s="359"/>
      <c r="H78" s="206"/>
    </row>
    <row r="79" spans="1:8">
      <c r="B79" s="305" t="s">
        <v>524</v>
      </c>
      <c r="C79" s="305" t="s">
        <v>175</v>
      </c>
      <c r="D79" s="305" t="s">
        <v>528</v>
      </c>
      <c r="E79" s="305" t="s">
        <v>444</v>
      </c>
      <c r="F79" s="305" t="s">
        <v>527</v>
      </c>
      <c r="G79" s="371">
        <v>133.06</v>
      </c>
      <c r="H79" s="206">
        <v>12546</v>
      </c>
    </row>
    <row r="80" spans="1:8">
      <c r="B80" s="305" t="s">
        <v>524</v>
      </c>
      <c r="C80" s="305" t="s">
        <v>175</v>
      </c>
      <c r="D80" s="305" t="s">
        <v>526</v>
      </c>
      <c r="E80" s="305" t="s">
        <v>458</v>
      </c>
      <c r="F80" s="305" t="s">
        <v>525</v>
      </c>
      <c r="G80" s="371">
        <v>108</v>
      </c>
      <c r="H80" s="206">
        <v>12548</v>
      </c>
    </row>
    <row r="81" spans="1:8">
      <c r="B81" s="305" t="s">
        <v>524</v>
      </c>
      <c r="C81" s="305" t="s">
        <v>175</v>
      </c>
      <c r="D81" s="305" t="s">
        <v>523</v>
      </c>
      <c r="E81" s="305" t="s">
        <v>371</v>
      </c>
      <c r="F81" s="305" t="s">
        <v>522</v>
      </c>
      <c r="G81" s="371">
        <v>30.24</v>
      </c>
      <c r="H81" s="206">
        <v>12547</v>
      </c>
    </row>
    <row r="82" spans="1:8">
      <c r="A82" s="363" t="s">
        <v>521</v>
      </c>
      <c r="G82" s="355">
        <f>SUM(G79:G81)</f>
        <v>271.3</v>
      </c>
      <c r="H82" s="206"/>
    </row>
    <row r="83" spans="1:8" s="269" customFormat="1">
      <c r="A83" s="400" t="s">
        <v>401</v>
      </c>
      <c r="G83" s="325"/>
      <c r="H83" s="305"/>
    </row>
    <row r="84" spans="1:8">
      <c r="B84" s="305" t="s">
        <v>524</v>
      </c>
      <c r="C84" s="305" t="s">
        <v>175</v>
      </c>
      <c r="D84" s="305" t="s">
        <v>546</v>
      </c>
      <c r="E84" s="305" t="s">
        <v>444</v>
      </c>
      <c r="F84" s="305" t="s">
        <v>545</v>
      </c>
      <c r="G84" s="371">
        <v>30.5</v>
      </c>
      <c r="H84" s="206">
        <v>12546</v>
      </c>
    </row>
    <row r="85" spans="1:8">
      <c r="A85" s="351" t="s">
        <v>212</v>
      </c>
      <c r="G85" s="360">
        <f>SUM(G84)</f>
        <v>30.5</v>
      </c>
      <c r="H85" s="206"/>
    </row>
    <row r="86" spans="1:8" s="269" customFormat="1">
      <c r="A86" s="299" t="s">
        <v>395</v>
      </c>
      <c r="G86" s="325"/>
      <c r="H86" s="305"/>
    </row>
    <row r="87" spans="1:8" s="269" customFormat="1">
      <c r="B87" s="390">
        <v>43769</v>
      </c>
      <c r="C87" s="301" t="s">
        <v>187</v>
      </c>
      <c r="D87" s="301">
        <v>185</v>
      </c>
      <c r="E87" s="301"/>
      <c r="F87" s="301" t="s">
        <v>213</v>
      </c>
      <c r="G87" s="399">
        <v>254</v>
      </c>
      <c r="H87" s="305"/>
    </row>
    <row r="88" spans="1:8" s="269" customFormat="1">
      <c r="A88" s="299" t="s">
        <v>394</v>
      </c>
      <c r="G88" s="326">
        <f>SUM(G87)</f>
        <v>254</v>
      </c>
      <c r="H88" s="305"/>
    </row>
    <row r="89" spans="1:8">
      <c r="B89" s="305"/>
      <c r="C89" s="305"/>
      <c r="D89" s="305"/>
      <c r="E89" s="305"/>
      <c r="F89" s="305"/>
      <c r="G89" s="371"/>
      <c r="H89" s="206"/>
    </row>
    <row r="90" spans="1:8" s="269" customFormat="1">
      <c r="A90" s="322" t="s">
        <v>438</v>
      </c>
      <c r="G90" s="311">
        <f>+G84+G88</f>
        <v>284.5</v>
      </c>
      <c r="H90" s="305"/>
    </row>
    <row r="91" spans="1:8">
      <c r="B91" s="305"/>
      <c r="C91" s="305"/>
      <c r="D91" s="305"/>
      <c r="E91" s="305"/>
      <c r="F91" s="305"/>
      <c r="G91" s="371"/>
      <c r="H91" s="206"/>
    </row>
    <row r="92" spans="1:8">
      <c r="A92" s="364" t="s">
        <v>358</v>
      </c>
      <c r="G92" s="359"/>
      <c r="H92" s="206"/>
    </row>
    <row r="93" spans="1:8">
      <c r="A93" s="351" t="s">
        <v>215</v>
      </c>
      <c r="G93" s="359"/>
      <c r="H93" s="206"/>
    </row>
    <row r="94" spans="1:8">
      <c r="B94" s="389">
        <v>43769</v>
      </c>
      <c r="C94" s="305" t="s">
        <v>187</v>
      </c>
      <c r="D94" s="305">
        <v>253</v>
      </c>
      <c r="E94" s="305"/>
      <c r="F94" s="305" t="s">
        <v>214</v>
      </c>
      <c r="G94" s="371">
        <v>683</v>
      </c>
      <c r="H94" s="206"/>
    </row>
    <row r="95" spans="1:8">
      <c r="A95" s="351" t="s">
        <v>476</v>
      </c>
      <c r="G95" s="355">
        <f>SUM(G94)</f>
        <v>683</v>
      </c>
      <c r="H95" s="206"/>
    </row>
    <row r="96" spans="1:8">
      <c r="G96" s="362"/>
      <c r="H96" s="206"/>
    </row>
    <row r="97" spans="1:8">
      <c r="A97" s="364" t="s">
        <v>330</v>
      </c>
      <c r="G97" s="359"/>
      <c r="H97" s="206"/>
    </row>
    <row r="98" spans="1:8">
      <c r="A98" s="351" t="s">
        <v>201</v>
      </c>
      <c r="G98" s="359"/>
      <c r="H98" s="206"/>
    </row>
    <row r="99" spans="1:8">
      <c r="B99" s="305" t="s">
        <v>524</v>
      </c>
      <c r="C99" s="305" t="s">
        <v>175</v>
      </c>
      <c r="D99" s="305">
        <v>1985</v>
      </c>
      <c r="E99" s="305" t="s">
        <v>182</v>
      </c>
      <c r="F99" s="305" t="s">
        <v>529</v>
      </c>
      <c r="G99" s="371">
        <v>648</v>
      </c>
      <c r="H99" s="206">
        <v>12535</v>
      </c>
    </row>
    <row r="100" spans="1:8">
      <c r="A100" s="274" t="s">
        <v>345</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198</v>
      </c>
      <c r="G105" s="359"/>
      <c r="H105" s="206"/>
    </row>
    <row r="106" spans="1:8">
      <c r="A106" s="351" t="s">
        <v>197</v>
      </c>
      <c r="G106" s="359"/>
      <c r="H106" s="206"/>
    </row>
    <row r="107" spans="1:8">
      <c r="B107" s="389">
        <v>43769</v>
      </c>
      <c r="C107" s="305" t="s">
        <v>187</v>
      </c>
      <c r="D107" s="305">
        <v>260</v>
      </c>
      <c r="E107" s="305"/>
      <c r="F107" s="305" t="s">
        <v>196</v>
      </c>
      <c r="G107" s="371">
        <v>145</v>
      </c>
      <c r="H107" s="206"/>
    </row>
    <row r="108" spans="1:8">
      <c r="A108" s="351" t="s">
        <v>469</v>
      </c>
      <c r="G108" s="360">
        <f>SUM(G107)</f>
        <v>145</v>
      </c>
      <c r="H108" s="206"/>
    </row>
    <row r="109" spans="1:8">
      <c r="A109" s="351" t="s">
        <v>192</v>
      </c>
      <c r="G109" s="359"/>
      <c r="H109" s="206"/>
    </row>
    <row r="110" spans="1:8">
      <c r="A110" s="351" t="s">
        <v>467</v>
      </c>
      <c r="G110" s="359"/>
      <c r="H110" s="206"/>
    </row>
    <row r="111" spans="1:8">
      <c r="B111" s="389">
        <v>43769</v>
      </c>
      <c r="C111" s="305" t="s">
        <v>187</v>
      </c>
      <c r="D111" s="305">
        <v>257</v>
      </c>
      <c r="E111" s="305"/>
      <c r="F111" s="305" t="s">
        <v>191</v>
      </c>
      <c r="G111" s="371">
        <v>130</v>
      </c>
      <c r="H111" s="206"/>
    </row>
    <row r="112" spans="1:8">
      <c r="A112" s="351" t="s">
        <v>466</v>
      </c>
      <c r="G112" s="360">
        <f>SUM(G111)</f>
        <v>130</v>
      </c>
      <c r="H112" s="206"/>
    </row>
    <row r="113" spans="1:8">
      <c r="A113" s="351" t="s">
        <v>566</v>
      </c>
      <c r="G113" s="360"/>
      <c r="H113" s="206"/>
    </row>
    <row r="114" spans="1:8">
      <c r="B114" s="389">
        <v>43769</v>
      </c>
      <c r="C114" s="305" t="s">
        <v>187</v>
      </c>
      <c r="D114" s="305">
        <v>257</v>
      </c>
      <c r="E114" s="305"/>
      <c r="F114" s="305" t="s">
        <v>567</v>
      </c>
      <c r="G114" s="371">
        <v>491</v>
      </c>
      <c r="H114" s="206"/>
    </row>
    <row r="115" spans="1:8">
      <c r="A115" s="351"/>
      <c r="G115" s="360">
        <f>SUM(G114)</f>
        <v>491</v>
      </c>
      <c r="H115" s="206"/>
    </row>
    <row r="116" spans="1:8">
      <c r="A116" s="351"/>
      <c r="G116" s="360"/>
      <c r="H116" s="206"/>
    </row>
    <row r="117" spans="1:8" s="259" customFormat="1">
      <c r="A117" s="275" t="s">
        <v>344</v>
      </c>
      <c r="G117" s="288">
        <f>+G108+G112+G115</f>
        <v>766</v>
      </c>
      <c r="H117" s="206"/>
    </row>
    <row r="118" spans="1:8" s="201" customFormat="1">
      <c r="A118" s="205"/>
      <c r="G118" s="289"/>
      <c r="H118" s="206"/>
    </row>
    <row r="119" spans="1:8" s="258" customFormat="1">
      <c r="A119" s="274" t="s">
        <v>354</v>
      </c>
      <c r="G119" s="288">
        <f>+G100+G117</f>
        <v>1414</v>
      </c>
      <c r="H119" s="206"/>
    </row>
    <row r="120" spans="1:8">
      <c r="G120" s="360"/>
      <c r="H120" s="206"/>
    </row>
    <row r="121" spans="1:8">
      <c r="A121" s="274" t="s">
        <v>508</v>
      </c>
      <c r="G121" s="359"/>
      <c r="H121" s="206"/>
    </row>
    <row r="122" spans="1:8">
      <c r="A122" s="351" t="s">
        <v>194</v>
      </c>
      <c r="G122" s="359"/>
      <c r="H122" s="206"/>
    </row>
    <row r="123" spans="1:8">
      <c r="B123" s="389">
        <v>43769</v>
      </c>
      <c r="C123" s="305" t="s">
        <v>187</v>
      </c>
      <c r="D123" s="305">
        <v>256</v>
      </c>
      <c r="E123" s="305"/>
      <c r="F123" s="305" t="s">
        <v>193</v>
      </c>
      <c r="G123" s="371">
        <v>274</v>
      </c>
      <c r="H123" s="206"/>
    </row>
    <row r="124" spans="1:8">
      <c r="A124" s="351" t="s">
        <v>468</v>
      </c>
      <c r="G124" s="355">
        <f>SUM(G123)</f>
        <v>274</v>
      </c>
      <c r="H124" s="206"/>
    </row>
    <row r="125" spans="1:8">
      <c r="G125" s="360"/>
      <c r="H125" s="206"/>
    </row>
    <row r="126" spans="1:8">
      <c r="A126" s="274" t="s">
        <v>335</v>
      </c>
      <c r="G126" s="362"/>
      <c r="H126" s="206"/>
    </row>
    <row r="127" spans="1:8">
      <c r="A127" s="351" t="s">
        <v>218</v>
      </c>
      <c r="G127" s="359"/>
      <c r="H127" s="206"/>
    </row>
    <row r="128" spans="1:8">
      <c r="A128" s="351" t="s">
        <v>408</v>
      </c>
      <c r="G128" s="359"/>
      <c r="H128" s="206"/>
    </row>
    <row r="129" spans="1:8">
      <c r="B129" s="389">
        <v>43769</v>
      </c>
      <c r="C129" s="305" t="s">
        <v>187</v>
      </c>
      <c r="D129" s="305">
        <v>252</v>
      </c>
      <c r="E129" s="305"/>
      <c r="F129" s="305" t="s">
        <v>217</v>
      </c>
      <c r="G129" s="371">
        <v>0</v>
      </c>
      <c r="H129" s="206"/>
    </row>
    <row r="130" spans="1:8">
      <c r="A130" s="351" t="s">
        <v>477</v>
      </c>
      <c r="G130" s="360">
        <f>SUM(G129)</f>
        <v>0</v>
      </c>
      <c r="H130" s="206"/>
    </row>
    <row r="131" spans="1:8">
      <c r="A131" s="351" t="s">
        <v>535</v>
      </c>
      <c r="G131" s="359"/>
      <c r="H131" s="206"/>
    </row>
    <row r="132" spans="1:8">
      <c r="B132" s="305" t="s">
        <v>524</v>
      </c>
      <c r="C132" s="305" t="s">
        <v>534</v>
      </c>
      <c r="D132" s="305" t="s">
        <v>533</v>
      </c>
      <c r="E132" s="305" t="s">
        <v>532</v>
      </c>
      <c r="F132" s="305" t="s">
        <v>531</v>
      </c>
      <c r="G132" s="371">
        <v>72</v>
      </c>
      <c r="H132" s="206" t="s">
        <v>562</v>
      </c>
    </row>
    <row r="133" spans="1:8">
      <c r="A133" s="351" t="s">
        <v>530</v>
      </c>
      <c r="G133" s="360">
        <v>72</v>
      </c>
      <c r="H133" s="206"/>
    </row>
    <row r="134" spans="1:8">
      <c r="A134" s="351" t="s">
        <v>204</v>
      </c>
      <c r="G134" s="359"/>
      <c r="H134" s="206"/>
    </row>
    <row r="135" spans="1:8">
      <c r="B135" s="389">
        <v>43769</v>
      </c>
      <c r="C135" s="305" t="s">
        <v>187</v>
      </c>
      <c r="D135" s="305">
        <v>254</v>
      </c>
      <c r="E135" s="305"/>
      <c r="F135" s="305" t="s">
        <v>203</v>
      </c>
      <c r="G135" s="371">
        <v>35</v>
      </c>
      <c r="H135" s="206"/>
    </row>
    <row r="136" spans="1:8">
      <c r="A136" s="351" t="s">
        <v>202</v>
      </c>
      <c r="G136" s="360">
        <f>SUM(G135)</f>
        <v>35</v>
      </c>
      <c r="H136" s="206"/>
    </row>
    <row r="137" spans="1:8">
      <c r="A137" s="351" t="s">
        <v>471</v>
      </c>
      <c r="G137" s="355">
        <f>+G130+G133+G136</f>
        <v>107</v>
      </c>
      <c r="H137" s="206"/>
    </row>
    <row r="138" spans="1:8">
      <c r="G138" s="362"/>
      <c r="H138" s="206"/>
    </row>
    <row r="139" spans="1:8">
      <c r="A139" s="351"/>
      <c r="G139" s="362"/>
      <c r="H139" s="206"/>
    </row>
    <row r="140" spans="1:8">
      <c r="A140" s="221" t="s">
        <v>339</v>
      </c>
      <c r="G140" s="359"/>
      <c r="H140" s="206"/>
    </row>
    <row r="141" spans="1:8">
      <c r="A141" s="351" t="s">
        <v>211</v>
      </c>
      <c r="G141" s="359"/>
      <c r="H141" s="206"/>
    </row>
    <row r="142" spans="1:8">
      <c r="A142" s="351" t="s">
        <v>210</v>
      </c>
      <c r="G142" s="359"/>
      <c r="H142" s="206"/>
    </row>
    <row r="143" spans="1:8">
      <c r="B143" s="305" t="s">
        <v>544</v>
      </c>
      <c r="C143" s="305" t="s">
        <v>175</v>
      </c>
      <c r="D143" s="305" t="s">
        <v>543</v>
      </c>
      <c r="E143" s="305" t="s">
        <v>434</v>
      </c>
      <c r="F143" s="305" t="s">
        <v>542</v>
      </c>
      <c r="G143" s="371">
        <v>116.16</v>
      </c>
      <c r="H143" s="206">
        <v>12639</v>
      </c>
    </row>
    <row r="144" spans="1:8">
      <c r="A144" s="351" t="s">
        <v>208</v>
      </c>
      <c r="G144" s="360">
        <f>SUM(G143)</f>
        <v>116.16</v>
      </c>
      <c r="H144" s="206"/>
    </row>
    <row r="145" spans="1:8">
      <c r="A145" s="351" t="s">
        <v>541</v>
      </c>
      <c r="G145" s="359"/>
      <c r="H145" s="206"/>
    </row>
    <row r="146" spans="1:8">
      <c r="B146" s="305" t="s">
        <v>540</v>
      </c>
      <c r="C146" s="305" t="s">
        <v>534</v>
      </c>
      <c r="D146" s="305" t="s">
        <v>539</v>
      </c>
      <c r="E146" s="305" t="s">
        <v>538</v>
      </c>
      <c r="F146" s="305" t="s">
        <v>537</v>
      </c>
      <c r="G146" s="371">
        <v>80.849999999999994</v>
      </c>
      <c r="H146" s="206" t="s">
        <v>562</v>
      </c>
    </row>
    <row r="147" spans="1:8">
      <c r="A147" s="351" t="s">
        <v>536</v>
      </c>
      <c r="G147" s="360">
        <f>SUM(G146)</f>
        <v>80.849999999999994</v>
      </c>
      <c r="H147" s="206"/>
    </row>
    <row r="148" spans="1:8">
      <c r="A148" s="351" t="s">
        <v>207</v>
      </c>
      <c r="G148" s="359"/>
      <c r="H148" s="206"/>
    </row>
    <row r="149" spans="1:8">
      <c r="B149" s="389">
        <v>43769</v>
      </c>
      <c r="C149" s="305" t="s">
        <v>187</v>
      </c>
      <c r="D149" s="305">
        <v>262</v>
      </c>
      <c r="E149" s="305"/>
      <c r="F149" s="305" t="s">
        <v>206</v>
      </c>
      <c r="G149" s="371">
        <v>158</v>
      </c>
      <c r="H149" s="206"/>
    </row>
    <row r="150" spans="1:8">
      <c r="A150" s="351" t="s">
        <v>205</v>
      </c>
      <c r="G150" s="360">
        <f>SUM(G149)</f>
        <v>158</v>
      </c>
      <c r="H150" s="206"/>
    </row>
    <row r="152" spans="1:8">
      <c r="A152" s="351" t="s">
        <v>472</v>
      </c>
      <c r="G152" s="355">
        <f>+G144+G147+G150</f>
        <v>355.01</v>
      </c>
      <c r="H152" s="206"/>
    </row>
    <row r="153" spans="1:8">
      <c r="G153" s="362"/>
      <c r="H153" s="206"/>
    </row>
    <row r="154" spans="1:8">
      <c r="A154" s="351"/>
      <c r="G154" s="362"/>
      <c r="H154" s="206"/>
    </row>
    <row r="155" spans="1:8">
      <c r="A155" s="363" t="s">
        <v>189</v>
      </c>
      <c r="G155" s="359"/>
      <c r="H155" s="206"/>
    </row>
    <row r="156" spans="1:8">
      <c r="B156" s="389">
        <v>43769</v>
      </c>
      <c r="C156" s="305" t="s">
        <v>187</v>
      </c>
      <c r="D156" s="305">
        <v>258</v>
      </c>
      <c r="E156" s="305"/>
      <c r="F156" s="305" t="s">
        <v>186</v>
      </c>
      <c r="G156" s="371">
        <v>443</v>
      </c>
      <c r="H156" s="206"/>
    </row>
    <row r="157" spans="1:8">
      <c r="A157" s="351" t="s">
        <v>464</v>
      </c>
      <c r="G157" s="355">
        <f>SUM(G156)</f>
        <v>443</v>
      </c>
      <c r="H157" s="206"/>
    </row>
    <row r="158" spans="1:8">
      <c r="A158" s="351"/>
      <c r="G158" s="360"/>
      <c r="H158" s="206"/>
    </row>
    <row r="159" spans="1:8" s="269" customFormat="1">
      <c r="A159" s="400" t="s">
        <v>442</v>
      </c>
      <c r="G159" s="330"/>
      <c r="H159" s="305"/>
    </row>
    <row r="160" spans="1:8" s="269" customFormat="1">
      <c r="A160" s="299" t="s">
        <v>393</v>
      </c>
      <c r="G160" s="325"/>
      <c r="H160" s="305"/>
    </row>
    <row r="161" spans="1:8" s="269" customFormat="1">
      <c r="B161" s="390">
        <v>43769</v>
      </c>
      <c r="C161" s="301" t="s">
        <v>187</v>
      </c>
      <c r="D161" s="301">
        <v>196</v>
      </c>
      <c r="E161" s="301"/>
      <c r="F161" s="301" t="s">
        <v>152</v>
      </c>
      <c r="G161" s="399">
        <v>34</v>
      </c>
      <c r="H161" s="305"/>
    </row>
    <row r="162" spans="1:8" s="269" customFormat="1">
      <c r="A162" s="400" t="s">
        <v>443</v>
      </c>
      <c r="G162" s="311">
        <f>SUM(G161)</f>
        <v>34</v>
      </c>
      <c r="H162" s="305"/>
    </row>
    <row r="163" spans="1:8" s="269" customFormat="1">
      <c r="G163" s="325"/>
      <c r="H163" s="305"/>
    </row>
    <row r="164" spans="1:8">
      <c r="A164" s="351" t="s">
        <v>350</v>
      </c>
      <c r="G164" s="359"/>
      <c r="H164" s="206"/>
    </row>
    <row r="165" spans="1:8">
      <c r="B165" s="305" t="s">
        <v>518</v>
      </c>
      <c r="C165" s="305" t="s">
        <v>187</v>
      </c>
      <c r="D165" s="305" t="s">
        <v>517</v>
      </c>
      <c r="E165" s="305"/>
      <c r="F165" s="305" t="s">
        <v>516</v>
      </c>
      <c r="G165" s="371">
        <v>6922.5</v>
      </c>
      <c r="H165" s="206"/>
    </row>
    <row r="166" spans="1:8">
      <c r="A166" s="351" t="s">
        <v>347</v>
      </c>
      <c r="G166" s="355">
        <f>SUM(G165)</f>
        <v>6922.5</v>
      </c>
      <c r="H166" s="206"/>
    </row>
    <row r="167" spans="1:8">
      <c r="H167" s="206"/>
    </row>
    <row r="168" spans="1:8">
      <c r="H168" s="206"/>
    </row>
    <row r="169" spans="1:8">
      <c r="A169" s="536" t="s">
        <v>568</v>
      </c>
      <c r="B169" s="536"/>
      <c r="C169" s="536"/>
      <c r="D169" s="536"/>
      <c r="E169" s="536"/>
      <c r="F169" s="536"/>
      <c r="G169" s="536"/>
      <c r="H169" s="536"/>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131</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J95"/>
  <sheetViews>
    <sheetView zoomScaleNormal="100" zoomScaleSheetLayoutView="70" workbookViewId="0">
      <pane xSplit="1" ySplit="5" topLeftCell="B64" activePane="bottomRight" state="frozen"/>
      <selection pane="topRight" activeCell="B1" sqref="B1"/>
      <selection pane="bottomLeft" activeCell="A6" sqref="A6"/>
      <selection pane="bottomRight" activeCell="H77" sqref="H77"/>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99">
        <v>43770</v>
      </c>
      <c r="H1" s="500"/>
      <c r="I1" s="106" t="s">
        <v>49</v>
      </c>
    </row>
    <row r="2" spans="1:9" ht="21">
      <c r="A2" s="37" t="s">
        <v>153</v>
      </c>
      <c r="B2" s="35"/>
      <c r="C2" s="35"/>
      <c r="D2" s="36"/>
      <c r="E2" s="437" t="s">
        <v>52</v>
      </c>
      <c r="F2" s="65"/>
      <c r="G2" s="501"/>
      <c r="H2" s="50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147</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156</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148</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569</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149</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364</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170</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78</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151</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+E42+'Oct-2019'!F42</f>
        <v>2160.63</v>
      </c>
      <c r="G42" s="144"/>
      <c r="H42" s="144"/>
      <c r="I42" s="108"/>
    </row>
    <row r="43" spans="1:10" s="168" customFormat="1" ht="21.75" customHeight="1">
      <c r="A43" s="138" t="s">
        <v>81</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79</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E46+'Oct-2019'!F46</f>
        <v>0</v>
      </c>
      <c r="G46" s="144">
        <v>8500</v>
      </c>
      <c r="H46" s="144">
        <f t="shared" si="15"/>
        <v>8500</v>
      </c>
      <c r="I46" s="108">
        <f t="shared" si="13"/>
        <v>0</v>
      </c>
    </row>
    <row r="47" spans="1:10" s="168" customFormat="1" ht="21.75" customHeight="1">
      <c r="A47" s="138" t="s">
        <v>169</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158</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570</v>
      </c>
      <c r="B77" s="402"/>
      <c r="C77" s="7"/>
      <c r="D77" s="7"/>
      <c r="E77" s="7"/>
      <c r="F77" s="441" t="s">
        <v>446</v>
      </c>
      <c r="G77" s="88"/>
      <c r="H77" s="403">
        <v>43811</v>
      </c>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444</v>
      </c>
      <c r="B81" s="402"/>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175"/>
  <sheetViews>
    <sheetView workbookViewId="0">
      <pane ySplit="5" topLeftCell="A168" activePane="bottomLeft" state="frozen"/>
      <selection pane="bottomLeft" activeCell="G171" sqref="G171"/>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40" t="s">
        <v>278</v>
      </c>
      <c r="B1" s="540"/>
      <c r="C1" s="540"/>
      <c r="D1" s="540"/>
      <c r="E1" s="540"/>
      <c r="F1" s="540"/>
      <c r="G1" s="540"/>
      <c r="H1" s="540"/>
    </row>
    <row r="2" spans="1:8" ht="20.25" customHeight="1">
      <c r="A2" s="540" t="s">
        <v>277</v>
      </c>
      <c r="B2" s="540"/>
      <c r="C2" s="540"/>
      <c r="D2" s="540"/>
      <c r="E2" s="540"/>
      <c r="F2" s="540"/>
      <c r="G2" s="540"/>
      <c r="H2" s="540"/>
    </row>
    <row r="3" spans="1:8" ht="20.25" customHeight="1">
      <c r="A3" s="541" t="s">
        <v>617</v>
      </c>
      <c r="B3" s="541"/>
      <c r="C3" s="541"/>
      <c r="D3" s="541"/>
      <c r="E3" s="541"/>
      <c r="F3" s="541"/>
      <c r="G3" s="541"/>
      <c r="H3" s="541"/>
    </row>
    <row r="5" spans="1:8" ht="24">
      <c r="A5" s="304"/>
      <c r="B5" s="417" t="s">
        <v>154</v>
      </c>
      <c r="C5" s="418" t="s">
        <v>431</v>
      </c>
      <c r="D5" s="417" t="s">
        <v>275</v>
      </c>
      <c r="E5" s="417" t="s">
        <v>274</v>
      </c>
      <c r="F5" s="417" t="s">
        <v>273</v>
      </c>
      <c r="G5" s="416" t="s">
        <v>272</v>
      </c>
      <c r="H5" s="415" t="s">
        <v>279</v>
      </c>
    </row>
    <row r="6" spans="1:8" ht="15" customHeight="1">
      <c r="A6" s="414"/>
      <c r="H6" s="419"/>
    </row>
    <row r="7" spans="1:8" s="407" customFormat="1" ht="15" customHeight="1">
      <c r="A7" s="410" t="s">
        <v>271</v>
      </c>
      <c r="H7" s="412"/>
    </row>
    <row r="8" spans="1:8" s="407" customFormat="1" ht="15" customHeight="1">
      <c r="A8" s="410" t="s">
        <v>270</v>
      </c>
      <c r="H8" s="412"/>
    </row>
    <row r="9" spans="1:8" s="407" customFormat="1" ht="15" customHeight="1">
      <c r="B9" s="412" t="s">
        <v>607</v>
      </c>
      <c r="C9" s="412" t="s">
        <v>187</v>
      </c>
      <c r="D9" s="412">
        <v>60</v>
      </c>
      <c r="E9" s="412"/>
      <c r="F9" s="412" t="s">
        <v>616</v>
      </c>
      <c r="G9" s="411">
        <v>46928.89</v>
      </c>
      <c r="H9" s="412"/>
    </row>
    <row r="10" spans="1:8" s="407" customFormat="1" ht="15" customHeight="1">
      <c r="B10" s="412" t="s">
        <v>614</v>
      </c>
      <c r="C10" s="412" t="s">
        <v>187</v>
      </c>
      <c r="D10" s="412">
        <v>61</v>
      </c>
      <c r="E10" s="412"/>
      <c r="F10" s="412" t="s">
        <v>615</v>
      </c>
      <c r="G10" s="411">
        <v>46738</v>
      </c>
      <c r="H10" s="412"/>
    </row>
    <row r="11" spans="1:8" s="407" customFormat="1" ht="15" customHeight="1">
      <c r="A11" s="410" t="s">
        <v>558</v>
      </c>
      <c r="G11" s="409">
        <f>SUM(G9:G10)</f>
        <v>93666.89</v>
      </c>
      <c r="H11" s="412"/>
    </row>
    <row r="12" spans="1:8" s="407" customFormat="1" ht="15" customHeight="1">
      <c r="A12" s="410" t="s">
        <v>263</v>
      </c>
      <c r="H12" s="419"/>
    </row>
    <row r="13" spans="1:8" s="407" customFormat="1" ht="15" customHeight="1">
      <c r="B13" s="412" t="s">
        <v>607</v>
      </c>
      <c r="C13" s="412" t="s">
        <v>187</v>
      </c>
      <c r="D13" s="412">
        <v>60</v>
      </c>
      <c r="E13" s="412"/>
      <c r="F13" s="412" t="s">
        <v>420</v>
      </c>
      <c r="G13" s="411">
        <v>3602.67</v>
      </c>
      <c r="H13" s="419"/>
    </row>
    <row r="14" spans="1:8" s="407" customFormat="1" ht="15" customHeight="1">
      <c r="B14" s="412" t="s">
        <v>614</v>
      </c>
      <c r="C14" s="412" t="s">
        <v>187</v>
      </c>
      <c r="D14" s="412">
        <v>61</v>
      </c>
      <c r="E14" s="412"/>
      <c r="F14" s="412" t="s">
        <v>420</v>
      </c>
      <c r="G14" s="411">
        <v>1215.99</v>
      </c>
      <c r="H14" s="412"/>
    </row>
    <row r="15" spans="1:8" s="407" customFormat="1" ht="15" customHeight="1">
      <c r="A15" s="410" t="s">
        <v>262</v>
      </c>
      <c r="G15" s="409">
        <f>SUM(G13:G14)</f>
        <v>4818.66</v>
      </c>
      <c r="H15" s="419"/>
    </row>
    <row r="16" spans="1:8" s="407" customFormat="1" ht="15" customHeight="1">
      <c r="A16" s="410" t="s">
        <v>341</v>
      </c>
      <c r="H16" s="419"/>
    </row>
    <row r="17" spans="1:8" s="407" customFormat="1" ht="15" customHeight="1">
      <c r="B17" s="412" t="s">
        <v>590</v>
      </c>
      <c r="C17" s="412" t="s">
        <v>187</v>
      </c>
      <c r="D17" s="412">
        <v>56</v>
      </c>
      <c r="E17" s="412"/>
      <c r="F17" s="412" t="s">
        <v>412</v>
      </c>
      <c r="G17" s="411">
        <v>2294</v>
      </c>
      <c r="H17" s="419"/>
    </row>
    <row r="18" spans="1:8" s="407" customFormat="1" ht="15" customHeight="1">
      <c r="A18" s="410" t="s">
        <v>342</v>
      </c>
      <c r="G18" s="409">
        <f>SUM(G17)</f>
        <v>2294</v>
      </c>
      <c r="H18" s="419"/>
    </row>
    <row r="19" spans="1:8" s="407" customFormat="1" ht="15" customHeight="1">
      <c r="A19" s="410" t="s">
        <v>261</v>
      </c>
      <c r="H19" s="419"/>
    </row>
    <row r="20" spans="1:8" s="407" customFormat="1" ht="15" customHeight="1">
      <c r="B20" s="412" t="s">
        <v>607</v>
      </c>
      <c r="C20" s="412" t="s">
        <v>187</v>
      </c>
      <c r="D20" s="412">
        <v>60</v>
      </c>
      <c r="E20" s="412"/>
      <c r="F20" s="412" t="s">
        <v>416</v>
      </c>
      <c r="G20" s="411">
        <v>425.99</v>
      </c>
      <c r="H20" s="419"/>
    </row>
    <row r="21" spans="1:8" s="407" customFormat="1" ht="15" customHeight="1">
      <c r="B21" s="412" t="s">
        <v>614</v>
      </c>
      <c r="C21" s="412" t="s">
        <v>187</v>
      </c>
      <c r="D21" s="412">
        <v>61</v>
      </c>
      <c r="E21" s="412"/>
      <c r="F21" s="412" t="s">
        <v>416</v>
      </c>
      <c r="G21" s="411">
        <v>399.82</v>
      </c>
      <c r="H21" s="419"/>
    </row>
    <row r="22" spans="1:8" s="407" customFormat="1" ht="15" customHeight="1">
      <c r="A22" s="410" t="s">
        <v>254</v>
      </c>
      <c r="G22" s="409">
        <f>SUM(G20:G21)</f>
        <v>825.81</v>
      </c>
      <c r="H22" s="419"/>
    </row>
    <row r="23" spans="1:8" s="407" customFormat="1" ht="15" customHeight="1">
      <c r="A23" s="410" t="s">
        <v>484</v>
      </c>
      <c r="G23" s="409">
        <f>+G11+G15+G18+G22</f>
        <v>101605.36</v>
      </c>
      <c r="H23" s="419"/>
    </row>
    <row r="24" spans="1:8" s="407" customFormat="1" ht="15" customHeight="1">
      <c r="A24" s="410" t="s">
        <v>415</v>
      </c>
      <c r="H24" s="419"/>
    </row>
    <row r="25" spans="1:8" s="407" customFormat="1" ht="15" customHeight="1">
      <c r="A25" s="410" t="s">
        <v>253</v>
      </c>
      <c r="H25" s="419"/>
    </row>
    <row r="26" spans="1:8" s="407" customFormat="1" ht="15" customHeight="1">
      <c r="A26" s="410" t="s">
        <v>553</v>
      </c>
      <c r="H26" s="419"/>
    </row>
    <row r="27" spans="1:8" s="407" customFormat="1" ht="15" customHeight="1">
      <c r="B27" s="412" t="s">
        <v>590</v>
      </c>
      <c r="C27" s="412" t="s">
        <v>187</v>
      </c>
      <c r="D27" s="412">
        <v>39</v>
      </c>
      <c r="E27" s="412"/>
      <c r="F27" s="412" t="s">
        <v>613</v>
      </c>
      <c r="G27" s="411">
        <v>24343</v>
      </c>
      <c r="H27" s="419"/>
    </row>
    <row r="28" spans="1:8" s="407" customFormat="1" ht="15" customHeight="1">
      <c r="A28" s="410" t="s">
        <v>550</v>
      </c>
      <c r="G28" s="409">
        <f>SUM(G27)</f>
        <v>24343</v>
      </c>
      <c r="H28" s="419"/>
    </row>
    <row r="29" spans="1:8" s="407" customFormat="1" ht="15" customHeight="1">
      <c r="A29" s="410" t="s">
        <v>250</v>
      </c>
      <c r="G29" s="409">
        <f>SUM(G28)</f>
        <v>24343</v>
      </c>
      <c r="H29" s="419"/>
    </row>
    <row r="30" spans="1:8" s="407" customFormat="1" ht="15" customHeight="1">
      <c r="A30" s="410" t="s">
        <v>249</v>
      </c>
      <c r="H30" s="419"/>
    </row>
    <row r="31" spans="1:8" s="407" customFormat="1" ht="15" customHeight="1">
      <c r="A31" s="410" t="s">
        <v>248</v>
      </c>
      <c r="H31" s="419"/>
    </row>
    <row r="32" spans="1:8" s="407" customFormat="1" ht="15" customHeight="1">
      <c r="B32" s="412" t="s">
        <v>581</v>
      </c>
      <c r="C32" s="412" t="s">
        <v>175</v>
      </c>
      <c r="D32" s="412">
        <v>292676700</v>
      </c>
      <c r="E32" s="412" t="s">
        <v>481</v>
      </c>
      <c r="F32" s="412" t="s">
        <v>612</v>
      </c>
      <c r="G32" s="411">
        <v>3670.26</v>
      </c>
      <c r="H32" s="419">
        <v>12658</v>
      </c>
    </row>
    <row r="33" spans="1:8" s="407" customFormat="1" ht="15" customHeight="1">
      <c r="A33" s="410" t="s">
        <v>247</v>
      </c>
      <c r="G33" s="409">
        <f>SUM(G32)</f>
        <v>3670.26</v>
      </c>
      <c r="H33" s="419"/>
    </row>
    <row r="34" spans="1:8" s="407" customFormat="1" ht="15" customHeight="1">
      <c r="A34" s="410" t="s">
        <v>246</v>
      </c>
      <c r="H34" s="419"/>
    </row>
    <row r="35" spans="1:8" s="407" customFormat="1" ht="15" customHeight="1">
      <c r="B35" s="412" t="s">
        <v>581</v>
      </c>
      <c r="C35" s="412" t="s">
        <v>175</v>
      </c>
      <c r="D35" s="412" t="s">
        <v>611</v>
      </c>
      <c r="E35" s="412" t="s">
        <v>244</v>
      </c>
      <c r="F35" s="412" t="s">
        <v>565</v>
      </c>
      <c r="G35" s="411">
        <v>557.84649999999999</v>
      </c>
      <c r="H35" s="419">
        <v>12665</v>
      </c>
    </row>
    <row r="36" spans="1:8" s="407" customFormat="1" ht="15" customHeight="1">
      <c r="A36" s="410" t="s">
        <v>242</v>
      </c>
      <c r="G36" s="409">
        <f>SUM(G35)</f>
        <v>557.84649999999999</v>
      </c>
      <c r="H36" s="419"/>
    </row>
    <row r="37" spans="1:8" s="421" customFormat="1" ht="15" customHeight="1">
      <c r="A37" s="420" t="s">
        <v>241</v>
      </c>
      <c r="G37" s="422"/>
      <c r="H37" s="423"/>
    </row>
    <row r="38" spans="1:8" s="421" customFormat="1" ht="15" customHeight="1">
      <c r="B38" s="424">
        <v>43799</v>
      </c>
      <c r="C38" s="423" t="s">
        <v>187</v>
      </c>
      <c r="D38" s="423">
        <v>154</v>
      </c>
      <c r="E38" s="423"/>
      <c r="F38" s="423" t="s">
        <v>326</v>
      </c>
      <c r="G38" s="425">
        <v>-1267.3845142857142</v>
      </c>
      <c r="H38" s="423"/>
    </row>
    <row r="39" spans="1:8" s="421" customFormat="1" ht="15" customHeight="1">
      <c r="A39" s="420" t="s">
        <v>240</v>
      </c>
      <c r="G39" s="426">
        <f>SUM(G38)</f>
        <v>-1267.3845142857142</v>
      </c>
      <c r="H39" s="423"/>
    </row>
    <row r="40" spans="1:8" s="421" customFormat="1" ht="15" customHeight="1">
      <c r="A40" s="420" t="s">
        <v>239</v>
      </c>
      <c r="G40" s="422"/>
      <c r="H40" s="423"/>
    </row>
    <row r="41" spans="1:8" s="421" customFormat="1" ht="15" customHeight="1">
      <c r="B41" s="424">
        <v>43799</v>
      </c>
      <c r="C41" s="423" t="s">
        <v>187</v>
      </c>
      <c r="D41" s="423">
        <v>155</v>
      </c>
      <c r="E41" s="423"/>
      <c r="F41" s="423" t="s">
        <v>238</v>
      </c>
      <c r="G41" s="425">
        <v>-78.878500000000017</v>
      </c>
      <c r="H41" s="423"/>
    </row>
    <row r="42" spans="1:8" s="421" customFormat="1" ht="15" customHeight="1">
      <c r="A42" s="420" t="s">
        <v>237</v>
      </c>
      <c r="G42" s="426">
        <f>SUM(G41)</f>
        <v>-78.878500000000017</v>
      </c>
      <c r="H42" s="423"/>
    </row>
    <row r="43" spans="1:8" s="407" customFormat="1" ht="15" customHeight="1">
      <c r="A43" s="410"/>
      <c r="G43" s="409"/>
      <c r="H43" s="419"/>
    </row>
    <row r="44" spans="1:8" s="407" customFormat="1" ht="15" customHeight="1">
      <c r="A44" s="410" t="s">
        <v>236</v>
      </c>
      <c r="G44" s="409">
        <f>+G33+G36+G39+G42</f>
        <v>2881.8434857142856</v>
      </c>
      <c r="H44" s="419"/>
    </row>
    <row r="46" spans="1:8" s="407" customFormat="1" ht="15" customHeight="1">
      <c r="A46" s="410" t="s">
        <v>235</v>
      </c>
      <c r="H46" s="419"/>
    </row>
    <row r="47" spans="1:8" s="407" customFormat="1" ht="15" customHeight="1">
      <c r="A47" s="410" t="s">
        <v>479</v>
      </c>
      <c r="H47" s="419"/>
    </row>
    <row r="48" spans="1:8" s="407" customFormat="1" ht="15" customHeight="1">
      <c r="B48" s="412" t="s">
        <v>590</v>
      </c>
      <c r="C48" s="412" t="s">
        <v>187</v>
      </c>
      <c r="D48" s="412">
        <v>56</v>
      </c>
      <c r="E48" s="412"/>
      <c r="F48" s="412" t="s">
        <v>412</v>
      </c>
      <c r="G48" s="411">
        <v>576</v>
      </c>
      <c r="H48" s="419"/>
    </row>
    <row r="49" spans="1:8" s="407" customFormat="1" ht="15" customHeight="1">
      <c r="A49" s="410" t="s">
        <v>478</v>
      </c>
      <c r="G49" s="409">
        <f>SUM(G48)</f>
        <v>576</v>
      </c>
      <c r="H49" s="419"/>
    </row>
    <row r="51" spans="1:8" s="359" customFormat="1" ht="14.5">
      <c r="A51" s="274" t="s">
        <v>285</v>
      </c>
      <c r="H51" s="206"/>
    </row>
    <row r="52" spans="1:8" s="407" customFormat="1" ht="15" customHeight="1">
      <c r="A52" s="410" t="s">
        <v>233</v>
      </c>
      <c r="H52" s="419"/>
    </row>
    <row r="53" spans="1:8" s="407" customFormat="1" ht="15" customHeight="1">
      <c r="B53" s="412" t="s">
        <v>590</v>
      </c>
      <c r="C53" s="412" t="s">
        <v>187</v>
      </c>
      <c r="D53" s="412">
        <v>53</v>
      </c>
      <c r="E53" s="412"/>
      <c r="F53" s="412" t="s">
        <v>232</v>
      </c>
      <c r="G53" s="411">
        <v>1411</v>
      </c>
      <c r="H53" s="419"/>
    </row>
    <row r="54" spans="1:8" s="407" customFormat="1" ht="15" customHeight="1">
      <c r="A54" s="410" t="s">
        <v>231</v>
      </c>
      <c r="G54" s="409">
        <f>SUM(G53)</f>
        <v>1411</v>
      </c>
      <c r="H54" s="419"/>
    </row>
    <row r="55" spans="1:8" s="407" customFormat="1" ht="15" customHeight="1">
      <c r="A55" s="410" t="s">
        <v>230</v>
      </c>
      <c r="H55" s="419"/>
    </row>
    <row r="56" spans="1:8" s="407" customFormat="1" ht="15" customHeight="1">
      <c r="B56" s="412" t="s">
        <v>590</v>
      </c>
      <c r="C56" s="412" t="s">
        <v>187</v>
      </c>
      <c r="D56" s="412">
        <v>49</v>
      </c>
      <c r="E56" s="412"/>
      <c r="F56" s="412" t="s">
        <v>229</v>
      </c>
      <c r="G56" s="411">
        <v>344</v>
      </c>
      <c r="H56" s="419"/>
    </row>
    <row r="57" spans="1:8" s="407" customFormat="1" ht="15" customHeight="1">
      <c r="A57" s="410" t="s">
        <v>228</v>
      </c>
      <c r="G57" s="409">
        <f>SUM(G56)</f>
        <v>344</v>
      </c>
      <c r="H57" s="419"/>
    </row>
    <row r="58" spans="1:8" s="407" customFormat="1" ht="15" customHeight="1">
      <c r="A58" s="410" t="s">
        <v>227</v>
      </c>
      <c r="H58" s="419"/>
    </row>
    <row r="59" spans="1:8" s="407" customFormat="1" ht="15" customHeight="1">
      <c r="B59" s="412" t="s">
        <v>590</v>
      </c>
      <c r="C59" s="412" t="s">
        <v>187</v>
      </c>
      <c r="D59" s="412">
        <v>45</v>
      </c>
      <c r="E59" s="412"/>
      <c r="F59" s="412" t="s">
        <v>226</v>
      </c>
      <c r="G59" s="411">
        <v>345</v>
      </c>
      <c r="H59" s="419"/>
    </row>
    <row r="60" spans="1:8" s="407" customFormat="1" ht="15" customHeight="1">
      <c r="A60" s="410" t="s">
        <v>225</v>
      </c>
      <c r="G60" s="409">
        <f>SUM(G59)</f>
        <v>345</v>
      </c>
      <c r="H60" s="419"/>
    </row>
    <row r="61" spans="1:8" s="407" customFormat="1" ht="15" customHeight="1">
      <c r="A61" s="410" t="s">
        <v>224</v>
      </c>
      <c r="H61" s="419"/>
    </row>
    <row r="62" spans="1:8" s="407" customFormat="1" ht="15" customHeight="1">
      <c r="B62" s="412" t="s">
        <v>590</v>
      </c>
      <c r="C62" s="412" t="s">
        <v>187</v>
      </c>
      <c r="D62" s="412">
        <v>54</v>
      </c>
      <c r="E62" s="412"/>
      <c r="F62" s="412" t="s">
        <v>223</v>
      </c>
      <c r="G62" s="411">
        <v>68</v>
      </c>
      <c r="H62" s="419"/>
    </row>
    <row r="63" spans="1:8" s="407" customFormat="1" ht="15" customHeight="1">
      <c r="A63" s="410" t="s">
        <v>222</v>
      </c>
      <c r="G63" s="409">
        <f>SUM(G62)</f>
        <v>68</v>
      </c>
      <c r="H63" s="419"/>
    </row>
    <row r="65" spans="1:8" s="407" customFormat="1" ht="15.75" customHeight="1">
      <c r="A65" s="274" t="s">
        <v>507</v>
      </c>
      <c r="G65" s="427">
        <f>+G54+G57+G60+G63</f>
        <v>2168</v>
      </c>
      <c r="H65" s="419"/>
    </row>
    <row r="66" spans="1:8" s="407" customFormat="1" ht="15" customHeight="1">
      <c r="A66" s="410" t="s">
        <v>410</v>
      </c>
      <c r="H66" s="419"/>
    </row>
    <row r="67" spans="1:8" s="407" customFormat="1" ht="15" customHeight="1">
      <c r="B67" s="412" t="s">
        <v>590</v>
      </c>
      <c r="C67" s="412" t="s">
        <v>187</v>
      </c>
      <c r="D67" s="412">
        <v>47</v>
      </c>
      <c r="E67" s="412"/>
      <c r="F67" s="412" t="s">
        <v>220</v>
      </c>
      <c r="G67" s="411">
        <v>254</v>
      </c>
      <c r="H67" s="419"/>
    </row>
    <row r="68" spans="1:8" s="407" customFormat="1" ht="15" customHeight="1">
      <c r="A68" s="410" t="s">
        <v>409</v>
      </c>
      <c r="G68" s="427">
        <f>SUM(G67)</f>
        <v>254</v>
      </c>
      <c r="H68" s="419"/>
    </row>
    <row r="69" spans="1:8" s="407" customFormat="1" ht="15" customHeight="1">
      <c r="G69" s="409"/>
      <c r="H69" s="419"/>
    </row>
    <row r="70" spans="1:8" s="407" customFormat="1" ht="15" customHeight="1">
      <c r="A70" s="364" t="s">
        <v>547</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380</v>
      </c>
      <c r="G76" s="359"/>
      <c r="H76" s="206"/>
    </row>
    <row r="77" spans="1:8" s="407" customFormat="1" ht="15" customHeight="1">
      <c r="A77" s="410" t="s">
        <v>185</v>
      </c>
      <c r="H77" s="419"/>
    </row>
    <row r="78" spans="1:8" s="407" customFormat="1" ht="15" customHeight="1">
      <c r="B78" s="412" t="s">
        <v>581</v>
      </c>
      <c r="C78" s="412" t="s">
        <v>175</v>
      </c>
      <c r="D78" s="412" t="s">
        <v>588</v>
      </c>
      <c r="E78" s="412" t="s">
        <v>371</v>
      </c>
      <c r="F78" s="412" t="s">
        <v>587</v>
      </c>
      <c r="G78" s="411">
        <v>30.24</v>
      </c>
      <c r="H78" s="419">
        <v>12646</v>
      </c>
    </row>
    <row r="79" spans="1:8" s="407" customFormat="1" ht="15" customHeight="1">
      <c r="B79" s="412" t="s">
        <v>581</v>
      </c>
      <c r="C79" s="412" t="s">
        <v>175</v>
      </c>
      <c r="D79" s="412" t="s">
        <v>586</v>
      </c>
      <c r="E79" s="412" t="s">
        <v>374</v>
      </c>
      <c r="F79" s="412" t="s">
        <v>585</v>
      </c>
      <c r="G79" s="411">
        <v>28.94</v>
      </c>
      <c r="H79" s="419">
        <v>12647</v>
      </c>
    </row>
    <row r="80" spans="1:8" s="407" customFormat="1" ht="15" customHeight="1">
      <c r="B80" s="412" t="s">
        <v>581</v>
      </c>
      <c r="C80" s="412" t="s">
        <v>175</v>
      </c>
      <c r="D80" s="412" t="s">
        <v>584</v>
      </c>
      <c r="E80" s="412" t="s">
        <v>374</v>
      </c>
      <c r="F80" s="412" t="s">
        <v>583</v>
      </c>
      <c r="G80" s="411">
        <v>28.94</v>
      </c>
      <c r="H80" s="419">
        <v>12647</v>
      </c>
    </row>
    <row r="81" spans="1:8" s="407" customFormat="1" ht="15" customHeight="1">
      <c r="B81" s="412" t="s">
        <v>581</v>
      </c>
      <c r="C81" s="412" t="s">
        <v>175</v>
      </c>
      <c r="D81" s="412">
        <v>11063</v>
      </c>
      <c r="E81" s="412" t="s">
        <v>378</v>
      </c>
      <c r="F81" s="412" t="s">
        <v>582</v>
      </c>
      <c r="G81" s="411">
        <v>150</v>
      </c>
      <c r="H81" s="419">
        <v>12585</v>
      </c>
    </row>
    <row r="82" spans="1:8" s="407" customFormat="1" ht="15" customHeight="1">
      <c r="B82" s="412" t="s">
        <v>581</v>
      </c>
      <c r="C82" s="412" t="s">
        <v>175</v>
      </c>
      <c r="D82" s="412" t="s">
        <v>580</v>
      </c>
      <c r="E82" s="412" t="s">
        <v>458</v>
      </c>
      <c r="F82" s="412" t="s">
        <v>579</v>
      </c>
      <c r="G82" s="411">
        <v>43.2</v>
      </c>
      <c r="H82" s="419">
        <v>12648</v>
      </c>
    </row>
    <row r="83" spans="1:8" s="407" customFormat="1" ht="15" customHeight="1">
      <c r="B83" s="412" t="s">
        <v>578</v>
      </c>
      <c r="C83" s="412" t="s">
        <v>175</v>
      </c>
      <c r="D83" s="412" t="s">
        <v>577</v>
      </c>
      <c r="E83" s="412" t="s">
        <v>444</v>
      </c>
      <c r="F83" s="412" t="s">
        <v>576</v>
      </c>
      <c r="G83" s="411">
        <v>114.7</v>
      </c>
      <c r="H83" s="419">
        <v>12702</v>
      </c>
    </row>
    <row r="84" spans="1:8" s="407" customFormat="1" ht="15" customHeight="1">
      <c r="A84" s="410" t="s">
        <v>366</v>
      </c>
      <c r="G84" s="409">
        <v>396.02</v>
      </c>
      <c r="H84" s="419"/>
    </row>
    <row r="85" spans="1:8" s="407" customFormat="1" ht="15" customHeight="1">
      <c r="G85" s="409"/>
      <c r="H85" s="419"/>
    </row>
    <row r="86" spans="1:8" s="407" customFormat="1" ht="15" customHeight="1">
      <c r="A86" s="400" t="s">
        <v>401</v>
      </c>
      <c r="H86" s="419"/>
    </row>
    <row r="87" spans="1:8" s="407" customFormat="1" ht="15" customHeight="1">
      <c r="B87" s="412" t="s">
        <v>581</v>
      </c>
      <c r="C87" s="412" t="s">
        <v>175</v>
      </c>
      <c r="D87" s="412" t="s">
        <v>608</v>
      </c>
      <c r="E87" s="412" t="s">
        <v>398</v>
      </c>
      <c r="F87" s="412" t="s">
        <v>603</v>
      </c>
      <c r="G87" s="411">
        <v>712.92</v>
      </c>
      <c r="H87" s="419">
        <v>12813</v>
      </c>
    </row>
    <row r="88" spans="1:8" s="407" customFormat="1" ht="15" customHeight="1">
      <c r="B88" s="412" t="s">
        <v>581</v>
      </c>
      <c r="C88" s="412" t="s">
        <v>175</v>
      </c>
      <c r="D88" s="412" t="s">
        <v>609</v>
      </c>
      <c r="E88" s="412" t="s">
        <v>398</v>
      </c>
      <c r="F88" s="412" t="s">
        <v>603</v>
      </c>
      <c r="G88" s="411">
        <v>17.899999999999999</v>
      </c>
      <c r="H88" s="419">
        <v>12813</v>
      </c>
    </row>
    <row r="89" spans="1:8" s="407" customFormat="1" ht="15" customHeight="1">
      <c r="B89" s="412" t="s">
        <v>607</v>
      </c>
      <c r="C89" s="412" t="s">
        <v>175</v>
      </c>
      <c r="D89" s="412" t="s">
        <v>606</v>
      </c>
      <c r="E89" s="412" t="s">
        <v>398</v>
      </c>
      <c r="F89" s="412" t="s">
        <v>603</v>
      </c>
      <c r="G89" s="411">
        <v>31.96</v>
      </c>
      <c r="H89" s="419">
        <v>12813</v>
      </c>
    </row>
    <row r="90" spans="1:8" s="407" customFormat="1" ht="15" customHeight="1">
      <c r="B90" s="412" t="s">
        <v>605</v>
      </c>
      <c r="C90" s="412" t="s">
        <v>175</v>
      </c>
      <c r="D90" s="412" t="s">
        <v>604</v>
      </c>
      <c r="E90" s="412" t="s">
        <v>398</v>
      </c>
      <c r="F90" s="412" t="s">
        <v>603</v>
      </c>
      <c r="G90" s="411">
        <v>128.43</v>
      </c>
      <c r="H90" s="419">
        <v>12813</v>
      </c>
    </row>
    <row r="91" spans="1:8" s="407" customFormat="1" ht="15" customHeight="1">
      <c r="A91" s="410" t="s">
        <v>396</v>
      </c>
      <c r="G91" s="409">
        <f>SUM(G87:G90)</f>
        <v>891.21</v>
      </c>
      <c r="H91" s="419"/>
    </row>
    <row r="92" spans="1:8" s="407" customFormat="1" ht="15" customHeight="1">
      <c r="A92" s="410" t="s">
        <v>395</v>
      </c>
      <c r="H92" s="419"/>
    </row>
    <row r="93" spans="1:8" s="407" customFormat="1" ht="15" customHeight="1">
      <c r="B93" s="412" t="s">
        <v>590</v>
      </c>
      <c r="C93" s="412" t="s">
        <v>187</v>
      </c>
      <c r="D93" s="412">
        <v>55</v>
      </c>
      <c r="E93" s="412"/>
      <c r="F93" s="412" t="s">
        <v>213</v>
      </c>
      <c r="G93" s="411">
        <v>259</v>
      </c>
      <c r="H93" s="419"/>
    </row>
    <row r="94" spans="1:8" s="407" customFormat="1" ht="15" customHeight="1">
      <c r="A94" s="410" t="s">
        <v>394</v>
      </c>
      <c r="G94" s="409">
        <f>SUM(G93)</f>
        <v>259</v>
      </c>
      <c r="H94" s="419"/>
    </row>
    <row r="95" spans="1:8" s="407" customFormat="1" ht="15" customHeight="1">
      <c r="A95" s="400" t="s">
        <v>602</v>
      </c>
      <c r="G95" s="409">
        <f>+G94+G91</f>
        <v>1150.21</v>
      </c>
      <c r="H95" s="419"/>
    </row>
    <row r="96" spans="1:8" s="407" customFormat="1" ht="15" customHeight="1">
      <c r="H96" s="408"/>
    </row>
    <row r="97" spans="1:8" s="349" customFormat="1" ht="14.5">
      <c r="A97" s="364" t="s">
        <v>358</v>
      </c>
      <c r="G97" s="359"/>
      <c r="H97" s="206"/>
    </row>
    <row r="98" spans="1:8" s="407" customFormat="1" ht="15" customHeight="1">
      <c r="A98" s="410" t="s">
        <v>407</v>
      </c>
      <c r="H98" s="419"/>
    </row>
    <row r="99" spans="1:8" s="407" customFormat="1" ht="15" customHeight="1">
      <c r="A99" s="410" t="s">
        <v>215</v>
      </c>
      <c r="H99" s="419"/>
    </row>
    <row r="100" spans="1:8" s="407" customFormat="1" ht="15" customHeight="1">
      <c r="B100" s="412" t="s">
        <v>590</v>
      </c>
      <c r="C100" s="412" t="s">
        <v>187</v>
      </c>
      <c r="D100" s="412">
        <v>41</v>
      </c>
      <c r="E100" s="412"/>
      <c r="F100" s="412" t="s">
        <v>214</v>
      </c>
      <c r="G100" s="411">
        <v>597</v>
      </c>
      <c r="H100" s="419"/>
    </row>
    <row r="101" spans="1:8" s="407" customFormat="1" ht="15" customHeight="1">
      <c r="A101" s="410" t="s">
        <v>619</v>
      </c>
      <c r="G101" s="409">
        <f>SUM(G100:G100)</f>
        <v>597</v>
      </c>
      <c r="H101" s="419"/>
    </row>
    <row r="102" spans="1:8" s="407" customFormat="1" ht="15" customHeight="1">
      <c r="A102" s="410" t="s">
        <v>610</v>
      </c>
      <c r="G102" s="409">
        <f>+G101</f>
        <v>597</v>
      </c>
      <c r="H102" s="419"/>
    </row>
    <row r="103" spans="1:8" s="407" customFormat="1" ht="15" customHeight="1">
      <c r="A103" s="410"/>
      <c r="H103" s="419"/>
    </row>
    <row r="104" spans="1:8" s="407" customFormat="1" ht="15" customHeight="1">
      <c r="A104" s="410" t="s">
        <v>620</v>
      </c>
      <c r="H104" s="419"/>
    </row>
    <row r="105" spans="1:8" s="407" customFormat="1" ht="15" customHeight="1">
      <c r="A105" s="410" t="s">
        <v>621</v>
      </c>
      <c r="H105" s="419"/>
    </row>
    <row r="106" spans="1:8" s="407" customFormat="1" ht="15" customHeight="1">
      <c r="B106" s="412" t="s">
        <v>590</v>
      </c>
      <c r="C106" s="412" t="s">
        <v>187</v>
      </c>
      <c r="D106" s="412">
        <v>41</v>
      </c>
      <c r="E106" s="412"/>
      <c r="F106" s="412" t="s">
        <v>618</v>
      </c>
      <c r="G106" s="411">
        <v>770</v>
      </c>
      <c r="H106" s="419"/>
    </row>
    <row r="107" spans="1:8" s="407" customFormat="1" ht="15" customHeight="1">
      <c r="A107" s="410" t="s">
        <v>622</v>
      </c>
      <c r="G107" s="409">
        <f>SUM(G106:G106)</f>
        <v>770</v>
      </c>
      <c r="H107" s="419"/>
    </row>
    <row r="108" spans="1:8" s="407" customFormat="1" ht="15" customHeight="1">
      <c r="A108" s="410"/>
      <c r="G108" s="428"/>
      <c r="H108" s="419"/>
    </row>
    <row r="109" spans="1:8" s="349" customFormat="1" ht="14.5">
      <c r="A109" s="364" t="s">
        <v>330</v>
      </c>
      <c r="G109" s="359"/>
      <c r="H109" s="206"/>
    </row>
    <row r="110" spans="1:8" s="407" customFormat="1" ht="15" customHeight="1">
      <c r="A110" s="410" t="s">
        <v>201</v>
      </c>
      <c r="H110" s="419"/>
    </row>
    <row r="111" spans="1:8" s="407" customFormat="1" ht="15" customHeight="1">
      <c r="B111" s="412" t="s">
        <v>581</v>
      </c>
      <c r="C111" s="412" t="s">
        <v>175</v>
      </c>
      <c r="D111" s="412" t="s">
        <v>596</v>
      </c>
      <c r="E111" s="412" t="s">
        <v>182</v>
      </c>
      <c r="F111" s="412" t="s">
        <v>595</v>
      </c>
      <c r="G111" s="411">
        <v>648</v>
      </c>
      <c r="H111" s="419">
        <v>12642</v>
      </c>
    </row>
    <row r="112" spans="1:8" s="407" customFormat="1" ht="15" customHeight="1">
      <c r="A112" s="274" t="s">
        <v>345</v>
      </c>
      <c r="G112" s="409">
        <v>648</v>
      </c>
      <c r="H112" s="419"/>
    </row>
    <row r="113" spans="1:8" s="407" customFormat="1" ht="15" customHeight="1">
      <c r="A113" s="410" t="s">
        <v>198</v>
      </c>
      <c r="H113" s="419"/>
    </row>
    <row r="114" spans="1:8" s="407" customFormat="1" ht="15" customHeight="1">
      <c r="A114" s="410" t="s">
        <v>197</v>
      </c>
      <c r="H114" s="419"/>
    </row>
    <row r="115" spans="1:8" s="407" customFormat="1" ht="15" customHeight="1">
      <c r="B115" s="412" t="s">
        <v>590</v>
      </c>
      <c r="C115" s="412" t="s">
        <v>187</v>
      </c>
      <c r="D115" s="412">
        <v>40</v>
      </c>
      <c r="E115" s="412"/>
      <c r="F115" s="412" t="s">
        <v>196</v>
      </c>
      <c r="G115" s="411">
        <v>162</v>
      </c>
      <c r="H115" s="419"/>
    </row>
    <row r="116" spans="1:8" s="407" customFormat="1" ht="15" customHeight="1">
      <c r="A116" s="410" t="s">
        <v>195</v>
      </c>
      <c r="G116" s="409">
        <v>162</v>
      </c>
      <c r="H116" s="419"/>
    </row>
    <row r="117" spans="1:8" s="407" customFormat="1" ht="15" customHeight="1">
      <c r="A117" s="410" t="s">
        <v>469</v>
      </c>
      <c r="G117" s="409">
        <v>162</v>
      </c>
      <c r="H117" s="419"/>
    </row>
    <row r="118" spans="1:8" s="407" customFormat="1" ht="15" customHeight="1">
      <c r="A118" s="410" t="s">
        <v>192</v>
      </c>
      <c r="H118" s="419"/>
    </row>
    <row r="119" spans="1:8" s="407" customFormat="1" ht="15" customHeight="1">
      <c r="A119" s="410" t="s">
        <v>467</v>
      </c>
      <c r="H119" s="419"/>
    </row>
    <row r="120" spans="1:8" s="407" customFormat="1" ht="15" customHeight="1">
      <c r="B120" s="412" t="s">
        <v>590</v>
      </c>
      <c r="C120" s="412" t="s">
        <v>187</v>
      </c>
      <c r="D120" s="412">
        <v>46</v>
      </c>
      <c r="E120" s="412"/>
      <c r="F120" s="412" t="s">
        <v>191</v>
      </c>
      <c r="G120" s="411">
        <v>98</v>
      </c>
      <c r="H120" s="419"/>
    </row>
    <row r="121" spans="1:8" s="407" customFormat="1" ht="15" customHeight="1">
      <c r="A121" s="410" t="s">
        <v>466</v>
      </c>
      <c r="G121" s="409">
        <v>98</v>
      </c>
      <c r="H121" s="419"/>
    </row>
    <row r="122" spans="1:8" s="407" customFormat="1" ht="15" customHeight="1">
      <c r="G122" s="409"/>
      <c r="H122" s="419"/>
    </row>
    <row r="123" spans="1:8" s="407" customFormat="1" ht="15" customHeight="1">
      <c r="A123" s="410" t="s">
        <v>594</v>
      </c>
      <c r="H123" s="419"/>
    </row>
    <row r="124" spans="1:8" s="407" customFormat="1" ht="15" customHeight="1">
      <c r="A124" s="410" t="s">
        <v>593</v>
      </c>
      <c r="H124" s="419"/>
    </row>
    <row r="125" spans="1:8" s="431" customFormat="1" ht="15" customHeight="1">
      <c r="B125" s="412" t="s">
        <v>590</v>
      </c>
      <c r="C125" s="412" t="s">
        <v>187</v>
      </c>
      <c r="D125" s="412">
        <v>48</v>
      </c>
      <c r="E125" s="412"/>
      <c r="F125" s="412" t="s">
        <v>592</v>
      </c>
      <c r="G125" s="411">
        <v>279</v>
      </c>
      <c r="H125" s="419"/>
    </row>
    <row r="126" spans="1:8" s="431" customFormat="1" ht="15" customHeight="1">
      <c r="A126" s="410" t="s">
        <v>591</v>
      </c>
      <c r="G126" s="409">
        <v>279</v>
      </c>
      <c r="H126" s="419"/>
    </row>
    <row r="127" spans="1:8" s="431" customFormat="1" ht="15" customHeight="1">
      <c r="A127" s="410"/>
      <c r="G127" s="409"/>
      <c r="H127" s="419"/>
    </row>
    <row r="128" spans="1:8" s="274" customFormat="1" ht="11.5">
      <c r="A128" s="274" t="s">
        <v>344</v>
      </c>
      <c r="G128" s="429">
        <f>+G116+G121+G126</f>
        <v>539</v>
      </c>
      <c r="H128" s="423"/>
    </row>
    <row r="129" spans="1:8" s="432" customFormat="1" ht="11.5">
      <c r="A129" s="420"/>
      <c r="G129" s="430"/>
      <c r="H129" s="423"/>
    </row>
    <row r="130" spans="1:8" s="433" customFormat="1" ht="11.5">
      <c r="A130" s="274" t="s">
        <v>354</v>
      </c>
      <c r="G130" s="429">
        <f>+G112+G128</f>
        <v>1187</v>
      </c>
      <c r="H130" s="423"/>
    </row>
    <row r="131" spans="1:8" s="433" customFormat="1" ht="11.5">
      <c r="A131" s="274"/>
      <c r="G131" s="430"/>
      <c r="H131" s="423"/>
    </row>
    <row r="132" spans="1:8" s="407" customFormat="1" ht="15" customHeight="1">
      <c r="A132" s="274" t="s">
        <v>508</v>
      </c>
      <c r="H132" s="419"/>
    </row>
    <row r="133" spans="1:8" s="407" customFormat="1" ht="15" customHeight="1">
      <c r="A133" s="410" t="s">
        <v>194</v>
      </c>
      <c r="H133" s="419"/>
    </row>
    <row r="134" spans="1:8" s="407" customFormat="1" ht="15" customHeight="1">
      <c r="B134" s="412" t="s">
        <v>590</v>
      </c>
      <c r="C134" s="412" t="s">
        <v>187</v>
      </c>
      <c r="D134" s="412">
        <v>50</v>
      </c>
      <c r="E134" s="412"/>
      <c r="F134" s="412" t="s">
        <v>193</v>
      </c>
      <c r="G134" s="411">
        <v>338</v>
      </c>
      <c r="H134" s="419"/>
    </row>
    <row r="135" spans="1:8" s="407" customFormat="1" ht="15" customHeight="1">
      <c r="A135" s="410" t="s">
        <v>468</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335</v>
      </c>
      <c r="H142" s="419"/>
    </row>
    <row r="143" spans="1:8" s="407" customFormat="1" ht="15" customHeight="1">
      <c r="A143" s="410" t="s">
        <v>408</v>
      </c>
      <c r="H143" s="419"/>
    </row>
    <row r="144" spans="1:8" s="407" customFormat="1" ht="15" customHeight="1">
      <c r="B144" s="412" t="s">
        <v>590</v>
      </c>
      <c r="C144" s="412" t="s">
        <v>187</v>
      </c>
      <c r="D144" s="412">
        <v>51</v>
      </c>
      <c r="E144" s="412"/>
      <c r="F144" s="412" t="s">
        <v>217</v>
      </c>
      <c r="G144" s="411">
        <v>386</v>
      </c>
      <c r="H144" s="419"/>
    </row>
    <row r="145" spans="1:8" s="407" customFormat="1" ht="15" customHeight="1">
      <c r="A145" s="410" t="s">
        <v>216</v>
      </c>
      <c r="G145" s="409">
        <f>SUM(G144)</f>
        <v>386</v>
      </c>
      <c r="H145" s="419"/>
    </row>
    <row r="146" spans="1:8" s="407" customFormat="1" ht="15" customHeight="1">
      <c r="A146" s="410" t="s">
        <v>204</v>
      </c>
      <c r="H146" s="419"/>
    </row>
    <row r="147" spans="1:8" s="407" customFormat="1" ht="15" customHeight="1">
      <c r="B147" s="412" t="s">
        <v>590</v>
      </c>
      <c r="C147" s="412" t="s">
        <v>187</v>
      </c>
      <c r="D147" s="412">
        <v>42</v>
      </c>
      <c r="E147" s="412"/>
      <c r="F147" s="412" t="s">
        <v>203</v>
      </c>
      <c r="G147" s="411">
        <v>40</v>
      </c>
      <c r="H147" s="419"/>
    </row>
    <row r="148" spans="1:8" s="407" customFormat="1" ht="15" customHeight="1">
      <c r="A148" s="410" t="s">
        <v>202</v>
      </c>
      <c r="G148" s="409">
        <f>SUM(G147)</f>
        <v>40</v>
      </c>
      <c r="H148" s="419"/>
    </row>
    <row r="149" spans="1:8" s="407" customFormat="1" ht="15" customHeight="1">
      <c r="A149" s="410" t="s">
        <v>623</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339</v>
      </c>
      <c r="H152" s="419"/>
    </row>
    <row r="153" spans="1:8" s="407" customFormat="1" ht="15" customHeight="1">
      <c r="A153" s="410" t="s">
        <v>210</v>
      </c>
      <c r="H153" s="419"/>
    </row>
    <row r="154" spans="1:8" s="407" customFormat="1" ht="15" customHeight="1">
      <c r="B154" s="412" t="s">
        <v>601</v>
      </c>
      <c r="C154" s="412" t="s">
        <v>175</v>
      </c>
      <c r="D154" s="412" t="s">
        <v>600</v>
      </c>
      <c r="E154" s="412" t="s">
        <v>434</v>
      </c>
      <c r="F154" s="412" t="s">
        <v>542</v>
      </c>
      <c r="G154" s="411">
        <v>116.16</v>
      </c>
      <c r="H154" s="419">
        <v>12816</v>
      </c>
    </row>
    <row r="155" spans="1:8" s="407" customFormat="1" ht="15" customHeight="1">
      <c r="A155" s="410" t="s">
        <v>208</v>
      </c>
      <c r="G155" s="409">
        <f>SUM(G154)</f>
        <v>116.16</v>
      </c>
      <c r="H155" s="419"/>
    </row>
    <row r="156" spans="1:8" s="407" customFormat="1" ht="15" customHeight="1">
      <c r="A156" s="410" t="s">
        <v>541</v>
      </c>
      <c r="H156" s="419"/>
    </row>
    <row r="157" spans="1:8" s="407" customFormat="1" ht="15" customHeight="1">
      <c r="B157" s="412" t="s">
        <v>599</v>
      </c>
      <c r="C157" s="412" t="s">
        <v>534</v>
      </c>
      <c r="D157" s="412" t="s">
        <v>598</v>
      </c>
      <c r="E157" s="412" t="s">
        <v>538</v>
      </c>
      <c r="F157" s="412" t="s">
        <v>597</v>
      </c>
      <c r="G157" s="411">
        <v>50.85</v>
      </c>
      <c r="H157" s="419" t="s">
        <v>562</v>
      </c>
    </row>
    <row r="158" spans="1:8" s="407" customFormat="1" ht="15" customHeight="1">
      <c r="A158" s="410" t="s">
        <v>536</v>
      </c>
      <c r="G158" s="409">
        <f>SUM(G157)</f>
        <v>50.85</v>
      </c>
      <c r="H158" s="419"/>
    </row>
    <row r="159" spans="1:8" s="407" customFormat="1" ht="15" customHeight="1">
      <c r="A159" s="410" t="s">
        <v>207</v>
      </c>
      <c r="H159" s="419"/>
    </row>
    <row r="160" spans="1:8" s="407" customFormat="1" ht="15" customHeight="1">
      <c r="B160" s="412" t="s">
        <v>590</v>
      </c>
      <c r="C160" s="412" t="s">
        <v>187</v>
      </c>
      <c r="D160" s="412">
        <v>43</v>
      </c>
      <c r="E160" s="412"/>
      <c r="F160" s="412" t="s">
        <v>206</v>
      </c>
      <c r="G160" s="411">
        <v>94</v>
      </c>
      <c r="H160" s="419"/>
    </row>
    <row r="161" spans="1:8" s="407" customFormat="1" ht="15" customHeight="1">
      <c r="A161" s="410" t="s">
        <v>205</v>
      </c>
      <c r="G161" s="409">
        <f>SUM(G160)</f>
        <v>94</v>
      </c>
      <c r="H161" s="419"/>
    </row>
    <row r="162" spans="1:8" s="407" customFormat="1" ht="15" customHeight="1">
      <c r="A162" s="400" t="s">
        <v>624</v>
      </c>
      <c r="G162" s="409">
        <f>+G155+G158+G161</f>
        <v>261.01</v>
      </c>
      <c r="H162" s="419"/>
    </row>
    <row r="163" spans="1:8" s="349" customFormat="1" ht="14.5">
      <c r="A163" s="364"/>
      <c r="G163" s="359"/>
      <c r="H163" s="206"/>
    </row>
    <row r="164" spans="1:8" s="407" customFormat="1" ht="15" customHeight="1">
      <c r="A164" s="400" t="s">
        <v>189</v>
      </c>
      <c r="H164" s="419"/>
    </row>
    <row r="165" spans="1:8" s="407" customFormat="1" ht="15" customHeight="1">
      <c r="A165" s="410" t="s">
        <v>382</v>
      </c>
      <c r="H165" s="419"/>
    </row>
    <row r="166" spans="1:8" s="407" customFormat="1" ht="15" customHeight="1">
      <c r="B166" s="412" t="s">
        <v>590</v>
      </c>
      <c r="C166" s="412" t="s">
        <v>187</v>
      </c>
      <c r="D166" s="412">
        <v>52</v>
      </c>
      <c r="E166" s="412"/>
      <c r="F166" s="412" t="s">
        <v>186</v>
      </c>
      <c r="G166" s="411">
        <v>597</v>
      </c>
      <c r="H166" s="419"/>
    </row>
    <row r="167" spans="1:8" s="407" customFormat="1" ht="15" customHeight="1">
      <c r="A167" s="410" t="s">
        <v>589</v>
      </c>
      <c r="G167" s="409">
        <v>597</v>
      </c>
      <c r="H167" s="419"/>
    </row>
    <row r="168" spans="1:8" s="407" customFormat="1" ht="15" customHeight="1">
      <c r="A168" s="410"/>
      <c r="G168" s="409"/>
      <c r="H168" s="419"/>
    </row>
    <row r="169" spans="1:8" s="349" customFormat="1" ht="14.5">
      <c r="A169" s="351" t="s">
        <v>350</v>
      </c>
      <c r="G169" s="359"/>
      <c r="H169" s="206"/>
    </row>
    <row r="170" spans="1:8" s="349" customFormat="1" ht="14.5">
      <c r="B170" s="389">
        <v>43799</v>
      </c>
      <c r="C170" s="305" t="s">
        <v>187</v>
      </c>
      <c r="D170" s="305" t="s">
        <v>517</v>
      </c>
      <c r="E170" s="305"/>
      <c r="F170" s="305" t="s">
        <v>625</v>
      </c>
      <c r="G170" s="371">
        <v>15219.79</v>
      </c>
      <c r="H170" s="206"/>
    </row>
    <row r="171" spans="1:8" s="349" customFormat="1" ht="14.5">
      <c r="A171" s="351" t="s">
        <v>347</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39" t="s">
        <v>575</v>
      </c>
      <c r="B175" s="539"/>
      <c r="C175" s="539"/>
      <c r="D175" s="539"/>
      <c r="E175" s="539"/>
      <c r="F175" s="539"/>
      <c r="G175" s="539"/>
      <c r="H175" s="539"/>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
  <sheetViews>
    <sheetView workbookViewId="0">
      <selection activeCell="N43" sqref="N43"/>
    </sheetView>
  </sheetViews>
  <sheetFormatPr defaultRowHeight="14.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132</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pageSetUpPr fitToPage="1"/>
  </sheetPr>
  <dimension ref="A1:J95"/>
  <sheetViews>
    <sheetView topLeftCell="A30" zoomScaleNormal="100" zoomScaleSheetLayoutView="70" workbookViewId="0">
      <selection activeCell="E41" sqref="E41:E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47">
        <v>43800</v>
      </c>
      <c r="H1" s="448"/>
      <c r="I1" s="106" t="s">
        <v>49</v>
      </c>
    </row>
    <row r="2" spans="1:9" ht="21">
      <c r="A2" s="37" t="s">
        <v>153</v>
      </c>
      <c r="B2" s="35"/>
      <c r="C2" s="35"/>
      <c r="D2" s="36"/>
      <c r="E2" s="36" t="s">
        <v>53</v>
      </c>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E6+'Nov-2019'!F6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E7+'Nov-2019'!F7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E8+'Nov-2019'!F8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E9+'Nov-2019'!F9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E10+'Nov-2019'!F10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E11+'Nov-2019'!F11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E12+'Nov-2019'!F12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E18+'Nov-2019'!F18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E23+'Nov-2019'!F23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E24+'Nov-2019'!F24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c r="C26" s="140"/>
      <c r="D26" s="141"/>
      <c r="E26" s="142">
        <f t="shared" si="7"/>
        <v>0</v>
      </c>
      <c r="F26" s="143">
        <f>E26+'Nov-2019'!F26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E27+'Nov-2019'!F27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c r="C30" s="140"/>
      <c r="D30" s="141"/>
      <c r="E30" s="142">
        <f t="shared" si="7"/>
        <v>0</v>
      </c>
      <c r="F30" s="143">
        <f>E30+'Nov-2019'!F30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E31+'Nov-2019'!F31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c r="C33" s="140"/>
      <c r="D33" s="141"/>
      <c r="E33" s="142">
        <f t="shared" si="7"/>
        <v>0</v>
      </c>
      <c r="F33" s="143">
        <f>E33+'Nov-2019'!F33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E34+'Nov-2019'!F34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E35+'Nov-2019'!F35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E36+'Nov-2019'!F36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E41+'Nov-2019'!F41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+E42+'Nov-2019'!F42</f>
        <v>2160.63</v>
      </c>
      <c r="G42" s="144"/>
      <c r="H42" s="144"/>
      <c r="I42" s="108" t="e">
        <f t="shared" si="13"/>
        <v>#DIV/0!</v>
      </c>
    </row>
    <row r="43" spans="1:10" s="168" customFormat="1" ht="21.75" customHeight="1">
      <c r="A43" s="138" t="s">
        <v>81</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E44+'Nov-2019'!F44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E45+'Nov-2019'!F45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E46+'Nov-2019'!F46</f>
        <v>0</v>
      </c>
      <c r="G46" s="144">
        <v>8500</v>
      </c>
      <c r="H46" s="144">
        <f t="shared" si="15"/>
        <v>8500</v>
      </c>
      <c r="I46" s="108">
        <f t="shared" si="13"/>
        <v>0</v>
      </c>
    </row>
    <row r="47" spans="1:10" s="168" customFormat="1" ht="21.75" customHeight="1">
      <c r="A47" s="138" t="s">
        <v>169</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E54+'Nov-2019'!F54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133</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J95"/>
  <sheetViews>
    <sheetView topLeftCell="A30" zoomScaleNormal="100" zoomScaleSheetLayoutView="70" workbookViewId="0">
      <selection activeCell="E42" sqref="E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47">
        <v>43831</v>
      </c>
      <c r="H1" s="448"/>
      <c r="I1" s="106" t="s">
        <v>49</v>
      </c>
    </row>
    <row r="2" spans="1:9" ht="21">
      <c r="A2" s="37" t="s">
        <v>153</v>
      </c>
      <c r="B2" s="35"/>
      <c r="C2" s="35"/>
      <c r="D2" s="36"/>
      <c r="E2" s="36" t="s">
        <v>54</v>
      </c>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E6+'Dec-2019'!F6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E7+'Dec-2019'!F7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E8+'Dec-2019'!F8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E9+'Dec-2019'!F9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E10+'Dec-2019'!F10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E11+'Dec-2019'!F11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E12+'Dec-2019'!F12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E18+'Dec-2019'!F18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E23+'Dec-2019'!F23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E24+'Dec-2019'!F24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c r="C26" s="140"/>
      <c r="D26" s="141"/>
      <c r="E26" s="142">
        <f t="shared" si="7"/>
        <v>0</v>
      </c>
      <c r="F26" s="143">
        <f>E26+'Dec-2019'!F26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E27+'Dec-2019'!F27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c r="C30" s="140"/>
      <c r="D30" s="141"/>
      <c r="E30" s="142">
        <f t="shared" si="7"/>
        <v>0</v>
      </c>
      <c r="F30" s="143">
        <f>E30+'Dec-2019'!F30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E31+'Dec-2019'!F31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c r="C33" s="140"/>
      <c r="D33" s="141"/>
      <c r="E33" s="142">
        <f t="shared" si="7"/>
        <v>0</v>
      </c>
      <c r="F33" s="143">
        <f>E33+'Dec-2019'!F33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E34+'Dec-2019'!F34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E35+'Dec-2019'!F35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E36+'Dec-2019'!F36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E41+'Dec-2019'!F41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+E42+'Dec-2019'!F42</f>
        <v>2160.63</v>
      </c>
      <c r="G42" s="144"/>
      <c r="H42" s="144"/>
      <c r="I42" s="108" t="e">
        <f t="shared" si="13"/>
        <v>#DIV/0!</v>
      </c>
    </row>
    <row r="43" spans="1:10" s="168" customFormat="1" ht="21.75" customHeight="1">
      <c r="A43" s="138" t="s">
        <v>81</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E44+'Dec-2019'!F44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E45+'Dec-2019'!F45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E46+'Dec-2019'!F46</f>
        <v>0</v>
      </c>
      <c r="G46" s="144">
        <v>8500</v>
      </c>
      <c r="H46" s="144">
        <f t="shared" si="15"/>
        <v>8500</v>
      </c>
      <c r="I46" s="108">
        <f t="shared" si="13"/>
        <v>0</v>
      </c>
    </row>
    <row r="47" spans="1:10" s="168" customFormat="1" ht="21.75" customHeight="1">
      <c r="A47" s="138" t="s">
        <v>169</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E54+'Dec-2019'!F54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O49"/>
  <sheetViews>
    <sheetView topLeftCell="A10" workbookViewId="0">
      <selection activeCell="A15" sqref="A15:L15"/>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134</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pageSetUpPr fitToPage="1"/>
  </sheetPr>
  <dimension ref="A1:J95"/>
  <sheetViews>
    <sheetView topLeftCell="A25"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54" t="s">
        <v>55</v>
      </c>
      <c r="F1" s="104"/>
      <c r="G1" s="447">
        <v>43862</v>
      </c>
      <c r="H1" s="448"/>
      <c r="I1" s="106" t="s">
        <v>49</v>
      </c>
    </row>
    <row r="2" spans="1:9" ht="21">
      <c r="A2" s="37" t="s">
        <v>153</v>
      </c>
      <c r="B2" s="35"/>
      <c r="C2" s="35"/>
      <c r="D2" s="36"/>
      <c r="E2" s="455"/>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E6+'Jan-2020'!F6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E7+'Jan-2020'!F7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E8+'Jan-2020'!F8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E9+'Jan-2020'!F9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E10+'Jan-2020'!F10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E11+'Jan-2020'!F11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E12+'Jan-2020'!F12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E18+'Jan-2020'!F18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E23+'Jan-2020'!F23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E24+'Jan-2020'!F24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E26+'Jan-2020'!F26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E27+'Jan-2020'!F27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E30+'Jan-2020'!F30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E31+'Jan-2020'!F31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c r="C33" s="140"/>
      <c r="D33" s="141"/>
      <c r="E33" s="142">
        <f t="shared" si="7"/>
        <v>0</v>
      </c>
      <c r="F33" s="143">
        <f>E33+'Jan-2020'!F33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E34+'Jan-2020'!F34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E35+'Jan-2020'!F35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E36+'Jan-2020'!F36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E41+'Jan-2020'!F41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+E42+'Jan-2020'!F42</f>
        <v>2160.63</v>
      </c>
      <c r="G42" s="144"/>
      <c r="H42" s="144"/>
      <c r="I42" s="108" t="e">
        <f t="shared" si="13"/>
        <v>#DIV/0!</v>
      </c>
    </row>
    <row r="43" spans="1:10" s="168" customFormat="1" ht="21.75" customHeight="1">
      <c r="A43" s="138" t="s">
        <v>81</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E44+'Jan-2020'!F44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E45+'Jan-2020'!F45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E46+'Jan-2020'!F46</f>
        <v>0</v>
      </c>
      <c r="G46" s="144">
        <v>8500</v>
      </c>
      <c r="H46" s="144">
        <f t="shared" si="15"/>
        <v>8500</v>
      </c>
      <c r="I46" s="108">
        <f t="shared" si="13"/>
        <v>0</v>
      </c>
    </row>
    <row r="47" spans="1:10" s="168" customFormat="1" ht="21.75" customHeight="1">
      <c r="A47" s="138" t="s">
        <v>169</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E54+'Jan-2020'!F54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135</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J95"/>
  <sheetViews>
    <sheetView topLeftCell="A30"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54" t="s">
        <v>56</v>
      </c>
      <c r="F1" s="104"/>
      <c r="G1" s="447">
        <v>43891</v>
      </c>
      <c r="H1" s="448"/>
      <c r="I1" s="106" t="s">
        <v>49</v>
      </c>
    </row>
    <row r="2" spans="1:9" ht="21">
      <c r="A2" s="37" t="s">
        <v>153</v>
      </c>
      <c r="B2" s="35"/>
      <c r="C2" s="35"/>
      <c r="D2" s="36"/>
      <c r="E2" s="455"/>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E6+'Feb-2020'!F6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E7+'Feb-2020'!F7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E8+'Feb-2020'!F8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E9+'Feb-2020'!F9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E10+'Feb-2020'!F10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E11+'Feb-2020'!F11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E12+'Feb-2020'!F12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E23+'Feb-2020'!F23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E24+'Feb-2020'!F24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E27+'Feb-2020'!F27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E31+'Feb-2020'!F31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E34+'Feb-2020'!F34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E35+'Feb-2020'!F35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E36+'Feb-2020'!F36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E41+'Feb-2020'!F41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+E42+'Feb-2020'!F42</f>
        <v>2160.63</v>
      </c>
      <c r="G42" s="144"/>
      <c r="H42" s="144"/>
      <c r="I42" s="108" t="e">
        <f t="shared" si="13"/>
        <v>#DIV/0!</v>
      </c>
    </row>
    <row r="43" spans="1:10" s="168" customFormat="1" ht="21.75" customHeight="1">
      <c r="A43" s="138" t="s">
        <v>81</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E44+'Feb-2020'!F44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E45+'Feb-2020'!F45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E46+'Feb-2020'!F46</f>
        <v>0</v>
      </c>
      <c r="G46" s="144">
        <v>8500</v>
      </c>
      <c r="H46" s="144">
        <f t="shared" si="15"/>
        <v>8500</v>
      </c>
      <c r="I46" s="108">
        <f t="shared" si="13"/>
        <v>0</v>
      </c>
    </row>
    <row r="47" spans="1:10" s="168" customFormat="1" ht="21.75" customHeight="1">
      <c r="A47" s="138" t="s">
        <v>169</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136</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J95"/>
  <sheetViews>
    <sheetView topLeftCell="A34"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54" t="s">
        <v>57</v>
      </c>
      <c r="F1" s="104"/>
      <c r="G1" s="447">
        <v>43922</v>
      </c>
      <c r="H1" s="448"/>
      <c r="I1" s="106" t="s">
        <v>49</v>
      </c>
    </row>
    <row r="2" spans="1:9" ht="21">
      <c r="A2" s="37" t="s">
        <v>153</v>
      </c>
      <c r="B2" s="35"/>
      <c r="C2" s="35"/>
      <c r="D2" s="36"/>
      <c r="E2" s="455"/>
      <c r="F2" s="65"/>
      <c r="G2" s="449"/>
      <c r="H2" s="449"/>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E6+'Mar-2020'!F6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E7+'Mar-2020'!F7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E8+'Mar-2020'!F8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E9+'Mar-2020'!F9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E10+'Mar-2020'!F10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E11+'Mar-2020'!F11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E12+'Mar-2020'!F12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E23+'Mar-2020'!F23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E24+'Mar-2020'!F24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E27+'Mar-2020'!F27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E31+'Mar-2020'!F31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E34+'Mar-2020'!F34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E35+'Mar-2020'!F35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E36+'Mar-2020'!F36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E41+'Mar-2020'!F41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 t="shared" ref="E42:E43" si="14">SUM(B42:D42)</f>
        <v>0</v>
      </c>
      <c r="F42" s="143">
        <f>+E42+'Mar-2020'!F42</f>
        <v>2160.63</v>
      </c>
      <c r="G42" s="144"/>
      <c r="H42" s="144"/>
      <c r="I42" s="108" t="e">
        <f t="shared" si="13"/>
        <v>#DIV/0!</v>
      </c>
    </row>
    <row r="43" spans="1:10" s="168" customFormat="1" ht="21.75" customHeight="1">
      <c r="A43" s="138" t="s">
        <v>81</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79</v>
      </c>
      <c r="B44" s="139"/>
      <c r="C44" s="170"/>
      <c r="D44" s="170"/>
      <c r="E44" s="171">
        <f t="shared" ref="E44:E47" si="16">SUM(B44:D44)</f>
        <v>0</v>
      </c>
      <c r="F44" s="143">
        <f>E44+'Mar-2020'!F44</f>
        <v>30943.38</v>
      </c>
      <c r="G44" s="144">
        <v>111141.44</v>
      </c>
      <c r="H44" s="144">
        <f t="shared" si="15"/>
        <v>80198.06</v>
      </c>
      <c r="I44" s="108">
        <f t="shared" si="13"/>
        <v>0.27841442399882527</v>
      </c>
    </row>
    <row r="45" spans="1:10" s="168" customFormat="1" ht="21.75" customHeight="1">
      <c r="A45" s="138" t="s">
        <v>29</v>
      </c>
      <c r="B45" s="139"/>
      <c r="C45" s="140"/>
      <c r="D45" s="140"/>
      <c r="E45" s="172">
        <f t="shared" si="16"/>
        <v>0</v>
      </c>
      <c r="F45" s="143">
        <f>E45+'Mar-2020'!F45</f>
        <v>12850.48</v>
      </c>
      <c r="G45" s="144">
        <v>22373.57</v>
      </c>
      <c r="H45" s="144">
        <f t="shared" si="15"/>
        <v>9523.09</v>
      </c>
      <c r="I45" s="108">
        <f t="shared" si="13"/>
        <v>0.57435983618170905</v>
      </c>
    </row>
    <row r="46" spans="1:10" s="168" customFormat="1" ht="21.75" customHeight="1">
      <c r="A46" s="138" t="s">
        <v>80</v>
      </c>
      <c r="B46" s="139"/>
      <c r="C46" s="140"/>
      <c r="D46" s="140"/>
      <c r="E46" s="172">
        <f t="shared" si="16"/>
        <v>0</v>
      </c>
      <c r="F46" s="143">
        <f>E46+'Mar-2020'!F46</f>
        <v>0</v>
      </c>
      <c r="G46" s="144">
        <v>8500</v>
      </c>
      <c r="H46" s="144">
        <f t="shared" si="15"/>
        <v>8500</v>
      </c>
      <c r="I46" s="108">
        <f t="shared" si="13"/>
        <v>0</v>
      </c>
    </row>
    <row r="47" spans="1:10" s="168" customFormat="1" ht="21.75" customHeight="1">
      <c r="A47" s="138" t="s">
        <v>169</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480214.86</v>
      </c>
      <c r="G48" s="75">
        <f>SUM(G41:G47)</f>
        <v>1637294.25</v>
      </c>
      <c r="H48" s="75">
        <f t="shared" ref="H48" si="18">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643099.63153087802</v>
      </c>
      <c r="G56" s="77">
        <f t="shared" si="19"/>
        <v>2256075.86</v>
      </c>
      <c r="H56" s="77">
        <f t="shared" si="19"/>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136</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542" t="s">
        <v>58</v>
      </c>
      <c r="F1" s="104"/>
      <c r="G1" s="499">
        <v>43952</v>
      </c>
      <c r="H1" s="500"/>
      <c r="I1" s="106" t="s">
        <v>49</v>
      </c>
    </row>
    <row r="2" spans="1:9" ht="21">
      <c r="A2" s="37" t="s">
        <v>153</v>
      </c>
      <c r="B2" s="35"/>
      <c r="C2" s="35"/>
      <c r="D2" s="36"/>
      <c r="E2" s="543"/>
      <c r="F2" s="65"/>
      <c r="G2" s="501"/>
      <c r="H2" s="50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E6+'Apr-2020'!F6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E7+'Apr-2020'!F7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E8+'Apr-2020'!F8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E9+'Apr-2020'!F9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E10+'Apr-2020'!F10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E11+'Apr-2020'!F11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E12+'Apr-2020'!F12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E23+'Apr-2020'!F23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E24+'Apr-2020'!F24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E27+'Apr-2020'!F27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E31+'Apr-2020'!F31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E34+'Apr-2020'!F34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E35+'Apr-2020'!F35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E36+'Apr-2020'!F36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E41+'Apr-2020'!F41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E42+'Apr-2020'!F42</f>
        <v>2160.63</v>
      </c>
      <c r="G42" s="144"/>
      <c r="H42" s="144"/>
      <c r="I42" s="108" t="e">
        <f t="shared" si="13"/>
        <v>#DIV/0!</v>
      </c>
    </row>
    <row r="43" spans="1:10" s="168" customFormat="1" ht="21.75" customHeight="1">
      <c r="A43" s="138" t="s">
        <v>81</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E44+'Apr-2020'!F44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E45+'Apr-2020'!F45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E46+'Apr-2020'!F46</f>
        <v>0</v>
      </c>
      <c r="G46" s="144">
        <v>8500</v>
      </c>
      <c r="H46" s="144">
        <f t="shared" si="15"/>
        <v>8500</v>
      </c>
      <c r="I46" s="108">
        <f t="shared" si="13"/>
        <v>0</v>
      </c>
    </row>
    <row r="47" spans="1:10" s="168" customFormat="1" ht="21.75" customHeight="1">
      <c r="A47" s="138" t="s">
        <v>169</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137</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542" t="s">
        <v>59</v>
      </c>
      <c r="F1" s="104"/>
      <c r="G1" s="499">
        <v>43983</v>
      </c>
      <c r="H1" s="500"/>
      <c r="I1" s="106" t="s">
        <v>49</v>
      </c>
    </row>
    <row r="2" spans="1:9" ht="21">
      <c r="A2" s="37" t="s">
        <v>153</v>
      </c>
      <c r="B2" s="35"/>
      <c r="C2" s="35"/>
      <c r="D2" s="36"/>
      <c r="E2" s="543"/>
      <c r="F2" s="65"/>
      <c r="G2" s="501"/>
      <c r="H2" s="501"/>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E6+'May-2020'!F6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E7+'May-2020'!F7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E8+'May-2020'!F8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E9+'May-2020'!F9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E10+'May-2020'!F10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E11+'May-2020'!F11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E12+'May-2020'!F12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E23+'May-2020'!F23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E24+'May-2020'!F24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E27+'May-2020'!F27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E31+'May-2020'!F31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E34+'May-2020'!F34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E35+'May-2020'!F35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E36+'May-2020'!F36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E41+'May-2020'!F41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E42+'May-2020'!F42</f>
        <v>2160.63</v>
      </c>
      <c r="G42" s="144"/>
      <c r="H42" s="144"/>
      <c r="I42" s="108" t="e">
        <f t="shared" si="13"/>
        <v>#DIV/0!</v>
      </c>
    </row>
    <row r="43" spans="1:10" s="168" customFormat="1" ht="21.75" customHeight="1">
      <c r="A43" s="138" t="s">
        <v>81</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E44+'May-2020'!F44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E45+'May-2020'!F45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E46+'May-2020'!F46</f>
        <v>0</v>
      </c>
      <c r="G46" s="144">
        <v>8500</v>
      </c>
      <c r="H46" s="144">
        <f t="shared" si="15"/>
        <v>8500</v>
      </c>
      <c r="I46" s="108">
        <f t="shared" si="13"/>
        <v>0</v>
      </c>
    </row>
    <row r="47" spans="1:10" s="168" customFormat="1" ht="21.75" customHeight="1">
      <c r="A47" s="138" t="s">
        <v>169</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125</v>
      </c>
      <c r="N4" s="43" t="s">
        <v>87</v>
      </c>
    </row>
    <row r="5" spans="1:15" s="42" customFormat="1" ht="34.4" customHeight="1">
      <c r="A5" s="506" t="s">
        <v>126</v>
      </c>
      <c r="B5" s="507"/>
      <c r="C5" s="507"/>
      <c r="D5" s="507"/>
      <c r="E5" s="507"/>
      <c r="F5" s="507"/>
      <c r="G5" s="508"/>
      <c r="H5" s="506" t="s">
        <v>127</v>
      </c>
      <c r="I5" s="507"/>
      <c r="J5" s="507"/>
      <c r="K5" s="507"/>
      <c r="L5" s="508"/>
      <c r="M5" s="506" t="s">
        <v>138</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73</v>
      </c>
      <c r="B1" s="31"/>
      <c r="C1" s="544" t="s">
        <v>83</v>
      </c>
      <c r="D1" s="544"/>
      <c r="E1" s="438" t="s">
        <v>61</v>
      </c>
      <c r="F1" s="104"/>
      <c r="G1" s="440" t="s">
        <v>60</v>
      </c>
      <c r="H1" s="114"/>
      <c r="I1" s="106" t="s">
        <v>49</v>
      </c>
    </row>
    <row r="2" spans="1:9" ht="21">
      <c r="A2" s="37" t="s">
        <v>153</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E6+'Jun-2020'!F6</f>
        <v>6623.08</v>
      </c>
      <c r="G6" s="143">
        <v>16400</v>
      </c>
      <c r="H6" s="144">
        <f>G6-F6</f>
        <v>9776.92</v>
      </c>
      <c r="I6" s="108">
        <f>F6/G6</f>
        <v>0.40384634146341464</v>
      </c>
    </row>
    <row r="7" spans="1:9" s="103" customFormat="1" ht="25.5" customHeight="1">
      <c r="A7" s="138" t="s">
        <v>147</v>
      </c>
      <c r="B7" s="139"/>
      <c r="C7" s="140"/>
      <c r="D7" s="141"/>
      <c r="E7" s="142">
        <f t="shared" ref="E7:E12" si="0">SUM(B7:D7)</f>
        <v>0</v>
      </c>
      <c r="F7" s="143">
        <f>E7+'Jun-2020'!F7</f>
        <v>26250</v>
      </c>
      <c r="G7" s="143">
        <v>66000</v>
      </c>
      <c r="H7" s="144">
        <f>G7-F7</f>
        <v>39750</v>
      </c>
      <c r="I7" s="108">
        <f t="shared" ref="I7:I20" si="1">F7/G7</f>
        <v>0.39772727272727271</v>
      </c>
    </row>
    <row r="8" spans="1:9" s="103" customFormat="1" ht="25.5" customHeight="1">
      <c r="A8" s="138" t="s">
        <v>156</v>
      </c>
      <c r="B8" s="139"/>
      <c r="C8" s="140"/>
      <c r="D8" s="141"/>
      <c r="E8" s="142">
        <f t="shared" si="0"/>
        <v>0</v>
      </c>
      <c r="F8" s="143">
        <f>E8+'Jun-2020'!F8</f>
        <v>14615.470000000001</v>
      </c>
      <c r="G8" s="143">
        <v>40000</v>
      </c>
      <c r="H8" s="144">
        <f t="shared" ref="H8:H12" si="2">G8-F8</f>
        <v>25384.53</v>
      </c>
      <c r="I8" s="108">
        <f t="shared" si="1"/>
        <v>0.36538675000000004</v>
      </c>
    </row>
    <row r="9" spans="1:9" s="103" customFormat="1" ht="25.5" customHeight="1">
      <c r="A9" s="138" t="s">
        <v>148</v>
      </c>
      <c r="B9" s="139"/>
      <c r="C9" s="140"/>
      <c r="D9" s="141"/>
      <c r="E9" s="142">
        <f t="shared" si="0"/>
        <v>0</v>
      </c>
      <c r="F9" s="143">
        <f>E9+'Jun-2020'!F9</f>
        <v>11423.23</v>
      </c>
      <c r="G9" s="143">
        <v>30000</v>
      </c>
      <c r="H9" s="144">
        <f t="shared" si="2"/>
        <v>18576.77</v>
      </c>
      <c r="I9" s="108">
        <f t="shared" si="1"/>
        <v>0.38077433333333333</v>
      </c>
    </row>
    <row r="10" spans="1:9" s="103" customFormat="1" ht="25.5" customHeight="1">
      <c r="A10" s="138" t="s">
        <v>157</v>
      </c>
      <c r="B10" s="139"/>
      <c r="C10" s="140"/>
      <c r="D10" s="141"/>
      <c r="E10" s="142">
        <f t="shared" si="0"/>
        <v>0</v>
      </c>
      <c r="F10" s="143">
        <f>E10+'Jun-2020'!F10</f>
        <v>7959.84</v>
      </c>
      <c r="G10" s="143">
        <v>21500</v>
      </c>
      <c r="H10" s="144">
        <f t="shared" si="2"/>
        <v>13540.16</v>
      </c>
      <c r="I10" s="108">
        <f t="shared" si="1"/>
        <v>0.37022511627906979</v>
      </c>
    </row>
    <row r="11" spans="1:9" s="103" customFormat="1" ht="25.5" customHeight="1">
      <c r="A11" s="138" t="s">
        <v>149</v>
      </c>
      <c r="B11" s="139"/>
      <c r="C11" s="140"/>
      <c r="D11" s="141"/>
      <c r="E11" s="142">
        <f t="shared" si="0"/>
        <v>0</v>
      </c>
      <c r="F11" s="143">
        <f>E11+'Jun-2020'!F11</f>
        <v>10638.54</v>
      </c>
      <c r="G11" s="143">
        <v>36000</v>
      </c>
      <c r="H11" s="144">
        <f t="shared" si="2"/>
        <v>25361.46</v>
      </c>
      <c r="I11" s="108">
        <f t="shared" si="1"/>
        <v>0.29551500000000003</v>
      </c>
    </row>
    <row r="12" spans="1:9" s="103" customFormat="1" ht="25.5" customHeight="1">
      <c r="A12" s="138" t="s">
        <v>150</v>
      </c>
      <c r="B12" s="139"/>
      <c r="C12" s="140"/>
      <c r="D12" s="141"/>
      <c r="E12" s="142">
        <f t="shared" si="0"/>
        <v>0</v>
      </c>
      <c r="F12" s="143">
        <f>E12+'Jun-2020'!F12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E23+'Jun-2020'!F23</f>
        <v>1534.8999999999999</v>
      </c>
      <c r="G23" s="143">
        <v>4000</v>
      </c>
      <c r="H23" s="144">
        <f>G23-F23</f>
        <v>2465.1000000000004</v>
      </c>
      <c r="I23" s="108">
        <f t="shared" ref="I23:I37" si="6">F23/G23</f>
        <v>0.38372499999999998</v>
      </c>
      <c r="J23" s="102"/>
    </row>
    <row r="24" spans="1:10" s="103" customFormat="1" ht="24" customHeight="1">
      <c r="A24" s="161" t="s">
        <v>0</v>
      </c>
      <c r="B24" s="139"/>
      <c r="C24" s="140"/>
      <c r="D24" s="141"/>
      <c r="E24" s="142">
        <f t="shared" ref="E24:E35" si="7">SUM(B24:D24)</f>
        <v>0</v>
      </c>
      <c r="F24" s="143">
        <f>E24+'Jun-2020'!F24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2743.69</v>
      </c>
      <c r="G26" s="143">
        <v>13200</v>
      </c>
      <c r="H26" s="144">
        <f t="shared" si="8"/>
        <v>10456.31</v>
      </c>
      <c r="I26" s="108">
        <f t="shared" si="6"/>
        <v>0.20785530303030303</v>
      </c>
      <c r="J26" s="102"/>
    </row>
    <row r="27" spans="1:10" s="103" customFormat="1" ht="24" customHeight="1">
      <c r="A27" s="161" t="s">
        <v>41</v>
      </c>
      <c r="B27" s="139"/>
      <c r="C27" s="140"/>
      <c r="D27" s="141"/>
      <c r="E27" s="142">
        <f t="shared" si="7"/>
        <v>0</v>
      </c>
      <c r="F27" s="143">
        <f>E27+'Jun-2020'!F27</f>
        <v>5380.27</v>
      </c>
      <c r="G27" s="143">
        <v>12000</v>
      </c>
      <c r="H27" s="144">
        <f t="shared" si="8"/>
        <v>6619.73</v>
      </c>
      <c r="I27" s="108">
        <f t="shared" si="6"/>
        <v>0.44835583333333334</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1621.95</v>
      </c>
      <c r="G30" s="143">
        <v>6475</v>
      </c>
      <c r="H30" s="144">
        <f t="shared" si="8"/>
        <v>4853.05</v>
      </c>
      <c r="I30" s="108">
        <f t="shared" si="6"/>
        <v>0.2504942084942085</v>
      </c>
      <c r="J30" s="102"/>
    </row>
    <row r="31" spans="1:10" s="103" customFormat="1" ht="24" customHeight="1">
      <c r="A31" s="162" t="s">
        <v>44</v>
      </c>
      <c r="B31" s="139"/>
      <c r="C31" s="140"/>
      <c r="D31" s="141"/>
      <c r="E31" s="142">
        <f t="shared" si="7"/>
        <v>0</v>
      </c>
      <c r="F31" s="143">
        <f>E31+'Jun-2020'!F31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1787.8200000000002</v>
      </c>
      <c r="G33" s="143">
        <v>3000.7</v>
      </c>
      <c r="H33" s="144">
        <f>G33-F33</f>
        <v>1212.8799999999997</v>
      </c>
      <c r="I33" s="108">
        <f t="shared" si="6"/>
        <v>0.5958009797713868</v>
      </c>
      <c r="J33" s="102"/>
    </row>
    <row r="34" spans="1:10" s="103" customFormat="1" ht="24" customHeight="1">
      <c r="A34" s="162" t="s">
        <v>78</v>
      </c>
      <c r="B34" s="139"/>
      <c r="C34" s="140"/>
      <c r="D34" s="141"/>
      <c r="E34" s="142">
        <f t="shared" si="7"/>
        <v>0</v>
      </c>
      <c r="F34" s="143">
        <f>E34+'Jun-2020'!F34</f>
        <v>1297.03</v>
      </c>
      <c r="G34" s="143">
        <v>3000</v>
      </c>
      <c r="H34" s="144">
        <f t="shared" si="4"/>
        <v>1702.97</v>
      </c>
      <c r="I34" s="108">
        <f t="shared" si="6"/>
        <v>0.4323433333333333</v>
      </c>
      <c r="J34" s="102"/>
    </row>
    <row r="35" spans="1:10" s="103" customFormat="1" ht="24" customHeight="1">
      <c r="A35" s="162" t="s">
        <v>151</v>
      </c>
      <c r="B35" s="139"/>
      <c r="C35" s="140"/>
      <c r="D35" s="141"/>
      <c r="E35" s="142">
        <f t="shared" si="7"/>
        <v>0</v>
      </c>
      <c r="F35" s="143">
        <f>E35+'Jun-2020'!F35</f>
        <v>2354.7200000000003</v>
      </c>
      <c r="G35" s="143">
        <v>4000</v>
      </c>
      <c r="H35" s="144">
        <f t="shared" si="4"/>
        <v>1645.2799999999997</v>
      </c>
      <c r="I35" s="108">
        <f t="shared" si="6"/>
        <v>0.58868000000000009</v>
      </c>
      <c r="J35" s="102"/>
    </row>
    <row r="36" spans="1:10" s="103" customFormat="1" ht="24" customHeight="1">
      <c r="A36" s="162" t="s">
        <v>152</v>
      </c>
      <c r="B36" s="151"/>
      <c r="C36" s="152"/>
      <c r="D36" s="163"/>
      <c r="E36" s="142">
        <f t="shared" ref="E36" si="9">SUM(B36:D36)</f>
        <v>0</v>
      </c>
      <c r="F36" s="143">
        <f>E36+'Jun-2020'!F36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E41+'Jun-2020'!F41</f>
        <v>434260.37</v>
      </c>
      <c r="G41" s="144">
        <v>1452829.24</v>
      </c>
      <c r="H41" s="144">
        <f>G41-F41-F42</f>
        <v>1016408.24</v>
      </c>
      <c r="I41" s="108">
        <f t="shared" ref="I41:I56" si="13">F41/G41</f>
        <v>0.29890668362374095</v>
      </c>
    </row>
    <row r="42" spans="1:10" s="168" customFormat="1" ht="21.75" customHeight="1">
      <c r="A42" s="138" t="s">
        <v>84</v>
      </c>
      <c r="B42" s="139"/>
      <c r="C42" s="170"/>
      <c r="D42" s="170"/>
      <c r="E42" s="171">
        <f>SUM(B42:D42)</f>
        <v>0</v>
      </c>
      <c r="F42" s="143">
        <f>E42+'Jun-2020'!F42</f>
        <v>2160.63</v>
      </c>
      <c r="G42" s="144"/>
      <c r="H42" s="144"/>
      <c r="I42" s="108" t="e">
        <f t="shared" si="13"/>
        <v>#DIV/0!</v>
      </c>
    </row>
    <row r="43" spans="1:10" s="168" customFormat="1" ht="21.75" customHeight="1">
      <c r="A43" s="138" t="s">
        <v>81</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E44+'Jun-2020'!F44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E45+'Jun-2020'!F45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E46+'Jun-2020'!F46</f>
        <v>0</v>
      </c>
      <c r="G46" s="144">
        <v>8500</v>
      </c>
      <c r="H46" s="144">
        <f t="shared" si="15"/>
        <v>8500</v>
      </c>
      <c r="I46" s="108">
        <f t="shared" si="13"/>
        <v>0</v>
      </c>
    </row>
    <row r="47" spans="1:10" s="168" customFormat="1" ht="21.75" customHeight="1">
      <c r="A47" s="138" t="s">
        <v>169</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613465.20153087797</v>
      </c>
      <c r="G52" s="77">
        <f>G37+G20+G48+G50</f>
        <v>2013608.54</v>
      </c>
      <c r="H52" s="77">
        <f>H37+H20+H48+H50</f>
        <v>1400143.3384691223</v>
      </c>
      <c r="I52" s="110">
        <f t="shared" si="13"/>
        <v>0.30465961449035073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643099.63153087802</v>
      </c>
      <c r="G56" s="77">
        <f t="shared" si="18"/>
        <v>2256075.86</v>
      </c>
      <c r="H56" s="77">
        <f t="shared" si="18"/>
        <v>1612976.2284691222</v>
      </c>
      <c r="I56" s="110">
        <f t="shared" si="13"/>
        <v>0.28505230827250555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1" t="s">
        <v>7</v>
      </c>
      <c r="B60" s="452"/>
      <c r="C60" s="452"/>
      <c r="D60" s="452"/>
      <c r="E60" s="453"/>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0"/>
      <c r="E92" s="450"/>
      <c r="F92" s="450"/>
      <c r="G92" s="450"/>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09" t="s">
        <v>85</v>
      </c>
      <c r="B1" s="509"/>
      <c r="C1" s="509"/>
      <c r="D1" s="509"/>
      <c r="E1" s="509"/>
      <c r="F1" s="509"/>
      <c r="G1" s="509"/>
      <c r="H1" s="509"/>
      <c r="I1" s="509"/>
      <c r="J1" s="509"/>
      <c r="K1" s="509"/>
      <c r="L1" s="509"/>
      <c r="M1" s="509"/>
      <c r="N1" s="509"/>
      <c r="O1" s="39"/>
    </row>
    <row r="2" spans="1:15" s="42" customFormat="1" ht="34.5" customHeight="1">
      <c r="A2" s="506" t="s">
        <v>86</v>
      </c>
      <c r="B2" s="507"/>
      <c r="C2" s="507"/>
      <c r="D2" s="507"/>
      <c r="E2" s="507"/>
      <c r="F2" s="507"/>
      <c r="G2" s="507"/>
      <c r="H2" s="508"/>
      <c r="I2" s="506" t="s">
        <v>145</v>
      </c>
      <c r="J2" s="507"/>
      <c r="K2" s="507"/>
      <c r="L2" s="507"/>
      <c r="M2" s="508"/>
      <c r="N2" s="41" t="s">
        <v>123</v>
      </c>
    </row>
    <row r="3" spans="1:15" s="42" customFormat="1" ht="34.5" customHeight="1">
      <c r="A3" s="506" t="s">
        <v>124</v>
      </c>
      <c r="B3" s="507"/>
      <c r="C3" s="507"/>
      <c r="D3" s="507"/>
      <c r="E3" s="507"/>
      <c r="F3" s="507"/>
      <c r="G3" s="507"/>
      <c r="H3" s="507"/>
      <c r="I3" s="507"/>
      <c r="J3" s="507"/>
      <c r="K3" s="507"/>
      <c r="L3" s="507"/>
      <c r="M3" s="507"/>
      <c r="N3" s="508"/>
    </row>
    <row r="4" spans="1:15" s="42" customFormat="1" ht="38.25" customHeight="1">
      <c r="A4" s="510"/>
      <c r="B4" s="511"/>
      <c r="C4" s="511"/>
      <c r="D4" s="511"/>
      <c r="E4" s="511"/>
      <c r="F4" s="511"/>
      <c r="G4" s="511"/>
      <c r="H4" s="511"/>
      <c r="I4" s="511"/>
      <c r="J4" s="511"/>
      <c r="K4" s="511"/>
      <c r="L4" s="512"/>
      <c r="M4" s="43" t="s">
        <v>139</v>
      </c>
      <c r="N4" s="43" t="s">
        <v>87</v>
      </c>
    </row>
    <row r="5" spans="1:15" s="42" customFormat="1" ht="34.4" customHeight="1">
      <c r="A5" s="506" t="s">
        <v>126</v>
      </c>
      <c r="B5" s="507"/>
      <c r="C5" s="507"/>
      <c r="D5" s="507"/>
      <c r="E5" s="507"/>
      <c r="F5" s="507"/>
      <c r="G5" s="508"/>
      <c r="H5" s="506" t="s">
        <v>127</v>
      </c>
      <c r="I5" s="507"/>
      <c r="J5" s="507"/>
      <c r="K5" s="507"/>
      <c r="L5" s="508"/>
      <c r="M5" s="506" t="s">
        <v>138</v>
      </c>
      <c r="N5" s="508"/>
    </row>
    <row r="6" spans="1:15" s="42" customFormat="1" ht="17.899999999999999" customHeight="1">
      <c r="A6" s="513" t="s">
        <v>88</v>
      </c>
      <c r="B6" s="514"/>
      <c r="C6" s="514"/>
      <c r="D6" s="514"/>
      <c r="E6" s="514"/>
      <c r="F6" s="514"/>
      <c r="G6" s="514"/>
      <c r="H6" s="514"/>
      <c r="I6" s="514"/>
      <c r="J6" s="514"/>
      <c r="K6" s="514"/>
      <c r="L6" s="515"/>
      <c r="M6" s="516" t="s">
        <v>89</v>
      </c>
      <c r="N6" s="517"/>
    </row>
    <row r="7" spans="1:15" s="42" customFormat="1" ht="27.75" customHeight="1">
      <c r="A7" s="518" t="s">
        <v>90</v>
      </c>
      <c r="B7" s="519"/>
      <c r="C7" s="519"/>
      <c r="D7" s="519"/>
      <c r="E7" s="519"/>
      <c r="F7" s="519"/>
      <c r="G7" s="519"/>
      <c r="H7" s="519"/>
      <c r="I7" s="519"/>
      <c r="J7" s="519"/>
      <c r="K7" s="519"/>
      <c r="L7" s="519"/>
      <c r="M7" s="519"/>
      <c r="N7" s="520"/>
    </row>
    <row r="8" spans="1:15" s="42" customFormat="1" ht="27.75" customHeight="1">
      <c r="A8" s="506" t="s">
        <v>91</v>
      </c>
      <c r="B8" s="507"/>
      <c r="C8" s="507"/>
      <c r="D8" s="507"/>
      <c r="E8" s="507"/>
      <c r="F8" s="507"/>
      <c r="G8" s="507"/>
      <c r="H8" s="507"/>
      <c r="I8" s="507"/>
      <c r="J8" s="507"/>
      <c r="K8" s="507"/>
      <c r="L8" s="508"/>
      <c r="M8" s="473"/>
      <c r="N8" s="474"/>
    </row>
    <row r="9" spans="1:15" s="42" customFormat="1" ht="27.75" customHeight="1">
      <c r="A9" s="506" t="s">
        <v>92</v>
      </c>
      <c r="B9" s="507"/>
      <c r="C9" s="507"/>
      <c r="D9" s="507"/>
      <c r="E9" s="507"/>
      <c r="F9" s="507"/>
      <c r="G9" s="507"/>
      <c r="H9" s="507"/>
      <c r="I9" s="507"/>
      <c r="J9" s="507"/>
      <c r="K9" s="507"/>
      <c r="L9" s="508"/>
      <c r="M9" s="473">
        <f>M8</f>
        <v>0</v>
      </c>
      <c r="N9" s="474"/>
    </row>
    <row r="10" spans="1:15" s="42" customFormat="1" ht="27.75" customHeight="1">
      <c r="A10" s="506" t="s">
        <v>93</v>
      </c>
      <c r="B10" s="507"/>
      <c r="C10" s="507"/>
      <c r="D10" s="507"/>
      <c r="E10" s="507"/>
      <c r="F10" s="507"/>
      <c r="G10" s="507"/>
      <c r="H10" s="507"/>
      <c r="I10" s="507"/>
      <c r="J10" s="507"/>
      <c r="K10" s="507"/>
      <c r="L10" s="508"/>
      <c r="M10" s="521">
        <f>M8-M9</f>
        <v>0</v>
      </c>
      <c r="N10" s="522"/>
    </row>
    <row r="11" spans="1:15" s="42" customFormat="1" ht="27.75" customHeight="1">
      <c r="A11" s="518" t="s">
        <v>94</v>
      </c>
      <c r="B11" s="519"/>
      <c r="C11" s="519"/>
      <c r="D11" s="519"/>
      <c r="E11" s="519"/>
      <c r="F11" s="519"/>
      <c r="G11" s="519"/>
      <c r="H11" s="519"/>
      <c r="I11" s="519"/>
      <c r="J11" s="519"/>
      <c r="K11" s="519"/>
      <c r="L11" s="519"/>
      <c r="M11" s="519"/>
      <c r="N11" s="520"/>
    </row>
    <row r="12" spans="1:15" s="42" customFormat="1" ht="27.75" customHeight="1">
      <c r="A12" s="506" t="s">
        <v>95</v>
      </c>
      <c r="B12" s="507"/>
      <c r="C12" s="507"/>
      <c r="D12" s="507"/>
      <c r="E12" s="507"/>
      <c r="F12" s="507"/>
      <c r="G12" s="507"/>
      <c r="H12" s="507"/>
      <c r="I12" s="507"/>
      <c r="J12" s="507"/>
      <c r="K12" s="507"/>
      <c r="L12" s="508"/>
      <c r="M12" s="463"/>
      <c r="N12" s="464"/>
    </row>
    <row r="13" spans="1:15" s="42" customFormat="1" ht="27.75" customHeight="1">
      <c r="A13" s="506" t="s">
        <v>143</v>
      </c>
      <c r="B13" s="507"/>
      <c r="C13" s="507"/>
      <c r="D13" s="507"/>
      <c r="E13" s="507"/>
      <c r="F13" s="507"/>
      <c r="G13" s="507"/>
      <c r="H13" s="507"/>
      <c r="I13" s="507"/>
      <c r="J13" s="507"/>
      <c r="K13" s="507"/>
      <c r="L13" s="508"/>
      <c r="M13" s="463">
        <f>M9</f>
        <v>0</v>
      </c>
      <c r="N13" s="464"/>
    </row>
    <row r="14" spans="1:15" s="42" customFormat="1" ht="27.75" customHeight="1">
      <c r="A14" s="506" t="s">
        <v>144</v>
      </c>
      <c r="B14" s="507"/>
      <c r="C14" s="507"/>
      <c r="D14" s="507"/>
      <c r="E14" s="507"/>
      <c r="F14" s="507"/>
      <c r="G14" s="507"/>
      <c r="H14" s="507"/>
      <c r="I14" s="507"/>
      <c r="J14" s="507"/>
      <c r="K14" s="507"/>
      <c r="L14" s="508"/>
      <c r="M14" s="477">
        <v>0</v>
      </c>
      <c r="N14" s="478"/>
    </row>
    <row r="15" spans="1:15" s="42" customFormat="1" ht="27.75" customHeight="1">
      <c r="A15" s="506" t="s">
        <v>96</v>
      </c>
      <c r="B15" s="507"/>
      <c r="C15" s="507"/>
      <c r="D15" s="507"/>
      <c r="E15" s="507"/>
      <c r="F15" s="507"/>
      <c r="G15" s="507"/>
      <c r="H15" s="507"/>
      <c r="I15" s="507"/>
      <c r="J15" s="507"/>
      <c r="K15" s="507"/>
      <c r="L15" s="508"/>
      <c r="M15" s="477">
        <v>0</v>
      </c>
      <c r="N15" s="478"/>
    </row>
    <row r="16" spans="1:15" s="42" customFormat="1" ht="27.75" customHeight="1">
      <c r="A16" s="506" t="s">
        <v>97</v>
      </c>
      <c r="B16" s="507"/>
      <c r="C16" s="507"/>
      <c r="D16" s="507"/>
      <c r="E16" s="507"/>
      <c r="F16" s="507"/>
      <c r="G16" s="507"/>
      <c r="H16" s="507"/>
      <c r="I16" s="507"/>
      <c r="J16" s="507"/>
      <c r="K16" s="507"/>
      <c r="L16" s="508"/>
      <c r="M16" s="523">
        <f>M13+M14+M15</f>
        <v>0</v>
      </c>
      <c r="N16" s="524"/>
    </row>
    <row r="17" spans="1:14" s="42" customFormat="1" ht="27.75" customHeight="1">
      <c r="A17" s="506" t="s">
        <v>98</v>
      </c>
      <c r="B17" s="507"/>
      <c r="C17" s="507"/>
      <c r="D17" s="507"/>
      <c r="E17" s="507"/>
      <c r="F17" s="507"/>
      <c r="G17" s="507"/>
      <c r="H17" s="507"/>
      <c r="I17" s="507"/>
      <c r="J17" s="507"/>
      <c r="K17" s="507"/>
      <c r="L17" s="508"/>
      <c r="M17" s="523">
        <f>M12-M16</f>
        <v>0</v>
      </c>
      <c r="N17" s="524"/>
    </row>
    <row r="18" spans="1:14" s="42" customFormat="1" ht="27.75" customHeight="1">
      <c r="A18" s="518" t="s">
        <v>99</v>
      </c>
      <c r="B18" s="519"/>
      <c r="C18" s="519"/>
      <c r="D18" s="519"/>
      <c r="E18" s="519"/>
      <c r="F18" s="519"/>
      <c r="G18" s="519"/>
      <c r="H18" s="519"/>
      <c r="I18" s="519"/>
      <c r="J18" s="519"/>
      <c r="K18" s="519"/>
      <c r="L18" s="519"/>
      <c r="M18" s="519"/>
      <c r="N18" s="520"/>
    </row>
    <row r="19" spans="1:14" s="42" customFormat="1" ht="27.75" customHeight="1">
      <c r="A19" s="506" t="s">
        <v>100</v>
      </c>
      <c r="B19" s="507"/>
      <c r="C19" s="507"/>
      <c r="D19" s="507"/>
      <c r="E19" s="507"/>
      <c r="F19" s="507"/>
      <c r="G19" s="507"/>
      <c r="H19" s="507"/>
      <c r="I19" s="507"/>
      <c r="J19" s="507"/>
      <c r="K19" s="507"/>
      <c r="L19" s="508"/>
      <c r="M19" s="481">
        <v>0</v>
      </c>
      <c r="N19" s="482"/>
    </row>
    <row r="20" spans="1:14" s="42" customFormat="1" ht="27.75" customHeight="1">
      <c r="A20" s="506" t="s">
        <v>101</v>
      </c>
      <c r="B20" s="507"/>
      <c r="C20" s="507"/>
      <c r="D20" s="507"/>
      <c r="E20" s="507"/>
      <c r="F20" s="507"/>
      <c r="G20" s="507"/>
      <c r="H20" s="507"/>
      <c r="I20" s="507"/>
      <c r="J20" s="507"/>
      <c r="K20" s="507"/>
      <c r="L20" s="508"/>
      <c r="M20" s="477">
        <v>0</v>
      </c>
      <c r="N20" s="478"/>
    </row>
    <row r="21" spans="1:14" s="42" customFormat="1" ht="27.75" customHeight="1">
      <c r="A21" s="506" t="s">
        <v>102</v>
      </c>
      <c r="B21" s="507"/>
      <c r="C21" s="507"/>
      <c r="D21" s="507"/>
      <c r="E21" s="507"/>
      <c r="F21" s="507"/>
      <c r="G21" s="507"/>
      <c r="H21" s="507"/>
      <c r="I21" s="507"/>
      <c r="J21" s="507"/>
      <c r="K21" s="507"/>
      <c r="L21" s="508"/>
      <c r="M21" s="521">
        <f>M19-M20</f>
        <v>0</v>
      </c>
      <c r="N21" s="522"/>
    </row>
    <row r="22" spans="1:14" s="42" customFormat="1" ht="27.75" customHeight="1">
      <c r="A22" s="518" t="s">
        <v>103</v>
      </c>
      <c r="B22" s="519"/>
      <c r="C22" s="519"/>
      <c r="D22" s="519"/>
      <c r="E22" s="519"/>
      <c r="F22" s="519"/>
      <c r="G22" s="519"/>
      <c r="H22" s="519"/>
      <c r="I22" s="519"/>
      <c r="J22" s="519"/>
      <c r="K22" s="519"/>
      <c r="L22" s="519"/>
      <c r="M22" s="519"/>
      <c r="N22" s="520"/>
    </row>
    <row r="23" spans="1:14" s="42" customFormat="1" ht="27.75" customHeight="1">
      <c r="A23" s="506" t="s">
        <v>104</v>
      </c>
      <c r="B23" s="507"/>
      <c r="C23" s="507"/>
      <c r="D23" s="507"/>
      <c r="E23" s="507"/>
      <c r="F23" s="507"/>
      <c r="G23" s="507"/>
      <c r="H23" s="507"/>
      <c r="I23" s="507"/>
      <c r="J23" s="507"/>
      <c r="K23" s="507"/>
      <c r="L23" s="508"/>
      <c r="M23" s="477">
        <v>0</v>
      </c>
      <c r="N23" s="478"/>
    </row>
    <row r="24" spans="1:14" s="42" customFormat="1" ht="27.75" customHeight="1">
      <c r="A24" s="506" t="s">
        <v>105</v>
      </c>
      <c r="B24" s="507"/>
      <c r="C24" s="507"/>
      <c r="D24" s="507"/>
      <c r="E24" s="507"/>
      <c r="F24" s="507"/>
      <c r="G24" s="507"/>
      <c r="H24" s="507"/>
      <c r="I24" s="507"/>
      <c r="J24" s="507"/>
      <c r="K24" s="507"/>
      <c r="L24" s="508"/>
      <c r="M24" s="477">
        <v>0</v>
      </c>
      <c r="N24" s="478"/>
    </row>
    <row r="25" spans="1:14" s="42" customFormat="1" ht="27.75" customHeight="1">
      <c r="A25" s="506" t="s">
        <v>106</v>
      </c>
      <c r="B25" s="507"/>
      <c r="C25" s="507"/>
      <c r="D25" s="507"/>
      <c r="E25" s="507"/>
      <c r="F25" s="507"/>
      <c r="G25" s="507"/>
      <c r="H25" s="507"/>
      <c r="I25" s="507"/>
      <c r="J25" s="507"/>
      <c r="K25" s="507"/>
      <c r="L25" s="508"/>
      <c r="M25" s="521">
        <f>M23-M24</f>
        <v>0</v>
      </c>
      <c r="N25" s="522"/>
    </row>
    <row r="26" spans="1:14" s="42" customFormat="1" ht="17.899999999999999" customHeight="1">
      <c r="A26" s="525" t="s">
        <v>107</v>
      </c>
      <c r="B26" s="526"/>
      <c r="C26" s="526"/>
      <c r="D26" s="526"/>
      <c r="E26" s="526"/>
      <c r="F26" s="526"/>
      <c r="G26" s="526"/>
      <c r="H26" s="526"/>
      <c r="I26" s="526"/>
      <c r="J26" s="526"/>
      <c r="K26" s="526"/>
      <c r="L26" s="526"/>
      <c r="M26" s="526"/>
      <c r="N26" s="527"/>
    </row>
    <row r="27" spans="1:14" s="42" customFormat="1" ht="15.65" customHeight="1">
      <c r="A27" s="486"/>
      <c r="B27" s="487"/>
      <c r="C27" s="487"/>
      <c r="D27" s="487"/>
      <c r="E27" s="487"/>
      <c r="F27" s="487"/>
      <c r="G27" s="487"/>
      <c r="H27" s="487"/>
      <c r="I27" s="487"/>
      <c r="J27" s="487"/>
      <c r="K27" s="487"/>
      <c r="L27" s="487"/>
      <c r="M27" s="487"/>
      <c r="N27" s="464"/>
    </row>
    <row r="28" spans="1:14" s="42" customFormat="1" ht="17.899999999999999" customHeight="1">
      <c r="A28" s="513" t="s">
        <v>108</v>
      </c>
      <c r="B28" s="514"/>
      <c r="C28" s="514"/>
      <c r="D28" s="514"/>
      <c r="E28" s="514"/>
      <c r="F28" s="514"/>
      <c r="G28" s="514"/>
      <c r="H28" s="514"/>
      <c r="I28" s="514"/>
      <c r="J28" s="514"/>
      <c r="K28" s="514"/>
      <c r="L28" s="514"/>
      <c r="M28" s="514"/>
      <c r="N28" s="515"/>
    </row>
    <row r="29" spans="1:14" s="42" customFormat="1" ht="30" customHeight="1">
      <c r="A29" s="506" t="s">
        <v>109</v>
      </c>
      <c r="B29" s="508"/>
      <c r="C29" s="43" t="s">
        <v>110</v>
      </c>
      <c r="D29" s="506" t="s">
        <v>111</v>
      </c>
      <c r="E29" s="507"/>
      <c r="F29" s="508"/>
      <c r="G29" s="528" t="s">
        <v>112</v>
      </c>
      <c r="H29" s="529"/>
      <c r="I29" s="44" t="s">
        <v>113</v>
      </c>
      <c r="J29" s="506" t="s">
        <v>114</v>
      </c>
      <c r="K29" s="507"/>
      <c r="L29" s="508"/>
      <c r="M29" s="43" t="s">
        <v>115</v>
      </c>
      <c r="N29" s="43" t="s">
        <v>116</v>
      </c>
    </row>
    <row r="30" spans="1:14" s="42" customFormat="1" ht="16.5">
      <c r="A30" s="486"/>
      <c r="B30" s="464"/>
      <c r="C30" s="45"/>
      <c r="D30" s="486"/>
      <c r="E30" s="487"/>
      <c r="F30" s="464"/>
      <c r="G30" s="495"/>
      <c r="H30" s="464"/>
      <c r="I30" s="44"/>
      <c r="J30" s="496"/>
      <c r="K30" s="497"/>
      <c r="L30" s="498"/>
      <c r="M30" s="43"/>
      <c r="N30" s="43"/>
    </row>
    <row r="31" spans="1:14" s="42" customFormat="1" ht="15.65" customHeight="1">
      <c r="A31" s="486"/>
      <c r="B31" s="464"/>
      <c r="C31" s="45"/>
      <c r="D31" s="486"/>
      <c r="E31" s="487"/>
      <c r="F31" s="464"/>
      <c r="G31" s="495"/>
      <c r="H31" s="464"/>
      <c r="I31" s="46"/>
      <c r="J31" s="496"/>
      <c r="K31" s="497"/>
      <c r="L31" s="498"/>
      <c r="M31" s="47"/>
      <c r="N31" s="48"/>
    </row>
    <row r="32" spans="1:14" s="42" customFormat="1" ht="75.75" customHeight="1">
      <c r="A32" s="525" t="s">
        <v>117</v>
      </c>
      <c r="B32" s="526"/>
      <c r="C32" s="526"/>
      <c r="D32" s="526"/>
      <c r="E32" s="526"/>
      <c r="F32" s="526"/>
      <c r="G32" s="526"/>
      <c r="H32" s="526"/>
      <c r="I32" s="526"/>
      <c r="J32" s="526"/>
      <c r="K32" s="526"/>
      <c r="L32" s="526"/>
      <c r="M32" s="526"/>
      <c r="N32" s="527"/>
    </row>
    <row r="33" spans="1:15" s="42" customFormat="1" ht="31.4" customHeight="1">
      <c r="A33" s="530" t="s">
        <v>118</v>
      </c>
      <c r="B33" s="531"/>
      <c r="C33" s="531"/>
      <c r="D33" s="531"/>
      <c r="E33" s="531"/>
      <c r="F33" s="531"/>
      <c r="G33" s="531"/>
      <c r="H33" s="531"/>
      <c r="I33" s="531"/>
      <c r="J33" s="531"/>
      <c r="K33" s="531"/>
      <c r="L33" s="532"/>
      <c r="M33" s="506" t="s">
        <v>119</v>
      </c>
      <c r="N33" s="508"/>
    </row>
    <row r="34" spans="1:15" s="42" customFormat="1" ht="31.4" customHeight="1">
      <c r="A34" s="533"/>
      <c r="B34" s="534"/>
      <c r="C34" s="534"/>
      <c r="D34" s="534"/>
      <c r="E34" s="534"/>
      <c r="F34" s="534"/>
      <c r="G34" s="534"/>
      <c r="H34" s="534"/>
      <c r="I34" s="534"/>
      <c r="J34" s="534"/>
      <c r="K34" s="534"/>
      <c r="L34" s="535"/>
      <c r="M34" s="506" t="s">
        <v>120</v>
      </c>
      <c r="N34" s="508"/>
    </row>
    <row r="35" spans="1:15" s="42" customFormat="1" ht="31.4" customHeight="1">
      <c r="A35" s="530" t="s">
        <v>121</v>
      </c>
      <c r="B35" s="531"/>
      <c r="C35" s="531"/>
      <c r="D35" s="531"/>
      <c r="E35" s="531"/>
      <c r="F35" s="531"/>
      <c r="G35" s="531"/>
      <c r="H35" s="531"/>
      <c r="I35" s="531"/>
      <c r="J35" s="531"/>
      <c r="K35" s="531"/>
      <c r="L35" s="532"/>
      <c r="M35" s="530" t="s">
        <v>122</v>
      </c>
      <c r="N35" s="532"/>
    </row>
    <row r="36" spans="1:15" s="42" customFormat="1" ht="31" customHeight="1">
      <c r="A36" s="533"/>
      <c r="B36" s="534"/>
      <c r="C36" s="534"/>
      <c r="D36" s="534"/>
      <c r="E36" s="534"/>
      <c r="F36" s="534"/>
      <c r="G36" s="534"/>
      <c r="H36" s="534"/>
      <c r="I36" s="534"/>
      <c r="J36" s="534"/>
      <c r="K36" s="534"/>
      <c r="L36" s="535"/>
      <c r="M36" s="533"/>
      <c r="N36" s="535"/>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94"/>
      <c r="B39" s="494"/>
      <c r="C39" s="494"/>
      <c r="D39" s="494"/>
      <c r="E39" s="494"/>
      <c r="F39" s="494"/>
      <c r="G39" s="494"/>
      <c r="H39" s="494"/>
      <c r="I39" s="494"/>
      <c r="J39" s="494"/>
      <c r="K39" s="494"/>
      <c r="L39" s="494"/>
      <c r="M39" s="494"/>
      <c r="N39" s="494"/>
      <c r="O39" s="494"/>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25</vt:i4>
      </vt:variant>
    </vt:vector>
  </HeadingPairs>
  <TitlesOfParts>
    <vt:vector size="61" baseType="lpstr">
      <vt:lpstr>June Salary &amp; Benefits </vt:lpstr>
      <vt:lpstr>Salaries &amp; Fringe Allocations</vt:lpstr>
      <vt:lpstr>Jul-2019</vt:lpstr>
      <vt:lpstr>Jul-2019 GL</vt:lpstr>
      <vt:lpstr>JULY FR</vt:lpstr>
      <vt:lpstr>Aug-2019</vt:lpstr>
      <vt:lpstr>Aug 2019 GL</vt:lpstr>
      <vt:lpstr>AUG-FR</vt:lpstr>
      <vt:lpstr>Aug-19 PL</vt:lpstr>
      <vt:lpstr>Sept-2019</vt:lpstr>
      <vt:lpstr>Sept-2019 GL</vt:lpstr>
      <vt:lpstr>Sept-FR</vt:lpstr>
      <vt:lpstr>Sep-19 PL</vt:lpstr>
      <vt:lpstr>Oct-2019</vt:lpstr>
      <vt:lpstr>Oct-2019 GL</vt:lpstr>
      <vt:lpstr>Oct-FR</vt:lpstr>
      <vt:lpstr>Nov-2019</vt:lpstr>
      <vt:lpstr>Nov-19 GL</vt:lpstr>
      <vt:lpstr>Nov-19 PL</vt:lpstr>
      <vt:lpstr>Nov-FR </vt:lpstr>
      <vt:lpstr>Dec-2019</vt:lpstr>
      <vt:lpstr>Dec-FR</vt:lpstr>
      <vt:lpstr>Jan-2020</vt:lpstr>
      <vt:lpstr>Jan-FR</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'Dec-2019'!Print_Area</vt:lpstr>
      <vt:lpstr>'Feb-2020'!Print_Area</vt:lpstr>
      <vt:lpstr>'Jan-2020'!Print_Area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2020-02-03T18:07:25Z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