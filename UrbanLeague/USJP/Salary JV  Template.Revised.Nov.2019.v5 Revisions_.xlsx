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ise\Desktop\USJP 2019\11.19\"/>
    </mc:Choice>
  </mc:AlternateContent>
  <xr:revisionPtr revIDLastSave="0" documentId="13_ncr:1_{7F3D0845-9190-4821-A6A1-F514CB4B9700}" xr6:coauthVersionLast="45" xr6:coauthVersionMax="45" xr10:uidLastSave="{00000000-0000-0000-0000-000000000000}"/>
  <bookViews>
    <workbookView xWindow="20370" yWindow="-120" windowWidth="29040" windowHeight="16440" xr2:uid="{00000000-000D-0000-FFFF-FFFF00000000}"/>
  </bookViews>
  <sheets>
    <sheet name="Nov 2019 Alloc " sheetId="42" r:id="rId1"/>
    <sheet name="Oct 2019 Alloc" sheetId="41" r:id="rId2"/>
    <sheet name="Sept 2019 Alloc  (2)" sheetId="40" r:id="rId3"/>
    <sheet name="Sept 2019 Alloc " sheetId="33" r:id="rId4"/>
    <sheet name="August 2019 Alloc  (2)" sheetId="39" r:id="rId5"/>
    <sheet name="August 2019 Alloc " sheetId="32" r:id="rId6"/>
    <sheet name="July 2019 Alloc (2)" sheetId="38" r:id="rId7"/>
    <sheet name="July 2019 Alloc" sheetId="30" r:id="rId8"/>
    <sheet name="June 2019 Alloc - NRTC" sheetId="37" r:id="rId9"/>
    <sheet name="June 2019 Alloc - Mise USJP" sheetId="31" r:id="rId10"/>
    <sheet name="June 2019 Alloc- Sermon" sheetId="28" r:id="rId11"/>
    <sheet name="June 2019 Alloc" sheetId="26" r:id="rId12"/>
    <sheet name="May 2019 Alloc  (NRTC)" sheetId="36" r:id="rId13"/>
    <sheet name="May 2019 Alloc  (2)" sheetId="29" r:id="rId14"/>
    <sheet name="May 2019 Alloc " sheetId="25" r:id="rId15"/>
    <sheet name="April Revised (NRTC)" sheetId="35" r:id="rId16"/>
    <sheet name="April Revised" sheetId="27" r:id="rId17"/>
    <sheet name="April 2019 Alloc  " sheetId="24" r:id="rId18"/>
    <sheet name="March 2019 Alloc  (NRTC)" sheetId="34" r:id="rId19"/>
    <sheet name="March 2019 Alloc " sheetId="23" r:id="rId20"/>
    <sheet name="Feb 2019 Alloc " sheetId="22" r:id="rId21"/>
    <sheet name="Jan 2019 Alloc" sheetId="21" r:id="rId22"/>
    <sheet name="Dec Alloc " sheetId="17" r:id="rId23"/>
    <sheet name="Nov Alloc " sheetId="16" r:id="rId24"/>
    <sheet name="OCT Alloc" sheetId="5" r:id="rId25"/>
    <sheet name="Sept Alloc" sheetId="15" r:id="rId26"/>
    <sheet name="August Alloc " sheetId="20" r:id="rId27"/>
    <sheet name="July Alloc" sheetId="19" r:id="rId28"/>
  </sheets>
  <externalReferences>
    <externalReference r:id="rId29"/>
  </externalReferences>
  <definedNames>
    <definedName name="_xlnm.Print_Area" localSheetId="17">'April 2019 Alloc  '!$B$1:$AB$48</definedName>
    <definedName name="_xlnm.Print_Area" localSheetId="5">'August 2019 Alloc '!$B$1:$AC$45</definedName>
    <definedName name="_xlnm.Print_Area" localSheetId="4">'August 2019 Alloc  (2)'!$B$1:$AC$45</definedName>
    <definedName name="_xlnm.Print_Area" localSheetId="26">'August Alloc '!$B$1:$Z$47</definedName>
    <definedName name="_xlnm.Print_Area" localSheetId="22">'Dec Alloc '!$B$1:$Z$45</definedName>
    <definedName name="_xlnm.Print_Area" localSheetId="20">'Feb 2019 Alloc '!$B$1:$AB$43</definedName>
    <definedName name="_xlnm.Print_Area" localSheetId="21">'Jan 2019 Alloc'!$B$1:$AA$42</definedName>
    <definedName name="_xlnm.Print_Area" localSheetId="7">'July 2019 Alloc'!$B$1:$AC$45</definedName>
    <definedName name="_xlnm.Print_Area" localSheetId="6">'July 2019 Alloc (2)'!$B$1:$AC$45</definedName>
    <definedName name="_xlnm.Print_Area" localSheetId="27">'July Alloc'!$B$1:$Y$47</definedName>
    <definedName name="_xlnm.Print_Area" localSheetId="11">'June 2019 Alloc'!$B$1:$AC$44</definedName>
    <definedName name="_xlnm.Print_Area" localSheetId="10">'June 2019 Alloc- Sermon'!$B$1:$AC$45</definedName>
    <definedName name="_xlnm.Print_Area" localSheetId="19">'March 2019 Alloc '!$B$1:$AB$45</definedName>
    <definedName name="_xlnm.Print_Area" localSheetId="18">'March 2019 Alloc  (NRTC)'!$B$1:$AB$45</definedName>
    <definedName name="_xlnm.Print_Area" localSheetId="14">'May 2019 Alloc '!$B$1:$AC$47</definedName>
    <definedName name="_xlnm.Print_Area" localSheetId="13">'May 2019 Alloc  (2)'!$B$1:$AC$47</definedName>
    <definedName name="_xlnm.Print_Area" localSheetId="12">'May 2019 Alloc  (NRTC)'!$B$1:$AC$47</definedName>
    <definedName name="_xlnm.Print_Area" localSheetId="0">'Nov 2019 Alloc '!$B$1:$AF$47</definedName>
    <definedName name="_xlnm.Print_Area" localSheetId="23">'Nov Alloc '!$B$1:$Z$46</definedName>
    <definedName name="_xlnm.Print_Area" localSheetId="1">'Oct 2019 Alloc'!$B$1:$AE$46</definedName>
    <definedName name="_xlnm.Print_Area" localSheetId="3">'Sept 2019 Alloc '!$B$1:$AC$46</definedName>
    <definedName name="_xlnm.Print_Area" localSheetId="2">'Sept 2019 Alloc  (2)'!$B$1:$AC$46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37" i="42" l="1"/>
  <c r="T36" i="42"/>
  <c r="T35" i="42"/>
  <c r="T34" i="42"/>
  <c r="T33" i="42"/>
  <c r="T32" i="42"/>
  <c r="T31" i="42"/>
  <c r="T30" i="42"/>
  <c r="T29" i="42"/>
  <c r="T28" i="42"/>
  <c r="T27" i="42"/>
  <c r="T26" i="42"/>
  <c r="T25" i="42"/>
  <c r="T24" i="42"/>
  <c r="T23" i="42"/>
  <c r="T22" i="42"/>
  <c r="T21" i="42"/>
  <c r="T20" i="42"/>
  <c r="T19" i="42"/>
  <c r="T18" i="42"/>
  <c r="T17" i="42"/>
  <c r="T16" i="42"/>
  <c r="T15" i="42"/>
  <c r="T14" i="42"/>
  <c r="T13" i="42"/>
  <c r="T12" i="42"/>
  <c r="T11" i="42"/>
  <c r="T10" i="42"/>
  <c r="T9" i="42"/>
  <c r="T8" i="42"/>
  <c r="T7" i="42"/>
  <c r="T6" i="42"/>
  <c r="U3" i="42"/>
  <c r="T39" i="42" l="1"/>
  <c r="T40" i="42" s="1"/>
  <c r="AE6" i="41" l="1"/>
  <c r="AB7" i="42"/>
  <c r="AB8" i="42"/>
  <c r="AB9" i="42"/>
  <c r="AB10" i="42"/>
  <c r="AB11" i="42"/>
  <c r="AB12" i="42"/>
  <c r="AB13" i="42"/>
  <c r="AB14" i="42"/>
  <c r="AB15" i="42"/>
  <c r="AB16" i="42"/>
  <c r="AB17" i="42"/>
  <c r="AB18" i="42"/>
  <c r="AB19" i="42"/>
  <c r="AB20" i="42"/>
  <c r="AB21" i="42"/>
  <c r="AB22" i="42"/>
  <c r="AB23" i="42"/>
  <c r="AB24" i="42"/>
  <c r="AB25" i="42"/>
  <c r="AB26" i="42"/>
  <c r="AB27" i="42"/>
  <c r="AB28" i="42"/>
  <c r="AB29" i="42"/>
  <c r="AB30" i="42"/>
  <c r="AB31" i="42"/>
  <c r="AB32" i="42"/>
  <c r="AB33" i="42"/>
  <c r="AB34" i="42"/>
  <c r="AB35" i="42"/>
  <c r="AB36" i="42"/>
  <c r="AB37" i="42"/>
  <c r="AB6" i="42"/>
  <c r="H45" i="42"/>
  <c r="H44" i="42"/>
  <c r="AA7" i="41" l="1"/>
  <c r="AA8" i="41"/>
  <c r="AA9" i="41"/>
  <c r="AA10" i="41"/>
  <c r="AA11" i="41"/>
  <c r="AA12" i="41"/>
  <c r="AA13" i="41"/>
  <c r="AA14" i="41"/>
  <c r="AA15" i="41"/>
  <c r="AA16" i="41"/>
  <c r="AA17" i="41"/>
  <c r="AA18" i="41"/>
  <c r="AA19" i="41"/>
  <c r="AA20" i="41"/>
  <c r="AA21" i="41"/>
  <c r="AA22" i="41"/>
  <c r="AA23" i="41"/>
  <c r="AA24" i="41"/>
  <c r="AA25" i="41"/>
  <c r="AA26" i="41"/>
  <c r="AA27" i="41"/>
  <c r="AA28" i="41"/>
  <c r="AA29" i="41"/>
  <c r="AA30" i="41"/>
  <c r="AA31" i="41"/>
  <c r="AA32" i="41"/>
  <c r="AA33" i="41"/>
  <c r="AA34" i="41"/>
  <c r="AA35" i="41"/>
  <c r="AA36" i="41"/>
  <c r="AA37" i="41"/>
  <c r="AA6" i="41"/>
  <c r="Q3" i="42" l="1"/>
  <c r="Q38" i="42" s="1"/>
  <c r="N3" i="42"/>
  <c r="O3" i="42"/>
  <c r="P3" i="42"/>
  <c r="M3" i="42"/>
  <c r="J54" i="42"/>
  <c r="H37" i="42" s="1"/>
  <c r="I54" i="42"/>
  <c r="I56" i="42" s="1"/>
  <c r="H36" i="42" s="1"/>
  <c r="Q46" i="42"/>
  <c r="P46" i="42"/>
  <c r="O46" i="42"/>
  <c r="N46" i="42"/>
  <c r="M46" i="42"/>
  <c r="H46" i="42"/>
  <c r="G38" i="42"/>
  <c r="L29" i="42" s="1"/>
  <c r="L37" i="42"/>
  <c r="N36" i="42"/>
  <c r="I35" i="42"/>
  <c r="J31" i="42" s="1"/>
  <c r="L34" i="42"/>
  <c r="L31" i="42"/>
  <c r="L30" i="42"/>
  <c r="L28" i="42"/>
  <c r="L27" i="42"/>
  <c r="L26" i="42"/>
  <c r="L24" i="42"/>
  <c r="L23" i="42"/>
  <c r="L22" i="42"/>
  <c r="L21" i="42"/>
  <c r="L20" i="42"/>
  <c r="L19" i="42"/>
  <c r="L18" i="42"/>
  <c r="L17" i="42"/>
  <c r="L16" i="42"/>
  <c r="L15" i="42"/>
  <c r="L14" i="42"/>
  <c r="L13" i="42"/>
  <c r="L12" i="42"/>
  <c r="L11" i="42"/>
  <c r="L10" i="42"/>
  <c r="L9" i="42"/>
  <c r="L8" i="42"/>
  <c r="L7" i="42"/>
  <c r="L6" i="42"/>
  <c r="J13" i="42" l="1"/>
  <c r="N13" i="42" s="1"/>
  <c r="F49" i="42"/>
  <c r="J19" i="42"/>
  <c r="P19" i="42" s="1"/>
  <c r="J23" i="42"/>
  <c r="M23" i="42" s="1"/>
  <c r="J35" i="42"/>
  <c r="N35" i="42" s="1"/>
  <c r="J10" i="42"/>
  <c r="O10" i="42" s="1"/>
  <c r="J11" i="42"/>
  <c r="O11" i="42" s="1"/>
  <c r="J14" i="42"/>
  <c r="N14" i="42" s="1"/>
  <c r="J17" i="42"/>
  <c r="P17" i="42" s="1"/>
  <c r="J27" i="42"/>
  <c r="O27" i="42" s="1"/>
  <c r="J30" i="42"/>
  <c r="P30" i="42" s="1"/>
  <c r="J8" i="42"/>
  <c r="P8" i="42" s="1"/>
  <c r="J20" i="42"/>
  <c r="N20" i="42" s="1"/>
  <c r="J29" i="42"/>
  <c r="N29" i="42" s="1"/>
  <c r="J15" i="42"/>
  <c r="M15" i="42" s="1"/>
  <c r="J24" i="42"/>
  <c r="N24" i="42" s="1"/>
  <c r="J6" i="42"/>
  <c r="P6" i="42" s="1"/>
  <c r="J12" i="42"/>
  <c r="P12" i="42" s="1"/>
  <c r="J21" i="42"/>
  <c r="N21" i="42" s="1"/>
  <c r="J28" i="42"/>
  <c r="P28" i="42" s="1"/>
  <c r="J32" i="42"/>
  <c r="N32" i="42" s="1"/>
  <c r="J25" i="42"/>
  <c r="O25" i="42" s="1"/>
  <c r="J33" i="42"/>
  <c r="J7" i="42"/>
  <c r="M7" i="42" s="1"/>
  <c r="J9" i="42"/>
  <c r="J16" i="42"/>
  <c r="O16" i="42" s="1"/>
  <c r="J18" i="42"/>
  <c r="N18" i="42" s="1"/>
  <c r="J26" i="42"/>
  <c r="O26" i="42" s="1"/>
  <c r="N31" i="42"/>
  <c r="J34" i="42"/>
  <c r="P34" i="42" s="1"/>
  <c r="N9" i="42"/>
  <c r="P31" i="42"/>
  <c r="O36" i="42"/>
  <c r="O23" i="42"/>
  <c r="P36" i="42"/>
  <c r="O31" i="42"/>
  <c r="M31" i="42"/>
  <c r="M13" i="42"/>
  <c r="M36" i="42"/>
  <c r="H39" i="42"/>
  <c r="AE36" i="42" s="1"/>
  <c r="AF36" i="42" s="1"/>
  <c r="I37" i="42"/>
  <c r="L25" i="42"/>
  <c r="L39" i="42" s="1"/>
  <c r="L33" i="42"/>
  <c r="L36" i="42"/>
  <c r="L32" i="42"/>
  <c r="L35" i="42"/>
  <c r="K54" i="42"/>
  <c r="Q7" i="41"/>
  <c r="Q8" i="41"/>
  <c r="Q9" i="41"/>
  <c r="Q10" i="41"/>
  <c r="Q11" i="41"/>
  <c r="Q12" i="41"/>
  <c r="Q13" i="41"/>
  <c r="Q14" i="41"/>
  <c r="Q15" i="41"/>
  <c r="Q16" i="41"/>
  <c r="Q17" i="41"/>
  <c r="Q18" i="41"/>
  <c r="Q19" i="41"/>
  <c r="Q20" i="41"/>
  <c r="Q21" i="41"/>
  <c r="Q22" i="41"/>
  <c r="Q23" i="41"/>
  <c r="Q24" i="41"/>
  <c r="Q25" i="41"/>
  <c r="Q26" i="41"/>
  <c r="Q27" i="41"/>
  <c r="Q28" i="41"/>
  <c r="Q29" i="41"/>
  <c r="Q30" i="41"/>
  <c r="Q31" i="41"/>
  <c r="Q32" i="41"/>
  <c r="Q33" i="41"/>
  <c r="Q34" i="41"/>
  <c r="Q35" i="41"/>
  <c r="Q36" i="41"/>
  <c r="Q37" i="41"/>
  <c r="Q38" i="41"/>
  <c r="Q6" i="41"/>
  <c r="O13" i="42" l="1"/>
  <c r="M6" i="42"/>
  <c r="P9" i="42"/>
  <c r="M27" i="42"/>
  <c r="M26" i="42"/>
  <c r="M35" i="42"/>
  <c r="O28" i="42"/>
  <c r="P23" i="42"/>
  <c r="M19" i="42"/>
  <c r="N19" i="42"/>
  <c r="O19" i="42"/>
  <c r="M17" i="42"/>
  <c r="M30" i="42"/>
  <c r="M12" i="42"/>
  <c r="O35" i="42"/>
  <c r="N30" i="42"/>
  <c r="O21" i="42"/>
  <c r="O18" i="42"/>
  <c r="M16" i="42"/>
  <c r="O30" i="42"/>
  <c r="P13" i="42"/>
  <c r="N6" i="42"/>
  <c r="P16" i="42"/>
  <c r="M28" i="42"/>
  <c r="M32" i="42"/>
  <c r="O7" i="42"/>
  <c r="N33" i="42"/>
  <c r="N7" i="42"/>
  <c r="O32" i="42"/>
  <c r="M11" i="42"/>
  <c r="M29" i="42"/>
  <c r="N25" i="42"/>
  <c r="P29" i="42"/>
  <c r="P25" i="42"/>
  <c r="M20" i="42"/>
  <c r="M24" i="42"/>
  <c r="P24" i="42"/>
  <c r="P7" i="42"/>
  <c r="M10" i="42"/>
  <c r="P11" i="42"/>
  <c r="N11" i="42"/>
  <c r="O24" i="42"/>
  <c r="P35" i="42"/>
  <c r="N10" i="42"/>
  <c r="P10" i="42"/>
  <c r="O20" i="42"/>
  <c r="O29" i="42"/>
  <c r="P20" i="42"/>
  <c r="O14" i="42"/>
  <c r="P33" i="42"/>
  <c r="P14" i="42"/>
  <c r="P15" i="42"/>
  <c r="P26" i="42"/>
  <c r="N28" i="42"/>
  <c r="N15" i="42"/>
  <c r="O8" i="42"/>
  <c r="N8" i="42"/>
  <c r="M8" i="42"/>
  <c r="N23" i="42"/>
  <c r="M21" i="42"/>
  <c r="P18" i="42"/>
  <c r="O6" i="42"/>
  <c r="M25" i="42"/>
  <c r="O9" i="42"/>
  <c r="P21" i="42"/>
  <c r="N16" i="42"/>
  <c r="N12" i="42"/>
  <c r="O12" i="42"/>
  <c r="J39" i="42"/>
  <c r="N27" i="42"/>
  <c r="O33" i="42"/>
  <c r="O15" i="42"/>
  <c r="M14" i="42"/>
  <c r="O34" i="42"/>
  <c r="M33" i="42"/>
  <c r="M9" i="42"/>
  <c r="M18" i="42"/>
  <c r="P27" i="42"/>
  <c r="N26" i="42"/>
  <c r="P32" i="42"/>
  <c r="O17" i="42"/>
  <c r="N17" i="42"/>
  <c r="N34" i="42"/>
  <c r="M34" i="42"/>
  <c r="K37" i="42"/>
  <c r="K31" i="42"/>
  <c r="K23" i="42"/>
  <c r="K20" i="42"/>
  <c r="K34" i="42"/>
  <c r="K26" i="42"/>
  <c r="K15" i="42"/>
  <c r="K7" i="42"/>
  <c r="K29" i="42"/>
  <c r="K18" i="42"/>
  <c r="K10" i="42"/>
  <c r="K35" i="42"/>
  <c r="K32" i="42"/>
  <c r="K24" i="42"/>
  <c r="K21" i="42"/>
  <c r="K27" i="42"/>
  <c r="K30" i="42"/>
  <c r="K19" i="42"/>
  <c r="K11" i="42"/>
  <c r="K9" i="42"/>
  <c r="K12" i="42"/>
  <c r="K13" i="42"/>
  <c r="K22" i="42"/>
  <c r="K6" i="42"/>
  <c r="K17" i="42"/>
  <c r="K8" i="42"/>
  <c r="K28" i="42"/>
  <c r="K14" i="42"/>
  <c r="K25" i="42"/>
  <c r="K16" i="42"/>
  <c r="K33" i="42"/>
  <c r="AE29" i="42"/>
  <c r="AF29" i="42" s="1"/>
  <c r="AE18" i="42"/>
  <c r="AF18" i="42" s="1"/>
  <c r="AE35" i="42"/>
  <c r="AF35" i="42" s="1"/>
  <c r="AE32" i="42"/>
  <c r="AF32" i="42" s="1"/>
  <c r="AE24" i="42"/>
  <c r="AF24" i="42" s="1"/>
  <c r="AE21" i="42"/>
  <c r="AF21" i="42" s="1"/>
  <c r="AE13" i="42"/>
  <c r="AF13" i="42" s="1"/>
  <c r="AE27" i="42"/>
  <c r="AF27" i="42" s="1"/>
  <c r="AE16" i="42"/>
  <c r="AF16" i="42" s="1"/>
  <c r="AE8" i="42"/>
  <c r="AF8" i="42" s="1"/>
  <c r="AE30" i="42"/>
  <c r="AF30" i="42" s="1"/>
  <c r="AE19" i="42"/>
  <c r="AF19" i="42" s="1"/>
  <c r="AE33" i="42"/>
  <c r="AF33" i="42" s="1"/>
  <c r="AE25" i="42"/>
  <c r="AF25" i="42" s="1"/>
  <c r="H47" i="42"/>
  <c r="AE28" i="42"/>
  <c r="AF28" i="42" s="1"/>
  <c r="AE17" i="42"/>
  <c r="AF17" i="42" s="1"/>
  <c r="AE9" i="42"/>
  <c r="AF9" i="42" s="1"/>
  <c r="AE26" i="42"/>
  <c r="AF26" i="42" s="1"/>
  <c r="AE6" i="42"/>
  <c r="AE38" i="42"/>
  <c r="AF38" i="42" s="1"/>
  <c r="AE20" i="42"/>
  <c r="AF20" i="42" s="1"/>
  <c r="AE15" i="42"/>
  <c r="AF15" i="42" s="1"/>
  <c r="AE11" i="42"/>
  <c r="AF11" i="42" s="1"/>
  <c r="AE7" i="42"/>
  <c r="AF7" i="42" s="1"/>
  <c r="AE23" i="42"/>
  <c r="AF23" i="42" s="1"/>
  <c r="AE14" i="42"/>
  <c r="AF14" i="42" s="1"/>
  <c r="AE10" i="42"/>
  <c r="AF10" i="42" s="1"/>
  <c r="AE34" i="42"/>
  <c r="AF34" i="42" s="1"/>
  <c r="AE12" i="42"/>
  <c r="AF12" i="42" s="1"/>
  <c r="AE31" i="42"/>
  <c r="AF31" i="42" s="1"/>
  <c r="AE37" i="42"/>
  <c r="AF37" i="42" s="1"/>
  <c r="K36" i="42"/>
  <c r="H37" i="41"/>
  <c r="G38" i="41"/>
  <c r="L7" i="41" s="1"/>
  <c r="J53" i="41"/>
  <c r="I53" i="41"/>
  <c r="I55" i="41" s="1"/>
  <c r="H36" i="41" s="1"/>
  <c r="H39" i="41" s="1"/>
  <c r="AD6" i="41" s="1"/>
  <c r="Q45" i="41"/>
  <c r="P45" i="41"/>
  <c r="O45" i="41"/>
  <c r="N45" i="41"/>
  <c r="M45" i="41"/>
  <c r="AC39" i="41"/>
  <c r="AC40" i="41" s="1"/>
  <c r="P36" i="41"/>
  <c r="O36" i="41"/>
  <c r="N36" i="41"/>
  <c r="M36" i="41"/>
  <c r="I35" i="41"/>
  <c r="J35" i="41" s="1"/>
  <c r="P39" i="42" l="1"/>
  <c r="P40" i="42" s="1"/>
  <c r="AB39" i="42"/>
  <c r="O39" i="42"/>
  <c r="O40" i="42" s="1"/>
  <c r="M39" i="42"/>
  <c r="M40" i="42" s="1"/>
  <c r="N39" i="42"/>
  <c r="N40" i="42" s="1"/>
  <c r="Y30" i="42"/>
  <c r="X30" i="42"/>
  <c r="W30" i="42"/>
  <c r="V30" i="42"/>
  <c r="AC30" i="42"/>
  <c r="U30" i="42"/>
  <c r="S30" i="42"/>
  <c r="AA30" i="42"/>
  <c r="Z30" i="42"/>
  <c r="R30" i="42"/>
  <c r="Q30" i="42"/>
  <c r="S7" i="42"/>
  <c r="AA7" i="42"/>
  <c r="R7" i="42"/>
  <c r="X7" i="42"/>
  <c r="U7" i="42"/>
  <c r="Q7" i="42"/>
  <c r="Z7" i="42"/>
  <c r="Y7" i="42"/>
  <c r="W7" i="42"/>
  <c r="AC7" i="42"/>
  <c r="V7" i="42"/>
  <c r="W22" i="42"/>
  <c r="V22" i="42"/>
  <c r="AC22" i="42"/>
  <c r="U22" i="42"/>
  <c r="S22" i="42"/>
  <c r="AA22" i="42"/>
  <c r="R22" i="42"/>
  <c r="Z22" i="42"/>
  <c r="Q22" i="42"/>
  <c r="X22" i="42"/>
  <c r="Y22" i="42"/>
  <c r="W16" i="42"/>
  <c r="V16" i="42"/>
  <c r="AA16" i="42"/>
  <c r="R16" i="42"/>
  <c r="Q16" i="42"/>
  <c r="AC16" i="42"/>
  <c r="S16" i="42"/>
  <c r="U16" i="42"/>
  <c r="Z16" i="42"/>
  <c r="Y16" i="42"/>
  <c r="X16" i="42"/>
  <c r="V13" i="42"/>
  <c r="AC13" i="42"/>
  <c r="U13" i="42"/>
  <c r="Z13" i="42"/>
  <c r="Q13" i="42"/>
  <c r="Y13" i="42"/>
  <c r="R13" i="42"/>
  <c r="X13" i="42"/>
  <c r="W13" i="42"/>
  <c r="AA13" i="42"/>
  <c r="S13" i="42"/>
  <c r="W24" i="42"/>
  <c r="V24" i="42"/>
  <c r="AC24" i="42"/>
  <c r="U24" i="42"/>
  <c r="S24" i="42"/>
  <c r="AA24" i="42"/>
  <c r="R24" i="42"/>
  <c r="Z24" i="42"/>
  <c r="Q24" i="42"/>
  <c r="X24" i="42"/>
  <c r="Y24" i="42"/>
  <c r="AC26" i="42"/>
  <c r="U26" i="42"/>
  <c r="S26" i="42"/>
  <c r="AA26" i="42"/>
  <c r="R26" i="42"/>
  <c r="Z26" i="42"/>
  <c r="Q26" i="42"/>
  <c r="Y26" i="42"/>
  <c r="X26" i="42"/>
  <c r="W26" i="42"/>
  <c r="V26" i="42"/>
  <c r="W8" i="42"/>
  <c r="V8" i="42"/>
  <c r="AA8" i="42"/>
  <c r="R8" i="42"/>
  <c r="S8" i="42"/>
  <c r="Q8" i="42"/>
  <c r="X8" i="42"/>
  <c r="AC8" i="42"/>
  <c r="Y8" i="42"/>
  <c r="U8" i="42"/>
  <c r="Z8" i="42"/>
  <c r="S31" i="42"/>
  <c r="AA31" i="42"/>
  <c r="R31" i="42"/>
  <c r="Z31" i="42"/>
  <c r="Q31" i="42"/>
  <c r="Y31" i="42"/>
  <c r="X31" i="42"/>
  <c r="W31" i="42"/>
  <c r="V31" i="42"/>
  <c r="AC31" i="42"/>
  <c r="U31" i="42"/>
  <c r="AA17" i="42"/>
  <c r="Z17" i="42"/>
  <c r="Q17" i="42"/>
  <c r="Y17" i="42"/>
  <c r="V17" i="42"/>
  <c r="W17" i="42"/>
  <c r="U17" i="42"/>
  <c r="X17" i="42"/>
  <c r="S17" i="42"/>
  <c r="AC17" i="42"/>
  <c r="R17" i="42"/>
  <c r="X27" i="42"/>
  <c r="W27" i="42"/>
  <c r="V27" i="42"/>
  <c r="AC27" i="42"/>
  <c r="U27" i="42"/>
  <c r="S27" i="42"/>
  <c r="AA27" i="42"/>
  <c r="R27" i="42"/>
  <c r="Q27" i="42"/>
  <c r="Y27" i="42"/>
  <c r="Z27" i="42"/>
  <c r="W21" i="42"/>
  <c r="V21" i="42"/>
  <c r="AC21" i="42"/>
  <c r="U21" i="42"/>
  <c r="S21" i="42"/>
  <c r="AA21" i="42"/>
  <c r="R21" i="42"/>
  <c r="Z21" i="42"/>
  <c r="Q21" i="42"/>
  <c r="X21" i="42"/>
  <c r="Y21" i="42"/>
  <c r="Z25" i="42"/>
  <c r="Q25" i="42"/>
  <c r="Y25" i="42"/>
  <c r="X25" i="42"/>
  <c r="W25" i="42"/>
  <c r="V25" i="42"/>
  <c r="AC25" i="42"/>
  <c r="U25" i="42"/>
  <c r="AA25" i="42"/>
  <c r="S25" i="42"/>
  <c r="R25" i="42"/>
  <c r="AA12" i="42"/>
  <c r="R12" i="42"/>
  <c r="Z12" i="42"/>
  <c r="Q12" i="42"/>
  <c r="W12" i="42"/>
  <c r="V12" i="42"/>
  <c r="U12" i="42"/>
  <c r="S12" i="42"/>
  <c r="Y12" i="42"/>
  <c r="X12" i="42"/>
  <c r="AC12" i="42"/>
  <c r="W32" i="42"/>
  <c r="V32" i="42"/>
  <c r="AC32" i="42"/>
  <c r="U32" i="42"/>
  <c r="S32" i="42"/>
  <c r="AA32" i="42"/>
  <c r="R32" i="42"/>
  <c r="Z32" i="42"/>
  <c r="Q32" i="42"/>
  <c r="Y32" i="42"/>
  <c r="X32" i="42"/>
  <c r="AC34" i="42"/>
  <c r="U34" i="42"/>
  <c r="S34" i="42"/>
  <c r="AA34" i="42"/>
  <c r="R34" i="42"/>
  <c r="Z34" i="42"/>
  <c r="Q34" i="42"/>
  <c r="Y34" i="42"/>
  <c r="X34" i="42"/>
  <c r="W34" i="42"/>
  <c r="V34" i="42"/>
  <c r="V18" i="42"/>
  <c r="AC18" i="42"/>
  <c r="U18" i="42"/>
  <c r="S18" i="42"/>
  <c r="AA18" i="42"/>
  <c r="R18" i="42"/>
  <c r="Y18" i="42"/>
  <c r="Z18" i="42"/>
  <c r="W18" i="42"/>
  <c r="Q18" i="42"/>
  <c r="X18" i="42"/>
  <c r="V29" i="42"/>
  <c r="AC29" i="42"/>
  <c r="U29" i="42"/>
  <c r="S29" i="42"/>
  <c r="AA29" i="42"/>
  <c r="R29" i="42"/>
  <c r="Z29" i="42"/>
  <c r="Q29" i="42"/>
  <c r="Y29" i="42"/>
  <c r="W29" i="42"/>
  <c r="X29" i="42"/>
  <c r="Y6" i="42"/>
  <c r="K39" i="42"/>
  <c r="AC6" i="42"/>
  <c r="U6" i="42"/>
  <c r="R6" i="42"/>
  <c r="AA6" i="42"/>
  <c r="S6" i="42"/>
  <c r="Q6" i="42"/>
  <c r="V6" i="42"/>
  <c r="X6" i="42"/>
  <c r="W6" i="42"/>
  <c r="Z6" i="42"/>
  <c r="Z33" i="42"/>
  <c r="Q33" i="42"/>
  <c r="Y33" i="42"/>
  <c r="X33" i="42"/>
  <c r="W33" i="42"/>
  <c r="V33" i="42"/>
  <c r="AC33" i="42"/>
  <c r="U33" i="42"/>
  <c r="AA33" i="42"/>
  <c r="S33" i="42"/>
  <c r="R33" i="42"/>
  <c r="Z36" i="42"/>
  <c r="Q36" i="42"/>
  <c r="Y36" i="42"/>
  <c r="X36" i="42"/>
  <c r="W36" i="42"/>
  <c r="V36" i="42"/>
  <c r="AC36" i="42"/>
  <c r="U36" i="42"/>
  <c r="R36" i="42"/>
  <c r="S36" i="42"/>
  <c r="AA36" i="42"/>
  <c r="AF6" i="42"/>
  <c r="AF39" i="42" s="1"/>
  <c r="AF40" i="42" s="1"/>
  <c r="AE39" i="42"/>
  <c r="AE40" i="42" s="1"/>
  <c r="Y14" i="42"/>
  <c r="X14" i="42"/>
  <c r="AC14" i="42"/>
  <c r="U14" i="42"/>
  <c r="R14" i="42"/>
  <c r="AA14" i="42"/>
  <c r="Q14" i="42"/>
  <c r="Z14" i="42"/>
  <c r="V14" i="42"/>
  <c r="S14" i="42"/>
  <c r="W14" i="42"/>
  <c r="Z9" i="42"/>
  <c r="Q9" i="42"/>
  <c r="Y9" i="42"/>
  <c r="V9" i="42"/>
  <c r="X9" i="42"/>
  <c r="AC9" i="42"/>
  <c r="W9" i="42"/>
  <c r="U9" i="42"/>
  <c r="R9" i="42"/>
  <c r="AA9" i="42"/>
  <c r="S9" i="42"/>
  <c r="W35" i="42"/>
  <c r="V35" i="42"/>
  <c r="AC35" i="42"/>
  <c r="U35" i="42"/>
  <c r="S35" i="42"/>
  <c r="AA35" i="42"/>
  <c r="R35" i="42"/>
  <c r="Z35" i="42"/>
  <c r="Q35" i="42"/>
  <c r="Y35" i="42"/>
  <c r="X35" i="42"/>
  <c r="S20" i="42"/>
  <c r="AA20" i="42"/>
  <c r="R20" i="42"/>
  <c r="Z20" i="42"/>
  <c r="Q20" i="42"/>
  <c r="Y20" i="42"/>
  <c r="X20" i="42"/>
  <c r="W20" i="42"/>
  <c r="AC20" i="42"/>
  <c r="V20" i="42"/>
  <c r="U20" i="42"/>
  <c r="Y19" i="42"/>
  <c r="X19" i="42"/>
  <c r="W19" i="42"/>
  <c r="V19" i="42"/>
  <c r="S19" i="42"/>
  <c r="Q19" i="42"/>
  <c r="Z19" i="42"/>
  <c r="U19" i="42"/>
  <c r="AC19" i="42"/>
  <c r="AA19" i="42"/>
  <c r="R19" i="42"/>
  <c r="X37" i="42"/>
  <c r="W37" i="42"/>
  <c r="V37" i="42"/>
  <c r="AC37" i="42"/>
  <c r="U37" i="42"/>
  <c r="S37" i="42"/>
  <c r="AA37" i="42"/>
  <c r="R37" i="42"/>
  <c r="Y37" i="42"/>
  <c r="Z37" i="42"/>
  <c r="Q37" i="42"/>
  <c r="S15" i="42"/>
  <c r="AA15" i="42"/>
  <c r="R15" i="42"/>
  <c r="X15" i="42"/>
  <c r="Q15" i="42"/>
  <c r="W15" i="42"/>
  <c r="AC15" i="42"/>
  <c r="Y15" i="42"/>
  <c r="V15" i="42"/>
  <c r="Z15" i="42"/>
  <c r="U15" i="42"/>
  <c r="AA28" i="42"/>
  <c r="R28" i="42"/>
  <c r="Z28" i="42"/>
  <c r="Q28" i="42"/>
  <c r="Y28" i="42"/>
  <c r="X28" i="42"/>
  <c r="W28" i="42"/>
  <c r="V28" i="42"/>
  <c r="AC28" i="42"/>
  <c r="U28" i="42"/>
  <c r="S28" i="42"/>
  <c r="X11" i="42"/>
  <c r="W11" i="42"/>
  <c r="S11" i="42"/>
  <c r="R11" i="42"/>
  <c r="V11" i="42"/>
  <c r="Q11" i="42"/>
  <c r="U11" i="42"/>
  <c r="AC11" i="42"/>
  <c r="Z11" i="42"/>
  <c r="AA11" i="42"/>
  <c r="Y11" i="42"/>
  <c r="AC10" i="42"/>
  <c r="U10" i="42"/>
  <c r="S10" i="42"/>
  <c r="Y10" i="42"/>
  <c r="AA10" i="42"/>
  <c r="Z10" i="42"/>
  <c r="W10" i="42"/>
  <c r="Q10" i="42"/>
  <c r="X10" i="42"/>
  <c r="V10" i="42"/>
  <c r="R10" i="42"/>
  <c r="S23" i="42"/>
  <c r="AA23" i="42"/>
  <c r="R23" i="42"/>
  <c r="Z23" i="42"/>
  <c r="Q23" i="42"/>
  <c r="Y23" i="42"/>
  <c r="X23" i="42"/>
  <c r="W23" i="42"/>
  <c r="U23" i="42"/>
  <c r="AC23" i="42"/>
  <c r="V23" i="42"/>
  <c r="K53" i="41"/>
  <c r="H45" i="41" s="1"/>
  <c r="L36" i="41"/>
  <c r="L27" i="41"/>
  <c r="L18" i="41"/>
  <c r="L6" i="41"/>
  <c r="L8" i="41"/>
  <c r="L35" i="41"/>
  <c r="L17" i="41"/>
  <c r="L16" i="41"/>
  <c r="L33" i="41"/>
  <c r="L24" i="41"/>
  <c r="L14" i="41"/>
  <c r="L26" i="41"/>
  <c r="L34" i="41"/>
  <c r="L25" i="41"/>
  <c r="L32" i="41"/>
  <c r="L22" i="41"/>
  <c r="L13" i="41"/>
  <c r="L30" i="41"/>
  <c r="L21" i="41"/>
  <c r="L12" i="41"/>
  <c r="L29" i="41"/>
  <c r="L20" i="41"/>
  <c r="L11" i="41"/>
  <c r="L37" i="41"/>
  <c r="L28" i="41"/>
  <c r="L19" i="41"/>
  <c r="L10" i="41"/>
  <c r="L9" i="41"/>
  <c r="L31" i="41"/>
  <c r="L23" i="41"/>
  <c r="L15" i="41"/>
  <c r="J12" i="41"/>
  <c r="J18" i="41"/>
  <c r="J25" i="41"/>
  <c r="J16" i="41"/>
  <c r="J17" i="41"/>
  <c r="J19" i="41"/>
  <c r="J6" i="41"/>
  <c r="J14" i="41"/>
  <c r="J20" i="41"/>
  <c r="J29" i="41"/>
  <c r="J13" i="41"/>
  <c r="J7" i="41"/>
  <c r="J15" i="41"/>
  <c r="J21" i="41"/>
  <c r="J30" i="41"/>
  <c r="J10" i="41"/>
  <c r="J11" i="41"/>
  <c r="J9" i="41"/>
  <c r="J23" i="41"/>
  <c r="J32" i="41"/>
  <c r="AD23" i="41"/>
  <c r="AE23" i="41" s="1"/>
  <c r="J24" i="41"/>
  <c r="J28" i="41"/>
  <c r="J8" i="41"/>
  <c r="J33" i="41"/>
  <c r="AD35" i="41"/>
  <c r="AE35" i="41" s="1"/>
  <c r="AD8" i="41"/>
  <c r="AE8" i="41" s="1"/>
  <c r="AD25" i="41"/>
  <c r="AE25" i="41" s="1"/>
  <c r="AD7" i="41"/>
  <c r="AE7" i="41" s="1"/>
  <c r="J26" i="41"/>
  <c r="J31" i="41"/>
  <c r="J34" i="41"/>
  <c r="AD15" i="41"/>
  <c r="AE15" i="41" s="1"/>
  <c r="AD14" i="41"/>
  <c r="AE14" i="41" s="1"/>
  <c r="AD17" i="41"/>
  <c r="AE17" i="41" s="1"/>
  <c r="J27" i="41"/>
  <c r="O13" i="41"/>
  <c r="P13" i="41"/>
  <c r="N23" i="41"/>
  <c r="AD27" i="41"/>
  <c r="AE27" i="41" s="1"/>
  <c r="AD19" i="41"/>
  <c r="AE19" i="41" s="1"/>
  <c r="AD11" i="41"/>
  <c r="AE11" i="41" s="1"/>
  <c r="AD32" i="41"/>
  <c r="AE32" i="41" s="1"/>
  <c r="AD24" i="41"/>
  <c r="AE24" i="41" s="1"/>
  <c r="AD16" i="41"/>
  <c r="AE16" i="41" s="1"/>
  <c r="AD9" i="41"/>
  <c r="AE9" i="41" s="1"/>
  <c r="AD36" i="41"/>
  <c r="AE36" i="41" s="1"/>
  <c r="AD29" i="41"/>
  <c r="AE29" i="41" s="1"/>
  <c r="AD21" i="41"/>
  <c r="AE21" i="41" s="1"/>
  <c r="AD13" i="41"/>
  <c r="AE13" i="41" s="1"/>
  <c r="H46" i="41"/>
  <c r="AD38" i="41"/>
  <c r="AE38" i="41" s="1"/>
  <c r="AD34" i="41"/>
  <c r="AE34" i="41" s="1"/>
  <c r="AD26" i="41"/>
  <c r="AE26" i="41" s="1"/>
  <c r="AD18" i="41"/>
  <c r="AE18" i="41" s="1"/>
  <c r="AD10" i="41"/>
  <c r="AE10" i="41" s="1"/>
  <c r="AD31" i="41"/>
  <c r="AE31" i="41" s="1"/>
  <c r="AD28" i="41"/>
  <c r="AE28" i="41" s="1"/>
  <c r="AD20" i="41"/>
  <c r="AE20" i="41" s="1"/>
  <c r="AD12" i="41"/>
  <c r="AE12" i="41" s="1"/>
  <c r="O35" i="41"/>
  <c r="P35" i="41"/>
  <c r="N35" i="41"/>
  <c r="AD37" i="41"/>
  <c r="AE37" i="41" s="1"/>
  <c r="P25" i="41"/>
  <c r="O25" i="41"/>
  <c r="M25" i="41"/>
  <c r="AD33" i="41"/>
  <c r="AE33" i="41" s="1"/>
  <c r="M35" i="41"/>
  <c r="AD30" i="41"/>
  <c r="AE30" i="41" s="1"/>
  <c r="F48" i="41"/>
  <c r="M13" i="41"/>
  <c r="I37" i="41"/>
  <c r="K53" i="40"/>
  <c r="H44" i="40" s="1"/>
  <c r="H45" i="40" s="1"/>
  <c r="J53" i="40"/>
  <c r="J55" i="40" s="1"/>
  <c r="I53" i="40"/>
  <c r="P45" i="40"/>
  <c r="O45" i="40"/>
  <c r="N45" i="40"/>
  <c r="M45" i="40"/>
  <c r="L45" i="40"/>
  <c r="AA40" i="40"/>
  <c r="AA39" i="40"/>
  <c r="H37" i="40"/>
  <c r="P36" i="40"/>
  <c r="O36" i="40"/>
  <c r="N36" i="40"/>
  <c r="M36" i="40"/>
  <c r="L36" i="40"/>
  <c r="H36" i="40"/>
  <c r="I35" i="40"/>
  <c r="J35" i="40" s="1"/>
  <c r="M35" i="40" s="1"/>
  <c r="J28" i="40"/>
  <c r="L28" i="40" s="1"/>
  <c r="J27" i="40"/>
  <c r="M27" i="40" s="1"/>
  <c r="J24" i="40"/>
  <c r="N24" i="40" s="1"/>
  <c r="J17" i="40"/>
  <c r="M17" i="40" s="1"/>
  <c r="J16" i="40"/>
  <c r="N16" i="40" s="1"/>
  <c r="J15" i="40"/>
  <c r="J12" i="40"/>
  <c r="P12" i="40" s="1"/>
  <c r="J11" i="40"/>
  <c r="M11" i="40" s="1"/>
  <c r="J10" i="40"/>
  <c r="O10" i="40" s="1"/>
  <c r="J9" i="40"/>
  <c r="L9" i="40" s="1"/>
  <c r="J8" i="40"/>
  <c r="N8" i="40" s="1"/>
  <c r="J7" i="40"/>
  <c r="P7" i="40" s="1"/>
  <c r="P6" i="40"/>
  <c r="N6" i="40"/>
  <c r="J6" i="40"/>
  <c r="L6" i="40" s="1"/>
  <c r="I35" i="39"/>
  <c r="I37" i="39" s="1"/>
  <c r="J52" i="39"/>
  <c r="J54" i="39" s="1"/>
  <c r="I52" i="39"/>
  <c r="P47" i="39"/>
  <c r="P46" i="39"/>
  <c r="R47" i="39" s="1"/>
  <c r="S47" i="39" s="1"/>
  <c r="H45" i="39"/>
  <c r="P44" i="39"/>
  <c r="O44" i="39"/>
  <c r="N44" i="39"/>
  <c r="M44" i="39"/>
  <c r="L44" i="39"/>
  <c r="H44" i="39"/>
  <c r="AA40" i="39"/>
  <c r="AA39" i="39"/>
  <c r="H39" i="39"/>
  <c r="AB31" i="39" s="1"/>
  <c r="AC31" i="39" s="1"/>
  <c r="P36" i="39"/>
  <c r="O36" i="39"/>
  <c r="N36" i="39"/>
  <c r="M36" i="39"/>
  <c r="L36" i="39"/>
  <c r="U39" i="42" l="1"/>
  <c r="U40" i="42" s="1"/>
  <c r="Z39" i="42"/>
  <c r="Z40" i="42" s="1"/>
  <c r="X39" i="42"/>
  <c r="X40" i="42" s="1"/>
  <c r="V39" i="42"/>
  <c r="V40" i="42" s="1"/>
  <c r="Q39" i="42"/>
  <c r="Q40" i="42" s="1"/>
  <c r="W39" i="42"/>
  <c r="W40" i="42" s="1"/>
  <c r="Y39" i="42"/>
  <c r="Y40" i="42" s="1"/>
  <c r="S39" i="42"/>
  <c r="S40" i="42" s="1"/>
  <c r="AA39" i="42"/>
  <c r="AA40" i="42" s="1"/>
  <c r="AC39" i="42"/>
  <c r="AC40" i="42" s="1"/>
  <c r="R39" i="42"/>
  <c r="R40" i="42" s="1"/>
  <c r="O6" i="41"/>
  <c r="M24" i="41"/>
  <c r="N21" i="41"/>
  <c r="O19" i="41"/>
  <c r="M34" i="41"/>
  <c r="P28" i="41"/>
  <c r="N15" i="41"/>
  <c r="N8" i="41"/>
  <c r="O27" i="41"/>
  <c r="P32" i="41"/>
  <c r="O7" i="41"/>
  <c r="M16" i="41"/>
  <c r="P10" i="41"/>
  <c r="O23" i="41"/>
  <c r="N13" i="41"/>
  <c r="N25" i="41"/>
  <c r="N14" i="41"/>
  <c r="M9" i="41"/>
  <c r="M29" i="41"/>
  <c r="M18" i="41"/>
  <c r="O33" i="41"/>
  <c r="O11" i="41"/>
  <c r="M12" i="41"/>
  <c r="L39" i="41"/>
  <c r="O12" i="41"/>
  <c r="O24" i="41"/>
  <c r="P30" i="41"/>
  <c r="M6" i="41"/>
  <c r="O32" i="41"/>
  <c r="P21" i="41"/>
  <c r="N12" i="41"/>
  <c r="P33" i="41"/>
  <c r="N18" i="41"/>
  <c r="P11" i="41"/>
  <c r="P9" i="41"/>
  <c r="O18" i="41"/>
  <c r="P29" i="41"/>
  <c r="P12" i="41"/>
  <c r="P26" i="41"/>
  <c r="M11" i="41"/>
  <c r="M20" i="41"/>
  <c r="N20" i="41"/>
  <c r="N9" i="41"/>
  <c r="O20" i="41"/>
  <c r="O29" i="41"/>
  <c r="M26" i="41"/>
  <c r="M33" i="41"/>
  <c r="P20" i="41"/>
  <c r="O16" i="41"/>
  <c r="O21" i="41"/>
  <c r="P18" i="41"/>
  <c r="N26" i="41"/>
  <c r="N33" i="41"/>
  <c r="N11" i="41"/>
  <c r="N29" i="41"/>
  <c r="P24" i="41"/>
  <c r="O26" i="41"/>
  <c r="O9" i="41"/>
  <c r="O30" i="41"/>
  <c r="M23" i="41"/>
  <c r="N19" i="41"/>
  <c r="M19" i="41"/>
  <c r="O10" i="41"/>
  <c r="M21" i="41"/>
  <c r="N6" i="41"/>
  <c r="P19" i="41"/>
  <c r="N30" i="41"/>
  <c r="N28" i="41"/>
  <c r="M28" i="41"/>
  <c r="M14" i="41"/>
  <c r="O28" i="41"/>
  <c r="P16" i="41"/>
  <c r="N32" i="41"/>
  <c r="P7" i="41"/>
  <c r="N16" i="41"/>
  <c r="M32" i="41"/>
  <c r="N7" i="41"/>
  <c r="P8" i="41"/>
  <c r="M7" i="41"/>
  <c r="P31" i="41"/>
  <c r="M27" i="41"/>
  <c r="M8" i="41"/>
  <c r="O14" i="41"/>
  <c r="M15" i="41"/>
  <c r="O8" i="41"/>
  <c r="M17" i="41"/>
  <c r="O15" i="41"/>
  <c r="P15" i="41"/>
  <c r="O17" i="41"/>
  <c r="N24" i="41"/>
  <c r="P23" i="41"/>
  <c r="M10" i="41"/>
  <c r="P17" i="41"/>
  <c r="M30" i="41"/>
  <c r="P14" i="41"/>
  <c r="P6" i="41"/>
  <c r="N10" i="41"/>
  <c r="N17" i="41"/>
  <c r="P27" i="41"/>
  <c r="N27" i="41"/>
  <c r="M31" i="41"/>
  <c r="O31" i="41"/>
  <c r="N31" i="41"/>
  <c r="O34" i="41"/>
  <c r="P34" i="41"/>
  <c r="N34" i="41"/>
  <c r="J39" i="41"/>
  <c r="AE39" i="41"/>
  <c r="AE40" i="41" s="1"/>
  <c r="K37" i="41"/>
  <c r="K27" i="41"/>
  <c r="K22" i="41"/>
  <c r="K19" i="41"/>
  <c r="K11" i="41"/>
  <c r="K32" i="41"/>
  <c r="K24" i="41"/>
  <c r="K16" i="41"/>
  <c r="K9" i="41"/>
  <c r="K31" i="41"/>
  <c r="K29" i="41"/>
  <c r="K21" i="41"/>
  <c r="K13" i="41"/>
  <c r="K34" i="41"/>
  <c r="K26" i="41"/>
  <c r="K18" i="41"/>
  <c r="K10" i="41"/>
  <c r="K36" i="41"/>
  <c r="K28" i="41"/>
  <c r="K20" i="41"/>
  <c r="K12" i="41"/>
  <c r="K23" i="41"/>
  <c r="K8" i="41"/>
  <c r="K35" i="41"/>
  <c r="K14" i="41"/>
  <c r="K17" i="41"/>
  <c r="K7" i="41"/>
  <c r="K33" i="41"/>
  <c r="K30" i="41"/>
  <c r="K25" i="41"/>
  <c r="K15" i="41"/>
  <c r="K6" i="41"/>
  <c r="AD39" i="41"/>
  <c r="AD40" i="41" s="1"/>
  <c r="N12" i="40"/>
  <c r="M28" i="40"/>
  <c r="P8" i="40"/>
  <c r="J13" i="40"/>
  <c r="J18" i="40"/>
  <c r="O18" i="40" s="1"/>
  <c r="J21" i="40"/>
  <c r="O21" i="40" s="1"/>
  <c r="N28" i="40"/>
  <c r="J23" i="40"/>
  <c r="P23" i="40" s="1"/>
  <c r="O28" i="40"/>
  <c r="J14" i="40"/>
  <c r="J19" i="40"/>
  <c r="J32" i="40"/>
  <c r="M32" i="40" s="1"/>
  <c r="O6" i="40"/>
  <c r="O11" i="40"/>
  <c r="J20" i="40"/>
  <c r="J39" i="40" s="1"/>
  <c r="J25" i="40"/>
  <c r="N25" i="40" s="1"/>
  <c r="J33" i="40"/>
  <c r="L33" i="40" s="1"/>
  <c r="P11" i="40"/>
  <c r="M16" i="40"/>
  <c r="L27" i="40"/>
  <c r="L12" i="40"/>
  <c r="O16" i="40"/>
  <c r="L19" i="40"/>
  <c r="M24" i="40"/>
  <c r="N27" i="40"/>
  <c r="P28" i="40"/>
  <c r="J34" i="40"/>
  <c r="M12" i="40"/>
  <c r="M14" i="40"/>
  <c r="P16" i="40"/>
  <c r="O24" i="40"/>
  <c r="O27" i="40"/>
  <c r="J29" i="40"/>
  <c r="J31" i="40"/>
  <c r="M31" i="40" s="1"/>
  <c r="P24" i="40"/>
  <c r="P27" i="40"/>
  <c r="M8" i="40"/>
  <c r="L11" i="40"/>
  <c r="O12" i="40"/>
  <c r="L17" i="40"/>
  <c r="P19" i="40"/>
  <c r="N21" i="40"/>
  <c r="M6" i="40"/>
  <c r="O8" i="40"/>
  <c r="N11" i="40"/>
  <c r="P14" i="40"/>
  <c r="P21" i="40"/>
  <c r="J26" i="40"/>
  <c r="M26" i="40" s="1"/>
  <c r="J30" i="40"/>
  <c r="O32" i="40"/>
  <c r="P25" i="40"/>
  <c r="O25" i="40"/>
  <c r="P17" i="40"/>
  <c r="O17" i="40"/>
  <c r="N17" i="40"/>
  <c r="P18" i="40"/>
  <c r="N18" i="40"/>
  <c r="N23" i="40"/>
  <c r="M23" i="40"/>
  <c r="L35" i="40"/>
  <c r="N35" i="40"/>
  <c r="P35" i="40"/>
  <c r="O35" i="40"/>
  <c r="O15" i="40"/>
  <c r="N15" i="40"/>
  <c r="M15" i="40"/>
  <c r="L15" i="40"/>
  <c r="O31" i="40"/>
  <c r="N31" i="40"/>
  <c r="P9" i="40"/>
  <c r="O9" i="40"/>
  <c r="N9" i="40"/>
  <c r="P10" i="40"/>
  <c r="N10" i="40"/>
  <c r="M10" i="40"/>
  <c r="L10" i="40"/>
  <c r="P15" i="40"/>
  <c r="O7" i="40"/>
  <c r="N7" i="40"/>
  <c r="M7" i="40"/>
  <c r="L7" i="40"/>
  <c r="M9" i="40"/>
  <c r="P33" i="40"/>
  <c r="O33" i="40"/>
  <c r="N33" i="40"/>
  <c r="M33" i="40"/>
  <c r="H39" i="40"/>
  <c r="AB36" i="40" s="1"/>
  <c r="AC36" i="40" s="1"/>
  <c r="L34" i="40"/>
  <c r="F48" i="40"/>
  <c r="L13" i="40"/>
  <c r="L21" i="40"/>
  <c r="M34" i="40"/>
  <c r="I37" i="40"/>
  <c r="K36" i="40" s="1"/>
  <c r="L8" i="40"/>
  <c r="M13" i="40"/>
  <c r="L16" i="40"/>
  <c r="M21" i="40"/>
  <c r="L24" i="40"/>
  <c r="N34" i="40"/>
  <c r="AB18" i="39"/>
  <c r="AC18" i="39" s="1"/>
  <c r="J28" i="39"/>
  <c r="P28" i="39" s="1"/>
  <c r="J9" i="39"/>
  <c r="L9" i="39" s="1"/>
  <c r="AB32" i="39"/>
  <c r="AC32" i="39" s="1"/>
  <c r="J11" i="39"/>
  <c r="O11" i="39" s="1"/>
  <c r="AB14" i="39"/>
  <c r="AC14" i="39" s="1"/>
  <c r="J20" i="39"/>
  <c r="P20" i="39" s="1"/>
  <c r="AB7" i="39"/>
  <c r="AC7" i="39" s="1"/>
  <c r="AB10" i="39"/>
  <c r="AC10" i="39" s="1"/>
  <c r="J13" i="39"/>
  <c r="M13" i="39" s="1"/>
  <c r="AB20" i="39"/>
  <c r="AC20" i="39" s="1"/>
  <c r="J26" i="39"/>
  <c r="N26" i="39" s="1"/>
  <c r="AB15" i="39"/>
  <c r="AC15" i="39" s="1"/>
  <c r="J24" i="39"/>
  <c r="P24" i="39" s="1"/>
  <c r="J27" i="39"/>
  <c r="P27" i="39" s="1"/>
  <c r="AB33" i="39"/>
  <c r="AC33" i="39" s="1"/>
  <c r="AB37" i="39"/>
  <c r="AC37" i="39" s="1"/>
  <c r="J17" i="39"/>
  <c r="P17" i="39" s="1"/>
  <c r="AB21" i="39"/>
  <c r="AC21" i="39" s="1"/>
  <c r="AB29" i="39"/>
  <c r="AC29" i="39" s="1"/>
  <c r="J34" i="39"/>
  <c r="N34" i="39" s="1"/>
  <c r="J16" i="39"/>
  <c r="L16" i="39" s="1"/>
  <c r="AB6" i="39"/>
  <c r="AC6" i="39" s="1"/>
  <c r="AB17" i="39"/>
  <c r="AC17" i="39" s="1"/>
  <c r="J23" i="39"/>
  <c r="L23" i="39" s="1"/>
  <c r="AB24" i="39"/>
  <c r="AC24" i="39" s="1"/>
  <c r="J31" i="39"/>
  <c r="O31" i="39" s="1"/>
  <c r="AB38" i="39"/>
  <c r="AC38" i="39" s="1"/>
  <c r="J21" i="39"/>
  <c r="M21" i="39" s="1"/>
  <c r="J29" i="39"/>
  <c r="M29" i="39" s="1"/>
  <c r="J7" i="39"/>
  <c r="O7" i="39" s="1"/>
  <c r="J10" i="39"/>
  <c r="L10" i="39" s="1"/>
  <c r="AB13" i="39"/>
  <c r="AC13" i="39" s="1"/>
  <c r="J18" i="39"/>
  <c r="N18" i="39" s="1"/>
  <c r="AB25" i="39"/>
  <c r="AC25" i="39" s="1"/>
  <c r="J32" i="39"/>
  <c r="L32" i="39" s="1"/>
  <c r="J8" i="39"/>
  <c r="L8" i="39" s="1"/>
  <c r="J12" i="39"/>
  <c r="M12" i="39" s="1"/>
  <c r="J15" i="39"/>
  <c r="M15" i="39" s="1"/>
  <c r="J19" i="39"/>
  <c r="P19" i="39" s="1"/>
  <c r="AB26" i="39"/>
  <c r="AC26" i="39" s="1"/>
  <c r="J33" i="39"/>
  <c r="N33" i="39" s="1"/>
  <c r="K34" i="39"/>
  <c r="Y34" i="39" s="1"/>
  <c r="K13" i="39"/>
  <c r="R13" i="39" s="1"/>
  <c r="K28" i="39"/>
  <c r="T28" i="39" s="1"/>
  <c r="K26" i="39"/>
  <c r="V26" i="39" s="1"/>
  <c r="K32" i="39"/>
  <c r="W32" i="39" s="1"/>
  <c r="K36" i="39"/>
  <c r="Q36" i="39" s="1"/>
  <c r="K9" i="39"/>
  <c r="K6" i="39"/>
  <c r="Z6" i="39" s="1"/>
  <c r="K33" i="39"/>
  <c r="Q33" i="39" s="1"/>
  <c r="K25" i="39"/>
  <c r="Q25" i="39" s="1"/>
  <c r="K23" i="39"/>
  <c r="Q23" i="39" s="1"/>
  <c r="K18" i="39"/>
  <c r="W18" i="39" s="1"/>
  <c r="K14" i="39"/>
  <c r="R14" i="39" s="1"/>
  <c r="K37" i="39"/>
  <c r="S37" i="39" s="1"/>
  <c r="K30" i="39"/>
  <c r="K21" i="39"/>
  <c r="X21" i="39" s="1"/>
  <c r="K16" i="39"/>
  <c r="X16" i="39" s="1"/>
  <c r="K15" i="39"/>
  <c r="R15" i="39" s="1"/>
  <c r="K12" i="39"/>
  <c r="Q12" i="39" s="1"/>
  <c r="K8" i="39"/>
  <c r="V8" i="39" s="1"/>
  <c r="K20" i="39"/>
  <c r="T20" i="39" s="1"/>
  <c r="K7" i="39"/>
  <c r="V7" i="39" s="1"/>
  <c r="K31" i="39"/>
  <c r="Y31" i="39" s="1"/>
  <c r="K35" i="39"/>
  <c r="Y35" i="39" s="1"/>
  <c r="K29" i="39"/>
  <c r="X29" i="39" s="1"/>
  <c r="K24" i="39"/>
  <c r="R24" i="39" s="1"/>
  <c r="K17" i="39"/>
  <c r="X17" i="39" s="1"/>
  <c r="K10" i="39"/>
  <c r="T10" i="39" s="1"/>
  <c r="AB8" i="39"/>
  <c r="AC8" i="39" s="1"/>
  <c r="J25" i="39"/>
  <c r="AB12" i="39"/>
  <c r="AC12" i="39" s="1"/>
  <c r="AB28" i="39"/>
  <c r="AC28" i="39" s="1"/>
  <c r="AB34" i="39"/>
  <c r="AC34" i="39" s="1"/>
  <c r="AB35" i="39"/>
  <c r="AC35" i="39" s="1"/>
  <c r="AB9" i="39"/>
  <c r="AC9" i="39" s="1"/>
  <c r="AB16" i="39"/>
  <c r="AC16" i="39" s="1"/>
  <c r="AB23" i="39"/>
  <c r="AC23" i="39" s="1"/>
  <c r="F47" i="39"/>
  <c r="AB30" i="39"/>
  <c r="AC30" i="39" s="1"/>
  <c r="AB27" i="39"/>
  <c r="AC27" i="39" s="1"/>
  <c r="AB19" i="39"/>
  <c r="AC19" i="39" s="1"/>
  <c r="AB11" i="39"/>
  <c r="AC11" i="39" s="1"/>
  <c r="J35" i="39"/>
  <c r="J30" i="39"/>
  <c r="J14" i="39"/>
  <c r="J6" i="39"/>
  <c r="AB36" i="39"/>
  <c r="AC36" i="39" s="1"/>
  <c r="P31" i="39"/>
  <c r="K27" i="39"/>
  <c r="K22" i="39"/>
  <c r="K19" i="39"/>
  <c r="K11" i="39"/>
  <c r="J52" i="38"/>
  <c r="J54" i="38" s="1"/>
  <c r="I52" i="38"/>
  <c r="P47" i="38"/>
  <c r="P46" i="38"/>
  <c r="R47" i="38" s="1"/>
  <c r="S47" i="38" s="1"/>
  <c r="H45" i="38"/>
  <c r="P44" i="38"/>
  <c r="O44" i="38"/>
  <c r="N44" i="38"/>
  <c r="M44" i="38"/>
  <c r="M3" i="38" s="1"/>
  <c r="M36" i="38" s="1"/>
  <c r="L44" i="38"/>
  <c r="H44" i="38"/>
  <c r="Q40" i="38"/>
  <c r="AA39" i="38"/>
  <c r="AA40" i="38" s="1"/>
  <c r="Q39" i="38"/>
  <c r="H39" i="38"/>
  <c r="AB37" i="38" s="1"/>
  <c r="AC37" i="38" s="1"/>
  <c r="P36" i="38"/>
  <c r="I35" i="38"/>
  <c r="J7" i="38" s="1"/>
  <c r="O3" i="38"/>
  <c r="N3" i="38"/>
  <c r="L3" i="38"/>
  <c r="L36" i="38" s="1"/>
  <c r="J54" i="37"/>
  <c r="J52" i="37"/>
  <c r="I52" i="37"/>
  <c r="R47" i="37"/>
  <c r="S47" i="37" s="1"/>
  <c r="P47" i="37"/>
  <c r="P46" i="37"/>
  <c r="H45" i="37"/>
  <c r="P44" i="37"/>
  <c r="O44" i="37"/>
  <c r="N44" i="37"/>
  <c r="M44" i="37"/>
  <c r="L44" i="37"/>
  <c r="H44" i="37"/>
  <c r="H39" i="37"/>
  <c r="AB37" i="37" s="1"/>
  <c r="AC37" i="37" s="1"/>
  <c r="P37" i="37"/>
  <c r="O37" i="37"/>
  <c r="N37" i="37"/>
  <c r="M37" i="37"/>
  <c r="L37" i="37"/>
  <c r="P35" i="37"/>
  <c r="O35" i="37"/>
  <c r="N35" i="37"/>
  <c r="M35" i="37"/>
  <c r="L35" i="37"/>
  <c r="I34" i="37"/>
  <c r="I36" i="37" s="1"/>
  <c r="K34" i="37" s="1"/>
  <c r="Q14" i="37"/>
  <c r="Q39" i="37" s="1"/>
  <c r="P14" i="37"/>
  <c r="O14" i="37"/>
  <c r="N14" i="37"/>
  <c r="M14" i="37"/>
  <c r="L14" i="37"/>
  <c r="I60" i="36"/>
  <c r="N58" i="36"/>
  <c r="I53" i="36"/>
  <c r="H47" i="36"/>
  <c r="P46" i="36"/>
  <c r="O46" i="36"/>
  <c r="N46" i="36"/>
  <c r="M46" i="36"/>
  <c r="L46" i="36"/>
  <c r="H45" i="36"/>
  <c r="H44" i="36"/>
  <c r="H46" i="36" s="1"/>
  <c r="Q39" i="36"/>
  <c r="H39" i="36"/>
  <c r="K6" i="36" s="1"/>
  <c r="P37" i="36"/>
  <c r="O37" i="36"/>
  <c r="N37" i="36"/>
  <c r="M37" i="36"/>
  <c r="L37" i="36"/>
  <c r="H36" i="36"/>
  <c r="P35" i="36"/>
  <c r="O35" i="36"/>
  <c r="N35" i="36"/>
  <c r="M35" i="36"/>
  <c r="L35" i="36"/>
  <c r="H35" i="36"/>
  <c r="I34" i="36"/>
  <c r="I36" i="36" s="1"/>
  <c r="K29" i="36" s="1"/>
  <c r="AA14" i="36"/>
  <c r="Q14" i="36"/>
  <c r="P14" i="36"/>
  <c r="O14" i="36"/>
  <c r="N14" i="36"/>
  <c r="M14" i="36"/>
  <c r="L14" i="36"/>
  <c r="I60" i="35"/>
  <c r="I53" i="35"/>
  <c r="H47" i="35"/>
  <c r="P46" i="35"/>
  <c r="O46" i="35"/>
  <c r="N46" i="35"/>
  <c r="M46" i="35"/>
  <c r="L46" i="35"/>
  <c r="H46" i="35"/>
  <c r="H39" i="35"/>
  <c r="AB37" i="35" s="1"/>
  <c r="AC37" i="35" s="1"/>
  <c r="P37" i="35"/>
  <c r="O37" i="35"/>
  <c r="N37" i="35"/>
  <c r="M37" i="35"/>
  <c r="L37" i="35"/>
  <c r="P35" i="35"/>
  <c r="O35" i="35"/>
  <c r="N35" i="35"/>
  <c r="M35" i="35"/>
  <c r="L35" i="35"/>
  <c r="I34" i="35"/>
  <c r="J10" i="35" s="1"/>
  <c r="O10" i="35" s="1"/>
  <c r="AA14" i="35"/>
  <c r="Q14" i="35"/>
  <c r="Q39" i="35" s="1"/>
  <c r="P14" i="35"/>
  <c r="O14" i="35"/>
  <c r="N14" i="35"/>
  <c r="M14" i="35"/>
  <c r="L14" i="35"/>
  <c r="H44" i="34"/>
  <c r="O43" i="34"/>
  <c r="N43" i="34"/>
  <c r="N3" i="34" s="1"/>
  <c r="N36" i="34" s="1"/>
  <c r="M43" i="34"/>
  <c r="M3" i="34" s="1"/>
  <c r="M36" i="34" s="1"/>
  <c r="L43" i="34"/>
  <c r="L3" i="34" s="1"/>
  <c r="L36" i="34" s="1"/>
  <c r="K43" i="34"/>
  <c r="K3" i="34" s="1"/>
  <c r="K36" i="34" s="1"/>
  <c r="H43" i="34"/>
  <c r="H45" i="34" s="1"/>
  <c r="P38" i="34"/>
  <c r="H38" i="34"/>
  <c r="AA25" i="34" s="1"/>
  <c r="AB25" i="34" s="1"/>
  <c r="Y36" i="34"/>
  <c r="X36" i="34"/>
  <c r="W36" i="34"/>
  <c r="V36" i="34"/>
  <c r="U36" i="34"/>
  <c r="T36" i="34"/>
  <c r="S36" i="34"/>
  <c r="R36" i="34"/>
  <c r="Q36" i="34"/>
  <c r="W35" i="34"/>
  <c r="U35" i="34"/>
  <c r="I35" i="34"/>
  <c r="G5" i="34"/>
  <c r="O3" i="34"/>
  <c r="O36" i="34" s="1"/>
  <c r="AA39" i="41" l="1"/>
  <c r="O39" i="41"/>
  <c r="O40" i="41" s="1"/>
  <c r="M39" i="41"/>
  <c r="M40" i="41" s="1"/>
  <c r="N39" i="41"/>
  <c r="N40" i="41" s="1"/>
  <c r="Q39" i="41"/>
  <c r="Q40" i="41" s="1"/>
  <c r="P39" i="41"/>
  <c r="P40" i="41" s="1"/>
  <c r="AB6" i="41"/>
  <c r="S6" i="41"/>
  <c r="Z6" i="41"/>
  <c r="R6" i="41"/>
  <c r="Y6" i="41"/>
  <c r="X6" i="41"/>
  <c r="V6" i="41"/>
  <c r="W6" i="41"/>
  <c r="U6" i="41"/>
  <c r="T6" i="41"/>
  <c r="K39" i="41"/>
  <c r="U24" i="41"/>
  <c r="T24" i="41"/>
  <c r="AB24" i="41"/>
  <c r="S24" i="41"/>
  <c r="Z24" i="41"/>
  <c r="R24" i="41"/>
  <c r="X24" i="41"/>
  <c r="W24" i="41"/>
  <c r="V24" i="41"/>
  <c r="Y24" i="41"/>
  <c r="Z25" i="41"/>
  <c r="R25" i="41"/>
  <c r="Y25" i="41"/>
  <c r="X25" i="41"/>
  <c r="W25" i="41"/>
  <c r="U25" i="41"/>
  <c r="AB25" i="41"/>
  <c r="V25" i="41"/>
  <c r="T25" i="41"/>
  <c r="S25" i="41"/>
  <c r="X23" i="41"/>
  <c r="W23" i="41"/>
  <c r="V23" i="41"/>
  <c r="U23" i="41"/>
  <c r="AB23" i="41"/>
  <c r="S23" i="41"/>
  <c r="Y23" i="41"/>
  <c r="T23" i="41"/>
  <c r="R23" i="41"/>
  <c r="Z23" i="41"/>
  <c r="W34" i="41"/>
  <c r="AB34" i="41"/>
  <c r="V34" i="41"/>
  <c r="S34" i="41"/>
  <c r="U34" i="41"/>
  <c r="T34" i="41"/>
  <c r="Z34" i="41"/>
  <c r="R34" i="41"/>
  <c r="Y34" i="41"/>
  <c r="X34" i="41"/>
  <c r="U32" i="41"/>
  <c r="T32" i="41"/>
  <c r="Y32" i="41"/>
  <c r="AB32" i="41"/>
  <c r="S32" i="41"/>
  <c r="Z32" i="41"/>
  <c r="R32" i="41"/>
  <c r="X32" i="41"/>
  <c r="V32" i="41"/>
  <c r="W32" i="41"/>
  <c r="W26" i="41"/>
  <c r="S26" i="41"/>
  <c r="V26" i="41"/>
  <c r="U26" i="41"/>
  <c r="T26" i="41"/>
  <c r="AB26" i="41"/>
  <c r="Z26" i="41"/>
  <c r="R26" i="41"/>
  <c r="Y26" i="41"/>
  <c r="X26" i="41"/>
  <c r="AB30" i="41"/>
  <c r="S30" i="41"/>
  <c r="Z30" i="41"/>
  <c r="R30" i="41"/>
  <c r="Y30" i="41"/>
  <c r="X30" i="41"/>
  <c r="W30" i="41"/>
  <c r="V30" i="41"/>
  <c r="U30" i="41"/>
  <c r="T30" i="41"/>
  <c r="Y12" i="41"/>
  <c r="X12" i="41"/>
  <c r="W12" i="41"/>
  <c r="V12" i="41"/>
  <c r="T12" i="41"/>
  <c r="R12" i="41"/>
  <c r="Z12" i="41"/>
  <c r="U12" i="41"/>
  <c r="AB12" i="41"/>
  <c r="S12" i="41"/>
  <c r="V13" i="41"/>
  <c r="U13" i="41"/>
  <c r="T13" i="41"/>
  <c r="AB13" i="41"/>
  <c r="S13" i="41"/>
  <c r="Y13" i="41"/>
  <c r="W13" i="41"/>
  <c r="Z13" i="41"/>
  <c r="X13" i="41"/>
  <c r="R13" i="41"/>
  <c r="T11" i="41"/>
  <c r="AB11" i="41"/>
  <c r="S11" i="41"/>
  <c r="Z11" i="41"/>
  <c r="R11" i="41"/>
  <c r="Y11" i="41"/>
  <c r="W11" i="41"/>
  <c r="X11" i="41"/>
  <c r="V11" i="41"/>
  <c r="U11" i="41"/>
  <c r="X15" i="41"/>
  <c r="W15" i="41"/>
  <c r="V15" i="41"/>
  <c r="U15" i="41"/>
  <c r="AB15" i="41"/>
  <c r="S15" i="41"/>
  <c r="T15" i="41"/>
  <c r="R15" i="41"/>
  <c r="Z15" i="41"/>
  <c r="Y15" i="41"/>
  <c r="Z33" i="41"/>
  <c r="R33" i="41"/>
  <c r="V33" i="41"/>
  <c r="Y33" i="41"/>
  <c r="X33" i="41"/>
  <c r="W33" i="41"/>
  <c r="U33" i="41"/>
  <c r="AB33" i="41"/>
  <c r="T33" i="41"/>
  <c r="S33" i="41"/>
  <c r="Y20" i="41"/>
  <c r="X20" i="41"/>
  <c r="W20" i="41"/>
  <c r="V20" i="41"/>
  <c r="T20" i="41"/>
  <c r="Z20" i="41"/>
  <c r="U20" i="41"/>
  <c r="S20" i="41"/>
  <c r="R20" i="41"/>
  <c r="AB20" i="41"/>
  <c r="V21" i="41"/>
  <c r="U21" i="41"/>
  <c r="T21" i="41"/>
  <c r="AB21" i="41"/>
  <c r="S21" i="41"/>
  <c r="Y21" i="41"/>
  <c r="X21" i="41"/>
  <c r="W21" i="41"/>
  <c r="R21" i="41"/>
  <c r="Z21" i="41"/>
  <c r="T19" i="41"/>
  <c r="AB19" i="41"/>
  <c r="S19" i="41"/>
  <c r="Z19" i="41"/>
  <c r="R19" i="41"/>
  <c r="Y19" i="41"/>
  <c r="W19" i="41"/>
  <c r="V19" i="41"/>
  <c r="U19" i="41"/>
  <c r="X19" i="41"/>
  <c r="U16" i="41"/>
  <c r="T16" i="41"/>
  <c r="AB16" i="41"/>
  <c r="S16" i="41"/>
  <c r="Z16" i="41"/>
  <c r="R16" i="41"/>
  <c r="X16" i="41"/>
  <c r="V16" i="41"/>
  <c r="Y16" i="41"/>
  <c r="W16" i="41"/>
  <c r="X7" i="41"/>
  <c r="W7" i="41"/>
  <c r="V7" i="41"/>
  <c r="U7" i="41"/>
  <c r="AB7" i="41"/>
  <c r="S7" i="41"/>
  <c r="Z7" i="41"/>
  <c r="Y7" i="41"/>
  <c r="T7" i="41"/>
  <c r="R7" i="41"/>
  <c r="Y28" i="41"/>
  <c r="X28" i="41"/>
  <c r="W28" i="41"/>
  <c r="V28" i="41"/>
  <c r="U28" i="41"/>
  <c r="T28" i="41"/>
  <c r="R28" i="41"/>
  <c r="AB28" i="41"/>
  <c r="Z28" i="41"/>
  <c r="S28" i="41"/>
  <c r="V29" i="41"/>
  <c r="U29" i="41"/>
  <c r="T29" i="41"/>
  <c r="Z29" i="41"/>
  <c r="AB29" i="41"/>
  <c r="S29" i="41"/>
  <c r="R29" i="41"/>
  <c r="Y29" i="41"/>
  <c r="W29" i="41"/>
  <c r="X29" i="41"/>
  <c r="Y22" i="41"/>
  <c r="X22" i="41"/>
  <c r="W22" i="41"/>
  <c r="V22" i="41"/>
  <c r="T22" i="41"/>
  <c r="AB22" i="41"/>
  <c r="Z22" i="41"/>
  <c r="U22" i="41"/>
  <c r="R22" i="41"/>
  <c r="S22" i="41"/>
  <c r="W18" i="41"/>
  <c r="V18" i="41"/>
  <c r="U18" i="41"/>
  <c r="T18" i="41"/>
  <c r="Z18" i="41"/>
  <c r="R18" i="41"/>
  <c r="Y18" i="41"/>
  <c r="X18" i="41"/>
  <c r="S18" i="41"/>
  <c r="AB18" i="41"/>
  <c r="Z8" i="41"/>
  <c r="R8" i="41"/>
  <c r="Y8" i="41"/>
  <c r="X8" i="41"/>
  <c r="W8" i="41"/>
  <c r="U8" i="41"/>
  <c r="T8" i="41"/>
  <c r="V8" i="41"/>
  <c r="AB8" i="41"/>
  <c r="S8" i="41"/>
  <c r="Z17" i="41"/>
  <c r="R17" i="41"/>
  <c r="Y17" i="41"/>
  <c r="X17" i="41"/>
  <c r="W17" i="41"/>
  <c r="U17" i="41"/>
  <c r="V17" i="41"/>
  <c r="T17" i="41"/>
  <c r="S17" i="41"/>
  <c r="AB17" i="41"/>
  <c r="X36" i="41"/>
  <c r="W36" i="41"/>
  <c r="V36" i="41"/>
  <c r="T36" i="41"/>
  <c r="U36" i="41"/>
  <c r="AB36" i="41"/>
  <c r="S36" i="41"/>
  <c r="R36" i="41"/>
  <c r="Z36" i="41"/>
  <c r="Y36" i="41"/>
  <c r="X31" i="41"/>
  <c r="W31" i="41"/>
  <c r="V31" i="41"/>
  <c r="T31" i="41"/>
  <c r="U31" i="41"/>
  <c r="AB31" i="41"/>
  <c r="S31" i="41"/>
  <c r="R31" i="41"/>
  <c r="Y31" i="41"/>
  <c r="Z31" i="41"/>
  <c r="T27" i="41"/>
  <c r="X27" i="41"/>
  <c r="AB27" i="41"/>
  <c r="S27" i="41"/>
  <c r="Z27" i="41"/>
  <c r="R27" i="41"/>
  <c r="Y27" i="41"/>
  <c r="W27" i="41"/>
  <c r="V27" i="41"/>
  <c r="U27" i="41"/>
  <c r="AB35" i="41"/>
  <c r="S35" i="41"/>
  <c r="W35" i="41"/>
  <c r="Z35" i="41"/>
  <c r="R35" i="41"/>
  <c r="Y35" i="41"/>
  <c r="X35" i="41"/>
  <c r="V35" i="41"/>
  <c r="T35" i="41"/>
  <c r="U35" i="41"/>
  <c r="AB14" i="41"/>
  <c r="S14" i="41"/>
  <c r="Z14" i="41"/>
  <c r="R14" i="41"/>
  <c r="Y14" i="41"/>
  <c r="X14" i="41"/>
  <c r="V14" i="41"/>
  <c r="W14" i="41"/>
  <c r="T14" i="41"/>
  <c r="U14" i="41"/>
  <c r="W10" i="41"/>
  <c r="V10" i="41"/>
  <c r="U10" i="41"/>
  <c r="T10" i="41"/>
  <c r="Z10" i="41"/>
  <c r="R10" i="41"/>
  <c r="Y10" i="41"/>
  <c r="AB10" i="41"/>
  <c r="X10" i="41"/>
  <c r="S10" i="41"/>
  <c r="U9" i="41"/>
  <c r="T9" i="41"/>
  <c r="S9" i="41"/>
  <c r="AB9" i="41"/>
  <c r="Z9" i="41"/>
  <c r="R9" i="41"/>
  <c r="X9" i="41"/>
  <c r="V9" i="41"/>
  <c r="Y9" i="41"/>
  <c r="W9" i="41"/>
  <c r="Y37" i="41"/>
  <c r="U37" i="41"/>
  <c r="X37" i="41"/>
  <c r="W37" i="41"/>
  <c r="V37" i="41"/>
  <c r="T37" i="41"/>
  <c r="Z37" i="41"/>
  <c r="S37" i="41"/>
  <c r="R37" i="41"/>
  <c r="AB37" i="41"/>
  <c r="L23" i="40"/>
  <c r="N32" i="40"/>
  <c r="P32" i="40"/>
  <c r="O13" i="40"/>
  <c r="N13" i="40"/>
  <c r="P31" i="40"/>
  <c r="O23" i="40"/>
  <c r="L25" i="40"/>
  <c r="P13" i="40"/>
  <c r="M19" i="40"/>
  <c r="O19" i="40"/>
  <c r="L32" i="40"/>
  <c r="L31" i="40"/>
  <c r="L18" i="40"/>
  <c r="M25" i="40"/>
  <c r="L14" i="40"/>
  <c r="O14" i="40"/>
  <c r="N14" i="40"/>
  <c r="P20" i="40"/>
  <c r="L20" i="40"/>
  <c r="N20" i="40"/>
  <c r="M20" i="40"/>
  <c r="M18" i="40"/>
  <c r="N19" i="40"/>
  <c r="O20" i="40"/>
  <c r="P26" i="40"/>
  <c r="O26" i="40"/>
  <c r="O29" i="40"/>
  <c r="P29" i="40"/>
  <c r="N29" i="40"/>
  <c r="L26" i="40"/>
  <c r="M29" i="40"/>
  <c r="M39" i="40" s="1"/>
  <c r="M40" i="40" s="1"/>
  <c r="N26" i="40"/>
  <c r="L29" i="40"/>
  <c r="L30" i="40"/>
  <c r="N30" i="40"/>
  <c r="P30" i="40"/>
  <c r="O30" i="40"/>
  <c r="M30" i="40"/>
  <c r="P34" i="40"/>
  <c r="O34" i="40"/>
  <c r="Y36" i="40"/>
  <c r="Q36" i="40"/>
  <c r="X36" i="40"/>
  <c r="W36" i="40"/>
  <c r="S36" i="40"/>
  <c r="V36" i="40"/>
  <c r="U36" i="40"/>
  <c r="T36" i="40"/>
  <c r="Z36" i="40"/>
  <c r="R36" i="40"/>
  <c r="K37" i="40"/>
  <c r="K33" i="40"/>
  <c r="K25" i="40"/>
  <c r="K17" i="40"/>
  <c r="K9" i="40"/>
  <c r="K27" i="40"/>
  <c r="K22" i="40"/>
  <c r="K19" i="40"/>
  <c r="K11" i="40"/>
  <c r="K32" i="40"/>
  <c r="K24" i="40"/>
  <c r="K16" i="40"/>
  <c r="K8" i="40"/>
  <c r="K29" i="40"/>
  <c r="K21" i="40"/>
  <c r="K13" i="40"/>
  <c r="K31" i="40"/>
  <c r="K34" i="40"/>
  <c r="K26" i="40"/>
  <c r="K18" i="40"/>
  <c r="K10" i="40"/>
  <c r="K7" i="40"/>
  <c r="K12" i="40"/>
  <c r="K28" i="40"/>
  <c r="K15" i="40"/>
  <c r="K23" i="40"/>
  <c r="K6" i="40"/>
  <c r="K30" i="40"/>
  <c r="K35" i="40"/>
  <c r="K20" i="40"/>
  <c r="K14" i="40"/>
  <c r="AB33" i="40"/>
  <c r="AC33" i="40" s="1"/>
  <c r="AB25" i="40"/>
  <c r="AC25" i="40" s="1"/>
  <c r="AB17" i="40"/>
  <c r="AC17" i="40" s="1"/>
  <c r="AB9" i="40"/>
  <c r="AC9" i="40" s="1"/>
  <c r="AB35" i="40"/>
  <c r="AC35" i="40" s="1"/>
  <c r="AB27" i="40"/>
  <c r="AC27" i="40" s="1"/>
  <c r="AB19" i="40"/>
  <c r="AC19" i="40" s="1"/>
  <c r="AB11" i="40"/>
  <c r="AC11" i="40" s="1"/>
  <c r="AB31" i="40"/>
  <c r="AC31" i="40" s="1"/>
  <c r="AB32" i="40"/>
  <c r="AC32" i="40" s="1"/>
  <c r="AB24" i="40"/>
  <c r="AC24" i="40" s="1"/>
  <c r="AB16" i="40"/>
  <c r="AC16" i="40" s="1"/>
  <c r="AB8" i="40"/>
  <c r="AC8" i="40" s="1"/>
  <c r="AB29" i="40"/>
  <c r="AC29" i="40" s="1"/>
  <c r="AB21" i="40"/>
  <c r="AC21" i="40" s="1"/>
  <c r="AB13" i="40"/>
  <c r="AC13" i="40" s="1"/>
  <c r="H46" i="40"/>
  <c r="AB38" i="40"/>
  <c r="AC38" i="40" s="1"/>
  <c r="AB34" i="40"/>
  <c r="AC34" i="40" s="1"/>
  <c r="AB26" i="40"/>
  <c r="AC26" i="40" s="1"/>
  <c r="AB18" i="40"/>
  <c r="AC18" i="40" s="1"/>
  <c r="AB10" i="40"/>
  <c r="AC10" i="40" s="1"/>
  <c r="AB12" i="40"/>
  <c r="AC12" i="40" s="1"/>
  <c r="AB28" i="40"/>
  <c r="AC28" i="40" s="1"/>
  <c r="AB20" i="40"/>
  <c r="AC20" i="40" s="1"/>
  <c r="AB7" i="40"/>
  <c r="AC7" i="40" s="1"/>
  <c r="AB6" i="40"/>
  <c r="AB30" i="40"/>
  <c r="AC30" i="40" s="1"/>
  <c r="AB15" i="40"/>
  <c r="AC15" i="40" s="1"/>
  <c r="AB14" i="40"/>
  <c r="AC14" i="40" s="1"/>
  <c r="AB37" i="40"/>
  <c r="AC37" i="40" s="1"/>
  <c r="AB23" i="40"/>
  <c r="AC23" i="40" s="1"/>
  <c r="N9" i="39"/>
  <c r="O9" i="39"/>
  <c r="O17" i="39"/>
  <c r="N17" i="39"/>
  <c r="P9" i="39"/>
  <c r="M9" i="39"/>
  <c r="R35" i="39"/>
  <c r="U18" i="39"/>
  <c r="O32" i="39"/>
  <c r="T25" i="39"/>
  <c r="O21" i="39"/>
  <c r="X15" i="39"/>
  <c r="Z15" i="39"/>
  <c r="V33" i="39"/>
  <c r="N11" i="39"/>
  <c r="M11" i="39"/>
  <c r="Z14" i="39"/>
  <c r="L18" i="39"/>
  <c r="N16" i="39"/>
  <c r="X8" i="39"/>
  <c r="P13" i="39"/>
  <c r="O28" i="39"/>
  <c r="L28" i="39"/>
  <c r="N13" i="39"/>
  <c r="O13" i="39"/>
  <c r="Q26" i="39"/>
  <c r="N28" i="39"/>
  <c r="W26" i="39"/>
  <c r="L13" i="39"/>
  <c r="U8" i="39"/>
  <c r="M28" i="39"/>
  <c r="M16" i="39"/>
  <c r="P7" i="39"/>
  <c r="V20" i="39"/>
  <c r="W8" i="39"/>
  <c r="M20" i="39"/>
  <c r="L27" i="39"/>
  <c r="N29" i="39"/>
  <c r="W34" i="39"/>
  <c r="Q18" i="39"/>
  <c r="R26" i="39"/>
  <c r="V32" i="39"/>
  <c r="M7" i="39"/>
  <c r="Y26" i="39"/>
  <c r="N12" i="39"/>
  <c r="L15" i="39"/>
  <c r="Y20" i="39"/>
  <c r="X14" i="39"/>
  <c r="T14" i="39"/>
  <c r="O19" i="39"/>
  <c r="O29" i="39"/>
  <c r="L29" i="39"/>
  <c r="T29" i="39"/>
  <c r="N20" i="39"/>
  <c r="W33" i="39"/>
  <c r="O20" i="39"/>
  <c r="Y18" i="39"/>
  <c r="X18" i="39"/>
  <c r="L20" i="39"/>
  <c r="T18" i="39"/>
  <c r="Z18" i="39"/>
  <c r="L34" i="39"/>
  <c r="Q16" i="39"/>
  <c r="M31" i="39"/>
  <c r="O26" i="39"/>
  <c r="Q29" i="39"/>
  <c r="N31" i="39"/>
  <c r="U32" i="39"/>
  <c r="S8" i="39"/>
  <c r="U26" i="39"/>
  <c r="L12" i="39"/>
  <c r="S26" i="39"/>
  <c r="Y29" i="39"/>
  <c r="Z26" i="39"/>
  <c r="L31" i="39"/>
  <c r="X26" i="39"/>
  <c r="T26" i="39"/>
  <c r="Q34" i="39"/>
  <c r="L26" i="39"/>
  <c r="U12" i="39"/>
  <c r="R28" i="39"/>
  <c r="S23" i="39"/>
  <c r="M8" i="39"/>
  <c r="W17" i="39"/>
  <c r="M27" i="39"/>
  <c r="P11" i="39"/>
  <c r="R17" i="39"/>
  <c r="V28" i="39"/>
  <c r="Y13" i="39"/>
  <c r="L11" i="39"/>
  <c r="Y25" i="39"/>
  <c r="S15" i="39"/>
  <c r="Y15" i="39"/>
  <c r="L17" i="39"/>
  <c r="N32" i="39"/>
  <c r="U24" i="39"/>
  <c r="U15" i="39"/>
  <c r="M26" i="39"/>
  <c r="X31" i="39"/>
  <c r="Z36" i="39"/>
  <c r="M19" i="39"/>
  <c r="Y7" i="39"/>
  <c r="N7" i="39"/>
  <c r="Y33" i="39"/>
  <c r="N27" i="39"/>
  <c r="U16" i="39"/>
  <c r="M34" i="39"/>
  <c r="P29" i="39"/>
  <c r="P16" i="39"/>
  <c r="O16" i="39"/>
  <c r="U17" i="39"/>
  <c r="U34" i="39"/>
  <c r="W37" i="39"/>
  <c r="Y36" i="39"/>
  <c r="R37" i="39"/>
  <c r="S32" i="39"/>
  <c r="V16" i="39"/>
  <c r="Q17" i="39"/>
  <c r="R36" i="39"/>
  <c r="Y28" i="39"/>
  <c r="N19" i="39"/>
  <c r="Z37" i="39"/>
  <c r="T36" i="39"/>
  <c r="M10" i="39"/>
  <c r="S36" i="39"/>
  <c r="T12" i="39"/>
  <c r="O18" i="39"/>
  <c r="N21" i="39"/>
  <c r="U35" i="39"/>
  <c r="T35" i="39"/>
  <c r="Q28" i="39"/>
  <c r="U37" i="39"/>
  <c r="O27" i="39"/>
  <c r="T37" i="39"/>
  <c r="Z23" i="39"/>
  <c r="Q37" i="39"/>
  <c r="P26" i="39"/>
  <c r="X37" i="39"/>
  <c r="W21" i="39"/>
  <c r="L21" i="39"/>
  <c r="T21" i="39"/>
  <c r="L19" i="39"/>
  <c r="P8" i="39"/>
  <c r="O8" i="39"/>
  <c r="Y6" i="39"/>
  <c r="V37" i="39"/>
  <c r="S12" i="39"/>
  <c r="Y37" i="39"/>
  <c r="N8" i="39"/>
  <c r="X32" i="39"/>
  <c r="T13" i="39"/>
  <c r="R6" i="39"/>
  <c r="Z35" i="39"/>
  <c r="Z28" i="39"/>
  <c r="P18" i="39"/>
  <c r="V6" i="39"/>
  <c r="U33" i="39"/>
  <c r="Q15" i="39"/>
  <c r="W6" i="39"/>
  <c r="V17" i="39"/>
  <c r="Z12" i="39"/>
  <c r="U28" i="39"/>
  <c r="Z34" i="39"/>
  <c r="V34" i="39"/>
  <c r="M33" i="39"/>
  <c r="O34" i="39"/>
  <c r="Z16" i="39"/>
  <c r="L33" i="39"/>
  <c r="W29" i="39"/>
  <c r="M17" i="39"/>
  <c r="V15" i="39"/>
  <c r="R34" i="39"/>
  <c r="P32" i="39"/>
  <c r="N10" i="39"/>
  <c r="P10" i="39"/>
  <c r="O10" i="39"/>
  <c r="W16" i="39"/>
  <c r="X34" i="39"/>
  <c r="P21" i="39"/>
  <c r="O15" i="39"/>
  <c r="P15" i="39"/>
  <c r="Z29" i="39"/>
  <c r="U23" i="39"/>
  <c r="R16" i="39"/>
  <c r="Y17" i="39"/>
  <c r="T23" i="39"/>
  <c r="M32" i="39"/>
  <c r="L7" i="39"/>
  <c r="W28" i="39"/>
  <c r="M18" i="39"/>
  <c r="V29" i="39"/>
  <c r="S34" i="39"/>
  <c r="N15" i="39"/>
  <c r="P33" i="39"/>
  <c r="P34" i="39"/>
  <c r="P12" i="39"/>
  <c r="O12" i="39"/>
  <c r="T33" i="39"/>
  <c r="T34" i="39"/>
  <c r="O33" i="39"/>
  <c r="Y16" i="39"/>
  <c r="O23" i="39"/>
  <c r="P23" i="39"/>
  <c r="N23" i="39"/>
  <c r="M23" i="39"/>
  <c r="L24" i="39"/>
  <c r="N24" i="39"/>
  <c r="M24" i="39"/>
  <c r="O24" i="39"/>
  <c r="AC39" i="39"/>
  <c r="AC40" i="39" s="1"/>
  <c r="S35" i="39"/>
  <c r="W35" i="39"/>
  <c r="V35" i="39"/>
  <c r="X35" i="39"/>
  <c r="Q35" i="39"/>
  <c r="U21" i="39"/>
  <c r="Q21" i="39"/>
  <c r="Z21" i="39"/>
  <c r="Y21" i="39"/>
  <c r="R21" i="39"/>
  <c r="X6" i="39"/>
  <c r="Q6" i="39"/>
  <c r="S6" i="39"/>
  <c r="S30" i="39"/>
  <c r="Q30" i="39"/>
  <c r="W7" i="39"/>
  <c r="U7" i="39"/>
  <c r="S7" i="39"/>
  <c r="R7" i="39"/>
  <c r="Z7" i="39"/>
  <c r="Q7" i="39"/>
  <c r="X7" i="39"/>
  <c r="X36" i="39"/>
  <c r="W36" i="39"/>
  <c r="V36" i="39"/>
  <c r="U36" i="39"/>
  <c r="S9" i="39"/>
  <c r="Z9" i="39"/>
  <c r="X9" i="39"/>
  <c r="R9" i="39"/>
  <c r="X30" i="39"/>
  <c r="V31" i="39"/>
  <c r="T9" i="39"/>
  <c r="T31" i="39"/>
  <c r="X20" i="39"/>
  <c r="U20" i="39"/>
  <c r="Z20" i="39"/>
  <c r="S20" i="39"/>
  <c r="W20" i="39"/>
  <c r="R20" i="39"/>
  <c r="Q20" i="39"/>
  <c r="Q14" i="39"/>
  <c r="W14" i="39"/>
  <c r="V14" i="39"/>
  <c r="U14" i="39"/>
  <c r="Y14" i="39"/>
  <c r="S14" i="39"/>
  <c r="T32" i="39"/>
  <c r="Z32" i="39"/>
  <c r="Y32" i="39"/>
  <c r="R32" i="39"/>
  <c r="Q32" i="39"/>
  <c r="V9" i="39"/>
  <c r="V30" i="39"/>
  <c r="Q9" i="39"/>
  <c r="U30" i="39"/>
  <c r="T30" i="39"/>
  <c r="V10" i="39"/>
  <c r="W10" i="39"/>
  <c r="U10" i="39"/>
  <c r="Z10" i="39"/>
  <c r="Y10" i="39"/>
  <c r="S10" i="39"/>
  <c r="X10" i="39"/>
  <c r="R10" i="39"/>
  <c r="Q10" i="39"/>
  <c r="T8" i="39"/>
  <c r="Y8" i="39"/>
  <c r="R8" i="39"/>
  <c r="Q8" i="39"/>
  <c r="Z8" i="39"/>
  <c r="V18" i="39"/>
  <c r="S18" i="39"/>
  <c r="R18" i="39"/>
  <c r="W30" i="39"/>
  <c r="Y9" i="39"/>
  <c r="R30" i="39"/>
  <c r="Z17" i="39"/>
  <c r="S17" i="39"/>
  <c r="X12" i="39"/>
  <c r="R12" i="39"/>
  <c r="Y12" i="39"/>
  <c r="W12" i="39"/>
  <c r="V12" i="39"/>
  <c r="W23" i="39"/>
  <c r="Y23" i="39"/>
  <c r="V23" i="39"/>
  <c r="R23" i="39"/>
  <c r="X23" i="39"/>
  <c r="X28" i="39"/>
  <c r="S28" i="39"/>
  <c r="W31" i="39"/>
  <c r="Z31" i="39"/>
  <c r="U31" i="39"/>
  <c r="Q31" i="39"/>
  <c r="S31" i="39"/>
  <c r="R31" i="39"/>
  <c r="Y30" i="39"/>
  <c r="V21" i="39"/>
  <c r="U9" i="39"/>
  <c r="T6" i="39"/>
  <c r="S21" i="39"/>
  <c r="T7" i="39"/>
  <c r="Z30" i="39"/>
  <c r="T17" i="39"/>
  <c r="T24" i="39"/>
  <c r="W24" i="39"/>
  <c r="Z24" i="39"/>
  <c r="V24" i="39"/>
  <c r="S24" i="39"/>
  <c r="X24" i="39"/>
  <c r="Q24" i="39"/>
  <c r="Y24" i="39"/>
  <c r="W15" i="39"/>
  <c r="T15" i="39"/>
  <c r="R25" i="39"/>
  <c r="Z25" i="39"/>
  <c r="X25" i="39"/>
  <c r="W25" i="39"/>
  <c r="S25" i="39"/>
  <c r="V25" i="39"/>
  <c r="U25" i="39"/>
  <c r="U13" i="39"/>
  <c r="X13" i="39"/>
  <c r="Q13" i="39"/>
  <c r="Z13" i="39"/>
  <c r="W13" i="39"/>
  <c r="V13" i="39"/>
  <c r="S13" i="39"/>
  <c r="W9" i="39"/>
  <c r="U6" i="39"/>
  <c r="O25" i="39"/>
  <c r="M25" i="39"/>
  <c r="P25" i="39"/>
  <c r="N25" i="39"/>
  <c r="L25" i="39"/>
  <c r="U29" i="39"/>
  <c r="S29" i="39"/>
  <c r="R29" i="39"/>
  <c r="T16" i="39"/>
  <c r="S16" i="39"/>
  <c r="S33" i="39"/>
  <c r="X33" i="39"/>
  <c r="Z33" i="39"/>
  <c r="R33" i="39"/>
  <c r="S11" i="39"/>
  <c r="V11" i="39"/>
  <c r="U11" i="39"/>
  <c r="X11" i="39"/>
  <c r="T11" i="39"/>
  <c r="R11" i="39"/>
  <c r="Z11" i="39"/>
  <c r="Q11" i="39"/>
  <c r="W11" i="39"/>
  <c r="Y11" i="39"/>
  <c r="S19" i="39"/>
  <c r="Y19" i="39"/>
  <c r="Z19" i="39"/>
  <c r="X19" i="39"/>
  <c r="R19" i="39"/>
  <c r="Q19" i="39"/>
  <c r="W19" i="39"/>
  <c r="V19" i="39"/>
  <c r="U19" i="39"/>
  <c r="T19" i="39"/>
  <c r="L35" i="39"/>
  <c r="M35" i="39"/>
  <c r="P35" i="39"/>
  <c r="O35" i="39"/>
  <c r="N35" i="39"/>
  <c r="X22" i="39"/>
  <c r="T22" i="39"/>
  <c r="S22" i="39"/>
  <c r="U22" i="39"/>
  <c r="R22" i="39"/>
  <c r="Z22" i="39"/>
  <c r="Q22" i="39"/>
  <c r="Y22" i="39"/>
  <c r="W22" i="39"/>
  <c r="V22" i="39"/>
  <c r="P6" i="39"/>
  <c r="O6" i="39"/>
  <c r="M6" i="39"/>
  <c r="J39" i="39"/>
  <c r="N6" i="39"/>
  <c r="L6" i="39"/>
  <c r="S27" i="39"/>
  <c r="R27" i="39"/>
  <c r="Z27" i="39"/>
  <c r="Q27" i="39"/>
  <c r="Y27" i="39"/>
  <c r="U27" i="39"/>
  <c r="X27" i="39"/>
  <c r="W27" i="39"/>
  <c r="V27" i="39"/>
  <c r="T27" i="39"/>
  <c r="K39" i="39"/>
  <c r="L14" i="39"/>
  <c r="P14" i="39"/>
  <c r="O14" i="39"/>
  <c r="M14" i="39"/>
  <c r="N14" i="39"/>
  <c r="AB39" i="39"/>
  <c r="AB40" i="39" s="1"/>
  <c r="P30" i="39"/>
  <c r="O30" i="39"/>
  <c r="N30" i="39"/>
  <c r="M30" i="39"/>
  <c r="L30" i="39"/>
  <c r="J8" i="38"/>
  <c r="P8" i="38" s="1"/>
  <c r="AB13" i="38"/>
  <c r="AC13" i="38" s="1"/>
  <c r="J27" i="38"/>
  <c r="N27" i="38" s="1"/>
  <c r="AB26" i="38"/>
  <c r="AC26" i="38" s="1"/>
  <c r="AB35" i="38"/>
  <c r="AC35" i="38" s="1"/>
  <c r="AB7" i="38"/>
  <c r="AC7" i="38" s="1"/>
  <c r="AB17" i="38"/>
  <c r="AC17" i="38" s="1"/>
  <c r="AB28" i="38"/>
  <c r="AC28" i="38" s="1"/>
  <c r="AB38" i="38"/>
  <c r="AC38" i="38" s="1"/>
  <c r="AB18" i="38"/>
  <c r="AC18" i="38" s="1"/>
  <c r="AB8" i="38"/>
  <c r="AC8" i="38" s="1"/>
  <c r="AB19" i="38"/>
  <c r="AC19" i="38" s="1"/>
  <c r="AB32" i="38"/>
  <c r="AC32" i="38" s="1"/>
  <c r="AB11" i="38"/>
  <c r="AC11" i="38" s="1"/>
  <c r="AB21" i="38"/>
  <c r="AC21" i="38" s="1"/>
  <c r="AB33" i="38"/>
  <c r="AC33" i="38" s="1"/>
  <c r="AB29" i="38"/>
  <c r="AC29" i="38" s="1"/>
  <c r="AB12" i="38"/>
  <c r="AC12" i="38" s="1"/>
  <c r="AB23" i="38"/>
  <c r="AC23" i="38" s="1"/>
  <c r="AB15" i="38"/>
  <c r="AC15" i="38" s="1"/>
  <c r="AB6" i="38"/>
  <c r="AC6" i="38" s="1"/>
  <c r="AB27" i="38"/>
  <c r="AC27" i="38" s="1"/>
  <c r="AB14" i="38"/>
  <c r="AC14" i="38" s="1"/>
  <c r="AB20" i="38"/>
  <c r="AC20" i="38" s="1"/>
  <c r="AB34" i="38"/>
  <c r="AC34" i="38" s="1"/>
  <c r="AB9" i="38"/>
  <c r="AC9" i="38" s="1"/>
  <c r="AB16" i="38"/>
  <c r="AC16" i="38" s="1"/>
  <c r="AB24" i="38"/>
  <c r="AC24" i="38" s="1"/>
  <c r="AB30" i="38"/>
  <c r="AC30" i="38" s="1"/>
  <c r="AB10" i="38"/>
  <c r="AC10" i="38" s="1"/>
  <c r="J17" i="38"/>
  <c r="P17" i="38" s="1"/>
  <c r="AB25" i="38"/>
  <c r="AC25" i="38" s="1"/>
  <c r="AB31" i="38"/>
  <c r="AC31" i="38" s="1"/>
  <c r="AB36" i="38"/>
  <c r="AC36" i="38" s="1"/>
  <c r="P7" i="38"/>
  <c r="M7" i="38"/>
  <c r="L7" i="38"/>
  <c r="N7" i="38"/>
  <c r="O7" i="38"/>
  <c r="J9" i="38"/>
  <c r="J16" i="38"/>
  <c r="N36" i="38"/>
  <c r="M27" i="38"/>
  <c r="J34" i="38"/>
  <c r="J30" i="38"/>
  <c r="J26" i="38"/>
  <c r="J18" i="38"/>
  <c r="J14" i="38"/>
  <c r="J10" i="38"/>
  <c r="J6" i="38"/>
  <c r="F47" i="38"/>
  <c r="I37" i="38"/>
  <c r="J31" i="38"/>
  <c r="J24" i="38"/>
  <c r="J20" i="38"/>
  <c r="J11" i="38"/>
  <c r="J35" i="38"/>
  <c r="J15" i="38"/>
  <c r="J33" i="38"/>
  <c r="J13" i="38"/>
  <c r="J28" i="38"/>
  <c r="J32" i="38"/>
  <c r="J23" i="38"/>
  <c r="J19" i="38"/>
  <c r="J12" i="38"/>
  <c r="J25" i="38"/>
  <c r="J21" i="38"/>
  <c r="O36" i="38"/>
  <c r="J29" i="38"/>
  <c r="J8" i="37"/>
  <c r="O8" i="37" s="1"/>
  <c r="K17" i="37"/>
  <c r="X17" i="37" s="1"/>
  <c r="J7" i="37"/>
  <c r="O7" i="37" s="1"/>
  <c r="J11" i="37"/>
  <c r="M11" i="37" s="1"/>
  <c r="J15" i="37"/>
  <c r="M15" i="37" s="1"/>
  <c r="J12" i="37"/>
  <c r="O12" i="37" s="1"/>
  <c r="J16" i="37"/>
  <c r="N16" i="37" s="1"/>
  <c r="AB13" i="37"/>
  <c r="AC13" i="37" s="1"/>
  <c r="J9" i="37"/>
  <c r="M9" i="37" s="1"/>
  <c r="AB18" i="37"/>
  <c r="AC18" i="37" s="1"/>
  <c r="K9" i="37"/>
  <c r="U9" i="37" s="1"/>
  <c r="J21" i="37"/>
  <c r="M21" i="37" s="1"/>
  <c r="J6" i="37"/>
  <c r="R6" i="37" s="1"/>
  <c r="J10" i="37"/>
  <c r="O10" i="37" s="1"/>
  <c r="AB25" i="37"/>
  <c r="AC25" i="37" s="1"/>
  <c r="K6" i="37"/>
  <c r="AB26" i="37"/>
  <c r="AC26" i="37" s="1"/>
  <c r="AB6" i="37"/>
  <c r="AC6" i="37" s="1"/>
  <c r="AB11" i="37"/>
  <c r="AC11" i="37" s="1"/>
  <c r="AB14" i="37"/>
  <c r="AC14" i="37" s="1"/>
  <c r="J26" i="37"/>
  <c r="N26" i="37" s="1"/>
  <c r="AB38" i="37"/>
  <c r="AC38" i="37" s="1"/>
  <c r="AB9" i="37"/>
  <c r="AC9" i="37" s="1"/>
  <c r="K15" i="37"/>
  <c r="X15" i="37" s="1"/>
  <c r="J19" i="37"/>
  <c r="O19" i="37" s="1"/>
  <c r="J31" i="37"/>
  <c r="N31" i="37" s="1"/>
  <c r="J20" i="37"/>
  <c r="N20" i="37" s="1"/>
  <c r="AB32" i="37"/>
  <c r="AC32" i="37" s="1"/>
  <c r="N8" i="37"/>
  <c r="AB17" i="37"/>
  <c r="AC17" i="37" s="1"/>
  <c r="AB21" i="37"/>
  <c r="AC21" i="37" s="1"/>
  <c r="AB34" i="37"/>
  <c r="AC34" i="37" s="1"/>
  <c r="AB8" i="37"/>
  <c r="AC8" i="37" s="1"/>
  <c r="J18" i="37"/>
  <c r="P18" i="37" s="1"/>
  <c r="AB22" i="37"/>
  <c r="AC22" i="37" s="1"/>
  <c r="J28" i="37"/>
  <c r="P28" i="37" s="1"/>
  <c r="K21" i="37"/>
  <c r="Z21" i="37" s="1"/>
  <c r="J23" i="37"/>
  <c r="N23" i="37" s="1"/>
  <c r="J34" i="37"/>
  <c r="O34" i="37" s="1"/>
  <c r="AB36" i="37"/>
  <c r="AC36" i="37" s="1"/>
  <c r="J24" i="37"/>
  <c r="P24" i="37" s="1"/>
  <c r="J30" i="37"/>
  <c r="P30" i="37" s="1"/>
  <c r="J14" i="37"/>
  <c r="J22" i="37"/>
  <c r="L22" i="37" s="1"/>
  <c r="J27" i="37"/>
  <c r="P27" i="37" s="1"/>
  <c r="J32" i="37"/>
  <c r="M32" i="37" s="1"/>
  <c r="AB29" i="37"/>
  <c r="AC29" i="37" s="1"/>
  <c r="AB35" i="37"/>
  <c r="AC35" i="37" s="1"/>
  <c r="O20" i="37"/>
  <c r="AB31" i="37"/>
  <c r="AC31" i="37" s="1"/>
  <c r="J33" i="37"/>
  <c r="P33" i="37" s="1"/>
  <c r="AB12" i="37"/>
  <c r="AC12" i="37" s="1"/>
  <c r="AB16" i="37"/>
  <c r="AC16" i="37" s="1"/>
  <c r="AB24" i="37"/>
  <c r="AC24" i="37" s="1"/>
  <c r="AB28" i="37"/>
  <c r="AC28" i="37" s="1"/>
  <c r="J13" i="37"/>
  <c r="L13" i="37" s="1"/>
  <c r="AB15" i="37"/>
  <c r="AC15" i="37" s="1"/>
  <c r="AB20" i="37"/>
  <c r="AC20" i="37" s="1"/>
  <c r="AB7" i="37"/>
  <c r="AB10" i="37"/>
  <c r="AC10" i="37" s="1"/>
  <c r="J17" i="37"/>
  <c r="P17" i="37" s="1"/>
  <c r="AB23" i="37"/>
  <c r="AC23" i="37" s="1"/>
  <c r="J25" i="37"/>
  <c r="P25" i="37" s="1"/>
  <c r="AB27" i="37"/>
  <c r="AC27" i="37" s="1"/>
  <c r="J29" i="37"/>
  <c r="O29" i="37" s="1"/>
  <c r="AB33" i="37"/>
  <c r="AC33" i="37" s="1"/>
  <c r="AB19" i="37"/>
  <c r="AC19" i="37" s="1"/>
  <c r="AB30" i="37"/>
  <c r="AC30" i="37" s="1"/>
  <c r="V34" i="37"/>
  <c r="U34" i="37"/>
  <c r="Z34" i="37"/>
  <c r="R34" i="37"/>
  <c r="Y34" i="37"/>
  <c r="X34" i="37"/>
  <c r="W34" i="37"/>
  <c r="T34" i="37"/>
  <c r="S34" i="37"/>
  <c r="P7" i="37"/>
  <c r="K16" i="37"/>
  <c r="K22" i="37"/>
  <c r="K23" i="37"/>
  <c r="K30" i="37"/>
  <c r="K36" i="37"/>
  <c r="X9" i="37"/>
  <c r="Y17" i="37"/>
  <c r="L8" i="37"/>
  <c r="K11" i="37"/>
  <c r="P21" i="37"/>
  <c r="R17" i="37"/>
  <c r="K20" i="37"/>
  <c r="K26" i="37"/>
  <c r="K28" i="37"/>
  <c r="K7" i="37"/>
  <c r="X6" i="37"/>
  <c r="T6" i="37"/>
  <c r="K13" i="37"/>
  <c r="K12" i="37"/>
  <c r="K8" i="37"/>
  <c r="K35" i="37"/>
  <c r="K31" i="37"/>
  <c r="K27" i="37"/>
  <c r="K14" i="37"/>
  <c r="K10" i="37"/>
  <c r="K33" i="37"/>
  <c r="K29" i="37"/>
  <c r="P8" i="37"/>
  <c r="T9" i="37"/>
  <c r="K18" i="37"/>
  <c r="K19" i="37"/>
  <c r="K25" i="37"/>
  <c r="K24" i="37"/>
  <c r="K32" i="37"/>
  <c r="K37" i="37"/>
  <c r="AB7" i="36"/>
  <c r="AC7" i="36" s="1"/>
  <c r="J7" i="36"/>
  <c r="O7" i="36" s="1"/>
  <c r="K21" i="36"/>
  <c r="V21" i="36" s="1"/>
  <c r="J11" i="36"/>
  <c r="O11" i="36" s="1"/>
  <c r="K14" i="36"/>
  <c r="W14" i="36" s="1"/>
  <c r="AB14" i="36"/>
  <c r="AC14" i="36" s="1"/>
  <c r="J18" i="36"/>
  <c r="N18" i="36" s="1"/>
  <c r="J22" i="36"/>
  <c r="P22" i="36" s="1"/>
  <c r="J26" i="36"/>
  <c r="P26" i="36" s="1"/>
  <c r="AB36" i="36"/>
  <c r="AC36" i="36" s="1"/>
  <c r="S29" i="36"/>
  <c r="U29" i="36"/>
  <c r="Z29" i="36"/>
  <c r="R29" i="36"/>
  <c r="Y29" i="36"/>
  <c r="X29" i="36"/>
  <c r="W29" i="36"/>
  <c r="V29" i="36"/>
  <c r="T29" i="36"/>
  <c r="K25" i="36"/>
  <c r="K35" i="36"/>
  <c r="K36" i="36"/>
  <c r="AB33" i="36"/>
  <c r="AC33" i="36" s="1"/>
  <c r="AB29" i="36"/>
  <c r="AC29" i="36" s="1"/>
  <c r="AB25" i="36"/>
  <c r="AC25" i="36" s="1"/>
  <c r="AB21" i="36"/>
  <c r="AC21" i="36" s="1"/>
  <c r="AB17" i="36"/>
  <c r="AC17" i="36" s="1"/>
  <c r="AB10" i="36"/>
  <c r="AC10" i="36" s="1"/>
  <c r="AB6" i="36"/>
  <c r="AC6" i="36" s="1"/>
  <c r="AB26" i="36"/>
  <c r="AC26" i="36" s="1"/>
  <c r="AB18" i="36"/>
  <c r="AC18" i="36" s="1"/>
  <c r="AB38" i="36"/>
  <c r="AC38" i="36" s="1"/>
  <c r="AB32" i="36"/>
  <c r="AC32" i="36" s="1"/>
  <c r="AB28" i="36"/>
  <c r="AC28" i="36" s="1"/>
  <c r="AB24" i="36"/>
  <c r="AC24" i="36" s="1"/>
  <c r="AB20" i="36"/>
  <c r="AC20" i="36" s="1"/>
  <c r="AB16" i="36"/>
  <c r="AC16" i="36" s="1"/>
  <c r="AB13" i="36"/>
  <c r="AC13" i="36" s="1"/>
  <c r="AB9" i="36"/>
  <c r="AC9" i="36" s="1"/>
  <c r="AB30" i="36"/>
  <c r="AC30" i="36" s="1"/>
  <c r="AB37" i="36"/>
  <c r="AC37" i="36" s="1"/>
  <c r="AB22" i="36"/>
  <c r="AC22" i="36" s="1"/>
  <c r="AB31" i="36"/>
  <c r="AC31" i="36" s="1"/>
  <c r="AB27" i="36"/>
  <c r="AC27" i="36" s="1"/>
  <c r="AB23" i="36"/>
  <c r="AC23" i="36" s="1"/>
  <c r="AB19" i="36"/>
  <c r="AC19" i="36" s="1"/>
  <c r="AB15" i="36"/>
  <c r="AC15" i="36" s="1"/>
  <c r="AB12" i="36"/>
  <c r="AC12" i="36" s="1"/>
  <c r="AB8" i="36"/>
  <c r="AC8" i="36" s="1"/>
  <c r="M7" i="36"/>
  <c r="K32" i="36"/>
  <c r="K28" i="36"/>
  <c r="K24" i="36"/>
  <c r="K20" i="36"/>
  <c r="K16" i="36"/>
  <c r="K13" i="36"/>
  <c r="K9" i="36"/>
  <c r="K37" i="36"/>
  <c r="F37" i="36"/>
  <c r="K31" i="36"/>
  <c r="K27" i="36"/>
  <c r="K23" i="36"/>
  <c r="K19" i="36"/>
  <c r="K15" i="36"/>
  <c r="K12" i="36"/>
  <c r="K8" i="36"/>
  <c r="K34" i="36"/>
  <c r="K30" i="36"/>
  <c r="K26" i="36"/>
  <c r="K22" i="36"/>
  <c r="K18" i="36"/>
  <c r="K11" i="36"/>
  <c r="K7" i="36"/>
  <c r="K33" i="36"/>
  <c r="K17" i="36"/>
  <c r="K10" i="36"/>
  <c r="AB11" i="36"/>
  <c r="AC11" i="36" s="1"/>
  <c r="J8" i="36"/>
  <c r="J12" i="36"/>
  <c r="J15" i="36"/>
  <c r="J19" i="36"/>
  <c r="J23" i="36"/>
  <c r="J27" i="36"/>
  <c r="J31" i="36"/>
  <c r="AB35" i="36"/>
  <c r="AC35" i="36" s="1"/>
  <c r="J9" i="36"/>
  <c r="J13" i="36"/>
  <c r="J16" i="36"/>
  <c r="J20" i="36"/>
  <c r="J24" i="36"/>
  <c r="J28" i="36"/>
  <c r="J32" i="36"/>
  <c r="J30" i="36"/>
  <c r="J6" i="36"/>
  <c r="J10" i="36"/>
  <c r="J14" i="36"/>
  <c r="J17" i="36"/>
  <c r="J21" i="36"/>
  <c r="J25" i="36"/>
  <c r="J29" i="36"/>
  <c r="J33" i="36"/>
  <c r="AB29" i="35"/>
  <c r="AC29" i="35" s="1"/>
  <c r="AB9" i="35"/>
  <c r="AC9" i="35" s="1"/>
  <c r="AB17" i="35"/>
  <c r="AC17" i="35" s="1"/>
  <c r="AB38" i="35"/>
  <c r="AC38" i="35" s="1"/>
  <c r="AB19" i="35"/>
  <c r="AC19" i="35" s="1"/>
  <c r="J26" i="35"/>
  <c r="P26" i="35" s="1"/>
  <c r="J7" i="35"/>
  <c r="M7" i="35" s="1"/>
  <c r="J30" i="35"/>
  <c r="P30" i="35" s="1"/>
  <c r="AB10" i="35"/>
  <c r="AC10" i="35" s="1"/>
  <c r="J11" i="35"/>
  <c r="M11" i="35" s="1"/>
  <c r="J15" i="35"/>
  <c r="AB20" i="35"/>
  <c r="AC20" i="35" s="1"/>
  <c r="K6" i="35"/>
  <c r="AB21" i="35"/>
  <c r="AC21" i="35" s="1"/>
  <c r="AB30" i="35"/>
  <c r="AC30" i="35" s="1"/>
  <c r="AB36" i="35"/>
  <c r="AC36" i="35" s="1"/>
  <c r="AB6" i="35"/>
  <c r="AC6" i="35" s="1"/>
  <c r="AB13" i="35"/>
  <c r="AC13" i="35" s="1"/>
  <c r="AB14" i="35"/>
  <c r="AC14" i="35" s="1"/>
  <c r="AB24" i="35"/>
  <c r="AC24" i="35" s="1"/>
  <c r="AB33" i="35"/>
  <c r="AC33" i="35" s="1"/>
  <c r="AB25" i="35"/>
  <c r="AC25" i="35" s="1"/>
  <c r="AB7" i="35"/>
  <c r="AC7" i="35" s="1"/>
  <c r="AB15" i="35"/>
  <c r="AC15" i="35" s="1"/>
  <c r="AB8" i="35"/>
  <c r="AC8" i="35" s="1"/>
  <c r="AB16" i="35"/>
  <c r="AC16" i="35" s="1"/>
  <c r="AB26" i="35"/>
  <c r="AC26" i="35" s="1"/>
  <c r="J22" i="35"/>
  <c r="N22" i="35" s="1"/>
  <c r="AB11" i="35"/>
  <c r="AC11" i="35" s="1"/>
  <c r="J18" i="35"/>
  <c r="M18" i="35" s="1"/>
  <c r="AB22" i="35"/>
  <c r="AC22" i="35" s="1"/>
  <c r="J27" i="35"/>
  <c r="N27" i="35" s="1"/>
  <c r="J31" i="35"/>
  <c r="N31" i="35" s="1"/>
  <c r="J12" i="35"/>
  <c r="P12" i="35" s="1"/>
  <c r="AB18" i="35"/>
  <c r="AC18" i="35" s="1"/>
  <c r="J23" i="35"/>
  <c r="N23" i="35" s="1"/>
  <c r="AB27" i="35"/>
  <c r="AC27" i="35" s="1"/>
  <c r="AB31" i="35"/>
  <c r="AC31" i="35" s="1"/>
  <c r="J8" i="35"/>
  <c r="O8" i="35" s="1"/>
  <c r="AB12" i="35"/>
  <c r="AC12" i="35" s="1"/>
  <c r="J19" i="35"/>
  <c r="N19" i="35" s="1"/>
  <c r="AB23" i="35"/>
  <c r="AC23" i="35" s="1"/>
  <c r="AB28" i="35"/>
  <c r="AC28" i="35" s="1"/>
  <c r="AB32" i="35"/>
  <c r="AC32" i="35" s="1"/>
  <c r="AB35" i="35"/>
  <c r="AC35" i="35" s="1"/>
  <c r="L10" i="35"/>
  <c r="O15" i="35"/>
  <c r="N15" i="35"/>
  <c r="M15" i="35"/>
  <c r="L15" i="35"/>
  <c r="N10" i="35"/>
  <c r="P15" i="35"/>
  <c r="P10" i="35"/>
  <c r="M10" i="35"/>
  <c r="J9" i="35"/>
  <c r="J13" i="35"/>
  <c r="J16" i="35"/>
  <c r="J20" i="35"/>
  <c r="J24" i="35"/>
  <c r="J28" i="35"/>
  <c r="J32" i="35"/>
  <c r="I36" i="35"/>
  <c r="J6" i="35"/>
  <c r="J14" i="35"/>
  <c r="J17" i="35"/>
  <c r="J21" i="35"/>
  <c r="J25" i="35"/>
  <c r="J29" i="35"/>
  <c r="J33" i="35"/>
  <c r="AA28" i="34"/>
  <c r="AB28" i="34" s="1"/>
  <c r="AA27" i="34"/>
  <c r="AB27" i="34" s="1"/>
  <c r="AA19" i="34"/>
  <c r="AB19" i="34" s="1"/>
  <c r="AA36" i="34"/>
  <c r="AB36" i="34" s="1"/>
  <c r="AA20" i="34"/>
  <c r="AB20" i="34" s="1"/>
  <c r="AA21" i="34"/>
  <c r="AB21" i="34" s="1"/>
  <c r="AA37" i="34"/>
  <c r="AB37" i="34" s="1"/>
  <c r="AA26" i="34"/>
  <c r="AB26" i="34" s="1"/>
  <c r="AA9" i="34"/>
  <c r="AB9" i="34" s="1"/>
  <c r="AA32" i="34"/>
  <c r="AB32" i="34" s="1"/>
  <c r="AA14" i="34"/>
  <c r="AB14" i="34" s="1"/>
  <c r="AA5" i="34"/>
  <c r="AB5" i="34" s="1"/>
  <c r="AA16" i="34"/>
  <c r="AB16" i="34" s="1"/>
  <c r="AA34" i="34"/>
  <c r="AB34" i="34" s="1"/>
  <c r="AA6" i="34"/>
  <c r="AB6" i="34" s="1"/>
  <c r="AA12" i="34"/>
  <c r="AB12" i="34" s="1"/>
  <c r="AA17" i="34"/>
  <c r="AB17" i="34" s="1"/>
  <c r="AA23" i="34"/>
  <c r="AB23" i="34" s="1"/>
  <c r="AA29" i="34"/>
  <c r="AB29" i="34" s="1"/>
  <c r="AA15" i="34"/>
  <c r="AB15" i="34" s="1"/>
  <c r="AA7" i="34"/>
  <c r="AB7" i="34" s="1"/>
  <c r="AA8" i="34"/>
  <c r="AB8" i="34" s="1"/>
  <c r="AA13" i="34"/>
  <c r="AB13" i="34" s="1"/>
  <c r="AA18" i="34"/>
  <c r="AB18" i="34" s="1"/>
  <c r="AA24" i="34"/>
  <c r="AB24" i="34" s="1"/>
  <c r="AA31" i="34"/>
  <c r="AB31" i="34" s="1"/>
  <c r="AA10" i="34"/>
  <c r="AB10" i="34" s="1"/>
  <c r="AA22" i="34"/>
  <c r="AB22" i="34" s="1"/>
  <c r="AA33" i="34"/>
  <c r="AB33" i="34" s="1"/>
  <c r="AA11" i="34"/>
  <c r="AB11" i="34" s="1"/>
  <c r="AA30" i="34"/>
  <c r="AB30" i="34" s="1"/>
  <c r="F36" i="34"/>
  <c r="H37" i="33"/>
  <c r="H36" i="33"/>
  <c r="W39" i="41" l="1"/>
  <c r="W40" i="41" s="1"/>
  <c r="V39" i="41"/>
  <c r="V40" i="41" s="1"/>
  <c r="X39" i="41"/>
  <c r="X40" i="41" s="1"/>
  <c r="Y39" i="41"/>
  <c r="Y40" i="41" s="1"/>
  <c r="R39" i="41"/>
  <c r="R40" i="41" s="1"/>
  <c r="Z39" i="41"/>
  <c r="Z40" i="41" s="1"/>
  <c r="T39" i="41"/>
  <c r="T40" i="41" s="1"/>
  <c r="S39" i="41"/>
  <c r="S40" i="41" s="1"/>
  <c r="U39" i="41"/>
  <c r="U40" i="41" s="1"/>
  <c r="AB39" i="41"/>
  <c r="AB40" i="41" s="1"/>
  <c r="L39" i="40"/>
  <c r="L40" i="40" s="1"/>
  <c r="N39" i="40"/>
  <c r="N40" i="40" s="1"/>
  <c r="O39" i="40"/>
  <c r="O40" i="40" s="1"/>
  <c r="P39" i="40"/>
  <c r="P40" i="40" s="1"/>
  <c r="Z20" i="40"/>
  <c r="R20" i="40"/>
  <c r="X20" i="40"/>
  <c r="W20" i="40"/>
  <c r="V20" i="40"/>
  <c r="U20" i="40"/>
  <c r="T20" i="40"/>
  <c r="Y20" i="40"/>
  <c r="S20" i="40"/>
  <c r="Q20" i="40"/>
  <c r="X10" i="40"/>
  <c r="V10" i="40"/>
  <c r="U10" i="40"/>
  <c r="T10" i="40"/>
  <c r="S10" i="40"/>
  <c r="Q10" i="40"/>
  <c r="Z10" i="40"/>
  <c r="Y10" i="40"/>
  <c r="W10" i="40"/>
  <c r="R10" i="40"/>
  <c r="T30" i="40"/>
  <c r="Z30" i="40"/>
  <c r="R30" i="40"/>
  <c r="Y30" i="40"/>
  <c r="Q30" i="40"/>
  <c r="V30" i="40"/>
  <c r="X30" i="40"/>
  <c r="W30" i="40"/>
  <c r="U30" i="40"/>
  <c r="S30" i="40"/>
  <c r="X18" i="40"/>
  <c r="V18" i="40"/>
  <c r="U18" i="40"/>
  <c r="T18" i="40"/>
  <c r="S18" i="40"/>
  <c r="Y18" i="40"/>
  <c r="W18" i="40"/>
  <c r="R18" i="40"/>
  <c r="Q18" i="40"/>
  <c r="Z18" i="40"/>
  <c r="V16" i="40"/>
  <c r="T16" i="40"/>
  <c r="S16" i="40"/>
  <c r="Z16" i="40"/>
  <c r="R16" i="40"/>
  <c r="Y16" i="40"/>
  <c r="Q16" i="40"/>
  <c r="U16" i="40"/>
  <c r="X16" i="40"/>
  <c r="W16" i="40"/>
  <c r="S17" i="40"/>
  <c r="Y17" i="40"/>
  <c r="Q17" i="40"/>
  <c r="X17" i="40"/>
  <c r="W17" i="40"/>
  <c r="V17" i="40"/>
  <c r="U17" i="40"/>
  <c r="T17" i="40"/>
  <c r="R17" i="40"/>
  <c r="Z17" i="40"/>
  <c r="Y7" i="40"/>
  <c r="Q7" i="40"/>
  <c r="W7" i="40"/>
  <c r="V7" i="40"/>
  <c r="U7" i="40"/>
  <c r="T7" i="40"/>
  <c r="Z7" i="40"/>
  <c r="X7" i="40"/>
  <c r="S7" i="40"/>
  <c r="R7" i="40"/>
  <c r="U27" i="40"/>
  <c r="S27" i="40"/>
  <c r="W27" i="40"/>
  <c r="Z27" i="40"/>
  <c r="R27" i="40"/>
  <c r="Y27" i="40"/>
  <c r="Q27" i="40"/>
  <c r="X27" i="40"/>
  <c r="V27" i="40"/>
  <c r="T27" i="40"/>
  <c r="T35" i="40"/>
  <c r="Z35" i="40"/>
  <c r="R35" i="40"/>
  <c r="Y35" i="40"/>
  <c r="Q35" i="40"/>
  <c r="X35" i="40"/>
  <c r="V35" i="40"/>
  <c r="W35" i="40"/>
  <c r="U35" i="40"/>
  <c r="S35" i="40"/>
  <c r="S9" i="40"/>
  <c r="Y9" i="40"/>
  <c r="Q9" i="40"/>
  <c r="X9" i="40"/>
  <c r="W9" i="40"/>
  <c r="V9" i="40"/>
  <c r="Z9" i="40"/>
  <c r="R9" i="40"/>
  <c r="U9" i="40"/>
  <c r="T9" i="40"/>
  <c r="T6" i="40"/>
  <c r="K39" i="40"/>
  <c r="Z6" i="40"/>
  <c r="R6" i="40"/>
  <c r="Y6" i="40"/>
  <c r="Q6" i="40"/>
  <c r="X6" i="40"/>
  <c r="W6" i="40"/>
  <c r="V6" i="40"/>
  <c r="U6" i="40"/>
  <c r="S6" i="40"/>
  <c r="X26" i="40"/>
  <c r="V26" i="40"/>
  <c r="U26" i="40"/>
  <c r="R26" i="40"/>
  <c r="T26" i="40"/>
  <c r="Z26" i="40"/>
  <c r="S26" i="40"/>
  <c r="Y26" i="40"/>
  <c r="W26" i="40"/>
  <c r="Q26" i="40"/>
  <c r="V24" i="40"/>
  <c r="T24" i="40"/>
  <c r="S24" i="40"/>
  <c r="X24" i="40"/>
  <c r="Z24" i="40"/>
  <c r="R24" i="40"/>
  <c r="Y24" i="40"/>
  <c r="Q24" i="40"/>
  <c r="W24" i="40"/>
  <c r="U24" i="40"/>
  <c r="S25" i="40"/>
  <c r="Y25" i="40"/>
  <c r="Q25" i="40"/>
  <c r="X25" i="40"/>
  <c r="W25" i="40"/>
  <c r="U25" i="40"/>
  <c r="V25" i="40"/>
  <c r="Z25" i="40"/>
  <c r="T25" i="40"/>
  <c r="R25" i="40"/>
  <c r="W29" i="40"/>
  <c r="U29" i="40"/>
  <c r="Q29" i="40"/>
  <c r="T29" i="40"/>
  <c r="S29" i="40"/>
  <c r="Y29" i="40"/>
  <c r="Z29" i="40"/>
  <c r="R29" i="40"/>
  <c r="X29" i="40"/>
  <c r="V29" i="40"/>
  <c r="V8" i="40"/>
  <c r="T8" i="40"/>
  <c r="S8" i="40"/>
  <c r="Z8" i="40"/>
  <c r="R8" i="40"/>
  <c r="Y8" i="40"/>
  <c r="Q8" i="40"/>
  <c r="W8" i="40"/>
  <c r="X8" i="40"/>
  <c r="U8" i="40"/>
  <c r="AB39" i="40"/>
  <c r="AB40" i="40" s="1"/>
  <c r="AC6" i="40"/>
  <c r="AC39" i="40" s="1"/>
  <c r="AC40" i="40" s="1"/>
  <c r="Y23" i="40"/>
  <c r="Q23" i="40"/>
  <c r="W23" i="40"/>
  <c r="V23" i="40"/>
  <c r="U23" i="40"/>
  <c r="T23" i="40"/>
  <c r="X23" i="40"/>
  <c r="S23" i="40"/>
  <c r="R23" i="40"/>
  <c r="Z23" i="40"/>
  <c r="X34" i="40"/>
  <c r="V34" i="40"/>
  <c r="Z34" i="40"/>
  <c r="U34" i="40"/>
  <c r="R34" i="40"/>
  <c r="T34" i="40"/>
  <c r="S34" i="40"/>
  <c r="Q34" i="40"/>
  <c r="Y34" i="40"/>
  <c r="W34" i="40"/>
  <c r="V32" i="40"/>
  <c r="T32" i="40"/>
  <c r="S32" i="40"/>
  <c r="Z32" i="40"/>
  <c r="R32" i="40"/>
  <c r="X32" i="40"/>
  <c r="Y32" i="40"/>
  <c r="Q32" i="40"/>
  <c r="W32" i="40"/>
  <c r="U32" i="40"/>
  <c r="S33" i="40"/>
  <c r="Y33" i="40"/>
  <c r="Q33" i="40"/>
  <c r="X33" i="40"/>
  <c r="U33" i="40"/>
  <c r="W33" i="40"/>
  <c r="V33" i="40"/>
  <c r="Z33" i="40"/>
  <c r="T33" i="40"/>
  <c r="R33" i="40"/>
  <c r="Y15" i="40"/>
  <c r="Q15" i="40"/>
  <c r="W15" i="40"/>
  <c r="V15" i="40"/>
  <c r="U15" i="40"/>
  <c r="T15" i="40"/>
  <c r="S15" i="40"/>
  <c r="R15" i="40"/>
  <c r="Z15" i="40"/>
  <c r="X15" i="40"/>
  <c r="Y31" i="40"/>
  <c r="Q31" i="40"/>
  <c r="W31" i="40"/>
  <c r="V31" i="40"/>
  <c r="U31" i="40"/>
  <c r="T31" i="40"/>
  <c r="S31" i="40"/>
  <c r="X31" i="40"/>
  <c r="R31" i="40"/>
  <c r="Z31" i="40"/>
  <c r="U11" i="40"/>
  <c r="S11" i="40"/>
  <c r="Z11" i="40"/>
  <c r="R11" i="40"/>
  <c r="Y11" i="40"/>
  <c r="Q11" i="40"/>
  <c r="X11" i="40"/>
  <c r="W11" i="40"/>
  <c r="V11" i="40"/>
  <c r="T11" i="40"/>
  <c r="Z37" i="40"/>
  <c r="R37" i="40"/>
  <c r="Q37" i="40"/>
  <c r="Y37" i="40"/>
  <c r="X37" i="40"/>
  <c r="T37" i="40"/>
  <c r="W37" i="40"/>
  <c r="V37" i="40"/>
  <c r="U37" i="40"/>
  <c r="S37" i="40"/>
  <c r="Z28" i="40"/>
  <c r="R28" i="40"/>
  <c r="X28" i="40"/>
  <c r="W28" i="40"/>
  <c r="V28" i="40"/>
  <c r="T28" i="40"/>
  <c r="U28" i="40"/>
  <c r="Y28" i="40"/>
  <c r="S28" i="40"/>
  <c r="Q28" i="40"/>
  <c r="W13" i="40"/>
  <c r="U13" i="40"/>
  <c r="T13" i="40"/>
  <c r="S13" i="40"/>
  <c r="Z13" i="40"/>
  <c r="R13" i="40"/>
  <c r="X13" i="40"/>
  <c r="V13" i="40"/>
  <c r="Q13" i="40"/>
  <c r="Y13" i="40"/>
  <c r="U19" i="40"/>
  <c r="S19" i="40"/>
  <c r="Z19" i="40"/>
  <c r="R19" i="40"/>
  <c r="Y19" i="40"/>
  <c r="Q19" i="40"/>
  <c r="X19" i="40"/>
  <c r="V19" i="40"/>
  <c r="T19" i="40"/>
  <c r="W19" i="40"/>
  <c r="T14" i="40"/>
  <c r="Z14" i="40"/>
  <c r="R14" i="40"/>
  <c r="Y14" i="40"/>
  <c r="Q14" i="40"/>
  <c r="X14" i="40"/>
  <c r="W14" i="40"/>
  <c r="S14" i="40"/>
  <c r="U14" i="40"/>
  <c r="V14" i="40"/>
  <c r="Z12" i="40"/>
  <c r="R12" i="40"/>
  <c r="X12" i="40"/>
  <c r="W12" i="40"/>
  <c r="V12" i="40"/>
  <c r="U12" i="40"/>
  <c r="Y12" i="40"/>
  <c r="T12" i="40"/>
  <c r="Q12" i="40"/>
  <c r="S12" i="40"/>
  <c r="W21" i="40"/>
  <c r="U21" i="40"/>
  <c r="T21" i="40"/>
  <c r="S21" i="40"/>
  <c r="Z21" i="40"/>
  <c r="R21" i="40"/>
  <c r="X21" i="40"/>
  <c r="Y21" i="40"/>
  <c r="V21" i="40"/>
  <c r="Q21" i="40"/>
  <c r="Z22" i="40"/>
  <c r="R22" i="40"/>
  <c r="X22" i="40"/>
  <c r="W22" i="40"/>
  <c r="V22" i="40"/>
  <c r="U22" i="40"/>
  <c r="S22" i="40"/>
  <c r="Q22" i="40"/>
  <c r="T22" i="40"/>
  <c r="Y22" i="40"/>
  <c r="Z39" i="39"/>
  <c r="Z40" i="39" s="1"/>
  <c r="W39" i="39"/>
  <c r="W40" i="39" s="1"/>
  <c r="T39" i="39"/>
  <c r="T40" i="39" s="1"/>
  <c r="R39" i="39"/>
  <c r="R40" i="39" s="1"/>
  <c r="X39" i="39"/>
  <c r="X40" i="39" s="1"/>
  <c r="Y39" i="39"/>
  <c r="Y40" i="39" s="1"/>
  <c r="V39" i="39"/>
  <c r="V40" i="39" s="1"/>
  <c r="U39" i="39"/>
  <c r="U40" i="39" s="1"/>
  <c r="Q39" i="39"/>
  <c r="Q40" i="39" s="1"/>
  <c r="N39" i="39"/>
  <c r="N40" i="39" s="1"/>
  <c r="M39" i="39"/>
  <c r="M40" i="39" s="1"/>
  <c r="S39" i="39"/>
  <c r="S40" i="39" s="1"/>
  <c r="O39" i="39"/>
  <c r="O40" i="39" s="1"/>
  <c r="P39" i="39"/>
  <c r="P40" i="39" s="1"/>
  <c r="L39" i="39"/>
  <c r="L40" i="39" s="1"/>
  <c r="L8" i="38"/>
  <c r="M8" i="38"/>
  <c r="N8" i="38"/>
  <c r="O8" i="38"/>
  <c r="L27" i="38"/>
  <c r="O27" i="38"/>
  <c r="P27" i="38"/>
  <c r="N17" i="38"/>
  <c r="L17" i="38"/>
  <c r="M17" i="38"/>
  <c r="AC39" i="38"/>
  <c r="AC40" i="38" s="1"/>
  <c r="O17" i="38"/>
  <c r="AB39" i="38"/>
  <c r="AB40" i="38" s="1"/>
  <c r="O28" i="38"/>
  <c r="N28" i="38"/>
  <c r="M28" i="38"/>
  <c r="L28" i="38"/>
  <c r="P28" i="38"/>
  <c r="O30" i="38"/>
  <c r="P30" i="38"/>
  <c r="M30" i="38"/>
  <c r="N30" i="38"/>
  <c r="L30" i="38"/>
  <c r="K34" i="38"/>
  <c r="K30" i="38"/>
  <c r="K26" i="38"/>
  <c r="K18" i="38"/>
  <c r="K14" i="38"/>
  <c r="K10" i="38"/>
  <c r="K6" i="38"/>
  <c r="K37" i="38"/>
  <c r="K22" i="38"/>
  <c r="K36" i="38"/>
  <c r="K32" i="38"/>
  <c r="K28" i="38"/>
  <c r="K24" i="38"/>
  <c r="K20" i="38"/>
  <c r="K16" i="38"/>
  <c r="K12" i="38"/>
  <c r="K8" i="38"/>
  <c r="K33" i="38"/>
  <c r="K13" i="38"/>
  <c r="K17" i="38"/>
  <c r="K35" i="38"/>
  <c r="K15" i="38"/>
  <c r="K25" i="38"/>
  <c r="K21" i="38"/>
  <c r="K27" i="38"/>
  <c r="K7" i="38"/>
  <c r="K9" i="38"/>
  <c r="K23" i="38"/>
  <c r="K19" i="38"/>
  <c r="K31" i="38"/>
  <c r="K11" i="38"/>
  <c r="K29" i="38"/>
  <c r="O16" i="38"/>
  <c r="N16" i="38"/>
  <c r="M16" i="38"/>
  <c r="L16" i="38"/>
  <c r="P16" i="38"/>
  <c r="M21" i="38"/>
  <c r="L21" i="38"/>
  <c r="O21" i="38"/>
  <c r="P21" i="38"/>
  <c r="N21" i="38"/>
  <c r="M33" i="38"/>
  <c r="L33" i="38"/>
  <c r="P33" i="38"/>
  <c r="O33" i="38"/>
  <c r="N33" i="38"/>
  <c r="M9" i="38"/>
  <c r="L9" i="38"/>
  <c r="O9" i="38"/>
  <c r="N9" i="38"/>
  <c r="P9" i="38"/>
  <c r="P31" i="38"/>
  <c r="M31" i="38"/>
  <c r="O31" i="38"/>
  <c r="N31" i="38"/>
  <c r="L31" i="38"/>
  <c r="M13" i="38"/>
  <c r="L13" i="38"/>
  <c r="P13" i="38"/>
  <c r="N13" i="38"/>
  <c r="O13" i="38"/>
  <c r="O34" i="38"/>
  <c r="P34" i="38"/>
  <c r="M34" i="38"/>
  <c r="L34" i="38"/>
  <c r="N34" i="38"/>
  <c r="M25" i="38"/>
  <c r="L25" i="38"/>
  <c r="O25" i="38"/>
  <c r="P25" i="38"/>
  <c r="N25" i="38"/>
  <c r="P15" i="38"/>
  <c r="M15" i="38"/>
  <c r="L15" i="38"/>
  <c r="O15" i="38"/>
  <c r="N15" i="38"/>
  <c r="O6" i="38"/>
  <c r="M6" i="38"/>
  <c r="L6" i="38"/>
  <c r="J39" i="38"/>
  <c r="P6" i="38"/>
  <c r="N6" i="38"/>
  <c r="O12" i="38"/>
  <c r="N12" i="38"/>
  <c r="P12" i="38"/>
  <c r="L12" i="38"/>
  <c r="M12" i="38"/>
  <c r="O10" i="38"/>
  <c r="P10" i="38"/>
  <c r="N10" i="38"/>
  <c r="M10" i="38"/>
  <c r="L10" i="38"/>
  <c r="P19" i="38"/>
  <c r="M19" i="38"/>
  <c r="O19" i="38"/>
  <c r="N19" i="38"/>
  <c r="L19" i="38"/>
  <c r="O14" i="38"/>
  <c r="P14" i="38"/>
  <c r="M14" i="38"/>
  <c r="L14" i="38"/>
  <c r="N14" i="38"/>
  <c r="P23" i="38"/>
  <c r="M23" i="38"/>
  <c r="O23" i="38"/>
  <c r="N23" i="38"/>
  <c r="L23" i="38"/>
  <c r="O20" i="38"/>
  <c r="N20" i="38"/>
  <c r="P20" i="38"/>
  <c r="L20" i="38"/>
  <c r="M20" i="38"/>
  <c r="O18" i="38"/>
  <c r="P18" i="38"/>
  <c r="N18" i="38"/>
  <c r="L18" i="38"/>
  <c r="M18" i="38"/>
  <c r="P35" i="38"/>
  <c r="N35" i="38"/>
  <c r="O35" i="38"/>
  <c r="L35" i="38"/>
  <c r="M35" i="38"/>
  <c r="P11" i="38"/>
  <c r="M11" i="38"/>
  <c r="O11" i="38"/>
  <c r="N11" i="38"/>
  <c r="L11" i="38"/>
  <c r="M29" i="38"/>
  <c r="L29" i="38"/>
  <c r="O29" i="38"/>
  <c r="N29" i="38"/>
  <c r="P29" i="38"/>
  <c r="O32" i="38"/>
  <c r="N32" i="38"/>
  <c r="M32" i="38"/>
  <c r="P32" i="38"/>
  <c r="L32" i="38"/>
  <c r="O24" i="38"/>
  <c r="N24" i="38"/>
  <c r="P24" i="38"/>
  <c r="L24" i="38"/>
  <c r="M24" i="38"/>
  <c r="O26" i="38"/>
  <c r="M26" i="38"/>
  <c r="L26" i="38"/>
  <c r="P26" i="38"/>
  <c r="N26" i="38"/>
  <c r="L7" i="37"/>
  <c r="Z17" i="37"/>
  <c r="U15" i="37"/>
  <c r="P15" i="37"/>
  <c r="L19" i="37"/>
  <c r="N19" i="37"/>
  <c r="M10" i="37"/>
  <c r="N15" i="37"/>
  <c r="W17" i="37"/>
  <c r="V17" i="37"/>
  <c r="M7" i="37"/>
  <c r="T17" i="37"/>
  <c r="S17" i="37"/>
  <c r="M19" i="37"/>
  <c r="N7" i="37"/>
  <c r="U17" i="37"/>
  <c r="T15" i="37"/>
  <c r="Z6" i="37"/>
  <c r="M8" i="37"/>
  <c r="P34" i="37"/>
  <c r="N34" i="37"/>
  <c r="O33" i="37"/>
  <c r="L16" i="37"/>
  <c r="P20" i="37"/>
  <c r="O23" i="37"/>
  <c r="W6" i="37"/>
  <c r="X21" i="37"/>
  <c r="O21" i="37"/>
  <c r="O11" i="37"/>
  <c r="L11" i="37"/>
  <c r="N21" i="37"/>
  <c r="N11" i="37"/>
  <c r="P11" i="37"/>
  <c r="M18" i="37"/>
  <c r="L21" i="37"/>
  <c r="M12" i="37"/>
  <c r="L12" i="37"/>
  <c r="P12" i="37"/>
  <c r="N12" i="37"/>
  <c r="M30" i="37"/>
  <c r="L32" i="37"/>
  <c r="O16" i="37"/>
  <c r="L29" i="37"/>
  <c r="P16" i="37"/>
  <c r="N10" i="37"/>
  <c r="L27" i="37"/>
  <c r="P10" i="37"/>
  <c r="S6" i="37"/>
  <c r="P26" i="37"/>
  <c r="M16" i="37"/>
  <c r="O15" i="37"/>
  <c r="L15" i="37"/>
  <c r="N6" i="37"/>
  <c r="L6" i="37"/>
  <c r="M20" i="37"/>
  <c r="V9" i="37"/>
  <c r="Y21" i="37"/>
  <c r="O27" i="37"/>
  <c r="M26" i="37"/>
  <c r="M6" i="37"/>
  <c r="O26" i="37"/>
  <c r="U6" i="37"/>
  <c r="Y6" i="37"/>
  <c r="L20" i="37"/>
  <c r="V6" i="37"/>
  <c r="P19" i="37"/>
  <c r="O6" i="37"/>
  <c r="N9" i="37"/>
  <c r="P6" i="37"/>
  <c r="O9" i="37"/>
  <c r="L26" i="37"/>
  <c r="Z9" i="37"/>
  <c r="U21" i="37"/>
  <c r="S9" i="37"/>
  <c r="M34" i="37"/>
  <c r="S15" i="37"/>
  <c r="P9" i="37"/>
  <c r="W15" i="37"/>
  <c r="W9" i="37"/>
  <c r="R21" i="37"/>
  <c r="L10" i="37"/>
  <c r="Y15" i="37"/>
  <c r="Y9" i="37"/>
  <c r="R15" i="37"/>
  <c r="L9" i="37"/>
  <c r="R9" i="37"/>
  <c r="Z15" i="37"/>
  <c r="L34" i="37"/>
  <c r="V15" i="37"/>
  <c r="T21" i="37"/>
  <c r="M31" i="37"/>
  <c r="O31" i="37"/>
  <c r="P31" i="37"/>
  <c r="L31" i="37"/>
  <c r="N18" i="37"/>
  <c r="O18" i="37"/>
  <c r="L18" i="37"/>
  <c r="O30" i="37"/>
  <c r="V21" i="37"/>
  <c r="N32" i="37"/>
  <c r="P32" i="37"/>
  <c r="O32" i="37"/>
  <c r="N24" i="37"/>
  <c r="M24" i="37"/>
  <c r="L24" i="37"/>
  <c r="O24" i="37"/>
  <c r="P13" i="37"/>
  <c r="N27" i="37"/>
  <c r="M27" i="37"/>
  <c r="M23" i="37"/>
  <c r="P23" i="37"/>
  <c r="M22" i="37"/>
  <c r="P22" i="37"/>
  <c r="O22" i="37"/>
  <c r="N22" i="37"/>
  <c r="L23" i="37"/>
  <c r="L30" i="37"/>
  <c r="W21" i="37"/>
  <c r="S21" i="37"/>
  <c r="N30" i="37"/>
  <c r="N28" i="37"/>
  <c r="O28" i="37"/>
  <c r="M28" i="37"/>
  <c r="L28" i="37"/>
  <c r="N17" i="37"/>
  <c r="O17" i="37"/>
  <c r="L17" i="37"/>
  <c r="N29" i="37"/>
  <c r="M29" i="37"/>
  <c r="N33" i="37"/>
  <c r="M33" i="37"/>
  <c r="J39" i="37"/>
  <c r="M17" i="37"/>
  <c r="M25" i="37"/>
  <c r="O25" i="37"/>
  <c r="N25" i="37"/>
  <c r="M13" i="37"/>
  <c r="O13" i="37"/>
  <c r="N13" i="37"/>
  <c r="AB39" i="37"/>
  <c r="P29" i="37"/>
  <c r="L25" i="37"/>
  <c r="L33" i="37"/>
  <c r="AC7" i="37"/>
  <c r="AC39" i="37" s="1"/>
  <c r="S28" i="37"/>
  <c r="Z28" i="37"/>
  <c r="R28" i="37"/>
  <c r="W28" i="37"/>
  <c r="V28" i="37"/>
  <c r="Y28" i="37"/>
  <c r="X28" i="37"/>
  <c r="U28" i="37"/>
  <c r="T28" i="37"/>
  <c r="Y25" i="37"/>
  <c r="U25" i="37"/>
  <c r="X25" i="37"/>
  <c r="W25" i="37"/>
  <c r="V25" i="37"/>
  <c r="T25" i="37"/>
  <c r="S25" i="37"/>
  <c r="R25" i="37"/>
  <c r="Z25" i="37"/>
  <c r="X10" i="37"/>
  <c r="T10" i="37"/>
  <c r="Y10" i="37"/>
  <c r="W10" i="37"/>
  <c r="V10" i="37"/>
  <c r="U10" i="37"/>
  <c r="S10" i="37"/>
  <c r="Z10" i="37"/>
  <c r="R10" i="37"/>
  <c r="W26" i="37"/>
  <c r="S26" i="37"/>
  <c r="Z26" i="37"/>
  <c r="Y26" i="37"/>
  <c r="X26" i="37"/>
  <c r="V26" i="37"/>
  <c r="T26" i="37"/>
  <c r="U26" i="37"/>
  <c r="R26" i="37"/>
  <c r="W30" i="37"/>
  <c r="V30" i="37"/>
  <c r="S30" i="37"/>
  <c r="Z30" i="37"/>
  <c r="R30" i="37"/>
  <c r="T30" i="37"/>
  <c r="Y30" i="37"/>
  <c r="X30" i="37"/>
  <c r="U30" i="37"/>
  <c r="Y33" i="37"/>
  <c r="X33" i="37"/>
  <c r="U33" i="37"/>
  <c r="T33" i="37"/>
  <c r="V33" i="37"/>
  <c r="S33" i="37"/>
  <c r="R33" i="37"/>
  <c r="W33" i="37"/>
  <c r="Z33" i="37"/>
  <c r="Y36" i="37"/>
  <c r="X36" i="37"/>
  <c r="W36" i="37"/>
  <c r="T36" i="37"/>
  <c r="S36" i="37"/>
  <c r="U36" i="37"/>
  <c r="Z36" i="37"/>
  <c r="V36" i="37"/>
  <c r="R36" i="37"/>
  <c r="X37" i="37"/>
  <c r="W37" i="37"/>
  <c r="V37" i="37"/>
  <c r="S37" i="37"/>
  <c r="Z37" i="37"/>
  <c r="R37" i="37"/>
  <c r="Y37" i="37"/>
  <c r="U37" i="37"/>
  <c r="T37" i="37"/>
  <c r="W14" i="37"/>
  <c r="S14" i="37"/>
  <c r="Z14" i="37"/>
  <c r="Y14" i="37"/>
  <c r="U14" i="37"/>
  <c r="X14" i="37"/>
  <c r="V14" i="37"/>
  <c r="T14" i="37"/>
  <c r="R14" i="37"/>
  <c r="U23" i="37"/>
  <c r="Y23" i="37"/>
  <c r="T23" i="37"/>
  <c r="S23" i="37"/>
  <c r="R23" i="37"/>
  <c r="Z23" i="37"/>
  <c r="X23" i="37"/>
  <c r="V23" i="37"/>
  <c r="W23" i="37"/>
  <c r="S32" i="37"/>
  <c r="Z32" i="37"/>
  <c r="R32" i="37"/>
  <c r="W32" i="37"/>
  <c r="V32" i="37"/>
  <c r="Y32" i="37"/>
  <c r="X32" i="37"/>
  <c r="U32" i="37"/>
  <c r="T32" i="37"/>
  <c r="W18" i="37"/>
  <c r="S18" i="37"/>
  <c r="V18" i="37"/>
  <c r="U18" i="37"/>
  <c r="T18" i="37"/>
  <c r="R18" i="37"/>
  <c r="Z18" i="37"/>
  <c r="Y18" i="37"/>
  <c r="X18" i="37"/>
  <c r="U31" i="37"/>
  <c r="T31" i="37"/>
  <c r="Y31" i="37"/>
  <c r="X31" i="37"/>
  <c r="Z31" i="37"/>
  <c r="W31" i="37"/>
  <c r="V31" i="37"/>
  <c r="S31" i="37"/>
  <c r="R31" i="37"/>
  <c r="S20" i="37"/>
  <c r="W20" i="37"/>
  <c r="Z20" i="37"/>
  <c r="Y20" i="37"/>
  <c r="X20" i="37"/>
  <c r="U20" i="37"/>
  <c r="V20" i="37"/>
  <c r="T20" i="37"/>
  <c r="R20" i="37"/>
  <c r="U35" i="37"/>
  <c r="T35" i="37"/>
  <c r="Y35" i="37"/>
  <c r="X35" i="37"/>
  <c r="Z35" i="37"/>
  <c r="W35" i="37"/>
  <c r="V35" i="37"/>
  <c r="S35" i="37"/>
  <c r="R35" i="37"/>
  <c r="V11" i="37"/>
  <c r="Z11" i="37"/>
  <c r="R11" i="37"/>
  <c r="S11" i="37"/>
  <c r="Y11" i="37"/>
  <c r="X11" i="37"/>
  <c r="W11" i="37"/>
  <c r="T11" i="37"/>
  <c r="U11" i="37"/>
  <c r="U19" i="37"/>
  <c r="Y19" i="37"/>
  <c r="X19" i="37"/>
  <c r="W19" i="37"/>
  <c r="V19" i="37"/>
  <c r="S19" i="37"/>
  <c r="T19" i="37"/>
  <c r="R19" i="37"/>
  <c r="Z19" i="37"/>
  <c r="U27" i="37"/>
  <c r="T27" i="37"/>
  <c r="Y27" i="37"/>
  <c r="X27" i="37"/>
  <c r="V27" i="37"/>
  <c r="S27" i="37"/>
  <c r="R27" i="37"/>
  <c r="Z27" i="37"/>
  <c r="W27" i="37"/>
  <c r="W22" i="37"/>
  <c r="S22" i="37"/>
  <c r="R22" i="37"/>
  <c r="Z22" i="37"/>
  <c r="X22" i="37"/>
  <c r="Y22" i="37"/>
  <c r="V22" i="37"/>
  <c r="U22" i="37"/>
  <c r="T22" i="37"/>
  <c r="T8" i="37"/>
  <c r="X8" i="37"/>
  <c r="R8" i="37"/>
  <c r="Y8" i="37"/>
  <c r="Z8" i="37"/>
  <c r="W8" i="37"/>
  <c r="U8" i="37"/>
  <c r="S8" i="37"/>
  <c r="V8" i="37"/>
  <c r="Z13" i="37"/>
  <c r="R13" i="37"/>
  <c r="V13" i="37"/>
  <c r="Y13" i="37"/>
  <c r="X13" i="37"/>
  <c r="W13" i="37"/>
  <c r="U13" i="37"/>
  <c r="T13" i="37"/>
  <c r="S13" i="37"/>
  <c r="V7" i="37"/>
  <c r="Z7" i="37"/>
  <c r="R7" i="37"/>
  <c r="Y7" i="37"/>
  <c r="X7" i="37"/>
  <c r="W7" i="37"/>
  <c r="K39" i="37"/>
  <c r="U7" i="37"/>
  <c r="T7" i="37"/>
  <c r="S7" i="37"/>
  <c r="S16" i="37"/>
  <c r="W16" i="37"/>
  <c r="T16" i="37"/>
  <c r="R16" i="37"/>
  <c r="Z16" i="37"/>
  <c r="Y16" i="37"/>
  <c r="X16" i="37"/>
  <c r="V16" i="37"/>
  <c r="U16" i="37"/>
  <c r="S24" i="37"/>
  <c r="W24" i="37"/>
  <c r="V24" i="37"/>
  <c r="U24" i="37"/>
  <c r="T24" i="37"/>
  <c r="R24" i="37"/>
  <c r="Z24" i="37"/>
  <c r="X24" i="37"/>
  <c r="Y24" i="37"/>
  <c r="Y29" i="37"/>
  <c r="X29" i="37"/>
  <c r="U29" i="37"/>
  <c r="T29" i="37"/>
  <c r="Z29" i="37"/>
  <c r="W29" i="37"/>
  <c r="S29" i="37"/>
  <c r="V29" i="37"/>
  <c r="R29" i="37"/>
  <c r="T12" i="37"/>
  <c r="X12" i="37"/>
  <c r="V12" i="37"/>
  <c r="U12" i="37"/>
  <c r="R12" i="37"/>
  <c r="S12" i="37"/>
  <c r="Z12" i="37"/>
  <c r="Y12" i="37"/>
  <c r="W12" i="37"/>
  <c r="R21" i="36"/>
  <c r="T21" i="36"/>
  <c r="W21" i="36"/>
  <c r="S21" i="36"/>
  <c r="N7" i="36"/>
  <c r="P7" i="36"/>
  <c r="M22" i="36"/>
  <c r="L7" i="36"/>
  <c r="N22" i="36"/>
  <c r="L22" i="36"/>
  <c r="O22" i="36"/>
  <c r="P11" i="36"/>
  <c r="X21" i="36"/>
  <c r="U21" i="36"/>
  <c r="Y21" i="36"/>
  <c r="Z21" i="36"/>
  <c r="M18" i="36"/>
  <c r="X14" i="36"/>
  <c r="O18" i="36"/>
  <c r="L26" i="36"/>
  <c r="P18" i="36"/>
  <c r="N26" i="36"/>
  <c r="M26" i="36"/>
  <c r="T14" i="36"/>
  <c r="R14" i="36"/>
  <c r="Z14" i="36"/>
  <c r="L11" i="36"/>
  <c r="U14" i="36"/>
  <c r="M11" i="36"/>
  <c r="L18" i="36"/>
  <c r="Y14" i="36"/>
  <c r="V14" i="36"/>
  <c r="N11" i="36"/>
  <c r="O26" i="36"/>
  <c r="S14" i="36"/>
  <c r="S17" i="36"/>
  <c r="Z17" i="36"/>
  <c r="R17" i="36"/>
  <c r="Y17" i="36"/>
  <c r="X17" i="36"/>
  <c r="W17" i="36"/>
  <c r="V17" i="36"/>
  <c r="U17" i="36"/>
  <c r="T17" i="36"/>
  <c r="W8" i="36"/>
  <c r="V8" i="36"/>
  <c r="U8" i="36"/>
  <c r="T8" i="36"/>
  <c r="S8" i="36"/>
  <c r="Z8" i="36"/>
  <c r="R8" i="36"/>
  <c r="Y8" i="36"/>
  <c r="X8" i="36"/>
  <c r="S6" i="36"/>
  <c r="Z6" i="36"/>
  <c r="R6" i="36"/>
  <c r="Y6" i="36"/>
  <c r="P6" i="36"/>
  <c r="X6" i="36"/>
  <c r="O6" i="36"/>
  <c r="W6" i="36"/>
  <c r="N6" i="36"/>
  <c r="V6" i="36"/>
  <c r="M6" i="36"/>
  <c r="U6" i="36"/>
  <c r="T6" i="36"/>
  <c r="L6" i="36"/>
  <c r="N31" i="36"/>
  <c r="M31" i="36"/>
  <c r="L31" i="36"/>
  <c r="P31" i="36"/>
  <c r="O31" i="36"/>
  <c r="N8" i="36"/>
  <c r="M8" i="36"/>
  <c r="L8" i="36"/>
  <c r="P8" i="36"/>
  <c r="O8" i="36"/>
  <c r="Y7" i="36"/>
  <c r="X7" i="36"/>
  <c r="W7" i="36"/>
  <c r="V7" i="36"/>
  <c r="U7" i="36"/>
  <c r="K39" i="36"/>
  <c r="T7" i="36"/>
  <c r="S7" i="36"/>
  <c r="Z7" i="36"/>
  <c r="R7" i="36"/>
  <c r="W12" i="36"/>
  <c r="V12" i="36"/>
  <c r="U12" i="36"/>
  <c r="T12" i="36"/>
  <c r="S12" i="36"/>
  <c r="Z12" i="36"/>
  <c r="R12" i="36"/>
  <c r="Y12" i="36"/>
  <c r="X12" i="36"/>
  <c r="U9" i="36"/>
  <c r="T9" i="36"/>
  <c r="S9" i="36"/>
  <c r="Z9" i="36"/>
  <c r="R9" i="36"/>
  <c r="Y9" i="36"/>
  <c r="X9" i="36"/>
  <c r="W9" i="36"/>
  <c r="V9" i="36"/>
  <c r="S25" i="36"/>
  <c r="Z25" i="36"/>
  <c r="R25" i="36"/>
  <c r="Y25" i="36"/>
  <c r="U25" i="36"/>
  <c r="X25" i="36"/>
  <c r="W25" i="36"/>
  <c r="V25" i="36"/>
  <c r="T25" i="36"/>
  <c r="P10" i="36"/>
  <c r="O10" i="36"/>
  <c r="N10" i="36"/>
  <c r="M10" i="36"/>
  <c r="L10" i="36"/>
  <c r="L24" i="36"/>
  <c r="P24" i="36"/>
  <c r="N24" i="36"/>
  <c r="O24" i="36"/>
  <c r="M24" i="36"/>
  <c r="N12" i="36"/>
  <c r="M12" i="36"/>
  <c r="L12" i="36"/>
  <c r="P12" i="36"/>
  <c r="O12" i="36"/>
  <c r="S33" i="36"/>
  <c r="Z33" i="36"/>
  <c r="R33" i="36"/>
  <c r="Y33" i="36"/>
  <c r="U33" i="36"/>
  <c r="X33" i="36"/>
  <c r="W33" i="36"/>
  <c r="V33" i="36"/>
  <c r="T33" i="36"/>
  <c r="V37" i="36"/>
  <c r="U37" i="36"/>
  <c r="X37" i="36"/>
  <c r="T37" i="36"/>
  <c r="S37" i="36"/>
  <c r="Z37" i="36"/>
  <c r="R37" i="36"/>
  <c r="Y37" i="36"/>
  <c r="W37" i="36"/>
  <c r="V35" i="36"/>
  <c r="U35" i="36"/>
  <c r="T35" i="36"/>
  <c r="X35" i="36"/>
  <c r="S35" i="36"/>
  <c r="Z35" i="36"/>
  <c r="R35" i="36"/>
  <c r="Y35" i="36"/>
  <c r="W35" i="36"/>
  <c r="P33" i="36"/>
  <c r="O33" i="36"/>
  <c r="N33" i="36"/>
  <c r="M33" i="36"/>
  <c r="L33" i="36"/>
  <c r="L20" i="36"/>
  <c r="N20" i="36"/>
  <c r="P20" i="36"/>
  <c r="O20" i="36"/>
  <c r="M20" i="36"/>
  <c r="N27" i="36"/>
  <c r="M27" i="36"/>
  <c r="L27" i="36"/>
  <c r="P27" i="36"/>
  <c r="O27" i="36"/>
  <c r="Y11" i="36"/>
  <c r="X11" i="36"/>
  <c r="W11" i="36"/>
  <c r="V11" i="36"/>
  <c r="U11" i="36"/>
  <c r="T11" i="36"/>
  <c r="Z11" i="36"/>
  <c r="S11" i="36"/>
  <c r="R11" i="36"/>
  <c r="W15" i="36"/>
  <c r="V15" i="36"/>
  <c r="U15" i="36"/>
  <c r="T15" i="36"/>
  <c r="S15" i="36"/>
  <c r="Z15" i="36"/>
  <c r="R15" i="36"/>
  <c r="Y15" i="36"/>
  <c r="X15" i="36"/>
  <c r="U13" i="36"/>
  <c r="T13" i="36"/>
  <c r="S13" i="36"/>
  <c r="Z13" i="36"/>
  <c r="R13" i="36"/>
  <c r="Y13" i="36"/>
  <c r="X13" i="36"/>
  <c r="W13" i="36"/>
  <c r="V13" i="36"/>
  <c r="L16" i="36"/>
  <c r="P16" i="36"/>
  <c r="O16" i="36"/>
  <c r="M16" i="36"/>
  <c r="N16" i="36"/>
  <c r="Y18" i="36"/>
  <c r="X18" i="36"/>
  <c r="W18" i="36"/>
  <c r="V18" i="36"/>
  <c r="U18" i="36"/>
  <c r="T18" i="36"/>
  <c r="Z18" i="36"/>
  <c r="S18" i="36"/>
  <c r="R18" i="36"/>
  <c r="P25" i="36"/>
  <c r="O25" i="36"/>
  <c r="N25" i="36"/>
  <c r="M25" i="36"/>
  <c r="L25" i="36"/>
  <c r="P30" i="36"/>
  <c r="O30" i="36"/>
  <c r="N30" i="36"/>
  <c r="M30" i="36"/>
  <c r="L30" i="36"/>
  <c r="L13" i="36"/>
  <c r="P13" i="36"/>
  <c r="O13" i="36"/>
  <c r="N13" i="36"/>
  <c r="M13" i="36"/>
  <c r="N23" i="36"/>
  <c r="M23" i="36"/>
  <c r="L23" i="36"/>
  <c r="P23" i="36"/>
  <c r="O23" i="36"/>
  <c r="Y22" i="36"/>
  <c r="X22" i="36"/>
  <c r="W22" i="36"/>
  <c r="S22" i="36"/>
  <c r="V22" i="36"/>
  <c r="U22" i="36"/>
  <c r="T22" i="36"/>
  <c r="Z22" i="36"/>
  <c r="R22" i="36"/>
  <c r="W23" i="36"/>
  <c r="Y23" i="36"/>
  <c r="V23" i="36"/>
  <c r="U23" i="36"/>
  <c r="T23" i="36"/>
  <c r="S23" i="36"/>
  <c r="Z23" i="36"/>
  <c r="R23" i="36"/>
  <c r="X23" i="36"/>
  <c r="U20" i="36"/>
  <c r="T20" i="36"/>
  <c r="W20" i="36"/>
  <c r="S20" i="36"/>
  <c r="Z20" i="36"/>
  <c r="R20" i="36"/>
  <c r="Y20" i="36"/>
  <c r="X20" i="36"/>
  <c r="V20" i="36"/>
  <c r="P29" i="36"/>
  <c r="O29" i="36"/>
  <c r="N29" i="36"/>
  <c r="M29" i="36"/>
  <c r="L29" i="36"/>
  <c r="W19" i="36"/>
  <c r="V19" i="36"/>
  <c r="U19" i="36"/>
  <c r="T19" i="36"/>
  <c r="S19" i="36"/>
  <c r="Z19" i="36"/>
  <c r="R19" i="36"/>
  <c r="Y19" i="36"/>
  <c r="X19" i="36"/>
  <c r="L21" i="36"/>
  <c r="P21" i="36"/>
  <c r="O21" i="36"/>
  <c r="N21" i="36"/>
  <c r="M21" i="36"/>
  <c r="L32" i="36"/>
  <c r="N32" i="36"/>
  <c r="P32" i="36"/>
  <c r="O32" i="36"/>
  <c r="M32" i="36"/>
  <c r="L9" i="36"/>
  <c r="P9" i="36"/>
  <c r="O9" i="36"/>
  <c r="N9" i="36"/>
  <c r="M9" i="36"/>
  <c r="S10" i="36"/>
  <c r="Z10" i="36"/>
  <c r="R10" i="36"/>
  <c r="Y10" i="36"/>
  <c r="X10" i="36"/>
  <c r="W10" i="36"/>
  <c r="V10" i="36"/>
  <c r="T10" i="36"/>
  <c r="U10" i="36"/>
  <c r="Y26" i="36"/>
  <c r="X26" i="36"/>
  <c r="W26" i="36"/>
  <c r="V26" i="36"/>
  <c r="U26" i="36"/>
  <c r="T26" i="36"/>
  <c r="S26" i="36"/>
  <c r="Z26" i="36"/>
  <c r="R26" i="36"/>
  <c r="W27" i="36"/>
  <c r="V27" i="36"/>
  <c r="U27" i="36"/>
  <c r="T27" i="36"/>
  <c r="S27" i="36"/>
  <c r="Z27" i="36"/>
  <c r="R27" i="36"/>
  <c r="Y27" i="36"/>
  <c r="X27" i="36"/>
  <c r="U24" i="36"/>
  <c r="T24" i="36"/>
  <c r="S24" i="36"/>
  <c r="W24" i="36"/>
  <c r="Z24" i="36"/>
  <c r="R24" i="36"/>
  <c r="Y24" i="36"/>
  <c r="X24" i="36"/>
  <c r="V24" i="36"/>
  <c r="P17" i="36"/>
  <c r="O17" i="36"/>
  <c r="N17" i="36"/>
  <c r="M17" i="36"/>
  <c r="L17" i="36"/>
  <c r="L28" i="36"/>
  <c r="N28" i="36"/>
  <c r="P28" i="36"/>
  <c r="O28" i="36"/>
  <c r="M28" i="36"/>
  <c r="N19" i="36"/>
  <c r="M19" i="36"/>
  <c r="L19" i="36"/>
  <c r="P19" i="36"/>
  <c r="O19" i="36"/>
  <c r="AC39" i="36"/>
  <c r="Y30" i="36"/>
  <c r="X30" i="36"/>
  <c r="W30" i="36"/>
  <c r="V30" i="36"/>
  <c r="U30" i="36"/>
  <c r="T30" i="36"/>
  <c r="S30" i="36"/>
  <c r="R30" i="36"/>
  <c r="Z30" i="36"/>
  <c r="W31" i="36"/>
  <c r="V31" i="36"/>
  <c r="U31" i="36"/>
  <c r="Y31" i="36"/>
  <c r="T31" i="36"/>
  <c r="S31" i="36"/>
  <c r="Z31" i="36"/>
  <c r="R31" i="36"/>
  <c r="X31" i="36"/>
  <c r="U28" i="36"/>
  <c r="T28" i="36"/>
  <c r="S28" i="36"/>
  <c r="W28" i="36"/>
  <c r="Z28" i="36"/>
  <c r="R28" i="36"/>
  <c r="Y28" i="36"/>
  <c r="X28" i="36"/>
  <c r="V28" i="36"/>
  <c r="U16" i="36"/>
  <c r="T16" i="36"/>
  <c r="S16" i="36"/>
  <c r="Z16" i="36"/>
  <c r="R16" i="36"/>
  <c r="Y16" i="36"/>
  <c r="X16" i="36"/>
  <c r="V16" i="36"/>
  <c r="W16" i="36"/>
  <c r="N15" i="36"/>
  <c r="M15" i="36"/>
  <c r="L15" i="36"/>
  <c r="O15" i="36"/>
  <c r="P15" i="36"/>
  <c r="AB39" i="36"/>
  <c r="V34" i="36"/>
  <c r="U34" i="36"/>
  <c r="T34" i="36"/>
  <c r="S34" i="36"/>
  <c r="Z34" i="36"/>
  <c r="R34" i="36"/>
  <c r="Y34" i="36"/>
  <c r="X34" i="36"/>
  <c r="W34" i="36"/>
  <c r="U32" i="36"/>
  <c r="T32" i="36"/>
  <c r="S32" i="36"/>
  <c r="Z32" i="36"/>
  <c r="R32" i="36"/>
  <c r="W32" i="36"/>
  <c r="Y32" i="36"/>
  <c r="X32" i="36"/>
  <c r="V32" i="36"/>
  <c r="J39" i="36"/>
  <c r="X36" i="36"/>
  <c r="W36" i="36"/>
  <c r="V36" i="36"/>
  <c r="Z36" i="36"/>
  <c r="U36" i="36"/>
  <c r="T36" i="36"/>
  <c r="S36" i="36"/>
  <c r="R36" i="36"/>
  <c r="Y36" i="36"/>
  <c r="M26" i="35"/>
  <c r="L11" i="35"/>
  <c r="L23" i="35"/>
  <c r="P11" i="35"/>
  <c r="O27" i="35"/>
  <c r="O7" i="35"/>
  <c r="P7" i="35"/>
  <c r="O19" i="35"/>
  <c r="N26" i="35"/>
  <c r="O18" i="35"/>
  <c r="N11" i="35"/>
  <c r="L12" i="35"/>
  <c r="M23" i="35"/>
  <c r="O11" i="35"/>
  <c r="O26" i="35"/>
  <c r="O31" i="35"/>
  <c r="L8" i="35"/>
  <c r="AC39" i="35"/>
  <c r="N8" i="35"/>
  <c r="N18" i="35"/>
  <c r="L26" i="35"/>
  <c r="L7" i="35"/>
  <c r="P27" i="35"/>
  <c r="N7" i="35"/>
  <c r="L27" i="35"/>
  <c r="L18" i="35"/>
  <c r="M30" i="35"/>
  <c r="L30" i="35"/>
  <c r="O30" i="35"/>
  <c r="O23" i="35"/>
  <c r="P23" i="35"/>
  <c r="N30" i="35"/>
  <c r="O22" i="35"/>
  <c r="N12" i="35"/>
  <c r="M27" i="35"/>
  <c r="P22" i="35"/>
  <c r="P31" i="35"/>
  <c r="P19" i="35"/>
  <c r="P18" i="35"/>
  <c r="M19" i="35"/>
  <c r="L31" i="35"/>
  <c r="M31" i="35"/>
  <c r="M8" i="35"/>
  <c r="M12" i="35"/>
  <c r="L19" i="35"/>
  <c r="P8" i="35"/>
  <c r="O12" i="35"/>
  <c r="AB39" i="35"/>
  <c r="M22" i="35"/>
  <c r="L22" i="35"/>
  <c r="O21" i="35"/>
  <c r="P21" i="35"/>
  <c r="M21" i="35"/>
  <c r="N21" i="35"/>
  <c r="L21" i="35"/>
  <c r="M9" i="35"/>
  <c r="L9" i="35"/>
  <c r="O9" i="35"/>
  <c r="P9" i="35"/>
  <c r="N9" i="35"/>
  <c r="N28" i="35"/>
  <c r="M28" i="35"/>
  <c r="L28" i="35"/>
  <c r="O28" i="35"/>
  <c r="P28" i="35"/>
  <c r="M16" i="35"/>
  <c r="L16" i="35"/>
  <c r="O16" i="35"/>
  <c r="P16" i="35"/>
  <c r="N16" i="35"/>
  <c r="M32" i="35"/>
  <c r="L32" i="35"/>
  <c r="O32" i="35"/>
  <c r="N32" i="35"/>
  <c r="P32" i="35"/>
  <c r="T6" i="35"/>
  <c r="S6" i="35"/>
  <c r="Z6" i="35"/>
  <c r="R6" i="35"/>
  <c r="Y6" i="35"/>
  <c r="P6" i="35"/>
  <c r="V6" i="35"/>
  <c r="M6" i="35"/>
  <c r="L6" i="35"/>
  <c r="N6" i="35"/>
  <c r="X6" i="35"/>
  <c r="O6" i="35"/>
  <c r="W6" i="35"/>
  <c r="U6" i="35"/>
  <c r="O33" i="35"/>
  <c r="P33" i="35"/>
  <c r="M33" i="35"/>
  <c r="L33" i="35"/>
  <c r="N33" i="35"/>
  <c r="J39" i="35"/>
  <c r="M13" i="35"/>
  <c r="L13" i="35"/>
  <c r="O13" i="35"/>
  <c r="P13" i="35"/>
  <c r="N13" i="35"/>
  <c r="O29" i="35"/>
  <c r="P29" i="35"/>
  <c r="M29" i="35"/>
  <c r="L29" i="35"/>
  <c r="N29" i="35"/>
  <c r="M24" i="35"/>
  <c r="L24" i="35"/>
  <c r="O24" i="35"/>
  <c r="N24" i="35"/>
  <c r="P24" i="35"/>
  <c r="O25" i="35"/>
  <c r="P25" i="35"/>
  <c r="M25" i="35"/>
  <c r="L25" i="35"/>
  <c r="N25" i="35"/>
  <c r="K33" i="35"/>
  <c r="K29" i="35"/>
  <c r="K25" i="35"/>
  <c r="K21" i="35"/>
  <c r="K17" i="35"/>
  <c r="K14" i="35"/>
  <c r="K10" i="35"/>
  <c r="K36" i="35"/>
  <c r="K32" i="35"/>
  <c r="K28" i="35"/>
  <c r="K24" i="35"/>
  <c r="K20" i="35"/>
  <c r="K16" i="35"/>
  <c r="K13" i="35"/>
  <c r="K9" i="35"/>
  <c r="K31" i="35"/>
  <c r="K27" i="35"/>
  <c r="K23" i="35"/>
  <c r="K35" i="35"/>
  <c r="K19" i="35"/>
  <c r="K37" i="35"/>
  <c r="K34" i="35"/>
  <c r="K30" i="35"/>
  <c r="K26" i="35"/>
  <c r="K22" i="35"/>
  <c r="K18" i="35"/>
  <c r="K11" i="35"/>
  <c r="K7" i="35"/>
  <c r="K8" i="35"/>
  <c r="K15" i="35"/>
  <c r="K12" i="35"/>
  <c r="P17" i="35"/>
  <c r="M17" i="35"/>
  <c r="O17" i="35"/>
  <c r="N17" i="35"/>
  <c r="L17" i="35"/>
  <c r="M20" i="35"/>
  <c r="L20" i="35"/>
  <c r="O20" i="35"/>
  <c r="P20" i="35"/>
  <c r="N20" i="35"/>
  <c r="J19" i="34"/>
  <c r="Q19" i="34" s="1"/>
  <c r="J27" i="34"/>
  <c r="J28" i="34"/>
  <c r="W19" i="34"/>
  <c r="T19" i="34"/>
  <c r="AB38" i="34"/>
  <c r="AA38" i="34"/>
  <c r="J26" i="34"/>
  <c r="J17" i="34"/>
  <c r="J8" i="34"/>
  <c r="J6" i="34"/>
  <c r="J34" i="34"/>
  <c r="J25" i="34"/>
  <c r="J16" i="34"/>
  <c r="J7" i="34"/>
  <c r="J33" i="34"/>
  <c r="J24" i="34"/>
  <c r="J15" i="34"/>
  <c r="J29" i="34"/>
  <c r="J32" i="34"/>
  <c r="J23" i="34"/>
  <c r="J14" i="34"/>
  <c r="J13" i="34"/>
  <c r="J5" i="34"/>
  <c r="J31" i="34"/>
  <c r="J22" i="34"/>
  <c r="J12" i="34"/>
  <c r="J10" i="34"/>
  <c r="J30" i="34"/>
  <c r="J21" i="34"/>
  <c r="J11" i="34"/>
  <c r="J20" i="34"/>
  <c r="J9" i="34"/>
  <c r="J18" i="34"/>
  <c r="J53" i="33"/>
  <c r="I53" i="33"/>
  <c r="P45" i="33"/>
  <c r="O45" i="33"/>
  <c r="N45" i="33"/>
  <c r="M45" i="33"/>
  <c r="L45" i="33"/>
  <c r="AA39" i="33"/>
  <c r="AA40" i="33" s="1"/>
  <c r="H39" i="33"/>
  <c r="P36" i="33"/>
  <c r="O36" i="33"/>
  <c r="N36" i="33"/>
  <c r="M36" i="33"/>
  <c r="L36" i="33"/>
  <c r="I35" i="33"/>
  <c r="J30" i="33" s="1"/>
  <c r="R39" i="40" l="1"/>
  <c r="R40" i="40" s="1"/>
  <c r="Z39" i="40"/>
  <c r="Z40" i="40" s="1"/>
  <c r="U39" i="40"/>
  <c r="U40" i="40" s="1"/>
  <c r="S39" i="40"/>
  <c r="S40" i="40" s="1"/>
  <c r="V39" i="40"/>
  <c r="V40" i="40" s="1"/>
  <c r="T39" i="40"/>
  <c r="T40" i="40" s="1"/>
  <c r="X39" i="40"/>
  <c r="X40" i="40" s="1"/>
  <c r="W39" i="40"/>
  <c r="W40" i="40" s="1"/>
  <c r="Q39" i="40"/>
  <c r="Q40" i="40" s="1"/>
  <c r="Y39" i="40"/>
  <c r="Y40" i="40" s="1"/>
  <c r="M39" i="38"/>
  <c r="M40" i="38" s="1"/>
  <c r="Z11" i="38"/>
  <c r="R11" i="38"/>
  <c r="Y11" i="38"/>
  <c r="V11" i="38"/>
  <c r="W11" i="38"/>
  <c r="U11" i="38"/>
  <c r="X11" i="38"/>
  <c r="T11" i="38"/>
  <c r="S11" i="38"/>
  <c r="V25" i="38"/>
  <c r="U25" i="38"/>
  <c r="Z25" i="38"/>
  <c r="R25" i="38"/>
  <c r="S25" i="38"/>
  <c r="Y25" i="38"/>
  <c r="X25" i="38"/>
  <c r="W25" i="38"/>
  <c r="T25" i="38"/>
  <c r="X16" i="38"/>
  <c r="W16" i="38"/>
  <c r="T16" i="38"/>
  <c r="U16" i="38"/>
  <c r="S16" i="38"/>
  <c r="R16" i="38"/>
  <c r="Z16" i="38"/>
  <c r="Y16" i="38"/>
  <c r="V16" i="38"/>
  <c r="T6" i="38"/>
  <c r="K39" i="38"/>
  <c r="S6" i="38"/>
  <c r="X6" i="38"/>
  <c r="Z6" i="38"/>
  <c r="Y6" i="38"/>
  <c r="U6" i="38"/>
  <c r="W6" i="38"/>
  <c r="V6" i="38"/>
  <c r="R6" i="38"/>
  <c r="O39" i="38"/>
  <c r="O40" i="38" s="1"/>
  <c r="Z31" i="38"/>
  <c r="R31" i="38"/>
  <c r="Y31" i="38"/>
  <c r="V31" i="38"/>
  <c r="W31" i="38"/>
  <c r="T31" i="38"/>
  <c r="U31" i="38"/>
  <c r="X31" i="38"/>
  <c r="S31" i="38"/>
  <c r="Z15" i="38"/>
  <c r="R15" i="38"/>
  <c r="Y15" i="38"/>
  <c r="V15" i="38"/>
  <c r="W15" i="38"/>
  <c r="X15" i="38"/>
  <c r="T15" i="38"/>
  <c r="S15" i="38"/>
  <c r="U15" i="38"/>
  <c r="X20" i="38"/>
  <c r="W20" i="38"/>
  <c r="T20" i="38"/>
  <c r="Y20" i="38"/>
  <c r="U20" i="38"/>
  <c r="V20" i="38"/>
  <c r="R20" i="38"/>
  <c r="Z20" i="38"/>
  <c r="S20" i="38"/>
  <c r="T10" i="38"/>
  <c r="S10" i="38"/>
  <c r="X10" i="38"/>
  <c r="W10" i="38"/>
  <c r="V10" i="38"/>
  <c r="Z10" i="38"/>
  <c r="R10" i="38"/>
  <c r="Y10" i="38"/>
  <c r="U10" i="38"/>
  <c r="Z19" i="38"/>
  <c r="R19" i="38"/>
  <c r="Y19" i="38"/>
  <c r="V19" i="38"/>
  <c r="W19" i="38"/>
  <c r="U19" i="38"/>
  <c r="T19" i="38"/>
  <c r="S19" i="38"/>
  <c r="X19" i="38"/>
  <c r="Y35" i="38"/>
  <c r="W35" i="38"/>
  <c r="X35" i="38"/>
  <c r="U35" i="38"/>
  <c r="V35" i="38"/>
  <c r="T35" i="38"/>
  <c r="S35" i="38"/>
  <c r="R35" i="38"/>
  <c r="Z35" i="38"/>
  <c r="X24" i="38"/>
  <c r="W24" i="38"/>
  <c r="T24" i="38"/>
  <c r="Y24" i="38"/>
  <c r="U24" i="38"/>
  <c r="V24" i="38"/>
  <c r="R24" i="38"/>
  <c r="Z24" i="38"/>
  <c r="S24" i="38"/>
  <c r="T14" i="38"/>
  <c r="S14" i="38"/>
  <c r="X14" i="38"/>
  <c r="U14" i="38"/>
  <c r="R14" i="38"/>
  <c r="Z14" i="38"/>
  <c r="Y14" i="38"/>
  <c r="W14" i="38"/>
  <c r="V14" i="38"/>
  <c r="Z23" i="38"/>
  <c r="R23" i="38"/>
  <c r="Y23" i="38"/>
  <c r="V23" i="38"/>
  <c r="W23" i="38"/>
  <c r="U23" i="38"/>
  <c r="T23" i="38"/>
  <c r="X23" i="38"/>
  <c r="S23" i="38"/>
  <c r="V17" i="38"/>
  <c r="U17" i="38"/>
  <c r="Z17" i="38"/>
  <c r="R17" i="38"/>
  <c r="Y17" i="38"/>
  <c r="W17" i="38"/>
  <c r="T17" i="38"/>
  <c r="X17" i="38"/>
  <c r="S17" i="38"/>
  <c r="X28" i="38"/>
  <c r="W28" i="38"/>
  <c r="T28" i="38"/>
  <c r="Y28" i="38"/>
  <c r="Z28" i="38"/>
  <c r="U28" i="38"/>
  <c r="S28" i="38"/>
  <c r="V28" i="38"/>
  <c r="R28" i="38"/>
  <c r="T18" i="38"/>
  <c r="S18" i="38"/>
  <c r="X18" i="38"/>
  <c r="W18" i="38"/>
  <c r="U18" i="38"/>
  <c r="V18" i="38"/>
  <c r="R18" i="38"/>
  <c r="Y18" i="38"/>
  <c r="Z18" i="38"/>
  <c r="N39" i="38"/>
  <c r="N40" i="38" s="1"/>
  <c r="V9" i="38"/>
  <c r="U9" i="38"/>
  <c r="Z9" i="38"/>
  <c r="R9" i="38"/>
  <c r="W9" i="38"/>
  <c r="T9" i="38"/>
  <c r="X9" i="38"/>
  <c r="Y9" i="38"/>
  <c r="S9" i="38"/>
  <c r="V13" i="38"/>
  <c r="U13" i="38"/>
  <c r="Z13" i="38"/>
  <c r="R13" i="38"/>
  <c r="Y13" i="38"/>
  <c r="W13" i="38"/>
  <c r="X13" i="38"/>
  <c r="S13" i="38"/>
  <c r="T13" i="38"/>
  <c r="X32" i="38"/>
  <c r="W32" i="38"/>
  <c r="T32" i="38"/>
  <c r="R32" i="38"/>
  <c r="Y32" i="38"/>
  <c r="V32" i="38"/>
  <c r="S32" i="38"/>
  <c r="Z32" i="38"/>
  <c r="U32" i="38"/>
  <c r="T26" i="38"/>
  <c r="S26" i="38"/>
  <c r="X26" i="38"/>
  <c r="Z26" i="38"/>
  <c r="W26" i="38"/>
  <c r="Y26" i="38"/>
  <c r="U26" i="38"/>
  <c r="R26" i="38"/>
  <c r="V26" i="38"/>
  <c r="P39" i="38"/>
  <c r="P40" i="38" s="1"/>
  <c r="Z7" i="38"/>
  <c r="R7" i="38"/>
  <c r="Y7" i="38"/>
  <c r="V7" i="38"/>
  <c r="T7" i="38"/>
  <c r="S7" i="38"/>
  <c r="X7" i="38"/>
  <c r="W7" i="38"/>
  <c r="U7" i="38"/>
  <c r="V33" i="38"/>
  <c r="U33" i="38"/>
  <c r="Z33" i="38"/>
  <c r="R33" i="38"/>
  <c r="Y33" i="38"/>
  <c r="W33" i="38"/>
  <c r="X33" i="38"/>
  <c r="S33" i="38"/>
  <c r="T33" i="38"/>
  <c r="X36" i="38"/>
  <c r="W36" i="38"/>
  <c r="V36" i="38"/>
  <c r="T36" i="38"/>
  <c r="Z36" i="38"/>
  <c r="U36" i="38"/>
  <c r="S36" i="38"/>
  <c r="Y36" i="38"/>
  <c r="R36" i="38"/>
  <c r="T30" i="38"/>
  <c r="S30" i="38"/>
  <c r="X30" i="38"/>
  <c r="Z30" i="38"/>
  <c r="W30" i="38"/>
  <c r="V30" i="38"/>
  <c r="U30" i="38"/>
  <c r="Y30" i="38"/>
  <c r="R30" i="38"/>
  <c r="Z27" i="38"/>
  <c r="R27" i="38"/>
  <c r="Y27" i="38"/>
  <c r="V27" i="38"/>
  <c r="T27" i="38"/>
  <c r="S27" i="38"/>
  <c r="X27" i="38"/>
  <c r="U27" i="38"/>
  <c r="W27" i="38"/>
  <c r="X8" i="38"/>
  <c r="W8" i="38"/>
  <c r="T8" i="38"/>
  <c r="Z8" i="38"/>
  <c r="U8" i="38"/>
  <c r="S8" i="38"/>
  <c r="R8" i="38"/>
  <c r="Y8" i="38"/>
  <c r="V8" i="38"/>
  <c r="Z22" i="38"/>
  <c r="R22" i="38"/>
  <c r="Y22" i="38"/>
  <c r="V22" i="38"/>
  <c r="T22" i="38"/>
  <c r="S22" i="38"/>
  <c r="X22" i="38"/>
  <c r="W22" i="38"/>
  <c r="U22" i="38"/>
  <c r="T34" i="38"/>
  <c r="S34" i="38"/>
  <c r="Z34" i="38"/>
  <c r="X34" i="38"/>
  <c r="U34" i="38"/>
  <c r="R34" i="38"/>
  <c r="Y34" i="38"/>
  <c r="W34" i="38"/>
  <c r="V34" i="38"/>
  <c r="L39" i="38"/>
  <c r="L40" i="38" s="1"/>
  <c r="V29" i="38"/>
  <c r="U29" i="38"/>
  <c r="Z29" i="38"/>
  <c r="R29" i="38"/>
  <c r="W29" i="38"/>
  <c r="S29" i="38"/>
  <c r="T29" i="38"/>
  <c r="Y29" i="38"/>
  <c r="X29" i="38"/>
  <c r="V21" i="38"/>
  <c r="U21" i="38"/>
  <c r="Z21" i="38"/>
  <c r="R21" i="38"/>
  <c r="S21" i="38"/>
  <c r="Y21" i="38"/>
  <c r="X21" i="38"/>
  <c r="W21" i="38"/>
  <c r="T21" i="38"/>
  <c r="X12" i="38"/>
  <c r="W12" i="38"/>
  <c r="T12" i="38"/>
  <c r="R12" i="38"/>
  <c r="Y12" i="38"/>
  <c r="V12" i="38"/>
  <c r="Z12" i="38"/>
  <c r="U12" i="38"/>
  <c r="S12" i="38"/>
  <c r="S37" i="38"/>
  <c r="Y37" i="38"/>
  <c r="Z37" i="38"/>
  <c r="R37" i="38"/>
  <c r="W37" i="38"/>
  <c r="X37" i="38"/>
  <c r="V37" i="38"/>
  <c r="U37" i="38"/>
  <c r="T37" i="38"/>
  <c r="L39" i="37"/>
  <c r="M39" i="37"/>
  <c r="P39" i="37"/>
  <c r="N39" i="37"/>
  <c r="O39" i="37"/>
  <c r="Y39" i="37"/>
  <c r="W39" i="37"/>
  <c r="X39" i="37"/>
  <c r="R39" i="37"/>
  <c r="S39" i="37"/>
  <c r="Z39" i="37"/>
  <c r="T39" i="37"/>
  <c r="V39" i="37"/>
  <c r="U39" i="37"/>
  <c r="L39" i="36"/>
  <c r="O39" i="36"/>
  <c r="N39" i="36"/>
  <c r="P39" i="36"/>
  <c r="M39" i="36"/>
  <c r="U39" i="36"/>
  <c r="V39" i="36"/>
  <c r="W39" i="36"/>
  <c r="X39" i="36"/>
  <c r="Z39" i="36"/>
  <c r="S39" i="36"/>
  <c r="R39" i="36"/>
  <c r="Y39" i="36"/>
  <c r="T39" i="36"/>
  <c r="P39" i="35"/>
  <c r="N39" i="35"/>
  <c r="O39" i="35"/>
  <c r="L39" i="35"/>
  <c r="S37" i="35"/>
  <c r="Z37" i="35"/>
  <c r="R37" i="35"/>
  <c r="Y37" i="35"/>
  <c r="X37" i="35"/>
  <c r="V37" i="35"/>
  <c r="W37" i="35"/>
  <c r="T37" i="35"/>
  <c r="U37" i="35"/>
  <c r="X19" i="35"/>
  <c r="T19" i="35"/>
  <c r="W19" i="35"/>
  <c r="V19" i="35"/>
  <c r="U19" i="35"/>
  <c r="Z19" i="35"/>
  <c r="R19" i="35"/>
  <c r="Y19" i="35"/>
  <c r="S19" i="35"/>
  <c r="Z11" i="35"/>
  <c r="R11" i="35"/>
  <c r="Y11" i="35"/>
  <c r="X11" i="35"/>
  <c r="W11" i="35"/>
  <c r="T11" i="35"/>
  <c r="U11" i="35"/>
  <c r="S11" i="35"/>
  <c r="V11" i="35"/>
  <c r="T25" i="35"/>
  <c r="S25" i="35"/>
  <c r="Z25" i="35"/>
  <c r="R25" i="35"/>
  <c r="Y25" i="35"/>
  <c r="X25" i="35"/>
  <c r="V25" i="35"/>
  <c r="U25" i="35"/>
  <c r="W25" i="35"/>
  <c r="Z18" i="35"/>
  <c r="R18" i="35"/>
  <c r="Y18" i="35"/>
  <c r="X18" i="35"/>
  <c r="W18" i="35"/>
  <c r="T18" i="35"/>
  <c r="V18" i="35"/>
  <c r="U18" i="35"/>
  <c r="S18" i="35"/>
  <c r="X23" i="35"/>
  <c r="T23" i="35"/>
  <c r="W23" i="35"/>
  <c r="V23" i="35"/>
  <c r="U23" i="35"/>
  <c r="Z23" i="35"/>
  <c r="R23" i="35"/>
  <c r="Y23" i="35"/>
  <c r="S23" i="35"/>
  <c r="V28" i="35"/>
  <c r="Z28" i="35"/>
  <c r="U28" i="35"/>
  <c r="T28" i="35"/>
  <c r="R28" i="35"/>
  <c r="S28" i="35"/>
  <c r="X28" i="35"/>
  <c r="W28" i="35"/>
  <c r="Y28" i="35"/>
  <c r="U29" i="35"/>
  <c r="T29" i="35"/>
  <c r="S29" i="35"/>
  <c r="X29" i="35"/>
  <c r="Z29" i="35"/>
  <c r="R29" i="35"/>
  <c r="Y29" i="35"/>
  <c r="V29" i="35"/>
  <c r="W29" i="35"/>
  <c r="V16" i="35"/>
  <c r="U16" i="35"/>
  <c r="T16" i="35"/>
  <c r="S16" i="35"/>
  <c r="X16" i="35"/>
  <c r="W16" i="35"/>
  <c r="R16" i="35"/>
  <c r="Z16" i="35"/>
  <c r="Y16" i="35"/>
  <c r="Z7" i="35"/>
  <c r="R7" i="35"/>
  <c r="Y7" i="35"/>
  <c r="K39" i="35"/>
  <c r="X7" i="35"/>
  <c r="W7" i="35"/>
  <c r="T7" i="35"/>
  <c r="U7" i="35"/>
  <c r="V7" i="35"/>
  <c r="S7" i="35"/>
  <c r="Y35" i="35"/>
  <c r="X35" i="35"/>
  <c r="W35" i="35"/>
  <c r="V35" i="35"/>
  <c r="T35" i="35"/>
  <c r="U35" i="35"/>
  <c r="Z35" i="35"/>
  <c r="R35" i="35"/>
  <c r="S35" i="35"/>
  <c r="S22" i="35"/>
  <c r="Z22" i="35"/>
  <c r="R22" i="35"/>
  <c r="Y22" i="35"/>
  <c r="X22" i="35"/>
  <c r="W22" i="35"/>
  <c r="V22" i="35"/>
  <c r="T22" i="35"/>
  <c r="U22" i="35"/>
  <c r="X27" i="35"/>
  <c r="T27" i="35"/>
  <c r="W27" i="35"/>
  <c r="V27" i="35"/>
  <c r="U27" i="35"/>
  <c r="Z27" i="35"/>
  <c r="R27" i="35"/>
  <c r="Y27" i="35"/>
  <c r="S27" i="35"/>
  <c r="W32" i="35"/>
  <c r="V32" i="35"/>
  <c r="U32" i="35"/>
  <c r="T32" i="35"/>
  <c r="R32" i="35"/>
  <c r="S32" i="35"/>
  <c r="Z32" i="35"/>
  <c r="X32" i="35"/>
  <c r="Y32" i="35"/>
  <c r="T33" i="35"/>
  <c r="S33" i="35"/>
  <c r="Z33" i="35"/>
  <c r="R33" i="35"/>
  <c r="Y33" i="35"/>
  <c r="X33" i="35"/>
  <c r="V33" i="35"/>
  <c r="U33" i="35"/>
  <c r="W33" i="35"/>
  <c r="X8" i="35"/>
  <c r="W8" i="35"/>
  <c r="V8" i="35"/>
  <c r="U8" i="35"/>
  <c r="Z8" i="35"/>
  <c r="R8" i="35"/>
  <c r="Y8" i="35"/>
  <c r="T8" i="35"/>
  <c r="S8" i="35"/>
  <c r="T21" i="35"/>
  <c r="S21" i="35"/>
  <c r="X21" i="35"/>
  <c r="Z21" i="35"/>
  <c r="R21" i="35"/>
  <c r="Y21" i="35"/>
  <c r="V21" i="35"/>
  <c r="W21" i="35"/>
  <c r="U21" i="35"/>
  <c r="Y31" i="35"/>
  <c r="X31" i="35"/>
  <c r="W31" i="35"/>
  <c r="V31" i="35"/>
  <c r="U31" i="35"/>
  <c r="T31" i="35"/>
  <c r="Z31" i="35"/>
  <c r="R31" i="35"/>
  <c r="S31" i="35"/>
  <c r="X12" i="35"/>
  <c r="W12" i="35"/>
  <c r="V12" i="35"/>
  <c r="U12" i="35"/>
  <c r="Z12" i="35"/>
  <c r="R12" i="35"/>
  <c r="Y12" i="35"/>
  <c r="T12" i="35"/>
  <c r="S12" i="35"/>
  <c r="Z30" i="35"/>
  <c r="R30" i="35"/>
  <c r="V30" i="35"/>
  <c r="Y30" i="35"/>
  <c r="X30" i="35"/>
  <c r="W30" i="35"/>
  <c r="T30" i="35"/>
  <c r="S30" i="35"/>
  <c r="U30" i="35"/>
  <c r="V9" i="35"/>
  <c r="U9" i="35"/>
  <c r="T9" i="35"/>
  <c r="S9" i="35"/>
  <c r="X9" i="35"/>
  <c r="R9" i="35"/>
  <c r="W9" i="35"/>
  <c r="Z9" i="35"/>
  <c r="Y9" i="35"/>
  <c r="T10" i="35"/>
  <c r="S10" i="35"/>
  <c r="Z10" i="35"/>
  <c r="R10" i="35"/>
  <c r="Y10" i="35"/>
  <c r="V10" i="35"/>
  <c r="U10" i="35"/>
  <c r="X10" i="35"/>
  <c r="W10" i="35"/>
  <c r="T17" i="35"/>
  <c r="S17" i="35"/>
  <c r="Z17" i="35"/>
  <c r="R17" i="35"/>
  <c r="Y17" i="35"/>
  <c r="V17" i="35"/>
  <c r="W17" i="35"/>
  <c r="U17" i="35"/>
  <c r="X17" i="35"/>
  <c r="V20" i="35"/>
  <c r="U20" i="35"/>
  <c r="T20" i="35"/>
  <c r="Z20" i="35"/>
  <c r="S20" i="35"/>
  <c r="R20" i="35"/>
  <c r="X20" i="35"/>
  <c r="Y20" i="35"/>
  <c r="W20" i="35"/>
  <c r="W24" i="35"/>
  <c r="V24" i="35"/>
  <c r="U24" i="35"/>
  <c r="T24" i="35"/>
  <c r="Z24" i="35"/>
  <c r="S24" i="35"/>
  <c r="R24" i="35"/>
  <c r="X24" i="35"/>
  <c r="Y24" i="35"/>
  <c r="M39" i="35"/>
  <c r="S26" i="35"/>
  <c r="Z26" i="35"/>
  <c r="R26" i="35"/>
  <c r="V26" i="35"/>
  <c r="Y26" i="35"/>
  <c r="X26" i="35"/>
  <c r="W26" i="35"/>
  <c r="T26" i="35"/>
  <c r="U26" i="35"/>
  <c r="T36" i="35"/>
  <c r="S36" i="35"/>
  <c r="Z36" i="35"/>
  <c r="R36" i="35"/>
  <c r="Y36" i="35"/>
  <c r="X36" i="35"/>
  <c r="W36" i="35"/>
  <c r="U36" i="35"/>
  <c r="V36" i="35"/>
  <c r="X15" i="35"/>
  <c r="W15" i="35"/>
  <c r="V15" i="35"/>
  <c r="U15" i="35"/>
  <c r="Z15" i="35"/>
  <c r="R15" i="35"/>
  <c r="S15" i="35"/>
  <c r="Y15" i="35"/>
  <c r="T15" i="35"/>
  <c r="X34" i="35"/>
  <c r="W34" i="35"/>
  <c r="V34" i="35"/>
  <c r="U34" i="35"/>
  <c r="S34" i="35"/>
  <c r="T34" i="35"/>
  <c r="Y34" i="35"/>
  <c r="R34" i="35"/>
  <c r="Z34" i="35"/>
  <c r="V13" i="35"/>
  <c r="U13" i="35"/>
  <c r="T13" i="35"/>
  <c r="S13" i="35"/>
  <c r="X13" i="35"/>
  <c r="Z13" i="35"/>
  <c r="W13" i="35"/>
  <c r="Y13" i="35"/>
  <c r="R13" i="35"/>
  <c r="S14" i="35"/>
  <c r="Z14" i="35"/>
  <c r="R14" i="35"/>
  <c r="Y14" i="35"/>
  <c r="X14" i="35"/>
  <c r="U14" i="35"/>
  <c r="T14" i="35"/>
  <c r="W14" i="35"/>
  <c r="V14" i="35"/>
  <c r="Y19" i="34"/>
  <c r="U19" i="34"/>
  <c r="R19" i="34"/>
  <c r="X19" i="34"/>
  <c r="L19" i="34"/>
  <c r="V19" i="34"/>
  <c r="M19" i="34"/>
  <c r="O19" i="34"/>
  <c r="K19" i="34"/>
  <c r="L27" i="34"/>
  <c r="O27" i="34"/>
  <c r="M27" i="34"/>
  <c r="T27" i="34"/>
  <c r="U27" i="34"/>
  <c r="N27" i="34"/>
  <c r="K27" i="34"/>
  <c r="R27" i="34"/>
  <c r="W27" i="34"/>
  <c r="X27" i="34"/>
  <c r="S27" i="34"/>
  <c r="Q27" i="34"/>
  <c r="Y27" i="34"/>
  <c r="V27" i="34"/>
  <c r="N19" i="34"/>
  <c r="S19" i="34"/>
  <c r="L28" i="34"/>
  <c r="T28" i="34"/>
  <c r="K28" i="34"/>
  <c r="S28" i="34"/>
  <c r="V28" i="34"/>
  <c r="M28" i="34"/>
  <c r="N28" i="34"/>
  <c r="X28" i="34"/>
  <c r="R28" i="34"/>
  <c r="O28" i="34"/>
  <c r="Y28" i="34"/>
  <c r="U28" i="34"/>
  <c r="Q28" i="34"/>
  <c r="W28" i="34"/>
  <c r="V13" i="34"/>
  <c r="M13" i="34"/>
  <c r="U13" i="34"/>
  <c r="L13" i="34"/>
  <c r="X13" i="34"/>
  <c r="T13" i="34"/>
  <c r="K13" i="34"/>
  <c r="S13" i="34"/>
  <c r="R13" i="34"/>
  <c r="O13" i="34"/>
  <c r="Q13" i="34"/>
  <c r="W13" i="34"/>
  <c r="N13" i="34"/>
  <c r="V14" i="34"/>
  <c r="M14" i="34"/>
  <c r="U14" i="34"/>
  <c r="L14" i="34"/>
  <c r="T14" i="34"/>
  <c r="K14" i="34"/>
  <c r="O14" i="34"/>
  <c r="S14" i="34"/>
  <c r="R14" i="34"/>
  <c r="Y14" i="34"/>
  <c r="Q14" i="34"/>
  <c r="X14" i="34"/>
  <c r="W14" i="34"/>
  <c r="N14" i="34"/>
  <c r="V23" i="34"/>
  <c r="M23" i="34"/>
  <c r="U23" i="34"/>
  <c r="L23" i="34"/>
  <c r="T23" i="34"/>
  <c r="K23" i="34"/>
  <c r="X23" i="34"/>
  <c r="S23" i="34"/>
  <c r="R23" i="34"/>
  <c r="Y23" i="34"/>
  <c r="Q23" i="34"/>
  <c r="O23" i="34"/>
  <c r="N23" i="34"/>
  <c r="W23" i="34"/>
  <c r="V32" i="34"/>
  <c r="M32" i="34"/>
  <c r="U32" i="34"/>
  <c r="L32" i="34"/>
  <c r="T32" i="34"/>
  <c r="K32" i="34"/>
  <c r="W32" i="34"/>
  <c r="S32" i="34"/>
  <c r="N32" i="34"/>
  <c r="R32" i="34"/>
  <c r="Y32" i="34"/>
  <c r="Q32" i="34"/>
  <c r="X32" i="34"/>
  <c r="O32" i="34"/>
  <c r="T34" i="34"/>
  <c r="K34" i="34"/>
  <c r="S34" i="34"/>
  <c r="R34" i="34"/>
  <c r="L34" i="34"/>
  <c r="Y34" i="34"/>
  <c r="Q34" i="34"/>
  <c r="V34" i="34"/>
  <c r="X34" i="34"/>
  <c r="O34" i="34"/>
  <c r="W34" i="34"/>
  <c r="N34" i="34"/>
  <c r="M34" i="34"/>
  <c r="U34" i="34"/>
  <c r="R18" i="34"/>
  <c r="Y18" i="34"/>
  <c r="Q18" i="34"/>
  <c r="X18" i="34"/>
  <c r="O18" i="34"/>
  <c r="W18" i="34"/>
  <c r="N18" i="34"/>
  <c r="T18" i="34"/>
  <c r="V18" i="34"/>
  <c r="M18" i="34"/>
  <c r="K18" i="34"/>
  <c r="U18" i="34"/>
  <c r="L18" i="34"/>
  <c r="S18" i="34"/>
  <c r="W12" i="34"/>
  <c r="N12" i="34"/>
  <c r="V12" i="34"/>
  <c r="M12" i="34"/>
  <c r="K12" i="34"/>
  <c r="U12" i="34"/>
  <c r="L12" i="34"/>
  <c r="T12" i="34"/>
  <c r="Q12" i="34"/>
  <c r="S12" i="34"/>
  <c r="R12" i="34"/>
  <c r="Y12" i="34"/>
  <c r="X12" i="34"/>
  <c r="O12" i="34"/>
  <c r="Y29" i="34"/>
  <c r="Q29" i="34"/>
  <c r="X29" i="34"/>
  <c r="O29" i="34"/>
  <c r="W29" i="34"/>
  <c r="N29" i="34"/>
  <c r="V29" i="34"/>
  <c r="M29" i="34"/>
  <c r="U29" i="34"/>
  <c r="L29" i="34"/>
  <c r="T29" i="34"/>
  <c r="K29" i="34"/>
  <c r="S29" i="34"/>
  <c r="R29" i="34"/>
  <c r="U6" i="34"/>
  <c r="L6" i="34"/>
  <c r="J38" i="34"/>
  <c r="T6" i="34"/>
  <c r="K6" i="34"/>
  <c r="S6" i="34"/>
  <c r="N6" i="34"/>
  <c r="R6" i="34"/>
  <c r="Y6" i="34"/>
  <c r="Q6" i="34"/>
  <c r="W6" i="34"/>
  <c r="X6" i="34"/>
  <c r="O6" i="34"/>
  <c r="V6" i="34"/>
  <c r="M6" i="34"/>
  <c r="X11" i="34"/>
  <c r="O11" i="34"/>
  <c r="U11" i="34"/>
  <c r="W11" i="34"/>
  <c r="N11" i="34"/>
  <c r="V11" i="34"/>
  <c r="M11" i="34"/>
  <c r="R11" i="34"/>
  <c r="L11" i="34"/>
  <c r="T11" i="34"/>
  <c r="K11" i="34"/>
  <c r="S11" i="34"/>
  <c r="Y11" i="34"/>
  <c r="Q11" i="34"/>
  <c r="X21" i="34"/>
  <c r="O21" i="34"/>
  <c r="W21" i="34"/>
  <c r="N21" i="34"/>
  <c r="V21" i="34"/>
  <c r="M21" i="34"/>
  <c r="U21" i="34"/>
  <c r="L21" i="34"/>
  <c r="T21" i="34"/>
  <c r="K21" i="34"/>
  <c r="R21" i="34"/>
  <c r="S21" i="34"/>
  <c r="Q21" i="34"/>
  <c r="Y21" i="34"/>
  <c r="X30" i="34"/>
  <c r="O30" i="34"/>
  <c r="W30" i="34"/>
  <c r="N30" i="34"/>
  <c r="V30" i="34"/>
  <c r="M30" i="34"/>
  <c r="Y30" i="34"/>
  <c r="U30" i="34"/>
  <c r="L30" i="34"/>
  <c r="T30" i="34"/>
  <c r="K30" i="34"/>
  <c r="S30" i="34"/>
  <c r="R30" i="34"/>
  <c r="Q30" i="34"/>
  <c r="Y10" i="34"/>
  <c r="Q10" i="34"/>
  <c r="X10" i="34"/>
  <c r="O10" i="34"/>
  <c r="S10" i="34"/>
  <c r="W10" i="34"/>
  <c r="N10" i="34"/>
  <c r="V10" i="34"/>
  <c r="M10" i="34"/>
  <c r="U10" i="34"/>
  <c r="L10" i="34"/>
  <c r="T10" i="34"/>
  <c r="K10" i="34"/>
  <c r="R10" i="34"/>
  <c r="R9" i="34"/>
  <c r="W9" i="34"/>
  <c r="Y9" i="34"/>
  <c r="Q9" i="34"/>
  <c r="X9" i="34"/>
  <c r="O9" i="34"/>
  <c r="N9" i="34"/>
  <c r="T9" i="34"/>
  <c r="V9" i="34"/>
  <c r="M9" i="34"/>
  <c r="U9" i="34"/>
  <c r="L9" i="34"/>
  <c r="K9" i="34"/>
  <c r="S9" i="34"/>
  <c r="S8" i="34"/>
  <c r="R8" i="34"/>
  <c r="X8" i="34"/>
  <c r="Y8" i="34"/>
  <c r="Q8" i="34"/>
  <c r="L8" i="34"/>
  <c r="O8" i="34"/>
  <c r="U8" i="34"/>
  <c r="W8" i="34"/>
  <c r="N8" i="34"/>
  <c r="V8" i="34"/>
  <c r="M8" i="34"/>
  <c r="K8" i="34"/>
  <c r="T8" i="34"/>
  <c r="W31" i="34"/>
  <c r="N31" i="34"/>
  <c r="O31" i="34"/>
  <c r="V31" i="34"/>
  <c r="M31" i="34"/>
  <c r="U31" i="34"/>
  <c r="L31" i="34"/>
  <c r="T31" i="34"/>
  <c r="K31" i="34"/>
  <c r="S31" i="34"/>
  <c r="R31" i="34"/>
  <c r="Y31" i="34"/>
  <c r="Q31" i="34"/>
  <c r="X31" i="34"/>
  <c r="U24" i="34"/>
  <c r="L24" i="34"/>
  <c r="T24" i="34"/>
  <c r="K24" i="34"/>
  <c r="N24" i="34"/>
  <c r="S24" i="34"/>
  <c r="R24" i="34"/>
  <c r="W24" i="34"/>
  <c r="Y24" i="34"/>
  <c r="Q24" i="34"/>
  <c r="X24" i="34"/>
  <c r="O24" i="34"/>
  <c r="V24" i="34"/>
  <c r="M24" i="34"/>
  <c r="S17" i="34"/>
  <c r="L17" i="34"/>
  <c r="R17" i="34"/>
  <c r="Y17" i="34"/>
  <c r="Q17" i="34"/>
  <c r="U17" i="34"/>
  <c r="X17" i="34"/>
  <c r="O17" i="34"/>
  <c r="W17" i="34"/>
  <c r="N17" i="34"/>
  <c r="V17" i="34"/>
  <c r="M17" i="34"/>
  <c r="T17" i="34"/>
  <c r="K17" i="34"/>
  <c r="T7" i="34"/>
  <c r="K7" i="34"/>
  <c r="Q7" i="34"/>
  <c r="S7" i="34"/>
  <c r="M7" i="34"/>
  <c r="R7" i="34"/>
  <c r="Y7" i="34"/>
  <c r="X7" i="34"/>
  <c r="O7" i="34"/>
  <c r="W7" i="34"/>
  <c r="N7" i="34"/>
  <c r="V7" i="34"/>
  <c r="U7" i="34"/>
  <c r="L7" i="34"/>
  <c r="T16" i="34"/>
  <c r="K16" i="34"/>
  <c r="S16" i="34"/>
  <c r="M16" i="34"/>
  <c r="R16" i="34"/>
  <c r="Y16" i="34"/>
  <c r="Q16" i="34"/>
  <c r="X16" i="34"/>
  <c r="O16" i="34"/>
  <c r="W16" i="34"/>
  <c r="N16" i="34"/>
  <c r="V16" i="34"/>
  <c r="U16" i="34"/>
  <c r="L16" i="34"/>
  <c r="T25" i="34"/>
  <c r="K25" i="34"/>
  <c r="V25" i="34"/>
  <c r="S25" i="34"/>
  <c r="R25" i="34"/>
  <c r="Y25" i="34"/>
  <c r="Q25" i="34"/>
  <c r="X25" i="34"/>
  <c r="O25" i="34"/>
  <c r="W25" i="34"/>
  <c r="N25" i="34"/>
  <c r="M25" i="34"/>
  <c r="U25" i="34"/>
  <c r="L25" i="34"/>
  <c r="W22" i="34"/>
  <c r="N22" i="34"/>
  <c r="V22" i="34"/>
  <c r="M22" i="34"/>
  <c r="U22" i="34"/>
  <c r="L22" i="34"/>
  <c r="T22" i="34"/>
  <c r="K22" i="34"/>
  <c r="Y22" i="34"/>
  <c r="S22" i="34"/>
  <c r="R22" i="34"/>
  <c r="Q22" i="34"/>
  <c r="X22" i="34"/>
  <c r="O22" i="34"/>
  <c r="U15" i="34"/>
  <c r="L15" i="34"/>
  <c r="T15" i="34"/>
  <c r="K15" i="34"/>
  <c r="S15" i="34"/>
  <c r="R15" i="34"/>
  <c r="W15" i="34"/>
  <c r="Y15" i="34"/>
  <c r="Q15" i="34"/>
  <c r="N15" i="34"/>
  <c r="X15" i="34"/>
  <c r="O15" i="34"/>
  <c r="V15" i="34"/>
  <c r="M15" i="34"/>
  <c r="Y20" i="34"/>
  <c r="Q20" i="34"/>
  <c r="X20" i="34"/>
  <c r="O20" i="34"/>
  <c r="S20" i="34"/>
  <c r="W20" i="34"/>
  <c r="N20" i="34"/>
  <c r="V20" i="34"/>
  <c r="M20" i="34"/>
  <c r="U20" i="34"/>
  <c r="L20" i="34"/>
  <c r="T20" i="34"/>
  <c r="K20" i="34"/>
  <c r="R20" i="34"/>
  <c r="V5" i="34"/>
  <c r="M5" i="34"/>
  <c r="S5" i="34"/>
  <c r="U5" i="34"/>
  <c r="L5" i="34"/>
  <c r="K5" i="34"/>
  <c r="T5" i="34"/>
  <c r="O5" i="34"/>
  <c r="R5" i="34"/>
  <c r="Y5" i="34"/>
  <c r="Q5" i="34"/>
  <c r="X5" i="34"/>
  <c r="W5" i="34"/>
  <c r="N5" i="34"/>
  <c r="U33" i="34"/>
  <c r="L33" i="34"/>
  <c r="T33" i="34"/>
  <c r="K33" i="34"/>
  <c r="V33" i="34"/>
  <c r="S33" i="34"/>
  <c r="R33" i="34"/>
  <c r="Y33" i="34"/>
  <c r="Q33" i="34"/>
  <c r="M33" i="34"/>
  <c r="X33" i="34"/>
  <c r="O33" i="34"/>
  <c r="W33" i="34"/>
  <c r="N33" i="34"/>
  <c r="S26" i="34"/>
  <c r="R26" i="34"/>
  <c r="Y26" i="34"/>
  <c r="Q26" i="34"/>
  <c r="X26" i="34"/>
  <c r="O26" i="34"/>
  <c r="W26" i="34"/>
  <c r="N26" i="34"/>
  <c r="U26" i="34"/>
  <c r="V26" i="34"/>
  <c r="M26" i="34"/>
  <c r="L26" i="34"/>
  <c r="T26" i="34"/>
  <c r="K26" i="34"/>
  <c r="AB37" i="33"/>
  <c r="AC37" i="33" s="1"/>
  <c r="AB38" i="33"/>
  <c r="AC38" i="33" s="1"/>
  <c r="AB36" i="33"/>
  <c r="J55" i="33"/>
  <c r="K53" i="33"/>
  <c r="H44" i="33" s="1"/>
  <c r="H45" i="33" s="1"/>
  <c r="H46" i="33" s="1"/>
  <c r="AB31" i="33"/>
  <c r="AC31" i="33" s="1"/>
  <c r="AB10" i="33"/>
  <c r="AC10" i="33" s="1"/>
  <c r="AB13" i="33"/>
  <c r="AC13" i="33" s="1"/>
  <c r="AB35" i="33"/>
  <c r="AC35" i="33" s="1"/>
  <c r="J14" i="33"/>
  <c r="N14" i="33" s="1"/>
  <c r="J29" i="33"/>
  <c r="N29" i="33" s="1"/>
  <c r="J6" i="33"/>
  <c r="P6" i="33" s="1"/>
  <c r="AB11" i="33"/>
  <c r="AC11" i="33" s="1"/>
  <c r="J15" i="33"/>
  <c r="N15" i="33" s="1"/>
  <c r="J21" i="33"/>
  <c r="O21" i="33" s="1"/>
  <c r="AB29" i="33"/>
  <c r="AC29" i="33" s="1"/>
  <c r="AB18" i="33"/>
  <c r="AC18" i="33" s="1"/>
  <c r="AB26" i="33"/>
  <c r="AC26" i="33" s="1"/>
  <c r="J11" i="33"/>
  <c r="L11" i="33" s="1"/>
  <c r="AB6" i="33"/>
  <c r="AC6" i="33" s="1"/>
  <c r="AB8" i="33"/>
  <c r="AC8" i="33" s="1"/>
  <c r="J12" i="33"/>
  <c r="O12" i="33" s="1"/>
  <c r="J16" i="33"/>
  <c r="O16" i="33" s="1"/>
  <c r="J24" i="33"/>
  <c r="M24" i="33" s="1"/>
  <c r="J32" i="33"/>
  <c r="P32" i="33" s="1"/>
  <c r="J8" i="33"/>
  <c r="L8" i="33" s="1"/>
  <c r="J19" i="33"/>
  <c r="P19" i="33" s="1"/>
  <c r="AB19" i="33"/>
  <c r="AC19" i="33" s="1"/>
  <c r="AB14" i="33"/>
  <c r="AC14" i="33" s="1"/>
  <c r="J7" i="33"/>
  <c r="M7" i="33" s="1"/>
  <c r="J9" i="33"/>
  <c r="M9" i="33" s="1"/>
  <c r="AB12" i="33"/>
  <c r="AC12" i="33" s="1"/>
  <c r="AB16" i="33"/>
  <c r="AC16" i="33" s="1"/>
  <c r="AB24" i="33"/>
  <c r="AC24" i="33" s="1"/>
  <c r="J33" i="33"/>
  <c r="P33" i="33" s="1"/>
  <c r="J27" i="33"/>
  <c r="O27" i="33" s="1"/>
  <c r="J28" i="33"/>
  <c r="M28" i="33" s="1"/>
  <c r="J20" i="33"/>
  <c r="L20" i="33" s="1"/>
  <c r="AB9" i="33"/>
  <c r="AC9" i="33" s="1"/>
  <c r="J13" i="33"/>
  <c r="P13" i="33" s="1"/>
  <c r="J17" i="33"/>
  <c r="P17" i="33" s="1"/>
  <c r="J25" i="33"/>
  <c r="P25" i="33" s="1"/>
  <c r="AB34" i="33"/>
  <c r="AC34" i="33" s="1"/>
  <c r="P30" i="33"/>
  <c r="O30" i="33"/>
  <c r="L30" i="33"/>
  <c r="AB32" i="33"/>
  <c r="AC32" i="33" s="1"/>
  <c r="AB17" i="33"/>
  <c r="AC17" i="33" s="1"/>
  <c r="AB25" i="33"/>
  <c r="AC25" i="33" s="1"/>
  <c r="AB33" i="33"/>
  <c r="AC33" i="33" s="1"/>
  <c r="AB21" i="33"/>
  <c r="AC21" i="33" s="1"/>
  <c r="AB27" i="33"/>
  <c r="AC27" i="33" s="1"/>
  <c r="AB30" i="33"/>
  <c r="AC30" i="33" s="1"/>
  <c r="I37" i="33"/>
  <c r="F48" i="33"/>
  <c r="J34" i="33"/>
  <c r="J26" i="33"/>
  <c r="J18" i="33"/>
  <c r="J10" i="33"/>
  <c r="J31" i="33"/>
  <c r="J23" i="33"/>
  <c r="N30" i="33"/>
  <c r="M30" i="33"/>
  <c r="J35" i="33"/>
  <c r="AB20" i="33"/>
  <c r="AC20" i="33" s="1"/>
  <c r="AB28" i="33"/>
  <c r="AC28" i="33" s="1"/>
  <c r="AC36" i="33"/>
  <c r="AB7" i="33"/>
  <c r="AC7" i="33" s="1"/>
  <c r="AB15" i="33"/>
  <c r="AC15" i="33" s="1"/>
  <c r="AB23" i="33"/>
  <c r="AC23" i="33" s="1"/>
  <c r="S39" i="38" l="1"/>
  <c r="S40" i="38" s="1"/>
  <c r="X39" i="38"/>
  <c r="X40" i="38" s="1"/>
  <c r="R39" i="38"/>
  <c r="R40" i="38" s="1"/>
  <c r="W39" i="38"/>
  <c r="W40" i="38" s="1"/>
  <c r="U39" i="38"/>
  <c r="U40" i="38" s="1"/>
  <c r="T39" i="38"/>
  <c r="T40" i="38" s="1"/>
  <c r="Y39" i="38"/>
  <c r="Y40" i="38" s="1"/>
  <c r="V39" i="38"/>
  <c r="V40" i="38" s="1"/>
  <c r="Z39" i="38"/>
  <c r="Z40" i="38" s="1"/>
  <c r="W39" i="35"/>
  <c r="T39" i="35"/>
  <c r="X39" i="35"/>
  <c r="Y39" i="35"/>
  <c r="S39" i="35"/>
  <c r="R39" i="35"/>
  <c r="V39" i="35"/>
  <c r="Z39" i="35"/>
  <c r="U39" i="35"/>
  <c r="U38" i="34"/>
  <c r="R38" i="34"/>
  <c r="M38" i="34"/>
  <c r="N38" i="34"/>
  <c r="V38" i="34"/>
  <c r="S38" i="34"/>
  <c r="O38" i="34"/>
  <c r="K38" i="34"/>
  <c r="Y38" i="34"/>
  <c r="X38" i="34"/>
  <c r="T38" i="34"/>
  <c r="W38" i="34"/>
  <c r="Q38" i="34"/>
  <c r="L38" i="34"/>
  <c r="L32" i="33"/>
  <c r="N24" i="33"/>
  <c r="O24" i="33"/>
  <c r="M32" i="33"/>
  <c r="P14" i="33"/>
  <c r="P24" i="33"/>
  <c r="L14" i="33"/>
  <c r="M14" i="33"/>
  <c r="L24" i="33"/>
  <c r="O14" i="33"/>
  <c r="O13" i="33"/>
  <c r="N13" i="33"/>
  <c r="N19" i="33"/>
  <c r="O19" i="33"/>
  <c r="M11" i="33"/>
  <c r="M16" i="33"/>
  <c r="N25" i="33"/>
  <c r="O25" i="33"/>
  <c r="M33" i="33"/>
  <c r="L25" i="33"/>
  <c r="M25" i="33"/>
  <c r="O29" i="33"/>
  <c r="L29" i="33"/>
  <c r="P29" i="33"/>
  <c r="L33" i="33"/>
  <c r="L19" i="33"/>
  <c r="M29" i="33"/>
  <c r="L6" i="33"/>
  <c r="L17" i="33"/>
  <c r="P28" i="33"/>
  <c r="M17" i="33"/>
  <c r="L15" i="33"/>
  <c r="N12" i="33"/>
  <c r="N20" i="33"/>
  <c r="M15" i="33"/>
  <c r="O15" i="33"/>
  <c r="O28" i="33"/>
  <c r="N28" i="33"/>
  <c r="O17" i="33"/>
  <c r="P27" i="33"/>
  <c r="M6" i="33"/>
  <c r="O33" i="33"/>
  <c r="O6" i="33"/>
  <c r="L27" i="33"/>
  <c r="N6" i="33"/>
  <c r="M27" i="33"/>
  <c r="N27" i="33"/>
  <c r="O20" i="33"/>
  <c r="L7" i="33"/>
  <c r="O7" i="33"/>
  <c r="P7" i="33"/>
  <c r="J39" i="33"/>
  <c r="N21" i="33"/>
  <c r="M12" i="33"/>
  <c r="L28" i="33"/>
  <c r="L12" i="33"/>
  <c r="P15" i="33"/>
  <c r="N32" i="33"/>
  <c r="L21" i="33"/>
  <c r="L9" i="33"/>
  <c r="O9" i="33"/>
  <c r="P12" i="33"/>
  <c r="P9" i="33"/>
  <c r="O32" i="33"/>
  <c r="M21" i="33"/>
  <c r="O11" i="33"/>
  <c r="P11" i="33"/>
  <c r="N11" i="33"/>
  <c r="N16" i="33"/>
  <c r="P16" i="33"/>
  <c r="P21" i="33"/>
  <c r="P20" i="33"/>
  <c r="M20" i="33"/>
  <c r="P8" i="33"/>
  <c r="M8" i="33"/>
  <c r="O8" i="33"/>
  <c r="N8" i="33"/>
  <c r="N7" i="33"/>
  <c r="N9" i="33"/>
  <c r="N17" i="33"/>
  <c r="L16" i="33"/>
  <c r="M19" i="33"/>
  <c r="N33" i="33"/>
  <c r="L13" i="33"/>
  <c r="M13" i="33"/>
  <c r="AC39" i="33"/>
  <c r="AC40" i="33" s="1"/>
  <c r="P18" i="33"/>
  <c r="O18" i="33"/>
  <c r="N18" i="33"/>
  <c r="M18" i="33"/>
  <c r="L18" i="33"/>
  <c r="AB39" i="33"/>
  <c r="AB40" i="33" s="1"/>
  <c r="O26" i="33"/>
  <c r="L26" i="33"/>
  <c r="P26" i="33"/>
  <c r="M26" i="33"/>
  <c r="N26" i="33"/>
  <c r="N35" i="33"/>
  <c r="M35" i="33"/>
  <c r="O35" i="33"/>
  <c r="L35" i="33"/>
  <c r="P35" i="33"/>
  <c r="M34" i="33"/>
  <c r="L34" i="33"/>
  <c r="P34" i="33"/>
  <c r="O34" i="33"/>
  <c r="N34" i="33"/>
  <c r="P31" i="33"/>
  <c r="O31" i="33"/>
  <c r="M31" i="33"/>
  <c r="L31" i="33"/>
  <c r="N31" i="33"/>
  <c r="O10" i="33"/>
  <c r="M10" i="33"/>
  <c r="P10" i="33"/>
  <c r="N10" i="33"/>
  <c r="L10" i="33"/>
  <c r="K31" i="33"/>
  <c r="K23" i="33"/>
  <c r="K15" i="33"/>
  <c r="K7" i="33"/>
  <c r="K36" i="33"/>
  <c r="K28" i="33"/>
  <c r="K20" i="33"/>
  <c r="K37" i="33"/>
  <c r="K24" i="33"/>
  <c r="K18" i="33"/>
  <c r="K29" i="33"/>
  <c r="K8" i="33"/>
  <c r="K6" i="33"/>
  <c r="K27" i="33"/>
  <c r="K21" i="33"/>
  <c r="K17" i="33"/>
  <c r="K26" i="33"/>
  <c r="K16" i="33"/>
  <c r="K13" i="33"/>
  <c r="K10" i="33"/>
  <c r="K12" i="33"/>
  <c r="K14" i="33"/>
  <c r="K35" i="33"/>
  <c r="K25" i="33"/>
  <c r="K33" i="33"/>
  <c r="K34" i="33"/>
  <c r="K9" i="33"/>
  <c r="K30" i="33"/>
  <c r="K32" i="33"/>
  <c r="K11" i="33"/>
  <c r="K22" i="33"/>
  <c r="K19" i="33"/>
  <c r="O23" i="33"/>
  <c r="M23" i="33"/>
  <c r="N23" i="33"/>
  <c r="P23" i="33"/>
  <c r="L23" i="33"/>
  <c r="L39" i="33" l="1"/>
  <c r="L40" i="33" s="1"/>
  <c r="N39" i="33"/>
  <c r="N40" i="33" s="1"/>
  <c r="M39" i="33"/>
  <c r="M40" i="33" s="1"/>
  <c r="O39" i="33"/>
  <c r="O40" i="33" s="1"/>
  <c r="Z34" i="33"/>
  <c r="R34" i="33"/>
  <c r="Y34" i="33"/>
  <c r="Q34" i="33"/>
  <c r="W34" i="33"/>
  <c r="V34" i="33"/>
  <c r="T34" i="33"/>
  <c r="S34" i="33"/>
  <c r="X34" i="33"/>
  <c r="U34" i="33"/>
  <c r="Z18" i="33"/>
  <c r="R18" i="33"/>
  <c r="Y18" i="33"/>
  <c r="Q18" i="33"/>
  <c r="U18" i="33"/>
  <c r="X18" i="33"/>
  <c r="S18" i="33"/>
  <c r="T18" i="33"/>
  <c r="W18" i="33"/>
  <c r="V18" i="33"/>
  <c r="U33" i="33"/>
  <c r="T33" i="33"/>
  <c r="V33" i="33"/>
  <c r="S33" i="33"/>
  <c r="Q33" i="33"/>
  <c r="Z33" i="33"/>
  <c r="Y33" i="33"/>
  <c r="W33" i="33"/>
  <c r="R33" i="33"/>
  <c r="X33" i="33"/>
  <c r="X24" i="33"/>
  <c r="W24" i="33"/>
  <c r="U24" i="33"/>
  <c r="R24" i="33"/>
  <c r="Z24" i="33"/>
  <c r="Q24" i="33"/>
  <c r="T24" i="33"/>
  <c r="S24" i="33"/>
  <c r="Y24" i="33"/>
  <c r="V24" i="33"/>
  <c r="W19" i="33"/>
  <c r="V19" i="33"/>
  <c r="X19" i="33"/>
  <c r="S19" i="33"/>
  <c r="R19" i="33"/>
  <c r="Q19" i="33"/>
  <c r="T19" i="33"/>
  <c r="Z19" i="33"/>
  <c r="Y19" i="33"/>
  <c r="U19" i="33"/>
  <c r="U17" i="33"/>
  <c r="T17" i="33"/>
  <c r="R17" i="33"/>
  <c r="Y17" i="33"/>
  <c r="X17" i="33"/>
  <c r="W17" i="33"/>
  <c r="Q17" i="33"/>
  <c r="Z17" i="33"/>
  <c r="S17" i="33"/>
  <c r="V17" i="33"/>
  <c r="V35" i="33"/>
  <c r="U35" i="33"/>
  <c r="Y35" i="33"/>
  <c r="X35" i="33"/>
  <c r="T35" i="33"/>
  <c r="S35" i="33"/>
  <c r="R35" i="33"/>
  <c r="W35" i="33"/>
  <c r="Q35" i="33"/>
  <c r="Z35" i="33"/>
  <c r="T20" i="33"/>
  <c r="S20" i="33"/>
  <c r="Y20" i="33"/>
  <c r="V20" i="33"/>
  <c r="U20" i="33"/>
  <c r="R20" i="33"/>
  <c r="X20" i="33"/>
  <c r="W20" i="33"/>
  <c r="Q20" i="33"/>
  <c r="Z20" i="33"/>
  <c r="W11" i="33"/>
  <c r="R11" i="33"/>
  <c r="Z11" i="33"/>
  <c r="Q11" i="33"/>
  <c r="Y11" i="33"/>
  <c r="T11" i="33"/>
  <c r="X11" i="33"/>
  <c r="U11" i="33"/>
  <c r="S11" i="33"/>
  <c r="V11" i="33"/>
  <c r="V14" i="33"/>
  <c r="Y14" i="33"/>
  <c r="X14" i="33"/>
  <c r="W14" i="33"/>
  <c r="T14" i="33"/>
  <c r="Q14" i="33"/>
  <c r="Z14" i="33"/>
  <c r="S14" i="33"/>
  <c r="R14" i="33"/>
  <c r="U14" i="33"/>
  <c r="W27" i="33"/>
  <c r="V27" i="33"/>
  <c r="R27" i="33"/>
  <c r="Y27" i="33"/>
  <c r="X27" i="33"/>
  <c r="U27" i="33"/>
  <c r="S27" i="33"/>
  <c r="Q27" i="33"/>
  <c r="Z27" i="33"/>
  <c r="T27" i="33"/>
  <c r="T28" i="33"/>
  <c r="S28" i="33"/>
  <c r="U28" i="33"/>
  <c r="R28" i="33"/>
  <c r="Z28" i="33"/>
  <c r="Y28" i="33"/>
  <c r="X28" i="33"/>
  <c r="W28" i="33"/>
  <c r="V28" i="33"/>
  <c r="Q28" i="33"/>
  <c r="P39" i="33"/>
  <c r="P40" i="33" s="1"/>
  <c r="X32" i="33"/>
  <c r="W32" i="33"/>
  <c r="S32" i="33"/>
  <c r="R32" i="33"/>
  <c r="Z32" i="33"/>
  <c r="V32" i="33"/>
  <c r="Y32" i="33"/>
  <c r="T32" i="33"/>
  <c r="Q32" i="33"/>
  <c r="U32" i="33"/>
  <c r="T12" i="33"/>
  <c r="Z12" i="33"/>
  <c r="Q12" i="33"/>
  <c r="Y12" i="33"/>
  <c r="R12" i="33"/>
  <c r="V12" i="33"/>
  <c r="X12" i="33"/>
  <c r="W12" i="33"/>
  <c r="U12" i="33"/>
  <c r="S12" i="33"/>
  <c r="V6" i="33"/>
  <c r="U6" i="33"/>
  <c r="T6" i="33"/>
  <c r="K39" i="33"/>
  <c r="R6" i="33"/>
  <c r="Y6" i="33"/>
  <c r="Q6" i="33"/>
  <c r="X6" i="33"/>
  <c r="W6" i="33"/>
  <c r="Z6" i="33"/>
  <c r="S6" i="33"/>
  <c r="U36" i="33"/>
  <c r="T36" i="33"/>
  <c r="S36" i="33"/>
  <c r="Z36" i="33"/>
  <c r="X36" i="33"/>
  <c r="W36" i="33"/>
  <c r="V36" i="33"/>
  <c r="Y36" i="33"/>
  <c r="Q36" i="33"/>
  <c r="R36" i="33"/>
  <c r="X16" i="33"/>
  <c r="W16" i="33"/>
  <c r="V16" i="33"/>
  <c r="U16" i="33"/>
  <c r="S16" i="33"/>
  <c r="R16" i="33"/>
  <c r="Q16" i="33"/>
  <c r="Z16" i="33"/>
  <c r="Y16" i="33"/>
  <c r="T16" i="33"/>
  <c r="S23" i="33"/>
  <c r="Z23" i="33"/>
  <c r="R23" i="33"/>
  <c r="T23" i="33"/>
  <c r="Y23" i="33"/>
  <c r="X23" i="33"/>
  <c r="W23" i="33"/>
  <c r="Q23" i="33"/>
  <c r="V23" i="33"/>
  <c r="U23" i="33"/>
  <c r="Z26" i="33"/>
  <c r="R26" i="33"/>
  <c r="Y26" i="33"/>
  <c r="Q26" i="33"/>
  <c r="V26" i="33"/>
  <c r="U26" i="33"/>
  <c r="T26" i="33"/>
  <c r="S26" i="33"/>
  <c r="X26" i="33"/>
  <c r="W26" i="33"/>
  <c r="S31" i="33"/>
  <c r="Z31" i="33"/>
  <c r="R31" i="33"/>
  <c r="Y31" i="33"/>
  <c r="W31" i="33"/>
  <c r="V31" i="33"/>
  <c r="U31" i="33"/>
  <c r="X31" i="33"/>
  <c r="T31" i="33"/>
  <c r="Q31" i="33"/>
  <c r="U25" i="33"/>
  <c r="T25" i="33"/>
  <c r="X25" i="33"/>
  <c r="S25" i="33"/>
  <c r="Q25" i="33"/>
  <c r="R25" i="33"/>
  <c r="V25" i="33"/>
  <c r="Z25" i="33"/>
  <c r="Y25" i="33"/>
  <c r="W25" i="33"/>
  <c r="W37" i="33"/>
  <c r="V37" i="33"/>
  <c r="U37" i="33"/>
  <c r="Z37" i="33"/>
  <c r="X37" i="33"/>
  <c r="T37" i="33"/>
  <c r="S37" i="33"/>
  <c r="R37" i="33"/>
  <c r="Q37" i="33"/>
  <c r="Y37" i="33"/>
  <c r="T22" i="33"/>
  <c r="S22" i="33"/>
  <c r="Y22" i="33"/>
  <c r="V22" i="33"/>
  <c r="R22" i="33"/>
  <c r="U22" i="33"/>
  <c r="X22" i="33"/>
  <c r="W22" i="33"/>
  <c r="Q22" i="33"/>
  <c r="Z22" i="33"/>
  <c r="Y21" i="33"/>
  <c r="Q21" i="33"/>
  <c r="X21" i="33"/>
  <c r="R21" i="33"/>
  <c r="W21" i="33"/>
  <c r="V21" i="33"/>
  <c r="U21" i="33"/>
  <c r="Z21" i="33"/>
  <c r="T21" i="33"/>
  <c r="S21" i="33"/>
  <c r="V30" i="33"/>
  <c r="U30" i="33"/>
  <c r="Y30" i="33"/>
  <c r="X30" i="33"/>
  <c r="T30" i="33"/>
  <c r="R30" i="33"/>
  <c r="S30" i="33"/>
  <c r="Z30" i="33"/>
  <c r="W30" i="33"/>
  <c r="Q30" i="33"/>
  <c r="Z10" i="33"/>
  <c r="R10" i="33"/>
  <c r="S10" i="33"/>
  <c r="Q10" i="33"/>
  <c r="V10" i="33"/>
  <c r="Y10" i="33"/>
  <c r="X10" i="33"/>
  <c r="U10" i="33"/>
  <c r="T10" i="33"/>
  <c r="W10" i="33"/>
  <c r="X8" i="33"/>
  <c r="T8" i="33"/>
  <c r="S8" i="33"/>
  <c r="Z8" i="33"/>
  <c r="R8" i="33"/>
  <c r="Q8" i="33"/>
  <c r="Y8" i="33"/>
  <c r="V8" i="33"/>
  <c r="U8" i="33"/>
  <c r="W8" i="33"/>
  <c r="S7" i="33"/>
  <c r="U7" i="33"/>
  <c r="T7" i="33"/>
  <c r="W7" i="33"/>
  <c r="V7" i="33"/>
  <c r="Q7" i="33"/>
  <c r="Z7" i="33"/>
  <c r="Y7" i="33"/>
  <c r="R7" i="33"/>
  <c r="X7" i="33"/>
  <c r="U9" i="33"/>
  <c r="S9" i="33"/>
  <c r="R9" i="33"/>
  <c r="Q9" i="33"/>
  <c r="X9" i="33"/>
  <c r="W9" i="33"/>
  <c r="V9" i="33"/>
  <c r="Y9" i="33"/>
  <c r="Z9" i="33"/>
  <c r="T9" i="33"/>
  <c r="Y13" i="33"/>
  <c r="Q13" i="33"/>
  <c r="Z13" i="33"/>
  <c r="X13" i="33"/>
  <c r="W13" i="33"/>
  <c r="S13" i="33"/>
  <c r="R13" i="33"/>
  <c r="V13" i="33"/>
  <c r="T13" i="33"/>
  <c r="U13" i="33"/>
  <c r="Y29" i="33"/>
  <c r="Q29" i="33"/>
  <c r="X29" i="33"/>
  <c r="V29" i="33"/>
  <c r="U29" i="33"/>
  <c r="S29" i="33"/>
  <c r="R29" i="33"/>
  <c r="W29" i="33"/>
  <c r="T29" i="33"/>
  <c r="Z29" i="33"/>
  <c r="S15" i="33"/>
  <c r="X15" i="33"/>
  <c r="W15" i="33"/>
  <c r="V15" i="33"/>
  <c r="Q15" i="33"/>
  <c r="U15" i="33"/>
  <c r="Z15" i="33"/>
  <c r="Y15" i="33"/>
  <c r="T15" i="33"/>
  <c r="R15" i="33"/>
  <c r="S39" i="33" l="1"/>
  <c r="S40" i="33" s="1"/>
  <c r="T39" i="33"/>
  <c r="T40" i="33" s="1"/>
  <c r="R39" i="33"/>
  <c r="R40" i="33" s="1"/>
  <c r="Z39" i="33"/>
  <c r="Z40" i="33" s="1"/>
  <c r="U39" i="33"/>
  <c r="U40" i="33" s="1"/>
  <c r="W39" i="33"/>
  <c r="W40" i="33" s="1"/>
  <c r="V39" i="33"/>
  <c r="V40" i="33" s="1"/>
  <c r="Q39" i="33"/>
  <c r="Q40" i="33" s="1"/>
  <c r="Y39" i="33"/>
  <c r="Y40" i="33" s="1"/>
  <c r="X39" i="33"/>
  <c r="X40" i="33" s="1"/>
  <c r="Q37" i="32"/>
  <c r="Q7" i="32"/>
  <c r="Q8" i="32"/>
  <c r="Q9" i="32"/>
  <c r="Q10" i="32"/>
  <c r="Q11" i="32"/>
  <c r="Q12" i="32"/>
  <c r="Q13" i="32"/>
  <c r="Q14" i="32"/>
  <c r="Q15" i="32"/>
  <c r="Q16" i="32"/>
  <c r="Q17" i="32"/>
  <c r="Q18" i="32"/>
  <c r="Q19" i="32"/>
  <c r="Q20" i="32"/>
  <c r="Q21" i="32"/>
  <c r="Q22" i="32"/>
  <c r="Q23" i="32"/>
  <c r="Q24" i="32"/>
  <c r="Q25" i="32"/>
  <c r="Q26" i="32"/>
  <c r="Q27" i="32"/>
  <c r="Q28" i="32"/>
  <c r="Q29" i="32"/>
  <c r="Q30" i="32"/>
  <c r="Q31" i="32"/>
  <c r="Q32" i="32"/>
  <c r="Q33" i="32"/>
  <c r="Q34" i="32"/>
  <c r="Q35" i="32"/>
  <c r="Q36" i="32"/>
  <c r="Q6" i="32"/>
  <c r="Q39" i="32" l="1"/>
  <c r="Q40" i="32" s="1"/>
  <c r="I35" i="32"/>
  <c r="J52" i="32" l="1"/>
  <c r="J54" i="32" s="1"/>
  <c r="I52" i="32"/>
  <c r="P47" i="32"/>
  <c r="P46" i="32"/>
  <c r="R47" i="32" s="1"/>
  <c r="S47" i="32" s="1"/>
  <c r="H45" i="32"/>
  <c r="P44" i="32"/>
  <c r="O44" i="32"/>
  <c r="N44" i="32"/>
  <c r="M44" i="32"/>
  <c r="L44" i="32"/>
  <c r="H44" i="32"/>
  <c r="AA39" i="32"/>
  <c r="AA40" i="32" s="1"/>
  <c r="H39" i="32"/>
  <c r="AB31" i="32" s="1"/>
  <c r="AC31" i="32" s="1"/>
  <c r="P36" i="32"/>
  <c r="J34" i="32"/>
  <c r="J12" i="32" l="1"/>
  <c r="M12" i="32" s="1"/>
  <c r="J6" i="32"/>
  <c r="L6" i="32" s="1"/>
  <c r="J15" i="32"/>
  <c r="P15" i="32" s="1"/>
  <c r="J18" i="32"/>
  <c r="O18" i="32" s="1"/>
  <c r="J13" i="32"/>
  <c r="L13" i="32" s="1"/>
  <c r="J31" i="32"/>
  <c r="N31" i="32" s="1"/>
  <c r="J10" i="32"/>
  <c r="P10" i="32" s="1"/>
  <c r="AB15" i="32"/>
  <c r="AC15" i="32" s="1"/>
  <c r="J24" i="32"/>
  <c r="N24" i="32" s="1"/>
  <c r="J23" i="32"/>
  <c r="M23" i="32" s="1"/>
  <c r="J27" i="32"/>
  <c r="O27" i="32" s="1"/>
  <c r="J7" i="32"/>
  <c r="M7" i="32" s="1"/>
  <c r="J16" i="32"/>
  <c r="M16" i="32" s="1"/>
  <c r="J19" i="32"/>
  <c r="P19" i="32" s="1"/>
  <c r="J25" i="32"/>
  <c r="O25" i="32" s="1"/>
  <c r="J28" i="32"/>
  <c r="O28" i="32" s="1"/>
  <c r="J32" i="32"/>
  <c r="M32" i="32" s="1"/>
  <c r="J11" i="32"/>
  <c r="O11" i="32" s="1"/>
  <c r="J14" i="32"/>
  <c r="O14" i="32" s="1"/>
  <c r="J17" i="32"/>
  <c r="L17" i="32" s="1"/>
  <c r="J21" i="32"/>
  <c r="L21" i="32" s="1"/>
  <c r="J35" i="32"/>
  <c r="O35" i="32" s="1"/>
  <c r="J8" i="32"/>
  <c r="M8" i="32" s="1"/>
  <c r="J26" i="32"/>
  <c r="L26" i="32" s="1"/>
  <c r="J20" i="32"/>
  <c r="O20" i="32" s="1"/>
  <c r="J29" i="32"/>
  <c r="O29" i="32" s="1"/>
  <c r="J9" i="32"/>
  <c r="O9" i="32" s="1"/>
  <c r="J30" i="32"/>
  <c r="L30" i="32" s="1"/>
  <c r="AB24" i="32"/>
  <c r="AC24" i="32" s="1"/>
  <c r="AB17" i="32"/>
  <c r="AC17" i="32" s="1"/>
  <c r="AB10" i="32"/>
  <c r="AC10" i="32" s="1"/>
  <c r="AB20" i="32"/>
  <c r="AC20" i="32" s="1"/>
  <c r="AB14" i="32"/>
  <c r="AC14" i="32" s="1"/>
  <c r="AB28" i="32"/>
  <c r="AC28" i="32" s="1"/>
  <c r="AB9" i="32"/>
  <c r="AC9" i="32" s="1"/>
  <c r="AB18" i="32"/>
  <c r="AC18" i="32" s="1"/>
  <c r="AB32" i="32"/>
  <c r="AC32" i="32" s="1"/>
  <c r="AB36" i="32"/>
  <c r="AC36" i="32" s="1"/>
  <c r="AB19" i="32"/>
  <c r="AC19" i="32" s="1"/>
  <c r="AB8" i="32"/>
  <c r="AC8" i="32" s="1"/>
  <c r="AB12" i="32"/>
  <c r="AC12" i="32" s="1"/>
  <c r="AB16" i="32"/>
  <c r="AC16" i="32" s="1"/>
  <c r="AB7" i="32"/>
  <c r="AC7" i="32" s="1"/>
  <c r="AB37" i="32"/>
  <c r="AC37" i="32" s="1"/>
  <c r="AB6" i="32"/>
  <c r="AC6" i="32" s="1"/>
  <c r="AB35" i="32"/>
  <c r="AC35" i="32" s="1"/>
  <c r="AB11" i="32"/>
  <c r="AC11" i="32" s="1"/>
  <c r="AB13" i="32"/>
  <c r="AC13" i="32" s="1"/>
  <c r="AB38" i="32"/>
  <c r="AC38" i="32" s="1"/>
  <c r="L36" i="32"/>
  <c r="O36" i="32"/>
  <c r="M34" i="32"/>
  <c r="L34" i="32"/>
  <c r="P34" i="32"/>
  <c r="O34" i="32"/>
  <c r="N34" i="32"/>
  <c r="F47" i="32"/>
  <c r="AB21" i="32"/>
  <c r="AC21" i="32" s="1"/>
  <c r="AB25" i="32"/>
  <c r="AC25" i="32" s="1"/>
  <c r="AB29" i="32"/>
  <c r="AC29" i="32" s="1"/>
  <c r="J33" i="32"/>
  <c r="AB33" i="32"/>
  <c r="AC33" i="32" s="1"/>
  <c r="I37" i="32"/>
  <c r="M36" i="32"/>
  <c r="AB26" i="32"/>
  <c r="AC26" i="32" s="1"/>
  <c r="AB30" i="32"/>
  <c r="AC30" i="32" s="1"/>
  <c r="AB34" i="32"/>
  <c r="AC34" i="32" s="1"/>
  <c r="N36" i="32"/>
  <c r="AB23" i="32"/>
  <c r="AC23" i="32" s="1"/>
  <c r="AB27" i="32"/>
  <c r="AC27" i="32" s="1"/>
  <c r="J7" i="28"/>
  <c r="P12" i="32" l="1"/>
  <c r="O21" i="32"/>
  <c r="M19" i="32"/>
  <c r="O19" i="32"/>
  <c r="L12" i="32"/>
  <c r="N12" i="32"/>
  <c r="O12" i="32"/>
  <c r="L25" i="32"/>
  <c r="N25" i="32"/>
  <c r="L35" i="32"/>
  <c r="L19" i="32"/>
  <c r="M35" i="32"/>
  <c r="O30" i="32"/>
  <c r="N27" i="32"/>
  <c r="M30" i="32"/>
  <c r="N19" i="32"/>
  <c r="O6" i="32"/>
  <c r="M6" i="32"/>
  <c r="M15" i="32"/>
  <c r="O10" i="32"/>
  <c r="N15" i="32"/>
  <c r="N6" i="32"/>
  <c r="P6" i="32"/>
  <c r="L15" i="32"/>
  <c r="O15" i="32"/>
  <c r="L7" i="32"/>
  <c r="M11" i="32"/>
  <c r="M20" i="32"/>
  <c r="L9" i="32"/>
  <c r="P24" i="32"/>
  <c r="O26" i="32"/>
  <c r="N29" i="32"/>
  <c r="P14" i="32"/>
  <c r="N32" i="32"/>
  <c r="O32" i="32"/>
  <c r="L24" i="32"/>
  <c r="P32" i="32"/>
  <c r="O23" i="32"/>
  <c r="M24" i="32"/>
  <c r="L8" i="32"/>
  <c r="N23" i="32"/>
  <c r="O24" i="32"/>
  <c r="O16" i="32"/>
  <c r="O8" i="32"/>
  <c r="N8" i="32"/>
  <c r="L28" i="32"/>
  <c r="L32" i="32"/>
  <c r="P8" i="32"/>
  <c r="P18" i="32"/>
  <c r="P28" i="32"/>
  <c r="P20" i="32"/>
  <c r="P27" i="32"/>
  <c r="L27" i="32"/>
  <c r="M31" i="32"/>
  <c r="M27" i="32"/>
  <c r="N16" i="32"/>
  <c r="M28" i="32"/>
  <c r="P30" i="32"/>
  <c r="N30" i="32"/>
  <c r="P35" i="32"/>
  <c r="N35" i="32"/>
  <c r="P25" i="32"/>
  <c r="M25" i="32"/>
  <c r="L10" i="32"/>
  <c r="N10" i="32"/>
  <c r="M10" i="32"/>
  <c r="N11" i="32"/>
  <c r="P11" i="32"/>
  <c r="L11" i="32"/>
  <c r="L16" i="32"/>
  <c r="O17" i="32"/>
  <c r="P16" i="32"/>
  <c r="N28" i="32"/>
  <c r="N9" i="32"/>
  <c r="P9" i="32"/>
  <c r="M9" i="32"/>
  <c r="N21" i="32"/>
  <c r="P21" i="32"/>
  <c r="M21" i="32"/>
  <c r="N17" i="32"/>
  <c r="P17" i="32"/>
  <c r="M17" i="32"/>
  <c r="P31" i="32"/>
  <c r="L31" i="32"/>
  <c r="J39" i="32"/>
  <c r="L20" i="32"/>
  <c r="L29" i="32"/>
  <c r="P29" i="32"/>
  <c r="M29" i="32"/>
  <c r="L14" i="32"/>
  <c r="N14" i="32"/>
  <c r="M14" i="32"/>
  <c r="N7" i="32"/>
  <c r="O7" i="32"/>
  <c r="P7" i="32"/>
  <c r="N13" i="32"/>
  <c r="P13" i="32"/>
  <c r="O13" i="32"/>
  <c r="M13" i="32"/>
  <c r="N20" i="32"/>
  <c r="O31" i="32"/>
  <c r="P26" i="32"/>
  <c r="M26" i="32"/>
  <c r="N26" i="32"/>
  <c r="P23" i="32"/>
  <c r="L23" i="32"/>
  <c r="L18" i="32"/>
  <c r="N18" i="32"/>
  <c r="M18" i="32"/>
  <c r="AC39" i="32"/>
  <c r="AC40" i="32" s="1"/>
  <c r="O33" i="32"/>
  <c r="N33" i="32"/>
  <c r="M33" i="32"/>
  <c r="L33" i="32"/>
  <c r="P33" i="32"/>
  <c r="K31" i="32"/>
  <c r="K27" i="32"/>
  <c r="K23" i="32"/>
  <c r="K34" i="32"/>
  <c r="K30" i="32"/>
  <c r="K22" i="32"/>
  <c r="K29" i="32"/>
  <c r="K25" i="32"/>
  <c r="K21" i="32"/>
  <c r="K37" i="32"/>
  <c r="K33" i="32"/>
  <c r="K36" i="32"/>
  <c r="K32" i="32"/>
  <c r="K28" i="32"/>
  <c r="K24" i="32"/>
  <c r="K20" i="32"/>
  <c r="K16" i="32"/>
  <c r="K12" i="32"/>
  <c r="K8" i="32"/>
  <c r="K14" i="32"/>
  <c r="K13" i="32"/>
  <c r="K10" i="32"/>
  <c r="K7" i="32"/>
  <c r="K19" i="32"/>
  <c r="K15" i="32"/>
  <c r="K35" i="32"/>
  <c r="K18" i="32"/>
  <c r="K9" i="32"/>
  <c r="K6" i="32"/>
  <c r="K26" i="32"/>
  <c r="K17" i="32"/>
  <c r="K11" i="32"/>
  <c r="AB39" i="32"/>
  <c r="AB40" i="32" s="1"/>
  <c r="H43" i="30"/>
  <c r="H44" i="30" s="1"/>
  <c r="J54" i="31"/>
  <c r="J52" i="31"/>
  <c r="I52" i="31"/>
  <c r="P47" i="31"/>
  <c r="P46" i="31"/>
  <c r="R47" i="31" s="1"/>
  <c r="S47" i="31" s="1"/>
  <c r="H45" i="31"/>
  <c r="P44" i="31"/>
  <c r="O44" i="31"/>
  <c r="N44" i="31"/>
  <c r="M44" i="31"/>
  <c r="L44" i="31"/>
  <c r="H44" i="31"/>
  <c r="H39" i="31"/>
  <c r="AB37" i="31" s="1"/>
  <c r="AC37" i="31" s="1"/>
  <c r="AB38" i="31"/>
  <c r="AC38" i="31" s="1"/>
  <c r="P37" i="31"/>
  <c r="O37" i="31"/>
  <c r="N37" i="31"/>
  <c r="M37" i="31"/>
  <c r="L37" i="31"/>
  <c r="AB36" i="31"/>
  <c r="AC36" i="31" s="1"/>
  <c r="AB35" i="31"/>
  <c r="AC35" i="31" s="1"/>
  <c r="P35" i="31"/>
  <c r="O35" i="31"/>
  <c r="N35" i="31"/>
  <c r="M35" i="31"/>
  <c r="L35" i="31"/>
  <c r="AC34" i="31"/>
  <c r="AB34" i="31"/>
  <c r="I34" i="31"/>
  <c r="I36" i="31" s="1"/>
  <c r="AC33" i="31"/>
  <c r="AB33" i="31"/>
  <c r="N33" i="31"/>
  <c r="J33" i="31"/>
  <c r="P33" i="31" s="1"/>
  <c r="AC32" i="31"/>
  <c r="AB32" i="31"/>
  <c r="P32" i="31"/>
  <c r="M32" i="31"/>
  <c r="L32" i="31"/>
  <c r="J32" i="31"/>
  <c r="O32" i="31" s="1"/>
  <c r="AB31" i="31"/>
  <c r="AC31" i="31" s="1"/>
  <c r="M31" i="31"/>
  <c r="J31" i="31"/>
  <c r="L31" i="31" s="1"/>
  <c r="AB30" i="31"/>
  <c r="AC30" i="31" s="1"/>
  <c r="P30" i="31"/>
  <c r="O30" i="31"/>
  <c r="L30" i="31"/>
  <c r="J30" i="31"/>
  <c r="N30" i="31" s="1"/>
  <c r="AC29" i="31"/>
  <c r="AB29" i="31"/>
  <c r="N29" i="31"/>
  <c r="J29" i="31"/>
  <c r="P29" i="31" s="1"/>
  <c r="AC28" i="31"/>
  <c r="AB28" i="31"/>
  <c r="P28" i="31"/>
  <c r="N28" i="31"/>
  <c r="M28" i="31"/>
  <c r="L28" i="31"/>
  <c r="K28" i="31"/>
  <c r="T28" i="31" s="1"/>
  <c r="J28" i="31"/>
  <c r="O28" i="31" s="1"/>
  <c r="AB27" i="31"/>
  <c r="AC27" i="31" s="1"/>
  <c r="M27" i="31"/>
  <c r="J27" i="31"/>
  <c r="L27" i="31" s="1"/>
  <c r="AB26" i="31"/>
  <c r="AC26" i="31" s="1"/>
  <c r="P26" i="31"/>
  <c r="O26" i="31"/>
  <c r="L26" i="31"/>
  <c r="J26" i="31"/>
  <c r="N26" i="31" s="1"/>
  <c r="AC25" i="31"/>
  <c r="AB25" i="31"/>
  <c r="N25" i="31"/>
  <c r="J25" i="31"/>
  <c r="P25" i="31" s="1"/>
  <c r="AC24" i="31"/>
  <c r="AB24" i="31"/>
  <c r="P24" i="31"/>
  <c r="N24" i="31"/>
  <c r="M24" i="31"/>
  <c r="L24" i="31"/>
  <c r="J24" i="31"/>
  <c r="O24" i="31" s="1"/>
  <c r="AB23" i="31"/>
  <c r="AC23" i="31" s="1"/>
  <c r="M23" i="31"/>
  <c r="J23" i="31"/>
  <c r="L23" i="31" s="1"/>
  <c r="AB22" i="31"/>
  <c r="AC22" i="31" s="1"/>
  <c r="P22" i="31"/>
  <c r="O22" i="31"/>
  <c r="L22" i="31"/>
  <c r="J22" i="31"/>
  <c r="N22" i="31" s="1"/>
  <c r="AB21" i="31"/>
  <c r="AC21" i="31" s="1"/>
  <c r="N21" i="31"/>
  <c r="J21" i="31"/>
  <c r="P21" i="31" s="1"/>
  <c r="AC20" i="31"/>
  <c r="AB20" i="31"/>
  <c r="P20" i="31"/>
  <c r="N20" i="31"/>
  <c r="M20" i="31"/>
  <c r="L20" i="31"/>
  <c r="J20" i="31"/>
  <c r="O20" i="31" s="1"/>
  <c r="AB19" i="31"/>
  <c r="AC19" i="31" s="1"/>
  <c r="M19" i="31"/>
  <c r="J19" i="31"/>
  <c r="L19" i="31" s="1"/>
  <c r="AB18" i="31"/>
  <c r="AC18" i="31" s="1"/>
  <c r="P18" i="31"/>
  <c r="O18" i="31"/>
  <c r="L18" i="31"/>
  <c r="J18" i="31"/>
  <c r="N18" i="31" s="1"/>
  <c r="AB17" i="31"/>
  <c r="AC17" i="31" s="1"/>
  <c r="N17" i="31"/>
  <c r="J17" i="31"/>
  <c r="P17" i="31" s="1"/>
  <c r="AC16" i="31"/>
  <c r="AB16" i="31"/>
  <c r="P16" i="31"/>
  <c r="M16" i="31"/>
  <c r="L16" i="31"/>
  <c r="K16" i="31"/>
  <c r="T16" i="31" s="1"/>
  <c r="J16" i="31"/>
  <c r="O16" i="31" s="1"/>
  <c r="AB15" i="31"/>
  <c r="AC15" i="31" s="1"/>
  <c r="M15" i="31"/>
  <c r="J15" i="31"/>
  <c r="L15" i="31" s="1"/>
  <c r="AB14" i="31"/>
  <c r="AC14" i="31" s="1"/>
  <c r="Q14" i="31"/>
  <c r="Q39" i="31" s="1"/>
  <c r="P14" i="31"/>
  <c r="O14" i="31"/>
  <c r="N14" i="31"/>
  <c r="M14" i="31"/>
  <c r="L14" i="31"/>
  <c r="J14" i="31"/>
  <c r="AB13" i="31"/>
  <c r="AC13" i="31" s="1"/>
  <c r="J13" i="31"/>
  <c r="AB12" i="31"/>
  <c r="AC12" i="31" s="1"/>
  <c r="N12" i="31"/>
  <c r="M12" i="31"/>
  <c r="L12" i="31"/>
  <c r="J12" i="31"/>
  <c r="P12" i="31" s="1"/>
  <c r="AC11" i="31"/>
  <c r="AB11" i="31"/>
  <c r="P11" i="31"/>
  <c r="O11" i="31"/>
  <c r="N11" i="31"/>
  <c r="J11" i="31"/>
  <c r="M11" i="31" s="1"/>
  <c r="AB10" i="31"/>
  <c r="AC10" i="31" s="1"/>
  <c r="P10" i="31"/>
  <c r="M10" i="31"/>
  <c r="J10" i="31"/>
  <c r="O10" i="31" s="1"/>
  <c r="AB9" i="31"/>
  <c r="AC9" i="31" s="1"/>
  <c r="J9" i="31"/>
  <c r="AB8" i="31"/>
  <c r="AC8" i="31" s="1"/>
  <c r="N8" i="31"/>
  <c r="M8" i="31"/>
  <c r="L8" i="31"/>
  <c r="J8" i="31"/>
  <c r="P8" i="31" s="1"/>
  <c r="AC7" i="31"/>
  <c r="AB7" i="31"/>
  <c r="AB39" i="31" s="1"/>
  <c r="P7" i="31"/>
  <c r="O7" i="31"/>
  <c r="N7" i="31"/>
  <c r="J7" i="31"/>
  <c r="M7" i="31" s="1"/>
  <c r="AB6" i="31"/>
  <c r="AC6" i="31" s="1"/>
  <c r="Z6" i="31"/>
  <c r="Y6" i="31"/>
  <c r="V6" i="31"/>
  <c r="R6" i="31"/>
  <c r="P6" i="31"/>
  <c r="M6" i="31"/>
  <c r="K6" i="31"/>
  <c r="J6" i="31"/>
  <c r="X6" i="31" s="1"/>
  <c r="O39" i="32" l="1"/>
  <c r="O40" i="32" s="1"/>
  <c r="L39" i="32"/>
  <c r="L40" i="32" s="1"/>
  <c r="N39" i="32"/>
  <c r="N40" i="32" s="1"/>
  <c r="M39" i="32"/>
  <c r="M40" i="32" s="1"/>
  <c r="P39" i="32"/>
  <c r="P40" i="32" s="1"/>
  <c r="W17" i="32"/>
  <c r="U17" i="32"/>
  <c r="T17" i="32"/>
  <c r="S17" i="32"/>
  <c r="Z17" i="32"/>
  <c r="R17" i="32"/>
  <c r="Y17" i="32"/>
  <c r="X17" i="32"/>
  <c r="V17" i="32"/>
  <c r="X29" i="32"/>
  <c r="W29" i="32"/>
  <c r="V29" i="32"/>
  <c r="U29" i="32"/>
  <c r="T29" i="32"/>
  <c r="S29" i="32"/>
  <c r="Z29" i="32"/>
  <c r="R29" i="32"/>
  <c r="Y29" i="32"/>
  <c r="U10" i="32"/>
  <c r="S10" i="32"/>
  <c r="Y10" i="32"/>
  <c r="X10" i="32"/>
  <c r="W10" i="32"/>
  <c r="T10" i="32"/>
  <c r="Z10" i="32"/>
  <c r="R10" i="32"/>
  <c r="V10" i="32"/>
  <c r="T22" i="32"/>
  <c r="S22" i="32"/>
  <c r="Y22" i="32"/>
  <c r="X22" i="32"/>
  <c r="W22" i="32"/>
  <c r="V22" i="32"/>
  <c r="U22" i="32"/>
  <c r="R22" i="32"/>
  <c r="Z22" i="32"/>
  <c r="Y12" i="32"/>
  <c r="W12" i="32"/>
  <c r="U12" i="32"/>
  <c r="T12" i="32"/>
  <c r="R12" i="32"/>
  <c r="X12" i="32"/>
  <c r="V12" i="32"/>
  <c r="Z12" i="32"/>
  <c r="S12" i="32"/>
  <c r="X21" i="32"/>
  <c r="W21" i="32"/>
  <c r="U21" i="32"/>
  <c r="T21" i="32"/>
  <c r="S21" i="32"/>
  <c r="Z21" i="32"/>
  <c r="R21" i="32"/>
  <c r="V21" i="32"/>
  <c r="Y21" i="32"/>
  <c r="Z24" i="32"/>
  <c r="R24" i="32"/>
  <c r="Y24" i="32"/>
  <c r="W24" i="32"/>
  <c r="V24" i="32"/>
  <c r="U24" i="32"/>
  <c r="T24" i="32"/>
  <c r="X24" i="32"/>
  <c r="S24" i="32"/>
  <c r="V26" i="32"/>
  <c r="U26" i="32"/>
  <c r="S26" i="32"/>
  <c r="Z26" i="32"/>
  <c r="R26" i="32"/>
  <c r="Y26" i="32"/>
  <c r="X26" i="32"/>
  <c r="T26" i="32"/>
  <c r="W26" i="32"/>
  <c r="Z28" i="32"/>
  <c r="R28" i="32"/>
  <c r="Y28" i="32"/>
  <c r="X28" i="32"/>
  <c r="W28" i="32"/>
  <c r="V28" i="32"/>
  <c r="U28" i="32"/>
  <c r="T28" i="32"/>
  <c r="S28" i="32"/>
  <c r="U6" i="32"/>
  <c r="S6" i="32"/>
  <c r="K39" i="32"/>
  <c r="Y6" i="32"/>
  <c r="X6" i="32"/>
  <c r="T6" i="32"/>
  <c r="R6" i="32"/>
  <c r="Z6" i="32"/>
  <c r="W6" i="32"/>
  <c r="V6" i="32"/>
  <c r="W13" i="32"/>
  <c r="U13" i="32"/>
  <c r="S13" i="32"/>
  <c r="Z13" i="32"/>
  <c r="R13" i="32"/>
  <c r="X13" i="32"/>
  <c r="T13" i="32"/>
  <c r="Y13" i="32"/>
  <c r="V13" i="32"/>
  <c r="Z32" i="32"/>
  <c r="R32" i="32"/>
  <c r="Y32" i="32"/>
  <c r="X32" i="32"/>
  <c r="W32" i="32"/>
  <c r="V32" i="32"/>
  <c r="U32" i="32"/>
  <c r="T32" i="32"/>
  <c r="S32" i="32"/>
  <c r="V30" i="32"/>
  <c r="U30" i="32"/>
  <c r="T30" i="32"/>
  <c r="S30" i="32"/>
  <c r="Z30" i="32"/>
  <c r="R30" i="32"/>
  <c r="Y30" i="32"/>
  <c r="X30" i="32"/>
  <c r="W30" i="32"/>
  <c r="S35" i="32"/>
  <c r="Z35" i="32"/>
  <c r="R35" i="32"/>
  <c r="Y35" i="32"/>
  <c r="X35" i="32"/>
  <c r="W35" i="32"/>
  <c r="V35" i="32"/>
  <c r="U35" i="32"/>
  <c r="T35" i="32"/>
  <c r="U37" i="32"/>
  <c r="T37" i="32"/>
  <c r="S37" i="32"/>
  <c r="Z37" i="32"/>
  <c r="R37" i="32"/>
  <c r="Y37" i="32"/>
  <c r="X37" i="32"/>
  <c r="W37" i="32"/>
  <c r="V37" i="32"/>
  <c r="T27" i="32"/>
  <c r="S27" i="32"/>
  <c r="Y27" i="32"/>
  <c r="X27" i="32"/>
  <c r="W27" i="32"/>
  <c r="V27" i="32"/>
  <c r="Z27" i="32"/>
  <c r="U27" i="32"/>
  <c r="R27" i="32"/>
  <c r="S15" i="32"/>
  <c r="Y15" i="32"/>
  <c r="W15" i="32"/>
  <c r="V15" i="32"/>
  <c r="Z15" i="32"/>
  <c r="U15" i="32"/>
  <c r="R15" i="32"/>
  <c r="T15" i="32"/>
  <c r="X15" i="32"/>
  <c r="Y16" i="32"/>
  <c r="W16" i="32"/>
  <c r="U16" i="32"/>
  <c r="T16" i="32"/>
  <c r="V16" i="32"/>
  <c r="Z16" i="32"/>
  <c r="R16" i="32"/>
  <c r="X16" i="32"/>
  <c r="S16" i="32"/>
  <c r="T31" i="32"/>
  <c r="S31" i="32"/>
  <c r="Z31" i="32"/>
  <c r="R31" i="32"/>
  <c r="Y31" i="32"/>
  <c r="X31" i="32"/>
  <c r="W31" i="32"/>
  <c r="V31" i="32"/>
  <c r="U31" i="32"/>
  <c r="S11" i="32"/>
  <c r="Y11" i="32"/>
  <c r="W11" i="32"/>
  <c r="V11" i="32"/>
  <c r="U11" i="32"/>
  <c r="R11" i="32"/>
  <c r="Z11" i="32"/>
  <c r="X11" i="32"/>
  <c r="T11" i="32"/>
  <c r="S19" i="32"/>
  <c r="Y19" i="32"/>
  <c r="X19" i="32"/>
  <c r="W19" i="32"/>
  <c r="V19" i="32"/>
  <c r="T19" i="32"/>
  <c r="R19" i="32"/>
  <c r="Z19" i="32"/>
  <c r="U19" i="32"/>
  <c r="Z20" i="32"/>
  <c r="R20" i="32"/>
  <c r="Y20" i="32"/>
  <c r="W20" i="32"/>
  <c r="V20" i="32"/>
  <c r="U20" i="32"/>
  <c r="T20" i="32"/>
  <c r="X20" i="32"/>
  <c r="S20" i="32"/>
  <c r="X25" i="32"/>
  <c r="W25" i="32"/>
  <c r="U25" i="32"/>
  <c r="T25" i="32"/>
  <c r="S25" i="32"/>
  <c r="Z25" i="32"/>
  <c r="R25" i="32"/>
  <c r="Y25" i="32"/>
  <c r="V25" i="32"/>
  <c r="S7" i="32"/>
  <c r="Y7" i="32"/>
  <c r="W7" i="32"/>
  <c r="V7" i="32"/>
  <c r="Z7" i="32"/>
  <c r="U7" i="32"/>
  <c r="X7" i="32"/>
  <c r="T7" i="32"/>
  <c r="R7" i="32"/>
  <c r="W9" i="32"/>
  <c r="U9" i="32"/>
  <c r="S9" i="32"/>
  <c r="R9" i="32"/>
  <c r="Z9" i="32"/>
  <c r="T9" i="32"/>
  <c r="X9" i="32"/>
  <c r="V9" i="32"/>
  <c r="Y9" i="32"/>
  <c r="U14" i="32"/>
  <c r="S14" i="32"/>
  <c r="Y14" i="32"/>
  <c r="X14" i="32"/>
  <c r="W14" i="32"/>
  <c r="V14" i="32"/>
  <c r="R14" i="32"/>
  <c r="T14" i="32"/>
  <c r="Z14" i="32"/>
  <c r="Z36" i="32"/>
  <c r="R36" i="32"/>
  <c r="Y36" i="32"/>
  <c r="X36" i="32"/>
  <c r="W36" i="32"/>
  <c r="V36" i="32"/>
  <c r="U36" i="32"/>
  <c r="T36" i="32"/>
  <c r="S36" i="32"/>
  <c r="V34" i="32"/>
  <c r="U34" i="32"/>
  <c r="T34" i="32"/>
  <c r="S34" i="32"/>
  <c r="Z34" i="32"/>
  <c r="R34" i="32"/>
  <c r="Y34" i="32"/>
  <c r="X34" i="32"/>
  <c r="W34" i="32"/>
  <c r="U18" i="32"/>
  <c r="S18" i="32"/>
  <c r="R18" i="32"/>
  <c r="Z18" i="32"/>
  <c r="Y18" i="32"/>
  <c r="X18" i="32"/>
  <c r="V18" i="32"/>
  <c r="T18" i="32"/>
  <c r="W18" i="32"/>
  <c r="Y8" i="32"/>
  <c r="W8" i="32"/>
  <c r="U8" i="32"/>
  <c r="T8" i="32"/>
  <c r="X8" i="32"/>
  <c r="S8" i="32"/>
  <c r="R8" i="32"/>
  <c r="V8" i="32"/>
  <c r="Z8" i="32"/>
  <c r="X33" i="32"/>
  <c r="W33" i="32"/>
  <c r="V33" i="32"/>
  <c r="U33" i="32"/>
  <c r="T33" i="32"/>
  <c r="S33" i="32"/>
  <c r="Z33" i="32"/>
  <c r="R33" i="32"/>
  <c r="Y33" i="32"/>
  <c r="T23" i="32"/>
  <c r="S23" i="32"/>
  <c r="Y23" i="32"/>
  <c r="X23" i="32"/>
  <c r="W23" i="32"/>
  <c r="V23" i="32"/>
  <c r="U23" i="32"/>
  <c r="Z23" i="32"/>
  <c r="R23" i="32"/>
  <c r="K12" i="31"/>
  <c r="K8" i="31"/>
  <c r="K35" i="31"/>
  <c r="K31" i="31"/>
  <c r="K27" i="31"/>
  <c r="K23" i="31"/>
  <c r="K19" i="31"/>
  <c r="K15" i="31"/>
  <c r="K34" i="31"/>
  <c r="K11" i="31"/>
  <c r="K37" i="31"/>
  <c r="K30" i="31"/>
  <c r="K26" i="31"/>
  <c r="K22" i="31"/>
  <c r="K18" i="31"/>
  <c r="K21" i="31"/>
  <c r="K9" i="31"/>
  <c r="K14" i="31"/>
  <c r="K10" i="31"/>
  <c r="K33" i="31"/>
  <c r="K29" i="31"/>
  <c r="K17" i="31"/>
  <c r="K25" i="31"/>
  <c r="K13" i="31"/>
  <c r="AC39" i="31"/>
  <c r="K36" i="31"/>
  <c r="K7" i="31"/>
  <c r="P9" i="31"/>
  <c r="O9" i="31"/>
  <c r="N9" i="31"/>
  <c r="M9" i="31"/>
  <c r="L9" i="31"/>
  <c r="J39" i="31"/>
  <c r="P13" i="31"/>
  <c r="O13" i="31"/>
  <c r="N13" i="31"/>
  <c r="M13" i="31"/>
  <c r="L13" i="31"/>
  <c r="K20" i="31"/>
  <c r="K24" i="31"/>
  <c r="S16" i="31"/>
  <c r="Z16" i="31"/>
  <c r="R16" i="31"/>
  <c r="Y16" i="31"/>
  <c r="X16" i="31"/>
  <c r="W16" i="31"/>
  <c r="V16" i="31"/>
  <c r="U16" i="31"/>
  <c r="S28" i="31"/>
  <c r="Y28" i="31"/>
  <c r="Z28" i="31"/>
  <c r="R28" i="31"/>
  <c r="X28" i="31"/>
  <c r="W28" i="31"/>
  <c r="V28" i="31"/>
  <c r="U28" i="31"/>
  <c r="K32" i="31"/>
  <c r="N15" i="31"/>
  <c r="N19" i="31"/>
  <c r="N23" i="31"/>
  <c r="N27" i="31"/>
  <c r="N31" i="31"/>
  <c r="O27" i="31"/>
  <c r="S6" i="31"/>
  <c r="O15" i="31"/>
  <c r="O23" i="31"/>
  <c r="T6" i="31"/>
  <c r="O8" i="31"/>
  <c r="O12" i="31"/>
  <c r="P15" i="31"/>
  <c r="N16" i="31"/>
  <c r="L17" i="31"/>
  <c r="P19" i="31"/>
  <c r="L21" i="31"/>
  <c r="P23" i="31"/>
  <c r="L25" i="31"/>
  <c r="P27" i="31"/>
  <c r="L29" i="31"/>
  <c r="P31" i="31"/>
  <c r="N32" i="31"/>
  <c r="L33" i="31"/>
  <c r="O19" i="31"/>
  <c r="O31" i="31"/>
  <c r="L6" i="31"/>
  <c r="U6" i="31"/>
  <c r="L10" i="31"/>
  <c r="M17" i="31"/>
  <c r="M21" i="31"/>
  <c r="M25" i="31"/>
  <c r="M29" i="31"/>
  <c r="M33" i="31"/>
  <c r="J34" i="31"/>
  <c r="N6" i="31"/>
  <c r="W6" i="31"/>
  <c r="L7" i="31"/>
  <c r="N10" i="31"/>
  <c r="L11" i="31"/>
  <c r="O17" i="31"/>
  <c r="M18" i="31"/>
  <c r="O21" i="31"/>
  <c r="M22" i="31"/>
  <c r="O25" i="31"/>
  <c r="M26" i="31"/>
  <c r="O29" i="31"/>
  <c r="M30" i="31"/>
  <c r="O33" i="31"/>
  <c r="O6" i="31"/>
  <c r="Z39" i="32" l="1"/>
  <c r="Z40" i="32" s="1"/>
  <c r="T39" i="32"/>
  <c r="T40" i="32" s="1"/>
  <c r="R39" i="32"/>
  <c r="R40" i="32" s="1"/>
  <c r="X39" i="32"/>
  <c r="X40" i="32" s="1"/>
  <c r="Y39" i="32"/>
  <c r="Y40" i="32" s="1"/>
  <c r="V39" i="32"/>
  <c r="V40" i="32" s="1"/>
  <c r="S39" i="32"/>
  <c r="S40" i="32" s="1"/>
  <c r="W39" i="32"/>
  <c r="W40" i="32" s="1"/>
  <c r="U39" i="32"/>
  <c r="U40" i="32" s="1"/>
  <c r="Z33" i="31"/>
  <c r="R33" i="31"/>
  <c r="Y33" i="31"/>
  <c r="W33" i="31"/>
  <c r="X33" i="31"/>
  <c r="V33" i="31"/>
  <c r="U33" i="31"/>
  <c r="T33" i="31"/>
  <c r="S33" i="31"/>
  <c r="W34" i="31"/>
  <c r="V34" i="31"/>
  <c r="T34" i="31"/>
  <c r="U34" i="31"/>
  <c r="S34" i="31"/>
  <c r="Z34" i="31"/>
  <c r="R34" i="31"/>
  <c r="Y34" i="31"/>
  <c r="X34" i="31"/>
  <c r="T12" i="31"/>
  <c r="R12" i="31"/>
  <c r="S12" i="31"/>
  <c r="Z12" i="31"/>
  <c r="Y12" i="31"/>
  <c r="X12" i="31"/>
  <c r="W12" i="31"/>
  <c r="V12" i="31"/>
  <c r="U12" i="31"/>
  <c r="N34" i="31"/>
  <c r="N39" i="31" s="1"/>
  <c r="M34" i="31"/>
  <c r="M39" i="31" s="1"/>
  <c r="L34" i="31"/>
  <c r="P34" i="31"/>
  <c r="P39" i="31" s="1"/>
  <c r="O34" i="31"/>
  <c r="O39" i="31" s="1"/>
  <c r="Z13" i="31"/>
  <c r="R13" i="31"/>
  <c r="X13" i="31"/>
  <c r="Y13" i="31"/>
  <c r="W13" i="31"/>
  <c r="T13" i="31"/>
  <c r="V13" i="31"/>
  <c r="U13" i="31"/>
  <c r="S13" i="31"/>
  <c r="Y21" i="31"/>
  <c r="X21" i="31"/>
  <c r="W21" i="31"/>
  <c r="V21" i="31"/>
  <c r="U21" i="31"/>
  <c r="T21" i="31"/>
  <c r="S21" i="31"/>
  <c r="R21" i="31"/>
  <c r="Z21" i="31"/>
  <c r="U15" i="31"/>
  <c r="T15" i="31"/>
  <c r="S15" i="31"/>
  <c r="Z15" i="31"/>
  <c r="R15" i="31"/>
  <c r="Y15" i="31"/>
  <c r="X15" i="31"/>
  <c r="W15" i="31"/>
  <c r="V15" i="31"/>
  <c r="W30" i="31"/>
  <c r="V30" i="31"/>
  <c r="U30" i="31"/>
  <c r="T30" i="31"/>
  <c r="S30" i="31"/>
  <c r="Z30" i="31"/>
  <c r="R30" i="31"/>
  <c r="Y30" i="31"/>
  <c r="X30" i="31"/>
  <c r="Z9" i="31"/>
  <c r="R9" i="31"/>
  <c r="X9" i="31"/>
  <c r="Y9" i="31"/>
  <c r="W9" i="31"/>
  <c r="V9" i="31"/>
  <c r="U9" i="31"/>
  <c r="T9" i="31"/>
  <c r="S9" i="31"/>
  <c r="Y25" i="31"/>
  <c r="W25" i="31"/>
  <c r="X25" i="31"/>
  <c r="V25" i="31"/>
  <c r="T25" i="31"/>
  <c r="U25" i="31"/>
  <c r="S25" i="31"/>
  <c r="R25" i="31"/>
  <c r="Z25" i="31"/>
  <c r="W18" i="31"/>
  <c r="V18" i="31"/>
  <c r="U18" i="31"/>
  <c r="T18" i="31"/>
  <c r="S18" i="31"/>
  <c r="Z18" i="31"/>
  <c r="R18" i="31"/>
  <c r="Y18" i="31"/>
  <c r="X18" i="31"/>
  <c r="U19" i="31"/>
  <c r="S19" i="31"/>
  <c r="T19" i="31"/>
  <c r="Z19" i="31"/>
  <c r="R19" i="31"/>
  <c r="Y19" i="31"/>
  <c r="X19" i="31"/>
  <c r="W19" i="31"/>
  <c r="V19" i="31"/>
  <c r="Y17" i="31"/>
  <c r="X17" i="31"/>
  <c r="W17" i="31"/>
  <c r="V17" i="31"/>
  <c r="T17" i="31"/>
  <c r="U17" i="31"/>
  <c r="S17" i="31"/>
  <c r="R17" i="31"/>
  <c r="Z17" i="31"/>
  <c r="W22" i="31"/>
  <c r="U22" i="31"/>
  <c r="V22" i="31"/>
  <c r="T22" i="31"/>
  <c r="R22" i="31"/>
  <c r="S22" i="31"/>
  <c r="Z22" i="31"/>
  <c r="Y22" i="31"/>
  <c r="X22" i="31"/>
  <c r="U23" i="31"/>
  <c r="S23" i="31"/>
  <c r="T23" i="31"/>
  <c r="Z23" i="31"/>
  <c r="R23" i="31"/>
  <c r="Y23" i="31"/>
  <c r="X23" i="31"/>
  <c r="W23" i="31"/>
  <c r="V23" i="31"/>
  <c r="V7" i="31"/>
  <c r="T7" i="31"/>
  <c r="U7" i="31"/>
  <c r="S7" i="31"/>
  <c r="Z7" i="31"/>
  <c r="R7" i="31"/>
  <c r="Y7" i="31"/>
  <c r="X7" i="31"/>
  <c r="K39" i="31"/>
  <c r="W7" i="31"/>
  <c r="T32" i="31"/>
  <c r="S32" i="31"/>
  <c r="Y32" i="31"/>
  <c r="Z32" i="31"/>
  <c r="R32" i="31"/>
  <c r="X32" i="31"/>
  <c r="W32" i="31"/>
  <c r="V32" i="31"/>
  <c r="U32" i="31"/>
  <c r="Y29" i="31"/>
  <c r="W29" i="31"/>
  <c r="X29" i="31"/>
  <c r="V29" i="31"/>
  <c r="U29" i="31"/>
  <c r="T29" i="31"/>
  <c r="S29" i="31"/>
  <c r="Z29" i="31"/>
  <c r="R29" i="31"/>
  <c r="W26" i="31"/>
  <c r="U26" i="31"/>
  <c r="V26" i="31"/>
  <c r="T26" i="31"/>
  <c r="Z26" i="31"/>
  <c r="S26" i="31"/>
  <c r="R26" i="31"/>
  <c r="Y26" i="31"/>
  <c r="X26" i="31"/>
  <c r="U27" i="31"/>
  <c r="T27" i="31"/>
  <c r="S27" i="31"/>
  <c r="Z27" i="31"/>
  <c r="R27" i="31"/>
  <c r="Y27" i="31"/>
  <c r="X27" i="31"/>
  <c r="W27" i="31"/>
  <c r="V27" i="31"/>
  <c r="U31" i="31"/>
  <c r="T31" i="31"/>
  <c r="S31" i="31"/>
  <c r="Z31" i="31"/>
  <c r="R31" i="31"/>
  <c r="Y31" i="31"/>
  <c r="X31" i="31"/>
  <c r="W31" i="31"/>
  <c r="V31" i="31"/>
  <c r="L39" i="31"/>
  <c r="S24" i="31"/>
  <c r="Y24" i="31"/>
  <c r="Z24" i="31"/>
  <c r="R24" i="31"/>
  <c r="X24" i="31"/>
  <c r="W24" i="31"/>
  <c r="V24" i="31"/>
  <c r="U24" i="31"/>
  <c r="T24" i="31"/>
  <c r="Y36" i="31"/>
  <c r="X36" i="31"/>
  <c r="W36" i="31"/>
  <c r="V36" i="31"/>
  <c r="U36" i="31"/>
  <c r="T36" i="31"/>
  <c r="S36" i="31"/>
  <c r="Z36" i="31"/>
  <c r="R36" i="31"/>
  <c r="X10" i="31"/>
  <c r="V10" i="31"/>
  <c r="W10" i="31"/>
  <c r="U10" i="31"/>
  <c r="S10" i="31"/>
  <c r="T10" i="31"/>
  <c r="Z10" i="31"/>
  <c r="R10" i="31"/>
  <c r="Y10" i="31"/>
  <c r="W37" i="31"/>
  <c r="V37" i="31"/>
  <c r="U37" i="31"/>
  <c r="T37" i="31"/>
  <c r="S37" i="31"/>
  <c r="Z37" i="31"/>
  <c r="R37" i="31"/>
  <c r="Y37" i="31"/>
  <c r="X37" i="31"/>
  <c r="V35" i="31"/>
  <c r="U35" i="31"/>
  <c r="T35" i="31"/>
  <c r="S35" i="31"/>
  <c r="Z35" i="31"/>
  <c r="R35" i="31"/>
  <c r="Y35" i="31"/>
  <c r="X35" i="31"/>
  <c r="W35" i="31"/>
  <c r="S20" i="31"/>
  <c r="Z20" i="31"/>
  <c r="R20" i="31"/>
  <c r="Y20" i="31"/>
  <c r="X20" i="31"/>
  <c r="W20" i="31"/>
  <c r="V20" i="31"/>
  <c r="U20" i="31"/>
  <c r="T20" i="31"/>
  <c r="W14" i="31"/>
  <c r="V14" i="31"/>
  <c r="U14" i="31"/>
  <c r="T14" i="31"/>
  <c r="S14" i="31"/>
  <c r="R14" i="31"/>
  <c r="Z14" i="31"/>
  <c r="Y14" i="31"/>
  <c r="X14" i="31"/>
  <c r="V11" i="31"/>
  <c r="U11" i="31"/>
  <c r="T11" i="31"/>
  <c r="S11" i="31"/>
  <c r="Y11" i="31"/>
  <c r="Z11" i="31"/>
  <c r="R11" i="31"/>
  <c r="X11" i="31"/>
  <c r="W11" i="31"/>
  <c r="T8" i="31"/>
  <c r="Z8" i="31"/>
  <c r="S8" i="31"/>
  <c r="R8" i="31"/>
  <c r="Y8" i="31"/>
  <c r="W8" i="31"/>
  <c r="X8" i="31"/>
  <c r="V8" i="31"/>
  <c r="U8" i="31"/>
  <c r="W39" i="31" l="1"/>
  <c r="T39" i="31"/>
  <c r="X39" i="31"/>
  <c r="Y39" i="31"/>
  <c r="R39" i="31"/>
  <c r="V39" i="31"/>
  <c r="Z39" i="31"/>
  <c r="S39" i="31"/>
  <c r="U39" i="31"/>
  <c r="I34" i="28" l="1"/>
  <c r="H44" i="28"/>
  <c r="I36" i="25"/>
  <c r="I34" i="25"/>
  <c r="F37" i="29"/>
  <c r="I33" i="24" l="1"/>
  <c r="I35" i="23"/>
  <c r="S40" i="22"/>
  <c r="I32" i="22"/>
  <c r="S40" i="21"/>
  <c r="I31" i="21"/>
  <c r="H39" i="30" l="1"/>
  <c r="AB21" i="30" s="1"/>
  <c r="AC21" i="30" s="1"/>
  <c r="J52" i="30" l="1"/>
  <c r="J54" i="30" s="1"/>
  <c r="I52" i="30"/>
  <c r="P47" i="30"/>
  <c r="P46" i="30"/>
  <c r="H45" i="30"/>
  <c r="P44" i="30"/>
  <c r="O44" i="30"/>
  <c r="O3" i="30" s="1"/>
  <c r="O36" i="30" s="1"/>
  <c r="N44" i="30"/>
  <c r="N3" i="30" s="1"/>
  <c r="N36" i="30" s="1"/>
  <c r="M44" i="30"/>
  <c r="M3" i="30" s="1"/>
  <c r="L44" i="30"/>
  <c r="L3" i="30" s="1"/>
  <c r="AB30" i="30"/>
  <c r="AC30" i="30" s="1"/>
  <c r="P36" i="30"/>
  <c r="I35" i="30"/>
  <c r="AA39" i="30"/>
  <c r="AA40" i="30" s="1"/>
  <c r="Q39" i="30"/>
  <c r="Q40" i="30" s="1"/>
  <c r="L36" i="30" l="1"/>
  <c r="M36" i="30"/>
  <c r="F47" i="30"/>
  <c r="I37" i="30"/>
  <c r="J30" i="30"/>
  <c r="N30" i="30" s="1"/>
  <c r="J21" i="30"/>
  <c r="R47" i="30"/>
  <c r="S47" i="30" s="1"/>
  <c r="J12" i="30"/>
  <c r="AB38" i="30"/>
  <c r="AC38" i="30" s="1"/>
  <c r="AB12" i="30"/>
  <c r="AC12" i="30" s="1"/>
  <c r="AB20" i="30"/>
  <c r="AC20" i="30" s="1"/>
  <c r="J6" i="30"/>
  <c r="J13" i="30"/>
  <c r="M13" i="30" s="1"/>
  <c r="AB26" i="30"/>
  <c r="AC26" i="30" s="1"/>
  <c r="AB8" i="30"/>
  <c r="AC8" i="30" s="1"/>
  <c r="J10" i="30"/>
  <c r="L10" i="30" s="1"/>
  <c r="AB23" i="30"/>
  <c r="AC23" i="30" s="1"/>
  <c r="AB24" i="30"/>
  <c r="AC24" i="30" s="1"/>
  <c r="AB6" i="30"/>
  <c r="AB13" i="30"/>
  <c r="AC13" i="30" s="1"/>
  <c r="AB15" i="30"/>
  <c r="AC15" i="30" s="1"/>
  <c r="AB28" i="30"/>
  <c r="AC28" i="30" s="1"/>
  <c r="AB17" i="30"/>
  <c r="AC17" i="30" s="1"/>
  <c r="AB10" i="30"/>
  <c r="AC10" i="30" s="1"/>
  <c r="AB7" i="30"/>
  <c r="AC7" i="30" s="1"/>
  <c r="AB32" i="30"/>
  <c r="AC32" i="30" s="1"/>
  <c r="AB11" i="30"/>
  <c r="AC11" i="30" s="1"/>
  <c r="AB9" i="30"/>
  <c r="AC9" i="30" s="1"/>
  <c r="AB16" i="30"/>
  <c r="AC16" i="30" s="1"/>
  <c r="AB34" i="30"/>
  <c r="AC34" i="30" s="1"/>
  <c r="AB27" i="30"/>
  <c r="AC27" i="30" s="1"/>
  <c r="J20" i="30"/>
  <c r="O20" i="30" s="1"/>
  <c r="AB33" i="30"/>
  <c r="AC33" i="30" s="1"/>
  <c r="AB37" i="30"/>
  <c r="AC37" i="30" s="1"/>
  <c r="J7" i="30"/>
  <c r="P7" i="30" s="1"/>
  <c r="AB14" i="30"/>
  <c r="AC14" i="30" s="1"/>
  <c r="AB25" i="30"/>
  <c r="AC25" i="30" s="1"/>
  <c r="J8" i="30"/>
  <c r="J14" i="30"/>
  <c r="P14" i="30" s="1"/>
  <c r="J18" i="30"/>
  <c r="L18" i="30" s="1"/>
  <c r="J16" i="30"/>
  <c r="L16" i="30" s="1"/>
  <c r="AB18" i="30"/>
  <c r="AC18" i="30" s="1"/>
  <c r="J24" i="30"/>
  <c r="L24" i="30" s="1"/>
  <c r="J26" i="30"/>
  <c r="P26" i="30" s="1"/>
  <c r="AB31" i="30"/>
  <c r="AC31" i="30" s="1"/>
  <c r="J19" i="30"/>
  <c r="P19" i="30" s="1"/>
  <c r="J9" i="30"/>
  <c r="P9" i="30" s="1"/>
  <c r="J15" i="30"/>
  <c r="M15" i="30" s="1"/>
  <c r="J17" i="30"/>
  <c r="M17" i="30" s="1"/>
  <c r="AB19" i="30"/>
  <c r="AC19" i="30" s="1"/>
  <c r="J27" i="30"/>
  <c r="O27" i="30" s="1"/>
  <c r="J29" i="30"/>
  <c r="N29" i="30" s="1"/>
  <c r="J32" i="30"/>
  <c r="P32" i="30" s="1"/>
  <c r="J34" i="30"/>
  <c r="P34" i="30" s="1"/>
  <c r="J11" i="30"/>
  <c r="N11" i="30" s="1"/>
  <c r="J23" i="30"/>
  <c r="O23" i="30" s="1"/>
  <c r="J25" i="30"/>
  <c r="L25" i="30" s="1"/>
  <c r="J28" i="30"/>
  <c r="AB29" i="30"/>
  <c r="AC29" i="30" s="1"/>
  <c r="J33" i="30"/>
  <c r="N33" i="30" s="1"/>
  <c r="AB35" i="30"/>
  <c r="AC35" i="30" s="1"/>
  <c r="J31" i="30"/>
  <c r="L31" i="30" s="1"/>
  <c r="J35" i="30"/>
  <c r="M35" i="30" s="1"/>
  <c r="AB36" i="30"/>
  <c r="AC36" i="30" s="1"/>
  <c r="I60" i="29"/>
  <c r="H44" i="29" s="1"/>
  <c r="H46" i="29" s="1"/>
  <c r="N58" i="29"/>
  <c r="I53" i="29"/>
  <c r="H47" i="29"/>
  <c r="P46" i="29"/>
  <c r="O46" i="29"/>
  <c r="N46" i="29"/>
  <c r="M46" i="29"/>
  <c r="L46" i="29"/>
  <c r="H45" i="29"/>
  <c r="H39" i="29"/>
  <c r="AB38" i="29" s="1"/>
  <c r="AC38" i="29" s="1"/>
  <c r="P37" i="29"/>
  <c r="O37" i="29"/>
  <c r="N37" i="29"/>
  <c r="M37" i="29"/>
  <c r="L37" i="29"/>
  <c r="H36" i="29"/>
  <c r="P35" i="29"/>
  <c r="O35" i="29"/>
  <c r="N35" i="29"/>
  <c r="M35" i="29"/>
  <c r="L35" i="29"/>
  <c r="H35" i="29"/>
  <c r="I34" i="29"/>
  <c r="J32" i="29" s="1"/>
  <c r="L32" i="29" s="1"/>
  <c r="AB25" i="29"/>
  <c r="AC25" i="29" s="1"/>
  <c r="AB14" i="29"/>
  <c r="AC14" i="29" s="1"/>
  <c r="AA14" i="29"/>
  <c r="Q14" i="29"/>
  <c r="Q39" i="29" s="1"/>
  <c r="P14" i="29"/>
  <c r="O14" i="29"/>
  <c r="N14" i="29"/>
  <c r="M14" i="29"/>
  <c r="L14" i="29"/>
  <c r="AB10" i="29"/>
  <c r="AC10" i="29" s="1"/>
  <c r="AB9" i="29"/>
  <c r="AC9" i="29" s="1"/>
  <c r="J52" i="28"/>
  <c r="J54" i="28" s="1"/>
  <c r="I52" i="28"/>
  <c r="P47" i="28"/>
  <c r="R47" i="28" s="1"/>
  <c r="S47" i="28" s="1"/>
  <c r="P46" i="28"/>
  <c r="H45" i="28"/>
  <c r="P44" i="28"/>
  <c r="O44" i="28"/>
  <c r="N44" i="28"/>
  <c r="M44" i="28"/>
  <c r="L44" i="28"/>
  <c r="Q39" i="28"/>
  <c r="H39" i="28"/>
  <c r="AB37" i="28" s="1"/>
  <c r="AC37" i="28" s="1"/>
  <c r="P37" i="28"/>
  <c r="O37" i="28"/>
  <c r="N37" i="28"/>
  <c r="M37" i="28"/>
  <c r="L37" i="28"/>
  <c r="P35" i="28"/>
  <c r="O35" i="28"/>
  <c r="N35" i="28"/>
  <c r="M35" i="28"/>
  <c r="L35" i="28"/>
  <c r="J33" i="28"/>
  <c r="AA14" i="28"/>
  <c r="Q14" i="28"/>
  <c r="P14" i="28"/>
  <c r="O14" i="28"/>
  <c r="N14" i="28"/>
  <c r="M14" i="28"/>
  <c r="L14" i="28"/>
  <c r="K9" i="30" l="1"/>
  <c r="K17" i="30"/>
  <c r="K25" i="30"/>
  <c r="K33" i="30"/>
  <c r="K10" i="30"/>
  <c r="K18" i="30"/>
  <c r="K26" i="30"/>
  <c r="K34" i="30"/>
  <c r="K22" i="30"/>
  <c r="K15" i="30"/>
  <c r="K8" i="30"/>
  <c r="K24" i="30"/>
  <c r="K11" i="30"/>
  <c r="K19" i="30"/>
  <c r="K27" i="30"/>
  <c r="K35" i="30"/>
  <c r="K37" i="30"/>
  <c r="K14" i="30"/>
  <c r="K6" i="30"/>
  <c r="W6" i="30" s="1"/>
  <c r="K7" i="30"/>
  <c r="K23" i="30"/>
  <c r="K12" i="30"/>
  <c r="K20" i="30"/>
  <c r="U20" i="30" s="1"/>
  <c r="K28" i="30"/>
  <c r="K36" i="30"/>
  <c r="K13" i="30"/>
  <c r="K21" i="30"/>
  <c r="Z21" i="30" s="1"/>
  <c r="K29" i="30"/>
  <c r="K30" i="30"/>
  <c r="K31" i="30"/>
  <c r="K16" i="30"/>
  <c r="K32" i="30"/>
  <c r="M30" i="30"/>
  <c r="L30" i="30"/>
  <c r="P30" i="30"/>
  <c r="O30" i="30"/>
  <c r="R6" i="30"/>
  <c r="X6" i="30"/>
  <c r="AC6" i="30"/>
  <c r="AB39" i="30"/>
  <c r="AB40" i="30" s="1"/>
  <c r="J39" i="30"/>
  <c r="L21" i="30"/>
  <c r="O21" i="30"/>
  <c r="M21" i="30"/>
  <c r="P21" i="30"/>
  <c r="N21" i="30"/>
  <c r="U33" i="30"/>
  <c r="V33" i="30"/>
  <c r="W33" i="30"/>
  <c r="T33" i="30"/>
  <c r="X33" i="30"/>
  <c r="Y33" i="30"/>
  <c r="R33" i="30"/>
  <c r="Z33" i="30"/>
  <c r="S33" i="30"/>
  <c r="T21" i="30"/>
  <c r="U21" i="30"/>
  <c r="L6" i="30"/>
  <c r="M27" i="30"/>
  <c r="L12" i="30"/>
  <c r="M12" i="30"/>
  <c r="N12" i="30"/>
  <c r="O12" i="30"/>
  <c r="P12" i="30"/>
  <c r="M23" i="30"/>
  <c r="P35" i="30"/>
  <c r="N16" i="30"/>
  <c r="N17" i="30"/>
  <c r="L35" i="30"/>
  <c r="P16" i="30"/>
  <c r="O16" i="30"/>
  <c r="L27" i="30"/>
  <c r="O6" i="30"/>
  <c r="P6" i="30"/>
  <c r="N27" i="30"/>
  <c r="L23" i="30"/>
  <c r="M16" i="30"/>
  <c r="N23" i="30"/>
  <c r="L17" i="30"/>
  <c r="N25" i="30"/>
  <c r="P23" i="30"/>
  <c r="O13" i="30"/>
  <c r="L29" i="30"/>
  <c r="N6" i="30"/>
  <c r="N13" i="30"/>
  <c r="P13" i="30"/>
  <c r="L13" i="30"/>
  <c r="O9" i="30"/>
  <c r="L11" i="30"/>
  <c r="M10" i="30"/>
  <c r="N10" i="30"/>
  <c r="O10" i="30"/>
  <c r="P10" i="30"/>
  <c r="M6" i="30"/>
  <c r="M11" i="30"/>
  <c r="N20" i="30"/>
  <c r="O15" i="30"/>
  <c r="P20" i="30"/>
  <c r="N15" i="30"/>
  <c r="M20" i="30"/>
  <c r="M14" i="30"/>
  <c r="P15" i="30"/>
  <c r="O34" i="30"/>
  <c r="N32" i="30"/>
  <c r="L15" i="30"/>
  <c r="O32" i="30"/>
  <c r="M34" i="30"/>
  <c r="M19" i="30"/>
  <c r="O19" i="30"/>
  <c r="L20" i="30"/>
  <c r="O18" i="30"/>
  <c r="N18" i="30"/>
  <c r="N19" i="30"/>
  <c r="P29" i="30"/>
  <c r="M29" i="30"/>
  <c r="O29" i="30"/>
  <c r="L26" i="30"/>
  <c r="P25" i="30"/>
  <c r="O25" i="30"/>
  <c r="P8" i="30"/>
  <c r="O8" i="30"/>
  <c r="N8" i="30"/>
  <c r="M8" i="30"/>
  <c r="O26" i="30"/>
  <c r="L19" i="30"/>
  <c r="O17" i="30"/>
  <c r="P17" i="30"/>
  <c r="M28" i="30"/>
  <c r="O28" i="30"/>
  <c r="N28" i="30"/>
  <c r="L28" i="30"/>
  <c r="N26" i="30"/>
  <c r="M7" i="30"/>
  <c r="L34" i="30"/>
  <c r="M26" i="30"/>
  <c r="N14" i="30"/>
  <c r="L14" i="30"/>
  <c r="M24" i="30"/>
  <c r="O24" i="30"/>
  <c r="N24" i="30"/>
  <c r="P24" i="30"/>
  <c r="N7" i="30"/>
  <c r="L7" i="30"/>
  <c r="N34" i="30"/>
  <c r="L8" i="30"/>
  <c r="M25" i="30"/>
  <c r="O11" i="30"/>
  <c r="P11" i="30"/>
  <c r="M9" i="30"/>
  <c r="N9" i="30"/>
  <c r="L9" i="30"/>
  <c r="O7" i="30"/>
  <c r="M31" i="30"/>
  <c r="O14" i="30"/>
  <c r="P27" i="30"/>
  <c r="P28" i="30"/>
  <c r="P33" i="30"/>
  <c r="O33" i="30"/>
  <c r="M33" i="30"/>
  <c r="L33" i="30"/>
  <c r="M32" i="30"/>
  <c r="L32" i="30"/>
  <c r="M18" i="30"/>
  <c r="P18" i="30"/>
  <c r="N35" i="30"/>
  <c r="O35" i="30"/>
  <c r="O31" i="30"/>
  <c r="P31" i="30"/>
  <c r="N31" i="30"/>
  <c r="AB35" i="29"/>
  <c r="AC35" i="29" s="1"/>
  <c r="AB6" i="29"/>
  <c r="AC6" i="29" s="1"/>
  <c r="J10" i="29"/>
  <c r="M10" i="29" s="1"/>
  <c r="AB11" i="29"/>
  <c r="AC11" i="29" s="1"/>
  <c r="J13" i="29"/>
  <c r="N13" i="29" s="1"/>
  <c r="J6" i="29"/>
  <c r="R6" i="29" s="1"/>
  <c r="AB13" i="29"/>
  <c r="AC13" i="29" s="1"/>
  <c r="J14" i="29"/>
  <c r="AB7" i="29"/>
  <c r="AC7" i="29" s="1"/>
  <c r="AB16" i="29"/>
  <c r="AC16" i="29" s="1"/>
  <c r="L10" i="29"/>
  <c r="J16" i="29"/>
  <c r="P16" i="29" s="1"/>
  <c r="J7" i="29"/>
  <c r="L7" i="29" s="1"/>
  <c r="J20" i="29"/>
  <c r="O20" i="29" s="1"/>
  <c r="J9" i="29"/>
  <c r="P9" i="29" s="1"/>
  <c r="J29" i="29"/>
  <c r="N29" i="29" s="1"/>
  <c r="J11" i="29"/>
  <c r="O11" i="29" s="1"/>
  <c r="L13" i="29"/>
  <c r="J17" i="29"/>
  <c r="P17" i="29" s="1"/>
  <c r="J25" i="29"/>
  <c r="P25" i="29" s="1"/>
  <c r="AB29" i="29"/>
  <c r="AC29" i="29" s="1"/>
  <c r="J21" i="29"/>
  <c r="P21" i="29" s="1"/>
  <c r="J30" i="29"/>
  <c r="M30" i="29" s="1"/>
  <c r="AB17" i="29"/>
  <c r="AC17" i="29" s="1"/>
  <c r="AB21" i="29"/>
  <c r="AC21" i="29" s="1"/>
  <c r="J26" i="29"/>
  <c r="N26" i="29" s="1"/>
  <c r="J18" i="29"/>
  <c r="P18" i="29" s="1"/>
  <c r="J22" i="29"/>
  <c r="M22" i="29" s="1"/>
  <c r="J28" i="29"/>
  <c r="O28" i="29" s="1"/>
  <c r="J33" i="29"/>
  <c r="P33" i="29" s="1"/>
  <c r="AB18" i="29"/>
  <c r="AC18" i="29" s="1"/>
  <c r="J24" i="29"/>
  <c r="M24" i="29" s="1"/>
  <c r="AB33" i="29"/>
  <c r="AC33" i="29" s="1"/>
  <c r="AB36" i="29"/>
  <c r="AC36" i="29" s="1"/>
  <c r="I36" i="29"/>
  <c r="K28" i="29" s="1"/>
  <c r="Z6" i="29"/>
  <c r="M18" i="29"/>
  <c r="O25" i="29"/>
  <c r="N25" i="29"/>
  <c r="P13" i="29"/>
  <c r="M13" i="29"/>
  <c r="P32" i="29"/>
  <c r="O32" i="29"/>
  <c r="N32" i="29"/>
  <c r="M32" i="29"/>
  <c r="N6" i="29"/>
  <c r="M7" i="29"/>
  <c r="U6" i="29"/>
  <c r="K31" i="29"/>
  <c r="K17" i="29"/>
  <c r="O29" i="29"/>
  <c r="K6" i="29"/>
  <c r="M20" i="29"/>
  <c r="AB22" i="29"/>
  <c r="AC22" i="29" s="1"/>
  <c r="AB26" i="29"/>
  <c r="AC26" i="29" s="1"/>
  <c r="AB30" i="29"/>
  <c r="AC30" i="29" s="1"/>
  <c r="J8" i="29"/>
  <c r="AB8" i="29"/>
  <c r="AC8" i="29" s="1"/>
  <c r="J12" i="29"/>
  <c r="AB12" i="29"/>
  <c r="AC12" i="29" s="1"/>
  <c r="J15" i="29"/>
  <c r="AB15" i="29"/>
  <c r="AC15" i="29" s="1"/>
  <c r="J19" i="29"/>
  <c r="AB19" i="29"/>
  <c r="AC19" i="29" s="1"/>
  <c r="L22" i="29"/>
  <c r="J23" i="29"/>
  <c r="AB23" i="29"/>
  <c r="AC23" i="29" s="1"/>
  <c r="J27" i="29"/>
  <c r="AB27" i="29"/>
  <c r="AC27" i="29" s="1"/>
  <c r="L30" i="29"/>
  <c r="J31" i="29"/>
  <c r="AB31" i="29"/>
  <c r="AC31" i="29" s="1"/>
  <c r="AB37" i="29"/>
  <c r="AC37" i="29" s="1"/>
  <c r="AB20" i="29"/>
  <c r="AC20" i="29" s="1"/>
  <c r="N22" i="29"/>
  <c r="AB24" i="29"/>
  <c r="AC24" i="29" s="1"/>
  <c r="AB28" i="29"/>
  <c r="AC28" i="29" s="1"/>
  <c r="AB32" i="29"/>
  <c r="AC32" i="29" s="1"/>
  <c r="AB25" i="28"/>
  <c r="AC25" i="28" s="1"/>
  <c r="AB9" i="28"/>
  <c r="AC9" i="28" s="1"/>
  <c r="J22" i="28"/>
  <c r="P22" i="28" s="1"/>
  <c r="AB30" i="28"/>
  <c r="AC30" i="28" s="1"/>
  <c r="AB11" i="28"/>
  <c r="AC11" i="28" s="1"/>
  <c r="AB16" i="28"/>
  <c r="AC16" i="28" s="1"/>
  <c r="J16" i="28"/>
  <c r="L16" i="28" s="1"/>
  <c r="J20" i="28"/>
  <c r="L20" i="28" s="1"/>
  <c r="AB6" i="28"/>
  <c r="AC6" i="28" s="1"/>
  <c r="J24" i="28"/>
  <c r="M24" i="28" s="1"/>
  <c r="AB10" i="28"/>
  <c r="AC10" i="28" s="1"/>
  <c r="AB20" i="28"/>
  <c r="AC20" i="28" s="1"/>
  <c r="J28" i="28"/>
  <c r="P28" i="28" s="1"/>
  <c r="AB7" i="28"/>
  <c r="AC7" i="28" s="1"/>
  <c r="J11" i="28"/>
  <c r="N11" i="28" s="1"/>
  <c r="AB13" i="28"/>
  <c r="AC13" i="28" s="1"/>
  <c r="J21" i="28"/>
  <c r="M21" i="28" s="1"/>
  <c r="AB28" i="28"/>
  <c r="AC28" i="28" s="1"/>
  <c r="J6" i="28"/>
  <c r="X6" i="28" s="1"/>
  <c r="J9" i="28"/>
  <c r="P9" i="28" s="1"/>
  <c r="AB14" i="28"/>
  <c r="AC14" i="28" s="1"/>
  <c r="J18" i="28"/>
  <c r="L18" i="28" s="1"/>
  <c r="AB24" i="28"/>
  <c r="AC24" i="28" s="1"/>
  <c r="J29" i="28"/>
  <c r="L29" i="28" s="1"/>
  <c r="J26" i="28"/>
  <c r="N26" i="28" s="1"/>
  <c r="J13" i="28"/>
  <c r="M13" i="28" s="1"/>
  <c r="J10" i="28"/>
  <c r="O10" i="28" s="1"/>
  <c r="J17" i="28"/>
  <c r="N17" i="28" s="1"/>
  <c r="AB26" i="28"/>
  <c r="AC26" i="28" s="1"/>
  <c r="O7" i="28"/>
  <c r="AB18" i="28"/>
  <c r="AC18" i="28" s="1"/>
  <c r="AB21" i="28"/>
  <c r="AC21" i="28" s="1"/>
  <c r="AB29" i="28"/>
  <c r="AC29" i="28" s="1"/>
  <c r="M18" i="28"/>
  <c r="O33" i="28"/>
  <c r="N33" i="28"/>
  <c r="M33" i="28"/>
  <c r="P33" i="28"/>
  <c r="L33" i="28"/>
  <c r="J32" i="28"/>
  <c r="AB32" i="28"/>
  <c r="AC32" i="28" s="1"/>
  <c r="AB33" i="28"/>
  <c r="AC33" i="28" s="1"/>
  <c r="J31" i="28"/>
  <c r="J27" i="28"/>
  <c r="J23" i="28"/>
  <c r="J19" i="28"/>
  <c r="J15" i="28"/>
  <c r="J12" i="28"/>
  <c r="J8" i="28"/>
  <c r="J34" i="28"/>
  <c r="AB34" i="28"/>
  <c r="AC34" i="28" s="1"/>
  <c r="AB38" i="28"/>
  <c r="AC38" i="28" s="1"/>
  <c r="AB35" i="28"/>
  <c r="AC35" i="28" s="1"/>
  <c r="AB31" i="28"/>
  <c r="AC31" i="28" s="1"/>
  <c r="AB27" i="28"/>
  <c r="AC27" i="28" s="1"/>
  <c r="AB23" i="28"/>
  <c r="AC23" i="28" s="1"/>
  <c r="AB19" i="28"/>
  <c r="AC19" i="28" s="1"/>
  <c r="AB15" i="28"/>
  <c r="AC15" i="28" s="1"/>
  <c r="AB12" i="28"/>
  <c r="AC12" i="28" s="1"/>
  <c r="AB8" i="28"/>
  <c r="AC8" i="28" s="1"/>
  <c r="AB36" i="28"/>
  <c r="AC36" i="28" s="1"/>
  <c r="K6" i="28"/>
  <c r="J14" i="28"/>
  <c r="M17" i="28"/>
  <c r="AB17" i="28"/>
  <c r="AC17" i="28" s="1"/>
  <c r="N22" i="28"/>
  <c r="AB22" i="28"/>
  <c r="AC22" i="28" s="1"/>
  <c r="J25" i="28"/>
  <c r="J30" i="28"/>
  <c r="I36" i="28"/>
  <c r="I60" i="27"/>
  <c r="I53" i="27"/>
  <c r="H47" i="27"/>
  <c r="P46" i="27"/>
  <c r="O46" i="27"/>
  <c r="N46" i="27"/>
  <c r="M46" i="27"/>
  <c r="L46" i="27"/>
  <c r="H46" i="27"/>
  <c r="Q39" i="27"/>
  <c r="H39" i="27"/>
  <c r="AB9" i="27" s="1"/>
  <c r="AC9" i="27" s="1"/>
  <c r="P37" i="27"/>
  <c r="O37" i="27"/>
  <c r="N37" i="27"/>
  <c r="M37" i="27"/>
  <c r="L37" i="27"/>
  <c r="P35" i="27"/>
  <c r="O35" i="27"/>
  <c r="N35" i="27"/>
  <c r="M35" i="27"/>
  <c r="L35" i="27"/>
  <c r="I34" i="27"/>
  <c r="J31" i="27" s="1"/>
  <c r="AA14" i="27"/>
  <c r="Q14" i="27"/>
  <c r="P14" i="27"/>
  <c r="O14" i="27"/>
  <c r="N14" i="27"/>
  <c r="M14" i="27"/>
  <c r="L14" i="27"/>
  <c r="V21" i="30" l="1"/>
  <c r="AC39" i="30"/>
  <c r="AC40" i="30" s="1"/>
  <c r="S6" i="30"/>
  <c r="S21" i="30"/>
  <c r="Y6" i="30"/>
  <c r="S22" i="30"/>
  <c r="T22" i="30"/>
  <c r="V22" i="30"/>
  <c r="X22" i="30"/>
  <c r="R22" i="30"/>
  <c r="U22" i="30"/>
  <c r="W22" i="30"/>
  <c r="Y22" i="30"/>
  <c r="Z22" i="30"/>
  <c r="Z6" i="30"/>
  <c r="U6" i="30"/>
  <c r="T6" i="30"/>
  <c r="V6" i="30"/>
  <c r="X21" i="30"/>
  <c r="R21" i="30"/>
  <c r="Y21" i="30"/>
  <c r="W21" i="30"/>
  <c r="P39" i="30"/>
  <c r="P40" i="30" s="1"/>
  <c r="R29" i="30"/>
  <c r="Z29" i="30"/>
  <c r="S29" i="30"/>
  <c r="T29" i="30"/>
  <c r="U29" i="30"/>
  <c r="V29" i="30"/>
  <c r="W29" i="30"/>
  <c r="X29" i="30"/>
  <c r="Y29" i="30"/>
  <c r="Y15" i="30"/>
  <c r="R15" i="30"/>
  <c r="Z15" i="30"/>
  <c r="S15" i="30"/>
  <c r="T15" i="30"/>
  <c r="U15" i="30"/>
  <c r="V15" i="30"/>
  <c r="X15" i="30"/>
  <c r="W15" i="30"/>
  <c r="R36" i="30"/>
  <c r="Z36" i="30"/>
  <c r="S36" i="30"/>
  <c r="T36" i="30"/>
  <c r="U36" i="30"/>
  <c r="V36" i="30"/>
  <c r="Y36" i="30"/>
  <c r="W36" i="30"/>
  <c r="X36" i="30"/>
  <c r="X8" i="30"/>
  <c r="Y8" i="30"/>
  <c r="R8" i="30"/>
  <c r="Z8" i="30"/>
  <c r="S8" i="30"/>
  <c r="T8" i="30"/>
  <c r="W8" i="30"/>
  <c r="U8" i="30"/>
  <c r="V8" i="30"/>
  <c r="O39" i="30"/>
  <c r="O40" i="30" s="1"/>
  <c r="V32" i="30"/>
  <c r="W32" i="30"/>
  <c r="U32" i="30"/>
  <c r="X32" i="30"/>
  <c r="Y32" i="30"/>
  <c r="R32" i="30"/>
  <c r="Z32" i="30"/>
  <c r="S32" i="30"/>
  <c r="T32" i="30"/>
  <c r="S28" i="30"/>
  <c r="T28" i="30"/>
  <c r="U28" i="30"/>
  <c r="V28" i="30"/>
  <c r="W28" i="30"/>
  <c r="X28" i="30"/>
  <c r="Z28" i="30"/>
  <c r="Y28" i="30"/>
  <c r="R28" i="30"/>
  <c r="U18" i="30"/>
  <c r="V18" i="30"/>
  <c r="W18" i="30"/>
  <c r="X18" i="30"/>
  <c r="Y18" i="30"/>
  <c r="R18" i="30"/>
  <c r="Z18" i="30"/>
  <c r="T18" i="30"/>
  <c r="S18" i="30"/>
  <c r="M39" i="30"/>
  <c r="M40" i="30" s="1"/>
  <c r="W16" i="30"/>
  <c r="X16" i="30"/>
  <c r="Y16" i="30"/>
  <c r="R16" i="30"/>
  <c r="Z16" i="30"/>
  <c r="S16" i="30"/>
  <c r="T16" i="30"/>
  <c r="V16" i="30"/>
  <c r="U16" i="30"/>
  <c r="T27" i="30"/>
  <c r="U27" i="30"/>
  <c r="V27" i="30"/>
  <c r="W27" i="30"/>
  <c r="X27" i="30"/>
  <c r="Y27" i="30"/>
  <c r="S27" i="30"/>
  <c r="R27" i="30"/>
  <c r="Z27" i="30"/>
  <c r="Y37" i="30"/>
  <c r="R37" i="30"/>
  <c r="Z37" i="30"/>
  <c r="S37" i="30"/>
  <c r="T37" i="30"/>
  <c r="X37" i="30"/>
  <c r="U37" i="30"/>
  <c r="V37" i="30"/>
  <c r="W37" i="30"/>
  <c r="Y30" i="30"/>
  <c r="R30" i="30"/>
  <c r="Z30" i="30"/>
  <c r="S30" i="30"/>
  <c r="T30" i="30"/>
  <c r="U30" i="30"/>
  <c r="V30" i="30"/>
  <c r="X30" i="30"/>
  <c r="W30" i="30"/>
  <c r="X23" i="30"/>
  <c r="Y23" i="30"/>
  <c r="R23" i="30"/>
  <c r="Z23" i="30"/>
  <c r="S23" i="30"/>
  <c r="T23" i="30"/>
  <c r="U23" i="30"/>
  <c r="V23" i="30"/>
  <c r="W23" i="30"/>
  <c r="T19" i="30"/>
  <c r="U19" i="30"/>
  <c r="V19" i="30"/>
  <c r="W19" i="30"/>
  <c r="X19" i="30"/>
  <c r="Y19" i="30"/>
  <c r="R19" i="30"/>
  <c r="Z19" i="30"/>
  <c r="S19" i="30"/>
  <c r="V11" i="30"/>
  <c r="U11" i="30"/>
  <c r="W11" i="30"/>
  <c r="X11" i="30"/>
  <c r="Y11" i="30"/>
  <c r="R11" i="30"/>
  <c r="Z11" i="30"/>
  <c r="S11" i="30"/>
  <c r="T11" i="30"/>
  <c r="S35" i="30"/>
  <c r="R35" i="30"/>
  <c r="T35" i="30"/>
  <c r="U35" i="30"/>
  <c r="V35" i="30"/>
  <c r="W35" i="30"/>
  <c r="X35" i="30"/>
  <c r="Z35" i="30"/>
  <c r="Y35" i="30"/>
  <c r="W31" i="30"/>
  <c r="X31" i="30"/>
  <c r="Y31" i="30"/>
  <c r="R31" i="30"/>
  <c r="Z31" i="30"/>
  <c r="S31" i="30"/>
  <c r="T31" i="30"/>
  <c r="V31" i="30"/>
  <c r="U31" i="30"/>
  <c r="T13" i="30"/>
  <c r="U13" i="30"/>
  <c r="S13" i="30"/>
  <c r="V13" i="30"/>
  <c r="W13" i="30"/>
  <c r="X13" i="30"/>
  <c r="Y13" i="30"/>
  <c r="R13" i="30"/>
  <c r="Z13" i="30"/>
  <c r="U12" i="30"/>
  <c r="V12" i="30"/>
  <c r="W12" i="30"/>
  <c r="T12" i="30"/>
  <c r="X12" i="30"/>
  <c r="Y12" i="30"/>
  <c r="R12" i="30"/>
  <c r="Z12" i="30"/>
  <c r="S12" i="30"/>
  <c r="Y9" i="30"/>
  <c r="R9" i="30"/>
  <c r="Z9" i="30"/>
  <c r="S9" i="30"/>
  <c r="T9" i="30"/>
  <c r="U9" i="30"/>
  <c r="V9" i="30"/>
  <c r="W9" i="30"/>
  <c r="X9" i="30"/>
  <c r="W24" i="30"/>
  <c r="X24" i="30"/>
  <c r="Y24" i="30"/>
  <c r="R24" i="30"/>
  <c r="Z24" i="30"/>
  <c r="S24" i="30"/>
  <c r="T24" i="30"/>
  <c r="V24" i="30"/>
  <c r="U24" i="30"/>
  <c r="S14" i="30"/>
  <c r="T14" i="30"/>
  <c r="U14" i="30"/>
  <c r="V14" i="30"/>
  <c r="W14" i="30"/>
  <c r="X14" i="30"/>
  <c r="Z14" i="30"/>
  <c r="Y14" i="30"/>
  <c r="R14" i="30"/>
  <c r="V25" i="30"/>
  <c r="W25" i="30"/>
  <c r="X25" i="30"/>
  <c r="Y25" i="30"/>
  <c r="R25" i="30"/>
  <c r="Z25" i="30"/>
  <c r="S25" i="30"/>
  <c r="T25" i="30"/>
  <c r="U25" i="30"/>
  <c r="N39" i="30"/>
  <c r="N40" i="30" s="1"/>
  <c r="R7" i="30"/>
  <c r="Z7" i="30"/>
  <c r="S7" i="30"/>
  <c r="T7" i="30"/>
  <c r="U7" i="30"/>
  <c r="V7" i="30"/>
  <c r="W7" i="30"/>
  <c r="Y7" i="30"/>
  <c r="X7" i="30"/>
  <c r="U26" i="30"/>
  <c r="V26" i="30"/>
  <c r="W26" i="30"/>
  <c r="X26" i="30"/>
  <c r="Y26" i="30"/>
  <c r="R26" i="30"/>
  <c r="Z26" i="30"/>
  <c r="S26" i="30"/>
  <c r="T26" i="30"/>
  <c r="V17" i="30"/>
  <c r="W17" i="30"/>
  <c r="X17" i="30"/>
  <c r="Y17" i="30"/>
  <c r="R17" i="30"/>
  <c r="Z17" i="30"/>
  <c r="S17" i="30"/>
  <c r="T17" i="30"/>
  <c r="U17" i="30"/>
  <c r="T34" i="30"/>
  <c r="U34" i="30"/>
  <c r="V34" i="30"/>
  <c r="W34" i="30"/>
  <c r="X34" i="30"/>
  <c r="Y34" i="30"/>
  <c r="R34" i="30"/>
  <c r="Z34" i="30"/>
  <c r="S34" i="30"/>
  <c r="S20" i="30"/>
  <c r="T20" i="30"/>
  <c r="V20" i="30"/>
  <c r="W20" i="30"/>
  <c r="X20" i="30"/>
  <c r="R20" i="30"/>
  <c r="Y20" i="30"/>
  <c r="Z20" i="30"/>
  <c r="K39" i="30"/>
  <c r="W10" i="30"/>
  <c r="X10" i="30"/>
  <c r="Y10" i="30"/>
  <c r="R10" i="30"/>
  <c r="Z10" i="30"/>
  <c r="V10" i="30"/>
  <c r="S10" i="30"/>
  <c r="T10" i="30"/>
  <c r="U10" i="30"/>
  <c r="L39" i="30"/>
  <c r="L40" i="30" s="1"/>
  <c r="N21" i="28"/>
  <c r="P16" i="28"/>
  <c r="M29" i="28"/>
  <c r="N29" i="28"/>
  <c r="N7" i="29"/>
  <c r="M29" i="29"/>
  <c r="M6" i="29"/>
  <c r="M21" i="29"/>
  <c r="O13" i="29"/>
  <c r="L33" i="29"/>
  <c r="N21" i="29"/>
  <c r="W6" i="29"/>
  <c r="L6" i="29"/>
  <c r="O6" i="29"/>
  <c r="M25" i="29"/>
  <c r="P29" i="29"/>
  <c r="S6" i="29"/>
  <c r="X6" i="29"/>
  <c r="L25" i="29"/>
  <c r="O33" i="29"/>
  <c r="V6" i="29"/>
  <c r="P6" i="29"/>
  <c r="Y6" i="29"/>
  <c r="L29" i="29"/>
  <c r="T6" i="29"/>
  <c r="O24" i="29"/>
  <c r="K30" i="29"/>
  <c r="U30" i="29" s="1"/>
  <c r="K32" i="29"/>
  <c r="S32" i="29" s="1"/>
  <c r="N18" i="29"/>
  <c r="K36" i="29"/>
  <c r="W36" i="29" s="1"/>
  <c r="K22" i="29"/>
  <c r="V22" i="29" s="1"/>
  <c r="K21" i="29"/>
  <c r="U21" i="29" s="1"/>
  <c r="K18" i="29"/>
  <c r="T18" i="29" s="1"/>
  <c r="K13" i="29"/>
  <c r="X13" i="29" s="1"/>
  <c r="P10" i="29"/>
  <c r="K25" i="29"/>
  <c r="U25" i="29" s="1"/>
  <c r="K8" i="29"/>
  <c r="X8" i="29" s="1"/>
  <c r="N10" i="29"/>
  <c r="M16" i="29"/>
  <c r="K37" i="29"/>
  <c r="Z37" i="29" s="1"/>
  <c r="K35" i="29"/>
  <c r="T35" i="29" s="1"/>
  <c r="K10" i="29"/>
  <c r="Y10" i="29" s="1"/>
  <c r="K23" i="29"/>
  <c r="T23" i="29" s="1"/>
  <c r="O10" i="29"/>
  <c r="L18" i="29"/>
  <c r="O16" i="29"/>
  <c r="O21" i="29"/>
  <c r="L17" i="29"/>
  <c r="M9" i="29"/>
  <c r="M26" i="29"/>
  <c r="L26" i="29"/>
  <c r="L9" i="29"/>
  <c r="N9" i="29"/>
  <c r="M28" i="29"/>
  <c r="O9" i="29"/>
  <c r="N17" i="29"/>
  <c r="P11" i="29"/>
  <c r="P20" i="29"/>
  <c r="L20" i="29"/>
  <c r="M17" i="29"/>
  <c r="L21" i="29"/>
  <c r="O17" i="29"/>
  <c r="N20" i="29"/>
  <c r="P7" i="29"/>
  <c r="O7" i="29"/>
  <c r="L16" i="29"/>
  <c r="N16" i="29"/>
  <c r="L11" i="29"/>
  <c r="K12" i="29"/>
  <c r="S12" i="29" s="1"/>
  <c r="M11" i="29"/>
  <c r="K33" i="29"/>
  <c r="W33" i="29" s="1"/>
  <c r="K15" i="29"/>
  <c r="W15" i="29" s="1"/>
  <c r="K24" i="29"/>
  <c r="W24" i="29" s="1"/>
  <c r="N11" i="29"/>
  <c r="M33" i="29"/>
  <c r="P28" i="29"/>
  <c r="N28" i="29"/>
  <c r="L28" i="29"/>
  <c r="O30" i="29"/>
  <c r="P30" i="29"/>
  <c r="K29" i="29"/>
  <c r="V29" i="29" s="1"/>
  <c r="K20" i="29"/>
  <c r="Y20" i="29" s="1"/>
  <c r="O18" i="29"/>
  <c r="N30" i="29"/>
  <c r="K26" i="29"/>
  <c r="T26" i="29" s="1"/>
  <c r="K19" i="29"/>
  <c r="T19" i="29" s="1"/>
  <c r="N33" i="29"/>
  <c r="O22" i="29"/>
  <c r="P22" i="29"/>
  <c r="AC39" i="29"/>
  <c r="K16" i="29"/>
  <c r="K9" i="29"/>
  <c r="K7" i="29"/>
  <c r="K11" i="29"/>
  <c r="J39" i="29"/>
  <c r="K14" i="29"/>
  <c r="W14" i="29" s="1"/>
  <c r="K34" i="29"/>
  <c r="Z34" i="29" s="1"/>
  <c r="K27" i="29"/>
  <c r="Z27" i="29" s="1"/>
  <c r="O26" i="29"/>
  <c r="P26" i="29"/>
  <c r="P24" i="29"/>
  <c r="L24" i="29"/>
  <c r="N24" i="29"/>
  <c r="R36" i="29"/>
  <c r="Y36" i="29"/>
  <c r="T28" i="29"/>
  <c r="S28" i="29"/>
  <c r="Z28" i="29"/>
  <c r="R28" i="29"/>
  <c r="X28" i="29"/>
  <c r="Y28" i="29"/>
  <c r="W28" i="29"/>
  <c r="V28" i="29"/>
  <c r="U28" i="29"/>
  <c r="V34" i="29"/>
  <c r="M19" i="29"/>
  <c r="L19" i="29"/>
  <c r="O19" i="29"/>
  <c r="N19" i="29"/>
  <c r="P19" i="29"/>
  <c r="Z17" i="29"/>
  <c r="R17" i="29"/>
  <c r="Y17" i="29"/>
  <c r="X17" i="29"/>
  <c r="W17" i="29"/>
  <c r="V17" i="29"/>
  <c r="T17" i="29"/>
  <c r="S17" i="29"/>
  <c r="U17" i="29"/>
  <c r="W22" i="29"/>
  <c r="V31" i="29"/>
  <c r="U31" i="29"/>
  <c r="T31" i="29"/>
  <c r="S31" i="29"/>
  <c r="Z31" i="29"/>
  <c r="R31" i="29"/>
  <c r="Y31" i="29"/>
  <c r="X31" i="29"/>
  <c r="W31" i="29"/>
  <c r="AB39" i="29"/>
  <c r="S14" i="29"/>
  <c r="Z21" i="29"/>
  <c r="R21" i="29"/>
  <c r="Y21" i="29"/>
  <c r="X21" i="29"/>
  <c r="W21" i="29"/>
  <c r="V21" i="29"/>
  <c r="T21" i="29"/>
  <c r="S21" i="29"/>
  <c r="W18" i="29"/>
  <c r="U18" i="29"/>
  <c r="Z18" i="29"/>
  <c r="V37" i="29"/>
  <c r="U37" i="29"/>
  <c r="T37" i="29"/>
  <c r="S37" i="29"/>
  <c r="R37" i="29"/>
  <c r="Y37" i="29"/>
  <c r="X37" i="29"/>
  <c r="W37" i="29"/>
  <c r="O12" i="29"/>
  <c r="P12" i="29"/>
  <c r="N12" i="29"/>
  <c r="M12" i="29"/>
  <c r="L12" i="29"/>
  <c r="R24" i="29"/>
  <c r="X24" i="29"/>
  <c r="V24" i="29"/>
  <c r="M31" i="29"/>
  <c r="L31" i="29"/>
  <c r="P31" i="29"/>
  <c r="O31" i="29"/>
  <c r="N31" i="29"/>
  <c r="Y27" i="29"/>
  <c r="X27" i="29"/>
  <c r="M27" i="29"/>
  <c r="L27" i="29"/>
  <c r="P27" i="29"/>
  <c r="O27" i="29"/>
  <c r="N27" i="29"/>
  <c r="O15" i="29"/>
  <c r="P15" i="29"/>
  <c r="N15" i="29"/>
  <c r="M15" i="29"/>
  <c r="L15" i="29"/>
  <c r="S8" i="29"/>
  <c r="Y8" i="29"/>
  <c r="Z8" i="29"/>
  <c r="U35" i="29"/>
  <c r="S35" i="29"/>
  <c r="X35" i="29"/>
  <c r="V35" i="29"/>
  <c r="Y29" i="29"/>
  <c r="W29" i="29"/>
  <c r="U29" i="29"/>
  <c r="Z12" i="29"/>
  <c r="R20" i="29"/>
  <c r="R13" i="29"/>
  <c r="Y13" i="29"/>
  <c r="S13" i="29"/>
  <c r="R15" i="29"/>
  <c r="X15" i="29"/>
  <c r="M23" i="29"/>
  <c r="L23" i="29"/>
  <c r="P23" i="29"/>
  <c r="O23" i="29"/>
  <c r="N23" i="29"/>
  <c r="V19" i="29"/>
  <c r="U19" i="29"/>
  <c r="X19" i="29"/>
  <c r="Y19" i="29"/>
  <c r="W19" i="29"/>
  <c r="O8" i="29"/>
  <c r="L8" i="29"/>
  <c r="M8" i="29"/>
  <c r="P8" i="29"/>
  <c r="N8" i="29"/>
  <c r="W10" i="29"/>
  <c r="T10" i="29"/>
  <c r="Z10" i="29"/>
  <c r="W30" i="29"/>
  <c r="V30" i="29"/>
  <c r="V23" i="29"/>
  <c r="U23" i="29"/>
  <c r="W23" i="29"/>
  <c r="T32" i="29"/>
  <c r="U32" i="29"/>
  <c r="O17" i="28"/>
  <c r="N7" i="28"/>
  <c r="M26" i="28"/>
  <c r="N18" i="28"/>
  <c r="O22" i="28"/>
  <c r="O16" i="28"/>
  <c r="P7" i="28"/>
  <c r="L11" i="28"/>
  <c r="L7" i="28"/>
  <c r="M11" i="28"/>
  <c r="M7" i="28"/>
  <c r="O13" i="28"/>
  <c r="O18" i="28"/>
  <c r="O24" i="28"/>
  <c r="L22" i="28"/>
  <c r="P18" i="28"/>
  <c r="M22" i="28"/>
  <c r="L21" i="28"/>
  <c r="O29" i="28"/>
  <c r="O21" i="28"/>
  <c r="L28" i="28"/>
  <c r="P24" i="28"/>
  <c r="N16" i="28"/>
  <c r="P29" i="28"/>
  <c r="M20" i="28"/>
  <c r="T6" i="28"/>
  <c r="L10" i="28"/>
  <c r="N28" i="28"/>
  <c r="N20" i="28"/>
  <c r="P26" i="28"/>
  <c r="P10" i="28"/>
  <c r="P20" i="28"/>
  <c r="P21" i="28"/>
  <c r="M16" i="28"/>
  <c r="L26" i="28"/>
  <c r="O20" i="28"/>
  <c r="Z6" i="28"/>
  <c r="Y6" i="28"/>
  <c r="L17" i="28"/>
  <c r="P17" i="28"/>
  <c r="L9" i="28"/>
  <c r="O9" i="28"/>
  <c r="N9" i="28"/>
  <c r="J39" i="28"/>
  <c r="W6" i="28"/>
  <c r="O28" i="28"/>
  <c r="N24" i="28"/>
  <c r="L24" i="28"/>
  <c r="M10" i="28"/>
  <c r="O6" i="28"/>
  <c r="M28" i="28"/>
  <c r="N6" i="28"/>
  <c r="M6" i="28"/>
  <c r="L6" i="28"/>
  <c r="N10" i="28"/>
  <c r="U6" i="28"/>
  <c r="P6" i="28"/>
  <c r="S6" i="28"/>
  <c r="V6" i="28"/>
  <c r="R6" i="28"/>
  <c r="L13" i="28"/>
  <c r="N13" i="28"/>
  <c r="M9" i="28"/>
  <c r="O26" i="28"/>
  <c r="P13" i="28"/>
  <c r="P11" i="28"/>
  <c r="O11" i="28"/>
  <c r="O19" i="28"/>
  <c r="P19" i="28"/>
  <c r="N19" i="28"/>
  <c r="L19" i="28"/>
  <c r="M19" i="28"/>
  <c r="AB39" i="28"/>
  <c r="O27" i="28"/>
  <c r="M27" i="28"/>
  <c r="P27" i="28"/>
  <c r="L27" i="28"/>
  <c r="N27" i="28"/>
  <c r="AC39" i="28"/>
  <c r="O25" i="28"/>
  <c r="N25" i="28"/>
  <c r="M25" i="28"/>
  <c r="P25" i="28"/>
  <c r="L25" i="28"/>
  <c r="O8" i="28"/>
  <c r="P8" i="28"/>
  <c r="N8" i="28"/>
  <c r="M8" i="28"/>
  <c r="L8" i="28"/>
  <c r="O12" i="28"/>
  <c r="P12" i="28"/>
  <c r="N12" i="28"/>
  <c r="M12" i="28"/>
  <c r="L12" i="28"/>
  <c r="O15" i="28"/>
  <c r="L15" i="28"/>
  <c r="P15" i="28"/>
  <c r="N15" i="28"/>
  <c r="M15" i="28"/>
  <c r="K35" i="28"/>
  <c r="K31" i="28"/>
  <c r="K27" i="28"/>
  <c r="K23" i="28"/>
  <c r="K19" i="28"/>
  <c r="K15" i="28"/>
  <c r="K12" i="28"/>
  <c r="K8" i="28"/>
  <c r="K37" i="28"/>
  <c r="K34" i="28"/>
  <c r="K33" i="28"/>
  <c r="K29" i="28"/>
  <c r="K25" i="28"/>
  <c r="K21" i="28"/>
  <c r="K17" i="28"/>
  <c r="K14" i="28"/>
  <c r="K10" i="28"/>
  <c r="K20" i="28"/>
  <c r="K9" i="28"/>
  <c r="K11" i="28"/>
  <c r="K24" i="28"/>
  <c r="K22" i="28"/>
  <c r="K32" i="28"/>
  <c r="K13" i="28"/>
  <c r="K26" i="28"/>
  <c r="K16" i="28"/>
  <c r="K28" i="28"/>
  <c r="K18" i="28"/>
  <c r="K7" i="28"/>
  <c r="K36" i="28"/>
  <c r="K30" i="28"/>
  <c r="O31" i="28"/>
  <c r="P31" i="28"/>
  <c r="M31" i="28"/>
  <c r="N31" i="28"/>
  <c r="L31" i="28"/>
  <c r="O32" i="28"/>
  <c r="P32" i="28"/>
  <c r="M32" i="28"/>
  <c r="N32" i="28"/>
  <c r="L32" i="28"/>
  <c r="O23" i="28"/>
  <c r="P23" i="28"/>
  <c r="L23" i="28"/>
  <c r="N23" i="28"/>
  <c r="M23" i="28"/>
  <c r="M30" i="28"/>
  <c r="L30" i="28"/>
  <c r="P30" i="28"/>
  <c r="O30" i="28"/>
  <c r="N30" i="28"/>
  <c r="L34" i="28"/>
  <c r="P34" i="28"/>
  <c r="M34" i="28"/>
  <c r="O34" i="28"/>
  <c r="N34" i="28"/>
  <c r="AB10" i="27"/>
  <c r="AC10" i="27" s="1"/>
  <c r="AB6" i="27"/>
  <c r="AC6" i="27" s="1"/>
  <c r="J10" i="27"/>
  <c r="N10" i="27" s="1"/>
  <c r="J20" i="27"/>
  <c r="O20" i="27" s="1"/>
  <c r="J12" i="27"/>
  <c r="P12" i="27" s="1"/>
  <c r="J21" i="27"/>
  <c r="L21" i="27" s="1"/>
  <c r="J26" i="27"/>
  <c r="L26" i="27" s="1"/>
  <c r="J32" i="27"/>
  <c r="M32" i="27" s="1"/>
  <c r="J9" i="27"/>
  <c r="M9" i="27" s="1"/>
  <c r="J23" i="27"/>
  <c r="J8" i="27"/>
  <c r="P8" i="27" s="1"/>
  <c r="J16" i="27"/>
  <c r="M16" i="27" s="1"/>
  <c r="J19" i="27"/>
  <c r="J28" i="27"/>
  <c r="N28" i="27" s="1"/>
  <c r="J17" i="27"/>
  <c r="M17" i="27" s="1"/>
  <c r="J22" i="27"/>
  <c r="L22" i="27" s="1"/>
  <c r="J29" i="27"/>
  <c r="P29" i="27" s="1"/>
  <c r="J18" i="27"/>
  <c r="J6" i="27"/>
  <c r="L6" i="27" s="1"/>
  <c r="J11" i="27"/>
  <c r="L11" i="27" s="1"/>
  <c r="J13" i="27"/>
  <c r="P13" i="27" s="1"/>
  <c r="J24" i="27"/>
  <c r="N24" i="27" s="1"/>
  <c r="J27" i="27"/>
  <c r="J33" i="27"/>
  <c r="O33" i="27" s="1"/>
  <c r="J7" i="27"/>
  <c r="J14" i="27"/>
  <c r="J15" i="27"/>
  <c r="J25" i="27"/>
  <c r="N25" i="27" s="1"/>
  <c r="J30" i="27"/>
  <c r="L30" i="27" s="1"/>
  <c r="AB33" i="27"/>
  <c r="AC33" i="27" s="1"/>
  <c r="M31" i="27"/>
  <c r="L31" i="27"/>
  <c r="P31" i="27"/>
  <c r="O31" i="27"/>
  <c r="AB13" i="27"/>
  <c r="AC13" i="27" s="1"/>
  <c r="AB16" i="27"/>
  <c r="AC16" i="27" s="1"/>
  <c r="AB20" i="27"/>
  <c r="AC20" i="27" s="1"/>
  <c r="AB24" i="27"/>
  <c r="AC24" i="27" s="1"/>
  <c r="AB28" i="27"/>
  <c r="AC28" i="27" s="1"/>
  <c r="AB29" i="27"/>
  <c r="AC29" i="27" s="1"/>
  <c r="AB35" i="27"/>
  <c r="AC35" i="27" s="1"/>
  <c r="I36" i="27"/>
  <c r="K35" i="27" s="1"/>
  <c r="AB38" i="27"/>
  <c r="AC38" i="27" s="1"/>
  <c r="AB32" i="27"/>
  <c r="AC32" i="27" s="1"/>
  <c r="AB37" i="27"/>
  <c r="AC37" i="27" s="1"/>
  <c r="AB31" i="27"/>
  <c r="AC31" i="27" s="1"/>
  <c r="AB27" i="27"/>
  <c r="AC27" i="27" s="1"/>
  <c r="AB23" i="27"/>
  <c r="AC23" i="27" s="1"/>
  <c r="AB19" i="27"/>
  <c r="AC19" i="27" s="1"/>
  <c r="AB15" i="27"/>
  <c r="AC15" i="27" s="1"/>
  <c r="AB12" i="27"/>
  <c r="AC12" i="27" s="1"/>
  <c r="AB8" i="27"/>
  <c r="AC8" i="27" s="1"/>
  <c r="AB36" i="27"/>
  <c r="AC36" i="27" s="1"/>
  <c r="AB30" i="27"/>
  <c r="AC30" i="27" s="1"/>
  <c r="AB26" i="27"/>
  <c r="AC26" i="27" s="1"/>
  <c r="AB22" i="27"/>
  <c r="AC22" i="27" s="1"/>
  <c r="AB18" i="27"/>
  <c r="AC18" i="27" s="1"/>
  <c r="AB14" i="27"/>
  <c r="AC14" i="27" s="1"/>
  <c r="AB11" i="27"/>
  <c r="AC11" i="27" s="1"/>
  <c r="AB7" i="27"/>
  <c r="K6" i="27"/>
  <c r="AB17" i="27"/>
  <c r="AC17" i="27" s="1"/>
  <c r="AB21" i="27"/>
  <c r="AC21" i="27" s="1"/>
  <c r="AB25" i="27"/>
  <c r="AC25" i="27" s="1"/>
  <c r="N31" i="27"/>
  <c r="J53" i="26"/>
  <c r="S46" i="26"/>
  <c r="N58" i="25"/>
  <c r="R45" i="24"/>
  <c r="R46" i="26"/>
  <c r="P46" i="26"/>
  <c r="P45" i="26"/>
  <c r="R39" i="30" l="1"/>
  <c r="R40" i="30" s="1"/>
  <c r="Y39" i="30"/>
  <c r="Y40" i="30" s="1"/>
  <c r="U39" i="30"/>
  <c r="U40" i="30" s="1"/>
  <c r="T39" i="30"/>
  <c r="T40" i="30" s="1"/>
  <c r="W39" i="30"/>
  <c r="W40" i="30" s="1"/>
  <c r="S39" i="30"/>
  <c r="S40" i="30" s="1"/>
  <c r="Z39" i="30"/>
  <c r="Z40" i="30" s="1"/>
  <c r="X39" i="30"/>
  <c r="X40" i="30" s="1"/>
  <c r="V39" i="30"/>
  <c r="V40" i="30" s="1"/>
  <c r="P20" i="27"/>
  <c r="M25" i="27"/>
  <c r="U26" i="29"/>
  <c r="Z36" i="29"/>
  <c r="Z19" i="29"/>
  <c r="Z13" i="29"/>
  <c r="X33" i="29"/>
  <c r="V25" i="29"/>
  <c r="S36" i="29"/>
  <c r="T36" i="29"/>
  <c r="R19" i="29"/>
  <c r="Z20" i="29"/>
  <c r="R22" i="29"/>
  <c r="U36" i="29"/>
  <c r="S19" i="29"/>
  <c r="S20" i="29"/>
  <c r="W27" i="29"/>
  <c r="T22" i="29"/>
  <c r="V36" i="29"/>
  <c r="V12" i="29"/>
  <c r="X29" i="29"/>
  <c r="W35" i="29"/>
  <c r="U8" i="29"/>
  <c r="T8" i="29"/>
  <c r="Y24" i="29"/>
  <c r="V18" i="29"/>
  <c r="Y22" i="29"/>
  <c r="X22" i="29"/>
  <c r="W34" i="29"/>
  <c r="X34" i="29"/>
  <c r="R12" i="29"/>
  <c r="R29" i="29"/>
  <c r="Y35" i="29"/>
  <c r="R8" i="29"/>
  <c r="Z24" i="29"/>
  <c r="S18" i="29"/>
  <c r="X18" i="29"/>
  <c r="Z22" i="29"/>
  <c r="S34" i="29"/>
  <c r="S29" i="29"/>
  <c r="Z29" i="29"/>
  <c r="R35" i="29"/>
  <c r="V8" i="29"/>
  <c r="S24" i="29"/>
  <c r="Y18" i="29"/>
  <c r="S22" i="29"/>
  <c r="T34" i="29"/>
  <c r="T29" i="29"/>
  <c r="V33" i="29"/>
  <c r="Z35" i="29"/>
  <c r="W8" i="29"/>
  <c r="U24" i="29"/>
  <c r="T24" i="29"/>
  <c r="R18" i="29"/>
  <c r="S26" i="29"/>
  <c r="U22" i="29"/>
  <c r="U34" i="29"/>
  <c r="R33" i="29"/>
  <c r="X36" i="29"/>
  <c r="X23" i="29"/>
  <c r="X32" i="29"/>
  <c r="Y23" i="29"/>
  <c r="R30" i="29"/>
  <c r="R10" i="29"/>
  <c r="X10" i="29"/>
  <c r="T13" i="29"/>
  <c r="U20" i="29"/>
  <c r="T20" i="29"/>
  <c r="Y25" i="29"/>
  <c r="R27" i="29"/>
  <c r="X25" i="29"/>
  <c r="Y32" i="29"/>
  <c r="Z23" i="29"/>
  <c r="Z30" i="29"/>
  <c r="S10" i="29"/>
  <c r="U13" i="29"/>
  <c r="V20" i="29"/>
  <c r="R25" i="29"/>
  <c r="S27" i="29"/>
  <c r="V32" i="29"/>
  <c r="W25" i="29"/>
  <c r="X30" i="29"/>
  <c r="R32" i="29"/>
  <c r="R23" i="29"/>
  <c r="S30" i="29"/>
  <c r="U10" i="29"/>
  <c r="W13" i="29"/>
  <c r="W20" i="29"/>
  <c r="S25" i="29"/>
  <c r="Z25" i="29"/>
  <c r="T27" i="29"/>
  <c r="Z32" i="29"/>
  <c r="S23" i="29"/>
  <c r="T30" i="29"/>
  <c r="V10" i="29"/>
  <c r="V13" i="29"/>
  <c r="X20" i="29"/>
  <c r="T25" i="29"/>
  <c r="U27" i="29"/>
  <c r="Z14" i="29"/>
  <c r="W32" i="29"/>
  <c r="Y30" i="29"/>
  <c r="Y15" i="29"/>
  <c r="V27" i="29"/>
  <c r="R14" i="29"/>
  <c r="Y34" i="29"/>
  <c r="U12" i="29"/>
  <c r="T12" i="29"/>
  <c r="Y33" i="29"/>
  <c r="V26" i="29"/>
  <c r="W26" i="29"/>
  <c r="W12" i="29"/>
  <c r="S33" i="29"/>
  <c r="Z33" i="29"/>
  <c r="Y26" i="29"/>
  <c r="X26" i="29"/>
  <c r="Y12" i="29"/>
  <c r="T33" i="29"/>
  <c r="R26" i="29"/>
  <c r="X12" i="29"/>
  <c r="U33" i="29"/>
  <c r="Z26" i="29"/>
  <c r="W9" i="29"/>
  <c r="U9" i="29"/>
  <c r="S9" i="29"/>
  <c r="T9" i="29"/>
  <c r="Z9" i="29"/>
  <c r="R9" i="29"/>
  <c r="Y9" i="29"/>
  <c r="V9" i="29"/>
  <c r="X9" i="29"/>
  <c r="V16" i="29"/>
  <c r="W16" i="29"/>
  <c r="U16" i="29"/>
  <c r="T16" i="29"/>
  <c r="S16" i="29"/>
  <c r="R16" i="29"/>
  <c r="X16" i="29"/>
  <c r="Z16" i="29"/>
  <c r="Y16" i="29"/>
  <c r="P39" i="29"/>
  <c r="Z15" i="29"/>
  <c r="T14" i="29"/>
  <c r="N39" i="29"/>
  <c r="M39" i="29"/>
  <c r="S15" i="29"/>
  <c r="X14" i="29"/>
  <c r="L39" i="29"/>
  <c r="U15" i="29"/>
  <c r="T15" i="29"/>
  <c r="V14" i="29"/>
  <c r="K39" i="29"/>
  <c r="V15" i="29"/>
  <c r="U14" i="29"/>
  <c r="R34" i="29"/>
  <c r="X11" i="29"/>
  <c r="W11" i="29"/>
  <c r="T11" i="29"/>
  <c r="R11" i="29"/>
  <c r="Y11" i="29"/>
  <c r="U11" i="29"/>
  <c r="Z11" i="29"/>
  <c r="S11" i="29"/>
  <c r="V11" i="29"/>
  <c r="Y14" i="29"/>
  <c r="Y7" i="29"/>
  <c r="S7" i="29"/>
  <c r="W7" i="29"/>
  <c r="X7" i="29"/>
  <c r="R7" i="29"/>
  <c r="T7" i="29"/>
  <c r="V7" i="29"/>
  <c r="U7" i="29"/>
  <c r="Z7" i="29"/>
  <c r="O39" i="29"/>
  <c r="M39" i="28"/>
  <c r="O39" i="28"/>
  <c r="N39" i="28"/>
  <c r="L39" i="28"/>
  <c r="P39" i="28"/>
  <c r="V30" i="28"/>
  <c r="U30" i="28"/>
  <c r="Z30" i="28"/>
  <c r="R30" i="28"/>
  <c r="X30" i="28"/>
  <c r="W30" i="28"/>
  <c r="S30" i="28"/>
  <c r="T30" i="28"/>
  <c r="Y30" i="28"/>
  <c r="T15" i="28"/>
  <c r="S15" i="28"/>
  <c r="X15" i="28"/>
  <c r="Y15" i="28"/>
  <c r="W15" i="28"/>
  <c r="U15" i="28"/>
  <c r="V15" i="28"/>
  <c r="R15" i="28"/>
  <c r="Z15" i="28"/>
  <c r="V7" i="28"/>
  <c r="U7" i="28"/>
  <c r="Z7" i="28"/>
  <c r="R7" i="28"/>
  <c r="K39" i="28"/>
  <c r="W7" i="28"/>
  <c r="T7" i="28"/>
  <c r="S7" i="28"/>
  <c r="Y7" i="28"/>
  <c r="X7" i="28"/>
  <c r="Z24" i="28"/>
  <c r="R24" i="28"/>
  <c r="Y24" i="28"/>
  <c r="V24" i="28"/>
  <c r="X24" i="28"/>
  <c r="T24" i="28"/>
  <c r="W24" i="28"/>
  <c r="U24" i="28"/>
  <c r="S24" i="28"/>
  <c r="X25" i="28"/>
  <c r="W25" i="28"/>
  <c r="T25" i="28"/>
  <c r="Y25" i="28"/>
  <c r="V25" i="28"/>
  <c r="U25" i="28"/>
  <c r="S25" i="28"/>
  <c r="R25" i="28"/>
  <c r="Z25" i="28"/>
  <c r="T19" i="28"/>
  <c r="S19" i="28"/>
  <c r="X19" i="28"/>
  <c r="Z19" i="28"/>
  <c r="Y19" i="28"/>
  <c r="W19" i="28"/>
  <c r="V19" i="28"/>
  <c r="U19" i="28"/>
  <c r="R19" i="28"/>
  <c r="V18" i="28"/>
  <c r="U18" i="28"/>
  <c r="Z18" i="28"/>
  <c r="R18" i="28"/>
  <c r="W18" i="28"/>
  <c r="T18" i="28"/>
  <c r="S18" i="28"/>
  <c r="Y18" i="28"/>
  <c r="X18" i="28"/>
  <c r="V11" i="28"/>
  <c r="U11" i="28"/>
  <c r="Z11" i="28"/>
  <c r="R11" i="28"/>
  <c r="Y11" i="28"/>
  <c r="W11" i="28"/>
  <c r="X11" i="28"/>
  <c r="T11" i="28"/>
  <c r="S11" i="28"/>
  <c r="X29" i="28"/>
  <c r="W29" i="28"/>
  <c r="T29" i="28"/>
  <c r="Y29" i="28"/>
  <c r="Z29" i="28"/>
  <c r="S29" i="28"/>
  <c r="V29" i="28"/>
  <c r="U29" i="28"/>
  <c r="R29" i="28"/>
  <c r="T23" i="28"/>
  <c r="S23" i="28"/>
  <c r="X23" i="28"/>
  <c r="V23" i="28"/>
  <c r="U23" i="28"/>
  <c r="R23" i="28"/>
  <c r="Z23" i="28"/>
  <c r="Y23" i="28"/>
  <c r="W23" i="28"/>
  <c r="Z32" i="28"/>
  <c r="R32" i="28"/>
  <c r="Y32" i="28"/>
  <c r="X32" i="28"/>
  <c r="V32" i="28"/>
  <c r="S32" i="28"/>
  <c r="U32" i="28"/>
  <c r="W32" i="28"/>
  <c r="T32" i="28"/>
  <c r="X21" i="28"/>
  <c r="W21" i="28"/>
  <c r="T21" i="28"/>
  <c r="S21" i="28"/>
  <c r="R21" i="28"/>
  <c r="V21" i="28"/>
  <c r="Z21" i="28"/>
  <c r="Y21" i="28"/>
  <c r="U21" i="28"/>
  <c r="Z28" i="28"/>
  <c r="R28" i="28"/>
  <c r="Y28" i="28"/>
  <c r="V28" i="28"/>
  <c r="U28" i="28"/>
  <c r="T28" i="28"/>
  <c r="S28" i="28"/>
  <c r="X28" i="28"/>
  <c r="W28" i="28"/>
  <c r="T27" i="28"/>
  <c r="S27" i="28"/>
  <c r="X27" i="28"/>
  <c r="Z27" i="28"/>
  <c r="Y27" i="28"/>
  <c r="V27" i="28"/>
  <c r="W27" i="28"/>
  <c r="U27" i="28"/>
  <c r="R27" i="28"/>
  <c r="Z16" i="28"/>
  <c r="R16" i="28"/>
  <c r="Y16" i="28"/>
  <c r="V16" i="28"/>
  <c r="T16" i="28"/>
  <c r="S16" i="28"/>
  <c r="X16" i="28"/>
  <c r="W16" i="28"/>
  <c r="U16" i="28"/>
  <c r="Z20" i="28"/>
  <c r="R20" i="28"/>
  <c r="Y20" i="28"/>
  <c r="V20" i="28"/>
  <c r="X20" i="28"/>
  <c r="T20" i="28"/>
  <c r="W20" i="28"/>
  <c r="U20" i="28"/>
  <c r="S20" i="28"/>
  <c r="U34" i="28"/>
  <c r="T34" i="28"/>
  <c r="S34" i="28"/>
  <c r="Y34" i="28"/>
  <c r="Z34" i="28"/>
  <c r="W34" i="28"/>
  <c r="X34" i="28"/>
  <c r="V34" i="28"/>
  <c r="R34" i="28"/>
  <c r="T31" i="28"/>
  <c r="R31" i="28"/>
  <c r="S31" i="28"/>
  <c r="Z31" i="28"/>
  <c r="X31" i="28"/>
  <c r="U31" i="28"/>
  <c r="Y31" i="28"/>
  <c r="W31" i="28"/>
  <c r="V31" i="28"/>
  <c r="T12" i="28"/>
  <c r="S12" i="28"/>
  <c r="X12" i="28"/>
  <c r="V12" i="28"/>
  <c r="U12" i="28"/>
  <c r="R12" i="28"/>
  <c r="Z12" i="28"/>
  <c r="Y12" i="28"/>
  <c r="W12" i="28"/>
  <c r="W36" i="28"/>
  <c r="V36" i="28"/>
  <c r="U36" i="28"/>
  <c r="S36" i="28"/>
  <c r="Z36" i="28"/>
  <c r="R36" i="28"/>
  <c r="T36" i="28"/>
  <c r="Y36" i="28"/>
  <c r="X36" i="28"/>
  <c r="X33" i="28"/>
  <c r="V33" i="28"/>
  <c r="W33" i="28"/>
  <c r="T33" i="28"/>
  <c r="Z33" i="28"/>
  <c r="Y33" i="28"/>
  <c r="U33" i="28"/>
  <c r="S33" i="28"/>
  <c r="R33" i="28"/>
  <c r="V26" i="28"/>
  <c r="U26" i="28"/>
  <c r="Z26" i="28"/>
  <c r="R26" i="28"/>
  <c r="S26" i="28"/>
  <c r="W26" i="28"/>
  <c r="Y26" i="28"/>
  <c r="X26" i="28"/>
  <c r="T26" i="28"/>
  <c r="X10" i="28"/>
  <c r="W10" i="28"/>
  <c r="T10" i="28"/>
  <c r="S10" i="28"/>
  <c r="R10" i="28"/>
  <c r="Z10" i="28"/>
  <c r="Y10" i="28"/>
  <c r="U10" i="28"/>
  <c r="V10" i="28"/>
  <c r="V37" i="28"/>
  <c r="U37" i="28"/>
  <c r="T37" i="28"/>
  <c r="Z37" i="28"/>
  <c r="R37" i="28"/>
  <c r="Y37" i="28"/>
  <c r="X37" i="28"/>
  <c r="W37" i="28"/>
  <c r="S37" i="28"/>
  <c r="T35" i="28"/>
  <c r="S35" i="28"/>
  <c r="Z35" i="28"/>
  <c r="R35" i="28"/>
  <c r="X35" i="28"/>
  <c r="W35" i="28"/>
  <c r="Y35" i="28"/>
  <c r="U35" i="28"/>
  <c r="V35" i="28"/>
  <c r="X17" i="28"/>
  <c r="W17" i="28"/>
  <c r="T17" i="28"/>
  <c r="Z17" i="28"/>
  <c r="V17" i="28"/>
  <c r="R17" i="28"/>
  <c r="Y17" i="28"/>
  <c r="U17" i="28"/>
  <c r="S17" i="28"/>
  <c r="V22" i="28"/>
  <c r="U22" i="28"/>
  <c r="Z22" i="28"/>
  <c r="R22" i="28"/>
  <c r="Y22" i="28"/>
  <c r="X22" i="28"/>
  <c r="W22" i="28"/>
  <c r="T22" i="28"/>
  <c r="S22" i="28"/>
  <c r="Z9" i="28"/>
  <c r="R9" i="28"/>
  <c r="Y9" i="28"/>
  <c r="V9" i="28"/>
  <c r="X9" i="28"/>
  <c r="W9" i="28"/>
  <c r="T9" i="28"/>
  <c r="U9" i="28"/>
  <c r="S9" i="28"/>
  <c r="Z13" i="28"/>
  <c r="R13" i="28"/>
  <c r="Y13" i="28"/>
  <c r="V13" i="28"/>
  <c r="X13" i="28"/>
  <c r="W13" i="28"/>
  <c r="U13" i="28"/>
  <c r="T13" i="28"/>
  <c r="S13" i="28"/>
  <c r="W14" i="28"/>
  <c r="V14" i="28"/>
  <c r="S14" i="28"/>
  <c r="T14" i="28"/>
  <c r="R14" i="28"/>
  <c r="X14" i="28"/>
  <c r="Z14" i="28"/>
  <c r="Y14" i="28"/>
  <c r="U14" i="28"/>
  <c r="T8" i="28"/>
  <c r="S8" i="28"/>
  <c r="X8" i="28"/>
  <c r="Y8" i="28"/>
  <c r="Z8" i="28"/>
  <c r="W8" i="28"/>
  <c r="V8" i="28"/>
  <c r="U8" i="28"/>
  <c r="R8" i="28"/>
  <c r="N20" i="27"/>
  <c r="O13" i="27"/>
  <c r="N16" i="27"/>
  <c r="M20" i="27"/>
  <c r="P16" i="27"/>
  <c r="O16" i="27"/>
  <c r="L20" i="27"/>
  <c r="O28" i="27"/>
  <c r="L16" i="27"/>
  <c r="L25" i="27"/>
  <c r="M21" i="27"/>
  <c r="N33" i="27"/>
  <c r="L33" i="27"/>
  <c r="N21" i="27"/>
  <c r="L24" i="27"/>
  <c r="P28" i="27"/>
  <c r="L28" i="27"/>
  <c r="M29" i="27"/>
  <c r="L13" i="27"/>
  <c r="L29" i="27"/>
  <c r="P24" i="27"/>
  <c r="N29" i="27"/>
  <c r="L17" i="27"/>
  <c r="N17" i="27"/>
  <c r="M28" i="27"/>
  <c r="M13" i="27"/>
  <c r="U6" i="27"/>
  <c r="O24" i="27"/>
  <c r="M24" i="27"/>
  <c r="W6" i="27"/>
  <c r="L10" i="27"/>
  <c r="R6" i="27"/>
  <c r="J39" i="27"/>
  <c r="O9" i="27"/>
  <c r="N9" i="27"/>
  <c r="O29" i="27"/>
  <c r="X6" i="27"/>
  <c r="N6" i="27"/>
  <c r="Z6" i="27"/>
  <c r="O18" i="27"/>
  <c r="M18" i="27"/>
  <c r="P18" i="27"/>
  <c r="N18" i="27"/>
  <c r="M23" i="27"/>
  <c r="P23" i="27"/>
  <c r="O23" i="27"/>
  <c r="N23" i="27"/>
  <c r="L23" i="27"/>
  <c r="M33" i="27"/>
  <c r="O7" i="27"/>
  <c r="L7" i="27"/>
  <c r="M7" i="27"/>
  <c r="P7" i="27"/>
  <c r="N7" i="27"/>
  <c r="L27" i="27"/>
  <c r="M27" i="27"/>
  <c r="P27" i="27"/>
  <c r="O27" i="27"/>
  <c r="N27" i="27"/>
  <c r="P32" i="27"/>
  <c r="O32" i="27"/>
  <c r="L32" i="27"/>
  <c r="P17" i="27"/>
  <c r="O17" i="27"/>
  <c r="O26" i="27"/>
  <c r="P26" i="27"/>
  <c r="N26" i="27"/>
  <c r="M26" i="27"/>
  <c r="P9" i="27"/>
  <c r="P21" i="27"/>
  <c r="O21" i="27"/>
  <c r="O22" i="27"/>
  <c r="N22" i="27"/>
  <c r="M22" i="27"/>
  <c r="P22" i="27"/>
  <c r="N32" i="27"/>
  <c r="O30" i="27"/>
  <c r="M30" i="27"/>
  <c r="P30" i="27"/>
  <c r="N30" i="27"/>
  <c r="M19" i="27"/>
  <c r="O19" i="27"/>
  <c r="N19" i="27"/>
  <c r="P19" i="27"/>
  <c r="L19" i="27"/>
  <c r="M12" i="27"/>
  <c r="O12" i="27"/>
  <c r="N12" i="27"/>
  <c r="L12" i="27"/>
  <c r="P33" i="27"/>
  <c r="L9" i="27"/>
  <c r="N13" i="27"/>
  <c r="O25" i="27"/>
  <c r="P25" i="27"/>
  <c r="O11" i="27"/>
  <c r="M11" i="27"/>
  <c r="N11" i="27"/>
  <c r="P11" i="27"/>
  <c r="L18" i="27"/>
  <c r="M15" i="27"/>
  <c r="L15" i="27"/>
  <c r="P15" i="27"/>
  <c r="O15" i="27"/>
  <c r="N15" i="27"/>
  <c r="M6" i="27"/>
  <c r="O6" i="27"/>
  <c r="Y6" i="27"/>
  <c r="V6" i="27"/>
  <c r="T6" i="27"/>
  <c r="S6" i="27"/>
  <c r="P6" i="27"/>
  <c r="M8" i="27"/>
  <c r="O8" i="27"/>
  <c r="N8" i="27"/>
  <c r="L8" i="27"/>
  <c r="P10" i="27"/>
  <c r="O10" i="27"/>
  <c r="M10" i="27"/>
  <c r="U35" i="27"/>
  <c r="T35" i="27"/>
  <c r="Z35" i="27"/>
  <c r="R35" i="27"/>
  <c r="Y35" i="27"/>
  <c r="X35" i="27"/>
  <c r="W35" i="27"/>
  <c r="S35" i="27"/>
  <c r="V35" i="27"/>
  <c r="AB39" i="27"/>
  <c r="AC7" i="27"/>
  <c r="AC39" i="27" s="1"/>
  <c r="K32" i="27"/>
  <c r="K28" i="27"/>
  <c r="K24" i="27"/>
  <c r="K20" i="27"/>
  <c r="K16" i="27"/>
  <c r="K13" i="27"/>
  <c r="K9" i="27"/>
  <c r="K34" i="27"/>
  <c r="K36" i="27"/>
  <c r="K33" i="27"/>
  <c r="K29" i="27"/>
  <c r="K12" i="27"/>
  <c r="K10" i="27"/>
  <c r="K7" i="27"/>
  <c r="K31" i="27"/>
  <c r="K30" i="27"/>
  <c r="K27" i="27"/>
  <c r="K25" i="27"/>
  <c r="K23" i="27"/>
  <c r="K21" i="27"/>
  <c r="K19" i="27"/>
  <c r="K17" i="27"/>
  <c r="K15" i="27"/>
  <c r="K14" i="27"/>
  <c r="K8" i="27"/>
  <c r="K26" i="27"/>
  <c r="K22" i="27"/>
  <c r="K11" i="27"/>
  <c r="K18" i="27"/>
  <c r="K37" i="27"/>
  <c r="Q45" i="24"/>
  <c r="X39" i="29" l="1"/>
  <c r="Z39" i="29"/>
  <c r="W39" i="29"/>
  <c r="S39" i="29"/>
  <c r="R39" i="29"/>
  <c r="V39" i="29"/>
  <c r="T39" i="29"/>
  <c r="Y39" i="29"/>
  <c r="U39" i="29"/>
  <c r="S39" i="28"/>
  <c r="W39" i="28"/>
  <c r="T39" i="28"/>
  <c r="R39" i="28"/>
  <c r="Z39" i="28"/>
  <c r="X39" i="28"/>
  <c r="U39" i="28"/>
  <c r="Y39" i="28"/>
  <c r="V39" i="28"/>
  <c r="M39" i="27"/>
  <c r="N39" i="27"/>
  <c r="L39" i="27"/>
  <c r="O39" i="27"/>
  <c r="P39" i="27"/>
  <c r="X18" i="27"/>
  <c r="U18" i="27"/>
  <c r="S18" i="27"/>
  <c r="T18" i="27"/>
  <c r="Y18" i="27"/>
  <c r="R18" i="27"/>
  <c r="Z18" i="27"/>
  <c r="W18" i="27"/>
  <c r="V18" i="27"/>
  <c r="X11" i="27"/>
  <c r="U11" i="27"/>
  <c r="S11" i="27"/>
  <c r="R11" i="27"/>
  <c r="W11" i="27"/>
  <c r="Y11" i="27"/>
  <c r="Z11" i="27"/>
  <c r="V11" i="27"/>
  <c r="T11" i="27"/>
  <c r="T16" i="27"/>
  <c r="Y16" i="27"/>
  <c r="W16" i="27"/>
  <c r="S16" i="27"/>
  <c r="X16" i="27"/>
  <c r="R16" i="27"/>
  <c r="Z16" i="27"/>
  <c r="V16" i="27"/>
  <c r="U16" i="27"/>
  <c r="T20" i="27"/>
  <c r="Y20" i="27"/>
  <c r="W20" i="27"/>
  <c r="S20" i="27"/>
  <c r="X20" i="27"/>
  <c r="R20" i="27"/>
  <c r="Z20" i="27"/>
  <c r="V20" i="27"/>
  <c r="U20" i="27"/>
  <c r="Z33" i="27"/>
  <c r="R33" i="27"/>
  <c r="Y33" i="27"/>
  <c r="W33" i="27"/>
  <c r="V33" i="27"/>
  <c r="U33" i="27"/>
  <c r="T33" i="27"/>
  <c r="X33" i="27"/>
  <c r="S33" i="27"/>
  <c r="Z10" i="27"/>
  <c r="R10" i="27"/>
  <c r="W10" i="27"/>
  <c r="U10" i="27"/>
  <c r="Y10" i="27"/>
  <c r="X10" i="27"/>
  <c r="V10" i="27"/>
  <c r="T10" i="27"/>
  <c r="S10" i="27"/>
  <c r="Z21" i="27"/>
  <c r="R21" i="27"/>
  <c r="W21" i="27"/>
  <c r="U21" i="27"/>
  <c r="Y21" i="27"/>
  <c r="X21" i="27"/>
  <c r="S21" i="27"/>
  <c r="V21" i="27"/>
  <c r="T21" i="27"/>
  <c r="X22" i="27"/>
  <c r="U22" i="27"/>
  <c r="S22" i="27"/>
  <c r="T22" i="27"/>
  <c r="Y22" i="27"/>
  <c r="R22" i="27"/>
  <c r="Z22" i="27"/>
  <c r="V22" i="27"/>
  <c r="W22" i="27"/>
  <c r="V23" i="27"/>
  <c r="S23" i="27"/>
  <c r="Y23" i="27"/>
  <c r="X23" i="27"/>
  <c r="W23" i="27"/>
  <c r="U23" i="27"/>
  <c r="T23" i="27"/>
  <c r="R23" i="27"/>
  <c r="Z23" i="27"/>
  <c r="T24" i="27"/>
  <c r="Y24" i="27"/>
  <c r="W24" i="27"/>
  <c r="S24" i="27"/>
  <c r="R24" i="27"/>
  <c r="X24" i="27"/>
  <c r="Z24" i="27"/>
  <c r="V24" i="27"/>
  <c r="U24" i="27"/>
  <c r="Z25" i="27"/>
  <c r="R25" i="27"/>
  <c r="W25" i="27"/>
  <c r="U25" i="27"/>
  <c r="S25" i="27"/>
  <c r="Y25" i="27"/>
  <c r="X25" i="27"/>
  <c r="V25" i="27"/>
  <c r="T25" i="27"/>
  <c r="V27" i="27"/>
  <c r="S27" i="27"/>
  <c r="Y27" i="27"/>
  <c r="W27" i="27"/>
  <c r="U27" i="27"/>
  <c r="T27" i="27"/>
  <c r="R27" i="27"/>
  <c r="Z27" i="27"/>
  <c r="X27" i="27"/>
  <c r="T32" i="27"/>
  <c r="S32" i="27"/>
  <c r="Y32" i="27"/>
  <c r="W32" i="27"/>
  <c r="V32" i="27"/>
  <c r="Z32" i="27"/>
  <c r="X32" i="27"/>
  <c r="U32" i="27"/>
  <c r="R32" i="27"/>
  <c r="V31" i="27"/>
  <c r="U31" i="27"/>
  <c r="S31" i="27"/>
  <c r="Y31" i="27"/>
  <c r="X31" i="27"/>
  <c r="Z31" i="27"/>
  <c r="W31" i="27"/>
  <c r="T31" i="27"/>
  <c r="R31" i="27"/>
  <c r="V19" i="27"/>
  <c r="S19" i="27"/>
  <c r="Y19" i="27"/>
  <c r="X19" i="27"/>
  <c r="W19" i="27"/>
  <c r="U19" i="27"/>
  <c r="Z19" i="27"/>
  <c r="T19" i="27"/>
  <c r="R19" i="27"/>
  <c r="V12" i="27"/>
  <c r="S12" i="27"/>
  <c r="Y12" i="27"/>
  <c r="X12" i="27"/>
  <c r="Z12" i="27"/>
  <c r="W12" i="27"/>
  <c r="U12" i="27"/>
  <c r="T12" i="27"/>
  <c r="R12" i="27"/>
  <c r="Z29" i="27"/>
  <c r="R29" i="27"/>
  <c r="Y29" i="27"/>
  <c r="W29" i="27"/>
  <c r="U29" i="27"/>
  <c r="T29" i="27"/>
  <c r="X29" i="27"/>
  <c r="V29" i="27"/>
  <c r="S29" i="27"/>
  <c r="X26" i="27"/>
  <c r="U26" i="27"/>
  <c r="S26" i="27"/>
  <c r="T26" i="27"/>
  <c r="R26" i="27"/>
  <c r="Y26" i="27"/>
  <c r="Z26" i="27"/>
  <c r="W26" i="27"/>
  <c r="V26" i="27"/>
  <c r="T28" i="27"/>
  <c r="Y28" i="27"/>
  <c r="W28" i="27"/>
  <c r="V28" i="27"/>
  <c r="R28" i="27"/>
  <c r="Z28" i="27"/>
  <c r="X28" i="27"/>
  <c r="U28" i="27"/>
  <c r="S28" i="27"/>
  <c r="V8" i="27"/>
  <c r="S8" i="27"/>
  <c r="Y8" i="27"/>
  <c r="W8" i="27"/>
  <c r="X8" i="27"/>
  <c r="U8" i="27"/>
  <c r="T8" i="27"/>
  <c r="R8" i="27"/>
  <c r="Z8" i="27"/>
  <c r="W36" i="27"/>
  <c r="V36" i="27"/>
  <c r="T36" i="27"/>
  <c r="S36" i="27"/>
  <c r="Z36" i="27"/>
  <c r="R36" i="27"/>
  <c r="Y36" i="27"/>
  <c r="U36" i="27"/>
  <c r="X36" i="27"/>
  <c r="Y14" i="27"/>
  <c r="V14" i="27"/>
  <c r="T14" i="27"/>
  <c r="U14" i="27"/>
  <c r="S14" i="27"/>
  <c r="R14" i="27"/>
  <c r="Z14" i="27"/>
  <c r="X14" i="27"/>
  <c r="W14" i="27"/>
  <c r="X30" i="27"/>
  <c r="W30" i="27"/>
  <c r="U30" i="27"/>
  <c r="S30" i="27"/>
  <c r="Z30" i="27"/>
  <c r="R30" i="27"/>
  <c r="Y30" i="27"/>
  <c r="V30" i="27"/>
  <c r="T30" i="27"/>
  <c r="U34" i="27"/>
  <c r="T34" i="27"/>
  <c r="Z34" i="27"/>
  <c r="R34" i="27"/>
  <c r="Y34" i="27"/>
  <c r="X34" i="27"/>
  <c r="W34" i="27"/>
  <c r="S34" i="27"/>
  <c r="V34" i="27"/>
  <c r="V15" i="27"/>
  <c r="S15" i="27"/>
  <c r="Y15" i="27"/>
  <c r="X15" i="27"/>
  <c r="W15" i="27"/>
  <c r="U15" i="27"/>
  <c r="T15" i="27"/>
  <c r="R15" i="27"/>
  <c r="Z15" i="27"/>
  <c r="T9" i="27"/>
  <c r="Y9" i="27"/>
  <c r="W9" i="27"/>
  <c r="R9" i="27"/>
  <c r="V9" i="27"/>
  <c r="Z9" i="27"/>
  <c r="X9" i="27"/>
  <c r="S9" i="27"/>
  <c r="U9" i="27"/>
  <c r="V37" i="27"/>
  <c r="U37" i="27"/>
  <c r="S37" i="27"/>
  <c r="Z37" i="27"/>
  <c r="R37" i="27"/>
  <c r="Y37" i="27"/>
  <c r="X37" i="27"/>
  <c r="T37" i="27"/>
  <c r="W37" i="27"/>
  <c r="Z17" i="27"/>
  <c r="R17" i="27"/>
  <c r="W17" i="27"/>
  <c r="U17" i="27"/>
  <c r="Y17" i="27"/>
  <c r="X17" i="27"/>
  <c r="V17" i="27"/>
  <c r="S17" i="27"/>
  <c r="T17" i="27"/>
  <c r="X7" i="27"/>
  <c r="U7" i="27"/>
  <c r="K39" i="27"/>
  <c r="S7" i="27"/>
  <c r="V7" i="27"/>
  <c r="Z7" i="27"/>
  <c r="W7" i="27"/>
  <c r="Y7" i="27"/>
  <c r="T7" i="27"/>
  <c r="R7" i="27"/>
  <c r="T13" i="27"/>
  <c r="Y13" i="27"/>
  <c r="W13" i="27"/>
  <c r="S13" i="27"/>
  <c r="R13" i="27"/>
  <c r="Z13" i="27"/>
  <c r="X13" i="27"/>
  <c r="U13" i="27"/>
  <c r="V13" i="27"/>
  <c r="J51" i="26"/>
  <c r="I51" i="26"/>
  <c r="H44" i="26"/>
  <c r="P43" i="26"/>
  <c r="O43" i="26"/>
  <c r="N43" i="26"/>
  <c r="M43" i="26"/>
  <c r="L43" i="26"/>
  <c r="P37" i="26"/>
  <c r="O37" i="26"/>
  <c r="N37" i="26"/>
  <c r="M37" i="26"/>
  <c r="L37" i="26"/>
  <c r="P35" i="26"/>
  <c r="O35" i="26"/>
  <c r="N35" i="26"/>
  <c r="M35" i="26"/>
  <c r="L35" i="26"/>
  <c r="I34" i="26"/>
  <c r="I36" i="26" s="1"/>
  <c r="K20" i="26" s="1"/>
  <c r="X20" i="26" s="1"/>
  <c r="AA14" i="26"/>
  <c r="Q14" i="26"/>
  <c r="Q39" i="26" s="1"/>
  <c r="P14" i="26"/>
  <c r="O14" i="26"/>
  <c r="N14" i="26"/>
  <c r="M14" i="26"/>
  <c r="L14" i="26"/>
  <c r="S39" i="27" l="1"/>
  <c r="T39" i="27"/>
  <c r="X39" i="27"/>
  <c r="R39" i="27"/>
  <c r="W39" i="27"/>
  <c r="Z39" i="27"/>
  <c r="U39" i="27"/>
  <c r="Y39" i="27"/>
  <c r="V39" i="27"/>
  <c r="H43" i="26"/>
  <c r="J34" i="26"/>
  <c r="J9" i="26"/>
  <c r="O9" i="26" s="1"/>
  <c r="J17" i="26"/>
  <c r="P17" i="26" s="1"/>
  <c r="J20" i="26"/>
  <c r="P20" i="26" s="1"/>
  <c r="J10" i="26"/>
  <c r="P10" i="26" s="1"/>
  <c r="J11" i="26"/>
  <c r="M11" i="26" s="1"/>
  <c r="J31" i="26"/>
  <c r="L31" i="26" s="1"/>
  <c r="J12" i="26"/>
  <c r="L12" i="26" s="1"/>
  <c r="J7" i="26"/>
  <c r="N7" i="26" s="1"/>
  <c r="J13" i="26"/>
  <c r="O13" i="26" s="1"/>
  <c r="K9" i="26"/>
  <c r="J25" i="26"/>
  <c r="P25" i="26" s="1"/>
  <c r="J6" i="26"/>
  <c r="J8" i="26"/>
  <c r="L8" i="26" s="1"/>
  <c r="J14" i="26"/>
  <c r="J15" i="26"/>
  <c r="L15" i="26" s="1"/>
  <c r="J32" i="26"/>
  <c r="P32" i="26" s="1"/>
  <c r="J19" i="26"/>
  <c r="L19" i="26" s="1"/>
  <c r="J22" i="26"/>
  <c r="N22" i="26" s="1"/>
  <c r="J27" i="26"/>
  <c r="L27" i="26" s="1"/>
  <c r="J16" i="26"/>
  <c r="O16" i="26" s="1"/>
  <c r="J24" i="26"/>
  <c r="P24" i="26" s="1"/>
  <c r="J18" i="26"/>
  <c r="N18" i="26" s="1"/>
  <c r="J26" i="26"/>
  <c r="N26" i="26" s="1"/>
  <c r="J28" i="26"/>
  <c r="P28" i="26" s="1"/>
  <c r="K16" i="26"/>
  <c r="J21" i="26"/>
  <c r="P21" i="26" s="1"/>
  <c r="J30" i="26"/>
  <c r="N30" i="26" s="1"/>
  <c r="J33" i="26"/>
  <c r="P33" i="26" s="1"/>
  <c r="J23" i="26"/>
  <c r="O23" i="26" s="1"/>
  <c r="J29" i="26"/>
  <c r="P29" i="26" s="1"/>
  <c r="V20" i="26"/>
  <c r="T20" i="26"/>
  <c r="R20" i="26"/>
  <c r="Z20" i="26"/>
  <c r="Y20" i="26"/>
  <c r="U20" i="26"/>
  <c r="W20" i="26"/>
  <c r="S20" i="26"/>
  <c r="K24" i="26"/>
  <c r="X24" i="26" s="1"/>
  <c r="K35" i="26"/>
  <c r="X35" i="26" s="1"/>
  <c r="K37" i="26"/>
  <c r="X37" i="26" s="1"/>
  <c r="K31" i="26"/>
  <c r="X31" i="26" s="1"/>
  <c r="K27" i="26"/>
  <c r="X27" i="26" s="1"/>
  <c r="K23" i="26"/>
  <c r="X23" i="26" s="1"/>
  <c r="K19" i="26"/>
  <c r="X19" i="26" s="1"/>
  <c r="K15" i="26"/>
  <c r="X15" i="26" s="1"/>
  <c r="K12" i="26"/>
  <c r="X12" i="26" s="1"/>
  <c r="K8" i="26"/>
  <c r="X8" i="26" s="1"/>
  <c r="K34" i="26"/>
  <c r="X34" i="26" s="1"/>
  <c r="K30" i="26"/>
  <c r="X30" i="26" s="1"/>
  <c r="K26" i="26"/>
  <c r="X26" i="26" s="1"/>
  <c r="K22" i="26"/>
  <c r="X22" i="26" s="1"/>
  <c r="K18" i="26"/>
  <c r="X18" i="26" s="1"/>
  <c r="K11" i="26"/>
  <c r="X11" i="26" s="1"/>
  <c r="K7" i="26"/>
  <c r="X7" i="26" s="1"/>
  <c r="K32" i="26"/>
  <c r="X32" i="26" s="1"/>
  <c r="K33" i="26"/>
  <c r="X33" i="26" s="1"/>
  <c r="K29" i="26"/>
  <c r="X29" i="26" s="1"/>
  <c r="K25" i="26"/>
  <c r="X25" i="26" s="1"/>
  <c r="K21" i="26"/>
  <c r="X21" i="26" s="1"/>
  <c r="K17" i="26"/>
  <c r="X17" i="26" s="1"/>
  <c r="K14" i="26"/>
  <c r="X14" i="26" s="1"/>
  <c r="K10" i="26"/>
  <c r="X10" i="26" s="1"/>
  <c r="K28" i="26"/>
  <c r="X28" i="26" s="1"/>
  <c r="K13" i="26"/>
  <c r="X13" i="26" s="1"/>
  <c r="H39" i="26"/>
  <c r="AB34" i="26" s="1"/>
  <c r="AC34" i="26" s="1"/>
  <c r="K36" i="26"/>
  <c r="X36" i="26" s="1"/>
  <c r="J28" i="25"/>
  <c r="S9" i="26" l="1"/>
  <c r="X9" i="26"/>
  <c r="S16" i="26"/>
  <c r="X16" i="26"/>
  <c r="R6" i="26"/>
  <c r="X6" i="26"/>
  <c r="L34" i="26"/>
  <c r="M34" i="26"/>
  <c r="N34" i="26"/>
  <c r="O34" i="26"/>
  <c r="P34" i="26"/>
  <c r="O12" i="26"/>
  <c r="O15" i="26"/>
  <c r="N10" i="26"/>
  <c r="O31" i="26"/>
  <c r="P31" i="26"/>
  <c r="N31" i="26"/>
  <c r="M24" i="26"/>
  <c r="L10" i="26"/>
  <c r="P15" i="26"/>
  <c r="O21" i="26"/>
  <c r="L11" i="26"/>
  <c r="N15" i="26"/>
  <c r="M7" i="26"/>
  <c r="N6" i="26"/>
  <c r="M10" i="26"/>
  <c r="M31" i="26"/>
  <c r="M12" i="26"/>
  <c r="U6" i="26"/>
  <c r="T6" i="26"/>
  <c r="L13" i="26"/>
  <c r="M21" i="26"/>
  <c r="P12" i="26"/>
  <c r="M15" i="26"/>
  <c r="L32" i="26"/>
  <c r="M30" i="26"/>
  <c r="P7" i="26"/>
  <c r="N12" i="26"/>
  <c r="M27" i="26"/>
  <c r="P13" i="26"/>
  <c r="N33" i="26"/>
  <c r="O33" i="26"/>
  <c r="M13" i="26"/>
  <c r="P11" i="26"/>
  <c r="M6" i="26"/>
  <c r="O10" i="26"/>
  <c r="V6" i="26"/>
  <c r="N21" i="26"/>
  <c r="M9" i="26"/>
  <c r="L17" i="26"/>
  <c r="L21" i="26"/>
  <c r="P6" i="26"/>
  <c r="Z6" i="26"/>
  <c r="L7" i="26"/>
  <c r="M28" i="26"/>
  <c r="O8" i="26"/>
  <c r="V9" i="26"/>
  <c r="N13" i="26"/>
  <c r="N8" i="26"/>
  <c r="N32" i="26"/>
  <c r="N28" i="26"/>
  <c r="L28" i="26"/>
  <c r="W6" i="26"/>
  <c r="L6" i="26"/>
  <c r="N25" i="26"/>
  <c r="L20" i="26"/>
  <c r="M8" i="26"/>
  <c r="T9" i="26"/>
  <c r="P27" i="26"/>
  <c r="Y6" i="26"/>
  <c r="O6" i="26"/>
  <c r="O28" i="26"/>
  <c r="O27" i="26"/>
  <c r="S6" i="26"/>
  <c r="P8" i="26"/>
  <c r="W9" i="26"/>
  <c r="N16" i="26"/>
  <c r="M20" i="26"/>
  <c r="U9" i="26"/>
  <c r="N9" i="26"/>
  <c r="P16" i="26"/>
  <c r="O18" i="26"/>
  <c r="O25" i="26"/>
  <c r="M18" i="26"/>
  <c r="M33" i="26"/>
  <c r="O17" i="26"/>
  <c r="O32" i="26"/>
  <c r="P30" i="26"/>
  <c r="Y9" i="26"/>
  <c r="O7" i="26"/>
  <c r="N20" i="26"/>
  <c r="N17" i="26"/>
  <c r="Z9" i="26"/>
  <c r="N11" i="26"/>
  <c r="O11" i="26"/>
  <c r="M17" i="26"/>
  <c r="P22" i="26"/>
  <c r="L30" i="26"/>
  <c r="M25" i="26"/>
  <c r="P18" i="26"/>
  <c r="R9" i="26"/>
  <c r="L9" i="26"/>
  <c r="N24" i="26"/>
  <c r="P9" i="26"/>
  <c r="O20" i="26"/>
  <c r="L25" i="26"/>
  <c r="O19" i="26"/>
  <c r="L16" i="26"/>
  <c r="O22" i="26"/>
  <c r="M22" i="26"/>
  <c r="O24" i="26"/>
  <c r="M32" i="26"/>
  <c r="M16" i="26"/>
  <c r="N27" i="26"/>
  <c r="N19" i="26"/>
  <c r="M26" i="26"/>
  <c r="M19" i="26"/>
  <c r="L22" i="26"/>
  <c r="U16" i="26"/>
  <c r="L18" i="26"/>
  <c r="P19" i="26"/>
  <c r="O29" i="26"/>
  <c r="P26" i="26"/>
  <c r="Y16" i="26"/>
  <c r="O26" i="26"/>
  <c r="T16" i="26"/>
  <c r="N29" i="26"/>
  <c r="L26" i="26"/>
  <c r="L29" i="26"/>
  <c r="J39" i="26"/>
  <c r="L24" i="26"/>
  <c r="W16" i="26"/>
  <c r="Z16" i="26"/>
  <c r="L33" i="26"/>
  <c r="R16" i="26"/>
  <c r="V16" i="26"/>
  <c r="O30" i="26"/>
  <c r="M29" i="26"/>
  <c r="L23" i="26"/>
  <c r="N23" i="26"/>
  <c r="M23" i="26"/>
  <c r="P23" i="26"/>
  <c r="R25" i="26"/>
  <c r="V25" i="26"/>
  <c r="Z25" i="26"/>
  <c r="Y25" i="26"/>
  <c r="U25" i="26"/>
  <c r="W25" i="26"/>
  <c r="T25" i="26"/>
  <c r="S25" i="26"/>
  <c r="V24" i="26"/>
  <c r="T24" i="26"/>
  <c r="R24" i="26"/>
  <c r="Z24" i="26"/>
  <c r="S24" i="26"/>
  <c r="Y24" i="26"/>
  <c r="U24" i="26"/>
  <c r="W24" i="26"/>
  <c r="Y30" i="26"/>
  <c r="U30" i="26"/>
  <c r="W30" i="26"/>
  <c r="S30" i="26"/>
  <c r="Z30" i="26"/>
  <c r="V30" i="26"/>
  <c r="T30" i="26"/>
  <c r="R30" i="26"/>
  <c r="U36" i="26"/>
  <c r="W36" i="26"/>
  <c r="S36" i="26"/>
  <c r="Y36" i="26"/>
  <c r="V36" i="26"/>
  <c r="T36" i="26"/>
  <c r="R36" i="26"/>
  <c r="Z36" i="26"/>
  <c r="V13" i="26"/>
  <c r="T13" i="26"/>
  <c r="R13" i="26"/>
  <c r="Z13" i="26"/>
  <c r="Y13" i="26"/>
  <c r="U13" i="26"/>
  <c r="W13" i="26"/>
  <c r="S13" i="26"/>
  <c r="R33" i="26"/>
  <c r="Z33" i="26"/>
  <c r="Y33" i="26"/>
  <c r="U33" i="26"/>
  <c r="V33" i="26"/>
  <c r="W33" i="26"/>
  <c r="S33" i="26"/>
  <c r="T33" i="26"/>
  <c r="S34" i="26"/>
  <c r="V34" i="26"/>
  <c r="T34" i="26"/>
  <c r="R34" i="26"/>
  <c r="Z34" i="26"/>
  <c r="Y34" i="26"/>
  <c r="U34" i="26"/>
  <c r="W34" i="26"/>
  <c r="W37" i="26"/>
  <c r="S37" i="26"/>
  <c r="V37" i="26"/>
  <c r="T37" i="26"/>
  <c r="R37" i="26"/>
  <c r="U37" i="26"/>
  <c r="Z37" i="26"/>
  <c r="Y37" i="26"/>
  <c r="AB38" i="26"/>
  <c r="AC38" i="26" s="1"/>
  <c r="AB32" i="26"/>
  <c r="AC32" i="26" s="1"/>
  <c r="AB28" i="26"/>
  <c r="AC28" i="26" s="1"/>
  <c r="AB24" i="26"/>
  <c r="AC24" i="26" s="1"/>
  <c r="AB20" i="26"/>
  <c r="AC20" i="26" s="1"/>
  <c r="AB16" i="26"/>
  <c r="AC16" i="26" s="1"/>
  <c r="AB13" i="26"/>
  <c r="AC13" i="26" s="1"/>
  <c r="AB9" i="26"/>
  <c r="AC9" i="26" s="1"/>
  <c r="AB8" i="26"/>
  <c r="AC8" i="26" s="1"/>
  <c r="AB7" i="26"/>
  <c r="AB37" i="26"/>
  <c r="AC37" i="26" s="1"/>
  <c r="AB31" i="26"/>
  <c r="AC31" i="26" s="1"/>
  <c r="AB27" i="26"/>
  <c r="AC27" i="26" s="1"/>
  <c r="AB23" i="26"/>
  <c r="AC23" i="26" s="1"/>
  <c r="AB19" i="26"/>
  <c r="AC19" i="26" s="1"/>
  <c r="AB15" i="26"/>
  <c r="AC15" i="26" s="1"/>
  <c r="AB12" i="26"/>
  <c r="AC12" i="26" s="1"/>
  <c r="AB18" i="26"/>
  <c r="AC18" i="26" s="1"/>
  <c r="AB14" i="26"/>
  <c r="AC14" i="26" s="1"/>
  <c r="AB11" i="26"/>
  <c r="AC11" i="26" s="1"/>
  <c r="AB30" i="26"/>
  <c r="AC30" i="26" s="1"/>
  <c r="AB26" i="26"/>
  <c r="AC26" i="26" s="1"/>
  <c r="AB22" i="26"/>
  <c r="AC22" i="26" s="1"/>
  <c r="K6" i="26"/>
  <c r="AB6" i="26"/>
  <c r="AC6" i="26" s="1"/>
  <c r="AB33" i="26"/>
  <c r="AC33" i="26" s="1"/>
  <c r="AB29" i="26"/>
  <c r="AC29" i="26" s="1"/>
  <c r="AB25" i="26"/>
  <c r="AC25" i="26" s="1"/>
  <c r="AB21" i="26"/>
  <c r="AC21" i="26" s="1"/>
  <c r="AB17" i="26"/>
  <c r="AC17" i="26" s="1"/>
  <c r="AB10" i="26"/>
  <c r="AC10" i="26" s="1"/>
  <c r="V28" i="26"/>
  <c r="T28" i="26"/>
  <c r="R28" i="26"/>
  <c r="Z28" i="26"/>
  <c r="Y28" i="26"/>
  <c r="U28" i="26"/>
  <c r="W28" i="26"/>
  <c r="S28" i="26"/>
  <c r="V32" i="26"/>
  <c r="T32" i="26"/>
  <c r="R32" i="26"/>
  <c r="Z32" i="26"/>
  <c r="Y32" i="26"/>
  <c r="U32" i="26"/>
  <c r="S32" i="26"/>
  <c r="W32" i="26"/>
  <c r="W8" i="26"/>
  <c r="S8" i="26"/>
  <c r="V8" i="26"/>
  <c r="T8" i="26"/>
  <c r="R8" i="26"/>
  <c r="Z8" i="26"/>
  <c r="Y8" i="26"/>
  <c r="U8" i="26"/>
  <c r="S35" i="26"/>
  <c r="V35" i="26"/>
  <c r="T35" i="26"/>
  <c r="R35" i="26"/>
  <c r="Z35" i="26"/>
  <c r="Y35" i="26"/>
  <c r="U35" i="26"/>
  <c r="W35" i="26"/>
  <c r="Y26" i="26"/>
  <c r="U26" i="26"/>
  <c r="W26" i="26"/>
  <c r="S26" i="26"/>
  <c r="Z26" i="26"/>
  <c r="V26" i="26"/>
  <c r="T26" i="26"/>
  <c r="R26" i="26"/>
  <c r="R29" i="26"/>
  <c r="V29" i="26"/>
  <c r="Z29" i="26"/>
  <c r="Y29" i="26"/>
  <c r="T29" i="26"/>
  <c r="U29" i="26"/>
  <c r="W29" i="26"/>
  <c r="S29" i="26"/>
  <c r="R10" i="26"/>
  <c r="Z10" i="26"/>
  <c r="W10" i="26"/>
  <c r="Y10" i="26"/>
  <c r="U10" i="26"/>
  <c r="S10" i="26"/>
  <c r="V10" i="26"/>
  <c r="T10" i="26"/>
  <c r="Y7" i="26"/>
  <c r="W7" i="26"/>
  <c r="U7" i="26"/>
  <c r="S7" i="26"/>
  <c r="K39" i="26"/>
  <c r="V7" i="26"/>
  <c r="T7" i="26"/>
  <c r="R7" i="26"/>
  <c r="Z7" i="26"/>
  <c r="W12" i="26"/>
  <c r="S12" i="26"/>
  <c r="V12" i="26"/>
  <c r="T12" i="26"/>
  <c r="R12" i="26"/>
  <c r="Z12" i="26"/>
  <c r="Y12" i="26"/>
  <c r="U12" i="26"/>
  <c r="Z14" i="26"/>
  <c r="Y14" i="26"/>
  <c r="U14" i="26"/>
  <c r="W14" i="26"/>
  <c r="S14" i="26"/>
  <c r="V14" i="26"/>
  <c r="T14" i="26"/>
  <c r="R14" i="26"/>
  <c r="W15" i="26"/>
  <c r="S15" i="26"/>
  <c r="V15" i="26"/>
  <c r="T15" i="26"/>
  <c r="R15" i="26"/>
  <c r="Z15" i="26"/>
  <c r="Y15" i="26"/>
  <c r="U15" i="26"/>
  <c r="R17" i="26"/>
  <c r="Z17" i="26"/>
  <c r="Y17" i="26"/>
  <c r="U17" i="26"/>
  <c r="W17" i="26"/>
  <c r="S17" i="26"/>
  <c r="T17" i="26"/>
  <c r="V17" i="26"/>
  <c r="Y18" i="26"/>
  <c r="U18" i="26"/>
  <c r="W18" i="26"/>
  <c r="S18" i="26"/>
  <c r="V18" i="26"/>
  <c r="T18" i="26"/>
  <c r="R18" i="26"/>
  <c r="Z18" i="26"/>
  <c r="W19" i="26"/>
  <c r="S19" i="26"/>
  <c r="V19" i="26"/>
  <c r="T19" i="26"/>
  <c r="R19" i="26"/>
  <c r="Z19" i="26"/>
  <c r="Y19" i="26"/>
  <c r="U19" i="26"/>
  <c r="AB35" i="26"/>
  <c r="AC35" i="26" s="1"/>
  <c r="W27" i="26"/>
  <c r="S27" i="26"/>
  <c r="U27" i="26"/>
  <c r="V27" i="26"/>
  <c r="T27" i="26"/>
  <c r="R27" i="26"/>
  <c r="Z27" i="26"/>
  <c r="Y27" i="26"/>
  <c r="W31" i="26"/>
  <c r="S31" i="26"/>
  <c r="V31" i="26"/>
  <c r="T31" i="26"/>
  <c r="R31" i="26"/>
  <c r="Z31" i="26"/>
  <c r="Y31" i="26"/>
  <c r="U31" i="26"/>
  <c r="Y11" i="26"/>
  <c r="U11" i="26"/>
  <c r="W11" i="26"/>
  <c r="S11" i="26"/>
  <c r="V11" i="26"/>
  <c r="T11" i="26"/>
  <c r="R11" i="26"/>
  <c r="Z11" i="26"/>
  <c r="R21" i="26"/>
  <c r="Z21" i="26"/>
  <c r="Y21" i="26"/>
  <c r="U21" i="26"/>
  <c r="V21" i="26"/>
  <c r="W21" i="26"/>
  <c r="T21" i="26"/>
  <c r="S21" i="26"/>
  <c r="Y22" i="26"/>
  <c r="U22" i="26"/>
  <c r="W22" i="26"/>
  <c r="S22" i="26"/>
  <c r="V22" i="26"/>
  <c r="T22" i="26"/>
  <c r="Z22" i="26"/>
  <c r="R22" i="26"/>
  <c r="W23" i="26"/>
  <c r="S23" i="26"/>
  <c r="V23" i="26"/>
  <c r="T23" i="26"/>
  <c r="R23" i="26"/>
  <c r="Z23" i="26"/>
  <c r="Y23" i="26"/>
  <c r="U23" i="26"/>
  <c r="AB36" i="26"/>
  <c r="AC36" i="26" s="1"/>
  <c r="L28" i="25"/>
  <c r="M28" i="25"/>
  <c r="N28" i="25"/>
  <c r="O28" i="25"/>
  <c r="P28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L19" i="25" s="1"/>
  <c r="J20" i="25"/>
  <c r="J21" i="25"/>
  <c r="J22" i="25"/>
  <c r="J23" i="25"/>
  <c r="J24" i="25"/>
  <c r="J27" i="25"/>
  <c r="J29" i="25"/>
  <c r="J25" i="25"/>
  <c r="J26" i="25"/>
  <c r="J30" i="25"/>
  <c r="J31" i="25"/>
  <c r="J32" i="25"/>
  <c r="J33" i="25"/>
  <c r="J6" i="25"/>
  <c r="I53" i="25"/>
  <c r="H45" i="25" s="1"/>
  <c r="I60" i="25"/>
  <c r="H44" i="25" s="1"/>
  <c r="H47" i="25"/>
  <c r="P46" i="25"/>
  <c r="O46" i="25"/>
  <c r="O37" i="25" s="1"/>
  <c r="N46" i="25"/>
  <c r="M46" i="25"/>
  <c r="L46" i="25"/>
  <c r="X39" i="26" l="1"/>
  <c r="M39" i="26"/>
  <c r="P39" i="26"/>
  <c r="O39" i="26"/>
  <c r="N39" i="26"/>
  <c r="L39" i="26"/>
  <c r="Z39" i="26"/>
  <c r="T39" i="26"/>
  <c r="V39" i="26"/>
  <c r="S39" i="26"/>
  <c r="AC7" i="26"/>
  <c r="AC39" i="26" s="1"/>
  <c r="AB39" i="26"/>
  <c r="U39" i="26"/>
  <c r="W39" i="26"/>
  <c r="R39" i="26"/>
  <c r="Y39" i="26"/>
  <c r="O19" i="25"/>
  <c r="N19" i="25"/>
  <c r="M19" i="25"/>
  <c r="P19" i="25"/>
  <c r="H46" i="25"/>
  <c r="H35" i="25"/>
  <c r="H36" i="25"/>
  <c r="H39" i="25"/>
  <c r="AB28" i="25" s="1"/>
  <c r="AC28" i="25" s="1"/>
  <c r="M37" i="25"/>
  <c r="P37" i="25"/>
  <c r="L37" i="25"/>
  <c r="N37" i="25"/>
  <c r="W15" i="17"/>
  <c r="R15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6" i="5"/>
  <c r="M36" i="5" s="1"/>
  <c r="N6" i="5"/>
  <c r="N7" i="5"/>
  <c r="N8" i="5"/>
  <c r="N9" i="5"/>
  <c r="N10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6" i="5"/>
  <c r="T5" i="5"/>
  <c r="Z35" i="5"/>
  <c r="Z36" i="5"/>
  <c r="Z37" i="5"/>
  <c r="Y38" i="5"/>
  <c r="Y37" i="5"/>
  <c r="Y35" i="5"/>
  <c r="Y36" i="5"/>
  <c r="Y6" i="5"/>
  <c r="AB19" i="25" l="1"/>
  <c r="AC19" i="25" s="1"/>
  <c r="K6" i="25"/>
  <c r="AB37" i="25"/>
  <c r="AC37" i="25" s="1"/>
  <c r="AB7" i="25"/>
  <c r="AC7" i="25" s="1"/>
  <c r="AB8" i="25"/>
  <c r="AC8" i="25" s="1"/>
  <c r="AB22" i="25"/>
  <c r="AC22" i="25" s="1"/>
  <c r="AB31" i="25"/>
  <c r="AC31" i="25" s="1"/>
  <c r="AB13" i="25"/>
  <c r="AC13" i="25" s="1"/>
  <c r="AB12" i="25"/>
  <c r="AC12" i="25" s="1"/>
  <c r="AB17" i="25"/>
  <c r="AC17" i="25" s="1"/>
  <c r="AB10" i="25"/>
  <c r="AC10" i="25" s="1"/>
  <c r="AB36" i="25"/>
  <c r="AC36" i="25" s="1"/>
  <c r="AB16" i="25"/>
  <c r="AC16" i="25" s="1"/>
  <c r="AB24" i="25"/>
  <c r="AC24" i="25" s="1"/>
  <c r="AB20" i="25"/>
  <c r="AC20" i="25" s="1"/>
  <c r="AB26" i="25"/>
  <c r="AC26" i="25" s="1"/>
  <c r="AB23" i="25"/>
  <c r="AC23" i="25" s="1"/>
  <c r="AB29" i="25"/>
  <c r="AC29" i="25" s="1"/>
  <c r="AB32" i="25"/>
  <c r="AC32" i="25" s="1"/>
  <c r="AB18" i="25"/>
  <c r="AC18" i="25" s="1"/>
  <c r="AB14" i="25"/>
  <c r="AC14" i="25" s="1"/>
  <c r="AB11" i="25"/>
  <c r="AC11" i="25" s="1"/>
  <c r="AB27" i="25"/>
  <c r="AC27" i="25" s="1"/>
  <c r="AB9" i="25"/>
  <c r="AC9" i="25" s="1"/>
  <c r="AB21" i="25"/>
  <c r="AC21" i="25" s="1"/>
  <c r="AB33" i="25"/>
  <c r="AC33" i="25" s="1"/>
  <c r="AB25" i="25"/>
  <c r="AC25" i="25" s="1"/>
  <c r="AB38" i="25"/>
  <c r="AC38" i="25" s="1"/>
  <c r="AB35" i="25"/>
  <c r="AC35" i="25" s="1"/>
  <c r="AB15" i="25"/>
  <c r="AC15" i="25" s="1"/>
  <c r="AB30" i="25"/>
  <c r="AC30" i="25" s="1"/>
  <c r="AB6" i="25"/>
  <c r="AC6" i="25" s="1"/>
  <c r="O36" i="5"/>
  <c r="X36" i="5"/>
  <c r="O39" i="16"/>
  <c r="X39" i="16"/>
  <c r="X38" i="17"/>
  <c r="J36" i="17"/>
  <c r="J37" i="17"/>
  <c r="I21" i="17"/>
  <c r="J21" i="17" s="1"/>
  <c r="I25" i="17"/>
  <c r="J25" i="17" s="1"/>
  <c r="I29" i="17"/>
  <c r="J29" i="17" s="1"/>
  <c r="I33" i="17"/>
  <c r="J33" i="17" s="1"/>
  <c r="I6" i="17"/>
  <c r="J6" i="17" s="1"/>
  <c r="F36" i="17"/>
  <c r="I9" i="17" s="1"/>
  <c r="J9" i="17" s="1"/>
  <c r="K36" i="17"/>
  <c r="K34" i="25" l="1"/>
  <c r="K28" i="25"/>
  <c r="K36" i="25"/>
  <c r="R36" i="25" s="1"/>
  <c r="T34" i="25"/>
  <c r="X34" i="25"/>
  <c r="U34" i="25"/>
  <c r="Y34" i="25"/>
  <c r="R34" i="25"/>
  <c r="V34" i="25"/>
  <c r="Z34" i="25"/>
  <c r="S34" i="25"/>
  <c r="W34" i="25"/>
  <c r="K35" i="25"/>
  <c r="R35" i="25" s="1"/>
  <c r="K12" i="25"/>
  <c r="K9" i="25"/>
  <c r="K13" i="25"/>
  <c r="K17" i="25"/>
  <c r="K21" i="25"/>
  <c r="K27" i="25"/>
  <c r="K30" i="25"/>
  <c r="K10" i="25"/>
  <c r="K14" i="25"/>
  <c r="K11" i="25"/>
  <c r="K15" i="25"/>
  <c r="K19" i="25"/>
  <c r="K23" i="25"/>
  <c r="K25" i="25"/>
  <c r="K32" i="25"/>
  <c r="K37" i="25"/>
  <c r="K8" i="25"/>
  <c r="K16" i="25"/>
  <c r="K20" i="25"/>
  <c r="K26" i="25"/>
  <c r="K7" i="25"/>
  <c r="U7" i="25" s="1"/>
  <c r="K22" i="25"/>
  <c r="K31" i="25"/>
  <c r="K24" i="25"/>
  <c r="K33" i="25"/>
  <c r="K18" i="25"/>
  <c r="K29" i="25"/>
  <c r="N22" i="25"/>
  <c r="P22" i="25"/>
  <c r="M22" i="25"/>
  <c r="L22" i="25"/>
  <c r="O22" i="25"/>
  <c r="U6" i="25"/>
  <c r="N6" i="25"/>
  <c r="T6" i="25"/>
  <c r="P6" i="25"/>
  <c r="Z6" i="25"/>
  <c r="W6" i="25"/>
  <c r="O6" i="25"/>
  <c r="R6" i="25"/>
  <c r="X6" i="25"/>
  <c r="V6" i="25"/>
  <c r="L6" i="25"/>
  <c r="S6" i="25"/>
  <c r="M6" i="25"/>
  <c r="Y6" i="25"/>
  <c r="P15" i="25"/>
  <c r="N15" i="25"/>
  <c r="L15" i="25"/>
  <c r="O15" i="25"/>
  <c r="M15" i="25"/>
  <c r="N35" i="25"/>
  <c r="M35" i="25"/>
  <c r="P35" i="25"/>
  <c r="L35" i="25"/>
  <c r="O35" i="25"/>
  <c r="O27" i="25"/>
  <c r="P27" i="25"/>
  <c r="N27" i="25"/>
  <c r="M27" i="25"/>
  <c r="L27" i="25"/>
  <c r="N12" i="25"/>
  <c r="L12" i="25"/>
  <c r="O12" i="25"/>
  <c r="M12" i="25"/>
  <c r="P12" i="25"/>
  <c r="P8" i="25"/>
  <c r="O8" i="25"/>
  <c r="M8" i="25"/>
  <c r="L8" i="25"/>
  <c r="N8" i="25"/>
  <c r="L24" i="25"/>
  <c r="P24" i="25"/>
  <c r="N24" i="25"/>
  <c r="O24" i="25"/>
  <c r="M24" i="25"/>
  <c r="AA14" i="25"/>
  <c r="N14" i="25"/>
  <c r="P14" i="25"/>
  <c r="M14" i="25"/>
  <c r="O14" i="25"/>
  <c r="L14" i="25"/>
  <c r="Q14" i="25"/>
  <c r="Q39" i="25" s="1"/>
  <c r="N18" i="25"/>
  <c r="O18" i="25"/>
  <c r="L18" i="25"/>
  <c r="M18" i="25"/>
  <c r="P18" i="25"/>
  <c r="O32" i="25"/>
  <c r="N32" i="25"/>
  <c r="L32" i="25"/>
  <c r="P32" i="25"/>
  <c r="M32" i="25"/>
  <c r="L30" i="25"/>
  <c r="N30" i="25"/>
  <c r="O30" i="25"/>
  <c r="M30" i="25"/>
  <c r="P30" i="25"/>
  <c r="O17" i="25"/>
  <c r="P17" i="25"/>
  <c r="N17" i="25"/>
  <c r="M17" i="25"/>
  <c r="L17" i="25"/>
  <c r="M10" i="25"/>
  <c r="O10" i="25"/>
  <c r="P10" i="25"/>
  <c r="N10" i="25"/>
  <c r="L10" i="25"/>
  <c r="M26" i="25"/>
  <c r="N26" i="25"/>
  <c r="L26" i="25"/>
  <c r="O26" i="25"/>
  <c r="P26" i="25"/>
  <c r="P11" i="25"/>
  <c r="L11" i="25"/>
  <c r="N11" i="25"/>
  <c r="M11" i="25"/>
  <c r="O11" i="25"/>
  <c r="N23" i="25"/>
  <c r="M23" i="25"/>
  <c r="P23" i="25"/>
  <c r="L23" i="25"/>
  <c r="O23" i="25"/>
  <c r="M21" i="25"/>
  <c r="P21" i="25"/>
  <c r="O21" i="25"/>
  <c r="L21" i="25"/>
  <c r="N21" i="25"/>
  <c r="O13" i="25"/>
  <c r="P13" i="25"/>
  <c r="N13" i="25"/>
  <c r="L13" i="25"/>
  <c r="M13" i="25"/>
  <c r="M31" i="25"/>
  <c r="L31" i="25"/>
  <c r="N31" i="25"/>
  <c r="O31" i="25"/>
  <c r="P31" i="25"/>
  <c r="M29" i="25"/>
  <c r="P29" i="25"/>
  <c r="O29" i="25"/>
  <c r="N29" i="25"/>
  <c r="L29" i="25"/>
  <c r="P20" i="25"/>
  <c r="M20" i="25"/>
  <c r="L20" i="25"/>
  <c r="O20" i="25"/>
  <c r="N20" i="25"/>
  <c r="L16" i="25"/>
  <c r="M16" i="25"/>
  <c r="O16" i="25"/>
  <c r="P16" i="25"/>
  <c r="N16" i="25"/>
  <c r="L25" i="25"/>
  <c r="O25" i="25"/>
  <c r="M25" i="25"/>
  <c r="P25" i="25"/>
  <c r="N25" i="25"/>
  <c r="M33" i="25"/>
  <c r="N33" i="25"/>
  <c r="O33" i="25"/>
  <c r="L33" i="25"/>
  <c r="P33" i="25"/>
  <c r="N9" i="25"/>
  <c r="L9" i="25"/>
  <c r="O9" i="25"/>
  <c r="P9" i="25"/>
  <c r="M9" i="25"/>
  <c r="L7" i="25"/>
  <c r="N7" i="25"/>
  <c r="P7" i="25"/>
  <c r="J39" i="25"/>
  <c r="O7" i="25"/>
  <c r="M7" i="25"/>
  <c r="AC39" i="25"/>
  <c r="AB39" i="25"/>
  <c r="I17" i="17"/>
  <c r="J17" i="17" s="1"/>
  <c r="I13" i="17"/>
  <c r="J13" i="17" s="1"/>
  <c r="I8" i="17"/>
  <c r="I7" i="17"/>
  <c r="J7" i="17" s="1"/>
  <c r="I32" i="17"/>
  <c r="J32" i="17" s="1"/>
  <c r="I28" i="17"/>
  <c r="J28" i="17" s="1"/>
  <c r="I24" i="17"/>
  <c r="J24" i="17" s="1"/>
  <c r="I20" i="17"/>
  <c r="J20" i="17" s="1"/>
  <c r="I16" i="17"/>
  <c r="J16" i="17" s="1"/>
  <c r="I12" i="17"/>
  <c r="J12" i="17" s="1"/>
  <c r="I35" i="17"/>
  <c r="M35" i="17" s="1"/>
  <c r="I31" i="17"/>
  <c r="J31" i="17" s="1"/>
  <c r="I27" i="17"/>
  <c r="J27" i="17" s="1"/>
  <c r="I23" i="17"/>
  <c r="J23" i="17" s="1"/>
  <c r="I19" i="17"/>
  <c r="J19" i="17" s="1"/>
  <c r="I15" i="17"/>
  <c r="J15" i="17" s="1"/>
  <c r="I10" i="17"/>
  <c r="J10" i="17" s="1"/>
  <c r="I34" i="17"/>
  <c r="J34" i="17" s="1"/>
  <c r="I30" i="17"/>
  <c r="J30" i="17" s="1"/>
  <c r="I26" i="17"/>
  <c r="J26" i="17" s="1"/>
  <c r="I22" i="17"/>
  <c r="J22" i="17" s="1"/>
  <c r="I18" i="17"/>
  <c r="J18" i="17" s="1"/>
  <c r="I14" i="17"/>
  <c r="J14" i="17" s="1"/>
  <c r="J8" i="17"/>
  <c r="Q35" i="17"/>
  <c r="L35" i="17"/>
  <c r="T35" i="17"/>
  <c r="U35" i="17"/>
  <c r="K35" i="17"/>
  <c r="W35" i="17"/>
  <c r="N35" i="17"/>
  <c r="V35" i="17"/>
  <c r="R35" i="17"/>
  <c r="K22" i="17"/>
  <c r="M22" i="17"/>
  <c r="R22" i="17"/>
  <c r="V22" i="17"/>
  <c r="S22" i="17"/>
  <c r="P22" i="17"/>
  <c r="L22" i="17"/>
  <c r="Q22" i="17"/>
  <c r="U22" i="17"/>
  <c r="N22" i="17"/>
  <c r="W22" i="17"/>
  <c r="T22" i="17"/>
  <c r="Q44" i="24"/>
  <c r="H20" i="24"/>
  <c r="V35" i="25" l="1"/>
  <c r="T35" i="25"/>
  <c r="T28" i="25"/>
  <c r="Z28" i="25"/>
  <c r="U28" i="25"/>
  <c r="W28" i="25"/>
  <c r="V28" i="25"/>
  <c r="X28" i="25"/>
  <c r="Y28" i="25"/>
  <c r="R28" i="25"/>
  <c r="S28" i="25"/>
  <c r="W35" i="25"/>
  <c r="Z36" i="25"/>
  <c r="V36" i="25"/>
  <c r="Y36" i="25"/>
  <c r="U36" i="25"/>
  <c r="X36" i="25"/>
  <c r="T36" i="25"/>
  <c r="W36" i="25"/>
  <c r="S35" i="25"/>
  <c r="S36" i="25"/>
  <c r="Y35" i="25"/>
  <c r="W7" i="25"/>
  <c r="X7" i="25"/>
  <c r="Z35" i="25"/>
  <c r="V7" i="25"/>
  <c r="Y7" i="25"/>
  <c r="T7" i="25"/>
  <c r="U35" i="25"/>
  <c r="S7" i="25"/>
  <c r="R7" i="25"/>
  <c r="X35" i="25"/>
  <c r="S24" i="25"/>
  <c r="T24" i="25"/>
  <c r="X24" i="25"/>
  <c r="U24" i="25"/>
  <c r="Y24" i="25"/>
  <c r="V24" i="25"/>
  <c r="Z24" i="25"/>
  <c r="W24" i="25"/>
  <c r="R24" i="25"/>
  <c r="S26" i="25"/>
  <c r="T26" i="25"/>
  <c r="X26" i="25"/>
  <c r="Y26" i="25"/>
  <c r="U26" i="25"/>
  <c r="V26" i="25"/>
  <c r="Z26" i="25"/>
  <c r="W26" i="25"/>
  <c r="R26" i="25"/>
  <c r="S19" i="25"/>
  <c r="T19" i="25"/>
  <c r="X19" i="25"/>
  <c r="U19" i="25"/>
  <c r="Y19" i="25"/>
  <c r="V19" i="25"/>
  <c r="Z19" i="25"/>
  <c r="W19" i="25"/>
  <c r="R19" i="25"/>
  <c r="S17" i="25"/>
  <c r="W17" i="25"/>
  <c r="T17" i="25"/>
  <c r="X17" i="25"/>
  <c r="Y17" i="25"/>
  <c r="U17" i="25"/>
  <c r="V17" i="25"/>
  <c r="Z17" i="25"/>
  <c r="R17" i="25"/>
  <c r="S29" i="25"/>
  <c r="T29" i="25"/>
  <c r="X29" i="25"/>
  <c r="U29" i="25"/>
  <c r="Y29" i="25"/>
  <c r="V29" i="25"/>
  <c r="Z29" i="25"/>
  <c r="W29" i="25"/>
  <c r="R29" i="25"/>
  <c r="S31" i="25"/>
  <c r="T31" i="25"/>
  <c r="X31" i="25"/>
  <c r="Y31" i="25"/>
  <c r="U31" i="25"/>
  <c r="V31" i="25"/>
  <c r="Z31" i="25"/>
  <c r="W31" i="25"/>
  <c r="R31" i="25"/>
  <c r="S20" i="25"/>
  <c r="T20" i="25"/>
  <c r="X20" i="25"/>
  <c r="Y20" i="25"/>
  <c r="U20" i="25"/>
  <c r="V20" i="25"/>
  <c r="Z20" i="25"/>
  <c r="W20" i="25"/>
  <c r="R20" i="25"/>
  <c r="S32" i="25"/>
  <c r="T32" i="25"/>
  <c r="X32" i="25"/>
  <c r="Y32" i="25"/>
  <c r="U32" i="25"/>
  <c r="V32" i="25"/>
  <c r="Z32" i="25"/>
  <c r="W32" i="25"/>
  <c r="R32" i="25"/>
  <c r="S15" i="25"/>
  <c r="W15" i="25"/>
  <c r="T15" i="25"/>
  <c r="X15" i="25"/>
  <c r="U15" i="25"/>
  <c r="Y15" i="25"/>
  <c r="V15" i="25"/>
  <c r="Z15" i="25"/>
  <c r="R15" i="25"/>
  <c r="S30" i="25"/>
  <c r="T30" i="25"/>
  <c r="X30" i="25"/>
  <c r="Y30" i="25"/>
  <c r="U30" i="25"/>
  <c r="V30" i="25"/>
  <c r="Z30" i="25"/>
  <c r="W30" i="25"/>
  <c r="R30" i="25"/>
  <c r="S13" i="25"/>
  <c r="W13" i="25"/>
  <c r="T13" i="25"/>
  <c r="X13" i="25"/>
  <c r="U13" i="25"/>
  <c r="Y13" i="25"/>
  <c r="V13" i="25"/>
  <c r="Z13" i="25"/>
  <c r="R13" i="25"/>
  <c r="S37" i="25"/>
  <c r="T37" i="25"/>
  <c r="X37" i="25"/>
  <c r="Y37" i="25"/>
  <c r="U37" i="25"/>
  <c r="V37" i="25"/>
  <c r="Z37" i="25"/>
  <c r="W37" i="25"/>
  <c r="R37" i="25"/>
  <c r="S10" i="25"/>
  <c r="W10" i="25"/>
  <c r="T10" i="25"/>
  <c r="X10" i="25"/>
  <c r="U10" i="25"/>
  <c r="Y10" i="25"/>
  <c r="V10" i="25"/>
  <c r="Z10" i="25"/>
  <c r="R10" i="25"/>
  <c r="Z7" i="25"/>
  <c r="S18" i="25"/>
  <c r="W18" i="25"/>
  <c r="T18" i="25"/>
  <c r="X18" i="25"/>
  <c r="U18" i="25"/>
  <c r="Y18" i="25"/>
  <c r="V18" i="25"/>
  <c r="Z18" i="25"/>
  <c r="R18" i="25"/>
  <c r="S22" i="25"/>
  <c r="T22" i="25"/>
  <c r="X22" i="25"/>
  <c r="U22" i="25"/>
  <c r="Y22" i="25"/>
  <c r="V22" i="25"/>
  <c r="Z22" i="25"/>
  <c r="W22" i="25"/>
  <c r="R22" i="25"/>
  <c r="W16" i="25"/>
  <c r="T16" i="25"/>
  <c r="X16" i="25"/>
  <c r="U16" i="25"/>
  <c r="Y16" i="25"/>
  <c r="V16" i="25"/>
  <c r="Z16" i="25"/>
  <c r="S16" i="25"/>
  <c r="R16" i="25"/>
  <c r="S25" i="25"/>
  <c r="T25" i="25"/>
  <c r="X25" i="25"/>
  <c r="U25" i="25"/>
  <c r="Y25" i="25"/>
  <c r="V25" i="25"/>
  <c r="Z25" i="25"/>
  <c r="W25" i="25"/>
  <c r="R25" i="25"/>
  <c r="S11" i="25"/>
  <c r="W11" i="25"/>
  <c r="T11" i="25"/>
  <c r="X11" i="25"/>
  <c r="U11" i="25"/>
  <c r="Y11" i="25"/>
  <c r="V11" i="25"/>
  <c r="Z11" i="25"/>
  <c r="R11" i="25"/>
  <c r="S27" i="25"/>
  <c r="T27" i="25"/>
  <c r="X27" i="25"/>
  <c r="U27" i="25"/>
  <c r="Y27" i="25"/>
  <c r="V27" i="25"/>
  <c r="Z27" i="25"/>
  <c r="W27" i="25"/>
  <c r="R27" i="25"/>
  <c r="K39" i="25"/>
  <c r="S9" i="25"/>
  <c r="W9" i="25"/>
  <c r="T9" i="25"/>
  <c r="X9" i="25"/>
  <c r="U9" i="25"/>
  <c r="Y9" i="25"/>
  <c r="V9" i="25"/>
  <c r="Z9" i="25"/>
  <c r="R9" i="25"/>
  <c r="W33" i="25"/>
  <c r="T33" i="25"/>
  <c r="X33" i="25"/>
  <c r="U33" i="25"/>
  <c r="Y33" i="25"/>
  <c r="V33" i="25"/>
  <c r="Z33" i="25"/>
  <c r="S33" i="25"/>
  <c r="R33" i="25"/>
  <c r="S8" i="25"/>
  <c r="W8" i="25"/>
  <c r="T8" i="25"/>
  <c r="X8" i="25"/>
  <c r="U8" i="25"/>
  <c r="Y8" i="25"/>
  <c r="V8" i="25"/>
  <c r="Z8" i="25"/>
  <c r="R8" i="25"/>
  <c r="S23" i="25"/>
  <c r="T23" i="25"/>
  <c r="X23" i="25"/>
  <c r="U23" i="25"/>
  <c r="Y23" i="25"/>
  <c r="V23" i="25"/>
  <c r="Z23" i="25"/>
  <c r="W23" i="25"/>
  <c r="R23" i="25"/>
  <c r="S14" i="25"/>
  <c r="W14" i="25"/>
  <c r="T14" i="25"/>
  <c r="X14" i="25"/>
  <c r="U14" i="25"/>
  <c r="Y14" i="25"/>
  <c r="V14" i="25"/>
  <c r="Z14" i="25"/>
  <c r="R14" i="25"/>
  <c r="S21" i="25"/>
  <c r="T21" i="25"/>
  <c r="X21" i="25"/>
  <c r="Y21" i="25"/>
  <c r="U21" i="25"/>
  <c r="V21" i="25"/>
  <c r="Z21" i="25"/>
  <c r="W21" i="25"/>
  <c r="R21" i="25"/>
  <c r="S12" i="25"/>
  <c r="W12" i="25"/>
  <c r="T12" i="25"/>
  <c r="X12" i="25"/>
  <c r="U12" i="25"/>
  <c r="Y12" i="25"/>
  <c r="V12" i="25"/>
  <c r="Z12" i="25"/>
  <c r="R12" i="25"/>
  <c r="L39" i="25"/>
  <c r="P39" i="25"/>
  <c r="M39" i="25"/>
  <c r="O39" i="25"/>
  <c r="N39" i="25"/>
  <c r="I38" i="17"/>
  <c r="S35" i="17"/>
  <c r="P35" i="17"/>
  <c r="J35" i="17"/>
  <c r="V38" i="20"/>
  <c r="V37" i="20"/>
  <c r="V36" i="20"/>
  <c r="V35" i="20"/>
  <c r="V34" i="20"/>
  <c r="V33" i="20"/>
  <c r="V32" i="20"/>
  <c r="V31" i="20"/>
  <c r="V30" i="20"/>
  <c r="V29" i="20"/>
  <c r="V28" i="20"/>
  <c r="V27" i="20"/>
  <c r="V26" i="20"/>
  <c r="V25" i="20"/>
  <c r="V24" i="20"/>
  <c r="V23" i="20"/>
  <c r="V22" i="20"/>
  <c r="V21" i="20"/>
  <c r="V20" i="20"/>
  <c r="V19" i="20"/>
  <c r="V18" i="20"/>
  <c r="V16" i="20"/>
  <c r="V15" i="20"/>
  <c r="V14" i="20"/>
  <c r="V13" i="20"/>
  <c r="V12" i="20"/>
  <c r="V10" i="20"/>
  <c r="V9" i="20"/>
  <c r="V8" i="20"/>
  <c r="V7" i="20"/>
  <c r="V6" i="20"/>
  <c r="X39" i="25" l="1"/>
  <c r="Z39" i="25"/>
  <c r="U39" i="25"/>
  <c r="W39" i="25"/>
  <c r="V39" i="25"/>
  <c r="R39" i="25"/>
  <c r="S39" i="25"/>
  <c r="T39" i="25"/>
  <c r="Y39" i="25"/>
  <c r="V11" i="20"/>
  <c r="V40" i="20" s="1"/>
  <c r="H43" i="24" l="1"/>
  <c r="O42" i="24"/>
  <c r="O3" i="24" s="1"/>
  <c r="O35" i="24" s="1"/>
  <c r="N42" i="24"/>
  <c r="N3" i="24" s="1"/>
  <c r="N35" i="24" s="1"/>
  <c r="M42" i="24"/>
  <c r="M3" i="24" s="1"/>
  <c r="M35" i="24" s="1"/>
  <c r="L42" i="24"/>
  <c r="L3" i="24" s="1"/>
  <c r="L35" i="24" s="1"/>
  <c r="K42" i="24"/>
  <c r="K3" i="24" s="1"/>
  <c r="K35" i="24" s="1"/>
  <c r="H42" i="24"/>
  <c r="H37" i="24"/>
  <c r="Y35" i="24"/>
  <c r="X35" i="24"/>
  <c r="W35" i="24"/>
  <c r="V35" i="24"/>
  <c r="U35" i="24"/>
  <c r="T35" i="24"/>
  <c r="S35" i="24"/>
  <c r="R35" i="24"/>
  <c r="Q35" i="24"/>
  <c r="W34" i="24"/>
  <c r="U34" i="24"/>
  <c r="AA36" i="24" l="1"/>
  <c r="AB36" i="24" s="1"/>
  <c r="AA15" i="24"/>
  <c r="AB15" i="24" s="1"/>
  <c r="H48" i="24"/>
  <c r="H49" i="24" s="1"/>
  <c r="AA17" i="24"/>
  <c r="AB17" i="24" s="1"/>
  <c r="AA12" i="24"/>
  <c r="AB12" i="24" s="1"/>
  <c r="AA6" i="24"/>
  <c r="AB6" i="24" s="1"/>
  <c r="AA31" i="24"/>
  <c r="AB31" i="24" s="1"/>
  <c r="AA23" i="24"/>
  <c r="AB23" i="24" s="1"/>
  <c r="AA8" i="24"/>
  <c r="AB8" i="24" s="1"/>
  <c r="AA14" i="24"/>
  <c r="AB14" i="24" s="1"/>
  <c r="AA25" i="24"/>
  <c r="AB25" i="24" s="1"/>
  <c r="AA24" i="24"/>
  <c r="AB24" i="24" s="1"/>
  <c r="AA13" i="24"/>
  <c r="AB13" i="24" s="1"/>
  <c r="AA18" i="24"/>
  <c r="AB18" i="24" s="1"/>
  <c r="AA19" i="24"/>
  <c r="AB19" i="24" s="1"/>
  <c r="AA27" i="24"/>
  <c r="AB27" i="24" s="1"/>
  <c r="AA21" i="24"/>
  <c r="AB21" i="24" s="1"/>
  <c r="AA33" i="24"/>
  <c r="AB33" i="24" s="1"/>
  <c r="AA9" i="24"/>
  <c r="AB9" i="24" s="1"/>
  <c r="AA22" i="24"/>
  <c r="AB22" i="24" s="1"/>
  <c r="AA32" i="24"/>
  <c r="AB32" i="24" s="1"/>
  <c r="AA10" i="24"/>
  <c r="AB10" i="24" s="1"/>
  <c r="AA20" i="24"/>
  <c r="AB20" i="24" s="1"/>
  <c r="AA29" i="24"/>
  <c r="AB29" i="24" s="1"/>
  <c r="AA11" i="24"/>
  <c r="AB11" i="24" s="1"/>
  <c r="AA16" i="24"/>
  <c r="AB16" i="24" s="1"/>
  <c r="AA26" i="24"/>
  <c r="AB26" i="24" s="1"/>
  <c r="AA28" i="24"/>
  <c r="AB28" i="24" s="1"/>
  <c r="AA7" i="24"/>
  <c r="AB7" i="24" s="1"/>
  <c r="AA30" i="24"/>
  <c r="AB30" i="24" s="1"/>
  <c r="AA35" i="24"/>
  <c r="AB35" i="24" s="1"/>
  <c r="AB37" i="24" l="1"/>
  <c r="J33" i="24"/>
  <c r="J29" i="24"/>
  <c r="J19" i="24"/>
  <c r="J32" i="24"/>
  <c r="J26" i="24"/>
  <c r="J18" i="24"/>
  <c r="J31" i="24"/>
  <c r="J27" i="24"/>
  <c r="J17" i="24"/>
  <c r="J9" i="24"/>
  <c r="J13" i="24"/>
  <c r="J30" i="24"/>
  <c r="J25" i="24"/>
  <c r="J16" i="24"/>
  <c r="J7" i="24"/>
  <c r="J21" i="24"/>
  <c r="J28" i="24"/>
  <c r="J22" i="24"/>
  <c r="J14" i="24"/>
  <c r="J6" i="24"/>
  <c r="J24" i="24"/>
  <c r="J12" i="24"/>
  <c r="J23" i="24"/>
  <c r="J11" i="24"/>
  <c r="J20" i="24"/>
  <c r="J10" i="24"/>
  <c r="J8" i="24"/>
  <c r="AA37" i="24"/>
  <c r="G5" i="23"/>
  <c r="S15" i="24" l="1"/>
  <c r="W15" i="24"/>
  <c r="L15" i="24"/>
  <c r="P15" i="24"/>
  <c r="P37" i="24" s="1"/>
  <c r="Y15" i="24"/>
  <c r="V15" i="24"/>
  <c r="O15" i="24"/>
  <c r="T15" i="24"/>
  <c r="X15" i="24"/>
  <c r="M15" i="24"/>
  <c r="K15" i="24"/>
  <c r="U15" i="24"/>
  <c r="N15" i="24"/>
  <c r="Z15" i="24"/>
  <c r="Q15" i="24"/>
  <c r="R15" i="24"/>
  <c r="U27" i="24"/>
  <c r="L27" i="24"/>
  <c r="T27" i="24"/>
  <c r="K27" i="24"/>
  <c r="S27" i="24"/>
  <c r="X27" i="24"/>
  <c r="R27" i="24"/>
  <c r="Y27" i="24"/>
  <c r="Q27" i="24"/>
  <c r="O27" i="24"/>
  <c r="W27" i="24"/>
  <c r="N27" i="24"/>
  <c r="V27" i="24"/>
  <c r="M27" i="24"/>
  <c r="R8" i="24"/>
  <c r="Y8" i="24"/>
  <c r="Q8" i="24"/>
  <c r="X8" i="24"/>
  <c r="O8" i="24"/>
  <c r="V8" i="24"/>
  <c r="M8" i="24"/>
  <c r="W8" i="24"/>
  <c r="L8" i="24"/>
  <c r="K8" i="24"/>
  <c r="U8" i="24"/>
  <c r="S8" i="24"/>
  <c r="N8" i="24"/>
  <c r="T8" i="24"/>
  <c r="U31" i="24"/>
  <c r="L31" i="24"/>
  <c r="T31" i="24"/>
  <c r="K31" i="24"/>
  <c r="S31" i="24"/>
  <c r="R31" i="24"/>
  <c r="O31" i="24"/>
  <c r="Y31" i="24"/>
  <c r="Q31" i="24"/>
  <c r="X31" i="24"/>
  <c r="W31" i="24"/>
  <c r="N31" i="24"/>
  <c r="V31" i="24"/>
  <c r="M31" i="24"/>
  <c r="T18" i="24"/>
  <c r="K18" i="24"/>
  <c r="S18" i="24"/>
  <c r="R18" i="24"/>
  <c r="W18" i="24"/>
  <c r="Y18" i="24"/>
  <c r="Q18" i="24"/>
  <c r="X18" i="24"/>
  <c r="O18" i="24"/>
  <c r="N18" i="24"/>
  <c r="V18" i="24"/>
  <c r="M18" i="24"/>
  <c r="L18" i="24"/>
  <c r="U18" i="24"/>
  <c r="V25" i="24"/>
  <c r="M25" i="24"/>
  <c r="U25" i="24"/>
  <c r="L25" i="24"/>
  <c r="T25" i="24"/>
  <c r="K25" i="24"/>
  <c r="Q25" i="24"/>
  <c r="S25" i="24"/>
  <c r="Y25" i="24"/>
  <c r="R25" i="24"/>
  <c r="X25" i="24"/>
  <c r="O25" i="24"/>
  <c r="W25" i="24"/>
  <c r="N25" i="24"/>
  <c r="Y10" i="24"/>
  <c r="Q10" i="24"/>
  <c r="X10" i="24"/>
  <c r="O10" i="24"/>
  <c r="W10" i="24"/>
  <c r="N10" i="24"/>
  <c r="U10" i="24"/>
  <c r="L10" i="24"/>
  <c r="T10" i="24"/>
  <c r="K10" i="24"/>
  <c r="S10" i="24"/>
  <c r="R10" i="24"/>
  <c r="M10" i="24"/>
  <c r="V10" i="24"/>
  <c r="S19" i="24"/>
  <c r="R19" i="24"/>
  <c r="Y19" i="24"/>
  <c r="Q19" i="24"/>
  <c r="X19" i="24"/>
  <c r="O19" i="24"/>
  <c r="M19" i="24"/>
  <c r="W19" i="24"/>
  <c r="N19" i="24"/>
  <c r="V19" i="24"/>
  <c r="U19" i="24"/>
  <c r="L19" i="24"/>
  <c r="T19" i="24"/>
  <c r="K19" i="24"/>
  <c r="R23" i="24"/>
  <c r="Y23" i="24"/>
  <c r="Q23" i="24"/>
  <c r="X23" i="24"/>
  <c r="O23" i="24"/>
  <c r="W23" i="24"/>
  <c r="N23" i="24"/>
  <c r="U23" i="24"/>
  <c r="V23" i="24"/>
  <c r="M23" i="24"/>
  <c r="L23" i="24"/>
  <c r="T23" i="24"/>
  <c r="K23" i="24"/>
  <c r="S23" i="24"/>
  <c r="Y12" i="24"/>
  <c r="Q12" i="24"/>
  <c r="W12" i="24"/>
  <c r="N12" i="24"/>
  <c r="V12" i="24"/>
  <c r="M12" i="24"/>
  <c r="T12" i="24"/>
  <c r="U12" i="24"/>
  <c r="L12" i="24"/>
  <c r="K12" i="24"/>
  <c r="S12" i="24"/>
  <c r="X12" i="24"/>
  <c r="R12" i="24"/>
  <c r="O12" i="24"/>
  <c r="Y24" i="24"/>
  <c r="Q24" i="24"/>
  <c r="X24" i="24"/>
  <c r="O24" i="24"/>
  <c r="W24" i="24"/>
  <c r="N24" i="24"/>
  <c r="K24" i="24"/>
  <c r="V24" i="24"/>
  <c r="M24" i="24"/>
  <c r="U24" i="24"/>
  <c r="L24" i="24"/>
  <c r="T24" i="24"/>
  <c r="S24" i="24"/>
  <c r="R24" i="24"/>
  <c r="V16" i="24"/>
  <c r="M16" i="24"/>
  <c r="U16" i="24"/>
  <c r="L16" i="24"/>
  <c r="T16" i="24"/>
  <c r="K16" i="24"/>
  <c r="Y16" i="24"/>
  <c r="S16" i="24"/>
  <c r="Q16" i="24"/>
  <c r="R16" i="24"/>
  <c r="X16" i="24"/>
  <c r="O16" i="24"/>
  <c r="W16" i="24"/>
  <c r="N16" i="24"/>
  <c r="X6" i="24"/>
  <c r="O6" i="24"/>
  <c r="W6" i="24"/>
  <c r="N6" i="24"/>
  <c r="V6" i="24"/>
  <c r="M6" i="24"/>
  <c r="U6" i="24"/>
  <c r="L6" i="24"/>
  <c r="S6" i="24"/>
  <c r="T6" i="24"/>
  <c r="K6" i="24"/>
  <c r="R6" i="24"/>
  <c r="Y6" i="24"/>
  <c r="Q6" i="24"/>
  <c r="T32" i="24"/>
  <c r="K32" i="24"/>
  <c r="S32" i="24"/>
  <c r="R32" i="24"/>
  <c r="W32" i="24"/>
  <c r="Y32" i="24"/>
  <c r="Q32" i="24"/>
  <c r="N32" i="24"/>
  <c r="X32" i="24"/>
  <c r="O32" i="24"/>
  <c r="V32" i="24"/>
  <c r="M32" i="24"/>
  <c r="U32" i="24"/>
  <c r="L32" i="24"/>
  <c r="W22" i="24"/>
  <c r="N22" i="24"/>
  <c r="V22" i="24"/>
  <c r="M22" i="24"/>
  <c r="U22" i="24"/>
  <c r="L22" i="24"/>
  <c r="T22" i="24"/>
  <c r="K22" i="24"/>
  <c r="R22" i="24"/>
  <c r="S22" i="24"/>
  <c r="Y22" i="24"/>
  <c r="Q22" i="24"/>
  <c r="X22" i="24"/>
  <c r="O22" i="24"/>
  <c r="S29" i="24"/>
  <c r="R29" i="24"/>
  <c r="Y29" i="24"/>
  <c r="Q29" i="24"/>
  <c r="M29" i="24"/>
  <c r="X29" i="24"/>
  <c r="O29" i="24"/>
  <c r="V29" i="24"/>
  <c r="W29" i="24"/>
  <c r="N29" i="24"/>
  <c r="U29" i="24"/>
  <c r="L29" i="24"/>
  <c r="T29" i="24"/>
  <c r="K29" i="24"/>
  <c r="X21" i="24"/>
  <c r="O21" i="24"/>
  <c r="W21" i="24"/>
  <c r="N21" i="24"/>
  <c r="V21" i="24"/>
  <c r="M21" i="24"/>
  <c r="U21" i="24"/>
  <c r="L21" i="24"/>
  <c r="S21" i="24"/>
  <c r="T21" i="24"/>
  <c r="K21" i="24"/>
  <c r="R21" i="24"/>
  <c r="Y21" i="24"/>
  <c r="Q21" i="24"/>
  <c r="J37" i="24"/>
  <c r="T7" i="24"/>
  <c r="K7" i="24"/>
  <c r="S7" i="24"/>
  <c r="R7" i="24"/>
  <c r="X7" i="24"/>
  <c r="O7" i="24"/>
  <c r="Q7" i="24"/>
  <c r="M7" i="24"/>
  <c r="L7" i="24"/>
  <c r="Y7" i="24"/>
  <c r="V7" i="24"/>
  <c r="U7" i="24"/>
  <c r="N7" i="24"/>
  <c r="W7" i="24"/>
  <c r="T26" i="24"/>
  <c r="K26" i="24"/>
  <c r="S26" i="24"/>
  <c r="R26" i="24"/>
  <c r="Y26" i="24"/>
  <c r="Q26" i="24"/>
  <c r="N26" i="24"/>
  <c r="X26" i="24"/>
  <c r="O26" i="24"/>
  <c r="W26" i="24"/>
  <c r="V26" i="24"/>
  <c r="M26" i="24"/>
  <c r="U26" i="24"/>
  <c r="L26" i="24"/>
  <c r="V30" i="24"/>
  <c r="M30" i="24"/>
  <c r="U30" i="24"/>
  <c r="L30" i="24"/>
  <c r="T30" i="24"/>
  <c r="K30" i="24"/>
  <c r="Y30" i="24"/>
  <c r="S30" i="24"/>
  <c r="Q30" i="24"/>
  <c r="R30" i="24"/>
  <c r="X30" i="24"/>
  <c r="O30" i="24"/>
  <c r="W30" i="24"/>
  <c r="N30" i="24"/>
  <c r="X13" i="24"/>
  <c r="O13" i="24"/>
  <c r="W13" i="24"/>
  <c r="V13" i="24"/>
  <c r="M13" i="24"/>
  <c r="U13" i="24"/>
  <c r="L13" i="24"/>
  <c r="S13" i="24"/>
  <c r="T13" i="24"/>
  <c r="K13" i="24"/>
  <c r="R13" i="24"/>
  <c r="Q13" i="24"/>
  <c r="N13" i="24"/>
  <c r="Y13" i="24"/>
  <c r="R20" i="24"/>
  <c r="Y20" i="24"/>
  <c r="Q20" i="24"/>
  <c r="X20" i="24"/>
  <c r="O20" i="24"/>
  <c r="L20" i="24"/>
  <c r="W20" i="24"/>
  <c r="N20" i="24"/>
  <c r="U20" i="24"/>
  <c r="V20" i="24"/>
  <c r="M20" i="24"/>
  <c r="T20" i="24"/>
  <c r="K20" i="24"/>
  <c r="S20" i="24"/>
  <c r="S9" i="24"/>
  <c r="R9" i="24"/>
  <c r="Y9" i="24"/>
  <c r="Q9" i="24"/>
  <c r="W9" i="24"/>
  <c r="N9" i="24"/>
  <c r="L9" i="24"/>
  <c r="V9" i="24"/>
  <c r="K9" i="24"/>
  <c r="T9" i="24"/>
  <c r="O9" i="24"/>
  <c r="M9" i="24"/>
  <c r="X9" i="24"/>
  <c r="U9" i="24"/>
  <c r="R11" i="24"/>
  <c r="X11" i="24"/>
  <c r="O11" i="24"/>
  <c r="W11" i="24"/>
  <c r="N11" i="24"/>
  <c r="V11" i="24"/>
  <c r="M11" i="24"/>
  <c r="T11" i="24"/>
  <c r="K11" i="24"/>
  <c r="Y11" i="24"/>
  <c r="Q11" i="24"/>
  <c r="U11" i="24"/>
  <c r="S11" i="24"/>
  <c r="L11" i="24"/>
  <c r="W28" i="24"/>
  <c r="N28" i="24"/>
  <c r="V28" i="24"/>
  <c r="M28" i="24"/>
  <c r="U28" i="24"/>
  <c r="L28" i="24"/>
  <c r="T28" i="24"/>
  <c r="K28" i="24"/>
  <c r="R28" i="24"/>
  <c r="S28" i="24"/>
  <c r="Y28" i="24"/>
  <c r="Q28" i="24"/>
  <c r="X28" i="24"/>
  <c r="O28" i="24"/>
  <c r="U17" i="24"/>
  <c r="L17" i="24"/>
  <c r="T17" i="24"/>
  <c r="K17" i="24"/>
  <c r="S17" i="24"/>
  <c r="R17" i="24"/>
  <c r="X17" i="24"/>
  <c r="Y17" i="24"/>
  <c r="Q17" i="24"/>
  <c r="O17" i="24"/>
  <c r="W17" i="24"/>
  <c r="N17" i="24"/>
  <c r="V17" i="24"/>
  <c r="M17" i="24"/>
  <c r="S33" i="24"/>
  <c r="R33" i="24"/>
  <c r="Y33" i="24"/>
  <c r="Q33" i="24"/>
  <c r="X33" i="24"/>
  <c r="O33" i="24"/>
  <c r="V33" i="24"/>
  <c r="M33" i="24"/>
  <c r="W33" i="24"/>
  <c r="N33" i="24"/>
  <c r="U33" i="24"/>
  <c r="L33" i="24"/>
  <c r="T33" i="24"/>
  <c r="K33" i="24"/>
  <c r="H44" i="23"/>
  <c r="O43" i="23"/>
  <c r="O3" i="23" s="1"/>
  <c r="O36" i="23" s="1"/>
  <c r="N43" i="23"/>
  <c r="N3" i="23" s="1"/>
  <c r="M43" i="23"/>
  <c r="M3" i="23" s="1"/>
  <c r="L43" i="23"/>
  <c r="L3" i="23" s="1"/>
  <c r="K43" i="23"/>
  <c r="K3" i="23" s="1"/>
  <c r="H43" i="23"/>
  <c r="F36" i="23" s="1"/>
  <c r="J6" i="23" s="1"/>
  <c r="V6" i="23" s="1"/>
  <c r="P38" i="23"/>
  <c r="H38" i="23"/>
  <c r="AA37" i="23" s="1"/>
  <c r="AB37" i="23" s="1"/>
  <c r="Y36" i="23"/>
  <c r="X36" i="23"/>
  <c r="W36" i="23"/>
  <c r="V36" i="23"/>
  <c r="U36" i="23"/>
  <c r="T36" i="23"/>
  <c r="S36" i="23"/>
  <c r="R36" i="23"/>
  <c r="Q36" i="23"/>
  <c r="W35" i="23"/>
  <c r="U35" i="23"/>
  <c r="Y37" i="24" l="1"/>
  <c r="K37" i="24"/>
  <c r="L37" i="24"/>
  <c r="T37" i="24"/>
  <c r="W37" i="24"/>
  <c r="O37" i="24"/>
  <c r="Q37" i="24"/>
  <c r="N37" i="24"/>
  <c r="X37" i="24"/>
  <c r="M37" i="24"/>
  <c r="U37" i="24"/>
  <c r="R37" i="24"/>
  <c r="V37" i="24"/>
  <c r="S37" i="24"/>
  <c r="J18" i="23"/>
  <c r="S18" i="23" s="1"/>
  <c r="J10" i="23"/>
  <c r="S10" i="23" s="1"/>
  <c r="J23" i="23"/>
  <c r="S23" i="23" s="1"/>
  <c r="J31" i="23"/>
  <c r="V31" i="23" s="1"/>
  <c r="J20" i="23"/>
  <c r="R20" i="23" s="1"/>
  <c r="J33" i="23"/>
  <c r="T33" i="23" s="1"/>
  <c r="J13" i="23"/>
  <c r="V13" i="23" s="1"/>
  <c r="J29" i="23"/>
  <c r="X29" i="23" s="1"/>
  <c r="J34" i="23"/>
  <c r="S34" i="23" s="1"/>
  <c r="J19" i="23"/>
  <c r="S19" i="23" s="1"/>
  <c r="J5" i="23"/>
  <c r="X5" i="23" s="1"/>
  <c r="J26" i="23"/>
  <c r="Q26" i="23" s="1"/>
  <c r="J11" i="23"/>
  <c r="Y11" i="23" s="1"/>
  <c r="J32" i="23"/>
  <c r="U32" i="23" s="1"/>
  <c r="J12" i="23"/>
  <c r="X12" i="23" s="1"/>
  <c r="J25" i="23"/>
  <c r="K25" i="23" s="1"/>
  <c r="J8" i="23"/>
  <c r="S8" i="23" s="1"/>
  <c r="J17" i="23"/>
  <c r="U17" i="23" s="1"/>
  <c r="J28" i="23"/>
  <c r="U28" i="23" s="1"/>
  <c r="J24" i="23"/>
  <c r="S24" i="23" s="1"/>
  <c r="J22" i="23"/>
  <c r="V22" i="23" s="1"/>
  <c r="J14" i="23"/>
  <c r="V14" i="23" s="1"/>
  <c r="J7" i="23"/>
  <c r="T7" i="23" s="1"/>
  <c r="J16" i="23"/>
  <c r="V16" i="23" s="1"/>
  <c r="J9" i="23"/>
  <c r="S9" i="23" s="1"/>
  <c r="J15" i="23"/>
  <c r="S15" i="23" s="1"/>
  <c r="J30" i="23"/>
  <c r="S30" i="23" s="1"/>
  <c r="Y26" i="23"/>
  <c r="V9" i="23"/>
  <c r="Q29" i="23"/>
  <c r="R26" i="23"/>
  <c r="X31" i="23"/>
  <c r="V23" i="23"/>
  <c r="X23" i="23"/>
  <c r="O31" i="23"/>
  <c r="X6" i="23"/>
  <c r="Q6" i="23"/>
  <c r="W6" i="23"/>
  <c r="Y6" i="23"/>
  <c r="N31" i="23"/>
  <c r="N6" i="23"/>
  <c r="K36" i="23"/>
  <c r="O6" i="23"/>
  <c r="AA28" i="23"/>
  <c r="AB28" i="23" s="1"/>
  <c r="AA17" i="23"/>
  <c r="AB17" i="23" s="1"/>
  <c r="AA30" i="23"/>
  <c r="AB30" i="23" s="1"/>
  <c r="AA23" i="23"/>
  <c r="AB23" i="23" s="1"/>
  <c r="AA32" i="23"/>
  <c r="AB32" i="23" s="1"/>
  <c r="AA33" i="23"/>
  <c r="AB33" i="23" s="1"/>
  <c r="H45" i="23"/>
  <c r="AA31" i="23"/>
  <c r="AB31" i="23" s="1"/>
  <c r="AA10" i="23"/>
  <c r="AB10" i="23" s="1"/>
  <c r="AA6" i="23"/>
  <c r="AA12" i="23"/>
  <c r="AB12" i="23" s="1"/>
  <c r="AA15" i="23"/>
  <c r="AB15" i="23" s="1"/>
  <c r="AA18" i="23"/>
  <c r="AB18" i="23" s="1"/>
  <c r="AA34" i="23"/>
  <c r="AB34" i="23" s="1"/>
  <c r="AA24" i="23"/>
  <c r="AB24" i="23" s="1"/>
  <c r="AA13" i="23"/>
  <c r="AB13" i="23" s="1"/>
  <c r="AA5" i="23"/>
  <c r="AB5" i="23" s="1"/>
  <c r="AA7" i="23"/>
  <c r="AB7" i="23" s="1"/>
  <c r="AA11" i="23"/>
  <c r="AB11" i="23" s="1"/>
  <c r="AA19" i="23"/>
  <c r="AB19" i="23" s="1"/>
  <c r="AA29" i="23"/>
  <c r="AB29" i="23" s="1"/>
  <c r="AA8" i="23"/>
  <c r="AB8" i="23" s="1"/>
  <c r="AA9" i="23"/>
  <c r="AB9" i="23" s="1"/>
  <c r="AA14" i="23"/>
  <c r="AB14" i="23" s="1"/>
  <c r="AA16" i="23"/>
  <c r="AB16" i="23" s="1"/>
  <c r="AA22" i="23"/>
  <c r="AB22" i="23" s="1"/>
  <c r="AA25" i="23"/>
  <c r="AB25" i="23" s="1"/>
  <c r="AA20" i="23"/>
  <c r="AB20" i="23" s="1"/>
  <c r="AA36" i="23"/>
  <c r="AB36" i="23" s="1"/>
  <c r="AA26" i="23"/>
  <c r="AB26" i="23" s="1"/>
  <c r="L23" i="23"/>
  <c r="R6" i="23"/>
  <c r="L11" i="23"/>
  <c r="K12" i="23"/>
  <c r="W23" i="23"/>
  <c r="R31" i="23"/>
  <c r="L36" i="23"/>
  <c r="U12" i="23"/>
  <c r="Q23" i="23"/>
  <c r="T31" i="23"/>
  <c r="N36" i="23"/>
  <c r="K6" i="23"/>
  <c r="T6" i="23"/>
  <c r="L6" i="23"/>
  <c r="U6" i="23"/>
  <c r="K7" i="23"/>
  <c r="M13" i="23"/>
  <c r="U31" i="23"/>
  <c r="S6" i="23"/>
  <c r="M11" i="23"/>
  <c r="M36" i="23"/>
  <c r="M6" i="23"/>
  <c r="M31" i="23"/>
  <c r="J15" i="22"/>
  <c r="R18" i="23" l="1"/>
  <c r="N20" i="23"/>
  <c r="Q34" i="23"/>
  <c r="X20" i="23"/>
  <c r="L18" i="23"/>
  <c r="S22" i="23"/>
  <c r="R8" i="23"/>
  <c r="W20" i="23"/>
  <c r="W18" i="23"/>
  <c r="S31" i="23"/>
  <c r="L31" i="23"/>
  <c r="L26" i="23"/>
  <c r="Q18" i="23"/>
  <c r="S26" i="23"/>
  <c r="S11" i="23"/>
  <c r="K26" i="23"/>
  <c r="X9" i="23"/>
  <c r="Q31" i="23"/>
  <c r="Y20" i="23"/>
  <c r="V11" i="23"/>
  <c r="U20" i="23"/>
  <c r="T20" i="23"/>
  <c r="V18" i="23"/>
  <c r="Q11" i="23"/>
  <c r="M20" i="23"/>
  <c r="Y18" i="23"/>
  <c r="U11" i="23"/>
  <c r="K20" i="23"/>
  <c r="U22" i="23"/>
  <c r="O33" i="23"/>
  <c r="Q20" i="23"/>
  <c r="X11" i="23"/>
  <c r="L20" i="23"/>
  <c r="X22" i="23"/>
  <c r="U18" i="23"/>
  <c r="R11" i="23"/>
  <c r="O20" i="23"/>
  <c r="M18" i="23"/>
  <c r="W11" i="23"/>
  <c r="K11" i="23"/>
  <c r="Y32" i="23"/>
  <c r="N18" i="23"/>
  <c r="O8" i="23"/>
  <c r="T11" i="23"/>
  <c r="K18" i="23"/>
  <c r="N22" i="23"/>
  <c r="M22" i="23"/>
  <c r="O11" i="23"/>
  <c r="N11" i="23"/>
  <c r="S20" i="23"/>
  <c r="L22" i="23"/>
  <c r="V20" i="23"/>
  <c r="L9" i="23"/>
  <c r="O22" i="23"/>
  <c r="K34" i="23"/>
  <c r="T9" i="23"/>
  <c r="W22" i="23"/>
  <c r="W25" i="23"/>
  <c r="M26" i="23"/>
  <c r="N19" i="23"/>
  <c r="K31" i="23"/>
  <c r="X33" i="23"/>
  <c r="O18" i="23"/>
  <c r="N26" i="23"/>
  <c r="R14" i="23"/>
  <c r="T34" i="23"/>
  <c r="X18" i="23"/>
  <c r="Q14" i="23"/>
  <c r="N15" i="23"/>
  <c r="X15" i="23"/>
  <c r="S12" i="23"/>
  <c r="K13" i="23"/>
  <c r="T18" i="23"/>
  <c r="W32" i="23"/>
  <c r="T26" i="23"/>
  <c r="Y31" i="23"/>
  <c r="R10" i="23"/>
  <c r="K10" i="23"/>
  <c r="T10" i="23"/>
  <c r="R34" i="23"/>
  <c r="T17" i="23"/>
  <c r="O10" i="23"/>
  <c r="M8" i="23"/>
  <c r="U10" i="23"/>
  <c r="O26" i="23"/>
  <c r="T8" i="23"/>
  <c r="R22" i="23"/>
  <c r="W31" i="23"/>
  <c r="R15" i="22"/>
  <c r="Y15" i="22"/>
  <c r="Q15" i="22"/>
  <c r="V15" i="22"/>
  <c r="X15" i="22"/>
  <c r="W15" i="22"/>
  <c r="U15" i="22"/>
  <c r="T15" i="22"/>
  <c r="S15" i="22"/>
  <c r="T24" i="23"/>
  <c r="Q24" i="23"/>
  <c r="O12" i="23"/>
  <c r="W10" i="23"/>
  <c r="Q10" i="23"/>
  <c r="W24" i="23"/>
  <c r="S32" i="23"/>
  <c r="Y23" i="23"/>
  <c r="X10" i="23"/>
  <c r="N10" i="23"/>
  <c r="M10" i="23"/>
  <c r="M23" i="23"/>
  <c r="O23" i="23"/>
  <c r="V17" i="23"/>
  <c r="X32" i="23"/>
  <c r="T23" i="23"/>
  <c r="Y24" i="23"/>
  <c r="M24" i="23"/>
  <c r="N24" i="23"/>
  <c r="W13" i="23"/>
  <c r="L10" i="23"/>
  <c r="M14" i="23"/>
  <c r="O19" i="23"/>
  <c r="L5" i="23"/>
  <c r="V24" i="23"/>
  <c r="O15" i="23"/>
  <c r="N33" i="23"/>
  <c r="M33" i="23"/>
  <c r="K23" i="23"/>
  <c r="U13" i="23"/>
  <c r="R24" i="23"/>
  <c r="R23" i="23"/>
  <c r="X24" i="23"/>
  <c r="M12" i="23"/>
  <c r="N23" i="23"/>
  <c r="U24" i="23"/>
  <c r="K28" i="23"/>
  <c r="Y10" i="23"/>
  <c r="O24" i="23"/>
  <c r="K24" i="23"/>
  <c r="V10" i="23"/>
  <c r="L24" i="23"/>
  <c r="N32" i="23"/>
  <c r="U23" i="23"/>
  <c r="M25" i="23"/>
  <c r="L12" i="23"/>
  <c r="Q32" i="23"/>
  <c r="O32" i="23"/>
  <c r="O14" i="23"/>
  <c r="R13" i="23"/>
  <c r="M32" i="23"/>
  <c r="Q25" i="23"/>
  <c r="R33" i="23"/>
  <c r="Y16" i="23"/>
  <c r="J38" i="23"/>
  <c r="L25" i="23"/>
  <c r="O25" i="23"/>
  <c r="Y14" i="23"/>
  <c r="X7" i="23"/>
  <c r="Q16" i="23"/>
  <c r="L7" i="23"/>
  <c r="S33" i="23"/>
  <c r="N12" i="23"/>
  <c r="T32" i="23"/>
  <c r="T16" i="23"/>
  <c r="R16" i="23"/>
  <c r="K22" i="23"/>
  <c r="N25" i="23"/>
  <c r="X13" i="23"/>
  <c r="T22" i="23"/>
  <c r="Y29" i="23"/>
  <c r="R29" i="23"/>
  <c r="S16" i="23"/>
  <c r="W29" i="23"/>
  <c r="N29" i="23"/>
  <c r="S29" i="23"/>
  <c r="N7" i="23"/>
  <c r="T13" i="23"/>
  <c r="V12" i="23"/>
  <c r="U29" i="23"/>
  <c r="L32" i="23"/>
  <c r="M16" i="23"/>
  <c r="K32" i="23"/>
  <c r="K16" i="23"/>
  <c r="S14" i="23"/>
  <c r="O13" i="23"/>
  <c r="K33" i="23"/>
  <c r="Q12" i="23"/>
  <c r="Q13" i="23"/>
  <c r="W33" i="23"/>
  <c r="W16" i="23"/>
  <c r="V7" i="23"/>
  <c r="U25" i="23"/>
  <c r="W12" i="23"/>
  <c r="X25" i="23"/>
  <c r="N14" i="23"/>
  <c r="U16" i="23"/>
  <c r="S7" i="23"/>
  <c r="V29" i="23"/>
  <c r="T25" i="23"/>
  <c r="L14" i="23"/>
  <c r="S25" i="23"/>
  <c r="T29" i="23"/>
  <c r="R25" i="23"/>
  <c r="S13" i="23"/>
  <c r="Y7" i="23"/>
  <c r="O16" i="23"/>
  <c r="M7" i="23"/>
  <c r="Y12" i="23"/>
  <c r="X14" i="23"/>
  <c r="Q22" i="23"/>
  <c r="V32" i="23"/>
  <c r="X16" i="23"/>
  <c r="V33" i="23"/>
  <c r="U7" i="23"/>
  <c r="O29" i="23"/>
  <c r="N13" i="23"/>
  <c r="L29" i="23"/>
  <c r="L16" i="23"/>
  <c r="M29" i="23"/>
  <c r="L13" i="23"/>
  <c r="K29" i="23"/>
  <c r="T12" i="23"/>
  <c r="Q7" i="23"/>
  <c r="O7" i="23"/>
  <c r="N16" i="23"/>
  <c r="R12" i="23"/>
  <c r="W14" i="23"/>
  <c r="Y22" i="23"/>
  <c r="W30" i="23"/>
  <c r="Y30" i="23"/>
  <c r="R15" i="23"/>
  <c r="V15" i="23"/>
  <c r="R19" i="23"/>
  <c r="U5" i="23"/>
  <c r="S17" i="23"/>
  <c r="Y9" i="23"/>
  <c r="K5" i="23"/>
  <c r="Q17" i="23"/>
  <c r="N17" i="23"/>
  <c r="Q8" i="23"/>
  <c r="T30" i="23"/>
  <c r="R32" i="23"/>
  <c r="W7" i="23"/>
  <c r="R7" i="23"/>
  <c r="V25" i="23"/>
  <c r="Y25" i="23"/>
  <c r="T5" i="23"/>
  <c r="K15" i="23"/>
  <c r="K8" i="23"/>
  <c r="W19" i="23"/>
  <c r="T19" i="23"/>
  <c r="W5" i="23"/>
  <c r="Q9" i="23"/>
  <c r="M9" i="23"/>
  <c r="Y34" i="23"/>
  <c r="W34" i="23"/>
  <c r="X30" i="23"/>
  <c r="V19" i="23"/>
  <c r="M34" i="23"/>
  <c r="N30" i="23"/>
  <c r="O9" i="23"/>
  <c r="K9" i="23"/>
  <c r="M17" i="23"/>
  <c r="Y8" i="23"/>
  <c r="Q15" i="23"/>
  <c r="U30" i="23"/>
  <c r="R5" i="23"/>
  <c r="Q33" i="23"/>
  <c r="U34" i="23"/>
  <c r="X28" i="23"/>
  <c r="O5" i="23"/>
  <c r="N8" i="23"/>
  <c r="V5" i="23"/>
  <c r="K19" i="23"/>
  <c r="N34" i="23"/>
  <c r="O30" i="23"/>
  <c r="M19" i="23"/>
  <c r="W9" i="23"/>
  <c r="S5" i="23"/>
  <c r="U8" i="23"/>
  <c r="W17" i="23"/>
  <c r="R28" i="23"/>
  <c r="W15" i="23"/>
  <c r="T15" i="23"/>
  <c r="X34" i="23"/>
  <c r="Q30" i="23"/>
  <c r="K17" i="23"/>
  <c r="L15" i="23"/>
  <c r="L34" i="23"/>
  <c r="M15" i="23"/>
  <c r="Y28" i="23"/>
  <c r="N9" i="23"/>
  <c r="U19" i="23"/>
  <c r="O34" i="23"/>
  <c r="W8" i="23"/>
  <c r="U14" i="23"/>
  <c r="X17" i="23"/>
  <c r="V30" i="23"/>
  <c r="Y5" i="23"/>
  <c r="Q5" i="23"/>
  <c r="U9" i="23"/>
  <c r="V28" i="23"/>
  <c r="S28" i="23"/>
  <c r="M30" i="23"/>
  <c r="R30" i="23"/>
  <c r="Y17" i="23"/>
  <c r="L17" i="23"/>
  <c r="N5" i="23"/>
  <c r="R9" i="23"/>
  <c r="L30" i="23"/>
  <c r="K30" i="23"/>
  <c r="Y19" i="23"/>
  <c r="M5" i="23"/>
  <c r="M28" i="23"/>
  <c r="L28" i="23"/>
  <c r="L8" i="23"/>
  <c r="T28" i="23"/>
  <c r="Q19" i="23"/>
  <c r="X19" i="23"/>
  <c r="Q28" i="23"/>
  <c r="X8" i="23"/>
  <c r="L19" i="23"/>
  <c r="O17" i="23"/>
  <c r="O28" i="23"/>
  <c r="K14" i="23"/>
  <c r="N28" i="23"/>
  <c r="V8" i="23"/>
  <c r="T14" i="23"/>
  <c r="R17" i="23"/>
  <c r="Y33" i="23"/>
  <c r="Y15" i="23"/>
  <c r="U15" i="23"/>
  <c r="U33" i="23"/>
  <c r="W28" i="23"/>
  <c r="L33" i="23"/>
  <c r="V34" i="23"/>
  <c r="V26" i="23"/>
  <c r="X26" i="23"/>
  <c r="U26" i="23"/>
  <c r="W26" i="23"/>
  <c r="AA38" i="23"/>
  <c r="AB6" i="23"/>
  <c r="AB38" i="23" s="1"/>
  <c r="M38" i="23" l="1"/>
  <c r="R38" i="23"/>
  <c r="U38" i="23"/>
  <c r="L38" i="23"/>
  <c r="Q38" i="23"/>
  <c r="N38" i="23"/>
  <c r="T38" i="23"/>
  <c r="Y38" i="23"/>
  <c r="O38" i="23"/>
  <c r="W38" i="23"/>
  <c r="S38" i="23"/>
  <c r="V38" i="23"/>
  <c r="X38" i="23"/>
  <c r="K38" i="23"/>
  <c r="W34" i="22"/>
  <c r="W33" i="22"/>
  <c r="H42" i="22" l="1"/>
  <c r="O41" i="22"/>
  <c r="O3" i="22" s="1"/>
  <c r="O15" i="22" s="1"/>
  <c r="N41" i="22"/>
  <c r="N3" i="22" s="1"/>
  <c r="N15" i="22" s="1"/>
  <c r="M41" i="22"/>
  <c r="L41" i="22"/>
  <c r="L3" i="22" s="1"/>
  <c r="L15" i="22" s="1"/>
  <c r="K41" i="22"/>
  <c r="K3" i="22" s="1"/>
  <c r="K15" i="22" s="1"/>
  <c r="H41" i="22"/>
  <c r="P36" i="22"/>
  <c r="H36" i="22"/>
  <c r="Y34" i="22"/>
  <c r="X34" i="22"/>
  <c r="V34" i="22"/>
  <c r="U34" i="22"/>
  <c r="T34" i="22"/>
  <c r="S34" i="22"/>
  <c r="R34" i="22"/>
  <c r="Q34" i="22"/>
  <c r="J29" i="22"/>
  <c r="W29" i="22" s="1"/>
  <c r="U33" i="22"/>
  <c r="G19" i="22"/>
  <c r="O34" i="22"/>
  <c r="K34" i="22" l="1"/>
  <c r="N34" i="22"/>
  <c r="M3" i="22"/>
  <c r="M15" i="22" s="1"/>
  <c r="L34" i="22"/>
  <c r="AA6" i="22"/>
  <c r="AB6" i="22" s="1"/>
  <c r="AA15" i="22"/>
  <c r="AB15" i="22" s="1"/>
  <c r="H43" i="22"/>
  <c r="J8" i="22"/>
  <c r="J25" i="22"/>
  <c r="N25" i="22" s="1"/>
  <c r="J11" i="22"/>
  <c r="J28" i="22"/>
  <c r="J9" i="22"/>
  <c r="J27" i="22"/>
  <c r="J12" i="22"/>
  <c r="J30" i="22"/>
  <c r="J10" i="22"/>
  <c r="J13" i="22"/>
  <c r="V13" i="22" s="1"/>
  <c r="J22" i="22"/>
  <c r="Q22" i="22" s="1"/>
  <c r="J7" i="22"/>
  <c r="J20" i="22"/>
  <c r="J6" i="22"/>
  <c r="J21" i="22"/>
  <c r="J31" i="22"/>
  <c r="J23" i="22"/>
  <c r="J32" i="22"/>
  <c r="J24" i="22"/>
  <c r="J19" i="22"/>
  <c r="J26" i="22"/>
  <c r="K29" i="22"/>
  <c r="V29" i="22"/>
  <c r="M22" i="22"/>
  <c r="M29" i="22"/>
  <c r="U29" i="22"/>
  <c r="AA7" i="22"/>
  <c r="AB7" i="22" s="1"/>
  <c r="X22" i="22"/>
  <c r="J18" i="22"/>
  <c r="W18" i="22" s="1"/>
  <c r="J17" i="22"/>
  <c r="W17" i="22" s="1"/>
  <c r="J14" i="22"/>
  <c r="W14" i="22" s="1"/>
  <c r="J16" i="22"/>
  <c r="W16" i="22" s="1"/>
  <c r="Q11" i="22"/>
  <c r="Y11" i="22"/>
  <c r="O11" i="22"/>
  <c r="X11" i="22"/>
  <c r="AA34" i="22"/>
  <c r="AB34" i="22" s="1"/>
  <c r="AA12" i="22"/>
  <c r="AB12" i="22" s="1"/>
  <c r="AA11" i="22"/>
  <c r="AB11" i="22" s="1"/>
  <c r="AA10" i="22"/>
  <c r="AB10" i="22" s="1"/>
  <c r="AA9" i="22"/>
  <c r="AB9" i="22" s="1"/>
  <c r="AA8" i="22"/>
  <c r="AB8" i="22" s="1"/>
  <c r="AA32" i="22"/>
  <c r="AB32" i="22" s="1"/>
  <c r="AA31" i="22"/>
  <c r="AB31" i="22" s="1"/>
  <c r="AA30" i="22"/>
  <c r="AB30" i="22" s="1"/>
  <c r="AA29" i="22"/>
  <c r="AB29" i="22" s="1"/>
  <c r="AA28" i="22"/>
  <c r="AB28" i="22" s="1"/>
  <c r="AA27" i="22"/>
  <c r="AB27" i="22" s="1"/>
  <c r="AA26" i="22"/>
  <c r="AB26" i="22" s="1"/>
  <c r="AA25" i="22"/>
  <c r="AB25" i="22" s="1"/>
  <c r="AA24" i="22"/>
  <c r="AB24" i="22" s="1"/>
  <c r="AA23" i="22"/>
  <c r="AB23" i="22" s="1"/>
  <c r="AA22" i="22"/>
  <c r="AB22" i="22" s="1"/>
  <c r="AA21" i="22"/>
  <c r="AB21" i="22" s="1"/>
  <c r="AA20" i="22"/>
  <c r="AB20" i="22" s="1"/>
  <c r="AA19" i="22"/>
  <c r="AB19" i="22" s="1"/>
  <c r="AA13" i="22"/>
  <c r="AB13" i="22" s="1"/>
  <c r="AA18" i="22"/>
  <c r="AB18" i="22" s="1"/>
  <c r="AA17" i="22"/>
  <c r="AB17" i="22" s="1"/>
  <c r="AA14" i="22"/>
  <c r="AB14" i="22" s="1"/>
  <c r="AA16" i="22"/>
  <c r="AB16" i="22" s="1"/>
  <c r="K11" i="22"/>
  <c r="R29" i="22"/>
  <c r="Q29" i="22"/>
  <c r="Y29" i="22"/>
  <c r="O29" i="22"/>
  <c r="X29" i="22"/>
  <c r="N29" i="22"/>
  <c r="Y32" i="22"/>
  <c r="M11" i="22"/>
  <c r="L22" i="22"/>
  <c r="L28" i="22"/>
  <c r="L29" i="22"/>
  <c r="L32" i="22"/>
  <c r="R11" i="22"/>
  <c r="S22" i="22"/>
  <c r="S29" i="22"/>
  <c r="S11" i="22"/>
  <c r="T11" i="22"/>
  <c r="T22" i="22"/>
  <c r="T29" i="22"/>
  <c r="AA35" i="22"/>
  <c r="AB35" i="22" s="1"/>
  <c r="H41" i="21"/>
  <c r="M34" i="22" l="1"/>
  <c r="K32" i="22"/>
  <c r="W32" i="22"/>
  <c r="K23" i="22"/>
  <c r="W23" i="22"/>
  <c r="S25" i="22"/>
  <c r="Y25" i="22"/>
  <c r="Q25" i="22"/>
  <c r="K21" i="22"/>
  <c r="W21" i="22"/>
  <c r="R12" i="22"/>
  <c r="W12" i="22"/>
  <c r="S32" i="22"/>
  <c r="T6" i="22"/>
  <c r="W6" i="22"/>
  <c r="K27" i="22"/>
  <c r="W27" i="22"/>
  <c r="U25" i="22"/>
  <c r="K13" i="22"/>
  <c r="W13" i="22"/>
  <c r="S8" i="22"/>
  <c r="W8" i="22"/>
  <c r="T32" i="22"/>
  <c r="N32" i="22"/>
  <c r="N13" i="22"/>
  <c r="V26" i="22"/>
  <c r="W26" i="22"/>
  <c r="T9" i="22"/>
  <c r="W9" i="22"/>
  <c r="X32" i="22"/>
  <c r="M13" i="22"/>
  <c r="M19" i="22"/>
  <c r="W19" i="22"/>
  <c r="T7" i="22"/>
  <c r="W7" i="22"/>
  <c r="V28" i="22"/>
  <c r="W28" i="22"/>
  <c r="K25" i="22"/>
  <c r="W25" i="22"/>
  <c r="Q32" i="22"/>
  <c r="X10" i="22"/>
  <c r="W10" i="22"/>
  <c r="R32" i="22"/>
  <c r="U31" i="22"/>
  <c r="W31" i="22"/>
  <c r="V20" i="22"/>
  <c r="W20" i="22"/>
  <c r="T25" i="22"/>
  <c r="O32" i="22"/>
  <c r="Q13" i="22"/>
  <c r="V24" i="22"/>
  <c r="W24" i="22"/>
  <c r="V22" i="22"/>
  <c r="W22" i="22"/>
  <c r="L11" i="22"/>
  <c r="W11" i="22"/>
  <c r="V30" i="22"/>
  <c r="W30" i="22"/>
  <c r="O9" i="22"/>
  <c r="N7" i="22"/>
  <c r="O7" i="22"/>
  <c r="U13" i="22"/>
  <c r="T21" i="22"/>
  <c r="L12" i="22"/>
  <c r="V11" i="22"/>
  <c r="T12" i="22"/>
  <c r="N11" i="22"/>
  <c r="M32" i="22"/>
  <c r="N21" i="22"/>
  <c r="S12" i="22"/>
  <c r="Y28" i="22"/>
  <c r="X24" i="22"/>
  <c r="Y22" i="22"/>
  <c r="V10" i="22"/>
  <c r="O8" i="22"/>
  <c r="M23" i="22"/>
  <c r="Y23" i="22"/>
  <c r="K22" i="22"/>
  <c r="R22" i="22"/>
  <c r="M7" i="22"/>
  <c r="K12" i="22"/>
  <c r="S21" i="22"/>
  <c r="O21" i="22"/>
  <c r="Y21" i="22"/>
  <c r="N12" i="22"/>
  <c r="U22" i="22"/>
  <c r="Q21" i="22"/>
  <c r="X12" i="22"/>
  <c r="R21" i="22"/>
  <c r="N22" i="22"/>
  <c r="L21" i="22"/>
  <c r="O22" i="22"/>
  <c r="Y8" i="22"/>
  <c r="O10" i="22"/>
  <c r="N9" i="22"/>
  <c r="K20" i="22"/>
  <c r="Y10" i="22"/>
  <c r="U10" i="22"/>
  <c r="K9" i="22"/>
  <c r="X9" i="22"/>
  <c r="T10" i="22"/>
  <c r="Q10" i="22"/>
  <c r="R8" i="22"/>
  <c r="Q8" i="22"/>
  <c r="M10" i="22"/>
  <c r="T23" i="22"/>
  <c r="Y9" i="22"/>
  <c r="R10" i="22"/>
  <c r="U8" i="22"/>
  <c r="K10" i="22"/>
  <c r="T8" i="22"/>
  <c r="R19" i="22"/>
  <c r="N8" i="22"/>
  <c r="N10" i="22"/>
  <c r="M8" i="22"/>
  <c r="L10" i="22"/>
  <c r="S10" i="22"/>
  <c r="V8" i="22"/>
  <c r="K8" i="22"/>
  <c r="O23" i="22"/>
  <c r="X8" i="22"/>
  <c r="L8" i="22"/>
  <c r="U11" i="22"/>
  <c r="K24" i="22"/>
  <c r="T31" i="22"/>
  <c r="U32" i="22"/>
  <c r="Y7" i="22"/>
  <c r="R25" i="22"/>
  <c r="S7" i="22"/>
  <c r="T28" i="22"/>
  <c r="S28" i="22"/>
  <c r="L13" i="22"/>
  <c r="N28" i="22"/>
  <c r="Q7" i="22"/>
  <c r="O28" i="22"/>
  <c r="K7" i="22"/>
  <c r="R13" i="22"/>
  <c r="U7" i="22"/>
  <c r="S13" i="22"/>
  <c r="S31" i="22"/>
  <c r="O25" i="22"/>
  <c r="X13" i="22"/>
  <c r="X28" i="22"/>
  <c r="R7" i="22"/>
  <c r="L7" i="22"/>
  <c r="Q28" i="22"/>
  <c r="T13" i="22"/>
  <c r="X7" i="22"/>
  <c r="L25" i="22"/>
  <c r="X25" i="22"/>
  <c r="X21" i="22"/>
  <c r="O13" i="22"/>
  <c r="K28" i="22"/>
  <c r="R28" i="22"/>
  <c r="V12" i="22"/>
  <c r="M25" i="22"/>
  <c r="V25" i="22"/>
  <c r="Q6" i="22"/>
  <c r="X19" i="22"/>
  <c r="R20" i="22"/>
  <c r="S27" i="22"/>
  <c r="O27" i="22"/>
  <c r="U20" i="22"/>
  <c r="U9" i="22"/>
  <c r="T20" i="22"/>
  <c r="S20" i="22"/>
  <c r="Q9" i="22"/>
  <c r="N31" i="22"/>
  <c r="Q12" i="22"/>
  <c r="V27" i="22"/>
  <c r="S9" i="22"/>
  <c r="X30" i="22"/>
  <c r="X26" i="22"/>
  <c r="N20" i="22"/>
  <c r="U12" i="22"/>
  <c r="O6" i="22"/>
  <c r="M6" i="22"/>
  <c r="L20" i="22"/>
  <c r="K30" i="22"/>
  <c r="Y30" i="22"/>
  <c r="O20" i="22"/>
  <c r="V9" i="22"/>
  <c r="Q20" i="22"/>
  <c r="M20" i="22"/>
  <c r="S30" i="22"/>
  <c r="N27" i="22"/>
  <c r="Q19" i="22"/>
  <c r="Y6" i="22"/>
  <c r="O30" i="22"/>
  <c r="M31" i="22"/>
  <c r="S6" i="22"/>
  <c r="V6" i="22"/>
  <c r="Y27" i="22"/>
  <c r="O31" i="22"/>
  <c r="N30" i="22"/>
  <c r="U27" i="22"/>
  <c r="M27" i="22"/>
  <c r="V21" i="22"/>
  <c r="T30" i="22"/>
  <c r="X27" i="22"/>
  <c r="Y31" i="22"/>
  <c r="Q30" i="22"/>
  <c r="L6" i="22"/>
  <c r="L30" i="22"/>
  <c r="Q27" i="22"/>
  <c r="N19" i="22"/>
  <c r="U6" i="22"/>
  <c r="X31" i="22"/>
  <c r="R30" i="22"/>
  <c r="M12" i="22"/>
  <c r="U21" i="22"/>
  <c r="U30" i="22"/>
  <c r="M30" i="22"/>
  <c r="V7" i="22"/>
  <c r="V31" i="22"/>
  <c r="T19" i="22"/>
  <c r="L19" i="22"/>
  <c r="T27" i="22"/>
  <c r="R27" i="22"/>
  <c r="O19" i="22"/>
  <c r="N6" i="22"/>
  <c r="Q31" i="22"/>
  <c r="Y20" i="22"/>
  <c r="O12" i="22"/>
  <c r="U19" i="22"/>
  <c r="M21" i="22"/>
  <c r="U28" i="22"/>
  <c r="M28" i="22"/>
  <c r="M9" i="22"/>
  <c r="L31" i="22"/>
  <c r="S19" i="22"/>
  <c r="K6" i="22"/>
  <c r="L27" i="22"/>
  <c r="Y19" i="22"/>
  <c r="K31" i="22"/>
  <c r="X6" i="22"/>
  <c r="R31" i="22"/>
  <c r="X20" i="22"/>
  <c r="Y12" i="22"/>
  <c r="L9" i="22"/>
  <c r="R6" i="22"/>
  <c r="R9" i="22"/>
  <c r="N23" i="22"/>
  <c r="S23" i="22"/>
  <c r="X23" i="22"/>
  <c r="S24" i="22"/>
  <c r="L23" i="22"/>
  <c r="Q23" i="22"/>
  <c r="N24" i="22"/>
  <c r="V32" i="22"/>
  <c r="R23" i="22"/>
  <c r="O24" i="22"/>
  <c r="L24" i="22"/>
  <c r="U24" i="22"/>
  <c r="T24" i="22"/>
  <c r="Y24" i="22"/>
  <c r="Q26" i="22"/>
  <c r="R26" i="22"/>
  <c r="L26" i="22"/>
  <c r="U26" i="22"/>
  <c r="S26" i="22"/>
  <c r="K26" i="22"/>
  <c r="V23" i="22"/>
  <c r="T26" i="22"/>
  <c r="J36" i="22"/>
  <c r="N26" i="22"/>
  <c r="R24" i="22"/>
  <c r="U23" i="22"/>
  <c r="K19" i="22"/>
  <c r="V19" i="22"/>
  <c r="O26" i="22"/>
  <c r="M26" i="22"/>
  <c r="Y26" i="22"/>
  <c r="Q24" i="22"/>
  <c r="M24" i="22"/>
  <c r="AB36" i="22"/>
  <c r="S16" i="22"/>
  <c r="R16" i="22"/>
  <c r="O16" i="22"/>
  <c r="Q16" i="22"/>
  <c r="Y16" i="22"/>
  <c r="X16" i="22"/>
  <c r="V16" i="22"/>
  <c r="K16" i="22"/>
  <c r="U16" i="22"/>
  <c r="T16" i="22"/>
  <c r="N16" i="22"/>
  <c r="L16" i="22"/>
  <c r="M16" i="22"/>
  <c r="S14" i="22"/>
  <c r="R14" i="22"/>
  <c r="Y14" i="22"/>
  <c r="Q14" i="22"/>
  <c r="O14" i="22"/>
  <c r="X14" i="22"/>
  <c r="V14" i="22"/>
  <c r="U14" i="22"/>
  <c r="T14" i="22"/>
  <c r="N14" i="22"/>
  <c r="K14" i="22"/>
  <c r="M14" i="22"/>
  <c r="L14" i="22"/>
  <c r="S17" i="22"/>
  <c r="R17" i="22"/>
  <c r="Y17" i="22"/>
  <c r="Q17" i="22"/>
  <c r="O17" i="22"/>
  <c r="X17" i="22"/>
  <c r="V17" i="22"/>
  <c r="U17" i="22"/>
  <c r="T17" i="22"/>
  <c r="N17" i="22"/>
  <c r="L17" i="22"/>
  <c r="M17" i="22"/>
  <c r="K17" i="22"/>
  <c r="S18" i="22"/>
  <c r="R18" i="22"/>
  <c r="Y18" i="22"/>
  <c r="Q18" i="22"/>
  <c r="O18" i="22"/>
  <c r="X18" i="22"/>
  <c r="V18" i="22"/>
  <c r="U18" i="22"/>
  <c r="T18" i="22"/>
  <c r="N18" i="22"/>
  <c r="K18" i="22"/>
  <c r="M18" i="22"/>
  <c r="L18" i="22"/>
  <c r="AA36" i="22"/>
  <c r="G5" i="21"/>
  <c r="H35" i="21"/>
  <c r="H40" i="21"/>
  <c r="O40" i="21"/>
  <c r="O3" i="21" s="1"/>
  <c r="N40" i="21"/>
  <c r="N3" i="21" s="1"/>
  <c r="M40" i="21"/>
  <c r="M3" i="21" s="1"/>
  <c r="L40" i="21"/>
  <c r="L3" i="21" s="1"/>
  <c r="K40" i="21"/>
  <c r="K3" i="21" s="1"/>
  <c r="F33" i="21"/>
  <c r="J15" i="21" s="1"/>
  <c r="X33" i="21"/>
  <c r="W33" i="21"/>
  <c r="V33" i="21"/>
  <c r="U32" i="21"/>
  <c r="U33" i="21"/>
  <c r="T33" i="21"/>
  <c r="S33" i="21"/>
  <c r="R33" i="21"/>
  <c r="Q33" i="21"/>
  <c r="P35" i="21"/>
  <c r="G46" i="19"/>
  <c r="G47" i="19"/>
  <c r="G39" i="20"/>
  <c r="G40" i="20"/>
  <c r="N11" i="20"/>
  <c r="X11" i="20"/>
  <c r="T37" i="16"/>
  <c r="T36" i="16"/>
  <c r="G6" i="15"/>
  <c r="H10" i="15"/>
  <c r="M45" i="20"/>
  <c r="L45" i="20"/>
  <c r="K45" i="20"/>
  <c r="J45" i="20"/>
  <c r="I45" i="20"/>
  <c r="G45" i="20"/>
  <c r="N40" i="20"/>
  <c r="W38" i="20"/>
  <c r="U38" i="20"/>
  <c r="T38" i="20"/>
  <c r="S38" i="20"/>
  <c r="R38" i="20"/>
  <c r="Q38" i="20"/>
  <c r="P38" i="20"/>
  <c r="O38" i="20"/>
  <c r="M38" i="20"/>
  <c r="L38" i="20"/>
  <c r="K38" i="20"/>
  <c r="J38" i="20"/>
  <c r="I38" i="20"/>
  <c r="F38" i="20"/>
  <c r="H32" i="20"/>
  <c r="U32" i="20"/>
  <c r="M45" i="19"/>
  <c r="L45" i="19"/>
  <c r="K45" i="19"/>
  <c r="J45" i="19"/>
  <c r="I45" i="19"/>
  <c r="G45" i="19"/>
  <c r="N40" i="19"/>
  <c r="V38" i="19"/>
  <c r="U38" i="19"/>
  <c r="T38" i="19"/>
  <c r="S38" i="19"/>
  <c r="R38" i="19"/>
  <c r="Q38" i="19"/>
  <c r="P38" i="19"/>
  <c r="O38" i="19"/>
  <c r="M38" i="19"/>
  <c r="L38" i="19"/>
  <c r="K38" i="19"/>
  <c r="J38" i="19"/>
  <c r="I38" i="19"/>
  <c r="F38" i="19"/>
  <c r="H10" i="20"/>
  <c r="H26" i="20"/>
  <c r="U26" i="20"/>
  <c r="H6" i="20"/>
  <c r="H9" i="20"/>
  <c r="J9" i="20"/>
  <c r="H14" i="20"/>
  <c r="M14" i="20"/>
  <c r="H15" i="20"/>
  <c r="R15" i="20" s="1"/>
  <c r="H16" i="20"/>
  <c r="J16" i="20" s="1"/>
  <c r="H19" i="20"/>
  <c r="H20" i="20"/>
  <c r="R20" i="20" s="1"/>
  <c r="H21" i="20"/>
  <c r="H24" i="20"/>
  <c r="P24" i="20" s="1"/>
  <c r="H34" i="20"/>
  <c r="S34" i="20" s="1"/>
  <c r="H7" i="20"/>
  <c r="H29" i="20"/>
  <c r="T29" i="20" s="1"/>
  <c r="H31" i="20"/>
  <c r="O31" i="20"/>
  <c r="H33" i="20"/>
  <c r="S33" i="20"/>
  <c r="H37" i="20"/>
  <c r="W37" i="20" s="1"/>
  <c r="H8" i="20"/>
  <c r="H22" i="20"/>
  <c r="K22" i="20" s="1"/>
  <c r="W26" i="20"/>
  <c r="H19" i="19"/>
  <c r="O19" i="19" s="1"/>
  <c r="G7" i="5"/>
  <c r="G34" i="16"/>
  <c r="F37" i="16" s="1"/>
  <c r="I11" i="16" s="1"/>
  <c r="T36" i="17"/>
  <c r="W36" i="17"/>
  <c r="V36" i="17"/>
  <c r="U36" i="17"/>
  <c r="S36" i="17"/>
  <c r="R36" i="17"/>
  <c r="Q36" i="17"/>
  <c r="P36" i="17"/>
  <c r="N36" i="17"/>
  <c r="M36" i="17"/>
  <c r="L36" i="17"/>
  <c r="G38" i="15"/>
  <c r="Y27" i="15"/>
  <c r="O38" i="15"/>
  <c r="F36" i="15"/>
  <c r="I35" i="15"/>
  <c r="V35" i="15" s="1"/>
  <c r="Y6" i="20"/>
  <c r="Y8" i="20"/>
  <c r="Z8" i="20"/>
  <c r="Y18" i="20"/>
  <c r="Z18" i="20"/>
  <c r="Y26" i="20"/>
  <c r="Z26" i="20" s="1"/>
  <c r="Y24" i="20"/>
  <c r="Z24" i="20" s="1"/>
  <c r="Y16" i="20"/>
  <c r="Z16" i="20" s="1"/>
  <c r="Y33" i="20"/>
  <c r="Z33" i="20"/>
  <c r="Y19" i="20"/>
  <c r="Z19" i="20"/>
  <c r="Y27" i="20"/>
  <c r="Z27" i="20" s="1"/>
  <c r="Y35" i="20"/>
  <c r="Z35" i="20" s="1"/>
  <c r="Y12" i="20"/>
  <c r="Z12" i="20"/>
  <c r="Y21" i="20"/>
  <c r="Z21" i="20"/>
  <c r="Y29" i="20"/>
  <c r="Z29" i="20" s="1"/>
  <c r="Y9" i="20"/>
  <c r="Z9" i="20"/>
  <c r="Y28" i="20"/>
  <c r="Z28" i="20"/>
  <c r="Y13" i="20"/>
  <c r="Z13" i="20"/>
  <c r="Y30" i="20"/>
  <c r="Z30" i="20" s="1"/>
  <c r="Y38" i="20"/>
  <c r="Z38" i="20" s="1"/>
  <c r="Y32" i="20"/>
  <c r="Z32" i="20"/>
  <c r="Y14" i="20"/>
  <c r="Z14" i="20"/>
  <c r="Y23" i="20"/>
  <c r="Z23" i="20" s="1"/>
  <c r="Y31" i="20"/>
  <c r="Z31" i="20" s="1"/>
  <c r="Y39" i="20"/>
  <c r="Z39" i="20"/>
  <c r="Q32" i="20"/>
  <c r="O26" i="20"/>
  <c r="R32" i="20"/>
  <c r="W10" i="20"/>
  <c r="K10" i="20"/>
  <c r="Q9" i="20"/>
  <c r="L20" i="20"/>
  <c r="M22" i="20"/>
  <c r="W21" i="20"/>
  <c r="Q22" i="20"/>
  <c r="S21" i="20"/>
  <c r="R21" i="20"/>
  <c r="S29" i="20"/>
  <c r="O22" i="20"/>
  <c r="L19" i="20"/>
  <c r="R22" i="20"/>
  <c r="S26" i="20"/>
  <c r="S22" i="20"/>
  <c r="Q19" i="20"/>
  <c r="M26" i="20"/>
  <c r="W22" i="20"/>
  <c r="J29" i="20"/>
  <c r="P26" i="20"/>
  <c r="L22" i="20"/>
  <c r="L9" i="20"/>
  <c r="I24" i="20"/>
  <c r="J26" i="20"/>
  <c r="L34" i="20"/>
  <c r="L31" i="20"/>
  <c r="W32" i="20"/>
  <c r="J32" i="20"/>
  <c r="Q31" i="20"/>
  <c r="I32" i="20"/>
  <c r="I31" i="20"/>
  <c r="O32" i="20"/>
  <c r="W31" i="20"/>
  <c r="P32" i="20"/>
  <c r="K32" i="20"/>
  <c r="L32" i="20"/>
  <c r="M32" i="20"/>
  <c r="S32" i="20"/>
  <c r="T32" i="20"/>
  <c r="P15" i="20"/>
  <c r="J33" i="20"/>
  <c r="U21" i="20"/>
  <c r="P21" i="20"/>
  <c r="I21" i="20"/>
  <c r="P14" i="20"/>
  <c r="U20" i="20"/>
  <c r="P20" i="20"/>
  <c r="I20" i="20"/>
  <c r="T20" i="20"/>
  <c r="L7" i="20"/>
  <c r="U31" i="20"/>
  <c r="T31" i="20"/>
  <c r="P31" i="20"/>
  <c r="K31" i="20"/>
  <c r="T34" i="20"/>
  <c r="U7" i="20"/>
  <c r="T7" i="20"/>
  <c r="P7" i="20"/>
  <c r="K7" i="20"/>
  <c r="I7" i="20"/>
  <c r="Q8" i="20"/>
  <c r="Q11" i="20" s="1"/>
  <c r="J21" i="20"/>
  <c r="P29" i="20"/>
  <c r="R19" i="20"/>
  <c r="M19" i="20"/>
  <c r="P19" i="20"/>
  <c r="K19" i="20"/>
  <c r="U9" i="20"/>
  <c r="T9" i="20"/>
  <c r="R9" i="20"/>
  <c r="P9" i="20"/>
  <c r="J14" i="20"/>
  <c r="U22" i="20"/>
  <c r="T22" i="20"/>
  <c r="P22" i="20"/>
  <c r="I6" i="20"/>
  <c r="O20" i="20"/>
  <c r="T16" i="20"/>
  <c r="I16" i="20"/>
  <c r="Y37" i="15"/>
  <c r="Y33" i="15"/>
  <c r="Z33" i="15" s="1"/>
  <c r="Y15" i="15"/>
  <c r="Y31" i="15"/>
  <c r="Y10" i="15"/>
  <c r="Y23" i="15"/>
  <c r="Y38" i="15" s="1"/>
  <c r="Y8" i="15"/>
  <c r="Z8" i="15"/>
  <c r="Y36" i="15"/>
  <c r="Y25" i="15"/>
  <c r="Y18" i="15"/>
  <c r="Y9" i="15"/>
  <c r="Y34" i="15"/>
  <c r="Z34" i="15"/>
  <c r="Y22" i="15"/>
  <c r="N43" i="17"/>
  <c r="M43" i="17"/>
  <c r="L43" i="17"/>
  <c r="K43" i="17"/>
  <c r="J43" i="17"/>
  <c r="G43" i="17"/>
  <c r="G44" i="17"/>
  <c r="M44" i="16"/>
  <c r="N44" i="16"/>
  <c r="L44" i="16"/>
  <c r="K44" i="16"/>
  <c r="J44" i="16"/>
  <c r="G44" i="16"/>
  <c r="V37" i="16"/>
  <c r="W37" i="16"/>
  <c r="Q37" i="16"/>
  <c r="M37" i="16"/>
  <c r="U37" i="16"/>
  <c r="R37" i="16"/>
  <c r="P37" i="16"/>
  <c r="J37" i="16"/>
  <c r="L37" i="16"/>
  <c r="S37" i="16"/>
  <c r="K37" i="16"/>
  <c r="N37" i="16"/>
  <c r="G43" i="15"/>
  <c r="G42" i="15"/>
  <c r="G44" i="15"/>
  <c r="T5" i="15"/>
  <c r="Z37" i="15"/>
  <c r="Z9" i="15"/>
  <c r="I30" i="15"/>
  <c r="I12" i="15"/>
  <c r="J12" i="15" s="1"/>
  <c r="I8" i="15"/>
  <c r="I7" i="15"/>
  <c r="I9" i="15"/>
  <c r="J9" i="15"/>
  <c r="I6" i="15"/>
  <c r="Q6" i="15"/>
  <c r="I29" i="15"/>
  <c r="M29" i="15" s="1"/>
  <c r="I21" i="15"/>
  <c r="U21" i="15" s="1"/>
  <c r="I18" i="15"/>
  <c r="M18" i="15" s="1"/>
  <c r="I14" i="15"/>
  <c r="S14" i="15" s="1"/>
  <c r="I15" i="15"/>
  <c r="V15" i="15" s="1"/>
  <c r="I22" i="15"/>
  <c r="I10" i="15"/>
  <c r="K10" i="15"/>
  <c r="Z10" i="15"/>
  <c r="I36" i="15"/>
  <c r="Z27" i="15"/>
  <c r="I34" i="15"/>
  <c r="I23" i="15"/>
  <c r="T23" i="15" s="1"/>
  <c r="I19" i="15"/>
  <c r="I25" i="15"/>
  <c r="T25" i="15" s="1"/>
  <c r="I26" i="15"/>
  <c r="I17" i="15"/>
  <c r="W17" i="15" s="1"/>
  <c r="I20" i="15"/>
  <c r="R20" i="15" s="1"/>
  <c r="I32" i="15"/>
  <c r="I24" i="15"/>
  <c r="U24" i="15" s="1"/>
  <c r="I27" i="15"/>
  <c r="S27" i="15"/>
  <c r="I33" i="15"/>
  <c r="I31" i="15"/>
  <c r="J31" i="15"/>
  <c r="I28" i="15"/>
  <c r="T28" i="15" s="1"/>
  <c r="I13" i="15"/>
  <c r="J13" i="15" s="1"/>
  <c r="Z36" i="15"/>
  <c r="Z31" i="15"/>
  <c r="Z25" i="15"/>
  <c r="Z22" i="15"/>
  <c r="Z18" i="15"/>
  <c r="Z15" i="15"/>
  <c r="J30" i="15"/>
  <c r="J32" i="15"/>
  <c r="J14" i="15"/>
  <c r="M30" i="15"/>
  <c r="U30" i="15"/>
  <c r="K30" i="15"/>
  <c r="L6" i="15"/>
  <c r="K6" i="15"/>
  <c r="V6" i="15"/>
  <c r="P12" i="15"/>
  <c r="K12" i="15"/>
  <c r="Q30" i="15"/>
  <c r="S9" i="15"/>
  <c r="Q9" i="15"/>
  <c r="V9" i="15"/>
  <c r="R9" i="15"/>
  <c r="M9" i="15"/>
  <c r="N9" i="15"/>
  <c r="P9" i="15"/>
  <c r="U9" i="15"/>
  <c r="T9" i="15"/>
  <c r="L9" i="15"/>
  <c r="K9" i="15"/>
  <c r="W9" i="15"/>
  <c r="N7" i="15"/>
  <c r="Q7" i="15"/>
  <c r="V7" i="15"/>
  <c r="K8" i="15"/>
  <c r="S8" i="15"/>
  <c r="M8" i="15"/>
  <c r="U14" i="15"/>
  <c r="K22" i="15"/>
  <c r="T22" i="15"/>
  <c r="K15" i="15"/>
  <c r="S22" i="15"/>
  <c r="L22" i="15"/>
  <c r="W10" i="15"/>
  <c r="U22" i="15"/>
  <c r="W18" i="15"/>
  <c r="Q19" i="15"/>
  <c r="P18" i="15"/>
  <c r="K18" i="15"/>
  <c r="M19" i="15"/>
  <c r="N18" i="15"/>
  <c r="U25" i="15"/>
  <c r="Q17" i="15"/>
  <c r="K17" i="15"/>
  <c r="P36" i="15"/>
  <c r="P17" i="15"/>
  <c r="V17" i="15"/>
  <c r="S32" i="15"/>
  <c r="L36" i="15"/>
  <c r="U36" i="15"/>
  <c r="L17" i="15"/>
  <c r="W25" i="15"/>
  <c r="N25" i="15"/>
  <c r="R19" i="15"/>
  <c r="S25" i="15"/>
  <c r="S19" i="15"/>
  <c r="V25" i="15"/>
  <c r="V20" i="15"/>
  <c r="P19" i="15"/>
  <c r="M13" i="15"/>
  <c r="S13" i="15"/>
  <c r="W28" i="15"/>
  <c r="L35" i="15"/>
  <c r="M35" i="15"/>
  <c r="T27" i="15"/>
  <c r="R27" i="15"/>
  <c r="N27" i="15"/>
  <c r="W27" i="15"/>
  <c r="M27" i="15"/>
  <c r="U27" i="15"/>
  <c r="P27" i="15"/>
  <c r="Q31" i="15"/>
  <c r="P31" i="15"/>
  <c r="W31" i="15"/>
  <c r="L31" i="15"/>
  <c r="U31" i="15"/>
  <c r="T31" i="15"/>
  <c r="V31" i="15"/>
  <c r="K31" i="15"/>
  <c r="S31" i="15"/>
  <c r="R31" i="15"/>
  <c r="N31" i="15"/>
  <c r="M31" i="15"/>
  <c r="K33" i="15"/>
  <c r="G43" i="5"/>
  <c r="G42" i="5"/>
  <c r="I38" i="5"/>
  <c r="N26" i="15"/>
  <c r="K26" i="15"/>
  <c r="W26" i="15"/>
  <c r="U26" i="15"/>
  <c r="V26" i="15"/>
  <c r="L26" i="15"/>
  <c r="Q33" i="15"/>
  <c r="S33" i="15"/>
  <c r="R33" i="15"/>
  <c r="M33" i="15"/>
  <c r="T33" i="15"/>
  <c r="V33" i="15"/>
  <c r="N10" i="15"/>
  <c r="P10" i="15"/>
  <c r="V10" i="15"/>
  <c r="J10" i="15"/>
  <c r="R10" i="15"/>
  <c r="Q10" i="15"/>
  <c r="U10" i="15"/>
  <c r="M10" i="15"/>
  <c r="L10" i="15"/>
  <c r="T10" i="15"/>
  <c r="S10" i="15"/>
  <c r="V29" i="15"/>
  <c r="U19" i="15"/>
  <c r="L19" i="15"/>
  <c r="K19" i="15"/>
  <c r="V19" i="15"/>
  <c r="N19" i="15"/>
  <c r="T19" i="15"/>
  <c r="W19" i="15"/>
  <c r="J19" i="15"/>
  <c r="N8" i="15"/>
  <c r="L8" i="15"/>
  <c r="U8" i="15"/>
  <c r="T8" i="15"/>
  <c r="V8" i="15"/>
  <c r="R8" i="15"/>
  <c r="P8" i="15"/>
  <c r="J8" i="15"/>
  <c r="Q8" i="15"/>
  <c r="W8" i="15"/>
  <c r="J36" i="15"/>
  <c r="T36" i="15"/>
  <c r="M36" i="15"/>
  <c r="W36" i="15"/>
  <c r="Q36" i="15"/>
  <c r="R36" i="15"/>
  <c r="V36" i="15"/>
  <c r="S36" i="15"/>
  <c r="K36" i="15"/>
  <c r="N36" i="15"/>
  <c r="N29" i="15"/>
  <c r="P29" i="15"/>
  <c r="Q29" i="15"/>
  <c r="S29" i="15"/>
  <c r="P8" i="20"/>
  <c r="M8" i="20"/>
  <c r="W8" i="20"/>
  <c r="W11" i="20" s="1"/>
  <c r="O8" i="20"/>
  <c r="K8" i="20"/>
  <c r="U8" i="20"/>
  <c r="L8" i="20"/>
  <c r="T8" i="20"/>
  <c r="T11" i="20" s="1"/>
  <c r="R8" i="20"/>
  <c r="I8" i="20"/>
  <c r="S8" i="20"/>
  <c r="S11" i="20" s="1"/>
  <c r="J8" i="20"/>
  <c r="Q33" i="20"/>
  <c r="W33" i="20"/>
  <c r="Y21" i="15"/>
  <c r="Z21" i="15" s="1"/>
  <c r="Y14" i="15"/>
  <c r="Z14" i="15"/>
  <c r="Y26" i="15"/>
  <c r="Z26" i="15" s="1"/>
  <c r="Y24" i="15"/>
  <c r="Z24" i="15" s="1"/>
  <c r="Y6" i="15"/>
  <c r="Y30" i="15"/>
  <c r="Z30" i="15"/>
  <c r="Y19" i="15"/>
  <c r="Z19" i="15"/>
  <c r="Y17" i="15"/>
  <c r="Z17" i="15"/>
  <c r="Y20" i="15"/>
  <c r="Z20" i="15"/>
  <c r="Y13" i="15"/>
  <c r="Z13" i="15" s="1"/>
  <c r="Y12" i="15"/>
  <c r="Z12" i="15"/>
  <c r="Y7" i="15"/>
  <c r="Z7" i="15"/>
  <c r="Y29" i="15"/>
  <c r="Z29" i="15"/>
  <c r="Y28" i="15"/>
  <c r="Z28" i="15" s="1"/>
  <c r="Y35" i="15"/>
  <c r="Z35" i="15"/>
  <c r="Y32" i="15"/>
  <c r="Z32" i="15"/>
  <c r="T10" i="20"/>
  <c r="J10" i="20"/>
  <c r="O10" i="20"/>
  <c r="I10" i="20"/>
  <c r="S10" i="20"/>
  <c r="M10" i="20"/>
  <c r="P10" i="20"/>
  <c r="K14" i="20"/>
  <c r="O33" i="20"/>
  <c r="R24" i="20"/>
  <c r="T24" i="20"/>
  <c r="U10" i="20"/>
  <c r="Z6" i="20"/>
  <c r="Z11" i="20" s="1"/>
  <c r="P6" i="20"/>
  <c r="Q6" i="20"/>
  <c r="R6" i="20"/>
  <c r="L33" i="20"/>
  <c r="I33" i="20"/>
  <c r="U33" i="20"/>
  <c r="M33" i="20"/>
  <c r="T33" i="20"/>
  <c r="K33" i="20"/>
  <c r="Q14" i="20"/>
  <c r="W14" i="20"/>
  <c r="I14" i="20"/>
  <c r="O14" i="20"/>
  <c r="U14" i="20"/>
  <c r="L14" i="20"/>
  <c r="T14" i="20"/>
  <c r="S14" i="20"/>
  <c r="P33" i="20"/>
  <c r="R14" i="20"/>
  <c r="L10" i="20"/>
  <c r="R33" i="20"/>
  <c r="M31" i="20"/>
  <c r="R31" i="20"/>
  <c r="J31" i="20"/>
  <c r="S31" i="20"/>
  <c r="S19" i="20"/>
  <c r="J19" i="20"/>
  <c r="T19" i="20"/>
  <c r="I19" i="20"/>
  <c r="O19" i="20"/>
  <c r="U19" i="20"/>
  <c r="W19" i="20"/>
  <c r="I9" i="20"/>
  <c r="R26" i="20"/>
  <c r="Q26" i="20"/>
  <c r="O9" i="20"/>
  <c r="K9" i="20"/>
  <c r="K26" i="20"/>
  <c r="M9" i="20"/>
  <c r="T26" i="20"/>
  <c r="L26" i="20"/>
  <c r="W9" i="20"/>
  <c r="I26" i="20"/>
  <c r="S9" i="20"/>
  <c r="I11" i="20"/>
  <c r="Z6" i="15"/>
  <c r="U23" i="15"/>
  <c r="Q23" i="15"/>
  <c r="S23" i="15"/>
  <c r="J23" i="15"/>
  <c r="V23" i="15"/>
  <c r="P23" i="15"/>
  <c r="L15" i="15"/>
  <c r="T15" i="15"/>
  <c r="J15" i="15"/>
  <c r="M15" i="15"/>
  <c r="U15" i="15"/>
  <c r="P11" i="20"/>
  <c r="N24" i="15"/>
  <c r="W24" i="15"/>
  <c r="K24" i="15"/>
  <c r="P24" i="15"/>
  <c r="L24" i="15"/>
  <c r="M24" i="15"/>
  <c r="W34" i="15"/>
  <c r="N34" i="15"/>
  <c r="V34" i="15"/>
  <c r="K34" i="15"/>
  <c r="Q34" i="15"/>
  <c r="L34" i="15"/>
  <c r="R34" i="15"/>
  <c r="T34" i="15"/>
  <c r="U34" i="15"/>
  <c r="P34" i="15"/>
  <c r="J34" i="15"/>
  <c r="M34" i="15"/>
  <c r="S34" i="15"/>
  <c r="P32" i="15"/>
  <c r="V32" i="15"/>
  <c r="R32" i="15"/>
  <c r="K32" i="15"/>
  <c r="L32" i="15"/>
  <c r="T32" i="15"/>
  <c r="W32" i="15"/>
  <c r="Q32" i="15"/>
  <c r="N32" i="15"/>
  <c r="M7" i="15"/>
  <c r="R7" i="15"/>
  <c r="P7" i="15"/>
  <c r="W7" i="15"/>
  <c r="U7" i="15"/>
  <c r="J7" i="15"/>
  <c r="S7" i="15"/>
  <c r="T7" i="15"/>
  <c r="K7" i="15"/>
  <c r="S37" i="20"/>
  <c r="I37" i="20"/>
  <c r="O37" i="20"/>
  <c r="K37" i="20"/>
  <c r="T37" i="20"/>
  <c r="R37" i="20"/>
  <c r="J37" i="20"/>
  <c r="U32" i="15"/>
  <c r="G45" i="16"/>
  <c r="G46" i="16" s="1"/>
  <c r="O6" i="20"/>
  <c r="U6" i="20"/>
  <c r="L6" i="20"/>
  <c r="J6" i="20"/>
  <c r="J11" i="20" s="1"/>
  <c r="T6" i="20"/>
  <c r="M6" i="20"/>
  <c r="S6" i="20"/>
  <c r="K6" i="20"/>
  <c r="W6" i="20"/>
  <c r="M32" i="15"/>
  <c r="M28" i="15"/>
  <c r="S26" i="15"/>
  <c r="Q26" i="15"/>
  <c r="T26" i="15"/>
  <c r="R26" i="15"/>
  <c r="J26" i="15"/>
  <c r="M26" i="15"/>
  <c r="P26" i="15"/>
  <c r="P30" i="15"/>
  <c r="L30" i="15"/>
  <c r="T30" i="15"/>
  <c r="W30" i="15"/>
  <c r="R30" i="15"/>
  <c r="V30" i="15"/>
  <c r="N30" i="15"/>
  <c r="S30" i="15"/>
  <c r="L19" i="19"/>
  <c r="U19" i="19"/>
  <c r="L7" i="15"/>
  <c r="P33" i="15"/>
  <c r="W33" i="15"/>
  <c r="L33" i="15"/>
  <c r="U33" i="15"/>
  <c r="J33" i="15"/>
  <c r="N33" i="15"/>
  <c r="M22" i="15"/>
  <c r="V22" i="15"/>
  <c r="J22" i="15"/>
  <c r="Q22" i="15"/>
  <c r="N22" i="15"/>
  <c r="P22" i="15"/>
  <c r="W22" i="15"/>
  <c r="R22" i="15"/>
  <c r="S6" i="15"/>
  <c r="J6" i="15"/>
  <c r="W6" i="15"/>
  <c r="M6" i="15"/>
  <c r="N6" i="15"/>
  <c r="R6" i="15"/>
  <c r="U6" i="15"/>
  <c r="T6" i="15"/>
  <c r="P6" i="15"/>
  <c r="H37" i="19"/>
  <c r="O37" i="19" s="1"/>
  <c r="G40" i="19"/>
  <c r="H29" i="19"/>
  <c r="H22" i="19"/>
  <c r="O22" i="19" s="1"/>
  <c r="H14" i="19"/>
  <c r="I14" i="19" s="1"/>
  <c r="H36" i="19"/>
  <c r="H28" i="19"/>
  <c r="M28" i="19" s="1"/>
  <c r="H10" i="19"/>
  <c r="H34" i="19"/>
  <c r="M34" i="19" s="1"/>
  <c r="H27" i="19"/>
  <c r="H20" i="19"/>
  <c r="H30" i="19"/>
  <c r="R30" i="19" s="1"/>
  <c r="H18" i="19"/>
  <c r="U18" i="19" s="1"/>
  <c r="H6" i="19"/>
  <c r="H16" i="19"/>
  <c r="J16" i="19" s="1"/>
  <c r="H24" i="19"/>
  <c r="H12" i="19"/>
  <c r="T12" i="19" s="1"/>
  <c r="H33" i="19"/>
  <c r="H23" i="19"/>
  <c r="H9" i="19"/>
  <c r="H35" i="19"/>
  <c r="K35" i="19" s="1"/>
  <c r="H13" i="19"/>
  <c r="H32" i="19"/>
  <c r="M32" i="19" s="1"/>
  <c r="H7" i="19"/>
  <c r="H31" i="19"/>
  <c r="J31" i="19" s="1"/>
  <c r="H8" i="19"/>
  <c r="H25" i="19"/>
  <c r="H21" i="19"/>
  <c r="P21" i="19" s="1"/>
  <c r="H26" i="19"/>
  <c r="S26" i="19" s="1"/>
  <c r="H15" i="19"/>
  <c r="V27" i="15"/>
  <c r="Q27" i="15"/>
  <c r="L27" i="15"/>
  <c r="M25" i="15"/>
  <c r="J27" i="15"/>
  <c r="K27" i="15"/>
  <c r="L21" i="20"/>
  <c r="Q21" i="20"/>
  <c r="T21" i="20"/>
  <c r="O21" i="20"/>
  <c r="K21" i="20"/>
  <c r="M21" i="20"/>
  <c r="R29" i="20"/>
  <c r="Q29" i="20"/>
  <c r="U29" i="20"/>
  <c r="W7" i="20"/>
  <c r="Q7" i="20"/>
  <c r="O7" i="20"/>
  <c r="R7" i="20"/>
  <c r="R11" i="20"/>
  <c r="J7" i="20"/>
  <c r="S7" i="20"/>
  <c r="M7" i="20"/>
  <c r="R10" i="20"/>
  <c r="Q10" i="20"/>
  <c r="K15" i="20"/>
  <c r="G46" i="20"/>
  <c r="G47" i="20"/>
  <c r="T15" i="20"/>
  <c r="U15" i="20"/>
  <c r="Y15" i="20"/>
  <c r="Z15" i="20" s="1"/>
  <c r="Y10" i="20"/>
  <c r="Z10" i="20"/>
  <c r="Y25" i="20"/>
  <c r="Z25" i="20"/>
  <c r="Y34" i="20"/>
  <c r="Z34" i="20"/>
  <c r="Y7" i="20"/>
  <c r="Y20" i="20"/>
  <c r="Z20" i="20"/>
  <c r="Y37" i="20"/>
  <c r="Z37" i="20"/>
  <c r="Y22" i="20"/>
  <c r="Z22" i="20" s="1"/>
  <c r="Y36" i="20"/>
  <c r="Z36" i="20" s="1"/>
  <c r="H35" i="20"/>
  <c r="H27" i="20"/>
  <c r="M27" i="20" s="1"/>
  <c r="H30" i="20"/>
  <c r="H18" i="20"/>
  <c r="W18" i="20" s="1"/>
  <c r="H13" i="20"/>
  <c r="W13" i="20" s="1"/>
  <c r="H25" i="20"/>
  <c r="H11" i="20"/>
  <c r="H40" i="20" s="1"/>
  <c r="H28" i="20"/>
  <c r="H36" i="20"/>
  <c r="H23" i="20"/>
  <c r="K23" i="20" s="1"/>
  <c r="H12" i="20"/>
  <c r="S32" i="19"/>
  <c r="P32" i="19"/>
  <c r="J32" i="19"/>
  <c r="U32" i="19"/>
  <c r="R32" i="19"/>
  <c r="O32" i="19"/>
  <c r="S28" i="19"/>
  <c r="U28" i="19"/>
  <c r="R28" i="19"/>
  <c r="O28" i="19"/>
  <c r="Q28" i="19"/>
  <c r="T28" i="19"/>
  <c r="L28" i="19"/>
  <c r="V15" i="19"/>
  <c r="R15" i="19"/>
  <c r="J15" i="19"/>
  <c r="L15" i="19"/>
  <c r="S15" i="19"/>
  <c r="Q15" i="19"/>
  <c r="M15" i="19"/>
  <c r="K15" i="19"/>
  <c r="P15" i="19"/>
  <c r="T15" i="19"/>
  <c r="I15" i="19"/>
  <c r="O15" i="19"/>
  <c r="U15" i="19"/>
  <c r="U13" i="19"/>
  <c r="Q13" i="19"/>
  <c r="L13" i="19"/>
  <c r="T13" i="19"/>
  <c r="J13" i="19"/>
  <c r="P13" i="19"/>
  <c r="S13" i="19"/>
  <c r="R13" i="19"/>
  <c r="K13" i="19"/>
  <c r="O13" i="19"/>
  <c r="M13" i="19"/>
  <c r="I13" i="19"/>
  <c r="V13" i="19"/>
  <c r="S6" i="19"/>
  <c r="T6" i="19"/>
  <c r="I6" i="19"/>
  <c r="Q6" i="19"/>
  <c r="L6" i="19"/>
  <c r="V6" i="19"/>
  <c r="M6" i="19"/>
  <c r="P6" i="19"/>
  <c r="O6" i="19"/>
  <c r="J6" i="19"/>
  <c r="K6" i="19"/>
  <c r="U6" i="19"/>
  <c r="R6" i="19"/>
  <c r="M36" i="19"/>
  <c r="I36" i="19"/>
  <c r="S36" i="19"/>
  <c r="V36" i="19"/>
  <c r="U36" i="19"/>
  <c r="T36" i="19"/>
  <c r="K36" i="19"/>
  <c r="P36" i="19"/>
  <c r="Q36" i="19"/>
  <c r="O36" i="19"/>
  <c r="L36" i="19"/>
  <c r="J36" i="19"/>
  <c r="R36" i="19"/>
  <c r="L11" i="20"/>
  <c r="Q16" i="19"/>
  <c r="L16" i="19"/>
  <c r="I16" i="19"/>
  <c r="U16" i="19"/>
  <c r="T16" i="19"/>
  <c r="R16" i="19"/>
  <c r="O16" i="19"/>
  <c r="R25" i="20"/>
  <c r="I25" i="20"/>
  <c r="W25" i="20"/>
  <c r="L25" i="20"/>
  <c r="Q25" i="20"/>
  <c r="S25" i="20"/>
  <c r="K25" i="20"/>
  <c r="M25" i="20"/>
  <c r="U25" i="20"/>
  <c r="J25" i="20"/>
  <c r="T25" i="20"/>
  <c r="P25" i="20"/>
  <c r="O25" i="20"/>
  <c r="J26" i="19"/>
  <c r="R26" i="19"/>
  <c r="L35" i="19"/>
  <c r="O18" i="19"/>
  <c r="T18" i="19"/>
  <c r="T14" i="19"/>
  <c r="U11" i="20"/>
  <c r="Q35" i="20"/>
  <c r="P35" i="20"/>
  <c r="J35" i="20"/>
  <c r="K35" i="20"/>
  <c r="L35" i="20"/>
  <c r="R35" i="20"/>
  <c r="M35" i="20"/>
  <c r="S35" i="20"/>
  <c r="W35" i="20"/>
  <c r="U35" i="20"/>
  <c r="O35" i="20"/>
  <c r="I35" i="20"/>
  <c r="T35" i="20"/>
  <c r="U24" i="19"/>
  <c r="Q24" i="19"/>
  <c r="I24" i="19"/>
  <c r="O24" i="19"/>
  <c r="K24" i="19"/>
  <c r="L24" i="19"/>
  <c r="M24" i="19"/>
  <c r="J24" i="19"/>
  <c r="S24" i="19"/>
  <c r="V24" i="19"/>
  <c r="T24" i="19"/>
  <c r="R24" i="19"/>
  <c r="P24" i="19"/>
  <c r="S28" i="20"/>
  <c r="J28" i="20"/>
  <c r="R28" i="20"/>
  <c r="M28" i="20"/>
  <c r="W28" i="20"/>
  <c r="I28" i="20"/>
  <c r="L28" i="20"/>
  <c r="U28" i="20"/>
  <c r="T28" i="20"/>
  <c r="P28" i="20"/>
  <c r="O28" i="20"/>
  <c r="Q28" i="20"/>
  <c r="K28" i="20"/>
  <c r="S9" i="19"/>
  <c r="R9" i="19"/>
  <c r="P9" i="19"/>
  <c r="M9" i="19"/>
  <c r="V9" i="19"/>
  <c r="I9" i="19"/>
  <c r="O9" i="19"/>
  <c r="Q9" i="19"/>
  <c r="L9" i="19"/>
  <c r="U9" i="19"/>
  <c r="J9" i="19"/>
  <c r="K9" i="19"/>
  <c r="T9" i="19"/>
  <c r="Q22" i="19"/>
  <c r="V22" i="19"/>
  <c r="M22" i="19"/>
  <c r="U22" i="19"/>
  <c r="J22" i="19"/>
  <c r="T22" i="19"/>
  <c r="R22" i="19"/>
  <c r="O11" i="20"/>
  <c r="Q18" i="20"/>
  <c r="J18" i="20"/>
  <c r="Q25" i="19"/>
  <c r="L25" i="19"/>
  <c r="R25" i="19"/>
  <c r="M25" i="19"/>
  <c r="O25" i="19"/>
  <c r="I25" i="19"/>
  <c r="P25" i="19"/>
  <c r="J25" i="19"/>
  <c r="K25" i="19"/>
  <c r="T25" i="19"/>
  <c r="V25" i="19"/>
  <c r="S25" i="19"/>
  <c r="U25" i="19"/>
  <c r="V23" i="19"/>
  <c r="Q23" i="19"/>
  <c r="M23" i="19"/>
  <c r="K23" i="19"/>
  <c r="J23" i="19"/>
  <c r="T23" i="19"/>
  <c r="P23" i="19"/>
  <c r="R23" i="19"/>
  <c r="I23" i="19"/>
  <c r="U23" i="19"/>
  <c r="L23" i="19"/>
  <c r="O23" i="19"/>
  <c r="S23" i="19"/>
  <c r="L20" i="19"/>
  <c r="O20" i="19"/>
  <c r="Q20" i="19"/>
  <c r="V20" i="19"/>
  <c r="R20" i="19"/>
  <c r="T20" i="19"/>
  <c r="I20" i="19"/>
  <c r="P20" i="19"/>
  <c r="J20" i="19"/>
  <c r="S20" i="19"/>
  <c r="K20" i="19"/>
  <c r="U20" i="19"/>
  <c r="M20" i="19"/>
  <c r="Q29" i="19"/>
  <c r="T29" i="19"/>
  <c r="P29" i="19"/>
  <c r="M29" i="19"/>
  <c r="I29" i="19"/>
  <c r="J29" i="19"/>
  <c r="K29" i="19"/>
  <c r="R29" i="19"/>
  <c r="U29" i="19"/>
  <c r="L29" i="19"/>
  <c r="V29" i="19"/>
  <c r="O29" i="19"/>
  <c r="S29" i="19"/>
  <c r="K11" i="20"/>
  <c r="J7" i="19"/>
  <c r="R7" i="19"/>
  <c r="T7" i="19"/>
  <c r="M7" i="19"/>
  <c r="Q7" i="19"/>
  <c r="L7" i="19"/>
  <c r="O7" i="19"/>
  <c r="V7" i="19"/>
  <c r="I7" i="19"/>
  <c r="S7" i="19"/>
  <c r="U7" i="19"/>
  <c r="P7" i="19"/>
  <c r="K7" i="19"/>
  <c r="J13" i="20"/>
  <c r="I13" i="20"/>
  <c r="T13" i="20"/>
  <c r="R13" i="20"/>
  <c r="P13" i="20"/>
  <c r="S13" i="20"/>
  <c r="K13" i="20"/>
  <c r="Z7" i="20"/>
  <c r="Y11" i="20"/>
  <c r="J21" i="19"/>
  <c r="I21" i="19"/>
  <c r="U21" i="19"/>
  <c r="Q21" i="19"/>
  <c r="K21" i="19"/>
  <c r="T21" i="19"/>
  <c r="R21" i="19"/>
  <c r="I30" i="19"/>
  <c r="T30" i="19"/>
  <c r="J30" i="19"/>
  <c r="L30" i="19"/>
  <c r="Q30" i="19"/>
  <c r="M30" i="19"/>
  <c r="O12" i="20"/>
  <c r="I12" i="20"/>
  <c r="U12" i="20"/>
  <c r="S12" i="20"/>
  <c r="Q12" i="20"/>
  <c r="J12" i="20"/>
  <c r="P12" i="20"/>
  <c r="M12" i="20"/>
  <c r="R12" i="20"/>
  <c r="K12" i="20"/>
  <c r="T12" i="20"/>
  <c r="L12" i="20"/>
  <c r="W12" i="20"/>
  <c r="Q30" i="20"/>
  <c r="O30" i="20"/>
  <c r="R30" i="20"/>
  <c r="M30" i="20"/>
  <c r="L30" i="20"/>
  <c r="U30" i="20"/>
  <c r="T30" i="20"/>
  <c r="S30" i="20"/>
  <c r="P30" i="20"/>
  <c r="I30" i="20"/>
  <c r="K30" i="20"/>
  <c r="J30" i="20"/>
  <c r="W30" i="20"/>
  <c r="V8" i="19"/>
  <c r="O8" i="19"/>
  <c r="R8" i="19"/>
  <c r="K8" i="19"/>
  <c r="M8" i="19"/>
  <c r="I8" i="19"/>
  <c r="U8" i="19"/>
  <c r="P8" i="19"/>
  <c r="Q8" i="19"/>
  <c r="T8" i="19"/>
  <c r="S8" i="19"/>
  <c r="J8" i="19"/>
  <c r="L8" i="19"/>
  <c r="Q33" i="19"/>
  <c r="J33" i="19"/>
  <c r="L33" i="19"/>
  <c r="P33" i="19"/>
  <c r="S33" i="19"/>
  <c r="K33" i="19"/>
  <c r="U33" i="19"/>
  <c r="V33" i="19"/>
  <c r="R33" i="19"/>
  <c r="T33" i="19"/>
  <c r="M33" i="19"/>
  <c r="I33" i="19"/>
  <c r="O33" i="19"/>
  <c r="J27" i="19"/>
  <c r="R27" i="19"/>
  <c r="T27" i="19"/>
  <c r="M27" i="19"/>
  <c r="P27" i="19"/>
  <c r="I27" i="19"/>
  <c r="U27" i="19"/>
  <c r="Q27" i="19"/>
  <c r="S27" i="19"/>
  <c r="K27" i="19"/>
  <c r="L27" i="19"/>
  <c r="O27" i="19"/>
  <c r="V27" i="19"/>
  <c r="X37" i="19"/>
  <c r="Y37" i="19" s="1"/>
  <c r="X30" i="19"/>
  <c r="Y30" i="19" s="1"/>
  <c r="X38" i="19"/>
  <c r="Y38" i="19" s="1"/>
  <c r="X13" i="19"/>
  <c r="Y13" i="19" s="1"/>
  <c r="X20" i="19"/>
  <c r="Y20" i="19" s="1"/>
  <c r="X19" i="19"/>
  <c r="Y19" i="19" s="1"/>
  <c r="X28" i="19"/>
  <c r="Y28" i="19" s="1"/>
  <c r="X12" i="19"/>
  <c r="Y12" i="19" s="1"/>
  <c r="X7" i="19"/>
  <c r="Y7" i="19" s="1"/>
  <c r="X15" i="19"/>
  <c r="Y15" i="19" s="1"/>
  <c r="X25" i="19"/>
  <c r="Y25" i="19" s="1"/>
  <c r="X31" i="19"/>
  <c r="Y31" i="19" s="1"/>
  <c r="X10" i="19"/>
  <c r="Y10" i="19" s="1"/>
  <c r="X39" i="19"/>
  <c r="Y39" i="19" s="1"/>
  <c r="X22" i="19"/>
  <c r="Y22" i="19" s="1"/>
  <c r="X35" i="19"/>
  <c r="Y35" i="19" s="1"/>
  <c r="X29" i="19"/>
  <c r="Y29" i="19" s="1"/>
  <c r="X21" i="19"/>
  <c r="Y21" i="19" s="1"/>
  <c r="X33" i="19"/>
  <c r="Y33" i="19" s="1"/>
  <c r="X24" i="19"/>
  <c r="Y24" i="19" s="1"/>
  <c r="X34" i="19"/>
  <c r="Y34" i="19"/>
  <c r="X16" i="19"/>
  <c r="Y16" i="19" s="1"/>
  <c r="X6" i="19"/>
  <c r="X8" i="19"/>
  <c r="Y8" i="19" s="1"/>
  <c r="X27" i="19"/>
  <c r="Y27" i="19" s="1"/>
  <c r="X14" i="19"/>
  <c r="Y14" i="19" s="1"/>
  <c r="X32" i="19"/>
  <c r="Y32" i="19" s="1"/>
  <c r="X23" i="19"/>
  <c r="Y23" i="19" s="1"/>
  <c r="X36" i="19"/>
  <c r="Y36" i="19" s="1"/>
  <c r="X18" i="19"/>
  <c r="Y18" i="19" s="1"/>
  <c r="X26" i="19"/>
  <c r="Y26" i="19" s="1"/>
  <c r="X9" i="19"/>
  <c r="Y9" i="19" s="1"/>
  <c r="Q36" i="20"/>
  <c r="L36" i="20"/>
  <c r="T36" i="20"/>
  <c r="I36" i="20"/>
  <c r="P36" i="20"/>
  <c r="U36" i="20"/>
  <c r="K36" i="20"/>
  <c r="S36" i="20"/>
  <c r="W36" i="20"/>
  <c r="O36" i="20"/>
  <c r="R36" i="20"/>
  <c r="M36" i="20"/>
  <c r="J36" i="20"/>
  <c r="T10" i="19"/>
  <c r="S10" i="19"/>
  <c r="V10" i="19"/>
  <c r="M10" i="19"/>
  <c r="J10" i="19"/>
  <c r="P10" i="19"/>
  <c r="K10" i="19"/>
  <c r="I10" i="19"/>
  <c r="R10" i="19"/>
  <c r="L10" i="19"/>
  <c r="Q10" i="19"/>
  <c r="O10" i="19"/>
  <c r="U10" i="19"/>
  <c r="W23" i="20"/>
  <c r="M23" i="20"/>
  <c r="S23" i="20"/>
  <c r="W27" i="20"/>
  <c r="O27" i="20"/>
  <c r="K27" i="20"/>
  <c r="I27" i="20"/>
  <c r="U31" i="19"/>
  <c r="S31" i="19"/>
  <c r="L31" i="19"/>
  <c r="I31" i="19"/>
  <c r="M31" i="19"/>
  <c r="K31" i="19"/>
  <c r="Q31" i="19"/>
  <c r="M12" i="19"/>
  <c r="I12" i="19"/>
  <c r="K12" i="19"/>
  <c r="R12" i="19"/>
  <c r="U12" i="19"/>
  <c r="J12" i="19"/>
  <c r="J34" i="19"/>
  <c r="U34" i="19"/>
  <c r="S34" i="19"/>
  <c r="O34" i="19"/>
  <c r="Q34" i="19"/>
  <c r="L34" i="19"/>
  <c r="T34" i="19"/>
  <c r="K37" i="19"/>
  <c r="S37" i="19"/>
  <c r="I37" i="19"/>
  <c r="Q37" i="19"/>
  <c r="U37" i="19"/>
  <c r="R37" i="19"/>
  <c r="M11" i="20"/>
  <c r="Y6" i="19"/>
  <c r="Z30" i="21" l="1"/>
  <c r="AA30" i="21" s="1"/>
  <c r="H44" i="21"/>
  <c r="J11" i="16"/>
  <c r="N11" i="16"/>
  <c r="S11" i="16"/>
  <c r="W11" i="16"/>
  <c r="K11" i="16"/>
  <c r="P11" i="16"/>
  <c r="T11" i="16"/>
  <c r="L11" i="16"/>
  <c r="Q11" i="16"/>
  <c r="U11" i="16"/>
  <c r="M11" i="16"/>
  <c r="R11" i="16"/>
  <c r="V11" i="16"/>
  <c r="J17" i="21"/>
  <c r="U17" i="21" s="1"/>
  <c r="J20" i="21"/>
  <c r="O20" i="21" s="1"/>
  <c r="J14" i="21"/>
  <c r="V14" i="21" s="1"/>
  <c r="J27" i="21"/>
  <c r="V27" i="21" s="1"/>
  <c r="J12" i="21"/>
  <c r="W12" i="21" s="1"/>
  <c r="J7" i="21"/>
  <c r="X7" i="21" s="1"/>
  <c r="J29" i="21"/>
  <c r="M29" i="21" s="1"/>
  <c r="J30" i="21"/>
  <c r="N30" i="21" s="1"/>
  <c r="J13" i="21"/>
  <c r="X13" i="21" s="1"/>
  <c r="J31" i="21"/>
  <c r="R31" i="21" s="1"/>
  <c r="J26" i="21"/>
  <c r="X26" i="21" s="1"/>
  <c r="J5" i="21"/>
  <c r="T5" i="21" s="1"/>
  <c r="J6" i="21"/>
  <c r="N6" i="21" s="1"/>
  <c r="J18" i="21"/>
  <c r="W18" i="21" s="1"/>
  <c r="J25" i="21"/>
  <c r="W25" i="21" s="1"/>
  <c r="J23" i="21"/>
  <c r="Q23" i="21" s="1"/>
  <c r="J9" i="21"/>
  <c r="M9" i="21" s="1"/>
  <c r="J21" i="21"/>
  <c r="Q21" i="21" s="1"/>
  <c r="J19" i="21"/>
  <c r="Q19" i="21" s="1"/>
  <c r="J22" i="21"/>
  <c r="X22" i="21" s="1"/>
  <c r="J28" i="21"/>
  <c r="X28" i="21" s="1"/>
  <c r="J8" i="21"/>
  <c r="V8" i="21" s="1"/>
  <c r="J11" i="21"/>
  <c r="K11" i="21" s="1"/>
  <c r="J10" i="21"/>
  <c r="M10" i="21" s="1"/>
  <c r="J16" i="21"/>
  <c r="W16" i="21" s="1"/>
  <c r="J24" i="21"/>
  <c r="K24" i="21" s="1"/>
  <c r="F36" i="5"/>
  <c r="G44" i="5"/>
  <c r="Z40" i="20"/>
  <c r="W40" i="20"/>
  <c r="J27" i="20"/>
  <c r="Q27" i="20"/>
  <c r="I23" i="20"/>
  <c r="Y40" i="20"/>
  <c r="M13" i="20"/>
  <c r="M18" i="20"/>
  <c r="T18" i="20"/>
  <c r="T40" i="20" s="1"/>
  <c r="W29" i="20"/>
  <c r="Q37" i="20"/>
  <c r="L37" i="20"/>
  <c r="J24" i="20"/>
  <c r="U16" i="20"/>
  <c r="I22" i="20"/>
  <c r="U34" i="20"/>
  <c r="W20" i="20"/>
  <c r="W34" i="20"/>
  <c r="W24" i="20"/>
  <c r="S16" i="20"/>
  <c r="O24" i="20"/>
  <c r="L15" i="20"/>
  <c r="S27" i="20"/>
  <c r="Q13" i="20"/>
  <c r="O18" i="20"/>
  <c r="R18" i="20"/>
  <c r="S15" i="20"/>
  <c r="S40" i="20" s="1"/>
  <c r="O15" i="20"/>
  <c r="L29" i="20"/>
  <c r="P37" i="20"/>
  <c r="U24" i="20"/>
  <c r="K16" i="20"/>
  <c r="Q15" i="20"/>
  <c r="K20" i="20"/>
  <c r="Q34" i="20"/>
  <c r="I29" i="20"/>
  <c r="J20" i="20"/>
  <c r="O16" i="20"/>
  <c r="M34" i="20"/>
  <c r="R27" i="20"/>
  <c r="R23" i="20"/>
  <c r="L27" i="20"/>
  <c r="T23" i="20"/>
  <c r="O23" i="20"/>
  <c r="L13" i="20"/>
  <c r="L40" i="20" s="1"/>
  <c r="O13" i="20"/>
  <c r="O40" i="20" s="1"/>
  <c r="I18" i="20"/>
  <c r="L18" i="20"/>
  <c r="M37" i="20"/>
  <c r="L24" i="20"/>
  <c r="W16" i="20"/>
  <c r="K29" i="20"/>
  <c r="K40" i="20" s="1"/>
  <c r="M20" i="20"/>
  <c r="R34" i="20"/>
  <c r="Q24" i="20"/>
  <c r="S20" i="20"/>
  <c r="Q16" i="20"/>
  <c r="Q40" i="20" s="1"/>
  <c r="J22" i="20"/>
  <c r="O29" i="20"/>
  <c r="Q20" i="20"/>
  <c r="K18" i="20"/>
  <c r="J23" i="20"/>
  <c r="P23" i="20"/>
  <c r="S18" i="20"/>
  <c r="S24" i="20"/>
  <c r="M16" i="20"/>
  <c r="K24" i="20"/>
  <c r="I15" i="20"/>
  <c r="I40" i="20" s="1"/>
  <c r="J34" i="20"/>
  <c r="T27" i="20"/>
  <c r="U27" i="20"/>
  <c r="L23" i="20"/>
  <c r="Q23" i="20"/>
  <c r="U13" i="20"/>
  <c r="U40" i="20" s="1"/>
  <c r="U18" i="20"/>
  <c r="M29" i="20"/>
  <c r="U37" i="20"/>
  <c r="M24" i="20"/>
  <c r="P16" i="20"/>
  <c r="P40" i="20" s="1"/>
  <c r="K34" i="20"/>
  <c r="W15" i="20"/>
  <c r="I34" i="20"/>
  <c r="O34" i="20"/>
  <c r="P18" i="20"/>
  <c r="P27" i="20"/>
  <c r="U23" i="20"/>
  <c r="M15" i="20"/>
  <c r="R16" i="20"/>
  <c r="R40" i="20" s="1"/>
  <c r="P34" i="20"/>
  <c r="J15" i="20"/>
  <c r="J40" i="20" s="1"/>
  <c r="L16" i="20"/>
  <c r="J38" i="15"/>
  <c r="S28" i="15"/>
  <c r="T35" i="15"/>
  <c r="K28" i="15"/>
  <c r="N20" i="15"/>
  <c r="L21" i="15"/>
  <c r="V14" i="15"/>
  <c r="Q14" i="15"/>
  <c r="J20" i="15"/>
  <c r="L25" i="15"/>
  <c r="V28" i="15"/>
  <c r="S24" i="15"/>
  <c r="J24" i="15"/>
  <c r="W15" i="15"/>
  <c r="M23" i="15"/>
  <c r="K23" i="15"/>
  <c r="T29" i="15"/>
  <c r="U35" i="15"/>
  <c r="U28" i="15"/>
  <c r="T13" i="15"/>
  <c r="T20" i="15"/>
  <c r="K25" i="15"/>
  <c r="W20" i="15"/>
  <c r="Q20" i="15"/>
  <c r="T17" i="15"/>
  <c r="U18" i="15"/>
  <c r="T21" i="15"/>
  <c r="L14" i="15"/>
  <c r="L38" i="15" s="1"/>
  <c r="U12" i="15"/>
  <c r="M20" i="15"/>
  <c r="J28" i="15"/>
  <c r="T14" i="15"/>
  <c r="J35" i="15"/>
  <c r="K21" i="15"/>
  <c r="L28" i="15"/>
  <c r="N35" i="15"/>
  <c r="P28" i="15"/>
  <c r="L13" i="15"/>
  <c r="L20" i="15"/>
  <c r="S21" i="15"/>
  <c r="Z23" i="15"/>
  <c r="Z38" i="15" s="1"/>
  <c r="J25" i="15"/>
  <c r="I38" i="15"/>
  <c r="K38" i="15"/>
  <c r="Q24" i="15"/>
  <c r="R15" i="15"/>
  <c r="Q15" i="15"/>
  <c r="L23" i="15"/>
  <c r="K29" i="15"/>
  <c r="R29" i="15"/>
  <c r="R35" i="15"/>
  <c r="P35" i="15"/>
  <c r="K13" i="15"/>
  <c r="V13" i="15"/>
  <c r="P25" i="15"/>
  <c r="S20" i="15"/>
  <c r="R17" i="15"/>
  <c r="R18" i="15"/>
  <c r="W21" i="15"/>
  <c r="K14" i="15"/>
  <c r="Q12" i="15"/>
  <c r="T12" i="15"/>
  <c r="T38" i="15" s="1"/>
  <c r="J17" i="15"/>
  <c r="J21" i="15"/>
  <c r="N21" i="15"/>
  <c r="Q21" i="15"/>
  <c r="W35" i="15"/>
  <c r="U20" i="15"/>
  <c r="U38" i="15" s="1"/>
  <c r="P21" i="15"/>
  <c r="R14" i="15"/>
  <c r="V12" i="15"/>
  <c r="V38" i="15" s="1"/>
  <c r="T24" i="15"/>
  <c r="V24" i="15"/>
  <c r="P15" i="15"/>
  <c r="S15" i="15"/>
  <c r="N23" i="15"/>
  <c r="W29" i="15"/>
  <c r="J29" i="15"/>
  <c r="S35" i="15"/>
  <c r="Q35" i="15"/>
  <c r="P13" i="15"/>
  <c r="P38" i="15" s="1"/>
  <c r="W13" i="15"/>
  <c r="K20" i="15"/>
  <c r="R25" i="15"/>
  <c r="R23" i="15"/>
  <c r="S17" i="15"/>
  <c r="T18" i="15"/>
  <c r="L18" i="15"/>
  <c r="V21" i="15"/>
  <c r="L29" i="15"/>
  <c r="W14" i="15"/>
  <c r="N12" i="15"/>
  <c r="S12" i="15"/>
  <c r="U17" i="15"/>
  <c r="Q25" i="15"/>
  <c r="R21" i="15"/>
  <c r="M38" i="15"/>
  <c r="R28" i="15"/>
  <c r="K35" i="15"/>
  <c r="N28" i="15"/>
  <c r="R13" i="15"/>
  <c r="N13" i="15"/>
  <c r="P20" i="15"/>
  <c r="W23" i="15"/>
  <c r="N17" i="15"/>
  <c r="M17" i="15"/>
  <c r="Q18" i="15"/>
  <c r="M21" i="15"/>
  <c r="P14" i="15"/>
  <c r="M14" i="15"/>
  <c r="L12" i="15"/>
  <c r="M12" i="15"/>
  <c r="J18" i="15"/>
  <c r="Q28" i="15"/>
  <c r="R24" i="15"/>
  <c r="N15" i="15"/>
  <c r="U29" i="15"/>
  <c r="U13" i="15"/>
  <c r="Q13" i="15"/>
  <c r="V18" i="15"/>
  <c r="S18" i="15"/>
  <c r="N14" i="15"/>
  <c r="W12" i="15"/>
  <c r="W38" i="15" s="1"/>
  <c r="R12" i="15"/>
  <c r="R38" i="15" s="1"/>
  <c r="R40" i="19"/>
  <c r="L14" i="19"/>
  <c r="M18" i="19"/>
  <c r="S18" i="19"/>
  <c r="R35" i="19"/>
  <c r="T35" i="19"/>
  <c r="T26" i="19"/>
  <c r="K19" i="19"/>
  <c r="M37" i="19"/>
  <c r="V34" i="19"/>
  <c r="R34" i="19"/>
  <c r="S12" i="19"/>
  <c r="O12" i="19"/>
  <c r="V31" i="19"/>
  <c r="S30" i="19"/>
  <c r="V30" i="19"/>
  <c r="S21" i="19"/>
  <c r="M21" i="19"/>
  <c r="S22" i="19"/>
  <c r="L22" i="19"/>
  <c r="R14" i="19"/>
  <c r="K18" i="19"/>
  <c r="P18" i="19"/>
  <c r="O35" i="19"/>
  <c r="J35" i="19"/>
  <c r="I26" i="19"/>
  <c r="V16" i="19"/>
  <c r="S16" i="19"/>
  <c r="V28" i="19"/>
  <c r="J28" i="19"/>
  <c r="Q32" i="19"/>
  <c r="I32" i="19"/>
  <c r="S19" i="19"/>
  <c r="J19" i="19"/>
  <c r="R19" i="19"/>
  <c r="X40" i="19"/>
  <c r="M14" i="19"/>
  <c r="K14" i="19"/>
  <c r="I18" i="19"/>
  <c r="I40" i="19" s="1"/>
  <c r="J18" i="19"/>
  <c r="V35" i="19"/>
  <c r="Q26" i="19"/>
  <c r="M26" i="19"/>
  <c r="I19" i="19"/>
  <c r="Q19" i="19"/>
  <c r="T37" i="19"/>
  <c r="P37" i="19"/>
  <c r="P34" i="19"/>
  <c r="K34" i="19"/>
  <c r="L12" i="19"/>
  <c r="L40" i="19" s="1"/>
  <c r="R31" i="19"/>
  <c r="P31" i="19"/>
  <c r="U30" i="19"/>
  <c r="K30" i="19"/>
  <c r="O21" i="19"/>
  <c r="O40" i="19" s="1"/>
  <c r="I22" i="19"/>
  <c r="O14" i="19"/>
  <c r="P14" i="19"/>
  <c r="R18" i="19"/>
  <c r="L18" i="19"/>
  <c r="S35" i="19"/>
  <c r="P26" i="19"/>
  <c r="V26" i="19"/>
  <c r="K16" i="19"/>
  <c r="P28" i="19"/>
  <c r="K28" i="19"/>
  <c r="T32" i="19"/>
  <c r="P19" i="19"/>
  <c r="J37" i="19"/>
  <c r="L37" i="19"/>
  <c r="I34" i="19"/>
  <c r="P12" i="19"/>
  <c r="Q12" i="19"/>
  <c r="T31" i="19"/>
  <c r="O31" i="19"/>
  <c r="O30" i="19"/>
  <c r="P30" i="19"/>
  <c r="L21" i="19"/>
  <c r="K22" i="19"/>
  <c r="S14" i="19"/>
  <c r="Q14" i="19"/>
  <c r="V18" i="19"/>
  <c r="Q35" i="19"/>
  <c r="P35" i="19"/>
  <c r="U26" i="19"/>
  <c r="O26" i="19"/>
  <c r="P16" i="19"/>
  <c r="I28" i="19"/>
  <c r="V32" i="19"/>
  <c r="K32" i="19"/>
  <c r="M19" i="19"/>
  <c r="V14" i="19"/>
  <c r="U14" i="19"/>
  <c r="U40" i="19" s="1"/>
  <c r="Q18" i="19"/>
  <c r="I35" i="19"/>
  <c r="M35" i="19"/>
  <c r="K26" i="19"/>
  <c r="L26" i="19"/>
  <c r="H40" i="19"/>
  <c r="T19" i="19"/>
  <c r="T40" i="19" s="1"/>
  <c r="V37" i="19"/>
  <c r="V12" i="19"/>
  <c r="V21" i="19"/>
  <c r="P22" i="19"/>
  <c r="J14" i="19"/>
  <c r="J40" i="19" s="1"/>
  <c r="U35" i="19"/>
  <c r="M16" i="19"/>
  <c r="M40" i="19" s="1"/>
  <c r="L32" i="19"/>
  <c r="V19" i="19"/>
  <c r="I12" i="16"/>
  <c r="W12" i="16" s="1"/>
  <c r="I17" i="16"/>
  <c r="I7" i="16"/>
  <c r="K7" i="16" s="1"/>
  <c r="I20" i="16"/>
  <c r="S20" i="16" s="1"/>
  <c r="I18" i="16"/>
  <c r="U18" i="16" s="1"/>
  <c r="I13" i="16"/>
  <c r="K13" i="16" s="1"/>
  <c r="I22" i="16"/>
  <c r="Q22" i="16" s="1"/>
  <c r="I35" i="16"/>
  <c r="I24" i="16"/>
  <c r="I16" i="16"/>
  <c r="V16" i="16" s="1"/>
  <c r="I29" i="16"/>
  <c r="V29" i="16" s="1"/>
  <c r="I26" i="16"/>
  <c r="S26" i="16" s="1"/>
  <c r="I32" i="16"/>
  <c r="J32" i="16" s="1"/>
  <c r="I9" i="16"/>
  <c r="Q9" i="16" s="1"/>
  <c r="I6" i="16"/>
  <c r="I10" i="16"/>
  <c r="T10" i="16" s="1"/>
  <c r="I8" i="16"/>
  <c r="N8" i="16" s="1"/>
  <c r="I31" i="16"/>
  <c r="I14" i="16"/>
  <c r="I15" i="16"/>
  <c r="S15" i="16" s="1"/>
  <c r="I33" i="16"/>
  <c r="L33" i="16" s="1"/>
  <c r="I27" i="16"/>
  <c r="W27" i="16" s="1"/>
  <c r="U20" i="16"/>
  <c r="I23" i="16"/>
  <c r="Q23" i="16" s="1"/>
  <c r="I25" i="16"/>
  <c r="V25" i="16" s="1"/>
  <c r="I34" i="16"/>
  <c r="I21" i="16"/>
  <c r="G39" i="16"/>
  <c r="Y11" i="16" s="1"/>
  <c r="Z11" i="16" s="1"/>
  <c r="I28" i="16"/>
  <c r="I30" i="16"/>
  <c r="I19" i="16"/>
  <c r="M33" i="21"/>
  <c r="Z27" i="21"/>
  <c r="AA27" i="21" s="1"/>
  <c r="L33" i="21"/>
  <c r="K33" i="21"/>
  <c r="N33" i="21"/>
  <c r="O33" i="21"/>
  <c r="Q15" i="21"/>
  <c r="R15" i="21"/>
  <c r="N15" i="21"/>
  <c r="S15" i="21"/>
  <c r="K15" i="21"/>
  <c r="T15" i="21"/>
  <c r="L15" i="21"/>
  <c r="U15" i="21"/>
  <c r="M15" i="21"/>
  <c r="V15" i="21"/>
  <c r="X15" i="21"/>
  <c r="W15" i="21"/>
  <c r="O15" i="21"/>
  <c r="Z18" i="21"/>
  <c r="AA18" i="21" s="1"/>
  <c r="Z15" i="21"/>
  <c r="AA15" i="21" s="1"/>
  <c r="Z6" i="21"/>
  <c r="AA6" i="21" s="1"/>
  <c r="Z11" i="21"/>
  <c r="AA11" i="21" s="1"/>
  <c r="O11" i="21"/>
  <c r="Z17" i="21"/>
  <c r="AA17" i="21" s="1"/>
  <c r="Z26" i="21"/>
  <c r="AA26" i="21" s="1"/>
  <c r="Z24" i="21"/>
  <c r="AA24" i="21" s="1"/>
  <c r="W36" i="22"/>
  <c r="L36" i="22"/>
  <c r="Y36" i="22"/>
  <c r="Q36" i="22"/>
  <c r="U36" i="22"/>
  <c r="X36" i="22"/>
  <c r="V36" i="22"/>
  <c r="T36" i="22"/>
  <c r="S36" i="22"/>
  <c r="R36" i="22"/>
  <c r="O36" i="22"/>
  <c r="N36" i="22"/>
  <c r="M36" i="22"/>
  <c r="K36" i="22"/>
  <c r="S11" i="21"/>
  <c r="Z12" i="21"/>
  <c r="AA12" i="21" s="1"/>
  <c r="Z5" i="21"/>
  <c r="AA5" i="21" s="1"/>
  <c r="Z28" i="21"/>
  <c r="AA28" i="21" s="1"/>
  <c r="Z34" i="21"/>
  <c r="AA34" i="21" s="1"/>
  <c r="Z31" i="21"/>
  <c r="AA31" i="21" s="1"/>
  <c r="Z23" i="21"/>
  <c r="AA23" i="21" s="1"/>
  <c r="Z7" i="21"/>
  <c r="AA7" i="21" s="1"/>
  <c r="Z29" i="21"/>
  <c r="AA29" i="21" s="1"/>
  <c r="Z33" i="21"/>
  <c r="AA33" i="21" s="1"/>
  <c r="Z21" i="21"/>
  <c r="AA21" i="21" s="1"/>
  <c r="H42" i="21"/>
  <c r="Z13" i="21"/>
  <c r="AA13" i="21" s="1"/>
  <c r="Z19" i="21"/>
  <c r="AA19" i="21" s="1"/>
  <c r="Z8" i="21"/>
  <c r="AA8" i="21" s="1"/>
  <c r="Z20" i="21"/>
  <c r="AA20" i="21" s="1"/>
  <c r="Z14" i="21"/>
  <c r="AA14" i="21" s="1"/>
  <c r="Z16" i="21"/>
  <c r="AA16" i="21" s="1"/>
  <c r="Z22" i="21"/>
  <c r="AA22" i="21" s="1"/>
  <c r="Z10" i="21"/>
  <c r="AA10" i="21" s="1"/>
  <c r="Z9" i="21"/>
  <c r="AA9" i="21" s="1"/>
  <c r="Z25" i="21"/>
  <c r="AA25" i="21" s="1"/>
  <c r="U28" i="17"/>
  <c r="G45" i="17"/>
  <c r="U6" i="17"/>
  <c r="G38" i="17"/>
  <c r="Q15" i="17"/>
  <c r="Y40" i="19"/>
  <c r="W11" i="21" l="1"/>
  <c r="R7" i="21"/>
  <c r="U7" i="21"/>
  <c r="W23" i="21"/>
  <c r="Q13" i="21"/>
  <c r="V12" i="21"/>
  <c r="U23" i="21"/>
  <c r="X6" i="21"/>
  <c r="V17" i="21"/>
  <c r="S26" i="21"/>
  <c r="Q14" i="21"/>
  <c r="N11" i="21"/>
  <c r="K14" i="21"/>
  <c r="R14" i="21"/>
  <c r="U14" i="21"/>
  <c r="T14" i="21"/>
  <c r="O14" i="21"/>
  <c r="M14" i="21"/>
  <c r="Q17" i="21"/>
  <c r="X31" i="21"/>
  <c r="K6" i="21"/>
  <c r="M23" i="21"/>
  <c r="W20" i="21"/>
  <c r="L20" i="21"/>
  <c r="S23" i="21"/>
  <c r="U20" i="21"/>
  <c r="O6" i="21"/>
  <c r="T12" i="21"/>
  <c r="T17" i="21"/>
  <c r="R17" i="21"/>
  <c r="N23" i="21"/>
  <c r="N20" i="21"/>
  <c r="V20" i="16"/>
  <c r="K20" i="16"/>
  <c r="M6" i="16"/>
  <c r="I39" i="16"/>
  <c r="T20" i="16"/>
  <c r="R20" i="16"/>
  <c r="V9" i="17"/>
  <c r="K9" i="17"/>
  <c r="W27" i="17"/>
  <c r="K27" i="17"/>
  <c r="Q33" i="17"/>
  <c r="K33" i="17"/>
  <c r="K10" i="17"/>
  <c r="S19" i="17"/>
  <c r="K19" i="17"/>
  <c r="L31" i="17"/>
  <c r="K31" i="17"/>
  <c r="U8" i="17"/>
  <c r="K8" i="17"/>
  <c r="K29" i="17"/>
  <c r="Y22" i="17"/>
  <c r="Z22" i="17" s="1"/>
  <c r="Y35" i="17"/>
  <c r="Z35" i="17" s="1"/>
  <c r="K13" i="17"/>
  <c r="P12" i="17"/>
  <c r="K12" i="17"/>
  <c r="K18" i="17"/>
  <c r="Q20" i="17"/>
  <c r="K20" i="17"/>
  <c r="K17" i="17"/>
  <c r="N24" i="17"/>
  <c r="K24" i="17"/>
  <c r="L7" i="17"/>
  <c r="K7" i="17"/>
  <c r="V14" i="17"/>
  <c r="K14" i="17"/>
  <c r="W23" i="17"/>
  <c r="K23" i="17"/>
  <c r="K16" i="17"/>
  <c r="K21" i="17"/>
  <c r="V34" i="17"/>
  <c r="K34" i="17"/>
  <c r="U32" i="17"/>
  <c r="K32" i="17"/>
  <c r="S26" i="17"/>
  <c r="K26" i="17"/>
  <c r="K25" i="17"/>
  <c r="P30" i="17"/>
  <c r="K30" i="17"/>
  <c r="T28" i="17"/>
  <c r="K28" i="17"/>
  <c r="K15" i="17"/>
  <c r="S7" i="17"/>
  <c r="V15" i="17"/>
  <c r="M15" i="17"/>
  <c r="L15" i="17"/>
  <c r="X19" i="21"/>
  <c r="Q25" i="21"/>
  <c r="M30" i="21"/>
  <c r="L5" i="21"/>
  <c r="Q30" i="21"/>
  <c r="L25" i="21"/>
  <c r="W19" i="21"/>
  <c r="T25" i="21"/>
  <c r="U30" i="21"/>
  <c r="O30" i="21"/>
  <c r="R25" i="21"/>
  <c r="L30" i="21"/>
  <c r="K30" i="21"/>
  <c r="V26" i="21"/>
  <c r="R21" i="21"/>
  <c r="U29" i="21"/>
  <c r="L27" i="21"/>
  <c r="W27" i="21"/>
  <c r="W21" i="21"/>
  <c r="Q26" i="21"/>
  <c r="M21" i="21"/>
  <c r="M11" i="21"/>
  <c r="S14" i="21"/>
  <c r="N14" i="21"/>
  <c r="M26" i="21"/>
  <c r="L7" i="21"/>
  <c r="W9" i="21"/>
  <c r="T7" i="21"/>
  <c r="T27" i="21"/>
  <c r="O27" i="21"/>
  <c r="S7" i="21"/>
  <c r="M27" i="21"/>
  <c r="N10" i="21"/>
  <c r="U21" i="21"/>
  <c r="L9" i="21"/>
  <c r="K21" i="21"/>
  <c r="R26" i="21"/>
  <c r="L14" i="21"/>
  <c r="S31" i="21"/>
  <c r="X14" i="21"/>
  <c r="V21" i="21"/>
  <c r="L18" i="21"/>
  <c r="W14" i="21"/>
  <c r="Q27" i="21"/>
  <c r="V7" i="21"/>
  <c r="X27" i="21"/>
  <c r="N27" i="21"/>
  <c r="V13" i="21"/>
  <c r="U25" i="21"/>
  <c r="R13" i="21"/>
  <c r="Q10" i="21"/>
  <c r="L19" i="21"/>
  <c r="Q5" i="21"/>
  <c r="X20" i="21"/>
  <c r="X5" i="21"/>
  <c r="O25" i="21"/>
  <c r="N12" i="21"/>
  <c r="K12" i="21"/>
  <c r="L12" i="21"/>
  <c r="U5" i="21"/>
  <c r="Q12" i="21"/>
  <c r="T20" i="21"/>
  <c r="W26" i="21"/>
  <c r="N26" i="21"/>
  <c r="L11" i="21"/>
  <c r="O21" i="21"/>
  <c r="T11" i="21"/>
  <c r="Q11" i="21"/>
  <c r="U13" i="21"/>
  <c r="S13" i="21"/>
  <c r="T26" i="21"/>
  <c r="S21" i="21"/>
  <c r="R30" i="21"/>
  <c r="V30" i="21"/>
  <c r="R19" i="21"/>
  <c r="M5" i="21"/>
  <c r="K19" i="21"/>
  <c r="R20" i="21"/>
  <c r="N19" i="21"/>
  <c r="V20" i="21"/>
  <c r="W30" i="21"/>
  <c r="R11" i="21"/>
  <c r="O17" i="21"/>
  <c r="N17" i="21"/>
  <c r="K17" i="21"/>
  <c r="K20" i="21"/>
  <c r="T21" i="21"/>
  <c r="S20" i="21"/>
  <c r="M17" i="21"/>
  <c r="W17" i="21"/>
  <c r="S17" i="21"/>
  <c r="S27" i="21"/>
  <c r="R27" i="21"/>
  <c r="N21" i="21"/>
  <c r="K26" i="21"/>
  <c r="U11" i="21"/>
  <c r="L21" i="21"/>
  <c r="M13" i="21"/>
  <c r="N13" i="21"/>
  <c r="W13" i="21"/>
  <c r="O13" i="21"/>
  <c r="T13" i="21"/>
  <c r="U26" i="21"/>
  <c r="M25" i="21"/>
  <c r="X25" i="21"/>
  <c r="X30" i="21"/>
  <c r="K5" i="21"/>
  <c r="Q20" i="21"/>
  <c r="V19" i="21"/>
  <c r="N25" i="21"/>
  <c r="S30" i="21"/>
  <c r="T30" i="21"/>
  <c r="R5" i="21"/>
  <c r="O5" i="21"/>
  <c r="T19" i="21"/>
  <c r="O26" i="21"/>
  <c r="N5" i="21"/>
  <c r="K27" i="21"/>
  <c r="L26" i="21"/>
  <c r="L17" i="21"/>
  <c r="R12" i="21"/>
  <c r="X21" i="21"/>
  <c r="M20" i="21"/>
  <c r="U27" i="21"/>
  <c r="X17" i="21"/>
  <c r="O29" i="21"/>
  <c r="V18" i="21"/>
  <c r="S18" i="21"/>
  <c r="O24" i="21"/>
  <c r="R23" i="21"/>
  <c r="T22" i="21"/>
  <c r="O23" i="21"/>
  <c r="N22" i="21"/>
  <c r="X23" i="21"/>
  <c r="M6" i="21"/>
  <c r="Q7" i="21"/>
  <c r="R6" i="21"/>
  <c r="N7" i="21"/>
  <c r="V23" i="21"/>
  <c r="N9" i="21"/>
  <c r="U18" i="21"/>
  <c r="Q31" i="21"/>
  <c r="L22" i="21"/>
  <c r="W22" i="21"/>
  <c r="R16" i="21"/>
  <c r="M22" i="21"/>
  <c r="T23" i="21"/>
  <c r="T29" i="21"/>
  <c r="N24" i="21"/>
  <c r="Q24" i="21"/>
  <c r="U24" i="21"/>
  <c r="M24" i="21"/>
  <c r="S24" i="21"/>
  <c r="W24" i="21"/>
  <c r="X24" i="21"/>
  <c r="L24" i="21"/>
  <c r="V24" i="21"/>
  <c r="T24" i="21"/>
  <c r="R24" i="21"/>
  <c r="N8" i="21"/>
  <c r="L8" i="21"/>
  <c r="K8" i="21"/>
  <c r="W8" i="21"/>
  <c r="O8" i="21"/>
  <c r="T8" i="21"/>
  <c r="U8" i="21"/>
  <c r="Q8" i="21"/>
  <c r="M8" i="21"/>
  <c r="S8" i="21"/>
  <c r="S9" i="21"/>
  <c r="V9" i="21"/>
  <c r="K9" i="21"/>
  <c r="X9" i="21"/>
  <c r="R9" i="21"/>
  <c r="Q9" i="21"/>
  <c r="T9" i="21"/>
  <c r="U9" i="21"/>
  <c r="O9" i="21"/>
  <c r="T18" i="21"/>
  <c r="R18" i="21"/>
  <c r="Q18" i="21"/>
  <c r="K18" i="21"/>
  <c r="N18" i="21"/>
  <c r="X18" i="21"/>
  <c r="M18" i="21"/>
  <c r="O18" i="21"/>
  <c r="V31" i="21"/>
  <c r="T31" i="21"/>
  <c r="U31" i="21"/>
  <c r="O31" i="21"/>
  <c r="N31" i="21"/>
  <c r="K31" i="21"/>
  <c r="W31" i="21"/>
  <c r="L31" i="21"/>
  <c r="M31" i="21"/>
  <c r="V29" i="21"/>
  <c r="X29" i="21"/>
  <c r="L29" i="21"/>
  <c r="N29" i="21"/>
  <c r="W29" i="21"/>
  <c r="Q29" i="21"/>
  <c r="R29" i="21"/>
  <c r="S29" i="21"/>
  <c r="K29" i="21"/>
  <c r="U6" i="21"/>
  <c r="W6" i="21"/>
  <c r="V22" i="21"/>
  <c r="R22" i="21"/>
  <c r="U22" i="21"/>
  <c r="S6" i="21"/>
  <c r="L6" i="21"/>
  <c r="V6" i="21"/>
  <c r="O7" i="21"/>
  <c r="S12" i="21"/>
  <c r="X12" i="21"/>
  <c r="K22" i="21"/>
  <c r="Q22" i="21"/>
  <c r="S22" i="21"/>
  <c r="K23" i="21"/>
  <c r="L23" i="21"/>
  <c r="K13" i="21"/>
  <c r="S25" i="21"/>
  <c r="W7" i="21"/>
  <c r="Q6" i="21"/>
  <c r="K7" i="21"/>
  <c r="L13" i="21"/>
  <c r="V25" i="21"/>
  <c r="K25" i="21"/>
  <c r="S19" i="21"/>
  <c r="T6" i="21"/>
  <c r="U19" i="21"/>
  <c r="V5" i="21"/>
  <c r="M7" i="21"/>
  <c r="O22" i="21"/>
  <c r="W5" i="21"/>
  <c r="O19" i="21"/>
  <c r="S5" i="21"/>
  <c r="O12" i="21"/>
  <c r="U12" i="21"/>
  <c r="M12" i="21"/>
  <c r="M19" i="21"/>
  <c r="N16" i="21"/>
  <c r="K16" i="21"/>
  <c r="W28" i="21"/>
  <c r="V10" i="21"/>
  <c r="Q28" i="21"/>
  <c r="T10" i="21"/>
  <c r="O10" i="21"/>
  <c r="M28" i="21"/>
  <c r="K28" i="21"/>
  <c r="J35" i="21"/>
  <c r="M16" i="21"/>
  <c r="V28" i="21"/>
  <c r="O28" i="21"/>
  <c r="X10" i="21"/>
  <c r="S28" i="21"/>
  <c r="U10" i="21"/>
  <c r="W10" i="21"/>
  <c r="L28" i="21"/>
  <c r="R10" i="21"/>
  <c r="X11" i="21"/>
  <c r="V11" i="21"/>
  <c r="Q16" i="21"/>
  <c r="S16" i="21"/>
  <c r="T16" i="21"/>
  <c r="U16" i="21"/>
  <c r="R28" i="21"/>
  <c r="U28" i="21"/>
  <c r="K10" i="21"/>
  <c r="X16" i="21"/>
  <c r="L16" i="21"/>
  <c r="S10" i="21"/>
  <c r="T28" i="21"/>
  <c r="V16" i="21"/>
  <c r="L10" i="21"/>
  <c r="N28" i="21"/>
  <c r="O16" i="21"/>
  <c r="X8" i="21"/>
  <c r="R8" i="21"/>
  <c r="S12" i="16"/>
  <c r="V12" i="16"/>
  <c r="R12" i="16"/>
  <c r="K12" i="16"/>
  <c r="M12" i="16"/>
  <c r="Y14" i="17"/>
  <c r="Z14" i="17" s="1"/>
  <c r="Y28" i="17"/>
  <c r="Z28" i="17" s="1"/>
  <c r="Y24" i="17"/>
  <c r="Z24" i="17" s="1"/>
  <c r="Y7" i="17"/>
  <c r="Z7" i="17" s="1"/>
  <c r="Y20" i="17"/>
  <c r="Z20" i="17" s="1"/>
  <c r="Y23" i="17"/>
  <c r="Z23" i="17" s="1"/>
  <c r="L28" i="17"/>
  <c r="R33" i="17"/>
  <c r="T18" i="17"/>
  <c r="W33" i="17"/>
  <c r="Y30" i="17"/>
  <c r="Z30" i="17" s="1"/>
  <c r="Y8" i="17"/>
  <c r="Z8" i="17" s="1"/>
  <c r="Y21" i="17"/>
  <c r="Z21" i="17" s="1"/>
  <c r="Y36" i="17"/>
  <c r="Z36" i="17" s="1"/>
  <c r="Y12" i="17"/>
  <c r="Z12" i="17" s="1"/>
  <c r="P28" i="17"/>
  <c r="Y29" i="17"/>
  <c r="Z29" i="17" s="1"/>
  <c r="Y33" i="17"/>
  <c r="Z33" i="17" s="1"/>
  <c r="Y18" i="17"/>
  <c r="Z18" i="17" s="1"/>
  <c r="Y6" i="17"/>
  <c r="Y26" i="17"/>
  <c r="Z26" i="17" s="1"/>
  <c r="Y31" i="17"/>
  <c r="Z31" i="17" s="1"/>
  <c r="Y10" i="17"/>
  <c r="Z10" i="17" s="1"/>
  <c r="N28" i="17"/>
  <c r="Y19" i="17"/>
  <c r="Z19" i="17" s="1"/>
  <c r="Y27" i="17"/>
  <c r="Z27" i="17" s="1"/>
  <c r="Y13" i="17"/>
  <c r="Z13" i="17" s="1"/>
  <c r="Y37" i="17"/>
  <c r="Z37" i="17" s="1"/>
  <c r="Y9" i="17"/>
  <c r="Z9" i="17" s="1"/>
  <c r="Y25" i="17"/>
  <c r="Z25" i="17" s="1"/>
  <c r="Y34" i="17"/>
  <c r="Z34" i="17" s="1"/>
  <c r="W6" i="17"/>
  <c r="S28" i="17"/>
  <c r="R28" i="17"/>
  <c r="S6" i="17"/>
  <c r="Q28" i="17"/>
  <c r="W28" i="17"/>
  <c r="V28" i="17"/>
  <c r="M28" i="17"/>
  <c r="P20" i="17"/>
  <c r="L20" i="17"/>
  <c r="V20" i="17"/>
  <c r="R7" i="16"/>
  <c r="V7" i="16"/>
  <c r="P24" i="17"/>
  <c r="W18" i="17"/>
  <c r="R18" i="17"/>
  <c r="V18" i="17"/>
  <c r="M24" i="17"/>
  <c r="N15" i="17"/>
  <c r="U15" i="17"/>
  <c r="P15" i="17"/>
  <c r="S15" i="17"/>
  <c r="T15" i="17"/>
  <c r="M40" i="20"/>
  <c r="N38" i="15"/>
  <c r="Q38" i="15"/>
  <c r="S38" i="15"/>
  <c r="Q40" i="19"/>
  <c r="P40" i="19"/>
  <c r="V40" i="19"/>
  <c r="K40" i="19"/>
  <c r="S40" i="19"/>
  <c r="T34" i="17"/>
  <c r="R17" i="17"/>
  <c r="S17" i="17"/>
  <c r="T17" i="17"/>
  <c r="L17" i="17"/>
  <c r="U17" i="17"/>
  <c r="V17" i="17"/>
  <c r="M17" i="17"/>
  <c r="P17" i="17"/>
  <c r="N17" i="17"/>
  <c r="W17" i="17"/>
  <c r="Q17" i="17"/>
  <c r="T24" i="17"/>
  <c r="Y15" i="17"/>
  <c r="Z15" i="17" s="1"/>
  <c r="Y17" i="17"/>
  <c r="Z17" i="17" s="1"/>
  <c r="M16" i="17"/>
  <c r="N32" i="17"/>
  <c r="L16" i="17"/>
  <c r="Q16" i="17"/>
  <c r="T23" i="17"/>
  <c r="U16" i="17"/>
  <c r="W8" i="17"/>
  <c r="W16" i="17"/>
  <c r="S20" i="17"/>
  <c r="T20" i="17"/>
  <c r="Q8" i="17"/>
  <c r="R26" i="17"/>
  <c r="R20" i="17"/>
  <c r="V8" i="17"/>
  <c r="M20" i="17"/>
  <c r="M33" i="17"/>
  <c r="N20" i="17"/>
  <c r="W20" i="17"/>
  <c r="S33" i="17"/>
  <c r="T33" i="17"/>
  <c r="P33" i="17"/>
  <c r="T8" i="17"/>
  <c r="U20" i="17"/>
  <c r="Q6" i="17"/>
  <c r="N6" i="17"/>
  <c r="V23" i="17"/>
  <c r="Q23" i="17"/>
  <c r="U14" i="17"/>
  <c r="M8" i="17"/>
  <c r="P6" i="17"/>
  <c r="P23" i="17"/>
  <c r="R8" i="17"/>
  <c r="N8" i="17"/>
  <c r="U23" i="17"/>
  <c r="L8" i="17"/>
  <c r="L6" i="17"/>
  <c r="V6" i="17"/>
  <c r="T14" i="17"/>
  <c r="M23" i="17"/>
  <c r="Q14" i="17"/>
  <c r="S8" i="17"/>
  <c r="V33" i="17"/>
  <c r="J20" i="16"/>
  <c r="N20" i="16"/>
  <c r="N16" i="16"/>
  <c r="S7" i="16"/>
  <c r="T7" i="16"/>
  <c r="L16" i="16"/>
  <c r="Q7" i="16"/>
  <c r="M7" i="16"/>
  <c r="J7" i="16"/>
  <c r="S16" i="16"/>
  <c r="P20" i="16"/>
  <c r="M20" i="16"/>
  <c r="L20" i="16"/>
  <c r="W20" i="16"/>
  <c r="P7" i="16"/>
  <c r="Q20" i="16"/>
  <c r="R18" i="16"/>
  <c r="J13" i="16"/>
  <c r="M13" i="16"/>
  <c r="L18" i="16"/>
  <c r="U7" i="16"/>
  <c r="K18" i="16"/>
  <c r="W13" i="16"/>
  <c r="Q13" i="16"/>
  <c r="L12" i="16"/>
  <c r="N13" i="16"/>
  <c r="V13" i="16"/>
  <c r="T12" i="16"/>
  <c r="T13" i="16"/>
  <c r="N12" i="16"/>
  <c r="U12" i="16"/>
  <c r="M18" i="16"/>
  <c r="J12" i="16"/>
  <c r="Q12" i="16"/>
  <c r="S18" i="16"/>
  <c r="S13" i="16"/>
  <c r="R13" i="16"/>
  <c r="P12" i="16"/>
  <c r="T18" i="16"/>
  <c r="Q16" i="16"/>
  <c r="P13" i="16"/>
  <c r="U13" i="16"/>
  <c r="L13" i="16"/>
  <c r="R17" i="16"/>
  <c r="S17" i="16"/>
  <c r="K17" i="16"/>
  <c r="T17" i="16"/>
  <c r="N17" i="16"/>
  <c r="L17" i="16"/>
  <c r="U17" i="16"/>
  <c r="V17" i="16"/>
  <c r="W17" i="16"/>
  <c r="M17" i="16"/>
  <c r="P17" i="16"/>
  <c r="Q17" i="16"/>
  <c r="J17" i="16"/>
  <c r="Y38" i="16"/>
  <c r="Z38" i="16" s="1"/>
  <c r="Y17" i="16"/>
  <c r="Z17" i="16" s="1"/>
  <c r="W22" i="16"/>
  <c r="U22" i="16"/>
  <c r="K27" i="16"/>
  <c r="W8" i="16"/>
  <c r="V8" i="16"/>
  <c r="K8" i="16"/>
  <c r="Q32" i="16"/>
  <c r="R27" i="16"/>
  <c r="M8" i="16"/>
  <c r="R32" i="16"/>
  <c r="P32" i="16"/>
  <c r="S8" i="16"/>
  <c r="U32" i="16"/>
  <c r="U8" i="16"/>
  <c r="M32" i="16"/>
  <c r="S32" i="16"/>
  <c r="T8" i="16"/>
  <c r="N32" i="16"/>
  <c r="W32" i="16"/>
  <c r="W18" i="16"/>
  <c r="T32" i="16"/>
  <c r="V18" i="16"/>
  <c r="P18" i="16"/>
  <c r="J18" i="16"/>
  <c r="N15" i="16"/>
  <c r="L15" i="16"/>
  <c r="U15" i="16"/>
  <c r="J22" i="16"/>
  <c r="R33" i="16"/>
  <c r="T33" i="16"/>
  <c r="W10" i="16"/>
  <c r="Q33" i="16"/>
  <c r="P10" i="16"/>
  <c r="M10" i="16"/>
  <c r="N33" i="16"/>
  <c r="R10" i="16"/>
  <c r="M33" i="16"/>
  <c r="N10" i="16"/>
  <c r="U10" i="16"/>
  <c r="T22" i="16"/>
  <c r="W33" i="16"/>
  <c r="S33" i="16"/>
  <c r="V33" i="16"/>
  <c r="L10" i="16"/>
  <c r="K33" i="16"/>
  <c r="U33" i="16"/>
  <c r="P33" i="16"/>
  <c r="Q18" i="16"/>
  <c r="W25" i="16"/>
  <c r="T15" i="16"/>
  <c r="K22" i="16"/>
  <c r="M22" i="16"/>
  <c r="L22" i="16"/>
  <c r="Q6" i="16"/>
  <c r="M15" i="16"/>
  <c r="W15" i="16"/>
  <c r="V15" i="16"/>
  <c r="V22" i="16"/>
  <c r="P22" i="16"/>
  <c r="N6" i="16"/>
  <c r="R15" i="16"/>
  <c r="J15" i="16"/>
  <c r="N22" i="16"/>
  <c r="P29" i="16"/>
  <c r="R22" i="16"/>
  <c r="S22" i="16"/>
  <c r="M29" i="16"/>
  <c r="V26" i="16"/>
  <c r="R26" i="16"/>
  <c r="U6" i="16"/>
  <c r="M26" i="16"/>
  <c r="R29" i="16"/>
  <c r="U26" i="16"/>
  <c r="Q15" i="16"/>
  <c r="J26" i="16"/>
  <c r="T26" i="16"/>
  <c r="L6" i="16"/>
  <c r="K29" i="16"/>
  <c r="Q29" i="16"/>
  <c r="W26" i="16"/>
  <c r="P6" i="16"/>
  <c r="P26" i="16"/>
  <c r="K15" i="16"/>
  <c r="K6" i="16"/>
  <c r="P15" i="16"/>
  <c r="T29" i="16"/>
  <c r="N18" i="16"/>
  <c r="N7" i="16"/>
  <c r="L7" i="16"/>
  <c r="W7" i="16"/>
  <c r="W9" i="16"/>
  <c r="V9" i="16"/>
  <c r="J9" i="16"/>
  <c r="P9" i="16"/>
  <c r="N9" i="16"/>
  <c r="U9" i="16"/>
  <c r="R9" i="16"/>
  <c r="U27" i="16"/>
  <c r="L9" i="16"/>
  <c r="W31" i="16"/>
  <c r="P31" i="16"/>
  <c r="M31" i="16"/>
  <c r="K31" i="16"/>
  <c r="N31" i="16"/>
  <c r="U31" i="16"/>
  <c r="L31" i="16"/>
  <c r="J31" i="16"/>
  <c r="Q31" i="16"/>
  <c r="T31" i="16"/>
  <c r="V31" i="16"/>
  <c r="S31" i="16"/>
  <c r="R31" i="16"/>
  <c r="Y6" i="16"/>
  <c r="N27" i="16"/>
  <c r="P27" i="16"/>
  <c r="J27" i="16"/>
  <c r="M9" i="16"/>
  <c r="S9" i="16"/>
  <c r="J8" i="16"/>
  <c r="Q8" i="16"/>
  <c r="R8" i="16"/>
  <c r="K16" i="16"/>
  <c r="R16" i="16"/>
  <c r="T16" i="16"/>
  <c r="W16" i="16"/>
  <c r="J16" i="16"/>
  <c r="Y20" i="16"/>
  <c r="Z20" i="16" s="1"/>
  <c r="L27" i="16"/>
  <c r="K10" i="16"/>
  <c r="J10" i="16"/>
  <c r="S10" i="16"/>
  <c r="W24" i="16"/>
  <c r="J24" i="16"/>
  <c r="M24" i="16"/>
  <c r="U24" i="16"/>
  <c r="K24" i="16"/>
  <c r="V24" i="16"/>
  <c r="R24" i="16"/>
  <c r="S24" i="16"/>
  <c r="N24" i="16"/>
  <c r="L24" i="16"/>
  <c r="Q24" i="16"/>
  <c r="T24" i="16"/>
  <c r="P24" i="16"/>
  <c r="K9" i="16"/>
  <c r="Y14" i="16"/>
  <c r="Z14" i="16" s="1"/>
  <c r="Y32" i="16"/>
  <c r="Z32" i="16" s="1"/>
  <c r="M27" i="16"/>
  <c r="V10" i="16"/>
  <c r="L32" i="16"/>
  <c r="K32" i="16"/>
  <c r="N26" i="16"/>
  <c r="L26" i="16"/>
  <c r="K26" i="16"/>
  <c r="Q26" i="16"/>
  <c r="K35" i="16"/>
  <c r="Q35" i="16"/>
  <c r="J35" i="16"/>
  <c r="V35" i="16"/>
  <c r="R35" i="16"/>
  <c r="U35" i="16"/>
  <c r="L35" i="16"/>
  <c r="S35" i="16"/>
  <c r="T35" i="16"/>
  <c r="M35" i="16"/>
  <c r="P35" i="16"/>
  <c r="N35" i="16"/>
  <c r="W35" i="16"/>
  <c r="V27" i="16"/>
  <c r="U29" i="16"/>
  <c r="W29" i="16"/>
  <c r="N29" i="16"/>
  <c r="L29" i="16"/>
  <c r="S29" i="16"/>
  <c r="S27" i="16"/>
  <c r="Q27" i="16"/>
  <c r="Y7" i="16"/>
  <c r="Z7" i="16" s="1"/>
  <c r="T27" i="16"/>
  <c r="Q10" i="16"/>
  <c r="L8" i="16"/>
  <c r="P8" i="16"/>
  <c r="V32" i="16"/>
  <c r="J33" i="16"/>
  <c r="P16" i="16"/>
  <c r="M16" i="16"/>
  <c r="T9" i="16"/>
  <c r="U16" i="16"/>
  <c r="J29" i="16"/>
  <c r="T14" i="16"/>
  <c r="J14" i="16"/>
  <c r="W14" i="16"/>
  <c r="K14" i="16"/>
  <c r="P14" i="16"/>
  <c r="S14" i="16"/>
  <c r="R14" i="16"/>
  <c r="N14" i="16"/>
  <c r="Q14" i="16"/>
  <c r="M14" i="16"/>
  <c r="V14" i="16"/>
  <c r="L14" i="16"/>
  <c r="U14" i="16"/>
  <c r="R6" i="16"/>
  <c r="J6" i="16"/>
  <c r="S6" i="16"/>
  <c r="W6" i="16"/>
  <c r="T6" i="16"/>
  <c r="V6" i="16"/>
  <c r="R23" i="16"/>
  <c r="U23" i="16"/>
  <c r="I28" i="5"/>
  <c r="V28" i="5" s="1"/>
  <c r="I17" i="5"/>
  <c r="I15" i="5"/>
  <c r="L15" i="5" s="1"/>
  <c r="I12" i="5"/>
  <c r="W12" i="5" s="1"/>
  <c r="I29" i="5"/>
  <c r="K29" i="5" s="1"/>
  <c r="I23" i="5"/>
  <c r="P23" i="5" s="1"/>
  <c r="I31" i="5"/>
  <c r="T31" i="5" s="1"/>
  <c r="G38" i="5"/>
  <c r="I16" i="5"/>
  <c r="U16" i="5" s="1"/>
  <c r="I8" i="5"/>
  <c r="S8" i="5" s="1"/>
  <c r="I6" i="5"/>
  <c r="I30" i="5"/>
  <c r="J30" i="5" s="1"/>
  <c r="I13" i="5"/>
  <c r="J13" i="5" s="1"/>
  <c r="I14" i="5"/>
  <c r="S14" i="5" s="1"/>
  <c r="I32" i="5"/>
  <c r="V32" i="5" s="1"/>
  <c r="I19" i="5"/>
  <c r="S19" i="5" s="1"/>
  <c r="I7" i="5"/>
  <c r="I27" i="5"/>
  <c r="I24" i="5"/>
  <c r="I22" i="5"/>
  <c r="I25" i="5"/>
  <c r="I20" i="5"/>
  <c r="I10" i="5"/>
  <c r="I18" i="5"/>
  <c r="I26" i="5"/>
  <c r="I34" i="5"/>
  <c r="I21" i="5"/>
  <c r="I9" i="5"/>
  <c r="I33" i="5"/>
  <c r="V13" i="5"/>
  <c r="P12" i="5"/>
  <c r="R28" i="5"/>
  <c r="L29" i="5"/>
  <c r="U25" i="16"/>
  <c r="L25" i="16"/>
  <c r="T25" i="16"/>
  <c r="K23" i="16"/>
  <c r="V23" i="16"/>
  <c r="P23" i="16"/>
  <c r="L23" i="16"/>
  <c r="S23" i="16"/>
  <c r="T23" i="16"/>
  <c r="J23" i="16"/>
  <c r="W23" i="16"/>
  <c r="M23" i="16"/>
  <c r="R25" i="16"/>
  <c r="N23" i="16"/>
  <c r="N25" i="16"/>
  <c r="K25" i="16"/>
  <c r="L34" i="16"/>
  <c r="J34" i="16"/>
  <c r="U34" i="16"/>
  <c r="S34" i="16"/>
  <c r="P34" i="16"/>
  <c r="Q34" i="16"/>
  <c r="N34" i="16"/>
  <c r="R34" i="16"/>
  <c r="V34" i="16"/>
  <c r="M34" i="16"/>
  <c r="W34" i="16"/>
  <c r="T34" i="16"/>
  <c r="K34" i="16"/>
  <c r="M25" i="16"/>
  <c r="S25" i="16"/>
  <c r="Q25" i="16"/>
  <c r="P25" i="16"/>
  <c r="J25" i="16"/>
  <c r="T30" i="16"/>
  <c r="J30" i="16"/>
  <c r="M30" i="16"/>
  <c r="P30" i="16"/>
  <c r="S30" i="16"/>
  <c r="K30" i="16"/>
  <c r="Q30" i="16"/>
  <c r="L30" i="16"/>
  <c r="W30" i="16"/>
  <c r="U30" i="16"/>
  <c r="R30" i="16"/>
  <c r="N30" i="16"/>
  <c r="V30" i="16"/>
  <c r="S21" i="16"/>
  <c r="W21" i="16"/>
  <c r="M21" i="16"/>
  <c r="R21" i="16"/>
  <c r="J21" i="16"/>
  <c r="L21" i="16"/>
  <c r="P21" i="16"/>
  <c r="Q21" i="16"/>
  <c r="V21" i="16"/>
  <c r="T21" i="16"/>
  <c r="N21" i="16"/>
  <c r="U21" i="16"/>
  <c r="K21" i="16"/>
  <c r="V28" i="16"/>
  <c r="L28" i="16"/>
  <c r="J28" i="16"/>
  <c r="W28" i="16"/>
  <c r="Q28" i="16"/>
  <c r="M28" i="16"/>
  <c r="N28" i="16"/>
  <c r="S28" i="16"/>
  <c r="R28" i="16"/>
  <c r="U28" i="16"/>
  <c r="T28" i="16"/>
  <c r="K28" i="16"/>
  <c r="P28" i="16"/>
  <c r="L19" i="16"/>
  <c r="Q19" i="16"/>
  <c r="M19" i="16"/>
  <c r="R19" i="16"/>
  <c r="S19" i="16"/>
  <c r="U19" i="16"/>
  <c r="K19" i="16"/>
  <c r="N19" i="16"/>
  <c r="V19" i="16"/>
  <c r="T19" i="16"/>
  <c r="W19" i="16"/>
  <c r="J19" i="16"/>
  <c r="P19" i="16"/>
  <c r="Y31" i="16"/>
  <c r="Z31" i="16" s="1"/>
  <c r="Y23" i="16"/>
  <c r="Z23" i="16" s="1"/>
  <c r="Y16" i="16"/>
  <c r="Z16" i="16" s="1"/>
  <c r="Y27" i="16"/>
  <c r="Z27" i="16" s="1"/>
  <c r="Y8" i="16"/>
  <c r="Z8" i="16" s="1"/>
  <c r="Y9" i="16"/>
  <c r="Z9" i="16" s="1"/>
  <c r="Y15" i="16"/>
  <c r="Z15" i="16" s="1"/>
  <c r="Y37" i="16"/>
  <c r="Z37" i="16" s="1"/>
  <c r="Y28" i="16"/>
  <c r="Z28" i="16" s="1"/>
  <c r="Y22" i="16"/>
  <c r="Z22" i="16" s="1"/>
  <c r="Y33" i="16"/>
  <c r="Z33" i="16" s="1"/>
  <c r="Y18" i="16"/>
  <c r="Z18" i="16" s="1"/>
  <c r="Y24" i="16"/>
  <c r="Z24" i="16" s="1"/>
  <c r="Y26" i="16"/>
  <c r="Z26" i="16" s="1"/>
  <c r="Y34" i="16"/>
  <c r="Z34" i="16" s="1"/>
  <c r="Y35" i="16"/>
  <c r="Z35" i="16" s="1"/>
  <c r="Y29" i="16"/>
  <c r="Z29" i="16" s="1"/>
  <c r="Y12" i="16"/>
  <c r="Z12" i="16" s="1"/>
  <c r="Y21" i="16"/>
  <c r="Z21" i="16" s="1"/>
  <c r="Y30" i="16"/>
  <c r="Z30" i="16" s="1"/>
  <c r="Y10" i="16"/>
  <c r="Z10" i="16" s="1"/>
  <c r="Y25" i="16"/>
  <c r="Z25" i="16" s="1"/>
  <c r="Y19" i="16"/>
  <c r="Z19" i="16" s="1"/>
  <c r="Y13" i="16"/>
  <c r="Z13" i="16" s="1"/>
  <c r="U19" i="17"/>
  <c r="W10" i="17"/>
  <c r="Q10" i="17"/>
  <c r="T6" i="17"/>
  <c r="L14" i="17"/>
  <c r="N10" i="17"/>
  <c r="U10" i="17"/>
  <c r="S18" i="17"/>
  <c r="S10" i="17"/>
  <c r="T10" i="17"/>
  <c r="R6" i="17"/>
  <c r="R32" i="17"/>
  <c r="S14" i="17"/>
  <c r="N16" i="17"/>
  <c r="L10" i="17"/>
  <c r="U18" i="17"/>
  <c r="R23" i="17"/>
  <c r="N23" i="17"/>
  <c r="S23" i="17"/>
  <c r="L23" i="17"/>
  <c r="V26" i="17"/>
  <c r="P8" i="17"/>
  <c r="Q26" i="17"/>
  <c r="M26" i="17"/>
  <c r="W26" i="17"/>
  <c r="V12" i="17"/>
  <c r="M12" i="17"/>
  <c r="P26" i="17"/>
  <c r="W12" i="17"/>
  <c r="T16" i="17"/>
  <c r="T26" i="17"/>
  <c r="N14" i="17"/>
  <c r="S16" i="17"/>
  <c r="L26" i="17"/>
  <c r="P16" i="17"/>
  <c r="R14" i="17"/>
  <c r="P14" i="17"/>
  <c r="U12" i="17"/>
  <c r="N12" i="17"/>
  <c r="L18" i="17"/>
  <c r="N18" i="17"/>
  <c r="M18" i="17"/>
  <c r="P18" i="17"/>
  <c r="Q18" i="17"/>
  <c r="N26" i="17"/>
  <c r="U26" i="17"/>
  <c r="AA35" i="21"/>
  <c r="Z35" i="21"/>
  <c r="T31" i="17"/>
  <c r="R31" i="17"/>
  <c r="P31" i="17"/>
  <c r="W31" i="17"/>
  <c r="M31" i="17"/>
  <c r="S31" i="17"/>
  <c r="R24" i="17"/>
  <c r="L34" i="17"/>
  <c r="V31" i="17"/>
  <c r="R12" i="17"/>
  <c r="L12" i="17"/>
  <c r="S12" i="17"/>
  <c r="T12" i="17"/>
  <c r="N31" i="17"/>
  <c r="Q24" i="17"/>
  <c r="Q12" i="17"/>
  <c r="U31" i="17"/>
  <c r="U33" i="17"/>
  <c r="N33" i="17"/>
  <c r="L33" i="17"/>
  <c r="Q31" i="17"/>
  <c r="W14" i="17"/>
  <c r="M14" i="17"/>
  <c r="N7" i="17"/>
  <c r="V7" i="17"/>
  <c r="T30" i="17"/>
  <c r="Q30" i="17"/>
  <c r="U30" i="17"/>
  <c r="S30" i="17"/>
  <c r="V30" i="17"/>
  <c r="M30" i="17"/>
  <c r="T7" i="17"/>
  <c r="L30" i="17"/>
  <c r="R30" i="17"/>
  <c r="R19" i="17"/>
  <c r="M19" i="17"/>
  <c r="L19" i="17"/>
  <c r="Q19" i="17"/>
  <c r="N19" i="17"/>
  <c r="T19" i="17"/>
  <c r="P19" i="17"/>
  <c r="W19" i="17"/>
  <c r="V19" i="17"/>
  <c r="U9" i="17"/>
  <c r="S9" i="17"/>
  <c r="N9" i="17"/>
  <c r="M9" i="17"/>
  <c r="W9" i="17"/>
  <c r="Q9" i="17"/>
  <c r="P13" i="17"/>
  <c r="N13" i="17"/>
  <c r="W13" i="17"/>
  <c r="U13" i="17"/>
  <c r="R13" i="17"/>
  <c r="Q13" i="17"/>
  <c r="T13" i="17"/>
  <c r="L13" i="17"/>
  <c r="V13" i="17"/>
  <c r="M13" i="17"/>
  <c r="S13" i="17"/>
  <c r="L9" i="17"/>
  <c r="R9" i="17"/>
  <c r="R16" i="17"/>
  <c r="V16" i="17"/>
  <c r="P25" i="17"/>
  <c r="M25" i="17"/>
  <c r="U25" i="17"/>
  <c r="R25" i="17"/>
  <c r="Q25" i="17"/>
  <c r="W25" i="17"/>
  <c r="L25" i="17"/>
  <c r="S25" i="17"/>
  <c r="N25" i="17"/>
  <c r="T25" i="17"/>
  <c r="V25" i="17"/>
  <c r="R7" i="17"/>
  <c r="Q29" i="17"/>
  <c r="M29" i="17"/>
  <c r="L29" i="17"/>
  <c r="R29" i="17"/>
  <c r="U29" i="17"/>
  <c r="P29" i="17"/>
  <c r="W29" i="17"/>
  <c r="S29" i="17"/>
  <c r="T29" i="17"/>
  <c r="N29" i="17"/>
  <c r="V29" i="17"/>
  <c r="W24" i="17"/>
  <c r="M7" i="17"/>
  <c r="P7" i="17"/>
  <c r="T9" i="17"/>
  <c r="S34" i="17"/>
  <c r="S24" i="17"/>
  <c r="W30" i="17"/>
  <c r="T32" i="17"/>
  <c r="L32" i="17"/>
  <c r="S32" i="17"/>
  <c r="Q32" i="17"/>
  <c r="P32" i="17"/>
  <c r="W32" i="17"/>
  <c r="V32" i="17"/>
  <c r="M32" i="17"/>
  <c r="L21" i="17"/>
  <c r="R21" i="17"/>
  <c r="Q21" i="17"/>
  <c r="N21" i="17"/>
  <c r="U21" i="17"/>
  <c r="T21" i="17"/>
  <c r="P21" i="17"/>
  <c r="V21" i="17"/>
  <c r="S21" i="17"/>
  <c r="M21" i="17"/>
  <c r="W21" i="17"/>
  <c r="U7" i="17"/>
  <c r="V24" i="17"/>
  <c r="Q7" i="17"/>
  <c r="N30" i="17"/>
  <c r="P10" i="17"/>
  <c r="R10" i="17"/>
  <c r="V10" i="17"/>
  <c r="M10" i="17"/>
  <c r="S27" i="17"/>
  <c r="T27" i="17"/>
  <c r="V27" i="17"/>
  <c r="R27" i="17"/>
  <c r="Q27" i="17"/>
  <c r="N27" i="17"/>
  <c r="L27" i="17"/>
  <c r="M27" i="17"/>
  <c r="P27" i="17"/>
  <c r="U27" i="17"/>
  <c r="L24" i="17"/>
  <c r="W7" i="17"/>
  <c r="U24" i="17"/>
  <c r="P9" i="17"/>
  <c r="Y32" i="17"/>
  <c r="Z32" i="17" s="1"/>
  <c r="Y16" i="17"/>
  <c r="Z16" i="17" s="1"/>
  <c r="K6" i="17"/>
  <c r="M6" i="17"/>
  <c r="M34" i="17"/>
  <c r="P34" i="17"/>
  <c r="W34" i="17"/>
  <c r="N34" i="17"/>
  <c r="Q34" i="17"/>
  <c r="U34" i="17"/>
  <c r="R34" i="17"/>
  <c r="L35" i="21" l="1"/>
  <c r="Z6" i="17"/>
  <c r="Y38" i="17"/>
  <c r="N44" i="17"/>
  <c r="Z38" i="17"/>
  <c r="W39" i="16"/>
  <c r="Z6" i="16"/>
  <c r="Z39" i="16" s="1"/>
  <c r="Y39" i="16"/>
  <c r="P39" i="16"/>
  <c r="L39" i="16"/>
  <c r="S39" i="16"/>
  <c r="K39" i="16"/>
  <c r="N39" i="16"/>
  <c r="M39" i="16"/>
  <c r="V39" i="16"/>
  <c r="J39" i="16"/>
  <c r="T39" i="16"/>
  <c r="R39" i="16"/>
  <c r="U39" i="16"/>
  <c r="Q39" i="16"/>
  <c r="J12" i="5"/>
  <c r="U12" i="5"/>
  <c r="L12" i="5"/>
  <c r="Q12" i="5"/>
  <c r="R12" i="5"/>
  <c r="K12" i="5"/>
  <c r="R30" i="5"/>
  <c r="S12" i="5"/>
  <c r="V12" i="5"/>
  <c r="T12" i="5"/>
  <c r="K19" i="5"/>
  <c r="Y31" i="5"/>
  <c r="Z31" i="5" s="1"/>
  <c r="Q29" i="5"/>
  <c r="K28" i="5"/>
  <c r="U13" i="5"/>
  <c r="U29" i="5"/>
  <c r="P13" i="5"/>
  <c r="Q6" i="5"/>
  <c r="I36" i="5"/>
  <c r="W35" i="21"/>
  <c r="N35" i="21"/>
  <c r="S35" i="21"/>
  <c r="R35" i="21"/>
  <c r="M35" i="21"/>
  <c r="U35" i="21"/>
  <c r="V35" i="21"/>
  <c r="X35" i="21"/>
  <c r="O35" i="21"/>
  <c r="K35" i="21"/>
  <c r="Q35" i="21"/>
  <c r="T35" i="21"/>
  <c r="J31" i="5"/>
  <c r="P29" i="5"/>
  <c r="Q28" i="5"/>
  <c r="S16" i="5"/>
  <c r="R6" i="5"/>
  <c r="L31" i="5"/>
  <c r="R31" i="5"/>
  <c r="Q15" i="5"/>
  <c r="W15" i="5"/>
  <c r="K31" i="5"/>
  <c r="W31" i="5"/>
  <c r="U31" i="5"/>
  <c r="J6" i="5"/>
  <c r="R15" i="5"/>
  <c r="J15" i="5"/>
  <c r="V15" i="5"/>
  <c r="S31" i="5"/>
  <c r="V31" i="5"/>
  <c r="V6" i="5"/>
  <c r="K15" i="5"/>
  <c r="U15" i="5"/>
  <c r="P15" i="5"/>
  <c r="P31" i="5"/>
  <c r="Q31" i="5"/>
  <c r="W6" i="5"/>
  <c r="T15" i="5"/>
  <c r="S15" i="5"/>
  <c r="J29" i="5"/>
  <c r="W23" i="5"/>
  <c r="T28" i="5"/>
  <c r="S13" i="5"/>
  <c r="S29" i="5"/>
  <c r="L28" i="5"/>
  <c r="W16" i="5"/>
  <c r="R13" i="5"/>
  <c r="W29" i="5"/>
  <c r="V29" i="5"/>
  <c r="U23" i="5"/>
  <c r="P28" i="5"/>
  <c r="U28" i="5"/>
  <c r="S28" i="5"/>
  <c r="T13" i="5"/>
  <c r="K13" i="5"/>
  <c r="L13" i="5"/>
  <c r="P19" i="5"/>
  <c r="R23" i="5"/>
  <c r="T29" i="5"/>
  <c r="R29" i="5"/>
  <c r="W28" i="5"/>
  <c r="J28" i="5"/>
  <c r="K16" i="5"/>
  <c r="Q13" i="5"/>
  <c r="W13" i="5"/>
  <c r="T14" i="5"/>
  <c r="V14" i="5"/>
  <c r="Y22" i="5"/>
  <c r="Z22" i="5" s="1"/>
  <c r="Q23" i="5"/>
  <c r="Y7" i="5"/>
  <c r="Z7" i="5" s="1"/>
  <c r="Y17" i="5"/>
  <c r="Z17" i="5" s="1"/>
  <c r="Q32" i="5"/>
  <c r="Y34" i="5"/>
  <c r="Z34" i="5" s="1"/>
  <c r="Y19" i="5"/>
  <c r="Z19" i="5" s="1"/>
  <c r="W32" i="5"/>
  <c r="Y29" i="5"/>
  <c r="Z29" i="5" s="1"/>
  <c r="Y18" i="5"/>
  <c r="Z18" i="5" s="1"/>
  <c r="Y30" i="5"/>
  <c r="Z30" i="5" s="1"/>
  <c r="Y20" i="5"/>
  <c r="Z20" i="5" s="1"/>
  <c r="Y10" i="5"/>
  <c r="Z10" i="5" s="1"/>
  <c r="Y28" i="5"/>
  <c r="Z28" i="5" s="1"/>
  <c r="T32" i="5"/>
  <c r="Z6" i="5"/>
  <c r="Y25" i="5"/>
  <c r="Z25" i="5" s="1"/>
  <c r="S32" i="5"/>
  <c r="Y33" i="5"/>
  <c r="Z33" i="5" s="1"/>
  <c r="Y15" i="5"/>
  <c r="Z15" i="5" s="1"/>
  <c r="L32" i="5"/>
  <c r="Y13" i="5"/>
  <c r="Z13" i="5" s="1"/>
  <c r="Y23" i="5"/>
  <c r="Z23" i="5" s="1"/>
  <c r="K17" i="5"/>
  <c r="T17" i="5"/>
  <c r="Q17" i="5"/>
  <c r="J17" i="5"/>
  <c r="L17" i="5"/>
  <c r="U17" i="5"/>
  <c r="V17" i="5"/>
  <c r="W17" i="5"/>
  <c r="R17" i="5"/>
  <c r="P17" i="5"/>
  <c r="S17" i="5"/>
  <c r="J32" i="5"/>
  <c r="Y8" i="5"/>
  <c r="Z8" i="5" s="1"/>
  <c r="Y32" i="5"/>
  <c r="Z32" i="5" s="1"/>
  <c r="L23" i="5"/>
  <c r="Q16" i="5"/>
  <c r="J14" i="5"/>
  <c r="W19" i="5"/>
  <c r="R16" i="5"/>
  <c r="U14" i="5"/>
  <c r="R14" i="5"/>
  <c r="J23" i="5"/>
  <c r="K23" i="5"/>
  <c r="T16" i="5"/>
  <c r="L8" i="5"/>
  <c r="V23" i="5"/>
  <c r="S23" i="5"/>
  <c r="Q14" i="5"/>
  <c r="T23" i="5"/>
  <c r="V16" i="5"/>
  <c r="L14" i="5"/>
  <c r="R8" i="5"/>
  <c r="W8" i="5"/>
  <c r="Y9" i="5"/>
  <c r="Z9" i="5" s="1"/>
  <c r="J8" i="5"/>
  <c r="Q8" i="5"/>
  <c r="K8" i="5"/>
  <c r="Y16" i="5"/>
  <c r="Z16" i="5" s="1"/>
  <c r="V8" i="5"/>
  <c r="U8" i="5"/>
  <c r="J16" i="5"/>
  <c r="U32" i="5"/>
  <c r="R32" i="5"/>
  <c r="Y27" i="5"/>
  <c r="Z27" i="5" s="1"/>
  <c r="Y12" i="5"/>
  <c r="P8" i="5"/>
  <c r="T8" i="5"/>
  <c r="L16" i="5"/>
  <c r="P16" i="5"/>
  <c r="K32" i="5"/>
  <c r="P32" i="5"/>
  <c r="Y14" i="5"/>
  <c r="Z14" i="5" s="1"/>
  <c r="Y21" i="5"/>
  <c r="Z21" i="5" s="1"/>
  <c r="R19" i="5"/>
  <c r="Y24" i="5"/>
  <c r="Z24" i="5" s="1"/>
  <c r="Y26" i="5"/>
  <c r="Z26" i="5" s="1"/>
  <c r="L30" i="5"/>
  <c r="P30" i="5"/>
  <c r="U30" i="5"/>
  <c r="T30" i="5"/>
  <c r="K6" i="5"/>
  <c r="T6" i="5"/>
  <c r="L19" i="5"/>
  <c r="W30" i="5"/>
  <c r="K30" i="5"/>
  <c r="S6" i="5"/>
  <c r="V30" i="5"/>
  <c r="Q30" i="5"/>
  <c r="L6" i="5"/>
  <c r="U6" i="5"/>
  <c r="S30" i="5"/>
  <c r="P6" i="5"/>
  <c r="P14" i="5"/>
  <c r="K14" i="5"/>
  <c r="W14" i="5"/>
  <c r="Q19" i="5"/>
  <c r="J19" i="5"/>
  <c r="V19" i="5"/>
  <c r="T19" i="5"/>
  <c r="U19" i="5"/>
  <c r="R10" i="5"/>
  <c r="Q10" i="5"/>
  <c r="L10" i="5"/>
  <c r="W10" i="5"/>
  <c r="V10" i="5"/>
  <c r="U10" i="5"/>
  <c r="J10" i="5"/>
  <c r="P10" i="5"/>
  <c r="T10" i="5"/>
  <c r="S10" i="5"/>
  <c r="K10" i="5"/>
  <c r="V20" i="5"/>
  <c r="Q20" i="5"/>
  <c r="U20" i="5"/>
  <c r="T20" i="5"/>
  <c r="R20" i="5"/>
  <c r="P20" i="5"/>
  <c r="L20" i="5"/>
  <c r="J20" i="5"/>
  <c r="K20" i="5"/>
  <c r="W20" i="5"/>
  <c r="S20" i="5"/>
  <c r="R33" i="5"/>
  <c r="W33" i="5"/>
  <c r="U33" i="5"/>
  <c r="J33" i="5"/>
  <c r="L33" i="5"/>
  <c r="T33" i="5"/>
  <c r="S33" i="5"/>
  <c r="Q33" i="5"/>
  <c r="K33" i="5"/>
  <c r="V33" i="5"/>
  <c r="P33" i="5"/>
  <c r="W25" i="5"/>
  <c r="Q25" i="5"/>
  <c r="U25" i="5"/>
  <c r="L25" i="5"/>
  <c r="V25" i="5"/>
  <c r="R25" i="5"/>
  <c r="J25" i="5"/>
  <c r="S25" i="5"/>
  <c r="T25" i="5"/>
  <c r="K25" i="5"/>
  <c r="P25" i="5"/>
  <c r="L9" i="5"/>
  <c r="K9" i="5"/>
  <c r="T9" i="5"/>
  <c r="J9" i="5"/>
  <c r="Q9" i="5"/>
  <c r="V9" i="5"/>
  <c r="P9" i="5"/>
  <c r="R9" i="5"/>
  <c r="S9" i="5"/>
  <c r="U9" i="5"/>
  <c r="W9" i="5"/>
  <c r="P22" i="5"/>
  <c r="U22" i="5"/>
  <c r="Q22" i="5"/>
  <c r="V22" i="5"/>
  <c r="L22" i="5"/>
  <c r="R22" i="5"/>
  <c r="T22" i="5"/>
  <c r="W22" i="5"/>
  <c r="S22" i="5"/>
  <c r="J22" i="5"/>
  <c r="K22" i="5"/>
  <c r="R21" i="5"/>
  <c r="K21" i="5"/>
  <c r="U21" i="5"/>
  <c r="V21" i="5"/>
  <c r="Q21" i="5"/>
  <c r="L21" i="5"/>
  <c r="S21" i="5"/>
  <c r="J21" i="5"/>
  <c r="T21" i="5"/>
  <c r="P21" i="5"/>
  <c r="W21" i="5"/>
  <c r="L24" i="5"/>
  <c r="J24" i="5"/>
  <c r="T24" i="5"/>
  <c r="P24" i="5"/>
  <c r="S24" i="5"/>
  <c r="W24" i="5"/>
  <c r="V24" i="5"/>
  <c r="R24" i="5"/>
  <c r="U24" i="5"/>
  <c r="K24" i="5"/>
  <c r="Q24" i="5"/>
  <c r="L34" i="5"/>
  <c r="P34" i="5"/>
  <c r="Q34" i="5"/>
  <c r="V34" i="5"/>
  <c r="K34" i="5"/>
  <c r="J34" i="5"/>
  <c r="W34" i="5"/>
  <c r="T34" i="5"/>
  <c r="R34" i="5"/>
  <c r="S34" i="5"/>
  <c r="U34" i="5"/>
  <c r="U27" i="5"/>
  <c r="S27" i="5"/>
  <c r="K27" i="5"/>
  <c r="L27" i="5"/>
  <c r="W27" i="5"/>
  <c r="R27" i="5"/>
  <c r="J27" i="5"/>
  <c r="V27" i="5"/>
  <c r="P27" i="5"/>
  <c r="T27" i="5"/>
  <c r="Q27" i="5"/>
  <c r="L18" i="5"/>
  <c r="U18" i="5"/>
  <c r="K18" i="5"/>
  <c r="R18" i="5"/>
  <c r="J18" i="5"/>
  <c r="T18" i="5"/>
  <c r="Q18" i="5"/>
  <c r="W18" i="5"/>
  <c r="P18" i="5"/>
  <c r="S18" i="5"/>
  <c r="V18" i="5"/>
  <c r="J26" i="5"/>
  <c r="P26" i="5"/>
  <c r="R26" i="5"/>
  <c r="T26" i="5"/>
  <c r="Q26" i="5"/>
  <c r="L26" i="5"/>
  <c r="S26" i="5"/>
  <c r="W26" i="5"/>
  <c r="U26" i="5"/>
  <c r="K26" i="5"/>
  <c r="V26" i="5"/>
  <c r="V7" i="5"/>
  <c r="R7" i="5"/>
  <c r="J7" i="5"/>
  <c r="S7" i="5"/>
  <c r="L7" i="5"/>
  <c r="K7" i="5"/>
  <c r="T7" i="5"/>
  <c r="P7" i="5"/>
  <c r="W7" i="5"/>
  <c r="Q7" i="5"/>
  <c r="U7" i="5"/>
  <c r="K44" i="17"/>
  <c r="M44" i="17"/>
  <c r="J44" i="17"/>
  <c r="L44" i="17"/>
  <c r="V36" i="5" l="1"/>
  <c r="R36" i="5"/>
  <c r="U36" i="5"/>
  <c r="S36" i="5"/>
  <c r="T36" i="5"/>
  <c r="L36" i="5"/>
  <c r="K36" i="5"/>
  <c r="W36" i="5"/>
  <c r="Q36" i="5"/>
  <c r="P36" i="5"/>
  <c r="Z12" i="5"/>
  <c r="Z38" i="5" s="1"/>
  <c r="J36" i="5"/>
</calcChain>
</file>

<file path=xl/sharedStrings.xml><?xml version="1.0" encoding="utf-8"?>
<sst xmlns="http://schemas.openxmlformats.org/spreadsheetml/2006/main" count="1725" uniqueCount="125">
  <si>
    <t>July Cost Allocations</t>
  </si>
  <si>
    <t>FICA</t>
  </si>
  <si>
    <t>MEDI</t>
  </si>
  <si>
    <t>SUI</t>
  </si>
  <si>
    <t>Disability</t>
  </si>
  <si>
    <t>Payroll Fees</t>
  </si>
  <si>
    <t>IT Consultants</t>
  </si>
  <si>
    <t>Acctg Fees</t>
  </si>
  <si>
    <t>Supplies</t>
  </si>
  <si>
    <t>Telephone</t>
  </si>
  <si>
    <t>Web Hosting</t>
  </si>
  <si>
    <t>Utilities</t>
  </si>
  <si>
    <t>Eq Lease</t>
  </si>
  <si>
    <t>Repairs</t>
  </si>
  <si>
    <t>General Insurance</t>
  </si>
  <si>
    <t>W/ Comp</t>
  </si>
  <si>
    <t>Taxes</t>
  </si>
  <si>
    <t>W/C</t>
  </si>
  <si>
    <t>Expenses</t>
  </si>
  <si>
    <t>Thriftworks</t>
  </si>
  <si>
    <t>Abbott</t>
  </si>
  <si>
    <t>111B</t>
  </si>
  <si>
    <t>Abbott Fees</t>
  </si>
  <si>
    <t>111A</t>
  </si>
  <si>
    <t>Abbott - Other</t>
  </si>
  <si>
    <t>111F</t>
  </si>
  <si>
    <t>Abbott Food</t>
  </si>
  <si>
    <t>EHS</t>
  </si>
  <si>
    <t>Summer Camp</t>
  </si>
  <si>
    <t>DCF- Coding</t>
  </si>
  <si>
    <t>OICA</t>
  </si>
  <si>
    <t>FOC -Americorp</t>
  </si>
  <si>
    <t>334D</t>
  </si>
  <si>
    <t>334E</t>
  </si>
  <si>
    <t>NRTC - Thriftworks</t>
  </si>
  <si>
    <t>334H</t>
  </si>
  <si>
    <t>NRTC - Housing</t>
  </si>
  <si>
    <t>334F</t>
  </si>
  <si>
    <t>NRTC FOC</t>
  </si>
  <si>
    <t>NRTC 19</t>
  </si>
  <si>
    <t>Wells Fargo</t>
  </si>
  <si>
    <t>USJP</t>
  </si>
  <si>
    <t>PACE</t>
  </si>
  <si>
    <t>Prudential #1 Workforce</t>
  </si>
  <si>
    <t>WF - United Airlines</t>
  </si>
  <si>
    <t>Newark Alliance</t>
  </si>
  <si>
    <t>ESG</t>
  </si>
  <si>
    <t>FOC - HUD NUL PARS</t>
  </si>
  <si>
    <t>CDBG - Housing</t>
  </si>
  <si>
    <t>CAP 1 - Save Up</t>
  </si>
  <si>
    <t>LISC FOC 2019</t>
  </si>
  <si>
    <t>Prudential #1 FOC</t>
  </si>
  <si>
    <t>FOC - Chase</t>
  </si>
  <si>
    <t>CEO</t>
  </si>
  <si>
    <t>CFO</t>
  </si>
  <si>
    <t>COO</t>
  </si>
  <si>
    <t>Facilities</t>
  </si>
  <si>
    <t>Admin</t>
  </si>
  <si>
    <t>Opport Corp</t>
  </si>
  <si>
    <t xml:space="preserve">AmeriCorp </t>
  </si>
  <si>
    <t>USJP - Participants</t>
  </si>
  <si>
    <t>Salary</t>
  </si>
  <si>
    <t>Hourly</t>
  </si>
  <si>
    <t>Americorp</t>
  </si>
  <si>
    <t>Opp Corp</t>
  </si>
  <si>
    <t>Americ</t>
  </si>
  <si>
    <t>June Cost Allocations</t>
  </si>
  <si>
    <t>LISC FOC</t>
  </si>
  <si>
    <t>May Cost Allocations</t>
  </si>
  <si>
    <t>NRTC  2019</t>
  </si>
  <si>
    <t>April Cost Allocations</t>
  </si>
  <si>
    <t>April Cost Alloc</t>
  </si>
  <si>
    <t>334A</t>
  </si>
  <si>
    <t>NRTC - Admin</t>
  </si>
  <si>
    <t>March Alloc</t>
  </si>
  <si>
    <t>Eq maint</t>
  </si>
  <si>
    <t>NRTC 18</t>
  </si>
  <si>
    <t>Only posted the highlighted items to prep the reports</t>
  </si>
  <si>
    <t>FOC - United Airlines</t>
  </si>
  <si>
    <t>February  Allocations</t>
  </si>
  <si>
    <t>January  Allocations</t>
  </si>
  <si>
    <t>Gen Insurance</t>
  </si>
  <si>
    <t>December  Allocations</t>
  </si>
  <si>
    <t>Insurance</t>
  </si>
  <si>
    <t>Summer</t>
  </si>
  <si>
    <t>NRTC 18 - Real Estate</t>
  </si>
  <si>
    <t>NRTC 18 - Thrift Store</t>
  </si>
  <si>
    <t>PRFC</t>
  </si>
  <si>
    <t>Capital One - Housing</t>
  </si>
  <si>
    <t>Development</t>
  </si>
  <si>
    <t>November  Allocations</t>
  </si>
  <si>
    <t>Audit Fees</t>
  </si>
  <si>
    <t>18-1005,1006</t>
  </si>
  <si>
    <t xml:space="preserve">IT </t>
  </si>
  <si>
    <t>October  Allocations</t>
  </si>
  <si>
    <t>AmeriCorp Partic</t>
  </si>
  <si>
    <t>Sept Allocations</t>
  </si>
  <si>
    <t>AmeriCorp Staff</t>
  </si>
  <si>
    <t>August Allocatioons</t>
  </si>
  <si>
    <t>Auditing</t>
  </si>
  <si>
    <t>Banks</t>
  </si>
  <si>
    <t>Cooper</t>
  </si>
  <si>
    <t>Sermon</t>
  </si>
  <si>
    <t>Aikens</t>
  </si>
  <si>
    <t>Birdsong</t>
  </si>
  <si>
    <t>Ellis</t>
  </si>
  <si>
    <t>Lamar</t>
  </si>
  <si>
    <t>Robbins</t>
  </si>
  <si>
    <t>Fraser</t>
  </si>
  <si>
    <t>Higgins</t>
  </si>
  <si>
    <t>July Allocations</t>
  </si>
  <si>
    <t>Auditor</t>
  </si>
  <si>
    <t>June Accrual</t>
  </si>
  <si>
    <t>August Cost Allocations</t>
  </si>
  <si>
    <t>Postage</t>
  </si>
  <si>
    <t>NRTC - 2016 Thriftworks</t>
  </si>
  <si>
    <t>September Cost Allocations</t>
  </si>
  <si>
    <t>Prudential - FOC</t>
  </si>
  <si>
    <t>Pru - FOC</t>
  </si>
  <si>
    <t>October Cost Allocations</t>
  </si>
  <si>
    <t>headcount</t>
  </si>
  <si>
    <t>Headcount</t>
  </si>
  <si>
    <t>Mortgage Int</t>
  </si>
  <si>
    <t>November Cost Allocations</t>
  </si>
  <si>
    <t>Gen  Insur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</si>
</sst>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_(* #,##0.0_);_(* \(#,##0.0\);_(* &quot;-&quot;??_);_(@_)"/>
    <numFmt numFmtId="168" formatCode="_(&quot;$&quot;* #,##0_);_(&quot;$&quot;* \(#,##0\);_(&quot;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singleAccounting"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 val="singleAccounting"/>
      <sz val="9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 val="singleAccounting"/>
      <sz val="9"/>
      <name val="Calibri"/>
      <family val="2"/>
      <scheme val="minor"/>
    </font>
    <font>
      <u val="singleAccounting"/>
      <sz val="9"/>
      <color rgb="FFFF0000"/>
      <name val="Calibri"/>
      <family val="2"/>
      <scheme val="minor"/>
    </font>
    <font>
      <u/>
      <sz val="9"/>
      <name val="Calibri"/>
      <family val="2"/>
      <scheme val="minor"/>
    </font>
    <font>
      <sz val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horizontal="right"/>
    </xf>
    <xf numFmtId="43" fontId="0" fillId="0" borderId="0" xfId="1" applyFont="1"/>
    <xf numFmtId="43" fontId="0" fillId="0" borderId="5" xfId="1" applyFont="1" applyBorder="1"/>
    <xf numFmtId="43" fontId="0" fillId="0" borderId="7" xfId="1" applyFont="1" applyBorder="1"/>
    <xf numFmtId="43" fontId="0" fillId="0" borderId="9" xfId="1" applyFont="1" applyBorder="1"/>
    <xf numFmtId="43" fontId="3" fillId="0" borderId="0" xfId="1" applyFont="1"/>
    <xf numFmtId="43" fontId="3" fillId="0" borderId="0" xfId="0" applyNumberFormat="1" applyFont="1"/>
    <xf numFmtId="43" fontId="0" fillId="0" borderId="0" xfId="0" applyNumberFormat="1"/>
    <xf numFmtId="43" fontId="0" fillId="3" borderId="2" xfId="1" applyFont="1" applyFill="1" applyBorder="1"/>
    <xf numFmtId="43" fontId="0" fillId="4" borderId="2" xfId="0" applyNumberFormat="1" applyFill="1" applyBorder="1"/>
    <xf numFmtId="43" fontId="3" fillId="3" borderId="7" xfId="1" applyFont="1" applyFill="1" applyBorder="1"/>
    <xf numFmtId="10" fontId="0" fillId="0" borderId="0" xfId="2" applyNumberFormat="1" applyFont="1"/>
    <xf numFmtId="10" fontId="0" fillId="0" borderId="1" xfId="2" applyNumberFormat="1" applyFont="1" applyBorder="1"/>
    <xf numFmtId="43" fontId="0" fillId="0" borderId="1" xfId="1" applyFont="1" applyBorder="1"/>
    <xf numFmtId="43" fontId="0" fillId="5" borderId="0" xfId="1" applyFont="1" applyFill="1"/>
    <xf numFmtId="43" fontId="0" fillId="8" borderId="2" xfId="1" applyFont="1" applyFill="1" applyBorder="1"/>
    <xf numFmtId="16" fontId="0" fillId="0" borderId="3" xfId="0" applyNumberFormat="1" applyBorder="1"/>
    <xf numFmtId="43" fontId="0" fillId="0" borderId="4" xfId="1" applyFont="1" applyBorder="1"/>
    <xf numFmtId="16" fontId="0" fillId="0" borderId="6" xfId="0" applyNumberFormat="1" applyBorder="1"/>
    <xf numFmtId="0" fontId="0" fillId="0" borderId="8" xfId="0" applyBorder="1"/>
    <xf numFmtId="43" fontId="0" fillId="0" borderId="2" xfId="1" applyFont="1" applyBorder="1"/>
    <xf numFmtId="43" fontId="0" fillId="0" borderId="0" xfId="1" applyFont="1" applyAlignment="1">
      <alignment horizontal="center"/>
    </xf>
    <xf numFmtId="16" fontId="0" fillId="0" borderId="4" xfId="0" applyNumberFormat="1" applyBorder="1"/>
    <xf numFmtId="16" fontId="0" fillId="0" borderId="0" xfId="0" applyNumberFormat="1"/>
    <xf numFmtId="43" fontId="0" fillId="0" borderId="12" xfId="1" applyFont="1" applyBorder="1"/>
    <xf numFmtId="0" fontId="3" fillId="0" borderId="0" xfId="0" applyFont="1"/>
    <xf numFmtId="43" fontId="0" fillId="0" borderId="10" xfId="1" applyFont="1" applyBorder="1"/>
    <xf numFmtId="43" fontId="0" fillId="0" borderId="11" xfId="1" applyFont="1" applyBorder="1"/>
    <xf numFmtId="43" fontId="0" fillId="2" borderId="0" xfId="0" applyNumberFormat="1" applyFill="1"/>
    <xf numFmtId="43" fontId="0" fillId="2" borderId="11" xfId="1" applyFont="1" applyFill="1" applyBorder="1"/>
    <xf numFmtId="43" fontId="0" fillId="2" borderId="0" xfId="1" applyFont="1" applyFill="1"/>
    <xf numFmtId="0" fontId="0" fillId="2" borderId="0" xfId="0" applyFill="1"/>
    <xf numFmtId="43" fontId="0" fillId="2" borderId="2" xfId="1" applyFont="1" applyFill="1" applyBorder="1"/>
    <xf numFmtId="43" fontId="0" fillId="2" borderId="1" xfId="1" applyFont="1" applyFill="1" applyBorder="1"/>
    <xf numFmtId="43" fontId="0" fillId="3" borderId="3" xfId="1" applyFont="1" applyFill="1" applyBorder="1"/>
    <xf numFmtId="43" fontId="0" fillId="3" borderId="5" xfId="1" applyFont="1" applyFill="1" applyBorder="1"/>
    <xf numFmtId="43" fontId="0" fillId="3" borderId="6" xfId="1" applyFont="1" applyFill="1" applyBorder="1"/>
    <xf numFmtId="43" fontId="0" fillId="3" borderId="7" xfId="1" applyFont="1" applyFill="1" applyBorder="1"/>
    <xf numFmtId="0" fontId="0" fillId="3" borderId="6" xfId="0" applyFill="1" applyBorder="1"/>
    <xf numFmtId="0" fontId="0" fillId="3" borderId="7" xfId="0" applyFill="1" applyBorder="1"/>
    <xf numFmtId="10" fontId="0" fillId="0" borderId="0" xfId="2" applyNumberFormat="1" applyFont="1" applyAlignment="1">
      <alignment horizontal="center"/>
    </xf>
    <xf numFmtId="10" fontId="0" fillId="0" borderId="5" xfId="2" applyNumberFormat="1" applyFont="1" applyBorder="1"/>
    <xf numFmtId="10" fontId="0" fillId="0" borderId="7" xfId="2" applyNumberFormat="1" applyFont="1" applyBorder="1"/>
    <xf numFmtId="10" fontId="0" fillId="0" borderId="9" xfId="2" applyNumberFormat="1" applyFont="1" applyBorder="1"/>
    <xf numFmtId="0" fontId="0" fillId="2" borderId="0" xfId="0" applyFill="1" applyAlignment="1">
      <alignment horizontal="right"/>
    </xf>
    <xf numFmtId="10" fontId="0" fillId="2" borderId="0" xfId="2" applyNumberFormat="1" applyFont="1" applyFill="1"/>
    <xf numFmtId="43" fontId="0" fillId="2" borderId="6" xfId="1" applyFont="1" applyFill="1" applyBorder="1"/>
    <xf numFmtId="43" fontId="0" fillId="2" borderId="7" xfId="1" applyFont="1" applyFill="1" applyBorder="1"/>
    <xf numFmtId="43" fontId="4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43" fontId="0" fillId="0" borderId="13" xfId="1" applyFont="1" applyBorder="1"/>
    <xf numFmtId="43" fontId="3" fillId="0" borderId="2" xfId="1" applyFont="1" applyBorder="1"/>
    <xf numFmtId="43" fontId="2" fillId="0" borderId="0" xfId="1" applyFont="1"/>
    <xf numFmtId="43" fontId="0" fillId="0" borderId="1" xfId="2" applyNumberFormat="1" applyFont="1" applyBorder="1"/>
    <xf numFmtId="43" fontId="0" fillId="6" borderId="10" xfId="1" applyFont="1" applyFill="1" applyBorder="1"/>
    <xf numFmtId="43" fontId="0" fillId="6" borderId="11" xfId="1" applyFont="1" applyFill="1" applyBorder="1"/>
    <xf numFmtId="43" fontId="0" fillId="6" borderId="11" xfId="0" applyNumberFormat="1" applyFill="1" applyBorder="1"/>
    <xf numFmtId="43" fontId="0" fillId="6" borderId="12" xfId="1" applyFont="1" applyFill="1" applyBorder="1"/>
    <xf numFmtId="0" fontId="0" fillId="7" borderId="0" xfId="0" applyFill="1" applyAlignment="1">
      <alignment horizontal="right"/>
    </xf>
    <xf numFmtId="0" fontId="0" fillId="7" borderId="0" xfId="0" applyFill="1"/>
    <xf numFmtId="43" fontId="0" fillId="7" borderId="0" xfId="1" applyFont="1" applyFill="1"/>
    <xf numFmtId="43" fontId="0" fillId="7" borderId="0" xfId="0" applyNumberFormat="1" applyFill="1"/>
    <xf numFmtId="43" fontId="0" fillId="7" borderId="6" xfId="1" applyFont="1" applyFill="1" applyBorder="1"/>
    <xf numFmtId="43" fontId="0" fillId="7" borderId="7" xfId="1" applyFont="1" applyFill="1" applyBorder="1"/>
    <xf numFmtId="43" fontId="0" fillId="8" borderId="0" xfId="0" applyNumberFormat="1" applyFill="1"/>
    <xf numFmtId="0" fontId="2" fillId="0" borderId="0" xfId="0" applyFont="1"/>
    <xf numFmtId="43" fontId="2" fillId="0" borderId="2" xfId="1" applyFont="1" applyBorder="1"/>
    <xf numFmtId="43" fontId="2" fillId="0" borderId="0" xfId="0" applyNumberFormat="1" applyFont="1"/>
    <xf numFmtId="43" fontId="2" fillId="6" borderId="11" xfId="0" applyNumberFormat="1" applyFont="1" applyFill="1" applyBorder="1"/>
    <xf numFmtId="43" fontId="2" fillId="2" borderId="0" xfId="0" applyNumberFormat="1" applyFont="1" applyFill="1"/>
    <xf numFmtId="43" fontId="2" fillId="7" borderId="0" xfId="0" applyNumberFormat="1" applyFont="1" applyFill="1"/>
    <xf numFmtId="0" fontId="2" fillId="2" borderId="0" xfId="0" applyFont="1" applyFill="1"/>
    <xf numFmtId="43" fontId="2" fillId="0" borderId="1" xfId="2" applyNumberFormat="1" applyFont="1" applyBorder="1"/>
    <xf numFmtId="43" fontId="2" fillId="0" borderId="12" xfId="1" applyFont="1" applyBorder="1"/>
    <xf numFmtId="43" fontId="2" fillId="2" borderId="11" xfId="1" applyFont="1" applyFill="1" applyBorder="1"/>
    <xf numFmtId="43" fontId="2" fillId="0" borderId="10" xfId="1" applyFont="1" applyBorder="1"/>
    <xf numFmtId="43" fontId="2" fillId="0" borderId="11" xfId="1" applyFont="1" applyBorder="1"/>
    <xf numFmtId="43" fontId="0" fillId="6" borderId="12" xfId="0" applyNumberFormat="1" applyFill="1" applyBorder="1"/>
    <xf numFmtId="43" fontId="0" fillId="6" borderId="10" xfId="0" applyNumberFormat="1" applyFill="1" applyBorder="1"/>
    <xf numFmtId="43" fontId="2" fillId="3" borderId="7" xfId="1" applyFont="1" applyFill="1" applyBorder="1"/>
    <xf numFmtId="43" fontId="2" fillId="3" borderId="0" xfId="1" applyFont="1" applyFill="1"/>
    <xf numFmtId="0" fontId="0" fillId="6" borderId="0" xfId="0" applyFill="1"/>
    <xf numFmtId="43" fontId="0" fillId="9" borderId="2" xfId="1" applyFont="1" applyFill="1" applyBorder="1"/>
    <xf numFmtId="43" fontId="0" fillId="9" borderId="11" xfId="1" applyFont="1" applyFill="1" applyBorder="1"/>
    <xf numFmtId="43" fontId="2" fillId="10" borderId="0" xfId="0" applyNumberFormat="1" applyFont="1" applyFill="1"/>
    <xf numFmtId="43" fontId="0" fillId="10" borderId="0" xfId="0" applyNumberFormat="1" applyFill="1"/>
    <xf numFmtId="43" fontId="2" fillId="10" borderId="7" xfId="1" applyFont="1" applyFill="1" applyBorder="1"/>
    <xf numFmtId="43" fontId="0" fillId="10" borderId="0" xfId="1" applyFont="1" applyFill="1"/>
    <xf numFmtId="43" fontId="0" fillId="3" borderId="0" xfId="1" applyFont="1" applyFill="1"/>
    <xf numFmtId="43" fontId="2" fillId="3" borderId="0" xfId="0" applyNumberFormat="1" applyFont="1" applyFill="1"/>
    <xf numFmtId="43" fontId="0" fillId="3" borderId="0" xfId="0" applyNumberFormat="1" applyFill="1"/>
    <xf numFmtId="0" fontId="5" fillId="2" borderId="0" xfId="0" applyFont="1" applyFill="1"/>
    <xf numFmtId="0" fontId="5" fillId="0" borderId="0" xfId="0" applyFont="1"/>
    <xf numFmtId="43" fontId="5" fillId="0" borderId="0" xfId="1" applyFont="1"/>
    <xf numFmtId="43" fontId="5" fillId="0" borderId="10" xfId="1" applyFont="1" applyBorder="1"/>
    <xf numFmtId="43" fontId="5" fillId="0" borderId="11" xfId="1" applyFont="1" applyBorder="1"/>
    <xf numFmtId="43" fontId="5" fillId="0" borderId="12" xfId="1" applyFont="1" applyBorder="1"/>
    <xf numFmtId="43" fontId="6" fillId="0" borderId="0" xfId="1" applyFont="1" applyAlignment="1">
      <alignment horizontal="center"/>
    </xf>
    <xf numFmtId="43" fontId="0" fillId="6" borderId="0" xfId="1" applyFont="1" applyFill="1"/>
    <xf numFmtId="43" fontId="8" fillId="0" borderId="0" xfId="1" applyFont="1"/>
    <xf numFmtId="43" fontId="7" fillId="0" borderId="0" xfId="1" applyFont="1"/>
    <xf numFmtId="43" fontId="7" fillId="0" borderId="2" xfId="1" applyFont="1" applyBorder="1"/>
    <xf numFmtId="43" fontId="7" fillId="0" borderId="10" xfId="1" applyFont="1" applyBorder="1"/>
    <xf numFmtId="43" fontId="2" fillId="6" borderId="0" xfId="0" applyNumberFormat="1" applyFont="1" applyFill="1"/>
    <xf numFmtId="43" fontId="0" fillId="0" borderId="8" xfId="1" applyFont="1" applyBorder="1"/>
    <xf numFmtId="43" fontId="2" fillId="3" borderId="11" xfId="0" applyNumberFormat="1" applyFont="1" applyFill="1" applyBorder="1"/>
    <xf numFmtId="0" fontId="2" fillId="3" borderId="0" xfId="0" applyFont="1" applyFill="1"/>
    <xf numFmtId="43" fontId="5" fillId="0" borderId="0" xfId="0" applyNumberFormat="1" applyFont="1" applyFill="1"/>
    <xf numFmtId="43" fontId="2" fillId="0" borderId="0" xfId="0" applyNumberFormat="1" applyFont="1" applyFill="1"/>
    <xf numFmtId="43" fontId="5" fillId="0" borderId="15" xfId="0" applyNumberFormat="1" applyFont="1" applyFill="1" applyBorder="1"/>
    <xf numFmtId="43" fontId="2" fillId="0" borderId="15" xfId="0" applyNumberFormat="1" applyFont="1" applyFill="1" applyBorder="1"/>
    <xf numFmtId="43" fontId="5" fillId="0" borderId="11" xfId="0" applyNumberFormat="1" applyFont="1" applyFill="1" applyBorder="1"/>
    <xf numFmtId="43" fontId="2" fillId="0" borderId="11" xfId="0" applyNumberFormat="1" applyFont="1" applyFill="1" applyBorder="1"/>
    <xf numFmtId="0" fontId="5" fillId="0" borderId="0" xfId="0" applyFont="1" applyFill="1"/>
    <xf numFmtId="43" fontId="0" fillId="0" borderId="11" xfId="1" applyFont="1" applyFill="1" applyBorder="1"/>
    <xf numFmtId="43" fontId="0" fillId="0" borderId="11" xfId="0" applyNumberFormat="1" applyFill="1" applyBorder="1"/>
    <xf numFmtId="43" fontId="0" fillId="0" borderId="10" xfId="1" applyFont="1" applyFill="1" applyBorder="1"/>
    <xf numFmtId="43" fontId="0" fillId="0" borderId="0" xfId="1" applyFont="1" applyFill="1"/>
    <xf numFmtId="43" fontId="0" fillId="0" borderId="0" xfId="0" applyNumberFormat="1" applyFill="1"/>
    <xf numFmtId="43" fontId="0" fillId="0" borderId="6" xfId="1" applyFont="1" applyFill="1" applyBorder="1"/>
    <xf numFmtId="10" fontId="0" fillId="0" borderId="0" xfId="2" applyNumberFormat="1" applyFont="1" applyFill="1"/>
    <xf numFmtId="43" fontId="3" fillId="3" borderId="2" xfId="1" applyFont="1" applyFill="1" applyBorder="1"/>
    <xf numFmtId="43" fontId="3" fillId="0" borderId="0" xfId="1" applyFont="1" applyBorder="1"/>
    <xf numFmtId="43" fontId="0" fillId="0" borderId="4" xfId="0" applyNumberFormat="1" applyBorder="1"/>
    <xf numFmtId="43" fontId="2" fillId="0" borderId="6" xfId="1" applyFont="1" applyBorder="1"/>
    <xf numFmtId="43" fontId="0" fillId="0" borderId="0" xfId="1" applyFont="1" applyBorder="1"/>
    <xf numFmtId="43" fontId="0" fillId="0" borderId="0" xfId="0" applyNumberFormat="1" applyBorder="1"/>
    <xf numFmtId="43" fontId="2" fillId="0" borderId="8" xfId="1" applyFont="1" applyBorder="1"/>
    <xf numFmtId="43" fontId="0" fillId="0" borderId="17" xfId="1" applyFont="1" applyBorder="1"/>
    <xf numFmtId="43" fontId="0" fillId="0" borderId="17" xfId="0" applyNumberFormat="1" applyBorder="1"/>
    <xf numFmtId="43" fontId="2" fillId="3" borderId="5" xfId="1" applyFont="1" applyFill="1" applyBorder="1"/>
    <xf numFmtId="43" fontId="2" fillId="3" borderId="9" xfId="1" applyFont="1" applyFill="1" applyBorder="1"/>
    <xf numFmtId="43" fontId="2" fillId="0" borderId="4" xfId="0" applyNumberFormat="1" applyFont="1" applyBorder="1"/>
    <xf numFmtId="43" fontId="2" fillId="0" borderId="0" xfId="0" applyNumberFormat="1" applyFont="1" applyBorder="1"/>
    <xf numFmtId="43" fontId="2" fillId="0" borderId="17" xfId="0" applyNumberFormat="1" applyFont="1" applyBorder="1"/>
    <xf numFmtId="43" fontId="9" fillId="0" borderId="0" xfId="0" applyNumberFormat="1" applyFont="1" applyBorder="1"/>
    <xf numFmtId="43" fontId="3" fillId="0" borderId="0" xfId="0" applyNumberFormat="1" applyFont="1" applyBorder="1"/>
    <xf numFmtId="43" fontId="0" fillId="3" borderId="0" xfId="1" applyFont="1" applyFill="1" applyBorder="1"/>
    <xf numFmtId="43" fontId="0" fillId="3" borderId="17" xfId="1" applyFont="1" applyFill="1" applyBorder="1"/>
    <xf numFmtId="43" fontId="2" fillId="0" borderId="3" xfId="1" applyFont="1" applyBorder="1"/>
    <xf numFmtId="43" fontId="2" fillId="0" borderId="17" xfId="0" applyNumberFormat="1" applyFont="1" applyFill="1" applyBorder="1"/>
    <xf numFmtId="43" fontId="2" fillId="0" borderId="0" xfId="0" applyNumberFormat="1" applyFont="1" applyFill="1" applyBorder="1"/>
    <xf numFmtId="43" fontId="0" fillId="8" borderId="3" xfId="1" applyFont="1" applyFill="1" applyBorder="1"/>
    <xf numFmtId="43" fontId="0" fillId="8" borderId="4" xfId="1" applyFont="1" applyFill="1" applyBorder="1"/>
    <xf numFmtId="43" fontId="0" fillId="8" borderId="4" xfId="0" applyNumberFormat="1" applyFill="1" applyBorder="1"/>
    <xf numFmtId="43" fontId="0" fillId="8" borderId="5" xfId="1" applyFont="1" applyFill="1" applyBorder="1"/>
    <xf numFmtId="43" fontId="0" fillId="8" borderId="6" xfId="1" applyFont="1" applyFill="1" applyBorder="1"/>
    <xf numFmtId="43" fontId="0" fillId="8" borderId="0" xfId="1" applyFont="1" applyFill="1" applyBorder="1"/>
    <xf numFmtId="43" fontId="0" fillId="8" borderId="0" xfId="0" applyNumberFormat="1" applyFill="1" applyBorder="1"/>
    <xf numFmtId="43" fontId="0" fillId="8" borderId="7" xfId="1" applyFont="1" applyFill="1" applyBorder="1"/>
    <xf numFmtId="43" fontId="3" fillId="8" borderId="2" xfId="1" applyFont="1" applyFill="1" applyBorder="1"/>
    <xf numFmtId="43" fontId="3" fillId="8" borderId="0" xfId="1" applyFont="1" applyFill="1" applyBorder="1"/>
    <xf numFmtId="43" fontId="0" fillId="8" borderId="8" xfId="1" applyFont="1" applyFill="1" applyBorder="1"/>
    <xf numFmtId="43" fontId="0" fillId="8" borderId="17" xfId="1" applyFont="1" applyFill="1" applyBorder="1"/>
    <xf numFmtId="43" fontId="0" fillId="8" borderId="17" xfId="0" applyNumberFormat="1" applyFill="1" applyBorder="1"/>
    <xf numFmtId="43" fontId="0" fillId="8" borderId="9" xfId="1" applyFont="1" applyFill="1" applyBorder="1"/>
    <xf numFmtId="0" fontId="2" fillId="0" borderId="0" xfId="0" applyFont="1" applyFill="1"/>
    <xf numFmtId="43" fontId="5" fillId="0" borderId="0" xfId="1" applyFont="1" applyFill="1"/>
    <xf numFmtId="0" fontId="0" fillId="0" borderId="0" xfId="0" applyFill="1"/>
    <xf numFmtId="43" fontId="2" fillId="0" borderId="16" xfId="0" applyNumberFormat="1" applyFont="1" applyFill="1" applyBorder="1"/>
    <xf numFmtId="43" fontId="5" fillId="0" borderId="10" xfId="1" applyFont="1" applyFill="1" applyBorder="1"/>
    <xf numFmtId="43" fontId="5" fillId="0" borderId="11" xfId="1" applyFont="1" applyFill="1" applyBorder="1"/>
    <xf numFmtId="43" fontId="5" fillId="0" borderId="12" xfId="1" applyFont="1" applyFill="1" applyBorder="1"/>
    <xf numFmtId="164" fontId="0" fillId="0" borderId="0" xfId="2" applyNumberFormat="1" applyFont="1"/>
    <xf numFmtId="164" fontId="0" fillId="0" borderId="0" xfId="1" applyNumberFormat="1" applyFont="1"/>
    <xf numFmtId="164" fontId="0" fillId="2" borderId="0" xfId="2" applyNumberFormat="1" applyFont="1" applyFill="1"/>
    <xf numFmtId="164" fontId="0" fillId="0" borderId="1" xfId="2" applyNumberFormat="1" applyFont="1" applyBorder="1"/>
    <xf numFmtId="164" fontId="0" fillId="0" borderId="0" xfId="2" applyNumberFormat="1" applyFont="1" applyAlignment="1">
      <alignment horizontal="center"/>
    </xf>
    <xf numFmtId="164" fontId="0" fillId="0" borderId="5" xfId="2" applyNumberFormat="1" applyFont="1" applyBorder="1"/>
    <xf numFmtId="164" fontId="0" fillId="0" borderId="7" xfId="2" applyNumberFormat="1" applyFont="1" applyBorder="1"/>
    <xf numFmtId="164" fontId="0" fillId="0" borderId="9" xfId="2" applyNumberFormat="1" applyFont="1" applyBorder="1"/>
    <xf numFmtId="43" fontId="9" fillId="0" borderId="0" xfId="0" applyNumberFormat="1" applyFont="1"/>
    <xf numFmtId="43" fontId="2" fillId="6" borderId="10" xfId="0" applyNumberFormat="1" applyFont="1" applyFill="1" applyBorder="1"/>
    <xf numFmtId="43" fontId="2" fillId="6" borderId="12" xfId="0" applyNumberFormat="1" applyFont="1" applyFill="1" applyBorder="1"/>
    <xf numFmtId="43" fontId="2" fillId="3" borderId="2" xfId="1" applyFont="1" applyFill="1" applyBorder="1"/>
    <xf numFmtId="43" fontId="7" fillId="0" borderId="0" xfId="0" applyNumberFormat="1" applyFont="1"/>
    <xf numFmtId="43" fontId="7" fillId="3" borderId="6" xfId="1" applyFont="1" applyFill="1" applyBorder="1"/>
    <xf numFmtId="43" fontId="7" fillId="3" borderId="7" xfId="1" applyFont="1" applyFill="1" applyBorder="1"/>
    <xf numFmtId="43" fontId="7" fillId="3" borderId="0" xfId="0" applyNumberFormat="1" applyFont="1" applyFill="1"/>
    <xf numFmtId="43" fontId="7" fillId="6" borderId="11" xfId="0" applyNumberFormat="1" applyFont="1" applyFill="1" applyBorder="1"/>
    <xf numFmtId="43" fontId="7" fillId="6" borderId="10" xfId="1" applyFont="1" applyFill="1" applyBorder="1"/>
    <xf numFmtId="43" fontId="7" fillId="6" borderId="12" xfId="1" applyFont="1" applyFill="1" applyBorder="1"/>
    <xf numFmtId="43" fontId="7" fillId="6" borderId="0" xfId="0" applyNumberFormat="1" applyFont="1" applyFill="1"/>
    <xf numFmtId="43" fontId="7" fillId="6" borderId="6" xfId="1" applyFont="1" applyFill="1" applyBorder="1"/>
    <xf numFmtId="43" fontId="7" fillId="3" borderId="11" xfId="0" applyNumberFormat="1" applyFont="1" applyFill="1" applyBorder="1"/>
    <xf numFmtId="43" fontId="7" fillId="0" borderId="11" xfId="0" applyNumberFormat="1" applyFont="1" applyBorder="1"/>
    <xf numFmtId="43" fontId="7" fillId="3" borderId="10" xfId="1" applyFont="1" applyFill="1" applyBorder="1"/>
    <xf numFmtId="43" fontId="7" fillId="3" borderId="12" xfId="1" applyFont="1" applyFill="1" applyBorder="1"/>
    <xf numFmtId="43" fontId="7" fillId="2" borderId="0" xfId="0" applyNumberFormat="1" applyFont="1" applyFill="1"/>
    <xf numFmtId="43" fontId="7" fillId="2" borderId="6" xfId="1" applyFont="1" applyFill="1" applyBorder="1"/>
    <xf numFmtId="43" fontId="7" fillId="2" borderId="7" xfId="1" applyFont="1" applyFill="1" applyBorder="1"/>
    <xf numFmtId="43" fontId="7" fillId="7" borderId="0" xfId="0" applyNumberFormat="1" applyFont="1" applyFill="1"/>
    <xf numFmtId="43" fontId="7" fillId="7" borderId="6" xfId="1" applyFont="1" applyFill="1" applyBorder="1"/>
    <xf numFmtId="43" fontId="7" fillId="7" borderId="7" xfId="1" applyFont="1" applyFill="1" applyBorder="1"/>
    <xf numFmtId="0" fontId="7" fillId="2" borderId="0" xfId="0" applyFont="1" applyFill="1"/>
    <xf numFmtId="43" fontId="7" fillId="0" borderId="1" xfId="2" applyNumberFormat="1" applyFont="1" applyBorder="1"/>
    <xf numFmtId="43" fontId="2" fillId="8" borderId="4" xfId="0" applyNumberFormat="1" applyFont="1" applyFill="1" applyBorder="1"/>
    <xf numFmtId="43" fontId="2" fillId="8" borderId="0" xfId="0" applyNumberFormat="1" applyFont="1" applyFill="1" applyBorder="1"/>
    <xf numFmtId="43" fontId="2" fillId="8" borderId="17" xfId="0" applyNumberFormat="1" applyFont="1" applyFill="1" applyBorder="1"/>
    <xf numFmtId="43" fontId="7" fillId="3" borderId="12" xfId="0" applyNumberFormat="1" applyFont="1" applyFill="1" applyBorder="1"/>
    <xf numFmtId="0" fontId="7" fillId="0" borderId="0" xfId="0" applyFont="1"/>
    <xf numFmtId="43" fontId="10" fillId="0" borderId="0" xfId="1" applyFont="1" applyAlignment="1">
      <alignment horizontal="center"/>
    </xf>
    <xf numFmtId="0" fontId="10" fillId="0" borderId="0" xfId="0" applyFont="1" applyAlignment="1">
      <alignment horizontal="center"/>
    </xf>
    <xf numFmtId="43" fontId="7" fillId="0" borderId="11" xfId="1" applyFont="1" applyBorder="1"/>
    <xf numFmtId="43" fontId="9" fillId="11" borderId="0" xfId="0" applyNumberFormat="1" applyFont="1" applyFill="1" applyBorder="1"/>
    <xf numFmtId="43" fontId="0" fillId="11" borderId="0" xfId="0" applyNumberFormat="1" applyFill="1" applyBorder="1"/>
    <xf numFmtId="43" fontId="7" fillId="11" borderId="0" xfId="0" applyNumberFormat="1" applyFont="1" applyFill="1"/>
    <xf numFmtId="43" fontId="5" fillId="0" borderId="14" xfId="0" applyNumberFormat="1" applyFont="1" applyFill="1" applyBorder="1"/>
    <xf numFmtId="43" fontId="2" fillId="0" borderId="7" xfId="1" applyFont="1" applyFill="1" applyBorder="1"/>
    <xf numFmtId="43" fontId="0" fillId="0" borderId="7" xfId="1" applyFont="1" applyFill="1" applyBorder="1"/>
    <xf numFmtId="43" fontId="0" fillId="0" borderId="12" xfId="1" applyFont="1" applyFill="1" applyBorder="1"/>
    <xf numFmtId="43" fontId="2" fillId="0" borderId="12" xfId="1" applyFont="1" applyFill="1" applyBorder="1"/>
    <xf numFmtId="43" fontId="7" fillId="0" borderId="2" xfId="1" applyFont="1" applyFill="1" applyBorder="1"/>
    <xf numFmtId="43" fontId="7" fillId="0" borderId="0" xfId="1" applyFont="1" applyFill="1"/>
    <xf numFmtId="43" fontId="7" fillId="0" borderId="10" xfId="1" applyFont="1" applyFill="1" applyBorder="1"/>
    <xf numFmtId="43" fontId="7" fillId="0" borderId="11" xfId="1" applyFont="1" applyFill="1" applyBorder="1"/>
    <xf numFmtId="43" fontId="7" fillId="13" borderId="7" xfId="1" applyFont="1" applyFill="1" applyBorder="1"/>
    <xf numFmtId="0" fontId="7" fillId="0" borderId="0" xfId="0" applyFont="1" applyFill="1"/>
    <xf numFmtId="0" fontId="7" fillId="3" borderId="6" xfId="0" applyFont="1" applyFill="1" applyBorder="1"/>
    <xf numFmtId="0" fontId="7" fillId="3" borderId="7" xfId="0" applyFont="1" applyFill="1" applyBorder="1"/>
    <xf numFmtId="43" fontId="7" fillId="0" borderId="0" xfId="0" applyNumberFormat="1" applyFont="1" applyFill="1"/>
    <xf numFmtId="43" fontId="7" fillId="0" borderId="14" xfId="0" applyNumberFormat="1" applyFont="1" applyFill="1" applyBorder="1"/>
    <xf numFmtId="43" fontId="7" fillId="0" borderId="15" xfId="0" applyNumberFormat="1" applyFont="1" applyFill="1" applyBorder="1"/>
    <xf numFmtId="43" fontId="7" fillId="0" borderId="16" xfId="0" applyNumberFormat="1" applyFont="1" applyFill="1" applyBorder="1"/>
    <xf numFmtId="43" fontId="7" fillId="0" borderId="11" xfId="0" applyNumberFormat="1" applyFont="1" applyFill="1" applyBorder="1"/>
    <xf numFmtId="43" fontId="7" fillId="0" borderId="6" xfId="1" applyFont="1" applyFill="1" applyBorder="1"/>
    <xf numFmtId="43" fontId="7" fillId="0" borderId="1" xfId="2" applyNumberFormat="1" applyFont="1" applyFill="1" applyBorder="1"/>
    <xf numFmtId="43" fontId="7" fillId="0" borderId="1" xfId="1" applyFont="1" applyBorder="1"/>
    <xf numFmtId="43" fontId="7" fillId="3" borderId="1" xfId="2" applyNumberFormat="1" applyFont="1" applyFill="1" applyBorder="1"/>
    <xf numFmtId="0" fontId="0" fillId="13" borderId="0" xfId="0" applyFill="1"/>
    <xf numFmtId="43" fontId="0" fillId="13" borderId="0" xfId="1" applyFont="1" applyFill="1"/>
    <xf numFmtId="43" fontId="7" fillId="13" borderId="0" xfId="0" applyNumberFormat="1" applyFont="1" applyFill="1"/>
    <xf numFmtId="43" fontId="7" fillId="13" borderId="6" xfId="1" applyFont="1" applyFill="1" applyBorder="1"/>
    <xf numFmtId="0" fontId="3" fillId="13" borderId="0" xfId="0" applyFont="1" applyFill="1"/>
    <xf numFmtId="43" fontId="3" fillId="13" borderId="0" xfId="1" applyFont="1" applyFill="1"/>
    <xf numFmtId="43" fontId="0" fillId="10" borderId="2" xfId="1" applyFont="1" applyFill="1" applyBorder="1"/>
    <xf numFmtId="43" fontId="0" fillId="10" borderId="1" xfId="1" applyFont="1" applyFill="1" applyBorder="1"/>
    <xf numFmtId="10" fontId="0" fillId="0" borderId="0" xfId="2" applyNumberFormat="1" applyFont="1" applyBorder="1"/>
    <xf numFmtId="10" fontId="0" fillId="0" borderId="17" xfId="2" applyNumberFormat="1" applyFont="1" applyBorder="1"/>
    <xf numFmtId="43" fontId="7" fillId="0" borderId="0" xfId="0" applyNumberFormat="1" applyFont="1" applyFill="1" applyBorder="1"/>
    <xf numFmtId="43" fontId="2" fillId="2" borderId="10" xfId="1" applyFont="1" applyFill="1" applyBorder="1"/>
    <xf numFmtId="43" fontId="2" fillId="2" borderId="12" xfId="1" applyFont="1" applyFill="1" applyBorder="1"/>
    <xf numFmtId="43" fontId="6" fillId="2" borderId="0" xfId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43" fontId="0" fillId="2" borderId="5" xfId="1" applyFont="1" applyFill="1" applyBorder="1"/>
    <xf numFmtId="43" fontId="11" fillId="2" borderId="0" xfId="1" applyFont="1" applyFill="1" applyAlignment="1">
      <alignment horizontal="center"/>
    </xf>
    <xf numFmtId="43" fontId="2" fillId="0" borderId="2" xfId="1" applyFont="1" applyFill="1" applyBorder="1"/>
    <xf numFmtId="0" fontId="11" fillId="2" borderId="0" xfId="0" applyFont="1" applyFill="1" applyAlignment="1">
      <alignment horizontal="center"/>
    </xf>
    <xf numFmtId="43" fontId="2" fillId="0" borderId="10" xfId="1" applyFont="1" applyFill="1" applyBorder="1"/>
    <xf numFmtId="43" fontId="2" fillId="0" borderId="11" xfId="1" applyFont="1" applyFill="1" applyBorder="1"/>
    <xf numFmtId="43" fontId="7" fillId="3" borderId="0" xfId="0" applyNumberFormat="1" applyFont="1" applyFill="1" applyBorder="1"/>
    <xf numFmtId="43" fontId="7" fillId="6" borderId="0" xfId="0" applyNumberFormat="1" applyFont="1" applyFill="1" applyBorder="1"/>
    <xf numFmtId="43" fontId="7" fillId="6" borderId="0" xfId="1" applyFont="1" applyFill="1"/>
    <xf numFmtId="43" fontId="7" fillId="6" borderId="7" xfId="1" applyFont="1" applyFill="1" applyBorder="1"/>
    <xf numFmtId="43" fontId="7" fillId="12" borderId="0" xfId="1" applyFont="1" applyFill="1"/>
    <xf numFmtId="43" fontId="0" fillId="12" borderId="0" xfId="1" applyFont="1" applyFill="1"/>
    <xf numFmtId="43" fontId="7" fillId="12" borderId="0" xfId="0" applyNumberFormat="1" applyFont="1" applyFill="1"/>
    <xf numFmtId="43" fontId="7" fillId="12" borderId="0" xfId="0" applyNumberFormat="1" applyFont="1" applyFill="1" applyBorder="1"/>
    <xf numFmtId="43" fontId="7" fillId="12" borderId="6" xfId="1" applyFont="1" applyFill="1" applyBorder="1"/>
    <xf numFmtId="43" fontId="7" fillId="12" borderId="7" xfId="1" applyFont="1" applyFill="1" applyBorder="1"/>
    <xf numFmtId="43" fontId="7" fillId="0" borderId="7" xfId="1" applyFont="1" applyFill="1" applyBorder="1"/>
    <xf numFmtId="43" fontId="10" fillId="0" borderId="0" xfId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43" fontId="7" fillId="0" borderId="3" xfId="1" applyFont="1" applyFill="1" applyBorder="1"/>
    <xf numFmtId="43" fontId="7" fillId="0" borderId="5" xfId="1" applyFont="1" applyFill="1" applyBorder="1"/>
    <xf numFmtId="0" fontId="7" fillId="0" borderId="6" xfId="0" applyFont="1" applyFill="1" applyBorder="1"/>
    <xf numFmtId="0" fontId="7" fillId="0" borderId="7" xfId="0" applyFont="1" applyFill="1" applyBorder="1"/>
    <xf numFmtId="43" fontId="7" fillId="0" borderId="12" xfId="1" applyFont="1" applyFill="1" applyBorder="1"/>
    <xf numFmtId="43" fontId="2" fillId="2" borderId="0" xfId="1" applyFont="1" applyFill="1"/>
    <xf numFmtId="43" fontId="0" fillId="0" borderId="0" xfId="2" applyNumberFormat="1" applyFont="1"/>
    <xf numFmtId="43" fontId="7" fillId="2" borderId="2" xfId="1" applyFont="1" applyFill="1" applyBorder="1"/>
    <xf numFmtId="43" fontId="7" fillId="2" borderId="10" xfId="1" applyFont="1" applyFill="1" applyBorder="1"/>
    <xf numFmtId="0" fontId="0" fillId="0" borderId="0" xfId="0" applyFill="1" applyAlignment="1">
      <alignment horizontal="right"/>
    </xf>
    <xf numFmtId="43" fontId="7" fillId="2" borderId="0" xfId="0" applyNumberFormat="1" applyFont="1" applyFill="1" applyBorder="1"/>
    <xf numFmtId="43" fontId="7" fillId="0" borderId="3" xfId="1" applyFont="1" applyBorder="1"/>
    <xf numFmtId="43" fontId="7" fillId="0" borderId="5" xfId="1" applyFont="1" applyBorder="1"/>
    <xf numFmtId="43" fontId="7" fillId="0" borderId="6" xfId="1" applyFont="1" applyBorder="1"/>
    <xf numFmtId="43" fontId="7" fillId="0" borderId="7" xfId="1" applyFont="1" applyBorder="1"/>
    <xf numFmtId="0" fontId="7" fillId="0" borderId="6" xfId="0" applyFont="1" applyBorder="1"/>
    <xf numFmtId="0" fontId="7" fillId="0" borderId="7" xfId="0" applyFont="1" applyBorder="1"/>
    <xf numFmtId="43" fontId="7" fillId="0" borderId="7" xfId="0" applyNumberFormat="1" applyFont="1" applyBorder="1"/>
    <xf numFmtId="43" fontId="7" fillId="0" borderId="12" xfId="1" applyFont="1" applyBorder="1"/>
    <xf numFmtId="43" fontId="9" fillId="3" borderId="0" xfId="0" applyNumberFormat="1" applyFont="1" applyFill="1"/>
    <xf numFmtId="43" fontId="9" fillId="3" borderId="6" xfId="1" applyFont="1" applyFill="1" applyBorder="1"/>
    <xf numFmtId="43" fontId="9" fillId="3" borderId="7" xfId="1" applyFont="1" applyFill="1" applyBorder="1"/>
    <xf numFmtId="43" fontId="9" fillId="2" borderId="0" xfId="1" applyFont="1" applyFill="1"/>
    <xf numFmtId="43" fontId="7" fillId="0" borderId="18" xfId="2" applyNumberFormat="1" applyFont="1" applyBorder="1"/>
    <xf numFmtId="1" fontId="2" fillId="0" borderId="0" xfId="0" applyNumberFormat="1" applyFont="1"/>
    <xf numFmtId="1" fontId="10" fillId="0" borderId="0" xfId="1" applyNumberFormat="1" applyFont="1" applyFill="1" applyAlignment="1">
      <alignment horizontal="center"/>
    </xf>
    <xf numFmtId="1" fontId="7" fillId="2" borderId="2" xfId="1" applyNumberFormat="1" applyFont="1" applyFill="1" applyBorder="1"/>
    <xf numFmtId="1" fontId="7" fillId="0" borderId="2" xfId="1" applyNumberFormat="1" applyFont="1" applyFill="1" applyBorder="1"/>
    <xf numFmtId="1" fontId="7" fillId="0" borderId="0" xfId="0" applyNumberFormat="1" applyFont="1" applyFill="1"/>
    <xf numFmtId="1" fontId="7" fillId="0" borderId="0" xfId="0" applyNumberFormat="1" applyFont="1" applyFill="1" applyBorder="1"/>
    <xf numFmtId="1" fontId="7" fillId="6" borderId="0" xfId="0" applyNumberFormat="1" applyFont="1" applyFill="1" applyBorder="1"/>
    <xf numFmtId="1" fontId="7" fillId="13" borderId="0" xfId="0" applyNumberFormat="1" applyFont="1" applyFill="1"/>
    <xf numFmtId="1" fontId="7" fillId="2" borderId="0" xfId="0" applyNumberFormat="1" applyFont="1" applyFill="1"/>
    <xf numFmtId="1" fontId="7" fillId="3" borderId="0" xfId="0" applyNumberFormat="1" applyFont="1" applyFill="1"/>
    <xf numFmtId="1" fontId="7" fillId="12" borderId="0" xfId="0" applyNumberFormat="1" applyFont="1" applyFill="1"/>
    <xf numFmtId="1" fontId="7" fillId="6" borderId="0" xfId="0" applyNumberFormat="1" applyFont="1" applyFill="1"/>
    <xf numFmtId="1" fontId="0" fillId="0" borderId="1" xfId="2" applyNumberFormat="1" applyFont="1" applyBorder="1"/>
    <xf numFmtId="1" fontId="5" fillId="0" borderId="0" xfId="0" applyNumberFormat="1" applyFont="1" applyFill="1"/>
    <xf numFmtId="1" fontId="5" fillId="0" borderId="0" xfId="1" applyNumberFormat="1" applyFont="1" applyFill="1"/>
    <xf numFmtId="1" fontId="5" fillId="0" borderId="10" xfId="1" applyNumberFormat="1" applyFont="1" applyFill="1" applyBorder="1"/>
    <xf numFmtId="1" fontId="5" fillId="0" borderId="11" xfId="1" applyNumberFormat="1" applyFont="1" applyFill="1" applyBorder="1"/>
    <xf numFmtId="1" fontId="5" fillId="0" borderId="12" xfId="1" applyNumberFormat="1" applyFont="1" applyFill="1" applyBorder="1"/>
    <xf numFmtId="1" fontId="7" fillId="0" borderId="0" xfId="0" applyNumberFormat="1" applyFont="1"/>
    <xf numFmtId="1" fontId="7" fillId="0" borderId="0" xfId="1" applyNumberFormat="1" applyFont="1"/>
    <xf numFmtId="1" fontId="0" fillId="0" borderId="0" xfId="0" applyNumberFormat="1"/>
    <xf numFmtId="37" fontId="7" fillId="0" borderId="0" xfId="0" applyNumberFormat="1" applyFont="1" applyFill="1"/>
    <xf numFmtId="3" fontId="0" fillId="0" borderId="1" xfId="2" applyNumberFormat="1" applyFont="1" applyBorder="1"/>
    <xf numFmtId="1" fontId="7" fillId="0" borderId="0" xfId="1" applyNumberFormat="1" applyFont="1" applyFill="1"/>
    <xf numFmtId="1" fontId="7" fillId="0" borderId="11" xfId="1" applyNumberFormat="1" applyFont="1" applyFill="1" applyBorder="1"/>
    <xf numFmtId="1" fontId="7" fillId="2" borderId="10" xfId="1" applyNumberFormat="1" applyFont="1" applyFill="1" applyBorder="1"/>
    <xf numFmtId="1" fontId="7" fillId="0" borderId="10" xfId="1" applyNumberFormat="1" applyFont="1" applyFill="1" applyBorder="1"/>
    <xf numFmtId="1" fontId="7" fillId="0" borderId="6" xfId="1" applyNumberFormat="1" applyFont="1" applyFill="1" applyBorder="1"/>
    <xf numFmtId="1" fontId="7" fillId="0" borderId="7" xfId="1" applyNumberFormat="1" applyFont="1" applyFill="1" applyBorder="1"/>
    <xf numFmtId="43" fontId="8" fillId="0" borderId="0" xfId="1" applyFont="1" applyFill="1"/>
    <xf numFmtId="43" fontId="3" fillId="0" borderId="0" xfId="1" applyFont="1" applyFill="1"/>
    <xf numFmtId="43" fontId="2" fillId="0" borderId="0" xfId="1" applyFont="1" applyFill="1"/>
    <xf numFmtId="43" fontId="0" fillId="0" borderId="1" xfId="1" applyFont="1" applyFill="1" applyBorder="1"/>
    <xf numFmtId="43" fontId="0" fillId="0" borderId="1" xfId="2" applyNumberFormat="1" applyFont="1" applyFill="1" applyBorder="1"/>
    <xf numFmtId="1" fontId="0" fillId="0" borderId="1" xfId="2" applyNumberFormat="1" applyFont="1" applyFill="1" applyBorder="1"/>
    <xf numFmtId="3" fontId="0" fillId="0" borderId="1" xfId="2" applyNumberFormat="1" applyFont="1" applyFill="1" applyBorder="1"/>
    <xf numFmtId="165" fontId="7" fillId="0" borderId="7" xfId="1" applyNumberFormat="1" applyFont="1" applyFill="1" applyBorder="1"/>
    <xf numFmtId="37" fontId="7" fillId="3" borderId="0" xfId="0" applyNumberFormat="1" applyFont="1" applyFill="1"/>
    <xf numFmtId="43" fontId="7" fillId="0" borderId="19" xfId="1" applyFont="1" applyFill="1" applyBorder="1"/>
    <xf numFmtId="1" fontId="7" fillId="14" borderId="10" xfId="1" applyNumberFormat="1" applyFont="1" applyFill="1" applyBorder="1"/>
    <xf numFmtId="1" fontId="7" fillId="14" borderId="2" xfId="1" applyNumberFormat="1" applyFont="1" applyFill="1" applyBorder="1"/>
    <xf numFmtId="43" fontId="7" fillId="12" borderId="19" xfId="1" applyFont="1" applyFill="1" applyBorder="1"/>
    <xf numFmtId="43" fontId="7" fillId="12" borderId="2" xfId="1" applyFont="1" applyFill="1" applyBorder="1"/>
    <xf numFmtId="43" fontId="7" fillId="12" borderId="10" xfId="1" applyFont="1" applyFill="1" applyBorder="1"/>
    <xf numFmtId="43" fontId="2" fillId="12" borderId="0" xfId="1" applyFont="1" applyFill="1"/>
    <xf numFmtId="43" fontId="2" fillId="12" borderId="2" xfId="1" applyFont="1" applyFill="1" applyBorder="1"/>
    <xf numFmtId="43" fontId="8" fillId="12" borderId="0" xfId="1" applyFont="1" applyFill="1"/>
    <xf numFmtId="43" fontId="6" fillId="0" borderId="0" xfId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43" fontId="0" fillId="0" borderId="3" xfId="1" applyFont="1" applyFill="1" applyBorder="1"/>
    <xf numFmtId="43" fontId="0" fillId="0" borderId="5" xfId="1" applyFont="1" applyFill="1" applyBorder="1"/>
    <xf numFmtId="0" fontId="3" fillId="0" borderId="0" xfId="0" applyFont="1" applyFill="1"/>
    <xf numFmtId="43" fontId="7" fillId="0" borderId="1" xfId="1" applyFont="1" applyFill="1" applyBorder="1"/>
    <xf numFmtId="43" fontId="0" fillId="0" borderId="0" xfId="1" applyFont="1" applyFill="1" applyAlignment="1">
      <alignment horizontal="center"/>
    </xf>
    <xf numFmtId="10" fontId="0" fillId="0" borderId="0" xfId="2" applyNumberFormat="1" applyFont="1" applyFill="1" applyAlignment="1">
      <alignment horizontal="center"/>
    </xf>
    <xf numFmtId="16" fontId="0" fillId="0" borderId="3" xfId="0" applyNumberFormat="1" applyFill="1" applyBorder="1"/>
    <xf numFmtId="16" fontId="0" fillId="0" borderId="4" xfId="0" applyNumberFormat="1" applyFill="1" applyBorder="1"/>
    <xf numFmtId="43" fontId="0" fillId="0" borderId="4" xfId="1" applyFont="1" applyFill="1" applyBorder="1"/>
    <xf numFmtId="10" fontId="0" fillId="0" borderId="5" xfId="2" applyNumberFormat="1" applyFont="1" applyFill="1" applyBorder="1"/>
    <xf numFmtId="16" fontId="0" fillId="0" borderId="6" xfId="0" applyNumberFormat="1" applyFill="1" applyBorder="1"/>
    <xf numFmtId="16" fontId="0" fillId="0" borderId="0" xfId="0" applyNumberFormat="1" applyFill="1"/>
    <xf numFmtId="10" fontId="0" fillId="0" borderId="7" xfId="2" applyNumberFormat="1" applyFont="1" applyFill="1" applyBorder="1"/>
    <xf numFmtId="0" fontId="0" fillId="0" borderId="8" xfId="0" applyFill="1" applyBorder="1"/>
    <xf numFmtId="43" fontId="0" fillId="0" borderId="8" xfId="1" applyFont="1" applyFill="1" applyBorder="1"/>
    <xf numFmtId="43" fontId="0" fillId="0" borderId="2" xfId="1" applyFont="1" applyFill="1" applyBorder="1"/>
    <xf numFmtId="43" fontId="0" fillId="0" borderId="9" xfId="1" applyFont="1" applyFill="1" applyBorder="1"/>
    <xf numFmtId="10" fontId="0" fillId="0" borderId="9" xfId="2" applyNumberFormat="1" applyFont="1" applyFill="1" applyBorder="1"/>
    <xf numFmtId="43" fontId="5" fillId="0" borderId="2" xfId="1" applyFont="1" applyFill="1" applyBorder="1"/>
    <xf numFmtId="0" fontId="0" fillId="0" borderId="6" xfId="0" applyFill="1" applyBorder="1"/>
    <xf numFmtId="0" fontId="0" fillId="0" borderId="7" xfId="0" applyFill="1" applyBorder="1"/>
    <xf numFmtId="43" fontId="5" fillId="0" borderId="1" xfId="2" applyNumberFormat="1" applyFont="1" applyFill="1" applyBorder="1"/>
    <xf numFmtId="43" fontId="2" fillId="0" borderId="1" xfId="2" applyNumberFormat="1" applyFont="1" applyFill="1" applyBorder="1"/>
    <xf numFmtId="43" fontId="9" fillId="0" borderId="0" xfId="1" applyFont="1" applyFill="1"/>
    <xf numFmtId="166" fontId="2" fillId="0" borderId="0" xfId="1" applyNumberFormat="1" applyFont="1"/>
    <xf numFmtId="166" fontId="0" fillId="0" borderId="0" xfId="1" applyNumberFormat="1" applyFont="1"/>
    <xf numFmtId="166" fontId="0" fillId="13" borderId="0" xfId="1" applyNumberFormat="1" applyFont="1" applyFill="1"/>
    <xf numFmtId="166" fontId="2" fillId="3" borderId="0" xfId="1" applyNumberFormat="1" applyFont="1" applyFill="1"/>
    <xf numFmtId="166" fontId="0" fillId="2" borderId="0" xfId="1" applyNumberFormat="1" applyFont="1" applyFill="1"/>
    <xf numFmtId="166" fontId="0" fillId="0" borderId="4" xfId="1" applyNumberFormat="1" applyFont="1" applyBorder="1"/>
    <xf numFmtId="166" fontId="0" fillId="0" borderId="8" xfId="1" applyNumberFormat="1" applyFont="1" applyBorder="1"/>
    <xf numFmtId="1" fontId="7" fillId="5" borderId="0" xfId="0" applyNumberFormat="1" applyFont="1" applyFill="1"/>
    <xf numFmtId="10" fontId="0" fillId="0" borderId="10" xfId="2" applyNumberFormat="1" applyFont="1" applyBorder="1" applyAlignment="1">
      <alignment horizontal="center"/>
    </xf>
    <xf numFmtId="10" fontId="0" fillId="0" borderId="11" xfId="2" applyNumberFormat="1" applyFont="1" applyBorder="1" applyAlignment="1">
      <alignment horizontal="center"/>
    </xf>
    <xf numFmtId="10" fontId="0" fillId="0" borderId="12" xfId="2" applyNumberFormat="1" applyFont="1" applyBorder="1" applyAlignment="1">
      <alignment horizontal="center"/>
    </xf>
    <xf numFmtId="16" fontId="0" fillId="0" borderId="0" xfId="0" applyNumberFormat="1" applyBorder="1"/>
    <xf numFmtId="166" fontId="0" fillId="0" borderId="0" xfId="1" applyNumberFormat="1" applyFont="1" applyBorder="1"/>
    <xf numFmtId="1" fontId="7" fillId="7" borderId="10" xfId="1" applyNumberFormat="1" applyFont="1" applyFill="1" applyBorder="1"/>
    <xf numFmtId="1" fontId="7" fillId="7" borderId="2" xfId="1" applyNumberFormat="1" applyFont="1" applyFill="1" applyBorder="1"/>
    <xf numFmtId="1" fontId="7" fillId="7" borderId="11" xfId="1" applyNumberFormat="1" applyFont="1" applyFill="1" applyBorder="1"/>
    <xf numFmtId="1" fontId="7" fillId="2" borderId="11" xfId="1" applyNumberFormat="1" applyFont="1" applyFill="1" applyBorder="1"/>
    <xf numFmtId="165" fontId="7" fillId="7" borderId="7" xfId="1" applyNumberFormat="1" applyFont="1" applyFill="1" applyBorder="1"/>
    <xf numFmtId="1" fontId="2" fillId="7" borderId="11" xfId="1" applyNumberFormat="1" applyFont="1" applyFill="1" applyBorder="1"/>
    <xf numFmtId="3" fontId="7" fillId="0" borderId="7" xfId="1" applyNumberFormat="1" applyFont="1" applyFill="1" applyBorder="1"/>
    <xf numFmtId="3" fontId="7" fillId="0" borderId="12" xfId="1" applyNumberFormat="1" applyFont="1" applyFill="1" applyBorder="1"/>
    <xf numFmtId="3" fontId="7" fillId="3" borderId="7" xfId="1" applyNumberFormat="1" applyFont="1" applyFill="1" applyBorder="1"/>
    <xf numFmtId="3" fontId="7" fillId="0" borderId="19" xfId="1" applyNumberFormat="1" applyFont="1" applyFill="1" applyBorder="1"/>
    <xf numFmtId="3" fontId="0" fillId="0" borderId="1" xfId="1" applyNumberFormat="1" applyFont="1" applyFill="1" applyBorder="1"/>
    <xf numFmtId="44" fontId="0" fillId="0" borderId="0" xfId="3" applyFont="1" applyAlignment="1">
      <alignment horizontal="right"/>
    </xf>
    <xf numFmtId="44" fontId="0" fillId="0" borderId="0" xfId="3" applyFont="1"/>
    <xf numFmtId="44" fontId="7" fillId="0" borderId="0" xfId="3" applyFont="1" applyFill="1"/>
    <xf numFmtId="44" fontId="7" fillId="0" borderId="6" xfId="3" applyFont="1" applyFill="1" applyBorder="1"/>
    <xf numFmtId="10" fontId="0" fillId="0" borderId="0" xfId="1" applyNumberFormat="1" applyFont="1" applyFill="1"/>
    <xf numFmtId="10" fontId="0" fillId="3" borderId="0" xfId="1" applyNumberFormat="1" applyFont="1" applyFill="1"/>
    <xf numFmtId="10" fontId="0" fillId="5" borderId="0" xfId="1" applyNumberFormat="1" applyFont="1" applyFill="1"/>
    <xf numFmtId="10" fontId="0" fillId="0" borderId="1" xfId="2" applyNumberFormat="1" applyFont="1" applyFill="1" applyBorder="1"/>
    <xf numFmtId="3" fontId="7" fillId="0" borderId="0" xfId="0" applyNumberFormat="1" applyFont="1" applyFill="1"/>
    <xf numFmtId="3" fontId="7" fillId="0" borderId="0" xfId="0" applyNumberFormat="1" applyFont="1" applyFill="1" applyBorder="1"/>
    <xf numFmtId="3" fontId="7" fillId="3" borderId="0" xfId="0" applyNumberFormat="1" applyFont="1" applyFill="1"/>
    <xf numFmtId="3" fontId="7" fillId="5" borderId="0" xfId="0" applyNumberFormat="1" applyFont="1" applyFill="1"/>
    <xf numFmtId="43" fontId="13" fillId="0" borderId="0" xfId="1" applyFont="1" applyFill="1"/>
    <xf numFmtId="43" fontId="13" fillId="0" borderId="3" xfId="1" applyFont="1" applyFill="1" applyBorder="1"/>
    <xf numFmtId="43" fontId="13" fillId="0" borderId="5" xfId="1" applyFont="1" applyFill="1" applyBorder="1"/>
    <xf numFmtId="0" fontId="12" fillId="0" borderId="0" xfId="0" applyFont="1" applyFill="1" applyAlignment="1">
      <alignment horizontal="right"/>
    </xf>
    <xf numFmtId="10" fontId="7" fillId="0" borderId="6" xfId="1" applyNumberFormat="1" applyFont="1" applyFill="1" applyBorder="1"/>
    <xf numFmtId="10" fontId="7" fillId="0" borderId="10" xfId="1" applyNumberFormat="1" applyFont="1" applyFill="1" applyBorder="1"/>
    <xf numFmtId="10" fontId="7" fillId="3" borderId="6" xfId="1" applyNumberFormat="1" applyFont="1" applyFill="1" applyBorder="1"/>
    <xf numFmtId="10" fontId="0" fillId="0" borderId="1" xfId="1" applyNumberFormat="1" applyFont="1" applyFill="1" applyBorder="1"/>
    <xf numFmtId="10" fontId="5" fillId="0" borderId="0" xfId="0" applyNumberFormat="1" applyFont="1" applyFill="1"/>
    <xf numFmtId="0" fontId="10" fillId="0" borderId="0" xfId="0" applyFont="1" applyFill="1" applyAlignment="1">
      <alignment horizontal="right"/>
    </xf>
    <xf numFmtId="43" fontId="0" fillId="0" borderId="0" xfId="1" applyFont="1" applyAlignment="1">
      <alignment horizontal="right"/>
    </xf>
    <xf numFmtId="10" fontId="0" fillId="0" borderId="0" xfId="2" applyNumberFormat="1" applyFont="1" applyAlignment="1">
      <alignment horizontal="right"/>
    </xf>
    <xf numFmtId="166" fontId="0" fillId="0" borderId="0" xfId="1" applyNumberFormat="1" applyFont="1" applyAlignment="1">
      <alignment horizontal="right"/>
    </xf>
    <xf numFmtId="168" fontId="7" fillId="15" borderId="2" xfId="3" applyNumberFormat="1" applyFont="1" applyFill="1" applyBorder="1"/>
    <xf numFmtId="168" fontId="7" fillId="15" borderId="11" xfId="3" applyNumberFormat="1" applyFont="1" applyFill="1" applyBorder="1"/>
    <xf numFmtId="168" fontId="7" fillId="15" borderId="10" xfId="3" applyNumberFormat="1" applyFont="1" applyFill="1" applyBorder="1"/>
    <xf numFmtId="44" fontId="7" fillId="15" borderId="7" xfId="3" applyFont="1" applyFill="1" applyBorder="1"/>
    <xf numFmtId="3" fontId="7" fillId="15" borderId="0" xfId="0" applyNumberFormat="1" applyFont="1" applyFill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rbanleagueofessexcounty-my.sharepoint.com/personal/gward_ulec_org/Documents/Cost%20Allocations/2019%20Cost%20Alloc/June%20Alloc/Copy%20of%20Salary%20JV%20%20Template.Revised.June2019.v7%20Revis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19 Alloc-Sermon-USJP"/>
      <sheetName val="June 2019 Alloc- Sermon"/>
      <sheetName val="June 2019 Alloc"/>
      <sheetName val="May 2019 Alloc  (2)"/>
      <sheetName val="May 2019 Alloc "/>
      <sheetName val="April Revised"/>
      <sheetName val="April 2019 Alloc  "/>
      <sheetName val="March 2019 Alloc "/>
      <sheetName val="Feb 2019 Alloc "/>
      <sheetName val="Jan 2019 Alloc"/>
      <sheetName val="Dec Alloc "/>
      <sheetName val="Nov Alloc "/>
      <sheetName val="OCT Alloc"/>
      <sheetName val="Sept Alloc"/>
      <sheetName val="August Alloc "/>
      <sheetName val="July Alloc"/>
    </sheetNames>
    <sheetDataSet>
      <sheetData sheetId="0"/>
      <sheetData sheetId="1"/>
      <sheetData sheetId="2"/>
      <sheetData sheetId="3"/>
      <sheetData sheetId="4">
        <row r="58">
          <cell r="N58">
            <v>969.83</v>
          </cell>
        </row>
        <row r="60">
          <cell r="I60">
            <v>12675.83</v>
          </cell>
        </row>
      </sheetData>
      <sheetData sheetId="5"/>
      <sheetData sheetId="6">
        <row r="44">
          <cell r="H44">
            <v>5281.6</v>
          </cell>
        </row>
        <row r="45">
          <cell r="H45">
            <v>5281.6</v>
          </cell>
          <cell r="R45">
            <v>808.2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AA7D-A6A8-4EBD-AE24-BF3870D91EAD}">
  <sheetPr>
    <tabColor theme="5" tint="0.39997558519241921"/>
    <pageSetUpPr fitToPage="1"/>
  </sheetPr>
  <dimension ref="B1:AJ56"/>
  <sheetViews>
    <sheetView tabSelected="1" topLeftCell="B1" zoomScale="85" zoomScaleNormal="85" workbookViewId="0">
      <selection activeCell="T3" sqref="T3"/>
    </sheetView>
  </sheetViews>
  <sheetFormatPr defaultRowHeight="15" x14ac:dyDescent="0.25"/>
  <cols>
    <col min="1" max="1" width="0" hidden="1" customWidth="1"/>
    <col min="2" max="2" width="9.140625" style="1"/>
    <col min="3" max="3" width="24.140625" customWidth="1"/>
    <col min="4" max="4" width="9" hidden="1" customWidth="1"/>
    <col min="5" max="5" width="8.140625" hidden="1" customWidth="1"/>
    <col min="6" max="6" width="12.7109375" hidden="1" customWidth="1"/>
    <col min="7" max="7" width="12.28515625" style="362" bestFit="1" customWidth="1"/>
    <col min="8" max="9" width="11.5703125" style="2" bestFit="1" customWidth="1"/>
    <col min="10" max="10" width="9.5703125" style="12" bestFit="1" customWidth="1"/>
    <col min="11" max="11" width="10.5703125" style="12" bestFit="1" customWidth="1"/>
    <col min="12" max="12" width="11" style="12" bestFit="1" customWidth="1"/>
    <col min="13" max="14" width="11.28515625" style="288" customWidth="1"/>
    <col min="15" max="15" width="10.85546875" style="308" customWidth="1"/>
    <col min="16" max="16" width="9" style="308" bestFit="1" customWidth="1"/>
    <col min="17" max="17" width="11.7109375" style="288" customWidth="1"/>
    <col min="18" max="18" width="16.42578125" hidden="1" customWidth="1"/>
    <col min="19" max="19" width="12.140625" style="66" bestFit="1" customWidth="1"/>
    <col min="20" max="21" width="11.5703125" bestFit="1" customWidth="1"/>
    <col min="22" max="22" width="10.5703125" style="66" bestFit="1" customWidth="1"/>
    <col min="23" max="23" width="10.85546875" style="66" customWidth="1"/>
    <col min="24" max="24" width="11" bestFit="1" customWidth="1"/>
    <col min="25" max="25" width="12.140625" style="66" customWidth="1"/>
    <col min="26" max="26" width="11.28515625" style="66" customWidth="1"/>
    <col min="27" max="27" width="10.7109375" customWidth="1"/>
    <col min="28" max="28" width="10.85546875" bestFit="1" customWidth="1"/>
    <col min="29" max="29" width="10.5703125" bestFit="1" customWidth="1"/>
    <col min="30" max="30" width="2.85546875" style="159" customWidth="1"/>
    <col min="31" max="31" width="8.5703125" style="159" customWidth="1"/>
    <col min="32" max="32" width="11.85546875" style="159" customWidth="1"/>
    <col min="33" max="33" width="12.7109375" customWidth="1"/>
  </cols>
  <sheetData>
    <row r="1" spans="2:33" ht="15.75" thickBot="1" x14ac:dyDescent="0.3">
      <c r="B1" s="2" t="s">
        <v>123</v>
      </c>
      <c r="M1" s="288">
        <v>7251</v>
      </c>
      <c r="N1" s="288">
        <v>7252</v>
      </c>
      <c r="O1" s="288">
        <v>7253</v>
      </c>
      <c r="P1" s="288">
        <v>7254</v>
      </c>
      <c r="Q1" s="288">
        <v>7260.1</v>
      </c>
      <c r="R1" s="288">
        <v>8140</v>
      </c>
      <c r="S1" s="66">
        <v>7515.5</v>
      </c>
      <c r="T1" s="66">
        <v>7521</v>
      </c>
      <c r="U1" s="66">
        <v>7521</v>
      </c>
      <c r="V1" s="66">
        <v>8112</v>
      </c>
      <c r="W1" s="66">
        <v>8135.5</v>
      </c>
      <c r="X1" s="66">
        <v>8191</v>
      </c>
      <c r="Y1" s="66">
        <v>8210.5</v>
      </c>
      <c r="Z1" s="66">
        <v>8229.1</v>
      </c>
      <c r="AA1" s="66">
        <v>8239</v>
      </c>
      <c r="AB1" s="66">
        <v>8265</v>
      </c>
      <c r="AC1" s="66">
        <v>8266</v>
      </c>
      <c r="AF1" s="157">
        <v>7248</v>
      </c>
    </row>
    <row r="2" spans="2:33" ht="17.25" thickBot="1" x14ac:dyDescent="0.4">
      <c r="M2" s="289" t="s">
        <v>1</v>
      </c>
      <c r="N2" s="289" t="s">
        <v>2</v>
      </c>
      <c r="O2" s="289" t="s">
        <v>3</v>
      </c>
      <c r="P2" s="289" t="s">
        <v>4</v>
      </c>
      <c r="Q2" s="289" t="s">
        <v>5</v>
      </c>
      <c r="R2" s="289" t="s">
        <v>114</v>
      </c>
      <c r="S2" s="400" t="s">
        <v>6</v>
      </c>
      <c r="T2" s="263" t="s">
        <v>91</v>
      </c>
      <c r="U2" s="263" t="s">
        <v>7</v>
      </c>
      <c r="V2" s="263" t="s">
        <v>8</v>
      </c>
      <c r="W2" s="263" t="s">
        <v>9</v>
      </c>
      <c r="X2" s="400" t="s">
        <v>10</v>
      </c>
      <c r="Y2" s="406" t="s">
        <v>11</v>
      </c>
      <c r="Z2" s="406" t="s">
        <v>12</v>
      </c>
      <c r="AA2" s="406" t="s">
        <v>13</v>
      </c>
      <c r="AB2" s="406" t="s">
        <v>122</v>
      </c>
      <c r="AC2" s="406" t="s">
        <v>124</v>
      </c>
      <c r="AD2" s="397"/>
      <c r="AE2" s="398"/>
      <c r="AF2" s="399" t="s">
        <v>15</v>
      </c>
      <c r="AG2" s="2"/>
    </row>
    <row r="3" spans="2:33" s="386" customFormat="1" ht="15.75" thickBot="1" x14ac:dyDescent="0.3">
      <c r="B3" s="385"/>
      <c r="M3" s="410">
        <f>M46</f>
        <v>10024</v>
      </c>
      <c r="N3" s="410">
        <f t="shared" ref="N3:Q3" si="0">N46</f>
        <v>2446</v>
      </c>
      <c r="O3" s="410">
        <f t="shared" si="0"/>
        <v>2449</v>
      </c>
      <c r="P3" s="410">
        <f t="shared" si="0"/>
        <v>481</v>
      </c>
      <c r="Q3" s="410">
        <f t="shared" si="0"/>
        <v>1981</v>
      </c>
      <c r="R3" s="410"/>
      <c r="S3" s="411">
        <v>3006</v>
      </c>
      <c r="T3" s="412">
        <v>6000</v>
      </c>
      <c r="U3" s="412">
        <f>10655-6000</f>
        <v>4655</v>
      </c>
      <c r="V3" s="412">
        <v>2022</v>
      </c>
      <c r="W3" s="410">
        <v>733</v>
      </c>
      <c r="X3" s="411">
        <v>312</v>
      </c>
      <c r="Y3" s="412">
        <v>1261</v>
      </c>
      <c r="Z3" s="412">
        <v>2637</v>
      </c>
      <c r="AA3" s="410">
        <v>765</v>
      </c>
      <c r="AB3" s="411">
        <v>1985</v>
      </c>
      <c r="AC3" s="411">
        <v>4654</v>
      </c>
      <c r="AD3" s="387"/>
      <c r="AE3" s="388"/>
      <c r="AF3" s="413">
        <v>6787</v>
      </c>
    </row>
    <row r="4" spans="2:33" ht="15.75" thickBot="1" x14ac:dyDescent="0.3">
      <c r="G4" s="409" t="s">
        <v>120</v>
      </c>
      <c r="M4" s="292">
        <v>1</v>
      </c>
      <c r="N4" s="292">
        <v>2</v>
      </c>
      <c r="O4" s="292">
        <v>3</v>
      </c>
      <c r="P4" s="292">
        <v>4</v>
      </c>
      <c r="Q4" s="292">
        <v>5</v>
      </c>
      <c r="R4" s="292">
        <v>6</v>
      </c>
      <c r="S4" s="292">
        <v>7</v>
      </c>
      <c r="T4" s="292">
        <v>8</v>
      </c>
      <c r="U4" s="292">
        <v>8</v>
      </c>
      <c r="V4" s="292">
        <v>9</v>
      </c>
      <c r="W4" s="292">
        <v>10</v>
      </c>
      <c r="X4" s="292">
        <v>11</v>
      </c>
      <c r="Y4" s="292">
        <v>12</v>
      </c>
      <c r="Z4" s="292">
        <v>13</v>
      </c>
      <c r="AA4" s="292">
        <v>14</v>
      </c>
      <c r="AB4" s="292">
        <v>15</v>
      </c>
      <c r="AC4" s="292">
        <v>15</v>
      </c>
      <c r="AD4" s="218"/>
      <c r="AE4" s="266"/>
      <c r="AF4" s="267">
        <v>0.04</v>
      </c>
    </row>
    <row r="5" spans="2:33" ht="15.75" thickBot="1" x14ac:dyDescent="0.3">
      <c r="D5">
        <v>7222</v>
      </c>
      <c r="E5" t="s">
        <v>16</v>
      </c>
      <c r="F5" t="s">
        <v>17</v>
      </c>
      <c r="J5" s="369" t="s">
        <v>16</v>
      </c>
      <c r="K5" s="370" t="s">
        <v>61</v>
      </c>
      <c r="L5" s="371" t="s">
        <v>121</v>
      </c>
      <c r="M5" s="393"/>
      <c r="N5" s="393"/>
      <c r="O5" s="393"/>
      <c r="P5" s="393"/>
      <c r="Q5" s="393"/>
      <c r="R5" s="393"/>
      <c r="S5" s="393"/>
      <c r="T5" s="393"/>
      <c r="U5" s="393"/>
      <c r="V5" s="393"/>
      <c r="W5" s="393"/>
      <c r="X5" s="393"/>
      <c r="Y5" s="393"/>
      <c r="Z5" s="393"/>
      <c r="AA5" s="393"/>
      <c r="AB5" s="393"/>
      <c r="AC5" s="393"/>
      <c r="AD5" s="218"/>
      <c r="AE5" s="266"/>
      <c r="AF5" s="267"/>
    </row>
    <row r="6" spans="2:33" x14ac:dyDescent="0.25">
      <c r="B6" s="1">
        <v>41</v>
      </c>
      <c r="C6" t="s">
        <v>19</v>
      </c>
      <c r="D6" s="2"/>
      <c r="E6" s="26"/>
      <c r="F6" s="26"/>
      <c r="G6" s="361"/>
      <c r="H6" s="317">
        <v>0</v>
      </c>
      <c r="I6" s="318"/>
      <c r="J6" s="118">
        <f t="shared" ref="J6:J21" si="1">H6/$I$35</f>
        <v>0</v>
      </c>
      <c r="K6" s="118">
        <f t="shared" ref="K6:K37" si="2">H6/$I$37</f>
        <v>0</v>
      </c>
      <c r="L6" s="118">
        <f t="shared" ref="L6:L37" si="3">G6/$G$38</f>
        <v>0</v>
      </c>
      <c r="M6" s="393">
        <f>J6*$M$3</f>
        <v>0</v>
      </c>
      <c r="N6" s="393">
        <f>J6*$N$3</f>
        <v>0</v>
      </c>
      <c r="O6" s="393">
        <f>J6*$O$3</f>
        <v>0</v>
      </c>
      <c r="P6" s="393">
        <f>J6*$P$3</f>
        <v>0</v>
      </c>
      <c r="Q6" s="393">
        <f>K6*$Q$3</f>
        <v>0</v>
      </c>
      <c r="R6" s="393">
        <f>K6*$R$3</f>
        <v>0</v>
      </c>
      <c r="S6" s="393">
        <f>K6*$S$3</f>
        <v>0</v>
      </c>
      <c r="T6" s="393">
        <f>K6*$T$3</f>
        <v>0</v>
      </c>
      <c r="U6" s="393">
        <f>K6*$U$3</f>
        <v>0</v>
      </c>
      <c r="V6" s="393">
        <f>K6*$V$3</f>
        <v>0</v>
      </c>
      <c r="W6" s="393">
        <f>K6*$W$3</f>
        <v>0</v>
      </c>
      <c r="X6" s="393">
        <f>K6*$X$3</f>
        <v>0</v>
      </c>
      <c r="Y6" s="393">
        <f>K6*$Y$3</f>
        <v>0</v>
      </c>
      <c r="Z6" s="393">
        <f>K6*$Z$3</f>
        <v>0</v>
      </c>
      <c r="AA6" s="393">
        <f>K6*$AA$3</f>
        <v>0</v>
      </c>
      <c r="AB6" s="393">
        <f>J6*$AB$3</f>
        <v>0</v>
      </c>
      <c r="AC6" s="393">
        <f>K6*$AC$3</f>
        <v>0</v>
      </c>
      <c r="AD6" s="221"/>
      <c r="AE6" s="401">
        <f t="shared" ref="AE6:AE21" si="4">H6/$H$39</f>
        <v>0</v>
      </c>
      <c r="AF6" s="380">
        <f>AE6*$AF$3</f>
        <v>0</v>
      </c>
    </row>
    <row r="7" spans="2:33" x14ac:dyDescent="0.25">
      <c r="B7" s="1">
        <v>111</v>
      </c>
      <c r="C7" t="s">
        <v>20</v>
      </c>
      <c r="D7" s="2"/>
      <c r="G7" s="362">
        <v>8</v>
      </c>
      <c r="H7" s="214">
        <v>46682</v>
      </c>
      <c r="I7" s="118"/>
      <c r="J7" s="389">
        <f t="shared" si="1"/>
        <v>0.2699832701982412</v>
      </c>
      <c r="K7" s="389">
        <f t="shared" si="2"/>
        <v>0.24606292468151025</v>
      </c>
      <c r="L7" s="389">
        <f t="shared" si="3"/>
        <v>0.22857142857142856</v>
      </c>
      <c r="M7" s="394">
        <f t="shared" ref="M7:M35" si="5">J7*$M$3</f>
        <v>2706.3123004671697</v>
      </c>
      <c r="N7" s="394">
        <f t="shared" ref="N7:N35" si="6">J7*$N$3</f>
        <v>660.37907890489794</v>
      </c>
      <c r="O7" s="394">
        <f t="shared" ref="O7:O35" si="7">J7*$O$3</f>
        <v>661.18902871549267</v>
      </c>
      <c r="P7" s="394">
        <f t="shared" ref="P7:P35" si="8">J7*$P$3</f>
        <v>129.86195296535402</v>
      </c>
      <c r="Q7" s="393">
        <f t="shared" ref="Q7:Q38" si="9">K7*$Q$3</f>
        <v>487.4506537940718</v>
      </c>
      <c r="R7" s="393">
        <f t="shared" ref="R7:R36" si="10">K7*$R$3</f>
        <v>0</v>
      </c>
      <c r="S7" s="393">
        <f t="shared" ref="S7:S37" si="11">K7*$S$3</f>
        <v>739.66515159261985</v>
      </c>
      <c r="T7" s="393">
        <f>K7*$T$3</f>
        <v>1476.3775480890615</v>
      </c>
      <c r="U7" s="393">
        <f t="shared" ref="T7:U37" si="12">K7*$U$3</f>
        <v>1145.4229143924301</v>
      </c>
      <c r="V7" s="393">
        <f t="shared" ref="V7:V37" si="13">K7*$V$3</f>
        <v>497.53923370601376</v>
      </c>
      <c r="W7" s="393">
        <f t="shared" ref="W7:W37" si="14">K7*$W$3</f>
        <v>180.364123791547</v>
      </c>
      <c r="X7" s="393">
        <f t="shared" ref="X7:X37" si="15">K7*$X$3</f>
        <v>76.771632500631199</v>
      </c>
      <c r="Y7" s="393">
        <f t="shared" ref="Y7:Y37" si="16">K7*$Y$3</f>
        <v>310.28534802338442</v>
      </c>
      <c r="Z7" s="393">
        <f t="shared" ref="Z7:Z37" si="17">K7*$Z$3</f>
        <v>648.86793238514258</v>
      </c>
      <c r="AA7" s="393">
        <f t="shared" ref="AA7:AA37" si="18">K7*$AA$3</f>
        <v>188.23813738135533</v>
      </c>
      <c r="AB7" s="393">
        <f t="shared" ref="AB7:AB37" si="19">J7*$AB$3</f>
        <v>535.91679134350875</v>
      </c>
      <c r="AC7" s="393">
        <f t="shared" ref="AC7:AC37" si="20">K7*$AC$3</f>
        <v>1145.1768514677487</v>
      </c>
      <c r="AD7" s="221"/>
      <c r="AE7" s="401">
        <f t="shared" si="4"/>
        <v>0.16288621447789842</v>
      </c>
      <c r="AF7" s="380">
        <f t="shared" ref="AF7:AF35" si="21">AE7*$AF$3</f>
        <v>1105.5087376614965</v>
      </c>
    </row>
    <row r="8" spans="2:33" x14ac:dyDescent="0.25">
      <c r="B8" s="1" t="s">
        <v>21</v>
      </c>
      <c r="C8" t="s">
        <v>22</v>
      </c>
      <c r="D8" s="2"/>
      <c r="G8" s="362">
        <v>1</v>
      </c>
      <c r="H8" s="214">
        <v>2588</v>
      </c>
      <c r="I8" s="118"/>
      <c r="J8" s="389">
        <f t="shared" si="1"/>
        <v>1.4967582864338467E-2</v>
      </c>
      <c r="K8" s="389">
        <f t="shared" si="2"/>
        <v>1.3641464570407193E-2</v>
      </c>
      <c r="L8" s="389">
        <f t="shared" si="3"/>
        <v>2.8571428571428571E-2</v>
      </c>
      <c r="M8" s="393">
        <f>J8*$M$3</f>
        <v>150.03505063212879</v>
      </c>
      <c r="N8" s="393">
        <f>J8*$N$3</f>
        <v>36.610707686171892</v>
      </c>
      <c r="O8" s="393">
        <f>J8*$O$3</f>
        <v>36.65561043476491</v>
      </c>
      <c r="P8" s="393">
        <f>J8*$P$3</f>
        <v>7.1994073577468027</v>
      </c>
      <c r="Q8" s="393">
        <f t="shared" si="9"/>
        <v>27.02374131397665</v>
      </c>
      <c r="R8" s="393">
        <f>K8*$R$3</f>
        <v>0</v>
      </c>
      <c r="S8" s="393">
        <f>K8*$S$3</f>
        <v>41.006242498644021</v>
      </c>
      <c r="T8" s="393">
        <f>K8*$T$3</f>
        <v>81.848787422443152</v>
      </c>
      <c r="U8" s="393">
        <f>K8*$U$3</f>
        <v>63.501017575245484</v>
      </c>
      <c r="V8" s="393">
        <f>K8*$V$3</f>
        <v>27.583041361363343</v>
      </c>
      <c r="W8" s="393">
        <f>K8*$W$3</f>
        <v>9.9991935301084727</v>
      </c>
      <c r="X8" s="393">
        <f>K8*$X$3</f>
        <v>4.2561369459670439</v>
      </c>
      <c r="Y8" s="393">
        <f>K8*$Y$3</f>
        <v>17.20188682328347</v>
      </c>
      <c r="Z8" s="393">
        <f>K8*$Z$3</f>
        <v>35.972542072163769</v>
      </c>
      <c r="AA8" s="393">
        <f>K8*$AA$3</f>
        <v>10.435720396361502</v>
      </c>
      <c r="AB8" s="393">
        <f t="shared" si="19"/>
        <v>29.710651985711859</v>
      </c>
      <c r="AC8" s="393">
        <f>K8*$AC$3</f>
        <v>63.487376110675072</v>
      </c>
      <c r="AD8" s="221"/>
      <c r="AE8" s="401">
        <f t="shared" si="4"/>
        <v>9.0302369878925738E-3</v>
      </c>
      <c r="AF8" s="380">
        <f>AE8*$AF$3</f>
        <v>61.288218436826895</v>
      </c>
    </row>
    <row r="9" spans="2:33" x14ac:dyDescent="0.25">
      <c r="B9" s="1" t="s">
        <v>23</v>
      </c>
      <c r="C9" t="s">
        <v>24</v>
      </c>
      <c r="D9" s="2"/>
      <c r="G9" s="362">
        <v>1</v>
      </c>
      <c r="H9" s="214">
        <v>3654</v>
      </c>
      <c r="I9" s="118"/>
      <c r="J9" s="389">
        <f t="shared" si="1"/>
        <v>2.1132746439834912E-2</v>
      </c>
      <c r="K9" s="389">
        <f t="shared" si="2"/>
        <v>1.9260398585884034E-2</v>
      </c>
      <c r="L9" s="389">
        <f t="shared" si="3"/>
        <v>2.8571428571428571E-2</v>
      </c>
      <c r="M9" s="393">
        <f>J9*$M$3</f>
        <v>211.83465031290515</v>
      </c>
      <c r="N9" s="393">
        <f>J9*$N$3</f>
        <v>51.690697791836193</v>
      </c>
      <c r="O9" s="393">
        <f>J9*$O$3</f>
        <v>51.754096031155697</v>
      </c>
      <c r="P9" s="393">
        <f>J9*$P$3</f>
        <v>10.164851037560593</v>
      </c>
      <c r="Q9" s="393">
        <f t="shared" si="9"/>
        <v>38.154849598636268</v>
      </c>
      <c r="R9" s="393">
        <f t="shared" si="10"/>
        <v>0</v>
      </c>
      <c r="S9" s="393">
        <f>K9*$S$3</f>
        <v>57.896758149167404</v>
      </c>
      <c r="T9" s="393">
        <f>K9*$T$3</f>
        <v>115.5623915153042</v>
      </c>
      <c r="U9" s="393">
        <f>K9*$U$3</f>
        <v>89.657155417290184</v>
      </c>
      <c r="V9" s="393">
        <f>K9*$V$3</f>
        <v>38.944525940657513</v>
      </c>
      <c r="W9" s="393">
        <f>K9*$W$3</f>
        <v>14.117872163452997</v>
      </c>
      <c r="X9" s="393">
        <f>K9*$X$3</f>
        <v>6.0092443587958186</v>
      </c>
      <c r="Y9" s="393">
        <f>K9*$Y$3</f>
        <v>24.287362616799765</v>
      </c>
      <c r="Z9" s="393">
        <f>K9*$Z$3</f>
        <v>50.789671070976198</v>
      </c>
      <c r="AA9" s="393">
        <f>K9*$AA$3</f>
        <v>14.734204918201286</v>
      </c>
      <c r="AB9" s="393">
        <f t="shared" si="19"/>
        <v>41.948501683072301</v>
      </c>
      <c r="AC9" s="393">
        <f>K9*$AC$3</f>
        <v>89.637895018704299</v>
      </c>
      <c r="AD9" s="221"/>
      <c r="AE9" s="401">
        <f t="shared" si="4"/>
        <v>1.2749801373168262E-2</v>
      </c>
      <c r="AF9" s="380">
        <f>AE9*$AF$3</f>
        <v>86.532901919692989</v>
      </c>
    </row>
    <row r="10" spans="2:33" x14ac:dyDescent="0.25">
      <c r="B10" s="1" t="s">
        <v>25</v>
      </c>
      <c r="C10" t="s">
        <v>26</v>
      </c>
      <c r="D10" s="2"/>
      <c r="G10" s="362">
        <v>0</v>
      </c>
      <c r="H10" s="214">
        <v>358</v>
      </c>
      <c r="I10" s="118"/>
      <c r="J10" s="389">
        <f t="shared" si="1"/>
        <v>2.0704770731967432E-3</v>
      </c>
      <c r="K10" s="389">
        <f t="shared" si="2"/>
        <v>1.8870341252727105E-3</v>
      </c>
      <c r="L10" s="389">
        <f t="shared" si="3"/>
        <v>0</v>
      </c>
      <c r="M10" s="393">
        <f t="shared" si="5"/>
        <v>20.754462181724154</v>
      </c>
      <c r="N10" s="393">
        <f t="shared" si="6"/>
        <v>5.064386921039234</v>
      </c>
      <c r="O10" s="393">
        <f t="shared" si="7"/>
        <v>5.0705983522588243</v>
      </c>
      <c r="P10" s="393">
        <f t="shared" si="8"/>
        <v>0.99589947220763353</v>
      </c>
      <c r="Q10" s="393">
        <f t="shared" si="9"/>
        <v>3.7382146021652396</v>
      </c>
      <c r="R10" s="393">
        <f t="shared" si="10"/>
        <v>0</v>
      </c>
      <c r="S10" s="393">
        <f t="shared" si="11"/>
        <v>5.6724245805697677</v>
      </c>
      <c r="T10" s="393">
        <f>K10*$T$3</f>
        <v>11.322204751636264</v>
      </c>
      <c r="U10" s="393">
        <f t="shared" si="12"/>
        <v>8.7841438531444673</v>
      </c>
      <c r="V10" s="393">
        <f t="shared" si="13"/>
        <v>3.8155830013014205</v>
      </c>
      <c r="W10" s="393">
        <f t="shared" si="14"/>
        <v>1.3831960138248969</v>
      </c>
      <c r="X10" s="393">
        <f t="shared" si="15"/>
        <v>0.58875464708508563</v>
      </c>
      <c r="Y10" s="393">
        <f t="shared" si="16"/>
        <v>2.379550031968888</v>
      </c>
      <c r="Z10" s="393">
        <f t="shared" si="17"/>
        <v>4.9761089883441372</v>
      </c>
      <c r="AA10" s="393">
        <f t="shared" si="18"/>
        <v>1.4435811058336234</v>
      </c>
      <c r="AB10" s="393">
        <f t="shared" si="19"/>
        <v>4.1098969902955353</v>
      </c>
      <c r="AC10" s="393">
        <f t="shared" si="20"/>
        <v>8.7822568190191941</v>
      </c>
      <c r="AD10" s="221"/>
      <c r="AE10" s="401">
        <f t="shared" si="4"/>
        <v>1.2491595215090962E-3</v>
      </c>
      <c r="AF10" s="380">
        <f t="shared" si="21"/>
        <v>8.4780456724822368</v>
      </c>
    </row>
    <row r="11" spans="2:33" x14ac:dyDescent="0.25">
      <c r="B11" s="1">
        <v>112</v>
      </c>
      <c r="C11" t="s">
        <v>27</v>
      </c>
      <c r="D11" s="2"/>
      <c r="G11" s="362">
        <v>1</v>
      </c>
      <c r="H11" s="214">
        <v>7522</v>
      </c>
      <c r="I11" s="118"/>
      <c r="J11" s="389">
        <f t="shared" si="1"/>
        <v>4.3503152359178496E-2</v>
      </c>
      <c r="K11" s="389">
        <f t="shared" si="2"/>
        <v>3.9648800810897569E-2</v>
      </c>
      <c r="L11" s="389">
        <f t="shared" si="3"/>
        <v>2.8571428571428571E-2</v>
      </c>
      <c r="M11" s="393">
        <f t="shared" si="5"/>
        <v>436.07559924840524</v>
      </c>
      <c r="N11" s="393">
        <f t="shared" si="6"/>
        <v>106.4087106705506</v>
      </c>
      <c r="O11" s="393">
        <f t="shared" si="7"/>
        <v>106.53922012762814</v>
      </c>
      <c r="P11" s="393">
        <f t="shared" si="8"/>
        <v>20.925016284764858</v>
      </c>
      <c r="Q11" s="393">
        <f t="shared" si="9"/>
        <v>78.544274406388084</v>
      </c>
      <c r="R11" s="393">
        <f t="shared" si="10"/>
        <v>0</v>
      </c>
      <c r="S11" s="393">
        <f t="shared" si="11"/>
        <v>119.18429523755809</v>
      </c>
      <c r="T11" s="393">
        <f>K11*$T$3</f>
        <v>237.89280486538541</v>
      </c>
      <c r="U11" s="393">
        <f t="shared" si="12"/>
        <v>184.5651677747282</v>
      </c>
      <c r="V11" s="393">
        <f t="shared" si="13"/>
        <v>80.169875239634891</v>
      </c>
      <c r="W11" s="393">
        <f t="shared" si="14"/>
        <v>29.062570994387919</v>
      </c>
      <c r="X11" s="393">
        <f t="shared" si="15"/>
        <v>12.370425853000041</v>
      </c>
      <c r="Y11" s="393">
        <f t="shared" si="16"/>
        <v>49.997137822541838</v>
      </c>
      <c r="Z11" s="393">
        <f t="shared" si="17"/>
        <v>104.5538877383369</v>
      </c>
      <c r="AA11" s="393">
        <f t="shared" si="18"/>
        <v>30.331332620336642</v>
      </c>
      <c r="AB11" s="393">
        <f t="shared" si="19"/>
        <v>86.353757432969317</v>
      </c>
      <c r="AC11" s="393">
        <f t="shared" si="20"/>
        <v>184.52551897391729</v>
      </c>
      <c r="AD11" s="221"/>
      <c r="AE11" s="401">
        <f t="shared" si="4"/>
        <v>2.6246307041316821E-2</v>
      </c>
      <c r="AF11" s="380">
        <f t="shared" si="21"/>
        <v>178.13368588941728</v>
      </c>
    </row>
    <row r="12" spans="2:33" ht="15.75" thickBot="1" x14ac:dyDescent="0.3">
      <c r="B12" s="1">
        <v>114</v>
      </c>
      <c r="C12" t="s">
        <v>28</v>
      </c>
      <c r="D12" s="2"/>
      <c r="H12" s="214">
        <v>0</v>
      </c>
      <c r="I12" s="118"/>
      <c r="J12" s="389">
        <f t="shared" si="1"/>
        <v>0</v>
      </c>
      <c r="K12" s="389">
        <f t="shared" si="2"/>
        <v>0</v>
      </c>
      <c r="L12" s="389">
        <f t="shared" si="3"/>
        <v>0</v>
      </c>
      <c r="M12" s="393">
        <f t="shared" si="5"/>
        <v>0</v>
      </c>
      <c r="N12" s="393">
        <f t="shared" si="6"/>
        <v>0</v>
      </c>
      <c r="O12" s="393">
        <f t="shared" si="7"/>
        <v>0</v>
      </c>
      <c r="P12" s="393">
        <f t="shared" si="8"/>
        <v>0</v>
      </c>
      <c r="Q12" s="393">
        <f t="shared" si="9"/>
        <v>0</v>
      </c>
      <c r="R12" s="393">
        <f t="shared" si="10"/>
        <v>0</v>
      </c>
      <c r="S12" s="393">
        <f t="shared" si="11"/>
        <v>0</v>
      </c>
      <c r="T12" s="393">
        <f>K12*$T$3</f>
        <v>0</v>
      </c>
      <c r="U12" s="393">
        <f t="shared" si="12"/>
        <v>0</v>
      </c>
      <c r="V12" s="393">
        <f t="shared" si="13"/>
        <v>0</v>
      </c>
      <c r="W12" s="393">
        <f t="shared" si="14"/>
        <v>0</v>
      </c>
      <c r="X12" s="393">
        <f t="shared" si="15"/>
        <v>0</v>
      </c>
      <c r="Y12" s="393">
        <f t="shared" si="16"/>
        <v>0</v>
      </c>
      <c r="Z12" s="393">
        <f t="shared" si="17"/>
        <v>0</v>
      </c>
      <c r="AA12" s="393">
        <f t="shared" si="18"/>
        <v>0</v>
      </c>
      <c r="AB12" s="393">
        <f t="shared" si="19"/>
        <v>0</v>
      </c>
      <c r="AC12" s="393">
        <f t="shared" si="20"/>
        <v>0</v>
      </c>
      <c r="AD12" s="221"/>
      <c r="AE12" s="401">
        <f t="shared" si="4"/>
        <v>0</v>
      </c>
      <c r="AF12" s="380">
        <f t="shared" si="21"/>
        <v>0</v>
      </c>
    </row>
    <row r="13" spans="2:33" ht="15.75" thickBot="1" x14ac:dyDescent="0.3">
      <c r="B13" s="1">
        <v>222</v>
      </c>
      <c r="C13" t="s">
        <v>29</v>
      </c>
      <c r="D13" s="2"/>
      <c r="G13" s="362">
        <v>0.5</v>
      </c>
      <c r="H13" s="213">
        <v>5481</v>
      </c>
      <c r="I13" s="118"/>
      <c r="J13" s="389">
        <f t="shared" si="1"/>
        <v>3.1699119659752369E-2</v>
      </c>
      <c r="K13" s="389">
        <f t="shared" si="2"/>
        <v>2.8890597878826051E-2</v>
      </c>
      <c r="L13" s="389">
        <f t="shared" si="3"/>
        <v>1.4285714285714285E-2</v>
      </c>
      <c r="M13" s="393">
        <f t="shared" si="5"/>
        <v>317.75197546935772</v>
      </c>
      <c r="N13" s="393">
        <f t="shared" si="6"/>
        <v>77.536046687754293</v>
      </c>
      <c r="O13" s="393">
        <f t="shared" si="7"/>
        <v>77.631144046733553</v>
      </c>
      <c r="P13" s="393">
        <f t="shared" si="8"/>
        <v>15.247276556340889</v>
      </c>
      <c r="Q13" s="393">
        <f t="shared" si="9"/>
        <v>57.232274397954406</v>
      </c>
      <c r="R13" s="393">
        <f t="shared" si="10"/>
        <v>0</v>
      </c>
      <c r="S13" s="393">
        <f t="shared" si="11"/>
        <v>86.845137223751109</v>
      </c>
      <c r="T13" s="393">
        <f>K13*$T$3</f>
        <v>173.34358727295631</v>
      </c>
      <c r="U13" s="393">
        <f t="shared" si="12"/>
        <v>134.48573312593527</v>
      </c>
      <c r="V13" s="393">
        <f t="shared" si="13"/>
        <v>58.416788910986277</v>
      </c>
      <c r="W13" s="393">
        <f t="shared" si="14"/>
        <v>21.176808245179494</v>
      </c>
      <c r="X13" s="393">
        <f t="shared" si="15"/>
        <v>9.013866538193728</v>
      </c>
      <c r="Y13" s="393">
        <f t="shared" si="16"/>
        <v>36.431043925199653</v>
      </c>
      <c r="Z13" s="393">
        <f t="shared" si="17"/>
        <v>76.184506606464296</v>
      </c>
      <c r="AA13" s="393">
        <f t="shared" si="18"/>
        <v>22.101307377301929</v>
      </c>
      <c r="AB13" s="393">
        <f t="shared" si="19"/>
        <v>62.922752524608448</v>
      </c>
      <c r="AC13" s="393">
        <f t="shared" si="20"/>
        <v>134.45684252805643</v>
      </c>
      <c r="AD13" s="221"/>
      <c r="AE13" s="401">
        <f t="shared" si="4"/>
        <v>1.9124702059752394E-2</v>
      </c>
      <c r="AF13" s="380">
        <f t="shared" si="21"/>
        <v>129.7993528795395</v>
      </c>
    </row>
    <row r="14" spans="2:33" ht="15.75" thickBot="1" x14ac:dyDescent="0.3">
      <c r="B14" s="1">
        <v>223</v>
      </c>
      <c r="C14" t="s">
        <v>30</v>
      </c>
      <c r="D14" s="2"/>
      <c r="H14" s="215">
        <v>0</v>
      </c>
      <c r="I14" s="115"/>
      <c r="J14" s="389">
        <f t="shared" si="1"/>
        <v>0</v>
      </c>
      <c r="K14" s="389">
        <f t="shared" si="2"/>
        <v>0</v>
      </c>
      <c r="L14" s="389">
        <f t="shared" si="3"/>
        <v>0</v>
      </c>
      <c r="M14" s="394">
        <f t="shared" si="5"/>
        <v>0</v>
      </c>
      <c r="N14" s="394">
        <f t="shared" si="6"/>
        <v>0</v>
      </c>
      <c r="O14" s="394">
        <f t="shared" si="7"/>
        <v>0</v>
      </c>
      <c r="P14" s="394">
        <f t="shared" si="8"/>
        <v>0</v>
      </c>
      <c r="Q14" s="393">
        <f t="shared" si="9"/>
        <v>0</v>
      </c>
      <c r="R14" s="393">
        <f t="shared" si="10"/>
        <v>0</v>
      </c>
      <c r="S14" s="393">
        <f t="shared" si="11"/>
        <v>0</v>
      </c>
      <c r="T14" s="393">
        <f>K14*$T$3</f>
        <v>0</v>
      </c>
      <c r="U14" s="393">
        <f t="shared" si="12"/>
        <v>0</v>
      </c>
      <c r="V14" s="393">
        <f t="shared" si="13"/>
        <v>0</v>
      </c>
      <c r="W14" s="393">
        <f t="shared" si="14"/>
        <v>0</v>
      </c>
      <c r="X14" s="393">
        <f t="shared" si="15"/>
        <v>0</v>
      </c>
      <c r="Y14" s="393">
        <f t="shared" si="16"/>
        <v>0</v>
      </c>
      <c r="Z14" s="393">
        <f t="shared" si="17"/>
        <v>0</v>
      </c>
      <c r="AA14" s="393">
        <f t="shared" si="18"/>
        <v>0</v>
      </c>
      <c r="AB14" s="393">
        <f t="shared" si="19"/>
        <v>0</v>
      </c>
      <c r="AC14" s="393">
        <f t="shared" si="20"/>
        <v>0</v>
      </c>
      <c r="AD14" s="225"/>
      <c r="AE14" s="402">
        <f t="shared" si="4"/>
        <v>0</v>
      </c>
      <c r="AF14" s="381">
        <f t="shared" si="21"/>
        <v>0</v>
      </c>
    </row>
    <row r="15" spans="2:33" x14ac:dyDescent="0.25">
      <c r="B15" s="1">
        <v>334</v>
      </c>
      <c r="C15" s="230" t="s">
        <v>73</v>
      </c>
      <c r="D15" s="231"/>
      <c r="E15" s="230"/>
      <c r="F15" s="230"/>
      <c r="G15" s="363"/>
      <c r="H15" s="118">
        <v>0</v>
      </c>
      <c r="I15" s="118"/>
      <c r="J15" s="389">
        <f t="shared" si="1"/>
        <v>0</v>
      </c>
      <c r="K15" s="389">
        <f t="shared" si="2"/>
        <v>0</v>
      </c>
      <c r="L15" s="389">
        <f t="shared" si="3"/>
        <v>0</v>
      </c>
      <c r="M15" s="393">
        <f>J15*$M$3</f>
        <v>0</v>
      </c>
      <c r="N15" s="393">
        <f>J15*$N$3</f>
        <v>0</v>
      </c>
      <c r="O15" s="393">
        <f>J15*$O$3</f>
        <v>0</v>
      </c>
      <c r="P15" s="393">
        <f>J15*$P$3</f>
        <v>0</v>
      </c>
      <c r="Q15" s="393">
        <f t="shared" si="9"/>
        <v>0</v>
      </c>
      <c r="R15" s="393">
        <f t="shared" si="10"/>
        <v>0</v>
      </c>
      <c r="S15" s="393">
        <f t="shared" si="11"/>
        <v>0</v>
      </c>
      <c r="T15" s="393">
        <f>K15*$T$3</f>
        <v>0</v>
      </c>
      <c r="U15" s="393">
        <f t="shared" si="12"/>
        <v>0</v>
      </c>
      <c r="V15" s="393">
        <f t="shared" si="13"/>
        <v>0</v>
      </c>
      <c r="W15" s="393">
        <f t="shared" si="14"/>
        <v>0</v>
      </c>
      <c r="X15" s="393">
        <f t="shared" si="15"/>
        <v>0</v>
      </c>
      <c r="Y15" s="393">
        <f t="shared" si="16"/>
        <v>0</v>
      </c>
      <c r="Z15" s="393">
        <f t="shared" si="17"/>
        <v>0</v>
      </c>
      <c r="AA15" s="393">
        <f t="shared" si="18"/>
        <v>0</v>
      </c>
      <c r="AB15" s="393">
        <f t="shared" si="19"/>
        <v>0</v>
      </c>
      <c r="AC15" s="393">
        <f t="shared" si="20"/>
        <v>0</v>
      </c>
      <c r="AD15" s="221"/>
      <c r="AE15" s="401">
        <f t="shared" si="4"/>
        <v>0</v>
      </c>
      <c r="AF15" s="380">
        <f>AE15*$AF$3</f>
        <v>0</v>
      </c>
    </row>
    <row r="16" spans="2:33" x14ac:dyDescent="0.25">
      <c r="B16" s="1" t="s">
        <v>35</v>
      </c>
      <c r="C16" s="230" t="s">
        <v>36</v>
      </c>
      <c r="D16" s="231"/>
      <c r="E16" s="234"/>
      <c r="F16" s="234"/>
      <c r="G16" s="363">
        <v>0.5</v>
      </c>
      <c r="H16" s="118">
        <v>1725</v>
      </c>
      <c r="I16" s="318"/>
      <c r="J16" s="389">
        <f t="shared" si="1"/>
        <v>9.9764607577217373E-3</v>
      </c>
      <c r="K16" s="389">
        <f t="shared" si="2"/>
        <v>9.0925526985905746E-3</v>
      </c>
      <c r="L16" s="389">
        <f t="shared" si="3"/>
        <v>1.4285714285714285E-2</v>
      </c>
      <c r="M16" s="393">
        <f t="shared" si="5"/>
        <v>100.0040426354027</v>
      </c>
      <c r="N16" s="393">
        <f t="shared" si="6"/>
        <v>24.40242301338737</v>
      </c>
      <c r="O16" s="393">
        <f t="shared" si="7"/>
        <v>24.432352395660534</v>
      </c>
      <c r="P16" s="393">
        <f t="shared" si="8"/>
        <v>4.7986776244641556</v>
      </c>
      <c r="Q16" s="393">
        <f t="shared" si="9"/>
        <v>18.012346895907928</v>
      </c>
      <c r="R16" s="393">
        <f t="shared" si="10"/>
        <v>0</v>
      </c>
      <c r="S16" s="393">
        <f t="shared" si="11"/>
        <v>27.332213411963266</v>
      </c>
      <c r="T16" s="393">
        <f>K16*$T$3</f>
        <v>54.555316191543447</v>
      </c>
      <c r="U16" s="393">
        <f t="shared" si="12"/>
        <v>42.325832811939122</v>
      </c>
      <c r="V16" s="393">
        <f t="shared" si="13"/>
        <v>18.385141556550142</v>
      </c>
      <c r="W16" s="393">
        <f t="shared" si="14"/>
        <v>6.6648411280668913</v>
      </c>
      <c r="X16" s="393">
        <f t="shared" si="15"/>
        <v>2.8368764419602592</v>
      </c>
      <c r="Y16" s="393">
        <f t="shared" si="16"/>
        <v>11.465708952922714</v>
      </c>
      <c r="Z16" s="393">
        <f t="shared" si="17"/>
        <v>23.977061466183343</v>
      </c>
      <c r="AA16" s="393">
        <f t="shared" si="18"/>
        <v>6.9558028144217898</v>
      </c>
      <c r="AB16" s="393">
        <f t="shared" si="19"/>
        <v>19.80327460407765</v>
      </c>
      <c r="AC16" s="393">
        <f t="shared" si="20"/>
        <v>42.316740259240532</v>
      </c>
      <c r="AD16" s="221"/>
      <c r="AE16" s="401">
        <f t="shared" si="4"/>
        <v>6.0189949011262324E-3</v>
      </c>
      <c r="AF16" s="380">
        <f t="shared" si="21"/>
        <v>40.850918393943736</v>
      </c>
    </row>
    <row r="17" spans="2:32" x14ac:dyDescent="0.25">
      <c r="B17" s="1" t="s">
        <v>37</v>
      </c>
      <c r="C17" s="230" t="s">
        <v>38</v>
      </c>
      <c r="D17" s="231"/>
      <c r="E17" s="230"/>
      <c r="F17" s="230"/>
      <c r="G17" s="363"/>
      <c r="H17" s="15">
        <v>0</v>
      </c>
      <c r="I17" s="118"/>
      <c r="J17" s="389">
        <f t="shared" si="1"/>
        <v>0</v>
      </c>
      <c r="K17" s="389">
        <f t="shared" si="2"/>
        <v>0</v>
      </c>
      <c r="L17" s="389">
        <f t="shared" si="3"/>
        <v>0</v>
      </c>
      <c r="M17" s="393">
        <f t="shared" si="5"/>
        <v>0</v>
      </c>
      <c r="N17" s="393">
        <f t="shared" si="6"/>
        <v>0</v>
      </c>
      <c r="O17" s="393">
        <f t="shared" si="7"/>
        <v>0</v>
      </c>
      <c r="P17" s="393">
        <f t="shared" si="8"/>
        <v>0</v>
      </c>
      <c r="Q17" s="393">
        <f t="shared" si="9"/>
        <v>0</v>
      </c>
      <c r="R17" s="393">
        <f t="shared" si="10"/>
        <v>0</v>
      </c>
      <c r="S17" s="393">
        <f t="shared" si="11"/>
        <v>0</v>
      </c>
      <c r="T17" s="393">
        <f>K17*$T$3</f>
        <v>0</v>
      </c>
      <c r="U17" s="393">
        <f t="shared" si="12"/>
        <v>0</v>
      </c>
      <c r="V17" s="393">
        <f t="shared" si="13"/>
        <v>0</v>
      </c>
      <c r="W17" s="393">
        <f t="shared" si="14"/>
        <v>0</v>
      </c>
      <c r="X17" s="393">
        <f t="shared" si="15"/>
        <v>0</v>
      </c>
      <c r="Y17" s="393">
        <f t="shared" si="16"/>
        <v>0</v>
      </c>
      <c r="Z17" s="393">
        <f t="shared" si="17"/>
        <v>0</v>
      </c>
      <c r="AA17" s="393">
        <f t="shared" si="18"/>
        <v>0</v>
      </c>
      <c r="AB17" s="393">
        <f t="shared" si="19"/>
        <v>0</v>
      </c>
      <c r="AC17" s="393">
        <f t="shared" si="20"/>
        <v>0</v>
      </c>
      <c r="AD17" s="221"/>
      <c r="AE17" s="401">
        <f t="shared" si="4"/>
        <v>0</v>
      </c>
      <c r="AF17" s="380">
        <f t="shared" si="21"/>
        <v>0</v>
      </c>
    </row>
    <row r="18" spans="2:32" x14ac:dyDescent="0.25">
      <c r="B18" s="1">
        <v>335</v>
      </c>
      <c r="C18" s="230" t="s">
        <v>39</v>
      </c>
      <c r="D18" s="231"/>
      <c r="E18" s="230"/>
      <c r="F18" s="230"/>
      <c r="G18" s="363">
        <v>0.5</v>
      </c>
      <c r="H18" s="118">
        <v>1269</v>
      </c>
      <c r="I18" s="118"/>
      <c r="J18" s="389">
        <f t="shared" si="1"/>
        <v>7.3392050443761648E-3</v>
      </c>
      <c r="K18" s="389">
        <f t="shared" si="2"/>
        <v>6.6889561591370666E-3</v>
      </c>
      <c r="L18" s="389">
        <f t="shared" si="3"/>
        <v>1.4285714285714285E-2</v>
      </c>
      <c r="M18" s="393">
        <f t="shared" si="5"/>
        <v>73.568191364826674</v>
      </c>
      <c r="N18" s="393">
        <f t="shared" si="6"/>
        <v>17.951695538544097</v>
      </c>
      <c r="O18" s="393">
        <f t="shared" si="7"/>
        <v>17.973713153677227</v>
      </c>
      <c r="P18" s="393">
        <f t="shared" si="8"/>
        <v>3.5301576263449355</v>
      </c>
      <c r="Q18" s="393">
        <f t="shared" si="9"/>
        <v>13.25082215125053</v>
      </c>
      <c r="R18" s="393">
        <f t="shared" si="10"/>
        <v>0</v>
      </c>
      <c r="S18" s="393">
        <f t="shared" si="11"/>
        <v>20.107002214366023</v>
      </c>
      <c r="T18" s="393">
        <f>K18*$T$3</f>
        <v>40.133736954822403</v>
      </c>
      <c r="U18" s="393">
        <f t="shared" si="12"/>
        <v>31.137090920783045</v>
      </c>
      <c r="V18" s="393">
        <f t="shared" si="13"/>
        <v>13.525069353775148</v>
      </c>
      <c r="W18" s="393">
        <f t="shared" si="14"/>
        <v>4.9030048646474702</v>
      </c>
      <c r="X18" s="393">
        <f t="shared" si="15"/>
        <v>2.0869543216507647</v>
      </c>
      <c r="Y18" s="393">
        <f t="shared" si="16"/>
        <v>8.4347737166718417</v>
      </c>
      <c r="Z18" s="393">
        <f t="shared" si="17"/>
        <v>17.638777391644446</v>
      </c>
      <c r="AA18" s="393">
        <f t="shared" si="18"/>
        <v>5.1170514617398561</v>
      </c>
      <c r="AB18" s="393">
        <f t="shared" si="19"/>
        <v>14.568322013086688</v>
      </c>
      <c r="AC18" s="393">
        <f t="shared" si="20"/>
        <v>31.130401964623907</v>
      </c>
      <c r="AD18" s="221"/>
      <c r="AE18" s="401">
        <f t="shared" si="4"/>
        <v>4.4278866837850371E-3</v>
      </c>
      <c r="AF18" s="380">
        <f t="shared" si="21"/>
        <v>30.052066922849047</v>
      </c>
    </row>
    <row r="19" spans="2:32" ht="15.75" thickBot="1" x14ac:dyDescent="0.3">
      <c r="B19" s="1">
        <v>368</v>
      </c>
      <c r="C19" t="s">
        <v>40</v>
      </c>
      <c r="D19" s="2"/>
      <c r="G19" s="362">
        <v>1.5</v>
      </c>
      <c r="H19" s="214">
        <v>9028</v>
      </c>
      <c r="I19" s="118"/>
      <c r="J19" s="389">
        <f t="shared" si="1"/>
        <v>5.2213036359832952E-2</v>
      </c>
      <c r="K19" s="389">
        <f t="shared" si="2"/>
        <v>4.758699464514534E-2</v>
      </c>
      <c r="L19" s="389">
        <f t="shared" si="3"/>
        <v>4.2857142857142858E-2</v>
      </c>
      <c r="M19" s="393">
        <f>J19*$M$3</f>
        <v>523.38347647096555</v>
      </c>
      <c r="N19" s="393">
        <f>J19*$N$3</f>
        <v>127.7130869361514</v>
      </c>
      <c r="O19" s="393">
        <f>J19*$O$3</f>
        <v>127.86972604523091</v>
      </c>
      <c r="P19" s="393">
        <f>J19*$P$3</f>
        <v>25.11447048907965</v>
      </c>
      <c r="Q19" s="393">
        <f t="shared" si="9"/>
        <v>94.269836392032914</v>
      </c>
      <c r="R19" s="393">
        <f t="shared" si="10"/>
        <v>0</v>
      </c>
      <c r="S19" s="393">
        <f t="shared" si="11"/>
        <v>143.04650590330689</v>
      </c>
      <c r="T19" s="393">
        <f>K19*$T$3</f>
        <v>285.52196787087206</v>
      </c>
      <c r="U19" s="393">
        <f t="shared" si="12"/>
        <v>221.51746007315157</v>
      </c>
      <c r="V19" s="393">
        <f t="shared" si="13"/>
        <v>96.220903172483872</v>
      </c>
      <c r="W19" s="393">
        <f t="shared" si="14"/>
        <v>34.881267074891532</v>
      </c>
      <c r="X19" s="393">
        <f t="shared" si="15"/>
        <v>14.847142329285345</v>
      </c>
      <c r="Y19" s="393">
        <f t="shared" si="16"/>
        <v>60.007200247528274</v>
      </c>
      <c r="Z19" s="393">
        <f t="shared" si="17"/>
        <v>125.48690487924826</v>
      </c>
      <c r="AA19" s="393">
        <f t="shared" si="18"/>
        <v>36.404050903536188</v>
      </c>
      <c r="AB19" s="393">
        <f t="shared" si="19"/>
        <v>103.64287717426841</v>
      </c>
      <c r="AC19" s="393">
        <f t="shared" si="20"/>
        <v>221.46987307850642</v>
      </c>
      <c r="AD19" s="221"/>
      <c r="AE19" s="401">
        <f t="shared" si="4"/>
        <v>3.1501151285430504E-2</v>
      </c>
      <c r="AF19" s="380">
        <f>AE19*$AF$3</f>
        <v>213.79831377421684</v>
      </c>
    </row>
    <row r="20" spans="2:32" ht="15.75" thickBot="1" x14ac:dyDescent="0.3">
      <c r="B20" s="1">
        <v>451</v>
      </c>
      <c r="C20" s="107" t="s">
        <v>41</v>
      </c>
      <c r="D20" s="81"/>
      <c r="E20" s="107"/>
      <c r="F20" s="107"/>
      <c r="G20" s="364">
        <v>5.5</v>
      </c>
      <c r="H20" s="175">
        <v>24343</v>
      </c>
      <c r="I20" s="89"/>
      <c r="J20" s="390">
        <f t="shared" si="1"/>
        <v>0.14078665752186681</v>
      </c>
      <c r="K20" s="390">
        <f t="shared" si="2"/>
        <v>0.12831304947350167</v>
      </c>
      <c r="L20" s="391">
        <f t="shared" si="3"/>
        <v>0.15714285714285714</v>
      </c>
      <c r="M20" s="395">
        <f t="shared" si="5"/>
        <v>1411.2454549991928</v>
      </c>
      <c r="N20" s="395">
        <f t="shared" si="6"/>
        <v>344.36416429848623</v>
      </c>
      <c r="O20" s="395">
        <f t="shared" si="7"/>
        <v>344.7865242710518</v>
      </c>
      <c r="P20" s="395">
        <f t="shared" si="8"/>
        <v>67.718382268017933</v>
      </c>
      <c r="Q20" s="414">
        <f t="shared" si="9"/>
        <v>254.18815100700681</v>
      </c>
      <c r="R20" s="395">
        <f t="shared" si="10"/>
        <v>0</v>
      </c>
      <c r="S20" s="395">
        <f t="shared" si="11"/>
        <v>385.70902671734603</v>
      </c>
      <c r="T20" s="395">
        <f>K20*$T$3</f>
        <v>769.87829684100996</v>
      </c>
      <c r="U20" s="395">
        <f t="shared" si="12"/>
        <v>597.29724529915029</v>
      </c>
      <c r="V20" s="395">
        <f t="shared" si="13"/>
        <v>259.44898603542038</v>
      </c>
      <c r="W20" s="395">
        <f>K20*$W$3</f>
        <v>94.053465264076721</v>
      </c>
      <c r="X20" s="395">
        <f t="shared" si="15"/>
        <v>40.033671435732522</v>
      </c>
      <c r="Y20" s="395">
        <f t="shared" si="16"/>
        <v>161.80275538608561</v>
      </c>
      <c r="Z20" s="395">
        <f t="shared" si="17"/>
        <v>338.36151146162388</v>
      </c>
      <c r="AA20" s="395">
        <f t="shared" si="18"/>
        <v>98.159482847228773</v>
      </c>
      <c r="AB20" s="414">
        <f t="shared" si="19"/>
        <v>279.46151518090562</v>
      </c>
      <c r="AC20" s="395">
        <f t="shared" si="20"/>
        <v>597.1689322496768</v>
      </c>
      <c r="AD20" s="179"/>
      <c r="AE20" s="403">
        <f t="shared" si="4"/>
        <v>8.4939358190212103E-2</v>
      </c>
      <c r="AF20" s="382">
        <f t="shared" si="21"/>
        <v>576.4834240369695</v>
      </c>
    </row>
    <row r="21" spans="2:32" x14ac:dyDescent="0.25">
      <c r="B21" s="1">
        <v>452</v>
      </c>
      <c r="C21" t="s">
        <v>42</v>
      </c>
      <c r="D21" s="2"/>
      <c r="G21" s="362">
        <v>2</v>
      </c>
      <c r="H21" s="214">
        <v>3660</v>
      </c>
      <c r="I21" s="118"/>
      <c r="J21" s="389">
        <f t="shared" si="1"/>
        <v>2.1167447172905252E-2</v>
      </c>
      <c r="K21" s="389">
        <f t="shared" si="2"/>
        <v>1.9292024856140001E-2</v>
      </c>
      <c r="L21" s="389">
        <f t="shared" si="3"/>
        <v>5.7142857142857141E-2</v>
      </c>
      <c r="M21" s="393">
        <f t="shared" si="5"/>
        <v>212.18249046120224</v>
      </c>
      <c r="N21" s="393">
        <f t="shared" si="6"/>
        <v>51.775575784926247</v>
      </c>
      <c r="O21" s="393">
        <f t="shared" si="7"/>
        <v>51.83907812644496</v>
      </c>
      <c r="P21" s="393">
        <f t="shared" si="8"/>
        <v>10.181542090167426</v>
      </c>
      <c r="Q21" s="393">
        <f t="shared" si="9"/>
        <v>38.217501240013341</v>
      </c>
      <c r="R21" s="393">
        <f t="shared" si="10"/>
        <v>0</v>
      </c>
      <c r="S21" s="393">
        <f t="shared" si="11"/>
        <v>57.99182671755684</v>
      </c>
      <c r="T21" s="393">
        <f>K21*$T$3</f>
        <v>115.75214913684</v>
      </c>
      <c r="U21" s="393">
        <f t="shared" si="12"/>
        <v>89.804375705331708</v>
      </c>
      <c r="V21" s="393">
        <f t="shared" si="13"/>
        <v>39.008474259115083</v>
      </c>
      <c r="W21" s="393">
        <f t="shared" si="14"/>
        <v>14.14105421955062</v>
      </c>
      <c r="X21" s="393">
        <f t="shared" si="15"/>
        <v>6.0191117551156799</v>
      </c>
      <c r="Y21" s="393">
        <f t="shared" si="16"/>
        <v>24.327243343592542</v>
      </c>
      <c r="Z21" s="393">
        <f t="shared" si="17"/>
        <v>50.873069545641179</v>
      </c>
      <c r="AA21" s="393">
        <f t="shared" si="18"/>
        <v>14.7583990149471</v>
      </c>
      <c r="AB21" s="393">
        <f t="shared" si="19"/>
        <v>42.017382638216922</v>
      </c>
      <c r="AC21" s="393">
        <f t="shared" si="20"/>
        <v>89.785083680475566</v>
      </c>
      <c r="AD21" s="221"/>
      <c r="AE21" s="401">
        <f t="shared" si="4"/>
        <v>1.2770737007606963E-2</v>
      </c>
      <c r="AF21" s="380">
        <f t="shared" si="21"/>
        <v>86.674992070628463</v>
      </c>
    </row>
    <row r="22" spans="2:32" x14ac:dyDescent="0.25">
      <c r="B22" s="1">
        <v>454</v>
      </c>
      <c r="C22" t="s">
        <v>43</v>
      </c>
      <c r="D22" s="2"/>
      <c r="H22" s="214"/>
      <c r="I22" s="118"/>
      <c r="J22" s="389"/>
      <c r="K22" s="389">
        <f t="shared" si="2"/>
        <v>0</v>
      </c>
      <c r="L22" s="389">
        <f t="shared" si="3"/>
        <v>0</v>
      </c>
      <c r="M22" s="393"/>
      <c r="N22" s="393"/>
      <c r="O22" s="393"/>
      <c r="P22" s="393"/>
      <c r="Q22" s="393">
        <f t="shared" si="9"/>
        <v>0</v>
      </c>
      <c r="R22" s="393">
        <f t="shared" si="10"/>
        <v>0</v>
      </c>
      <c r="S22" s="393">
        <f t="shared" si="11"/>
        <v>0</v>
      </c>
      <c r="T22" s="393">
        <f>K22*$T$3</f>
        <v>0</v>
      </c>
      <c r="U22" s="393">
        <f t="shared" si="12"/>
        <v>0</v>
      </c>
      <c r="V22" s="393">
        <f t="shared" si="13"/>
        <v>0</v>
      </c>
      <c r="W22" s="393">
        <f t="shared" si="14"/>
        <v>0</v>
      </c>
      <c r="X22" s="393">
        <f t="shared" si="15"/>
        <v>0</v>
      </c>
      <c r="Y22" s="393">
        <f t="shared" si="16"/>
        <v>0</v>
      </c>
      <c r="Z22" s="393">
        <f t="shared" si="17"/>
        <v>0</v>
      </c>
      <c r="AA22" s="393">
        <f t="shared" si="18"/>
        <v>0</v>
      </c>
      <c r="AB22" s="393">
        <f t="shared" si="19"/>
        <v>0</v>
      </c>
      <c r="AC22" s="393">
        <f t="shared" si="20"/>
        <v>0</v>
      </c>
      <c r="AD22" s="221"/>
      <c r="AE22" s="401"/>
      <c r="AF22" s="380"/>
    </row>
    <row r="23" spans="2:32" x14ac:dyDescent="0.25">
      <c r="B23" s="1">
        <v>467</v>
      </c>
      <c r="C23" t="s">
        <v>44</v>
      </c>
      <c r="D23" s="2"/>
      <c r="G23" s="362">
        <v>2</v>
      </c>
      <c r="H23" s="214">
        <v>10250</v>
      </c>
      <c r="I23" s="118"/>
      <c r="J23" s="389">
        <f t="shared" ref="J23:J35" si="22">H23/$I$35</f>
        <v>5.9280418995158145E-2</v>
      </c>
      <c r="K23" s="389">
        <f t="shared" si="2"/>
        <v>5.4028211687277325E-2</v>
      </c>
      <c r="L23" s="389">
        <f t="shared" si="3"/>
        <v>5.7142857142857141E-2</v>
      </c>
      <c r="M23" s="393">
        <f>J23*$M$3</f>
        <v>594.2269200074652</v>
      </c>
      <c r="N23" s="393">
        <f>J23*$N$3</f>
        <v>144.99990486215682</v>
      </c>
      <c r="O23" s="393">
        <f>J23*$O$3</f>
        <v>145.17774611914228</v>
      </c>
      <c r="P23" s="393">
        <f>J23*$P$3</f>
        <v>28.513881536671068</v>
      </c>
      <c r="Q23" s="393">
        <f t="shared" si="9"/>
        <v>107.02988735249637</v>
      </c>
      <c r="R23" s="393">
        <f t="shared" si="10"/>
        <v>0</v>
      </c>
      <c r="S23" s="393">
        <f t="shared" si="11"/>
        <v>162.40880433195565</v>
      </c>
      <c r="T23" s="393">
        <f>K23*$T$3</f>
        <v>324.16927012366398</v>
      </c>
      <c r="U23" s="393">
        <f t="shared" si="12"/>
        <v>251.50132540427595</v>
      </c>
      <c r="V23" s="393">
        <f t="shared" si="13"/>
        <v>109.24504403167475</v>
      </c>
      <c r="W23" s="393">
        <f t="shared" si="14"/>
        <v>39.60267916677428</v>
      </c>
      <c r="X23" s="393">
        <f t="shared" si="15"/>
        <v>16.856802046430527</v>
      </c>
      <c r="Y23" s="393">
        <f t="shared" si="16"/>
        <v>68.129574937656713</v>
      </c>
      <c r="Z23" s="393">
        <f t="shared" si="17"/>
        <v>142.47239421935029</v>
      </c>
      <c r="AA23" s="393">
        <f t="shared" si="18"/>
        <v>41.331581940767151</v>
      </c>
      <c r="AB23" s="393">
        <f t="shared" si="19"/>
        <v>117.67163170538892</v>
      </c>
      <c r="AC23" s="393">
        <f t="shared" si="20"/>
        <v>251.44729719258868</v>
      </c>
      <c r="AD23" s="221"/>
      <c r="AE23" s="401">
        <f t="shared" ref="AE23:AE38" si="23">H23/$H$39</f>
        <v>3.5765042166112392E-2</v>
      </c>
      <c r="AF23" s="380">
        <f>AE23*$AF$3</f>
        <v>242.73734118140482</v>
      </c>
    </row>
    <row r="24" spans="2:32" x14ac:dyDescent="0.25">
      <c r="B24" s="1">
        <v>468</v>
      </c>
      <c r="C24" t="s">
        <v>45</v>
      </c>
      <c r="D24" s="2"/>
      <c r="G24" s="362">
        <v>1</v>
      </c>
      <c r="H24" s="214">
        <v>9462</v>
      </c>
      <c r="I24" s="118"/>
      <c r="J24" s="389">
        <f t="shared" si="22"/>
        <v>5.472305605192062E-2</v>
      </c>
      <c r="K24" s="389">
        <f t="shared" si="2"/>
        <v>4.98746281936603E-2</v>
      </c>
      <c r="L24" s="389">
        <f t="shared" si="3"/>
        <v>2.8571428571428571E-2</v>
      </c>
      <c r="M24" s="393">
        <f>J24*$M$3</f>
        <v>548.54391386445229</v>
      </c>
      <c r="N24" s="393">
        <f>J24*$N$3</f>
        <v>133.85259510299784</v>
      </c>
      <c r="O24" s="393">
        <f>J24*$O$3</f>
        <v>134.01676427115359</v>
      </c>
      <c r="P24" s="393">
        <f>J24*$P$3</f>
        <v>26.321789960973817</v>
      </c>
      <c r="Q24" s="393">
        <f t="shared" si="9"/>
        <v>98.801638451641054</v>
      </c>
      <c r="R24" s="393">
        <f t="shared" si="10"/>
        <v>0</v>
      </c>
      <c r="S24" s="393">
        <f t="shared" si="11"/>
        <v>149.92313235014285</v>
      </c>
      <c r="T24" s="393">
        <f>K24*$T$3</f>
        <v>299.2477691619618</v>
      </c>
      <c r="U24" s="393">
        <f t="shared" si="12"/>
        <v>232.16639424148869</v>
      </c>
      <c r="V24" s="393">
        <f t="shared" si="13"/>
        <v>100.84649820758112</v>
      </c>
      <c r="W24" s="393">
        <f t="shared" si="14"/>
        <v>36.558102465952999</v>
      </c>
      <c r="X24" s="393">
        <f t="shared" si="15"/>
        <v>15.560883996422014</v>
      </c>
      <c r="Y24" s="393">
        <f t="shared" si="16"/>
        <v>62.891906152205635</v>
      </c>
      <c r="Z24" s="393">
        <f t="shared" si="17"/>
        <v>131.51939454668221</v>
      </c>
      <c r="AA24" s="393">
        <f t="shared" si="18"/>
        <v>38.154090568150131</v>
      </c>
      <c r="AB24" s="393">
        <f t="shared" si="19"/>
        <v>108.62526626306243</v>
      </c>
      <c r="AC24" s="393">
        <f t="shared" si="20"/>
        <v>232.11651961329503</v>
      </c>
      <c r="AD24" s="221"/>
      <c r="AE24" s="401">
        <f t="shared" si="23"/>
        <v>3.3015495509829802E-2</v>
      </c>
      <c r="AF24" s="380">
        <f>AE24*$AF$3</f>
        <v>224.07616802521486</v>
      </c>
    </row>
    <row r="25" spans="2:32" x14ac:dyDescent="0.25">
      <c r="B25" s="1">
        <v>502</v>
      </c>
      <c r="C25" t="s">
        <v>46</v>
      </c>
      <c r="D25" s="2"/>
      <c r="G25" s="362">
        <v>1.5</v>
      </c>
      <c r="H25" s="214">
        <v>2518</v>
      </c>
      <c r="I25" s="118"/>
      <c r="J25" s="389">
        <f t="shared" si="22"/>
        <v>1.4562740978517874E-2</v>
      </c>
      <c r="K25" s="389">
        <f t="shared" si="2"/>
        <v>1.3272491417420908E-2</v>
      </c>
      <c r="L25" s="389">
        <f t="shared" si="3"/>
        <v>4.2857142857142858E-2</v>
      </c>
      <c r="M25" s="393">
        <f t="shared" si="5"/>
        <v>145.97691556866317</v>
      </c>
      <c r="N25" s="393">
        <f t="shared" si="6"/>
        <v>35.620464433454721</v>
      </c>
      <c r="O25" s="393">
        <f t="shared" si="7"/>
        <v>35.664152656390272</v>
      </c>
      <c r="P25" s="393">
        <f t="shared" si="8"/>
        <v>7.004678410667097</v>
      </c>
      <c r="Q25" s="393">
        <f t="shared" si="9"/>
        <v>26.29280549791082</v>
      </c>
      <c r="R25" s="393">
        <f t="shared" si="10"/>
        <v>0</v>
      </c>
      <c r="S25" s="393">
        <f t="shared" si="11"/>
        <v>39.897109200767247</v>
      </c>
      <c r="T25" s="393">
        <f>K25*$T$3</f>
        <v>79.63494850452544</v>
      </c>
      <c r="U25" s="393">
        <f t="shared" si="12"/>
        <v>61.783447548094323</v>
      </c>
      <c r="V25" s="393">
        <f t="shared" si="13"/>
        <v>26.836977646025076</v>
      </c>
      <c r="W25" s="393">
        <f t="shared" si="14"/>
        <v>9.7287362089695257</v>
      </c>
      <c r="X25" s="393">
        <f t="shared" si="15"/>
        <v>4.1410173222353235</v>
      </c>
      <c r="Y25" s="393">
        <f t="shared" si="16"/>
        <v>16.736611677367765</v>
      </c>
      <c r="Z25" s="393">
        <f t="shared" si="17"/>
        <v>34.999559867738931</v>
      </c>
      <c r="AA25" s="393">
        <f t="shared" si="18"/>
        <v>10.153455934326994</v>
      </c>
      <c r="AB25" s="393">
        <f t="shared" si="19"/>
        <v>28.907040842357979</v>
      </c>
      <c r="AC25" s="393">
        <f t="shared" si="20"/>
        <v>61.770175056676905</v>
      </c>
      <c r="AD25" s="221"/>
      <c r="AE25" s="401">
        <f t="shared" si="23"/>
        <v>8.7859879194410739E-3</v>
      </c>
      <c r="AF25" s="380">
        <f t="shared" si="21"/>
        <v>59.630500009246568</v>
      </c>
    </row>
    <row r="26" spans="2:32" x14ac:dyDescent="0.25">
      <c r="B26" s="1">
        <v>515</v>
      </c>
      <c r="C26" t="s">
        <v>47</v>
      </c>
      <c r="D26" s="2"/>
      <c r="G26" s="362">
        <v>1.5</v>
      </c>
      <c r="H26" s="214">
        <v>2596</v>
      </c>
      <c r="I26" s="118"/>
      <c r="J26" s="389">
        <f t="shared" si="22"/>
        <v>1.5013850508432248E-2</v>
      </c>
      <c r="K26" s="389">
        <f t="shared" si="2"/>
        <v>1.3683632930748483E-2</v>
      </c>
      <c r="L26" s="389">
        <f t="shared" si="3"/>
        <v>4.2857142857142858E-2</v>
      </c>
      <c r="M26" s="393">
        <f t="shared" si="5"/>
        <v>150.49883749652486</v>
      </c>
      <c r="N26" s="393">
        <f t="shared" si="6"/>
        <v>36.72387834362528</v>
      </c>
      <c r="O26" s="393">
        <f t="shared" si="7"/>
        <v>36.768919895150574</v>
      </c>
      <c r="P26" s="393">
        <f t="shared" si="8"/>
        <v>7.2216620945559118</v>
      </c>
      <c r="Q26" s="393">
        <f t="shared" si="9"/>
        <v>27.107276835812744</v>
      </c>
      <c r="R26" s="393">
        <f t="shared" si="10"/>
        <v>0</v>
      </c>
      <c r="S26" s="393">
        <f t="shared" si="11"/>
        <v>41.13300058982994</v>
      </c>
      <c r="T26" s="393">
        <f>K26*$T$3</f>
        <v>82.101797584490896</v>
      </c>
      <c r="U26" s="393">
        <f t="shared" si="12"/>
        <v>63.69731129263419</v>
      </c>
      <c r="V26" s="393">
        <f t="shared" si="13"/>
        <v>27.668305785973434</v>
      </c>
      <c r="W26" s="393">
        <f t="shared" si="14"/>
        <v>10.030102938238638</v>
      </c>
      <c r="X26" s="393">
        <f t="shared" si="15"/>
        <v>4.2692934743935265</v>
      </c>
      <c r="Y26" s="393">
        <f t="shared" si="16"/>
        <v>17.255061125673837</v>
      </c>
      <c r="Z26" s="393">
        <f t="shared" si="17"/>
        <v>36.083740038383752</v>
      </c>
      <c r="AA26" s="393">
        <f t="shared" si="18"/>
        <v>10.46797919202259</v>
      </c>
      <c r="AB26" s="393">
        <f t="shared" si="19"/>
        <v>29.802493259238013</v>
      </c>
      <c r="AC26" s="393">
        <f t="shared" si="20"/>
        <v>63.68362765970344</v>
      </c>
      <c r="AD26" s="221"/>
      <c r="AE26" s="401">
        <f t="shared" si="23"/>
        <v>9.0581511671441739E-3</v>
      </c>
      <c r="AF26" s="380">
        <f t="shared" si="21"/>
        <v>61.47767197140751</v>
      </c>
    </row>
    <row r="27" spans="2:32" x14ac:dyDescent="0.25">
      <c r="B27" s="1">
        <v>525</v>
      </c>
      <c r="C27" t="s">
        <v>48</v>
      </c>
      <c r="D27" s="2"/>
      <c r="G27" s="362">
        <v>1</v>
      </c>
      <c r="H27" s="214">
        <v>4350</v>
      </c>
      <c r="I27" s="118"/>
      <c r="J27" s="389">
        <f t="shared" si="22"/>
        <v>2.5158031475993946E-2</v>
      </c>
      <c r="K27" s="389">
        <f t="shared" si="2"/>
        <v>2.2929045935576233E-2</v>
      </c>
      <c r="L27" s="389">
        <f t="shared" si="3"/>
        <v>2.8571428571428571E-2</v>
      </c>
      <c r="M27" s="393">
        <f t="shared" si="5"/>
        <v>252.18410751536331</v>
      </c>
      <c r="N27" s="393">
        <f t="shared" si="6"/>
        <v>61.536544990281193</v>
      </c>
      <c r="O27" s="393">
        <f t="shared" si="7"/>
        <v>61.612019084709175</v>
      </c>
      <c r="P27" s="393">
        <f t="shared" si="8"/>
        <v>12.101013139953089</v>
      </c>
      <c r="Q27" s="393">
        <f t="shared" si="9"/>
        <v>45.422439998376518</v>
      </c>
      <c r="R27" s="393">
        <f t="shared" si="10"/>
        <v>0</v>
      </c>
      <c r="S27" s="393">
        <f t="shared" si="11"/>
        <v>68.924712082342154</v>
      </c>
      <c r="T27" s="393">
        <f>K27*$T$3</f>
        <v>137.57427561345739</v>
      </c>
      <c r="U27" s="393">
        <f t="shared" si="12"/>
        <v>106.73470883010737</v>
      </c>
      <c r="V27" s="393">
        <f t="shared" si="13"/>
        <v>46.362530881735147</v>
      </c>
      <c r="W27" s="393">
        <f t="shared" si="14"/>
        <v>16.806990670777378</v>
      </c>
      <c r="X27" s="393">
        <f t="shared" si="15"/>
        <v>7.1538623318997852</v>
      </c>
      <c r="Y27" s="393">
        <f t="shared" si="16"/>
        <v>28.91352692476163</v>
      </c>
      <c r="Z27" s="393">
        <f t="shared" si="17"/>
        <v>60.463894132114525</v>
      </c>
      <c r="AA27" s="393">
        <f t="shared" si="18"/>
        <v>17.54072014071582</v>
      </c>
      <c r="AB27" s="393">
        <f t="shared" si="19"/>
        <v>49.938692479847987</v>
      </c>
      <c r="AC27" s="393">
        <f t="shared" si="20"/>
        <v>106.7117797841718</v>
      </c>
      <c r="AD27" s="221"/>
      <c r="AE27" s="401">
        <f t="shared" si="23"/>
        <v>1.5178334968057455E-2</v>
      </c>
      <c r="AF27" s="380">
        <f t="shared" si="21"/>
        <v>103.01535942820595</v>
      </c>
    </row>
    <row r="28" spans="2:32" x14ac:dyDescent="0.25">
      <c r="B28" s="1">
        <v>560</v>
      </c>
      <c r="C28" t="s">
        <v>49</v>
      </c>
      <c r="D28" s="2"/>
      <c r="H28" s="214">
        <v>0</v>
      </c>
      <c r="I28" s="118"/>
      <c r="J28" s="389">
        <f t="shared" si="22"/>
        <v>0</v>
      </c>
      <c r="K28" s="389">
        <f t="shared" si="2"/>
        <v>0</v>
      </c>
      <c r="L28" s="389">
        <f t="shared" si="3"/>
        <v>0</v>
      </c>
      <c r="M28" s="393">
        <f t="shared" si="5"/>
        <v>0</v>
      </c>
      <c r="N28" s="393">
        <f t="shared" si="6"/>
        <v>0</v>
      </c>
      <c r="O28" s="393">
        <f t="shared" si="7"/>
        <v>0</v>
      </c>
      <c r="P28" s="393">
        <f t="shared" si="8"/>
        <v>0</v>
      </c>
      <c r="Q28" s="393">
        <f t="shared" si="9"/>
        <v>0</v>
      </c>
      <c r="R28" s="393">
        <f t="shared" si="10"/>
        <v>0</v>
      </c>
      <c r="S28" s="393">
        <f t="shared" si="11"/>
        <v>0</v>
      </c>
      <c r="T28" s="393">
        <f>K28*$T$3</f>
        <v>0</v>
      </c>
      <c r="U28" s="393">
        <f t="shared" si="12"/>
        <v>0</v>
      </c>
      <c r="V28" s="393">
        <f t="shared" si="13"/>
        <v>0</v>
      </c>
      <c r="W28" s="393">
        <f t="shared" si="14"/>
        <v>0</v>
      </c>
      <c r="X28" s="393">
        <f t="shared" si="15"/>
        <v>0</v>
      </c>
      <c r="Y28" s="393">
        <f t="shared" si="16"/>
        <v>0</v>
      </c>
      <c r="Z28" s="393">
        <f t="shared" si="17"/>
        <v>0</v>
      </c>
      <c r="AA28" s="393">
        <f t="shared" si="18"/>
        <v>0</v>
      </c>
      <c r="AB28" s="393">
        <f t="shared" si="19"/>
        <v>0</v>
      </c>
      <c r="AC28" s="393">
        <f t="shared" si="20"/>
        <v>0</v>
      </c>
      <c r="AD28" s="221"/>
      <c r="AE28" s="401">
        <f t="shared" si="23"/>
        <v>0</v>
      </c>
      <c r="AF28" s="380">
        <f t="shared" si="21"/>
        <v>0</v>
      </c>
    </row>
    <row r="29" spans="2:32" x14ac:dyDescent="0.25">
      <c r="B29" s="1">
        <v>561</v>
      </c>
      <c r="C29" t="s">
        <v>50</v>
      </c>
      <c r="D29" s="2"/>
      <c r="G29" s="362">
        <v>1</v>
      </c>
      <c r="H29" s="214">
        <v>6577</v>
      </c>
      <c r="I29" s="118"/>
      <c r="J29" s="389">
        <f t="shared" si="22"/>
        <v>3.8037786900600501E-2</v>
      </c>
      <c r="K29" s="389">
        <f t="shared" si="2"/>
        <v>3.4667663245582729E-2</v>
      </c>
      <c r="L29" s="389">
        <f t="shared" si="3"/>
        <v>2.8571428571428571E-2</v>
      </c>
      <c r="M29" s="393">
        <f t="shared" si="5"/>
        <v>381.29077589161943</v>
      </c>
      <c r="N29" s="393">
        <f t="shared" si="6"/>
        <v>93.040426758868819</v>
      </c>
      <c r="O29" s="393">
        <f t="shared" si="7"/>
        <v>93.154540119570626</v>
      </c>
      <c r="P29" s="393">
        <f t="shared" si="8"/>
        <v>18.296175499188841</v>
      </c>
      <c r="Q29" s="393">
        <f t="shared" si="9"/>
        <v>68.676640889499382</v>
      </c>
      <c r="R29" s="393">
        <f t="shared" si="10"/>
        <v>0</v>
      </c>
      <c r="S29" s="393">
        <f t="shared" si="11"/>
        <v>104.21099571622169</v>
      </c>
      <c r="T29" s="393">
        <f>K29*$T$3</f>
        <v>208.00597947349638</v>
      </c>
      <c r="U29" s="393">
        <f t="shared" si="12"/>
        <v>161.37797240818762</v>
      </c>
      <c r="V29" s="393">
        <f t="shared" si="13"/>
        <v>70.098015082568281</v>
      </c>
      <c r="W29" s="393">
        <f t="shared" si="14"/>
        <v>25.411397159012139</v>
      </c>
      <c r="X29" s="393">
        <f t="shared" si="15"/>
        <v>10.816310932621812</v>
      </c>
      <c r="Y29" s="393">
        <f t="shared" si="16"/>
        <v>43.715923352679823</v>
      </c>
      <c r="Z29" s="393">
        <f t="shared" si="17"/>
        <v>91.418627978601663</v>
      </c>
      <c r="AA29" s="393">
        <f t="shared" si="18"/>
        <v>26.520762382870789</v>
      </c>
      <c r="AB29" s="393">
        <f t="shared" si="19"/>
        <v>75.505006997691993</v>
      </c>
      <c r="AC29" s="393">
        <f t="shared" si="20"/>
        <v>161.34330474494203</v>
      </c>
      <c r="AD29" s="221"/>
      <c r="AE29" s="401">
        <f t="shared" si="23"/>
        <v>2.2948944617221582E-2</v>
      </c>
      <c r="AF29" s="380">
        <f t="shared" si="21"/>
        <v>155.75448711708287</v>
      </c>
    </row>
    <row r="30" spans="2:32" x14ac:dyDescent="0.25">
      <c r="B30" s="1">
        <v>563</v>
      </c>
      <c r="C30" t="s">
        <v>51</v>
      </c>
      <c r="D30" s="2"/>
      <c r="G30" s="362">
        <v>1</v>
      </c>
      <c r="H30" s="214">
        <v>4490</v>
      </c>
      <c r="I30" s="118"/>
      <c r="J30" s="389">
        <f t="shared" si="22"/>
        <v>2.596771524763513E-2</v>
      </c>
      <c r="K30" s="389">
        <f t="shared" si="2"/>
        <v>2.36669922415488E-2</v>
      </c>
      <c r="L30" s="389">
        <f t="shared" si="3"/>
        <v>2.8571428571428571E-2</v>
      </c>
      <c r="M30" s="393">
        <f t="shared" si="5"/>
        <v>260.30037764229456</v>
      </c>
      <c r="N30" s="393">
        <f t="shared" si="6"/>
        <v>63.517031495715528</v>
      </c>
      <c r="O30" s="393">
        <f t="shared" si="7"/>
        <v>63.594934641458437</v>
      </c>
      <c r="P30" s="393">
        <f t="shared" si="8"/>
        <v>12.490471034112497</v>
      </c>
      <c r="Q30" s="393">
        <f t="shared" si="9"/>
        <v>46.884311630508172</v>
      </c>
      <c r="R30" s="393">
        <f t="shared" si="10"/>
        <v>0</v>
      </c>
      <c r="S30" s="393">
        <f t="shared" si="11"/>
        <v>71.142978678095687</v>
      </c>
      <c r="T30" s="393">
        <f>K30*$T$3</f>
        <v>142.00195344929278</v>
      </c>
      <c r="U30" s="393">
        <f t="shared" si="12"/>
        <v>110.16984888440966</v>
      </c>
      <c r="V30" s="393">
        <f t="shared" si="13"/>
        <v>47.854658312411672</v>
      </c>
      <c r="W30" s="393">
        <f t="shared" si="14"/>
        <v>17.347905313055271</v>
      </c>
      <c r="X30" s="393">
        <f t="shared" si="15"/>
        <v>7.3841015793632252</v>
      </c>
      <c r="Y30" s="393">
        <f t="shared" si="16"/>
        <v>29.844077216593035</v>
      </c>
      <c r="Z30" s="393">
        <f t="shared" si="17"/>
        <v>62.409858540964187</v>
      </c>
      <c r="AA30" s="393">
        <f t="shared" si="18"/>
        <v>18.105249064784832</v>
      </c>
      <c r="AB30" s="393">
        <f t="shared" si="19"/>
        <v>51.545914766555732</v>
      </c>
      <c r="AC30" s="393">
        <f t="shared" si="20"/>
        <v>110.14618189216812</v>
      </c>
      <c r="AD30" s="221"/>
      <c r="AE30" s="401">
        <f t="shared" si="23"/>
        <v>1.5666833104960455E-2</v>
      </c>
      <c r="AF30" s="380">
        <f t="shared" si="21"/>
        <v>106.33079628336661</v>
      </c>
    </row>
    <row r="31" spans="2:32" x14ac:dyDescent="0.25">
      <c r="B31" s="1">
        <v>610</v>
      </c>
      <c r="C31" t="s">
        <v>53</v>
      </c>
      <c r="D31" s="2"/>
      <c r="G31" s="362">
        <v>1</v>
      </c>
      <c r="H31" s="214">
        <v>17885</v>
      </c>
      <c r="I31" s="118"/>
      <c r="J31" s="389">
        <f t="shared" si="22"/>
        <v>0.10343710182716132</v>
      </c>
      <c r="K31" s="391">
        <f t="shared" si="2"/>
        <v>9.4272640587995615E-2</v>
      </c>
      <c r="L31" s="389">
        <f t="shared" si="3"/>
        <v>2.8571428571428571E-2</v>
      </c>
      <c r="M31" s="393">
        <f t="shared" si="5"/>
        <v>1036.8535087154651</v>
      </c>
      <c r="N31" s="393">
        <f t="shared" si="6"/>
        <v>253.00715106923658</v>
      </c>
      <c r="O31" s="393">
        <f t="shared" si="7"/>
        <v>253.31746237471805</v>
      </c>
      <c r="P31" s="393">
        <f t="shared" si="8"/>
        <v>49.753245978864591</v>
      </c>
      <c r="Q31" s="393">
        <f t="shared" si="9"/>
        <v>186.75410100481932</v>
      </c>
      <c r="R31" s="393">
        <f t="shared" si="10"/>
        <v>0</v>
      </c>
      <c r="S31" s="393">
        <f t="shared" si="11"/>
        <v>283.38355760751483</v>
      </c>
      <c r="T31" s="393">
        <f>K31*$T$3</f>
        <v>565.63584352797375</v>
      </c>
      <c r="U31" s="393">
        <f t="shared" si="12"/>
        <v>438.83914193711956</v>
      </c>
      <c r="V31" s="393">
        <f t="shared" si="13"/>
        <v>190.61927926892713</v>
      </c>
      <c r="W31" s="393">
        <f t="shared" si="14"/>
        <v>69.101845551000793</v>
      </c>
      <c r="X31" s="393">
        <f t="shared" si="15"/>
        <v>29.413063863454632</v>
      </c>
      <c r="Y31" s="393">
        <f t="shared" si="16"/>
        <v>118.87779978146247</v>
      </c>
      <c r="Z31" s="393">
        <f t="shared" si="17"/>
        <v>248.59695323054444</v>
      </c>
      <c r="AA31" s="393">
        <f t="shared" si="18"/>
        <v>72.11857004981664</v>
      </c>
      <c r="AB31" s="393">
        <f t="shared" si="19"/>
        <v>205.3226471269152</v>
      </c>
      <c r="AC31" s="393">
        <f t="shared" si="20"/>
        <v>438.74486929653159</v>
      </c>
      <c r="AD31" s="221"/>
      <c r="AE31" s="401">
        <f t="shared" si="23"/>
        <v>6.2405636989358068E-2</v>
      </c>
      <c r="AF31" s="380">
        <f t="shared" si="21"/>
        <v>423.54705824677319</v>
      </c>
    </row>
    <row r="32" spans="2:32" x14ac:dyDescent="0.25">
      <c r="B32" s="1">
        <v>620</v>
      </c>
      <c r="C32" t="s">
        <v>54</v>
      </c>
      <c r="D32" s="2"/>
      <c r="G32" s="362">
        <v>1</v>
      </c>
      <c r="H32" s="214">
        <v>8020</v>
      </c>
      <c r="I32" s="118"/>
      <c r="J32" s="389">
        <f t="shared" si="22"/>
        <v>4.6383313204016424E-2</v>
      </c>
      <c r="K32" s="389">
        <f t="shared" si="2"/>
        <v>4.2273781242142844E-2</v>
      </c>
      <c r="L32" s="389">
        <f t="shared" si="3"/>
        <v>2.8571428571428571E-2</v>
      </c>
      <c r="M32" s="393">
        <f t="shared" si="5"/>
        <v>464.94633155706066</v>
      </c>
      <c r="N32" s="393">
        <f t="shared" si="6"/>
        <v>113.45358409702418</v>
      </c>
      <c r="O32" s="393">
        <f t="shared" si="7"/>
        <v>113.59273403663622</v>
      </c>
      <c r="P32" s="393">
        <f t="shared" si="8"/>
        <v>22.310373651131901</v>
      </c>
      <c r="Q32" s="393">
        <f t="shared" si="9"/>
        <v>83.744360640684974</v>
      </c>
      <c r="R32" s="393">
        <f t="shared" si="10"/>
        <v>0</v>
      </c>
      <c r="S32" s="393">
        <f t="shared" si="11"/>
        <v>127.07498641388139</v>
      </c>
      <c r="T32" s="393">
        <f>K32*$T$3</f>
        <v>253.64268745285707</v>
      </c>
      <c r="U32" s="393">
        <f t="shared" si="12"/>
        <v>196.78445168217493</v>
      </c>
      <c r="V32" s="393">
        <f t="shared" si="13"/>
        <v>85.477585671612829</v>
      </c>
      <c r="W32" s="393">
        <f t="shared" si="14"/>
        <v>30.986681650490706</v>
      </c>
      <c r="X32" s="393">
        <f t="shared" si="15"/>
        <v>13.189419747548568</v>
      </c>
      <c r="Y32" s="393">
        <f t="shared" si="16"/>
        <v>53.307238146342129</v>
      </c>
      <c r="Z32" s="393">
        <f t="shared" si="17"/>
        <v>111.47596113553068</v>
      </c>
      <c r="AA32" s="393">
        <f t="shared" si="18"/>
        <v>32.339442650239278</v>
      </c>
      <c r="AB32" s="393">
        <f t="shared" si="19"/>
        <v>92.070876709972609</v>
      </c>
      <c r="AC32" s="393">
        <f t="shared" si="20"/>
        <v>196.7421779009328</v>
      </c>
      <c r="AD32" s="221"/>
      <c r="AE32" s="401">
        <f t="shared" si="23"/>
        <v>2.7983964699728917E-2</v>
      </c>
      <c r="AF32" s="380">
        <f t="shared" si="21"/>
        <v>189.92716841706016</v>
      </c>
    </row>
    <row r="33" spans="2:36" x14ac:dyDescent="0.25">
      <c r="B33" s="1">
        <v>630</v>
      </c>
      <c r="C33" t="s">
        <v>55</v>
      </c>
      <c r="D33" s="2"/>
      <c r="G33" s="362">
        <v>1</v>
      </c>
      <c r="H33" s="214">
        <v>0</v>
      </c>
      <c r="I33" s="118"/>
      <c r="J33" s="389">
        <f t="shared" si="22"/>
        <v>0</v>
      </c>
      <c r="K33" s="389">
        <f t="shared" si="2"/>
        <v>0</v>
      </c>
      <c r="L33" s="389">
        <f t="shared" si="3"/>
        <v>2.8571428571428571E-2</v>
      </c>
      <c r="M33" s="393">
        <f t="shared" si="5"/>
        <v>0</v>
      </c>
      <c r="N33" s="393">
        <f t="shared" si="6"/>
        <v>0</v>
      </c>
      <c r="O33" s="393">
        <f t="shared" si="7"/>
        <v>0</v>
      </c>
      <c r="P33" s="393">
        <f t="shared" si="8"/>
        <v>0</v>
      </c>
      <c r="Q33" s="393">
        <f t="shared" si="9"/>
        <v>0</v>
      </c>
      <c r="R33" s="393">
        <f t="shared" si="10"/>
        <v>0</v>
      </c>
      <c r="S33" s="393">
        <f t="shared" si="11"/>
        <v>0</v>
      </c>
      <c r="T33" s="393">
        <f>K33*$T$3</f>
        <v>0</v>
      </c>
      <c r="U33" s="393">
        <f t="shared" si="12"/>
        <v>0</v>
      </c>
      <c r="V33" s="393">
        <f t="shared" si="13"/>
        <v>0</v>
      </c>
      <c r="W33" s="393">
        <f t="shared" si="14"/>
        <v>0</v>
      </c>
      <c r="X33" s="393">
        <f t="shared" si="15"/>
        <v>0</v>
      </c>
      <c r="Y33" s="393">
        <f t="shared" si="16"/>
        <v>0</v>
      </c>
      <c r="Z33" s="393">
        <f t="shared" si="17"/>
        <v>0</v>
      </c>
      <c r="AA33" s="393">
        <f t="shared" si="18"/>
        <v>0</v>
      </c>
      <c r="AB33" s="393">
        <f t="shared" si="19"/>
        <v>0</v>
      </c>
      <c r="AC33" s="393">
        <f t="shared" si="20"/>
        <v>0</v>
      </c>
      <c r="AD33" s="221"/>
      <c r="AE33" s="401">
        <f t="shared" si="23"/>
        <v>0</v>
      </c>
      <c r="AF33" s="380">
        <f t="shared" si="21"/>
        <v>0</v>
      </c>
    </row>
    <row r="34" spans="2:36" x14ac:dyDescent="0.25">
      <c r="B34" s="1">
        <v>650</v>
      </c>
      <c r="C34" t="s">
        <v>56</v>
      </c>
      <c r="D34" s="2"/>
      <c r="H34" s="214">
        <v>449</v>
      </c>
      <c r="I34" s="319"/>
      <c r="J34" s="389">
        <f t="shared" si="22"/>
        <v>2.5967715247635129E-3</v>
      </c>
      <c r="K34" s="389">
        <f t="shared" si="2"/>
        <v>2.3666992241548799E-3</v>
      </c>
      <c r="L34" s="389">
        <f t="shared" si="3"/>
        <v>0</v>
      </c>
      <c r="M34" s="393">
        <f t="shared" si="5"/>
        <v>26.030037764229455</v>
      </c>
      <c r="N34" s="393">
        <f t="shared" si="6"/>
        <v>6.351703149571553</v>
      </c>
      <c r="O34" s="393">
        <f t="shared" si="7"/>
        <v>6.3594934641458432</v>
      </c>
      <c r="P34" s="393">
        <f t="shared" si="8"/>
        <v>1.2490471034112498</v>
      </c>
      <c r="Q34" s="393">
        <f t="shared" si="9"/>
        <v>4.6884311630508169</v>
      </c>
      <c r="R34" s="393">
        <f t="shared" si="10"/>
        <v>0</v>
      </c>
      <c r="S34" s="393">
        <f t="shared" si="11"/>
        <v>7.1142978678095687</v>
      </c>
      <c r="T34" s="393">
        <f>K34*$T$3</f>
        <v>14.200195344929279</v>
      </c>
      <c r="U34" s="393">
        <f t="shared" si="12"/>
        <v>11.016984888440966</v>
      </c>
      <c r="V34" s="393">
        <f t="shared" si="13"/>
        <v>4.7854658312411669</v>
      </c>
      <c r="W34" s="393">
        <f t="shared" si="14"/>
        <v>1.734790531305527</v>
      </c>
      <c r="X34" s="393">
        <f t="shared" si="15"/>
        <v>0.73841015793632248</v>
      </c>
      <c r="Y34" s="393">
        <f t="shared" si="16"/>
        <v>2.9844077216593035</v>
      </c>
      <c r="Z34" s="393">
        <f t="shared" si="17"/>
        <v>6.2409858540964178</v>
      </c>
      <c r="AA34" s="393">
        <f t="shared" si="18"/>
        <v>1.8105249064784832</v>
      </c>
      <c r="AB34" s="393">
        <f t="shared" si="19"/>
        <v>5.1545914766555727</v>
      </c>
      <c r="AC34" s="393">
        <f t="shared" si="20"/>
        <v>11.014618189216812</v>
      </c>
      <c r="AD34" s="221"/>
      <c r="AE34" s="401">
        <f t="shared" si="23"/>
        <v>1.5666833104960455E-3</v>
      </c>
      <c r="AF34" s="380">
        <f t="shared" si="21"/>
        <v>10.633079628336661</v>
      </c>
    </row>
    <row r="35" spans="2:36" x14ac:dyDescent="0.25">
      <c r="B35" s="1">
        <v>600</v>
      </c>
      <c r="C35" t="s">
        <v>57</v>
      </c>
      <c r="D35" s="2"/>
      <c r="H35" s="214">
        <v>0.01</v>
      </c>
      <c r="I35" s="118">
        <f>SUM(H6:H35)</f>
        <v>172907.01</v>
      </c>
      <c r="J35" s="389">
        <f t="shared" si="22"/>
        <v>5.7834555117227463E-8</v>
      </c>
      <c r="K35" s="389">
        <f t="shared" si="2"/>
        <v>5.2710450426612026E-8</v>
      </c>
      <c r="L35" s="389">
        <f t="shared" si="3"/>
        <v>0</v>
      </c>
      <c r="M35" s="393">
        <f t="shared" si="5"/>
        <v>5.7973358049508812E-4</v>
      </c>
      <c r="N35" s="393">
        <f t="shared" si="6"/>
        <v>1.4146332181673836E-4</v>
      </c>
      <c r="O35" s="393">
        <f t="shared" si="7"/>
        <v>1.4163682548209004E-4</v>
      </c>
      <c r="P35" s="393">
        <f t="shared" si="8"/>
        <v>2.7818421011386408E-5</v>
      </c>
      <c r="Q35" s="393">
        <f t="shared" si="9"/>
        <v>1.0441940229511842E-4</v>
      </c>
      <c r="R35" s="393">
        <f t="shared" si="10"/>
        <v>0</v>
      </c>
      <c r="S35" s="393">
        <f t="shared" si="11"/>
        <v>1.5844761398239575E-4</v>
      </c>
      <c r="T35" s="393">
        <f>K35*$T$3</f>
        <v>3.1626270255967216E-4</v>
      </c>
      <c r="U35" s="393">
        <f t="shared" si="12"/>
        <v>2.4536714673587901E-4</v>
      </c>
      <c r="V35" s="393">
        <f t="shared" si="13"/>
        <v>1.0658053076260952E-4</v>
      </c>
      <c r="W35" s="393">
        <f t="shared" si="14"/>
        <v>3.8636760162706613E-5</v>
      </c>
      <c r="X35" s="393">
        <f t="shared" si="15"/>
        <v>1.6445660533102952E-5</v>
      </c>
      <c r="Y35" s="393">
        <f t="shared" si="16"/>
        <v>6.6467877987957767E-5</v>
      </c>
      <c r="Z35" s="393">
        <f t="shared" si="17"/>
        <v>1.3899745777497591E-4</v>
      </c>
      <c r="AA35" s="393">
        <f t="shared" si="18"/>
        <v>4.03234945763582E-5</v>
      </c>
      <c r="AB35" s="393">
        <f t="shared" si="19"/>
        <v>1.1480159190769651E-4</v>
      </c>
      <c r="AC35" s="393">
        <f t="shared" si="20"/>
        <v>2.4531443628545238E-4</v>
      </c>
      <c r="AD35" s="221"/>
      <c r="AE35" s="401">
        <f t="shared" si="23"/>
        <v>3.4892724064499896E-8</v>
      </c>
      <c r="AF35" s="380">
        <f t="shared" si="21"/>
        <v>2.368169182257608E-4</v>
      </c>
    </row>
    <row r="36" spans="2:36" x14ac:dyDescent="0.25">
      <c r="B36" s="1">
        <v>339</v>
      </c>
      <c r="C36" t="s">
        <v>58</v>
      </c>
      <c r="D36" s="2"/>
      <c r="G36" s="362">
        <v>1.5</v>
      </c>
      <c r="H36" s="319">
        <f>I56</f>
        <v>10470.69</v>
      </c>
      <c r="I36" s="118"/>
      <c r="J36" s="389"/>
      <c r="K36" s="389">
        <f t="shared" si="2"/>
        <v>5.5191478617742235E-2</v>
      </c>
      <c r="L36" s="389">
        <f t="shared" si="3"/>
        <v>4.2857142857142858E-2</v>
      </c>
      <c r="M36" s="393">
        <f>J36*$M$3</f>
        <v>0</v>
      </c>
      <c r="N36" s="393">
        <f>J36*$N$3</f>
        <v>0</v>
      </c>
      <c r="O36" s="393">
        <f>J36*$O$3</f>
        <v>0</v>
      </c>
      <c r="P36" s="393">
        <f>J36*$P$3</f>
        <v>0</v>
      </c>
      <c r="Q36" s="393">
        <f t="shared" si="9"/>
        <v>109.33431914174737</v>
      </c>
      <c r="R36" s="393">
        <f t="shared" si="10"/>
        <v>0</v>
      </c>
      <c r="S36" s="393">
        <f t="shared" si="11"/>
        <v>165.90558472493316</v>
      </c>
      <c r="T36" s="393">
        <f>K36*$T$3</f>
        <v>331.14887170645341</v>
      </c>
      <c r="U36" s="393">
        <f t="shared" si="12"/>
        <v>256.91633296559013</v>
      </c>
      <c r="V36" s="393">
        <f t="shared" si="13"/>
        <v>111.5971697650748</v>
      </c>
      <c r="W36" s="393">
        <f t="shared" si="14"/>
        <v>40.455353826805059</v>
      </c>
      <c r="X36" s="393">
        <f t="shared" si="15"/>
        <v>17.219741328735577</v>
      </c>
      <c r="Y36" s="393">
        <f t="shared" si="16"/>
        <v>69.596454536972956</v>
      </c>
      <c r="Z36" s="393">
        <f t="shared" si="17"/>
        <v>145.53992911498628</v>
      </c>
      <c r="AA36" s="393">
        <f t="shared" si="18"/>
        <v>42.221481142572813</v>
      </c>
      <c r="AB36" s="393">
        <f t="shared" si="19"/>
        <v>0</v>
      </c>
      <c r="AC36" s="393">
        <f t="shared" si="20"/>
        <v>256.86114148697237</v>
      </c>
      <c r="AD36" s="221"/>
      <c r="AE36" s="401">
        <f t="shared" si="23"/>
        <v>3.6535089693491847E-2</v>
      </c>
      <c r="AF36" s="383">
        <f>AE36*$AF$3</f>
        <v>247.96365374972916</v>
      </c>
    </row>
    <row r="37" spans="2:36" x14ac:dyDescent="0.25">
      <c r="B37" s="1">
        <v>225</v>
      </c>
      <c r="C37" t="s">
        <v>59</v>
      </c>
      <c r="D37" s="2"/>
      <c r="G37" s="362">
        <v>0</v>
      </c>
      <c r="H37" s="214">
        <f>J54</f>
        <v>6338</v>
      </c>
      <c r="I37" s="118">
        <f>I35+H36+H37</f>
        <v>189715.7</v>
      </c>
      <c r="J37" s="389"/>
      <c r="K37" s="389">
        <f t="shared" si="2"/>
        <v>3.3407883480386702E-2</v>
      </c>
      <c r="L37" s="389">
        <f t="shared" si="3"/>
        <v>0</v>
      </c>
      <c r="M37" s="396"/>
      <c r="N37" s="396"/>
      <c r="O37" s="396"/>
      <c r="P37" s="396"/>
      <c r="Q37" s="393">
        <f t="shared" si="9"/>
        <v>66.181017174646058</v>
      </c>
      <c r="R37" s="393">
        <f>K37*$R$3</f>
        <v>0</v>
      </c>
      <c r="S37" s="393">
        <f t="shared" si="11"/>
        <v>100.42409774204242</v>
      </c>
      <c r="T37" s="393">
        <f>K37*$T$3</f>
        <v>200.44730088232021</v>
      </c>
      <c r="U37" s="393">
        <f t="shared" si="12"/>
        <v>155.51369760120011</v>
      </c>
      <c r="V37" s="393">
        <f t="shared" si="13"/>
        <v>67.550740397341912</v>
      </c>
      <c r="W37" s="393">
        <f t="shared" si="14"/>
        <v>24.487978591123454</v>
      </c>
      <c r="X37" s="393">
        <f t="shared" si="15"/>
        <v>10.423259645880652</v>
      </c>
      <c r="Y37" s="393">
        <f t="shared" si="16"/>
        <v>42.127341068767635</v>
      </c>
      <c r="Z37" s="393">
        <f t="shared" si="17"/>
        <v>88.09658873777974</v>
      </c>
      <c r="AA37" s="393">
        <f t="shared" si="18"/>
        <v>25.557030862495829</v>
      </c>
      <c r="AB37" s="393">
        <f t="shared" si="19"/>
        <v>0</v>
      </c>
      <c r="AC37" s="393">
        <f t="shared" si="20"/>
        <v>155.4802897177197</v>
      </c>
      <c r="AD37" s="221"/>
      <c r="AE37" s="401">
        <f t="shared" si="23"/>
        <v>2.2115008512080033E-2</v>
      </c>
      <c r="AF37" s="383">
        <f>AE37*$AF$3</f>
        <v>150.09456277148718</v>
      </c>
    </row>
    <row r="38" spans="2:36" x14ac:dyDescent="0.25">
      <c r="B38" s="45">
        <v>451</v>
      </c>
      <c r="C38" s="32" t="s">
        <v>60</v>
      </c>
      <c r="D38" s="32"/>
      <c r="E38" s="32"/>
      <c r="F38" s="31">
        <v>96842</v>
      </c>
      <c r="G38" s="365">
        <f>SUM(G6:G37)</f>
        <v>35</v>
      </c>
      <c r="H38" s="319">
        <v>96877</v>
      </c>
      <c r="I38" s="118"/>
      <c r="J38" s="121"/>
      <c r="K38" s="121"/>
      <c r="L38" s="121"/>
      <c r="M38" s="396"/>
      <c r="N38" s="396"/>
      <c r="O38" s="396"/>
      <c r="P38" s="396"/>
      <c r="Q38" s="393">
        <f t="shared" si="9"/>
        <v>0</v>
      </c>
      <c r="R38" s="393"/>
      <c r="S38" s="393"/>
      <c r="T38" s="393"/>
      <c r="U38" s="393"/>
      <c r="V38" s="393"/>
      <c r="W38" s="393"/>
      <c r="X38" s="393"/>
      <c r="Y38" s="393"/>
      <c r="Z38" s="393"/>
      <c r="AA38" s="393"/>
      <c r="AB38" s="393"/>
      <c r="AC38" s="393"/>
      <c r="AD38" s="218"/>
      <c r="AE38" s="401">
        <f t="shared" si="23"/>
        <v>0.33803024291965567</v>
      </c>
      <c r="AF38" s="383">
        <f>AE38*$AF$3</f>
        <v>2294.2112586957028</v>
      </c>
    </row>
    <row r="39" spans="2:36" ht="15.75" thickBot="1" x14ac:dyDescent="0.3">
      <c r="H39" s="320">
        <f>SUM(H6:H38)</f>
        <v>286592.7</v>
      </c>
      <c r="I39" s="320"/>
      <c r="J39" s="392">
        <f t="shared" ref="J39:AF39" si="24">SUM(J6:J38)</f>
        <v>1</v>
      </c>
      <c r="K39" s="392">
        <f t="shared" si="24"/>
        <v>0.99999999999999989</v>
      </c>
      <c r="L39" s="392">
        <f t="shared" si="24"/>
        <v>1</v>
      </c>
      <c r="M39" s="323">
        <f t="shared" si="24"/>
        <v>10023.999999999998</v>
      </c>
      <c r="N39" s="323">
        <f t="shared" si="24"/>
        <v>2446</v>
      </c>
      <c r="O39" s="323">
        <f t="shared" si="24"/>
        <v>2448.9999999999995</v>
      </c>
      <c r="P39" s="323">
        <f t="shared" si="24"/>
        <v>481</v>
      </c>
      <c r="Q39" s="323">
        <f t="shared" si="24"/>
        <v>1981.0000000000002</v>
      </c>
      <c r="R39" s="323">
        <f t="shared" si="24"/>
        <v>0</v>
      </c>
      <c r="S39" s="310">
        <f t="shared" si="24"/>
        <v>3006.0000000000005</v>
      </c>
      <c r="T39" s="310">
        <f t="shared" ref="T39" si="25">SUM(T6:T38)</f>
        <v>6000</v>
      </c>
      <c r="U39" s="310">
        <f t="shared" si="24"/>
        <v>4655</v>
      </c>
      <c r="V39" s="310">
        <f t="shared" si="24"/>
        <v>2022</v>
      </c>
      <c r="W39" s="310">
        <f t="shared" si="24"/>
        <v>733</v>
      </c>
      <c r="X39" s="310">
        <f t="shared" si="24"/>
        <v>311.99999999999989</v>
      </c>
      <c r="Y39" s="310">
        <f t="shared" si="24"/>
        <v>1261.0000000000002</v>
      </c>
      <c r="Z39" s="310">
        <f t="shared" si="24"/>
        <v>2636.9999999999995</v>
      </c>
      <c r="AA39" s="310">
        <f t="shared" si="24"/>
        <v>764.99999999999989</v>
      </c>
      <c r="AB39" s="310">
        <f t="shared" si="24"/>
        <v>1985</v>
      </c>
      <c r="AC39" s="310">
        <f t="shared" si="24"/>
        <v>4654</v>
      </c>
      <c r="AD39" s="323"/>
      <c r="AE39" s="404">
        <f t="shared" si="24"/>
        <v>0.99999999999999989</v>
      </c>
      <c r="AF39" s="384">
        <f t="shared" si="24"/>
        <v>6786.9999999999991</v>
      </c>
      <c r="AG39" s="8"/>
    </row>
    <row r="40" spans="2:36" ht="16.5" thickTop="1" thickBot="1" x14ac:dyDescent="0.3">
      <c r="H40" s="22" t="s">
        <v>61</v>
      </c>
      <c r="I40" s="22"/>
      <c r="J40" s="41" t="s">
        <v>62</v>
      </c>
      <c r="K40" s="41"/>
      <c r="L40" s="41"/>
      <c r="M40" s="301">
        <f t="shared" ref="M40:AA40" si="26">M3-M39</f>
        <v>0</v>
      </c>
      <c r="N40" s="301">
        <f t="shared" si="26"/>
        <v>0</v>
      </c>
      <c r="O40" s="301">
        <f t="shared" si="26"/>
        <v>0</v>
      </c>
      <c r="P40" s="301">
        <f t="shared" si="26"/>
        <v>0</v>
      </c>
      <c r="Q40" s="301">
        <f t="shared" si="26"/>
        <v>0</v>
      </c>
      <c r="R40" s="301">
        <f t="shared" si="26"/>
        <v>0</v>
      </c>
      <c r="S40" s="108">
        <f t="shared" si="26"/>
        <v>0</v>
      </c>
      <c r="T40" s="108">
        <f t="shared" ref="T40" si="27">T3-T39</f>
        <v>0</v>
      </c>
      <c r="U40" s="108">
        <f t="shared" si="26"/>
        <v>0</v>
      </c>
      <c r="V40" s="108">
        <f t="shared" si="26"/>
        <v>0</v>
      </c>
      <c r="W40" s="108">
        <f t="shared" si="26"/>
        <v>0</v>
      </c>
      <c r="X40" s="108">
        <f t="shared" si="26"/>
        <v>0</v>
      </c>
      <c r="Y40" s="108">
        <f t="shared" si="26"/>
        <v>0</v>
      </c>
      <c r="Z40" s="108">
        <f t="shared" si="26"/>
        <v>0</v>
      </c>
      <c r="AA40" s="108">
        <f t="shared" si="26"/>
        <v>0</v>
      </c>
      <c r="AB40" s="108"/>
      <c r="AC40" s="108">
        <f>AC3-AC39</f>
        <v>0</v>
      </c>
      <c r="AD40" s="108"/>
      <c r="AE40" s="405">
        <f>AE3-AE39</f>
        <v>-0.99999999999999989</v>
      </c>
      <c r="AF40" s="108">
        <f>AF3-AF39</f>
        <v>0</v>
      </c>
    </row>
    <row r="41" spans="2:36" x14ac:dyDescent="0.25">
      <c r="C41" s="17">
        <v>43770</v>
      </c>
      <c r="D41" s="23"/>
      <c r="E41" s="23"/>
      <c r="F41" s="23"/>
      <c r="G41" s="366"/>
      <c r="H41" s="18">
        <v>57985.52</v>
      </c>
      <c r="I41" s="18"/>
      <c r="J41" s="42"/>
      <c r="K41" s="238"/>
      <c r="L41" s="238"/>
      <c r="M41" s="302">
        <v>3465</v>
      </c>
      <c r="N41" s="302">
        <v>810</v>
      </c>
      <c r="O41" s="302">
        <v>846</v>
      </c>
      <c r="P41" s="302">
        <v>166</v>
      </c>
      <c r="Q41" s="302">
        <v>677</v>
      </c>
      <c r="R41" s="114"/>
      <c r="S41" s="114"/>
      <c r="T41" s="114"/>
      <c r="U41" s="114"/>
      <c r="V41" s="114"/>
      <c r="W41" s="114"/>
      <c r="X41" s="159"/>
      <c r="Y41" s="114"/>
      <c r="Z41" s="114"/>
      <c r="AA41" s="114"/>
      <c r="AB41" s="114"/>
      <c r="AC41" s="114"/>
    </row>
    <row r="42" spans="2:36" x14ac:dyDescent="0.25">
      <c r="C42" s="19">
        <v>43784</v>
      </c>
      <c r="D42" s="372"/>
      <c r="E42" s="372"/>
      <c r="F42" s="372"/>
      <c r="G42" s="373"/>
      <c r="H42" s="126">
        <v>58543</v>
      </c>
      <c r="I42" s="126"/>
      <c r="J42" s="43"/>
      <c r="K42" s="238"/>
      <c r="L42" s="238"/>
      <c r="M42" s="302">
        <v>3432</v>
      </c>
      <c r="N42" s="302">
        <v>819</v>
      </c>
      <c r="O42" s="302">
        <v>835</v>
      </c>
      <c r="P42" s="302">
        <v>164</v>
      </c>
      <c r="Q42" s="302">
        <v>627</v>
      </c>
      <c r="R42" s="114"/>
      <c r="S42" s="114"/>
      <c r="T42" s="114"/>
      <c r="U42" s="114"/>
      <c r="V42" s="114"/>
      <c r="W42" s="114"/>
      <c r="X42" s="159"/>
      <c r="Y42" s="114"/>
      <c r="Z42" s="114"/>
      <c r="AA42" s="114"/>
      <c r="AB42" s="114"/>
      <c r="AC42" s="114"/>
    </row>
    <row r="43" spans="2:36" x14ac:dyDescent="0.25">
      <c r="C43" s="19">
        <v>43799</v>
      </c>
      <c r="D43" s="24"/>
      <c r="E43" s="24"/>
      <c r="F43" s="24"/>
      <c r="H43" s="2">
        <v>58541</v>
      </c>
      <c r="J43" s="43">
        <v>0</v>
      </c>
      <c r="K43" s="238"/>
      <c r="L43" s="238"/>
      <c r="M43" s="302">
        <v>3127</v>
      </c>
      <c r="N43" s="302">
        <v>817</v>
      </c>
      <c r="O43" s="302">
        <v>768</v>
      </c>
      <c r="P43" s="302">
        <v>151</v>
      </c>
      <c r="Q43" s="302">
        <v>677</v>
      </c>
      <c r="R43" s="114"/>
      <c r="S43" s="114"/>
      <c r="T43" s="114"/>
      <c r="U43" s="114"/>
      <c r="V43" s="114"/>
      <c r="W43" s="53"/>
      <c r="X43" s="159"/>
      <c r="Y43" s="114"/>
      <c r="Z43" s="114"/>
      <c r="AA43" s="114"/>
      <c r="AB43" s="114"/>
      <c r="AC43" s="114"/>
    </row>
    <row r="44" spans="2:36" x14ac:dyDescent="0.25">
      <c r="C44" s="19"/>
      <c r="D44" s="24"/>
      <c r="E44" s="24"/>
      <c r="F44" s="24"/>
      <c r="H44" s="2">
        <f>I54</f>
        <v>8307.69</v>
      </c>
      <c r="J44" s="43"/>
      <c r="K44" s="238"/>
      <c r="L44" s="238"/>
      <c r="M44" s="302"/>
      <c r="N44" s="302"/>
      <c r="O44" s="302"/>
      <c r="P44" s="302"/>
      <c r="Q44" s="302"/>
      <c r="R44" s="114"/>
      <c r="S44" s="114"/>
      <c r="T44" s="114"/>
      <c r="U44" s="114"/>
      <c r="V44" s="114"/>
      <c r="W44" s="53"/>
      <c r="X44" s="159"/>
      <c r="Y44" s="114"/>
      <c r="Z44" s="114"/>
      <c r="AA44" s="114"/>
      <c r="AB44" s="114"/>
      <c r="AC44" s="114"/>
    </row>
    <row r="45" spans="2:36" ht="15.75" thickBot="1" x14ac:dyDescent="0.3">
      <c r="C45" s="19"/>
      <c r="D45" s="24"/>
      <c r="E45" s="24"/>
      <c r="F45" s="24"/>
      <c r="H45" s="2">
        <f>J54</f>
        <v>6338</v>
      </c>
      <c r="J45" s="43"/>
      <c r="K45" s="238"/>
      <c r="L45" s="238"/>
      <c r="M45" s="302"/>
      <c r="N45" s="302"/>
      <c r="O45" s="302"/>
      <c r="P45" s="302"/>
      <c r="Q45" s="302"/>
      <c r="R45" s="114"/>
      <c r="S45" s="114"/>
      <c r="T45" s="114"/>
      <c r="U45" s="114"/>
      <c r="V45" s="114"/>
      <c r="W45" s="101"/>
      <c r="X45" s="159"/>
      <c r="Y45" s="114"/>
      <c r="Z45" s="114"/>
      <c r="AA45" s="114"/>
      <c r="AB45" s="114"/>
      <c r="AC45" s="114"/>
    </row>
    <row r="46" spans="2:36" ht="15.75" thickBot="1" x14ac:dyDescent="0.3">
      <c r="C46" s="20"/>
      <c r="D46" s="20"/>
      <c r="E46" s="20"/>
      <c r="F46" s="20"/>
      <c r="G46" s="367"/>
      <c r="H46" s="236">
        <f>SUM(H41:H45)</f>
        <v>189715.21</v>
      </c>
      <c r="I46" s="5"/>
      <c r="J46" s="44"/>
      <c r="K46" s="239"/>
      <c r="L46" s="239"/>
      <c r="M46" s="303">
        <f>SUM(M41:M43)</f>
        <v>10024</v>
      </c>
      <c r="N46" s="304">
        <f>SUM(N41:N43)</f>
        <v>2446</v>
      </c>
      <c r="O46" s="304">
        <f>SUM(O41:O43)</f>
        <v>2449</v>
      </c>
      <c r="P46" s="304">
        <f>SUM(P41:P43)</f>
        <v>481</v>
      </c>
      <c r="Q46" s="305">
        <f>SUM(Q41:Q43)</f>
        <v>1981</v>
      </c>
      <c r="R46" s="114"/>
      <c r="S46" s="114"/>
      <c r="T46" s="114"/>
      <c r="U46" s="114"/>
      <c r="V46" s="114"/>
      <c r="W46" s="114"/>
      <c r="X46" s="159"/>
      <c r="Y46" s="114"/>
      <c r="Z46" s="114"/>
      <c r="AA46" s="114"/>
      <c r="AB46" s="114"/>
      <c r="AC46" s="114"/>
    </row>
    <row r="47" spans="2:36" x14ac:dyDescent="0.25">
      <c r="H47" s="53">
        <f>H39-H46</f>
        <v>96877.49000000002</v>
      </c>
      <c r="M47" s="301"/>
      <c r="N47" s="301"/>
      <c r="O47" s="301"/>
      <c r="P47" s="301"/>
      <c r="Q47" s="301"/>
      <c r="R47" s="114"/>
      <c r="S47" s="114"/>
      <c r="T47" s="114"/>
      <c r="U47" s="114"/>
      <c r="V47" s="114"/>
      <c r="W47" s="114"/>
      <c r="X47" s="159"/>
      <c r="Y47" s="114"/>
      <c r="Z47" s="114"/>
      <c r="AA47" s="114"/>
      <c r="AB47" s="114"/>
      <c r="AC47" s="114"/>
      <c r="AJ47">
        <v>114.44</v>
      </c>
    </row>
    <row r="48" spans="2:36" x14ac:dyDescent="0.25">
      <c r="I48" s="407" t="s">
        <v>64</v>
      </c>
      <c r="J48" s="408" t="s">
        <v>65</v>
      </c>
      <c r="M48" s="306"/>
      <c r="N48" s="306"/>
      <c r="O48" s="306"/>
      <c r="P48" s="306"/>
      <c r="AJ48">
        <v>151.65</v>
      </c>
    </row>
    <row r="49" spans="2:36" ht="15.75" thickBot="1" x14ac:dyDescent="0.3">
      <c r="F49" s="29">
        <f>I35-H45</f>
        <v>166569.01</v>
      </c>
      <c r="M49" s="306"/>
      <c r="N49" s="306"/>
      <c r="O49" s="306"/>
      <c r="P49" s="306"/>
    </row>
    <row r="50" spans="2:36" s="288" customFormat="1" x14ac:dyDescent="0.25">
      <c r="B50" s="1"/>
      <c r="C50"/>
      <c r="D50"/>
      <c r="E50"/>
      <c r="F50"/>
      <c r="G50" s="362"/>
      <c r="H50" s="17"/>
      <c r="I50" s="2">
        <v>2769.23</v>
      </c>
      <c r="J50" s="31">
        <v>2113</v>
      </c>
      <c r="K50" s="2"/>
      <c r="L50" s="2"/>
      <c r="M50" s="306"/>
      <c r="N50" s="306"/>
      <c r="O50" s="307"/>
      <c r="P50" s="307"/>
      <c r="R50"/>
      <c r="S50" s="66"/>
      <c r="T50"/>
      <c r="U50"/>
      <c r="V50" s="66"/>
      <c r="W50" s="66"/>
      <c r="X50"/>
      <c r="Y50" s="66"/>
      <c r="Z50" s="66"/>
      <c r="AA50"/>
      <c r="AB50"/>
      <c r="AC50"/>
      <c r="AD50" s="159"/>
      <c r="AE50" s="159"/>
      <c r="AF50" s="159"/>
      <c r="AG50"/>
      <c r="AH50"/>
      <c r="AI50"/>
      <c r="AJ50"/>
    </row>
    <row r="51" spans="2:36" s="288" customFormat="1" x14ac:dyDescent="0.25">
      <c r="B51" s="1"/>
      <c r="C51"/>
      <c r="D51"/>
      <c r="E51"/>
      <c r="F51"/>
      <c r="G51" s="362"/>
      <c r="H51" s="19"/>
      <c r="I51" s="2">
        <v>2769.23</v>
      </c>
      <c r="J51" s="31">
        <v>2113</v>
      </c>
      <c r="K51" s="2"/>
      <c r="L51" s="2"/>
      <c r="M51" s="306"/>
      <c r="N51" s="306"/>
      <c r="O51" s="307"/>
      <c r="P51" s="307"/>
      <c r="R51"/>
      <c r="S51" s="66"/>
      <c r="T51"/>
      <c r="U51"/>
      <c r="V51" s="66"/>
      <c r="W51" s="66"/>
      <c r="X51"/>
      <c r="Y51" s="66"/>
      <c r="Z51" s="66"/>
      <c r="AA51"/>
      <c r="AB51"/>
      <c r="AC51"/>
      <c r="AD51" s="159"/>
      <c r="AE51" s="159"/>
      <c r="AF51" s="159"/>
      <c r="AG51"/>
      <c r="AH51"/>
      <c r="AI51"/>
      <c r="AJ51"/>
    </row>
    <row r="52" spans="2:36" s="288" customFormat="1" x14ac:dyDescent="0.25">
      <c r="B52" s="1"/>
      <c r="C52"/>
      <c r="D52"/>
      <c r="E52"/>
      <c r="F52"/>
      <c r="G52" s="362"/>
      <c r="H52" s="2"/>
      <c r="I52" s="2">
        <v>2769.23</v>
      </c>
      <c r="J52" s="31">
        <v>2112</v>
      </c>
      <c r="K52" s="2"/>
      <c r="L52" s="2"/>
      <c r="M52" s="306"/>
      <c r="N52" s="306"/>
      <c r="O52" s="306"/>
      <c r="P52" s="306"/>
      <c r="R52"/>
      <c r="S52" s="66"/>
      <c r="T52"/>
      <c r="U52"/>
      <c r="V52" s="66"/>
      <c r="W52" s="66"/>
      <c r="X52"/>
      <c r="Y52" s="66"/>
      <c r="Z52" s="66"/>
      <c r="AA52"/>
      <c r="AB52"/>
      <c r="AC52"/>
      <c r="AD52" s="159"/>
      <c r="AE52" s="159"/>
      <c r="AF52" s="159"/>
      <c r="AG52"/>
      <c r="AH52"/>
      <c r="AI52"/>
      <c r="AJ52"/>
    </row>
    <row r="53" spans="2:36" s="288" customFormat="1" ht="15.75" thickBot="1" x14ac:dyDescent="0.3">
      <c r="B53" s="1"/>
      <c r="C53"/>
      <c r="D53"/>
      <c r="E53"/>
      <c r="F53"/>
      <c r="G53" s="362"/>
      <c r="H53" s="2"/>
      <c r="I53" s="2"/>
      <c r="J53" s="2"/>
      <c r="K53" s="2"/>
      <c r="L53" s="2"/>
      <c r="O53" s="308"/>
      <c r="P53" s="308"/>
      <c r="R53"/>
      <c r="S53" s="66"/>
      <c r="T53"/>
      <c r="U53"/>
      <c r="V53" s="66"/>
      <c r="W53" s="66"/>
      <c r="X53"/>
      <c r="Y53" s="66"/>
      <c r="Z53" s="66"/>
      <c r="AA53"/>
      <c r="AB53"/>
      <c r="AC53"/>
      <c r="AD53" s="159"/>
      <c r="AE53" s="159"/>
      <c r="AF53" s="159"/>
      <c r="AG53"/>
      <c r="AH53"/>
      <c r="AI53"/>
      <c r="AJ53"/>
    </row>
    <row r="54" spans="2:36" s="288" customFormat="1" ht="15.75" thickBot="1" x14ac:dyDescent="0.3">
      <c r="B54" s="1"/>
      <c r="C54"/>
      <c r="D54"/>
      <c r="E54"/>
      <c r="F54"/>
      <c r="G54" s="362"/>
      <c r="H54" s="2"/>
      <c r="I54" s="241">
        <f>SUM(I50:I53)</f>
        <v>8307.69</v>
      </c>
      <c r="J54" s="242">
        <f>SUM(J50:J53)</f>
        <v>6338</v>
      </c>
      <c r="K54" s="2">
        <f>SUM(I54:J54)</f>
        <v>14645.69</v>
      </c>
      <c r="L54" s="2"/>
      <c r="O54" s="308"/>
      <c r="P54" s="308"/>
      <c r="R54"/>
      <c r="S54" s="66"/>
      <c r="T54"/>
      <c r="U54"/>
      <c r="V54" s="66"/>
      <c r="W54" s="66"/>
      <c r="X54"/>
      <c r="Y54" s="66"/>
      <c r="Z54" s="66"/>
      <c r="AA54"/>
      <c r="AB54"/>
      <c r="AC54"/>
      <c r="AD54" s="159"/>
      <c r="AE54" s="159"/>
      <c r="AF54" s="159"/>
      <c r="AG54"/>
      <c r="AH54"/>
      <c r="AI54"/>
      <c r="AJ54"/>
    </row>
    <row r="55" spans="2:36" x14ac:dyDescent="0.25">
      <c r="I55" s="2">
        <v>2163</v>
      </c>
    </row>
    <row r="56" spans="2:36" s="288" customFormat="1" x14ac:dyDescent="0.25">
      <c r="B56" s="1"/>
      <c r="C56"/>
      <c r="D56"/>
      <c r="E56"/>
      <c r="F56"/>
      <c r="G56" s="362"/>
      <c r="H56" s="2"/>
      <c r="I56" s="15">
        <f>SUM(I54:I55)</f>
        <v>10470.69</v>
      </c>
      <c r="J56" s="270"/>
      <c r="K56" s="12"/>
      <c r="L56" s="12"/>
      <c r="O56" s="308"/>
      <c r="P56" s="308"/>
      <c r="R56"/>
      <c r="S56" s="66"/>
      <c r="T56"/>
      <c r="U56"/>
      <c r="V56" s="66"/>
      <c r="W56" s="66"/>
      <c r="X56"/>
      <c r="Y56" s="66"/>
      <c r="Z56" s="66"/>
      <c r="AA56"/>
      <c r="AB56"/>
      <c r="AC56"/>
      <c r="AD56" s="159"/>
      <c r="AE56" s="159"/>
      <c r="AF56" s="159"/>
      <c r="AG56"/>
      <c r="AH56"/>
      <c r="AI56"/>
      <c r="AJ56"/>
    </row>
  </sheetData>
  <printOptions horizontalCentered="1"/>
  <pageMargins left="0.17" right="0.17" top="0.75" bottom="0.75" header="0.3" footer="0.3"/>
  <pageSetup paperSize="5" scale="57" orientation="landscape" r:id="rId1"/>
  <headerFooter>
    <oddFooter>&amp;L&amp;Z&amp;F 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671F-2589-4F48-99D6-038FD5AD2063}">
  <sheetPr>
    <tabColor theme="5" tint="0.39997558519241921"/>
    <pageSetUpPr fitToPage="1"/>
  </sheetPr>
  <dimension ref="B1:AI55"/>
  <sheetViews>
    <sheetView topLeftCell="J1" zoomScale="85" zoomScaleNormal="85" workbookViewId="0">
      <selection activeCell="AF13" sqref="AF13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hidden="1" customWidth="1"/>
    <col min="5" max="5" width="8.140625" hidden="1" customWidth="1"/>
    <col min="6" max="6" width="12.7109375" hidden="1" customWidth="1"/>
    <col min="7" max="7" width="12.7109375" style="362" customWidth="1"/>
    <col min="8" max="9" width="13.85546875" style="2" customWidth="1"/>
    <col min="10" max="12" width="12.140625" style="12" customWidth="1"/>
    <col min="13" max="13" width="11.28515625" style="288" customWidth="1"/>
    <col min="14" max="14" width="13.42578125" style="288" customWidth="1"/>
    <col min="15" max="15" width="13.28515625" style="308" customWidth="1"/>
    <col min="16" max="16" width="15.7109375" style="308" customWidth="1"/>
    <col min="17" max="17" width="11.7109375" style="288" customWidth="1"/>
    <col min="18" max="18" width="16.42578125" customWidth="1"/>
    <col min="19" max="19" width="15.85546875" style="66" customWidth="1"/>
    <col min="20" max="20" width="17.42578125" customWidth="1"/>
    <col min="21" max="21" width="13.140625" style="66" customWidth="1"/>
    <col min="22" max="22" width="15.28515625" style="66" customWidth="1"/>
    <col min="23" max="23" width="15.5703125" customWidth="1"/>
    <col min="24" max="24" width="15.5703125" style="66" customWidth="1"/>
    <col min="25" max="25" width="15.140625" style="66" customWidth="1"/>
    <col min="26" max="28" width="15.140625" customWidth="1"/>
    <col min="29" max="29" width="2.85546875" style="159" customWidth="1"/>
    <col min="30" max="30" width="8.5703125" style="159" customWidth="1"/>
    <col min="31" max="31" width="11.85546875" style="159" customWidth="1"/>
    <col min="32" max="32" width="12.7109375" customWidth="1"/>
  </cols>
  <sheetData>
    <row r="1" spans="2:32" ht="15.75" thickBot="1" x14ac:dyDescent="0.3">
      <c r="B1" s="2" t="s">
        <v>119</v>
      </c>
      <c r="M1" s="288">
        <v>7251</v>
      </c>
      <c r="N1" s="288">
        <v>7252</v>
      </c>
      <c r="O1" s="288">
        <v>7253</v>
      </c>
      <c r="P1" s="288">
        <v>7254</v>
      </c>
      <c r="Q1" s="288">
        <v>7260.1</v>
      </c>
      <c r="R1" s="288">
        <v>8140</v>
      </c>
      <c r="S1" s="66">
        <v>7515.5</v>
      </c>
      <c r="T1" s="66">
        <v>7521</v>
      </c>
      <c r="U1" s="66">
        <v>8112</v>
      </c>
      <c r="V1" s="66">
        <v>8135.5</v>
      </c>
      <c r="W1" s="66">
        <v>8191</v>
      </c>
      <c r="X1" s="66">
        <v>8210.5</v>
      </c>
      <c r="Y1" s="66">
        <v>8229.1</v>
      </c>
      <c r="Z1" s="66">
        <v>8239</v>
      </c>
      <c r="AA1" s="66">
        <v>8265</v>
      </c>
      <c r="AB1" s="66">
        <v>8266</v>
      </c>
      <c r="AE1" s="157">
        <v>7248</v>
      </c>
    </row>
    <row r="2" spans="2:32" ht="17.25" thickBot="1" x14ac:dyDescent="0.4">
      <c r="M2" s="289" t="s">
        <v>1</v>
      </c>
      <c r="N2" s="289" t="s">
        <v>2</v>
      </c>
      <c r="O2" s="289" t="s">
        <v>3</v>
      </c>
      <c r="P2" s="289" t="s">
        <v>4</v>
      </c>
      <c r="Q2" s="289" t="s">
        <v>5</v>
      </c>
      <c r="R2" s="289" t="s">
        <v>114</v>
      </c>
      <c r="S2" s="218" t="s">
        <v>6</v>
      </c>
      <c r="T2" s="263" t="s">
        <v>7</v>
      </c>
      <c r="U2" s="263" t="s">
        <v>8</v>
      </c>
      <c r="V2" s="263" t="s">
        <v>9</v>
      </c>
      <c r="W2" s="218" t="s">
        <v>10</v>
      </c>
      <c r="X2" s="263" t="s">
        <v>11</v>
      </c>
      <c r="Y2" s="263" t="s">
        <v>12</v>
      </c>
      <c r="Z2" s="263" t="s">
        <v>13</v>
      </c>
      <c r="AA2" s="263" t="s">
        <v>122</v>
      </c>
      <c r="AB2" s="263" t="s">
        <v>14</v>
      </c>
      <c r="AC2" s="214"/>
      <c r="AD2" s="264"/>
      <c r="AE2" s="265" t="s">
        <v>15</v>
      </c>
      <c r="AF2" s="2"/>
    </row>
    <row r="3" spans="2:32" ht="15.75" thickBot="1" x14ac:dyDescent="0.3">
      <c r="M3" s="375">
        <v>6886</v>
      </c>
      <c r="N3" s="375">
        <v>1610</v>
      </c>
      <c r="O3" s="375">
        <v>1649</v>
      </c>
      <c r="P3" s="375">
        <v>324</v>
      </c>
      <c r="Q3" s="375">
        <v>1268</v>
      </c>
      <c r="R3" s="375">
        <v>302</v>
      </c>
      <c r="S3" s="377">
        <v>3006</v>
      </c>
      <c r="T3" s="374">
        <v>6125</v>
      </c>
      <c r="U3" s="374">
        <v>2281</v>
      </c>
      <c r="V3" s="375">
        <v>1420</v>
      </c>
      <c r="W3" s="376">
        <v>312</v>
      </c>
      <c r="X3" s="374">
        <v>1301</v>
      </c>
      <c r="Y3" s="374">
        <v>2456</v>
      </c>
      <c r="Z3" s="375">
        <v>1170</v>
      </c>
      <c r="AA3" s="379">
        <v>1927</v>
      </c>
      <c r="AB3" s="376">
        <v>4654</v>
      </c>
      <c r="AC3" s="311"/>
      <c r="AD3" s="315"/>
      <c r="AE3" s="378">
        <v>6787</v>
      </c>
      <c r="AF3" s="2"/>
    </row>
    <row r="4" spans="2:32" ht="15.75" thickBot="1" x14ac:dyDescent="0.3">
      <c r="G4" s="362" t="s">
        <v>120</v>
      </c>
      <c r="M4" s="292">
        <v>1</v>
      </c>
      <c r="N4" s="292">
        <v>2</v>
      </c>
      <c r="O4" s="292">
        <v>3</v>
      </c>
      <c r="P4" s="292">
        <v>4</v>
      </c>
      <c r="Q4" s="292">
        <v>5</v>
      </c>
      <c r="R4" s="292">
        <v>6</v>
      </c>
      <c r="S4" s="292">
        <v>7</v>
      </c>
      <c r="T4" s="292">
        <v>8</v>
      </c>
      <c r="U4" s="292">
        <v>9</v>
      </c>
      <c r="V4" s="292">
        <v>10</v>
      </c>
      <c r="W4" s="292">
        <v>11</v>
      </c>
      <c r="X4" s="292">
        <v>12</v>
      </c>
      <c r="Y4" s="292">
        <v>13</v>
      </c>
      <c r="Z4" s="292">
        <v>14</v>
      </c>
      <c r="AA4" s="292">
        <v>15</v>
      </c>
      <c r="AB4" s="292">
        <v>15</v>
      </c>
      <c r="AC4" s="218"/>
      <c r="AD4" s="266"/>
      <c r="AE4" s="267">
        <v>0.04</v>
      </c>
    </row>
    <row r="5" spans="2:32" ht="15.75" thickBot="1" x14ac:dyDescent="0.3">
      <c r="D5">
        <v>7222</v>
      </c>
      <c r="E5" t="s">
        <v>16</v>
      </c>
      <c r="F5" t="s">
        <v>17</v>
      </c>
      <c r="J5" s="369" t="s">
        <v>16</v>
      </c>
      <c r="K5" s="370" t="s">
        <v>61</v>
      </c>
      <c r="L5" s="371" t="s">
        <v>121</v>
      </c>
      <c r="M5" s="292"/>
      <c r="N5" s="292"/>
      <c r="O5" s="292"/>
      <c r="P5" s="292"/>
      <c r="Q5" s="292"/>
      <c r="R5" s="292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66"/>
      <c r="AE5" s="267"/>
    </row>
    <row r="6" spans="2:32" x14ac:dyDescent="0.25">
      <c r="B6" s="1">
        <v>41</v>
      </c>
      <c r="C6" t="s">
        <v>19</v>
      </c>
      <c r="D6" s="2"/>
      <c r="E6" s="26"/>
      <c r="F6" s="26"/>
      <c r="G6" s="361"/>
      <c r="H6" s="317">
        <v>0</v>
      </c>
      <c r="I6" s="318"/>
      <c r="J6" s="118">
        <f t="shared" ref="J6:J21" si="0">H6/$I$35</f>
        <v>0</v>
      </c>
      <c r="K6" s="118">
        <f t="shared" ref="K6:K37" si="1">H6/$I$37</f>
        <v>0</v>
      </c>
      <c r="L6" s="118">
        <f t="shared" ref="L6:L37" si="2">G6/$G$38</f>
        <v>0</v>
      </c>
      <c r="M6" s="292">
        <f>J6*$M$3</f>
        <v>0</v>
      </c>
      <c r="N6" s="292">
        <f>J6*$N$3</f>
        <v>0</v>
      </c>
      <c r="O6" s="292">
        <f>J6*$O$3</f>
        <v>0</v>
      </c>
      <c r="P6" s="292">
        <f>J6*$P$3</f>
        <v>0</v>
      </c>
      <c r="Q6" s="292">
        <f>K6*$Q$3</f>
        <v>0</v>
      </c>
      <c r="R6" s="292">
        <f>K6*$R$3</f>
        <v>0</v>
      </c>
      <c r="S6" s="309">
        <f>K6*$S$3</f>
        <v>0</v>
      </c>
      <c r="T6" s="309">
        <f>K6*$T$3</f>
        <v>0</v>
      </c>
      <c r="U6" s="309">
        <f>K6*$U$3</f>
        <v>0</v>
      </c>
      <c r="V6" s="309">
        <f>K6*$V$3</f>
        <v>0</v>
      </c>
      <c r="W6" s="309">
        <f>K6*$W$3</f>
        <v>0</v>
      </c>
      <c r="X6" s="309">
        <f>K6*$X$3</f>
        <v>0</v>
      </c>
      <c r="Y6" s="309">
        <f>K6*$Y$3</f>
        <v>0</v>
      </c>
      <c r="Z6" s="309">
        <f>K6*$Z$3</f>
        <v>0</v>
      </c>
      <c r="AA6" s="309">
        <f>J6*$AA$3</f>
        <v>0</v>
      </c>
      <c r="AB6" s="309">
        <f>K6*$AB$3</f>
        <v>0</v>
      </c>
      <c r="AC6" s="221"/>
      <c r="AD6" s="226">
        <f t="shared" ref="AD6:AD21" si="3">H6/$H$39</f>
        <v>0</v>
      </c>
      <c r="AE6" s="380">
        <f>AD6*$AE$3</f>
        <v>0</v>
      </c>
    </row>
    <row r="7" spans="2:32" x14ac:dyDescent="0.25">
      <c r="B7" s="1">
        <v>111</v>
      </c>
      <c r="C7" t="s">
        <v>20</v>
      </c>
      <c r="D7" s="2"/>
      <c r="G7" s="362">
        <v>8</v>
      </c>
      <c r="H7" s="214">
        <v>30054.560000000001</v>
      </c>
      <c r="I7" s="118"/>
      <c r="J7" s="118">
        <f t="shared" si="0"/>
        <v>0.26608178281211359</v>
      </c>
      <c r="K7" s="118">
        <f t="shared" si="1"/>
        <v>0.24002419524031965</v>
      </c>
      <c r="L7" s="118">
        <f t="shared" si="2"/>
        <v>0.22857142857142856</v>
      </c>
      <c r="M7" s="293">
        <f t="shared" ref="M7:M35" si="4">J7*$M$3</f>
        <v>1832.2391564442141</v>
      </c>
      <c r="N7" s="293">
        <f t="shared" ref="N7:N35" si="5">J7*$N$3</f>
        <v>428.39167032750288</v>
      </c>
      <c r="O7" s="293">
        <f t="shared" ref="O7:O35" si="6">J7*$O$3</f>
        <v>438.7688598571753</v>
      </c>
      <c r="P7" s="293">
        <f t="shared" ref="P7:P35" si="7">J7*$P$3</f>
        <v>86.210497631124809</v>
      </c>
      <c r="Q7" s="292">
        <f t="shared" ref="Q7:Q38" si="8">K7*$Q$3</f>
        <v>304.35067956472534</v>
      </c>
      <c r="R7" s="292">
        <f t="shared" ref="R7:R36" si="9">K7*$R$3</f>
        <v>72.48730696257654</v>
      </c>
      <c r="S7" s="309">
        <f t="shared" ref="S7:S37" si="10">K7*$S$3</f>
        <v>721.5127308924009</v>
      </c>
      <c r="T7" s="309">
        <f t="shared" ref="T7:T37" si="11">K7*$T$3</f>
        <v>1470.1481958469578</v>
      </c>
      <c r="U7" s="309">
        <f t="shared" ref="U7:U37" si="12">K7*$U$3</f>
        <v>547.49518934316916</v>
      </c>
      <c r="V7" s="309">
        <f t="shared" ref="V7:V37" si="13">K7*$V$3</f>
        <v>340.83435724125388</v>
      </c>
      <c r="W7" s="309">
        <f t="shared" ref="W7:W37" si="14">K7*$W$3</f>
        <v>74.887548914979732</v>
      </c>
      <c r="X7" s="309">
        <f t="shared" ref="X7:X37" si="15">K7*$X$3</f>
        <v>312.27147800765584</v>
      </c>
      <c r="Y7" s="309">
        <f t="shared" ref="Y7:Y37" si="16">K7*$Y$3</f>
        <v>589.49942351022503</v>
      </c>
      <c r="Z7" s="309">
        <f t="shared" ref="Z7:Z37" si="17">K7*$Z$3</f>
        <v>280.82830843117398</v>
      </c>
      <c r="AA7" s="309">
        <f t="shared" ref="AA7:AA37" si="18">J7*$AA$3</f>
        <v>512.73959547894287</v>
      </c>
      <c r="AB7" s="309">
        <f t="shared" ref="AB7:AB37" si="19">K7*$AB$3</f>
        <v>1117.0726046484476</v>
      </c>
      <c r="AC7" s="221"/>
      <c r="AD7" s="226">
        <f t="shared" si="3"/>
        <v>0.13534632662079885</v>
      </c>
      <c r="AE7" s="380">
        <f t="shared" ref="AE7:AE35" si="20">AD7*$AE$3</f>
        <v>918.59551877536171</v>
      </c>
    </row>
    <row r="8" spans="2:32" x14ac:dyDescent="0.25">
      <c r="B8" s="1" t="s">
        <v>21</v>
      </c>
      <c r="C8" t="s">
        <v>22</v>
      </c>
      <c r="D8" s="2"/>
      <c r="G8" s="362">
        <v>1</v>
      </c>
      <c r="H8" s="214">
        <v>3231.11</v>
      </c>
      <c r="I8" s="118"/>
      <c r="J8" s="118">
        <f t="shared" si="0"/>
        <v>2.8605958938079556E-2</v>
      </c>
      <c r="K8" s="118">
        <f t="shared" si="1"/>
        <v>2.5804556030198055E-2</v>
      </c>
      <c r="L8" s="118">
        <f t="shared" si="2"/>
        <v>2.8571428571428571E-2</v>
      </c>
      <c r="M8" s="292">
        <f>J8*$M$3</f>
        <v>196.98063324761583</v>
      </c>
      <c r="N8" s="292">
        <f>J8*$N$3</f>
        <v>46.055593890308081</v>
      </c>
      <c r="O8" s="292">
        <f>J8*$O$3</f>
        <v>47.171226288893187</v>
      </c>
      <c r="P8" s="292">
        <f>J8*$P$3</f>
        <v>9.2683306959377756</v>
      </c>
      <c r="Q8" s="292">
        <f t="shared" si="8"/>
        <v>32.720177046291134</v>
      </c>
      <c r="R8" s="292">
        <f>K8*$R$3</f>
        <v>7.7929759211198126</v>
      </c>
      <c r="S8" s="309">
        <f>K8*$S$3</f>
        <v>77.568495426775357</v>
      </c>
      <c r="T8" s="309">
        <f>K8*$T$3</f>
        <v>158.05290568496309</v>
      </c>
      <c r="U8" s="309">
        <f>K8*$U$3</f>
        <v>58.860192304881764</v>
      </c>
      <c r="V8" s="309">
        <f>K8*$V$3</f>
        <v>36.642469562881239</v>
      </c>
      <c r="W8" s="309">
        <f>K8*$W$3</f>
        <v>8.0510214814217935</v>
      </c>
      <c r="X8" s="309">
        <f>K8*$X$3</f>
        <v>33.571727395287667</v>
      </c>
      <c r="Y8" s="309">
        <f>K8*$Y$3</f>
        <v>63.375989610166421</v>
      </c>
      <c r="Z8" s="309">
        <f>K8*$Z$3</f>
        <v>30.191330555331724</v>
      </c>
      <c r="AA8" s="309">
        <f t="shared" si="18"/>
        <v>55.123682873679307</v>
      </c>
      <c r="AB8" s="309">
        <f>K8*$AB$3</f>
        <v>120.09440376454175</v>
      </c>
      <c r="AC8" s="221"/>
      <c r="AD8" s="226">
        <f t="shared" si="3"/>
        <v>1.4550832532824614E-2</v>
      </c>
      <c r="AE8" s="380">
        <f>AD8*$AE$3</f>
        <v>98.756500400280657</v>
      </c>
    </row>
    <row r="9" spans="2:32" x14ac:dyDescent="0.25">
      <c r="B9" s="1" t="s">
        <v>23</v>
      </c>
      <c r="C9" t="s">
        <v>24</v>
      </c>
      <c r="D9" s="2"/>
      <c r="G9" s="362">
        <v>1</v>
      </c>
      <c r="H9" s="214">
        <v>2702.31</v>
      </c>
      <c r="I9" s="118"/>
      <c r="J9" s="118">
        <f t="shared" si="0"/>
        <v>2.3924338353680859E-2</v>
      </c>
      <c r="K9" s="118">
        <f t="shared" si="1"/>
        <v>2.158141004359632E-2</v>
      </c>
      <c r="L9" s="118">
        <f t="shared" si="2"/>
        <v>2.8571428571428571E-2</v>
      </c>
      <c r="M9" s="292">
        <f>J9*$M$3</f>
        <v>164.7429939034464</v>
      </c>
      <c r="N9" s="292">
        <f>J9*$N$3</f>
        <v>38.518184749426183</v>
      </c>
      <c r="O9" s="292">
        <f>J9*$O$3</f>
        <v>39.451233945219734</v>
      </c>
      <c r="P9" s="292">
        <f>J9*$P$3</f>
        <v>7.751485626592598</v>
      </c>
      <c r="Q9" s="292">
        <f t="shared" si="8"/>
        <v>27.365227935280135</v>
      </c>
      <c r="R9" s="292">
        <f t="shared" si="9"/>
        <v>6.5175858331660885</v>
      </c>
      <c r="S9" s="309">
        <f>K9*$S$3</f>
        <v>64.873718591050533</v>
      </c>
      <c r="T9" s="309">
        <f>K9*$T$3</f>
        <v>132.18613651702745</v>
      </c>
      <c r="U9" s="309">
        <f>K9*$U$3</f>
        <v>49.227196309443208</v>
      </c>
      <c r="V9" s="309">
        <f>K9*$V$3</f>
        <v>30.645602261906774</v>
      </c>
      <c r="W9" s="309">
        <f>K9*$W$3</f>
        <v>6.733399933602052</v>
      </c>
      <c r="X9" s="309">
        <f>K9*$X$3</f>
        <v>28.07741446671881</v>
      </c>
      <c r="Y9" s="309">
        <f>K9*$Y$3</f>
        <v>53.003943067072562</v>
      </c>
      <c r="Z9" s="309">
        <f>K9*$Z$3</f>
        <v>25.250249751007694</v>
      </c>
      <c r="AA9" s="309">
        <f t="shared" si="18"/>
        <v>46.102200007543011</v>
      </c>
      <c r="AB9" s="309">
        <f>K9*$AB$3</f>
        <v>100.43988234289728</v>
      </c>
      <c r="AC9" s="221"/>
      <c r="AD9" s="226">
        <f t="shared" si="3"/>
        <v>1.2169458873816515E-2</v>
      </c>
      <c r="AE9" s="380">
        <f>AD9*$AE$3</f>
        <v>82.594117376592692</v>
      </c>
    </row>
    <row r="10" spans="2:32" x14ac:dyDescent="0.25">
      <c r="B10" s="1" t="s">
        <v>25</v>
      </c>
      <c r="C10" t="s">
        <v>26</v>
      </c>
      <c r="D10" s="2"/>
      <c r="G10" s="362">
        <v>0</v>
      </c>
      <c r="H10" s="214">
        <v>261.60000000000002</v>
      </c>
      <c r="I10" s="118"/>
      <c r="J10" s="118">
        <f t="shared" si="0"/>
        <v>2.3160210757917905E-3</v>
      </c>
      <c r="K10" s="118">
        <f t="shared" si="1"/>
        <v>2.0892114033566828E-3</v>
      </c>
      <c r="L10" s="118">
        <f t="shared" si="2"/>
        <v>0</v>
      </c>
      <c r="M10" s="292">
        <f t="shared" si="4"/>
        <v>15.948121127902269</v>
      </c>
      <c r="N10" s="292">
        <f t="shared" si="5"/>
        <v>3.7287939320247827</v>
      </c>
      <c r="O10" s="292">
        <f t="shared" si="6"/>
        <v>3.8191187539806624</v>
      </c>
      <c r="P10" s="292">
        <f t="shared" si="7"/>
        <v>0.75039082855654016</v>
      </c>
      <c r="Q10" s="292">
        <f t="shared" si="8"/>
        <v>2.6491200594562736</v>
      </c>
      <c r="R10" s="292">
        <f t="shared" si="9"/>
        <v>0.63094184381371821</v>
      </c>
      <c r="S10" s="309">
        <f t="shared" si="10"/>
        <v>6.2801694784901887</v>
      </c>
      <c r="T10" s="309">
        <f t="shared" si="11"/>
        <v>12.796419845559683</v>
      </c>
      <c r="U10" s="309">
        <f t="shared" si="12"/>
        <v>4.7654912110565935</v>
      </c>
      <c r="V10" s="309">
        <f t="shared" si="13"/>
        <v>2.9666801927664896</v>
      </c>
      <c r="W10" s="309">
        <f t="shared" si="14"/>
        <v>0.65183395784728504</v>
      </c>
      <c r="X10" s="309">
        <f t="shared" si="15"/>
        <v>2.7180640357670445</v>
      </c>
      <c r="Y10" s="309">
        <f t="shared" si="16"/>
        <v>5.1311032066440125</v>
      </c>
      <c r="Z10" s="309">
        <f t="shared" si="17"/>
        <v>2.4443773419273187</v>
      </c>
      <c r="AA10" s="309">
        <f t="shared" si="18"/>
        <v>4.4629726130507805</v>
      </c>
      <c r="AB10" s="309">
        <f t="shared" si="19"/>
        <v>9.7231898712220008</v>
      </c>
      <c r="AC10" s="221"/>
      <c r="AD10" s="226">
        <f t="shared" si="3"/>
        <v>1.1780774379661846E-3</v>
      </c>
      <c r="AE10" s="380">
        <f t="shared" si="20"/>
        <v>7.9956115714764948</v>
      </c>
    </row>
    <row r="11" spans="2:32" x14ac:dyDescent="0.25">
      <c r="B11" s="1">
        <v>112</v>
      </c>
      <c r="C11" t="s">
        <v>27</v>
      </c>
      <c r="D11" s="2"/>
      <c r="G11" s="362">
        <v>1</v>
      </c>
      <c r="H11" s="214">
        <v>5008.5</v>
      </c>
      <c r="I11" s="118"/>
      <c r="J11" s="118">
        <f t="shared" si="0"/>
        <v>4.4341710849018279E-2</v>
      </c>
      <c r="K11" s="118">
        <f t="shared" si="1"/>
        <v>3.9999294012660343E-2</v>
      </c>
      <c r="L11" s="118">
        <f t="shared" si="2"/>
        <v>2.8571428571428571E-2</v>
      </c>
      <c r="M11" s="292">
        <f t="shared" si="4"/>
        <v>305.33702090633989</v>
      </c>
      <c r="N11" s="292">
        <f t="shared" si="5"/>
        <v>71.390154466919427</v>
      </c>
      <c r="O11" s="292">
        <f t="shared" si="6"/>
        <v>73.119481190031138</v>
      </c>
      <c r="P11" s="292">
        <f t="shared" si="7"/>
        <v>14.366714315081921</v>
      </c>
      <c r="Q11" s="292">
        <f t="shared" si="8"/>
        <v>50.719104808053316</v>
      </c>
      <c r="R11" s="292">
        <f t="shared" si="9"/>
        <v>12.079786791823423</v>
      </c>
      <c r="S11" s="309">
        <f t="shared" si="10"/>
        <v>120.23787780205699</v>
      </c>
      <c r="T11" s="309">
        <f t="shared" si="11"/>
        <v>244.9956758275446</v>
      </c>
      <c r="U11" s="309">
        <f t="shared" si="12"/>
        <v>91.238389642878246</v>
      </c>
      <c r="V11" s="309">
        <f t="shared" si="13"/>
        <v>56.798997497977687</v>
      </c>
      <c r="W11" s="309">
        <f t="shared" si="14"/>
        <v>12.479779731950027</v>
      </c>
      <c r="X11" s="309">
        <f t="shared" si="15"/>
        <v>52.039081510471107</v>
      </c>
      <c r="Y11" s="309">
        <f t="shared" si="16"/>
        <v>98.238266095093806</v>
      </c>
      <c r="Z11" s="309">
        <f t="shared" si="17"/>
        <v>46.799173994812598</v>
      </c>
      <c r="AA11" s="309">
        <f t="shared" si="18"/>
        <v>85.446476806058229</v>
      </c>
      <c r="AB11" s="309">
        <f t="shared" si="19"/>
        <v>186.15671433492125</v>
      </c>
      <c r="AC11" s="221"/>
      <c r="AD11" s="226">
        <f t="shared" si="3"/>
        <v>2.2555049113354875E-2</v>
      </c>
      <c r="AE11" s="380">
        <f t="shared" si="20"/>
        <v>153.08111833233954</v>
      </c>
    </row>
    <row r="12" spans="2:32" ht="15.75" thickBot="1" x14ac:dyDescent="0.3">
      <c r="B12" s="1">
        <v>114</v>
      </c>
      <c r="C12" t="s">
        <v>28</v>
      </c>
      <c r="D12" s="2"/>
      <c r="H12" s="214">
        <v>0</v>
      </c>
      <c r="I12" s="118"/>
      <c r="J12" s="118">
        <f t="shared" si="0"/>
        <v>0</v>
      </c>
      <c r="K12" s="118">
        <f t="shared" si="1"/>
        <v>0</v>
      </c>
      <c r="L12" s="118">
        <f t="shared" si="2"/>
        <v>0</v>
      </c>
      <c r="M12" s="292">
        <f t="shared" si="4"/>
        <v>0</v>
      </c>
      <c r="N12" s="292">
        <f t="shared" si="5"/>
        <v>0</v>
      </c>
      <c r="O12" s="292">
        <f t="shared" si="6"/>
        <v>0</v>
      </c>
      <c r="P12" s="292">
        <f t="shared" si="7"/>
        <v>0</v>
      </c>
      <c r="Q12" s="292">
        <f t="shared" si="8"/>
        <v>0</v>
      </c>
      <c r="R12" s="292">
        <f t="shared" si="9"/>
        <v>0</v>
      </c>
      <c r="S12" s="309">
        <f t="shared" si="10"/>
        <v>0</v>
      </c>
      <c r="T12" s="309">
        <f t="shared" si="11"/>
        <v>0</v>
      </c>
      <c r="U12" s="309">
        <f t="shared" si="12"/>
        <v>0</v>
      </c>
      <c r="V12" s="309">
        <f t="shared" si="13"/>
        <v>0</v>
      </c>
      <c r="W12" s="309">
        <f t="shared" si="14"/>
        <v>0</v>
      </c>
      <c r="X12" s="309">
        <f t="shared" si="15"/>
        <v>0</v>
      </c>
      <c r="Y12" s="309">
        <f t="shared" si="16"/>
        <v>0</v>
      </c>
      <c r="Z12" s="309">
        <f t="shared" si="17"/>
        <v>0</v>
      </c>
      <c r="AA12" s="309">
        <f t="shared" si="18"/>
        <v>0</v>
      </c>
      <c r="AB12" s="309">
        <f t="shared" si="19"/>
        <v>0</v>
      </c>
      <c r="AC12" s="221"/>
      <c r="AD12" s="226">
        <f t="shared" si="3"/>
        <v>0</v>
      </c>
      <c r="AE12" s="380">
        <f t="shared" si="20"/>
        <v>0</v>
      </c>
    </row>
    <row r="13" spans="2:32" ht="15.75" thickBot="1" x14ac:dyDescent="0.3">
      <c r="B13" s="1">
        <v>222</v>
      </c>
      <c r="C13" t="s">
        <v>29</v>
      </c>
      <c r="D13" s="2"/>
      <c r="G13" s="362">
        <v>0.5</v>
      </c>
      <c r="H13" s="213">
        <v>3653.71</v>
      </c>
      <c r="I13" s="118"/>
      <c r="J13" s="118">
        <f t="shared" si="0"/>
        <v>3.2347359957305893E-2</v>
      </c>
      <c r="K13" s="118">
        <f t="shared" si="1"/>
        <v>2.9179558855345355E-2</v>
      </c>
      <c r="L13" s="118">
        <f t="shared" si="2"/>
        <v>1.4285714285714285E-2</v>
      </c>
      <c r="M13" s="292">
        <f t="shared" si="4"/>
        <v>222.74392066600839</v>
      </c>
      <c r="N13" s="292">
        <f t="shared" si="5"/>
        <v>52.079249531262491</v>
      </c>
      <c r="O13" s="292">
        <f t="shared" si="6"/>
        <v>53.340796569597416</v>
      </c>
      <c r="P13" s="292">
        <f t="shared" si="7"/>
        <v>10.480544626167109</v>
      </c>
      <c r="Q13" s="292">
        <f t="shared" si="8"/>
        <v>36.999680628577913</v>
      </c>
      <c r="R13" s="292">
        <f t="shared" si="9"/>
        <v>8.812226774314297</v>
      </c>
      <c r="S13" s="309">
        <f t="shared" si="10"/>
        <v>87.713753919168141</v>
      </c>
      <c r="T13" s="309">
        <f t="shared" si="11"/>
        <v>178.7247979889903</v>
      </c>
      <c r="U13" s="309">
        <f t="shared" si="12"/>
        <v>66.55857374904275</v>
      </c>
      <c r="V13" s="309">
        <f t="shared" si="13"/>
        <v>41.434973574590401</v>
      </c>
      <c r="W13" s="309">
        <f t="shared" si="14"/>
        <v>9.1040223628677506</v>
      </c>
      <c r="X13" s="309">
        <f t="shared" si="15"/>
        <v>37.962606070804306</v>
      </c>
      <c r="Y13" s="309">
        <f t="shared" si="16"/>
        <v>71.664996548728197</v>
      </c>
      <c r="Z13" s="309">
        <f t="shared" si="17"/>
        <v>34.140083860754068</v>
      </c>
      <c r="AA13" s="309">
        <f t="shared" si="18"/>
        <v>62.333362637728456</v>
      </c>
      <c r="AB13" s="309">
        <f t="shared" si="19"/>
        <v>135.80166691277728</v>
      </c>
      <c r="AC13" s="221"/>
      <c r="AD13" s="226">
        <f t="shared" si="3"/>
        <v>1.6453949984217998E-2</v>
      </c>
      <c r="AE13" s="380">
        <f t="shared" si="20"/>
        <v>111.67295854288756</v>
      </c>
    </row>
    <row r="14" spans="2:32" ht="15.75" thickBot="1" x14ac:dyDescent="0.3">
      <c r="B14" s="1">
        <v>223</v>
      </c>
      <c r="C14" t="s">
        <v>30</v>
      </c>
      <c r="D14" s="2"/>
      <c r="H14" s="215">
        <v>0</v>
      </c>
      <c r="I14" s="115"/>
      <c r="J14" s="118">
        <f t="shared" si="0"/>
        <v>0</v>
      </c>
      <c r="K14" s="118">
        <f t="shared" si="1"/>
        <v>0</v>
      </c>
      <c r="L14" s="118">
        <f t="shared" si="2"/>
        <v>0</v>
      </c>
      <c r="M14" s="293">
        <f t="shared" si="4"/>
        <v>0</v>
      </c>
      <c r="N14" s="293">
        <f t="shared" si="5"/>
        <v>0</v>
      </c>
      <c r="O14" s="293">
        <f t="shared" si="6"/>
        <v>0</v>
      </c>
      <c r="P14" s="293">
        <f t="shared" si="7"/>
        <v>0</v>
      </c>
      <c r="Q14" s="292">
        <f t="shared" si="8"/>
        <v>0</v>
      </c>
      <c r="R14" s="292">
        <f t="shared" si="9"/>
        <v>0</v>
      </c>
      <c r="S14" s="309">
        <f t="shared" si="10"/>
        <v>0</v>
      </c>
      <c r="T14" s="309">
        <f t="shared" si="11"/>
        <v>0</v>
      </c>
      <c r="U14" s="309">
        <f t="shared" si="12"/>
        <v>0</v>
      </c>
      <c r="V14" s="309">
        <f t="shared" si="13"/>
        <v>0</v>
      </c>
      <c r="W14" s="309">
        <f t="shared" si="14"/>
        <v>0</v>
      </c>
      <c r="X14" s="309">
        <f t="shared" si="15"/>
        <v>0</v>
      </c>
      <c r="Y14" s="309">
        <f t="shared" si="16"/>
        <v>0</v>
      </c>
      <c r="Z14" s="309">
        <f t="shared" si="17"/>
        <v>0</v>
      </c>
      <c r="AA14" s="309">
        <f t="shared" si="18"/>
        <v>0</v>
      </c>
      <c r="AB14" s="309">
        <f t="shared" si="19"/>
        <v>0</v>
      </c>
      <c r="AC14" s="225"/>
      <c r="AD14" s="215">
        <f t="shared" si="3"/>
        <v>0</v>
      </c>
      <c r="AE14" s="381">
        <f t="shared" si="20"/>
        <v>0</v>
      </c>
    </row>
    <row r="15" spans="2:32" x14ac:dyDescent="0.25">
      <c r="B15" s="1">
        <v>334</v>
      </c>
      <c r="C15" s="230" t="s">
        <v>73</v>
      </c>
      <c r="D15" s="231"/>
      <c r="E15" s="230"/>
      <c r="F15" s="230"/>
      <c r="G15" s="363"/>
      <c r="H15" s="118">
        <v>0</v>
      </c>
      <c r="I15" s="118"/>
      <c r="J15" s="118">
        <f t="shared" si="0"/>
        <v>0</v>
      </c>
      <c r="K15" s="118">
        <f t="shared" si="1"/>
        <v>0</v>
      </c>
      <c r="L15" s="118">
        <f t="shared" si="2"/>
        <v>0</v>
      </c>
      <c r="M15" s="292">
        <f>J15*$M$3</f>
        <v>0</v>
      </c>
      <c r="N15" s="292">
        <f>J15*$N$3</f>
        <v>0</v>
      </c>
      <c r="O15" s="292">
        <f>J15*$O$3</f>
        <v>0</v>
      </c>
      <c r="P15" s="292">
        <f>J15*$P$3</f>
        <v>0</v>
      </c>
      <c r="Q15" s="292">
        <f t="shared" si="8"/>
        <v>0</v>
      </c>
      <c r="R15" s="292">
        <f t="shared" si="9"/>
        <v>0</v>
      </c>
      <c r="S15" s="309">
        <f t="shared" si="10"/>
        <v>0</v>
      </c>
      <c r="T15" s="309">
        <f t="shared" si="11"/>
        <v>0</v>
      </c>
      <c r="U15" s="309">
        <f t="shared" si="12"/>
        <v>0</v>
      </c>
      <c r="V15" s="309">
        <f t="shared" si="13"/>
        <v>0</v>
      </c>
      <c r="W15" s="309">
        <f t="shared" si="14"/>
        <v>0</v>
      </c>
      <c r="X15" s="309">
        <f t="shared" si="15"/>
        <v>0</v>
      </c>
      <c r="Y15" s="309">
        <f t="shared" si="16"/>
        <v>0</v>
      </c>
      <c r="Z15" s="309">
        <f t="shared" si="17"/>
        <v>0</v>
      </c>
      <c r="AA15" s="309">
        <f t="shared" si="18"/>
        <v>0</v>
      </c>
      <c r="AB15" s="309">
        <f t="shared" si="19"/>
        <v>0</v>
      </c>
      <c r="AC15" s="221"/>
      <c r="AD15" s="226">
        <f t="shared" si="3"/>
        <v>0</v>
      </c>
      <c r="AE15" s="380">
        <f>AD15*$AE$3</f>
        <v>0</v>
      </c>
    </row>
    <row r="16" spans="2:32" x14ac:dyDescent="0.25">
      <c r="B16" s="1" t="s">
        <v>35</v>
      </c>
      <c r="C16" s="230" t="s">
        <v>36</v>
      </c>
      <c r="D16" s="231"/>
      <c r="E16" s="234"/>
      <c r="F16" s="234"/>
      <c r="G16" s="363">
        <v>0.5</v>
      </c>
      <c r="H16" s="118">
        <v>1150</v>
      </c>
      <c r="I16" s="318"/>
      <c r="J16" s="118">
        <f t="shared" si="0"/>
        <v>1.0181285310246785E-2</v>
      </c>
      <c r="K16" s="118">
        <f t="shared" si="1"/>
        <v>9.1842244413615631E-3</v>
      </c>
      <c r="L16" s="118">
        <f t="shared" si="2"/>
        <v>1.4285714285714285E-2</v>
      </c>
      <c r="M16" s="292">
        <f t="shared" si="4"/>
        <v>70.108330646359363</v>
      </c>
      <c r="N16" s="292">
        <f t="shared" si="5"/>
        <v>16.391869349497323</v>
      </c>
      <c r="O16" s="292">
        <f t="shared" si="6"/>
        <v>16.788939476596948</v>
      </c>
      <c r="P16" s="292">
        <f t="shared" si="7"/>
        <v>3.2987364405199582</v>
      </c>
      <c r="Q16" s="292">
        <f t="shared" si="8"/>
        <v>11.645596591646463</v>
      </c>
      <c r="R16" s="292">
        <f t="shared" si="9"/>
        <v>2.7736357812911923</v>
      </c>
      <c r="S16" s="309">
        <f t="shared" si="10"/>
        <v>27.607778670732859</v>
      </c>
      <c r="T16" s="309">
        <f t="shared" si="11"/>
        <v>56.253374703339574</v>
      </c>
      <c r="U16" s="309">
        <f t="shared" si="12"/>
        <v>20.949215950745725</v>
      </c>
      <c r="V16" s="309">
        <f t="shared" si="13"/>
        <v>13.041598706733419</v>
      </c>
      <c r="W16" s="309">
        <f t="shared" si="14"/>
        <v>2.8654780257048076</v>
      </c>
      <c r="X16" s="309">
        <f t="shared" si="15"/>
        <v>11.948675998211394</v>
      </c>
      <c r="Y16" s="309">
        <f t="shared" si="16"/>
        <v>22.556455227983999</v>
      </c>
      <c r="Z16" s="309">
        <f t="shared" si="17"/>
        <v>10.74554259639303</v>
      </c>
      <c r="AA16" s="309">
        <f t="shared" si="18"/>
        <v>19.619336792845555</v>
      </c>
      <c r="AB16" s="309">
        <f t="shared" si="19"/>
        <v>42.743380550096717</v>
      </c>
      <c r="AC16" s="221"/>
      <c r="AD16" s="226">
        <f t="shared" si="3"/>
        <v>5.1788572387657201E-3</v>
      </c>
      <c r="AE16" s="380">
        <f t="shared" si="20"/>
        <v>35.148904079502941</v>
      </c>
    </row>
    <row r="17" spans="2:31" x14ac:dyDescent="0.25">
      <c r="B17" s="1" t="s">
        <v>37</v>
      </c>
      <c r="C17" s="230" t="s">
        <v>38</v>
      </c>
      <c r="D17" s="231"/>
      <c r="E17" s="230"/>
      <c r="F17" s="230"/>
      <c r="G17" s="363"/>
      <c r="H17" s="15">
        <v>0</v>
      </c>
      <c r="I17" s="118"/>
      <c r="J17" s="118">
        <f t="shared" si="0"/>
        <v>0</v>
      </c>
      <c r="K17" s="118">
        <f t="shared" si="1"/>
        <v>0</v>
      </c>
      <c r="L17" s="118">
        <f t="shared" si="2"/>
        <v>0</v>
      </c>
      <c r="M17" s="292">
        <f t="shared" si="4"/>
        <v>0</v>
      </c>
      <c r="N17" s="292">
        <f t="shared" si="5"/>
        <v>0</v>
      </c>
      <c r="O17" s="292">
        <f t="shared" si="6"/>
        <v>0</v>
      </c>
      <c r="P17" s="292">
        <f t="shared" si="7"/>
        <v>0</v>
      </c>
      <c r="Q17" s="292">
        <f t="shared" si="8"/>
        <v>0</v>
      </c>
      <c r="R17" s="292">
        <f t="shared" si="9"/>
        <v>0</v>
      </c>
      <c r="S17" s="309">
        <f t="shared" si="10"/>
        <v>0</v>
      </c>
      <c r="T17" s="309">
        <f t="shared" si="11"/>
        <v>0</v>
      </c>
      <c r="U17" s="309">
        <f t="shared" si="12"/>
        <v>0</v>
      </c>
      <c r="V17" s="309">
        <f t="shared" si="13"/>
        <v>0</v>
      </c>
      <c r="W17" s="309">
        <f t="shared" si="14"/>
        <v>0</v>
      </c>
      <c r="X17" s="309">
        <f t="shared" si="15"/>
        <v>0</v>
      </c>
      <c r="Y17" s="309">
        <f t="shared" si="16"/>
        <v>0</v>
      </c>
      <c r="Z17" s="309">
        <f t="shared" si="17"/>
        <v>0</v>
      </c>
      <c r="AA17" s="309">
        <f t="shared" si="18"/>
        <v>0</v>
      </c>
      <c r="AB17" s="309">
        <f t="shared" si="19"/>
        <v>0</v>
      </c>
      <c r="AC17" s="221"/>
      <c r="AD17" s="226">
        <f t="shared" si="3"/>
        <v>0</v>
      </c>
      <c r="AE17" s="380">
        <f t="shared" si="20"/>
        <v>0</v>
      </c>
    </row>
    <row r="18" spans="2:31" x14ac:dyDescent="0.25">
      <c r="B18" s="1">
        <v>335</v>
      </c>
      <c r="C18" s="230" t="s">
        <v>39</v>
      </c>
      <c r="D18" s="231"/>
      <c r="E18" s="230"/>
      <c r="F18" s="230"/>
      <c r="G18" s="363">
        <v>0.5</v>
      </c>
      <c r="H18" s="118">
        <v>846.15</v>
      </c>
      <c r="I18" s="118"/>
      <c r="J18" s="118">
        <f t="shared" si="0"/>
        <v>7.4912126654481017E-3</v>
      </c>
      <c r="K18" s="118">
        <f t="shared" si="1"/>
        <v>6.7575926183113802E-3</v>
      </c>
      <c r="L18" s="118">
        <f t="shared" si="2"/>
        <v>1.4285714285714285E-2</v>
      </c>
      <c r="M18" s="292">
        <f t="shared" si="4"/>
        <v>51.584490414275628</v>
      </c>
      <c r="N18" s="292">
        <f t="shared" si="5"/>
        <v>12.060852391371444</v>
      </c>
      <c r="O18" s="292">
        <f t="shared" si="6"/>
        <v>12.35300968532392</v>
      </c>
      <c r="P18" s="292">
        <f t="shared" si="7"/>
        <v>2.4271529036051849</v>
      </c>
      <c r="Q18" s="292">
        <f t="shared" si="8"/>
        <v>8.5686274400188296</v>
      </c>
      <c r="R18" s="292">
        <f t="shared" si="9"/>
        <v>2.040792970730037</v>
      </c>
      <c r="S18" s="309">
        <f t="shared" si="10"/>
        <v>20.31332341064401</v>
      </c>
      <c r="T18" s="309">
        <f t="shared" si="11"/>
        <v>41.390254787157204</v>
      </c>
      <c r="U18" s="309">
        <f t="shared" si="12"/>
        <v>15.414068762368258</v>
      </c>
      <c r="V18" s="309">
        <f t="shared" si="13"/>
        <v>9.5957815180021591</v>
      </c>
      <c r="W18" s="309">
        <f t="shared" si="14"/>
        <v>2.1083688969131504</v>
      </c>
      <c r="X18" s="309">
        <f t="shared" si="15"/>
        <v>8.7916279964231059</v>
      </c>
      <c r="Y18" s="309">
        <f t="shared" si="16"/>
        <v>16.596647470572751</v>
      </c>
      <c r="Z18" s="309">
        <f t="shared" si="17"/>
        <v>7.9063833634243146</v>
      </c>
      <c r="AA18" s="309">
        <f t="shared" si="18"/>
        <v>14.435566806318493</v>
      </c>
      <c r="AB18" s="309">
        <f t="shared" si="19"/>
        <v>31.449836045621165</v>
      </c>
      <c r="AC18" s="221"/>
      <c r="AD18" s="226">
        <f t="shared" si="3"/>
        <v>3.8105130892014034E-3</v>
      </c>
      <c r="AE18" s="380">
        <f t="shared" si="20"/>
        <v>25.861952336409924</v>
      </c>
    </row>
    <row r="19" spans="2:31" ht="15.75" thickBot="1" x14ac:dyDescent="0.3">
      <c r="B19" s="1">
        <v>368</v>
      </c>
      <c r="C19" t="s">
        <v>40</v>
      </c>
      <c r="D19" s="2"/>
      <c r="G19" s="362">
        <v>1.5</v>
      </c>
      <c r="H19" s="214">
        <v>6018.91</v>
      </c>
      <c r="I19" s="118"/>
      <c r="J19" s="118">
        <f t="shared" si="0"/>
        <v>5.3287165188432586E-2</v>
      </c>
      <c r="K19" s="118">
        <f t="shared" si="1"/>
        <v>4.8068713332483068E-2</v>
      </c>
      <c r="L19" s="118">
        <f t="shared" si="2"/>
        <v>4.2857142857142858E-2</v>
      </c>
      <c r="M19" s="292">
        <f>J19*$M$3</f>
        <v>366.93541948754677</v>
      </c>
      <c r="N19" s="292">
        <f>J19*$N$3</f>
        <v>85.792335953376465</v>
      </c>
      <c r="O19" s="292">
        <f>J19*$O$3</f>
        <v>87.870535395725341</v>
      </c>
      <c r="P19" s="292">
        <f>J19*$P$3</f>
        <v>17.265041521052158</v>
      </c>
      <c r="Q19" s="292">
        <f t="shared" si="8"/>
        <v>60.951128505588528</v>
      </c>
      <c r="R19" s="292">
        <f t="shared" si="9"/>
        <v>14.516751426409886</v>
      </c>
      <c r="S19" s="309">
        <f t="shared" si="10"/>
        <v>144.49455227744411</v>
      </c>
      <c r="T19" s="309">
        <f t="shared" si="11"/>
        <v>294.42086916145877</v>
      </c>
      <c r="U19" s="309">
        <f t="shared" si="12"/>
        <v>109.64473511139387</v>
      </c>
      <c r="V19" s="309">
        <f t="shared" si="13"/>
        <v>68.257572932125953</v>
      </c>
      <c r="W19" s="309">
        <f t="shared" si="14"/>
        <v>14.997438559734718</v>
      </c>
      <c r="X19" s="309">
        <f t="shared" si="15"/>
        <v>62.53739604556047</v>
      </c>
      <c r="Y19" s="309">
        <f t="shared" si="16"/>
        <v>118.05675994457842</v>
      </c>
      <c r="Z19" s="309">
        <f t="shared" si="17"/>
        <v>56.240394599005192</v>
      </c>
      <c r="AA19" s="309">
        <f t="shared" si="18"/>
        <v>102.68436731810959</v>
      </c>
      <c r="AB19" s="309">
        <f t="shared" si="19"/>
        <v>223.7117918493762</v>
      </c>
      <c r="AC19" s="221"/>
      <c r="AD19" s="226">
        <f t="shared" si="3"/>
        <v>2.710528315041685E-2</v>
      </c>
      <c r="AE19" s="380">
        <f>AD19*$AE$3</f>
        <v>183.96355674187916</v>
      </c>
    </row>
    <row r="20" spans="2:31" ht="15.75" thickBot="1" x14ac:dyDescent="0.3">
      <c r="B20" s="1">
        <v>451</v>
      </c>
      <c r="C20" s="107" t="s">
        <v>41</v>
      </c>
      <c r="D20" s="81"/>
      <c r="E20" s="107"/>
      <c r="F20" s="107"/>
      <c r="G20" s="364">
        <v>5.5</v>
      </c>
      <c r="H20" s="175">
        <v>13963.15</v>
      </c>
      <c r="I20" s="89"/>
      <c r="J20" s="89">
        <f t="shared" si="0"/>
        <v>0.12361983824328034</v>
      </c>
      <c r="K20" s="89">
        <f t="shared" si="1"/>
        <v>0.11151365522469367</v>
      </c>
      <c r="L20" s="15">
        <f t="shared" si="2"/>
        <v>0.15714285714285714</v>
      </c>
      <c r="M20" s="297">
        <f t="shared" si="4"/>
        <v>851.24620614322839</v>
      </c>
      <c r="N20" s="297">
        <f t="shared" si="5"/>
        <v>199.02793957168134</v>
      </c>
      <c r="O20" s="297">
        <f t="shared" si="6"/>
        <v>203.84911326316927</v>
      </c>
      <c r="P20" s="297">
        <f t="shared" si="7"/>
        <v>40.05282759082283</v>
      </c>
      <c r="Q20" s="292">
        <f t="shared" si="8"/>
        <v>141.39931482491158</v>
      </c>
      <c r="R20" s="297">
        <f t="shared" si="9"/>
        <v>33.67712387785749</v>
      </c>
      <c r="S20" s="325">
        <f t="shared" si="10"/>
        <v>335.21004760542917</v>
      </c>
      <c r="T20" s="325">
        <f t="shared" si="11"/>
        <v>683.02113825124877</v>
      </c>
      <c r="U20" s="325">
        <f t="shared" si="12"/>
        <v>254.36264756752627</v>
      </c>
      <c r="V20" s="325">
        <f>K20*$V$3</f>
        <v>158.349390419065</v>
      </c>
      <c r="W20" s="325">
        <f t="shared" si="14"/>
        <v>34.792260430104427</v>
      </c>
      <c r="X20" s="325">
        <f t="shared" si="15"/>
        <v>145.07926544732646</v>
      </c>
      <c r="Y20" s="325">
        <f t="shared" si="16"/>
        <v>273.87753723184767</v>
      </c>
      <c r="Z20" s="325">
        <f t="shared" si="17"/>
        <v>130.4709766128916</v>
      </c>
      <c r="AA20" s="309">
        <f t="shared" si="18"/>
        <v>238.2154282948012</v>
      </c>
      <c r="AB20" s="325">
        <f t="shared" si="19"/>
        <v>518.98455141572435</v>
      </c>
      <c r="AC20" s="179"/>
      <c r="AD20" s="177">
        <f t="shared" si="3"/>
        <v>6.2881009089975265E-2</v>
      </c>
      <c r="AE20" s="382">
        <f t="shared" si="20"/>
        <v>426.77340869366213</v>
      </c>
    </row>
    <row r="21" spans="2:31" x14ac:dyDescent="0.25">
      <c r="B21" s="1">
        <v>452</v>
      </c>
      <c r="C21" t="s">
        <v>42</v>
      </c>
      <c r="D21" s="2"/>
      <c r="G21" s="362">
        <v>2</v>
      </c>
      <c r="H21" s="214">
        <v>1950</v>
      </c>
      <c r="I21" s="118"/>
      <c r="J21" s="118">
        <f t="shared" si="0"/>
        <v>1.7263918569548897E-2</v>
      </c>
      <c r="K21" s="118">
        <f t="shared" si="1"/>
        <v>1.5573250139700043E-2</v>
      </c>
      <c r="L21" s="118">
        <f t="shared" si="2"/>
        <v>5.7142857142857141E-2</v>
      </c>
      <c r="M21" s="292">
        <f t="shared" si="4"/>
        <v>118.8793432699137</v>
      </c>
      <c r="N21" s="292">
        <f t="shared" si="5"/>
        <v>27.794908896973723</v>
      </c>
      <c r="O21" s="292">
        <f t="shared" si="6"/>
        <v>28.46820172118613</v>
      </c>
      <c r="P21" s="292">
        <f t="shared" si="7"/>
        <v>5.5935096165338427</v>
      </c>
      <c r="Q21" s="292">
        <f t="shared" si="8"/>
        <v>19.746881177139656</v>
      </c>
      <c r="R21" s="292">
        <f t="shared" si="9"/>
        <v>4.7031215421894128</v>
      </c>
      <c r="S21" s="309">
        <f t="shared" si="10"/>
        <v>46.813189919938331</v>
      </c>
      <c r="T21" s="309">
        <f t="shared" si="11"/>
        <v>95.386157105662761</v>
      </c>
      <c r="U21" s="309">
        <f t="shared" si="12"/>
        <v>35.522583568655797</v>
      </c>
      <c r="V21" s="309">
        <f t="shared" si="13"/>
        <v>22.114015198374062</v>
      </c>
      <c r="W21" s="309">
        <f t="shared" si="14"/>
        <v>4.8588540435864136</v>
      </c>
      <c r="X21" s="309">
        <f t="shared" si="15"/>
        <v>20.260798431749755</v>
      </c>
      <c r="Y21" s="309">
        <f t="shared" si="16"/>
        <v>38.247902343103306</v>
      </c>
      <c r="Z21" s="309">
        <f t="shared" si="17"/>
        <v>18.22070266344905</v>
      </c>
      <c r="AA21" s="309">
        <f t="shared" si="18"/>
        <v>33.267571083520728</v>
      </c>
      <c r="AB21" s="309">
        <f t="shared" si="19"/>
        <v>72.477906150164003</v>
      </c>
      <c r="AC21" s="221"/>
      <c r="AD21" s="226">
        <f t="shared" si="3"/>
        <v>8.781540535298395E-3</v>
      </c>
      <c r="AE21" s="380">
        <f t="shared" si="20"/>
        <v>59.600315613070208</v>
      </c>
    </row>
    <row r="22" spans="2:31" x14ac:dyDescent="0.25">
      <c r="B22" s="1">
        <v>454</v>
      </c>
      <c r="C22" t="s">
        <v>43</v>
      </c>
      <c r="D22" s="2"/>
      <c r="H22" s="214"/>
      <c r="I22" s="118"/>
      <c r="J22" s="118"/>
      <c r="K22" s="118">
        <f t="shared" si="1"/>
        <v>0</v>
      </c>
      <c r="L22" s="118">
        <f t="shared" si="2"/>
        <v>0</v>
      </c>
      <c r="M22" s="292"/>
      <c r="N22" s="292"/>
      <c r="O22" s="292"/>
      <c r="P22" s="292"/>
      <c r="Q22" s="292">
        <f t="shared" si="8"/>
        <v>0</v>
      </c>
      <c r="R22" s="292">
        <f t="shared" si="9"/>
        <v>0</v>
      </c>
      <c r="S22" s="309">
        <f t="shared" si="10"/>
        <v>0</v>
      </c>
      <c r="T22" s="309">
        <f t="shared" si="11"/>
        <v>0</v>
      </c>
      <c r="U22" s="309">
        <f t="shared" si="12"/>
        <v>0</v>
      </c>
      <c r="V22" s="309">
        <f t="shared" si="13"/>
        <v>0</v>
      </c>
      <c r="W22" s="309">
        <f t="shared" si="14"/>
        <v>0</v>
      </c>
      <c r="X22" s="309">
        <f t="shared" si="15"/>
        <v>0</v>
      </c>
      <c r="Y22" s="309">
        <f t="shared" si="16"/>
        <v>0</v>
      </c>
      <c r="Z22" s="309">
        <f t="shared" si="17"/>
        <v>0</v>
      </c>
      <c r="AA22" s="309">
        <f t="shared" si="18"/>
        <v>0</v>
      </c>
      <c r="AB22" s="309">
        <f t="shared" si="19"/>
        <v>0</v>
      </c>
      <c r="AC22" s="221"/>
      <c r="AD22" s="226"/>
      <c r="AE22" s="380"/>
    </row>
    <row r="23" spans="2:31" x14ac:dyDescent="0.25">
      <c r="B23" s="1">
        <v>467</v>
      </c>
      <c r="C23" t="s">
        <v>44</v>
      </c>
      <c r="D23" s="2"/>
      <c r="G23" s="362">
        <v>2</v>
      </c>
      <c r="H23" s="214">
        <v>6903.87</v>
      </c>
      <c r="I23" s="118"/>
      <c r="J23" s="118">
        <f t="shared" ref="J23:J35" si="21">H23/$I$35</f>
        <v>6.1121974099872585E-2</v>
      </c>
      <c r="K23" s="118">
        <f t="shared" si="1"/>
        <v>5.5136253559985096E-2</v>
      </c>
      <c r="L23" s="118">
        <f t="shared" si="2"/>
        <v>5.7142857142857141E-2</v>
      </c>
      <c r="M23" s="292">
        <f>J23*$M$3</f>
        <v>420.8859136517226</v>
      </c>
      <c r="N23" s="292">
        <f>J23*$N$3</f>
        <v>98.406378300794856</v>
      </c>
      <c r="O23" s="292">
        <f>J23*$O$3</f>
        <v>100.79013529068989</v>
      </c>
      <c r="P23" s="292">
        <f>J23*$P$3</f>
        <v>19.803519608358716</v>
      </c>
      <c r="Q23" s="292">
        <f t="shared" si="8"/>
        <v>69.912769514061097</v>
      </c>
      <c r="R23" s="292">
        <f t="shared" si="9"/>
        <v>16.651148575115499</v>
      </c>
      <c r="S23" s="309">
        <f t="shared" si="10"/>
        <v>165.7395782013152</v>
      </c>
      <c r="T23" s="309">
        <f t="shared" si="11"/>
        <v>337.70955305490872</v>
      </c>
      <c r="U23" s="309">
        <f t="shared" si="12"/>
        <v>125.76579437032601</v>
      </c>
      <c r="V23" s="309">
        <f t="shared" si="13"/>
        <v>78.293480055178833</v>
      </c>
      <c r="W23" s="309">
        <f t="shared" si="14"/>
        <v>17.202511110715349</v>
      </c>
      <c r="X23" s="309">
        <f t="shared" si="15"/>
        <v>71.732265881540613</v>
      </c>
      <c r="Y23" s="309">
        <f t="shared" si="16"/>
        <v>135.41463874332339</v>
      </c>
      <c r="Z23" s="309">
        <f t="shared" si="17"/>
        <v>64.509416665182556</v>
      </c>
      <c r="AA23" s="309">
        <f t="shared" si="18"/>
        <v>117.78204409045448</v>
      </c>
      <c r="AB23" s="309">
        <f t="shared" si="19"/>
        <v>256.60412406817062</v>
      </c>
      <c r="AC23" s="221"/>
      <c r="AD23" s="226">
        <f t="shared" ref="AD23:AD38" si="22">H23/$H$39</f>
        <v>3.1090571413041296E-2</v>
      </c>
      <c r="AE23" s="380">
        <f>AD23*$AE$3</f>
        <v>211.01170818031127</v>
      </c>
    </row>
    <row r="24" spans="2:31" x14ac:dyDescent="0.25">
      <c r="B24" s="1">
        <v>468</v>
      </c>
      <c r="C24" t="s">
        <v>45</v>
      </c>
      <c r="D24" s="2"/>
      <c r="G24" s="362">
        <v>1</v>
      </c>
      <c r="H24" s="214">
        <v>6307.7</v>
      </c>
      <c r="I24" s="118"/>
      <c r="J24" s="118">
        <f t="shared" si="21"/>
        <v>5.584390726212491E-2</v>
      </c>
      <c r="K24" s="118">
        <f t="shared" si="1"/>
        <v>5.0375071746762028E-2</v>
      </c>
      <c r="L24" s="118">
        <f t="shared" si="2"/>
        <v>2.8571428571428571E-2</v>
      </c>
      <c r="M24" s="292">
        <f>J24*$M$3</f>
        <v>384.54114540699214</v>
      </c>
      <c r="N24" s="292">
        <f>J24*$N$3</f>
        <v>89.908690692021111</v>
      </c>
      <c r="O24" s="292">
        <f>J24*$O$3</f>
        <v>92.086603075243971</v>
      </c>
      <c r="P24" s="292">
        <f>J24*$P$3</f>
        <v>18.09342595292847</v>
      </c>
      <c r="Q24" s="292">
        <f t="shared" si="8"/>
        <v>63.875590974894251</v>
      </c>
      <c r="R24" s="292">
        <f t="shared" si="9"/>
        <v>15.213271667522132</v>
      </c>
      <c r="S24" s="309">
        <f t="shared" si="10"/>
        <v>151.42746567076665</v>
      </c>
      <c r="T24" s="309">
        <f t="shared" si="11"/>
        <v>308.5473144489174</v>
      </c>
      <c r="U24" s="309">
        <f t="shared" si="12"/>
        <v>114.90553865436418</v>
      </c>
      <c r="V24" s="309">
        <f t="shared" si="13"/>
        <v>71.532601880402083</v>
      </c>
      <c r="W24" s="309">
        <f t="shared" si="14"/>
        <v>15.717022384989752</v>
      </c>
      <c r="X24" s="309">
        <f t="shared" si="15"/>
        <v>65.537968342537397</v>
      </c>
      <c r="Y24" s="309">
        <f t="shared" si="16"/>
        <v>123.72117621004755</v>
      </c>
      <c r="Z24" s="309">
        <f t="shared" si="17"/>
        <v>58.938833943711572</v>
      </c>
      <c r="AA24" s="309">
        <f t="shared" si="18"/>
        <v>107.6112092941147</v>
      </c>
      <c r="AB24" s="309">
        <f t="shared" si="19"/>
        <v>234.44558390943047</v>
      </c>
      <c r="AC24" s="221"/>
      <c r="AD24" s="226">
        <f t="shared" si="22"/>
        <v>2.8405806786923938E-2</v>
      </c>
      <c r="AE24" s="380">
        <f>AD24*$AE$3</f>
        <v>192.79021066285276</v>
      </c>
    </row>
    <row r="25" spans="2:31" x14ac:dyDescent="0.25">
      <c r="B25" s="1">
        <v>502</v>
      </c>
      <c r="C25" t="s">
        <v>46</v>
      </c>
      <c r="D25" s="2"/>
      <c r="G25" s="362">
        <v>1.5</v>
      </c>
      <c r="H25" s="214">
        <v>1657.17</v>
      </c>
      <c r="I25" s="118"/>
      <c r="J25" s="118">
        <f t="shared" si="21"/>
        <v>1.46714091978971E-2</v>
      </c>
      <c r="K25" s="118">
        <f t="shared" si="1"/>
        <v>1.3234627145644473E-2</v>
      </c>
      <c r="L25" s="118">
        <f t="shared" si="2"/>
        <v>4.2857142857142858E-2</v>
      </c>
      <c r="M25" s="292">
        <f t="shared" si="4"/>
        <v>101.02732373671942</v>
      </c>
      <c r="N25" s="292">
        <f t="shared" si="5"/>
        <v>23.620968808614329</v>
      </c>
      <c r="O25" s="292">
        <f t="shared" si="6"/>
        <v>24.193153767332316</v>
      </c>
      <c r="P25" s="292">
        <f t="shared" si="7"/>
        <v>4.7535365801186602</v>
      </c>
      <c r="Q25" s="292">
        <f t="shared" si="8"/>
        <v>16.781507220677192</v>
      </c>
      <c r="R25" s="292">
        <f t="shared" si="9"/>
        <v>3.9968573979846309</v>
      </c>
      <c r="S25" s="309">
        <f t="shared" si="10"/>
        <v>39.783289199807285</v>
      </c>
      <c r="T25" s="309">
        <f t="shared" si="11"/>
        <v>81.06209126707239</v>
      </c>
      <c r="U25" s="309">
        <f t="shared" si="12"/>
        <v>30.188184519215042</v>
      </c>
      <c r="V25" s="309">
        <f t="shared" si="13"/>
        <v>18.793170546815151</v>
      </c>
      <c r="W25" s="309">
        <f t="shared" si="14"/>
        <v>4.1292036694410754</v>
      </c>
      <c r="X25" s="309">
        <f t="shared" si="15"/>
        <v>17.218249916483458</v>
      </c>
      <c r="Y25" s="309">
        <f t="shared" si="16"/>
        <v>32.504244269702824</v>
      </c>
      <c r="Z25" s="309">
        <f t="shared" si="17"/>
        <v>15.484513760404033</v>
      </c>
      <c r="AA25" s="309">
        <f t="shared" si="18"/>
        <v>28.271805524347712</v>
      </c>
      <c r="AB25" s="309">
        <f t="shared" si="19"/>
        <v>61.593954735829378</v>
      </c>
      <c r="AC25" s="221"/>
      <c r="AD25" s="226">
        <f t="shared" si="22"/>
        <v>7.4628233481438162E-3</v>
      </c>
      <c r="AE25" s="380">
        <f t="shared" si="20"/>
        <v>50.650182063852078</v>
      </c>
    </row>
    <row r="26" spans="2:31" x14ac:dyDescent="0.25">
      <c r="B26" s="1">
        <v>515</v>
      </c>
      <c r="C26" t="s">
        <v>47</v>
      </c>
      <c r="D26" s="2"/>
      <c r="G26" s="362">
        <v>1.5</v>
      </c>
      <c r="H26" s="214">
        <v>1730.77</v>
      </c>
      <c r="I26" s="118"/>
      <c r="J26" s="118">
        <f t="shared" si="21"/>
        <v>1.5323011457752894E-2</v>
      </c>
      <c r="K26" s="118">
        <f t="shared" si="1"/>
        <v>1.3822417509891612E-2</v>
      </c>
      <c r="L26" s="118">
        <f t="shared" si="2"/>
        <v>4.2857142857142858E-2</v>
      </c>
      <c r="M26" s="292">
        <f t="shared" si="4"/>
        <v>105.51425689808643</v>
      </c>
      <c r="N26" s="292">
        <f t="shared" si="5"/>
        <v>24.670048446982157</v>
      </c>
      <c r="O26" s="292">
        <f t="shared" si="6"/>
        <v>25.267645893834523</v>
      </c>
      <c r="P26" s="292">
        <f t="shared" si="7"/>
        <v>4.9646557123119379</v>
      </c>
      <c r="Q26" s="292">
        <f t="shared" si="8"/>
        <v>17.526825402542563</v>
      </c>
      <c r="R26" s="292">
        <f t="shared" si="9"/>
        <v>4.1743700879872669</v>
      </c>
      <c r="S26" s="309">
        <f t="shared" si="10"/>
        <v>41.550187034734186</v>
      </c>
      <c r="T26" s="309">
        <f t="shared" si="11"/>
        <v>84.662307248086123</v>
      </c>
      <c r="U26" s="309">
        <f t="shared" si="12"/>
        <v>31.528934340062765</v>
      </c>
      <c r="V26" s="309">
        <f t="shared" si="13"/>
        <v>19.627832864046088</v>
      </c>
      <c r="W26" s="309">
        <f t="shared" si="14"/>
        <v>4.3125942630861829</v>
      </c>
      <c r="X26" s="309">
        <f t="shared" si="15"/>
        <v>17.982965180368986</v>
      </c>
      <c r="Y26" s="309">
        <f t="shared" si="16"/>
        <v>33.947857404293799</v>
      </c>
      <c r="Z26" s="309">
        <f t="shared" si="17"/>
        <v>16.172228486573186</v>
      </c>
      <c r="AA26" s="309">
        <f t="shared" si="18"/>
        <v>29.527443079089828</v>
      </c>
      <c r="AB26" s="309">
        <f t="shared" si="19"/>
        <v>64.329531091035562</v>
      </c>
      <c r="AC26" s="221"/>
      <c r="AD26" s="226">
        <f t="shared" si="22"/>
        <v>7.7942702114248211E-3</v>
      </c>
      <c r="AE26" s="380">
        <f t="shared" si="20"/>
        <v>52.899711924940263</v>
      </c>
    </row>
    <row r="27" spans="2:31" x14ac:dyDescent="0.25">
      <c r="B27" s="1">
        <v>525</v>
      </c>
      <c r="C27" t="s">
        <v>48</v>
      </c>
      <c r="D27" s="2"/>
      <c r="G27" s="362">
        <v>1</v>
      </c>
      <c r="H27" s="214">
        <v>2900</v>
      </c>
      <c r="I27" s="118"/>
      <c r="J27" s="118">
        <f t="shared" si="21"/>
        <v>2.5674545564970154E-2</v>
      </c>
      <c r="K27" s="118">
        <f t="shared" si="1"/>
        <v>2.3160218156476987E-2</v>
      </c>
      <c r="L27" s="118">
        <f t="shared" si="2"/>
        <v>2.8571428571428571E-2</v>
      </c>
      <c r="M27" s="292">
        <f t="shared" si="4"/>
        <v>176.79492076038449</v>
      </c>
      <c r="N27" s="292">
        <f t="shared" si="5"/>
        <v>41.336018359601951</v>
      </c>
      <c r="O27" s="292">
        <f t="shared" si="6"/>
        <v>42.337325636635782</v>
      </c>
      <c r="P27" s="292">
        <f t="shared" si="7"/>
        <v>8.3185527630503291</v>
      </c>
      <c r="Q27" s="292">
        <f t="shared" si="8"/>
        <v>29.367156622412821</v>
      </c>
      <c r="R27" s="292">
        <f t="shared" si="9"/>
        <v>6.9943858832560499</v>
      </c>
      <c r="S27" s="309">
        <f t="shared" si="10"/>
        <v>69.61961577836982</v>
      </c>
      <c r="T27" s="309">
        <f t="shared" si="11"/>
        <v>141.85633620842154</v>
      </c>
      <c r="U27" s="309">
        <f t="shared" si="12"/>
        <v>52.828457614924005</v>
      </c>
      <c r="V27" s="309">
        <f t="shared" si="13"/>
        <v>32.88750978219732</v>
      </c>
      <c r="W27" s="309">
        <f t="shared" si="14"/>
        <v>7.2259880648208199</v>
      </c>
      <c r="X27" s="309">
        <f t="shared" si="15"/>
        <v>30.131443821576561</v>
      </c>
      <c r="Y27" s="309">
        <f t="shared" si="16"/>
        <v>56.881495792307483</v>
      </c>
      <c r="Z27" s="309">
        <f t="shared" si="17"/>
        <v>27.097455243078077</v>
      </c>
      <c r="AA27" s="309">
        <f t="shared" si="18"/>
        <v>49.474849303697489</v>
      </c>
      <c r="AB27" s="309">
        <f t="shared" si="19"/>
        <v>107.7876553002439</v>
      </c>
      <c r="AC27" s="221"/>
      <c r="AD27" s="226">
        <f t="shared" si="22"/>
        <v>1.3059726949930945E-2</v>
      </c>
      <c r="AE27" s="380">
        <f t="shared" si="20"/>
        <v>88.636366809181325</v>
      </c>
    </row>
    <row r="28" spans="2:31" x14ac:dyDescent="0.25">
      <c r="B28" s="1">
        <v>560</v>
      </c>
      <c r="C28" t="s">
        <v>49</v>
      </c>
      <c r="D28" s="2"/>
      <c r="H28" s="214">
        <v>0</v>
      </c>
      <c r="I28" s="118"/>
      <c r="J28" s="118">
        <f t="shared" si="21"/>
        <v>0</v>
      </c>
      <c r="K28" s="118">
        <f t="shared" si="1"/>
        <v>0</v>
      </c>
      <c r="L28" s="118">
        <f t="shared" si="2"/>
        <v>0</v>
      </c>
      <c r="M28" s="292">
        <f t="shared" si="4"/>
        <v>0</v>
      </c>
      <c r="N28" s="292">
        <f t="shared" si="5"/>
        <v>0</v>
      </c>
      <c r="O28" s="292">
        <f t="shared" si="6"/>
        <v>0</v>
      </c>
      <c r="P28" s="292">
        <f t="shared" si="7"/>
        <v>0</v>
      </c>
      <c r="Q28" s="292">
        <f t="shared" si="8"/>
        <v>0</v>
      </c>
      <c r="R28" s="292">
        <f t="shared" si="9"/>
        <v>0</v>
      </c>
      <c r="S28" s="309">
        <f t="shared" si="10"/>
        <v>0</v>
      </c>
      <c r="T28" s="309">
        <f t="shared" si="11"/>
        <v>0</v>
      </c>
      <c r="U28" s="309">
        <f t="shared" si="12"/>
        <v>0</v>
      </c>
      <c r="V28" s="309">
        <f t="shared" si="13"/>
        <v>0</v>
      </c>
      <c r="W28" s="309">
        <f t="shared" si="14"/>
        <v>0</v>
      </c>
      <c r="X28" s="309">
        <f t="shared" si="15"/>
        <v>0</v>
      </c>
      <c r="Y28" s="309">
        <f t="shared" si="16"/>
        <v>0</v>
      </c>
      <c r="Z28" s="309">
        <f t="shared" si="17"/>
        <v>0</v>
      </c>
      <c r="AA28" s="309">
        <f t="shared" si="18"/>
        <v>0</v>
      </c>
      <c r="AB28" s="309">
        <f t="shared" si="19"/>
        <v>0</v>
      </c>
      <c r="AC28" s="221"/>
      <c r="AD28" s="226">
        <f t="shared" si="22"/>
        <v>0</v>
      </c>
      <c r="AE28" s="380">
        <f t="shared" si="20"/>
        <v>0</v>
      </c>
    </row>
    <row r="29" spans="2:31" x14ac:dyDescent="0.25">
      <c r="B29" s="1">
        <v>561</v>
      </c>
      <c r="C29" t="s">
        <v>50</v>
      </c>
      <c r="D29" s="2"/>
      <c r="G29" s="362">
        <v>1</v>
      </c>
      <c r="H29" s="214">
        <v>4384.62</v>
      </c>
      <c r="I29" s="118"/>
      <c r="J29" s="118">
        <f t="shared" si="21"/>
        <v>3.881831930175153E-2</v>
      </c>
      <c r="K29" s="118">
        <f t="shared" si="1"/>
        <v>3.5016812321811079E-2</v>
      </c>
      <c r="L29" s="118">
        <f t="shared" si="2"/>
        <v>2.8571428571428571E-2</v>
      </c>
      <c r="M29" s="292">
        <f t="shared" si="4"/>
        <v>267.30294671186101</v>
      </c>
      <c r="N29" s="292">
        <f t="shared" si="5"/>
        <v>62.497494075819965</v>
      </c>
      <c r="O29" s="292">
        <f t="shared" si="6"/>
        <v>64.011408528588277</v>
      </c>
      <c r="P29" s="292">
        <f t="shared" si="7"/>
        <v>12.577135453767497</v>
      </c>
      <c r="Q29" s="292">
        <f t="shared" si="8"/>
        <v>44.401318024056451</v>
      </c>
      <c r="R29" s="292">
        <f t="shared" si="9"/>
        <v>10.575077321186946</v>
      </c>
      <c r="S29" s="309">
        <f t="shared" si="10"/>
        <v>105.2605378393641</v>
      </c>
      <c r="T29" s="309">
        <f t="shared" si="11"/>
        <v>214.47797547109286</v>
      </c>
      <c r="U29" s="309">
        <f t="shared" si="12"/>
        <v>79.873348906051078</v>
      </c>
      <c r="V29" s="309">
        <f t="shared" si="13"/>
        <v>49.723873496971734</v>
      </c>
      <c r="W29" s="309">
        <f t="shared" si="14"/>
        <v>10.925245444405057</v>
      </c>
      <c r="X29" s="309">
        <f t="shared" si="15"/>
        <v>45.556872830676213</v>
      </c>
      <c r="Y29" s="309">
        <f t="shared" si="16"/>
        <v>86.001291062368011</v>
      </c>
      <c r="Z29" s="309">
        <f t="shared" si="17"/>
        <v>40.969670416518966</v>
      </c>
      <c r="AA29" s="309">
        <f t="shared" si="18"/>
        <v>74.802901294475205</v>
      </c>
      <c r="AB29" s="309">
        <f t="shared" si="19"/>
        <v>162.96824454570876</v>
      </c>
      <c r="AC29" s="221"/>
      <c r="AD29" s="226">
        <f t="shared" si="22"/>
        <v>1.9745496544553869E-2</v>
      </c>
      <c r="AE29" s="380">
        <f t="shared" si="20"/>
        <v>134.01268504788712</v>
      </c>
    </row>
    <row r="30" spans="2:31" x14ac:dyDescent="0.25">
      <c r="B30" s="1">
        <v>563</v>
      </c>
      <c r="C30" t="s">
        <v>51</v>
      </c>
      <c r="D30" s="2"/>
      <c r="G30" s="362">
        <v>1</v>
      </c>
      <c r="H30" s="214">
        <v>2929.2</v>
      </c>
      <c r="I30" s="118"/>
      <c r="J30" s="118">
        <f t="shared" si="21"/>
        <v>2.593306167893468E-2</v>
      </c>
      <c r="K30" s="118">
        <f t="shared" si="1"/>
        <v>2.339341759446634E-2</v>
      </c>
      <c r="L30" s="118">
        <f t="shared" si="2"/>
        <v>2.8571428571428571E-2</v>
      </c>
      <c r="M30" s="292">
        <f t="shared" si="4"/>
        <v>178.57506272114421</v>
      </c>
      <c r="N30" s="292">
        <f t="shared" si="5"/>
        <v>41.752229303084832</v>
      </c>
      <c r="O30" s="292">
        <f t="shared" si="6"/>
        <v>42.763618708563286</v>
      </c>
      <c r="P30" s="292">
        <f t="shared" si="7"/>
        <v>8.4023119839748368</v>
      </c>
      <c r="Q30" s="292">
        <f t="shared" si="8"/>
        <v>29.662853509783318</v>
      </c>
      <c r="R30" s="292">
        <f t="shared" si="9"/>
        <v>7.0648121135288351</v>
      </c>
      <c r="S30" s="309">
        <f t="shared" si="10"/>
        <v>70.320613288965816</v>
      </c>
      <c r="T30" s="309">
        <f t="shared" si="11"/>
        <v>143.28468276610633</v>
      </c>
      <c r="U30" s="309">
        <f t="shared" si="12"/>
        <v>53.360385532977723</v>
      </c>
      <c r="V30" s="309">
        <f t="shared" si="13"/>
        <v>33.218652984142203</v>
      </c>
      <c r="W30" s="309">
        <f t="shared" si="14"/>
        <v>7.298746289473498</v>
      </c>
      <c r="X30" s="309">
        <f t="shared" si="15"/>
        <v>30.43483629040071</v>
      </c>
      <c r="Y30" s="309">
        <f t="shared" si="16"/>
        <v>57.454233612009332</v>
      </c>
      <c r="Z30" s="309">
        <f t="shared" si="17"/>
        <v>27.370298585525617</v>
      </c>
      <c r="AA30" s="309">
        <f t="shared" si="18"/>
        <v>49.973009855307126</v>
      </c>
      <c r="AB30" s="309">
        <f t="shared" si="19"/>
        <v>108.87296548464634</v>
      </c>
      <c r="AC30" s="221"/>
      <c r="AD30" s="226">
        <f t="shared" si="22"/>
        <v>1.3191224890254387E-2</v>
      </c>
      <c r="AE30" s="380">
        <f t="shared" si="20"/>
        <v>89.528843330156519</v>
      </c>
    </row>
    <row r="31" spans="2:31" x14ac:dyDescent="0.25">
      <c r="B31" s="1">
        <v>610</v>
      </c>
      <c r="C31" t="s">
        <v>53</v>
      </c>
      <c r="D31" s="2"/>
      <c r="G31" s="362">
        <v>1</v>
      </c>
      <c r="H31" s="214">
        <v>11923.08</v>
      </c>
      <c r="I31" s="118"/>
      <c r="J31" s="118">
        <f t="shared" si="21"/>
        <v>0.10555850370164976</v>
      </c>
      <c r="K31" s="15">
        <f t="shared" si="1"/>
        <v>9.5221080654181944E-2</v>
      </c>
      <c r="L31" s="118">
        <f t="shared" si="2"/>
        <v>2.8571428571428571E-2</v>
      </c>
      <c r="M31" s="292">
        <f t="shared" si="4"/>
        <v>726.87585648956031</v>
      </c>
      <c r="N31" s="292">
        <f t="shared" si="5"/>
        <v>169.94919095965611</v>
      </c>
      <c r="O31" s="292">
        <f t="shared" si="6"/>
        <v>174.06597260402046</v>
      </c>
      <c r="P31" s="292">
        <f t="shared" si="7"/>
        <v>34.200955199334523</v>
      </c>
      <c r="Q31" s="292">
        <f t="shared" si="8"/>
        <v>120.74033026950271</v>
      </c>
      <c r="R31" s="292">
        <f t="shared" si="9"/>
        <v>28.756766357562949</v>
      </c>
      <c r="S31" s="309">
        <f t="shared" si="10"/>
        <v>286.23456844647092</v>
      </c>
      <c r="T31" s="309">
        <f t="shared" si="11"/>
        <v>583.22911900686438</v>
      </c>
      <c r="U31" s="309">
        <f t="shared" si="12"/>
        <v>217.19928497218902</v>
      </c>
      <c r="V31" s="309">
        <f t="shared" si="13"/>
        <v>135.21393452893835</v>
      </c>
      <c r="W31" s="309">
        <f t="shared" si="14"/>
        <v>29.708977164104766</v>
      </c>
      <c r="X31" s="309">
        <f t="shared" si="15"/>
        <v>123.88262593109071</v>
      </c>
      <c r="Y31" s="309">
        <f t="shared" si="16"/>
        <v>233.86297408667085</v>
      </c>
      <c r="Z31" s="309">
        <f t="shared" si="17"/>
        <v>111.40866436539288</v>
      </c>
      <c r="AA31" s="309">
        <f t="shared" si="18"/>
        <v>203.41123663307908</v>
      </c>
      <c r="AB31" s="309">
        <f t="shared" si="19"/>
        <v>443.15890936456276</v>
      </c>
      <c r="AC31" s="221"/>
      <c r="AD31" s="226">
        <f t="shared" si="22"/>
        <v>5.3693851449028503E-2</v>
      </c>
      <c r="AE31" s="380">
        <f t="shared" si="20"/>
        <v>364.42016978455644</v>
      </c>
    </row>
    <row r="32" spans="2:31" x14ac:dyDescent="0.25">
      <c r="B32" s="1">
        <v>620</v>
      </c>
      <c r="C32" t="s">
        <v>54</v>
      </c>
      <c r="D32" s="2"/>
      <c r="G32" s="362">
        <v>1</v>
      </c>
      <c r="H32" s="214">
        <v>5076.92</v>
      </c>
      <c r="I32" s="118"/>
      <c r="J32" s="118">
        <f t="shared" si="21"/>
        <v>4.4947453058520097E-2</v>
      </c>
      <c r="K32" s="118">
        <f t="shared" si="1"/>
        <v>4.0545715435510742E-2</v>
      </c>
      <c r="L32" s="118">
        <f t="shared" si="2"/>
        <v>2.8571428571428571E-2</v>
      </c>
      <c r="M32" s="292">
        <f t="shared" si="4"/>
        <v>309.50816176096941</v>
      </c>
      <c r="N32" s="292">
        <f t="shared" si="5"/>
        <v>72.365399424217358</v>
      </c>
      <c r="O32" s="292">
        <f t="shared" si="6"/>
        <v>74.118350093499643</v>
      </c>
      <c r="P32" s="292">
        <f t="shared" si="7"/>
        <v>14.562974790960512</v>
      </c>
      <c r="Q32" s="292">
        <f t="shared" si="8"/>
        <v>51.411967172227619</v>
      </c>
      <c r="R32" s="292">
        <f t="shared" si="9"/>
        <v>12.244806061524244</v>
      </c>
      <c r="S32" s="309">
        <f t="shared" si="10"/>
        <v>121.8804205991453</v>
      </c>
      <c r="T32" s="309">
        <f t="shared" si="11"/>
        <v>248.34250704250329</v>
      </c>
      <c r="U32" s="309">
        <f t="shared" si="12"/>
        <v>92.484776908400008</v>
      </c>
      <c r="V32" s="309">
        <f t="shared" si="13"/>
        <v>57.574915918425255</v>
      </c>
      <c r="W32" s="309">
        <f t="shared" si="14"/>
        <v>12.650263215879351</v>
      </c>
      <c r="X32" s="309">
        <f t="shared" si="15"/>
        <v>52.749975781599474</v>
      </c>
      <c r="Y32" s="309">
        <f t="shared" si="16"/>
        <v>99.580277109614386</v>
      </c>
      <c r="Z32" s="309">
        <f t="shared" si="17"/>
        <v>47.438487059547569</v>
      </c>
      <c r="AA32" s="309">
        <f t="shared" si="18"/>
        <v>86.613742043768227</v>
      </c>
      <c r="AB32" s="309">
        <f t="shared" si="19"/>
        <v>188.69975963686699</v>
      </c>
      <c r="AC32" s="221"/>
      <c r="AD32" s="226">
        <f t="shared" si="22"/>
        <v>2.2863168602290835E-2</v>
      </c>
      <c r="AE32" s="380">
        <f t="shared" si="20"/>
        <v>155.1723253037479</v>
      </c>
    </row>
    <row r="33" spans="2:35" x14ac:dyDescent="0.25">
      <c r="B33" s="1">
        <v>630</v>
      </c>
      <c r="C33" t="s">
        <v>55</v>
      </c>
      <c r="D33" s="2"/>
      <c r="G33" s="362">
        <v>1</v>
      </c>
      <c r="H33" s="214">
        <v>0</v>
      </c>
      <c r="I33" s="118"/>
      <c r="J33" s="118">
        <f t="shared" si="21"/>
        <v>0</v>
      </c>
      <c r="K33" s="118">
        <f t="shared" si="1"/>
        <v>0</v>
      </c>
      <c r="L33" s="118">
        <f t="shared" si="2"/>
        <v>2.8571428571428571E-2</v>
      </c>
      <c r="M33" s="292">
        <f t="shared" si="4"/>
        <v>0</v>
      </c>
      <c r="N33" s="292">
        <f t="shared" si="5"/>
        <v>0</v>
      </c>
      <c r="O33" s="292">
        <f t="shared" si="6"/>
        <v>0</v>
      </c>
      <c r="P33" s="292">
        <f t="shared" si="7"/>
        <v>0</v>
      </c>
      <c r="Q33" s="292">
        <f t="shared" si="8"/>
        <v>0</v>
      </c>
      <c r="R33" s="292">
        <f t="shared" si="9"/>
        <v>0</v>
      </c>
      <c r="S33" s="309">
        <f t="shared" si="10"/>
        <v>0</v>
      </c>
      <c r="T33" s="309">
        <f t="shared" si="11"/>
        <v>0</v>
      </c>
      <c r="U33" s="309">
        <f t="shared" si="12"/>
        <v>0</v>
      </c>
      <c r="V33" s="309">
        <f t="shared" si="13"/>
        <v>0</v>
      </c>
      <c r="W33" s="309">
        <f t="shared" si="14"/>
        <v>0</v>
      </c>
      <c r="X33" s="309">
        <f t="shared" si="15"/>
        <v>0</v>
      </c>
      <c r="Y33" s="309">
        <f t="shared" si="16"/>
        <v>0</v>
      </c>
      <c r="Z33" s="309">
        <f t="shared" si="17"/>
        <v>0</v>
      </c>
      <c r="AA33" s="309">
        <f t="shared" si="18"/>
        <v>0</v>
      </c>
      <c r="AB33" s="309">
        <f t="shared" si="19"/>
        <v>0</v>
      </c>
      <c r="AC33" s="221"/>
      <c r="AD33" s="226">
        <f t="shared" si="22"/>
        <v>0</v>
      </c>
      <c r="AE33" s="380">
        <f t="shared" si="20"/>
        <v>0</v>
      </c>
    </row>
    <row r="34" spans="2:35" x14ac:dyDescent="0.25">
      <c r="B34" s="1">
        <v>650</v>
      </c>
      <c r="C34" t="s">
        <v>56</v>
      </c>
      <c r="D34" s="2"/>
      <c r="H34" s="214">
        <v>299</v>
      </c>
      <c r="I34" s="319"/>
      <c r="J34" s="118">
        <f t="shared" si="21"/>
        <v>2.647134180664164E-3</v>
      </c>
      <c r="K34" s="118">
        <f t="shared" si="1"/>
        <v>2.3878983547540064E-3</v>
      </c>
      <c r="L34" s="118">
        <f t="shared" si="2"/>
        <v>0</v>
      </c>
      <c r="M34" s="292">
        <f t="shared" si="4"/>
        <v>18.228165968053432</v>
      </c>
      <c r="N34" s="292">
        <f t="shared" si="5"/>
        <v>4.2618860308693041</v>
      </c>
      <c r="O34" s="292">
        <f t="shared" si="6"/>
        <v>4.3651242639152068</v>
      </c>
      <c r="P34" s="292">
        <f t="shared" si="7"/>
        <v>0.8576714745351891</v>
      </c>
      <c r="Q34" s="292">
        <f t="shared" si="8"/>
        <v>3.02785511382808</v>
      </c>
      <c r="R34" s="292">
        <f t="shared" si="9"/>
        <v>0.7211453031357099</v>
      </c>
      <c r="S34" s="309">
        <f t="shared" si="10"/>
        <v>7.1780224543905433</v>
      </c>
      <c r="T34" s="309">
        <f t="shared" si="11"/>
        <v>14.625877422868289</v>
      </c>
      <c r="U34" s="309">
        <f t="shared" si="12"/>
        <v>5.4467961471938882</v>
      </c>
      <c r="V34" s="309">
        <f t="shared" si="13"/>
        <v>3.390815663750689</v>
      </c>
      <c r="W34" s="309">
        <f t="shared" si="14"/>
        <v>0.74502428668325005</v>
      </c>
      <c r="X34" s="309">
        <f t="shared" si="15"/>
        <v>3.1066557595349624</v>
      </c>
      <c r="Y34" s="309">
        <f t="shared" si="16"/>
        <v>5.8646783592758398</v>
      </c>
      <c r="Z34" s="309">
        <f t="shared" si="17"/>
        <v>2.7938410750621876</v>
      </c>
      <c r="AA34" s="309">
        <f t="shared" si="18"/>
        <v>5.1010275661398436</v>
      </c>
      <c r="AB34" s="309">
        <f t="shared" si="19"/>
        <v>11.113278943025145</v>
      </c>
      <c r="AC34" s="221"/>
      <c r="AD34" s="226">
        <f t="shared" si="22"/>
        <v>1.3465028820790871E-3</v>
      </c>
      <c r="AE34" s="380">
        <f t="shared" si="20"/>
        <v>9.1387150606707639</v>
      </c>
    </row>
    <row r="35" spans="2:35" x14ac:dyDescent="0.25">
      <c r="B35" s="1">
        <v>600</v>
      </c>
      <c r="C35" t="s">
        <v>57</v>
      </c>
      <c r="D35" s="2"/>
      <c r="H35" s="214">
        <v>0.01</v>
      </c>
      <c r="I35" s="118">
        <f>SUM(H6:H35)</f>
        <v>112952.33999999997</v>
      </c>
      <c r="J35" s="118">
        <f t="shared" si="21"/>
        <v>8.8532915741276396E-8</v>
      </c>
      <c r="K35" s="118">
        <f t="shared" si="1"/>
        <v>7.9862821229230996E-8</v>
      </c>
      <c r="L35" s="118">
        <f t="shared" si="2"/>
        <v>0</v>
      </c>
      <c r="M35" s="292">
        <f t="shared" si="4"/>
        <v>6.0963765779442928E-4</v>
      </c>
      <c r="N35" s="292">
        <f t="shared" si="5"/>
        <v>1.4253799434345499E-4</v>
      </c>
      <c r="O35" s="292">
        <f t="shared" si="6"/>
        <v>1.4599077805736477E-4</v>
      </c>
      <c r="P35" s="292">
        <f t="shared" si="7"/>
        <v>2.8684664700173553E-5</v>
      </c>
      <c r="Q35" s="292">
        <f t="shared" si="8"/>
        <v>1.012660573186649E-4</v>
      </c>
      <c r="R35" s="292">
        <f t="shared" si="9"/>
        <v>2.411857201122776E-5</v>
      </c>
      <c r="S35" s="309">
        <f t="shared" si="10"/>
        <v>2.4006764061506837E-4</v>
      </c>
      <c r="T35" s="309">
        <f t="shared" si="11"/>
        <v>4.8915978002903981E-4</v>
      </c>
      <c r="U35" s="309">
        <f t="shared" si="12"/>
        <v>1.8216709522387591E-4</v>
      </c>
      <c r="V35" s="309">
        <f t="shared" si="13"/>
        <v>1.1340520614550802E-4</v>
      </c>
      <c r="W35" s="309">
        <f t="shared" si="14"/>
        <v>2.4917200223520071E-5</v>
      </c>
      <c r="X35" s="309">
        <f t="shared" si="15"/>
        <v>1.0390153041922953E-4</v>
      </c>
      <c r="Y35" s="309">
        <f t="shared" si="16"/>
        <v>1.9614308893899131E-4</v>
      </c>
      <c r="Z35" s="309">
        <f t="shared" si="17"/>
        <v>9.3439500838200269E-5</v>
      </c>
      <c r="AA35" s="309">
        <f t="shared" si="18"/>
        <v>1.7060292863343963E-4</v>
      </c>
      <c r="AB35" s="309">
        <f t="shared" si="19"/>
        <v>3.7168157000084108E-4</v>
      </c>
      <c r="AC35" s="221"/>
      <c r="AD35" s="226">
        <f t="shared" si="22"/>
        <v>4.5033541206658431E-8</v>
      </c>
      <c r="AE35" s="380">
        <f t="shared" si="20"/>
        <v>3.0564264416959078E-4</v>
      </c>
    </row>
    <row r="36" spans="2:35" x14ac:dyDescent="0.25">
      <c r="B36" s="1">
        <v>339</v>
      </c>
      <c r="C36" t="s">
        <v>58</v>
      </c>
      <c r="D36" s="2"/>
      <c r="G36" s="362">
        <v>1.5</v>
      </c>
      <c r="H36" s="319">
        <f>I55</f>
        <v>6980.77</v>
      </c>
      <c r="I36" s="118"/>
      <c r="J36" s="118"/>
      <c r="K36" s="118">
        <f t="shared" si="1"/>
        <v>5.5750398655237884E-2</v>
      </c>
      <c r="L36" s="118">
        <f t="shared" si="2"/>
        <v>4.2857142857142858E-2</v>
      </c>
      <c r="M36" s="292">
        <f>J36*$M$3</f>
        <v>0</v>
      </c>
      <c r="N36" s="292">
        <f>J36*$N$3</f>
        <v>0</v>
      </c>
      <c r="O36" s="292">
        <f>J36*$O$3</f>
        <v>0</v>
      </c>
      <c r="P36" s="292">
        <f>J36*$P$3</f>
        <v>0</v>
      </c>
      <c r="Q36" s="292">
        <f t="shared" si="8"/>
        <v>70.691505494841635</v>
      </c>
      <c r="R36" s="292">
        <f t="shared" si="9"/>
        <v>16.836620393881841</v>
      </c>
      <c r="S36" s="309">
        <f t="shared" si="10"/>
        <v>167.58569835764507</v>
      </c>
      <c r="T36" s="309">
        <f t="shared" si="11"/>
        <v>341.47119176333206</v>
      </c>
      <c r="U36" s="309">
        <f t="shared" si="12"/>
        <v>127.16665933259762</v>
      </c>
      <c r="V36" s="309">
        <f t="shared" si="13"/>
        <v>79.165566090437792</v>
      </c>
      <c r="W36" s="309">
        <f t="shared" si="14"/>
        <v>17.394124380434221</v>
      </c>
      <c r="X36" s="309">
        <f t="shared" si="15"/>
        <v>72.531268650464483</v>
      </c>
      <c r="Y36" s="309">
        <f t="shared" si="16"/>
        <v>136.92297909726423</v>
      </c>
      <c r="Z36" s="309">
        <f t="shared" si="17"/>
        <v>65.227966426628328</v>
      </c>
      <c r="AA36" s="309">
        <f t="shared" si="18"/>
        <v>0</v>
      </c>
      <c r="AB36" s="309">
        <f t="shared" si="19"/>
        <v>259.46235534147712</v>
      </c>
      <c r="AC36" s="221"/>
      <c r="AD36" s="226">
        <f t="shared" si="22"/>
        <v>3.1436879344920503E-2</v>
      </c>
      <c r="AE36" s="383">
        <f>AD36*$AE$3</f>
        <v>213.36210011397546</v>
      </c>
    </row>
    <row r="37" spans="2:35" x14ac:dyDescent="0.25">
      <c r="B37" s="1">
        <v>225</v>
      </c>
      <c r="C37" t="s">
        <v>59</v>
      </c>
      <c r="D37" s="2"/>
      <c r="G37" s="362">
        <v>0</v>
      </c>
      <c r="H37" s="214">
        <f>J53</f>
        <v>5281.6</v>
      </c>
      <c r="I37" s="118">
        <f>I35+H36+H37</f>
        <v>125214.70999999998</v>
      </c>
      <c r="J37" s="118"/>
      <c r="K37" s="118">
        <f t="shared" si="1"/>
        <v>4.2180347660430641E-2</v>
      </c>
      <c r="L37" s="118">
        <f t="shared" si="2"/>
        <v>0</v>
      </c>
      <c r="M37" s="368"/>
      <c r="N37" s="368"/>
      <c r="O37" s="368"/>
      <c r="P37" s="368"/>
      <c r="Q37" s="292">
        <f t="shared" si="8"/>
        <v>53.484680833426054</v>
      </c>
      <c r="R37" s="292">
        <f>K37*$R$3</f>
        <v>12.738464993450053</v>
      </c>
      <c r="S37" s="309">
        <f t="shared" si="10"/>
        <v>126.79412506725451</v>
      </c>
      <c r="T37" s="309">
        <f t="shared" si="11"/>
        <v>258.35462942013766</v>
      </c>
      <c r="U37" s="309">
        <f t="shared" si="12"/>
        <v>96.213373013442293</v>
      </c>
      <c r="V37" s="309">
        <f t="shared" si="13"/>
        <v>59.896093677811507</v>
      </c>
      <c r="W37" s="309">
        <f t="shared" si="14"/>
        <v>13.16026847005436</v>
      </c>
      <c r="X37" s="309">
        <f t="shared" si="15"/>
        <v>54.876632306220266</v>
      </c>
      <c r="Y37" s="309">
        <f t="shared" si="16"/>
        <v>103.59493385401765</v>
      </c>
      <c r="Z37" s="309">
        <f t="shared" si="17"/>
        <v>49.351006762703847</v>
      </c>
      <c r="AA37" s="309">
        <f t="shared" si="18"/>
        <v>0</v>
      </c>
      <c r="AB37" s="309">
        <f t="shared" si="19"/>
        <v>196.30733801164419</v>
      </c>
      <c r="AC37" s="221"/>
      <c r="AD37" s="226">
        <f t="shared" si="22"/>
        <v>2.3784915123708721E-2</v>
      </c>
      <c r="AE37" s="383">
        <f>AD37*$AE$3</f>
        <v>161.42821894461107</v>
      </c>
    </row>
    <row r="38" spans="2:35" x14ac:dyDescent="0.25">
      <c r="B38" s="45">
        <v>451</v>
      </c>
      <c r="C38" s="32" t="s">
        <v>60</v>
      </c>
      <c r="D38" s="32"/>
      <c r="E38" s="32"/>
      <c r="F38" s="31">
        <v>96842</v>
      </c>
      <c r="G38" s="365">
        <f>SUM(G6:G37)</f>
        <v>35</v>
      </c>
      <c r="H38" s="319">
        <v>96842</v>
      </c>
      <c r="I38" s="118"/>
      <c r="J38" s="121"/>
      <c r="K38" s="121"/>
      <c r="L38" s="121"/>
      <c r="M38" s="368"/>
      <c r="N38" s="368"/>
      <c r="O38" s="368"/>
      <c r="P38" s="368"/>
      <c r="Q38" s="292">
        <f t="shared" si="8"/>
        <v>0</v>
      </c>
      <c r="R38" s="292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26">
        <f t="shared" si="22"/>
        <v>0.43611381975352159</v>
      </c>
      <c r="AE38" s="383">
        <f>AD38*$AE$3</f>
        <v>2959.9044946671511</v>
      </c>
    </row>
    <row r="39" spans="2:35" ht="15.75" thickBot="1" x14ac:dyDescent="0.3">
      <c r="H39" s="320">
        <f>SUM(H6:H38)</f>
        <v>222056.70999999996</v>
      </c>
      <c r="I39" s="320"/>
      <c r="J39" s="321">
        <f t="shared" ref="J39:AE39" si="23">SUM(J6:J38)</f>
        <v>1.0000000000000004</v>
      </c>
      <c r="K39" s="321">
        <f t="shared" si="23"/>
        <v>1.0000000000000002</v>
      </c>
      <c r="L39" s="321">
        <f t="shared" si="23"/>
        <v>1</v>
      </c>
      <c r="M39" s="322">
        <f t="shared" si="23"/>
        <v>6886.0000000000009</v>
      </c>
      <c r="N39" s="322">
        <f t="shared" si="23"/>
        <v>1610.0000000000009</v>
      </c>
      <c r="O39" s="322">
        <f t="shared" si="23"/>
        <v>1649.0000000000005</v>
      </c>
      <c r="P39" s="322">
        <f t="shared" si="23"/>
        <v>324.00000000000011</v>
      </c>
      <c r="Q39" s="322">
        <f t="shared" si="23"/>
        <v>1268.0000000000005</v>
      </c>
      <c r="R39" s="322">
        <f t="shared" si="23"/>
        <v>302.00000000000006</v>
      </c>
      <c r="S39" s="310">
        <f t="shared" si="23"/>
        <v>3006.0000000000005</v>
      </c>
      <c r="T39" s="310">
        <f t="shared" si="23"/>
        <v>6125.0000000000018</v>
      </c>
      <c r="U39" s="310">
        <f t="shared" si="23"/>
        <v>2281</v>
      </c>
      <c r="V39" s="310">
        <f t="shared" si="23"/>
        <v>1420.0000000000002</v>
      </c>
      <c r="W39" s="310">
        <f t="shared" si="23"/>
        <v>312.00000000000006</v>
      </c>
      <c r="X39" s="310">
        <f t="shared" si="23"/>
        <v>1301</v>
      </c>
      <c r="Y39" s="310">
        <f t="shared" si="23"/>
        <v>2456.0000000000005</v>
      </c>
      <c r="Z39" s="310">
        <f t="shared" si="23"/>
        <v>1170.0000000000002</v>
      </c>
      <c r="AA39" s="310">
        <f t="shared" si="23"/>
        <v>1927.0000000000009</v>
      </c>
      <c r="AB39" s="310">
        <f t="shared" si="23"/>
        <v>4654</v>
      </c>
      <c r="AC39" s="323">
        <f t="shared" si="23"/>
        <v>0</v>
      </c>
      <c r="AD39" s="320">
        <f t="shared" si="23"/>
        <v>1</v>
      </c>
      <c r="AE39" s="323">
        <f t="shared" si="23"/>
        <v>6787.0000000000018</v>
      </c>
      <c r="AF39" s="8"/>
    </row>
    <row r="40" spans="2:35" ht="16.5" thickTop="1" thickBot="1" x14ac:dyDescent="0.3">
      <c r="H40" s="22" t="s">
        <v>61</v>
      </c>
      <c r="I40" s="22"/>
      <c r="J40" s="41" t="s">
        <v>62</v>
      </c>
      <c r="K40" s="41"/>
      <c r="L40" s="41"/>
      <c r="M40" s="301">
        <f t="shared" ref="M40:Z40" si="24">M3-M39</f>
        <v>0</v>
      </c>
      <c r="N40" s="301">
        <f t="shared" si="24"/>
        <v>0</v>
      </c>
      <c r="O40" s="301">
        <f t="shared" si="24"/>
        <v>0</v>
      </c>
      <c r="P40" s="301">
        <f t="shared" si="24"/>
        <v>0</v>
      </c>
      <c r="Q40" s="301">
        <f t="shared" si="24"/>
        <v>0</v>
      </c>
      <c r="R40" s="301">
        <f t="shared" si="24"/>
        <v>0</v>
      </c>
      <c r="S40" s="108">
        <f t="shared" si="24"/>
        <v>0</v>
      </c>
      <c r="T40" s="108">
        <f t="shared" si="24"/>
        <v>0</v>
      </c>
      <c r="U40" s="108">
        <f t="shared" si="24"/>
        <v>0</v>
      </c>
      <c r="V40" s="108">
        <f t="shared" si="24"/>
        <v>0</v>
      </c>
      <c r="W40" s="108">
        <f t="shared" si="24"/>
        <v>0</v>
      </c>
      <c r="X40" s="108">
        <f t="shared" si="24"/>
        <v>0</v>
      </c>
      <c r="Y40" s="108">
        <f t="shared" si="24"/>
        <v>0</v>
      </c>
      <c r="Z40" s="108">
        <f t="shared" si="24"/>
        <v>0</v>
      </c>
      <c r="AA40" s="108"/>
      <c r="AB40" s="108">
        <f>AB3-AB39</f>
        <v>0</v>
      </c>
      <c r="AC40" s="108">
        <f>AC3-AC39</f>
        <v>0</v>
      </c>
      <c r="AD40" s="108">
        <f>AD3-AD39</f>
        <v>-1</v>
      </c>
      <c r="AE40" s="108">
        <f>AE3-AE39</f>
        <v>0</v>
      </c>
    </row>
    <row r="41" spans="2:35" x14ac:dyDescent="0.25">
      <c r="C41" s="17">
        <v>43742</v>
      </c>
      <c r="D41" s="23"/>
      <c r="E41" s="23"/>
      <c r="F41" s="23"/>
      <c r="G41" s="366"/>
      <c r="H41" s="18">
        <v>58487.22</v>
      </c>
      <c r="I41" s="18"/>
      <c r="J41" s="42"/>
      <c r="K41" s="238"/>
      <c r="L41" s="238"/>
      <c r="M41" s="302">
        <v>3522</v>
      </c>
      <c r="N41" s="302">
        <v>823</v>
      </c>
      <c r="O41" s="302">
        <v>860</v>
      </c>
      <c r="P41" s="302">
        <v>169</v>
      </c>
      <c r="Q41" s="302"/>
      <c r="R41" s="114"/>
      <c r="S41" s="114"/>
      <c r="T41" s="114"/>
      <c r="U41" s="114"/>
      <c r="V41" s="114"/>
      <c r="W41" s="159"/>
      <c r="X41" s="114"/>
      <c r="Y41" s="114"/>
      <c r="Z41" s="114"/>
      <c r="AA41" s="114"/>
      <c r="AB41" s="114"/>
    </row>
    <row r="42" spans="2:35" x14ac:dyDescent="0.25">
      <c r="C42" s="19">
        <v>43756</v>
      </c>
      <c r="D42" s="24"/>
      <c r="E42" s="24"/>
      <c r="F42" s="24"/>
      <c r="H42" s="2">
        <v>55907.43</v>
      </c>
      <c r="J42" s="43">
        <v>0</v>
      </c>
      <c r="K42" s="238"/>
      <c r="L42" s="238"/>
      <c r="M42" s="302">
        <v>3364</v>
      </c>
      <c r="N42" s="302">
        <v>787</v>
      </c>
      <c r="O42" s="302">
        <v>789</v>
      </c>
      <c r="P42" s="302">
        <v>155</v>
      </c>
      <c r="Q42" s="302"/>
      <c r="R42" s="114"/>
      <c r="S42" s="114"/>
      <c r="T42" s="114"/>
      <c r="U42" s="114"/>
      <c r="V42" s="53"/>
      <c r="W42" s="159"/>
      <c r="X42" s="114"/>
      <c r="Y42" s="114"/>
      <c r="Z42" s="114"/>
      <c r="AA42" s="114"/>
      <c r="AB42" s="114"/>
    </row>
    <row r="43" spans="2:35" x14ac:dyDescent="0.25">
      <c r="C43" s="19"/>
      <c r="D43" s="24"/>
      <c r="E43" s="24"/>
      <c r="F43" s="24"/>
      <c r="H43" s="2">
        <v>5538.46</v>
      </c>
      <c r="J43" s="43"/>
      <c r="K43" s="238"/>
      <c r="L43" s="238"/>
      <c r="M43" s="302"/>
      <c r="N43" s="302"/>
      <c r="O43" s="302"/>
      <c r="P43" s="302"/>
      <c r="Q43" s="302"/>
      <c r="R43" s="114"/>
      <c r="S43" s="114"/>
      <c r="T43" s="114"/>
      <c r="U43" s="114"/>
      <c r="V43" s="53"/>
      <c r="W43" s="159"/>
      <c r="X43" s="114"/>
      <c r="Y43" s="114"/>
      <c r="Z43" s="114"/>
      <c r="AA43" s="114"/>
      <c r="AB43" s="114"/>
    </row>
    <row r="44" spans="2:35" ht="15.75" thickBot="1" x14ac:dyDescent="0.3">
      <c r="C44" s="19"/>
      <c r="D44" s="24"/>
      <c r="E44" s="24"/>
      <c r="F44" s="24"/>
      <c r="H44" s="2">
        <v>5281.6</v>
      </c>
      <c r="J44" s="43"/>
      <c r="K44" s="238"/>
      <c r="L44" s="238"/>
      <c r="M44" s="302"/>
      <c r="N44" s="302"/>
      <c r="O44" s="302"/>
      <c r="P44" s="302"/>
      <c r="Q44" s="302"/>
      <c r="R44" s="114"/>
      <c r="S44" s="114"/>
      <c r="T44" s="114"/>
      <c r="U44" s="114"/>
      <c r="V44" s="101"/>
      <c r="W44" s="159"/>
      <c r="X44" s="114"/>
      <c r="Y44" s="114"/>
      <c r="Z44" s="114"/>
      <c r="AA44" s="114"/>
      <c r="AB44" s="114"/>
    </row>
    <row r="45" spans="2:35" ht="15.75" thickBot="1" x14ac:dyDescent="0.3">
      <c r="C45" s="20"/>
      <c r="D45" s="20"/>
      <c r="E45" s="20"/>
      <c r="F45" s="20"/>
      <c r="G45" s="367"/>
      <c r="H45" s="236">
        <f>SUM(H41:H44)</f>
        <v>125214.71</v>
      </c>
      <c r="I45" s="5"/>
      <c r="J45" s="44"/>
      <c r="K45" s="239"/>
      <c r="L45" s="239"/>
      <c r="M45" s="303">
        <f>SUM(M41:M42)</f>
        <v>6886</v>
      </c>
      <c r="N45" s="304">
        <f>SUM(N41:N42)</f>
        <v>1610</v>
      </c>
      <c r="O45" s="304">
        <f>SUM(O41:O42)</f>
        <v>1649</v>
      </c>
      <c r="P45" s="304">
        <f>SUM(P41:P42)</f>
        <v>324</v>
      </c>
      <c r="Q45" s="305">
        <f>SUM(Q41:Q42)</f>
        <v>0</v>
      </c>
      <c r="R45" s="114"/>
      <c r="S45" s="114"/>
      <c r="T45" s="114"/>
      <c r="U45" s="114"/>
      <c r="V45" s="114"/>
      <c r="W45" s="159"/>
      <c r="X45" s="114"/>
      <c r="Y45" s="114"/>
      <c r="Z45" s="114"/>
      <c r="AA45" s="114"/>
      <c r="AB45" s="114"/>
    </row>
    <row r="46" spans="2:35" x14ac:dyDescent="0.25">
      <c r="H46" s="53">
        <f>H39-H45</f>
        <v>96841.999999999956</v>
      </c>
      <c r="M46" s="301"/>
      <c r="N46" s="301"/>
      <c r="O46" s="301"/>
      <c r="P46" s="301"/>
      <c r="Q46" s="301"/>
      <c r="R46" s="114"/>
      <c r="S46" s="114"/>
      <c r="T46" s="114"/>
      <c r="U46" s="114"/>
      <c r="V46" s="114"/>
      <c r="W46" s="159"/>
      <c r="X46" s="114"/>
      <c r="Y46" s="114"/>
      <c r="Z46" s="114"/>
      <c r="AA46" s="114"/>
      <c r="AB46" s="114"/>
      <c r="AI46">
        <v>114.44</v>
      </c>
    </row>
    <row r="47" spans="2:35" x14ac:dyDescent="0.25">
      <c r="I47" s="2" t="s">
        <v>64</v>
      </c>
      <c r="J47" s="12" t="s">
        <v>65</v>
      </c>
      <c r="M47" s="306"/>
      <c r="N47" s="306"/>
      <c r="O47" s="306"/>
      <c r="P47" s="306"/>
      <c r="AI47">
        <v>151.65</v>
      </c>
    </row>
    <row r="48" spans="2:35" ht="15.75" thickBot="1" x14ac:dyDescent="0.3">
      <c r="F48" s="29">
        <f>I35-H44</f>
        <v>107670.73999999996</v>
      </c>
      <c r="M48" s="306"/>
      <c r="N48" s="306"/>
      <c r="O48" s="306"/>
      <c r="P48" s="306"/>
    </row>
    <row r="49" spans="2:35" s="288" customFormat="1" x14ac:dyDescent="0.25">
      <c r="B49" s="1"/>
      <c r="C49"/>
      <c r="D49"/>
      <c r="E49"/>
      <c r="F49"/>
      <c r="G49" s="362"/>
      <c r="H49" s="17"/>
      <c r="I49" s="2">
        <v>2769.23</v>
      </c>
      <c r="J49" s="31">
        <v>2640.8</v>
      </c>
      <c r="K49" s="2"/>
      <c r="L49" s="2"/>
      <c r="M49" s="306"/>
      <c r="N49" s="306"/>
      <c r="O49" s="307"/>
      <c r="P49" s="307"/>
      <c r="R49"/>
      <c r="S49" s="66"/>
      <c r="T49"/>
      <c r="U49" s="66"/>
      <c r="V49" s="66"/>
      <c r="W49"/>
      <c r="X49" s="66"/>
      <c r="Y49" s="66"/>
      <c r="Z49"/>
      <c r="AA49"/>
      <c r="AB49"/>
      <c r="AC49" s="159"/>
      <c r="AD49" s="159"/>
      <c r="AE49" s="159"/>
      <c r="AF49"/>
      <c r="AG49"/>
      <c r="AH49"/>
      <c r="AI49"/>
    </row>
    <row r="50" spans="2:35" s="288" customFormat="1" x14ac:dyDescent="0.25">
      <c r="B50" s="1"/>
      <c r="C50"/>
      <c r="D50"/>
      <c r="E50"/>
      <c r="F50"/>
      <c r="G50" s="362"/>
      <c r="H50" s="19"/>
      <c r="I50" s="2">
        <v>2769.23</v>
      </c>
      <c r="J50" s="31">
        <v>2640.8</v>
      </c>
      <c r="K50" s="2"/>
      <c r="L50" s="2"/>
      <c r="M50" s="306"/>
      <c r="N50" s="306"/>
      <c r="O50" s="307"/>
      <c r="P50" s="307"/>
      <c r="R50"/>
      <c r="S50" s="66"/>
      <c r="T50"/>
      <c r="U50" s="66"/>
      <c r="V50" s="66"/>
      <c r="W50"/>
      <c r="X50" s="66"/>
      <c r="Y50" s="66"/>
      <c r="Z50"/>
      <c r="AA50"/>
      <c r="AB50"/>
      <c r="AC50" s="159"/>
      <c r="AD50" s="159"/>
      <c r="AE50" s="159"/>
      <c r="AF50"/>
      <c r="AG50"/>
      <c r="AH50"/>
      <c r="AI50"/>
    </row>
    <row r="51" spans="2:35" s="288" customFormat="1" x14ac:dyDescent="0.25">
      <c r="B51" s="1"/>
      <c r="C51"/>
      <c r="D51"/>
      <c r="E51"/>
      <c r="F51"/>
      <c r="G51" s="362"/>
      <c r="H51" s="2"/>
      <c r="I51" s="2"/>
      <c r="J51" s="2"/>
      <c r="K51" s="2"/>
      <c r="L51" s="2"/>
      <c r="M51" s="306"/>
      <c r="N51" s="306"/>
      <c r="O51" s="306"/>
      <c r="P51" s="306"/>
      <c r="R51"/>
      <c r="S51" s="66"/>
      <c r="T51"/>
      <c r="U51" s="66"/>
      <c r="V51" s="66"/>
      <c r="W51"/>
      <c r="X51" s="66"/>
      <c r="Y51" s="66"/>
      <c r="Z51"/>
      <c r="AA51"/>
      <c r="AB51"/>
      <c r="AC51" s="159"/>
      <c r="AD51" s="159"/>
      <c r="AE51" s="159"/>
      <c r="AF51"/>
      <c r="AG51"/>
      <c r="AH51"/>
      <c r="AI51"/>
    </row>
    <row r="52" spans="2:35" s="288" customFormat="1" ht="15.75" thickBot="1" x14ac:dyDescent="0.3">
      <c r="B52" s="1"/>
      <c r="C52"/>
      <c r="D52"/>
      <c r="E52"/>
      <c r="F52"/>
      <c r="G52" s="362"/>
      <c r="H52" s="2"/>
      <c r="I52" s="2"/>
      <c r="J52" s="2"/>
      <c r="K52" s="2"/>
      <c r="L52" s="2"/>
      <c r="O52" s="308"/>
      <c r="P52" s="308"/>
      <c r="R52"/>
      <c r="S52" s="66"/>
      <c r="T52"/>
      <c r="U52" s="66"/>
      <c r="V52" s="66"/>
      <c r="W52"/>
      <c r="X52" s="66"/>
      <c r="Y52" s="66"/>
      <c r="Z52"/>
      <c r="AA52"/>
      <c r="AB52"/>
      <c r="AC52" s="159"/>
      <c r="AD52" s="159"/>
      <c r="AE52" s="159"/>
      <c r="AF52"/>
      <c r="AG52"/>
      <c r="AH52"/>
      <c r="AI52"/>
    </row>
    <row r="53" spans="2:35" s="288" customFormat="1" ht="15.75" thickBot="1" x14ac:dyDescent="0.3">
      <c r="B53" s="1"/>
      <c r="C53"/>
      <c r="D53"/>
      <c r="E53"/>
      <c r="F53"/>
      <c r="G53" s="362"/>
      <c r="H53" s="2"/>
      <c r="I53" s="241">
        <f>SUM(I49:I52)</f>
        <v>5538.46</v>
      </c>
      <c r="J53" s="242">
        <f>SUM(J49:J52)</f>
        <v>5281.6</v>
      </c>
      <c r="K53" s="2">
        <f>SUM(I53:J53)</f>
        <v>10820.060000000001</v>
      </c>
      <c r="L53" s="2"/>
      <c r="O53" s="308"/>
      <c r="P53" s="308"/>
      <c r="R53"/>
      <c r="S53" s="66"/>
      <c r="T53"/>
      <c r="U53" s="66"/>
      <c r="V53" s="66"/>
      <c r="W53"/>
      <c r="X53" s="66"/>
      <c r="Y53" s="66"/>
      <c r="Z53"/>
      <c r="AA53"/>
      <c r="AB53"/>
      <c r="AC53" s="159"/>
      <c r="AD53" s="159"/>
      <c r="AE53" s="159"/>
      <c r="AF53"/>
      <c r="AG53"/>
      <c r="AH53"/>
      <c r="AI53"/>
    </row>
    <row r="54" spans="2:35" x14ac:dyDescent="0.25">
      <c r="I54" s="2">
        <v>1442.31</v>
      </c>
    </row>
    <row r="55" spans="2:35" s="288" customFormat="1" x14ac:dyDescent="0.25">
      <c r="B55" s="1"/>
      <c r="C55"/>
      <c r="D55"/>
      <c r="E55"/>
      <c r="F55"/>
      <c r="G55" s="362"/>
      <c r="H55" s="2"/>
      <c r="I55" s="15">
        <f>SUM(I53:I54)</f>
        <v>6980.77</v>
      </c>
      <c r="J55" s="270"/>
      <c r="K55" s="12"/>
      <c r="L55" s="12"/>
      <c r="O55" s="308"/>
      <c r="P55" s="308"/>
      <c r="R55"/>
      <c r="S55" s="66"/>
      <c r="T55"/>
      <c r="U55" s="66"/>
      <c r="V55" s="66"/>
      <c r="W55"/>
      <c r="X55" s="66"/>
      <c r="Y55" s="66"/>
      <c r="Z55"/>
      <c r="AA55"/>
      <c r="AB55"/>
      <c r="AC55" s="159"/>
      <c r="AD55" s="159"/>
      <c r="AE55" s="159"/>
      <c r="AF55"/>
      <c r="AG55"/>
      <c r="AH55"/>
      <c r="AI55"/>
    </row>
  </sheetData>
  <pageMargins left="0" right="0" top="0.75" bottom="0.75" header="0.3" footer="0.3"/>
  <pageSetup paperSize="5" scale="52" orientation="landscape" r:id="rId1"/>
  <headerFooter>
    <oddFooter>&amp;L&amp;Z&amp;F 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9548-5264-43C6-85E6-961099E06184}">
  <sheetPr>
    <tabColor theme="5" tint="0.39997558519241921"/>
    <pageSetUpPr fitToPage="1"/>
  </sheetPr>
  <dimension ref="B1:AG55"/>
  <sheetViews>
    <sheetView topLeftCell="B1" zoomScale="85" zoomScaleNormal="85" workbookViewId="0">
      <selection activeCell="C59" sqref="C59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hidden="1" customWidth="1"/>
    <col min="5" max="5" width="8.140625" hidden="1" customWidth="1"/>
    <col min="6" max="6" width="12.7109375" hidden="1" customWidth="1"/>
    <col min="7" max="7" width="12.7109375" style="2" hidden="1" customWidth="1"/>
    <col min="8" max="9" width="13.85546875" style="2" customWidth="1"/>
    <col min="10" max="11" width="12.140625" style="12" customWidth="1"/>
    <col min="12" max="12" width="11.28515625" style="288" customWidth="1"/>
    <col min="13" max="13" width="13.42578125" style="288" customWidth="1"/>
    <col min="14" max="14" width="13.28515625" style="308" customWidth="1"/>
    <col min="15" max="15" width="15.7109375" style="308" customWidth="1"/>
    <col min="16" max="16" width="11.7109375" style="288" customWidth="1"/>
    <col min="17" max="17" width="16.42578125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style="159" customWidth="1"/>
    <col min="28" max="28" width="8.5703125" style="159" customWidth="1"/>
    <col min="29" max="29" width="11.85546875" style="159" customWidth="1"/>
    <col min="30" max="30" width="12.7109375" customWidth="1"/>
  </cols>
  <sheetData>
    <row r="1" spans="2:30" ht="15.75" thickBot="1" x14ac:dyDescent="0.3">
      <c r="B1" s="2" t="s">
        <v>116</v>
      </c>
      <c r="L1" s="288">
        <v>7251</v>
      </c>
      <c r="M1" s="288">
        <v>7252</v>
      </c>
      <c r="N1" s="288">
        <v>7253</v>
      </c>
      <c r="O1" s="288">
        <v>7254</v>
      </c>
      <c r="P1" s="288">
        <v>7260.1</v>
      </c>
      <c r="Q1" s="288">
        <v>8140</v>
      </c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157">
        <v>7248</v>
      </c>
    </row>
    <row r="2" spans="2:30" ht="17.25" thickBot="1" x14ac:dyDescent="0.4">
      <c r="L2" s="289" t="s">
        <v>1</v>
      </c>
      <c r="M2" s="289" t="s">
        <v>2</v>
      </c>
      <c r="N2" s="289" t="s">
        <v>3</v>
      </c>
      <c r="O2" s="289" t="s">
        <v>4</v>
      </c>
      <c r="P2" s="289" t="s">
        <v>5</v>
      </c>
      <c r="Q2" s="289" t="s">
        <v>114</v>
      </c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90">
        <v>6530.93</v>
      </c>
      <c r="M3" s="290">
        <v>1527.46</v>
      </c>
      <c r="N3" s="290">
        <v>1598.57</v>
      </c>
      <c r="O3" s="290">
        <v>313.99</v>
      </c>
      <c r="P3" s="291">
        <v>1330.76</v>
      </c>
      <c r="Q3" s="328"/>
      <c r="R3" s="312">
        <v>3006</v>
      </c>
      <c r="S3" s="313">
        <v>4900</v>
      </c>
      <c r="T3" s="327"/>
      <c r="U3" s="291">
        <v>640.74</v>
      </c>
      <c r="V3" s="312">
        <v>312</v>
      </c>
      <c r="W3" s="314">
        <v>1092</v>
      </c>
      <c r="X3" s="314">
        <v>2321.34</v>
      </c>
      <c r="Y3" s="291">
        <v>764.51</v>
      </c>
      <c r="Z3" s="312">
        <v>3972.48</v>
      </c>
      <c r="AA3" s="311"/>
      <c r="AB3" s="315"/>
      <c r="AC3" s="324">
        <v>6645.7</v>
      </c>
      <c r="AD3" s="2"/>
    </row>
    <row r="4" spans="2:30" x14ac:dyDescent="0.25">
      <c r="L4" s="292">
        <v>1</v>
      </c>
      <c r="M4" s="292">
        <v>2</v>
      </c>
      <c r="N4" s="292">
        <v>3</v>
      </c>
      <c r="O4" s="292">
        <v>4</v>
      </c>
      <c r="P4" s="292">
        <v>5</v>
      </c>
      <c r="Q4" s="292">
        <v>6</v>
      </c>
      <c r="R4" s="292">
        <v>7</v>
      </c>
      <c r="S4" s="292">
        <v>8</v>
      </c>
      <c r="T4" s="292">
        <v>9</v>
      </c>
      <c r="U4" s="292">
        <v>10</v>
      </c>
      <c r="V4" s="292">
        <v>11</v>
      </c>
      <c r="W4" s="292">
        <v>12</v>
      </c>
      <c r="X4" s="292">
        <v>13</v>
      </c>
      <c r="Y4" s="292">
        <v>14</v>
      </c>
      <c r="Z4" s="292">
        <v>15</v>
      </c>
      <c r="AA4" s="218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92"/>
      <c r="M5" s="292"/>
      <c r="N5" s="292"/>
      <c r="O5" s="292"/>
      <c r="P5" s="292"/>
      <c r="Q5" s="292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317">
        <v>0</v>
      </c>
      <c r="I6" s="318"/>
      <c r="J6" s="118">
        <f t="shared" ref="J6:J21" si="0">H6/$I$35</f>
        <v>0</v>
      </c>
      <c r="K6" s="118">
        <f t="shared" ref="K6:K37" si="1">H6/$I$37</f>
        <v>0</v>
      </c>
      <c r="L6" s="292">
        <f>J6*$L$3</f>
        <v>0</v>
      </c>
      <c r="M6" s="292">
        <f>J6*$M$3</f>
        <v>0</v>
      </c>
      <c r="N6" s="292">
        <f>J6*$N$3</f>
        <v>0</v>
      </c>
      <c r="O6" s="292">
        <f>J6*$O$3</f>
        <v>0</v>
      </c>
      <c r="P6" s="292">
        <f>J6*$P$3</f>
        <v>0</v>
      </c>
      <c r="Q6" s="292">
        <f>K6*$Q$3</f>
        <v>0</v>
      </c>
      <c r="R6" s="309">
        <f>K6*$R$3</f>
        <v>0</v>
      </c>
      <c r="S6" s="309">
        <f>K6*$S$3</f>
        <v>0</v>
      </c>
      <c r="T6" s="309">
        <f>K6*$T$3</f>
        <v>0</v>
      </c>
      <c r="U6" s="309">
        <f>K6*$U$3</f>
        <v>0</v>
      </c>
      <c r="V6" s="309">
        <f>K6*$V$3</f>
        <v>0</v>
      </c>
      <c r="W6" s="309">
        <f>K6*$W$3</f>
        <v>0</v>
      </c>
      <c r="X6" s="309">
        <f>K6*$X$3</f>
        <v>0</v>
      </c>
      <c r="Y6" s="309">
        <f>K6*$Y$3</f>
        <v>0</v>
      </c>
      <c r="Z6" s="309">
        <f>K6*$Z$3</f>
        <v>0</v>
      </c>
      <c r="AA6" s="221"/>
      <c r="AB6" s="226">
        <f t="shared" ref="AB6:AB21" si="2">H6/$H$39</f>
        <v>0</v>
      </c>
      <c r="AC6" s="261">
        <f>AB6*$AC$3</f>
        <v>0</v>
      </c>
    </row>
    <row r="7" spans="2:30" x14ac:dyDescent="0.25">
      <c r="B7" s="1">
        <v>111</v>
      </c>
      <c r="C7" t="s">
        <v>20</v>
      </c>
      <c r="D7" s="2"/>
      <c r="H7" s="214">
        <v>25010.78</v>
      </c>
      <c r="I7" s="118"/>
      <c r="J7" s="118">
        <f t="shared" si="0"/>
        <v>0.23184409587237678</v>
      </c>
      <c r="K7" s="118">
        <f t="shared" si="1"/>
        <v>0.20698112913994859</v>
      </c>
      <c r="L7" s="293">
        <f t="shared" ref="L7:L35" si="3">J7*$L$3</f>
        <v>1514.1575610557818</v>
      </c>
      <c r="M7" s="293">
        <f t="shared" ref="M7:M35" si="4">J7*$M$3</f>
        <v>354.13258268122064</v>
      </c>
      <c r="N7" s="293">
        <f t="shared" ref="N7:N35" si="5">J7*$N$3</f>
        <v>370.61901633870536</v>
      </c>
      <c r="O7" s="293">
        <f t="shared" ref="O7:O35" si="6">J7*$O$3</f>
        <v>72.796727662967584</v>
      </c>
      <c r="P7" s="293">
        <f t="shared" ref="P7:P35" si="7">J7*$P$3</f>
        <v>308.52884902312411</v>
      </c>
      <c r="Q7" s="292">
        <f t="shared" ref="Q7:Q36" si="8">K7*$Q$3</f>
        <v>0</v>
      </c>
      <c r="R7" s="309">
        <f t="shared" ref="R7:R37" si="9">K7*$R$3</f>
        <v>622.18527419468546</v>
      </c>
      <c r="S7" s="309">
        <f t="shared" ref="S7:S37" si="10">K7*$S$3</f>
        <v>1014.2075327857481</v>
      </c>
      <c r="T7" s="309">
        <f t="shared" ref="T7:T37" si="11">K7*$T$3</f>
        <v>0</v>
      </c>
      <c r="U7" s="309">
        <f t="shared" ref="U7:U37" si="12">K7*$U$3</f>
        <v>132.62108868513067</v>
      </c>
      <c r="V7" s="309">
        <f t="shared" ref="V7:V37" si="13">K7*$V$3</f>
        <v>64.578112291663956</v>
      </c>
      <c r="W7" s="309">
        <f t="shared" ref="W7:W37" si="14">K7*$W$3</f>
        <v>226.02339302082387</v>
      </c>
      <c r="X7" s="309">
        <f t="shared" ref="X7:X37" si="15">K7*$X$3</f>
        <v>480.47357431772832</v>
      </c>
      <c r="Y7" s="309">
        <f t="shared" ref="Y7:Y37" si="16">K7*$Y$3</f>
        <v>158.23914303878209</v>
      </c>
      <c r="Z7" s="309">
        <f t="shared" ref="Z7:Z37" si="17">K7*$Z$3</f>
        <v>822.22839588586305</v>
      </c>
      <c r="AA7" s="221"/>
      <c r="AB7" s="226">
        <f t="shared" si="2"/>
        <v>0.11765537693236224</v>
      </c>
      <c r="AC7" s="261">
        <f t="shared" ref="AC7:AC35" si="18">AB7*$AC$3</f>
        <v>781.90233847939965</v>
      </c>
    </row>
    <row r="8" spans="2:30" x14ac:dyDescent="0.25">
      <c r="B8" s="1" t="s">
        <v>23</v>
      </c>
      <c r="C8" t="s">
        <v>24</v>
      </c>
      <c r="D8" s="2"/>
      <c r="H8" s="214">
        <v>2617.2800000000002</v>
      </c>
      <c r="I8" s="118"/>
      <c r="J8" s="118">
        <f t="shared" si="0"/>
        <v>2.4261575018646134E-2</v>
      </c>
      <c r="K8" s="118">
        <f t="shared" si="1"/>
        <v>2.1659763097168688E-2</v>
      </c>
      <c r="L8" s="292">
        <f>J8*$L$3</f>
        <v>158.45064813652661</v>
      </c>
      <c r="M8" s="292">
        <f>J8*$M$3</f>
        <v>37.058585377981224</v>
      </c>
      <c r="N8" s="292">
        <f>J8*$N$3</f>
        <v>38.78382597755715</v>
      </c>
      <c r="O8" s="292">
        <f>J8*$O$3</f>
        <v>7.6178919401047001</v>
      </c>
      <c r="P8" s="292">
        <f>J8*$P$3</f>
        <v>32.286333571813529</v>
      </c>
      <c r="Q8" s="292">
        <f t="shared" si="8"/>
        <v>0</v>
      </c>
      <c r="R8" s="309">
        <f>K8*$R$3</f>
        <v>65.109247870089078</v>
      </c>
      <c r="S8" s="309">
        <f>K8*$S$3</f>
        <v>106.13283917612657</v>
      </c>
      <c r="T8" s="309">
        <f>K8*$T$3</f>
        <v>0</v>
      </c>
      <c r="U8" s="309">
        <f>K8*$U$3</f>
        <v>13.878276606879865</v>
      </c>
      <c r="V8" s="309">
        <f>K8*$V$3</f>
        <v>6.757846086316631</v>
      </c>
      <c r="W8" s="309">
        <f>K8*$W$3</f>
        <v>23.652461302108208</v>
      </c>
      <c r="X8" s="309">
        <f>K8*$X$3</f>
        <v>50.279674467981565</v>
      </c>
      <c r="Y8" s="309">
        <f>K8*$Y$3</f>
        <v>16.559105485416435</v>
      </c>
      <c r="Z8" s="309">
        <f>K8*$Z$3</f>
        <v>86.042975708240675</v>
      </c>
      <c r="AA8" s="221"/>
      <c r="AB8" s="226">
        <f t="shared" si="2"/>
        <v>1.2312173588250069E-2</v>
      </c>
      <c r="AC8" s="261">
        <f>AB8*$AC$3</f>
        <v>81.823012015433477</v>
      </c>
    </row>
    <row r="9" spans="2:30" x14ac:dyDescent="0.25">
      <c r="B9" s="1" t="s">
        <v>21</v>
      </c>
      <c r="C9" t="s">
        <v>22</v>
      </c>
      <c r="D9" s="2"/>
      <c r="H9" s="214">
        <v>1203.77</v>
      </c>
      <c r="I9" s="118"/>
      <c r="J9" s="118">
        <f t="shared" si="0"/>
        <v>1.1158667074289206E-2</v>
      </c>
      <c r="K9" s="118">
        <f t="shared" si="1"/>
        <v>9.9620113337047442E-3</v>
      </c>
      <c r="L9" s="292">
        <f>J9*$L$3</f>
        <v>72.876473555487607</v>
      </c>
      <c r="M9" s="292">
        <f>J9*$M$3</f>
        <v>17.044417609293792</v>
      </c>
      <c r="N9" s="292">
        <f>J9*$N$3</f>
        <v>17.837910424946493</v>
      </c>
      <c r="O9" s="292">
        <f>J9*$O$3</f>
        <v>3.5037098746560678</v>
      </c>
      <c r="P9" s="292">
        <f>J9*$P$3</f>
        <v>14.849507795781102</v>
      </c>
      <c r="Q9" s="292">
        <f t="shared" si="8"/>
        <v>0</v>
      </c>
      <c r="R9" s="309">
        <f t="shared" si="9"/>
        <v>29.945806069116461</v>
      </c>
      <c r="S9" s="309">
        <f t="shared" si="10"/>
        <v>48.813855535153245</v>
      </c>
      <c r="T9" s="309">
        <f t="shared" si="11"/>
        <v>0</v>
      </c>
      <c r="U9" s="309">
        <f t="shared" si="12"/>
        <v>6.3830591419579781</v>
      </c>
      <c r="V9" s="309">
        <f t="shared" si="13"/>
        <v>3.1081475361158803</v>
      </c>
      <c r="W9" s="309">
        <f t="shared" si="14"/>
        <v>10.87851637640558</v>
      </c>
      <c r="X9" s="309">
        <f t="shared" si="15"/>
        <v>23.125215389382173</v>
      </c>
      <c r="Y9" s="309">
        <f t="shared" si="16"/>
        <v>7.6160572847306138</v>
      </c>
      <c r="Z9" s="309">
        <f t="shared" si="17"/>
        <v>39.57389078291542</v>
      </c>
      <c r="AA9" s="221"/>
      <c r="AB9" s="226">
        <f t="shared" si="2"/>
        <v>5.6627587420252264E-3</v>
      </c>
      <c r="AC9" s="261">
        <f>AB9*$AC$3</f>
        <v>37.632995771877049</v>
      </c>
    </row>
    <row r="10" spans="2:30" x14ac:dyDescent="0.25">
      <c r="B10" s="1" t="s">
        <v>25</v>
      </c>
      <c r="C10" t="s">
        <v>26</v>
      </c>
      <c r="D10" s="2"/>
      <c r="H10" s="214">
        <v>254.47</v>
      </c>
      <c r="I10" s="118"/>
      <c r="J10" s="118">
        <f t="shared" si="0"/>
        <v>2.3588775350726256E-3</v>
      </c>
      <c r="K10" s="118">
        <f t="shared" si="1"/>
        <v>2.1059114482732135E-3</v>
      </c>
      <c r="L10" s="292">
        <f t="shared" si="3"/>
        <v>15.405664060131864</v>
      </c>
      <c r="M10" s="292">
        <f t="shared" si="4"/>
        <v>3.603091079722033</v>
      </c>
      <c r="N10" s="292">
        <f t="shared" si="5"/>
        <v>3.770830861241047</v>
      </c>
      <c r="O10" s="292">
        <f t="shared" si="6"/>
        <v>0.74066395723745371</v>
      </c>
      <c r="P10" s="292">
        <f t="shared" si="7"/>
        <v>3.1390998685732474</v>
      </c>
      <c r="Q10" s="292">
        <f t="shared" si="8"/>
        <v>0</v>
      </c>
      <c r="R10" s="309">
        <f t="shared" si="9"/>
        <v>6.3303698135092796</v>
      </c>
      <c r="S10" s="309">
        <f t="shared" si="10"/>
        <v>10.318966096538746</v>
      </c>
      <c r="T10" s="309">
        <f t="shared" si="11"/>
        <v>0</v>
      </c>
      <c r="U10" s="309">
        <f t="shared" si="12"/>
        <v>1.3493417013665789</v>
      </c>
      <c r="V10" s="309">
        <f t="shared" si="13"/>
        <v>0.65704437186124265</v>
      </c>
      <c r="W10" s="309">
        <f t="shared" si="14"/>
        <v>2.299655301514349</v>
      </c>
      <c r="X10" s="309">
        <f t="shared" si="15"/>
        <v>4.8885364813345413</v>
      </c>
      <c r="Y10" s="309">
        <f t="shared" si="16"/>
        <v>1.6099903613193545</v>
      </c>
      <c r="Z10" s="309">
        <f t="shared" si="17"/>
        <v>8.3656911100363747</v>
      </c>
      <c r="AA10" s="221"/>
      <c r="AB10" s="226">
        <f t="shared" si="2"/>
        <v>1.1970743722498148E-3</v>
      </c>
      <c r="AC10" s="261">
        <f t="shared" si="18"/>
        <v>7.9553971556605934</v>
      </c>
    </row>
    <row r="11" spans="2:30" x14ac:dyDescent="0.25">
      <c r="B11" s="1">
        <v>112</v>
      </c>
      <c r="C11" t="s">
        <v>27</v>
      </c>
      <c r="D11" s="2"/>
      <c r="H11" s="214">
        <v>5625.65</v>
      </c>
      <c r="I11" s="118"/>
      <c r="J11" s="118">
        <f t="shared" si="0"/>
        <v>5.2148463100488526E-2</v>
      </c>
      <c r="K11" s="118">
        <f t="shared" si="1"/>
        <v>4.6556060592518579E-2</v>
      </c>
      <c r="L11" s="292">
        <f t="shared" si="3"/>
        <v>340.57796211687355</v>
      </c>
      <c r="M11" s="292">
        <f t="shared" si="4"/>
        <v>79.654691447472203</v>
      </c>
      <c r="N11" s="292">
        <f t="shared" si="5"/>
        <v>83.362968658547942</v>
      </c>
      <c r="O11" s="292">
        <f t="shared" si="6"/>
        <v>16.374095928922394</v>
      </c>
      <c r="P11" s="292">
        <f t="shared" si="7"/>
        <v>69.397088755606106</v>
      </c>
      <c r="Q11" s="292">
        <f t="shared" si="8"/>
        <v>0</v>
      </c>
      <c r="R11" s="309">
        <f t="shared" si="9"/>
        <v>139.94751814111086</v>
      </c>
      <c r="S11" s="309">
        <f t="shared" si="10"/>
        <v>228.12469690334103</v>
      </c>
      <c r="T11" s="309">
        <f t="shared" si="11"/>
        <v>0</v>
      </c>
      <c r="U11" s="309">
        <f t="shared" si="12"/>
        <v>29.830330264050353</v>
      </c>
      <c r="V11" s="309">
        <f t="shared" si="13"/>
        <v>14.525490904865796</v>
      </c>
      <c r="W11" s="309">
        <f t="shared" si="14"/>
        <v>50.839218167030289</v>
      </c>
      <c r="X11" s="309">
        <f t="shared" si="15"/>
        <v>108.07244569583709</v>
      </c>
      <c r="Y11" s="309">
        <f t="shared" si="16"/>
        <v>35.592573883586375</v>
      </c>
      <c r="Z11" s="309">
        <f t="shared" si="17"/>
        <v>184.94301958256821</v>
      </c>
      <c r="AA11" s="221"/>
      <c r="AB11" s="226">
        <f t="shared" si="2"/>
        <v>2.6464107526416356E-2</v>
      </c>
      <c r="AC11" s="261">
        <f t="shared" si="18"/>
        <v>175.87251938830516</v>
      </c>
    </row>
    <row r="12" spans="2:30" ht="15.75" thickBot="1" x14ac:dyDescent="0.3">
      <c r="B12" s="1">
        <v>114</v>
      </c>
      <c r="C12" t="s">
        <v>28</v>
      </c>
      <c r="D12" s="2"/>
      <c r="H12" s="214">
        <v>0</v>
      </c>
      <c r="I12" s="118"/>
      <c r="J12" s="118">
        <f t="shared" si="0"/>
        <v>0</v>
      </c>
      <c r="K12" s="118">
        <f t="shared" si="1"/>
        <v>0</v>
      </c>
      <c r="L12" s="292">
        <f t="shared" si="3"/>
        <v>0</v>
      </c>
      <c r="M12" s="292">
        <f t="shared" si="4"/>
        <v>0</v>
      </c>
      <c r="N12" s="292">
        <f t="shared" si="5"/>
        <v>0</v>
      </c>
      <c r="O12" s="292">
        <f t="shared" si="6"/>
        <v>0</v>
      </c>
      <c r="P12" s="292">
        <f t="shared" si="7"/>
        <v>0</v>
      </c>
      <c r="Q12" s="292">
        <f t="shared" si="8"/>
        <v>0</v>
      </c>
      <c r="R12" s="309">
        <f t="shared" si="9"/>
        <v>0</v>
      </c>
      <c r="S12" s="309">
        <f t="shared" si="10"/>
        <v>0</v>
      </c>
      <c r="T12" s="309">
        <f t="shared" si="11"/>
        <v>0</v>
      </c>
      <c r="U12" s="309">
        <f t="shared" si="12"/>
        <v>0</v>
      </c>
      <c r="V12" s="309">
        <f t="shared" si="13"/>
        <v>0</v>
      </c>
      <c r="W12" s="309">
        <f t="shared" si="14"/>
        <v>0</v>
      </c>
      <c r="X12" s="309">
        <f t="shared" si="15"/>
        <v>0</v>
      </c>
      <c r="Y12" s="309">
        <f t="shared" si="16"/>
        <v>0</v>
      </c>
      <c r="Z12" s="309">
        <f t="shared" si="17"/>
        <v>0</v>
      </c>
      <c r="AA12" s="221"/>
      <c r="AB12" s="226">
        <f t="shared" si="2"/>
        <v>0</v>
      </c>
      <c r="AC12" s="261">
        <f t="shared" si="18"/>
        <v>0</v>
      </c>
    </row>
    <row r="13" spans="2:30" ht="15.75" thickBot="1" x14ac:dyDescent="0.3">
      <c r="B13" s="1">
        <v>222</v>
      </c>
      <c r="C13" t="s">
        <v>29</v>
      </c>
      <c r="D13" s="2"/>
      <c r="H13" s="213">
        <v>2480.65</v>
      </c>
      <c r="I13" s="118"/>
      <c r="J13" s="118">
        <f t="shared" si="0"/>
        <v>2.299504679285538E-2</v>
      </c>
      <c r="K13" s="118">
        <f t="shared" si="1"/>
        <v>2.0529057390493759E-2</v>
      </c>
      <c r="L13" s="292">
        <f t="shared" si="3"/>
        <v>150.179040950863</v>
      </c>
      <c r="M13" s="292">
        <f t="shared" si="4"/>
        <v>35.124014174214878</v>
      </c>
      <c r="N13" s="292">
        <f t="shared" si="5"/>
        <v>36.75919195165482</v>
      </c>
      <c r="O13" s="292">
        <f t="shared" si="6"/>
        <v>7.2202147424886611</v>
      </c>
      <c r="P13" s="292">
        <f t="shared" si="7"/>
        <v>30.600888470060227</v>
      </c>
      <c r="Q13" s="292">
        <f t="shared" si="8"/>
        <v>0</v>
      </c>
      <c r="R13" s="309">
        <f t="shared" si="9"/>
        <v>61.710346515824241</v>
      </c>
      <c r="S13" s="309">
        <f t="shared" si="10"/>
        <v>100.59238121341942</v>
      </c>
      <c r="T13" s="309">
        <f t="shared" si="11"/>
        <v>0</v>
      </c>
      <c r="U13" s="309">
        <f t="shared" si="12"/>
        <v>13.15378823238497</v>
      </c>
      <c r="V13" s="309">
        <f t="shared" si="13"/>
        <v>6.4050659058340527</v>
      </c>
      <c r="W13" s="309">
        <f t="shared" si="14"/>
        <v>22.417730670419186</v>
      </c>
      <c r="X13" s="309">
        <f t="shared" si="15"/>
        <v>47.654922082848785</v>
      </c>
      <c r="Y13" s="309">
        <f t="shared" si="16"/>
        <v>15.694669665606384</v>
      </c>
      <c r="Z13" s="309">
        <f t="shared" si="17"/>
        <v>81.551269902588643</v>
      </c>
      <c r="AA13" s="221"/>
      <c r="AB13" s="226">
        <f t="shared" si="2"/>
        <v>1.1669440568717345E-2</v>
      </c>
      <c r="AC13" s="261">
        <f t="shared" si="18"/>
        <v>77.551601187524867</v>
      </c>
    </row>
    <row r="14" spans="2:30" ht="15.75" thickBot="1" x14ac:dyDescent="0.3">
      <c r="B14" s="1">
        <v>223</v>
      </c>
      <c r="C14" t="s">
        <v>30</v>
      </c>
      <c r="D14" s="2"/>
      <c r="H14" s="215">
        <v>0</v>
      </c>
      <c r="I14" s="115"/>
      <c r="J14" s="118">
        <f t="shared" si="0"/>
        <v>0</v>
      </c>
      <c r="K14" s="118">
        <f t="shared" si="1"/>
        <v>0</v>
      </c>
      <c r="L14" s="293">
        <f t="shared" si="3"/>
        <v>0</v>
      </c>
      <c r="M14" s="293">
        <f t="shared" si="4"/>
        <v>0</v>
      </c>
      <c r="N14" s="293">
        <f t="shared" si="5"/>
        <v>0</v>
      </c>
      <c r="O14" s="293">
        <f t="shared" si="6"/>
        <v>0</v>
      </c>
      <c r="P14" s="293">
        <f t="shared" si="7"/>
        <v>0</v>
      </c>
      <c r="Q14" s="292">
        <f t="shared" si="8"/>
        <v>0</v>
      </c>
      <c r="R14" s="309">
        <f t="shared" si="9"/>
        <v>0</v>
      </c>
      <c r="S14" s="309">
        <f t="shared" si="10"/>
        <v>0</v>
      </c>
      <c r="T14" s="309">
        <f t="shared" si="11"/>
        <v>0</v>
      </c>
      <c r="U14" s="309">
        <f t="shared" si="12"/>
        <v>0</v>
      </c>
      <c r="V14" s="309">
        <f t="shared" si="13"/>
        <v>0</v>
      </c>
      <c r="W14" s="309">
        <f t="shared" si="14"/>
        <v>0</v>
      </c>
      <c r="X14" s="309">
        <f t="shared" si="15"/>
        <v>0</v>
      </c>
      <c r="Y14" s="309">
        <f t="shared" si="16"/>
        <v>0</v>
      </c>
      <c r="Z14" s="309">
        <f t="shared" si="17"/>
        <v>0</v>
      </c>
      <c r="AA14" s="225"/>
      <c r="AB14" s="215">
        <f t="shared" si="2"/>
        <v>0</v>
      </c>
      <c r="AC14" s="268">
        <f t="shared" si="18"/>
        <v>0</v>
      </c>
    </row>
    <row r="15" spans="2:30" x14ac:dyDescent="0.25">
      <c r="B15" s="1">
        <v>334</v>
      </c>
      <c r="C15" s="230" t="s">
        <v>73</v>
      </c>
      <c r="D15" s="231"/>
      <c r="E15" s="230"/>
      <c r="F15" s="230"/>
      <c r="G15" s="231"/>
      <c r="H15" s="118">
        <v>0</v>
      </c>
      <c r="I15" s="118"/>
      <c r="J15" s="118">
        <f t="shared" si="0"/>
        <v>0</v>
      </c>
      <c r="K15" s="118">
        <f t="shared" si="1"/>
        <v>0</v>
      </c>
      <c r="L15" s="292">
        <f>J15*$L$3</f>
        <v>0</v>
      </c>
      <c r="M15" s="292">
        <f>J15*$M$3</f>
        <v>0</v>
      </c>
      <c r="N15" s="292">
        <f>J15*$N$3</f>
        <v>0</v>
      </c>
      <c r="O15" s="292">
        <f>J15*$O$3</f>
        <v>0</v>
      </c>
      <c r="P15" s="292">
        <f>J15*$P$3</f>
        <v>0</v>
      </c>
      <c r="Q15" s="292">
        <f t="shared" si="8"/>
        <v>0</v>
      </c>
      <c r="R15" s="309">
        <f t="shared" si="9"/>
        <v>0</v>
      </c>
      <c r="S15" s="309">
        <f t="shared" si="10"/>
        <v>0</v>
      </c>
      <c r="T15" s="309">
        <f t="shared" si="11"/>
        <v>0</v>
      </c>
      <c r="U15" s="309">
        <f t="shared" si="12"/>
        <v>0</v>
      </c>
      <c r="V15" s="309">
        <f t="shared" si="13"/>
        <v>0</v>
      </c>
      <c r="W15" s="309">
        <f t="shared" si="14"/>
        <v>0</v>
      </c>
      <c r="X15" s="309">
        <f t="shared" si="15"/>
        <v>0</v>
      </c>
      <c r="Y15" s="309">
        <f t="shared" si="16"/>
        <v>0</v>
      </c>
      <c r="Z15" s="309">
        <f t="shared" si="17"/>
        <v>0</v>
      </c>
      <c r="AA15" s="221"/>
      <c r="AB15" s="226">
        <f t="shared" si="2"/>
        <v>0</v>
      </c>
      <c r="AC15" s="261">
        <f>AB15*$AC$3</f>
        <v>0</v>
      </c>
    </row>
    <row r="16" spans="2:30" x14ac:dyDescent="0.25">
      <c r="B16" s="1" t="s">
        <v>35</v>
      </c>
      <c r="C16" s="230" t="s">
        <v>36</v>
      </c>
      <c r="D16" s="231"/>
      <c r="E16" s="234"/>
      <c r="F16" s="234"/>
      <c r="G16" s="231"/>
      <c r="H16" s="118">
        <v>1150</v>
      </c>
      <c r="I16" s="318"/>
      <c r="J16" s="118">
        <f t="shared" si="0"/>
        <v>1.0660231718212438E-2</v>
      </c>
      <c r="K16" s="118">
        <f t="shared" si="1"/>
        <v>9.5170281978787102E-3</v>
      </c>
      <c r="L16" s="292">
        <f t="shared" si="3"/>
        <v>69.621227135425158</v>
      </c>
      <c r="M16" s="292">
        <f t="shared" si="4"/>
        <v>16.28307754030077</v>
      </c>
      <c r="N16" s="292">
        <f t="shared" si="5"/>
        <v>17.041126617782858</v>
      </c>
      <c r="O16" s="292">
        <f t="shared" si="6"/>
        <v>3.3472061572015237</v>
      </c>
      <c r="P16" s="292">
        <f t="shared" si="7"/>
        <v>14.186209961328384</v>
      </c>
      <c r="Q16" s="292">
        <f t="shared" si="8"/>
        <v>0</v>
      </c>
      <c r="R16" s="309">
        <f t="shared" si="9"/>
        <v>28.608186762823404</v>
      </c>
      <c r="S16" s="309">
        <f t="shared" si="10"/>
        <v>46.633438169605682</v>
      </c>
      <c r="T16" s="309">
        <f t="shared" si="11"/>
        <v>0</v>
      </c>
      <c r="U16" s="309">
        <f t="shared" si="12"/>
        <v>6.0979406475088052</v>
      </c>
      <c r="V16" s="309">
        <f t="shared" si="13"/>
        <v>2.9693127977381577</v>
      </c>
      <c r="W16" s="309">
        <f t="shared" si="14"/>
        <v>10.392594792083552</v>
      </c>
      <c r="X16" s="309">
        <f t="shared" si="15"/>
        <v>22.092258236863767</v>
      </c>
      <c r="Y16" s="309">
        <f t="shared" si="16"/>
        <v>7.2758632275602526</v>
      </c>
      <c r="Z16" s="309">
        <f t="shared" si="17"/>
        <v>37.806204175509222</v>
      </c>
      <c r="AA16" s="221"/>
      <c r="AB16" s="226">
        <f t="shared" si="2"/>
        <v>5.4098146268215779E-3</v>
      </c>
      <c r="AC16" s="261">
        <f t="shared" si="18"/>
        <v>35.952005065468157</v>
      </c>
    </row>
    <row r="17" spans="2:29" x14ac:dyDescent="0.25">
      <c r="B17" s="1" t="s">
        <v>37</v>
      </c>
      <c r="C17" s="230" t="s">
        <v>38</v>
      </c>
      <c r="D17" s="231"/>
      <c r="E17" s="230"/>
      <c r="F17" s="230"/>
      <c r="G17" s="231"/>
      <c r="H17" s="15">
        <v>0</v>
      </c>
      <c r="I17" s="118"/>
      <c r="J17" s="118">
        <f t="shared" si="0"/>
        <v>0</v>
      </c>
      <c r="K17" s="118">
        <f t="shared" si="1"/>
        <v>0</v>
      </c>
      <c r="L17" s="292">
        <f t="shared" si="3"/>
        <v>0</v>
      </c>
      <c r="M17" s="292">
        <f t="shared" si="4"/>
        <v>0</v>
      </c>
      <c r="N17" s="292">
        <f t="shared" si="5"/>
        <v>0</v>
      </c>
      <c r="O17" s="292">
        <f t="shared" si="6"/>
        <v>0</v>
      </c>
      <c r="P17" s="292">
        <f t="shared" si="7"/>
        <v>0</v>
      </c>
      <c r="Q17" s="292">
        <f t="shared" si="8"/>
        <v>0</v>
      </c>
      <c r="R17" s="309">
        <f t="shared" si="9"/>
        <v>0</v>
      </c>
      <c r="S17" s="309">
        <f t="shared" si="10"/>
        <v>0</v>
      </c>
      <c r="T17" s="309">
        <f t="shared" si="11"/>
        <v>0</v>
      </c>
      <c r="U17" s="309">
        <f t="shared" si="12"/>
        <v>0</v>
      </c>
      <c r="V17" s="309">
        <f t="shared" si="13"/>
        <v>0</v>
      </c>
      <c r="W17" s="309">
        <f t="shared" si="14"/>
        <v>0</v>
      </c>
      <c r="X17" s="309">
        <f t="shared" si="15"/>
        <v>0</v>
      </c>
      <c r="Y17" s="309">
        <f t="shared" si="16"/>
        <v>0</v>
      </c>
      <c r="Z17" s="309">
        <f t="shared" si="17"/>
        <v>0</v>
      </c>
      <c r="AA17" s="221"/>
      <c r="AB17" s="226">
        <f t="shared" si="2"/>
        <v>0</v>
      </c>
      <c r="AC17" s="261">
        <f t="shared" si="18"/>
        <v>0</v>
      </c>
    </row>
    <row r="18" spans="2:29" x14ac:dyDescent="0.25">
      <c r="B18" s="1">
        <v>335</v>
      </c>
      <c r="C18" s="230" t="s">
        <v>39</v>
      </c>
      <c r="D18" s="231"/>
      <c r="E18" s="230"/>
      <c r="F18" s="230"/>
      <c r="G18" s="231"/>
      <c r="H18" s="118">
        <v>846.15</v>
      </c>
      <c r="I18" s="118"/>
      <c r="J18" s="118">
        <f t="shared" si="0"/>
        <v>7.8436131029264826E-3</v>
      </c>
      <c r="K18" s="118">
        <f t="shared" si="1"/>
        <v>7.0024638344652786E-3</v>
      </c>
      <c r="L18" s="292">
        <f t="shared" si="3"/>
        <v>51.226088122295657</v>
      </c>
      <c r="M18" s="292">
        <f t="shared" si="4"/>
        <v>11.980805270196086</v>
      </c>
      <c r="N18" s="292">
        <f t="shared" si="5"/>
        <v>12.538564597945188</v>
      </c>
      <c r="O18" s="292">
        <f t="shared" si="6"/>
        <v>2.4628160781878865</v>
      </c>
      <c r="P18" s="292">
        <f t="shared" si="7"/>
        <v>10.437966572850446</v>
      </c>
      <c r="Q18" s="292">
        <f t="shared" si="8"/>
        <v>0</v>
      </c>
      <c r="R18" s="309">
        <f t="shared" si="9"/>
        <v>21.049406286402629</v>
      </c>
      <c r="S18" s="309">
        <f t="shared" si="10"/>
        <v>34.312072788879867</v>
      </c>
      <c r="T18" s="309">
        <f t="shared" si="11"/>
        <v>0</v>
      </c>
      <c r="U18" s="309">
        <f t="shared" si="12"/>
        <v>4.486758677295283</v>
      </c>
      <c r="V18" s="309">
        <f t="shared" si="13"/>
        <v>2.1847687163531671</v>
      </c>
      <c r="W18" s="309">
        <f t="shared" si="14"/>
        <v>7.6466905072360838</v>
      </c>
      <c r="X18" s="309">
        <f t="shared" si="15"/>
        <v>16.255099397497631</v>
      </c>
      <c r="Y18" s="309">
        <f t="shared" si="16"/>
        <v>5.3534536260870498</v>
      </c>
      <c r="Z18" s="309">
        <f t="shared" si="17"/>
        <v>27.81714753313663</v>
      </c>
      <c r="AA18" s="221"/>
      <c r="AB18" s="226">
        <f t="shared" si="2"/>
        <v>3.9804475186826765E-3</v>
      </c>
      <c r="AC18" s="261">
        <f t="shared" si="18"/>
        <v>26.452860074909463</v>
      </c>
    </row>
    <row r="19" spans="2:29" ht="15.75" thickBot="1" x14ac:dyDescent="0.3">
      <c r="B19" s="1">
        <v>368</v>
      </c>
      <c r="C19" t="s">
        <v>40</v>
      </c>
      <c r="D19" s="2"/>
      <c r="H19" s="214">
        <v>5985.24</v>
      </c>
      <c r="I19" s="118"/>
      <c r="J19" s="118">
        <f t="shared" si="0"/>
        <v>5.5481778512272879E-2</v>
      </c>
      <c r="K19" s="118">
        <f t="shared" si="1"/>
        <v>4.9531911174844845E-2</v>
      </c>
      <c r="L19" s="292">
        <f>J19*$L$3</f>
        <v>362.34761173915831</v>
      </c>
      <c r="M19" s="292">
        <f>J19*$M$3</f>
        <v>84.74619740635633</v>
      </c>
      <c r="N19" s="292">
        <f>J19*$N$3</f>
        <v>88.691506676364057</v>
      </c>
      <c r="O19" s="292">
        <f>J19*$O$3</f>
        <v>17.420723635068562</v>
      </c>
      <c r="P19" s="292">
        <f>J19*$P$3</f>
        <v>73.832931572992251</v>
      </c>
      <c r="Q19" s="292">
        <f t="shared" si="8"/>
        <v>0</v>
      </c>
      <c r="R19" s="309">
        <f t="shared" si="9"/>
        <v>148.89292499158361</v>
      </c>
      <c r="S19" s="309">
        <f t="shared" si="10"/>
        <v>242.70636475673973</v>
      </c>
      <c r="T19" s="309">
        <f t="shared" si="11"/>
        <v>0</v>
      </c>
      <c r="U19" s="309">
        <f t="shared" si="12"/>
        <v>31.737076766170087</v>
      </c>
      <c r="V19" s="309">
        <f t="shared" si="13"/>
        <v>15.453956286551591</v>
      </c>
      <c r="W19" s="309">
        <f t="shared" si="14"/>
        <v>54.088847002930571</v>
      </c>
      <c r="X19" s="309">
        <f t="shared" si="15"/>
        <v>114.98040668661434</v>
      </c>
      <c r="Y19" s="309">
        <f t="shared" si="16"/>
        <v>37.867641412280634</v>
      </c>
      <c r="Z19" s="309">
        <f t="shared" si="17"/>
        <v>196.76452650384766</v>
      </c>
      <c r="AA19" s="221"/>
      <c r="AB19" s="226">
        <f t="shared" si="2"/>
        <v>2.8155685997423983E-2</v>
      </c>
      <c r="AC19" s="261">
        <f>AB19*$AC$3</f>
        <v>187.11424243308056</v>
      </c>
    </row>
    <row r="20" spans="2:29" ht="15.75" thickBot="1" x14ac:dyDescent="0.3">
      <c r="B20" s="1">
        <v>451</v>
      </c>
      <c r="C20" s="107" t="s">
        <v>41</v>
      </c>
      <c r="D20" s="81"/>
      <c r="E20" s="107"/>
      <c r="F20" s="107"/>
      <c r="G20" s="81"/>
      <c r="H20" s="175">
        <v>14938.24</v>
      </c>
      <c r="I20" s="89"/>
      <c r="J20" s="89">
        <f t="shared" si="0"/>
        <v>0.13847399988023459</v>
      </c>
      <c r="K20" s="89">
        <f t="shared" si="1"/>
        <v>0.12362404461450406</v>
      </c>
      <c r="L20" s="297">
        <f t="shared" si="3"/>
        <v>904.36400003782057</v>
      </c>
      <c r="M20" s="297">
        <f t="shared" si="4"/>
        <v>211.51349585706313</v>
      </c>
      <c r="N20" s="297">
        <f t="shared" si="5"/>
        <v>221.36038198854661</v>
      </c>
      <c r="O20" s="297">
        <f t="shared" si="6"/>
        <v>43.479451222394864</v>
      </c>
      <c r="P20" s="297">
        <f t="shared" si="7"/>
        <v>184.27566008062098</v>
      </c>
      <c r="Q20" s="297">
        <f t="shared" si="8"/>
        <v>0</v>
      </c>
      <c r="R20" s="325">
        <f t="shared" si="9"/>
        <v>371.6138781111992</v>
      </c>
      <c r="S20" s="325">
        <f t="shared" si="10"/>
        <v>605.75781861106987</v>
      </c>
      <c r="T20" s="325">
        <f t="shared" si="11"/>
        <v>0</v>
      </c>
      <c r="U20" s="325">
        <f>K20*$U$3</f>
        <v>79.210870346297327</v>
      </c>
      <c r="V20" s="325">
        <f t="shared" si="13"/>
        <v>38.570701919725266</v>
      </c>
      <c r="W20" s="325">
        <f t="shared" si="14"/>
        <v>134.99745671903844</v>
      </c>
      <c r="X20" s="325">
        <f t="shared" si="15"/>
        <v>286.97343972543285</v>
      </c>
      <c r="Y20" s="325">
        <f t="shared" si="16"/>
        <v>94.511818348234499</v>
      </c>
      <c r="Z20" s="325">
        <f t="shared" si="17"/>
        <v>491.09404475022512</v>
      </c>
      <c r="AA20" s="179"/>
      <c r="AB20" s="177">
        <f t="shared" si="2"/>
        <v>7.0272268913887964E-2</v>
      </c>
      <c r="AC20" s="178">
        <f t="shared" si="18"/>
        <v>467.00841752102525</v>
      </c>
    </row>
    <row r="21" spans="2:29" x14ac:dyDescent="0.25">
      <c r="B21" s="1">
        <v>452</v>
      </c>
      <c r="C21" t="s">
        <v>42</v>
      </c>
      <c r="D21" s="2"/>
      <c r="H21" s="214">
        <v>0</v>
      </c>
      <c r="I21" s="118"/>
      <c r="J21" s="118">
        <f t="shared" si="0"/>
        <v>0</v>
      </c>
      <c r="K21" s="118">
        <f t="shared" si="1"/>
        <v>0</v>
      </c>
      <c r="L21" s="292">
        <f t="shared" si="3"/>
        <v>0</v>
      </c>
      <c r="M21" s="292">
        <f t="shared" si="4"/>
        <v>0</v>
      </c>
      <c r="N21" s="292">
        <f t="shared" si="5"/>
        <v>0</v>
      </c>
      <c r="O21" s="292">
        <f t="shared" si="6"/>
        <v>0</v>
      </c>
      <c r="P21" s="292">
        <f t="shared" si="7"/>
        <v>0</v>
      </c>
      <c r="Q21" s="292">
        <f t="shared" si="8"/>
        <v>0</v>
      </c>
      <c r="R21" s="309">
        <f t="shared" si="9"/>
        <v>0</v>
      </c>
      <c r="S21" s="309">
        <f t="shared" si="10"/>
        <v>0</v>
      </c>
      <c r="T21" s="309">
        <f t="shared" si="11"/>
        <v>0</v>
      </c>
      <c r="U21" s="309">
        <f t="shared" si="12"/>
        <v>0</v>
      </c>
      <c r="V21" s="309">
        <f t="shared" si="13"/>
        <v>0</v>
      </c>
      <c r="W21" s="309">
        <f t="shared" si="14"/>
        <v>0</v>
      </c>
      <c r="X21" s="309">
        <f t="shared" si="15"/>
        <v>0</v>
      </c>
      <c r="Y21" s="309">
        <f t="shared" si="16"/>
        <v>0</v>
      </c>
      <c r="Z21" s="309">
        <f t="shared" si="17"/>
        <v>0</v>
      </c>
      <c r="AA21" s="221"/>
      <c r="AB21" s="226">
        <f t="shared" si="2"/>
        <v>0</v>
      </c>
      <c r="AC21" s="261">
        <f t="shared" si="18"/>
        <v>0</v>
      </c>
    </row>
    <row r="22" spans="2:29" x14ac:dyDescent="0.25">
      <c r="B22" s="1">
        <v>454</v>
      </c>
      <c r="C22" t="s">
        <v>43</v>
      </c>
      <c r="D22" s="2"/>
      <c r="H22" s="214"/>
      <c r="I22" s="118"/>
      <c r="J22" s="118"/>
      <c r="K22" s="118">
        <f t="shared" si="1"/>
        <v>0</v>
      </c>
      <c r="L22" s="292"/>
      <c r="M22" s="292"/>
      <c r="N22" s="292"/>
      <c r="O22" s="292"/>
      <c r="P22" s="292"/>
      <c r="Q22" s="292">
        <f t="shared" si="8"/>
        <v>0</v>
      </c>
      <c r="R22" s="309">
        <f t="shared" si="9"/>
        <v>0</v>
      </c>
      <c r="S22" s="309">
        <f t="shared" si="10"/>
        <v>0</v>
      </c>
      <c r="T22" s="309">
        <f t="shared" si="11"/>
        <v>0</v>
      </c>
      <c r="U22" s="309">
        <f t="shared" si="12"/>
        <v>0</v>
      </c>
      <c r="V22" s="309">
        <f t="shared" si="13"/>
        <v>0</v>
      </c>
      <c r="W22" s="309">
        <f t="shared" si="14"/>
        <v>0</v>
      </c>
      <c r="X22" s="309">
        <f t="shared" si="15"/>
        <v>0</v>
      </c>
      <c r="Y22" s="309">
        <f t="shared" si="16"/>
        <v>0</v>
      </c>
      <c r="Z22" s="309">
        <f t="shared" si="17"/>
        <v>0</v>
      </c>
      <c r="AA22" s="221"/>
      <c r="AB22" s="226"/>
      <c r="AC22" s="261"/>
    </row>
    <row r="23" spans="2:29" x14ac:dyDescent="0.25">
      <c r="B23" s="1">
        <v>467</v>
      </c>
      <c r="C23" t="s">
        <v>44</v>
      </c>
      <c r="D23" s="2"/>
      <c r="H23" s="214">
        <v>9532.7099999999991</v>
      </c>
      <c r="I23" s="118"/>
      <c r="J23" s="118">
        <f t="shared" ref="J23:J35" si="19">H23/$I$35</f>
        <v>8.836599782827903E-2</v>
      </c>
      <c r="K23" s="118">
        <f t="shared" si="1"/>
        <v>7.8889625975826397E-2</v>
      </c>
      <c r="L23" s="292">
        <f>J23*$L$3</f>
        <v>577.11214619664236</v>
      </c>
      <c r="M23" s="292">
        <f>J23*$M$3</f>
        <v>134.97552704278309</v>
      </c>
      <c r="N23" s="292">
        <f>J23*$N$3</f>
        <v>141.259233148352</v>
      </c>
      <c r="O23" s="292">
        <f>J23*$O$3</f>
        <v>27.746039658101335</v>
      </c>
      <c r="P23" s="292">
        <f>J23*$P$3</f>
        <v>117.5939352699606</v>
      </c>
      <c r="Q23" s="292">
        <f t="shared" si="8"/>
        <v>0</v>
      </c>
      <c r="R23" s="309">
        <f t="shared" si="9"/>
        <v>237.14221568333414</v>
      </c>
      <c r="S23" s="309">
        <f t="shared" si="10"/>
        <v>386.55916728154932</v>
      </c>
      <c r="T23" s="309">
        <f t="shared" si="11"/>
        <v>0</v>
      </c>
      <c r="U23" s="309">
        <f t="shared" si="12"/>
        <v>50.547738947751007</v>
      </c>
      <c r="V23" s="309">
        <f t="shared" si="13"/>
        <v>24.613563304457834</v>
      </c>
      <c r="W23" s="309">
        <f t="shared" si="14"/>
        <v>86.14747156560243</v>
      </c>
      <c r="X23" s="309">
        <f t="shared" si="15"/>
        <v>183.12964436272486</v>
      </c>
      <c r="Y23" s="309">
        <f t="shared" si="16"/>
        <v>60.311907954779038</v>
      </c>
      <c r="Z23" s="309">
        <f t="shared" si="17"/>
        <v>313.38746139645087</v>
      </c>
      <c r="AA23" s="221"/>
      <c r="AB23" s="226">
        <f t="shared" ref="AB23:AB38" si="20">H23/$H$39</f>
        <v>4.4843646948911582E-2</v>
      </c>
      <c r="AC23" s="261">
        <f>AB23*$AC$3</f>
        <v>298.0174245283817</v>
      </c>
    </row>
    <row r="24" spans="2:29" x14ac:dyDescent="0.25">
      <c r="B24" s="1">
        <v>468</v>
      </c>
      <c r="C24" t="s">
        <v>45</v>
      </c>
      <c r="D24" s="2"/>
      <c r="H24" s="214">
        <v>6307.7</v>
      </c>
      <c r="I24" s="118"/>
      <c r="J24" s="118">
        <f t="shared" si="19"/>
        <v>5.8470907486059653E-2</v>
      </c>
      <c r="K24" s="118">
        <f t="shared" si="1"/>
        <v>5.2200485881530034E-2</v>
      </c>
      <c r="L24" s="292">
        <f>J24*$L$3</f>
        <v>381.86940382793159</v>
      </c>
      <c r="M24" s="292">
        <f>J24*$M$3</f>
        <v>89.311972348656681</v>
      </c>
      <c r="N24" s="292">
        <f>J24*$N$3</f>
        <v>93.46983857999038</v>
      </c>
      <c r="O24" s="292">
        <f>J24*$O$3</f>
        <v>18.359280241547872</v>
      </c>
      <c r="P24" s="292">
        <f>J24*$P$3</f>
        <v>77.810744846148751</v>
      </c>
      <c r="Q24" s="292">
        <f t="shared" si="8"/>
        <v>0</v>
      </c>
      <c r="R24" s="309">
        <f t="shared" si="9"/>
        <v>156.91466055987928</v>
      </c>
      <c r="S24" s="309">
        <f t="shared" si="10"/>
        <v>255.78238081949718</v>
      </c>
      <c r="T24" s="309">
        <f t="shared" si="11"/>
        <v>0</v>
      </c>
      <c r="U24" s="309">
        <f t="shared" si="12"/>
        <v>33.446939323731556</v>
      </c>
      <c r="V24" s="309">
        <f t="shared" si="13"/>
        <v>16.28655159503737</v>
      </c>
      <c r="W24" s="309">
        <f t="shared" si="14"/>
        <v>57.002930582630796</v>
      </c>
      <c r="X24" s="309">
        <f t="shared" si="15"/>
        <v>121.17507589623094</v>
      </c>
      <c r="Y24" s="309">
        <f t="shared" si="16"/>
        <v>39.907793461288527</v>
      </c>
      <c r="Z24" s="309">
        <f t="shared" si="17"/>
        <v>207.36538615466043</v>
      </c>
      <c r="AA24" s="221"/>
      <c r="AB24" s="226">
        <f t="shared" si="20"/>
        <v>2.9672598018784753E-2</v>
      </c>
      <c r="AC24" s="261">
        <f>AB24*$AC$3</f>
        <v>197.19518465343782</v>
      </c>
    </row>
    <row r="25" spans="2:29" x14ac:dyDescent="0.25">
      <c r="B25" s="1">
        <v>502</v>
      </c>
      <c r="C25" t="s">
        <v>46</v>
      </c>
      <c r="D25" s="2"/>
      <c r="H25" s="214">
        <v>1678.6</v>
      </c>
      <c r="I25" s="118"/>
      <c r="J25" s="118">
        <f t="shared" si="19"/>
        <v>1.5560230401905564E-2</v>
      </c>
      <c r="K25" s="118">
        <f t="shared" si="1"/>
        <v>1.3891550898225394E-2</v>
      </c>
      <c r="L25" s="292">
        <f t="shared" si="3"/>
        <v>101.62277553871711</v>
      </c>
      <c r="M25" s="292">
        <f t="shared" si="4"/>
        <v>23.767629529694673</v>
      </c>
      <c r="N25" s="292">
        <f t="shared" si="5"/>
        <v>24.874117513574177</v>
      </c>
      <c r="O25" s="292">
        <f t="shared" si="6"/>
        <v>4.8857567438943281</v>
      </c>
      <c r="P25" s="292">
        <f t="shared" si="7"/>
        <v>20.706932209639849</v>
      </c>
      <c r="Q25" s="292">
        <f t="shared" si="8"/>
        <v>0</v>
      </c>
      <c r="R25" s="309">
        <f t="shared" si="9"/>
        <v>41.758002000065538</v>
      </c>
      <c r="S25" s="309">
        <f t="shared" si="10"/>
        <v>68.068599401304425</v>
      </c>
      <c r="T25" s="309">
        <f t="shared" si="11"/>
        <v>0</v>
      </c>
      <c r="U25" s="309">
        <f t="shared" si="12"/>
        <v>8.9008723225289383</v>
      </c>
      <c r="V25" s="309">
        <f t="shared" si="13"/>
        <v>4.3341638802463232</v>
      </c>
      <c r="W25" s="309">
        <f t="shared" si="14"/>
        <v>15.16957358086213</v>
      </c>
      <c r="X25" s="309">
        <f t="shared" si="15"/>
        <v>32.247012762086541</v>
      </c>
      <c r="Y25" s="309">
        <f t="shared" si="16"/>
        <v>10.620229577202297</v>
      </c>
      <c r="Z25" s="309">
        <f t="shared" si="17"/>
        <v>55.183908112182415</v>
      </c>
      <c r="AA25" s="221"/>
      <c r="AB25" s="226">
        <f t="shared" si="20"/>
        <v>7.8964476805066953E-3</v>
      </c>
      <c r="AC25" s="261">
        <f t="shared" si="18"/>
        <v>52.477422350343346</v>
      </c>
    </row>
    <row r="26" spans="2:29" x14ac:dyDescent="0.25">
      <c r="B26" s="1">
        <v>515</v>
      </c>
      <c r="C26" t="s">
        <v>47</v>
      </c>
      <c r="D26" s="2"/>
      <c r="H26" s="214">
        <v>1730.77</v>
      </c>
      <c r="I26" s="118"/>
      <c r="J26" s="118">
        <f t="shared" si="19"/>
        <v>1.604383413124395E-2</v>
      </c>
      <c r="K26" s="118">
        <f t="shared" si="1"/>
        <v>1.4323292951341335E-2</v>
      </c>
      <c r="L26" s="292">
        <f t="shared" si="3"/>
        <v>104.78115764276505</v>
      </c>
      <c r="M26" s="292">
        <f t="shared" si="4"/>
        <v>24.506314882109884</v>
      </c>
      <c r="N26" s="292">
        <f t="shared" si="5"/>
        <v>25.647191927182639</v>
      </c>
      <c r="O26" s="292">
        <f t="shared" si="6"/>
        <v>5.0376034788692881</v>
      </c>
      <c r="P26" s="292">
        <f t="shared" si="7"/>
        <v>21.350492708494198</v>
      </c>
      <c r="Q26" s="292">
        <f t="shared" si="8"/>
        <v>0</v>
      </c>
      <c r="R26" s="309">
        <f t="shared" si="9"/>
        <v>43.05581861173205</v>
      </c>
      <c r="S26" s="309">
        <f t="shared" si="10"/>
        <v>70.184135461572538</v>
      </c>
      <c r="T26" s="309">
        <f t="shared" si="11"/>
        <v>0</v>
      </c>
      <c r="U26" s="309">
        <f t="shared" si="12"/>
        <v>9.1775067256424467</v>
      </c>
      <c r="V26" s="309">
        <f t="shared" si="13"/>
        <v>4.468867400818497</v>
      </c>
      <c r="W26" s="309">
        <f t="shared" si="14"/>
        <v>15.641035902864738</v>
      </c>
      <c r="X26" s="309">
        <f t="shared" si="15"/>
        <v>33.249232859666698</v>
      </c>
      <c r="Y26" s="309">
        <f t="shared" si="16"/>
        <v>10.950300694229965</v>
      </c>
      <c r="Z26" s="309">
        <f t="shared" si="17"/>
        <v>56.898994783344428</v>
      </c>
      <c r="AA26" s="221"/>
      <c r="AB26" s="226">
        <f t="shared" si="20"/>
        <v>8.1418650970991151E-3</v>
      </c>
      <c r="AC26" s="261">
        <f t="shared" si="18"/>
        <v>54.108392875791587</v>
      </c>
    </row>
    <row r="27" spans="2:29" x14ac:dyDescent="0.25">
      <c r="B27" s="1">
        <v>525</v>
      </c>
      <c r="C27" t="s">
        <v>48</v>
      </c>
      <c r="D27" s="2"/>
      <c r="H27" s="214">
        <v>2900</v>
      </c>
      <c r="I27" s="118"/>
      <c r="J27" s="118">
        <f t="shared" si="19"/>
        <v>2.6882323463318324E-2</v>
      </c>
      <c r="K27" s="118">
        <f t="shared" si="1"/>
        <v>2.3999462412041966E-2</v>
      </c>
      <c r="L27" s="292">
        <f t="shared" si="3"/>
        <v>175.56657277628955</v>
      </c>
      <c r="M27" s="292">
        <f t="shared" si="4"/>
        <v>41.061673797280207</v>
      </c>
      <c r="N27" s="292">
        <f t="shared" si="5"/>
        <v>42.973275818756775</v>
      </c>
      <c r="O27" s="292">
        <f t="shared" si="6"/>
        <v>8.4407807442473217</v>
      </c>
      <c r="P27" s="292">
        <f t="shared" si="7"/>
        <v>35.773920772045493</v>
      </c>
      <c r="Q27" s="292">
        <f t="shared" si="8"/>
        <v>0</v>
      </c>
      <c r="R27" s="309">
        <f t="shared" si="9"/>
        <v>72.14238401059815</v>
      </c>
      <c r="S27" s="309">
        <f t="shared" si="10"/>
        <v>117.59736581900563</v>
      </c>
      <c r="T27" s="309">
        <f t="shared" si="11"/>
        <v>0</v>
      </c>
      <c r="U27" s="309">
        <f t="shared" si="12"/>
        <v>15.37741554589177</v>
      </c>
      <c r="V27" s="309">
        <f t="shared" si="13"/>
        <v>7.4878322725570934</v>
      </c>
      <c r="W27" s="309">
        <f t="shared" si="14"/>
        <v>26.207412953949827</v>
      </c>
      <c r="X27" s="309">
        <f t="shared" si="15"/>
        <v>55.710912075569503</v>
      </c>
      <c r="Y27" s="309">
        <f t="shared" si="16"/>
        <v>18.347829008630203</v>
      </c>
      <c r="Z27" s="309">
        <f t="shared" si="17"/>
        <v>95.337384442588473</v>
      </c>
      <c r="AA27" s="221"/>
      <c r="AB27" s="226">
        <f t="shared" si="20"/>
        <v>1.3642141232854413E-2</v>
      </c>
      <c r="AC27" s="261">
        <f t="shared" si="18"/>
        <v>90.661577991180565</v>
      </c>
    </row>
    <row r="28" spans="2:29" x14ac:dyDescent="0.25">
      <c r="B28" s="1">
        <v>560</v>
      </c>
      <c r="C28" t="s">
        <v>49</v>
      </c>
      <c r="D28" s="2"/>
      <c r="H28" s="214">
        <v>0</v>
      </c>
      <c r="I28" s="118"/>
      <c r="J28" s="118">
        <f t="shared" si="19"/>
        <v>0</v>
      </c>
      <c r="K28" s="118">
        <f t="shared" si="1"/>
        <v>0</v>
      </c>
      <c r="L28" s="292">
        <f t="shared" si="3"/>
        <v>0</v>
      </c>
      <c r="M28" s="292">
        <f t="shared" si="4"/>
        <v>0</v>
      </c>
      <c r="N28" s="292">
        <f t="shared" si="5"/>
        <v>0</v>
      </c>
      <c r="O28" s="292">
        <f t="shared" si="6"/>
        <v>0</v>
      </c>
      <c r="P28" s="292">
        <f t="shared" si="7"/>
        <v>0</v>
      </c>
      <c r="Q28" s="292">
        <f t="shared" si="8"/>
        <v>0</v>
      </c>
      <c r="R28" s="309">
        <f t="shared" si="9"/>
        <v>0</v>
      </c>
      <c r="S28" s="309">
        <f t="shared" si="10"/>
        <v>0</v>
      </c>
      <c r="T28" s="309">
        <f t="shared" si="11"/>
        <v>0</v>
      </c>
      <c r="U28" s="309">
        <f t="shared" si="12"/>
        <v>0</v>
      </c>
      <c r="V28" s="309">
        <f t="shared" si="13"/>
        <v>0</v>
      </c>
      <c r="W28" s="309">
        <f t="shared" si="14"/>
        <v>0</v>
      </c>
      <c r="X28" s="309">
        <f t="shared" si="15"/>
        <v>0</v>
      </c>
      <c r="Y28" s="309">
        <f t="shared" si="16"/>
        <v>0</v>
      </c>
      <c r="Z28" s="309">
        <f t="shared" si="17"/>
        <v>0</v>
      </c>
      <c r="AA28" s="221"/>
      <c r="AB28" s="226">
        <f t="shared" si="20"/>
        <v>0</v>
      </c>
      <c r="AC28" s="261">
        <f t="shared" si="18"/>
        <v>0</v>
      </c>
    </row>
    <row r="29" spans="2:29" x14ac:dyDescent="0.25">
      <c r="B29" s="1">
        <v>561</v>
      </c>
      <c r="C29" t="s">
        <v>50</v>
      </c>
      <c r="D29" s="2"/>
      <c r="H29" s="214">
        <v>4384.62</v>
      </c>
      <c r="I29" s="118"/>
      <c r="J29" s="118">
        <f t="shared" si="19"/>
        <v>4.0644404518529235E-2</v>
      </c>
      <c r="K29" s="118">
        <f t="shared" si="1"/>
        <v>3.6285697545202569E-2</v>
      </c>
      <c r="L29" s="292">
        <f t="shared" si="3"/>
        <v>265.44576080219815</v>
      </c>
      <c r="M29" s="292">
        <f t="shared" si="4"/>
        <v>62.082702125872665</v>
      </c>
      <c r="N29" s="292">
        <f t="shared" si="5"/>
        <v>64.972925731185271</v>
      </c>
      <c r="O29" s="292">
        <f t="shared" si="6"/>
        <v>12.761936574772996</v>
      </c>
      <c r="P29" s="292">
        <f t="shared" si="7"/>
        <v>54.087947757077963</v>
      </c>
      <c r="Q29" s="292">
        <f t="shared" si="8"/>
        <v>0</v>
      </c>
      <c r="R29" s="309">
        <f t="shared" si="9"/>
        <v>109.07480682087892</v>
      </c>
      <c r="S29" s="309">
        <f t="shared" si="10"/>
        <v>177.79991797149259</v>
      </c>
      <c r="T29" s="309">
        <f t="shared" si="11"/>
        <v>0</v>
      </c>
      <c r="U29" s="309">
        <f t="shared" si="12"/>
        <v>23.249697845113094</v>
      </c>
      <c r="V29" s="309">
        <f t="shared" si="13"/>
        <v>11.321137634103202</v>
      </c>
      <c r="W29" s="309">
        <f t="shared" si="14"/>
        <v>39.623981719361204</v>
      </c>
      <c r="X29" s="309">
        <f t="shared" si="15"/>
        <v>84.231441139580539</v>
      </c>
      <c r="Y29" s="309">
        <f t="shared" si="16"/>
        <v>27.740778630282815</v>
      </c>
      <c r="Z29" s="309">
        <f t="shared" si="17"/>
        <v>144.1442077843663</v>
      </c>
      <c r="AA29" s="221"/>
      <c r="AB29" s="226">
        <f t="shared" si="20"/>
        <v>2.062607079048211E-2</v>
      </c>
      <c r="AC29" s="261">
        <f t="shared" si="18"/>
        <v>137.07467865230694</v>
      </c>
    </row>
    <row r="30" spans="2:29" x14ac:dyDescent="0.25">
      <c r="B30" s="1">
        <v>563</v>
      </c>
      <c r="C30" t="s">
        <v>51</v>
      </c>
      <c r="D30" s="2"/>
      <c r="H30" s="214">
        <v>2993.49</v>
      </c>
      <c r="I30" s="118"/>
      <c r="J30" s="118">
        <f t="shared" si="19"/>
        <v>2.7748953953175434E-2</v>
      </c>
      <c r="K30" s="118">
        <f t="shared" si="1"/>
        <v>2.4773155426146033E-2</v>
      </c>
      <c r="L30" s="292">
        <f t="shared" si="3"/>
        <v>181.22647584141205</v>
      </c>
      <c r="M30" s="292">
        <f t="shared" si="4"/>
        <v>42.385417205317353</v>
      </c>
      <c r="N30" s="292">
        <f t="shared" si="5"/>
        <v>44.35864532092765</v>
      </c>
      <c r="O30" s="292">
        <f t="shared" si="6"/>
        <v>8.712894051757555</v>
      </c>
      <c r="P30" s="292">
        <f t="shared" si="7"/>
        <v>36.927197962727739</v>
      </c>
      <c r="Q30" s="292">
        <f t="shared" si="8"/>
        <v>0</v>
      </c>
      <c r="R30" s="309">
        <f t="shared" si="9"/>
        <v>74.468105210994977</v>
      </c>
      <c r="S30" s="309">
        <f t="shared" si="10"/>
        <v>121.38846158811556</v>
      </c>
      <c r="T30" s="309">
        <f t="shared" si="11"/>
        <v>0</v>
      </c>
      <c r="U30" s="309">
        <f t="shared" si="12"/>
        <v>15.87315160774881</v>
      </c>
      <c r="V30" s="309">
        <f t="shared" si="13"/>
        <v>7.7292244929575622</v>
      </c>
      <c r="W30" s="309">
        <f t="shared" si="14"/>
        <v>27.052285725351467</v>
      </c>
      <c r="X30" s="309">
        <f t="shared" si="15"/>
        <v>57.506916616929836</v>
      </c>
      <c r="Y30" s="309">
        <f t="shared" si="16"/>
        <v>18.939325054842904</v>
      </c>
      <c r="Z30" s="309">
        <f t="shared" si="17"/>
        <v>98.410864467256602</v>
      </c>
      <c r="AA30" s="221"/>
      <c r="AB30" s="226">
        <f t="shared" si="20"/>
        <v>1.4081935641081846E-2</v>
      </c>
      <c r="AC30" s="261">
        <f t="shared" si="18"/>
        <v>93.584319689937615</v>
      </c>
    </row>
    <row r="31" spans="2:29" x14ac:dyDescent="0.25">
      <c r="B31" s="1">
        <v>610</v>
      </c>
      <c r="C31" t="s">
        <v>53</v>
      </c>
      <c r="D31" s="2"/>
      <c r="H31" s="214">
        <v>11923.08</v>
      </c>
      <c r="I31" s="118"/>
      <c r="J31" s="118">
        <f t="shared" si="19"/>
        <v>0.11052417008242119</v>
      </c>
      <c r="K31" s="118">
        <f t="shared" si="1"/>
        <v>9.8671555274403216E-2</v>
      </c>
      <c r="L31" s="292">
        <f t="shared" si="3"/>
        <v>721.82561811638698</v>
      </c>
      <c r="M31" s="292">
        <f t="shared" si="4"/>
        <v>168.82124883409506</v>
      </c>
      <c r="N31" s="292">
        <f t="shared" si="5"/>
        <v>176.68062256865602</v>
      </c>
      <c r="O31" s="292">
        <f t="shared" si="6"/>
        <v>34.703484164179429</v>
      </c>
      <c r="P31" s="292">
        <f t="shared" si="7"/>
        <v>147.08114457888283</v>
      </c>
      <c r="Q31" s="292">
        <f t="shared" si="8"/>
        <v>0</v>
      </c>
      <c r="R31" s="309">
        <f t="shared" si="9"/>
        <v>296.60669515485608</v>
      </c>
      <c r="S31" s="309">
        <f t="shared" si="10"/>
        <v>483.49062084457574</v>
      </c>
      <c r="T31" s="309">
        <f t="shared" si="11"/>
        <v>0</v>
      </c>
      <c r="U31" s="309">
        <f t="shared" si="12"/>
        <v>63.222812326521115</v>
      </c>
      <c r="V31" s="309">
        <f t="shared" si="13"/>
        <v>30.785525245613805</v>
      </c>
      <c r="W31" s="309">
        <f t="shared" si="14"/>
        <v>107.74933835964831</v>
      </c>
      <c r="X31" s="309">
        <f t="shared" si="15"/>
        <v>229.05022812068319</v>
      </c>
      <c r="Y31" s="309">
        <f t="shared" si="16"/>
        <v>75.435390722834001</v>
      </c>
      <c r="Z31" s="309">
        <f t="shared" si="17"/>
        <v>391.97077989646129</v>
      </c>
      <c r="AA31" s="221"/>
      <c r="AB31" s="226">
        <f t="shared" si="20"/>
        <v>5.6088393548490274E-2</v>
      </c>
      <c r="AC31" s="261">
        <f t="shared" si="18"/>
        <v>372.74663700520182</v>
      </c>
    </row>
    <row r="32" spans="2:29" x14ac:dyDescent="0.25">
      <c r="B32" s="1">
        <v>620</v>
      </c>
      <c r="C32" t="s">
        <v>54</v>
      </c>
      <c r="D32" s="2"/>
      <c r="H32" s="214">
        <v>6015.39</v>
      </c>
      <c r="I32" s="118"/>
      <c r="J32" s="118">
        <f t="shared" si="19"/>
        <v>5.5761261978624285E-2</v>
      </c>
      <c r="K32" s="118">
        <f t="shared" si="1"/>
        <v>4.9781422827163149E-2</v>
      </c>
      <c r="L32" s="292">
        <f t="shared" si="3"/>
        <v>364.1728986940567</v>
      </c>
      <c r="M32" s="292">
        <f t="shared" si="4"/>
        <v>85.173097221869455</v>
      </c>
      <c r="N32" s="292">
        <f t="shared" si="5"/>
        <v>89.138280561169424</v>
      </c>
      <c r="O32" s="292">
        <f t="shared" si="6"/>
        <v>17.508478648668241</v>
      </c>
      <c r="P32" s="292">
        <f t="shared" si="7"/>
        <v>74.20485699067406</v>
      </c>
      <c r="Q32" s="292">
        <f t="shared" si="8"/>
        <v>0</v>
      </c>
      <c r="R32" s="309">
        <f t="shared" si="9"/>
        <v>149.64295701845242</v>
      </c>
      <c r="S32" s="309">
        <f t="shared" si="10"/>
        <v>243.92897185309943</v>
      </c>
      <c r="T32" s="309">
        <f t="shared" si="11"/>
        <v>0</v>
      </c>
      <c r="U32" s="309">
        <f t="shared" si="12"/>
        <v>31.896948862276517</v>
      </c>
      <c r="V32" s="309">
        <f t="shared" si="13"/>
        <v>15.531803922074902</v>
      </c>
      <c r="W32" s="309">
        <f t="shared" si="14"/>
        <v>54.361313727262157</v>
      </c>
      <c r="X32" s="309">
        <f t="shared" si="15"/>
        <v>115.55960806560691</v>
      </c>
      <c r="Y32" s="309">
        <f t="shared" si="16"/>
        <v>38.058395565594502</v>
      </c>
      <c r="Z32" s="309">
        <f t="shared" si="17"/>
        <v>197.75570655244906</v>
      </c>
      <c r="AA32" s="221"/>
      <c r="AB32" s="226">
        <f t="shared" si="20"/>
        <v>2.829751722437935E-2</v>
      </c>
      <c r="AC32" s="261">
        <f t="shared" si="18"/>
        <v>188.05681021805785</v>
      </c>
    </row>
    <row r="33" spans="2:33" x14ac:dyDescent="0.25">
      <c r="B33" s="1">
        <v>630</v>
      </c>
      <c r="C33" t="s">
        <v>55</v>
      </c>
      <c r="D33" s="2"/>
      <c r="H33" s="214">
        <v>0</v>
      </c>
      <c r="I33" s="118"/>
      <c r="J33" s="118">
        <f t="shared" si="19"/>
        <v>0</v>
      </c>
      <c r="K33" s="118">
        <f t="shared" si="1"/>
        <v>0</v>
      </c>
      <c r="L33" s="292">
        <f t="shared" si="3"/>
        <v>0</v>
      </c>
      <c r="M33" s="292">
        <f t="shared" si="4"/>
        <v>0</v>
      </c>
      <c r="N33" s="292">
        <f t="shared" si="5"/>
        <v>0</v>
      </c>
      <c r="O33" s="292">
        <f t="shared" si="6"/>
        <v>0</v>
      </c>
      <c r="P33" s="292">
        <f t="shared" si="7"/>
        <v>0</v>
      </c>
      <c r="Q33" s="292">
        <f t="shared" si="8"/>
        <v>0</v>
      </c>
      <c r="R33" s="309">
        <f t="shared" si="9"/>
        <v>0</v>
      </c>
      <c r="S33" s="309">
        <f t="shared" si="10"/>
        <v>0</v>
      </c>
      <c r="T33" s="309">
        <f t="shared" si="11"/>
        <v>0</v>
      </c>
      <c r="U33" s="309">
        <f t="shared" si="12"/>
        <v>0</v>
      </c>
      <c r="V33" s="309">
        <f t="shared" si="13"/>
        <v>0</v>
      </c>
      <c r="W33" s="309">
        <f t="shared" si="14"/>
        <v>0</v>
      </c>
      <c r="X33" s="309">
        <f t="shared" si="15"/>
        <v>0</v>
      </c>
      <c r="Y33" s="309">
        <f t="shared" si="16"/>
        <v>0</v>
      </c>
      <c r="Z33" s="309">
        <f t="shared" si="17"/>
        <v>0</v>
      </c>
      <c r="AA33" s="221"/>
      <c r="AB33" s="226">
        <f t="shared" si="20"/>
        <v>0</v>
      </c>
      <c r="AC33" s="261">
        <f t="shared" si="18"/>
        <v>0</v>
      </c>
    </row>
    <row r="34" spans="2:33" x14ac:dyDescent="0.25">
      <c r="B34" s="1">
        <v>650</v>
      </c>
      <c r="C34" t="s">
        <v>56</v>
      </c>
      <c r="D34" s="2"/>
      <c r="H34" s="214">
        <v>299</v>
      </c>
      <c r="I34" s="319"/>
      <c r="J34" s="118">
        <f t="shared" si="19"/>
        <v>2.7716602467352342E-3</v>
      </c>
      <c r="K34" s="118">
        <f t="shared" si="1"/>
        <v>2.4744273314484646E-3</v>
      </c>
      <c r="L34" s="292">
        <f t="shared" si="3"/>
        <v>18.101519055210545</v>
      </c>
      <c r="M34" s="292">
        <f t="shared" si="4"/>
        <v>4.2336001604782014</v>
      </c>
      <c r="N34" s="292">
        <f t="shared" si="5"/>
        <v>4.4306929206235433</v>
      </c>
      <c r="O34" s="292">
        <f t="shared" si="6"/>
        <v>0.87027360087239625</v>
      </c>
      <c r="P34" s="292">
        <f t="shared" si="7"/>
        <v>3.6884145899453804</v>
      </c>
      <c r="Q34" s="292">
        <f t="shared" si="8"/>
        <v>0</v>
      </c>
      <c r="R34" s="309">
        <f t="shared" si="9"/>
        <v>7.4381285583340846</v>
      </c>
      <c r="S34" s="309">
        <f t="shared" si="10"/>
        <v>12.124693924097476</v>
      </c>
      <c r="T34" s="309">
        <f t="shared" si="11"/>
        <v>0</v>
      </c>
      <c r="U34" s="309">
        <f t="shared" si="12"/>
        <v>1.5854645683522892</v>
      </c>
      <c r="V34" s="309">
        <f t="shared" si="13"/>
        <v>0.77202132741192098</v>
      </c>
      <c r="W34" s="309">
        <f t="shared" si="14"/>
        <v>2.7020746459417233</v>
      </c>
      <c r="X34" s="309">
        <f t="shared" si="15"/>
        <v>5.7439871415845793</v>
      </c>
      <c r="Y34" s="309">
        <f t="shared" si="16"/>
        <v>1.8917244391656656</v>
      </c>
      <c r="Z34" s="309">
        <f t="shared" si="17"/>
        <v>9.8296130856323973</v>
      </c>
      <c r="AA34" s="221"/>
      <c r="AB34" s="226">
        <f t="shared" si="20"/>
        <v>1.4065518029736102E-3</v>
      </c>
      <c r="AC34" s="261">
        <f t="shared" si="18"/>
        <v>9.3475213170217213</v>
      </c>
    </row>
    <row r="35" spans="2:33" x14ac:dyDescent="0.25">
      <c r="B35" s="1">
        <v>600</v>
      </c>
      <c r="C35" t="s">
        <v>57</v>
      </c>
      <c r="D35" s="2"/>
      <c r="H35" s="214">
        <v>-0.01</v>
      </c>
      <c r="I35" s="118">
        <f>SUM(H6:H35)</f>
        <v>107877.58000000002</v>
      </c>
      <c r="J35" s="118">
        <f t="shared" si="19"/>
        <v>-9.2697667114890778E-8</v>
      </c>
      <c r="K35" s="118">
        <f t="shared" si="1"/>
        <v>-8.2756766938075744E-8</v>
      </c>
      <c r="L35" s="292">
        <f t="shared" si="3"/>
        <v>-6.0540197509065361E-4</v>
      </c>
      <c r="M35" s="292">
        <f t="shared" si="4"/>
        <v>-1.4159197861131107E-4</v>
      </c>
      <c r="N35" s="292">
        <f t="shared" si="5"/>
        <v>-1.4818370971985095E-4</v>
      </c>
      <c r="O35" s="292">
        <f t="shared" si="6"/>
        <v>-2.9106140497404555E-5</v>
      </c>
      <c r="P35" s="292">
        <f t="shared" si="7"/>
        <v>-1.2335834748981205E-4</v>
      </c>
      <c r="Q35" s="292">
        <f t="shared" si="8"/>
        <v>0</v>
      </c>
      <c r="R35" s="309">
        <f t="shared" si="9"/>
        <v>-2.487668414158557E-4</v>
      </c>
      <c r="S35" s="309">
        <f t="shared" si="10"/>
        <v>-4.0550815799657113E-4</v>
      </c>
      <c r="T35" s="309">
        <f t="shared" si="11"/>
        <v>0</v>
      </c>
      <c r="U35" s="309">
        <f t="shared" si="12"/>
        <v>-5.3025570847902654E-5</v>
      </c>
      <c r="V35" s="309">
        <f t="shared" si="13"/>
        <v>-2.5820111284679632E-5</v>
      </c>
      <c r="W35" s="309">
        <f t="shared" si="14"/>
        <v>-9.0370389496378717E-5</v>
      </c>
      <c r="X35" s="309">
        <f t="shared" si="15"/>
        <v>-1.9210659336403276E-4</v>
      </c>
      <c r="Y35" s="309">
        <f t="shared" si="16"/>
        <v>-6.3268375891828289E-5</v>
      </c>
      <c r="Z35" s="309">
        <f t="shared" si="17"/>
        <v>-3.2874960152616713E-4</v>
      </c>
      <c r="AA35" s="221"/>
      <c r="AB35" s="226">
        <f t="shared" si="20"/>
        <v>-4.7041866320187635E-8</v>
      </c>
      <c r="AC35" s="261">
        <f t="shared" si="18"/>
        <v>-3.1262613100407097E-4</v>
      </c>
    </row>
    <row r="36" spans="2:33" x14ac:dyDescent="0.25">
      <c r="B36" s="1">
        <v>339</v>
      </c>
      <c r="C36" t="s">
        <v>58</v>
      </c>
      <c r="D36" s="2"/>
      <c r="H36" s="319">
        <f>J53</f>
        <v>7420</v>
      </c>
      <c r="I36" s="118"/>
      <c r="J36" s="118"/>
      <c r="K36" s="118">
        <f t="shared" si="1"/>
        <v>6.14055210680522E-2</v>
      </c>
      <c r="L36" s="292">
        <f>J36*$L$3</f>
        <v>0</v>
      </c>
      <c r="M36" s="292">
        <f>J36*$M$3</f>
        <v>0</v>
      </c>
      <c r="N36" s="292">
        <f>J36*$N$3</f>
        <v>0</v>
      </c>
      <c r="O36" s="292">
        <f>J36*$O$3</f>
        <v>0</v>
      </c>
      <c r="P36" s="292">
        <f>J36*$P$3</f>
        <v>0</v>
      </c>
      <c r="Q36" s="292">
        <f t="shared" si="8"/>
        <v>0</v>
      </c>
      <c r="R36" s="309">
        <f t="shared" si="9"/>
        <v>184.58499633056491</v>
      </c>
      <c r="S36" s="309">
        <f t="shared" si="10"/>
        <v>300.88705323345579</v>
      </c>
      <c r="T36" s="309">
        <f t="shared" si="11"/>
        <v>0</v>
      </c>
      <c r="U36" s="309">
        <f t="shared" si="12"/>
        <v>39.344973569143768</v>
      </c>
      <c r="V36" s="309">
        <f t="shared" si="13"/>
        <v>19.158522573232286</v>
      </c>
      <c r="W36" s="309">
        <f t="shared" si="14"/>
        <v>67.054829006313</v>
      </c>
      <c r="X36" s="309">
        <f t="shared" si="15"/>
        <v>142.5430922761123</v>
      </c>
      <c r="Y36" s="309">
        <f t="shared" si="16"/>
        <v>46.945134911736588</v>
      </c>
      <c r="Z36" s="309">
        <f t="shared" si="17"/>
        <v>243.93220433241601</v>
      </c>
      <c r="AA36" s="221"/>
      <c r="AB36" s="226">
        <f t="shared" si="20"/>
        <v>3.4905064809579223E-2</v>
      </c>
      <c r="AC36" s="326">
        <f>AB36*$AC$3</f>
        <v>231.96858920502063</v>
      </c>
    </row>
    <row r="37" spans="2:33" x14ac:dyDescent="0.25">
      <c r="B37" s="1">
        <v>225</v>
      </c>
      <c r="C37" t="s">
        <v>59</v>
      </c>
      <c r="D37" s="2"/>
      <c r="H37" s="214">
        <f>I53</f>
        <v>5538.46</v>
      </c>
      <c r="I37" s="118">
        <f>I35+H36+H37</f>
        <v>120836.04000000002</v>
      </c>
      <c r="J37" s="118"/>
      <c r="K37" s="118">
        <f t="shared" si="1"/>
        <v>4.5834504341585501E-2</v>
      </c>
      <c r="L37" s="292"/>
      <c r="M37" s="292"/>
      <c r="N37" s="292"/>
      <c r="O37" s="292"/>
      <c r="P37" s="292"/>
      <c r="Q37" s="292">
        <f>K37*$Q$3</f>
        <v>0</v>
      </c>
      <c r="R37" s="309">
        <f t="shared" si="9"/>
        <v>137.77852005080601</v>
      </c>
      <c r="S37" s="309">
        <f t="shared" si="10"/>
        <v>224.58907127376895</v>
      </c>
      <c r="T37" s="309">
        <f t="shared" si="11"/>
        <v>0</v>
      </c>
      <c r="U37" s="309">
        <f t="shared" si="12"/>
        <v>29.368000311827494</v>
      </c>
      <c r="V37" s="309">
        <f t="shared" si="13"/>
        <v>14.300365354574677</v>
      </c>
      <c r="W37" s="309">
        <f t="shared" si="14"/>
        <v>50.051278741011366</v>
      </c>
      <c r="X37" s="309">
        <f t="shared" si="15"/>
        <v>106.3974683082961</v>
      </c>
      <c r="Y37" s="309">
        <f t="shared" si="16"/>
        <v>35.040936914185529</v>
      </c>
      <c r="Z37" s="309">
        <f t="shared" si="17"/>
        <v>182.07665180686158</v>
      </c>
      <c r="AA37" s="221"/>
      <c r="AB37" s="226">
        <f t="shared" si="20"/>
        <v>2.6053949493970639E-2</v>
      </c>
      <c r="AC37" s="326">
        <f>AB37*$AC$3</f>
        <v>173.14673215208066</v>
      </c>
    </row>
    <row r="38" spans="2:33" x14ac:dyDescent="0.25">
      <c r="B38" s="45">
        <v>451</v>
      </c>
      <c r="C38" s="32" t="s">
        <v>60</v>
      </c>
      <c r="D38" s="32"/>
      <c r="E38" s="32"/>
      <c r="F38" s="31">
        <v>91740.56</v>
      </c>
      <c r="G38" s="31"/>
      <c r="H38" s="319">
        <v>91740.56</v>
      </c>
      <c r="I38" s="118"/>
      <c r="J38" s="121"/>
      <c r="K38" s="121"/>
      <c r="L38" s="292"/>
      <c r="M38" s="292"/>
      <c r="N38" s="292"/>
      <c r="O38" s="292"/>
      <c r="P38" s="292"/>
      <c r="Q38" s="292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26">
        <f t="shared" si="20"/>
        <v>0.43156471596591528</v>
      </c>
      <c r="AC38" s="329">
        <f t="shared" ref="AC38" si="21">AB38*$AC$3</f>
        <v>2868.0496328946829</v>
      </c>
    </row>
    <row r="39" spans="2:33" ht="15.75" thickBot="1" x14ac:dyDescent="0.3">
      <c r="H39" s="320">
        <f>SUM(H6:H38)</f>
        <v>212576.60000000003</v>
      </c>
      <c r="I39" s="320"/>
      <c r="J39" s="321">
        <f t="shared" ref="J39:AC39" si="22">SUM(J6:J38)</f>
        <v>1</v>
      </c>
      <c r="K39" s="321">
        <f t="shared" si="22"/>
        <v>0.99999999999999989</v>
      </c>
      <c r="L39" s="322">
        <f t="shared" si="22"/>
        <v>6530.93</v>
      </c>
      <c r="M39" s="322">
        <f t="shared" si="22"/>
        <v>1527.4599999999994</v>
      </c>
      <c r="N39" s="322">
        <f t="shared" si="22"/>
        <v>1598.5699999999997</v>
      </c>
      <c r="O39" s="322">
        <f t="shared" si="22"/>
        <v>313.9899999999999</v>
      </c>
      <c r="P39" s="322">
        <f t="shared" si="22"/>
        <v>1330.7599999999995</v>
      </c>
      <c r="Q39" s="322">
        <f t="shared" si="22"/>
        <v>0</v>
      </c>
      <c r="R39" s="310">
        <f t="shared" si="22"/>
        <v>3005.9999999999991</v>
      </c>
      <c r="S39" s="310">
        <f t="shared" si="22"/>
        <v>4899.9999999999982</v>
      </c>
      <c r="T39" s="310">
        <f t="shared" si="22"/>
        <v>0</v>
      </c>
      <c r="U39" s="310">
        <f t="shared" si="22"/>
        <v>640.7399999999999</v>
      </c>
      <c r="V39" s="310">
        <f t="shared" si="22"/>
        <v>312.00000000000006</v>
      </c>
      <c r="W39" s="310">
        <f t="shared" si="22"/>
        <v>1092</v>
      </c>
      <c r="X39" s="310">
        <f t="shared" si="22"/>
        <v>2321.34</v>
      </c>
      <c r="Y39" s="310">
        <f t="shared" si="22"/>
        <v>764.50999999999965</v>
      </c>
      <c r="Z39" s="310">
        <f t="shared" si="22"/>
        <v>3972.48</v>
      </c>
      <c r="AA39" s="323">
        <f t="shared" si="22"/>
        <v>0</v>
      </c>
      <c r="AB39" s="320">
        <f t="shared" si="22"/>
        <v>0.99999999999999989</v>
      </c>
      <c r="AC39" s="323">
        <f t="shared" si="22"/>
        <v>6645.6999999999989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301">
        <f t="shared" ref="L40:AC40" si="23">L3-L39</f>
        <v>0</v>
      </c>
      <c r="M40" s="301">
        <f t="shared" si="23"/>
        <v>0</v>
      </c>
      <c r="N40" s="301">
        <f t="shared" si="23"/>
        <v>0</v>
      </c>
      <c r="O40" s="301">
        <f t="shared" si="23"/>
        <v>0</v>
      </c>
      <c r="P40" s="301">
        <f t="shared" si="23"/>
        <v>0</v>
      </c>
      <c r="Q40" s="301">
        <f t="shared" si="23"/>
        <v>0</v>
      </c>
      <c r="R40" s="108">
        <f t="shared" si="23"/>
        <v>0</v>
      </c>
      <c r="S40" s="108">
        <f t="shared" si="23"/>
        <v>0</v>
      </c>
      <c r="T40" s="108">
        <f t="shared" si="23"/>
        <v>0</v>
      </c>
      <c r="U40" s="108">
        <f t="shared" si="23"/>
        <v>0</v>
      </c>
      <c r="V40" s="108">
        <f t="shared" si="23"/>
        <v>0</v>
      </c>
      <c r="W40" s="108">
        <f t="shared" si="23"/>
        <v>0</v>
      </c>
      <c r="X40" s="108">
        <f t="shared" si="23"/>
        <v>0</v>
      </c>
      <c r="Y40" s="108">
        <f t="shared" si="23"/>
        <v>0</v>
      </c>
      <c r="Z40" s="108">
        <f t="shared" si="23"/>
        <v>0</v>
      </c>
      <c r="AA40" s="108">
        <f t="shared" si="23"/>
        <v>0</v>
      </c>
      <c r="AB40" s="108">
        <f t="shared" si="23"/>
        <v>-0.99999999999999989</v>
      </c>
      <c r="AC40" s="108">
        <f t="shared" si="23"/>
        <v>0</v>
      </c>
    </row>
    <row r="41" spans="2:33" x14ac:dyDescent="0.25">
      <c r="C41" s="17">
        <v>43717</v>
      </c>
      <c r="D41" s="23"/>
      <c r="E41" s="23"/>
      <c r="F41" s="23"/>
      <c r="G41" s="18"/>
      <c r="H41" s="18">
        <v>50893.35</v>
      </c>
      <c r="I41" s="18"/>
      <c r="J41" s="42"/>
      <c r="K41" s="238"/>
      <c r="L41" s="302">
        <v>3872.3</v>
      </c>
      <c r="M41" s="302">
        <v>905.65</v>
      </c>
      <c r="N41" s="302">
        <v>1253.04</v>
      </c>
      <c r="O41" s="302">
        <v>229.72</v>
      </c>
      <c r="P41" s="302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x14ac:dyDescent="0.25">
      <c r="C42" s="19">
        <v>43728</v>
      </c>
      <c r="D42" s="24"/>
      <c r="E42" s="24"/>
      <c r="F42" s="24"/>
      <c r="H42" s="2">
        <v>58065.96</v>
      </c>
      <c r="J42" s="43">
        <v>0</v>
      </c>
      <c r="K42" s="238"/>
      <c r="L42" s="302">
        <v>3698.62</v>
      </c>
      <c r="M42" s="302">
        <v>865.02</v>
      </c>
      <c r="N42" s="302">
        <v>1101.1400000000001</v>
      </c>
      <c r="O42" s="302">
        <v>201.86</v>
      </c>
      <c r="P42" s="302"/>
      <c r="Q42" s="114"/>
      <c r="R42" s="114"/>
      <c r="S42" s="114"/>
      <c r="T42" s="114"/>
      <c r="U42" s="53"/>
      <c r="V42" s="159"/>
      <c r="W42" s="114"/>
      <c r="X42" s="114"/>
      <c r="Y42" s="114"/>
      <c r="Z42" s="114"/>
    </row>
    <row r="43" spans="2:33" x14ac:dyDescent="0.25">
      <c r="C43" s="19"/>
      <c r="D43" s="24"/>
      <c r="E43" s="24"/>
      <c r="F43" s="24"/>
      <c r="H43" s="2">
        <v>-1081.74</v>
      </c>
      <c r="J43" s="43"/>
      <c r="K43" s="238"/>
      <c r="L43" s="302"/>
      <c r="M43" s="302"/>
      <c r="N43" s="302"/>
      <c r="O43" s="302"/>
      <c r="P43" s="302"/>
      <c r="Q43" s="114"/>
      <c r="R43" s="114"/>
      <c r="S43" s="114"/>
      <c r="T43" s="114"/>
      <c r="U43" s="53"/>
      <c r="V43" s="159"/>
      <c r="W43" s="114"/>
      <c r="X43" s="114"/>
      <c r="Y43" s="114"/>
      <c r="Z43" s="114"/>
    </row>
    <row r="44" spans="2:33" ht="15.75" thickBot="1" x14ac:dyDescent="0.3">
      <c r="C44" s="19"/>
      <c r="D44" s="24"/>
      <c r="E44" s="24"/>
      <c r="F44" s="24"/>
      <c r="H44" s="2">
        <f>K53</f>
        <v>12958.46</v>
      </c>
      <c r="J44" s="43"/>
      <c r="K44" s="238"/>
      <c r="L44" s="302"/>
      <c r="M44" s="302"/>
      <c r="N44" s="302"/>
      <c r="O44" s="302"/>
      <c r="P44" s="302"/>
      <c r="Q44" s="114"/>
      <c r="R44" s="114"/>
      <c r="S44" s="114"/>
      <c r="T44" s="114"/>
      <c r="U44" s="101"/>
      <c r="V44" s="159"/>
      <c r="W44" s="114"/>
      <c r="X44" s="114"/>
      <c r="Y44" s="114"/>
      <c r="Z44" s="114"/>
    </row>
    <row r="45" spans="2:33" ht="15.75" thickBot="1" x14ac:dyDescent="0.3">
      <c r="C45" s="20"/>
      <c r="D45" s="20"/>
      <c r="E45" s="20"/>
      <c r="F45" s="20"/>
      <c r="G45" s="105"/>
      <c r="H45" s="236">
        <f>SUM(H41:H44)</f>
        <v>120836.03</v>
      </c>
      <c r="I45" s="5"/>
      <c r="J45" s="44"/>
      <c r="K45" s="239"/>
      <c r="L45" s="303">
        <f>SUM(L41:L42)</f>
        <v>7570.92</v>
      </c>
      <c r="M45" s="304">
        <f>SUM(M41:M42)</f>
        <v>1770.67</v>
      </c>
      <c r="N45" s="304">
        <f>SUM(N41:N42)</f>
        <v>2354.1800000000003</v>
      </c>
      <c r="O45" s="304">
        <f>SUM(O41:O42)</f>
        <v>431.58000000000004</v>
      </c>
      <c r="P45" s="305">
        <f>SUM(P41:P42)</f>
        <v>0</v>
      </c>
      <c r="Q45" s="114"/>
      <c r="R45" s="114"/>
      <c r="S45" s="114"/>
      <c r="T45" s="114"/>
      <c r="U45" s="114"/>
      <c r="V45" s="159"/>
      <c r="W45" s="114"/>
      <c r="X45" s="114"/>
      <c r="Y45" s="114"/>
      <c r="Z45" s="114"/>
    </row>
    <row r="46" spans="2:33" x14ac:dyDescent="0.25">
      <c r="H46" s="53">
        <f>H39-H45</f>
        <v>91740.570000000036</v>
      </c>
      <c r="L46" s="301"/>
      <c r="M46" s="301"/>
      <c r="N46" s="301"/>
      <c r="O46" s="301"/>
      <c r="P46" s="301"/>
      <c r="Q46" s="114"/>
      <c r="R46" s="114"/>
      <c r="S46" s="114"/>
      <c r="T46" s="114"/>
      <c r="U46" s="114"/>
      <c r="V46" s="159"/>
      <c r="W46" s="114"/>
      <c r="X46" s="114"/>
      <c r="Y46" s="114"/>
      <c r="Z46" s="114"/>
      <c r="AG46">
        <v>114.44</v>
      </c>
    </row>
    <row r="47" spans="2:33" x14ac:dyDescent="0.25">
      <c r="I47" s="2" t="s">
        <v>64</v>
      </c>
      <c r="J47" s="12" t="s">
        <v>65</v>
      </c>
      <c r="L47" s="306"/>
      <c r="M47" s="306"/>
      <c r="N47" s="306"/>
      <c r="O47" s="306"/>
      <c r="AG47">
        <v>151.65</v>
      </c>
    </row>
    <row r="48" spans="2:33" ht="15.75" thickBot="1" x14ac:dyDescent="0.3">
      <c r="F48" s="29">
        <f>I35-H44</f>
        <v>94919.120000000024</v>
      </c>
      <c r="L48" s="306"/>
      <c r="M48" s="306"/>
      <c r="N48" s="306"/>
      <c r="O48" s="306"/>
    </row>
    <row r="49" spans="8:15" x14ac:dyDescent="0.25">
      <c r="H49" s="17"/>
      <c r="I49" s="2">
        <v>2769.23</v>
      </c>
      <c r="J49" s="31">
        <v>3168.96</v>
      </c>
      <c r="K49" s="2"/>
      <c r="L49" s="306"/>
      <c r="M49" s="306"/>
      <c r="N49" s="307"/>
      <c r="O49" s="307"/>
    </row>
    <row r="50" spans="8:15" x14ac:dyDescent="0.25">
      <c r="H50" s="19"/>
      <c r="I50" s="2">
        <v>2769.23</v>
      </c>
      <c r="J50" s="31">
        <v>3168.96</v>
      </c>
      <c r="K50" s="2"/>
      <c r="L50" s="306"/>
      <c r="M50" s="306"/>
      <c r="N50" s="307"/>
      <c r="O50" s="307"/>
    </row>
    <row r="51" spans="8:15" x14ac:dyDescent="0.25">
      <c r="J51" s="2">
        <v>0.34</v>
      </c>
      <c r="K51" s="2"/>
      <c r="L51" s="306"/>
      <c r="M51" s="306"/>
      <c r="N51" s="306"/>
      <c r="O51" s="306"/>
    </row>
    <row r="52" spans="8:15" ht="15.75" thickBot="1" x14ac:dyDescent="0.3">
      <c r="J52" s="2">
        <v>1081.74</v>
      </c>
      <c r="K52" s="2"/>
    </row>
    <row r="53" spans="8:15" ht="15.75" thickBot="1" x14ac:dyDescent="0.3">
      <c r="I53" s="241">
        <f>SUM(I49:I52)</f>
        <v>5538.46</v>
      </c>
      <c r="J53" s="242">
        <f>SUM(J49:J52)</f>
        <v>7420</v>
      </c>
      <c r="K53" s="2">
        <f>SUM(I53:J53)</f>
        <v>12958.46</v>
      </c>
    </row>
    <row r="55" spans="8:15" x14ac:dyDescent="0.25">
      <c r="J55" s="270">
        <f>J53+'May 2019 Alloc '!I60+'April 2019 Alloc  '!H44+'April 2019 Alloc  '!H45</f>
        <v>30659.03</v>
      </c>
    </row>
  </sheetData>
  <pageMargins left="0" right="0" top="0.75" bottom="0.75" header="0.3" footer="0.3"/>
  <pageSetup paperSize="5" scale="52" orientation="landscape" r:id="rId1"/>
  <headerFooter>
    <oddFooter>&amp;L&amp;Z&amp;F &amp;D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F1BA-6068-48C7-B8C8-6C43E0DF6CF4}">
  <sheetPr>
    <tabColor theme="5" tint="0.39997558519241921"/>
    <pageSetUpPr fitToPage="1"/>
  </sheetPr>
  <dimension ref="B1:AG55"/>
  <sheetViews>
    <sheetView topLeftCell="I1" zoomScale="85" zoomScaleNormal="85" workbookViewId="0">
      <selection activeCell="AE17" sqref="AE17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hidden="1" customWidth="1"/>
    <col min="5" max="5" width="8.140625" hidden="1" customWidth="1"/>
    <col min="6" max="6" width="12.7109375" hidden="1" customWidth="1"/>
    <col min="7" max="7" width="12.7109375" style="2" hidden="1" customWidth="1"/>
    <col min="8" max="9" width="13.85546875" style="2" customWidth="1"/>
    <col min="10" max="11" width="12.140625" style="12" customWidth="1"/>
    <col min="12" max="12" width="11.28515625" style="288" customWidth="1"/>
    <col min="13" max="13" width="13.42578125" style="288" customWidth="1"/>
    <col min="14" max="14" width="13.28515625" style="308" customWidth="1"/>
    <col min="15" max="15" width="15.7109375" style="308" customWidth="1"/>
    <col min="16" max="16" width="11.7109375" style="288" customWidth="1"/>
    <col min="17" max="17" width="16.42578125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style="159" customWidth="1"/>
    <col min="28" max="28" width="8.5703125" style="159" customWidth="1"/>
    <col min="29" max="29" width="11.85546875" style="159" customWidth="1"/>
    <col min="30" max="30" width="12.7109375" customWidth="1"/>
  </cols>
  <sheetData>
    <row r="1" spans="2:30" ht="15.75" thickBot="1" x14ac:dyDescent="0.3">
      <c r="B1" s="2" t="s">
        <v>116</v>
      </c>
      <c r="L1" s="288">
        <v>7251</v>
      </c>
      <c r="M1" s="288">
        <v>7252</v>
      </c>
      <c r="N1" s="288">
        <v>7253</v>
      </c>
      <c r="O1" s="288">
        <v>7254</v>
      </c>
      <c r="P1" s="288">
        <v>7260.1</v>
      </c>
      <c r="Q1" s="288">
        <v>8140</v>
      </c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157">
        <v>7248</v>
      </c>
    </row>
    <row r="2" spans="2:30" ht="17.25" thickBot="1" x14ac:dyDescent="0.4">
      <c r="L2" s="289" t="s">
        <v>1</v>
      </c>
      <c r="M2" s="289" t="s">
        <v>2</v>
      </c>
      <c r="N2" s="289" t="s">
        <v>3</v>
      </c>
      <c r="O2" s="289" t="s">
        <v>4</v>
      </c>
      <c r="P2" s="289" t="s">
        <v>5</v>
      </c>
      <c r="Q2" s="289" t="s">
        <v>114</v>
      </c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90">
        <v>6530.93</v>
      </c>
      <c r="M3" s="290">
        <v>1527.46</v>
      </c>
      <c r="N3" s="290">
        <v>1598.57</v>
      </c>
      <c r="O3" s="290">
        <v>313.99</v>
      </c>
      <c r="P3" s="291">
        <v>1330.76</v>
      </c>
      <c r="Q3" s="328"/>
      <c r="R3" s="312">
        <v>3006</v>
      </c>
      <c r="S3" s="313">
        <v>4900</v>
      </c>
      <c r="T3" s="327"/>
      <c r="U3" s="291">
        <v>640.74</v>
      </c>
      <c r="V3" s="312">
        <v>312</v>
      </c>
      <c r="W3" s="314">
        <v>1092</v>
      </c>
      <c r="X3" s="314">
        <v>2321.34</v>
      </c>
      <c r="Y3" s="291">
        <v>764.51</v>
      </c>
      <c r="Z3" s="312">
        <v>3972.48</v>
      </c>
      <c r="AA3" s="311"/>
      <c r="AB3" s="315"/>
      <c r="AC3" s="324">
        <v>6645.7</v>
      </c>
      <c r="AD3" s="2"/>
    </row>
    <row r="4" spans="2:30" x14ac:dyDescent="0.25">
      <c r="L4" s="292">
        <v>1</v>
      </c>
      <c r="M4" s="292">
        <v>2</v>
      </c>
      <c r="N4" s="292">
        <v>3</v>
      </c>
      <c r="O4" s="292">
        <v>4</v>
      </c>
      <c r="P4" s="292">
        <v>5</v>
      </c>
      <c r="Q4" s="292">
        <v>6</v>
      </c>
      <c r="R4" s="292">
        <v>7</v>
      </c>
      <c r="S4" s="292">
        <v>8</v>
      </c>
      <c r="T4" s="292">
        <v>9</v>
      </c>
      <c r="U4" s="292">
        <v>10</v>
      </c>
      <c r="V4" s="292">
        <v>11</v>
      </c>
      <c r="W4" s="292">
        <v>12</v>
      </c>
      <c r="X4" s="292">
        <v>13</v>
      </c>
      <c r="Y4" s="292">
        <v>14</v>
      </c>
      <c r="Z4" s="292">
        <v>15</v>
      </c>
      <c r="AA4" s="218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92"/>
      <c r="M5" s="292"/>
      <c r="N5" s="292"/>
      <c r="O5" s="292"/>
      <c r="P5" s="292"/>
      <c r="Q5" s="292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317">
        <v>0</v>
      </c>
      <c r="I6" s="318"/>
      <c r="J6" s="118">
        <f t="shared" ref="J6:J21" si="0">H6/$I$35</f>
        <v>0</v>
      </c>
      <c r="K6" s="118">
        <f t="shared" ref="K6:K37" si="1">H6/$I$37</f>
        <v>0</v>
      </c>
      <c r="L6" s="292">
        <f>J6*$L$3</f>
        <v>0</v>
      </c>
      <c r="M6" s="292">
        <f>J6*$M$3</f>
        <v>0</v>
      </c>
      <c r="N6" s="292">
        <f>J6*$N$3</f>
        <v>0</v>
      </c>
      <c r="O6" s="292">
        <f>J6*$O$3</f>
        <v>0</v>
      </c>
      <c r="P6" s="292">
        <f>J6*$P$3</f>
        <v>0</v>
      </c>
      <c r="Q6" s="292">
        <f>K6*$Q$3</f>
        <v>0</v>
      </c>
      <c r="R6" s="309">
        <f>K6*$R$3</f>
        <v>0</v>
      </c>
      <c r="S6" s="309">
        <f>K6*$S$3</f>
        <v>0</v>
      </c>
      <c r="T6" s="309">
        <f>K6*$T$3</f>
        <v>0</v>
      </c>
      <c r="U6" s="309">
        <f>K6*$U$3</f>
        <v>0</v>
      </c>
      <c r="V6" s="309">
        <f>K6*$V$3</f>
        <v>0</v>
      </c>
      <c r="W6" s="309">
        <f>K6*$W$3</f>
        <v>0</v>
      </c>
      <c r="X6" s="309">
        <f>K6*$X$3</f>
        <v>0</v>
      </c>
      <c r="Y6" s="309">
        <f>K6*$Y$3</f>
        <v>0</v>
      </c>
      <c r="Z6" s="309">
        <f>K6*$Z$3</f>
        <v>0</v>
      </c>
      <c r="AA6" s="221"/>
      <c r="AB6" s="226">
        <f t="shared" ref="AB6:AB21" si="2">H6/$H$39</f>
        <v>0</v>
      </c>
      <c r="AC6" s="261">
        <f>AB6*$AC$3</f>
        <v>0</v>
      </c>
    </row>
    <row r="7" spans="2:30" x14ac:dyDescent="0.25">
      <c r="B7" s="1">
        <v>111</v>
      </c>
      <c r="C7" t="s">
        <v>20</v>
      </c>
      <c r="D7" s="2"/>
      <c r="H7" s="214">
        <v>25010.78</v>
      </c>
      <c r="I7" s="118"/>
      <c r="J7" s="118">
        <f t="shared" si="0"/>
        <v>0.23184409587237678</v>
      </c>
      <c r="K7" s="118">
        <f t="shared" si="1"/>
        <v>0.20698112913994859</v>
      </c>
      <c r="L7" s="293">
        <f t="shared" ref="L7:L35" si="3">J7*$L$3</f>
        <v>1514.1575610557818</v>
      </c>
      <c r="M7" s="293">
        <f t="shared" ref="M7:M35" si="4">J7*$M$3</f>
        <v>354.13258268122064</v>
      </c>
      <c r="N7" s="293">
        <f t="shared" ref="N7:N35" si="5">J7*$N$3</f>
        <v>370.61901633870536</v>
      </c>
      <c r="O7" s="293">
        <f t="shared" ref="O7:O35" si="6">J7*$O$3</f>
        <v>72.796727662967584</v>
      </c>
      <c r="P7" s="293">
        <f t="shared" ref="P7:P35" si="7">J7*$P$3</f>
        <v>308.52884902312411</v>
      </c>
      <c r="Q7" s="292">
        <f t="shared" ref="Q7:Q36" si="8">K7*$Q$3</f>
        <v>0</v>
      </c>
      <c r="R7" s="309">
        <f t="shared" ref="R7:R37" si="9">K7*$R$3</f>
        <v>622.18527419468546</v>
      </c>
      <c r="S7" s="309">
        <f t="shared" ref="S7:S37" si="10">K7*$S$3</f>
        <v>1014.2075327857481</v>
      </c>
      <c r="T7" s="309">
        <f t="shared" ref="T7:T37" si="11">K7*$T$3</f>
        <v>0</v>
      </c>
      <c r="U7" s="309">
        <f t="shared" ref="U7:U37" si="12">K7*$U$3</f>
        <v>132.62108868513067</v>
      </c>
      <c r="V7" s="309">
        <f t="shared" ref="V7:V37" si="13">K7*$V$3</f>
        <v>64.578112291663956</v>
      </c>
      <c r="W7" s="309">
        <f t="shared" ref="W7:W37" si="14">K7*$W$3</f>
        <v>226.02339302082387</v>
      </c>
      <c r="X7" s="309">
        <f t="shared" ref="X7:X37" si="15">K7*$X$3</f>
        <v>480.47357431772832</v>
      </c>
      <c r="Y7" s="309">
        <f t="shared" ref="Y7:Y37" si="16">K7*$Y$3</f>
        <v>158.23914303878209</v>
      </c>
      <c r="Z7" s="309">
        <f t="shared" ref="Z7:Z37" si="17">K7*$Z$3</f>
        <v>822.22839588586305</v>
      </c>
      <c r="AA7" s="221"/>
      <c r="AB7" s="226">
        <f t="shared" si="2"/>
        <v>0.11765537693236224</v>
      </c>
      <c r="AC7" s="261">
        <f t="shared" ref="AC7:AC35" si="18">AB7*$AC$3</f>
        <v>781.90233847939965</v>
      </c>
    </row>
    <row r="8" spans="2:30" x14ac:dyDescent="0.25">
      <c r="B8" s="1" t="s">
        <v>23</v>
      </c>
      <c r="C8" t="s">
        <v>24</v>
      </c>
      <c r="D8" s="2"/>
      <c r="H8" s="214">
        <v>2617.2800000000002</v>
      </c>
      <c r="I8" s="118"/>
      <c r="J8" s="118">
        <f t="shared" si="0"/>
        <v>2.4261575018646134E-2</v>
      </c>
      <c r="K8" s="118">
        <f t="shared" si="1"/>
        <v>2.1659763097168688E-2</v>
      </c>
      <c r="L8" s="292">
        <f>J8*$L$3</f>
        <v>158.45064813652661</v>
      </c>
      <c r="M8" s="292">
        <f>J8*$M$3</f>
        <v>37.058585377981224</v>
      </c>
      <c r="N8" s="292">
        <f>J8*$N$3</f>
        <v>38.78382597755715</v>
      </c>
      <c r="O8" s="292">
        <f>J8*$O$3</f>
        <v>7.6178919401047001</v>
      </c>
      <c r="P8" s="292">
        <f>J8*$P$3</f>
        <v>32.286333571813529</v>
      </c>
      <c r="Q8" s="292">
        <f t="shared" si="8"/>
        <v>0</v>
      </c>
      <c r="R8" s="309">
        <f>K8*$R$3</f>
        <v>65.109247870089078</v>
      </c>
      <c r="S8" s="309">
        <f>K8*$S$3</f>
        <v>106.13283917612657</v>
      </c>
      <c r="T8" s="309">
        <f>K8*$T$3</f>
        <v>0</v>
      </c>
      <c r="U8" s="309">
        <f>K8*$U$3</f>
        <v>13.878276606879865</v>
      </c>
      <c r="V8" s="309">
        <f>K8*$V$3</f>
        <v>6.757846086316631</v>
      </c>
      <c r="W8" s="309">
        <f>K8*$W$3</f>
        <v>23.652461302108208</v>
      </c>
      <c r="X8" s="309">
        <f>K8*$X$3</f>
        <v>50.279674467981565</v>
      </c>
      <c r="Y8" s="309">
        <f>K8*$Y$3</f>
        <v>16.559105485416435</v>
      </c>
      <c r="Z8" s="309">
        <f>K8*$Z$3</f>
        <v>86.042975708240675</v>
      </c>
      <c r="AA8" s="221"/>
      <c r="AB8" s="226">
        <f t="shared" si="2"/>
        <v>1.2312173588250069E-2</v>
      </c>
      <c r="AC8" s="261">
        <f>AB8*$AC$3</f>
        <v>81.823012015433477</v>
      </c>
    </row>
    <row r="9" spans="2:30" x14ac:dyDescent="0.25">
      <c r="B9" s="1" t="s">
        <v>21</v>
      </c>
      <c r="C9" t="s">
        <v>22</v>
      </c>
      <c r="D9" s="2"/>
      <c r="H9" s="214">
        <v>1203.77</v>
      </c>
      <c r="I9" s="118"/>
      <c r="J9" s="118">
        <f t="shared" si="0"/>
        <v>1.1158667074289206E-2</v>
      </c>
      <c r="K9" s="118">
        <f t="shared" si="1"/>
        <v>9.9620113337047442E-3</v>
      </c>
      <c r="L9" s="292">
        <f>J9*$L$3</f>
        <v>72.876473555487607</v>
      </c>
      <c r="M9" s="292">
        <f>J9*$M$3</f>
        <v>17.044417609293792</v>
      </c>
      <c r="N9" s="292">
        <f>J9*$N$3</f>
        <v>17.837910424946493</v>
      </c>
      <c r="O9" s="292">
        <f>J9*$O$3</f>
        <v>3.5037098746560678</v>
      </c>
      <c r="P9" s="292">
        <f>J9*$P$3</f>
        <v>14.849507795781102</v>
      </c>
      <c r="Q9" s="292">
        <f t="shared" si="8"/>
        <v>0</v>
      </c>
      <c r="R9" s="309">
        <f t="shared" si="9"/>
        <v>29.945806069116461</v>
      </c>
      <c r="S9" s="309">
        <f t="shared" si="10"/>
        <v>48.813855535153245</v>
      </c>
      <c r="T9" s="309">
        <f t="shared" si="11"/>
        <v>0</v>
      </c>
      <c r="U9" s="309">
        <f t="shared" si="12"/>
        <v>6.3830591419579781</v>
      </c>
      <c r="V9" s="309">
        <f t="shared" si="13"/>
        <v>3.1081475361158803</v>
      </c>
      <c r="W9" s="309">
        <f t="shared" si="14"/>
        <v>10.87851637640558</v>
      </c>
      <c r="X9" s="309">
        <f t="shared" si="15"/>
        <v>23.125215389382173</v>
      </c>
      <c r="Y9" s="309">
        <f t="shared" si="16"/>
        <v>7.6160572847306138</v>
      </c>
      <c r="Z9" s="309">
        <f t="shared" si="17"/>
        <v>39.57389078291542</v>
      </c>
      <c r="AA9" s="221"/>
      <c r="AB9" s="226">
        <f t="shared" si="2"/>
        <v>5.6627587420252264E-3</v>
      </c>
      <c r="AC9" s="261">
        <f>AB9*$AC$3</f>
        <v>37.632995771877049</v>
      </c>
    </row>
    <row r="10" spans="2:30" x14ac:dyDescent="0.25">
      <c r="B10" s="1" t="s">
        <v>25</v>
      </c>
      <c r="C10" t="s">
        <v>26</v>
      </c>
      <c r="D10" s="2"/>
      <c r="H10" s="214">
        <v>254.47</v>
      </c>
      <c r="I10" s="118"/>
      <c r="J10" s="118">
        <f t="shared" si="0"/>
        <v>2.3588775350726256E-3</v>
      </c>
      <c r="K10" s="118">
        <f t="shared" si="1"/>
        <v>2.1059114482732135E-3</v>
      </c>
      <c r="L10" s="292">
        <f t="shared" si="3"/>
        <v>15.405664060131864</v>
      </c>
      <c r="M10" s="292">
        <f t="shared" si="4"/>
        <v>3.603091079722033</v>
      </c>
      <c r="N10" s="292">
        <f t="shared" si="5"/>
        <v>3.770830861241047</v>
      </c>
      <c r="O10" s="292">
        <f t="shared" si="6"/>
        <v>0.74066395723745371</v>
      </c>
      <c r="P10" s="292">
        <f t="shared" si="7"/>
        <v>3.1390998685732474</v>
      </c>
      <c r="Q10" s="292">
        <f t="shared" si="8"/>
        <v>0</v>
      </c>
      <c r="R10" s="309">
        <f t="shared" si="9"/>
        <v>6.3303698135092796</v>
      </c>
      <c r="S10" s="309">
        <f t="shared" si="10"/>
        <v>10.318966096538746</v>
      </c>
      <c r="T10" s="309">
        <f t="shared" si="11"/>
        <v>0</v>
      </c>
      <c r="U10" s="309">
        <f t="shared" si="12"/>
        <v>1.3493417013665789</v>
      </c>
      <c r="V10" s="309">
        <f t="shared" si="13"/>
        <v>0.65704437186124265</v>
      </c>
      <c r="W10" s="309">
        <f t="shared" si="14"/>
        <v>2.299655301514349</v>
      </c>
      <c r="X10" s="309">
        <f t="shared" si="15"/>
        <v>4.8885364813345413</v>
      </c>
      <c r="Y10" s="309">
        <f t="shared" si="16"/>
        <v>1.6099903613193545</v>
      </c>
      <c r="Z10" s="309">
        <f t="shared" si="17"/>
        <v>8.3656911100363747</v>
      </c>
      <c r="AA10" s="221"/>
      <c r="AB10" s="226">
        <f t="shared" si="2"/>
        <v>1.1970743722498148E-3</v>
      </c>
      <c r="AC10" s="261">
        <f t="shared" si="18"/>
        <v>7.9553971556605934</v>
      </c>
    </row>
    <row r="11" spans="2:30" x14ac:dyDescent="0.25">
      <c r="B11" s="1">
        <v>112</v>
      </c>
      <c r="C11" t="s">
        <v>27</v>
      </c>
      <c r="D11" s="2"/>
      <c r="H11" s="214">
        <v>5625.65</v>
      </c>
      <c r="I11" s="118"/>
      <c r="J11" s="118">
        <f t="shared" si="0"/>
        <v>5.2148463100488526E-2</v>
      </c>
      <c r="K11" s="118">
        <f t="shared" si="1"/>
        <v>4.6556060592518579E-2</v>
      </c>
      <c r="L11" s="292">
        <f t="shared" si="3"/>
        <v>340.57796211687355</v>
      </c>
      <c r="M11" s="292">
        <f t="shared" si="4"/>
        <v>79.654691447472203</v>
      </c>
      <c r="N11" s="292">
        <f t="shared" si="5"/>
        <v>83.362968658547942</v>
      </c>
      <c r="O11" s="292">
        <f t="shared" si="6"/>
        <v>16.374095928922394</v>
      </c>
      <c r="P11" s="292">
        <f t="shared" si="7"/>
        <v>69.397088755606106</v>
      </c>
      <c r="Q11" s="292">
        <f t="shared" si="8"/>
        <v>0</v>
      </c>
      <c r="R11" s="309">
        <f t="shared" si="9"/>
        <v>139.94751814111086</v>
      </c>
      <c r="S11" s="309">
        <f t="shared" si="10"/>
        <v>228.12469690334103</v>
      </c>
      <c r="T11" s="309">
        <f t="shared" si="11"/>
        <v>0</v>
      </c>
      <c r="U11" s="309">
        <f t="shared" si="12"/>
        <v>29.830330264050353</v>
      </c>
      <c r="V11" s="309">
        <f t="shared" si="13"/>
        <v>14.525490904865796</v>
      </c>
      <c r="W11" s="309">
        <f t="shared" si="14"/>
        <v>50.839218167030289</v>
      </c>
      <c r="X11" s="309">
        <f t="shared" si="15"/>
        <v>108.07244569583709</v>
      </c>
      <c r="Y11" s="309">
        <f t="shared" si="16"/>
        <v>35.592573883586375</v>
      </c>
      <c r="Z11" s="309">
        <f t="shared" si="17"/>
        <v>184.94301958256821</v>
      </c>
      <c r="AA11" s="221"/>
      <c r="AB11" s="226">
        <f t="shared" si="2"/>
        <v>2.6464107526416356E-2</v>
      </c>
      <c r="AC11" s="261">
        <f t="shared" si="18"/>
        <v>175.87251938830516</v>
      </c>
    </row>
    <row r="12" spans="2:30" ht="15.75" thickBot="1" x14ac:dyDescent="0.3">
      <c r="B12" s="1">
        <v>114</v>
      </c>
      <c r="C12" t="s">
        <v>28</v>
      </c>
      <c r="D12" s="2"/>
      <c r="H12" s="214">
        <v>0</v>
      </c>
      <c r="I12" s="118"/>
      <c r="J12" s="118">
        <f t="shared" si="0"/>
        <v>0</v>
      </c>
      <c r="K12" s="118">
        <f t="shared" si="1"/>
        <v>0</v>
      </c>
      <c r="L12" s="292">
        <f t="shared" si="3"/>
        <v>0</v>
      </c>
      <c r="M12" s="292">
        <f t="shared" si="4"/>
        <v>0</v>
      </c>
      <c r="N12" s="292">
        <f t="shared" si="5"/>
        <v>0</v>
      </c>
      <c r="O12" s="292">
        <f t="shared" si="6"/>
        <v>0</v>
      </c>
      <c r="P12" s="292">
        <f t="shared" si="7"/>
        <v>0</v>
      </c>
      <c r="Q12" s="292">
        <f t="shared" si="8"/>
        <v>0</v>
      </c>
      <c r="R12" s="309">
        <f t="shared" si="9"/>
        <v>0</v>
      </c>
      <c r="S12" s="309">
        <f t="shared" si="10"/>
        <v>0</v>
      </c>
      <c r="T12" s="309">
        <f t="shared" si="11"/>
        <v>0</v>
      </c>
      <c r="U12" s="309">
        <f t="shared" si="12"/>
        <v>0</v>
      </c>
      <c r="V12" s="309">
        <f t="shared" si="13"/>
        <v>0</v>
      </c>
      <c r="W12" s="309">
        <f t="shared" si="14"/>
        <v>0</v>
      </c>
      <c r="X12" s="309">
        <f t="shared" si="15"/>
        <v>0</v>
      </c>
      <c r="Y12" s="309">
        <f t="shared" si="16"/>
        <v>0</v>
      </c>
      <c r="Z12" s="309">
        <f t="shared" si="17"/>
        <v>0</v>
      </c>
      <c r="AA12" s="221"/>
      <c r="AB12" s="226">
        <f t="shared" si="2"/>
        <v>0</v>
      </c>
      <c r="AC12" s="261">
        <f t="shared" si="18"/>
        <v>0</v>
      </c>
    </row>
    <row r="13" spans="2:30" ht="15.75" thickBot="1" x14ac:dyDescent="0.3">
      <c r="B13" s="1">
        <v>222</v>
      </c>
      <c r="C13" t="s">
        <v>29</v>
      </c>
      <c r="D13" s="2"/>
      <c r="H13" s="213">
        <v>2480.65</v>
      </c>
      <c r="I13" s="118"/>
      <c r="J13" s="118">
        <f t="shared" si="0"/>
        <v>2.299504679285538E-2</v>
      </c>
      <c r="K13" s="118">
        <f t="shared" si="1"/>
        <v>2.0529057390493759E-2</v>
      </c>
      <c r="L13" s="292">
        <f t="shared" si="3"/>
        <v>150.179040950863</v>
      </c>
      <c r="M13" s="292">
        <f t="shared" si="4"/>
        <v>35.124014174214878</v>
      </c>
      <c r="N13" s="292">
        <f t="shared" si="5"/>
        <v>36.75919195165482</v>
      </c>
      <c r="O13" s="292">
        <f t="shared" si="6"/>
        <v>7.2202147424886611</v>
      </c>
      <c r="P13" s="292">
        <f t="shared" si="7"/>
        <v>30.600888470060227</v>
      </c>
      <c r="Q13" s="292">
        <f t="shared" si="8"/>
        <v>0</v>
      </c>
      <c r="R13" s="309">
        <f t="shared" si="9"/>
        <v>61.710346515824241</v>
      </c>
      <c r="S13" s="309">
        <f t="shared" si="10"/>
        <v>100.59238121341942</v>
      </c>
      <c r="T13" s="309">
        <f t="shared" si="11"/>
        <v>0</v>
      </c>
      <c r="U13" s="309">
        <f t="shared" si="12"/>
        <v>13.15378823238497</v>
      </c>
      <c r="V13" s="309">
        <f t="shared" si="13"/>
        <v>6.4050659058340527</v>
      </c>
      <c r="W13" s="309">
        <f t="shared" si="14"/>
        <v>22.417730670419186</v>
      </c>
      <c r="X13" s="309">
        <f t="shared" si="15"/>
        <v>47.654922082848785</v>
      </c>
      <c r="Y13" s="309">
        <f t="shared" si="16"/>
        <v>15.694669665606384</v>
      </c>
      <c r="Z13" s="309">
        <f t="shared" si="17"/>
        <v>81.551269902588643</v>
      </c>
      <c r="AA13" s="221"/>
      <c r="AB13" s="226">
        <f t="shared" si="2"/>
        <v>1.1669440568717345E-2</v>
      </c>
      <c r="AC13" s="261">
        <f t="shared" si="18"/>
        <v>77.551601187524867</v>
      </c>
    </row>
    <row r="14" spans="2:30" ht="15.75" thickBot="1" x14ac:dyDescent="0.3">
      <c r="B14" s="1">
        <v>223</v>
      </c>
      <c r="C14" t="s">
        <v>30</v>
      </c>
      <c r="D14" s="2"/>
      <c r="H14" s="215">
        <v>0</v>
      </c>
      <c r="I14" s="115"/>
      <c r="J14" s="118">
        <f t="shared" si="0"/>
        <v>0</v>
      </c>
      <c r="K14" s="118">
        <f t="shared" si="1"/>
        <v>0</v>
      </c>
      <c r="L14" s="293">
        <f t="shared" si="3"/>
        <v>0</v>
      </c>
      <c r="M14" s="293">
        <f t="shared" si="4"/>
        <v>0</v>
      </c>
      <c r="N14" s="293">
        <f t="shared" si="5"/>
        <v>0</v>
      </c>
      <c r="O14" s="293">
        <f t="shared" si="6"/>
        <v>0</v>
      </c>
      <c r="P14" s="293">
        <f t="shared" si="7"/>
        <v>0</v>
      </c>
      <c r="Q14" s="292">
        <f t="shared" si="8"/>
        <v>0</v>
      </c>
      <c r="R14" s="309">
        <f t="shared" si="9"/>
        <v>0</v>
      </c>
      <c r="S14" s="309">
        <f t="shared" si="10"/>
        <v>0</v>
      </c>
      <c r="T14" s="309">
        <f t="shared" si="11"/>
        <v>0</v>
      </c>
      <c r="U14" s="309">
        <f t="shared" si="12"/>
        <v>0</v>
      </c>
      <c r="V14" s="309">
        <f t="shared" si="13"/>
        <v>0</v>
      </c>
      <c r="W14" s="309">
        <f t="shared" si="14"/>
        <v>0</v>
      </c>
      <c r="X14" s="309">
        <f t="shared" si="15"/>
        <v>0</v>
      </c>
      <c r="Y14" s="309">
        <f t="shared" si="16"/>
        <v>0</v>
      </c>
      <c r="Z14" s="309">
        <f t="shared" si="17"/>
        <v>0</v>
      </c>
      <c r="AA14" s="225"/>
      <c r="AB14" s="215">
        <f t="shared" si="2"/>
        <v>0</v>
      </c>
      <c r="AC14" s="268">
        <f t="shared" si="18"/>
        <v>0</v>
      </c>
    </row>
    <row r="15" spans="2:30" x14ac:dyDescent="0.25">
      <c r="B15" s="1">
        <v>334</v>
      </c>
      <c r="C15" s="230" t="s">
        <v>73</v>
      </c>
      <c r="D15" s="231"/>
      <c r="E15" s="230"/>
      <c r="F15" s="230"/>
      <c r="G15" s="231"/>
      <c r="H15" s="118">
        <v>0</v>
      </c>
      <c r="I15" s="118"/>
      <c r="J15" s="118">
        <f t="shared" si="0"/>
        <v>0</v>
      </c>
      <c r="K15" s="118">
        <f t="shared" si="1"/>
        <v>0</v>
      </c>
      <c r="L15" s="292">
        <f>J15*$L$3</f>
        <v>0</v>
      </c>
      <c r="M15" s="292">
        <f>J15*$M$3</f>
        <v>0</v>
      </c>
      <c r="N15" s="292">
        <f>J15*$N$3</f>
        <v>0</v>
      </c>
      <c r="O15" s="292">
        <f>J15*$O$3</f>
        <v>0</v>
      </c>
      <c r="P15" s="292">
        <f>J15*$P$3</f>
        <v>0</v>
      </c>
      <c r="Q15" s="292">
        <f t="shared" si="8"/>
        <v>0</v>
      </c>
      <c r="R15" s="309">
        <f t="shared" si="9"/>
        <v>0</v>
      </c>
      <c r="S15" s="309">
        <f t="shared" si="10"/>
        <v>0</v>
      </c>
      <c r="T15" s="309">
        <f t="shared" si="11"/>
        <v>0</v>
      </c>
      <c r="U15" s="309">
        <f t="shared" si="12"/>
        <v>0</v>
      </c>
      <c r="V15" s="309">
        <f t="shared" si="13"/>
        <v>0</v>
      </c>
      <c r="W15" s="309">
        <f t="shared" si="14"/>
        <v>0</v>
      </c>
      <c r="X15" s="309">
        <f t="shared" si="15"/>
        <v>0</v>
      </c>
      <c r="Y15" s="309">
        <f t="shared" si="16"/>
        <v>0</v>
      </c>
      <c r="Z15" s="309">
        <f t="shared" si="17"/>
        <v>0</v>
      </c>
      <c r="AA15" s="221"/>
      <c r="AB15" s="226">
        <f t="shared" si="2"/>
        <v>0</v>
      </c>
      <c r="AC15" s="261">
        <f>AB15*$AC$3</f>
        <v>0</v>
      </c>
    </row>
    <row r="16" spans="2:30" x14ac:dyDescent="0.25">
      <c r="B16" s="1" t="s">
        <v>35</v>
      </c>
      <c r="C16" s="230" t="s">
        <v>36</v>
      </c>
      <c r="D16" s="231"/>
      <c r="E16" s="234"/>
      <c r="F16" s="234"/>
      <c r="G16" s="231"/>
      <c r="H16" s="118">
        <v>1150</v>
      </c>
      <c r="I16" s="318"/>
      <c r="J16" s="118">
        <f t="shared" si="0"/>
        <v>1.0660231718212438E-2</v>
      </c>
      <c r="K16" s="118">
        <f t="shared" si="1"/>
        <v>9.5170281978787102E-3</v>
      </c>
      <c r="L16" s="292">
        <f t="shared" si="3"/>
        <v>69.621227135425158</v>
      </c>
      <c r="M16" s="292">
        <f t="shared" si="4"/>
        <v>16.28307754030077</v>
      </c>
      <c r="N16" s="292">
        <f t="shared" si="5"/>
        <v>17.041126617782858</v>
      </c>
      <c r="O16" s="292">
        <f t="shared" si="6"/>
        <v>3.3472061572015237</v>
      </c>
      <c r="P16" s="292">
        <f t="shared" si="7"/>
        <v>14.186209961328384</v>
      </c>
      <c r="Q16" s="292">
        <f t="shared" si="8"/>
        <v>0</v>
      </c>
      <c r="R16" s="309">
        <f t="shared" si="9"/>
        <v>28.608186762823404</v>
      </c>
      <c r="S16" s="309">
        <f t="shared" si="10"/>
        <v>46.633438169605682</v>
      </c>
      <c r="T16" s="309">
        <f t="shared" si="11"/>
        <v>0</v>
      </c>
      <c r="U16" s="309">
        <f t="shared" si="12"/>
        <v>6.0979406475088052</v>
      </c>
      <c r="V16" s="309">
        <f t="shared" si="13"/>
        <v>2.9693127977381577</v>
      </c>
      <c r="W16" s="309">
        <f t="shared" si="14"/>
        <v>10.392594792083552</v>
      </c>
      <c r="X16" s="309">
        <f t="shared" si="15"/>
        <v>22.092258236863767</v>
      </c>
      <c r="Y16" s="309">
        <f t="shared" si="16"/>
        <v>7.2758632275602526</v>
      </c>
      <c r="Z16" s="309">
        <f t="shared" si="17"/>
        <v>37.806204175509222</v>
      </c>
      <c r="AA16" s="221"/>
      <c r="AB16" s="226">
        <f t="shared" si="2"/>
        <v>5.4098146268215779E-3</v>
      </c>
      <c r="AC16" s="261">
        <f t="shared" si="18"/>
        <v>35.952005065468157</v>
      </c>
    </row>
    <row r="17" spans="2:29" x14ac:dyDescent="0.25">
      <c r="B17" s="1" t="s">
        <v>37</v>
      </c>
      <c r="C17" s="230" t="s">
        <v>38</v>
      </c>
      <c r="D17" s="231"/>
      <c r="E17" s="230"/>
      <c r="F17" s="230"/>
      <c r="G17" s="231"/>
      <c r="H17" s="15">
        <v>0</v>
      </c>
      <c r="I17" s="118"/>
      <c r="J17" s="118">
        <f t="shared" si="0"/>
        <v>0</v>
      </c>
      <c r="K17" s="118">
        <f t="shared" si="1"/>
        <v>0</v>
      </c>
      <c r="L17" s="292">
        <f t="shared" si="3"/>
        <v>0</v>
      </c>
      <c r="M17" s="292">
        <f t="shared" si="4"/>
        <v>0</v>
      </c>
      <c r="N17" s="292">
        <f t="shared" si="5"/>
        <v>0</v>
      </c>
      <c r="O17" s="292">
        <f t="shared" si="6"/>
        <v>0</v>
      </c>
      <c r="P17" s="292">
        <f t="shared" si="7"/>
        <v>0</v>
      </c>
      <c r="Q17" s="292">
        <f t="shared" si="8"/>
        <v>0</v>
      </c>
      <c r="R17" s="309">
        <f t="shared" si="9"/>
        <v>0</v>
      </c>
      <c r="S17" s="309">
        <f t="shared" si="10"/>
        <v>0</v>
      </c>
      <c r="T17" s="309">
        <f t="shared" si="11"/>
        <v>0</v>
      </c>
      <c r="U17" s="309">
        <f t="shared" si="12"/>
        <v>0</v>
      </c>
      <c r="V17" s="309">
        <f t="shared" si="13"/>
        <v>0</v>
      </c>
      <c r="W17" s="309">
        <f t="shared" si="14"/>
        <v>0</v>
      </c>
      <c r="X17" s="309">
        <f t="shared" si="15"/>
        <v>0</v>
      </c>
      <c r="Y17" s="309">
        <f t="shared" si="16"/>
        <v>0</v>
      </c>
      <c r="Z17" s="309">
        <f t="shared" si="17"/>
        <v>0</v>
      </c>
      <c r="AA17" s="221"/>
      <c r="AB17" s="226">
        <f t="shared" si="2"/>
        <v>0</v>
      </c>
      <c r="AC17" s="261">
        <f t="shared" si="18"/>
        <v>0</v>
      </c>
    </row>
    <row r="18" spans="2:29" x14ac:dyDescent="0.25">
      <c r="B18" s="1">
        <v>335</v>
      </c>
      <c r="C18" s="230" t="s">
        <v>39</v>
      </c>
      <c r="D18" s="231"/>
      <c r="E18" s="230"/>
      <c r="F18" s="230"/>
      <c r="G18" s="231"/>
      <c r="H18" s="118">
        <v>3134.45</v>
      </c>
      <c r="I18" s="118"/>
      <c r="J18" s="118">
        <f t="shared" si="0"/>
        <v>2.9055620268826937E-2</v>
      </c>
      <c r="K18" s="118">
        <f t="shared" si="1"/>
        <v>2.5939694812905149E-2</v>
      </c>
      <c r="L18" s="292">
        <f t="shared" si="3"/>
        <v>189.76022208228991</v>
      </c>
      <c r="M18" s="292">
        <f t="shared" si="4"/>
        <v>44.381297735822393</v>
      </c>
      <c r="N18" s="292">
        <f t="shared" si="5"/>
        <v>46.447442893138678</v>
      </c>
      <c r="O18" s="292">
        <f t="shared" si="6"/>
        <v>9.1231742082089706</v>
      </c>
      <c r="P18" s="292">
        <f t="shared" si="7"/>
        <v>38.666057228944133</v>
      </c>
      <c r="Q18" s="292">
        <f t="shared" si="8"/>
        <v>0</v>
      </c>
      <c r="R18" s="309">
        <f t="shared" si="9"/>
        <v>77.974722607592881</v>
      </c>
      <c r="S18" s="309">
        <f t="shared" si="10"/>
        <v>127.10450458323523</v>
      </c>
      <c r="T18" s="309">
        <f t="shared" si="11"/>
        <v>0</v>
      </c>
      <c r="U18" s="309">
        <f t="shared" si="12"/>
        <v>16.620600054420844</v>
      </c>
      <c r="V18" s="309">
        <f t="shared" si="13"/>
        <v>8.0931847816264071</v>
      </c>
      <c r="W18" s="309">
        <f t="shared" si="14"/>
        <v>28.326146735692422</v>
      </c>
      <c r="X18" s="309">
        <f t="shared" si="15"/>
        <v>60.214851156989241</v>
      </c>
      <c r="Y18" s="309">
        <f t="shared" si="16"/>
        <v>19.831156081414115</v>
      </c>
      <c r="Z18" s="309">
        <f t="shared" si="17"/>
        <v>103.04491885036944</v>
      </c>
      <c r="AA18" s="221"/>
      <c r="AB18" s="226">
        <f t="shared" si="2"/>
        <v>1.4745037788731211E-2</v>
      </c>
      <c r="AC18" s="261">
        <f t="shared" si="18"/>
        <v>97.991097632571012</v>
      </c>
    </row>
    <row r="19" spans="2:29" ht="15.75" thickBot="1" x14ac:dyDescent="0.3">
      <c r="B19" s="1">
        <v>368</v>
      </c>
      <c r="C19" t="s">
        <v>40</v>
      </c>
      <c r="D19" s="2"/>
      <c r="H19" s="214">
        <v>3696.94</v>
      </c>
      <c r="I19" s="118"/>
      <c r="J19" s="118">
        <f t="shared" si="0"/>
        <v>3.4269771346372428E-2</v>
      </c>
      <c r="K19" s="118">
        <f t="shared" si="1"/>
        <v>3.0594680196404975E-2</v>
      </c>
      <c r="L19" s="292">
        <f>J19*$L$3</f>
        <v>223.81347777916409</v>
      </c>
      <c r="M19" s="292">
        <f>J19*$M$3</f>
        <v>52.34570494073003</v>
      </c>
      <c r="N19" s="292">
        <f>J19*$N$3</f>
        <v>54.782628381170568</v>
      </c>
      <c r="O19" s="292">
        <f>J19*$O$3</f>
        <v>10.76036550504748</v>
      </c>
      <c r="P19" s="292">
        <f>J19*$P$3</f>
        <v>45.604840916898574</v>
      </c>
      <c r="Q19" s="292">
        <f t="shared" si="8"/>
        <v>0</v>
      </c>
      <c r="R19" s="309">
        <f t="shared" si="9"/>
        <v>91.967608670393361</v>
      </c>
      <c r="S19" s="309">
        <f t="shared" si="10"/>
        <v>149.91393296238437</v>
      </c>
      <c r="T19" s="309">
        <f t="shared" si="11"/>
        <v>0</v>
      </c>
      <c r="U19" s="309">
        <f t="shared" si="12"/>
        <v>19.603235389044524</v>
      </c>
      <c r="V19" s="309">
        <f t="shared" si="13"/>
        <v>9.5455402212783529</v>
      </c>
      <c r="W19" s="309">
        <f t="shared" si="14"/>
        <v>33.409390774474232</v>
      </c>
      <c r="X19" s="309">
        <f t="shared" si="15"/>
        <v>71.020654927122735</v>
      </c>
      <c r="Y19" s="309">
        <f t="shared" si="16"/>
        <v>23.389938956953568</v>
      </c>
      <c r="Z19" s="309">
        <f t="shared" si="17"/>
        <v>121.53675518661484</v>
      </c>
      <c r="AA19" s="221"/>
      <c r="AB19" s="226">
        <f t="shared" si="2"/>
        <v>1.7391095727375447E-2</v>
      </c>
      <c r="AC19" s="261">
        <f>AB19*$AC$3</f>
        <v>115.576004875419</v>
      </c>
    </row>
    <row r="20" spans="2:29" ht="15.75" thickBot="1" x14ac:dyDescent="0.3">
      <c r="B20" s="1">
        <v>451</v>
      </c>
      <c r="C20" s="107" t="s">
        <v>41</v>
      </c>
      <c r="D20" s="81"/>
      <c r="E20" s="107"/>
      <c r="F20" s="107"/>
      <c r="G20" s="81"/>
      <c r="H20" s="175">
        <v>14938.24</v>
      </c>
      <c r="I20" s="89"/>
      <c r="J20" s="89">
        <f t="shared" si="0"/>
        <v>0.13847399988023459</v>
      </c>
      <c r="K20" s="89">
        <f t="shared" si="1"/>
        <v>0.12362404461450406</v>
      </c>
      <c r="L20" s="297">
        <f t="shared" si="3"/>
        <v>904.36400003782057</v>
      </c>
      <c r="M20" s="297">
        <f t="shared" si="4"/>
        <v>211.51349585706313</v>
      </c>
      <c r="N20" s="297">
        <f t="shared" si="5"/>
        <v>221.36038198854661</v>
      </c>
      <c r="O20" s="297">
        <f t="shared" si="6"/>
        <v>43.479451222394864</v>
      </c>
      <c r="P20" s="297">
        <f t="shared" si="7"/>
        <v>184.27566008062098</v>
      </c>
      <c r="Q20" s="297">
        <f t="shared" si="8"/>
        <v>0</v>
      </c>
      <c r="R20" s="325">
        <f t="shared" si="9"/>
        <v>371.6138781111992</v>
      </c>
      <c r="S20" s="325">
        <f t="shared" si="10"/>
        <v>605.75781861106987</v>
      </c>
      <c r="T20" s="325">
        <f t="shared" si="11"/>
        <v>0</v>
      </c>
      <c r="U20" s="325">
        <f>K20*$U$3</f>
        <v>79.210870346297327</v>
      </c>
      <c r="V20" s="325">
        <f t="shared" si="13"/>
        <v>38.570701919725266</v>
      </c>
      <c r="W20" s="325">
        <f t="shared" si="14"/>
        <v>134.99745671903844</v>
      </c>
      <c r="X20" s="325">
        <f t="shared" si="15"/>
        <v>286.97343972543285</v>
      </c>
      <c r="Y20" s="325">
        <f t="shared" si="16"/>
        <v>94.511818348234499</v>
      </c>
      <c r="Z20" s="325">
        <f t="shared" si="17"/>
        <v>491.09404475022512</v>
      </c>
      <c r="AA20" s="179"/>
      <c r="AB20" s="177">
        <f t="shared" si="2"/>
        <v>7.0272268913887964E-2</v>
      </c>
      <c r="AC20" s="178">
        <f t="shared" si="18"/>
        <v>467.00841752102525</v>
      </c>
    </row>
    <row r="21" spans="2:29" x14ac:dyDescent="0.25">
      <c r="B21" s="1">
        <v>452</v>
      </c>
      <c r="C21" t="s">
        <v>42</v>
      </c>
      <c r="D21" s="2"/>
      <c r="H21" s="214">
        <v>0</v>
      </c>
      <c r="I21" s="118"/>
      <c r="J21" s="118">
        <f t="shared" si="0"/>
        <v>0</v>
      </c>
      <c r="K21" s="118">
        <f t="shared" si="1"/>
        <v>0</v>
      </c>
      <c r="L21" s="292">
        <f t="shared" si="3"/>
        <v>0</v>
      </c>
      <c r="M21" s="292">
        <f t="shared" si="4"/>
        <v>0</v>
      </c>
      <c r="N21" s="292">
        <f t="shared" si="5"/>
        <v>0</v>
      </c>
      <c r="O21" s="292">
        <f t="shared" si="6"/>
        <v>0</v>
      </c>
      <c r="P21" s="292">
        <f t="shared" si="7"/>
        <v>0</v>
      </c>
      <c r="Q21" s="292">
        <f t="shared" si="8"/>
        <v>0</v>
      </c>
      <c r="R21" s="309">
        <f t="shared" si="9"/>
        <v>0</v>
      </c>
      <c r="S21" s="309">
        <f t="shared" si="10"/>
        <v>0</v>
      </c>
      <c r="T21" s="309">
        <f t="shared" si="11"/>
        <v>0</v>
      </c>
      <c r="U21" s="309">
        <f t="shared" si="12"/>
        <v>0</v>
      </c>
      <c r="V21" s="309">
        <f t="shared" si="13"/>
        <v>0</v>
      </c>
      <c r="W21" s="309">
        <f t="shared" si="14"/>
        <v>0</v>
      </c>
      <c r="X21" s="309">
        <f t="shared" si="15"/>
        <v>0</v>
      </c>
      <c r="Y21" s="309">
        <f t="shared" si="16"/>
        <v>0</v>
      </c>
      <c r="Z21" s="309">
        <f t="shared" si="17"/>
        <v>0</v>
      </c>
      <c r="AA21" s="221"/>
      <c r="AB21" s="226">
        <f t="shared" si="2"/>
        <v>0</v>
      </c>
      <c r="AC21" s="261">
        <f t="shared" si="18"/>
        <v>0</v>
      </c>
    </row>
    <row r="22" spans="2:29" x14ac:dyDescent="0.25">
      <c r="B22" s="1">
        <v>454</v>
      </c>
      <c r="C22" t="s">
        <v>43</v>
      </c>
      <c r="D22" s="2"/>
      <c r="H22" s="214"/>
      <c r="I22" s="118"/>
      <c r="J22" s="118"/>
      <c r="K22" s="118">
        <f t="shared" si="1"/>
        <v>0</v>
      </c>
      <c r="L22" s="292"/>
      <c r="M22" s="292"/>
      <c r="N22" s="292"/>
      <c r="O22" s="292"/>
      <c r="P22" s="292"/>
      <c r="Q22" s="292">
        <f t="shared" si="8"/>
        <v>0</v>
      </c>
      <c r="R22" s="309">
        <f t="shared" si="9"/>
        <v>0</v>
      </c>
      <c r="S22" s="309">
        <f t="shared" si="10"/>
        <v>0</v>
      </c>
      <c r="T22" s="309">
        <f t="shared" si="11"/>
        <v>0</v>
      </c>
      <c r="U22" s="309">
        <f t="shared" si="12"/>
        <v>0</v>
      </c>
      <c r="V22" s="309">
        <f t="shared" si="13"/>
        <v>0</v>
      </c>
      <c r="W22" s="309">
        <f t="shared" si="14"/>
        <v>0</v>
      </c>
      <c r="X22" s="309">
        <f t="shared" si="15"/>
        <v>0</v>
      </c>
      <c r="Y22" s="309">
        <f t="shared" si="16"/>
        <v>0</v>
      </c>
      <c r="Z22" s="309">
        <f t="shared" si="17"/>
        <v>0</v>
      </c>
      <c r="AA22" s="221"/>
      <c r="AB22" s="226"/>
      <c r="AC22" s="261"/>
    </row>
    <row r="23" spans="2:29" x14ac:dyDescent="0.25">
      <c r="B23" s="1">
        <v>467</v>
      </c>
      <c r="C23" t="s">
        <v>44</v>
      </c>
      <c r="D23" s="2"/>
      <c r="H23" s="214">
        <v>9532.7099999999991</v>
      </c>
      <c r="I23" s="118"/>
      <c r="J23" s="118">
        <f t="shared" ref="J23:J35" si="19">H23/$I$35</f>
        <v>8.836599782827903E-2</v>
      </c>
      <c r="K23" s="118">
        <f t="shared" si="1"/>
        <v>7.8889625975826397E-2</v>
      </c>
      <c r="L23" s="292">
        <f>J23*$L$3</f>
        <v>577.11214619664236</v>
      </c>
      <c r="M23" s="292">
        <f>J23*$M$3</f>
        <v>134.97552704278309</v>
      </c>
      <c r="N23" s="292">
        <f>J23*$N$3</f>
        <v>141.259233148352</v>
      </c>
      <c r="O23" s="292">
        <f>J23*$O$3</f>
        <v>27.746039658101335</v>
      </c>
      <c r="P23" s="292">
        <f>J23*$P$3</f>
        <v>117.5939352699606</v>
      </c>
      <c r="Q23" s="292">
        <f t="shared" si="8"/>
        <v>0</v>
      </c>
      <c r="R23" s="309">
        <f t="shared" si="9"/>
        <v>237.14221568333414</v>
      </c>
      <c r="S23" s="309">
        <f t="shared" si="10"/>
        <v>386.55916728154932</v>
      </c>
      <c r="T23" s="309">
        <f t="shared" si="11"/>
        <v>0</v>
      </c>
      <c r="U23" s="309">
        <f t="shared" si="12"/>
        <v>50.547738947751007</v>
      </c>
      <c r="V23" s="309">
        <f t="shared" si="13"/>
        <v>24.613563304457834</v>
      </c>
      <c r="W23" s="309">
        <f t="shared" si="14"/>
        <v>86.14747156560243</v>
      </c>
      <c r="X23" s="309">
        <f t="shared" si="15"/>
        <v>183.12964436272486</v>
      </c>
      <c r="Y23" s="309">
        <f t="shared" si="16"/>
        <v>60.311907954779038</v>
      </c>
      <c r="Z23" s="309">
        <f t="shared" si="17"/>
        <v>313.38746139645087</v>
      </c>
      <c r="AA23" s="221"/>
      <c r="AB23" s="226">
        <f t="shared" ref="AB23:AB35" si="20">H23/$H$39</f>
        <v>4.4843646948911582E-2</v>
      </c>
      <c r="AC23" s="261">
        <f>AB23*$AC$3</f>
        <v>298.0174245283817</v>
      </c>
    </row>
    <row r="24" spans="2:29" x14ac:dyDescent="0.25">
      <c r="B24" s="1">
        <v>468</v>
      </c>
      <c r="C24" t="s">
        <v>45</v>
      </c>
      <c r="D24" s="2"/>
      <c r="H24" s="214">
        <v>6307.7</v>
      </c>
      <c r="I24" s="118"/>
      <c r="J24" s="118">
        <f t="shared" si="19"/>
        <v>5.8470907486059653E-2</v>
      </c>
      <c r="K24" s="118">
        <f t="shared" si="1"/>
        <v>5.2200485881530034E-2</v>
      </c>
      <c r="L24" s="292">
        <f>J24*$L$3</f>
        <v>381.86940382793159</v>
      </c>
      <c r="M24" s="292">
        <f>J24*$M$3</f>
        <v>89.311972348656681</v>
      </c>
      <c r="N24" s="292">
        <f>J24*$N$3</f>
        <v>93.46983857999038</v>
      </c>
      <c r="O24" s="292">
        <f>J24*$O$3</f>
        <v>18.359280241547872</v>
      </c>
      <c r="P24" s="292">
        <f>J24*$P$3</f>
        <v>77.810744846148751</v>
      </c>
      <c r="Q24" s="292">
        <f t="shared" si="8"/>
        <v>0</v>
      </c>
      <c r="R24" s="309">
        <f t="shared" si="9"/>
        <v>156.91466055987928</v>
      </c>
      <c r="S24" s="309">
        <f t="shared" si="10"/>
        <v>255.78238081949718</v>
      </c>
      <c r="T24" s="309">
        <f t="shared" si="11"/>
        <v>0</v>
      </c>
      <c r="U24" s="309">
        <f t="shared" si="12"/>
        <v>33.446939323731556</v>
      </c>
      <c r="V24" s="309">
        <f t="shared" si="13"/>
        <v>16.28655159503737</v>
      </c>
      <c r="W24" s="309">
        <f t="shared" si="14"/>
        <v>57.002930582630796</v>
      </c>
      <c r="X24" s="309">
        <f t="shared" si="15"/>
        <v>121.17507589623094</v>
      </c>
      <c r="Y24" s="309">
        <f t="shared" si="16"/>
        <v>39.907793461288527</v>
      </c>
      <c r="Z24" s="309">
        <f t="shared" si="17"/>
        <v>207.36538615466043</v>
      </c>
      <c r="AA24" s="221"/>
      <c r="AB24" s="226">
        <f t="shared" si="20"/>
        <v>2.9672598018784753E-2</v>
      </c>
      <c r="AC24" s="261">
        <f>AB24*$AC$3</f>
        <v>197.19518465343782</v>
      </c>
    </row>
    <row r="25" spans="2:29" x14ac:dyDescent="0.25">
      <c r="B25" s="1">
        <v>502</v>
      </c>
      <c r="C25" t="s">
        <v>46</v>
      </c>
      <c r="D25" s="2"/>
      <c r="H25" s="214">
        <v>1678.6</v>
      </c>
      <c r="I25" s="118"/>
      <c r="J25" s="118">
        <f t="shared" si="19"/>
        <v>1.5560230401905564E-2</v>
      </c>
      <c r="K25" s="118">
        <f t="shared" si="1"/>
        <v>1.3891550898225394E-2</v>
      </c>
      <c r="L25" s="292">
        <f t="shared" si="3"/>
        <v>101.62277553871711</v>
      </c>
      <c r="M25" s="292">
        <f t="shared" si="4"/>
        <v>23.767629529694673</v>
      </c>
      <c r="N25" s="292">
        <f t="shared" si="5"/>
        <v>24.874117513574177</v>
      </c>
      <c r="O25" s="292">
        <f t="shared" si="6"/>
        <v>4.8857567438943281</v>
      </c>
      <c r="P25" s="292">
        <f t="shared" si="7"/>
        <v>20.706932209639849</v>
      </c>
      <c r="Q25" s="292">
        <f t="shared" si="8"/>
        <v>0</v>
      </c>
      <c r="R25" s="309">
        <f t="shared" si="9"/>
        <v>41.758002000065538</v>
      </c>
      <c r="S25" s="309">
        <f t="shared" si="10"/>
        <v>68.068599401304425</v>
      </c>
      <c r="T25" s="309">
        <f t="shared" si="11"/>
        <v>0</v>
      </c>
      <c r="U25" s="309">
        <f t="shared" si="12"/>
        <v>8.9008723225289383</v>
      </c>
      <c r="V25" s="309">
        <f t="shared" si="13"/>
        <v>4.3341638802463232</v>
      </c>
      <c r="W25" s="309">
        <f t="shared" si="14"/>
        <v>15.16957358086213</v>
      </c>
      <c r="X25" s="309">
        <f t="shared" si="15"/>
        <v>32.247012762086541</v>
      </c>
      <c r="Y25" s="309">
        <f t="shared" si="16"/>
        <v>10.620229577202297</v>
      </c>
      <c r="Z25" s="309">
        <f t="shared" si="17"/>
        <v>55.183908112182415</v>
      </c>
      <c r="AA25" s="221"/>
      <c r="AB25" s="226">
        <f t="shared" si="20"/>
        <v>7.8964476805066953E-3</v>
      </c>
      <c r="AC25" s="261">
        <f t="shared" si="18"/>
        <v>52.477422350343346</v>
      </c>
    </row>
    <row r="26" spans="2:29" x14ac:dyDescent="0.25">
      <c r="B26" s="1">
        <v>515</v>
      </c>
      <c r="C26" t="s">
        <v>47</v>
      </c>
      <c r="D26" s="2"/>
      <c r="H26" s="214">
        <v>1730.77</v>
      </c>
      <c r="I26" s="118"/>
      <c r="J26" s="118">
        <f t="shared" si="19"/>
        <v>1.604383413124395E-2</v>
      </c>
      <c r="K26" s="118">
        <f t="shared" si="1"/>
        <v>1.4323292951341335E-2</v>
      </c>
      <c r="L26" s="292">
        <f t="shared" si="3"/>
        <v>104.78115764276505</v>
      </c>
      <c r="M26" s="292">
        <f t="shared" si="4"/>
        <v>24.506314882109884</v>
      </c>
      <c r="N26" s="292">
        <f t="shared" si="5"/>
        <v>25.647191927182639</v>
      </c>
      <c r="O26" s="292">
        <f t="shared" si="6"/>
        <v>5.0376034788692881</v>
      </c>
      <c r="P26" s="292">
        <f t="shared" si="7"/>
        <v>21.350492708494198</v>
      </c>
      <c r="Q26" s="292">
        <f t="shared" si="8"/>
        <v>0</v>
      </c>
      <c r="R26" s="309">
        <f t="shared" si="9"/>
        <v>43.05581861173205</v>
      </c>
      <c r="S26" s="309">
        <f t="shared" si="10"/>
        <v>70.184135461572538</v>
      </c>
      <c r="T26" s="309">
        <f t="shared" si="11"/>
        <v>0</v>
      </c>
      <c r="U26" s="309">
        <f t="shared" si="12"/>
        <v>9.1775067256424467</v>
      </c>
      <c r="V26" s="309">
        <f t="shared" si="13"/>
        <v>4.468867400818497</v>
      </c>
      <c r="W26" s="309">
        <f t="shared" si="14"/>
        <v>15.641035902864738</v>
      </c>
      <c r="X26" s="309">
        <f t="shared" si="15"/>
        <v>33.249232859666698</v>
      </c>
      <c r="Y26" s="309">
        <f t="shared" si="16"/>
        <v>10.950300694229965</v>
      </c>
      <c r="Z26" s="309">
        <f t="shared" si="17"/>
        <v>56.898994783344428</v>
      </c>
      <c r="AA26" s="221"/>
      <c r="AB26" s="226">
        <f t="shared" si="20"/>
        <v>8.1418650970991151E-3</v>
      </c>
      <c r="AC26" s="261">
        <f t="shared" si="18"/>
        <v>54.108392875791587</v>
      </c>
    </row>
    <row r="27" spans="2:29" x14ac:dyDescent="0.25">
      <c r="B27" s="1">
        <v>525</v>
      </c>
      <c r="C27" t="s">
        <v>48</v>
      </c>
      <c r="D27" s="2"/>
      <c r="H27" s="214">
        <v>2900</v>
      </c>
      <c r="I27" s="118"/>
      <c r="J27" s="118">
        <f t="shared" si="19"/>
        <v>2.6882323463318324E-2</v>
      </c>
      <c r="K27" s="118">
        <f t="shared" si="1"/>
        <v>2.3999462412041966E-2</v>
      </c>
      <c r="L27" s="292">
        <f t="shared" si="3"/>
        <v>175.56657277628955</v>
      </c>
      <c r="M27" s="292">
        <f t="shared" si="4"/>
        <v>41.061673797280207</v>
      </c>
      <c r="N27" s="292">
        <f t="shared" si="5"/>
        <v>42.973275818756775</v>
      </c>
      <c r="O27" s="292">
        <f t="shared" si="6"/>
        <v>8.4407807442473217</v>
      </c>
      <c r="P27" s="292">
        <f t="shared" si="7"/>
        <v>35.773920772045493</v>
      </c>
      <c r="Q27" s="292">
        <f t="shared" si="8"/>
        <v>0</v>
      </c>
      <c r="R27" s="309">
        <f t="shared" si="9"/>
        <v>72.14238401059815</v>
      </c>
      <c r="S27" s="309">
        <f t="shared" si="10"/>
        <v>117.59736581900563</v>
      </c>
      <c r="T27" s="309">
        <f t="shared" si="11"/>
        <v>0</v>
      </c>
      <c r="U27" s="309">
        <f t="shared" si="12"/>
        <v>15.37741554589177</v>
      </c>
      <c r="V27" s="309">
        <f t="shared" si="13"/>
        <v>7.4878322725570934</v>
      </c>
      <c r="W27" s="309">
        <f t="shared" si="14"/>
        <v>26.207412953949827</v>
      </c>
      <c r="X27" s="309">
        <f t="shared" si="15"/>
        <v>55.710912075569503</v>
      </c>
      <c r="Y27" s="309">
        <f t="shared" si="16"/>
        <v>18.347829008630203</v>
      </c>
      <c r="Z27" s="309">
        <f t="shared" si="17"/>
        <v>95.337384442588473</v>
      </c>
      <c r="AA27" s="221"/>
      <c r="AB27" s="226">
        <f t="shared" si="20"/>
        <v>1.3642141232854413E-2</v>
      </c>
      <c r="AC27" s="261">
        <f t="shared" si="18"/>
        <v>90.661577991180565</v>
      </c>
    </row>
    <row r="28" spans="2:29" x14ac:dyDescent="0.25">
      <c r="B28" s="1">
        <v>560</v>
      </c>
      <c r="C28" t="s">
        <v>49</v>
      </c>
      <c r="D28" s="2"/>
      <c r="H28" s="214">
        <v>0</v>
      </c>
      <c r="I28" s="118"/>
      <c r="J28" s="118">
        <f t="shared" si="19"/>
        <v>0</v>
      </c>
      <c r="K28" s="118">
        <f t="shared" si="1"/>
        <v>0</v>
      </c>
      <c r="L28" s="292">
        <f t="shared" si="3"/>
        <v>0</v>
      </c>
      <c r="M28" s="292">
        <f t="shared" si="4"/>
        <v>0</v>
      </c>
      <c r="N28" s="292">
        <f t="shared" si="5"/>
        <v>0</v>
      </c>
      <c r="O28" s="292">
        <f t="shared" si="6"/>
        <v>0</v>
      </c>
      <c r="P28" s="292">
        <f t="shared" si="7"/>
        <v>0</v>
      </c>
      <c r="Q28" s="292">
        <f t="shared" si="8"/>
        <v>0</v>
      </c>
      <c r="R28" s="309">
        <f t="shared" si="9"/>
        <v>0</v>
      </c>
      <c r="S28" s="309">
        <f t="shared" si="10"/>
        <v>0</v>
      </c>
      <c r="T28" s="309">
        <f t="shared" si="11"/>
        <v>0</v>
      </c>
      <c r="U28" s="309">
        <f t="shared" si="12"/>
        <v>0</v>
      </c>
      <c r="V28" s="309">
        <f t="shared" si="13"/>
        <v>0</v>
      </c>
      <c r="W28" s="309">
        <f t="shared" si="14"/>
        <v>0</v>
      </c>
      <c r="X28" s="309">
        <f t="shared" si="15"/>
        <v>0</v>
      </c>
      <c r="Y28" s="309">
        <f t="shared" si="16"/>
        <v>0</v>
      </c>
      <c r="Z28" s="309">
        <f t="shared" si="17"/>
        <v>0</v>
      </c>
      <c r="AA28" s="221"/>
      <c r="AB28" s="226">
        <f t="shared" si="20"/>
        <v>0</v>
      </c>
      <c r="AC28" s="261">
        <f t="shared" si="18"/>
        <v>0</v>
      </c>
    </row>
    <row r="29" spans="2:29" x14ac:dyDescent="0.25">
      <c r="B29" s="1">
        <v>561</v>
      </c>
      <c r="C29" t="s">
        <v>50</v>
      </c>
      <c r="D29" s="2"/>
      <c r="H29" s="214">
        <v>4384.62</v>
      </c>
      <c r="I29" s="118"/>
      <c r="J29" s="118">
        <f t="shared" si="19"/>
        <v>4.0644404518529235E-2</v>
      </c>
      <c r="K29" s="118">
        <f t="shared" si="1"/>
        <v>3.6285697545202569E-2</v>
      </c>
      <c r="L29" s="292">
        <f t="shared" si="3"/>
        <v>265.44576080219815</v>
      </c>
      <c r="M29" s="292">
        <f t="shared" si="4"/>
        <v>62.082702125872665</v>
      </c>
      <c r="N29" s="292">
        <f t="shared" si="5"/>
        <v>64.972925731185271</v>
      </c>
      <c r="O29" s="292">
        <f t="shared" si="6"/>
        <v>12.761936574772996</v>
      </c>
      <c r="P29" s="292">
        <f t="shared" si="7"/>
        <v>54.087947757077963</v>
      </c>
      <c r="Q29" s="292">
        <f t="shared" si="8"/>
        <v>0</v>
      </c>
      <c r="R29" s="309">
        <f t="shared" si="9"/>
        <v>109.07480682087892</v>
      </c>
      <c r="S29" s="309">
        <f t="shared" si="10"/>
        <v>177.79991797149259</v>
      </c>
      <c r="T29" s="309">
        <f t="shared" si="11"/>
        <v>0</v>
      </c>
      <c r="U29" s="309">
        <f t="shared" si="12"/>
        <v>23.249697845113094</v>
      </c>
      <c r="V29" s="309">
        <f t="shared" si="13"/>
        <v>11.321137634103202</v>
      </c>
      <c r="W29" s="309">
        <f t="shared" si="14"/>
        <v>39.623981719361204</v>
      </c>
      <c r="X29" s="309">
        <f t="shared" si="15"/>
        <v>84.231441139580539</v>
      </c>
      <c r="Y29" s="309">
        <f t="shared" si="16"/>
        <v>27.740778630282815</v>
      </c>
      <c r="Z29" s="309">
        <f t="shared" si="17"/>
        <v>144.1442077843663</v>
      </c>
      <c r="AA29" s="221"/>
      <c r="AB29" s="226">
        <f t="shared" si="20"/>
        <v>2.062607079048211E-2</v>
      </c>
      <c r="AC29" s="261">
        <f t="shared" si="18"/>
        <v>137.07467865230694</v>
      </c>
    </row>
    <row r="30" spans="2:29" x14ac:dyDescent="0.25">
      <c r="B30" s="1">
        <v>563</v>
      </c>
      <c r="C30" t="s">
        <v>51</v>
      </c>
      <c r="D30" s="2"/>
      <c r="H30" s="214">
        <v>2993.49</v>
      </c>
      <c r="I30" s="118"/>
      <c r="J30" s="118">
        <f t="shared" si="19"/>
        <v>2.7748953953175434E-2</v>
      </c>
      <c r="K30" s="118">
        <f t="shared" si="1"/>
        <v>2.4773155426146033E-2</v>
      </c>
      <c r="L30" s="292">
        <f t="shared" si="3"/>
        <v>181.22647584141205</v>
      </c>
      <c r="M30" s="292">
        <f t="shared" si="4"/>
        <v>42.385417205317353</v>
      </c>
      <c r="N30" s="292">
        <f t="shared" si="5"/>
        <v>44.35864532092765</v>
      </c>
      <c r="O30" s="292">
        <f t="shared" si="6"/>
        <v>8.712894051757555</v>
      </c>
      <c r="P30" s="292">
        <f t="shared" si="7"/>
        <v>36.927197962727739</v>
      </c>
      <c r="Q30" s="292">
        <f t="shared" si="8"/>
        <v>0</v>
      </c>
      <c r="R30" s="309">
        <f t="shared" si="9"/>
        <v>74.468105210994977</v>
      </c>
      <c r="S30" s="309">
        <f t="shared" si="10"/>
        <v>121.38846158811556</v>
      </c>
      <c r="T30" s="309">
        <f t="shared" si="11"/>
        <v>0</v>
      </c>
      <c r="U30" s="309">
        <f t="shared" si="12"/>
        <v>15.87315160774881</v>
      </c>
      <c r="V30" s="309">
        <f t="shared" si="13"/>
        <v>7.7292244929575622</v>
      </c>
      <c r="W30" s="309">
        <f t="shared" si="14"/>
        <v>27.052285725351467</v>
      </c>
      <c r="X30" s="309">
        <f t="shared" si="15"/>
        <v>57.506916616929836</v>
      </c>
      <c r="Y30" s="309">
        <f t="shared" si="16"/>
        <v>18.939325054842904</v>
      </c>
      <c r="Z30" s="309">
        <f t="shared" si="17"/>
        <v>98.410864467256602</v>
      </c>
      <c r="AA30" s="221"/>
      <c r="AB30" s="226">
        <f t="shared" si="20"/>
        <v>1.4081935641081846E-2</v>
      </c>
      <c r="AC30" s="261">
        <f t="shared" si="18"/>
        <v>93.584319689937615</v>
      </c>
    </row>
    <row r="31" spans="2:29" x14ac:dyDescent="0.25">
      <c r="B31" s="1">
        <v>610</v>
      </c>
      <c r="C31" t="s">
        <v>53</v>
      </c>
      <c r="D31" s="2"/>
      <c r="H31" s="214">
        <v>11923.08</v>
      </c>
      <c r="I31" s="118"/>
      <c r="J31" s="118">
        <f t="shared" si="19"/>
        <v>0.11052417008242119</v>
      </c>
      <c r="K31" s="118">
        <f t="shared" si="1"/>
        <v>9.8671555274403216E-2</v>
      </c>
      <c r="L31" s="292">
        <f t="shared" si="3"/>
        <v>721.82561811638698</v>
      </c>
      <c r="M31" s="292">
        <f t="shared" si="4"/>
        <v>168.82124883409506</v>
      </c>
      <c r="N31" s="292">
        <f t="shared" si="5"/>
        <v>176.68062256865602</v>
      </c>
      <c r="O31" s="292">
        <f t="shared" si="6"/>
        <v>34.703484164179429</v>
      </c>
      <c r="P31" s="292">
        <f t="shared" si="7"/>
        <v>147.08114457888283</v>
      </c>
      <c r="Q31" s="292">
        <f t="shared" si="8"/>
        <v>0</v>
      </c>
      <c r="R31" s="309">
        <f t="shared" si="9"/>
        <v>296.60669515485608</v>
      </c>
      <c r="S31" s="309">
        <f t="shared" si="10"/>
        <v>483.49062084457574</v>
      </c>
      <c r="T31" s="309">
        <f t="shared" si="11"/>
        <v>0</v>
      </c>
      <c r="U31" s="309">
        <f t="shared" si="12"/>
        <v>63.222812326521115</v>
      </c>
      <c r="V31" s="309">
        <f t="shared" si="13"/>
        <v>30.785525245613805</v>
      </c>
      <c r="W31" s="309">
        <f t="shared" si="14"/>
        <v>107.74933835964831</v>
      </c>
      <c r="X31" s="309">
        <f t="shared" si="15"/>
        <v>229.05022812068319</v>
      </c>
      <c r="Y31" s="309">
        <f t="shared" si="16"/>
        <v>75.435390722834001</v>
      </c>
      <c r="Z31" s="309">
        <f t="shared" si="17"/>
        <v>391.97077989646129</v>
      </c>
      <c r="AA31" s="221"/>
      <c r="AB31" s="226">
        <f t="shared" si="20"/>
        <v>5.6088393548490274E-2</v>
      </c>
      <c r="AC31" s="261">
        <f t="shared" si="18"/>
        <v>372.74663700520182</v>
      </c>
    </row>
    <row r="32" spans="2:29" x14ac:dyDescent="0.25">
      <c r="B32" s="1">
        <v>620</v>
      </c>
      <c r="C32" t="s">
        <v>54</v>
      </c>
      <c r="D32" s="2"/>
      <c r="H32" s="214">
        <v>6015.39</v>
      </c>
      <c r="I32" s="118"/>
      <c r="J32" s="118">
        <f t="shared" si="19"/>
        <v>5.5761261978624285E-2</v>
      </c>
      <c r="K32" s="118">
        <f t="shared" si="1"/>
        <v>4.9781422827163149E-2</v>
      </c>
      <c r="L32" s="292">
        <f t="shared" si="3"/>
        <v>364.1728986940567</v>
      </c>
      <c r="M32" s="292">
        <f t="shared" si="4"/>
        <v>85.173097221869455</v>
      </c>
      <c r="N32" s="292">
        <f t="shared" si="5"/>
        <v>89.138280561169424</v>
      </c>
      <c r="O32" s="292">
        <f t="shared" si="6"/>
        <v>17.508478648668241</v>
      </c>
      <c r="P32" s="292">
        <f t="shared" si="7"/>
        <v>74.20485699067406</v>
      </c>
      <c r="Q32" s="292">
        <f t="shared" si="8"/>
        <v>0</v>
      </c>
      <c r="R32" s="309">
        <f t="shared" si="9"/>
        <v>149.64295701845242</v>
      </c>
      <c r="S32" s="309">
        <f t="shared" si="10"/>
        <v>243.92897185309943</v>
      </c>
      <c r="T32" s="309">
        <f t="shared" si="11"/>
        <v>0</v>
      </c>
      <c r="U32" s="309">
        <f t="shared" si="12"/>
        <v>31.896948862276517</v>
      </c>
      <c r="V32" s="309">
        <f t="shared" si="13"/>
        <v>15.531803922074902</v>
      </c>
      <c r="W32" s="309">
        <f t="shared" si="14"/>
        <v>54.361313727262157</v>
      </c>
      <c r="X32" s="309">
        <f t="shared" si="15"/>
        <v>115.55960806560691</v>
      </c>
      <c r="Y32" s="309">
        <f t="shared" si="16"/>
        <v>38.058395565594502</v>
      </c>
      <c r="Z32" s="309">
        <f t="shared" si="17"/>
        <v>197.75570655244906</v>
      </c>
      <c r="AA32" s="221"/>
      <c r="AB32" s="226">
        <f t="shared" si="20"/>
        <v>2.829751722437935E-2</v>
      </c>
      <c r="AC32" s="261">
        <f t="shared" si="18"/>
        <v>188.05681021805785</v>
      </c>
    </row>
    <row r="33" spans="2:33" x14ac:dyDescent="0.25">
      <c r="B33" s="1">
        <v>630</v>
      </c>
      <c r="C33" t="s">
        <v>55</v>
      </c>
      <c r="D33" s="2"/>
      <c r="H33" s="214">
        <v>0</v>
      </c>
      <c r="I33" s="118"/>
      <c r="J33" s="118">
        <f t="shared" si="19"/>
        <v>0</v>
      </c>
      <c r="K33" s="118">
        <f t="shared" si="1"/>
        <v>0</v>
      </c>
      <c r="L33" s="292">
        <f t="shared" si="3"/>
        <v>0</v>
      </c>
      <c r="M33" s="292">
        <f t="shared" si="4"/>
        <v>0</v>
      </c>
      <c r="N33" s="292">
        <f t="shared" si="5"/>
        <v>0</v>
      </c>
      <c r="O33" s="292">
        <f t="shared" si="6"/>
        <v>0</v>
      </c>
      <c r="P33" s="292">
        <f t="shared" si="7"/>
        <v>0</v>
      </c>
      <c r="Q33" s="292">
        <f t="shared" si="8"/>
        <v>0</v>
      </c>
      <c r="R33" s="309">
        <f t="shared" si="9"/>
        <v>0</v>
      </c>
      <c r="S33" s="309">
        <f t="shared" si="10"/>
        <v>0</v>
      </c>
      <c r="T33" s="309">
        <f t="shared" si="11"/>
        <v>0</v>
      </c>
      <c r="U33" s="309">
        <f t="shared" si="12"/>
        <v>0</v>
      </c>
      <c r="V33" s="309">
        <f t="shared" si="13"/>
        <v>0</v>
      </c>
      <c r="W33" s="309">
        <f t="shared" si="14"/>
        <v>0</v>
      </c>
      <c r="X33" s="309">
        <f t="shared" si="15"/>
        <v>0</v>
      </c>
      <c r="Y33" s="309">
        <f t="shared" si="16"/>
        <v>0</v>
      </c>
      <c r="Z33" s="309">
        <f t="shared" si="17"/>
        <v>0</v>
      </c>
      <c r="AA33" s="221"/>
      <c r="AB33" s="226">
        <f t="shared" si="20"/>
        <v>0</v>
      </c>
      <c r="AC33" s="261">
        <f t="shared" si="18"/>
        <v>0</v>
      </c>
    </row>
    <row r="34" spans="2:33" x14ac:dyDescent="0.25">
      <c r="B34" s="1">
        <v>650</v>
      </c>
      <c r="C34" t="s">
        <v>56</v>
      </c>
      <c r="D34" s="2"/>
      <c r="H34" s="214">
        <v>299</v>
      </c>
      <c r="I34" s="319"/>
      <c r="J34" s="118">
        <f t="shared" si="19"/>
        <v>2.7716602467352342E-3</v>
      </c>
      <c r="K34" s="118">
        <f t="shared" si="1"/>
        <v>2.4744273314484646E-3</v>
      </c>
      <c r="L34" s="292">
        <f t="shared" si="3"/>
        <v>18.101519055210545</v>
      </c>
      <c r="M34" s="292">
        <f t="shared" si="4"/>
        <v>4.2336001604782014</v>
      </c>
      <c r="N34" s="292">
        <f t="shared" si="5"/>
        <v>4.4306929206235433</v>
      </c>
      <c r="O34" s="292">
        <f t="shared" si="6"/>
        <v>0.87027360087239625</v>
      </c>
      <c r="P34" s="292">
        <f t="shared" si="7"/>
        <v>3.6884145899453804</v>
      </c>
      <c r="Q34" s="292">
        <f t="shared" si="8"/>
        <v>0</v>
      </c>
      <c r="R34" s="309">
        <f t="shared" si="9"/>
        <v>7.4381285583340846</v>
      </c>
      <c r="S34" s="309">
        <f t="shared" si="10"/>
        <v>12.124693924097476</v>
      </c>
      <c r="T34" s="309">
        <f t="shared" si="11"/>
        <v>0</v>
      </c>
      <c r="U34" s="309">
        <f t="shared" si="12"/>
        <v>1.5854645683522892</v>
      </c>
      <c r="V34" s="309">
        <f t="shared" si="13"/>
        <v>0.77202132741192098</v>
      </c>
      <c r="W34" s="309">
        <f t="shared" si="14"/>
        <v>2.7020746459417233</v>
      </c>
      <c r="X34" s="309">
        <f t="shared" si="15"/>
        <v>5.7439871415845793</v>
      </c>
      <c r="Y34" s="309">
        <f t="shared" si="16"/>
        <v>1.8917244391656656</v>
      </c>
      <c r="Z34" s="309">
        <f t="shared" si="17"/>
        <v>9.8296130856323973</v>
      </c>
      <c r="AA34" s="221"/>
      <c r="AB34" s="226">
        <f t="shared" si="20"/>
        <v>1.4065518029736102E-3</v>
      </c>
      <c r="AC34" s="261">
        <f t="shared" si="18"/>
        <v>9.3475213170217213</v>
      </c>
    </row>
    <row r="35" spans="2:33" x14ac:dyDescent="0.25">
      <c r="B35" s="1">
        <v>600</v>
      </c>
      <c r="C35" t="s">
        <v>57</v>
      </c>
      <c r="D35" s="2"/>
      <c r="H35" s="214">
        <v>-0.01</v>
      </c>
      <c r="I35" s="118">
        <f>SUM(H6:H35)</f>
        <v>107877.58000000002</v>
      </c>
      <c r="J35" s="118">
        <f t="shared" si="19"/>
        <v>-9.2697667114890778E-8</v>
      </c>
      <c r="K35" s="118">
        <f t="shared" si="1"/>
        <v>-8.2756766938075744E-8</v>
      </c>
      <c r="L35" s="292">
        <f t="shared" si="3"/>
        <v>-6.0540197509065361E-4</v>
      </c>
      <c r="M35" s="292">
        <f t="shared" si="4"/>
        <v>-1.4159197861131107E-4</v>
      </c>
      <c r="N35" s="292">
        <f t="shared" si="5"/>
        <v>-1.4818370971985095E-4</v>
      </c>
      <c r="O35" s="292">
        <f t="shared" si="6"/>
        <v>-2.9106140497404555E-5</v>
      </c>
      <c r="P35" s="292">
        <f t="shared" si="7"/>
        <v>-1.2335834748981205E-4</v>
      </c>
      <c r="Q35" s="292">
        <f t="shared" si="8"/>
        <v>0</v>
      </c>
      <c r="R35" s="309">
        <f t="shared" si="9"/>
        <v>-2.487668414158557E-4</v>
      </c>
      <c r="S35" s="309">
        <f t="shared" si="10"/>
        <v>-4.0550815799657113E-4</v>
      </c>
      <c r="T35" s="309">
        <f t="shared" si="11"/>
        <v>0</v>
      </c>
      <c r="U35" s="309">
        <f t="shared" si="12"/>
        <v>-5.3025570847902654E-5</v>
      </c>
      <c r="V35" s="309">
        <f t="shared" si="13"/>
        <v>-2.5820111284679632E-5</v>
      </c>
      <c r="W35" s="309">
        <f t="shared" si="14"/>
        <v>-9.0370389496378717E-5</v>
      </c>
      <c r="X35" s="309">
        <f t="shared" si="15"/>
        <v>-1.9210659336403276E-4</v>
      </c>
      <c r="Y35" s="309">
        <f t="shared" si="16"/>
        <v>-6.3268375891828289E-5</v>
      </c>
      <c r="Z35" s="309">
        <f t="shared" si="17"/>
        <v>-3.2874960152616713E-4</v>
      </c>
      <c r="AA35" s="221"/>
      <c r="AB35" s="226">
        <f t="shared" si="20"/>
        <v>-4.7041866320187635E-8</v>
      </c>
      <c r="AC35" s="261">
        <f t="shared" si="18"/>
        <v>-3.1262613100407097E-4</v>
      </c>
    </row>
    <row r="36" spans="2:33" x14ac:dyDescent="0.25">
      <c r="B36" s="1">
        <v>339</v>
      </c>
      <c r="C36" t="s">
        <v>58</v>
      </c>
      <c r="D36" s="2"/>
      <c r="H36" s="319">
        <f>J53</f>
        <v>7420</v>
      </c>
      <c r="I36" s="118"/>
      <c r="J36" s="118"/>
      <c r="K36" s="118">
        <f t="shared" si="1"/>
        <v>6.14055210680522E-2</v>
      </c>
      <c r="L36" s="292">
        <f>J36*$L$3</f>
        <v>0</v>
      </c>
      <c r="M36" s="292">
        <f>J36*$M$3</f>
        <v>0</v>
      </c>
      <c r="N36" s="292">
        <f>J36*$N$3</f>
        <v>0</v>
      </c>
      <c r="O36" s="292">
        <f>J36*$O$3</f>
        <v>0</v>
      </c>
      <c r="P36" s="292">
        <f>J36*$P$3</f>
        <v>0</v>
      </c>
      <c r="Q36" s="292">
        <f t="shared" si="8"/>
        <v>0</v>
      </c>
      <c r="R36" s="309">
        <f t="shared" si="9"/>
        <v>184.58499633056491</v>
      </c>
      <c r="S36" s="309">
        <f t="shared" si="10"/>
        <v>300.88705323345579</v>
      </c>
      <c r="T36" s="309">
        <f t="shared" si="11"/>
        <v>0</v>
      </c>
      <c r="U36" s="309">
        <f t="shared" si="12"/>
        <v>39.344973569143768</v>
      </c>
      <c r="V36" s="309">
        <f t="shared" si="13"/>
        <v>19.158522573232286</v>
      </c>
      <c r="W36" s="309">
        <f t="shared" si="14"/>
        <v>67.054829006313</v>
      </c>
      <c r="X36" s="309">
        <f t="shared" si="15"/>
        <v>142.5430922761123</v>
      </c>
      <c r="Y36" s="309">
        <f t="shared" si="16"/>
        <v>46.945134911736588</v>
      </c>
      <c r="Z36" s="309">
        <f t="shared" si="17"/>
        <v>243.93220433241601</v>
      </c>
      <c r="AA36" s="221"/>
      <c r="AB36" s="226">
        <f t="shared" ref="AB36:AB38" si="21">H36/$H$39</f>
        <v>3.4905064809579223E-2</v>
      </c>
      <c r="AC36" s="326">
        <f>AB36*$AC$3</f>
        <v>231.96858920502063</v>
      </c>
    </row>
    <row r="37" spans="2:33" x14ac:dyDescent="0.25">
      <c r="B37" s="1">
        <v>225</v>
      </c>
      <c r="C37" t="s">
        <v>59</v>
      </c>
      <c r="D37" s="2"/>
      <c r="H37" s="214">
        <f>I53</f>
        <v>5538.46</v>
      </c>
      <c r="I37" s="118">
        <f>I35+H36+H37</f>
        <v>120836.04000000002</v>
      </c>
      <c r="J37" s="118"/>
      <c r="K37" s="118">
        <f t="shared" si="1"/>
        <v>4.5834504341585501E-2</v>
      </c>
      <c r="L37" s="292"/>
      <c r="M37" s="292"/>
      <c r="N37" s="292"/>
      <c r="O37" s="292"/>
      <c r="P37" s="292"/>
      <c r="Q37" s="292">
        <f>K37*$Q$3</f>
        <v>0</v>
      </c>
      <c r="R37" s="309">
        <f t="shared" si="9"/>
        <v>137.77852005080601</v>
      </c>
      <c r="S37" s="309">
        <f t="shared" si="10"/>
        <v>224.58907127376895</v>
      </c>
      <c r="T37" s="309">
        <f t="shared" si="11"/>
        <v>0</v>
      </c>
      <c r="U37" s="309">
        <f t="shared" si="12"/>
        <v>29.368000311827494</v>
      </c>
      <c r="V37" s="309">
        <f t="shared" si="13"/>
        <v>14.300365354574677</v>
      </c>
      <c r="W37" s="309">
        <f t="shared" si="14"/>
        <v>50.051278741011366</v>
      </c>
      <c r="X37" s="309">
        <f t="shared" si="15"/>
        <v>106.3974683082961</v>
      </c>
      <c r="Y37" s="309">
        <f t="shared" si="16"/>
        <v>35.040936914185529</v>
      </c>
      <c r="Z37" s="309">
        <f t="shared" si="17"/>
        <v>182.07665180686158</v>
      </c>
      <c r="AA37" s="221"/>
      <c r="AB37" s="226">
        <f t="shared" si="21"/>
        <v>2.6053949493970639E-2</v>
      </c>
      <c r="AC37" s="326">
        <f>AB37*$AC$3</f>
        <v>173.14673215208066</v>
      </c>
    </row>
    <row r="38" spans="2:33" x14ac:dyDescent="0.25">
      <c r="B38" s="45">
        <v>451</v>
      </c>
      <c r="C38" s="32" t="s">
        <v>60</v>
      </c>
      <c r="D38" s="32"/>
      <c r="E38" s="32"/>
      <c r="F38" s="31">
        <v>91740.56</v>
      </c>
      <c r="G38" s="31"/>
      <c r="H38" s="319">
        <v>91740.56</v>
      </c>
      <c r="I38" s="118"/>
      <c r="J38" s="121"/>
      <c r="K38" s="121"/>
      <c r="L38" s="292"/>
      <c r="M38" s="292"/>
      <c r="N38" s="292"/>
      <c r="O38" s="292"/>
      <c r="P38" s="292"/>
      <c r="Q38" s="292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26">
        <f t="shared" si="21"/>
        <v>0.43156471596591528</v>
      </c>
      <c r="AC38" s="329">
        <f t="shared" ref="AC38" si="22">AB38*$AC$3</f>
        <v>2868.0496328946829</v>
      </c>
    </row>
    <row r="39" spans="2:33" ht="15.75" thickBot="1" x14ac:dyDescent="0.3">
      <c r="H39" s="320">
        <f>SUM(H6:H38)</f>
        <v>212576.60000000003</v>
      </c>
      <c r="I39" s="320"/>
      <c r="J39" s="321">
        <f t="shared" ref="J39:AC39" si="23">SUM(J6:J38)</f>
        <v>1</v>
      </c>
      <c r="K39" s="321">
        <f t="shared" si="23"/>
        <v>0.99999999999999989</v>
      </c>
      <c r="L39" s="322">
        <f t="shared" si="23"/>
        <v>6530.93</v>
      </c>
      <c r="M39" s="322">
        <f t="shared" si="23"/>
        <v>1527.4599999999994</v>
      </c>
      <c r="N39" s="322">
        <f t="shared" si="23"/>
        <v>1598.5699999999997</v>
      </c>
      <c r="O39" s="322">
        <f t="shared" si="23"/>
        <v>313.9899999999999</v>
      </c>
      <c r="P39" s="322">
        <f t="shared" si="23"/>
        <v>1330.7599999999995</v>
      </c>
      <c r="Q39" s="322">
        <f t="shared" si="23"/>
        <v>0</v>
      </c>
      <c r="R39" s="310">
        <f t="shared" si="23"/>
        <v>3005.9999999999991</v>
      </c>
      <c r="S39" s="310">
        <f t="shared" si="23"/>
        <v>4899.9999999999982</v>
      </c>
      <c r="T39" s="310">
        <f t="shared" si="23"/>
        <v>0</v>
      </c>
      <c r="U39" s="310">
        <f t="shared" si="23"/>
        <v>640.7399999999999</v>
      </c>
      <c r="V39" s="310">
        <f t="shared" si="23"/>
        <v>312.00000000000006</v>
      </c>
      <c r="W39" s="310">
        <f t="shared" si="23"/>
        <v>1092</v>
      </c>
      <c r="X39" s="310">
        <f t="shared" si="23"/>
        <v>2321.34</v>
      </c>
      <c r="Y39" s="310">
        <f t="shared" si="23"/>
        <v>764.50999999999965</v>
      </c>
      <c r="Z39" s="310">
        <f t="shared" si="23"/>
        <v>3972.4799999999991</v>
      </c>
      <c r="AA39" s="323">
        <f t="shared" si="23"/>
        <v>0</v>
      </c>
      <c r="AB39" s="320">
        <f t="shared" si="23"/>
        <v>0.99999999999999989</v>
      </c>
      <c r="AC39" s="323">
        <f t="shared" si="23"/>
        <v>6645.6999999999989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301">
        <f t="shared" ref="L40:AC40" si="24">L3-L39</f>
        <v>0</v>
      </c>
      <c r="M40" s="301">
        <f t="shared" si="24"/>
        <v>0</v>
      </c>
      <c r="N40" s="301">
        <f t="shared" si="24"/>
        <v>0</v>
      </c>
      <c r="O40" s="301">
        <f t="shared" si="24"/>
        <v>0</v>
      </c>
      <c r="P40" s="301">
        <f t="shared" si="24"/>
        <v>0</v>
      </c>
      <c r="Q40" s="301">
        <f t="shared" si="24"/>
        <v>0</v>
      </c>
      <c r="R40" s="108">
        <f t="shared" si="24"/>
        <v>0</v>
      </c>
      <c r="S40" s="108">
        <f t="shared" si="24"/>
        <v>0</v>
      </c>
      <c r="T40" s="108">
        <f t="shared" si="24"/>
        <v>0</v>
      </c>
      <c r="U40" s="108">
        <f t="shared" si="24"/>
        <v>0</v>
      </c>
      <c r="V40" s="108">
        <f t="shared" si="24"/>
        <v>0</v>
      </c>
      <c r="W40" s="108">
        <f t="shared" si="24"/>
        <v>0</v>
      </c>
      <c r="X40" s="108">
        <f t="shared" si="24"/>
        <v>0</v>
      </c>
      <c r="Y40" s="108">
        <f t="shared" si="24"/>
        <v>0</v>
      </c>
      <c r="Z40" s="108">
        <f t="shared" si="24"/>
        <v>0</v>
      </c>
      <c r="AA40" s="108">
        <f t="shared" si="24"/>
        <v>0</v>
      </c>
      <c r="AB40" s="108">
        <f t="shared" si="24"/>
        <v>-0.99999999999999989</v>
      </c>
      <c r="AC40" s="108">
        <f t="shared" si="24"/>
        <v>0</v>
      </c>
    </row>
    <row r="41" spans="2:33" x14ac:dyDescent="0.25">
      <c r="C41" s="17">
        <v>43717</v>
      </c>
      <c r="D41" s="23"/>
      <c r="E41" s="23"/>
      <c r="F41" s="23"/>
      <c r="G41" s="18"/>
      <c r="H41" s="18">
        <v>50893.35</v>
      </c>
      <c r="I41" s="18"/>
      <c r="J41" s="42"/>
      <c r="K41" s="238"/>
      <c r="L41" s="302">
        <v>3872.3</v>
      </c>
      <c r="M41" s="302">
        <v>905.65</v>
      </c>
      <c r="N41" s="302">
        <v>1253.04</v>
      </c>
      <c r="O41" s="302">
        <v>229.72</v>
      </c>
      <c r="P41" s="302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x14ac:dyDescent="0.25">
      <c r="C42" s="19">
        <v>43728</v>
      </c>
      <c r="D42" s="24"/>
      <c r="E42" s="24"/>
      <c r="F42" s="24"/>
      <c r="H42" s="2">
        <v>58065.96</v>
      </c>
      <c r="J42" s="43">
        <v>0</v>
      </c>
      <c r="K42" s="238"/>
      <c r="L42" s="302">
        <v>3698.62</v>
      </c>
      <c r="M42" s="302">
        <v>865.02</v>
      </c>
      <c r="N42" s="302">
        <v>1101.1400000000001</v>
      </c>
      <c r="O42" s="302">
        <v>201.86</v>
      </c>
      <c r="P42" s="302"/>
      <c r="Q42" s="114"/>
      <c r="R42" s="114"/>
      <c r="S42" s="114"/>
      <c r="T42" s="114"/>
      <c r="U42" s="53"/>
      <c r="V42" s="159"/>
      <c r="W42" s="114"/>
      <c r="X42" s="114"/>
      <c r="Y42" s="114"/>
      <c r="Z42" s="114"/>
    </row>
    <row r="43" spans="2:33" x14ac:dyDescent="0.25">
      <c r="C43" s="19"/>
      <c r="D43" s="24"/>
      <c r="E43" s="24"/>
      <c r="F43" s="24"/>
      <c r="H43" s="2">
        <v>-1081.74</v>
      </c>
      <c r="J43" s="43"/>
      <c r="K43" s="238"/>
      <c r="L43" s="302"/>
      <c r="M43" s="302"/>
      <c r="N43" s="302"/>
      <c r="O43" s="302"/>
      <c r="P43" s="302"/>
      <c r="Q43" s="114"/>
      <c r="R43" s="114"/>
      <c r="S43" s="114"/>
      <c r="T43" s="114"/>
      <c r="U43" s="53"/>
      <c r="V43" s="159"/>
      <c r="W43" s="114"/>
      <c r="X43" s="114"/>
      <c r="Y43" s="114"/>
      <c r="Z43" s="114"/>
    </row>
    <row r="44" spans="2:33" ht="15.75" thickBot="1" x14ac:dyDescent="0.3">
      <c r="C44" s="19"/>
      <c r="D44" s="24"/>
      <c r="E44" s="24"/>
      <c r="F44" s="24"/>
      <c r="H44" s="2">
        <f>K53</f>
        <v>12958.46</v>
      </c>
      <c r="J44" s="43"/>
      <c r="K44" s="238"/>
      <c r="L44" s="302"/>
      <c r="M44" s="302"/>
      <c r="N44" s="302"/>
      <c r="O44" s="302"/>
      <c r="P44" s="302"/>
      <c r="Q44" s="114"/>
      <c r="R44" s="114"/>
      <c r="S44" s="114"/>
      <c r="T44" s="114"/>
      <c r="U44" s="101"/>
      <c r="V44" s="159"/>
      <c r="W44" s="114"/>
      <c r="X44" s="114"/>
      <c r="Y44" s="114"/>
      <c r="Z44" s="114"/>
    </row>
    <row r="45" spans="2:33" ht="15.75" thickBot="1" x14ac:dyDescent="0.3">
      <c r="C45" s="20"/>
      <c r="D45" s="20"/>
      <c r="E45" s="20"/>
      <c r="F45" s="20"/>
      <c r="G45" s="105"/>
      <c r="H45" s="236">
        <f>SUM(H41:H44)</f>
        <v>120836.03</v>
      </c>
      <c r="I45" s="5"/>
      <c r="J45" s="44"/>
      <c r="K45" s="239"/>
      <c r="L45" s="303">
        <f>SUM(L41:L42)</f>
        <v>7570.92</v>
      </c>
      <c r="M45" s="304">
        <f>SUM(M41:M42)</f>
        <v>1770.67</v>
      </c>
      <c r="N45" s="304">
        <f>SUM(N41:N42)</f>
        <v>2354.1800000000003</v>
      </c>
      <c r="O45" s="304">
        <f>SUM(O41:O42)</f>
        <v>431.58000000000004</v>
      </c>
      <c r="P45" s="305">
        <f>SUM(P41:P42)</f>
        <v>0</v>
      </c>
      <c r="Q45" s="114"/>
      <c r="R45" s="114"/>
      <c r="S45" s="114"/>
      <c r="T45" s="114"/>
      <c r="U45" s="114"/>
      <c r="V45" s="159"/>
      <c r="W45" s="114"/>
      <c r="X45" s="114"/>
      <c r="Y45" s="114"/>
      <c r="Z45" s="114"/>
    </row>
    <row r="46" spans="2:33" x14ac:dyDescent="0.25">
      <c r="H46" s="53">
        <f>H39-H45</f>
        <v>91740.570000000036</v>
      </c>
      <c r="L46" s="301"/>
      <c r="M46" s="301"/>
      <c r="N46" s="301"/>
      <c r="O46" s="301"/>
      <c r="P46" s="301"/>
      <c r="Q46" s="114"/>
      <c r="R46" s="114"/>
      <c r="S46" s="114"/>
      <c r="T46" s="114"/>
      <c r="U46" s="114"/>
      <c r="V46" s="159"/>
      <c r="W46" s="114"/>
      <c r="X46" s="114"/>
      <c r="Y46" s="114"/>
      <c r="Z46" s="114"/>
      <c r="AG46">
        <v>114.44</v>
      </c>
    </row>
    <row r="47" spans="2:33" x14ac:dyDescent="0.25">
      <c r="I47" s="2" t="s">
        <v>64</v>
      </c>
      <c r="J47" s="12" t="s">
        <v>65</v>
      </c>
      <c r="L47" s="306"/>
      <c r="M47" s="306"/>
      <c r="N47" s="306"/>
      <c r="O47" s="306"/>
      <c r="AG47">
        <v>151.65</v>
      </c>
    </row>
    <row r="48" spans="2:33" ht="15.75" thickBot="1" x14ac:dyDescent="0.3">
      <c r="F48" s="29">
        <f>I35-H44</f>
        <v>94919.120000000024</v>
      </c>
      <c r="L48" s="306"/>
      <c r="M48" s="306"/>
      <c r="N48" s="306"/>
      <c r="O48" s="306"/>
    </row>
    <row r="49" spans="8:15" x14ac:dyDescent="0.25">
      <c r="H49" s="17"/>
      <c r="I49" s="2">
        <v>2769.23</v>
      </c>
      <c r="J49" s="31">
        <v>3168.96</v>
      </c>
      <c r="K49" s="2"/>
      <c r="L49" s="306"/>
      <c r="M49" s="306"/>
      <c r="N49" s="307"/>
      <c r="O49" s="307"/>
    </row>
    <row r="50" spans="8:15" x14ac:dyDescent="0.25">
      <c r="H50" s="19"/>
      <c r="I50" s="2">
        <v>2769.23</v>
      </c>
      <c r="J50" s="31">
        <v>3168.96</v>
      </c>
      <c r="K50" s="2"/>
      <c r="L50" s="306"/>
      <c r="M50" s="306"/>
      <c r="N50" s="307"/>
      <c r="O50" s="307"/>
    </row>
    <row r="51" spans="8:15" x14ac:dyDescent="0.25">
      <c r="J51" s="2">
        <v>0.34</v>
      </c>
      <c r="K51" s="2"/>
      <c r="L51" s="306"/>
      <c r="M51" s="306"/>
      <c r="N51" s="306"/>
      <c r="O51" s="306"/>
    </row>
    <row r="52" spans="8:15" ht="15.75" thickBot="1" x14ac:dyDescent="0.3">
      <c r="J52" s="2">
        <v>1081.74</v>
      </c>
      <c r="K52" s="2"/>
    </row>
    <row r="53" spans="8:15" ht="15.75" thickBot="1" x14ac:dyDescent="0.3">
      <c r="I53" s="241">
        <f>SUM(I49:I52)</f>
        <v>5538.46</v>
      </c>
      <c r="J53" s="242">
        <f>SUM(J49:J52)</f>
        <v>7420</v>
      </c>
      <c r="K53" s="2">
        <f>SUM(I53:J53)</f>
        <v>12958.46</v>
      </c>
    </row>
    <row r="55" spans="8:15" x14ac:dyDescent="0.25">
      <c r="J55" s="270">
        <f>J53+'May 2019 Alloc '!I60+'April 2019 Alloc  '!H44+'April 2019 Alloc  '!H45</f>
        <v>30659.03</v>
      </c>
    </row>
  </sheetData>
  <pageMargins left="0" right="0" top="0.75" bottom="0.75" header="0.3" footer="0.3"/>
  <pageSetup paperSize="5" scale="52" orientation="landscape" r:id="rId1"/>
  <headerFooter>
    <oddFooter>&amp;L&amp;Z&amp;F &amp;D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51B9-C870-4DA8-84DB-A52447FFA65A}">
  <sheetPr>
    <tabColor theme="5" tint="0.39997558519241921"/>
    <pageSetUpPr fitToPage="1"/>
  </sheetPr>
  <dimension ref="B1:AG60"/>
  <sheetViews>
    <sheetView topLeftCell="B1" zoomScale="85" zoomScaleNormal="85" workbookViewId="0">
      <selection activeCell="I60" sqref="I60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hidden="1" customWidth="1"/>
    <col min="5" max="5" width="8.140625" hidden="1" customWidth="1"/>
    <col min="6" max="6" width="12.7109375" hidden="1" customWidth="1"/>
    <col min="7" max="7" width="12.7109375" style="2" hidden="1" customWidth="1"/>
    <col min="8" max="9" width="13.85546875" style="2" customWidth="1"/>
    <col min="10" max="11" width="12.140625" style="12" customWidth="1"/>
    <col min="12" max="12" width="11.28515625" style="288" customWidth="1"/>
    <col min="13" max="13" width="13.42578125" style="288" customWidth="1"/>
    <col min="14" max="14" width="13.28515625" style="308" customWidth="1"/>
    <col min="15" max="15" width="15.7109375" style="308" customWidth="1"/>
    <col min="16" max="16" width="11.7109375" style="288" customWidth="1"/>
    <col min="17" max="17" width="16.42578125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style="159" customWidth="1"/>
    <col min="28" max="28" width="8.5703125" style="159" customWidth="1"/>
    <col min="29" max="29" width="11.85546875" style="159" customWidth="1"/>
    <col min="30" max="30" width="12.7109375" customWidth="1"/>
  </cols>
  <sheetData>
    <row r="1" spans="2:30" ht="15.75" thickBot="1" x14ac:dyDescent="0.3">
      <c r="B1" s="2" t="s">
        <v>113</v>
      </c>
      <c r="L1" s="288">
        <v>7251</v>
      </c>
      <c r="M1" s="288">
        <v>7252</v>
      </c>
      <c r="N1" s="288">
        <v>7253</v>
      </c>
      <c r="O1" s="288">
        <v>7254</v>
      </c>
      <c r="P1" s="288">
        <v>7260.1</v>
      </c>
      <c r="Q1" s="288">
        <v>8140</v>
      </c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157">
        <v>7248</v>
      </c>
    </row>
    <row r="2" spans="2:30" ht="17.25" thickBot="1" x14ac:dyDescent="0.4">
      <c r="L2" s="289" t="s">
        <v>1</v>
      </c>
      <c r="M2" s="289" t="s">
        <v>2</v>
      </c>
      <c r="N2" s="289" t="s">
        <v>3</v>
      </c>
      <c r="O2" s="289" t="s">
        <v>4</v>
      </c>
      <c r="P2" s="289" t="s">
        <v>5</v>
      </c>
      <c r="Q2" s="289" t="s">
        <v>114</v>
      </c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90">
        <v>7432.33</v>
      </c>
      <c r="M3" s="290">
        <v>1738.27</v>
      </c>
      <c r="N3" s="290">
        <v>1878</v>
      </c>
      <c r="O3" s="290">
        <v>399.73</v>
      </c>
      <c r="P3" s="291">
        <v>1535.69</v>
      </c>
      <c r="Q3" s="291">
        <v>300.57</v>
      </c>
      <c r="R3" s="312">
        <v>3006</v>
      </c>
      <c r="S3" s="313">
        <v>3920</v>
      </c>
      <c r="T3" s="314">
        <v>676.56</v>
      </c>
      <c r="U3" s="291">
        <v>879.99</v>
      </c>
      <c r="V3" s="312">
        <v>312</v>
      </c>
      <c r="W3" s="314">
        <v>1393.15</v>
      </c>
      <c r="X3" s="314">
        <v>2321.34</v>
      </c>
      <c r="Y3" s="291">
        <v>764.51</v>
      </c>
      <c r="Z3" s="312">
        <v>3972.48</v>
      </c>
      <c r="AA3" s="311"/>
      <c r="AB3" s="315"/>
      <c r="AC3" s="324">
        <v>6645.7</v>
      </c>
      <c r="AD3" s="2"/>
    </row>
    <row r="4" spans="2:30" x14ac:dyDescent="0.25">
      <c r="L4" s="292">
        <v>1</v>
      </c>
      <c r="M4" s="292">
        <v>2</v>
      </c>
      <c r="N4" s="292">
        <v>3</v>
      </c>
      <c r="O4" s="292">
        <v>4</v>
      </c>
      <c r="P4" s="292">
        <v>5</v>
      </c>
      <c r="Q4" s="292">
        <v>6</v>
      </c>
      <c r="R4" s="292">
        <v>7</v>
      </c>
      <c r="S4" s="292">
        <v>8</v>
      </c>
      <c r="T4" s="292">
        <v>9</v>
      </c>
      <c r="U4" s="292">
        <v>10</v>
      </c>
      <c r="V4" s="292">
        <v>11</v>
      </c>
      <c r="W4" s="292">
        <v>12</v>
      </c>
      <c r="X4" s="292">
        <v>13</v>
      </c>
      <c r="Y4" s="292">
        <v>14</v>
      </c>
      <c r="Z4" s="292">
        <v>15</v>
      </c>
      <c r="AA4" s="218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92"/>
      <c r="M5" s="292"/>
      <c r="N5" s="292"/>
      <c r="O5" s="292"/>
      <c r="P5" s="292"/>
      <c r="Q5" s="292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317">
        <v>0</v>
      </c>
      <c r="I6" s="318"/>
      <c r="J6" s="118">
        <f t="shared" ref="J6:J21" si="0">H6/$I$35</f>
        <v>0</v>
      </c>
      <c r="K6" s="118">
        <f>H6/$I$37</f>
        <v>0</v>
      </c>
      <c r="L6" s="292">
        <f>J6*$L$3</f>
        <v>0</v>
      </c>
      <c r="M6" s="292">
        <f>J6*$M$3</f>
        <v>0</v>
      </c>
      <c r="N6" s="292">
        <f>J6*$N$3</f>
        <v>0</v>
      </c>
      <c r="O6" s="292">
        <f>J6*$O$3</f>
        <v>0</v>
      </c>
      <c r="P6" s="292">
        <f>J6*$P$3</f>
        <v>0</v>
      </c>
      <c r="Q6" s="292">
        <f>K6*$Q$3</f>
        <v>0</v>
      </c>
      <c r="R6" s="309">
        <f>K6*$R$3</f>
        <v>0</v>
      </c>
      <c r="S6" s="309">
        <f>K6*$S$3</f>
        <v>0</v>
      </c>
      <c r="T6" s="309">
        <f>K6*$T$3</f>
        <v>0</v>
      </c>
      <c r="U6" s="309">
        <f>K6*$U$3</f>
        <v>0</v>
      </c>
      <c r="V6" s="309">
        <f>K6*$V$3</f>
        <v>0</v>
      </c>
      <c r="W6" s="309">
        <f>K6*$W$3</f>
        <v>0</v>
      </c>
      <c r="X6" s="309">
        <f>K6*$X$3</f>
        <v>0</v>
      </c>
      <c r="Y6" s="309">
        <f>K6*$Y$3</f>
        <v>0</v>
      </c>
      <c r="Z6" s="309">
        <f>K6*$Z$3</f>
        <v>0</v>
      </c>
      <c r="AA6" s="221"/>
      <c r="AB6" s="226">
        <f t="shared" ref="AB6:AB21" si="1">H6/$H$39</f>
        <v>0</v>
      </c>
      <c r="AC6" s="261">
        <f>AB6*$AC$3</f>
        <v>0</v>
      </c>
    </row>
    <row r="7" spans="2:30" x14ac:dyDescent="0.25">
      <c r="B7" s="1">
        <v>111</v>
      </c>
      <c r="C7" t="s">
        <v>20</v>
      </c>
      <c r="D7" s="2"/>
      <c r="H7" s="214">
        <v>9175.98</v>
      </c>
      <c r="I7" s="118"/>
      <c r="J7" s="118">
        <f t="shared" si="0"/>
        <v>7.4231873177771815E-2</v>
      </c>
      <c r="K7" s="118">
        <f t="shared" ref="K7:K37" si="2">H7/$I$37</f>
        <v>6.7725017525436415E-2</v>
      </c>
      <c r="L7" s="293">
        <f t="shared" ref="L7:L35" si="3">J7*$L$3</f>
        <v>551.71577797534883</v>
      </c>
      <c r="M7" s="293">
        <f t="shared" ref="M7:M35" si="4">J7*$M$3</f>
        <v>129.03503818872542</v>
      </c>
      <c r="N7" s="293">
        <f t="shared" ref="N7:N35" si="5">J7*$N$3</f>
        <v>139.40745782785547</v>
      </c>
      <c r="O7" s="293">
        <f t="shared" ref="O7:O35" si="6">J7*$O$3</f>
        <v>29.672706665350727</v>
      </c>
      <c r="P7" s="293">
        <f t="shared" ref="P7:P35" si="7">J7*$P$3</f>
        <v>113.9971453203724</v>
      </c>
      <c r="Q7" s="292">
        <f t="shared" ref="Q7:Q36" si="8">K7*$Q$3</f>
        <v>20.356108517620424</v>
      </c>
      <c r="R7" s="309">
        <f t="shared" ref="R7:R37" si="9">K7*$R$3</f>
        <v>203.58140268146187</v>
      </c>
      <c r="S7" s="309">
        <f t="shared" ref="S7:S37" si="10">K7*$S$3</f>
        <v>265.48206869971074</v>
      </c>
      <c r="T7" s="309">
        <f t="shared" ref="T7:T37" si="11">K7*$T$3</f>
        <v>45.820037857009254</v>
      </c>
      <c r="U7" s="309">
        <f t="shared" ref="U7:U37" si="12">K7*$U$3</f>
        <v>59.597338172208794</v>
      </c>
      <c r="V7" s="309">
        <f t="shared" ref="V7:V37" si="13">K7*$V$3</f>
        <v>21.130205467936161</v>
      </c>
      <c r="W7" s="309">
        <f t="shared" ref="W7:W37" si="14">K7*$W$3</f>
        <v>94.351108165561755</v>
      </c>
      <c r="X7" s="309">
        <f t="shared" ref="X7:X37" si="15">K7*$X$3</f>
        <v>157.21279218249657</v>
      </c>
      <c r="Y7" s="309">
        <f t="shared" ref="Y7:Y37" si="16">K7*$Y$3</f>
        <v>51.776453148371395</v>
      </c>
      <c r="Z7" s="309">
        <f t="shared" ref="Z7:Z37" si="17">K7*$Z$3</f>
        <v>269.03627761944563</v>
      </c>
      <c r="AA7" s="221"/>
      <c r="AB7" s="226">
        <f t="shared" si="1"/>
        <v>3.979645819424131E-2</v>
      </c>
      <c r="AC7" s="261">
        <f t="shared" ref="AC7:AC35" si="18">AB7*$AC$3</f>
        <v>264.47532222146947</v>
      </c>
    </row>
    <row r="8" spans="2:30" x14ac:dyDescent="0.25">
      <c r="B8" s="1" t="s">
        <v>23</v>
      </c>
      <c r="C8" t="s">
        <v>24</v>
      </c>
      <c r="D8" s="2"/>
      <c r="H8" s="214">
        <v>2314.8200000000002</v>
      </c>
      <c r="I8" s="118"/>
      <c r="J8" s="118">
        <f t="shared" si="0"/>
        <v>1.8726438447922704E-2</v>
      </c>
      <c r="K8" s="118">
        <f t="shared" si="2"/>
        <v>1.7084957145528951E-2</v>
      </c>
      <c r="L8" s="292">
        <f>J8*$L$3</f>
        <v>139.18107026964935</v>
      </c>
      <c r="M8" s="292">
        <f>J8*$M$3</f>
        <v>32.551606160870598</v>
      </c>
      <c r="N8" s="292">
        <f>J8*$N$3</f>
        <v>35.168251405198838</v>
      </c>
      <c r="O8" s="292">
        <f>J8*$O$3</f>
        <v>7.4855192407881423</v>
      </c>
      <c r="P8" s="292">
        <f>J8*$P$3</f>
        <v>28.758004260090416</v>
      </c>
      <c r="Q8" s="292">
        <f t="shared" si="8"/>
        <v>5.1352255692316371</v>
      </c>
      <c r="R8" s="309">
        <f>K8*$R$3</f>
        <v>51.357381179460027</v>
      </c>
      <c r="S8" s="309">
        <f>K8*$S$3</f>
        <v>66.973032010473489</v>
      </c>
      <c r="T8" s="309">
        <f>K8*$T$3</f>
        <v>11.558998606379067</v>
      </c>
      <c r="U8" s="309">
        <f>K8*$U$3</f>
        <v>15.034591438494022</v>
      </c>
      <c r="V8" s="309">
        <f>K8*$V$3</f>
        <v>5.3305066294050327</v>
      </c>
      <c r="W8" s="309">
        <f>K8*$W$3</f>
        <v>23.801908047293661</v>
      </c>
      <c r="X8" s="309">
        <f>K8*$X$3</f>
        <v>39.659994420202182</v>
      </c>
      <c r="Y8" s="309">
        <f>K8*$Y$3</f>
        <v>13.061620587328338</v>
      </c>
      <c r="Z8" s="309">
        <f>K8*$Z$3</f>
        <v>67.869650561470849</v>
      </c>
      <c r="AA8" s="221"/>
      <c r="AB8" s="226">
        <f t="shared" si="1"/>
        <v>1.0039433102207469E-2</v>
      </c>
      <c r="AC8" s="261">
        <f>AB8*$AC$3</f>
        <v>66.719060567340179</v>
      </c>
    </row>
    <row r="9" spans="2:30" x14ac:dyDescent="0.25">
      <c r="B9" s="1" t="s">
        <v>21</v>
      </c>
      <c r="C9" t="s">
        <v>22</v>
      </c>
      <c r="D9" s="2"/>
      <c r="H9" s="214">
        <v>0</v>
      </c>
      <c r="I9" s="118"/>
      <c r="J9" s="118">
        <f t="shared" si="0"/>
        <v>0</v>
      </c>
      <c r="K9" s="118">
        <f t="shared" si="2"/>
        <v>0</v>
      </c>
      <c r="L9" s="292">
        <f>J9*$L$3</f>
        <v>0</v>
      </c>
      <c r="M9" s="292">
        <f>J9*$M$3</f>
        <v>0</v>
      </c>
      <c r="N9" s="292">
        <f>J9*$N$3</f>
        <v>0</v>
      </c>
      <c r="O9" s="292">
        <f>J9*$O$3</f>
        <v>0</v>
      </c>
      <c r="P9" s="292">
        <f>J9*$P$3</f>
        <v>0</v>
      </c>
      <c r="Q9" s="292">
        <f t="shared" si="8"/>
        <v>0</v>
      </c>
      <c r="R9" s="309">
        <f t="shared" si="9"/>
        <v>0</v>
      </c>
      <c r="S9" s="309">
        <f t="shared" si="10"/>
        <v>0</v>
      </c>
      <c r="T9" s="309">
        <f t="shared" si="11"/>
        <v>0</v>
      </c>
      <c r="U9" s="309">
        <f t="shared" si="12"/>
        <v>0</v>
      </c>
      <c r="V9" s="309">
        <f t="shared" si="13"/>
        <v>0</v>
      </c>
      <c r="W9" s="309">
        <f t="shared" si="14"/>
        <v>0</v>
      </c>
      <c r="X9" s="309">
        <f t="shared" si="15"/>
        <v>0</v>
      </c>
      <c r="Y9" s="309">
        <f t="shared" si="16"/>
        <v>0</v>
      </c>
      <c r="Z9" s="309">
        <f t="shared" si="17"/>
        <v>0</v>
      </c>
      <c r="AA9" s="221"/>
      <c r="AB9" s="226">
        <f t="shared" si="1"/>
        <v>0</v>
      </c>
      <c r="AC9" s="261">
        <f>AB9*$AC$3</f>
        <v>0</v>
      </c>
    </row>
    <row r="10" spans="2:30" x14ac:dyDescent="0.25">
      <c r="B10" s="1" t="s">
        <v>25</v>
      </c>
      <c r="C10" t="s">
        <v>26</v>
      </c>
      <c r="D10" s="2"/>
      <c r="H10" s="214">
        <v>0</v>
      </c>
      <c r="I10" s="118"/>
      <c r="J10" s="118">
        <f t="shared" si="0"/>
        <v>0</v>
      </c>
      <c r="K10" s="118">
        <f t="shared" si="2"/>
        <v>0</v>
      </c>
      <c r="L10" s="292">
        <f t="shared" si="3"/>
        <v>0</v>
      </c>
      <c r="M10" s="292">
        <f t="shared" si="4"/>
        <v>0</v>
      </c>
      <c r="N10" s="292">
        <f t="shared" si="5"/>
        <v>0</v>
      </c>
      <c r="O10" s="292">
        <f t="shared" si="6"/>
        <v>0</v>
      </c>
      <c r="P10" s="292">
        <f t="shared" si="7"/>
        <v>0</v>
      </c>
      <c r="Q10" s="292">
        <f t="shared" si="8"/>
        <v>0</v>
      </c>
      <c r="R10" s="309">
        <f t="shared" si="9"/>
        <v>0</v>
      </c>
      <c r="S10" s="309">
        <f t="shared" si="10"/>
        <v>0</v>
      </c>
      <c r="T10" s="309">
        <f t="shared" si="11"/>
        <v>0</v>
      </c>
      <c r="U10" s="309">
        <f t="shared" si="12"/>
        <v>0</v>
      </c>
      <c r="V10" s="309">
        <f t="shared" si="13"/>
        <v>0</v>
      </c>
      <c r="W10" s="309">
        <f t="shared" si="14"/>
        <v>0</v>
      </c>
      <c r="X10" s="309">
        <f t="shared" si="15"/>
        <v>0</v>
      </c>
      <c r="Y10" s="309">
        <f t="shared" si="16"/>
        <v>0</v>
      </c>
      <c r="Z10" s="309">
        <f t="shared" si="17"/>
        <v>0</v>
      </c>
      <c r="AA10" s="221"/>
      <c r="AB10" s="226">
        <f t="shared" si="1"/>
        <v>0</v>
      </c>
      <c r="AC10" s="261">
        <f t="shared" si="18"/>
        <v>0</v>
      </c>
    </row>
    <row r="11" spans="2:30" x14ac:dyDescent="0.25">
      <c r="B11" s="1">
        <v>112</v>
      </c>
      <c r="C11" t="s">
        <v>27</v>
      </c>
      <c r="D11" s="2"/>
      <c r="H11" s="214">
        <v>25477.99</v>
      </c>
      <c r="I11" s="118"/>
      <c r="J11" s="118">
        <f t="shared" si="0"/>
        <v>0.20611192728237626</v>
      </c>
      <c r="K11" s="118">
        <f t="shared" si="2"/>
        <v>0.18804501745458185</v>
      </c>
      <c r="L11" s="292">
        <f t="shared" si="3"/>
        <v>1531.8918604986236</v>
      </c>
      <c r="M11" s="292">
        <f t="shared" si="4"/>
        <v>358.27817983713618</v>
      </c>
      <c r="N11" s="292">
        <f t="shared" si="5"/>
        <v>387.07819943630261</v>
      </c>
      <c r="O11" s="292">
        <f t="shared" si="6"/>
        <v>82.389120692584271</v>
      </c>
      <c r="P11" s="292">
        <f t="shared" si="7"/>
        <v>316.52402560827244</v>
      </c>
      <c r="Q11" s="292">
        <f t="shared" si="8"/>
        <v>56.520690896323664</v>
      </c>
      <c r="R11" s="309">
        <f t="shared" si="9"/>
        <v>565.26332246847301</v>
      </c>
      <c r="S11" s="309">
        <f t="shared" si="10"/>
        <v>737.1364684219609</v>
      </c>
      <c r="T11" s="309">
        <f t="shared" si="11"/>
        <v>127.22373700907188</v>
      </c>
      <c r="U11" s="309">
        <f t="shared" si="12"/>
        <v>165.47773490985747</v>
      </c>
      <c r="V11" s="309">
        <f t="shared" si="13"/>
        <v>58.670045445829537</v>
      </c>
      <c r="W11" s="309">
        <f t="shared" si="14"/>
        <v>261.97491606685071</v>
      </c>
      <c r="X11" s="309">
        <f t="shared" si="15"/>
        <v>436.51642081801907</v>
      </c>
      <c r="Y11" s="309">
        <f t="shared" si="16"/>
        <v>143.76229629420237</v>
      </c>
      <c r="Z11" s="309">
        <f t="shared" si="17"/>
        <v>747.00507093797728</v>
      </c>
      <c r="AA11" s="221"/>
      <c r="AB11" s="226">
        <f t="shared" si="1"/>
        <v>0.11049868939429885</v>
      </c>
      <c r="AC11" s="261">
        <f t="shared" si="18"/>
        <v>734.3411401076919</v>
      </c>
    </row>
    <row r="12" spans="2:30" ht="15.75" thickBot="1" x14ac:dyDescent="0.3">
      <c r="B12" s="1">
        <v>114</v>
      </c>
      <c r="C12" t="s">
        <v>28</v>
      </c>
      <c r="D12" s="2"/>
      <c r="H12" s="214">
        <v>10446.9</v>
      </c>
      <c r="I12" s="118"/>
      <c r="J12" s="118">
        <f t="shared" si="0"/>
        <v>8.4513365972993013E-2</v>
      </c>
      <c r="K12" s="118">
        <f t="shared" si="2"/>
        <v>7.7105277647344678E-2</v>
      </c>
      <c r="L12" s="292">
        <f t="shared" si="3"/>
        <v>628.13122532205512</v>
      </c>
      <c r="M12" s="292">
        <f t="shared" si="4"/>
        <v>146.90704866987457</v>
      </c>
      <c r="N12" s="292">
        <f t="shared" si="5"/>
        <v>158.71610129728089</v>
      </c>
      <c r="O12" s="292">
        <f t="shared" si="6"/>
        <v>33.782527780384498</v>
      </c>
      <c r="P12" s="292">
        <f t="shared" si="7"/>
        <v>129.78633099106565</v>
      </c>
      <c r="Q12" s="292">
        <f t="shared" si="8"/>
        <v>23.175533302462391</v>
      </c>
      <c r="R12" s="309">
        <f t="shared" si="9"/>
        <v>231.7784646079181</v>
      </c>
      <c r="S12" s="309">
        <f t="shared" si="10"/>
        <v>302.25268837759114</v>
      </c>
      <c r="T12" s="309">
        <f t="shared" si="11"/>
        <v>52.166346645087508</v>
      </c>
      <c r="U12" s="309">
        <f t="shared" si="12"/>
        <v>67.851873276886849</v>
      </c>
      <c r="V12" s="309">
        <f t="shared" si="13"/>
        <v>24.056846625971538</v>
      </c>
      <c r="W12" s="309">
        <f t="shared" si="14"/>
        <v>107.41921755439824</v>
      </c>
      <c r="X12" s="309">
        <f t="shared" si="15"/>
        <v>178.98756521388711</v>
      </c>
      <c r="Y12" s="309">
        <f t="shared" si="16"/>
        <v>58.947755814171479</v>
      </c>
      <c r="Z12" s="309">
        <f t="shared" si="17"/>
        <v>306.29917334852377</v>
      </c>
      <c r="AA12" s="221"/>
      <c r="AB12" s="226">
        <f t="shared" si="1"/>
        <v>4.5308470496821004E-2</v>
      </c>
      <c r="AC12" s="261">
        <f t="shared" si="18"/>
        <v>301.10650238072333</v>
      </c>
    </row>
    <row r="13" spans="2:30" ht="15.75" thickBot="1" x14ac:dyDescent="0.3">
      <c r="B13" s="1">
        <v>222</v>
      </c>
      <c r="C13" t="s">
        <v>29</v>
      </c>
      <c r="D13" s="2"/>
      <c r="H13" s="213">
        <v>2480.65</v>
      </c>
      <c r="I13" s="118"/>
      <c r="J13" s="118">
        <f t="shared" si="0"/>
        <v>2.0067970527228664E-2</v>
      </c>
      <c r="K13" s="118">
        <f t="shared" si="2"/>
        <v>1.8308896131473028E-2</v>
      </c>
      <c r="L13" s="292">
        <f t="shared" si="3"/>
        <v>149.15177938863741</v>
      </c>
      <c r="M13" s="292">
        <f t="shared" si="4"/>
        <v>34.883551128365767</v>
      </c>
      <c r="N13" s="292">
        <f t="shared" si="5"/>
        <v>37.687648650135429</v>
      </c>
      <c r="O13" s="292">
        <f t="shared" si="6"/>
        <v>8.0217698588491135</v>
      </c>
      <c r="P13" s="292">
        <f t="shared" si="7"/>
        <v>30.818181658959787</v>
      </c>
      <c r="Q13" s="292">
        <f t="shared" si="8"/>
        <v>5.5031049102368481</v>
      </c>
      <c r="R13" s="309">
        <f t="shared" si="9"/>
        <v>55.036541771207922</v>
      </c>
      <c r="S13" s="309">
        <f t="shared" si="10"/>
        <v>71.770872835374277</v>
      </c>
      <c r="T13" s="309">
        <f t="shared" si="11"/>
        <v>12.387066766709392</v>
      </c>
      <c r="U13" s="309">
        <f t="shared" si="12"/>
        <v>16.111645506734952</v>
      </c>
      <c r="V13" s="309">
        <f t="shared" si="13"/>
        <v>5.7123755930195852</v>
      </c>
      <c r="W13" s="309">
        <f t="shared" si="14"/>
        <v>25.50703864556165</v>
      </c>
      <c r="X13" s="309">
        <f t="shared" si="15"/>
        <v>42.501172945833602</v>
      </c>
      <c r="Y13" s="309">
        <f t="shared" si="16"/>
        <v>13.997334181472445</v>
      </c>
      <c r="Z13" s="309">
        <f t="shared" si="17"/>
        <v>72.731723704353982</v>
      </c>
      <c r="AA13" s="221"/>
      <c r="AB13" s="226">
        <f t="shared" si="1"/>
        <v>1.0758642021837964E-2</v>
      </c>
      <c r="AC13" s="261">
        <f t="shared" si="18"/>
        <v>71.498707284528564</v>
      </c>
    </row>
    <row r="14" spans="2:30" ht="15.75" thickBot="1" x14ac:dyDescent="0.3">
      <c r="B14" s="1">
        <v>223</v>
      </c>
      <c r="C14" t="s">
        <v>30</v>
      </c>
      <c r="D14" s="2"/>
      <c r="H14" s="215">
        <v>0</v>
      </c>
      <c r="I14" s="115"/>
      <c r="J14" s="118">
        <f t="shared" si="0"/>
        <v>0</v>
      </c>
      <c r="K14" s="118">
        <f t="shared" si="2"/>
        <v>0</v>
      </c>
      <c r="L14" s="293">
        <f t="shared" si="3"/>
        <v>0</v>
      </c>
      <c r="M14" s="293">
        <f t="shared" si="4"/>
        <v>0</v>
      </c>
      <c r="N14" s="293">
        <f t="shared" si="5"/>
        <v>0</v>
      </c>
      <c r="O14" s="293">
        <f t="shared" si="6"/>
        <v>0</v>
      </c>
      <c r="P14" s="293">
        <f t="shared" si="7"/>
        <v>0</v>
      </c>
      <c r="Q14" s="292">
        <f t="shared" si="8"/>
        <v>0</v>
      </c>
      <c r="R14" s="309">
        <f t="shared" si="9"/>
        <v>0</v>
      </c>
      <c r="S14" s="309">
        <f t="shared" si="10"/>
        <v>0</v>
      </c>
      <c r="T14" s="309">
        <f t="shared" si="11"/>
        <v>0</v>
      </c>
      <c r="U14" s="309">
        <f t="shared" si="12"/>
        <v>0</v>
      </c>
      <c r="V14" s="309">
        <f t="shared" si="13"/>
        <v>0</v>
      </c>
      <c r="W14" s="309">
        <f t="shared" si="14"/>
        <v>0</v>
      </c>
      <c r="X14" s="309">
        <f t="shared" si="15"/>
        <v>0</v>
      </c>
      <c r="Y14" s="309">
        <f t="shared" si="16"/>
        <v>0</v>
      </c>
      <c r="Z14" s="309">
        <f t="shared" si="17"/>
        <v>0</v>
      </c>
      <c r="AA14" s="225"/>
      <c r="AB14" s="215">
        <f t="shared" si="1"/>
        <v>0</v>
      </c>
      <c r="AC14" s="268">
        <f t="shared" si="18"/>
        <v>0</v>
      </c>
    </row>
    <row r="15" spans="2:30" x14ac:dyDescent="0.25">
      <c r="B15" s="1">
        <v>334</v>
      </c>
      <c r="C15" s="230" t="s">
        <v>73</v>
      </c>
      <c r="D15" s="231"/>
      <c r="E15" s="230"/>
      <c r="F15" s="230"/>
      <c r="G15" s="231"/>
      <c r="H15" s="118">
        <v>0</v>
      </c>
      <c r="I15" s="118"/>
      <c r="J15" s="118">
        <f t="shared" si="0"/>
        <v>0</v>
      </c>
      <c r="K15" s="118">
        <f t="shared" si="2"/>
        <v>0</v>
      </c>
      <c r="L15" s="292">
        <f>J15*$L$3</f>
        <v>0</v>
      </c>
      <c r="M15" s="292">
        <f>J15*$M$3</f>
        <v>0</v>
      </c>
      <c r="N15" s="292">
        <f>J15*$N$3</f>
        <v>0</v>
      </c>
      <c r="O15" s="292">
        <f>J15*$O$3</f>
        <v>0</v>
      </c>
      <c r="P15" s="292">
        <f>J15*$P$3</f>
        <v>0</v>
      </c>
      <c r="Q15" s="292">
        <f t="shared" si="8"/>
        <v>0</v>
      </c>
      <c r="R15" s="309">
        <f t="shared" si="9"/>
        <v>0</v>
      </c>
      <c r="S15" s="309">
        <f t="shared" si="10"/>
        <v>0</v>
      </c>
      <c r="T15" s="309">
        <f t="shared" si="11"/>
        <v>0</v>
      </c>
      <c r="U15" s="309">
        <f t="shared" si="12"/>
        <v>0</v>
      </c>
      <c r="V15" s="309">
        <f t="shared" si="13"/>
        <v>0</v>
      </c>
      <c r="W15" s="309">
        <f t="shared" si="14"/>
        <v>0</v>
      </c>
      <c r="X15" s="309">
        <f t="shared" si="15"/>
        <v>0</v>
      </c>
      <c r="Y15" s="309">
        <f t="shared" si="16"/>
        <v>0</v>
      </c>
      <c r="Z15" s="309">
        <f t="shared" si="17"/>
        <v>0</v>
      </c>
      <c r="AA15" s="221"/>
      <c r="AB15" s="226">
        <f t="shared" si="1"/>
        <v>0</v>
      </c>
      <c r="AC15" s="261">
        <f>AB15*$AC$3</f>
        <v>0</v>
      </c>
    </row>
    <row r="16" spans="2:30" x14ac:dyDescent="0.25">
      <c r="B16" s="1" t="s">
        <v>35</v>
      </c>
      <c r="C16" s="230" t="s">
        <v>36</v>
      </c>
      <c r="D16" s="231"/>
      <c r="E16" s="234"/>
      <c r="F16" s="234"/>
      <c r="G16" s="231"/>
      <c r="H16" s="118">
        <v>1150</v>
      </c>
      <c r="I16" s="318"/>
      <c r="J16" s="118">
        <f t="shared" si="0"/>
        <v>9.303273781594729E-3</v>
      </c>
      <c r="K16" s="118">
        <f t="shared" si="2"/>
        <v>8.4877876972543412E-3</v>
      </c>
      <c r="L16" s="292">
        <f t="shared" si="3"/>
        <v>69.145000825159954</v>
      </c>
      <c r="M16" s="292">
        <f t="shared" si="4"/>
        <v>16.17160171633267</v>
      </c>
      <c r="N16" s="292">
        <f t="shared" si="5"/>
        <v>17.4715481618349</v>
      </c>
      <c r="O16" s="292">
        <f t="shared" si="6"/>
        <v>3.7187976287168611</v>
      </c>
      <c r="P16" s="292">
        <f t="shared" si="7"/>
        <v>14.286944513657209</v>
      </c>
      <c r="Q16" s="292">
        <f t="shared" si="8"/>
        <v>2.5511743481637374</v>
      </c>
      <c r="R16" s="309">
        <f t="shared" si="9"/>
        <v>25.514289817946551</v>
      </c>
      <c r="S16" s="309">
        <f t="shared" si="10"/>
        <v>33.272127773237017</v>
      </c>
      <c r="T16" s="309">
        <f t="shared" si="11"/>
        <v>5.7424976444543967</v>
      </c>
      <c r="U16" s="309">
        <f t="shared" si="12"/>
        <v>7.4691682957068481</v>
      </c>
      <c r="V16" s="309">
        <f t="shared" si="13"/>
        <v>2.6481897615433545</v>
      </c>
      <c r="W16" s="309">
        <f t="shared" si="14"/>
        <v>11.824761430429886</v>
      </c>
      <c r="X16" s="309">
        <f t="shared" si="15"/>
        <v>19.703041093144392</v>
      </c>
      <c r="Y16" s="309">
        <f t="shared" si="16"/>
        <v>6.4889985724279162</v>
      </c>
      <c r="Z16" s="309">
        <f t="shared" si="17"/>
        <v>33.717566871588929</v>
      </c>
      <c r="AA16" s="221"/>
      <c r="AB16" s="226">
        <f t="shared" si="1"/>
        <v>4.9875791929992778E-3</v>
      </c>
      <c r="AC16" s="261">
        <f t="shared" si="18"/>
        <v>33.145955042915297</v>
      </c>
    </row>
    <row r="17" spans="2:29" x14ac:dyDescent="0.25">
      <c r="B17" s="1" t="s">
        <v>37</v>
      </c>
      <c r="C17" s="230" t="s">
        <v>38</v>
      </c>
      <c r="D17" s="231"/>
      <c r="E17" s="230"/>
      <c r="F17" s="230"/>
      <c r="G17" s="231"/>
      <c r="H17" s="15">
        <v>0</v>
      </c>
      <c r="I17" s="118"/>
      <c r="J17" s="118">
        <f t="shared" si="0"/>
        <v>0</v>
      </c>
      <c r="K17" s="118">
        <f t="shared" si="2"/>
        <v>0</v>
      </c>
      <c r="L17" s="292">
        <f t="shared" si="3"/>
        <v>0</v>
      </c>
      <c r="M17" s="292">
        <f t="shared" si="4"/>
        <v>0</v>
      </c>
      <c r="N17" s="292">
        <f t="shared" si="5"/>
        <v>0</v>
      </c>
      <c r="O17" s="292">
        <f t="shared" si="6"/>
        <v>0</v>
      </c>
      <c r="P17" s="292">
        <f t="shared" si="7"/>
        <v>0</v>
      </c>
      <c r="Q17" s="292">
        <f t="shared" si="8"/>
        <v>0</v>
      </c>
      <c r="R17" s="309">
        <f t="shared" si="9"/>
        <v>0</v>
      </c>
      <c r="S17" s="309">
        <f t="shared" si="10"/>
        <v>0</v>
      </c>
      <c r="T17" s="309">
        <f t="shared" si="11"/>
        <v>0</v>
      </c>
      <c r="U17" s="309">
        <f t="shared" si="12"/>
        <v>0</v>
      </c>
      <c r="V17" s="309">
        <f t="shared" si="13"/>
        <v>0</v>
      </c>
      <c r="W17" s="309">
        <f t="shared" si="14"/>
        <v>0</v>
      </c>
      <c r="X17" s="309">
        <f t="shared" si="15"/>
        <v>0</v>
      </c>
      <c r="Y17" s="309">
        <f t="shared" si="16"/>
        <v>0</v>
      </c>
      <c r="Z17" s="309">
        <f t="shared" si="17"/>
        <v>0</v>
      </c>
      <c r="AA17" s="221"/>
      <c r="AB17" s="226">
        <f t="shared" si="1"/>
        <v>0</v>
      </c>
      <c r="AC17" s="261">
        <f t="shared" si="18"/>
        <v>0</v>
      </c>
    </row>
    <row r="18" spans="2:29" x14ac:dyDescent="0.25">
      <c r="B18" s="1">
        <v>335</v>
      </c>
      <c r="C18" s="230" t="s">
        <v>39</v>
      </c>
      <c r="D18" s="231"/>
      <c r="E18" s="230"/>
      <c r="F18" s="230"/>
      <c r="G18" s="231"/>
      <c r="H18" s="118">
        <v>846.15</v>
      </c>
      <c r="I18" s="118"/>
      <c r="J18" s="118">
        <f t="shared" si="0"/>
        <v>6.8451870524316337E-3</v>
      </c>
      <c r="K18" s="118">
        <f t="shared" si="2"/>
        <v>6.2451665739406614E-3</v>
      </c>
      <c r="L18" s="292">
        <f t="shared" si="3"/>
        <v>50.875689085399202</v>
      </c>
      <c r="M18" s="292">
        <f t="shared" si="4"/>
        <v>11.898783297630336</v>
      </c>
      <c r="N18" s="292">
        <f t="shared" si="5"/>
        <v>12.855261284466607</v>
      </c>
      <c r="O18" s="292">
        <f t="shared" si="6"/>
        <v>2.7362266204684969</v>
      </c>
      <c r="P18" s="292">
        <f t="shared" si="7"/>
        <v>10.512085304548735</v>
      </c>
      <c r="Q18" s="292">
        <f t="shared" si="8"/>
        <v>1.8771097171293445</v>
      </c>
      <c r="R18" s="309">
        <f t="shared" si="9"/>
        <v>18.772970721265629</v>
      </c>
      <c r="S18" s="309">
        <f t="shared" si="10"/>
        <v>24.481052969847394</v>
      </c>
      <c r="T18" s="309">
        <f t="shared" si="11"/>
        <v>4.2252298972652937</v>
      </c>
      <c r="U18" s="309">
        <f t="shared" si="12"/>
        <v>5.495684133402043</v>
      </c>
      <c r="V18" s="309">
        <f t="shared" si="13"/>
        <v>1.9484919710694864</v>
      </c>
      <c r="W18" s="309">
        <f t="shared" si="14"/>
        <v>8.7004538124854331</v>
      </c>
      <c r="X18" s="309">
        <f t="shared" si="15"/>
        <v>14.497154974751416</v>
      </c>
      <c r="Y18" s="309">
        <f t="shared" si="16"/>
        <v>4.7744922974433752</v>
      </c>
      <c r="Z18" s="309">
        <f t="shared" si="17"/>
        <v>24.8087993116478</v>
      </c>
      <c r="AA18" s="221"/>
      <c r="AB18" s="226">
        <f t="shared" si="1"/>
        <v>3.6697740297011641E-3</v>
      </c>
      <c r="AC18" s="261">
        <f t="shared" si="18"/>
        <v>24.388217269185024</v>
      </c>
    </row>
    <row r="19" spans="2:29" ht="15.75" thickBot="1" x14ac:dyDescent="0.3">
      <c r="B19" s="1">
        <v>368</v>
      </c>
      <c r="C19" t="s">
        <v>40</v>
      </c>
      <c r="D19" s="2"/>
      <c r="H19" s="214">
        <v>4903.5</v>
      </c>
      <c r="I19" s="118"/>
      <c r="J19" s="118">
        <f t="shared" si="0"/>
        <v>3.966835042439109E-2</v>
      </c>
      <c r="K19" s="118">
        <f t="shared" si="2"/>
        <v>3.6191188672597095E-2</v>
      </c>
      <c r="L19" s="292">
        <f>J19*$L$3</f>
        <v>294.8282709097146</v>
      </c>
      <c r="M19" s="292">
        <f>J19*$M$3</f>
        <v>68.954303492206293</v>
      </c>
      <c r="N19" s="292">
        <f>J19*$N$3</f>
        <v>74.497162097006466</v>
      </c>
      <c r="O19" s="292">
        <f>J19*$O$3</f>
        <v>15.856629715141851</v>
      </c>
      <c r="P19" s="292">
        <f>J19*$P$3</f>
        <v>60.918289063233154</v>
      </c>
      <c r="Q19" s="292">
        <f t="shared" si="8"/>
        <v>10.877985579322509</v>
      </c>
      <c r="R19" s="309">
        <f t="shared" si="9"/>
        <v>108.79071314982687</v>
      </c>
      <c r="S19" s="309">
        <f t="shared" si="10"/>
        <v>141.86945959658061</v>
      </c>
      <c r="T19" s="309">
        <f t="shared" si="11"/>
        <v>24.485510608332287</v>
      </c>
      <c r="U19" s="309">
        <f t="shared" si="12"/>
        <v>31.847884119998717</v>
      </c>
      <c r="V19" s="309">
        <f t="shared" si="13"/>
        <v>11.291650865850293</v>
      </c>
      <c r="W19" s="309">
        <f t="shared" si="14"/>
        <v>50.419754499228645</v>
      </c>
      <c r="X19" s="309">
        <f t="shared" si="15"/>
        <v>84.012053913246547</v>
      </c>
      <c r="Y19" s="309">
        <f t="shared" si="16"/>
        <v>27.668525652087204</v>
      </c>
      <c r="Z19" s="309">
        <f t="shared" si="17"/>
        <v>143.76877317811852</v>
      </c>
      <c r="AA19" s="221"/>
      <c r="AB19" s="226">
        <f t="shared" si="1"/>
        <v>2.1266603976410399E-2</v>
      </c>
      <c r="AC19" s="261">
        <f>AB19*$AC$3</f>
        <v>141.33147004603057</v>
      </c>
    </row>
    <row r="20" spans="2:29" ht="15.75" thickBot="1" x14ac:dyDescent="0.3">
      <c r="B20" s="1">
        <v>451</v>
      </c>
      <c r="C20" s="107" t="s">
        <v>41</v>
      </c>
      <c r="D20" s="81"/>
      <c r="E20" s="107"/>
      <c r="F20" s="107"/>
      <c r="G20" s="81"/>
      <c r="H20" s="175">
        <v>17145.759999999998</v>
      </c>
      <c r="I20" s="89"/>
      <c r="J20" s="89">
        <f t="shared" si="0"/>
        <v>0.13870582562914402</v>
      </c>
      <c r="K20" s="89">
        <f t="shared" si="2"/>
        <v>0.12654745285919616</v>
      </c>
      <c r="L20" s="297">
        <f t="shared" si="3"/>
        <v>1030.907468998256</v>
      </c>
      <c r="M20" s="297">
        <f t="shared" si="4"/>
        <v>241.10817551637217</v>
      </c>
      <c r="N20" s="297">
        <f t="shared" si="5"/>
        <v>260.48954053153244</v>
      </c>
      <c r="O20" s="297">
        <f t="shared" si="6"/>
        <v>55.444879678737742</v>
      </c>
      <c r="P20" s="297">
        <f t="shared" si="7"/>
        <v>213.0091493604202</v>
      </c>
      <c r="Q20" s="297">
        <f t="shared" si="8"/>
        <v>38.036367905888589</v>
      </c>
      <c r="R20" s="325">
        <f t="shared" si="9"/>
        <v>380.40164329474368</v>
      </c>
      <c r="S20" s="325">
        <f t="shared" si="10"/>
        <v>496.06601520804895</v>
      </c>
      <c r="T20" s="325">
        <f t="shared" si="11"/>
        <v>85.616944706417755</v>
      </c>
      <c r="U20" s="325">
        <f>K20*$U$3</f>
        <v>111.36049304156403</v>
      </c>
      <c r="V20" s="325">
        <f t="shared" si="13"/>
        <v>39.482805292069202</v>
      </c>
      <c r="W20" s="325">
        <f t="shared" si="14"/>
        <v>176.29958395078916</v>
      </c>
      <c r="X20" s="325">
        <f t="shared" si="15"/>
        <v>293.75966422016643</v>
      </c>
      <c r="Y20" s="325">
        <f t="shared" si="16"/>
        <v>96.746793185384064</v>
      </c>
      <c r="Z20" s="325">
        <f t="shared" si="17"/>
        <v>502.70722553409956</v>
      </c>
      <c r="AA20" s="179"/>
      <c r="AB20" s="177">
        <f t="shared" si="1"/>
        <v>7.436159636883416E-2</v>
      </c>
      <c r="AC20" s="178">
        <f t="shared" si="18"/>
        <v>494.18486098836115</v>
      </c>
    </row>
    <row r="21" spans="2:29" x14ac:dyDescent="0.25">
      <c r="B21" s="1">
        <v>452</v>
      </c>
      <c r="C21" t="s">
        <v>42</v>
      </c>
      <c r="D21" s="2"/>
      <c r="H21" s="214">
        <v>2250</v>
      </c>
      <c r="I21" s="118"/>
      <c r="J21" s="118">
        <f t="shared" si="0"/>
        <v>1.8202057398772294E-2</v>
      </c>
      <c r="K21" s="118">
        <f t="shared" si="2"/>
        <v>1.6606541146801972E-2</v>
      </c>
      <c r="L21" s="292">
        <f t="shared" si="3"/>
        <v>135.28369726661728</v>
      </c>
      <c r="M21" s="292">
        <f t="shared" si="4"/>
        <v>31.640090314563913</v>
      </c>
      <c r="N21" s="292">
        <f t="shared" si="5"/>
        <v>34.183463794894365</v>
      </c>
      <c r="O21" s="292">
        <f t="shared" si="6"/>
        <v>7.2759084040112496</v>
      </c>
      <c r="P21" s="292">
        <f t="shared" si="7"/>
        <v>27.952717526720626</v>
      </c>
      <c r="Q21" s="292">
        <f t="shared" si="8"/>
        <v>4.9914280724942683</v>
      </c>
      <c r="R21" s="309">
        <f t="shared" si="9"/>
        <v>49.919262687286732</v>
      </c>
      <c r="S21" s="309">
        <f t="shared" si="10"/>
        <v>65.097641295463731</v>
      </c>
      <c r="T21" s="309">
        <f t="shared" si="11"/>
        <v>11.235321478280342</v>
      </c>
      <c r="U21" s="309">
        <f t="shared" si="12"/>
        <v>14.613590143774267</v>
      </c>
      <c r="V21" s="309">
        <f t="shared" si="13"/>
        <v>5.181240837802215</v>
      </c>
      <c r="W21" s="309">
        <f t="shared" si="14"/>
        <v>23.135402798667169</v>
      </c>
      <c r="X21" s="309">
        <f t="shared" si="15"/>
        <v>38.549428225717293</v>
      </c>
      <c r="Y21" s="309">
        <f t="shared" si="16"/>
        <v>12.695866772141576</v>
      </c>
      <c r="Z21" s="309">
        <f t="shared" si="17"/>
        <v>65.969152574847897</v>
      </c>
      <c r="AA21" s="221"/>
      <c r="AB21" s="226">
        <f t="shared" si="1"/>
        <v>9.7583071167377175E-3</v>
      </c>
      <c r="AC21" s="261">
        <f t="shared" si="18"/>
        <v>64.850781605703844</v>
      </c>
    </row>
    <row r="22" spans="2:29" x14ac:dyDescent="0.25">
      <c r="B22" s="1">
        <v>454</v>
      </c>
      <c r="C22" t="s">
        <v>43</v>
      </c>
      <c r="D22" s="2"/>
      <c r="H22" s="214"/>
      <c r="I22" s="118"/>
      <c r="J22" s="118"/>
      <c r="K22" s="118">
        <f t="shared" si="2"/>
        <v>0</v>
      </c>
      <c r="L22" s="292"/>
      <c r="M22" s="292"/>
      <c r="N22" s="292"/>
      <c r="O22" s="292"/>
      <c r="P22" s="292"/>
      <c r="Q22" s="292">
        <f t="shared" si="8"/>
        <v>0</v>
      </c>
      <c r="R22" s="309">
        <f t="shared" si="9"/>
        <v>0</v>
      </c>
      <c r="S22" s="309">
        <f t="shared" si="10"/>
        <v>0</v>
      </c>
      <c r="T22" s="309">
        <f t="shared" si="11"/>
        <v>0</v>
      </c>
      <c r="U22" s="309">
        <f t="shared" si="12"/>
        <v>0</v>
      </c>
      <c r="V22" s="309">
        <f t="shared" si="13"/>
        <v>0</v>
      </c>
      <c r="W22" s="309">
        <f t="shared" si="14"/>
        <v>0</v>
      </c>
      <c r="X22" s="309">
        <f t="shared" si="15"/>
        <v>0</v>
      </c>
      <c r="Y22" s="309">
        <f t="shared" si="16"/>
        <v>0</v>
      </c>
      <c r="Z22" s="309">
        <f t="shared" si="17"/>
        <v>0</v>
      </c>
      <c r="AA22" s="221"/>
      <c r="AB22" s="226"/>
      <c r="AC22" s="261"/>
    </row>
    <row r="23" spans="2:29" x14ac:dyDescent="0.25">
      <c r="B23" s="1">
        <v>467</v>
      </c>
      <c r="C23" t="s">
        <v>44</v>
      </c>
      <c r="D23" s="2"/>
      <c r="H23" s="214">
        <v>8847.8700000000008</v>
      </c>
      <c r="I23" s="118"/>
      <c r="J23" s="118">
        <f t="shared" ref="J23:J35" si="19">H23/$I$35</f>
        <v>7.1577527820833528E-2</v>
      </c>
      <c r="K23" s="118">
        <f t="shared" si="2"/>
        <v>6.5303340985135461E-2</v>
      </c>
      <c r="L23" s="292">
        <f>J23*$L$3</f>
        <v>531.98780734861566</v>
      </c>
      <c r="M23" s="292">
        <f>J23*$M$3</f>
        <v>124.4210692851203</v>
      </c>
      <c r="N23" s="292">
        <f>J23*$N$3</f>
        <v>134.42259724752537</v>
      </c>
      <c r="O23" s="292">
        <f>J23*$O$3</f>
        <v>28.611685195821789</v>
      </c>
      <c r="P23" s="292">
        <f>J23*$P$3</f>
        <v>109.92089369917585</v>
      </c>
      <c r="Q23" s="292">
        <f t="shared" si="8"/>
        <v>19.628225199902165</v>
      </c>
      <c r="R23" s="309">
        <f t="shared" si="9"/>
        <v>196.3018430013172</v>
      </c>
      <c r="S23" s="309">
        <f t="shared" si="10"/>
        <v>255.989096661731</v>
      </c>
      <c r="T23" s="309">
        <f t="shared" si="11"/>
        <v>44.181628376903241</v>
      </c>
      <c r="U23" s="309">
        <f t="shared" si="12"/>
        <v>57.466287033509353</v>
      </c>
      <c r="V23" s="309">
        <f t="shared" si="13"/>
        <v>20.374642387362265</v>
      </c>
      <c r="W23" s="309">
        <f t="shared" si="14"/>
        <v>90.97734949344148</v>
      </c>
      <c r="X23" s="309">
        <f t="shared" si="15"/>
        <v>151.59125756243435</v>
      </c>
      <c r="Y23" s="309">
        <f t="shared" si="16"/>
        <v>49.925057216545909</v>
      </c>
      <c r="Z23" s="309">
        <f t="shared" si="17"/>
        <v>259.41621599663091</v>
      </c>
      <c r="AA23" s="221"/>
      <c r="AB23" s="226">
        <f t="shared" ref="AB23:AB35" si="20">H23/$H$39</f>
        <v>3.8373436795097846E-2</v>
      </c>
      <c r="AC23" s="261">
        <f>AB23*$AC$3</f>
        <v>255.01834890918175</v>
      </c>
    </row>
    <row r="24" spans="2:29" x14ac:dyDescent="0.25">
      <c r="B24" s="1">
        <v>468</v>
      </c>
      <c r="C24" t="s">
        <v>45</v>
      </c>
      <c r="D24" s="2"/>
      <c r="H24" s="214">
        <v>6307.7</v>
      </c>
      <c r="I24" s="118"/>
      <c r="J24" s="118">
        <f t="shared" si="19"/>
        <v>5.1028052201882668E-2</v>
      </c>
      <c r="K24" s="118">
        <f t="shared" si="2"/>
        <v>4.655514648519235E-2</v>
      </c>
      <c r="L24" s="292">
        <f>J24*$L$3</f>
        <v>379.25732322161861</v>
      </c>
      <c r="M24" s="292">
        <f>J24*$M$3</f>
        <v>88.700532300966586</v>
      </c>
      <c r="N24" s="292">
        <f>J24*$N$3</f>
        <v>95.830682035135652</v>
      </c>
      <c r="O24" s="292">
        <f>J24*$O$3</f>
        <v>20.397443306658559</v>
      </c>
      <c r="P24" s="292">
        <f>J24*$P$3</f>
        <v>78.3632694859092</v>
      </c>
      <c r="Q24" s="292">
        <f t="shared" si="8"/>
        <v>13.993080379054264</v>
      </c>
      <c r="R24" s="309">
        <f t="shared" si="9"/>
        <v>139.9447703344882</v>
      </c>
      <c r="S24" s="309">
        <f t="shared" si="10"/>
        <v>182.49617422195402</v>
      </c>
      <c r="T24" s="309">
        <f t="shared" si="11"/>
        <v>31.497349906021736</v>
      </c>
      <c r="U24" s="309">
        <f t="shared" si="12"/>
        <v>40.96806335550442</v>
      </c>
      <c r="V24" s="309">
        <f t="shared" si="13"/>
        <v>14.525205703380013</v>
      </c>
      <c r="W24" s="309">
        <f t="shared" si="14"/>
        <v>64.858302325845727</v>
      </c>
      <c r="X24" s="309">
        <f t="shared" si="15"/>
        <v>108.07032374193642</v>
      </c>
      <c r="Y24" s="309">
        <f t="shared" si="16"/>
        <v>35.591875039394402</v>
      </c>
      <c r="Z24" s="309">
        <f t="shared" si="17"/>
        <v>184.93938830949691</v>
      </c>
      <c r="AA24" s="221"/>
      <c r="AB24" s="226">
        <f t="shared" si="20"/>
        <v>2.7356655022331776E-2</v>
      </c>
      <c r="AC24" s="261">
        <f>AB24*$AC$3</f>
        <v>181.80412228191028</v>
      </c>
    </row>
    <row r="25" spans="2:29" x14ac:dyDescent="0.25">
      <c r="B25" s="1">
        <v>502</v>
      </c>
      <c r="C25" t="s">
        <v>46</v>
      </c>
      <c r="D25" s="2"/>
      <c r="H25" s="214">
        <v>1748.25</v>
      </c>
      <c r="I25" s="118"/>
      <c r="J25" s="118">
        <f t="shared" si="19"/>
        <v>1.4142998598846072E-2</v>
      </c>
      <c r="K25" s="118">
        <f t="shared" si="2"/>
        <v>1.2903282471065132E-2</v>
      </c>
      <c r="L25" s="292">
        <f t="shared" si="3"/>
        <v>105.11543277616163</v>
      </c>
      <c r="M25" s="292">
        <f t="shared" si="4"/>
        <v>24.584350174416162</v>
      </c>
      <c r="N25" s="292">
        <f t="shared" si="5"/>
        <v>26.560551368632922</v>
      </c>
      <c r="O25" s="292">
        <f t="shared" si="6"/>
        <v>5.653380829916741</v>
      </c>
      <c r="P25" s="292">
        <f t="shared" si="7"/>
        <v>21.719261518261924</v>
      </c>
      <c r="Q25" s="292">
        <f t="shared" si="8"/>
        <v>3.8783396123280465</v>
      </c>
      <c r="R25" s="309">
        <f t="shared" si="9"/>
        <v>38.787267108021787</v>
      </c>
      <c r="S25" s="309">
        <f t="shared" si="10"/>
        <v>50.580867286575319</v>
      </c>
      <c r="T25" s="309">
        <f t="shared" si="11"/>
        <v>8.729844788623824</v>
      </c>
      <c r="U25" s="309">
        <f t="shared" si="12"/>
        <v>11.354759541712605</v>
      </c>
      <c r="V25" s="309">
        <f t="shared" si="13"/>
        <v>4.0258241309723211</v>
      </c>
      <c r="W25" s="309">
        <f t="shared" si="14"/>
        <v>17.976207974564389</v>
      </c>
      <c r="X25" s="309">
        <f t="shared" si="15"/>
        <v>29.952905731382334</v>
      </c>
      <c r="Y25" s="309">
        <f t="shared" si="16"/>
        <v>9.8646884819540031</v>
      </c>
      <c r="Z25" s="309">
        <f t="shared" si="17"/>
        <v>51.258031550656817</v>
      </c>
      <c r="AA25" s="221"/>
      <c r="AB25" s="226">
        <f t="shared" si="20"/>
        <v>7.5822046297052068E-3</v>
      </c>
      <c r="AC25" s="261">
        <f t="shared" si="18"/>
        <v>50.389057307631894</v>
      </c>
    </row>
    <row r="26" spans="2:29" x14ac:dyDescent="0.25">
      <c r="B26" s="1">
        <v>515</v>
      </c>
      <c r="C26" t="s">
        <v>47</v>
      </c>
      <c r="D26" s="2"/>
      <c r="H26" s="214">
        <v>1730.77</v>
      </c>
      <c r="I26" s="118"/>
      <c r="J26" s="118">
        <f t="shared" si="19"/>
        <v>1.4001588837365833E-2</v>
      </c>
      <c r="K26" s="118">
        <f t="shared" si="2"/>
        <v>1.2774268098066865E-2</v>
      </c>
      <c r="L26" s="292">
        <f t="shared" si="3"/>
        <v>104.0644287636192</v>
      </c>
      <c r="M26" s="292">
        <f t="shared" si="4"/>
        <v>24.338541828327909</v>
      </c>
      <c r="N26" s="292">
        <f t="shared" si="5"/>
        <v>26.294983836573035</v>
      </c>
      <c r="O26" s="292">
        <f t="shared" si="6"/>
        <v>5.5968551059602447</v>
      </c>
      <c r="P26" s="292">
        <f t="shared" si="7"/>
        <v>21.502099961654338</v>
      </c>
      <c r="Q26" s="292">
        <f t="shared" si="8"/>
        <v>3.8395617622359577</v>
      </c>
      <c r="R26" s="309">
        <f t="shared" si="9"/>
        <v>38.399449902788994</v>
      </c>
      <c r="S26" s="309">
        <f t="shared" si="10"/>
        <v>50.075130944422114</v>
      </c>
      <c r="T26" s="309">
        <f t="shared" si="11"/>
        <v>8.642558824428118</v>
      </c>
      <c r="U26" s="309">
        <f t="shared" si="12"/>
        <v>11.241228183617862</v>
      </c>
      <c r="V26" s="309">
        <f t="shared" si="13"/>
        <v>3.985571646596862</v>
      </c>
      <c r="W26" s="309">
        <f t="shared" si="14"/>
        <v>17.796471600821853</v>
      </c>
      <c r="X26" s="309">
        <f t="shared" si="15"/>
        <v>29.653419506766539</v>
      </c>
      <c r="Y26" s="309">
        <f t="shared" si="16"/>
        <v>9.7660557036530999</v>
      </c>
      <c r="Z26" s="309">
        <f t="shared" si="17"/>
        <v>50.745524534208663</v>
      </c>
      <c r="AA26" s="221"/>
      <c r="AB26" s="226">
        <f t="shared" si="20"/>
        <v>7.5063934259716174E-3</v>
      </c>
      <c r="AC26" s="261">
        <f t="shared" si="18"/>
        <v>49.885238790979578</v>
      </c>
    </row>
    <row r="27" spans="2:29" x14ac:dyDescent="0.25">
      <c r="B27" s="1">
        <v>525</v>
      </c>
      <c r="C27" t="s">
        <v>48</v>
      </c>
      <c r="D27" s="2"/>
      <c r="H27" s="214">
        <v>2900</v>
      </c>
      <c r="I27" s="118"/>
      <c r="J27" s="118">
        <f t="shared" si="19"/>
        <v>2.3460429536195402E-2</v>
      </c>
      <c r="K27" s="118">
        <f t="shared" si="2"/>
        <v>2.1403986366989206E-2</v>
      </c>
      <c r="L27" s="292">
        <f t="shared" si="3"/>
        <v>174.36565425475118</v>
      </c>
      <c r="M27" s="292">
        <f t="shared" si="4"/>
        <v>40.780560849882384</v>
      </c>
      <c r="N27" s="292">
        <f t="shared" si="5"/>
        <v>44.058686668974964</v>
      </c>
      <c r="O27" s="292">
        <f t="shared" si="6"/>
        <v>9.3778374985033892</v>
      </c>
      <c r="P27" s="292">
        <f t="shared" si="7"/>
        <v>36.027947034439919</v>
      </c>
      <c r="Q27" s="292">
        <f t="shared" si="8"/>
        <v>6.4333961823259456</v>
      </c>
      <c r="R27" s="309">
        <f t="shared" si="9"/>
        <v>64.34038301916955</v>
      </c>
      <c r="S27" s="309">
        <f t="shared" si="10"/>
        <v>83.903626558597693</v>
      </c>
      <c r="T27" s="309">
        <f t="shared" si="11"/>
        <v>14.481081016450217</v>
      </c>
      <c r="U27" s="309">
        <f t="shared" si="12"/>
        <v>18.835293963086833</v>
      </c>
      <c r="V27" s="309">
        <f t="shared" si="13"/>
        <v>6.6780437465006326</v>
      </c>
      <c r="W27" s="309">
        <f t="shared" si="14"/>
        <v>29.818963607171014</v>
      </c>
      <c r="X27" s="309">
        <f t="shared" si="15"/>
        <v>49.685929713146727</v>
      </c>
      <c r="Y27" s="309">
        <f t="shared" si="16"/>
        <v>16.363561617426917</v>
      </c>
      <c r="Z27" s="309">
        <f t="shared" si="17"/>
        <v>85.026907763137288</v>
      </c>
      <c r="AA27" s="221"/>
      <c r="AB27" s="226">
        <f t="shared" si="20"/>
        <v>1.2577373617128613E-2</v>
      </c>
      <c r="AC27" s="261">
        <f t="shared" si="18"/>
        <v>83.585451847351621</v>
      </c>
    </row>
    <row r="28" spans="2:29" x14ac:dyDescent="0.25">
      <c r="B28" s="1">
        <v>560</v>
      </c>
      <c r="C28" t="s">
        <v>49</v>
      </c>
      <c r="D28" s="2"/>
      <c r="H28" s="214">
        <v>0</v>
      </c>
      <c r="I28" s="118"/>
      <c r="J28" s="118">
        <f t="shared" si="19"/>
        <v>0</v>
      </c>
      <c r="K28" s="118">
        <f t="shared" si="2"/>
        <v>0</v>
      </c>
      <c r="L28" s="292">
        <f t="shared" si="3"/>
        <v>0</v>
      </c>
      <c r="M28" s="292">
        <f t="shared" si="4"/>
        <v>0</v>
      </c>
      <c r="N28" s="292">
        <f t="shared" si="5"/>
        <v>0</v>
      </c>
      <c r="O28" s="292">
        <f t="shared" si="6"/>
        <v>0</v>
      </c>
      <c r="P28" s="292">
        <f t="shared" si="7"/>
        <v>0</v>
      </c>
      <c r="Q28" s="292">
        <f t="shared" si="8"/>
        <v>0</v>
      </c>
      <c r="R28" s="309">
        <f t="shared" si="9"/>
        <v>0</v>
      </c>
      <c r="S28" s="309">
        <f t="shared" si="10"/>
        <v>0</v>
      </c>
      <c r="T28" s="309">
        <f t="shared" si="11"/>
        <v>0</v>
      </c>
      <c r="U28" s="309">
        <f t="shared" si="12"/>
        <v>0</v>
      </c>
      <c r="V28" s="309">
        <f t="shared" si="13"/>
        <v>0</v>
      </c>
      <c r="W28" s="309">
        <f t="shared" si="14"/>
        <v>0</v>
      </c>
      <c r="X28" s="309">
        <f t="shared" si="15"/>
        <v>0</v>
      </c>
      <c r="Y28" s="309">
        <f t="shared" si="16"/>
        <v>0</v>
      </c>
      <c r="Z28" s="309">
        <f t="shared" si="17"/>
        <v>0</v>
      </c>
      <c r="AA28" s="221"/>
      <c r="AB28" s="226">
        <f t="shared" si="20"/>
        <v>0</v>
      </c>
      <c r="AC28" s="261">
        <f t="shared" si="18"/>
        <v>0</v>
      </c>
    </row>
    <row r="29" spans="2:29" x14ac:dyDescent="0.25">
      <c r="B29" s="1">
        <v>561</v>
      </c>
      <c r="C29" t="s">
        <v>50</v>
      </c>
      <c r="D29" s="2"/>
      <c r="H29" s="214">
        <v>4384.62</v>
      </c>
      <c r="I29" s="118"/>
      <c r="J29" s="118">
        <f t="shared" si="19"/>
        <v>3.5470713294135543E-2</v>
      </c>
      <c r="K29" s="118">
        <f t="shared" si="2"/>
        <v>3.236149886359594E-2</v>
      </c>
      <c r="L29" s="292">
        <f t="shared" si="3"/>
        <v>263.63004653740239</v>
      </c>
      <c r="M29" s="292">
        <f t="shared" si="4"/>
        <v>61.657676797796988</v>
      </c>
      <c r="N29" s="292">
        <f t="shared" si="5"/>
        <v>66.613999566386553</v>
      </c>
      <c r="O29" s="292">
        <f t="shared" si="6"/>
        <v>14.178708225064801</v>
      </c>
      <c r="P29" s="292">
        <f t="shared" si="7"/>
        <v>54.472019698671012</v>
      </c>
      <c r="Q29" s="292">
        <f t="shared" si="8"/>
        <v>9.7268957134310323</v>
      </c>
      <c r="R29" s="309">
        <f t="shared" si="9"/>
        <v>97.278665583969399</v>
      </c>
      <c r="S29" s="309">
        <f t="shared" si="10"/>
        <v>126.85707554529608</v>
      </c>
      <c r="T29" s="309">
        <f t="shared" si="11"/>
        <v>21.894495671154466</v>
      </c>
      <c r="U29" s="309">
        <f t="shared" si="12"/>
        <v>28.477795384975792</v>
      </c>
      <c r="V29" s="309">
        <f t="shared" si="13"/>
        <v>10.096787645441934</v>
      </c>
      <c r="W29" s="309">
        <f t="shared" si="14"/>
        <v>45.084422141818685</v>
      </c>
      <c r="X29" s="309">
        <f t="shared" si="15"/>
        <v>75.122041772019799</v>
      </c>
      <c r="Y29" s="309">
        <f t="shared" si="16"/>
        <v>24.740689496207732</v>
      </c>
      <c r="Z29" s="309">
        <f t="shared" si="17"/>
        <v>128.5554070056576</v>
      </c>
      <c r="AA29" s="221"/>
      <c r="AB29" s="226">
        <f t="shared" si="20"/>
        <v>1.9016208244529122E-2</v>
      </c>
      <c r="AC29" s="261">
        <f t="shared" si="18"/>
        <v>126.37601513066718</v>
      </c>
    </row>
    <row r="30" spans="2:29" x14ac:dyDescent="0.25">
      <c r="B30" s="1">
        <v>563</v>
      </c>
      <c r="C30" t="s">
        <v>51</v>
      </c>
      <c r="D30" s="2"/>
      <c r="H30" s="214">
        <v>3202.43</v>
      </c>
      <c r="I30" s="118"/>
      <c r="J30" s="118">
        <f t="shared" si="19"/>
        <v>2.5907028744689049E-2</v>
      </c>
      <c r="K30" s="118">
        <f t="shared" si="2"/>
        <v>2.3636126917668015E-2</v>
      </c>
      <c r="L30" s="292">
        <f t="shared" si="3"/>
        <v>192.54958695001474</v>
      </c>
      <c r="M30" s="292">
        <f t="shared" si="4"/>
        <v>45.033410856030635</v>
      </c>
      <c r="N30" s="292">
        <f t="shared" si="5"/>
        <v>48.653399982526032</v>
      </c>
      <c r="O30" s="292">
        <f t="shared" si="6"/>
        <v>10.355816600114554</v>
      </c>
      <c r="P30" s="292">
        <f t="shared" si="7"/>
        <v>39.785164972931526</v>
      </c>
      <c r="Q30" s="292">
        <f t="shared" si="8"/>
        <v>7.1043106676434746</v>
      </c>
      <c r="R30" s="309">
        <f t="shared" si="9"/>
        <v>71.050197514510046</v>
      </c>
      <c r="S30" s="309">
        <f t="shared" si="10"/>
        <v>92.653617517258624</v>
      </c>
      <c r="T30" s="309">
        <f t="shared" si="11"/>
        <v>15.991258027417471</v>
      </c>
      <c r="U30" s="309">
        <f t="shared" si="12"/>
        <v>20.799555326278675</v>
      </c>
      <c r="V30" s="309">
        <f t="shared" si="13"/>
        <v>7.3744715983124207</v>
      </c>
      <c r="W30" s="309">
        <f t="shared" si="14"/>
        <v>32.9286702153492</v>
      </c>
      <c r="X30" s="309">
        <f t="shared" si="15"/>
        <v>54.867486859059476</v>
      </c>
      <c r="Y30" s="309">
        <f t="shared" si="16"/>
        <v>18.070055389826372</v>
      </c>
      <c r="Z30" s="309">
        <f t="shared" si="17"/>
        <v>93.894041457897842</v>
      </c>
      <c r="AA30" s="221"/>
      <c r="AB30" s="226">
        <f t="shared" si="20"/>
        <v>1.3889020204379718E-2</v>
      </c>
      <c r="AC30" s="261">
        <f t="shared" si="18"/>
        <v>92.302261572246294</v>
      </c>
    </row>
    <row r="31" spans="2:29" x14ac:dyDescent="0.25">
      <c r="B31" s="1">
        <v>610</v>
      </c>
      <c r="C31" t="s">
        <v>53</v>
      </c>
      <c r="D31" s="2"/>
      <c r="H31" s="214">
        <v>11923.08</v>
      </c>
      <c r="I31" s="118"/>
      <c r="J31" s="118">
        <f t="shared" si="19"/>
        <v>9.6455371791179537E-2</v>
      </c>
      <c r="K31" s="118">
        <f t="shared" si="2"/>
        <v>8.8000497162938507E-2</v>
      </c>
      <c r="L31" s="292">
        <f t="shared" si="3"/>
        <v>716.88815342473742</v>
      </c>
      <c r="M31" s="292">
        <f t="shared" si="4"/>
        <v>167.66547912345365</v>
      </c>
      <c r="N31" s="292">
        <f t="shared" si="5"/>
        <v>181.14318822383518</v>
      </c>
      <c r="O31" s="292">
        <f t="shared" si="6"/>
        <v>38.556105766088201</v>
      </c>
      <c r="P31" s="292">
        <f t="shared" si="7"/>
        <v>148.12554990599651</v>
      </c>
      <c r="Q31" s="292">
        <f t="shared" si="8"/>
        <v>26.450309432264426</v>
      </c>
      <c r="R31" s="309">
        <f t="shared" si="9"/>
        <v>264.52949447179316</v>
      </c>
      <c r="S31" s="309">
        <f t="shared" si="10"/>
        <v>344.96194887871894</v>
      </c>
      <c r="T31" s="309">
        <f t="shared" si="11"/>
        <v>59.537616360557671</v>
      </c>
      <c r="U31" s="309">
        <f t="shared" si="12"/>
        <v>77.43955749841426</v>
      </c>
      <c r="V31" s="309">
        <f t="shared" si="13"/>
        <v>27.456155114836815</v>
      </c>
      <c r="W31" s="309">
        <f t="shared" si="14"/>
        <v>122.59789262254779</v>
      </c>
      <c r="X31" s="309">
        <f t="shared" si="15"/>
        <v>204.27907408421569</v>
      </c>
      <c r="Y31" s="309">
        <f t="shared" si="16"/>
        <v>67.277260086038112</v>
      </c>
      <c r="Z31" s="309">
        <f t="shared" si="17"/>
        <v>349.58021496982997</v>
      </c>
      <c r="AA31" s="221"/>
      <c r="AB31" s="226">
        <f t="shared" si="20"/>
        <v>5.1710700629970283E-2</v>
      </c>
      <c r="AC31" s="261">
        <f t="shared" si="18"/>
        <v>343.6538031765935</v>
      </c>
    </row>
    <row r="32" spans="2:29" x14ac:dyDescent="0.25">
      <c r="B32" s="1">
        <v>620</v>
      </c>
      <c r="C32" t="s">
        <v>54</v>
      </c>
      <c r="D32" s="2"/>
      <c r="H32" s="214">
        <v>6076.92</v>
      </c>
      <c r="I32" s="118"/>
      <c r="J32" s="118">
        <f t="shared" si="19"/>
        <v>4.9161087398998812E-2</v>
      </c>
      <c r="K32" s="118">
        <f t="shared" si="2"/>
        <v>4.4851832011477258E-2</v>
      </c>
      <c r="L32" s="292">
        <f t="shared" si="3"/>
        <v>365.38142470820083</v>
      </c>
      <c r="M32" s="292">
        <f t="shared" si="4"/>
        <v>85.455243393057671</v>
      </c>
      <c r="N32" s="292">
        <f t="shared" si="5"/>
        <v>92.324522135319768</v>
      </c>
      <c r="O32" s="292">
        <f t="shared" si="6"/>
        <v>19.651161466001795</v>
      </c>
      <c r="P32" s="292">
        <f t="shared" si="7"/>
        <v>75.496190307768487</v>
      </c>
      <c r="Q32" s="292">
        <f t="shared" si="8"/>
        <v>13.481115147689719</v>
      </c>
      <c r="R32" s="309">
        <f t="shared" si="9"/>
        <v>134.82460702650064</v>
      </c>
      <c r="S32" s="309">
        <f t="shared" si="10"/>
        <v>175.81918148499085</v>
      </c>
      <c r="T32" s="309">
        <f t="shared" si="11"/>
        <v>30.34495546568505</v>
      </c>
      <c r="U32" s="309">
        <f t="shared" si="12"/>
        <v>39.469163651779873</v>
      </c>
      <c r="V32" s="309">
        <f t="shared" si="13"/>
        <v>13.993771587580904</v>
      </c>
      <c r="W32" s="309">
        <f t="shared" si="14"/>
        <v>62.485329766789548</v>
      </c>
      <c r="X32" s="309">
        <f t="shared" si="15"/>
        <v>104.11635172152262</v>
      </c>
      <c r="Y32" s="309">
        <f t="shared" si="16"/>
        <v>34.289674091094476</v>
      </c>
      <c r="Z32" s="309">
        <f t="shared" si="17"/>
        <v>178.17300562895318</v>
      </c>
      <c r="AA32" s="221"/>
      <c r="AB32" s="226">
        <f t="shared" si="20"/>
        <v>2.6355756303931454E-2</v>
      </c>
      <c r="AC32" s="261">
        <f t="shared" si="18"/>
        <v>175.15244966903725</v>
      </c>
    </row>
    <row r="33" spans="2:33" x14ac:dyDescent="0.25">
      <c r="B33" s="1">
        <v>630</v>
      </c>
      <c r="C33" t="s">
        <v>55</v>
      </c>
      <c r="D33" s="2"/>
      <c r="H33" s="214">
        <v>0</v>
      </c>
      <c r="I33" s="118"/>
      <c r="J33" s="118">
        <f t="shared" si="19"/>
        <v>0</v>
      </c>
      <c r="K33" s="118">
        <f t="shared" si="2"/>
        <v>0</v>
      </c>
      <c r="L33" s="292">
        <f t="shared" si="3"/>
        <v>0</v>
      </c>
      <c r="M33" s="292">
        <f t="shared" si="4"/>
        <v>0</v>
      </c>
      <c r="N33" s="292">
        <f t="shared" si="5"/>
        <v>0</v>
      </c>
      <c r="O33" s="292">
        <f t="shared" si="6"/>
        <v>0</v>
      </c>
      <c r="P33" s="292">
        <f t="shared" si="7"/>
        <v>0</v>
      </c>
      <c r="Q33" s="292">
        <f t="shared" si="8"/>
        <v>0</v>
      </c>
      <c r="R33" s="309">
        <f t="shared" si="9"/>
        <v>0</v>
      </c>
      <c r="S33" s="309">
        <f t="shared" si="10"/>
        <v>0</v>
      </c>
      <c r="T33" s="309">
        <f t="shared" si="11"/>
        <v>0</v>
      </c>
      <c r="U33" s="309">
        <f t="shared" si="12"/>
        <v>0</v>
      </c>
      <c r="V33" s="309">
        <f t="shared" si="13"/>
        <v>0</v>
      </c>
      <c r="W33" s="309">
        <f t="shared" si="14"/>
        <v>0</v>
      </c>
      <c r="X33" s="309">
        <f t="shared" si="15"/>
        <v>0</v>
      </c>
      <c r="Y33" s="309">
        <f t="shared" si="16"/>
        <v>0</v>
      </c>
      <c r="Z33" s="309">
        <f t="shared" si="17"/>
        <v>0</v>
      </c>
      <c r="AA33" s="221"/>
      <c r="AB33" s="226">
        <f t="shared" si="20"/>
        <v>0</v>
      </c>
      <c r="AC33" s="261">
        <f t="shared" si="18"/>
        <v>0</v>
      </c>
    </row>
    <row r="34" spans="2:33" x14ac:dyDescent="0.25">
      <c r="B34" s="1">
        <v>650</v>
      </c>
      <c r="C34" t="s">
        <v>56</v>
      </c>
      <c r="D34" s="2"/>
      <c r="H34" s="214">
        <v>299</v>
      </c>
      <c r="I34" s="319"/>
      <c r="J34" s="118">
        <f t="shared" si="19"/>
        <v>2.4188511832146293E-3</v>
      </c>
      <c r="K34" s="118">
        <f t="shared" si="2"/>
        <v>2.2068248012861286E-3</v>
      </c>
      <c r="L34" s="292">
        <f t="shared" si="3"/>
        <v>17.977700214541585</v>
      </c>
      <c r="M34" s="292">
        <f t="shared" si="4"/>
        <v>4.2046164462464937</v>
      </c>
      <c r="N34" s="292">
        <f t="shared" si="5"/>
        <v>4.5426025220770736</v>
      </c>
      <c r="O34" s="292">
        <f t="shared" si="6"/>
        <v>0.96688738346638381</v>
      </c>
      <c r="P34" s="292">
        <f t="shared" si="7"/>
        <v>3.7146055735508741</v>
      </c>
      <c r="Q34" s="292">
        <f t="shared" si="8"/>
        <v>0.66330533052257168</v>
      </c>
      <c r="R34" s="309">
        <f t="shared" si="9"/>
        <v>6.633715352666103</v>
      </c>
      <c r="S34" s="309">
        <f t="shared" si="10"/>
        <v>8.650753221041624</v>
      </c>
      <c r="T34" s="309">
        <f t="shared" si="11"/>
        <v>1.493049387558143</v>
      </c>
      <c r="U34" s="309">
        <f t="shared" si="12"/>
        <v>1.9419837568837803</v>
      </c>
      <c r="V34" s="309">
        <f t="shared" si="13"/>
        <v>0.68852933800127214</v>
      </c>
      <c r="W34" s="309">
        <f t="shared" si="14"/>
        <v>3.0744379719117703</v>
      </c>
      <c r="X34" s="309">
        <f t="shared" si="15"/>
        <v>5.1227906842175424</v>
      </c>
      <c r="Y34" s="309">
        <f t="shared" si="16"/>
        <v>1.6871396288312581</v>
      </c>
      <c r="Z34" s="309">
        <f t="shared" si="17"/>
        <v>8.7665673866131204</v>
      </c>
      <c r="AA34" s="221"/>
      <c r="AB34" s="226">
        <f t="shared" si="20"/>
        <v>1.2967705901798122E-3</v>
      </c>
      <c r="AC34" s="261">
        <f t="shared" si="18"/>
        <v>8.6179483111579778</v>
      </c>
    </row>
    <row r="35" spans="2:33" x14ac:dyDescent="0.25">
      <c r="B35" s="1">
        <v>600</v>
      </c>
      <c r="C35" t="s">
        <v>57</v>
      </c>
      <c r="D35" s="2"/>
      <c r="H35" s="214">
        <v>0.01</v>
      </c>
      <c r="I35" s="118">
        <f>SUM(H6:H35)</f>
        <v>123612.39999999998</v>
      </c>
      <c r="J35" s="118">
        <f t="shared" si="19"/>
        <v>8.0898032883432426E-8</v>
      </c>
      <c r="K35" s="118">
        <f t="shared" si="2"/>
        <v>7.3806849541342094E-8</v>
      </c>
      <c r="L35" s="292">
        <f t="shared" si="3"/>
        <v>6.0126087674052127E-4</v>
      </c>
      <c r="M35" s="292">
        <f t="shared" si="4"/>
        <v>1.4062262362028407E-4</v>
      </c>
      <c r="N35" s="292">
        <f t="shared" si="5"/>
        <v>1.5192650575508609E-4</v>
      </c>
      <c r="O35" s="292">
        <f t="shared" si="6"/>
        <v>3.2337370684494444E-5</v>
      </c>
      <c r="P35" s="292">
        <f t="shared" si="7"/>
        <v>1.2423430011875835E-4</v>
      </c>
      <c r="Q35" s="292">
        <f t="shared" si="8"/>
        <v>2.2184124766641191E-5</v>
      </c>
      <c r="R35" s="309">
        <f t="shared" si="9"/>
        <v>2.2186338972127434E-4</v>
      </c>
      <c r="S35" s="309">
        <f t="shared" si="10"/>
        <v>2.8932285020206099E-4</v>
      </c>
      <c r="T35" s="309">
        <f t="shared" si="11"/>
        <v>4.9934762125690404E-5</v>
      </c>
      <c r="U35" s="309">
        <f t="shared" si="12"/>
        <v>6.4949289527885625E-5</v>
      </c>
      <c r="V35" s="309">
        <f t="shared" si="13"/>
        <v>2.3027737056898735E-5</v>
      </c>
      <c r="W35" s="309">
        <f t="shared" si="14"/>
        <v>1.0282401243852074E-4</v>
      </c>
      <c r="X35" s="309">
        <f t="shared" si="15"/>
        <v>1.7133079211429907E-4</v>
      </c>
      <c r="Y35" s="309">
        <f t="shared" si="16"/>
        <v>5.6426074542851443E-5</v>
      </c>
      <c r="Z35" s="309">
        <f t="shared" si="17"/>
        <v>2.9319623366599065E-4</v>
      </c>
      <c r="AA35" s="221"/>
      <c r="AB35" s="226">
        <f t="shared" si="20"/>
        <v>4.3370253852167636E-8</v>
      </c>
      <c r="AC35" s="261">
        <f t="shared" si="18"/>
        <v>2.8822569602535045E-4</v>
      </c>
    </row>
    <row r="36" spans="2:33" ht="15.75" thickBot="1" x14ac:dyDescent="0.3">
      <c r="B36" s="1">
        <v>339</v>
      </c>
      <c r="C36" t="s">
        <v>58</v>
      </c>
      <c r="D36" s="2"/>
      <c r="H36" s="319">
        <v>5538.46</v>
      </c>
      <c r="I36" s="118"/>
      <c r="J36" s="118"/>
      <c r="K36" s="118">
        <f t="shared" si="2"/>
        <v>4.0877628391074151E-2</v>
      </c>
      <c r="L36" s="292">
        <f>J36*$L$3</f>
        <v>0</v>
      </c>
      <c r="M36" s="292">
        <f>J36*$M$3</f>
        <v>0</v>
      </c>
      <c r="N36" s="292">
        <f>J36*$N$3</f>
        <v>0</v>
      </c>
      <c r="O36" s="292">
        <f>J36*$O$3</f>
        <v>0</v>
      </c>
      <c r="P36" s="292">
        <f>J36*$P$3</f>
        <v>0</v>
      </c>
      <c r="Q36" s="292">
        <f t="shared" si="8"/>
        <v>12.286588765505158</v>
      </c>
      <c r="R36" s="309">
        <f t="shared" si="9"/>
        <v>122.8781509435689</v>
      </c>
      <c r="S36" s="309">
        <f t="shared" si="10"/>
        <v>160.24030329301067</v>
      </c>
      <c r="T36" s="309">
        <f t="shared" si="11"/>
        <v>27.656168264265126</v>
      </c>
      <c r="U36" s="309">
        <f t="shared" si="12"/>
        <v>35.971904207861343</v>
      </c>
      <c r="V36" s="309">
        <f t="shared" si="13"/>
        <v>12.753820058015135</v>
      </c>
      <c r="W36" s="309">
        <f t="shared" si="14"/>
        <v>56.948667993024955</v>
      </c>
      <c r="X36" s="309">
        <f t="shared" si="15"/>
        <v>94.890873889336078</v>
      </c>
      <c r="Y36" s="309">
        <f t="shared" si="16"/>
        <v>31.251355681260097</v>
      </c>
      <c r="Z36" s="309">
        <f t="shared" si="17"/>
        <v>162.38556123097425</v>
      </c>
      <c r="AA36" s="221"/>
      <c r="AB36" s="226">
        <f>U42/$H$39</f>
        <v>2.4020441615007635E-2</v>
      </c>
      <c r="AC36" s="261">
        <f>AB36*$AC$3</f>
        <v>159.63264884085623</v>
      </c>
    </row>
    <row r="37" spans="2:33" ht="15.75" thickBot="1" x14ac:dyDescent="0.3">
      <c r="B37" s="1">
        <v>225</v>
      </c>
      <c r="C37" t="s">
        <v>59</v>
      </c>
      <c r="D37" s="2"/>
      <c r="H37" s="214">
        <v>6337.92</v>
      </c>
      <c r="I37" s="118">
        <f>I35+H36+H37</f>
        <v>135488.78</v>
      </c>
      <c r="J37" s="118"/>
      <c r="K37" s="118">
        <f t="shared" si="2"/>
        <v>4.6778190784506291E-2</v>
      </c>
      <c r="L37" s="292"/>
      <c r="M37" s="292"/>
      <c r="N37" s="292"/>
      <c r="O37" s="292"/>
      <c r="P37" s="292"/>
      <c r="Q37" s="292">
        <f>K37*$Q$3</f>
        <v>14.060120804099055</v>
      </c>
      <c r="R37" s="309">
        <f t="shared" si="9"/>
        <v>140.61524149822591</v>
      </c>
      <c r="S37" s="309">
        <f t="shared" si="10"/>
        <v>183.37050787526465</v>
      </c>
      <c r="T37" s="309">
        <f t="shared" si="11"/>
        <v>31.648252757165572</v>
      </c>
      <c r="U37" s="309">
        <f t="shared" si="12"/>
        <v>41.164340108457694</v>
      </c>
      <c r="V37" s="309">
        <f t="shared" si="13"/>
        <v>14.594795524765964</v>
      </c>
      <c r="W37" s="309">
        <f t="shared" si="14"/>
        <v>65.169036491434937</v>
      </c>
      <c r="X37" s="309">
        <f t="shared" si="15"/>
        <v>108.58808539570585</v>
      </c>
      <c r="Y37" s="309">
        <f t="shared" si="16"/>
        <v>35.762394636662904</v>
      </c>
      <c r="Z37" s="309">
        <f t="shared" si="17"/>
        <v>185.82542732763554</v>
      </c>
      <c r="AA37" s="221"/>
      <c r="AB37" s="226">
        <f>U43/$H$39</f>
        <v>2.7487719929473027E-2</v>
      </c>
      <c r="AC37" s="268">
        <f>AB37*$AC$3</f>
        <v>182.67514033529889</v>
      </c>
    </row>
    <row r="38" spans="2:33" x14ac:dyDescent="0.25">
      <c r="B38" s="45">
        <v>451</v>
      </c>
      <c r="C38" s="32" t="s">
        <v>60</v>
      </c>
      <c r="D38" s="32"/>
      <c r="E38" s="32"/>
      <c r="F38" s="32">
        <v>95614.3</v>
      </c>
      <c r="G38" s="31"/>
      <c r="H38" s="319">
        <v>95084</v>
      </c>
      <c r="I38" s="118"/>
      <c r="J38" s="121"/>
      <c r="K38" s="121"/>
      <c r="L38" s="292"/>
      <c r="M38" s="292"/>
      <c r="N38" s="292"/>
      <c r="O38" s="292"/>
      <c r="P38" s="292"/>
      <c r="Q38" s="292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26">
        <f>H38/$H$39</f>
        <v>0.41238172172795073</v>
      </c>
      <c r="AC38" s="261">
        <f t="shared" ref="AC38" si="21">AB38*$AC$3</f>
        <v>2740.565208087442</v>
      </c>
    </row>
    <row r="39" spans="2:33" ht="15.75" thickBot="1" x14ac:dyDescent="0.3">
      <c r="H39" s="320">
        <f>SUM(H6:H38)</f>
        <v>230572.78</v>
      </c>
      <c r="I39" s="320"/>
      <c r="J39" s="321">
        <f t="shared" ref="J39:AC39" si="22">SUM(J6:J38)</f>
        <v>1.0000000000000002</v>
      </c>
      <c r="K39" s="321">
        <f t="shared" si="22"/>
        <v>0.99999999999999967</v>
      </c>
      <c r="L39" s="322">
        <f t="shared" si="22"/>
        <v>7432.3300000000017</v>
      </c>
      <c r="M39" s="322">
        <f t="shared" si="22"/>
        <v>1738.2700000000002</v>
      </c>
      <c r="N39" s="322">
        <f t="shared" si="22"/>
        <v>1878.0000000000002</v>
      </c>
      <c r="O39" s="322">
        <f t="shared" si="22"/>
        <v>399.73</v>
      </c>
      <c r="P39" s="322">
        <f t="shared" si="22"/>
        <v>1535.69</v>
      </c>
      <c r="Q39" s="322">
        <f t="shared" si="22"/>
        <v>300.56999999999994</v>
      </c>
      <c r="R39" s="310">
        <f t="shared" si="22"/>
        <v>3006.0000000000005</v>
      </c>
      <c r="S39" s="310">
        <f t="shared" si="22"/>
        <v>3920</v>
      </c>
      <c r="T39" s="310">
        <f t="shared" si="22"/>
        <v>676.56</v>
      </c>
      <c r="U39" s="310">
        <f t="shared" si="22"/>
        <v>879.99000000000024</v>
      </c>
      <c r="V39" s="310">
        <f t="shared" si="22"/>
        <v>312</v>
      </c>
      <c r="W39" s="310">
        <f t="shared" si="22"/>
        <v>1393.15</v>
      </c>
      <c r="X39" s="310">
        <f t="shared" si="22"/>
        <v>2321.3400000000006</v>
      </c>
      <c r="Y39" s="310">
        <f t="shared" si="22"/>
        <v>764.51000000000022</v>
      </c>
      <c r="Z39" s="310">
        <f t="shared" si="22"/>
        <v>3972.4799999999996</v>
      </c>
      <c r="AA39" s="323">
        <f t="shared" si="22"/>
        <v>0</v>
      </c>
      <c r="AB39" s="320">
        <f t="shared" si="22"/>
        <v>1</v>
      </c>
      <c r="AC39" s="323">
        <f t="shared" si="22"/>
        <v>6645.7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301">
        <f t="shared" ref="L40:AC40" si="23">L3-L39</f>
        <v>0</v>
      </c>
      <c r="M40" s="301">
        <f t="shared" si="23"/>
        <v>0</v>
      </c>
      <c r="N40" s="301">
        <f t="shared" si="23"/>
        <v>0</v>
      </c>
      <c r="O40" s="301">
        <f t="shared" si="23"/>
        <v>0</v>
      </c>
      <c r="P40" s="301">
        <f t="shared" si="23"/>
        <v>0</v>
      </c>
      <c r="Q40" s="301">
        <f t="shared" si="23"/>
        <v>0</v>
      </c>
      <c r="R40" s="108">
        <f t="shared" si="23"/>
        <v>0</v>
      </c>
      <c r="S40" s="108">
        <f t="shared" si="23"/>
        <v>0</v>
      </c>
      <c r="T40" s="108">
        <f t="shared" si="23"/>
        <v>0</v>
      </c>
      <c r="U40" s="108">
        <f t="shared" si="23"/>
        <v>0</v>
      </c>
      <c r="V40" s="108">
        <f t="shared" si="23"/>
        <v>0</v>
      </c>
      <c r="W40" s="108">
        <f t="shared" si="23"/>
        <v>0</v>
      </c>
      <c r="X40" s="108">
        <f t="shared" si="23"/>
        <v>0</v>
      </c>
      <c r="Y40" s="108">
        <f t="shared" si="23"/>
        <v>0</v>
      </c>
      <c r="Z40" s="108">
        <f t="shared" si="23"/>
        <v>0</v>
      </c>
      <c r="AA40" s="108">
        <f t="shared" si="23"/>
        <v>0</v>
      </c>
      <c r="AB40" s="108">
        <f t="shared" si="23"/>
        <v>-1</v>
      </c>
      <c r="AC40" s="108">
        <f t="shared" si="23"/>
        <v>0</v>
      </c>
    </row>
    <row r="41" spans="2:33" x14ac:dyDescent="0.25">
      <c r="C41" s="17">
        <v>43686</v>
      </c>
      <c r="D41" s="23"/>
      <c r="E41" s="23"/>
      <c r="F41" s="23"/>
      <c r="G41" s="18"/>
      <c r="H41" s="18">
        <v>62468.63</v>
      </c>
      <c r="I41" s="18"/>
      <c r="J41" s="42"/>
      <c r="K41" s="238"/>
      <c r="L41" s="302">
        <v>3872.3</v>
      </c>
      <c r="M41" s="302">
        <v>905.65</v>
      </c>
      <c r="N41" s="302">
        <v>1253.04</v>
      </c>
      <c r="O41" s="302">
        <v>229.72</v>
      </c>
      <c r="P41" s="302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x14ac:dyDescent="0.25">
      <c r="C42" s="19">
        <v>43700</v>
      </c>
      <c r="D42" s="24"/>
      <c r="E42" s="24"/>
      <c r="F42" s="24"/>
      <c r="H42" s="2">
        <v>60411.39</v>
      </c>
      <c r="J42" s="43">
        <v>0</v>
      </c>
      <c r="K42" s="238"/>
      <c r="L42" s="302">
        <v>3698.62</v>
      </c>
      <c r="M42" s="302">
        <v>865.02</v>
      </c>
      <c r="N42" s="302">
        <v>1101.1400000000001</v>
      </c>
      <c r="O42" s="302">
        <v>201.86</v>
      </c>
      <c r="P42" s="302"/>
      <c r="Q42" s="114"/>
      <c r="R42" s="114"/>
      <c r="S42" s="114"/>
      <c r="T42" s="114"/>
      <c r="U42" s="53">
        <v>5538.46</v>
      </c>
      <c r="V42" s="159"/>
      <c r="W42" s="114"/>
      <c r="X42" s="114"/>
      <c r="Y42" s="114"/>
      <c r="Z42" s="114"/>
    </row>
    <row r="43" spans="2:33" ht="15.75" thickBot="1" x14ac:dyDescent="0.3">
      <c r="C43" s="19"/>
      <c r="D43" s="24"/>
      <c r="E43" s="24"/>
      <c r="F43" s="24"/>
      <c r="H43" s="2">
        <v>732.38</v>
      </c>
      <c r="J43" s="43"/>
      <c r="K43" s="238"/>
      <c r="L43" s="302"/>
      <c r="M43" s="302"/>
      <c r="N43" s="302"/>
      <c r="O43" s="302"/>
      <c r="P43" s="302"/>
      <c r="Q43" s="114"/>
      <c r="R43" s="114"/>
      <c r="S43" s="114"/>
      <c r="T43" s="114"/>
      <c r="U43" s="101">
        <v>6337.92</v>
      </c>
      <c r="V43" s="159"/>
      <c r="W43" s="114"/>
      <c r="X43" s="114"/>
      <c r="Y43" s="114"/>
      <c r="Z43" s="114"/>
    </row>
    <row r="44" spans="2:33" ht="15.75" thickBot="1" x14ac:dyDescent="0.3">
      <c r="C44" s="20"/>
      <c r="D44" s="20"/>
      <c r="E44" s="20"/>
      <c r="F44" s="20"/>
      <c r="G44" s="105"/>
      <c r="H44" s="236">
        <f>SUM(H41:H43)</f>
        <v>123612.4</v>
      </c>
      <c r="I44" s="5"/>
      <c r="J44" s="44"/>
      <c r="K44" s="239"/>
      <c r="L44" s="303">
        <f>SUM(L41:L42)</f>
        <v>7570.92</v>
      </c>
      <c r="M44" s="304">
        <f>SUM(M41:M42)</f>
        <v>1770.67</v>
      </c>
      <c r="N44" s="304">
        <f>SUM(N41:N42)</f>
        <v>2354.1800000000003</v>
      </c>
      <c r="O44" s="304">
        <f>SUM(O41:O42)</f>
        <v>431.58000000000004</v>
      </c>
      <c r="P44" s="305">
        <f>SUM(P41:P42)</f>
        <v>0</v>
      </c>
      <c r="Q44" s="114"/>
      <c r="R44" s="114"/>
      <c r="S44" s="114"/>
      <c r="T44" s="114"/>
      <c r="U44" s="114"/>
      <c r="V44" s="159"/>
      <c r="W44" s="114"/>
      <c r="X44" s="114"/>
      <c r="Y44" s="114"/>
      <c r="Z44" s="114"/>
    </row>
    <row r="45" spans="2:33" x14ac:dyDescent="0.25">
      <c r="H45" s="53">
        <f>H38</f>
        <v>95084</v>
      </c>
      <c r="L45" s="301"/>
      <c r="M45" s="301"/>
      <c r="N45" s="301"/>
      <c r="O45" s="301"/>
      <c r="P45" s="301"/>
      <c r="Q45" s="114"/>
      <c r="R45" s="114"/>
      <c r="S45" s="114"/>
      <c r="T45" s="114"/>
      <c r="U45" s="114"/>
      <c r="V45" s="159"/>
      <c r="W45" s="114"/>
      <c r="X45" s="114"/>
      <c r="Y45" s="114"/>
      <c r="Z45" s="114"/>
      <c r="AG45">
        <v>114.44</v>
      </c>
    </row>
    <row r="46" spans="2:33" x14ac:dyDescent="0.25">
      <c r="I46" s="2" t="s">
        <v>64</v>
      </c>
      <c r="J46" s="12" t="s">
        <v>65</v>
      </c>
      <c r="L46" s="306">
        <v>196.5</v>
      </c>
      <c r="M46" s="306">
        <v>45.96</v>
      </c>
      <c r="N46" s="306"/>
      <c r="O46" s="306"/>
      <c r="P46" s="288">
        <f>SUM(L46:O46)</f>
        <v>242.46</v>
      </c>
      <c r="AG46">
        <v>151.65</v>
      </c>
    </row>
    <row r="47" spans="2:33" ht="15.75" thickBot="1" x14ac:dyDescent="0.3">
      <c r="F47" s="29">
        <f>I35-H43</f>
        <v>122880.01999999997</v>
      </c>
      <c r="L47" s="306">
        <v>229.25</v>
      </c>
      <c r="M47" s="306">
        <v>53.62</v>
      </c>
      <c r="N47" s="306"/>
      <c r="O47" s="306"/>
      <c r="P47" s="288">
        <f>SUM(L47:O47)</f>
        <v>282.87</v>
      </c>
      <c r="R47" s="66">
        <f>SUM(P46:P47)</f>
        <v>525.33000000000004</v>
      </c>
      <c r="S47">
        <f>R47+'May 2019 Alloc '!N58+'April 2019 Alloc  '!R45</f>
        <v>2303.36</v>
      </c>
    </row>
    <row r="48" spans="2:33" x14ac:dyDescent="0.25">
      <c r="H48" s="17">
        <v>43630</v>
      </c>
      <c r="I48" s="2">
        <v>2769.23</v>
      </c>
      <c r="J48" s="31">
        <v>3168.96</v>
      </c>
      <c r="K48" s="2"/>
      <c r="L48" s="306">
        <v>165.08</v>
      </c>
      <c r="M48" s="306">
        <v>38.61</v>
      </c>
      <c r="N48" s="307">
        <v>83.08</v>
      </c>
      <c r="O48" s="307">
        <v>15.23</v>
      </c>
    </row>
    <row r="49" spans="8:15" x14ac:dyDescent="0.25">
      <c r="H49" s="19">
        <v>43644</v>
      </c>
      <c r="I49" s="2">
        <v>2769.23</v>
      </c>
      <c r="J49" s="31">
        <v>3168.96</v>
      </c>
      <c r="K49" s="2"/>
      <c r="L49" s="306">
        <v>165.08</v>
      </c>
      <c r="M49" s="306">
        <v>38.61</v>
      </c>
      <c r="N49" s="307">
        <v>83.08</v>
      </c>
      <c r="O49" s="307">
        <v>15.23</v>
      </c>
    </row>
    <row r="50" spans="8:15" x14ac:dyDescent="0.25">
      <c r="J50" s="2"/>
      <c r="K50" s="2"/>
      <c r="L50" s="306"/>
      <c r="M50" s="306"/>
      <c r="N50" s="306"/>
      <c r="O50" s="306"/>
    </row>
    <row r="51" spans="8:15" ht="15.75" thickBot="1" x14ac:dyDescent="0.3">
      <c r="J51" s="2"/>
      <c r="K51" s="2"/>
    </row>
    <row r="52" spans="8:15" ht="15.75" thickBot="1" x14ac:dyDescent="0.3">
      <c r="I52" s="241">
        <f>SUM(I48:I51)</f>
        <v>5538.46</v>
      </c>
      <c r="J52" s="242">
        <f>SUM(J48:J51)</f>
        <v>6337.92</v>
      </c>
      <c r="K52" s="2"/>
    </row>
    <row r="54" spans="8:15" x14ac:dyDescent="0.25">
      <c r="J54" s="270">
        <f>J52+'May 2019 Alloc '!I60+'April 2019 Alloc  '!H44+'April 2019 Alloc  '!H45</f>
        <v>29576.949999999997</v>
      </c>
    </row>
    <row r="60" spans="8:15" x14ac:dyDescent="0.25">
      <c r="I60" s="2">
        <v>2900</v>
      </c>
    </row>
  </sheetData>
  <pageMargins left="0" right="0" top="0.75" bottom="0.75" header="0.3" footer="0.3"/>
  <pageSetup paperSize="5" scale="58" orientation="landscape" r:id="rId1"/>
  <headerFooter>
    <oddFooter>&amp;L&amp;Z&amp;F &amp;D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7F9C-6721-4466-989A-AEB2CFCC1999}">
  <sheetPr>
    <tabColor theme="5" tint="0.39997558519241921"/>
    <pageSetUpPr fitToPage="1"/>
  </sheetPr>
  <dimension ref="B1:AG54"/>
  <sheetViews>
    <sheetView topLeftCell="B1" zoomScale="85" zoomScaleNormal="85" workbookViewId="0">
      <selection activeCell="N22" sqref="N22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hidden="1" customWidth="1"/>
    <col min="5" max="5" width="8.140625" hidden="1" customWidth="1"/>
    <col min="6" max="6" width="12.7109375" hidden="1" customWidth="1"/>
    <col min="7" max="7" width="12.7109375" style="2" hidden="1" customWidth="1"/>
    <col min="8" max="8" width="13.85546875" style="2" customWidth="1"/>
    <col min="9" max="9" width="13.85546875" style="2" hidden="1" customWidth="1"/>
    <col min="10" max="11" width="12.140625" style="12" hidden="1" customWidth="1"/>
    <col min="12" max="12" width="11.28515625" style="288" customWidth="1"/>
    <col min="13" max="13" width="13.42578125" style="288" customWidth="1"/>
    <col min="14" max="14" width="13.28515625" style="308" customWidth="1"/>
    <col min="15" max="15" width="15.7109375" style="308" customWidth="1"/>
    <col min="16" max="16" width="11.7109375" style="288" customWidth="1"/>
    <col min="17" max="17" width="16.42578125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style="159" customWidth="1"/>
    <col min="28" max="28" width="8.5703125" style="159" customWidth="1"/>
    <col min="29" max="29" width="11.85546875" style="159" customWidth="1"/>
    <col min="30" max="30" width="12.7109375" customWidth="1"/>
  </cols>
  <sheetData>
    <row r="1" spans="2:30" ht="15.75" thickBot="1" x14ac:dyDescent="0.3">
      <c r="B1" s="2" t="s">
        <v>113</v>
      </c>
      <c r="L1" s="288">
        <v>7251</v>
      </c>
      <c r="M1" s="288">
        <v>7252</v>
      </c>
      <c r="N1" s="288">
        <v>7253</v>
      </c>
      <c r="O1" s="288">
        <v>7254</v>
      </c>
      <c r="P1" s="288">
        <v>7260.1</v>
      </c>
      <c r="Q1" s="288">
        <v>8140</v>
      </c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157">
        <v>7248</v>
      </c>
    </row>
    <row r="2" spans="2:30" ht="17.25" thickBot="1" x14ac:dyDescent="0.4">
      <c r="L2" s="289" t="s">
        <v>1</v>
      </c>
      <c r="M2" s="289" t="s">
        <v>2</v>
      </c>
      <c r="N2" s="289" t="s">
        <v>3</v>
      </c>
      <c r="O2" s="289" t="s">
        <v>4</v>
      </c>
      <c r="P2" s="289" t="s">
        <v>5</v>
      </c>
      <c r="Q2" s="289" t="s">
        <v>114</v>
      </c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90">
        <v>7432.33</v>
      </c>
      <c r="M3" s="290">
        <v>1738.27</v>
      </c>
      <c r="N3" s="290">
        <v>1878</v>
      </c>
      <c r="O3" s="290">
        <v>399.73</v>
      </c>
      <c r="P3" s="291">
        <v>1535.69</v>
      </c>
      <c r="Q3" s="291">
        <v>300.57</v>
      </c>
      <c r="R3" s="312">
        <v>3006</v>
      </c>
      <c r="S3" s="313">
        <v>3920</v>
      </c>
      <c r="T3" s="314">
        <v>676.56</v>
      </c>
      <c r="U3" s="291">
        <v>879.99</v>
      </c>
      <c r="V3" s="312">
        <v>312</v>
      </c>
      <c r="W3" s="314">
        <v>1393.15</v>
      </c>
      <c r="X3" s="314">
        <v>2321.34</v>
      </c>
      <c r="Y3" s="291">
        <v>764.51</v>
      </c>
      <c r="Z3" s="312">
        <v>3972.48</v>
      </c>
      <c r="AA3" s="311"/>
      <c r="AB3" s="315"/>
      <c r="AC3" s="324">
        <v>6645.7</v>
      </c>
      <c r="AD3" s="2"/>
    </row>
    <row r="4" spans="2:30" x14ac:dyDescent="0.25">
      <c r="L4" s="292">
        <v>1</v>
      </c>
      <c r="M4" s="292">
        <v>2</v>
      </c>
      <c r="N4" s="292">
        <v>3</v>
      </c>
      <c r="O4" s="292">
        <v>4</v>
      </c>
      <c r="P4" s="292">
        <v>5</v>
      </c>
      <c r="Q4" s="292">
        <v>6</v>
      </c>
      <c r="R4" s="292">
        <v>7</v>
      </c>
      <c r="S4" s="292">
        <v>8</v>
      </c>
      <c r="T4" s="292">
        <v>9</v>
      </c>
      <c r="U4" s="292">
        <v>10</v>
      </c>
      <c r="V4" s="292">
        <v>11</v>
      </c>
      <c r="W4" s="292">
        <v>12</v>
      </c>
      <c r="X4" s="292">
        <v>13</v>
      </c>
      <c r="Y4" s="292">
        <v>14</v>
      </c>
      <c r="Z4" s="292">
        <v>15</v>
      </c>
      <c r="AA4" s="218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92"/>
      <c r="M5" s="292"/>
      <c r="N5" s="292"/>
      <c r="O5" s="292"/>
      <c r="P5" s="292"/>
      <c r="Q5" s="292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317">
        <v>0</v>
      </c>
      <c r="I6" s="318"/>
      <c r="J6" s="118">
        <f t="shared" ref="J6:J21" si="0">H6/$I$35</f>
        <v>0</v>
      </c>
      <c r="K6" s="118">
        <f>H6/$I$37</f>
        <v>0</v>
      </c>
      <c r="L6" s="292">
        <f>J6*$L$3</f>
        <v>0</v>
      </c>
      <c r="M6" s="292">
        <f>J6*$M$3</f>
        <v>0</v>
      </c>
      <c r="N6" s="292">
        <f>J6*$N$3</f>
        <v>0</v>
      </c>
      <c r="O6" s="292">
        <f>J6*$O$3</f>
        <v>0</v>
      </c>
      <c r="P6" s="292">
        <f>J6*$P$3</f>
        <v>0</v>
      </c>
      <c r="Q6" s="292">
        <f>K6*$Q$3</f>
        <v>0</v>
      </c>
      <c r="R6" s="309">
        <f>K6*$R$3</f>
        <v>0</v>
      </c>
      <c r="S6" s="309">
        <f>K6*$S$3</f>
        <v>0</v>
      </c>
      <c r="T6" s="309">
        <f>K6*$T$3</f>
        <v>0</v>
      </c>
      <c r="U6" s="309">
        <f>K6*$U$3</f>
        <v>0</v>
      </c>
      <c r="V6" s="309">
        <f>K6*$V$3</f>
        <v>0</v>
      </c>
      <c r="W6" s="309">
        <f>K6*$W$3</f>
        <v>0</v>
      </c>
      <c r="X6" s="309">
        <f>K6*$X$3</f>
        <v>0</v>
      </c>
      <c r="Y6" s="309">
        <f>K6*$Y$3</f>
        <v>0</v>
      </c>
      <c r="Z6" s="309">
        <f>K6*$Z$3</f>
        <v>0</v>
      </c>
      <c r="AA6" s="221"/>
      <c r="AB6" s="226">
        <f t="shared" ref="AB6:AB21" si="1">H6/$H$39</f>
        <v>0</v>
      </c>
      <c r="AC6" s="261">
        <f>AB6*$AC$3</f>
        <v>0</v>
      </c>
    </row>
    <row r="7" spans="2:30" x14ac:dyDescent="0.25">
      <c r="B7" s="1">
        <v>111</v>
      </c>
      <c r="C7" t="s">
        <v>20</v>
      </c>
      <c r="D7" s="2"/>
      <c r="H7" s="214">
        <v>8175.82</v>
      </c>
      <c r="I7" s="118"/>
      <c r="J7" s="118">
        <f t="shared" si="0"/>
        <v>6.6140775520902445E-2</v>
      </c>
      <c r="K7" s="118">
        <f t="shared" ref="K7:K37" si="2">H7/$I$37</f>
        <v>6.0343151661709553E-2</v>
      </c>
      <c r="L7" s="293">
        <f t="shared" ref="L7:L35" si="3">J7*$L$3</f>
        <v>491.58007012726887</v>
      </c>
      <c r="M7" s="293">
        <f t="shared" ref="M7:M35" si="4">J7*$M$3</f>
        <v>114.97052586471909</v>
      </c>
      <c r="N7" s="293">
        <f t="shared" ref="N7:N35" si="5">J7*$N$3</f>
        <v>124.21237642825479</v>
      </c>
      <c r="O7" s="293">
        <f t="shared" ref="O7:O35" si="6">J7*$O$3</f>
        <v>26.438452198970335</v>
      </c>
      <c r="P7" s="293">
        <f t="shared" ref="P7:P35" si="7">J7*$P$3</f>
        <v>101.57172755969468</v>
      </c>
      <c r="Q7" s="292">
        <f t="shared" ref="Q7:Q36" si="8">K7*$Q$3</f>
        <v>18.137341094960039</v>
      </c>
      <c r="R7" s="309">
        <f t="shared" ref="R7:R37" si="9">K7*$R$3</f>
        <v>181.39151389509891</v>
      </c>
      <c r="S7" s="309">
        <f t="shared" ref="S7:S37" si="10">K7*$S$3</f>
        <v>236.54515451390145</v>
      </c>
      <c r="T7" s="309">
        <f t="shared" ref="T7:T37" si="11">K7*$T$3</f>
        <v>40.825762688246215</v>
      </c>
      <c r="U7" s="309">
        <f t="shared" ref="U7:U37" si="12">K7*$U$3</f>
        <v>53.101370030787791</v>
      </c>
      <c r="V7" s="309">
        <f t="shared" ref="V7:V37" si="13">K7*$V$3</f>
        <v>18.82706331845338</v>
      </c>
      <c r="W7" s="309">
        <f t="shared" ref="W7:W37" si="14">K7*$W$3</f>
        <v>84.06706173751067</v>
      </c>
      <c r="X7" s="309">
        <f t="shared" ref="X7:X37" si="15">K7*$X$3</f>
        <v>140.07697167839285</v>
      </c>
      <c r="Y7" s="309">
        <f t="shared" ref="Y7:Y37" si="16">K7*$Y$3</f>
        <v>46.132942876893573</v>
      </c>
      <c r="Z7" s="309">
        <f t="shared" ref="Z7:Z37" si="17">K7*$Z$3</f>
        <v>239.71196311310797</v>
      </c>
      <c r="AA7" s="221"/>
      <c r="AB7" s="226">
        <f t="shared" si="1"/>
        <v>3.5458738884962919E-2</v>
      </c>
      <c r="AC7" s="261">
        <f t="shared" ref="AC7:AC35" si="18">AB7*$AC$3</f>
        <v>235.64814100779807</v>
      </c>
    </row>
    <row r="8" spans="2:30" x14ac:dyDescent="0.25">
      <c r="B8" s="1" t="s">
        <v>23</v>
      </c>
      <c r="C8" t="s">
        <v>24</v>
      </c>
      <c r="D8" s="2"/>
      <c r="H8" s="214">
        <v>2314.8200000000002</v>
      </c>
      <c r="I8" s="118"/>
      <c r="J8" s="118">
        <f t="shared" si="0"/>
        <v>1.8726438447922704E-2</v>
      </c>
      <c r="K8" s="118">
        <f t="shared" si="2"/>
        <v>1.7084957145528951E-2</v>
      </c>
      <c r="L8" s="292">
        <f>J8*$L$3</f>
        <v>139.18107026964935</v>
      </c>
      <c r="M8" s="292">
        <f>J8*$M$3</f>
        <v>32.551606160870598</v>
      </c>
      <c r="N8" s="292">
        <f>J8*$N$3</f>
        <v>35.168251405198838</v>
      </c>
      <c r="O8" s="292">
        <f>J8*$O$3</f>
        <v>7.4855192407881423</v>
      </c>
      <c r="P8" s="292">
        <f>J8*$P$3</f>
        <v>28.758004260090416</v>
      </c>
      <c r="Q8" s="292">
        <f t="shared" si="8"/>
        <v>5.1352255692316371</v>
      </c>
      <c r="R8" s="309">
        <f>K8*$R$3</f>
        <v>51.357381179460027</v>
      </c>
      <c r="S8" s="309">
        <f>K8*$S$3</f>
        <v>66.973032010473489</v>
      </c>
      <c r="T8" s="309">
        <f>K8*$T$3</f>
        <v>11.558998606379067</v>
      </c>
      <c r="U8" s="309">
        <f>K8*$U$3</f>
        <v>15.034591438494022</v>
      </c>
      <c r="V8" s="309">
        <f>K8*$V$3</f>
        <v>5.3305066294050327</v>
      </c>
      <c r="W8" s="309">
        <f>K8*$W$3</f>
        <v>23.801908047293661</v>
      </c>
      <c r="X8" s="309">
        <f>K8*$X$3</f>
        <v>39.659994420202182</v>
      </c>
      <c r="Y8" s="309">
        <f>K8*$Y$3</f>
        <v>13.061620587328338</v>
      </c>
      <c r="Z8" s="309">
        <f>K8*$Z$3</f>
        <v>67.869650561470849</v>
      </c>
      <c r="AA8" s="221"/>
      <c r="AB8" s="226">
        <f t="shared" si="1"/>
        <v>1.0039433102207469E-2</v>
      </c>
      <c r="AC8" s="261">
        <f>AB8*$AC$3</f>
        <v>66.719060567340179</v>
      </c>
    </row>
    <row r="9" spans="2:30" x14ac:dyDescent="0.25">
      <c r="B9" s="1" t="s">
        <v>21</v>
      </c>
      <c r="C9" t="s">
        <v>22</v>
      </c>
      <c r="D9" s="2"/>
      <c r="H9" s="214">
        <v>0</v>
      </c>
      <c r="I9" s="118"/>
      <c r="J9" s="118">
        <f t="shared" si="0"/>
        <v>0</v>
      </c>
      <c r="K9" s="118">
        <f t="shared" si="2"/>
        <v>0</v>
      </c>
      <c r="L9" s="292">
        <f>J9*$L$3</f>
        <v>0</v>
      </c>
      <c r="M9" s="292">
        <f>J9*$M$3</f>
        <v>0</v>
      </c>
      <c r="N9" s="292">
        <f>J9*$N$3</f>
        <v>0</v>
      </c>
      <c r="O9" s="292">
        <f>J9*$O$3</f>
        <v>0</v>
      </c>
      <c r="P9" s="292">
        <f>J9*$P$3</f>
        <v>0</v>
      </c>
      <c r="Q9" s="292">
        <f t="shared" si="8"/>
        <v>0</v>
      </c>
      <c r="R9" s="309">
        <f t="shared" si="9"/>
        <v>0</v>
      </c>
      <c r="S9" s="309">
        <f t="shared" si="10"/>
        <v>0</v>
      </c>
      <c r="T9" s="309">
        <f t="shared" si="11"/>
        <v>0</v>
      </c>
      <c r="U9" s="309">
        <f t="shared" si="12"/>
        <v>0</v>
      </c>
      <c r="V9" s="309">
        <f t="shared" si="13"/>
        <v>0</v>
      </c>
      <c r="W9" s="309">
        <f t="shared" si="14"/>
        <v>0</v>
      </c>
      <c r="X9" s="309">
        <f t="shared" si="15"/>
        <v>0</v>
      </c>
      <c r="Y9" s="309">
        <f t="shared" si="16"/>
        <v>0</v>
      </c>
      <c r="Z9" s="309">
        <f t="shared" si="17"/>
        <v>0</v>
      </c>
      <c r="AA9" s="221"/>
      <c r="AB9" s="226">
        <f t="shared" si="1"/>
        <v>0</v>
      </c>
      <c r="AC9" s="261">
        <f>AB9*$AC$3</f>
        <v>0</v>
      </c>
    </row>
    <row r="10" spans="2:30" x14ac:dyDescent="0.25">
      <c r="B10" s="1" t="s">
        <v>25</v>
      </c>
      <c r="C10" t="s">
        <v>26</v>
      </c>
      <c r="D10" s="2"/>
      <c r="H10" s="214">
        <v>0</v>
      </c>
      <c r="I10" s="118"/>
      <c r="J10" s="118">
        <f t="shared" si="0"/>
        <v>0</v>
      </c>
      <c r="K10" s="118">
        <f t="shared" si="2"/>
        <v>0</v>
      </c>
      <c r="L10" s="292">
        <f t="shared" si="3"/>
        <v>0</v>
      </c>
      <c r="M10" s="292">
        <f t="shared" si="4"/>
        <v>0</v>
      </c>
      <c r="N10" s="292">
        <f t="shared" si="5"/>
        <v>0</v>
      </c>
      <c r="O10" s="292">
        <f t="shared" si="6"/>
        <v>0</v>
      </c>
      <c r="P10" s="292">
        <f t="shared" si="7"/>
        <v>0</v>
      </c>
      <c r="Q10" s="292">
        <f t="shared" si="8"/>
        <v>0</v>
      </c>
      <c r="R10" s="309">
        <f t="shared" si="9"/>
        <v>0</v>
      </c>
      <c r="S10" s="309">
        <f t="shared" si="10"/>
        <v>0</v>
      </c>
      <c r="T10" s="309">
        <f t="shared" si="11"/>
        <v>0</v>
      </c>
      <c r="U10" s="309">
        <f t="shared" si="12"/>
        <v>0</v>
      </c>
      <c r="V10" s="309">
        <f t="shared" si="13"/>
        <v>0</v>
      </c>
      <c r="W10" s="309">
        <f t="shared" si="14"/>
        <v>0</v>
      </c>
      <c r="X10" s="309">
        <f t="shared" si="15"/>
        <v>0</v>
      </c>
      <c r="Y10" s="309">
        <f t="shared" si="16"/>
        <v>0</v>
      </c>
      <c r="Z10" s="309">
        <f t="shared" si="17"/>
        <v>0</v>
      </c>
      <c r="AA10" s="221"/>
      <c r="AB10" s="226">
        <f t="shared" si="1"/>
        <v>0</v>
      </c>
      <c r="AC10" s="261">
        <f t="shared" si="18"/>
        <v>0</v>
      </c>
    </row>
    <row r="11" spans="2:30" x14ac:dyDescent="0.25">
      <c r="B11" s="1">
        <v>112</v>
      </c>
      <c r="C11" t="s">
        <v>27</v>
      </c>
      <c r="D11" s="2"/>
      <c r="H11" s="214">
        <v>26478.15</v>
      </c>
      <c r="I11" s="118"/>
      <c r="J11" s="118">
        <f t="shared" si="0"/>
        <v>0.21420302493924562</v>
      </c>
      <c r="K11" s="118">
        <f t="shared" si="2"/>
        <v>0.19542688331830874</v>
      </c>
      <c r="L11" s="292">
        <f t="shared" si="3"/>
        <v>1592.0275683467034</v>
      </c>
      <c r="M11" s="292">
        <f t="shared" si="4"/>
        <v>372.34269216114245</v>
      </c>
      <c r="N11" s="292">
        <f t="shared" si="5"/>
        <v>402.27328083590328</v>
      </c>
      <c r="O11" s="292">
        <f t="shared" si="6"/>
        <v>85.623375158964649</v>
      </c>
      <c r="P11" s="292">
        <f t="shared" si="7"/>
        <v>328.94944336895014</v>
      </c>
      <c r="Q11" s="292">
        <f t="shared" si="8"/>
        <v>58.739458318984056</v>
      </c>
      <c r="R11" s="309">
        <f t="shared" si="9"/>
        <v>587.45321125483611</v>
      </c>
      <c r="S11" s="309">
        <f t="shared" si="10"/>
        <v>766.07338260777021</v>
      </c>
      <c r="T11" s="309">
        <f t="shared" si="11"/>
        <v>132.21801217783494</v>
      </c>
      <c r="U11" s="309">
        <f t="shared" si="12"/>
        <v>171.97370305127851</v>
      </c>
      <c r="V11" s="309">
        <f t="shared" si="13"/>
        <v>60.973187595312325</v>
      </c>
      <c r="W11" s="309">
        <f t="shared" si="14"/>
        <v>272.25896249490182</v>
      </c>
      <c r="X11" s="309">
        <f t="shared" si="15"/>
        <v>453.65224132212285</v>
      </c>
      <c r="Y11" s="309">
        <f t="shared" si="16"/>
        <v>149.40580656568022</v>
      </c>
      <c r="Z11" s="309">
        <f t="shared" si="17"/>
        <v>776.32938544431511</v>
      </c>
      <c r="AA11" s="221"/>
      <c r="AB11" s="226">
        <f t="shared" si="1"/>
        <v>0.11483640870357725</v>
      </c>
      <c r="AC11" s="261">
        <f t="shared" si="18"/>
        <v>763.16832132136335</v>
      </c>
    </row>
    <row r="12" spans="2:30" ht="15.75" thickBot="1" x14ac:dyDescent="0.3">
      <c r="B12" s="1">
        <v>114</v>
      </c>
      <c r="C12" t="s">
        <v>28</v>
      </c>
      <c r="D12" s="2"/>
      <c r="H12" s="214">
        <v>10446.9</v>
      </c>
      <c r="I12" s="118"/>
      <c r="J12" s="118">
        <f t="shared" si="0"/>
        <v>8.4513365972993013E-2</v>
      </c>
      <c r="K12" s="118">
        <f t="shared" si="2"/>
        <v>7.7105277647344678E-2</v>
      </c>
      <c r="L12" s="292">
        <f t="shared" si="3"/>
        <v>628.13122532205512</v>
      </c>
      <c r="M12" s="292">
        <f t="shared" si="4"/>
        <v>146.90704866987457</v>
      </c>
      <c r="N12" s="292">
        <f t="shared" si="5"/>
        <v>158.71610129728089</v>
      </c>
      <c r="O12" s="292">
        <f t="shared" si="6"/>
        <v>33.782527780384498</v>
      </c>
      <c r="P12" s="292">
        <f t="shared" si="7"/>
        <v>129.78633099106565</v>
      </c>
      <c r="Q12" s="292">
        <f t="shared" si="8"/>
        <v>23.175533302462391</v>
      </c>
      <c r="R12" s="309">
        <f t="shared" si="9"/>
        <v>231.7784646079181</v>
      </c>
      <c r="S12" s="309">
        <f t="shared" si="10"/>
        <v>302.25268837759114</v>
      </c>
      <c r="T12" s="309">
        <f t="shared" si="11"/>
        <v>52.166346645087508</v>
      </c>
      <c r="U12" s="309">
        <f t="shared" si="12"/>
        <v>67.851873276886849</v>
      </c>
      <c r="V12" s="309">
        <f t="shared" si="13"/>
        <v>24.056846625971538</v>
      </c>
      <c r="W12" s="309">
        <f t="shared" si="14"/>
        <v>107.41921755439824</v>
      </c>
      <c r="X12" s="309">
        <f t="shared" si="15"/>
        <v>178.98756521388711</v>
      </c>
      <c r="Y12" s="309">
        <f t="shared" si="16"/>
        <v>58.947755814171479</v>
      </c>
      <c r="Z12" s="309">
        <f t="shared" si="17"/>
        <v>306.29917334852377</v>
      </c>
      <c r="AA12" s="221"/>
      <c r="AB12" s="226">
        <f t="shared" si="1"/>
        <v>4.5308470496821004E-2</v>
      </c>
      <c r="AC12" s="261">
        <f t="shared" si="18"/>
        <v>301.10650238072333</v>
      </c>
    </row>
    <row r="13" spans="2:30" ht="15.75" thickBot="1" x14ac:dyDescent="0.3">
      <c r="B13" s="1">
        <v>222</v>
      </c>
      <c r="C13" t="s">
        <v>29</v>
      </c>
      <c r="D13" s="2"/>
      <c r="H13" s="213">
        <v>2480.65</v>
      </c>
      <c r="I13" s="118"/>
      <c r="J13" s="118">
        <f t="shared" si="0"/>
        <v>2.0067970527228664E-2</v>
      </c>
      <c r="K13" s="118">
        <f t="shared" si="2"/>
        <v>1.8308896131473028E-2</v>
      </c>
      <c r="L13" s="292">
        <f t="shared" si="3"/>
        <v>149.15177938863741</v>
      </c>
      <c r="M13" s="292">
        <f t="shared" si="4"/>
        <v>34.883551128365767</v>
      </c>
      <c r="N13" s="292">
        <f t="shared" si="5"/>
        <v>37.687648650135429</v>
      </c>
      <c r="O13" s="292">
        <f t="shared" si="6"/>
        <v>8.0217698588491135</v>
      </c>
      <c r="P13" s="292">
        <f t="shared" si="7"/>
        <v>30.818181658959787</v>
      </c>
      <c r="Q13" s="292">
        <f t="shared" si="8"/>
        <v>5.5031049102368481</v>
      </c>
      <c r="R13" s="309">
        <f t="shared" si="9"/>
        <v>55.036541771207922</v>
      </c>
      <c r="S13" s="309">
        <f t="shared" si="10"/>
        <v>71.770872835374277</v>
      </c>
      <c r="T13" s="309">
        <f t="shared" si="11"/>
        <v>12.387066766709392</v>
      </c>
      <c r="U13" s="309">
        <f t="shared" si="12"/>
        <v>16.111645506734952</v>
      </c>
      <c r="V13" s="309">
        <f t="shared" si="13"/>
        <v>5.7123755930195852</v>
      </c>
      <c r="W13" s="309">
        <f t="shared" si="14"/>
        <v>25.50703864556165</v>
      </c>
      <c r="X13" s="309">
        <f t="shared" si="15"/>
        <v>42.501172945833602</v>
      </c>
      <c r="Y13" s="309">
        <f t="shared" si="16"/>
        <v>13.997334181472445</v>
      </c>
      <c r="Z13" s="309">
        <f t="shared" si="17"/>
        <v>72.731723704353982</v>
      </c>
      <c r="AA13" s="221"/>
      <c r="AB13" s="226">
        <f t="shared" si="1"/>
        <v>1.0758642021837964E-2</v>
      </c>
      <c r="AC13" s="261">
        <f t="shared" si="18"/>
        <v>71.498707284528564</v>
      </c>
    </row>
    <row r="14" spans="2:30" ht="15.75" thickBot="1" x14ac:dyDescent="0.3">
      <c r="B14" s="1">
        <v>223</v>
      </c>
      <c r="C14" t="s">
        <v>30</v>
      </c>
      <c r="D14" s="2"/>
      <c r="H14" s="215">
        <v>0</v>
      </c>
      <c r="I14" s="115"/>
      <c r="J14" s="118">
        <f t="shared" si="0"/>
        <v>0</v>
      </c>
      <c r="K14" s="118">
        <f t="shared" si="2"/>
        <v>0</v>
      </c>
      <c r="L14" s="293">
        <f t="shared" si="3"/>
        <v>0</v>
      </c>
      <c r="M14" s="293">
        <f t="shared" si="4"/>
        <v>0</v>
      </c>
      <c r="N14" s="293">
        <f t="shared" si="5"/>
        <v>0</v>
      </c>
      <c r="O14" s="293">
        <f t="shared" si="6"/>
        <v>0</v>
      </c>
      <c r="P14" s="293">
        <f t="shared" si="7"/>
        <v>0</v>
      </c>
      <c r="Q14" s="292">
        <f t="shared" si="8"/>
        <v>0</v>
      </c>
      <c r="R14" s="309">
        <f t="shared" si="9"/>
        <v>0</v>
      </c>
      <c r="S14" s="309">
        <f t="shared" si="10"/>
        <v>0</v>
      </c>
      <c r="T14" s="309">
        <f t="shared" si="11"/>
        <v>0</v>
      </c>
      <c r="U14" s="309">
        <f t="shared" si="12"/>
        <v>0</v>
      </c>
      <c r="V14" s="309">
        <f t="shared" si="13"/>
        <v>0</v>
      </c>
      <c r="W14" s="309">
        <f t="shared" si="14"/>
        <v>0</v>
      </c>
      <c r="X14" s="309">
        <f t="shared" si="15"/>
        <v>0</v>
      </c>
      <c r="Y14" s="309">
        <f t="shared" si="16"/>
        <v>0</v>
      </c>
      <c r="Z14" s="309">
        <f t="shared" si="17"/>
        <v>0</v>
      </c>
      <c r="AA14" s="225"/>
      <c r="AB14" s="215">
        <f t="shared" si="1"/>
        <v>0</v>
      </c>
      <c r="AC14" s="268">
        <f t="shared" si="18"/>
        <v>0</v>
      </c>
    </row>
    <row r="15" spans="2:30" x14ac:dyDescent="0.25">
      <c r="B15" s="1">
        <v>334</v>
      </c>
      <c r="C15" s="230" t="s">
        <v>73</v>
      </c>
      <c r="D15" s="231"/>
      <c r="E15" s="230"/>
      <c r="F15" s="230"/>
      <c r="G15" s="231"/>
      <c r="H15" s="118">
        <v>0</v>
      </c>
      <c r="I15" s="118"/>
      <c r="J15" s="118">
        <f t="shared" si="0"/>
        <v>0</v>
      </c>
      <c r="K15" s="118">
        <f t="shared" si="2"/>
        <v>0</v>
      </c>
      <c r="L15" s="292">
        <f>J15*$L$3</f>
        <v>0</v>
      </c>
      <c r="M15" s="292">
        <f>J15*$M$3</f>
        <v>0</v>
      </c>
      <c r="N15" s="292">
        <f>J15*$N$3</f>
        <v>0</v>
      </c>
      <c r="O15" s="292">
        <f>J15*$O$3</f>
        <v>0</v>
      </c>
      <c r="P15" s="292">
        <f>J15*$P$3</f>
        <v>0</v>
      </c>
      <c r="Q15" s="292">
        <f t="shared" si="8"/>
        <v>0</v>
      </c>
      <c r="R15" s="309">
        <f t="shared" si="9"/>
        <v>0</v>
      </c>
      <c r="S15" s="309">
        <f t="shared" si="10"/>
        <v>0</v>
      </c>
      <c r="T15" s="309">
        <f t="shared" si="11"/>
        <v>0</v>
      </c>
      <c r="U15" s="309">
        <f t="shared" si="12"/>
        <v>0</v>
      </c>
      <c r="V15" s="309">
        <f t="shared" si="13"/>
        <v>0</v>
      </c>
      <c r="W15" s="309">
        <f t="shared" si="14"/>
        <v>0</v>
      </c>
      <c r="X15" s="309">
        <f t="shared" si="15"/>
        <v>0</v>
      </c>
      <c r="Y15" s="309">
        <f t="shared" si="16"/>
        <v>0</v>
      </c>
      <c r="Z15" s="309">
        <f t="shared" si="17"/>
        <v>0</v>
      </c>
      <c r="AA15" s="221"/>
      <c r="AB15" s="226">
        <f t="shared" si="1"/>
        <v>0</v>
      </c>
      <c r="AC15" s="261">
        <f>AB15*$AC$3</f>
        <v>0</v>
      </c>
    </row>
    <row r="16" spans="2:30" x14ac:dyDescent="0.25">
      <c r="B16" s="1" t="s">
        <v>35</v>
      </c>
      <c r="C16" s="230" t="s">
        <v>36</v>
      </c>
      <c r="D16" s="231"/>
      <c r="E16" s="234"/>
      <c r="F16" s="234"/>
      <c r="G16" s="231"/>
      <c r="H16" s="118">
        <v>1207.5</v>
      </c>
      <c r="I16" s="318"/>
      <c r="J16" s="118">
        <f t="shared" si="0"/>
        <v>9.7684374706744643E-3</v>
      </c>
      <c r="K16" s="118">
        <f t="shared" si="2"/>
        <v>8.9121770821170582E-3</v>
      </c>
      <c r="L16" s="292">
        <f t="shared" si="3"/>
        <v>72.602250866417947</v>
      </c>
      <c r="M16" s="292">
        <f t="shared" si="4"/>
        <v>16.9801818021493</v>
      </c>
      <c r="N16" s="292">
        <f t="shared" si="5"/>
        <v>18.345125569926644</v>
      </c>
      <c r="O16" s="292">
        <f t="shared" si="6"/>
        <v>3.904737510152704</v>
      </c>
      <c r="P16" s="292">
        <f t="shared" si="7"/>
        <v>15.001291739340068</v>
      </c>
      <c r="Q16" s="292">
        <f t="shared" si="8"/>
        <v>2.6787330655719241</v>
      </c>
      <c r="R16" s="309">
        <f t="shared" si="9"/>
        <v>26.790004308843876</v>
      </c>
      <c r="S16" s="309">
        <f t="shared" si="10"/>
        <v>34.935734161898871</v>
      </c>
      <c r="T16" s="309">
        <f t="shared" si="11"/>
        <v>6.0296225266771168</v>
      </c>
      <c r="U16" s="309">
        <f t="shared" si="12"/>
        <v>7.8426267104921905</v>
      </c>
      <c r="V16" s="309">
        <f t="shared" si="13"/>
        <v>2.7805992496205221</v>
      </c>
      <c r="W16" s="309">
        <f t="shared" si="14"/>
        <v>12.415999501951381</v>
      </c>
      <c r="X16" s="309">
        <f t="shared" si="15"/>
        <v>20.688193147801613</v>
      </c>
      <c r="Y16" s="309">
        <f t="shared" si="16"/>
        <v>6.8134485010493124</v>
      </c>
      <c r="Z16" s="309">
        <f t="shared" si="17"/>
        <v>35.403445215168375</v>
      </c>
      <c r="AA16" s="221"/>
      <c r="AB16" s="226">
        <f t="shared" si="1"/>
        <v>5.2369581526492412E-3</v>
      </c>
      <c r="AC16" s="261">
        <f t="shared" si="18"/>
        <v>34.803252795061063</v>
      </c>
    </row>
    <row r="17" spans="2:29" x14ac:dyDescent="0.25">
      <c r="B17" s="1" t="s">
        <v>37</v>
      </c>
      <c r="C17" s="230" t="s">
        <v>38</v>
      </c>
      <c r="D17" s="231"/>
      <c r="E17" s="230"/>
      <c r="F17" s="230"/>
      <c r="G17" s="231"/>
      <c r="H17" s="15">
        <v>0</v>
      </c>
      <c r="I17" s="118"/>
      <c r="J17" s="118">
        <f t="shared" si="0"/>
        <v>0</v>
      </c>
      <c r="K17" s="118">
        <f t="shared" si="2"/>
        <v>0</v>
      </c>
      <c r="L17" s="292">
        <f t="shared" si="3"/>
        <v>0</v>
      </c>
      <c r="M17" s="292">
        <f t="shared" si="4"/>
        <v>0</v>
      </c>
      <c r="N17" s="292">
        <f t="shared" si="5"/>
        <v>0</v>
      </c>
      <c r="O17" s="292">
        <f t="shared" si="6"/>
        <v>0</v>
      </c>
      <c r="P17" s="292">
        <f t="shared" si="7"/>
        <v>0</v>
      </c>
      <c r="Q17" s="292">
        <f t="shared" si="8"/>
        <v>0</v>
      </c>
      <c r="R17" s="309">
        <f t="shared" si="9"/>
        <v>0</v>
      </c>
      <c r="S17" s="309">
        <f t="shared" si="10"/>
        <v>0</v>
      </c>
      <c r="T17" s="309">
        <f t="shared" si="11"/>
        <v>0</v>
      </c>
      <c r="U17" s="309">
        <f t="shared" si="12"/>
        <v>0</v>
      </c>
      <c r="V17" s="309">
        <f t="shared" si="13"/>
        <v>0</v>
      </c>
      <c r="W17" s="309">
        <f t="shared" si="14"/>
        <v>0</v>
      </c>
      <c r="X17" s="309">
        <f t="shared" si="15"/>
        <v>0</v>
      </c>
      <c r="Y17" s="309">
        <f t="shared" si="16"/>
        <v>0</v>
      </c>
      <c r="Z17" s="309">
        <f t="shared" si="17"/>
        <v>0</v>
      </c>
      <c r="AA17" s="221"/>
      <c r="AB17" s="226">
        <f t="shared" si="1"/>
        <v>0</v>
      </c>
      <c r="AC17" s="261">
        <f t="shared" si="18"/>
        <v>0</v>
      </c>
    </row>
    <row r="18" spans="2:29" x14ac:dyDescent="0.25">
      <c r="B18" s="1">
        <v>335</v>
      </c>
      <c r="C18" s="230" t="s">
        <v>39</v>
      </c>
      <c r="D18" s="231"/>
      <c r="E18" s="230"/>
      <c r="F18" s="230"/>
      <c r="G18" s="231"/>
      <c r="H18" s="118">
        <v>3134.45</v>
      </c>
      <c r="I18" s="118"/>
      <c r="J18" s="118">
        <f t="shared" si="0"/>
        <v>2.5357083917147475E-2</v>
      </c>
      <c r="K18" s="118">
        <f t="shared" si="2"/>
        <v>2.3134387954485972E-2</v>
      </c>
      <c r="L18" s="292">
        <f t="shared" si="3"/>
        <v>188.46221550993269</v>
      </c>
      <c r="M18" s="292">
        <f t="shared" si="4"/>
        <v>44.077458260659938</v>
      </c>
      <c r="N18" s="292">
        <f t="shared" si="5"/>
        <v>47.620603596402958</v>
      </c>
      <c r="O18" s="292">
        <f t="shared" si="6"/>
        <v>10.135987154201361</v>
      </c>
      <c r="P18" s="292">
        <f t="shared" si="7"/>
        <v>38.940620200724204</v>
      </c>
      <c r="Q18" s="292">
        <f t="shared" si="8"/>
        <v>6.9535029874798484</v>
      </c>
      <c r="R18" s="309">
        <f t="shared" si="9"/>
        <v>69.541970191184831</v>
      </c>
      <c r="S18" s="309">
        <f t="shared" si="10"/>
        <v>90.686800781585006</v>
      </c>
      <c r="T18" s="309">
        <f t="shared" si="11"/>
        <v>15.651801514487028</v>
      </c>
      <c r="U18" s="309">
        <f t="shared" si="12"/>
        <v>20.35803005606811</v>
      </c>
      <c r="V18" s="309">
        <f t="shared" si="13"/>
        <v>7.2179290417996231</v>
      </c>
      <c r="W18" s="309">
        <f t="shared" si="14"/>
        <v>32.229672578792133</v>
      </c>
      <c r="X18" s="309">
        <f t="shared" si="15"/>
        <v>53.702780134266469</v>
      </c>
      <c r="Y18" s="309">
        <f t="shared" si="16"/>
        <v>17.686470935084071</v>
      </c>
      <c r="Z18" s="309">
        <f t="shared" si="17"/>
        <v>91.900893461436439</v>
      </c>
      <c r="AA18" s="221"/>
      <c r="AB18" s="226">
        <f t="shared" si="1"/>
        <v>1.3594189218692683E-2</v>
      </c>
      <c r="AC18" s="261">
        <f t="shared" si="18"/>
        <v>90.342903290665959</v>
      </c>
    </row>
    <row r="19" spans="2:29" ht="15.75" thickBot="1" x14ac:dyDescent="0.3">
      <c r="B19" s="1">
        <v>368</v>
      </c>
      <c r="C19" t="s">
        <v>40</v>
      </c>
      <c r="D19" s="2"/>
      <c r="H19" s="214">
        <v>2615.1999999999998</v>
      </c>
      <c r="I19" s="118"/>
      <c r="J19" s="118">
        <f t="shared" si="0"/>
        <v>2.1156453559675246E-2</v>
      </c>
      <c r="K19" s="118">
        <f t="shared" si="2"/>
        <v>1.9301967292051782E-2</v>
      </c>
      <c r="L19" s="292">
        <f>J19*$L$3</f>
        <v>157.24174448518113</v>
      </c>
      <c r="M19" s="292">
        <f>J19*$M$3</f>
        <v>36.775628529176686</v>
      </c>
      <c r="N19" s="292">
        <f>J19*$N$3</f>
        <v>39.731819785070108</v>
      </c>
      <c r="O19" s="292">
        <f>J19*$O$3</f>
        <v>8.4568691814089867</v>
      </c>
      <c r="P19" s="292">
        <f>J19*$P$3</f>
        <v>32.489754167057683</v>
      </c>
      <c r="Q19" s="292">
        <f t="shared" si="8"/>
        <v>5.8015923089720038</v>
      </c>
      <c r="R19" s="309">
        <f t="shared" si="9"/>
        <v>58.021713679907656</v>
      </c>
      <c r="S19" s="309">
        <f t="shared" si="10"/>
        <v>75.663711784842988</v>
      </c>
      <c r="T19" s="309">
        <f t="shared" si="11"/>
        <v>13.058938991110553</v>
      </c>
      <c r="U19" s="309">
        <f t="shared" si="12"/>
        <v>16.985538197332648</v>
      </c>
      <c r="V19" s="309">
        <f t="shared" si="13"/>
        <v>6.0222137951201562</v>
      </c>
      <c r="W19" s="309">
        <f t="shared" si="14"/>
        <v>26.89053573292194</v>
      </c>
      <c r="X19" s="309">
        <f t="shared" si="15"/>
        <v>44.806428753731488</v>
      </c>
      <c r="Y19" s="309">
        <f t="shared" si="16"/>
        <v>14.756547014446507</v>
      </c>
      <c r="Z19" s="309">
        <f t="shared" si="17"/>
        <v>76.676679028329858</v>
      </c>
      <c r="AA19" s="221"/>
      <c r="AB19" s="226">
        <f t="shared" si="1"/>
        <v>1.1342188787418878E-2</v>
      </c>
      <c r="AC19" s="261">
        <f>AB19*$AC$3</f>
        <v>75.376784024549636</v>
      </c>
    </row>
    <row r="20" spans="2:29" ht="15.75" thickBot="1" x14ac:dyDescent="0.3">
      <c r="B20" s="1">
        <v>451</v>
      </c>
      <c r="C20" s="107" t="s">
        <v>41</v>
      </c>
      <c r="D20" s="81"/>
      <c r="E20" s="107"/>
      <c r="F20" s="107"/>
      <c r="G20" s="81"/>
      <c r="H20" s="175">
        <v>17145.830000000002</v>
      </c>
      <c r="I20" s="89"/>
      <c r="J20" s="89">
        <f t="shared" si="0"/>
        <v>0.13870639191537423</v>
      </c>
      <c r="K20" s="89">
        <f t="shared" si="2"/>
        <v>0.12654796950714298</v>
      </c>
      <c r="L20" s="297">
        <f t="shared" si="3"/>
        <v>1030.9116778243933</v>
      </c>
      <c r="M20" s="297">
        <f t="shared" si="4"/>
        <v>241.10915987473757</v>
      </c>
      <c r="N20" s="297">
        <f t="shared" si="5"/>
        <v>260.49060401707283</v>
      </c>
      <c r="O20" s="297">
        <f t="shared" si="6"/>
        <v>55.445106040332547</v>
      </c>
      <c r="P20" s="297">
        <f t="shared" si="7"/>
        <v>213.01001900052105</v>
      </c>
      <c r="Q20" s="297">
        <f t="shared" si="8"/>
        <v>38.036523194761962</v>
      </c>
      <c r="R20" s="325">
        <f t="shared" si="9"/>
        <v>380.40319633847179</v>
      </c>
      <c r="S20" s="325">
        <f t="shared" si="10"/>
        <v>496.06804046800045</v>
      </c>
      <c r="T20" s="325">
        <f t="shared" si="11"/>
        <v>85.617294249752646</v>
      </c>
      <c r="U20" s="325">
        <f>K20*$U$3</f>
        <v>111.36094768659075</v>
      </c>
      <c r="V20" s="325">
        <f t="shared" si="13"/>
        <v>39.482966486228605</v>
      </c>
      <c r="W20" s="325">
        <f t="shared" si="14"/>
        <v>176.30030371887625</v>
      </c>
      <c r="X20" s="325">
        <f t="shared" si="15"/>
        <v>293.76086353571128</v>
      </c>
      <c r="Y20" s="325">
        <f t="shared" si="16"/>
        <v>96.747188167905875</v>
      </c>
      <c r="Z20" s="325">
        <f t="shared" si="17"/>
        <v>502.70927790773533</v>
      </c>
      <c r="AA20" s="179"/>
      <c r="AB20" s="177">
        <f t="shared" si="1"/>
        <v>7.4361899960611141E-2</v>
      </c>
      <c r="AC20" s="178">
        <f t="shared" si="18"/>
        <v>494.18687856823345</v>
      </c>
    </row>
    <row r="21" spans="2:29" x14ac:dyDescent="0.25">
      <c r="B21" s="1">
        <v>452</v>
      </c>
      <c r="C21" t="s">
        <v>42</v>
      </c>
      <c r="D21" s="2"/>
      <c r="H21" s="214">
        <v>2250</v>
      </c>
      <c r="I21" s="118"/>
      <c r="J21" s="118">
        <f t="shared" si="0"/>
        <v>1.8202057398772294E-2</v>
      </c>
      <c r="K21" s="118">
        <f t="shared" si="2"/>
        <v>1.6606541146801972E-2</v>
      </c>
      <c r="L21" s="292">
        <f t="shared" si="3"/>
        <v>135.28369726661728</v>
      </c>
      <c r="M21" s="292">
        <f t="shared" si="4"/>
        <v>31.640090314563913</v>
      </c>
      <c r="N21" s="292">
        <f t="shared" si="5"/>
        <v>34.183463794894365</v>
      </c>
      <c r="O21" s="292">
        <f t="shared" si="6"/>
        <v>7.2759084040112496</v>
      </c>
      <c r="P21" s="292">
        <f t="shared" si="7"/>
        <v>27.952717526720626</v>
      </c>
      <c r="Q21" s="292">
        <f t="shared" si="8"/>
        <v>4.9914280724942683</v>
      </c>
      <c r="R21" s="309">
        <f t="shared" si="9"/>
        <v>49.919262687286732</v>
      </c>
      <c r="S21" s="309">
        <f t="shared" si="10"/>
        <v>65.097641295463731</v>
      </c>
      <c r="T21" s="309">
        <f t="shared" si="11"/>
        <v>11.235321478280342</v>
      </c>
      <c r="U21" s="309">
        <f t="shared" si="12"/>
        <v>14.613590143774267</v>
      </c>
      <c r="V21" s="309">
        <f t="shared" si="13"/>
        <v>5.181240837802215</v>
      </c>
      <c r="W21" s="309">
        <f t="shared" si="14"/>
        <v>23.135402798667169</v>
      </c>
      <c r="X21" s="309">
        <f t="shared" si="15"/>
        <v>38.549428225717293</v>
      </c>
      <c r="Y21" s="309">
        <f t="shared" si="16"/>
        <v>12.695866772141576</v>
      </c>
      <c r="Z21" s="309">
        <f t="shared" si="17"/>
        <v>65.969152574847897</v>
      </c>
      <c r="AA21" s="221"/>
      <c r="AB21" s="226">
        <f t="shared" si="1"/>
        <v>9.7583071167377175E-3</v>
      </c>
      <c r="AC21" s="261">
        <f t="shared" si="18"/>
        <v>64.850781605703844</v>
      </c>
    </row>
    <row r="22" spans="2:29" x14ac:dyDescent="0.25">
      <c r="B22" s="1">
        <v>454</v>
      </c>
      <c r="C22" t="s">
        <v>43</v>
      </c>
      <c r="D22" s="2"/>
      <c r="H22" s="214"/>
      <c r="I22" s="118"/>
      <c r="J22" s="118"/>
      <c r="K22" s="118">
        <f t="shared" si="2"/>
        <v>0</v>
      </c>
      <c r="L22" s="292"/>
      <c r="M22" s="292"/>
      <c r="N22" s="292"/>
      <c r="O22" s="292"/>
      <c r="P22" s="292"/>
      <c r="Q22" s="292">
        <f t="shared" si="8"/>
        <v>0</v>
      </c>
      <c r="R22" s="309">
        <f t="shared" si="9"/>
        <v>0</v>
      </c>
      <c r="S22" s="309">
        <f t="shared" si="10"/>
        <v>0</v>
      </c>
      <c r="T22" s="309">
        <f t="shared" si="11"/>
        <v>0</v>
      </c>
      <c r="U22" s="309">
        <f t="shared" si="12"/>
        <v>0</v>
      </c>
      <c r="V22" s="309">
        <f t="shared" si="13"/>
        <v>0</v>
      </c>
      <c r="W22" s="309">
        <f t="shared" si="14"/>
        <v>0</v>
      </c>
      <c r="X22" s="309">
        <f t="shared" si="15"/>
        <v>0</v>
      </c>
      <c r="Y22" s="309">
        <f t="shared" si="16"/>
        <v>0</v>
      </c>
      <c r="Z22" s="309">
        <f t="shared" si="17"/>
        <v>0</v>
      </c>
      <c r="AA22" s="221"/>
      <c r="AB22" s="226"/>
      <c r="AC22" s="261"/>
    </row>
    <row r="23" spans="2:29" x14ac:dyDescent="0.25">
      <c r="B23" s="1">
        <v>467</v>
      </c>
      <c r="C23" t="s">
        <v>44</v>
      </c>
      <c r="D23" s="2"/>
      <c r="H23" s="214">
        <v>7211.73</v>
      </c>
      <c r="I23" s="118"/>
      <c r="J23" s="118">
        <f t="shared" ref="J23:J35" si="19">H23/$I$35</f>
        <v>5.8341477068643607E-2</v>
      </c>
      <c r="K23" s="118">
        <f t="shared" si="2"/>
        <v>5.3227507104278302E-2</v>
      </c>
      <c r="L23" s="292">
        <f>J23*$L$3</f>
        <v>433.61311026159194</v>
      </c>
      <c r="M23" s="292">
        <f>J23*$M$3</f>
        <v>101.41323934411112</v>
      </c>
      <c r="N23" s="292">
        <f>J23*$N$3</f>
        <v>109.56529393491269</v>
      </c>
      <c r="O23" s="292">
        <f>J23*$O$3</f>
        <v>23.320838628648911</v>
      </c>
      <c r="P23" s="292">
        <f>J23*$P$3</f>
        <v>89.594422919545309</v>
      </c>
      <c r="Q23" s="292">
        <f t="shared" si="8"/>
        <v>15.998591810332929</v>
      </c>
      <c r="R23" s="309">
        <f t="shared" si="9"/>
        <v>160.00188635546058</v>
      </c>
      <c r="S23" s="309">
        <f t="shared" si="10"/>
        <v>208.65182784877095</v>
      </c>
      <c r="T23" s="309">
        <f t="shared" si="11"/>
        <v>36.011602206470528</v>
      </c>
      <c r="U23" s="309">
        <f t="shared" si="12"/>
        <v>46.839673976693867</v>
      </c>
      <c r="V23" s="309">
        <f t="shared" si="13"/>
        <v>16.606982216534831</v>
      </c>
      <c r="W23" s="309">
        <f t="shared" si="14"/>
        <v>74.153901522325327</v>
      </c>
      <c r="X23" s="309">
        <f t="shared" si="15"/>
        <v>123.5591413414454</v>
      </c>
      <c r="Y23" s="309">
        <f t="shared" si="16"/>
        <v>40.692961456291805</v>
      </c>
      <c r="Z23" s="309">
        <f t="shared" si="17"/>
        <v>211.44520742160347</v>
      </c>
      <c r="AA23" s="221"/>
      <c r="AB23" s="226">
        <f t="shared" ref="AB23:AB35" si="20">H23/$H$39</f>
        <v>3.1277456081329286E-2</v>
      </c>
      <c r="AC23" s="261">
        <f>AB23*$AC$3</f>
        <v>207.86058987969002</v>
      </c>
    </row>
    <row r="24" spans="2:29" x14ac:dyDescent="0.25">
      <c r="B24" s="1">
        <v>468</v>
      </c>
      <c r="C24" t="s">
        <v>45</v>
      </c>
      <c r="D24" s="2"/>
      <c r="H24" s="214">
        <v>6307.7</v>
      </c>
      <c r="I24" s="118"/>
      <c r="J24" s="118">
        <f t="shared" si="19"/>
        <v>5.1028052201882668E-2</v>
      </c>
      <c r="K24" s="118">
        <f t="shared" si="2"/>
        <v>4.655514648519235E-2</v>
      </c>
      <c r="L24" s="292">
        <f>J24*$L$3</f>
        <v>379.25732322161861</v>
      </c>
      <c r="M24" s="292">
        <f>J24*$M$3</f>
        <v>88.700532300966586</v>
      </c>
      <c r="N24" s="292">
        <f>J24*$N$3</f>
        <v>95.830682035135652</v>
      </c>
      <c r="O24" s="292">
        <f>J24*$O$3</f>
        <v>20.397443306658559</v>
      </c>
      <c r="P24" s="292">
        <f>J24*$P$3</f>
        <v>78.3632694859092</v>
      </c>
      <c r="Q24" s="292">
        <f t="shared" si="8"/>
        <v>13.993080379054264</v>
      </c>
      <c r="R24" s="309">
        <f t="shared" si="9"/>
        <v>139.9447703344882</v>
      </c>
      <c r="S24" s="309">
        <f t="shared" si="10"/>
        <v>182.49617422195402</v>
      </c>
      <c r="T24" s="309">
        <f t="shared" si="11"/>
        <v>31.497349906021736</v>
      </c>
      <c r="U24" s="309">
        <f t="shared" si="12"/>
        <v>40.96806335550442</v>
      </c>
      <c r="V24" s="309">
        <f t="shared" si="13"/>
        <v>14.525205703380013</v>
      </c>
      <c r="W24" s="309">
        <f t="shared" si="14"/>
        <v>64.858302325845727</v>
      </c>
      <c r="X24" s="309">
        <f t="shared" si="15"/>
        <v>108.07032374193642</v>
      </c>
      <c r="Y24" s="309">
        <f t="shared" si="16"/>
        <v>35.591875039394402</v>
      </c>
      <c r="Z24" s="309">
        <f t="shared" si="17"/>
        <v>184.93938830949691</v>
      </c>
      <c r="AA24" s="221"/>
      <c r="AB24" s="226">
        <f t="shared" si="20"/>
        <v>2.7356655022331776E-2</v>
      </c>
      <c r="AC24" s="261">
        <f>AB24*$AC$3</f>
        <v>181.80412228191028</v>
      </c>
    </row>
    <row r="25" spans="2:29" x14ac:dyDescent="0.25">
      <c r="B25" s="1">
        <v>502</v>
      </c>
      <c r="C25" t="s">
        <v>46</v>
      </c>
      <c r="D25" s="2"/>
      <c r="H25" s="214">
        <v>1810.75</v>
      </c>
      <c r="I25" s="118"/>
      <c r="J25" s="118">
        <f t="shared" si="19"/>
        <v>1.4648611304367525E-2</v>
      </c>
      <c r="K25" s="118">
        <f t="shared" si="2"/>
        <v>1.336457528069852E-2</v>
      </c>
      <c r="L25" s="292">
        <f t="shared" si="3"/>
        <v>108.87331325578988</v>
      </c>
      <c r="M25" s="292">
        <f t="shared" si="4"/>
        <v>25.463241572042936</v>
      </c>
      <c r="N25" s="292">
        <f t="shared" si="5"/>
        <v>27.510092029602212</v>
      </c>
      <c r="O25" s="292">
        <f t="shared" si="6"/>
        <v>5.8554893966948312</v>
      </c>
      <c r="P25" s="292">
        <f t="shared" si="7"/>
        <v>22.495725894004163</v>
      </c>
      <c r="Q25" s="292">
        <f t="shared" si="8"/>
        <v>4.0169903921195544</v>
      </c>
      <c r="R25" s="309">
        <f t="shared" si="9"/>
        <v>40.173913293779748</v>
      </c>
      <c r="S25" s="309">
        <f t="shared" si="10"/>
        <v>52.389135100338201</v>
      </c>
      <c r="T25" s="309">
        <f t="shared" si="11"/>
        <v>9.0419370519093896</v>
      </c>
      <c r="U25" s="309">
        <f t="shared" si="12"/>
        <v>11.760692601261891</v>
      </c>
      <c r="V25" s="309">
        <f t="shared" si="13"/>
        <v>4.1697474875779381</v>
      </c>
      <c r="W25" s="309">
        <f t="shared" si="14"/>
        <v>18.618858052305143</v>
      </c>
      <c r="X25" s="309">
        <f t="shared" si="15"/>
        <v>31.023723182096706</v>
      </c>
      <c r="Y25" s="309">
        <f t="shared" si="16"/>
        <v>10.217351447846825</v>
      </c>
      <c r="Z25" s="309">
        <f t="shared" si="17"/>
        <v>53.090508011069254</v>
      </c>
      <c r="AA25" s="221"/>
      <c r="AB25" s="226">
        <f t="shared" si="20"/>
        <v>7.8532687162812548E-3</v>
      </c>
      <c r="AC25" s="261">
        <f t="shared" si="18"/>
        <v>52.190467907790335</v>
      </c>
    </row>
    <row r="26" spans="2:29" x14ac:dyDescent="0.25">
      <c r="B26" s="1">
        <v>515</v>
      </c>
      <c r="C26" t="s">
        <v>47</v>
      </c>
      <c r="D26" s="2"/>
      <c r="H26" s="214">
        <v>2247.79</v>
      </c>
      <c r="I26" s="118"/>
      <c r="J26" s="118">
        <f t="shared" si="19"/>
        <v>1.8184178933505057E-2</v>
      </c>
      <c r="K26" s="118">
        <f t="shared" si="2"/>
        <v>1.6590229833053336E-2</v>
      </c>
      <c r="L26" s="292">
        <f t="shared" si="3"/>
        <v>135.15081861285765</v>
      </c>
      <c r="M26" s="292">
        <f t="shared" si="4"/>
        <v>31.609012714743834</v>
      </c>
      <c r="N26" s="292">
        <f t="shared" si="5"/>
        <v>34.149888037122494</v>
      </c>
      <c r="O26" s="292">
        <f t="shared" si="6"/>
        <v>7.2687618450899762</v>
      </c>
      <c r="P26" s="292">
        <f t="shared" si="7"/>
        <v>27.92526174639438</v>
      </c>
      <c r="Q26" s="292">
        <f t="shared" si="8"/>
        <v>4.986525380920841</v>
      </c>
      <c r="R26" s="309">
        <f t="shared" si="9"/>
        <v>49.870230878158331</v>
      </c>
      <c r="S26" s="309">
        <f t="shared" si="10"/>
        <v>65.03370094556908</v>
      </c>
      <c r="T26" s="309">
        <f t="shared" si="11"/>
        <v>11.224285895850564</v>
      </c>
      <c r="U26" s="309">
        <f t="shared" si="12"/>
        <v>14.599236350788605</v>
      </c>
      <c r="V26" s="309">
        <f t="shared" si="13"/>
        <v>5.1761517079126405</v>
      </c>
      <c r="W26" s="309">
        <f t="shared" si="14"/>
        <v>23.112678691918255</v>
      </c>
      <c r="X26" s="309">
        <f t="shared" si="15"/>
        <v>38.511564120660033</v>
      </c>
      <c r="Y26" s="309">
        <f t="shared" si="16"/>
        <v>12.683396609667605</v>
      </c>
      <c r="Z26" s="309">
        <f t="shared" si="17"/>
        <v>65.904356207207712</v>
      </c>
      <c r="AA26" s="221"/>
      <c r="AB26" s="226">
        <f t="shared" si="20"/>
        <v>9.7487222906363878E-3</v>
      </c>
      <c r="AC26" s="261">
        <f t="shared" si="18"/>
        <v>64.787083726882244</v>
      </c>
    </row>
    <row r="27" spans="2:29" x14ac:dyDescent="0.25">
      <c r="B27" s="1">
        <v>525</v>
      </c>
      <c r="C27" t="s">
        <v>48</v>
      </c>
      <c r="D27" s="2"/>
      <c r="H27" s="214">
        <v>3206.01</v>
      </c>
      <c r="I27" s="118"/>
      <c r="J27" s="118">
        <f t="shared" si="19"/>
        <v>2.593599024046132E-2</v>
      </c>
      <c r="K27" s="118">
        <f t="shared" si="2"/>
        <v>2.3662549769803819E-2</v>
      </c>
      <c r="L27" s="292">
        <f t="shared" si="3"/>
        <v>192.76483834388787</v>
      </c>
      <c r="M27" s="292">
        <f t="shared" si="4"/>
        <v>45.0837537552867</v>
      </c>
      <c r="N27" s="292">
        <f t="shared" si="5"/>
        <v>48.707789671586362</v>
      </c>
      <c r="O27" s="292">
        <f t="shared" si="6"/>
        <v>10.367393378819603</v>
      </c>
      <c r="P27" s="292">
        <f t="shared" si="7"/>
        <v>39.829640852374048</v>
      </c>
      <c r="Q27" s="292">
        <f t="shared" si="8"/>
        <v>7.1122525843099336</v>
      </c>
      <c r="R27" s="309">
        <f t="shared" si="9"/>
        <v>71.129624608030284</v>
      </c>
      <c r="S27" s="309">
        <f t="shared" si="10"/>
        <v>92.757195097630969</v>
      </c>
      <c r="T27" s="309">
        <f t="shared" si="11"/>
        <v>16.009134672258472</v>
      </c>
      <c r="U27" s="309">
        <f t="shared" si="12"/>
        <v>20.822807171929664</v>
      </c>
      <c r="V27" s="309">
        <f t="shared" si="13"/>
        <v>7.3827155281787915</v>
      </c>
      <c r="W27" s="309">
        <f t="shared" si="14"/>
        <v>32.965481211802192</v>
      </c>
      <c r="X27" s="309">
        <f t="shared" si="15"/>
        <v>54.928823282636401</v>
      </c>
      <c r="Y27" s="309">
        <f t="shared" si="16"/>
        <v>18.090255924512718</v>
      </c>
      <c r="Z27" s="309">
        <f t="shared" si="17"/>
        <v>93.999005709550275</v>
      </c>
      <c r="AA27" s="221"/>
      <c r="AB27" s="226">
        <f t="shared" si="20"/>
        <v>1.3904546755258797E-2</v>
      </c>
      <c r="AC27" s="261">
        <f t="shared" si="18"/>
        <v>92.40544637142338</v>
      </c>
    </row>
    <row r="28" spans="2:29" x14ac:dyDescent="0.25">
      <c r="B28" s="1">
        <v>560</v>
      </c>
      <c r="C28" t="s">
        <v>49</v>
      </c>
      <c r="D28" s="2"/>
      <c r="H28" s="214">
        <v>77</v>
      </c>
      <c r="I28" s="118"/>
      <c r="J28" s="118">
        <f t="shared" si="19"/>
        <v>6.2291485320242963E-4</v>
      </c>
      <c r="K28" s="118">
        <f t="shared" si="2"/>
        <v>5.6831274146833418E-4</v>
      </c>
      <c r="L28" s="292">
        <f t="shared" si="3"/>
        <v>4.6297087509020134</v>
      </c>
      <c r="M28" s="292">
        <f t="shared" si="4"/>
        <v>1.0827942018761874</v>
      </c>
      <c r="N28" s="292">
        <f t="shared" si="5"/>
        <v>1.1698340943141627</v>
      </c>
      <c r="O28" s="292">
        <f t="shared" si="6"/>
        <v>0.24899775427060722</v>
      </c>
      <c r="P28" s="292">
        <f t="shared" si="7"/>
        <v>0.9566041109144392</v>
      </c>
      <c r="Q28" s="292">
        <f t="shared" si="8"/>
        <v>0.1708177607031372</v>
      </c>
      <c r="R28" s="309">
        <f t="shared" si="9"/>
        <v>1.7083481008538126</v>
      </c>
      <c r="S28" s="309">
        <f t="shared" si="10"/>
        <v>2.22778594655587</v>
      </c>
      <c r="T28" s="309">
        <f t="shared" si="11"/>
        <v>0.38449766836781613</v>
      </c>
      <c r="U28" s="309">
        <f t="shared" si="12"/>
        <v>0.50010952936471942</v>
      </c>
      <c r="V28" s="309">
        <f t="shared" si="13"/>
        <v>0.17731357533812026</v>
      </c>
      <c r="W28" s="309">
        <f t="shared" si="14"/>
        <v>0.79174489577660978</v>
      </c>
      <c r="X28" s="309">
        <f t="shared" si="15"/>
        <v>1.3192470992801029</v>
      </c>
      <c r="Y28" s="309">
        <f t="shared" si="16"/>
        <v>0.43448077397995616</v>
      </c>
      <c r="Z28" s="309">
        <f t="shared" si="17"/>
        <v>2.2576109992281284</v>
      </c>
      <c r="AA28" s="221"/>
      <c r="AB28" s="226">
        <f t="shared" si="20"/>
        <v>3.3395095466169075E-4</v>
      </c>
      <c r="AC28" s="261">
        <f t="shared" si="18"/>
        <v>2.219337859395198</v>
      </c>
    </row>
    <row r="29" spans="2:29" x14ac:dyDescent="0.25">
      <c r="B29" s="1">
        <v>561</v>
      </c>
      <c r="C29" t="s">
        <v>50</v>
      </c>
      <c r="D29" s="2"/>
      <c r="H29" s="214">
        <v>5000.6499999999996</v>
      </c>
      <c r="I29" s="118"/>
      <c r="J29" s="118">
        <f t="shared" si="19"/>
        <v>4.0454274813853629E-2</v>
      </c>
      <c r="K29" s="118">
        <f t="shared" si="2"/>
        <v>3.6908222215891233E-2</v>
      </c>
      <c r="L29" s="292">
        <f t="shared" si="3"/>
        <v>300.66952032724873</v>
      </c>
      <c r="M29" s="292">
        <f t="shared" si="4"/>
        <v>70.320452280677344</v>
      </c>
      <c r="N29" s="292">
        <f t="shared" si="5"/>
        <v>75.973128100417114</v>
      </c>
      <c r="O29" s="292">
        <f t="shared" si="6"/>
        <v>16.170787271341712</v>
      </c>
      <c r="P29" s="292">
        <f t="shared" si="7"/>
        <v>62.125225288886881</v>
      </c>
      <c r="Q29" s="292">
        <f t="shared" si="8"/>
        <v>11.093504351430427</v>
      </c>
      <c r="R29" s="309">
        <f t="shared" si="9"/>
        <v>110.94611598096904</v>
      </c>
      <c r="S29" s="309">
        <f t="shared" si="10"/>
        <v>144.68023108629365</v>
      </c>
      <c r="T29" s="309">
        <f t="shared" si="11"/>
        <v>24.97062682238337</v>
      </c>
      <c r="U29" s="309">
        <f t="shared" si="12"/>
        <v>32.478866467762124</v>
      </c>
      <c r="V29" s="309">
        <f t="shared" si="13"/>
        <v>11.515365331358066</v>
      </c>
      <c r="W29" s="309">
        <f t="shared" si="14"/>
        <v>51.418689780068874</v>
      </c>
      <c r="X29" s="309">
        <f t="shared" si="15"/>
        <v>85.676532558636964</v>
      </c>
      <c r="Y29" s="309">
        <f t="shared" si="16"/>
        <v>28.216704966271006</v>
      </c>
      <c r="Z29" s="309">
        <f t="shared" si="17"/>
        <v>146.61717458818362</v>
      </c>
      <c r="AA29" s="221"/>
      <c r="AB29" s="226">
        <f t="shared" si="20"/>
        <v>2.1687945992584206E-2</v>
      </c>
      <c r="AC29" s="261">
        <f t="shared" si="18"/>
        <v>144.13158268291684</v>
      </c>
    </row>
    <row r="30" spans="2:29" x14ac:dyDescent="0.25">
      <c r="B30" s="1">
        <v>563</v>
      </c>
      <c r="C30" t="s">
        <v>51</v>
      </c>
      <c r="D30" s="2"/>
      <c r="H30" s="214">
        <v>3202.43</v>
      </c>
      <c r="I30" s="118"/>
      <c r="J30" s="118">
        <f t="shared" si="19"/>
        <v>2.5907028744689049E-2</v>
      </c>
      <c r="K30" s="118">
        <f t="shared" si="2"/>
        <v>2.3636126917668015E-2</v>
      </c>
      <c r="L30" s="292">
        <f t="shared" si="3"/>
        <v>192.54958695001474</v>
      </c>
      <c r="M30" s="292">
        <f t="shared" si="4"/>
        <v>45.033410856030635</v>
      </c>
      <c r="N30" s="292">
        <f t="shared" si="5"/>
        <v>48.653399982526032</v>
      </c>
      <c r="O30" s="292">
        <f t="shared" si="6"/>
        <v>10.355816600114554</v>
      </c>
      <c r="P30" s="292">
        <f t="shared" si="7"/>
        <v>39.785164972931526</v>
      </c>
      <c r="Q30" s="292">
        <f t="shared" si="8"/>
        <v>7.1043106676434746</v>
      </c>
      <c r="R30" s="309">
        <f t="shared" si="9"/>
        <v>71.050197514510046</v>
      </c>
      <c r="S30" s="309">
        <f t="shared" si="10"/>
        <v>92.653617517258624</v>
      </c>
      <c r="T30" s="309">
        <f t="shared" si="11"/>
        <v>15.991258027417471</v>
      </c>
      <c r="U30" s="309">
        <f t="shared" si="12"/>
        <v>20.799555326278675</v>
      </c>
      <c r="V30" s="309">
        <f t="shared" si="13"/>
        <v>7.3744715983124207</v>
      </c>
      <c r="W30" s="309">
        <f t="shared" si="14"/>
        <v>32.9286702153492</v>
      </c>
      <c r="X30" s="309">
        <f t="shared" si="15"/>
        <v>54.867486859059476</v>
      </c>
      <c r="Y30" s="309">
        <f t="shared" si="16"/>
        <v>18.070055389826372</v>
      </c>
      <c r="Z30" s="309">
        <f t="shared" si="17"/>
        <v>93.894041457897842</v>
      </c>
      <c r="AA30" s="221"/>
      <c r="AB30" s="226">
        <f t="shared" si="20"/>
        <v>1.3889020204379718E-2</v>
      </c>
      <c r="AC30" s="261">
        <f t="shared" si="18"/>
        <v>92.302261572246294</v>
      </c>
    </row>
    <row r="31" spans="2:29" x14ac:dyDescent="0.25">
      <c r="B31" s="1">
        <v>610</v>
      </c>
      <c r="C31" t="s">
        <v>53</v>
      </c>
      <c r="D31" s="2"/>
      <c r="H31" s="214">
        <v>11923.08</v>
      </c>
      <c r="I31" s="118"/>
      <c r="J31" s="118">
        <f t="shared" si="19"/>
        <v>9.6455371791179537E-2</v>
      </c>
      <c r="K31" s="118">
        <f t="shared" si="2"/>
        <v>8.8000497162938507E-2</v>
      </c>
      <c r="L31" s="292">
        <f t="shared" si="3"/>
        <v>716.88815342473742</v>
      </c>
      <c r="M31" s="292">
        <f t="shared" si="4"/>
        <v>167.66547912345365</v>
      </c>
      <c r="N31" s="292">
        <f t="shared" si="5"/>
        <v>181.14318822383518</v>
      </c>
      <c r="O31" s="292">
        <f t="shared" si="6"/>
        <v>38.556105766088201</v>
      </c>
      <c r="P31" s="292">
        <f t="shared" si="7"/>
        <v>148.12554990599651</v>
      </c>
      <c r="Q31" s="292">
        <f t="shared" si="8"/>
        <v>26.450309432264426</v>
      </c>
      <c r="R31" s="309">
        <f t="shared" si="9"/>
        <v>264.52949447179316</v>
      </c>
      <c r="S31" s="309">
        <f t="shared" si="10"/>
        <v>344.96194887871894</v>
      </c>
      <c r="T31" s="309">
        <f t="shared" si="11"/>
        <v>59.537616360557671</v>
      </c>
      <c r="U31" s="309">
        <f t="shared" si="12"/>
        <v>77.43955749841426</v>
      </c>
      <c r="V31" s="309">
        <f t="shared" si="13"/>
        <v>27.456155114836815</v>
      </c>
      <c r="W31" s="309">
        <f t="shared" si="14"/>
        <v>122.59789262254779</v>
      </c>
      <c r="X31" s="309">
        <f t="shared" si="15"/>
        <v>204.27907408421569</v>
      </c>
      <c r="Y31" s="309">
        <f t="shared" si="16"/>
        <v>67.277260086038112</v>
      </c>
      <c r="Z31" s="309">
        <f t="shared" si="17"/>
        <v>349.58021496982997</v>
      </c>
      <c r="AA31" s="221"/>
      <c r="AB31" s="226">
        <f t="shared" si="20"/>
        <v>5.1710700629970283E-2</v>
      </c>
      <c r="AC31" s="261">
        <f t="shared" si="18"/>
        <v>343.6538031765935</v>
      </c>
    </row>
    <row r="32" spans="2:29" x14ac:dyDescent="0.25">
      <c r="B32" s="1">
        <v>620</v>
      </c>
      <c r="C32" t="s">
        <v>54</v>
      </c>
      <c r="D32" s="2"/>
      <c r="H32" s="214">
        <v>6076.93</v>
      </c>
      <c r="I32" s="118"/>
      <c r="J32" s="118">
        <f t="shared" si="19"/>
        <v>4.9161168297031703E-2</v>
      </c>
      <c r="K32" s="118">
        <f t="shared" si="2"/>
        <v>4.4851905818326807E-2</v>
      </c>
      <c r="L32" s="292">
        <f t="shared" si="3"/>
        <v>365.38202596907763</v>
      </c>
      <c r="M32" s="292">
        <f t="shared" si="4"/>
        <v>85.455384015681304</v>
      </c>
      <c r="N32" s="292">
        <f t="shared" si="5"/>
        <v>92.324674061825533</v>
      </c>
      <c r="O32" s="292">
        <f t="shared" si="6"/>
        <v>19.651193803372482</v>
      </c>
      <c r="P32" s="292">
        <f t="shared" si="7"/>
        <v>75.496314542068617</v>
      </c>
      <c r="Q32" s="292">
        <f t="shared" si="8"/>
        <v>13.481137331814487</v>
      </c>
      <c r="R32" s="309">
        <f t="shared" si="9"/>
        <v>134.82482888989037</v>
      </c>
      <c r="S32" s="309">
        <f t="shared" si="10"/>
        <v>175.81947080784107</v>
      </c>
      <c r="T32" s="309">
        <f t="shared" si="11"/>
        <v>30.345005400447182</v>
      </c>
      <c r="U32" s="309">
        <f t="shared" si="12"/>
        <v>39.46922860106941</v>
      </c>
      <c r="V32" s="309">
        <f t="shared" si="13"/>
        <v>13.993794615317963</v>
      </c>
      <c r="W32" s="309">
        <f t="shared" si="14"/>
        <v>62.485432590801992</v>
      </c>
      <c r="X32" s="309">
        <f t="shared" si="15"/>
        <v>104.11652305231476</v>
      </c>
      <c r="Y32" s="309">
        <f t="shared" si="16"/>
        <v>34.289730517169026</v>
      </c>
      <c r="Z32" s="309">
        <f t="shared" si="17"/>
        <v>178.17329882518686</v>
      </c>
      <c r="AA32" s="221"/>
      <c r="AB32" s="226">
        <f t="shared" si="20"/>
        <v>2.6355799674185307E-2</v>
      </c>
      <c r="AC32" s="261">
        <f t="shared" si="18"/>
        <v>175.15273789473329</v>
      </c>
    </row>
    <row r="33" spans="2:33" x14ac:dyDescent="0.25">
      <c r="B33" s="1">
        <v>630</v>
      </c>
      <c r="C33" t="s">
        <v>55</v>
      </c>
      <c r="D33" s="2"/>
      <c r="H33" s="214">
        <v>0</v>
      </c>
      <c r="I33" s="118"/>
      <c r="J33" s="118">
        <f t="shared" si="19"/>
        <v>0</v>
      </c>
      <c r="K33" s="118">
        <f t="shared" si="2"/>
        <v>0</v>
      </c>
      <c r="L33" s="292">
        <f t="shared" si="3"/>
        <v>0</v>
      </c>
      <c r="M33" s="292">
        <f t="shared" si="4"/>
        <v>0</v>
      </c>
      <c r="N33" s="292">
        <f t="shared" si="5"/>
        <v>0</v>
      </c>
      <c r="O33" s="292">
        <f t="shared" si="6"/>
        <v>0</v>
      </c>
      <c r="P33" s="292">
        <f t="shared" si="7"/>
        <v>0</v>
      </c>
      <c r="Q33" s="292">
        <f t="shared" si="8"/>
        <v>0</v>
      </c>
      <c r="R33" s="309">
        <f t="shared" si="9"/>
        <v>0</v>
      </c>
      <c r="S33" s="309">
        <f t="shared" si="10"/>
        <v>0</v>
      </c>
      <c r="T33" s="309">
        <f t="shared" si="11"/>
        <v>0</v>
      </c>
      <c r="U33" s="309">
        <f t="shared" si="12"/>
        <v>0</v>
      </c>
      <c r="V33" s="309">
        <f t="shared" si="13"/>
        <v>0</v>
      </c>
      <c r="W33" s="309">
        <f t="shared" si="14"/>
        <v>0</v>
      </c>
      <c r="X33" s="309">
        <f t="shared" si="15"/>
        <v>0</v>
      </c>
      <c r="Y33" s="309">
        <f t="shared" si="16"/>
        <v>0</v>
      </c>
      <c r="Z33" s="309">
        <f t="shared" si="17"/>
        <v>0</v>
      </c>
      <c r="AA33" s="221"/>
      <c r="AB33" s="226">
        <f t="shared" si="20"/>
        <v>0</v>
      </c>
      <c r="AC33" s="261">
        <f t="shared" si="18"/>
        <v>0</v>
      </c>
    </row>
    <row r="34" spans="2:33" x14ac:dyDescent="0.25">
      <c r="B34" s="1">
        <v>650</v>
      </c>
      <c r="C34" t="s">
        <v>56</v>
      </c>
      <c r="D34" s="2"/>
      <c r="H34" s="214">
        <v>299</v>
      </c>
      <c r="I34" s="319"/>
      <c r="J34" s="118">
        <f t="shared" si="19"/>
        <v>2.4188511832146293E-3</v>
      </c>
      <c r="K34" s="118">
        <f t="shared" si="2"/>
        <v>2.2068248012861286E-3</v>
      </c>
      <c r="L34" s="292">
        <f t="shared" si="3"/>
        <v>17.977700214541585</v>
      </c>
      <c r="M34" s="292">
        <f t="shared" si="4"/>
        <v>4.2046164462464937</v>
      </c>
      <c r="N34" s="292">
        <f t="shared" si="5"/>
        <v>4.5426025220770736</v>
      </c>
      <c r="O34" s="292">
        <f t="shared" si="6"/>
        <v>0.96688738346638381</v>
      </c>
      <c r="P34" s="292">
        <f t="shared" si="7"/>
        <v>3.7146055735508741</v>
      </c>
      <c r="Q34" s="292">
        <f t="shared" si="8"/>
        <v>0.66330533052257168</v>
      </c>
      <c r="R34" s="309">
        <f t="shared" si="9"/>
        <v>6.633715352666103</v>
      </c>
      <c r="S34" s="309">
        <f t="shared" si="10"/>
        <v>8.650753221041624</v>
      </c>
      <c r="T34" s="309">
        <f t="shared" si="11"/>
        <v>1.493049387558143</v>
      </c>
      <c r="U34" s="309">
        <f t="shared" si="12"/>
        <v>1.9419837568837803</v>
      </c>
      <c r="V34" s="309">
        <f t="shared" si="13"/>
        <v>0.68852933800127214</v>
      </c>
      <c r="W34" s="309">
        <f t="shared" si="14"/>
        <v>3.0744379719117703</v>
      </c>
      <c r="X34" s="309">
        <f t="shared" si="15"/>
        <v>5.1227906842175424</v>
      </c>
      <c r="Y34" s="309">
        <f t="shared" si="16"/>
        <v>1.6871396288312581</v>
      </c>
      <c r="Z34" s="309">
        <f t="shared" si="17"/>
        <v>8.7665673866131204</v>
      </c>
      <c r="AA34" s="221"/>
      <c r="AB34" s="226">
        <f t="shared" si="20"/>
        <v>1.2967705901798122E-3</v>
      </c>
      <c r="AC34" s="261">
        <f t="shared" si="18"/>
        <v>8.6179483111579778</v>
      </c>
    </row>
    <row r="35" spans="2:33" x14ac:dyDescent="0.25">
      <c r="B35" s="1">
        <v>600</v>
      </c>
      <c r="C35" t="s">
        <v>57</v>
      </c>
      <c r="D35" s="2"/>
      <c r="H35" s="214">
        <v>0.01</v>
      </c>
      <c r="I35" s="118">
        <f>SUM(H6:H35)</f>
        <v>123612.39999999998</v>
      </c>
      <c r="J35" s="118">
        <f t="shared" si="19"/>
        <v>8.0898032883432426E-8</v>
      </c>
      <c r="K35" s="118">
        <f t="shared" si="2"/>
        <v>7.3806849541342094E-8</v>
      </c>
      <c r="L35" s="292">
        <f t="shared" si="3"/>
        <v>6.0126087674052127E-4</v>
      </c>
      <c r="M35" s="292">
        <f t="shared" si="4"/>
        <v>1.4062262362028407E-4</v>
      </c>
      <c r="N35" s="292">
        <f t="shared" si="5"/>
        <v>1.5192650575508609E-4</v>
      </c>
      <c r="O35" s="292">
        <f t="shared" si="6"/>
        <v>3.2337370684494444E-5</v>
      </c>
      <c r="P35" s="292">
        <f t="shared" si="7"/>
        <v>1.2423430011875835E-4</v>
      </c>
      <c r="Q35" s="292">
        <f t="shared" si="8"/>
        <v>2.2184124766641191E-5</v>
      </c>
      <c r="R35" s="309">
        <f t="shared" si="9"/>
        <v>2.2186338972127434E-4</v>
      </c>
      <c r="S35" s="309">
        <f t="shared" si="10"/>
        <v>2.8932285020206099E-4</v>
      </c>
      <c r="T35" s="309">
        <f t="shared" si="11"/>
        <v>4.9934762125690404E-5</v>
      </c>
      <c r="U35" s="309">
        <f t="shared" si="12"/>
        <v>6.4949289527885625E-5</v>
      </c>
      <c r="V35" s="309">
        <f t="shared" si="13"/>
        <v>2.3027737056898735E-5</v>
      </c>
      <c r="W35" s="309">
        <f t="shared" si="14"/>
        <v>1.0282401243852074E-4</v>
      </c>
      <c r="X35" s="309">
        <f t="shared" si="15"/>
        <v>1.7133079211429907E-4</v>
      </c>
      <c r="Y35" s="309">
        <f t="shared" si="16"/>
        <v>5.6426074542851443E-5</v>
      </c>
      <c r="Z35" s="309">
        <f t="shared" si="17"/>
        <v>2.9319623366599065E-4</v>
      </c>
      <c r="AA35" s="221"/>
      <c r="AB35" s="226">
        <f t="shared" si="20"/>
        <v>4.3370253852167636E-8</v>
      </c>
      <c r="AC35" s="261">
        <f t="shared" si="18"/>
        <v>2.8822569602535045E-4</v>
      </c>
    </row>
    <row r="36" spans="2:33" ht="15.75" thickBot="1" x14ac:dyDescent="0.3">
      <c r="B36" s="1">
        <v>339</v>
      </c>
      <c r="C36" t="s">
        <v>58</v>
      </c>
      <c r="D36" s="2"/>
      <c r="H36" s="319">
        <v>5538.46</v>
      </c>
      <c r="I36" s="118"/>
      <c r="J36" s="118"/>
      <c r="K36" s="118">
        <f t="shared" si="2"/>
        <v>4.0877628391074151E-2</v>
      </c>
      <c r="L36" s="292">
        <f>J36*$L$3</f>
        <v>0</v>
      </c>
      <c r="M36" s="292">
        <f>J36*$M$3</f>
        <v>0</v>
      </c>
      <c r="N36" s="292">
        <f>J36*$N$3</f>
        <v>0</v>
      </c>
      <c r="O36" s="292">
        <f>J36*$O$3</f>
        <v>0</v>
      </c>
      <c r="P36" s="292">
        <f>J36*$P$3</f>
        <v>0</v>
      </c>
      <c r="Q36" s="292">
        <f t="shared" si="8"/>
        <v>12.286588765505158</v>
      </c>
      <c r="R36" s="309">
        <f t="shared" si="9"/>
        <v>122.8781509435689</v>
      </c>
      <c r="S36" s="309">
        <f t="shared" si="10"/>
        <v>160.24030329301067</v>
      </c>
      <c r="T36" s="309">
        <f t="shared" si="11"/>
        <v>27.656168264265126</v>
      </c>
      <c r="U36" s="309">
        <f t="shared" si="12"/>
        <v>35.971904207861343</v>
      </c>
      <c r="V36" s="309">
        <f t="shared" si="13"/>
        <v>12.753820058015135</v>
      </c>
      <c r="W36" s="309">
        <f t="shared" si="14"/>
        <v>56.948667993024955</v>
      </c>
      <c r="X36" s="309">
        <f t="shared" si="15"/>
        <v>94.890873889336078</v>
      </c>
      <c r="Y36" s="309">
        <f t="shared" si="16"/>
        <v>31.251355681260097</v>
      </c>
      <c r="Z36" s="309">
        <f t="shared" si="17"/>
        <v>162.38556123097425</v>
      </c>
      <c r="AA36" s="221"/>
      <c r="AB36" s="226">
        <f>U42/$H$39</f>
        <v>2.4020441615007635E-2</v>
      </c>
      <c r="AC36" s="261">
        <f>AB36*$AC$3</f>
        <v>159.63264884085623</v>
      </c>
    </row>
    <row r="37" spans="2:33" ht="15.75" thickBot="1" x14ac:dyDescent="0.3">
      <c r="B37" s="1">
        <v>225</v>
      </c>
      <c r="C37" t="s">
        <v>59</v>
      </c>
      <c r="D37" s="2"/>
      <c r="H37" s="214">
        <v>6337.92</v>
      </c>
      <c r="I37" s="118">
        <f>I35+H36+H37</f>
        <v>135488.78</v>
      </c>
      <c r="J37" s="118"/>
      <c r="K37" s="118">
        <f t="shared" si="2"/>
        <v>4.6778190784506291E-2</v>
      </c>
      <c r="L37" s="292"/>
      <c r="M37" s="292"/>
      <c r="N37" s="292"/>
      <c r="O37" s="292"/>
      <c r="P37" s="292"/>
      <c r="Q37" s="292">
        <f>K37*$Q$3</f>
        <v>14.060120804099055</v>
      </c>
      <c r="R37" s="309">
        <f t="shared" si="9"/>
        <v>140.61524149822591</v>
      </c>
      <c r="S37" s="309">
        <f t="shared" si="10"/>
        <v>183.37050787526465</v>
      </c>
      <c r="T37" s="309">
        <f t="shared" si="11"/>
        <v>31.648252757165572</v>
      </c>
      <c r="U37" s="309">
        <f t="shared" si="12"/>
        <v>41.164340108457694</v>
      </c>
      <c r="V37" s="309">
        <f t="shared" si="13"/>
        <v>14.594795524765964</v>
      </c>
      <c r="W37" s="309">
        <f t="shared" si="14"/>
        <v>65.169036491434937</v>
      </c>
      <c r="X37" s="309">
        <f t="shared" si="15"/>
        <v>108.58808539570585</v>
      </c>
      <c r="Y37" s="309">
        <f t="shared" si="16"/>
        <v>35.762394636662904</v>
      </c>
      <c r="Z37" s="309">
        <f t="shared" si="17"/>
        <v>185.82542732763554</v>
      </c>
      <c r="AA37" s="221"/>
      <c r="AB37" s="226">
        <f>U43/$H$39</f>
        <v>2.7487719929473027E-2</v>
      </c>
      <c r="AC37" s="268">
        <f>AB37*$AC$3</f>
        <v>182.67514033529889</v>
      </c>
    </row>
    <row r="38" spans="2:33" x14ac:dyDescent="0.25">
      <c r="B38" s="45">
        <v>451</v>
      </c>
      <c r="C38" s="32" t="s">
        <v>60</v>
      </c>
      <c r="D38" s="32"/>
      <c r="E38" s="32"/>
      <c r="F38" s="32">
        <v>95614.3</v>
      </c>
      <c r="G38" s="31"/>
      <c r="H38" s="319">
        <v>95084</v>
      </c>
      <c r="I38" s="118"/>
      <c r="J38" s="121"/>
      <c r="K38" s="121"/>
      <c r="L38" s="292"/>
      <c r="M38" s="292"/>
      <c r="N38" s="292"/>
      <c r="O38" s="292"/>
      <c r="P38" s="292"/>
      <c r="Q38" s="292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26">
        <f>H38/$H$39</f>
        <v>0.41238172172795073</v>
      </c>
      <c r="AC38" s="261">
        <f t="shared" ref="AC38" si="21">AB38*$AC$3</f>
        <v>2740.565208087442</v>
      </c>
    </row>
    <row r="39" spans="2:33" ht="15.75" thickBot="1" x14ac:dyDescent="0.3">
      <c r="H39" s="320">
        <f>SUM(H6:H38)</f>
        <v>230572.78</v>
      </c>
      <c r="I39" s="320"/>
      <c r="J39" s="321">
        <f t="shared" ref="J39:AC39" si="22">SUM(J6:J38)</f>
        <v>1.0000000000000004</v>
      </c>
      <c r="K39" s="321">
        <f t="shared" si="22"/>
        <v>0.99999999999999989</v>
      </c>
      <c r="L39" s="322">
        <f t="shared" si="22"/>
        <v>7432.3300000000008</v>
      </c>
      <c r="M39" s="322">
        <f t="shared" si="22"/>
        <v>1738.2700000000004</v>
      </c>
      <c r="N39" s="322">
        <f t="shared" si="22"/>
        <v>1878.0000000000005</v>
      </c>
      <c r="O39" s="322">
        <f t="shared" si="22"/>
        <v>399.73000000000008</v>
      </c>
      <c r="P39" s="322">
        <f t="shared" si="22"/>
        <v>1535.6900000000005</v>
      </c>
      <c r="Q39" s="322">
        <f t="shared" ref="Q39" si="23">SUM(Q6:Q38)</f>
        <v>300.56999999999994</v>
      </c>
      <c r="R39" s="310">
        <f t="shared" si="22"/>
        <v>3006</v>
      </c>
      <c r="S39" s="310">
        <f t="shared" si="22"/>
        <v>3919.9999999999991</v>
      </c>
      <c r="T39" s="310">
        <f t="shared" si="22"/>
        <v>676.56000000000006</v>
      </c>
      <c r="U39" s="310">
        <f t="shared" si="22"/>
        <v>879.99000000000024</v>
      </c>
      <c r="V39" s="310">
        <f t="shared" si="22"/>
        <v>312</v>
      </c>
      <c r="W39" s="310">
        <f t="shared" si="22"/>
        <v>1393.15</v>
      </c>
      <c r="X39" s="310">
        <f t="shared" si="22"/>
        <v>2321.3400000000006</v>
      </c>
      <c r="Y39" s="310">
        <f t="shared" si="22"/>
        <v>764.5100000000001</v>
      </c>
      <c r="Z39" s="310">
        <f t="shared" si="22"/>
        <v>3972.48</v>
      </c>
      <c r="AA39" s="323">
        <f t="shared" si="22"/>
        <v>0</v>
      </c>
      <c r="AB39" s="320">
        <f t="shared" si="22"/>
        <v>1</v>
      </c>
      <c r="AC39" s="323">
        <f t="shared" si="22"/>
        <v>6645.7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301">
        <f t="shared" ref="L40:AC40" si="24">L3-L39</f>
        <v>0</v>
      </c>
      <c r="M40" s="301">
        <f t="shared" si="24"/>
        <v>0</v>
      </c>
      <c r="N40" s="301">
        <f t="shared" si="24"/>
        <v>0</v>
      </c>
      <c r="O40" s="301">
        <f t="shared" si="24"/>
        <v>0</v>
      </c>
      <c r="P40" s="301">
        <f t="shared" si="24"/>
        <v>0</v>
      </c>
      <c r="Q40" s="301">
        <f t="shared" ref="Q40" si="25">Q3-Q39</f>
        <v>0</v>
      </c>
      <c r="R40" s="108">
        <f t="shared" si="24"/>
        <v>0</v>
      </c>
      <c r="S40" s="108">
        <f t="shared" si="24"/>
        <v>0</v>
      </c>
      <c r="T40" s="108">
        <f t="shared" si="24"/>
        <v>0</v>
      </c>
      <c r="U40" s="108">
        <f t="shared" si="24"/>
        <v>0</v>
      </c>
      <c r="V40" s="108">
        <f t="shared" si="24"/>
        <v>0</v>
      </c>
      <c r="W40" s="108">
        <f t="shared" si="24"/>
        <v>0</v>
      </c>
      <c r="X40" s="108">
        <f t="shared" si="24"/>
        <v>0</v>
      </c>
      <c r="Y40" s="108">
        <f t="shared" si="24"/>
        <v>0</v>
      </c>
      <c r="Z40" s="108">
        <f t="shared" si="24"/>
        <v>0</v>
      </c>
      <c r="AA40" s="108">
        <f t="shared" si="24"/>
        <v>0</v>
      </c>
      <c r="AB40" s="108">
        <f t="shared" si="24"/>
        <v>-1</v>
      </c>
      <c r="AC40" s="108">
        <f t="shared" si="24"/>
        <v>0</v>
      </c>
    </row>
    <row r="41" spans="2:33" x14ac:dyDescent="0.25">
      <c r="C41" s="17">
        <v>43686</v>
      </c>
      <c r="D41" s="23"/>
      <c r="E41" s="23"/>
      <c r="F41" s="23"/>
      <c r="G41" s="18"/>
      <c r="H41" s="18">
        <v>62468.63</v>
      </c>
      <c r="I41" s="18"/>
      <c r="J41" s="42"/>
      <c r="K41" s="238"/>
      <c r="L41" s="302">
        <v>3872.3</v>
      </c>
      <c r="M41" s="302">
        <v>905.65</v>
      </c>
      <c r="N41" s="302">
        <v>1253.04</v>
      </c>
      <c r="O41" s="302">
        <v>229.72</v>
      </c>
      <c r="P41" s="302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x14ac:dyDescent="0.25">
      <c r="C42" s="19">
        <v>43700</v>
      </c>
      <c r="D42" s="24"/>
      <c r="E42" s="24"/>
      <c r="F42" s="24"/>
      <c r="H42" s="2">
        <v>60411.39</v>
      </c>
      <c r="J42" s="43">
        <v>0</v>
      </c>
      <c r="K42" s="238"/>
      <c r="L42" s="302">
        <v>3698.62</v>
      </c>
      <c r="M42" s="302">
        <v>865.02</v>
      </c>
      <c r="N42" s="302">
        <v>1101.1400000000001</v>
      </c>
      <c r="O42" s="302">
        <v>201.86</v>
      </c>
      <c r="P42" s="302"/>
      <c r="Q42" s="114"/>
      <c r="R42" s="114"/>
      <c r="S42" s="114"/>
      <c r="T42" s="114"/>
      <c r="U42" s="53">
        <v>5538.46</v>
      </c>
      <c r="V42" s="159"/>
      <c r="W42" s="114"/>
      <c r="X42" s="114"/>
      <c r="Y42" s="114"/>
      <c r="Z42" s="114"/>
    </row>
    <row r="43" spans="2:33" ht="15.75" thickBot="1" x14ac:dyDescent="0.3">
      <c r="C43" s="19"/>
      <c r="D43" s="24"/>
      <c r="E43" s="24"/>
      <c r="F43" s="24"/>
      <c r="H43" s="2">
        <v>732.38</v>
      </c>
      <c r="J43" s="43"/>
      <c r="K43" s="238"/>
      <c r="L43" s="302"/>
      <c r="M43" s="302"/>
      <c r="N43" s="302"/>
      <c r="O43" s="302"/>
      <c r="P43" s="302"/>
      <c r="Q43" s="114"/>
      <c r="R43" s="114"/>
      <c r="S43" s="114"/>
      <c r="T43" s="114"/>
      <c r="U43" s="101">
        <v>6337.92</v>
      </c>
      <c r="V43" s="159"/>
      <c r="W43" s="114"/>
      <c r="X43" s="114"/>
      <c r="Y43" s="114"/>
      <c r="Z43" s="114"/>
    </row>
    <row r="44" spans="2:33" ht="15.75" thickBot="1" x14ac:dyDescent="0.3">
      <c r="C44" s="20"/>
      <c r="D44" s="20"/>
      <c r="E44" s="20"/>
      <c r="F44" s="20"/>
      <c r="G44" s="105"/>
      <c r="H44" s="236">
        <f>SUM(H41:H43)</f>
        <v>123612.4</v>
      </c>
      <c r="I44" s="5"/>
      <c r="J44" s="44"/>
      <c r="K44" s="239"/>
      <c r="L44" s="303">
        <f>SUM(L41:L42)</f>
        <v>7570.92</v>
      </c>
      <c r="M44" s="304">
        <f>SUM(M41:M42)</f>
        <v>1770.67</v>
      </c>
      <c r="N44" s="304">
        <f>SUM(N41:N42)</f>
        <v>2354.1800000000003</v>
      </c>
      <c r="O44" s="304">
        <f>SUM(O41:O42)</f>
        <v>431.58000000000004</v>
      </c>
      <c r="P44" s="305">
        <f>SUM(P41:P42)</f>
        <v>0</v>
      </c>
      <c r="Q44" s="114"/>
      <c r="R44" s="114"/>
      <c r="S44" s="114"/>
      <c r="T44" s="114"/>
      <c r="U44" s="114"/>
      <c r="V44" s="159"/>
      <c r="W44" s="114"/>
      <c r="X44" s="114"/>
      <c r="Y44" s="114"/>
      <c r="Z44" s="114"/>
    </row>
    <row r="45" spans="2:33" x14ac:dyDescent="0.25">
      <c r="H45" s="53">
        <f>H38</f>
        <v>95084</v>
      </c>
      <c r="L45" s="301"/>
      <c r="M45" s="301"/>
      <c r="N45" s="301"/>
      <c r="O45" s="301"/>
      <c r="P45" s="301"/>
      <c r="Q45" s="114"/>
      <c r="R45" s="114"/>
      <c r="S45" s="114"/>
      <c r="T45" s="114"/>
      <c r="U45" s="114"/>
      <c r="V45" s="159"/>
      <c r="W45" s="114"/>
      <c r="X45" s="114"/>
      <c r="Y45" s="114"/>
      <c r="Z45" s="114"/>
      <c r="AG45">
        <v>114.44</v>
      </c>
    </row>
    <row r="46" spans="2:33" x14ac:dyDescent="0.25">
      <c r="I46" s="2" t="s">
        <v>64</v>
      </c>
      <c r="J46" s="12" t="s">
        <v>65</v>
      </c>
      <c r="L46" s="306">
        <v>196.5</v>
      </c>
      <c r="M46" s="306">
        <v>45.96</v>
      </c>
      <c r="N46" s="306"/>
      <c r="O46" s="306"/>
      <c r="P46" s="288">
        <f>SUM(L46:O46)</f>
        <v>242.46</v>
      </c>
      <c r="AG46">
        <v>151.65</v>
      </c>
    </row>
    <row r="47" spans="2:33" ht="15.75" thickBot="1" x14ac:dyDescent="0.3">
      <c r="F47" s="29">
        <f>I35-H43</f>
        <v>122880.01999999997</v>
      </c>
      <c r="L47" s="306">
        <v>229.25</v>
      </c>
      <c r="M47" s="306">
        <v>53.62</v>
      </c>
      <c r="N47" s="306"/>
      <c r="O47" s="306"/>
      <c r="P47" s="288">
        <f>SUM(L47:O47)</f>
        <v>282.87</v>
      </c>
      <c r="R47" s="66">
        <f>SUM(P46:P47)</f>
        <v>525.33000000000004</v>
      </c>
      <c r="S47">
        <f>R47+'May 2019 Alloc '!N58+'April 2019 Alloc  '!R45</f>
        <v>2303.36</v>
      </c>
    </row>
    <row r="48" spans="2:33" x14ac:dyDescent="0.25">
      <c r="H48" s="17">
        <v>43630</v>
      </c>
      <c r="I48" s="2">
        <v>2769.23</v>
      </c>
      <c r="J48" s="31">
        <v>3168.96</v>
      </c>
      <c r="K48" s="2"/>
      <c r="L48" s="306">
        <v>165.08</v>
      </c>
      <c r="M48" s="306">
        <v>38.61</v>
      </c>
      <c r="N48" s="307">
        <v>83.08</v>
      </c>
      <c r="O48" s="307">
        <v>15.23</v>
      </c>
    </row>
    <row r="49" spans="8:15" x14ac:dyDescent="0.25">
      <c r="H49" s="19">
        <v>43644</v>
      </c>
      <c r="I49" s="2">
        <v>2769.23</v>
      </c>
      <c r="J49" s="31">
        <v>3168.96</v>
      </c>
      <c r="K49" s="2"/>
      <c r="L49" s="306">
        <v>165.08</v>
      </c>
      <c r="M49" s="306">
        <v>38.61</v>
      </c>
      <c r="N49" s="307">
        <v>83.08</v>
      </c>
      <c r="O49" s="307">
        <v>15.23</v>
      </c>
    </row>
    <row r="50" spans="8:15" x14ac:dyDescent="0.25">
      <c r="J50" s="2"/>
      <c r="K50" s="2"/>
      <c r="L50" s="306"/>
      <c r="M50" s="306"/>
      <c r="N50" s="306"/>
      <c r="O50" s="306"/>
    </row>
    <row r="51" spans="8:15" ht="15.75" thickBot="1" x14ac:dyDescent="0.3">
      <c r="J51" s="2"/>
      <c r="K51" s="2"/>
    </row>
    <row r="52" spans="8:15" ht="15.75" thickBot="1" x14ac:dyDescent="0.3">
      <c r="I52" s="241">
        <f>SUM(I48:I51)</f>
        <v>5538.46</v>
      </c>
      <c r="J52" s="242">
        <f>SUM(J48:J51)</f>
        <v>6337.92</v>
      </c>
      <c r="K52" s="2"/>
    </row>
    <row r="54" spans="8:15" x14ac:dyDescent="0.25">
      <c r="J54" s="270">
        <f>J52+'May 2019 Alloc '!I60+'April 2019 Alloc  '!H44+'April 2019 Alloc  '!H45</f>
        <v>29576.949999999997</v>
      </c>
    </row>
  </sheetData>
  <pageMargins left="0" right="0" top="0.75" bottom="0.75" header="0.3" footer="0.3"/>
  <pageSetup paperSize="5" scale="58" orientation="landscape" r:id="rId1"/>
  <headerFooter>
    <oddFooter>&amp;L&amp;Z&amp;F &amp;D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31CF-8D23-4867-8E1E-E3769D849441}">
  <sheetPr>
    <tabColor theme="5" tint="0.39997558519241921"/>
    <pageSetUpPr fitToPage="1"/>
  </sheetPr>
  <dimension ref="B1:AG54"/>
  <sheetViews>
    <sheetView topLeftCell="B1" zoomScale="85" zoomScaleNormal="85" workbookViewId="0">
      <selection activeCell="H11" sqref="H11:H13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hidden="1" customWidth="1"/>
    <col min="5" max="5" width="8.140625" hidden="1" customWidth="1"/>
    <col min="6" max="6" width="12.7109375" hidden="1" customWidth="1"/>
    <col min="7" max="7" width="12.7109375" style="2" hidden="1" customWidth="1"/>
    <col min="8" max="8" width="13.85546875" style="2" customWidth="1"/>
    <col min="9" max="9" width="13.85546875" style="2" hidden="1" customWidth="1"/>
    <col min="10" max="11" width="12.140625" style="12" hidden="1" customWidth="1"/>
    <col min="12" max="12" width="11.28515625" style="288" customWidth="1"/>
    <col min="13" max="13" width="13.42578125" style="288" customWidth="1"/>
    <col min="14" max="14" width="13.28515625" style="308" customWidth="1"/>
    <col min="15" max="15" width="15.7109375" style="308" customWidth="1"/>
    <col min="16" max="16" width="11.7109375" style="288" customWidth="1"/>
    <col min="17" max="17" width="1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0</v>
      </c>
      <c r="L1" s="288">
        <v>7251</v>
      </c>
      <c r="M1" s="288">
        <v>7252</v>
      </c>
      <c r="N1" s="288">
        <v>7253</v>
      </c>
      <c r="O1" s="288">
        <v>7254</v>
      </c>
      <c r="P1" s="288">
        <v>7260.1</v>
      </c>
      <c r="Q1" s="201"/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66">
        <v>7248</v>
      </c>
    </row>
    <row r="2" spans="2:30" ht="17.25" thickBot="1" x14ac:dyDescent="0.4">
      <c r="L2" s="289" t="s">
        <v>1</v>
      </c>
      <c r="M2" s="289" t="s">
        <v>2</v>
      </c>
      <c r="N2" s="289" t="s">
        <v>3</v>
      </c>
      <c r="O2" s="289" t="s">
        <v>4</v>
      </c>
      <c r="P2" s="289" t="s">
        <v>5</v>
      </c>
      <c r="Q2" s="262"/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90">
        <f>L44</f>
        <v>7570.92</v>
      </c>
      <c r="M3" s="290">
        <f t="shared" ref="M3:O3" si="0">M44</f>
        <v>1770.67</v>
      </c>
      <c r="N3" s="290">
        <f t="shared" si="0"/>
        <v>2354.1800000000003</v>
      </c>
      <c r="O3" s="290">
        <f t="shared" si="0"/>
        <v>431.58000000000004</v>
      </c>
      <c r="P3" s="291">
        <v>1584.05</v>
      </c>
      <c r="Q3" s="311"/>
      <c r="R3" s="312">
        <v>3006</v>
      </c>
      <c r="S3" s="313">
        <v>18480</v>
      </c>
      <c r="T3" s="314">
        <v>688.51</v>
      </c>
      <c r="U3" s="291">
        <v>880.75</v>
      </c>
      <c r="V3" s="312">
        <v>327</v>
      </c>
      <c r="W3" s="314">
        <v>1396.03</v>
      </c>
      <c r="X3" s="314">
        <v>2489</v>
      </c>
      <c r="Y3" s="291">
        <v>2719.51</v>
      </c>
      <c r="Z3" s="312">
        <v>3972.48</v>
      </c>
      <c r="AA3" s="311"/>
      <c r="AB3" s="315"/>
      <c r="AC3" s="316">
        <v>6645.7</v>
      </c>
      <c r="AD3" s="2"/>
    </row>
    <row r="4" spans="2:30" x14ac:dyDescent="0.25">
      <c r="L4" s="292">
        <v>1</v>
      </c>
      <c r="M4" s="292">
        <v>2</v>
      </c>
      <c r="N4" s="292">
        <v>3</v>
      </c>
      <c r="O4" s="292">
        <v>4</v>
      </c>
      <c r="P4" s="292">
        <v>5</v>
      </c>
      <c r="Q4" s="218">
        <v>6</v>
      </c>
      <c r="R4" s="218">
        <v>15</v>
      </c>
      <c r="S4" s="218">
        <v>9</v>
      </c>
      <c r="T4" s="218">
        <v>7</v>
      </c>
      <c r="U4" s="218">
        <v>11</v>
      </c>
      <c r="V4" s="218">
        <v>16</v>
      </c>
      <c r="W4" s="218">
        <v>10</v>
      </c>
      <c r="X4" s="218">
        <v>8</v>
      </c>
      <c r="Y4" s="218">
        <v>13</v>
      </c>
      <c r="Z4" s="218">
        <v>14</v>
      </c>
      <c r="AA4" s="201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92"/>
      <c r="M5" s="292"/>
      <c r="N5" s="292"/>
      <c r="O5" s="292"/>
      <c r="P5" s="292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334">
        <v>3538.46</v>
      </c>
      <c r="I6" s="6"/>
      <c r="J6" s="2">
        <f t="shared" ref="J6:J21" si="1">H6/$I$35</f>
        <v>2.9281103341989367E-2</v>
      </c>
      <c r="K6" s="2">
        <f>H6/$I$37</f>
        <v>2.6660916252281952E-2</v>
      </c>
      <c r="L6" s="292">
        <f>J6*$L$3</f>
        <v>221.68489091393414</v>
      </c>
      <c r="M6" s="292">
        <f>J6*$M$3</f>
        <v>51.847171254560315</v>
      </c>
      <c r="N6" s="292">
        <f>J6*$N$3</f>
        <v>68.932987865644535</v>
      </c>
      <c r="O6" s="292">
        <f>J6*$O$3</f>
        <v>12.637138580335773</v>
      </c>
      <c r="P6" s="292">
        <f>J6*$P$3</f>
        <v>46.382731748878257</v>
      </c>
      <c r="Q6" s="221"/>
      <c r="R6" s="309">
        <f>K6*$R$3</f>
        <v>80.142714254359547</v>
      </c>
      <c r="S6" s="309">
        <f>K6*$S$3</f>
        <v>492.69373234217045</v>
      </c>
      <c r="T6" s="309">
        <f>K6*$T$3</f>
        <v>18.356307448858647</v>
      </c>
      <c r="U6" s="309">
        <f>K6*$U$3</f>
        <v>23.48160198919733</v>
      </c>
      <c r="V6" s="309">
        <f>K6*$V$3</f>
        <v>8.7181196144961977</v>
      </c>
      <c r="W6" s="309">
        <f>K6*$W$3</f>
        <v>37.219438915673173</v>
      </c>
      <c r="X6" s="309">
        <f>K6*$X$3</f>
        <v>66.359020551929774</v>
      </c>
      <c r="Y6" s="309">
        <f>K6*$Y$3</f>
        <v>72.504628357243291</v>
      </c>
      <c r="Z6" s="309">
        <f>K6*$Z$3</f>
        <v>105.909956593865</v>
      </c>
      <c r="AA6" s="176"/>
      <c r="AB6" s="226">
        <f t="shared" ref="AB6:AB21" si="2">H6/$H$39</f>
        <v>1.8440008219276459E-2</v>
      </c>
      <c r="AC6" s="261">
        <f>AB6*$AC$3</f>
        <v>122.54676262284556</v>
      </c>
    </row>
    <row r="7" spans="2:30" x14ac:dyDescent="0.25">
      <c r="B7" s="1">
        <v>111</v>
      </c>
      <c r="C7" t="s">
        <v>20</v>
      </c>
      <c r="D7" s="2"/>
      <c r="H7" s="255">
        <v>9404.49</v>
      </c>
      <c r="J7" s="2">
        <f t="shared" si="1"/>
        <v>7.7823076583797918E-2</v>
      </c>
      <c r="K7" s="2">
        <f t="shared" ref="K7:K37" si="3">H7/$I$37</f>
        <v>7.0859164802039049E-2</v>
      </c>
      <c r="L7" s="293">
        <f t="shared" ref="L7:L35" si="4">J7*$L$3</f>
        <v>589.19228696980736</v>
      </c>
      <c r="M7" s="293">
        <f t="shared" ref="M7:M35" si="5">J7*$M$3</f>
        <v>137.79898701463347</v>
      </c>
      <c r="N7" s="293">
        <f t="shared" ref="N7:N35" si="6">J7*$N$3</f>
        <v>183.2095304320454</v>
      </c>
      <c r="O7" s="293">
        <f t="shared" ref="O7:O35" si="7">J7*$O$3</f>
        <v>33.58688339203551</v>
      </c>
      <c r="P7" s="293">
        <f t="shared" ref="P7:P35" si="8">J7*$P$3</f>
        <v>123.27564446256508</v>
      </c>
      <c r="Q7" s="240"/>
      <c r="R7" s="309">
        <f t="shared" ref="R7:R37" si="9">K7*$R$3</f>
        <v>213.00264939492939</v>
      </c>
      <c r="S7" s="309">
        <f t="shared" ref="S7:S37" si="10">K7*$S$3</f>
        <v>1309.4773655416816</v>
      </c>
      <c r="T7" s="309">
        <f t="shared" ref="T7:T37" si="11">K7*$T$3</f>
        <v>48.787243557851902</v>
      </c>
      <c r="U7" s="309">
        <f t="shared" ref="U7:U37" si="12">K7*$U$3</f>
        <v>62.409209399395891</v>
      </c>
      <c r="V7" s="309">
        <f t="shared" ref="V7:V37" si="13">K7*$V$3</f>
        <v>23.170946890266769</v>
      </c>
      <c r="W7" s="309">
        <f t="shared" ref="W7:W37" si="14">K7*$W$3</f>
        <v>98.921519838590569</v>
      </c>
      <c r="X7" s="309">
        <f t="shared" ref="X7:X37" si="15">K7*$X$3</f>
        <v>176.36846119227519</v>
      </c>
      <c r="Y7" s="309">
        <f t="shared" ref="Y7:Y37" si="16">K7*$Y$3</f>
        <v>192.70220727079322</v>
      </c>
      <c r="Z7" s="309">
        <f t="shared" ref="Z7:Z37" si="17">K7*$Z$3</f>
        <v>281.48661499280411</v>
      </c>
      <c r="AA7" s="176"/>
      <c r="AB7" s="226">
        <f t="shared" si="2"/>
        <v>4.9009702779769522E-2</v>
      </c>
      <c r="AC7" s="261">
        <f t="shared" ref="AC7:AC35" si="18">AB7*$AC$3</f>
        <v>325.70378176351431</v>
      </c>
    </row>
    <row r="8" spans="2:30" x14ac:dyDescent="0.25">
      <c r="B8" s="1" t="s">
        <v>23</v>
      </c>
      <c r="C8" t="s">
        <v>24</v>
      </c>
      <c r="D8" s="2"/>
      <c r="H8" s="255">
        <v>2314.83</v>
      </c>
      <c r="J8" s="2">
        <f t="shared" si="1"/>
        <v>1.915544515103668E-2</v>
      </c>
      <c r="K8" s="2">
        <f t="shared" si="3"/>
        <v>1.7441341365529023E-2</v>
      </c>
      <c r="L8" s="292">
        <f>J8*$L$3</f>
        <v>145.02434280288662</v>
      </c>
      <c r="M8" s="292">
        <f>J8*$M$3</f>
        <v>33.91797206558612</v>
      </c>
      <c r="N8" s="292">
        <f>J8*$N$3</f>
        <v>45.095365865667539</v>
      </c>
      <c r="O8" s="292">
        <f>J8*$O$3</f>
        <v>8.2671070182844115</v>
      </c>
      <c r="P8" s="292">
        <f>J8*$P$3</f>
        <v>30.343182891499652</v>
      </c>
      <c r="Q8" s="221"/>
      <c r="R8" s="309">
        <f>K8*$R$3</f>
        <v>52.428672144780244</v>
      </c>
      <c r="S8" s="309">
        <f>K8*$S$3</f>
        <v>322.31598843497636</v>
      </c>
      <c r="T8" s="309">
        <f>K8*$T$3</f>
        <v>12.008537943580388</v>
      </c>
      <c r="U8" s="309">
        <f>K8*$U$3</f>
        <v>15.361461407689687</v>
      </c>
      <c r="V8" s="309">
        <f>K8*$V$3</f>
        <v>5.7033186265279907</v>
      </c>
      <c r="W8" s="309">
        <f>K8*$W$3</f>
        <v>24.34863578651948</v>
      </c>
      <c r="X8" s="309">
        <f>K8*$X$3</f>
        <v>43.41149865880174</v>
      </c>
      <c r="Y8" s="309">
        <f>K8*$Y$3</f>
        <v>47.431902256969835</v>
      </c>
      <c r="Z8" s="309">
        <f>K8*$Z$3</f>
        <v>69.285379747736727</v>
      </c>
      <c r="AA8" s="176"/>
      <c r="AB8" s="226">
        <f t="shared" si="2"/>
        <v>1.206329426536621E-2</v>
      </c>
      <c r="AC8" s="261">
        <f>AB8*$AC$3</f>
        <v>80.169034699344223</v>
      </c>
    </row>
    <row r="9" spans="2:30" x14ac:dyDescent="0.25">
      <c r="B9" s="1" t="s">
        <v>21</v>
      </c>
      <c r="C9" t="s">
        <v>22</v>
      </c>
      <c r="D9" s="2"/>
      <c r="H9" s="101">
        <v>0</v>
      </c>
      <c r="J9" s="2">
        <f t="shared" si="1"/>
        <v>0</v>
      </c>
      <c r="K9" s="2">
        <f t="shared" si="3"/>
        <v>0</v>
      </c>
      <c r="L9" s="292">
        <f>J9*$L$3</f>
        <v>0</v>
      </c>
      <c r="M9" s="292">
        <f>J9*$M$3</f>
        <v>0</v>
      </c>
      <c r="N9" s="292">
        <f>J9*$N$3</f>
        <v>0</v>
      </c>
      <c r="O9" s="292">
        <f>J9*$O$3</f>
        <v>0</v>
      </c>
      <c r="P9" s="292">
        <f>J9*$P$3</f>
        <v>0</v>
      </c>
      <c r="Q9" s="221"/>
      <c r="R9" s="309">
        <f t="shared" si="9"/>
        <v>0</v>
      </c>
      <c r="S9" s="309">
        <f t="shared" si="10"/>
        <v>0</v>
      </c>
      <c r="T9" s="309">
        <f t="shared" si="11"/>
        <v>0</v>
      </c>
      <c r="U9" s="309">
        <f t="shared" si="12"/>
        <v>0</v>
      </c>
      <c r="V9" s="309">
        <f t="shared" si="13"/>
        <v>0</v>
      </c>
      <c r="W9" s="309">
        <f t="shared" si="14"/>
        <v>0</v>
      </c>
      <c r="X9" s="309">
        <f t="shared" si="15"/>
        <v>0</v>
      </c>
      <c r="Y9" s="309">
        <f t="shared" si="16"/>
        <v>0</v>
      </c>
      <c r="Z9" s="309">
        <f t="shared" si="17"/>
        <v>0</v>
      </c>
      <c r="AA9" s="176"/>
      <c r="AB9" s="226">
        <f t="shared" si="2"/>
        <v>0</v>
      </c>
      <c r="AC9" s="261">
        <f>AB9*$AC$3</f>
        <v>0</v>
      </c>
    </row>
    <row r="10" spans="2:30" x14ac:dyDescent="0.25">
      <c r="B10" s="1" t="s">
        <v>25</v>
      </c>
      <c r="C10" t="s">
        <v>26</v>
      </c>
      <c r="D10" s="2"/>
      <c r="H10" s="101">
        <v>0</v>
      </c>
      <c r="J10" s="2">
        <f t="shared" si="1"/>
        <v>0</v>
      </c>
      <c r="K10" s="2">
        <f t="shared" si="3"/>
        <v>0</v>
      </c>
      <c r="L10" s="292">
        <f t="shared" si="4"/>
        <v>0</v>
      </c>
      <c r="M10" s="292">
        <f t="shared" si="5"/>
        <v>0</v>
      </c>
      <c r="N10" s="292">
        <f t="shared" si="6"/>
        <v>0</v>
      </c>
      <c r="O10" s="292">
        <f t="shared" si="7"/>
        <v>0</v>
      </c>
      <c r="P10" s="292">
        <f t="shared" si="8"/>
        <v>0</v>
      </c>
      <c r="Q10" s="221"/>
      <c r="R10" s="309">
        <f t="shared" si="9"/>
        <v>0</v>
      </c>
      <c r="S10" s="309">
        <f t="shared" si="10"/>
        <v>0</v>
      </c>
      <c r="T10" s="309">
        <f t="shared" si="11"/>
        <v>0</v>
      </c>
      <c r="U10" s="309">
        <f t="shared" si="12"/>
        <v>0</v>
      </c>
      <c r="V10" s="309">
        <f t="shared" si="13"/>
        <v>0</v>
      </c>
      <c r="W10" s="309">
        <f t="shared" si="14"/>
        <v>0</v>
      </c>
      <c r="X10" s="309">
        <f t="shared" si="15"/>
        <v>0</v>
      </c>
      <c r="Y10" s="309">
        <f t="shared" si="16"/>
        <v>0</v>
      </c>
      <c r="Z10" s="309">
        <f t="shared" si="17"/>
        <v>0</v>
      </c>
      <c r="AA10" s="176"/>
      <c r="AB10" s="226">
        <f t="shared" si="2"/>
        <v>0</v>
      </c>
      <c r="AC10" s="261">
        <f t="shared" si="18"/>
        <v>0</v>
      </c>
    </row>
    <row r="11" spans="2:30" x14ac:dyDescent="0.25">
      <c r="B11" s="1">
        <v>112</v>
      </c>
      <c r="C11" t="s">
        <v>27</v>
      </c>
      <c r="D11" s="2"/>
      <c r="H11" s="255">
        <v>25758.43</v>
      </c>
      <c r="J11" s="2">
        <f t="shared" si="1"/>
        <v>0.21315353310688809</v>
      </c>
      <c r="K11" s="2">
        <f t="shared" si="3"/>
        <v>0.1940797253664778</v>
      </c>
      <c r="L11" s="292">
        <f t="shared" si="4"/>
        <v>1613.7683468696011</v>
      </c>
      <c r="M11" s="292">
        <f t="shared" si="5"/>
        <v>377.42456646637356</v>
      </c>
      <c r="N11" s="292">
        <f t="shared" si="6"/>
        <v>501.80178456957384</v>
      </c>
      <c r="O11" s="292">
        <f t="shared" si="7"/>
        <v>91.992801818270763</v>
      </c>
      <c r="P11" s="292">
        <f t="shared" si="8"/>
        <v>337.64585411796605</v>
      </c>
      <c r="Q11" s="221"/>
      <c r="R11" s="309">
        <f t="shared" si="9"/>
        <v>583.40365445163229</v>
      </c>
      <c r="S11" s="309">
        <f t="shared" si="10"/>
        <v>3586.5933247725097</v>
      </c>
      <c r="T11" s="309">
        <f t="shared" si="11"/>
        <v>133.62583171207362</v>
      </c>
      <c r="U11" s="309">
        <f t="shared" si="12"/>
        <v>170.93571811652532</v>
      </c>
      <c r="V11" s="309">
        <f t="shared" si="13"/>
        <v>63.464070194838243</v>
      </c>
      <c r="W11" s="309">
        <f t="shared" si="14"/>
        <v>270.94111900336401</v>
      </c>
      <c r="X11" s="309">
        <f t="shared" si="15"/>
        <v>483.06443643716324</v>
      </c>
      <c r="Y11" s="309">
        <f t="shared" si="16"/>
        <v>527.80175393139007</v>
      </c>
      <c r="Z11" s="309">
        <f t="shared" si="17"/>
        <v>770.97782742382572</v>
      </c>
      <c r="AA11" s="176"/>
      <c r="AB11" s="226">
        <f t="shared" si="2"/>
        <v>0.13423513644796248</v>
      </c>
      <c r="AC11" s="261">
        <f t="shared" si="18"/>
        <v>892.0864462922242</v>
      </c>
    </row>
    <row r="12" spans="2:30" ht="15.75" thickBot="1" x14ac:dyDescent="0.3">
      <c r="B12" s="1">
        <v>114</v>
      </c>
      <c r="C12" t="s">
        <v>28</v>
      </c>
      <c r="D12" s="2"/>
      <c r="H12" s="255">
        <v>11979.83</v>
      </c>
      <c r="J12" s="2">
        <f t="shared" si="1"/>
        <v>9.9134267520182368E-2</v>
      </c>
      <c r="K12" s="2">
        <f t="shared" si="3"/>
        <v>9.0263347429835258E-2</v>
      </c>
      <c r="L12" s="292">
        <f t="shared" si="4"/>
        <v>750.53760865389904</v>
      </c>
      <c r="M12" s="292">
        <f t="shared" si="5"/>
        <v>175.53407346996133</v>
      </c>
      <c r="N12" s="292">
        <f t="shared" si="6"/>
        <v>233.37990991066295</v>
      </c>
      <c r="O12" s="292">
        <f t="shared" si="7"/>
        <v>42.784367176360313</v>
      </c>
      <c r="P12" s="292">
        <f t="shared" si="8"/>
        <v>157.03363646534487</v>
      </c>
      <c r="Q12" s="221"/>
      <c r="R12" s="309">
        <f t="shared" si="9"/>
        <v>271.33162237408476</v>
      </c>
      <c r="S12" s="309">
        <f t="shared" si="10"/>
        <v>1668.0666605033555</v>
      </c>
      <c r="T12" s="309">
        <f t="shared" si="11"/>
        <v>62.147217338915873</v>
      </c>
      <c r="U12" s="309">
        <f t="shared" si="12"/>
        <v>79.499443248827404</v>
      </c>
      <c r="V12" s="309">
        <f t="shared" si="13"/>
        <v>29.51611460955613</v>
      </c>
      <c r="W12" s="309">
        <f t="shared" si="14"/>
        <v>126.01034091247291</v>
      </c>
      <c r="X12" s="309">
        <f t="shared" si="15"/>
        <v>224.66547175285996</v>
      </c>
      <c r="Y12" s="309">
        <f t="shared" si="16"/>
        <v>245.4720759689113</v>
      </c>
      <c r="Z12" s="309">
        <f t="shared" si="17"/>
        <v>358.56934239807197</v>
      </c>
      <c r="AA12" s="176"/>
      <c r="AB12" s="226">
        <f t="shared" si="2"/>
        <v>6.2430595136170733E-2</v>
      </c>
      <c r="AC12" s="261">
        <f t="shared" si="18"/>
        <v>414.89500609644983</v>
      </c>
    </row>
    <row r="13" spans="2:30" ht="15.75" thickBot="1" x14ac:dyDescent="0.3">
      <c r="B13" s="1">
        <v>222</v>
      </c>
      <c r="C13" t="s">
        <v>29</v>
      </c>
      <c r="D13" s="2"/>
      <c r="H13" s="330">
        <v>2480.65</v>
      </c>
      <c r="J13" s="2">
        <f t="shared" si="1"/>
        <v>2.0527621904813373E-2</v>
      </c>
      <c r="K13" s="2">
        <f t="shared" si="3"/>
        <v>1.8690730402837172E-2</v>
      </c>
      <c r="L13" s="292">
        <f t="shared" si="4"/>
        <v>155.41298323158966</v>
      </c>
      <c r="M13" s="292">
        <f t="shared" si="5"/>
        <v>36.347644278195894</v>
      </c>
      <c r="N13" s="292">
        <f t="shared" si="6"/>
        <v>48.325716935873551</v>
      </c>
      <c r="O13" s="292">
        <f t="shared" si="7"/>
        <v>8.8593110616793567</v>
      </c>
      <c r="P13" s="292">
        <f t="shared" si="8"/>
        <v>32.51677947831962</v>
      </c>
      <c r="Q13" s="221"/>
      <c r="R13" s="309">
        <f t="shared" si="9"/>
        <v>56.184335590928541</v>
      </c>
      <c r="S13" s="309">
        <f t="shared" si="10"/>
        <v>345.40469784443093</v>
      </c>
      <c r="T13" s="309">
        <f t="shared" si="11"/>
        <v>12.868754789657421</v>
      </c>
      <c r="U13" s="309">
        <f t="shared" si="12"/>
        <v>16.46186080229884</v>
      </c>
      <c r="V13" s="309">
        <f t="shared" si="13"/>
        <v>6.1118688417277554</v>
      </c>
      <c r="W13" s="309">
        <f t="shared" si="14"/>
        <v>26.092820364272779</v>
      </c>
      <c r="X13" s="309">
        <f t="shared" si="15"/>
        <v>46.52122797266172</v>
      </c>
      <c r="Y13" s="309">
        <f t="shared" si="16"/>
        <v>50.829628237819726</v>
      </c>
      <c r="Z13" s="309">
        <f t="shared" si="17"/>
        <v>74.248552710662608</v>
      </c>
      <c r="AA13" s="176"/>
      <c r="AB13" s="226">
        <f t="shared" si="2"/>
        <v>1.2927433513208613E-2</v>
      </c>
      <c r="AC13" s="261">
        <f t="shared" si="18"/>
        <v>85.911844898730479</v>
      </c>
    </row>
    <row r="14" spans="2:30" ht="15.75" thickBot="1" x14ac:dyDescent="0.3">
      <c r="B14" s="1">
        <v>223</v>
      </c>
      <c r="C14" t="s">
        <v>30</v>
      </c>
      <c r="D14" s="2"/>
      <c r="H14" s="181">
        <v>0</v>
      </c>
      <c r="I14" s="56"/>
      <c r="J14" s="99">
        <f t="shared" si="1"/>
        <v>0</v>
      </c>
      <c r="K14" s="2">
        <f t="shared" si="3"/>
        <v>0</v>
      </c>
      <c r="L14" s="294">
        <f t="shared" si="4"/>
        <v>0</v>
      </c>
      <c r="M14" s="294">
        <f t="shared" si="5"/>
        <v>0</v>
      </c>
      <c r="N14" s="294">
        <f t="shared" si="6"/>
        <v>0</v>
      </c>
      <c r="O14" s="294">
        <f t="shared" si="7"/>
        <v>0</v>
      </c>
      <c r="P14" s="294">
        <f t="shared" si="8"/>
        <v>0</v>
      </c>
      <c r="Q14" s="252"/>
      <c r="R14" s="309">
        <f t="shared" si="9"/>
        <v>0</v>
      </c>
      <c r="S14" s="309">
        <f t="shared" si="10"/>
        <v>0</v>
      </c>
      <c r="T14" s="309">
        <f t="shared" si="11"/>
        <v>0</v>
      </c>
      <c r="U14" s="309">
        <f t="shared" si="12"/>
        <v>0</v>
      </c>
      <c r="V14" s="309">
        <f t="shared" si="13"/>
        <v>0</v>
      </c>
      <c r="W14" s="309">
        <f t="shared" si="14"/>
        <v>0</v>
      </c>
      <c r="X14" s="309">
        <f t="shared" si="15"/>
        <v>0</v>
      </c>
      <c r="Y14" s="309">
        <f t="shared" si="16"/>
        <v>0</v>
      </c>
      <c r="Z14" s="309">
        <f t="shared" si="17"/>
        <v>0</v>
      </c>
      <c r="AA14" s="180"/>
      <c r="AB14" s="215">
        <f t="shared" si="2"/>
        <v>0</v>
      </c>
      <c r="AC14" s="268">
        <f t="shared" si="18"/>
        <v>0</v>
      </c>
    </row>
    <row r="15" spans="2:30" x14ac:dyDescent="0.25">
      <c r="B15" s="1">
        <v>334</v>
      </c>
      <c r="C15" s="230" t="s">
        <v>73</v>
      </c>
      <c r="D15" s="231"/>
      <c r="E15" s="230"/>
      <c r="F15" s="230"/>
      <c r="G15" s="231"/>
      <c r="H15" s="231">
        <v>2146.15</v>
      </c>
      <c r="I15" s="231"/>
      <c r="J15" s="2">
        <f t="shared" si="1"/>
        <v>1.7759601616921056E-2</v>
      </c>
      <c r="K15" s="2">
        <f t="shared" si="3"/>
        <v>1.6170403343498278E-2</v>
      </c>
      <c r="L15" s="295">
        <f>J15*$L$3</f>
        <v>134.45652307357997</v>
      </c>
      <c r="M15" s="295">
        <f>J15*$M$3</f>
        <v>31.446393795033607</v>
      </c>
      <c r="N15" s="295">
        <f>J15*$N$3</f>
        <v>41.80929893452322</v>
      </c>
      <c r="O15" s="295">
        <f>J15*$O$3</f>
        <v>7.6646888658307901</v>
      </c>
      <c r="P15" s="295">
        <f>J15*$P$3</f>
        <v>28.132096941283798</v>
      </c>
      <c r="Q15" s="232"/>
      <c r="R15" s="309">
        <f t="shared" si="9"/>
        <v>48.608232450555825</v>
      </c>
      <c r="S15" s="309">
        <f t="shared" si="10"/>
        <v>298.82905378784818</v>
      </c>
      <c r="T15" s="309">
        <f t="shared" si="11"/>
        <v>11.133484406032</v>
      </c>
      <c r="U15" s="309">
        <f t="shared" si="12"/>
        <v>14.242082744786108</v>
      </c>
      <c r="V15" s="309">
        <f t="shared" si="13"/>
        <v>5.2877218933239369</v>
      </c>
      <c r="W15" s="309">
        <f t="shared" si="14"/>
        <v>22.5743681796239</v>
      </c>
      <c r="X15" s="309">
        <f t="shared" si="15"/>
        <v>40.248133921967217</v>
      </c>
      <c r="Y15" s="309">
        <f t="shared" si="16"/>
        <v>43.975573596677009</v>
      </c>
      <c r="Z15" s="309">
        <f t="shared" si="17"/>
        <v>64.236603873980044</v>
      </c>
      <c r="AA15" s="232"/>
      <c r="AB15" s="226">
        <f t="shared" si="2"/>
        <v>1.1184250673965558E-2</v>
      </c>
      <c r="AC15" s="261">
        <f>AB15*$AC$3</f>
        <v>74.327174703972915</v>
      </c>
    </row>
    <row r="16" spans="2:30" x14ac:dyDescent="0.25">
      <c r="B16" s="1" t="s">
        <v>35</v>
      </c>
      <c r="C16" s="230" t="s">
        <v>36</v>
      </c>
      <c r="D16" s="231"/>
      <c r="E16" s="234"/>
      <c r="F16" s="234"/>
      <c r="G16" s="231"/>
      <c r="H16" s="231">
        <v>1990.25</v>
      </c>
      <c r="I16" s="235"/>
      <c r="J16" s="2">
        <f t="shared" si="1"/>
        <v>1.6469513835508764E-2</v>
      </c>
      <c r="K16" s="2">
        <f t="shared" si="3"/>
        <v>1.4995757637815365E-2</v>
      </c>
      <c r="L16" s="295">
        <f t="shared" si="4"/>
        <v>124.68937168753001</v>
      </c>
      <c r="M16" s="295">
        <f t="shared" si="5"/>
        <v>29.162074063120304</v>
      </c>
      <c r="N16" s="295">
        <f t="shared" si="6"/>
        <v>38.772200081278029</v>
      </c>
      <c r="O16" s="295">
        <f t="shared" si="7"/>
        <v>7.1079127811288734</v>
      </c>
      <c r="P16" s="295">
        <f t="shared" si="8"/>
        <v>26.088533391137659</v>
      </c>
      <c r="Q16" s="232"/>
      <c r="R16" s="309">
        <f t="shared" si="9"/>
        <v>45.077247459272989</v>
      </c>
      <c r="S16" s="309">
        <f t="shared" si="10"/>
        <v>277.12160114682797</v>
      </c>
      <c r="T16" s="309">
        <f t="shared" si="11"/>
        <v>10.324729091212257</v>
      </c>
      <c r="U16" s="309">
        <f t="shared" si="12"/>
        <v>13.207513539505882</v>
      </c>
      <c r="V16" s="309">
        <f t="shared" si="13"/>
        <v>4.9036127475656244</v>
      </c>
      <c r="W16" s="309">
        <f t="shared" si="14"/>
        <v>20.934527535119383</v>
      </c>
      <c r="X16" s="309">
        <f t="shared" si="15"/>
        <v>37.324440760522442</v>
      </c>
      <c r="Y16" s="309">
        <f t="shared" si="16"/>
        <v>40.781112853615269</v>
      </c>
      <c r="Z16" s="309">
        <f t="shared" si="17"/>
        <v>59.570347301068779</v>
      </c>
      <c r="AA16" s="232"/>
      <c r="AB16" s="226">
        <f t="shared" si="2"/>
        <v>1.0371807610772757E-2</v>
      </c>
      <c r="AC16" s="261">
        <f t="shared" si="18"/>
        <v>68.927921838912511</v>
      </c>
    </row>
    <row r="17" spans="2:29" x14ac:dyDescent="0.25">
      <c r="B17" s="1" t="s">
        <v>37</v>
      </c>
      <c r="C17" s="230" t="s">
        <v>38</v>
      </c>
      <c r="D17" s="231"/>
      <c r="E17" s="230"/>
      <c r="F17" s="230"/>
      <c r="G17" s="231"/>
      <c r="H17" s="231">
        <v>0</v>
      </c>
      <c r="I17" s="231"/>
      <c r="J17" s="2">
        <f t="shared" si="1"/>
        <v>0</v>
      </c>
      <c r="K17" s="2">
        <f t="shared" si="3"/>
        <v>0</v>
      </c>
      <c r="L17" s="295">
        <f t="shared" si="4"/>
        <v>0</v>
      </c>
      <c r="M17" s="295">
        <f t="shared" si="5"/>
        <v>0</v>
      </c>
      <c r="N17" s="295">
        <f t="shared" si="6"/>
        <v>0</v>
      </c>
      <c r="O17" s="295">
        <f t="shared" si="7"/>
        <v>0</v>
      </c>
      <c r="P17" s="295">
        <f t="shared" si="8"/>
        <v>0</v>
      </c>
      <c r="Q17" s="232"/>
      <c r="R17" s="309">
        <f t="shared" si="9"/>
        <v>0</v>
      </c>
      <c r="S17" s="309">
        <f t="shared" si="10"/>
        <v>0</v>
      </c>
      <c r="T17" s="309">
        <f t="shared" si="11"/>
        <v>0</v>
      </c>
      <c r="U17" s="309">
        <f t="shared" si="12"/>
        <v>0</v>
      </c>
      <c r="V17" s="309">
        <f t="shared" si="13"/>
        <v>0</v>
      </c>
      <c r="W17" s="309">
        <f t="shared" si="14"/>
        <v>0</v>
      </c>
      <c r="X17" s="309">
        <f t="shared" si="15"/>
        <v>0</v>
      </c>
      <c r="Y17" s="309">
        <f t="shared" si="16"/>
        <v>0</v>
      </c>
      <c r="Z17" s="309">
        <f t="shared" si="17"/>
        <v>0</v>
      </c>
      <c r="AA17" s="232"/>
      <c r="AB17" s="226">
        <f t="shared" si="2"/>
        <v>0</v>
      </c>
      <c r="AC17" s="261">
        <f t="shared" si="18"/>
        <v>0</v>
      </c>
    </row>
    <row r="18" spans="2:29" x14ac:dyDescent="0.25">
      <c r="B18" s="1">
        <v>335</v>
      </c>
      <c r="C18" s="230" t="s">
        <v>39</v>
      </c>
      <c r="D18" s="231"/>
      <c r="E18" s="230"/>
      <c r="F18" s="230"/>
      <c r="G18" s="231"/>
      <c r="H18" s="31">
        <v>846.15</v>
      </c>
      <c r="I18" s="31"/>
      <c r="J18" s="31">
        <f t="shared" si="1"/>
        <v>7.0019741901347771E-3</v>
      </c>
      <c r="K18" s="2">
        <f t="shared" si="3"/>
        <v>6.3754102877716214E-3</v>
      </c>
      <c r="L18" s="296">
        <f t="shared" si="4"/>
        <v>53.01138643557519</v>
      </c>
      <c r="M18" s="296">
        <f t="shared" si="5"/>
        <v>12.398185639245947</v>
      </c>
      <c r="N18" s="296">
        <f t="shared" si="6"/>
        <v>16.483907598931491</v>
      </c>
      <c r="O18" s="296">
        <f t="shared" si="7"/>
        <v>3.0219120209783674</v>
      </c>
      <c r="P18" s="296">
        <f t="shared" si="8"/>
        <v>11.091477215882993</v>
      </c>
      <c r="Q18" s="189"/>
      <c r="R18" s="309">
        <f t="shared" si="9"/>
        <v>19.164483325041495</v>
      </c>
      <c r="S18" s="309">
        <f t="shared" si="10"/>
        <v>117.81758211801956</v>
      </c>
      <c r="T18" s="309">
        <f t="shared" si="11"/>
        <v>4.3895337372336387</v>
      </c>
      <c r="U18" s="309">
        <f t="shared" si="12"/>
        <v>5.6151426109548552</v>
      </c>
      <c r="V18" s="309">
        <f t="shared" si="13"/>
        <v>2.0847591641013201</v>
      </c>
      <c r="W18" s="309">
        <f t="shared" si="14"/>
        <v>8.900264024037817</v>
      </c>
      <c r="X18" s="309">
        <f t="shared" si="15"/>
        <v>15.868396206263565</v>
      </c>
      <c r="Y18" s="309">
        <f t="shared" si="16"/>
        <v>17.337992031697805</v>
      </c>
      <c r="Z18" s="309">
        <f t="shared" si="17"/>
        <v>25.326189859967009</v>
      </c>
      <c r="AA18" s="189"/>
      <c r="AB18" s="190">
        <f t="shared" si="2"/>
        <v>4.4095490565785045E-3</v>
      </c>
      <c r="AC18" s="191">
        <f t="shared" si="18"/>
        <v>29.304540165303766</v>
      </c>
    </row>
    <row r="19" spans="2:29" ht="15.75" thickBot="1" x14ac:dyDescent="0.3">
      <c r="B19" s="1">
        <v>368</v>
      </c>
      <c r="C19" t="s">
        <v>40</v>
      </c>
      <c r="D19" s="2"/>
      <c r="H19" s="101">
        <v>4903.5</v>
      </c>
      <c r="J19" s="2">
        <f t="shared" si="1"/>
        <v>4.0576943144035788E-2</v>
      </c>
      <c r="K19" s="2">
        <f t="shared" si="3"/>
        <v>3.6945960345196656E-2</v>
      </c>
      <c r="L19" s="292">
        <f>J19*$L$3</f>
        <v>307.20479038804342</v>
      </c>
      <c r="M19" s="292">
        <f>J19*$M$3</f>
        <v>71.848375916849847</v>
      </c>
      <c r="N19" s="292">
        <f>J19*$N$3</f>
        <v>95.525428010826175</v>
      </c>
      <c r="O19" s="292">
        <f>J19*$O$3</f>
        <v>17.512197122102968</v>
      </c>
      <c r="P19" s="292">
        <f>J19*$P$3</f>
        <v>64.275906787309893</v>
      </c>
      <c r="Q19" s="221"/>
      <c r="R19" s="309">
        <f t="shared" si="9"/>
        <v>111.05955679766114</v>
      </c>
      <c r="S19" s="309">
        <f t="shared" si="10"/>
        <v>682.76134717923424</v>
      </c>
      <c r="T19" s="309">
        <f t="shared" si="11"/>
        <v>25.437663157271349</v>
      </c>
      <c r="U19" s="309">
        <f t="shared" si="12"/>
        <v>32.540154574031952</v>
      </c>
      <c r="V19" s="309">
        <f t="shared" si="13"/>
        <v>12.081329032879307</v>
      </c>
      <c r="W19" s="309">
        <f t="shared" si="14"/>
        <v>51.577669020704889</v>
      </c>
      <c r="X19" s="309">
        <f t="shared" si="15"/>
        <v>91.958495299194482</v>
      </c>
      <c r="Y19" s="309">
        <f t="shared" si="16"/>
        <v>100.47490861836576</v>
      </c>
      <c r="Z19" s="309">
        <f t="shared" si="17"/>
        <v>146.76708855208682</v>
      </c>
      <c r="AA19" s="176"/>
      <c r="AB19" s="226">
        <f t="shared" si="2"/>
        <v>2.5553653369890322E-2</v>
      </c>
      <c r="AC19" s="261">
        <f>AB19*$AC$3</f>
        <v>169.8219142002801</v>
      </c>
    </row>
    <row r="20" spans="2:29" ht="15.75" thickBot="1" x14ac:dyDescent="0.3">
      <c r="B20" s="1">
        <v>451</v>
      </c>
      <c r="C20" s="66" t="s">
        <v>41</v>
      </c>
      <c r="D20" s="53"/>
      <c r="E20" s="66"/>
      <c r="F20" s="66"/>
      <c r="G20" s="53"/>
      <c r="H20" s="67">
        <v>10715.26</v>
      </c>
      <c r="I20" s="31"/>
      <c r="J20" s="2">
        <f t="shared" si="1"/>
        <v>8.8669826816266117E-2</v>
      </c>
      <c r="K20" s="2">
        <f t="shared" si="3"/>
        <v>8.0735305607927382E-2</v>
      </c>
      <c r="L20" s="297">
        <f t="shared" si="4"/>
        <v>671.31216523980549</v>
      </c>
      <c r="M20" s="297">
        <f t="shared" si="5"/>
        <v>157.00500224875793</v>
      </c>
      <c r="N20" s="297">
        <f t="shared" si="6"/>
        <v>208.74473289431739</v>
      </c>
      <c r="O20" s="297">
        <f t="shared" si="7"/>
        <v>38.268123857364138</v>
      </c>
      <c r="P20" s="297">
        <f t="shared" si="8"/>
        <v>140.45743916830634</v>
      </c>
      <c r="Q20" s="179"/>
      <c r="R20" s="309">
        <f t="shared" si="9"/>
        <v>242.69032865742972</v>
      </c>
      <c r="S20" s="309">
        <f t="shared" si="10"/>
        <v>1491.988447634498</v>
      </c>
      <c r="T20" s="309">
        <f t="shared" si="11"/>
        <v>55.587065264114081</v>
      </c>
      <c r="U20" s="309">
        <f>K20*$U$3</f>
        <v>71.107620414182037</v>
      </c>
      <c r="V20" s="309">
        <f t="shared" si="13"/>
        <v>26.400444933792254</v>
      </c>
      <c r="W20" s="309">
        <f t="shared" si="14"/>
        <v>112.70890868783486</v>
      </c>
      <c r="X20" s="309">
        <f t="shared" si="15"/>
        <v>200.95017565813126</v>
      </c>
      <c r="Y20" s="309">
        <f t="shared" si="16"/>
        <v>219.56047095381462</v>
      </c>
      <c r="Z20" s="309">
        <f t="shared" si="17"/>
        <v>320.71938682137937</v>
      </c>
      <c r="AA20" s="179"/>
      <c r="AB20" s="226">
        <f t="shared" si="2"/>
        <v>5.584053019440216E-2</v>
      </c>
      <c r="AC20" s="261">
        <f t="shared" si="18"/>
        <v>371.09941151293845</v>
      </c>
    </row>
    <row r="21" spans="2:29" x14ac:dyDescent="0.25">
      <c r="B21" s="1">
        <v>452</v>
      </c>
      <c r="C21" t="s">
        <v>42</v>
      </c>
      <c r="D21" s="2"/>
      <c r="H21" s="101"/>
      <c r="J21" s="2">
        <f t="shared" si="1"/>
        <v>0</v>
      </c>
      <c r="K21" s="2">
        <f t="shared" si="3"/>
        <v>0</v>
      </c>
      <c r="L21" s="297">
        <f t="shared" si="4"/>
        <v>0</v>
      </c>
      <c r="M21" s="297">
        <f t="shared" si="5"/>
        <v>0</v>
      </c>
      <c r="N21" s="297">
        <f t="shared" si="6"/>
        <v>0</v>
      </c>
      <c r="O21" s="297">
        <f t="shared" si="7"/>
        <v>0</v>
      </c>
      <c r="P21" s="297">
        <f t="shared" si="8"/>
        <v>0</v>
      </c>
      <c r="Q21" s="179"/>
      <c r="R21" s="309">
        <f t="shared" si="9"/>
        <v>0</v>
      </c>
      <c r="S21" s="309">
        <f t="shared" si="10"/>
        <v>0</v>
      </c>
      <c r="T21" s="309">
        <f t="shared" si="11"/>
        <v>0</v>
      </c>
      <c r="U21" s="309">
        <f t="shared" si="12"/>
        <v>0</v>
      </c>
      <c r="V21" s="309">
        <f t="shared" si="13"/>
        <v>0</v>
      </c>
      <c r="W21" s="309">
        <f t="shared" si="14"/>
        <v>0</v>
      </c>
      <c r="X21" s="309">
        <f t="shared" si="15"/>
        <v>0</v>
      </c>
      <c r="Y21" s="309">
        <f t="shared" si="16"/>
        <v>0</v>
      </c>
      <c r="Z21" s="309">
        <f t="shared" si="17"/>
        <v>0</v>
      </c>
      <c r="AA21" s="179"/>
      <c r="AB21" s="226">
        <f t="shared" si="2"/>
        <v>0</v>
      </c>
      <c r="AC21" s="261">
        <f t="shared" si="18"/>
        <v>0</v>
      </c>
    </row>
    <row r="22" spans="2:29" x14ac:dyDescent="0.25">
      <c r="B22" s="1">
        <v>454</v>
      </c>
      <c r="C22" t="s">
        <v>43</v>
      </c>
      <c r="D22" s="2"/>
      <c r="H22" s="101"/>
      <c r="J22" s="2"/>
      <c r="K22" s="2">
        <f t="shared" si="3"/>
        <v>0</v>
      </c>
      <c r="L22" s="292"/>
      <c r="M22" s="292"/>
      <c r="N22" s="292"/>
      <c r="O22" s="292"/>
      <c r="P22" s="292"/>
      <c r="Q22" s="221"/>
      <c r="R22" s="309">
        <f t="shared" si="9"/>
        <v>0</v>
      </c>
      <c r="S22" s="309">
        <f t="shared" si="10"/>
        <v>0</v>
      </c>
      <c r="T22" s="309">
        <f t="shared" si="11"/>
        <v>0</v>
      </c>
      <c r="U22" s="309">
        <f t="shared" si="12"/>
        <v>0</v>
      </c>
      <c r="V22" s="309">
        <f t="shared" si="13"/>
        <v>0</v>
      </c>
      <c r="W22" s="309">
        <f t="shared" si="14"/>
        <v>0</v>
      </c>
      <c r="X22" s="309">
        <f t="shared" si="15"/>
        <v>0</v>
      </c>
      <c r="Y22" s="309">
        <f t="shared" si="16"/>
        <v>0</v>
      </c>
      <c r="Z22" s="309">
        <f t="shared" si="17"/>
        <v>0</v>
      </c>
      <c r="AA22" s="176"/>
      <c r="AB22" s="226"/>
      <c r="AC22" s="261"/>
    </row>
    <row r="23" spans="2:29" x14ac:dyDescent="0.25">
      <c r="B23" s="1">
        <v>467</v>
      </c>
      <c r="C23" t="s">
        <v>44</v>
      </c>
      <c r="D23" s="2"/>
      <c r="H23" s="101">
        <v>6346.17</v>
      </c>
      <c r="J23" s="2">
        <f t="shared" ref="J23:J35" si="19">H23/$I$35</f>
        <v>5.2515178805421753E-2</v>
      </c>
      <c r="K23" s="2">
        <f t="shared" si="3"/>
        <v>4.7815916215739093E-2</v>
      </c>
      <c r="L23" s="292">
        <f>J23*$L$3</f>
        <v>397.58821752154364</v>
      </c>
      <c r="M23" s="292">
        <f>J23*$M$3</f>
        <v>92.987051655396144</v>
      </c>
      <c r="N23" s="292">
        <f>J23*$N$3</f>
        <v>123.63018364014779</v>
      </c>
      <c r="O23" s="292">
        <f>J23*$O$3</f>
        <v>22.664500868843923</v>
      </c>
      <c r="P23" s="292">
        <f>J23*$P$3</f>
        <v>83.186668986728321</v>
      </c>
      <c r="Q23" s="221"/>
      <c r="R23" s="309">
        <f t="shared" si="9"/>
        <v>143.73464414451172</v>
      </c>
      <c r="S23" s="309">
        <f t="shared" si="10"/>
        <v>883.6381316668585</v>
      </c>
      <c r="T23" s="309">
        <f t="shared" si="11"/>
        <v>32.921736473698523</v>
      </c>
      <c r="U23" s="309">
        <f t="shared" si="12"/>
        <v>42.113868207012203</v>
      </c>
      <c r="V23" s="309">
        <f t="shared" si="13"/>
        <v>15.635804602546683</v>
      </c>
      <c r="W23" s="309">
        <f t="shared" si="14"/>
        <v>66.752453514658242</v>
      </c>
      <c r="X23" s="309">
        <f t="shared" si="15"/>
        <v>119.0138154609746</v>
      </c>
      <c r="Y23" s="309">
        <f t="shared" si="16"/>
        <v>130.03586230786462</v>
      </c>
      <c r="Z23" s="309">
        <f t="shared" si="17"/>
        <v>189.94777084869924</v>
      </c>
      <c r="AA23" s="176"/>
      <c r="AB23" s="226">
        <f t="shared" ref="AB23:AB35" si="20">H23/$H$39</f>
        <v>3.3071852433240921E-2</v>
      </c>
      <c r="AC23" s="261">
        <f>AB23*$AC$3</f>
        <v>219.78560971558917</v>
      </c>
    </row>
    <row r="24" spans="2:29" x14ac:dyDescent="0.25">
      <c r="B24" s="1">
        <v>468</v>
      </c>
      <c r="C24" t="s">
        <v>45</v>
      </c>
      <c r="D24" s="2"/>
      <c r="H24" s="101">
        <v>6307.7</v>
      </c>
      <c r="J24" s="2">
        <f t="shared" si="19"/>
        <v>5.2196835784569087E-2</v>
      </c>
      <c r="K24" s="2">
        <f t="shared" si="3"/>
        <v>4.7526059767390015E-2</v>
      </c>
      <c r="L24" s="292">
        <f>J24*$L$3</f>
        <v>395.17806797810982</v>
      </c>
      <c r="M24" s="292">
        <f>J24*$M$3</f>
        <v>92.42337121866295</v>
      </c>
      <c r="N24" s="292">
        <f>J24*$N$3</f>
        <v>122.88074686731687</v>
      </c>
      <c r="O24" s="292">
        <f>J24*$O$3</f>
        <v>22.52711038790433</v>
      </c>
      <c r="P24" s="292">
        <f>J24*$P$3</f>
        <v>82.682397724546661</v>
      </c>
      <c r="Q24" s="221"/>
      <c r="R24" s="309">
        <f t="shared" si="9"/>
        <v>142.8633356607744</v>
      </c>
      <c r="S24" s="309">
        <f t="shared" si="10"/>
        <v>878.28158450136743</v>
      </c>
      <c r="T24" s="309">
        <f t="shared" si="11"/>
        <v>32.722167410445699</v>
      </c>
      <c r="U24" s="309">
        <f t="shared" si="12"/>
        <v>41.858577140128759</v>
      </c>
      <c r="V24" s="309">
        <f t="shared" si="13"/>
        <v>15.541021543936536</v>
      </c>
      <c r="W24" s="309">
        <f t="shared" si="14"/>
        <v>66.347805217069478</v>
      </c>
      <c r="X24" s="309">
        <f t="shared" si="15"/>
        <v>118.29236276103374</v>
      </c>
      <c r="Y24" s="309">
        <f t="shared" si="16"/>
        <v>129.24759479801483</v>
      </c>
      <c r="Z24" s="309">
        <f t="shared" si="17"/>
        <v>188.7963219047615</v>
      </c>
      <c r="AA24" s="176"/>
      <c r="AB24" s="226">
        <f t="shared" si="20"/>
        <v>3.287137337845563E-2</v>
      </c>
      <c r="AC24" s="261">
        <f>AB24*$AC$3</f>
        <v>218.45328606120259</v>
      </c>
    </row>
    <row r="25" spans="2:29" x14ac:dyDescent="0.25">
      <c r="B25" s="1">
        <v>502</v>
      </c>
      <c r="C25" t="s">
        <v>46</v>
      </c>
      <c r="D25" s="2"/>
      <c r="H25" s="101">
        <v>2022.12</v>
      </c>
      <c r="J25" s="2">
        <f t="shared" si="19"/>
        <v>1.6733241209425438E-2</v>
      </c>
      <c r="K25" s="2">
        <f t="shared" si="3"/>
        <v>1.5235885659881524E-2</v>
      </c>
      <c r="L25" s="292">
        <f t="shared" si="4"/>
        <v>126.68603053726324</v>
      </c>
      <c r="M25" s="292">
        <f t="shared" si="5"/>
        <v>29.629048212293341</v>
      </c>
      <c r="N25" s="292">
        <f t="shared" si="6"/>
        <v>39.393061790405184</v>
      </c>
      <c r="O25" s="292">
        <f t="shared" si="7"/>
        <v>7.2217322411638314</v>
      </c>
      <c r="P25" s="292">
        <f t="shared" si="8"/>
        <v>26.506290737790366</v>
      </c>
      <c r="Q25" s="221"/>
      <c r="R25" s="309">
        <f t="shared" si="9"/>
        <v>45.799072293603864</v>
      </c>
      <c r="S25" s="309">
        <f t="shared" si="10"/>
        <v>281.55916699461056</v>
      </c>
      <c r="T25" s="309">
        <f t="shared" si="11"/>
        <v>10.490059635685029</v>
      </c>
      <c r="U25" s="309">
        <f t="shared" si="12"/>
        <v>13.419006294940653</v>
      </c>
      <c r="V25" s="309">
        <f t="shared" si="13"/>
        <v>4.9821346107812579</v>
      </c>
      <c r="W25" s="309">
        <f t="shared" si="14"/>
        <v>21.269753457764402</v>
      </c>
      <c r="X25" s="309">
        <f t="shared" si="15"/>
        <v>37.922119407445116</v>
      </c>
      <c r="Y25" s="309">
        <f t="shared" si="16"/>
        <v>41.434143410904404</v>
      </c>
      <c r="Z25" s="309">
        <f t="shared" si="17"/>
        <v>60.524251066166158</v>
      </c>
      <c r="AA25" s="176"/>
      <c r="AB25" s="226">
        <f t="shared" si="20"/>
        <v>1.0537892026577468E-2</v>
      </c>
      <c r="AC25" s="261">
        <f t="shared" si="18"/>
        <v>70.031669041025879</v>
      </c>
    </row>
    <row r="26" spans="2:29" x14ac:dyDescent="0.25">
      <c r="B26" s="1">
        <v>515</v>
      </c>
      <c r="C26" t="s">
        <v>47</v>
      </c>
      <c r="D26" s="2"/>
      <c r="H26" s="101">
        <v>2659.26</v>
      </c>
      <c r="J26" s="2">
        <f t="shared" si="19"/>
        <v>2.2005637162273602E-2</v>
      </c>
      <c r="K26" s="2">
        <f t="shared" si="3"/>
        <v>2.0036487102593589E-2</v>
      </c>
      <c r="L26" s="292">
        <f t="shared" si="4"/>
        <v>166.60291850460047</v>
      </c>
      <c r="M26" s="292">
        <f t="shared" si="5"/>
        <v>38.964721554123003</v>
      </c>
      <c r="N26" s="292">
        <f t="shared" si="6"/>
        <v>51.805230894681273</v>
      </c>
      <c r="O26" s="292">
        <f t="shared" si="7"/>
        <v>9.4971928864940427</v>
      </c>
      <c r="P26" s="292">
        <f t="shared" si="8"/>
        <v>34.858029546899502</v>
      </c>
      <c r="Q26" s="221"/>
      <c r="R26" s="309">
        <f t="shared" si="9"/>
        <v>60.229680230396326</v>
      </c>
      <c r="S26" s="309">
        <f t="shared" si="10"/>
        <v>370.27428165592954</v>
      </c>
      <c r="T26" s="309">
        <f t="shared" si="11"/>
        <v>13.795321735006711</v>
      </c>
      <c r="U26" s="309">
        <f t="shared" si="12"/>
        <v>17.647136015609302</v>
      </c>
      <c r="V26" s="309">
        <f t="shared" si="13"/>
        <v>6.5519312825481038</v>
      </c>
      <c r="W26" s="309">
        <f t="shared" si="14"/>
        <v>27.971537089833728</v>
      </c>
      <c r="X26" s="309">
        <f t="shared" si="15"/>
        <v>49.870816398355444</v>
      </c>
      <c r="Y26" s="309">
        <f t="shared" si="16"/>
        <v>54.489427040374295</v>
      </c>
      <c r="Z26" s="309">
        <f t="shared" si="17"/>
        <v>79.594544285310974</v>
      </c>
      <c r="AA26" s="176"/>
      <c r="AB26" s="226">
        <f t="shared" si="20"/>
        <v>1.3858225402348229E-2</v>
      </c>
      <c r="AC26" s="261">
        <f t="shared" si="18"/>
        <v>92.097608556385623</v>
      </c>
    </row>
    <row r="27" spans="2:29" x14ac:dyDescent="0.25">
      <c r="B27" s="1">
        <v>525</v>
      </c>
      <c r="C27" t="s">
        <v>48</v>
      </c>
      <c r="D27" s="2"/>
      <c r="H27" s="101">
        <v>3244.23</v>
      </c>
      <c r="J27" s="2">
        <f t="shared" si="19"/>
        <v>2.684632125138681E-2</v>
      </c>
      <c r="K27" s="2">
        <f t="shared" si="3"/>
        <v>2.4444007939369294E-2</v>
      </c>
      <c r="L27" s="292">
        <f t="shared" si="4"/>
        <v>203.25135048854943</v>
      </c>
      <c r="M27" s="292">
        <f t="shared" si="5"/>
        <v>47.535975650193087</v>
      </c>
      <c r="N27" s="292">
        <f t="shared" si="6"/>
        <v>63.201072563589811</v>
      </c>
      <c r="O27" s="292">
        <f t="shared" si="7"/>
        <v>11.58633532567352</v>
      </c>
      <c r="P27" s="292">
        <f t="shared" si="8"/>
        <v>42.525915178259275</v>
      </c>
      <c r="Q27" s="221"/>
      <c r="R27" s="309">
        <f t="shared" si="9"/>
        <v>73.478687865744092</v>
      </c>
      <c r="S27" s="309">
        <f t="shared" si="10"/>
        <v>451.72526671954455</v>
      </c>
      <c r="T27" s="309">
        <f t="shared" si="11"/>
        <v>16.829943906335153</v>
      </c>
      <c r="U27" s="309">
        <f t="shared" si="12"/>
        <v>21.529059992599507</v>
      </c>
      <c r="V27" s="309">
        <f t="shared" si="13"/>
        <v>7.9931905961737595</v>
      </c>
      <c r="W27" s="309">
        <f t="shared" si="14"/>
        <v>34.124568403597713</v>
      </c>
      <c r="X27" s="309">
        <f t="shared" si="15"/>
        <v>60.841135761090172</v>
      </c>
      <c r="Y27" s="309">
        <f t="shared" si="16"/>
        <v>66.47572403119419</v>
      </c>
      <c r="Z27" s="309">
        <f t="shared" si="17"/>
        <v>97.103332658985735</v>
      </c>
      <c r="AA27" s="176"/>
      <c r="AB27" s="226">
        <f t="shared" si="20"/>
        <v>1.6906684790904309E-2</v>
      </c>
      <c r="AC27" s="261">
        <f t="shared" si="18"/>
        <v>112.35675511491276</v>
      </c>
    </row>
    <row r="28" spans="2:29" x14ac:dyDescent="0.25">
      <c r="B28" s="1">
        <v>560</v>
      </c>
      <c r="C28" t="s">
        <v>49</v>
      </c>
      <c r="D28" s="2"/>
      <c r="H28" s="255">
        <v>115.39</v>
      </c>
      <c r="I28" s="256"/>
      <c r="J28" s="256">
        <f t="shared" si="19"/>
        <v>9.5486356059759137E-4</v>
      </c>
      <c r="K28" s="2">
        <f t="shared" si="3"/>
        <v>8.6941865284638356E-4</v>
      </c>
      <c r="L28" s="298">
        <f t="shared" si="4"/>
        <v>7.2291956281995162</v>
      </c>
      <c r="M28" s="298">
        <f t="shared" si="5"/>
        <v>1.6907482608433373</v>
      </c>
      <c r="N28" s="298">
        <f t="shared" si="6"/>
        <v>2.247920697087638</v>
      </c>
      <c r="O28" s="298">
        <f t="shared" si="7"/>
        <v>0.41210001548270853</v>
      </c>
      <c r="P28" s="298">
        <f t="shared" si="8"/>
        <v>1.5125516231646146</v>
      </c>
      <c r="Q28" s="257"/>
      <c r="R28" s="309">
        <f t="shared" si="9"/>
        <v>2.6134724704562289</v>
      </c>
      <c r="S28" s="309">
        <f t="shared" si="10"/>
        <v>16.066856704601168</v>
      </c>
      <c r="T28" s="309">
        <f t="shared" si="11"/>
        <v>0.59860343667126359</v>
      </c>
      <c r="U28" s="309">
        <f t="shared" si="12"/>
        <v>0.76574047849445237</v>
      </c>
      <c r="V28" s="309">
        <f t="shared" si="13"/>
        <v>0.28429989948076745</v>
      </c>
      <c r="W28" s="309">
        <f t="shared" si="14"/>
        <v>1.2137345219331368</v>
      </c>
      <c r="X28" s="309">
        <f t="shared" si="15"/>
        <v>2.1639830269346487</v>
      </c>
      <c r="Y28" s="309">
        <f t="shared" si="16"/>
        <v>2.3643927206022686</v>
      </c>
      <c r="Z28" s="309">
        <f t="shared" si="17"/>
        <v>3.4537482100592016</v>
      </c>
      <c r="AA28" s="257"/>
      <c r="AB28" s="226">
        <f t="shared" si="20"/>
        <v>6.0133293817714783E-4</v>
      </c>
      <c r="AC28" s="261">
        <f t="shared" si="18"/>
        <v>3.9962783072438715</v>
      </c>
    </row>
    <row r="29" spans="2:29" x14ac:dyDescent="0.25">
      <c r="B29" s="1">
        <v>564</v>
      </c>
      <c r="C29" t="s">
        <v>50</v>
      </c>
      <c r="D29" s="2"/>
      <c r="H29" s="253">
        <v>4519.24</v>
      </c>
      <c r="I29" s="99"/>
      <c r="J29" s="99">
        <f t="shared" si="19"/>
        <v>3.7397153978638173E-2</v>
      </c>
      <c r="K29" s="2">
        <f t="shared" si="3"/>
        <v>3.4050711090124711E-2</v>
      </c>
      <c r="L29" s="299">
        <f t="shared" si="4"/>
        <v>283.13086099995132</v>
      </c>
      <c r="M29" s="299">
        <f t="shared" si="5"/>
        <v>66.21801863535525</v>
      </c>
      <c r="N29" s="299">
        <f t="shared" si="6"/>
        <v>88.03963195343043</v>
      </c>
      <c r="O29" s="299">
        <f t="shared" si="7"/>
        <v>16.139863714100663</v>
      </c>
      <c r="P29" s="299">
        <f t="shared" si="8"/>
        <v>59.238961759861795</v>
      </c>
      <c r="Q29" s="183"/>
      <c r="R29" s="309">
        <f t="shared" si="9"/>
        <v>102.35643753691488</v>
      </c>
      <c r="S29" s="309">
        <f t="shared" si="10"/>
        <v>629.2571409455046</v>
      </c>
      <c r="T29" s="309">
        <f t="shared" si="11"/>
        <v>23.444255092661763</v>
      </c>
      <c r="U29" s="309">
        <f t="shared" si="12"/>
        <v>29.990163792627339</v>
      </c>
      <c r="V29" s="309">
        <f t="shared" si="13"/>
        <v>11.13458252647078</v>
      </c>
      <c r="W29" s="309">
        <f t="shared" si="14"/>
        <v>47.535814203146799</v>
      </c>
      <c r="X29" s="309">
        <f t="shared" si="15"/>
        <v>84.752219903320409</v>
      </c>
      <c r="Y29" s="309">
        <f t="shared" si="16"/>
        <v>92.601249316705065</v>
      </c>
      <c r="Z29" s="309">
        <f t="shared" si="17"/>
        <v>135.2657687912986</v>
      </c>
      <c r="AA29" s="183"/>
      <c r="AB29" s="226">
        <f t="shared" si="20"/>
        <v>2.3551155797969438E-2</v>
      </c>
      <c r="AC29" s="261">
        <f t="shared" si="18"/>
        <v>156.5139160865655</v>
      </c>
    </row>
    <row r="30" spans="2:29" x14ac:dyDescent="0.25">
      <c r="B30" s="1">
        <v>563</v>
      </c>
      <c r="C30" t="s">
        <v>51</v>
      </c>
      <c r="D30" s="2"/>
      <c r="H30" s="101">
        <v>2707.22</v>
      </c>
      <c r="J30" s="2">
        <f t="shared" si="19"/>
        <v>2.2402510863341808E-2</v>
      </c>
      <c r="K30" s="2">
        <f t="shared" si="3"/>
        <v>2.0397847000249471E-2</v>
      </c>
      <c r="L30" s="292">
        <f t="shared" si="4"/>
        <v>169.60761754549176</v>
      </c>
      <c r="M30" s="292">
        <f t="shared" si="5"/>
        <v>39.667453910393441</v>
      </c>
      <c r="N30" s="292">
        <f t="shared" si="6"/>
        <v>52.739543024262026</v>
      </c>
      <c r="O30" s="292">
        <f t="shared" si="7"/>
        <v>9.6684756384010591</v>
      </c>
      <c r="P30" s="292">
        <f t="shared" si="8"/>
        <v>35.486697333076592</v>
      </c>
      <c r="Q30" s="221"/>
      <c r="R30" s="309">
        <f t="shared" si="9"/>
        <v>61.315928082749906</v>
      </c>
      <c r="S30" s="309">
        <f t="shared" si="10"/>
        <v>376.95221256461019</v>
      </c>
      <c r="T30" s="309">
        <f t="shared" si="11"/>
        <v>14.044121638141762</v>
      </c>
      <c r="U30" s="309">
        <f t="shared" si="12"/>
        <v>17.965403745469722</v>
      </c>
      <c r="V30" s="309">
        <f t="shared" si="13"/>
        <v>6.6700959690815766</v>
      </c>
      <c r="W30" s="309">
        <f t="shared" si="14"/>
        <v>28.476006347758268</v>
      </c>
      <c r="X30" s="309">
        <f t="shared" si="15"/>
        <v>50.770241183620932</v>
      </c>
      <c r="Y30" s="309">
        <f t="shared" si="16"/>
        <v>55.472148895648445</v>
      </c>
      <c r="Z30" s="309">
        <f t="shared" si="17"/>
        <v>81.030039251551017</v>
      </c>
      <c r="AA30" s="176"/>
      <c r="AB30" s="226">
        <f t="shared" si="20"/>
        <v>1.4108159778940445E-2</v>
      </c>
      <c r="AC30" s="261">
        <f t="shared" si="18"/>
        <v>93.758597442904517</v>
      </c>
    </row>
    <row r="31" spans="2:29" x14ac:dyDescent="0.25">
      <c r="B31" s="1">
        <v>610</v>
      </c>
      <c r="C31" t="s">
        <v>53</v>
      </c>
      <c r="D31" s="2"/>
      <c r="H31" s="101">
        <v>9776.93</v>
      </c>
      <c r="J31" s="2">
        <f t="shared" si="19"/>
        <v>8.0905054090591982E-2</v>
      </c>
      <c r="K31" s="2">
        <f t="shared" si="3"/>
        <v>7.3665354966404306E-2</v>
      </c>
      <c r="L31" s="292">
        <f t="shared" si="4"/>
        <v>612.52569211554464</v>
      </c>
      <c r="M31" s="292">
        <f t="shared" si="5"/>
        <v>143.25615212658852</v>
      </c>
      <c r="N31" s="292">
        <f t="shared" si="6"/>
        <v>190.46506023898985</v>
      </c>
      <c r="O31" s="292">
        <f t="shared" si="7"/>
        <v>34.917003244417693</v>
      </c>
      <c r="P31" s="292">
        <f t="shared" si="8"/>
        <v>128.15765093220222</v>
      </c>
      <c r="Q31" s="221"/>
      <c r="R31" s="309">
        <f t="shared" si="9"/>
        <v>221.43805702901133</v>
      </c>
      <c r="S31" s="309">
        <f t="shared" si="10"/>
        <v>1361.3357597791517</v>
      </c>
      <c r="T31" s="309">
        <f t="shared" si="11"/>
        <v>50.719333547919028</v>
      </c>
      <c r="U31" s="309">
        <f t="shared" si="12"/>
        <v>64.880761386660595</v>
      </c>
      <c r="V31" s="309">
        <f t="shared" si="13"/>
        <v>24.088571074014208</v>
      </c>
      <c r="W31" s="309">
        <f t="shared" si="14"/>
        <v>102.8390454937494</v>
      </c>
      <c r="X31" s="309">
        <f t="shared" si="15"/>
        <v>183.35306851138031</v>
      </c>
      <c r="Y31" s="309">
        <f t="shared" si="16"/>
        <v>200.3336694846862</v>
      </c>
      <c r="Z31" s="309">
        <f t="shared" si="17"/>
        <v>292.63414929694176</v>
      </c>
      <c r="AA31" s="176"/>
      <c r="AB31" s="226">
        <f t="shared" si="20"/>
        <v>5.0950602680061546E-2</v>
      </c>
      <c r="AC31" s="261">
        <f t="shared" si="18"/>
        <v>338.602420230885</v>
      </c>
    </row>
    <row r="32" spans="2:29" x14ac:dyDescent="0.25">
      <c r="B32" s="1">
        <v>620</v>
      </c>
      <c r="C32" t="s">
        <v>54</v>
      </c>
      <c r="D32" s="2"/>
      <c r="H32" s="101">
        <v>6769.23</v>
      </c>
      <c r="J32" s="2">
        <f t="shared" si="19"/>
        <v>5.6016041774018831E-2</v>
      </c>
      <c r="K32" s="2">
        <f t="shared" si="3"/>
        <v>5.1003508340474256E-2</v>
      </c>
      <c r="L32" s="292">
        <f t="shared" si="4"/>
        <v>424.09297098775465</v>
      </c>
      <c r="M32" s="292">
        <f t="shared" si="5"/>
        <v>99.185924688001933</v>
      </c>
      <c r="N32" s="292">
        <f t="shared" si="6"/>
        <v>131.87184522355966</v>
      </c>
      <c r="O32" s="292">
        <f t="shared" si="7"/>
        <v>24.175403308831051</v>
      </c>
      <c r="P32" s="292">
        <f t="shared" si="8"/>
        <v>88.732210972134524</v>
      </c>
      <c r="Q32" s="221"/>
      <c r="R32" s="309">
        <f t="shared" si="9"/>
        <v>153.31654607146561</v>
      </c>
      <c r="S32" s="309">
        <f t="shared" si="10"/>
        <v>942.54483413196419</v>
      </c>
      <c r="T32" s="309">
        <f t="shared" si="11"/>
        <v>35.116425527499928</v>
      </c>
      <c r="U32" s="309">
        <f t="shared" si="12"/>
        <v>44.921339970872701</v>
      </c>
      <c r="V32" s="309">
        <f t="shared" si="13"/>
        <v>16.678147227335081</v>
      </c>
      <c r="W32" s="309">
        <f t="shared" si="14"/>
        <v>71.202427748552267</v>
      </c>
      <c r="X32" s="309">
        <f t="shared" si="15"/>
        <v>126.94773225944043</v>
      </c>
      <c r="Y32" s="309">
        <f t="shared" si="16"/>
        <v>138.70455096700314</v>
      </c>
      <c r="Z32" s="309">
        <f t="shared" si="17"/>
        <v>202.61041681236716</v>
      </c>
      <c r="AA32" s="176"/>
      <c r="AB32" s="226">
        <f t="shared" si="20"/>
        <v>3.527654879189613E-2</v>
      </c>
      <c r="AC32" s="261">
        <f t="shared" si="18"/>
        <v>234.4373603063041</v>
      </c>
    </row>
    <row r="33" spans="2:33" x14ac:dyDescent="0.25">
      <c r="B33" s="1">
        <v>630</v>
      </c>
      <c r="C33" t="s">
        <v>55</v>
      </c>
      <c r="D33" s="2"/>
      <c r="H33" s="101">
        <v>0</v>
      </c>
      <c r="J33" s="2">
        <f t="shared" si="19"/>
        <v>0</v>
      </c>
      <c r="K33" s="2">
        <f t="shared" si="3"/>
        <v>0</v>
      </c>
      <c r="L33" s="292">
        <f t="shared" si="4"/>
        <v>0</v>
      </c>
      <c r="M33" s="292">
        <f t="shared" si="5"/>
        <v>0</v>
      </c>
      <c r="N33" s="292">
        <f t="shared" si="6"/>
        <v>0</v>
      </c>
      <c r="O33" s="292">
        <f t="shared" si="7"/>
        <v>0</v>
      </c>
      <c r="P33" s="292">
        <f t="shared" si="8"/>
        <v>0</v>
      </c>
      <c r="Q33" s="221"/>
      <c r="R33" s="309">
        <f t="shared" si="9"/>
        <v>0</v>
      </c>
      <c r="S33" s="309">
        <f t="shared" si="10"/>
        <v>0</v>
      </c>
      <c r="T33" s="309">
        <f t="shared" si="11"/>
        <v>0</v>
      </c>
      <c r="U33" s="309">
        <f t="shared" si="12"/>
        <v>0</v>
      </c>
      <c r="V33" s="309">
        <f t="shared" si="13"/>
        <v>0</v>
      </c>
      <c r="W33" s="309">
        <f t="shared" si="14"/>
        <v>0</v>
      </c>
      <c r="X33" s="309">
        <f t="shared" si="15"/>
        <v>0</v>
      </c>
      <c r="Y33" s="309">
        <f t="shared" si="16"/>
        <v>0</v>
      </c>
      <c r="Z33" s="309">
        <f t="shared" si="17"/>
        <v>0</v>
      </c>
      <c r="AA33" s="176"/>
      <c r="AB33" s="226">
        <f t="shared" si="20"/>
        <v>0</v>
      </c>
      <c r="AC33" s="261">
        <f t="shared" si="18"/>
        <v>0</v>
      </c>
    </row>
    <row r="34" spans="2:33" x14ac:dyDescent="0.25">
      <c r="B34" s="1">
        <v>650</v>
      </c>
      <c r="C34" t="s">
        <v>56</v>
      </c>
      <c r="D34" s="2"/>
      <c r="H34" s="101">
        <v>299</v>
      </c>
      <c r="I34" s="53"/>
      <c r="J34" s="2">
        <f t="shared" si="19"/>
        <v>2.474254308160844E-3</v>
      </c>
      <c r="K34" s="2">
        <f t="shared" si="3"/>
        <v>2.2528484028171303E-3</v>
      </c>
      <c r="L34" s="292">
        <f t="shared" si="4"/>
        <v>18.732381426741096</v>
      </c>
      <c r="M34" s="292">
        <f t="shared" si="5"/>
        <v>4.3810878758311622</v>
      </c>
      <c r="N34" s="292">
        <f t="shared" si="6"/>
        <v>5.8248400071860962</v>
      </c>
      <c r="O34" s="292">
        <f t="shared" si="7"/>
        <v>1.0678386743160571</v>
      </c>
      <c r="P34" s="292">
        <f t="shared" si="8"/>
        <v>3.9193425368421848</v>
      </c>
      <c r="Q34" s="221"/>
      <c r="R34" s="309">
        <f t="shared" si="9"/>
        <v>6.7720622988682937</v>
      </c>
      <c r="S34" s="309">
        <f t="shared" si="10"/>
        <v>41.632638484060571</v>
      </c>
      <c r="T34" s="309">
        <f t="shared" si="11"/>
        <v>1.5511086538236225</v>
      </c>
      <c r="U34" s="309">
        <f t="shared" si="12"/>
        <v>1.9841962307811876</v>
      </c>
      <c r="V34" s="309">
        <f t="shared" si="13"/>
        <v>0.7366814277212016</v>
      </c>
      <c r="W34" s="309">
        <f t="shared" si="14"/>
        <v>3.1450439557847982</v>
      </c>
      <c r="X34" s="309">
        <f t="shared" si="15"/>
        <v>5.6073396746118371</v>
      </c>
      <c r="Y34" s="309">
        <f t="shared" si="16"/>
        <v>6.1266437599452148</v>
      </c>
      <c r="Z34" s="309">
        <f t="shared" si="17"/>
        <v>8.9493952232229947</v>
      </c>
      <c r="AA34" s="176"/>
      <c r="AB34" s="226">
        <f t="shared" si="20"/>
        <v>1.5581813719990224E-3</v>
      </c>
      <c r="AC34" s="261">
        <f t="shared" si="18"/>
        <v>10.355205943893903</v>
      </c>
    </row>
    <row r="35" spans="2:33" x14ac:dyDescent="0.25">
      <c r="B35" s="1">
        <v>600</v>
      </c>
      <c r="C35" t="s">
        <v>57</v>
      </c>
      <c r="D35" s="2"/>
      <c r="H35" s="101">
        <v>0.01</v>
      </c>
      <c r="I35" s="15">
        <f>SUM(H6:H34)</f>
        <v>120844.48999999998</v>
      </c>
      <c r="J35" s="2">
        <f t="shared" si="19"/>
        <v>8.27509802060483E-8</v>
      </c>
      <c r="K35" s="2">
        <f t="shared" si="3"/>
        <v>7.5346100428666577E-8</v>
      </c>
      <c r="L35" s="292">
        <f t="shared" si="4"/>
        <v>6.2650105106157523E-4</v>
      </c>
      <c r="M35" s="292">
        <f t="shared" si="5"/>
        <v>1.4652467812144356E-4</v>
      </c>
      <c r="N35" s="292">
        <f t="shared" si="6"/>
        <v>1.9481070258147481E-4</v>
      </c>
      <c r="O35" s="292">
        <f t="shared" si="7"/>
        <v>3.5713668037326325E-5</v>
      </c>
      <c r="P35" s="292">
        <f t="shared" si="8"/>
        <v>1.3108169019539082E-4</v>
      </c>
      <c r="Q35" s="221"/>
      <c r="R35" s="309">
        <f t="shared" si="9"/>
        <v>2.2649037788857173E-4</v>
      </c>
      <c r="S35" s="309">
        <f t="shared" si="10"/>
        <v>1.3923959359217583E-3</v>
      </c>
      <c r="T35" s="309">
        <f t="shared" si="11"/>
        <v>5.1876543606141224E-5</v>
      </c>
      <c r="U35" s="309">
        <f t="shared" si="12"/>
        <v>6.6361077952548087E-5</v>
      </c>
      <c r="V35" s="309">
        <f t="shared" si="13"/>
        <v>2.4638174840173972E-5</v>
      </c>
      <c r="W35" s="309">
        <f t="shared" si="14"/>
        <v>1.051854165814314E-4</v>
      </c>
      <c r="X35" s="309">
        <f t="shared" si="15"/>
        <v>1.8753644396695112E-4</v>
      </c>
      <c r="Y35" s="309">
        <f t="shared" si="16"/>
        <v>2.0490447357676307E-4</v>
      </c>
      <c r="Z35" s="309">
        <f t="shared" si="17"/>
        <v>2.9931087703086943E-4</v>
      </c>
      <c r="AA35" s="176"/>
      <c r="AB35" s="226">
        <f t="shared" si="20"/>
        <v>5.2113089364515802E-8</v>
      </c>
      <c r="AC35" s="261">
        <f t="shared" si="18"/>
        <v>3.4632795798976267E-4</v>
      </c>
    </row>
    <row r="36" spans="2:33" ht="15.75" thickBot="1" x14ac:dyDescent="0.3">
      <c r="B36" s="1">
        <v>339</v>
      </c>
      <c r="C36" t="s">
        <v>58</v>
      </c>
      <c r="D36" s="2"/>
      <c r="H36" s="53">
        <v>5538.46</v>
      </c>
      <c r="J36" s="2"/>
      <c r="K36" s="2">
        <f t="shared" si="3"/>
        <v>4.173013633801527E-2</v>
      </c>
      <c r="L36" s="292">
        <f>J36*$L$3</f>
        <v>0</v>
      </c>
      <c r="M36" s="296">
        <f>J36*$M$3</f>
        <v>0</v>
      </c>
      <c r="N36" s="296">
        <f>J36*$N$3</f>
        <v>0</v>
      </c>
      <c r="O36" s="296">
        <f>J36*$O$3</f>
        <v>0</v>
      </c>
      <c r="P36" s="296">
        <f>J36*$P$3</f>
        <v>0</v>
      </c>
      <c r="Q36" s="221"/>
      <c r="R36" s="309">
        <f t="shared" si="9"/>
        <v>125.4407898320739</v>
      </c>
      <c r="S36" s="309">
        <f t="shared" si="10"/>
        <v>771.17291952652215</v>
      </c>
      <c r="T36" s="309">
        <f t="shared" si="11"/>
        <v>28.731616170086895</v>
      </c>
      <c r="U36" s="309">
        <f t="shared" si="12"/>
        <v>36.753817579706947</v>
      </c>
      <c r="V36" s="309">
        <f t="shared" si="13"/>
        <v>13.645754582530992</v>
      </c>
      <c r="W36" s="309">
        <f t="shared" si="14"/>
        <v>58.256522231959458</v>
      </c>
      <c r="X36" s="309">
        <f t="shared" si="15"/>
        <v>103.86630934532</v>
      </c>
      <c r="Y36" s="309">
        <f t="shared" si="16"/>
        <v>113.48552307259591</v>
      </c>
      <c r="Z36" s="309">
        <f t="shared" si="17"/>
        <v>165.77213200003891</v>
      </c>
      <c r="AA36" s="176"/>
      <c r="AB36" s="226">
        <f>U42/$H$39</f>
        <v>2.8862626092179617E-2</v>
      </c>
      <c r="AC36" s="261">
        <f>AB36*$AC$3</f>
        <v>191.81235422079808</v>
      </c>
    </row>
    <row r="37" spans="2:33" ht="15.75" thickBot="1" x14ac:dyDescent="0.3">
      <c r="B37" s="1">
        <v>225</v>
      </c>
      <c r="C37" t="s">
        <v>59</v>
      </c>
      <c r="D37" s="2"/>
      <c r="H37" s="101">
        <v>6337.92</v>
      </c>
      <c r="I37" s="99">
        <f>I35+H36+H37</f>
        <v>132720.87</v>
      </c>
      <c r="J37" s="2"/>
      <c r="K37" s="2">
        <f t="shared" si="3"/>
        <v>4.7753755682885445E-2</v>
      </c>
      <c r="L37" s="292"/>
      <c r="M37" s="296"/>
      <c r="N37" s="296"/>
      <c r="O37" s="296"/>
      <c r="P37" s="296"/>
      <c r="Q37" s="221"/>
      <c r="R37" s="309">
        <f t="shared" si="9"/>
        <v>143.54778958275364</v>
      </c>
      <c r="S37" s="309">
        <f t="shared" si="10"/>
        <v>882.48940501972299</v>
      </c>
      <c r="T37" s="309">
        <f t="shared" si="11"/>
        <v>32.878938325223459</v>
      </c>
      <c r="U37" s="309">
        <f t="shared" si="12"/>
        <v>42.059120317701357</v>
      </c>
      <c r="V37" s="309">
        <f t="shared" si="13"/>
        <v>15.61547810830354</v>
      </c>
      <c r="W37" s="309">
        <f t="shared" si="14"/>
        <v>66.665675545978573</v>
      </c>
      <c r="X37" s="309">
        <f t="shared" si="15"/>
        <v>118.85909789470188</v>
      </c>
      <c r="Y37" s="309">
        <f t="shared" si="16"/>
        <v>129.86681611716381</v>
      </c>
      <c r="Z37" s="309">
        <f t="shared" si="17"/>
        <v>189.70083937514877</v>
      </c>
      <c r="AA37" s="221"/>
      <c r="AB37" s="226">
        <f>U43/$H$39</f>
        <v>3.3028859134515198E-2</v>
      </c>
      <c r="AC37" s="268">
        <f>AB37*$AC$3</f>
        <v>219.49988915024764</v>
      </c>
    </row>
    <row r="38" spans="2:33" x14ac:dyDescent="0.25">
      <c r="B38" s="45">
        <v>451</v>
      </c>
      <c r="C38" s="32" t="s">
        <v>60</v>
      </c>
      <c r="D38" s="32"/>
      <c r="E38" s="32"/>
      <c r="F38" s="32"/>
      <c r="G38" s="31"/>
      <c r="H38" s="269">
        <v>59169.49</v>
      </c>
      <c r="I38" s="118"/>
      <c r="J38" s="121"/>
      <c r="K38" s="121"/>
      <c r="L38" s="292"/>
      <c r="M38" s="292"/>
      <c r="N38" s="292"/>
      <c r="O38" s="292"/>
      <c r="P38" s="292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226">
        <f>H38/$H$39</f>
        <v>0.30835049200228237</v>
      </c>
      <c r="AC38" s="261">
        <f t="shared" ref="AC38" si="21">AB38*$AC$3</f>
        <v>2049.2048646995681</v>
      </c>
    </row>
    <row r="39" spans="2:33" ht="15.75" thickBot="1" x14ac:dyDescent="0.3">
      <c r="H39" s="237">
        <f>SUM(H6:H38)</f>
        <v>191890.36999999997</v>
      </c>
      <c r="I39" s="34"/>
      <c r="J39" s="54">
        <f t="shared" ref="J39:AC39" si="22">SUM(J6:J38)</f>
        <v>1.0000000827509807</v>
      </c>
      <c r="K39" s="54">
        <f t="shared" si="22"/>
        <v>1.0000000753461007</v>
      </c>
      <c r="L39" s="300">
        <f t="shared" si="22"/>
        <v>7570.9206265010534</v>
      </c>
      <c r="M39" s="300">
        <f t="shared" si="22"/>
        <v>1770.6701465246781</v>
      </c>
      <c r="N39" s="300">
        <f t="shared" si="22"/>
        <v>2354.1801948107036</v>
      </c>
      <c r="O39" s="300">
        <f t="shared" si="22"/>
        <v>431.58003571366811</v>
      </c>
      <c r="P39" s="300">
        <f t="shared" si="22"/>
        <v>1584.0501310816899</v>
      </c>
      <c r="Q39" s="54">
        <f t="shared" si="22"/>
        <v>0</v>
      </c>
      <c r="R39" s="310">
        <f t="shared" si="22"/>
        <v>3006.0002264903783</v>
      </c>
      <c r="S39" s="310">
        <f t="shared" si="22"/>
        <v>18480.001392395938</v>
      </c>
      <c r="T39" s="310">
        <f t="shared" si="22"/>
        <v>688.51005187654357</v>
      </c>
      <c r="U39" s="310">
        <f t="shared" si="22"/>
        <v>880.7500663610781</v>
      </c>
      <c r="V39" s="310">
        <f t="shared" si="22"/>
        <v>327.00002463817481</v>
      </c>
      <c r="W39" s="310">
        <f t="shared" si="22"/>
        <v>1396.0301051854165</v>
      </c>
      <c r="X39" s="310">
        <f t="shared" si="22"/>
        <v>2489.0001875364437</v>
      </c>
      <c r="Y39" s="310">
        <f t="shared" si="22"/>
        <v>2719.5102049044735</v>
      </c>
      <c r="Z39" s="310">
        <f t="shared" si="22"/>
        <v>3972.4802993108765</v>
      </c>
      <c r="AA39" s="310">
        <f t="shared" si="22"/>
        <v>0</v>
      </c>
      <c r="AB39" s="310">
        <f t="shared" si="22"/>
        <v>1</v>
      </c>
      <c r="AC39" s="310">
        <f t="shared" si="22"/>
        <v>6645.7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301">
        <f t="shared" ref="L40:AC40" si="23">L3-L39</f>
        <v>-6.2650105337525019E-4</v>
      </c>
      <c r="M40" s="301">
        <f t="shared" si="23"/>
        <v>-1.4652467802989122E-4</v>
      </c>
      <c r="N40" s="301">
        <f t="shared" si="23"/>
        <v>-1.9481070330584771E-4</v>
      </c>
      <c r="O40" s="301">
        <f t="shared" si="23"/>
        <v>-3.5713668069092819E-5</v>
      </c>
      <c r="P40" s="301">
        <f t="shared" si="23"/>
        <v>-1.3108168991493585E-4</v>
      </c>
      <c r="Q40" s="108">
        <f t="shared" si="23"/>
        <v>0</v>
      </c>
      <c r="R40" s="108">
        <f t="shared" si="23"/>
        <v>-2.2649037828159635E-4</v>
      </c>
      <c r="S40" s="108">
        <f t="shared" si="23"/>
        <v>-1.3923959377279971E-3</v>
      </c>
      <c r="T40" s="108">
        <f t="shared" si="23"/>
        <v>-5.1876543579965073E-5</v>
      </c>
      <c r="U40" s="108">
        <f t="shared" si="23"/>
        <v>-6.6361078097543214E-5</v>
      </c>
      <c r="V40" s="108">
        <f t="shared" si="23"/>
        <v>-2.4638174807023461E-5</v>
      </c>
      <c r="W40" s="108">
        <f t="shared" si="23"/>
        <v>-1.0518541648707469E-4</v>
      </c>
      <c r="X40" s="108">
        <f t="shared" si="23"/>
        <v>-1.8753644371827249E-4</v>
      </c>
      <c r="Y40" s="108">
        <f t="shared" si="23"/>
        <v>-2.049044733212213E-4</v>
      </c>
      <c r="Z40" s="108">
        <f t="shared" si="23"/>
        <v>-2.9931087647128152E-4</v>
      </c>
      <c r="AA40" s="108">
        <f t="shared" si="23"/>
        <v>0</v>
      </c>
      <c r="AB40" s="108">
        <f t="shared" si="23"/>
        <v>-1</v>
      </c>
      <c r="AC40" s="108">
        <f t="shared" si="23"/>
        <v>0</v>
      </c>
    </row>
    <row r="41" spans="2:33" x14ac:dyDescent="0.25">
      <c r="C41" s="17">
        <v>43658</v>
      </c>
      <c r="D41" s="23"/>
      <c r="E41" s="23"/>
      <c r="F41" s="23"/>
      <c r="G41" s="18"/>
      <c r="H41" s="18">
        <v>65009</v>
      </c>
      <c r="I41" s="18"/>
      <c r="J41" s="42"/>
      <c r="K41" s="238"/>
      <c r="L41" s="302">
        <v>3872.3</v>
      </c>
      <c r="M41" s="302">
        <v>905.65</v>
      </c>
      <c r="N41" s="302">
        <v>1253.04</v>
      </c>
      <c r="O41" s="302">
        <v>229.72</v>
      </c>
      <c r="P41" s="302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x14ac:dyDescent="0.25">
      <c r="C42" s="19">
        <v>43675</v>
      </c>
      <c r="D42" s="24"/>
      <c r="E42" s="24"/>
      <c r="F42" s="24"/>
      <c r="H42" s="2">
        <v>61825.69</v>
      </c>
      <c r="J42" s="43">
        <v>0</v>
      </c>
      <c r="K42" s="238"/>
      <c r="L42" s="302">
        <v>3698.62</v>
      </c>
      <c r="M42" s="302">
        <v>865.02</v>
      </c>
      <c r="N42" s="302">
        <v>1101.1400000000001</v>
      </c>
      <c r="O42" s="302">
        <v>201.86</v>
      </c>
      <c r="P42" s="302"/>
      <c r="Q42" s="114"/>
      <c r="R42" s="114"/>
      <c r="S42" s="114"/>
      <c r="T42" s="114"/>
      <c r="U42" s="53">
        <v>5538.46</v>
      </c>
      <c r="V42" s="159"/>
      <c r="W42" s="114"/>
      <c r="X42" s="114"/>
      <c r="Y42" s="114"/>
      <c r="Z42" s="114"/>
    </row>
    <row r="43" spans="2:33" ht="15.75" thickBot="1" x14ac:dyDescent="0.3">
      <c r="C43" s="19" t="s">
        <v>112</v>
      </c>
      <c r="D43" s="24"/>
      <c r="E43" s="24"/>
      <c r="F43" s="24"/>
      <c r="H43" s="2">
        <v>-5990.2</v>
      </c>
      <c r="J43" s="43"/>
      <c r="K43" s="238"/>
      <c r="L43" s="302"/>
      <c r="M43" s="302"/>
      <c r="N43" s="302"/>
      <c r="O43" s="302"/>
      <c r="P43" s="302"/>
      <c r="Q43" s="114"/>
      <c r="R43" s="114"/>
      <c r="S43" s="114"/>
      <c r="T43" s="114"/>
      <c r="U43" s="101">
        <v>6337.92</v>
      </c>
      <c r="V43" s="159"/>
      <c r="W43" s="114"/>
      <c r="X43" s="114"/>
      <c r="Y43" s="114"/>
      <c r="Z43" s="114"/>
    </row>
    <row r="44" spans="2:33" ht="15.75" thickBot="1" x14ac:dyDescent="0.3">
      <c r="C44" s="20"/>
      <c r="D44" s="20"/>
      <c r="E44" s="20"/>
      <c r="F44" s="20"/>
      <c r="G44" s="105"/>
      <c r="H44" s="236">
        <f>SUM(H41:H43)</f>
        <v>120844.49</v>
      </c>
      <c r="I44" s="5"/>
      <c r="J44" s="44"/>
      <c r="K44" s="239"/>
      <c r="L44" s="303">
        <f>SUM(L41:L42)</f>
        <v>7570.92</v>
      </c>
      <c r="M44" s="304">
        <f>SUM(M41:M42)</f>
        <v>1770.67</v>
      </c>
      <c r="N44" s="304">
        <f>SUM(N41:N42)</f>
        <v>2354.1800000000003</v>
      </c>
      <c r="O44" s="304">
        <f>SUM(O41:O42)</f>
        <v>431.58000000000004</v>
      </c>
      <c r="P44" s="305">
        <f>SUM(P41:P42)</f>
        <v>0</v>
      </c>
      <c r="Q44" s="114"/>
      <c r="R44" s="114"/>
      <c r="S44" s="114"/>
      <c r="T44" s="114"/>
      <c r="U44" s="114"/>
      <c r="V44" s="159"/>
      <c r="W44" s="114"/>
      <c r="X44" s="114"/>
      <c r="Y44" s="114"/>
      <c r="Z44" s="114"/>
    </row>
    <row r="45" spans="2:33" x14ac:dyDescent="0.25">
      <c r="H45" s="53">
        <f>H38</f>
        <v>59169.49</v>
      </c>
      <c r="L45" s="301"/>
      <c r="M45" s="301"/>
      <c r="N45" s="301"/>
      <c r="O45" s="301"/>
      <c r="P45" s="301"/>
      <c r="Q45" s="114"/>
      <c r="R45" s="114"/>
      <c r="S45" s="114"/>
      <c r="T45" s="114"/>
      <c r="U45" s="114"/>
      <c r="V45" s="159"/>
      <c r="W45" s="114"/>
      <c r="X45" s="114"/>
      <c r="Y45" s="114"/>
      <c r="Z45" s="114"/>
      <c r="AG45">
        <v>114.44</v>
      </c>
    </row>
    <row r="46" spans="2:33" x14ac:dyDescent="0.25">
      <c r="B46" s="1" t="s">
        <v>63</v>
      </c>
      <c r="I46" s="2" t="s">
        <v>64</v>
      </c>
      <c r="J46" s="12" t="s">
        <v>65</v>
      </c>
      <c r="L46" s="306">
        <v>196.5</v>
      </c>
      <c r="M46" s="306">
        <v>45.96</v>
      </c>
      <c r="N46" s="306"/>
      <c r="O46" s="306"/>
      <c r="P46" s="288">
        <f>SUM(L46:O46)</f>
        <v>242.46</v>
      </c>
      <c r="AG46">
        <v>151.65</v>
      </c>
    </row>
    <row r="47" spans="2:33" ht="15.75" thickBot="1" x14ac:dyDescent="0.3">
      <c r="F47" s="29">
        <f>I35-H43</f>
        <v>126834.68999999997</v>
      </c>
      <c r="L47" s="306">
        <v>229.25</v>
      </c>
      <c r="M47" s="306">
        <v>53.62</v>
      </c>
      <c r="N47" s="306"/>
      <c r="O47" s="306"/>
      <c r="P47" s="288">
        <f>SUM(L47:O47)</f>
        <v>282.87</v>
      </c>
      <c r="R47" s="66">
        <f>SUM(P46:P47)</f>
        <v>525.33000000000004</v>
      </c>
      <c r="S47">
        <f>R47+'May 2019 Alloc '!N58+'April 2019 Alloc  '!R45</f>
        <v>2303.36</v>
      </c>
    </row>
    <row r="48" spans="2:33" x14ac:dyDescent="0.25">
      <c r="B48" s="1" t="s">
        <v>58</v>
      </c>
      <c r="H48" s="17">
        <v>43630</v>
      </c>
      <c r="I48" s="2">
        <v>2769.23</v>
      </c>
      <c r="J48" s="31">
        <v>3697.12</v>
      </c>
      <c r="K48" s="2"/>
      <c r="L48" s="306">
        <v>165.08</v>
      </c>
      <c r="M48" s="306">
        <v>38.61</v>
      </c>
      <c r="N48" s="307">
        <v>83.08</v>
      </c>
      <c r="O48" s="307">
        <v>15.23</v>
      </c>
    </row>
    <row r="49" spans="8:15" x14ac:dyDescent="0.25">
      <c r="H49" s="19">
        <v>43644</v>
      </c>
      <c r="I49" s="2">
        <v>2769.23</v>
      </c>
      <c r="J49" s="31">
        <v>3168.96</v>
      </c>
      <c r="K49" s="2"/>
      <c r="L49" s="306">
        <v>165.08</v>
      </c>
      <c r="M49" s="306">
        <v>38.61</v>
      </c>
      <c r="N49" s="307">
        <v>83.08</v>
      </c>
      <c r="O49" s="307">
        <v>15.23</v>
      </c>
    </row>
    <row r="50" spans="8:15" x14ac:dyDescent="0.25">
      <c r="J50" s="2"/>
      <c r="K50" s="2"/>
      <c r="L50" s="306"/>
      <c r="M50" s="306"/>
      <c r="N50" s="306"/>
      <c r="O50" s="306"/>
    </row>
    <row r="51" spans="8:15" ht="15.75" thickBot="1" x14ac:dyDescent="0.3">
      <c r="J51" s="2"/>
      <c r="K51" s="2"/>
    </row>
    <row r="52" spans="8:15" ht="15.75" thickBot="1" x14ac:dyDescent="0.3">
      <c r="I52" s="241">
        <f>SUM(I48:I51)</f>
        <v>5538.46</v>
      </c>
      <c r="J52" s="242">
        <f>SUM(J48:J51)</f>
        <v>6866.08</v>
      </c>
      <c r="K52" s="2"/>
    </row>
    <row r="54" spans="8:15" x14ac:dyDescent="0.25">
      <c r="J54" s="270">
        <f>J52+'May 2019 Alloc '!I60+'April 2019 Alloc  '!H44+'April 2019 Alloc  '!H45</f>
        <v>30105.11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C114-AFBF-44AE-92D4-9A11E48421BB}">
  <sheetPr>
    <tabColor theme="5" tint="0.39997558519241921"/>
    <pageSetUpPr fitToPage="1"/>
  </sheetPr>
  <dimension ref="B1:AG54"/>
  <sheetViews>
    <sheetView topLeftCell="B1" zoomScale="85" zoomScaleNormal="85" workbookViewId="0">
      <selection activeCell="I1" sqref="I1:K1048576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hidden="1" customWidth="1"/>
    <col min="5" max="5" width="8.140625" hidden="1" customWidth="1"/>
    <col min="6" max="6" width="12.7109375" hidden="1" customWidth="1"/>
    <col min="7" max="7" width="12.7109375" style="2" hidden="1" customWidth="1"/>
    <col min="8" max="8" width="13.85546875" style="2" customWidth="1"/>
    <col min="9" max="9" width="13.85546875" style="2" hidden="1" customWidth="1"/>
    <col min="10" max="11" width="12.140625" style="12" hidden="1" customWidth="1"/>
    <col min="12" max="12" width="11.28515625" style="288" customWidth="1"/>
    <col min="13" max="13" width="13.42578125" style="288" customWidth="1"/>
    <col min="14" max="14" width="13.28515625" style="308" customWidth="1"/>
    <col min="15" max="15" width="15.7109375" style="308" customWidth="1"/>
    <col min="16" max="16" width="11.7109375" style="288" customWidth="1"/>
    <col min="17" max="17" width="1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0</v>
      </c>
      <c r="L1" s="288">
        <v>7251</v>
      </c>
      <c r="M1" s="288">
        <v>7252</v>
      </c>
      <c r="N1" s="288">
        <v>7253</v>
      </c>
      <c r="O1" s="288">
        <v>7254</v>
      </c>
      <c r="P1" s="288">
        <v>7260.1</v>
      </c>
      <c r="Q1" s="201"/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66">
        <v>7248</v>
      </c>
    </row>
    <row r="2" spans="2:30" ht="17.25" thickBot="1" x14ac:dyDescent="0.4">
      <c r="L2" s="289" t="s">
        <v>1</v>
      </c>
      <c r="M2" s="289" t="s">
        <v>2</v>
      </c>
      <c r="N2" s="289" t="s">
        <v>3</v>
      </c>
      <c r="O2" s="289" t="s">
        <v>4</v>
      </c>
      <c r="P2" s="289" t="s">
        <v>5</v>
      </c>
      <c r="Q2" s="262"/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90">
        <f>L44</f>
        <v>7570.92</v>
      </c>
      <c r="M3" s="290">
        <f t="shared" ref="M3:O3" si="0">M44</f>
        <v>1770.67</v>
      </c>
      <c r="N3" s="290">
        <f t="shared" si="0"/>
        <v>2354.1800000000003</v>
      </c>
      <c r="O3" s="290">
        <f t="shared" si="0"/>
        <v>431.58000000000004</v>
      </c>
      <c r="P3" s="291">
        <v>1584.05</v>
      </c>
      <c r="Q3" s="311"/>
      <c r="R3" s="312">
        <v>3006</v>
      </c>
      <c r="S3" s="313">
        <v>18480</v>
      </c>
      <c r="T3" s="314">
        <v>688.51</v>
      </c>
      <c r="U3" s="291">
        <v>880.75</v>
      </c>
      <c r="V3" s="312">
        <v>327</v>
      </c>
      <c r="W3" s="314">
        <v>1396.03</v>
      </c>
      <c r="X3" s="314">
        <v>2489</v>
      </c>
      <c r="Y3" s="291">
        <v>2719.51</v>
      </c>
      <c r="Z3" s="312">
        <v>3972.48</v>
      </c>
      <c r="AA3" s="311"/>
      <c r="AB3" s="315"/>
      <c r="AC3" s="316">
        <v>6645.7</v>
      </c>
      <c r="AD3" s="2"/>
    </row>
    <row r="4" spans="2:30" x14ac:dyDescent="0.25">
      <c r="L4" s="292">
        <v>1</v>
      </c>
      <c r="M4" s="292">
        <v>2</v>
      </c>
      <c r="N4" s="292">
        <v>3</v>
      </c>
      <c r="O4" s="292">
        <v>4</v>
      </c>
      <c r="P4" s="292">
        <v>5</v>
      </c>
      <c r="Q4" s="218">
        <v>6</v>
      </c>
      <c r="R4" s="218">
        <v>15</v>
      </c>
      <c r="S4" s="218">
        <v>9</v>
      </c>
      <c r="T4" s="218">
        <v>7</v>
      </c>
      <c r="U4" s="218">
        <v>11</v>
      </c>
      <c r="V4" s="218">
        <v>16</v>
      </c>
      <c r="W4" s="218">
        <v>10</v>
      </c>
      <c r="X4" s="218">
        <v>8</v>
      </c>
      <c r="Y4" s="218">
        <v>13</v>
      </c>
      <c r="Z4" s="218">
        <v>14</v>
      </c>
      <c r="AA4" s="201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92"/>
      <c r="M5" s="292"/>
      <c r="N5" s="292"/>
      <c r="O5" s="292"/>
      <c r="P5" s="292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3538.46</v>
      </c>
      <c r="I6" s="6"/>
      <c r="J6" s="2">
        <f t="shared" ref="J6:J21" si="1">H6/$I$35</f>
        <v>2.9242944218029795E-2</v>
      </c>
      <c r="K6" s="2">
        <f>H6/$I$37</f>
        <v>2.6629277138463872E-2</v>
      </c>
      <c r="L6" s="292">
        <f>J6*$L$3</f>
        <v>221.39599123916614</v>
      </c>
      <c r="M6" s="292">
        <f>J6*$M$3</f>
        <v>51.779604038538821</v>
      </c>
      <c r="N6" s="292">
        <f>J6*$N$3</f>
        <v>68.843154419201397</v>
      </c>
      <c r="O6" s="292">
        <f>J6*$O$3</f>
        <v>12.6206698656173</v>
      </c>
      <c r="P6" s="292">
        <f>J6*$P$3</f>
        <v>46.322285788570099</v>
      </c>
      <c r="Q6" s="221"/>
      <c r="R6" s="309">
        <f>K6*$R$3</f>
        <v>80.047607078222399</v>
      </c>
      <c r="S6" s="309">
        <f>K6*$S$3</f>
        <v>492.10904151881238</v>
      </c>
      <c r="T6" s="309">
        <f>K6*$T$3</f>
        <v>18.33452360260376</v>
      </c>
      <c r="U6" s="309">
        <f>K6*$U$3</f>
        <v>23.453735839702055</v>
      </c>
      <c r="V6" s="309">
        <f>K6*$V$3</f>
        <v>8.7077736242776869</v>
      </c>
      <c r="W6" s="309">
        <f>K6*$W$3</f>
        <v>37.17526976360972</v>
      </c>
      <c r="X6" s="309">
        <f>K6*$X$3</f>
        <v>66.280270797636575</v>
      </c>
      <c r="Y6" s="309">
        <f>K6*$Y$3</f>
        <v>72.418585470823885</v>
      </c>
      <c r="Z6" s="309">
        <f>K6*$Z$3</f>
        <v>105.78427084700496</v>
      </c>
      <c r="AA6" s="176"/>
      <c r="AB6" s="226">
        <f t="shared" ref="AB6:AB21" si="2">H6/$H$39</f>
        <v>1.8424867192097648E-2</v>
      </c>
      <c r="AC6" s="261">
        <f>AB6*$AC$3</f>
        <v>122.44613989852334</v>
      </c>
    </row>
    <row r="7" spans="2:30" x14ac:dyDescent="0.25">
      <c r="B7" s="1">
        <v>111</v>
      </c>
      <c r="C7" t="s">
        <v>20</v>
      </c>
      <c r="D7" s="2"/>
      <c r="H7" s="101">
        <v>9375.24</v>
      </c>
      <c r="J7" s="2">
        <f t="shared" si="1"/>
        <v>7.7479926394714557E-2</v>
      </c>
      <c r="K7" s="2">
        <f t="shared" ref="K7:K37" si="3">H7/$I$37</f>
        <v>7.0554948819433319E-2</v>
      </c>
      <c r="L7" s="293">
        <f t="shared" ref="L7:L35" si="4">J7*$L$3</f>
        <v>586.59432434027235</v>
      </c>
      <c r="M7" s="293">
        <f t="shared" ref="M7:M35" si="5">J7*$M$3</f>
        <v>137.19138126932924</v>
      </c>
      <c r="N7" s="293">
        <f t="shared" ref="N7:N35" si="6">J7*$N$3</f>
        <v>182.40169311990914</v>
      </c>
      <c r="O7" s="293">
        <f t="shared" ref="O7:O35" si="7">J7*$O$3</f>
        <v>33.438786633430915</v>
      </c>
      <c r="P7" s="293">
        <f t="shared" ref="P7:P35" si="8">J7*$P$3</f>
        <v>122.73207740554759</v>
      </c>
      <c r="Q7" s="240"/>
      <c r="R7" s="309">
        <f t="shared" ref="R7:R37" si="9">K7*$R$3</f>
        <v>212.08817615121654</v>
      </c>
      <c r="S7" s="309">
        <f t="shared" ref="S7:S37" si="10">K7*$S$3</f>
        <v>1303.8554541831277</v>
      </c>
      <c r="T7" s="309">
        <f t="shared" ref="T7:T37" si="11">K7*$T$3</f>
        <v>48.577787811668031</v>
      </c>
      <c r="U7" s="309">
        <f t="shared" ref="U7:U37" si="12">K7*$U$3</f>
        <v>62.141271172715896</v>
      </c>
      <c r="V7" s="309">
        <f t="shared" ref="V7:V37" si="13">K7*$V$3</f>
        <v>23.071468263954696</v>
      </c>
      <c r="W7" s="309">
        <f t="shared" ref="W7:W37" si="14">K7*$W$3</f>
        <v>98.496825200393488</v>
      </c>
      <c r="X7" s="309">
        <f t="shared" ref="X7:X37" si="15">K7*$X$3</f>
        <v>175.61126761156953</v>
      </c>
      <c r="Y7" s="309">
        <f t="shared" ref="Y7:Y37" si="16">K7*$Y$3</f>
        <v>191.87488886393712</v>
      </c>
      <c r="Z7" s="309">
        <f t="shared" ref="Z7:Z37" si="17">K7*$Z$3</f>
        <v>280.27812308622248</v>
      </c>
      <c r="AA7" s="176"/>
      <c r="AB7" s="226">
        <f t="shared" si="2"/>
        <v>4.8817155455774981E-2</v>
      </c>
      <c r="AC7" s="261">
        <f t="shared" ref="AC7:AC35" si="18">AB7*$AC$3</f>
        <v>324.42417001244377</v>
      </c>
    </row>
    <row r="8" spans="2:30" x14ac:dyDescent="0.25">
      <c r="B8" s="1" t="s">
        <v>23</v>
      </c>
      <c r="C8" t="s">
        <v>24</v>
      </c>
      <c r="D8" s="2"/>
      <c r="H8" s="101">
        <v>1238.46</v>
      </c>
      <c r="J8" s="2">
        <f t="shared" si="1"/>
        <v>1.0235022211996514E-2</v>
      </c>
      <c r="K8" s="2">
        <f t="shared" si="3"/>
        <v>9.3202394727938051E-3</v>
      </c>
      <c r="L8" s="292">
        <f>J8*$L$3</f>
        <v>77.488534365248654</v>
      </c>
      <c r="M8" s="292">
        <f>J8*$M$3</f>
        <v>18.122846780115868</v>
      </c>
      <c r="N8" s="292">
        <f>J8*$N$3</f>
        <v>24.095084591037956</v>
      </c>
      <c r="O8" s="292">
        <f>J8*$O$3</f>
        <v>4.4172308862534555</v>
      </c>
      <c r="P8" s="292">
        <f>J8*$P$3</f>
        <v>16.212786934913076</v>
      </c>
      <c r="Q8" s="221"/>
      <c r="R8" s="309">
        <f>K8*$R$3</f>
        <v>28.016639855218177</v>
      </c>
      <c r="S8" s="309">
        <f>K8*$S$3</f>
        <v>172.23802545722953</v>
      </c>
      <c r="T8" s="309">
        <f>K8*$T$3</f>
        <v>6.4170780794132627</v>
      </c>
      <c r="U8" s="309">
        <f>K8*$U$3</f>
        <v>8.2088009156631436</v>
      </c>
      <c r="V8" s="309">
        <f>K8*$V$3</f>
        <v>3.0477183076035743</v>
      </c>
      <c r="W8" s="309">
        <f>K8*$W$3</f>
        <v>13.011333911204336</v>
      </c>
      <c r="X8" s="309">
        <f>K8*$X$3</f>
        <v>23.198076047783783</v>
      </c>
      <c r="Y8" s="309">
        <f>K8*$Y$3</f>
        <v>25.346484448657481</v>
      </c>
      <c r="Z8" s="309">
        <f>K8*$Z$3</f>
        <v>37.024464900883935</v>
      </c>
      <c r="AA8" s="176"/>
      <c r="AB8" s="226">
        <f t="shared" si="2"/>
        <v>6.4486983102042279E-3</v>
      </c>
      <c r="AC8" s="261">
        <f>AB8*$AC$3</f>
        <v>42.856114360124238</v>
      </c>
    </row>
    <row r="9" spans="2:30" x14ac:dyDescent="0.25">
      <c r="B9" s="1" t="s">
        <v>21</v>
      </c>
      <c r="C9" t="s">
        <v>22</v>
      </c>
      <c r="D9" s="2"/>
      <c r="H9" s="101">
        <v>0</v>
      </c>
      <c r="J9" s="2">
        <f t="shared" si="1"/>
        <v>0</v>
      </c>
      <c r="K9" s="2">
        <f t="shared" si="3"/>
        <v>0</v>
      </c>
      <c r="L9" s="292">
        <f>J9*$L$3</f>
        <v>0</v>
      </c>
      <c r="M9" s="292">
        <f>J9*$M$3</f>
        <v>0</v>
      </c>
      <c r="N9" s="292">
        <f>J9*$N$3</f>
        <v>0</v>
      </c>
      <c r="O9" s="292">
        <f>J9*$O$3</f>
        <v>0</v>
      </c>
      <c r="P9" s="292">
        <f>J9*$P$3</f>
        <v>0</v>
      </c>
      <c r="Q9" s="221"/>
      <c r="R9" s="309">
        <f t="shared" si="9"/>
        <v>0</v>
      </c>
      <c r="S9" s="309">
        <f t="shared" si="10"/>
        <v>0</v>
      </c>
      <c r="T9" s="309">
        <f t="shared" si="11"/>
        <v>0</v>
      </c>
      <c r="U9" s="309">
        <f t="shared" si="12"/>
        <v>0</v>
      </c>
      <c r="V9" s="309">
        <f t="shared" si="13"/>
        <v>0</v>
      </c>
      <c r="W9" s="309">
        <f t="shared" si="14"/>
        <v>0</v>
      </c>
      <c r="X9" s="309">
        <f t="shared" si="15"/>
        <v>0</v>
      </c>
      <c r="Y9" s="309">
        <f t="shared" si="16"/>
        <v>0</v>
      </c>
      <c r="Z9" s="309">
        <f t="shared" si="17"/>
        <v>0</v>
      </c>
      <c r="AA9" s="176"/>
      <c r="AB9" s="226">
        <f t="shared" si="2"/>
        <v>0</v>
      </c>
      <c r="AC9" s="261">
        <f>AB9*$AC$3</f>
        <v>0</v>
      </c>
    </row>
    <row r="10" spans="2:30" x14ac:dyDescent="0.25">
      <c r="B10" s="1" t="s">
        <v>25</v>
      </c>
      <c r="C10" t="s">
        <v>26</v>
      </c>
      <c r="D10" s="2"/>
      <c r="H10" s="101">
        <v>0</v>
      </c>
      <c r="J10" s="2">
        <f t="shared" si="1"/>
        <v>0</v>
      </c>
      <c r="K10" s="2">
        <f t="shared" si="3"/>
        <v>0</v>
      </c>
      <c r="L10" s="292">
        <f t="shared" si="4"/>
        <v>0</v>
      </c>
      <c r="M10" s="292">
        <f t="shared" si="5"/>
        <v>0</v>
      </c>
      <c r="N10" s="292">
        <f t="shared" si="6"/>
        <v>0</v>
      </c>
      <c r="O10" s="292">
        <f t="shared" si="7"/>
        <v>0</v>
      </c>
      <c r="P10" s="292">
        <f t="shared" si="8"/>
        <v>0</v>
      </c>
      <c r="Q10" s="221"/>
      <c r="R10" s="309">
        <f t="shared" si="9"/>
        <v>0</v>
      </c>
      <c r="S10" s="309">
        <f t="shared" si="10"/>
        <v>0</v>
      </c>
      <c r="T10" s="309">
        <f t="shared" si="11"/>
        <v>0</v>
      </c>
      <c r="U10" s="309">
        <f t="shared" si="12"/>
        <v>0</v>
      </c>
      <c r="V10" s="309">
        <f t="shared" si="13"/>
        <v>0</v>
      </c>
      <c r="W10" s="309">
        <f t="shared" si="14"/>
        <v>0</v>
      </c>
      <c r="X10" s="309">
        <f t="shared" si="15"/>
        <v>0</v>
      </c>
      <c r="Y10" s="309">
        <f t="shared" si="16"/>
        <v>0</v>
      </c>
      <c r="Z10" s="309">
        <f t="shared" si="17"/>
        <v>0</v>
      </c>
      <c r="AA10" s="176"/>
      <c r="AB10" s="226">
        <f t="shared" si="2"/>
        <v>0</v>
      </c>
      <c r="AC10" s="261">
        <f t="shared" si="18"/>
        <v>0</v>
      </c>
    </row>
    <row r="11" spans="2:30" x14ac:dyDescent="0.25">
      <c r="B11" s="1">
        <v>112</v>
      </c>
      <c r="C11" t="s">
        <v>27</v>
      </c>
      <c r="D11" s="2"/>
      <c r="H11" s="101">
        <v>26864.05</v>
      </c>
      <c r="J11" s="2">
        <f t="shared" si="1"/>
        <v>0.22201294224616452</v>
      </c>
      <c r="K11" s="2">
        <f t="shared" si="3"/>
        <v>0.20216993621845389</v>
      </c>
      <c r="L11" s="292">
        <f t="shared" si="4"/>
        <v>1680.8422247103319</v>
      </c>
      <c r="M11" s="292">
        <f t="shared" si="5"/>
        <v>393.11165644701617</v>
      </c>
      <c r="N11" s="292">
        <f t="shared" si="6"/>
        <v>522.65842837707567</v>
      </c>
      <c r="O11" s="292">
        <f t="shared" si="7"/>
        <v>95.816345614599697</v>
      </c>
      <c r="P11" s="292">
        <f t="shared" si="8"/>
        <v>351.6796011650369</v>
      </c>
      <c r="Q11" s="221"/>
      <c r="R11" s="309">
        <f t="shared" si="9"/>
        <v>607.72282827267236</v>
      </c>
      <c r="S11" s="309">
        <f t="shared" si="10"/>
        <v>3736.1004213170277</v>
      </c>
      <c r="T11" s="309">
        <f t="shared" si="11"/>
        <v>139.1960227857677</v>
      </c>
      <c r="U11" s="309">
        <f t="shared" si="12"/>
        <v>178.06117132440326</v>
      </c>
      <c r="V11" s="309">
        <f t="shared" si="13"/>
        <v>66.109569143434427</v>
      </c>
      <c r="W11" s="309">
        <f t="shared" si="14"/>
        <v>282.23529605904815</v>
      </c>
      <c r="X11" s="309">
        <f t="shared" si="15"/>
        <v>503.20097124773173</v>
      </c>
      <c r="Y11" s="309">
        <f t="shared" si="16"/>
        <v>549.80316324544754</v>
      </c>
      <c r="Z11" s="309">
        <f t="shared" si="17"/>
        <v>803.11602822908367</v>
      </c>
      <c r="AA11" s="176"/>
      <c r="AB11" s="226">
        <f t="shared" si="2"/>
        <v>0.13988191289201257</v>
      </c>
      <c r="AC11" s="261">
        <f t="shared" si="18"/>
        <v>929.61322850644797</v>
      </c>
    </row>
    <row r="12" spans="2:30" ht="15.75" thickBot="1" x14ac:dyDescent="0.3">
      <c r="B12" s="1">
        <v>114</v>
      </c>
      <c r="C12" t="s">
        <v>28</v>
      </c>
      <c r="D12" s="2"/>
      <c r="H12" s="101">
        <v>11979.83</v>
      </c>
      <c r="J12" s="2">
        <f t="shared" si="1"/>
        <v>9.9005075776320742E-2</v>
      </c>
      <c r="K12" s="2">
        <f t="shared" si="3"/>
        <v>9.0156229868836632E-2</v>
      </c>
      <c r="L12" s="292">
        <f t="shared" si="4"/>
        <v>749.55950829646224</v>
      </c>
      <c r="M12" s="292">
        <f t="shared" si="5"/>
        <v>175.30531752485786</v>
      </c>
      <c r="N12" s="292">
        <f t="shared" si="6"/>
        <v>233.07576929109879</v>
      </c>
      <c r="O12" s="292">
        <f t="shared" si="7"/>
        <v>42.72861060354451</v>
      </c>
      <c r="P12" s="292">
        <f t="shared" si="8"/>
        <v>156.82899028348086</v>
      </c>
      <c r="Q12" s="221"/>
      <c r="R12" s="309">
        <f t="shared" si="9"/>
        <v>271.00962698572289</v>
      </c>
      <c r="S12" s="309">
        <f t="shared" si="10"/>
        <v>1666.0871279761009</v>
      </c>
      <c r="T12" s="309">
        <f t="shared" si="11"/>
        <v>62.07346582699271</v>
      </c>
      <c r="U12" s="309">
        <f t="shared" si="12"/>
        <v>79.405099456977865</v>
      </c>
      <c r="V12" s="309">
        <f t="shared" si="13"/>
        <v>29.481087167109578</v>
      </c>
      <c r="W12" s="309">
        <f t="shared" si="14"/>
        <v>125.860801583792</v>
      </c>
      <c r="X12" s="309">
        <f t="shared" si="15"/>
        <v>224.39885614353437</v>
      </c>
      <c r="Y12" s="309">
        <f t="shared" si="16"/>
        <v>245.18076869059993</v>
      </c>
      <c r="Z12" s="309">
        <f t="shared" si="17"/>
        <v>358.14382002935616</v>
      </c>
      <c r="AA12" s="176"/>
      <c r="AB12" s="226">
        <f t="shared" si="2"/>
        <v>6.2379333589727498E-2</v>
      </c>
      <c r="AC12" s="261">
        <f t="shared" si="18"/>
        <v>414.55433723725201</v>
      </c>
    </row>
    <row r="13" spans="2:30" ht="15.75" thickBot="1" x14ac:dyDescent="0.3">
      <c r="B13" s="1">
        <v>222</v>
      </c>
      <c r="C13" t="s">
        <v>29</v>
      </c>
      <c r="D13" s="2"/>
      <c r="H13" s="102">
        <v>2480.65</v>
      </c>
      <c r="J13" s="2">
        <f t="shared" si="1"/>
        <v>2.0500870314898462E-2</v>
      </c>
      <c r="K13" s="2">
        <f t="shared" si="3"/>
        <v>1.8668549689280198E-2</v>
      </c>
      <c r="L13" s="292">
        <f t="shared" si="4"/>
        <v>155.21044908447107</v>
      </c>
      <c r="M13" s="292">
        <f t="shared" si="5"/>
        <v>36.300276040481265</v>
      </c>
      <c r="N13" s="292">
        <f t="shared" si="6"/>
        <v>48.262738877927667</v>
      </c>
      <c r="O13" s="292">
        <f t="shared" si="7"/>
        <v>8.8477656105038793</v>
      </c>
      <c r="P13" s="292">
        <f t="shared" si="8"/>
        <v>32.47440362231491</v>
      </c>
      <c r="Q13" s="221"/>
      <c r="R13" s="309">
        <f t="shared" si="9"/>
        <v>56.117660365976278</v>
      </c>
      <c r="S13" s="309">
        <f t="shared" si="10"/>
        <v>344.99479825789808</v>
      </c>
      <c r="T13" s="309">
        <f t="shared" si="11"/>
        <v>12.85348314656631</v>
      </c>
      <c r="U13" s="309">
        <f t="shared" si="12"/>
        <v>16.442325138833535</v>
      </c>
      <c r="V13" s="309">
        <f t="shared" si="13"/>
        <v>6.1046157483946253</v>
      </c>
      <c r="W13" s="309">
        <f t="shared" si="14"/>
        <v>26.061855422725834</v>
      </c>
      <c r="X13" s="309">
        <f t="shared" si="15"/>
        <v>46.466020176618414</v>
      </c>
      <c r="Y13" s="309">
        <f t="shared" si="16"/>
        <v>50.769307565494394</v>
      </c>
      <c r="Z13" s="309">
        <f t="shared" si="17"/>
        <v>74.16044026967181</v>
      </c>
      <c r="AA13" s="176"/>
      <c r="AB13" s="226">
        <f t="shared" si="2"/>
        <v>1.2916818842116918E-2</v>
      </c>
      <c r="AC13" s="261">
        <f t="shared" si="18"/>
        <v>85.841302979056394</v>
      </c>
    </row>
    <row r="14" spans="2:30" ht="15.75" thickBot="1" x14ac:dyDescent="0.3">
      <c r="B14" s="1">
        <v>223</v>
      </c>
      <c r="C14" t="s">
        <v>30</v>
      </c>
      <c r="D14" s="2"/>
      <c r="H14" s="181">
        <v>0</v>
      </c>
      <c r="I14" s="56"/>
      <c r="J14" s="99">
        <f t="shared" si="1"/>
        <v>0</v>
      </c>
      <c r="K14" s="2">
        <f t="shared" si="3"/>
        <v>0</v>
      </c>
      <c r="L14" s="294">
        <f t="shared" si="4"/>
        <v>0</v>
      </c>
      <c r="M14" s="294">
        <f t="shared" si="5"/>
        <v>0</v>
      </c>
      <c r="N14" s="294">
        <f t="shared" si="6"/>
        <v>0</v>
      </c>
      <c r="O14" s="294">
        <f t="shared" si="7"/>
        <v>0</v>
      </c>
      <c r="P14" s="294">
        <f t="shared" si="8"/>
        <v>0</v>
      </c>
      <c r="Q14" s="252"/>
      <c r="R14" s="309">
        <f t="shared" si="9"/>
        <v>0</v>
      </c>
      <c r="S14" s="309">
        <f t="shared" si="10"/>
        <v>0</v>
      </c>
      <c r="T14" s="309">
        <f t="shared" si="11"/>
        <v>0</v>
      </c>
      <c r="U14" s="309">
        <f t="shared" si="12"/>
        <v>0</v>
      </c>
      <c r="V14" s="309">
        <f t="shared" si="13"/>
        <v>0</v>
      </c>
      <c r="W14" s="309">
        <f t="shared" si="14"/>
        <v>0</v>
      </c>
      <c r="X14" s="309">
        <f t="shared" si="15"/>
        <v>0</v>
      </c>
      <c r="Y14" s="309">
        <f t="shared" si="16"/>
        <v>0</v>
      </c>
      <c r="Z14" s="309">
        <f t="shared" si="17"/>
        <v>0</v>
      </c>
      <c r="AA14" s="180"/>
      <c r="AB14" s="215">
        <f t="shared" si="2"/>
        <v>0</v>
      </c>
      <c r="AC14" s="268">
        <f t="shared" si="18"/>
        <v>0</v>
      </c>
    </row>
    <row r="15" spans="2:30" x14ac:dyDescent="0.25">
      <c r="B15" s="1">
        <v>334</v>
      </c>
      <c r="C15" s="230" t="s">
        <v>73</v>
      </c>
      <c r="D15" s="231"/>
      <c r="E15" s="230"/>
      <c r="F15" s="230"/>
      <c r="G15" s="231"/>
      <c r="H15" s="231">
        <v>2146.15</v>
      </c>
      <c r="I15" s="231"/>
      <c r="J15" s="2">
        <f t="shared" si="1"/>
        <v>1.7736457310107971E-2</v>
      </c>
      <c r="K15" s="2">
        <f t="shared" si="3"/>
        <v>1.6151213559207747E-2</v>
      </c>
      <c r="L15" s="295">
        <f>J15*$L$3</f>
        <v>134.28129937824264</v>
      </c>
      <c r="M15" s="295">
        <f>J15*$M$3</f>
        <v>31.405412865288884</v>
      </c>
      <c r="N15" s="295">
        <f>J15*$N$3</f>
        <v>41.754813070309986</v>
      </c>
      <c r="O15" s="295">
        <f>J15*$O$3</f>
        <v>7.6547002458963993</v>
      </c>
      <c r="P15" s="295">
        <f>J15*$P$3</f>
        <v>28.09543520207653</v>
      </c>
      <c r="Q15" s="232"/>
      <c r="R15" s="309">
        <f t="shared" si="9"/>
        <v>48.550547958978491</v>
      </c>
      <c r="S15" s="309">
        <f t="shared" si="10"/>
        <v>298.47442657415917</v>
      </c>
      <c r="T15" s="309">
        <f t="shared" si="11"/>
        <v>11.120272047650126</v>
      </c>
      <c r="U15" s="309">
        <f t="shared" si="12"/>
        <v>14.225181342272224</v>
      </c>
      <c r="V15" s="309">
        <f t="shared" si="13"/>
        <v>5.2814468338609331</v>
      </c>
      <c r="W15" s="309">
        <f t="shared" si="14"/>
        <v>22.54757866506079</v>
      </c>
      <c r="X15" s="309">
        <f t="shared" si="15"/>
        <v>40.200370548868079</v>
      </c>
      <c r="Y15" s="309">
        <f t="shared" si="16"/>
        <v>43.923386786401061</v>
      </c>
      <c r="Z15" s="309">
        <f t="shared" si="17"/>
        <v>64.160372839681585</v>
      </c>
      <c r="AA15" s="232"/>
      <c r="AB15" s="226">
        <f t="shared" si="2"/>
        <v>1.1175067324293724E-2</v>
      </c>
      <c r="AC15" s="261">
        <f>AB15*$AC$3</f>
        <v>74.266144917058796</v>
      </c>
    </row>
    <row r="16" spans="2:30" x14ac:dyDescent="0.25">
      <c r="B16" s="1" t="s">
        <v>35</v>
      </c>
      <c r="C16" s="230" t="s">
        <v>36</v>
      </c>
      <c r="D16" s="231"/>
      <c r="E16" s="234"/>
      <c r="F16" s="234"/>
      <c r="G16" s="231"/>
      <c r="H16" s="231">
        <v>3225.25</v>
      </c>
      <c r="I16" s="235"/>
      <c r="J16" s="2">
        <f t="shared" si="1"/>
        <v>2.6654478456503847E-2</v>
      </c>
      <c r="K16" s="2">
        <f t="shared" si="3"/>
        <v>2.4272162491827124E-2</v>
      </c>
      <c r="L16" s="295">
        <f t="shared" si="4"/>
        <v>201.7989240359141</v>
      </c>
      <c r="M16" s="295">
        <f t="shared" si="5"/>
        <v>47.196285368577669</v>
      </c>
      <c r="N16" s="295">
        <f t="shared" si="6"/>
        <v>62.749440092732236</v>
      </c>
      <c r="O16" s="295">
        <f t="shared" si="7"/>
        <v>11.503539812257932</v>
      </c>
      <c r="P16" s="295">
        <f t="shared" si="8"/>
        <v>42.222026599024922</v>
      </c>
      <c r="Q16" s="232"/>
      <c r="R16" s="309">
        <f t="shared" si="9"/>
        <v>72.962120450432337</v>
      </c>
      <c r="S16" s="309">
        <f t="shared" si="10"/>
        <v>448.54956284896525</v>
      </c>
      <c r="T16" s="309">
        <f t="shared" si="11"/>
        <v>16.711626597247893</v>
      </c>
      <c r="U16" s="309">
        <f t="shared" si="12"/>
        <v>21.377707114676738</v>
      </c>
      <c r="V16" s="309">
        <f t="shared" si="13"/>
        <v>7.9369971348274699</v>
      </c>
      <c r="W16" s="309">
        <f t="shared" si="14"/>
        <v>33.884667003465417</v>
      </c>
      <c r="X16" s="309">
        <f t="shared" si="15"/>
        <v>60.413412442157714</v>
      </c>
      <c r="Y16" s="309">
        <f t="shared" si="16"/>
        <v>66.008388618148786</v>
      </c>
      <c r="Z16" s="309">
        <f t="shared" si="17"/>
        <v>96.42068005553341</v>
      </c>
      <c r="AA16" s="232"/>
      <c r="AB16" s="226">
        <f t="shared" si="2"/>
        <v>1.6793973341881197E-2</v>
      </c>
      <c r="AC16" s="261">
        <f t="shared" si="18"/>
        <v>111.60770863813987</v>
      </c>
    </row>
    <row r="17" spans="2:29" x14ac:dyDescent="0.25">
      <c r="B17" s="1" t="s">
        <v>37</v>
      </c>
      <c r="C17" s="230" t="s">
        <v>38</v>
      </c>
      <c r="D17" s="231"/>
      <c r="E17" s="230"/>
      <c r="F17" s="230"/>
      <c r="G17" s="231"/>
      <c r="H17" s="231">
        <v>230.77</v>
      </c>
      <c r="I17" s="231"/>
      <c r="J17" s="2">
        <f t="shared" si="1"/>
        <v>1.9071557223183917E-3</v>
      </c>
      <c r="K17" s="2">
        <f t="shared" si="3"/>
        <v>1.7366985313507313E-3</v>
      </c>
      <c r="L17" s="295">
        <f t="shared" si="4"/>
        <v>14.438923401214758</v>
      </c>
      <c r="M17" s="295">
        <f t="shared" si="5"/>
        <v>3.376943422837507</v>
      </c>
      <c r="N17" s="295">
        <f t="shared" si="6"/>
        <v>4.4897878583675119</v>
      </c>
      <c r="O17" s="295">
        <f t="shared" si="7"/>
        <v>0.82309026663817153</v>
      </c>
      <c r="P17" s="295">
        <f t="shared" si="8"/>
        <v>3.0210300219384485</v>
      </c>
      <c r="Q17" s="232"/>
      <c r="R17" s="309">
        <f t="shared" si="9"/>
        <v>5.2205157852402984</v>
      </c>
      <c r="S17" s="309">
        <f t="shared" si="10"/>
        <v>32.094188859361516</v>
      </c>
      <c r="T17" s="309">
        <f t="shared" si="11"/>
        <v>1.1957343058202921</v>
      </c>
      <c r="U17" s="309">
        <f t="shared" si="12"/>
        <v>1.5295972314871566</v>
      </c>
      <c r="V17" s="309">
        <f t="shared" si="13"/>
        <v>0.56790041975168915</v>
      </c>
      <c r="W17" s="309">
        <f t="shared" si="14"/>
        <v>2.4244832507215612</v>
      </c>
      <c r="X17" s="309">
        <f t="shared" si="15"/>
        <v>4.3226426445319701</v>
      </c>
      <c r="Y17" s="309">
        <f t="shared" si="16"/>
        <v>4.7229690229936274</v>
      </c>
      <c r="Z17" s="309">
        <f t="shared" si="17"/>
        <v>6.8990001818201527</v>
      </c>
      <c r="AA17" s="232"/>
      <c r="AB17" s="226">
        <f t="shared" si="2"/>
        <v>1.2016263012498019E-3</v>
      </c>
      <c r="AC17" s="261">
        <f t="shared" si="18"/>
        <v>7.9856479102158087</v>
      </c>
    </row>
    <row r="18" spans="2:29" x14ac:dyDescent="0.25">
      <c r="B18" s="1">
        <v>335</v>
      </c>
      <c r="C18" s="230" t="s">
        <v>39</v>
      </c>
      <c r="D18" s="231"/>
      <c r="E18" s="230"/>
      <c r="F18" s="230"/>
      <c r="G18" s="231"/>
      <c r="H18" s="31">
        <v>3134.45</v>
      </c>
      <c r="I18" s="31"/>
      <c r="J18" s="31">
        <f t="shared" si="1"/>
        <v>2.5904078752961312E-2</v>
      </c>
      <c r="K18" s="2">
        <f t="shared" si="3"/>
        <v>2.3588831787460671E-2</v>
      </c>
      <c r="L18" s="296">
        <f t="shared" si="4"/>
        <v>196.11770791236987</v>
      </c>
      <c r="M18" s="296">
        <f t="shared" si="5"/>
        <v>45.867575125506008</v>
      </c>
      <c r="N18" s="296">
        <f t="shared" si="6"/>
        <v>60.982864118646468</v>
      </c>
      <c r="O18" s="296">
        <f t="shared" si="7"/>
        <v>11.179682308203043</v>
      </c>
      <c r="P18" s="296">
        <f t="shared" si="8"/>
        <v>41.033355948628362</v>
      </c>
      <c r="Q18" s="189"/>
      <c r="R18" s="309">
        <f t="shared" si="9"/>
        <v>70.908028353106772</v>
      </c>
      <c r="S18" s="309">
        <f t="shared" si="10"/>
        <v>435.92161143227321</v>
      </c>
      <c r="T18" s="309">
        <f t="shared" si="11"/>
        <v>16.241146573984548</v>
      </c>
      <c r="U18" s="309">
        <f t="shared" si="12"/>
        <v>20.775863596805987</v>
      </c>
      <c r="V18" s="309">
        <f t="shared" si="13"/>
        <v>7.7135479944996392</v>
      </c>
      <c r="W18" s="309">
        <f t="shared" si="14"/>
        <v>32.930716840248721</v>
      </c>
      <c r="X18" s="309">
        <f t="shared" si="15"/>
        <v>58.71260231898961</v>
      </c>
      <c r="Y18" s="309">
        <f t="shared" si="16"/>
        <v>64.150063934317174</v>
      </c>
      <c r="Z18" s="309">
        <f t="shared" si="17"/>
        <v>93.706162499051771</v>
      </c>
      <c r="AA18" s="189"/>
      <c r="AB18" s="190">
        <f t="shared" si="2"/>
        <v>1.6321175022543839E-2</v>
      </c>
      <c r="AC18" s="191">
        <f t="shared" si="18"/>
        <v>108.46563284731958</v>
      </c>
    </row>
    <row r="19" spans="2:29" ht="15.75" thickBot="1" x14ac:dyDescent="0.3">
      <c r="B19" s="1">
        <v>368</v>
      </c>
      <c r="C19" t="s">
        <v>40</v>
      </c>
      <c r="D19" s="2"/>
      <c r="H19" s="101">
        <v>2615.1999999999998</v>
      </c>
      <c r="J19" s="2">
        <f t="shared" si="1"/>
        <v>2.1612833752251408E-2</v>
      </c>
      <c r="K19" s="2">
        <f t="shared" si="3"/>
        <v>1.9681128392721896E-2</v>
      </c>
      <c r="L19" s="292">
        <f>J19*$L$3</f>
        <v>163.62903531159523</v>
      </c>
      <c r="M19" s="292">
        <f>J19*$M$3</f>
        <v>38.269196340099001</v>
      </c>
      <c r="N19" s="292">
        <f>J19*$N$3</f>
        <v>50.880500962875225</v>
      </c>
      <c r="O19" s="292">
        <f>J19*$O$3</f>
        <v>9.3276667907966644</v>
      </c>
      <c r="P19" s="292">
        <f>J19*$P$3</f>
        <v>34.235809305253845</v>
      </c>
      <c r="Q19" s="221"/>
      <c r="R19" s="309">
        <f t="shared" si="9"/>
        <v>59.161471948522021</v>
      </c>
      <c r="S19" s="309">
        <f t="shared" si="10"/>
        <v>363.70725269750062</v>
      </c>
      <c r="T19" s="309">
        <f t="shared" si="11"/>
        <v>13.550653709672952</v>
      </c>
      <c r="U19" s="309">
        <f t="shared" si="12"/>
        <v>17.334153831889811</v>
      </c>
      <c r="V19" s="309">
        <f t="shared" si="13"/>
        <v>6.4357289844200603</v>
      </c>
      <c r="W19" s="309">
        <f t="shared" si="14"/>
        <v>27.475445670091549</v>
      </c>
      <c r="X19" s="309">
        <f t="shared" si="15"/>
        <v>48.986328569484797</v>
      </c>
      <c r="Y19" s="309">
        <f t="shared" si="16"/>
        <v>53.523025475291128</v>
      </c>
      <c r="Z19" s="309">
        <f t="shared" si="17"/>
        <v>78.182888917519875</v>
      </c>
      <c r="AA19" s="176"/>
      <c r="AB19" s="226">
        <f t="shared" si="2"/>
        <v>1.3617424721707683E-2</v>
      </c>
      <c r="AC19" s="261">
        <f>AB19*$AC$3</f>
        <v>90.497319473052741</v>
      </c>
    </row>
    <row r="20" spans="2:29" ht="15.75" thickBot="1" x14ac:dyDescent="0.3">
      <c r="B20" s="1">
        <v>451</v>
      </c>
      <c r="C20" s="66" t="s">
        <v>41</v>
      </c>
      <c r="D20" s="53"/>
      <c r="E20" s="66"/>
      <c r="F20" s="66"/>
      <c r="G20" s="53"/>
      <c r="H20" s="67">
        <v>10746.79</v>
      </c>
      <c r="I20" s="31"/>
      <c r="J20" s="2">
        <f t="shared" si="1"/>
        <v>8.8814846145747153E-2</v>
      </c>
      <c r="K20" s="2">
        <f t="shared" si="3"/>
        <v>8.0876779519585412E-2</v>
      </c>
      <c r="L20" s="297">
        <f t="shared" si="4"/>
        <v>672.41009498176004</v>
      </c>
      <c r="M20" s="297">
        <f t="shared" si="5"/>
        <v>157.26178362489011</v>
      </c>
      <c r="N20" s="297">
        <f t="shared" si="6"/>
        <v>209.08613449939506</v>
      </c>
      <c r="O20" s="297">
        <f t="shared" si="7"/>
        <v>38.330711299581559</v>
      </c>
      <c r="P20" s="297">
        <f t="shared" si="8"/>
        <v>140.68715703717078</v>
      </c>
      <c r="Q20" s="179"/>
      <c r="R20" s="309">
        <f t="shared" si="9"/>
        <v>243.11559923587376</v>
      </c>
      <c r="S20" s="309">
        <f t="shared" si="10"/>
        <v>1494.6028855219383</v>
      </c>
      <c r="T20" s="309">
        <f t="shared" si="11"/>
        <v>55.684471467029752</v>
      </c>
      <c r="U20" s="309">
        <f>K20*$U$3</f>
        <v>71.232223561874846</v>
      </c>
      <c r="V20" s="309">
        <f t="shared" si="13"/>
        <v>26.446706902904431</v>
      </c>
      <c r="W20" s="309">
        <f t="shared" si="14"/>
        <v>112.90641051272682</v>
      </c>
      <c r="X20" s="309">
        <f t="shared" si="15"/>
        <v>201.3023042242481</v>
      </c>
      <c r="Y20" s="309">
        <f t="shared" si="16"/>
        <v>219.94521067130773</v>
      </c>
      <c r="Z20" s="309">
        <f t="shared" si="17"/>
        <v>321.28138910596266</v>
      </c>
      <c r="AA20" s="179"/>
      <c r="AB20" s="226">
        <f t="shared" si="2"/>
        <v>5.5958857381844952E-2</v>
      </c>
      <c r="AC20" s="261">
        <f t="shared" si="18"/>
        <v>371.88577850252699</v>
      </c>
    </row>
    <row r="21" spans="2:29" x14ac:dyDescent="0.25">
      <c r="B21" s="1">
        <v>452</v>
      </c>
      <c r="C21" t="s">
        <v>42</v>
      </c>
      <c r="D21" s="2"/>
      <c r="H21" s="101"/>
      <c r="J21" s="2">
        <f t="shared" si="1"/>
        <v>0</v>
      </c>
      <c r="K21" s="2">
        <f t="shared" si="3"/>
        <v>0</v>
      </c>
      <c r="L21" s="297">
        <f t="shared" si="4"/>
        <v>0</v>
      </c>
      <c r="M21" s="297">
        <f t="shared" ref="M21" si="19">J21*$M$3</f>
        <v>0</v>
      </c>
      <c r="N21" s="297">
        <f t="shared" ref="N21" si="20">J21*$N$3</f>
        <v>0</v>
      </c>
      <c r="O21" s="297">
        <f t="shared" ref="O21" si="21">J21*$O$3</f>
        <v>0</v>
      </c>
      <c r="P21" s="297">
        <f t="shared" ref="P21" si="22">J21*$P$3</f>
        <v>0</v>
      </c>
      <c r="Q21" s="179"/>
      <c r="R21" s="309">
        <f t="shared" si="9"/>
        <v>0</v>
      </c>
      <c r="S21" s="309">
        <f t="shared" si="10"/>
        <v>0</v>
      </c>
      <c r="T21" s="309">
        <f t="shared" si="11"/>
        <v>0</v>
      </c>
      <c r="U21" s="309">
        <f t="shared" si="12"/>
        <v>0</v>
      </c>
      <c r="V21" s="309">
        <f t="shared" si="13"/>
        <v>0</v>
      </c>
      <c r="W21" s="309">
        <f t="shared" si="14"/>
        <v>0</v>
      </c>
      <c r="X21" s="309">
        <f t="shared" si="15"/>
        <v>0</v>
      </c>
      <c r="Y21" s="309">
        <f t="shared" si="16"/>
        <v>0</v>
      </c>
      <c r="Z21" s="309">
        <f t="shared" si="17"/>
        <v>0</v>
      </c>
      <c r="AA21" s="179"/>
      <c r="AB21" s="226">
        <f t="shared" si="2"/>
        <v>0</v>
      </c>
      <c r="AC21" s="261">
        <f t="shared" ref="AC21" si="23">AB21*$AC$3</f>
        <v>0</v>
      </c>
    </row>
    <row r="22" spans="2:29" x14ac:dyDescent="0.25">
      <c r="B22" s="1">
        <v>454</v>
      </c>
      <c r="C22" t="s">
        <v>43</v>
      </c>
      <c r="D22" s="2"/>
      <c r="H22" s="101"/>
      <c r="J22" s="2"/>
      <c r="K22" s="2">
        <f t="shared" si="3"/>
        <v>0</v>
      </c>
      <c r="L22" s="292"/>
      <c r="M22" s="292"/>
      <c r="N22" s="292"/>
      <c r="O22" s="292"/>
      <c r="P22" s="292"/>
      <c r="Q22" s="221"/>
      <c r="R22" s="309">
        <f t="shared" si="9"/>
        <v>0</v>
      </c>
      <c r="S22" s="309">
        <f t="shared" si="10"/>
        <v>0</v>
      </c>
      <c r="T22" s="309">
        <f t="shared" si="11"/>
        <v>0</v>
      </c>
      <c r="U22" s="309">
        <f t="shared" si="12"/>
        <v>0</v>
      </c>
      <c r="V22" s="309">
        <f t="shared" si="13"/>
        <v>0</v>
      </c>
      <c r="W22" s="309">
        <f t="shared" si="14"/>
        <v>0</v>
      </c>
      <c r="X22" s="309">
        <f t="shared" si="15"/>
        <v>0</v>
      </c>
      <c r="Y22" s="309">
        <f t="shared" si="16"/>
        <v>0</v>
      </c>
      <c r="Z22" s="309">
        <f t="shared" si="17"/>
        <v>0</v>
      </c>
      <c r="AA22" s="176"/>
      <c r="AB22" s="226"/>
      <c r="AC22" s="261"/>
    </row>
    <row r="23" spans="2:29" x14ac:dyDescent="0.25">
      <c r="B23" s="1">
        <v>467</v>
      </c>
      <c r="C23" t="s">
        <v>44</v>
      </c>
      <c r="D23" s="2"/>
      <c r="H23" s="101">
        <v>6576.94</v>
      </c>
      <c r="J23" s="2">
        <f t="shared" ref="J23:J35" si="24">H23/$I$35</f>
        <v>5.4353896764504576E-2</v>
      </c>
      <c r="K23" s="2">
        <f t="shared" si="3"/>
        <v>4.9495870515153084E-2</v>
      </c>
      <c r="L23" s="292">
        <f>J23*$L$3</f>
        <v>411.50900409232298</v>
      </c>
      <c r="M23" s="292">
        <f>J23*$M$3</f>
        <v>96.242814384005328</v>
      </c>
      <c r="N23" s="292">
        <f>J23*$N$3</f>
        <v>127.95885668506141</v>
      </c>
      <c r="O23" s="292">
        <f>J23*$O$3</f>
        <v>23.458054765624887</v>
      </c>
      <c r="P23" s="292">
        <f>J23*$P$3</f>
        <v>86.099290169813472</v>
      </c>
      <c r="Q23" s="221"/>
      <c r="R23" s="309">
        <f t="shared" si="9"/>
        <v>148.78458676855018</v>
      </c>
      <c r="S23" s="309">
        <f t="shared" si="10"/>
        <v>914.68368712002905</v>
      </c>
      <c r="T23" s="309">
        <f t="shared" si="11"/>
        <v>34.078401808388051</v>
      </c>
      <c r="U23" s="309">
        <f t="shared" si="12"/>
        <v>43.593487956221082</v>
      </c>
      <c r="V23" s="309">
        <f t="shared" si="13"/>
        <v>16.18514965845506</v>
      </c>
      <c r="W23" s="309">
        <f t="shared" si="14"/>
        <v>69.097720115269155</v>
      </c>
      <c r="X23" s="309">
        <f t="shared" si="15"/>
        <v>123.19522171221602</v>
      </c>
      <c r="Y23" s="309">
        <f t="shared" si="16"/>
        <v>134.60451482466397</v>
      </c>
      <c r="Z23" s="309">
        <f t="shared" si="17"/>
        <v>196.62135570403532</v>
      </c>
      <c r="AA23" s="176"/>
      <c r="AB23" s="226">
        <f t="shared" ref="AB23:AB35" si="25">H23/$H$39</f>
        <v>3.424632355046961E-2</v>
      </c>
      <c r="AC23" s="261">
        <f>AB23*$AC$3</f>
        <v>227.59079241935586</v>
      </c>
    </row>
    <row r="24" spans="2:29" x14ac:dyDescent="0.25">
      <c r="B24" s="1">
        <v>468</v>
      </c>
      <c r="C24" t="s">
        <v>45</v>
      </c>
      <c r="D24" s="2"/>
      <c r="H24" s="101">
        <v>6307.7</v>
      </c>
      <c r="J24" s="2">
        <f t="shared" si="24"/>
        <v>5.2128812885850494E-2</v>
      </c>
      <c r="K24" s="2">
        <f t="shared" si="3"/>
        <v>4.7469659514672642E-2</v>
      </c>
      <c r="L24" s="292">
        <f>J24*$L$3</f>
        <v>394.66307205374324</v>
      </c>
      <c r="M24" s="292">
        <f>J24*$M$3</f>
        <v>92.302925112588895</v>
      </c>
      <c r="N24" s="292">
        <f>J24*$N$3</f>
        <v>122.72060871961153</v>
      </c>
      <c r="O24" s="292">
        <f>J24*$O$3</f>
        <v>22.497753065275358</v>
      </c>
      <c r="P24" s="292">
        <f>J24*$P$3</f>
        <v>82.574646051831479</v>
      </c>
      <c r="Q24" s="221"/>
      <c r="R24" s="309">
        <f t="shared" si="9"/>
        <v>142.69379650110596</v>
      </c>
      <c r="S24" s="309">
        <f t="shared" si="10"/>
        <v>877.23930783115043</v>
      </c>
      <c r="T24" s="309">
        <f t="shared" si="11"/>
        <v>32.683335272447259</v>
      </c>
      <c r="U24" s="309">
        <f t="shared" si="12"/>
        <v>41.808902617547929</v>
      </c>
      <c r="V24" s="309">
        <f t="shared" si="13"/>
        <v>15.522578661297954</v>
      </c>
      <c r="W24" s="309">
        <f t="shared" si="14"/>
        <v>66.269068772268454</v>
      </c>
      <c r="X24" s="309">
        <f t="shared" si="15"/>
        <v>118.15198253202021</v>
      </c>
      <c r="Y24" s="309">
        <f t="shared" si="16"/>
        <v>129.09421374674741</v>
      </c>
      <c r="Z24" s="309">
        <f t="shared" si="17"/>
        <v>188.57227302884678</v>
      </c>
      <c r="AA24" s="176"/>
      <c r="AB24" s="226">
        <f t="shared" si="25"/>
        <v>3.2844382807095271E-2</v>
      </c>
      <c r="AC24" s="261">
        <f>AB24*$AC$3</f>
        <v>218.27391482111304</v>
      </c>
    </row>
    <row r="25" spans="2:29" x14ac:dyDescent="0.25">
      <c r="B25" s="1">
        <v>502</v>
      </c>
      <c r="C25" t="s">
        <v>46</v>
      </c>
      <c r="D25" s="2"/>
      <c r="H25" s="101">
        <v>1636.38</v>
      </c>
      <c r="J25" s="2">
        <f t="shared" si="24"/>
        <v>1.3523558005318586E-2</v>
      </c>
      <c r="K25" s="2">
        <f t="shared" si="3"/>
        <v>1.2314853502325734E-2</v>
      </c>
      <c r="L25" s="292">
        <f t="shared" si="4"/>
        <v>102.38577577362659</v>
      </c>
      <c r="M25" s="292">
        <f t="shared" si="5"/>
        <v>23.94575845327746</v>
      </c>
      <c r="N25" s="292">
        <f t="shared" si="6"/>
        <v>31.836889784960913</v>
      </c>
      <c r="O25" s="292">
        <f t="shared" si="7"/>
        <v>5.8364971639353955</v>
      </c>
      <c r="P25" s="292">
        <f t="shared" si="8"/>
        <v>21.421992058324903</v>
      </c>
      <c r="Q25" s="221"/>
      <c r="R25" s="309">
        <f t="shared" si="9"/>
        <v>37.018449627991153</v>
      </c>
      <c r="S25" s="309">
        <f t="shared" si="10"/>
        <v>227.57849272297955</v>
      </c>
      <c r="T25" s="309">
        <f t="shared" si="11"/>
        <v>8.4788997848862913</v>
      </c>
      <c r="U25" s="309">
        <f t="shared" si="12"/>
        <v>10.84630722217339</v>
      </c>
      <c r="V25" s="309">
        <f t="shared" si="13"/>
        <v>4.0269570952605145</v>
      </c>
      <c r="W25" s="309">
        <f t="shared" si="14"/>
        <v>17.191904934851795</v>
      </c>
      <c r="X25" s="309">
        <f t="shared" si="15"/>
        <v>30.651670367288752</v>
      </c>
      <c r="Y25" s="309">
        <f t="shared" si="16"/>
        <v>33.490367248109855</v>
      </c>
      <c r="Z25" s="309">
        <f t="shared" si="17"/>
        <v>48.920509240918932</v>
      </c>
      <c r="AA25" s="176"/>
      <c r="AB25" s="226">
        <f t="shared" si="25"/>
        <v>8.5206796673707626E-3</v>
      </c>
      <c r="AC25" s="261">
        <f t="shared" si="18"/>
        <v>56.625880865445872</v>
      </c>
    </row>
    <row r="26" spans="2:29" x14ac:dyDescent="0.25">
      <c r="B26" s="1">
        <v>515</v>
      </c>
      <c r="C26" t="s">
        <v>47</v>
      </c>
      <c r="D26" s="2"/>
      <c r="H26" s="101">
        <v>2749.65</v>
      </c>
      <c r="J26" s="2">
        <f t="shared" si="24"/>
        <v>2.2723970758212791E-2</v>
      </c>
      <c r="K26" s="2">
        <f t="shared" si="3"/>
        <v>2.0692954529308565E-2</v>
      </c>
      <c r="L26" s="292">
        <f t="shared" ref="L26:L30" si="26">J26*$L$3</f>
        <v>172.04136469276838</v>
      </c>
      <c r="M26" s="292">
        <f t="shared" ref="M26:M30" si="27">J26*$M$3</f>
        <v>40.236653302444644</v>
      </c>
      <c r="N26" s="292">
        <f t="shared" ref="N26:N30" si="28">J26*$N$3</f>
        <v>53.496317479569392</v>
      </c>
      <c r="O26" s="292">
        <f t="shared" ref="O26:O30" si="29">J26*$O$3</f>
        <v>9.8072112998294774</v>
      </c>
      <c r="P26" s="292">
        <f t="shared" ref="P26:P30" si="30">J26*$P$3</f>
        <v>35.995905879546967</v>
      </c>
      <c r="Q26" s="221"/>
      <c r="R26" s="309">
        <f t="shared" si="9"/>
        <v>62.203021315101545</v>
      </c>
      <c r="S26" s="309">
        <f t="shared" si="10"/>
        <v>382.4057997016223</v>
      </c>
      <c r="T26" s="309">
        <f t="shared" si="11"/>
        <v>14.247306122974241</v>
      </c>
      <c r="U26" s="309">
        <f t="shared" si="12"/>
        <v>18.22531970168852</v>
      </c>
      <c r="V26" s="309">
        <f t="shared" si="13"/>
        <v>6.7665961310839009</v>
      </c>
      <c r="W26" s="309">
        <f t="shared" si="14"/>
        <v>28.887985311550636</v>
      </c>
      <c r="X26" s="309">
        <f t="shared" si="15"/>
        <v>51.504763823449018</v>
      </c>
      <c r="Y26" s="309">
        <f t="shared" si="16"/>
        <v>56.274696771999942</v>
      </c>
      <c r="Z26" s="309">
        <f t="shared" si="17"/>
        <v>82.202348008587691</v>
      </c>
      <c r="AA26" s="176"/>
      <c r="AB26" s="226">
        <f t="shared" si="25"/>
        <v>1.4317509898303583E-2</v>
      </c>
      <c r="AC26" s="261">
        <f t="shared" ref="AC26:AC30" si="31">AB26*$AC$3</f>
        <v>95.149875531156127</v>
      </c>
    </row>
    <row r="27" spans="2:29" x14ac:dyDescent="0.25">
      <c r="B27" s="1">
        <v>525</v>
      </c>
      <c r="C27" t="s">
        <v>48</v>
      </c>
      <c r="D27" s="2"/>
      <c r="H27" s="101">
        <v>115.39</v>
      </c>
      <c r="J27" s="2">
        <f t="shared" si="24"/>
        <v>9.5361918272877412E-4</v>
      </c>
      <c r="K27" s="2">
        <f t="shared" si="3"/>
        <v>8.6838689401811699E-4</v>
      </c>
      <c r="L27" s="292">
        <f t="shared" si="26"/>
        <v>7.2197745429049309</v>
      </c>
      <c r="M27" s="292">
        <f t="shared" si="27"/>
        <v>1.6885448782823584</v>
      </c>
      <c r="N27" s="292">
        <f t="shared" si="28"/>
        <v>2.2449912075964256</v>
      </c>
      <c r="O27" s="292">
        <f t="shared" si="29"/>
        <v>0.41156296688208438</v>
      </c>
      <c r="P27" s="292">
        <f t="shared" si="30"/>
        <v>1.5105804664015146</v>
      </c>
      <c r="Q27" s="221"/>
      <c r="R27" s="309">
        <f t="shared" si="9"/>
        <v>2.6103710034184595</v>
      </c>
      <c r="S27" s="309">
        <f t="shared" si="10"/>
        <v>16.047789801454801</v>
      </c>
      <c r="T27" s="309">
        <f t="shared" si="11"/>
        <v>0.59789306040041368</v>
      </c>
      <c r="U27" s="309">
        <f t="shared" si="12"/>
        <v>0.76483175690645655</v>
      </c>
      <c r="V27" s="309">
        <f t="shared" si="13"/>
        <v>0.28396251434392428</v>
      </c>
      <c r="W27" s="309">
        <f t="shared" si="14"/>
        <v>1.2122941556561118</v>
      </c>
      <c r="X27" s="309">
        <f t="shared" si="15"/>
        <v>2.1614149792110933</v>
      </c>
      <c r="Y27" s="309">
        <f t="shared" si="16"/>
        <v>2.3615868421512096</v>
      </c>
      <c r="Z27" s="309">
        <f t="shared" si="17"/>
        <v>3.4496495687490896</v>
      </c>
      <c r="AA27" s="176"/>
      <c r="AB27" s="226">
        <f t="shared" si="25"/>
        <v>6.0083918577464419E-4</v>
      </c>
      <c r="AC27" s="261">
        <f t="shared" si="31"/>
        <v>3.9929969769025528</v>
      </c>
    </row>
    <row r="28" spans="2:29" x14ac:dyDescent="0.25">
      <c r="B28" s="1">
        <v>560</v>
      </c>
      <c r="C28" t="s">
        <v>49</v>
      </c>
      <c r="D28" s="2"/>
      <c r="H28" s="255">
        <v>230.77</v>
      </c>
      <c r="I28" s="256"/>
      <c r="J28" s="256">
        <f t="shared" si="24"/>
        <v>1.9071557223183917E-3</v>
      </c>
      <c r="K28" s="2">
        <f t="shared" si="3"/>
        <v>1.7366985313507313E-3</v>
      </c>
      <c r="L28" s="298">
        <f t="shared" si="26"/>
        <v>14.438923401214758</v>
      </c>
      <c r="M28" s="298">
        <f t="shared" si="27"/>
        <v>3.376943422837507</v>
      </c>
      <c r="N28" s="298">
        <f t="shared" si="28"/>
        <v>4.4897878583675119</v>
      </c>
      <c r="O28" s="298">
        <f t="shared" si="29"/>
        <v>0.82309026663817153</v>
      </c>
      <c r="P28" s="298">
        <f t="shared" si="30"/>
        <v>3.0210300219384485</v>
      </c>
      <c r="Q28" s="257"/>
      <c r="R28" s="309">
        <f t="shared" si="9"/>
        <v>5.2205157852402984</v>
      </c>
      <c r="S28" s="309">
        <f t="shared" si="10"/>
        <v>32.094188859361516</v>
      </c>
      <c r="T28" s="309">
        <f t="shared" si="11"/>
        <v>1.1957343058202921</v>
      </c>
      <c r="U28" s="309">
        <f t="shared" si="12"/>
        <v>1.5295972314871566</v>
      </c>
      <c r="V28" s="309">
        <f t="shared" si="13"/>
        <v>0.56790041975168915</v>
      </c>
      <c r="W28" s="309">
        <f t="shared" si="14"/>
        <v>2.4244832507215612</v>
      </c>
      <c r="X28" s="309">
        <f t="shared" si="15"/>
        <v>4.3226426445319701</v>
      </c>
      <c r="Y28" s="309">
        <f t="shared" si="16"/>
        <v>4.7229690229936274</v>
      </c>
      <c r="Z28" s="309">
        <f t="shared" si="17"/>
        <v>6.8990001818201527</v>
      </c>
      <c r="AA28" s="257"/>
      <c r="AB28" s="226">
        <f t="shared" si="25"/>
        <v>1.2016263012498019E-3</v>
      </c>
      <c r="AC28" s="261">
        <f t="shared" si="31"/>
        <v>7.9856479102158087</v>
      </c>
    </row>
    <row r="29" spans="2:29" x14ac:dyDescent="0.25">
      <c r="B29" s="1">
        <v>564</v>
      </c>
      <c r="C29" t="s">
        <v>50</v>
      </c>
      <c r="D29" s="2"/>
      <c r="H29" s="253">
        <v>6444.24</v>
      </c>
      <c r="I29" s="99"/>
      <c r="J29" s="99">
        <f t="shared" si="24"/>
        <v>5.3257222307895619E-2</v>
      </c>
      <c r="K29" s="2">
        <f t="shared" si="3"/>
        <v>4.849721429852942E-2</v>
      </c>
      <c r="L29" s="299">
        <f t="shared" si="26"/>
        <v>403.20616951529308</v>
      </c>
      <c r="M29" s="299">
        <f t="shared" si="27"/>
        <v>94.300965823921544</v>
      </c>
      <c r="N29" s="299">
        <f t="shared" si="28"/>
        <v>125.37708761280172</v>
      </c>
      <c r="O29" s="299">
        <f t="shared" si="29"/>
        <v>22.984752003641592</v>
      </c>
      <c r="P29" s="299">
        <f t="shared" si="30"/>
        <v>84.362102996822045</v>
      </c>
      <c r="Q29" s="183"/>
      <c r="R29" s="309">
        <f t="shared" si="9"/>
        <v>145.78262618137944</v>
      </c>
      <c r="S29" s="309">
        <f t="shared" si="10"/>
        <v>896.22852023682367</v>
      </c>
      <c r="T29" s="309">
        <f t="shared" si="11"/>
        <v>33.390817016680494</v>
      </c>
      <c r="U29" s="309">
        <f t="shared" si="12"/>
        <v>42.713921493429787</v>
      </c>
      <c r="V29" s="309">
        <f t="shared" si="13"/>
        <v>15.85858907561912</v>
      </c>
      <c r="W29" s="309">
        <f t="shared" si="14"/>
        <v>67.703566077176021</v>
      </c>
      <c r="X29" s="309">
        <f t="shared" si="15"/>
        <v>120.70956638903972</v>
      </c>
      <c r="Y29" s="309">
        <f t="shared" si="16"/>
        <v>131.88865925699375</v>
      </c>
      <c r="Z29" s="309">
        <f t="shared" si="17"/>
        <v>192.65421385662216</v>
      </c>
      <c r="AA29" s="183"/>
      <c r="AB29" s="226">
        <f t="shared" si="25"/>
        <v>3.3555350676283846E-2</v>
      </c>
      <c r="AC29" s="261">
        <f t="shared" si="31"/>
        <v>222.99879398937955</v>
      </c>
    </row>
    <row r="30" spans="2:29" x14ac:dyDescent="0.25">
      <c r="B30" s="1">
        <v>563</v>
      </c>
      <c r="C30" t="s">
        <v>51</v>
      </c>
      <c r="D30" s="2"/>
      <c r="H30" s="101">
        <v>2520.65</v>
      </c>
      <c r="J30" s="2">
        <f t="shared" si="24"/>
        <v>2.0831442871525128E-2</v>
      </c>
      <c r="K30" s="2">
        <f t="shared" si="3"/>
        <v>1.8969576431291851E-2</v>
      </c>
      <c r="L30" s="292">
        <f t="shared" si="26"/>
        <v>157.71318746488703</v>
      </c>
      <c r="M30" s="292">
        <f t="shared" si="27"/>
        <v>36.8856109493234</v>
      </c>
      <c r="N30" s="292">
        <f t="shared" si="28"/>
        <v>49.040966179287032</v>
      </c>
      <c r="O30" s="292">
        <f t="shared" si="29"/>
        <v>8.9904341144928157</v>
      </c>
      <c r="P30" s="292">
        <f t="shared" si="30"/>
        <v>32.998047080639381</v>
      </c>
      <c r="Q30" s="221"/>
      <c r="R30" s="309">
        <f t="shared" si="9"/>
        <v>57.022546752463306</v>
      </c>
      <c r="S30" s="309">
        <f t="shared" si="10"/>
        <v>350.55777245027343</v>
      </c>
      <c r="T30" s="309">
        <f t="shared" si="11"/>
        <v>13.060743068708753</v>
      </c>
      <c r="U30" s="309">
        <f t="shared" si="12"/>
        <v>16.7074544418603</v>
      </c>
      <c r="V30" s="309">
        <f t="shared" si="13"/>
        <v>6.2030514930324356</v>
      </c>
      <c r="W30" s="309">
        <f t="shared" si="14"/>
        <v>26.482097785376364</v>
      </c>
      <c r="X30" s="309">
        <f t="shared" si="15"/>
        <v>47.21527573748542</v>
      </c>
      <c r="Y30" s="309">
        <f t="shared" si="16"/>
        <v>51.587952800662507</v>
      </c>
      <c r="Z30" s="309">
        <f t="shared" si="17"/>
        <v>75.356262981778258</v>
      </c>
      <c r="AA30" s="176"/>
      <c r="AB30" s="226">
        <f t="shared" si="25"/>
        <v>1.3125100040062891E-2</v>
      </c>
      <c r="AC30" s="261">
        <f t="shared" si="31"/>
        <v>87.225477336245959</v>
      </c>
    </row>
    <row r="31" spans="2:29" x14ac:dyDescent="0.25">
      <c r="B31" s="1">
        <v>610</v>
      </c>
      <c r="C31" t="s">
        <v>53</v>
      </c>
      <c r="D31" s="2"/>
      <c r="H31" s="101">
        <v>9776.93</v>
      </c>
      <c r="J31" s="2">
        <f t="shared" si="24"/>
        <v>8.0799618651498692E-2</v>
      </c>
      <c r="K31" s="2">
        <f t="shared" si="3"/>
        <v>7.3577934619399848E-2</v>
      </c>
      <c r="L31" s="292">
        <f t="shared" si="4"/>
        <v>611.7274488410045</v>
      </c>
      <c r="M31" s="292">
        <f t="shared" si="5"/>
        <v>143.06946075764918</v>
      </c>
      <c r="N31" s="292">
        <f t="shared" si="6"/>
        <v>190.21684623698522</v>
      </c>
      <c r="O31" s="292">
        <f t="shared" si="7"/>
        <v>34.871499417613812</v>
      </c>
      <c r="P31" s="292">
        <f t="shared" si="8"/>
        <v>127.9906359249065</v>
      </c>
      <c r="Q31" s="221"/>
      <c r="R31" s="309">
        <f t="shared" si="9"/>
        <v>221.17527146591596</v>
      </c>
      <c r="S31" s="309">
        <f t="shared" si="10"/>
        <v>1359.7202317665092</v>
      </c>
      <c r="T31" s="309">
        <f t="shared" si="11"/>
        <v>50.659143764802991</v>
      </c>
      <c r="U31" s="309">
        <f t="shared" si="12"/>
        <v>64.803765916036411</v>
      </c>
      <c r="V31" s="309">
        <f t="shared" si="13"/>
        <v>24.059984620543752</v>
      </c>
      <c r="W31" s="309">
        <f t="shared" si="14"/>
        <v>102.71700406672076</v>
      </c>
      <c r="X31" s="309">
        <f t="shared" si="15"/>
        <v>183.13547926768624</v>
      </c>
      <c r="Y31" s="309">
        <f t="shared" si="16"/>
        <v>200.09592897680409</v>
      </c>
      <c r="Z31" s="309">
        <f t="shared" si="17"/>
        <v>292.28687371687352</v>
      </c>
      <c r="AA31" s="176"/>
      <c r="AB31" s="226">
        <f t="shared" si="25"/>
        <v>5.0908767315847932E-2</v>
      </c>
      <c r="AC31" s="261">
        <f t="shared" si="18"/>
        <v>338.32439495093058</v>
      </c>
    </row>
    <row r="32" spans="2:29" x14ac:dyDescent="0.25">
      <c r="B32" s="1">
        <v>620</v>
      </c>
      <c r="C32" t="s">
        <v>54</v>
      </c>
      <c r="D32" s="2"/>
      <c r="H32" s="101">
        <v>6769.23</v>
      </c>
      <c r="J32" s="2">
        <f t="shared" si="24"/>
        <v>5.5943041687348122E-2</v>
      </c>
      <c r="K32" s="2">
        <f t="shared" si="3"/>
        <v>5.0942981320688599E-2</v>
      </c>
      <c r="L32" s="292">
        <f t="shared" si="4"/>
        <v>423.54029317157767</v>
      </c>
      <c r="M32" s="292">
        <f t="shared" si="5"/>
        <v>99.056665624536706</v>
      </c>
      <c r="N32" s="292">
        <f t="shared" si="6"/>
        <v>131.69998987952121</v>
      </c>
      <c r="O32" s="292">
        <f t="shared" si="7"/>
        <v>24.143897931425705</v>
      </c>
      <c r="P32" s="292">
        <f t="shared" si="8"/>
        <v>88.616575184843796</v>
      </c>
      <c r="Q32" s="221"/>
      <c r="R32" s="309">
        <f t="shared" si="9"/>
        <v>153.13460184998993</v>
      </c>
      <c r="S32" s="309">
        <f t="shared" si="10"/>
        <v>941.42629480632536</v>
      </c>
      <c r="T32" s="309">
        <f t="shared" si="11"/>
        <v>35.074752069107305</v>
      </c>
      <c r="U32" s="309">
        <f t="shared" si="12"/>
        <v>44.868030798196486</v>
      </c>
      <c r="V32" s="309">
        <f t="shared" si="13"/>
        <v>16.658354891865173</v>
      </c>
      <c r="W32" s="309">
        <f t="shared" si="14"/>
        <v>71.1179302131209</v>
      </c>
      <c r="X32" s="309">
        <f t="shared" si="15"/>
        <v>126.79708050719393</v>
      </c>
      <c r="Y32" s="309">
        <f t="shared" si="16"/>
        <v>138.53994713142586</v>
      </c>
      <c r="Z32" s="309">
        <f t="shared" si="17"/>
        <v>202.36997443680906</v>
      </c>
      <c r="AA32" s="176"/>
      <c r="AB32" s="226">
        <f t="shared" si="25"/>
        <v>3.5247583339295389E-2</v>
      </c>
      <c r="AC32" s="261">
        <f t="shared" si="18"/>
        <v>234.24486459795537</v>
      </c>
    </row>
    <row r="33" spans="2:33" x14ac:dyDescent="0.25">
      <c r="B33" s="1">
        <v>630</v>
      </c>
      <c r="C33" t="s">
        <v>55</v>
      </c>
      <c r="D33" s="2"/>
      <c r="H33" s="101">
        <v>0</v>
      </c>
      <c r="J33" s="2">
        <f t="shared" si="24"/>
        <v>0</v>
      </c>
      <c r="K33" s="2">
        <f t="shared" si="3"/>
        <v>0</v>
      </c>
      <c r="L33" s="292">
        <f t="shared" si="4"/>
        <v>0</v>
      </c>
      <c r="M33" s="292">
        <f t="shared" si="5"/>
        <v>0</v>
      </c>
      <c r="N33" s="292">
        <f t="shared" si="6"/>
        <v>0</v>
      </c>
      <c r="O33" s="292">
        <f t="shared" si="7"/>
        <v>0</v>
      </c>
      <c r="P33" s="292">
        <f t="shared" si="8"/>
        <v>0</v>
      </c>
      <c r="Q33" s="221"/>
      <c r="R33" s="309">
        <f t="shared" si="9"/>
        <v>0</v>
      </c>
      <c r="S33" s="309">
        <f t="shared" si="10"/>
        <v>0</v>
      </c>
      <c r="T33" s="309">
        <f t="shared" si="11"/>
        <v>0</v>
      </c>
      <c r="U33" s="309">
        <f t="shared" si="12"/>
        <v>0</v>
      </c>
      <c r="V33" s="309">
        <f t="shared" si="13"/>
        <v>0</v>
      </c>
      <c r="W33" s="309">
        <f t="shared" si="14"/>
        <v>0</v>
      </c>
      <c r="X33" s="309">
        <f t="shared" si="15"/>
        <v>0</v>
      </c>
      <c r="Y33" s="309">
        <f t="shared" si="16"/>
        <v>0</v>
      </c>
      <c r="Z33" s="309">
        <f t="shared" si="17"/>
        <v>0</v>
      </c>
      <c r="AA33" s="176"/>
      <c r="AB33" s="226">
        <f t="shared" si="25"/>
        <v>0</v>
      </c>
      <c r="AC33" s="261">
        <f t="shared" si="18"/>
        <v>0</v>
      </c>
    </row>
    <row r="34" spans="2:33" x14ac:dyDescent="0.25">
      <c r="B34" s="1">
        <v>650</v>
      </c>
      <c r="C34" t="s">
        <v>56</v>
      </c>
      <c r="D34" s="2"/>
      <c r="H34" s="101">
        <v>299</v>
      </c>
      <c r="I34" s="53"/>
      <c r="J34" s="2">
        <f t="shared" si="24"/>
        <v>2.4710298607843267E-3</v>
      </c>
      <c r="K34" s="2">
        <f t="shared" si="3"/>
        <v>2.2501748965371086E-3</v>
      </c>
      <c r="L34" s="292">
        <f t="shared" si="4"/>
        <v>18.707969393609275</v>
      </c>
      <c r="M34" s="292">
        <f t="shared" si="5"/>
        <v>4.3753784435949843</v>
      </c>
      <c r="N34" s="292">
        <f t="shared" si="6"/>
        <v>5.8172490776612467</v>
      </c>
      <c r="O34" s="292">
        <f t="shared" si="7"/>
        <v>1.0664470673172999</v>
      </c>
      <c r="P34" s="292">
        <f t="shared" si="8"/>
        <v>3.9142348509754123</v>
      </c>
      <c r="Q34" s="221"/>
      <c r="R34" s="309">
        <f t="shared" si="9"/>
        <v>6.7640257389905489</v>
      </c>
      <c r="S34" s="309">
        <f t="shared" si="10"/>
        <v>41.583232088005765</v>
      </c>
      <c r="T34" s="309">
        <f t="shared" si="11"/>
        <v>1.5492679180147646</v>
      </c>
      <c r="U34" s="309">
        <f t="shared" si="12"/>
        <v>1.9818415401250584</v>
      </c>
      <c r="V34" s="309">
        <f t="shared" si="13"/>
        <v>0.73580719116763449</v>
      </c>
      <c r="W34" s="309">
        <f t="shared" si="14"/>
        <v>3.1413116608126996</v>
      </c>
      <c r="X34" s="309">
        <f t="shared" si="15"/>
        <v>5.6006853174808633</v>
      </c>
      <c r="Y34" s="309">
        <f t="shared" si="16"/>
        <v>6.1193731328816332</v>
      </c>
      <c r="Z34" s="309">
        <f t="shared" si="17"/>
        <v>8.9387747729957336</v>
      </c>
      <c r="AA34" s="176"/>
      <c r="AB34" s="226">
        <f t="shared" si="25"/>
        <v>1.5569019546461445E-3</v>
      </c>
      <c r="AC34" s="261">
        <f t="shared" si="18"/>
        <v>10.346703319991882</v>
      </c>
    </row>
    <row r="35" spans="2:33" x14ac:dyDescent="0.25">
      <c r="B35" s="1">
        <v>600</v>
      </c>
      <c r="C35" t="s">
        <v>57</v>
      </c>
      <c r="D35" s="2"/>
      <c r="H35" s="101">
        <v>0.01</v>
      </c>
      <c r="I35" s="15">
        <f>SUM(H6:H34)</f>
        <v>121002.17999999998</v>
      </c>
      <c r="J35" s="2">
        <f t="shared" si="24"/>
        <v>8.2643139156666455E-8</v>
      </c>
      <c r="K35" s="2">
        <f t="shared" si="3"/>
        <v>7.5256685502913338E-8</v>
      </c>
      <c r="L35" s="292">
        <f t="shared" si="4"/>
        <v>6.2568459510398925E-4</v>
      </c>
      <c r="M35" s="292">
        <f t="shared" si="5"/>
        <v>1.4633372721053461E-4</v>
      </c>
      <c r="N35" s="292">
        <f t="shared" si="6"/>
        <v>1.9455682533984107E-4</v>
      </c>
      <c r="O35" s="292">
        <f t="shared" si="7"/>
        <v>3.5667125997234113E-5</v>
      </c>
      <c r="P35" s="292">
        <f t="shared" si="8"/>
        <v>1.3091086458111751E-4</v>
      </c>
      <c r="Q35" s="221"/>
      <c r="R35" s="309">
        <f t="shared" si="9"/>
        <v>2.2622159662175751E-4</v>
      </c>
      <c r="S35" s="309">
        <f t="shared" si="10"/>
        <v>1.3907435480938384E-3</v>
      </c>
      <c r="T35" s="309">
        <f t="shared" si="11"/>
        <v>5.1814980535610859E-5</v>
      </c>
      <c r="U35" s="309">
        <f t="shared" si="12"/>
        <v>6.6282325756690923E-5</v>
      </c>
      <c r="V35" s="309">
        <f t="shared" si="13"/>
        <v>2.4608936159452661E-5</v>
      </c>
      <c r="W35" s="309">
        <f t="shared" si="14"/>
        <v>1.050605906626321E-4</v>
      </c>
      <c r="X35" s="309">
        <f t="shared" si="15"/>
        <v>1.8731389021675129E-4</v>
      </c>
      <c r="Y35" s="309">
        <f t="shared" si="16"/>
        <v>2.0466130879202786E-4</v>
      </c>
      <c r="Z35" s="309">
        <f t="shared" si="17"/>
        <v>2.9895567802661315E-4</v>
      </c>
      <c r="AA35" s="176"/>
      <c r="AB35" s="226">
        <f t="shared" si="25"/>
        <v>5.207029948649313E-8</v>
      </c>
      <c r="AC35" s="261">
        <f t="shared" si="18"/>
        <v>3.460435892973874E-4</v>
      </c>
    </row>
    <row r="36" spans="2:33" ht="15.75" thickBot="1" x14ac:dyDescent="0.3">
      <c r="B36" s="1">
        <v>339</v>
      </c>
      <c r="C36" t="s">
        <v>58</v>
      </c>
      <c r="D36" s="2"/>
      <c r="H36" s="53">
        <v>5538.46</v>
      </c>
      <c r="J36" s="2"/>
      <c r="K36" s="2">
        <f t="shared" si="3"/>
        <v>4.1680614239046544E-2</v>
      </c>
      <c r="L36" s="292">
        <f>J36*$L$3</f>
        <v>0</v>
      </c>
      <c r="M36" s="296">
        <f>J36*$M$3</f>
        <v>0</v>
      </c>
      <c r="N36" s="296">
        <f>J36*$N$3</f>
        <v>0</v>
      </c>
      <c r="O36" s="296">
        <f>J36*$O$3</f>
        <v>0</v>
      </c>
      <c r="P36" s="296">
        <f>J36*$P$3</f>
        <v>0</v>
      </c>
      <c r="Q36" s="221"/>
      <c r="R36" s="309">
        <f t="shared" si="9"/>
        <v>125.29192640257391</v>
      </c>
      <c r="S36" s="309">
        <f t="shared" si="10"/>
        <v>770.25775113758016</v>
      </c>
      <c r="T36" s="309">
        <f t="shared" si="11"/>
        <v>28.697519709725935</v>
      </c>
      <c r="U36" s="309">
        <f t="shared" si="12"/>
        <v>36.710200991040246</v>
      </c>
      <c r="V36" s="309">
        <f t="shared" si="13"/>
        <v>13.62956085616822</v>
      </c>
      <c r="W36" s="309">
        <f t="shared" si="14"/>
        <v>58.187387896136144</v>
      </c>
      <c r="X36" s="309">
        <f t="shared" si="15"/>
        <v>103.74304884098684</v>
      </c>
      <c r="Y36" s="309">
        <f t="shared" si="16"/>
        <v>113.35084722922947</v>
      </c>
      <c r="Z36" s="309">
        <f t="shared" si="17"/>
        <v>165.57540645232763</v>
      </c>
      <c r="AA36" s="176"/>
      <c r="AB36" s="226">
        <f>U42/$H$39</f>
        <v>2.8838927089396275E-2</v>
      </c>
      <c r="AC36" s="261">
        <f>AB36*$AC$3</f>
        <v>191.65485775800082</v>
      </c>
    </row>
    <row r="37" spans="2:33" ht="15.75" thickBot="1" x14ac:dyDescent="0.3">
      <c r="B37" s="1">
        <v>225</v>
      </c>
      <c r="C37" t="s">
        <v>59</v>
      </c>
      <c r="D37" s="2"/>
      <c r="H37" s="101">
        <v>6337.92</v>
      </c>
      <c r="I37" s="99">
        <f>I35+H36+H37</f>
        <v>132878.56</v>
      </c>
      <c r="J37" s="2"/>
      <c r="K37" s="2">
        <f t="shared" si="3"/>
        <v>4.769708521826245E-2</v>
      </c>
      <c r="L37" s="292"/>
      <c r="M37" s="296"/>
      <c r="N37" s="296"/>
      <c r="O37" s="296"/>
      <c r="P37" s="296"/>
      <c r="Q37" s="221"/>
      <c r="R37" s="309">
        <f t="shared" si="9"/>
        <v>143.37743816609694</v>
      </c>
      <c r="S37" s="309">
        <f t="shared" si="10"/>
        <v>881.44213483349006</v>
      </c>
      <c r="T37" s="309">
        <f t="shared" si="11"/>
        <v>32.839920143625882</v>
      </c>
      <c r="U37" s="309">
        <f t="shared" si="12"/>
        <v>42.009207805984651</v>
      </c>
      <c r="V37" s="309">
        <f t="shared" si="13"/>
        <v>15.596946866371821</v>
      </c>
      <c r="W37" s="309">
        <f t="shared" si="14"/>
        <v>66.586561877250929</v>
      </c>
      <c r="X37" s="309">
        <f t="shared" si="15"/>
        <v>118.71804510825524</v>
      </c>
      <c r="Y37" s="309">
        <f t="shared" si="16"/>
        <v>129.71270022191692</v>
      </c>
      <c r="Z37" s="309">
        <f t="shared" si="17"/>
        <v>189.47571708784321</v>
      </c>
      <c r="AA37" s="221"/>
      <c r="AB37" s="226">
        <f>U43/$H$39</f>
        <v>3.3001739252143454E-2</v>
      </c>
      <c r="AC37" s="268">
        <f>AB37*$AC$3</f>
        <v>219.31965854796974</v>
      </c>
    </row>
    <row r="38" spans="2:33" x14ac:dyDescent="0.25">
      <c r="B38" s="45">
        <v>451</v>
      </c>
      <c r="C38" s="32" t="s">
        <v>60</v>
      </c>
      <c r="D38" s="32"/>
      <c r="E38" s="32"/>
      <c r="F38" s="32"/>
      <c r="G38" s="31"/>
      <c r="H38" s="269">
        <v>59169.49</v>
      </c>
      <c r="I38" s="118"/>
      <c r="J38" s="121"/>
      <c r="K38" s="121"/>
      <c r="L38" s="292"/>
      <c r="M38" s="292"/>
      <c r="N38" s="292"/>
      <c r="O38" s="292"/>
      <c r="P38" s="292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226">
        <f>H38/$H$39</f>
        <v>0.30809730647630601</v>
      </c>
      <c r="AC38" s="261">
        <f t="shared" ref="AC38" si="32">AB38*$AC$3</f>
        <v>2047.5222696495869</v>
      </c>
    </row>
    <row r="39" spans="2:33" ht="15.75" thickBot="1" x14ac:dyDescent="0.3">
      <c r="H39" s="237">
        <f>SUM(H6:H38)</f>
        <v>192048.05999999997</v>
      </c>
      <c r="I39" s="34"/>
      <c r="J39" s="54">
        <f t="shared" ref="J39:AC39" si="33">SUM(J6:J38)</f>
        <v>1.0000000826431392</v>
      </c>
      <c r="K39" s="54">
        <f t="shared" si="33"/>
        <v>1.0000000752566855</v>
      </c>
      <c r="L39" s="300">
        <f t="shared" si="33"/>
        <v>7570.9206256845991</v>
      </c>
      <c r="M39" s="300">
        <f t="shared" si="33"/>
        <v>1770.6701463337276</v>
      </c>
      <c r="N39" s="300">
        <f t="shared" si="33"/>
        <v>2354.1801945568259</v>
      </c>
      <c r="O39" s="300">
        <f t="shared" si="33"/>
        <v>431.58003566712603</v>
      </c>
      <c r="P39" s="300">
        <f t="shared" si="33"/>
        <v>1584.0501309108649</v>
      </c>
      <c r="Q39" s="54">
        <f t="shared" si="33"/>
        <v>0</v>
      </c>
      <c r="R39" s="310">
        <f t="shared" si="33"/>
        <v>3006.0002262215967</v>
      </c>
      <c r="S39" s="310">
        <f t="shared" si="33"/>
        <v>18480.001390743546</v>
      </c>
      <c r="T39" s="310">
        <f t="shared" si="33"/>
        <v>688.51005181498044</v>
      </c>
      <c r="U39" s="310">
        <f t="shared" si="33"/>
        <v>880.75006628232586</v>
      </c>
      <c r="V39" s="310">
        <f t="shared" si="33"/>
        <v>327.00002460893609</v>
      </c>
      <c r="W39" s="310">
        <f t="shared" si="33"/>
        <v>1396.0301050605904</v>
      </c>
      <c r="X39" s="310">
        <f t="shared" si="33"/>
        <v>2489.0001873138904</v>
      </c>
      <c r="Y39" s="310">
        <f t="shared" si="33"/>
        <v>2719.5102046613088</v>
      </c>
      <c r="Z39" s="310">
        <f t="shared" si="33"/>
        <v>3972.4802989556774</v>
      </c>
      <c r="AA39" s="310">
        <f t="shared" si="33"/>
        <v>0</v>
      </c>
      <c r="AB39" s="310">
        <f t="shared" si="33"/>
        <v>1.0000000000000002</v>
      </c>
      <c r="AC39" s="310">
        <f t="shared" si="33"/>
        <v>6645.7000000000016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301">
        <f t="shared" ref="L40:AC40" si="34">L3-L39</f>
        <v>-6.2568459907197393E-4</v>
      </c>
      <c r="M40" s="301">
        <f t="shared" si="34"/>
        <v>-1.4633372757089091E-4</v>
      </c>
      <c r="N40" s="301">
        <f t="shared" si="34"/>
        <v>-1.9455682559055276E-4</v>
      </c>
      <c r="O40" s="301">
        <f t="shared" si="34"/>
        <v>-3.5667125985128223E-5</v>
      </c>
      <c r="P40" s="301">
        <f t="shared" si="34"/>
        <v>-1.3091086498207005E-4</v>
      </c>
      <c r="Q40" s="108">
        <f t="shared" si="34"/>
        <v>0</v>
      </c>
      <c r="R40" s="108">
        <f t="shared" si="34"/>
        <v>-2.2622159667662345E-4</v>
      </c>
      <c r="S40" s="108">
        <f t="shared" si="34"/>
        <v>-1.3907435459259432E-3</v>
      </c>
      <c r="T40" s="108">
        <f t="shared" si="34"/>
        <v>-5.1814980452036252E-5</v>
      </c>
      <c r="U40" s="108">
        <f t="shared" si="34"/>
        <v>-6.6282325860811397E-5</v>
      </c>
      <c r="V40" s="108">
        <f t="shared" si="34"/>
        <v>-2.460893608713377E-5</v>
      </c>
      <c r="W40" s="108">
        <f t="shared" si="34"/>
        <v>-1.0506059038561943E-4</v>
      </c>
      <c r="X40" s="108">
        <f t="shared" si="34"/>
        <v>-1.8731389036474866E-4</v>
      </c>
      <c r="Y40" s="108">
        <f t="shared" si="34"/>
        <v>-2.0466130854401854E-4</v>
      </c>
      <c r="Z40" s="108">
        <f t="shared" si="34"/>
        <v>-2.9895567740823026E-4</v>
      </c>
      <c r="AA40" s="108">
        <f t="shared" si="34"/>
        <v>0</v>
      </c>
      <c r="AB40" s="108">
        <f t="shared" si="34"/>
        <v>-1.0000000000000002</v>
      </c>
      <c r="AC40" s="108">
        <f t="shared" si="34"/>
        <v>0</v>
      </c>
    </row>
    <row r="41" spans="2:33" x14ac:dyDescent="0.25">
      <c r="C41" s="17">
        <v>43658</v>
      </c>
      <c r="D41" s="23"/>
      <c r="E41" s="23"/>
      <c r="F41" s="23"/>
      <c r="G41" s="18"/>
      <c r="H41" s="18">
        <v>65009</v>
      </c>
      <c r="I41" s="18"/>
      <c r="J41" s="42"/>
      <c r="K41" s="238"/>
      <c r="L41" s="302">
        <v>3872.3</v>
      </c>
      <c r="M41" s="302">
        <v>905.65</v>
      </c>
      <c r="N41" s="302">
        <v>1253.04</v>
      </c>
      <c r="O41" s="302">
        <v>229.72</v>
      </c>
      <c r="P41" s="302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x14ac:dyDescent="0.25">
      <c r="C42" s="19">
        <v>43675</v>
      </c>
      <c r="D42" s="24"/>
      <c r="E42" s="24"/>
      <c r="F42" s="24"/>
      <c r="H42" s="2">
        <v>61825.69</v>
      </c>
      <c r="J42" s="43">
        <v>0</v>
      </c>
      <c r="K42" s="238"/>
      <c r="L42" s="302">
        <v>3698.62</v>
      </c>
      <c r="M42" s="302">
        <v>865.02</v>
      </c>
      <c r="N42" s="302">
        <v>1101.1400000000001</v>
      </c>
      <c r="O42" s="302">
        <v>201.86</v>
      </c>
      <c r="P42" s="302"/>
      <c r="Q42" s="114"/>
      <c r="R42" s="114"/>
      <c r="S42" s="114"/>
      <c r="T42" s="114"/>
      <c r="U42" s="53">
        <v>5538.46</v>
      </c>
      <c r="V42" s="159"/>
      <c r="W42" s="114"/>
      <c r="X42" s="114"/>
      <c r="Y42" s="114"/>
      <c r="Z42" s="114"/>
    </row>
    <row r="43" spans="2:33" ht="15.75" thickBot="1" x14ac:dyDescent="0.3">
      <c r="C43" s="19" t="s">
        <v>112</v>
      </c>
      <c r="D43" s="24"/>
      <c r="E43" s="24"/>
      <c r="F43" s="24"/>
      <c r="H43" s="2">
        <f>-'June 2019 Alloc - Mise USJP'!H43</f>
        <v>-5832.51</v>
      </c>
      <c r="J43" s="43"/>
      <c r="K43" s="238"/>
      <c r="L43" s="302"/>
      <c r="M43" s="302"/>
      <c r="N43" s="302"/>
      <c r="O43" s="302"/>
      <c r="P43" s="302"/>
      <c r="Q43" s="114"/>
      <c r="R43" s="114"/>
      <c r="S43" s="114"/>
      <c r="T43" s="114"/>
      <c r="U43" s="101">
        <v>6337.92</v>
      </c>
      <c r="V43" s="159"/>
      <c r="W43" s="114"/>
      <c r="X43" s="114"/>
      <c r="Y43" s="114"/>
      <c r="Z43" s="114"/>
    </row>
    <row r="44" spans="2:33" ht="15.75" thickBot="1" x14ac:dyDescent="0.3">
      <c r="C44" s="20"/>
      <c r="D44" s="20"/>
      <c r="E44" s="20"/>
      <c r="F44" s="20"/>
      <c r="G44" s="105"/>
      <c r="H44" s="236">
        <f>SUM(H41:H43)</f>
        <v>121002.18000000001</v>
      </c>
      <c r="I44" s="5"/>
      <c r="J44" s="44"/>
      <c r="K44" s="239"/>
      <c r="L44" s="303">
        <f>SUM(L41:L42)</f>
        <v>7570.92</v>
      </c>
      <c r="M44" s="304">
        <f>SUM(M41:M42)</f>
        <v>1770.67</v>
      </c>
      <c r="N44" s="304">
        <f>SUM(N41:N42)</f>
        <v>2354.1800000000003</v>
      </c>
      <c r="O44" s="304">
        <f>SUM(O41:O42)</f>
        <v>431.58000000000004</v>
      </c>
      <c r="P44" s="305">
        <f>SUM(P41:P42)</f>
        <v>0</v>
      </c>
      <c r="Q44" s="114"/>
      <c r="R44" s="114"/>
      <c r="S44" s="114"/>
      <c r="T44" s="114"/>
      <c r="U44" s="114"/>
      <c r="V44" s="159"/>
      <c r="W44" s="114"/>
      <c r="X44" s="114"/>
      <c r="Y44" s="114"/>
      <c r="Z44" s="114"/>
    </row>
    <row r="45" spans="2:33" x14ac:dyDescent="0.25">
      <c r="H45" s="53">
        <f>H38</f>
        <v>59169.49</v>
      </c>
      <c r="L45" s="301"/>
      <c r="M45" s="301"/>
      <c r="N45" s="301"/>
      <c r="O45" s="301"/>
      <c r="P45" s="301"/>
      <c r="Q45" s="114"/>
      <c r="R45" s="114"/>
      <c r="S45" s="114"/>
      <c r="T45" s="114"/>
      <c r="U45" s="114"/>
      <c r="V45" s="159"/>
      <c r="W45" s="114"/>
      <c r="X45" s="114"/>
      <c r="Y45" s="114"/>
      <c r="Z45" s="114"/>
      <c r="AG45">
        <v>114.44</v>
      </c>
    </row>
    <row r="46" spans="2:33" x14ac:dyDescent="0.25">
      <c r="B46" s="1" t="s">
        <v>63</v>
      </c>
      <c r="I46" s="2" t="s">
        <v>64</v>
      </c>
      <c r="J46" s="12" t="s">
        <v>65</v>
      </c>
      <c r="L46" s="306">
        <v>196.5</v>
      </c>
      <c r="M46" s="306">
        <v>45.96</v>
      </c>
      <c r="N46" s="306"/>
      <c r="O46" s="306"/>
      <c r="P46" s="288">
        <f>SUM(L46:O46)</f>
        <v>242.46</v>
      </c>
      <c r="AG46">
        <v>151.65</v>
      </c>
    </row>
    <row r="47" spans="2:33" ht="15.75" thickBot="1" x14ac:dyDescent="0.3">
      <c r="F47" s="29">
        <f>I35-H43</f>
        <v>126834.68999999997</v>
      </c>
      <c r="L47" s="306">
        <v>229.25</v>
      </c>
      <c r="M47" s="306">
        <v>53.62</v>
      </c>
      <c r="N47" s="306"/>
      <c r="O47" s="306"/>
      <c r="P47" s="288">
        <f>SUM(L47:O47)</f>
        <v>282.87</v>
      </c>
      <c r="R47" s="66">
        <f>SUM(P46:P47)</f>
        <v>525.33000000000004</v>
      </c>
      <c r="S47">
        <f>R47+'May 2019 Alloc '!N58+'April 2019 Alloc  '!R45</f>
        <v>2303.36</v>
      </c>
    </row>
    <row r="48" spans="2:33" x14ac:dyDescent="0.25">
      <c r="B48" s="1" t="s">
        <v>58</v>
      </c>
      <c r="H48" s="17">
        <v>43630</v>
      </c>
      <c r="I48" s="2">
        <v>2769.23</v>
      </c>
      <c r="J48" s="31">
        <v>3697.12</v>
      </c>
      <c r="K48" s="2"/>
      <c r="L48" s="306">
        <v>165.08</v>
      </c>
      <c r="M48" s="306">
        <v>38.61</v>
      </c>
      <c r="N48" s="307">
        <v>83.08</v>
      </c>
      <c r="O48" s="307">
        <v>15.23</v>
      </c>
    </row>
    <row r="49" spans="8:15" x14ac:dyDescent="0.25">
      <c r="H49" s="19">
        <v>43644</v>
      </c>
      <c r="I49" s="2">
        <v>2769.23</v>
      </c>
      <c r="J49" s="31">
        <v>3168.96</v>
      </c>
      <c r="K49" s="2"/>
      <c r="L49" s="306">
        <v>165.08</v>
      </c>
      <c r="M49" s="306">
        <v>38.61</v>
      </c>
      <c r="N49" s="307">
        <v>83.08</v>
      </c>
      <c r="O49" s="307">
        <v>15.23</v>
      </c>
    </row>
    <row r="50" spans="8:15" x14ac:dyDescent="0.25">
      <c r="J50" s="2"/>
      <c r="K50" s="2"/>
      <c r="L50" s="306"/>
      <c r="M50" s="306"/>
      <c r="N50" s="306"/>
      <c r="O50" s="306"/>
    </row>
    <row r="51" spans="8:15" ht="15.75" thickBot="1" x14ac:dyDescent="0.3">
      <c r="J51" s="2"/>
      <c r="K51" s="2"/>
    </row>
    <row r="52" spans="8:15" ht="15.75" thickBot="1" x14ac:dyDescent="0.3">
      <c r="I52" s="241">
        <f>SUM(I48:I51)</f>
        <v>5538.46</v>
      </c>
      <c r="J52" s="242">
        <f>SUM(J48:J51)</f>
        <v>6866.08</v>
      </c>
      <c r="K52" s="2"/>
    </row>
    <row r="54" spans="8:15" x14ac:dyDescent="0.25">
      <c r="J54" s="270">
        <f>J52+'May 2019 Alloc '!I60+'April 2019 Alloc  '!H44+'April 2019 Alloc  '!H45</f>
        <v>30105.11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460D-FF89-4C9B-857E-1FE7BCDF0503}">
  <sheetPr>
    <tabColor theme="5" tint="0.39997558519241921"/>
  </sheetPr>
  <dimension ref="B1:AG54"/>
  <sheetViews>
    <sheetView topLeftCell="M1" zoomScale="85" zoomScaleNormal="85" workbookViewId="0">
      <selection activeCell="S1" sqref="S1:S1048576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66</v>
      </c>
      <c r="L1" s="66">
        <v>7251</v>
      </c>
      <c r="M1" s="66">
        <v>7252</v>
      </c>
      <c r="N1" s="66">
        <v>7253</v>
      </c>
      <c r="O1" s="66">
        <v>7254</v>
      </c>
      <c r="P1" s="66">
        <v>7260.1</v>
      </c>
      <c r="Q1" s="201"/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66">
        <v>7248</v>
      </c>
    </row>
    <row r="2" spans="2:30" ht="17.25" thickBot="1" x14ac:dyDescent="0.4">
      <c r="L2" s="202" t="s">
        <v>1</v>
      </c>
      <c r="M2" s="202" t="s">
        <v>2</v>
      </c>
      <c r="N2" s="202" t="s">
        <v>3</v>
      </c>
      <c r="O2" s="202" t="s">
        <v>4</v>
      </c>
      <c r="P2" s="202" t="s">
        <v>5</v>
      </c>
      <c r="Q2" s="202"/>
      <c r="R2" s="201" t="s">
        <v>6</v>
      </c>
      <c r="S2" s="203" t="s">
        <v>7</v>
      </c>
      <c r="T2" s="203" t="s">
        <v>8</v>
      </c>
      <c r="U2" s="203" t="s">
        <v>9</v>
      </c>
      <c r="V2" s="201" t="s">
        <v>10</v>
      </c>
      <c r="W2" s="203" t="s">
        <v>11</v>
      </c>
      <c r="X2" s="203" t="s">
        <v>12</v>
      </c>
      <c r="Y2" s="203" t="s">
        <v>13</v>
      </c>
      <c r="Z2" s="203" t="s">
        <v>14</v>
      </c>
      <c r="AA2" s="101"/>
      <c r="AB2" s="275"/>
      <c r="AC2" s="276" t="s">
        <v>15</v>
      </c>
      <c r="AD2" s="2"/>
    </row>
    <row r="3" spans="2:30" ht="15.75" thickBot="1" x14ac:dyDescent="0.3">
      <c r="L3" s="271">
        <v>8356.56</v>
      </c>
      <c r="M3" s="271">
        <v>1954.34</v>
      </c>
      <c r="N3" s="271">
        <v>2970.08</v>
      </c>
      <c r="O3" s="271">
        <v>544.51</v>
      </c>
      <c r="P3" s="102">
        <v>2025.21</v>
      </c>
      <c r="Q3" s="101"/>
      <c r="R3" s="204">
        <v>3006</v>
      </c>
      <c r="S3" s="103">
        <v>4500</v>
      </c>
      <c r="T3" s="103">
        <v>1692.11</v>
      </c>
      <c r="U3" s="102">
        <v>1223.42</v>
      </c>
      <c r="V3" s="204">
        <v>312</v>
      </c>
      <c r="W3" s="103">
        <v>1366.79</v>
      </c>
      <c r="X3" s="103">
        <v>2489</v>
      </c>
      <c r="Y3" s="102">
        <v>1124.51</v>
      </c>
      <c r="Z3" s="204">
        <v>3972.48</v>
      </c>
      <c r="AA3" s="101"/>
      <c r="AB3" s="277"/>
      <c r="AC3" s="278">
        <v>6645.7</v>
      </c>
      <c r="AD3" s="2"/>
    </row>
    <row r="4" spans="2:30" x14ac:dyDescent="0.25">
      <c r="L4" s="201">
        <v>1</v>
      </c>
      <c r="M4" s="201">
        <v>2</v>
      </c>
      <c r="N4" s="201">
        <v>3</v>
      </c>
      <c r="O4" s="201">
        <v>4</v>
      </c>
      <c r="P4" s="201">
        <v>5</v>
      </c>
      <c r="Q4" s="201">
        <v>6</v>
      </c>
      <c r="R4" s="201">
        <v>15</v>
      </c>
      <c r="S4" s="201">
        <v>9</v>
      </c>
      <c r="T4" s="201">
        <v>7</v>
      </c>
      <c r="U4" s="201">
        <v>11</v>
      </c>
      <c r="V4" s="201">
        <v>16</v>
      </c>
      <c r="W4" s="201">
        <v>10</v>
      </c>
      <c r="X4" s="201">
        <v>8</v>
      </c>
      <c r="Y4" s="201">
        <v>13</v>
      </c>
      <c r="Z4" s="201">
        <v>14</v>
      </c>
      <c r="AA4" s="201"/>
      <c r="AB4" s="279"/>
      <c r="AC4" s="280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79"/>
      <c r="AC5" s="280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4" si="0">H6/$I$34</f>
        <v>0</v>
      </c>
      <c r="K6" s="2">
        <f>H6/$H$39</f>
        <v>0</v>
      </c>
      <c r="L6" s="176">
        <f>J6*$L$3</f>
        <v>0</v>
      </c>
      <c r="M6" s="176">
        <f>J6*$M$3</f>
        <v>0</v>
      </c>
      <c r="N6" s="176">
        <f>J6*$N$3</f>
        <v>0</v>
      </c>
      <c r="O6" s="176">
        <f>J6*$O$3</f>
        <v>0</v>
      </c>
      <c r="P6" s="176">
        <f>J6*$P$3</f>
        <v>0</v>
      </c>
      <c r="Q6" s="176"/>
      <c r="R6" s="176">
        <f>J6*$R$3</f>
        <v>0</v>
      </c>
      <c r="S6" s="176">
        <f>J6*$S$3</f>
        <v>0</v>
      </c>
      <c r="T6" s="176">
        <f>J6*$T$3</f>
        <v>0</v>
      </c>
      <c r="U6" s="176">
        <f>J6*$U$3</f>
        <v>0</v>
      </c>
      <c r="V6" s="176">
        <f>J6*$V$3</f>
        <v>0</v>
      </c>
      <c r="W6" s="176">
        <f>J6*$W$3</f>
        <v>0</v>
      </c>
      <c r="X6" s="176">
        <f>J6*$X$3</f>
        <v>0</v>
      </c>
      <c r="Y6" s="176">
        <f>J6*$Y$3</f>
        <v>0</v>
      </c>
      <c r="Z6" s="176">
        <f>J6*$Z$3</f>
        <v>0</v>
      </c>
      <c r="AA6" s="176"/>
      <c r="AB6" s="277">
        <f t="shared" ref="AB6:AB38" si="1">H6/$H$39</f>
        <v>0</v>
      </c>
      <c r="AC6" s="278">
        <f>AB6*$AC$3</f>
        <v>0</v>
      </c>
    </row>
    <row r="7" spans="2:30" x14ac:dyDescent="0.25">
      <c r="B7" s="1">
        <v>111</v>
      </c>
      <c r="C7" t="s">
        <v>20</v>
      </c>
      <c r="D7" s="2"/>
      <c r="H7" s="255">
        <v>27503.3</v>
      </c>
      <c r="J7" s="2">
        <f t="shared" si="0"/>
        <v>0.18907743414346614</v>
      </c>
      <c r="K7" s="2">
        <f t="shared" ref="K7:K34" si="2">H7/$I$36</f>
        <v>0.17422032299106105</v>
      </c>
      <c r="L7" s="176">
        <f t="shared" ref="L7:L34" si="3">J7*$L$3</f>
        <v>1580.0369230659232</v>
      </c>
      <c r="M7" s="176">
        <f t="shared" ref="M7:M34" si="4">J7*$M$3</f>
        <v>369.52159264394163</v>
      </c>
      <c r="N7" s="176">
        <f t="shared" ref="N7:N34" si="5">J7*$N$3</f>
        <v>561.57510560082596</v>
      </c>
      <c r="O7" s="176">
        <f t="shared" ref="O7:O34" si="6">J7*$O$3</f>
        <v>102.95455366545875</v>
      </c>
      <c r="P7" s="176">
        <f t="shared" ref="P7:P34" si="7">J7*$P$3</f>
        <v>382.92151040168909</v>
      </c>
      <c r="Q7" s="176"/>
      <c r="R7" s="176">
        <f t="shared" ref="R7:R37" si="8">K7*$R$3</f>
        <v>523.70629091112949</v>
      </c>
      <c r="S7" s="176">
        <f t="shared" ref="S7:S37" si="9">K7*$S$3</f>
        <v>783.99145345977468</v>
      </c>
      <c r="T7" s="176">
        <f>K7*$T$3</f>
        <v>294.7999507364043</v>
      </c>
      <c r="U7" s="176">
        <f t="shared" ref="U7:U37" si="10">K7*$U$3</f>
        <v>213.14462755372392</v>
      </c>
      <c r="V7" s="176">
        <f t="shared" ref="V7:V37" si="11">K7*$V$3</f>
        <v>54.356740773211044</v>
      </c>
      <c r="W7" s="176">
        <f t="shared" ref="W7:W37" si="12">K7*$W$3</f>
        <v>238.12259526095232</v>
      </c>
      <c r="X7" s="176">
        <f>K7*$X$3</f>
        <v>433.63438392475098</v>
      </c>
      <c r="Y7" s="176">
        <f t="shared" ref="Y7:Y37" si="13">K7*$Y$3</f>
        <v>195.91249540667806</v>
      </c>
      <c r="Z7" s="176">
        <f t="shared" ref="Z7:Z37" si="14">K7*$Z$3</f>
        <v>692.0867486755302</v>
      </c>
      <c r="AA7" s="176"/>
      <c r="AB7" s="277">
        <f t="shared" si="1"/>
        <v>8.3767815314555932E-2</v>
      </c>
      <c r="AC7" s="278">
        <f t="shared" ref="AC7:AC34" si="15">AB7*$AC$3</f>
        <v>556.69577023594434</v>
      </c>
    </row>
    <row r="8" spans="2:30" x14ac:dyDescent="0.25">
      <c r="B8" s="1" t="s">
        <v>21</v>
      </c>
      <c r="C8" t="s">
        <v>22</v>
      </c>
      <c r="D8" s="2"/>
      <c r="H8" s="255">
        <v>2686.88</v>
      </c>
      <c r="J8" s="2">
        <f t="shared" si="0"/>
        <v>1.8471542551308257E-2</v>
      </c>
      <c r="K8" s="2">
        <f t="shared" si="2"/>
        <v>1.7020106730400428E-2</v>
      </c>
      <c r="L8" s="176">
        <f>J8*$L$3</f>
        <v>154.35855362256052</v>
      </c>
      <c r="M8" s="176">
        <f>J8*$M$3</f>
        <v>36.099674469723773</v>
      </c>
      <c r="N8" s="176">
        <f>J8*$N$3</f>
        <v>54.861959100789626</v>
      </c>
      <c r="O8" s="176">
        <f>J8*$O$3</f>
        <v>10.057939634612859</v>
      </c>
      <c r="P8" s="176">
        <f>J8*$P$3</f>
        <v>37.408752690334993</v>
      </c>
      <c r="Q8" s="176"/>
      <c r="R8" s="176">
        <f t="shared" si="8"/>
        <v>51.162440831583687</v>
      </c>
      <c r="S8" s="176">
        <f t="shared" si="9"/>
        <v>76.59048028680192</v>
      </c>
      <c r="T8" s="176">
        <f t="shared" ref="T8:T37" si="16">K8*$T$3</f>
        <v>28.799892799577865</v>
      </c>
      <c r="U8" s="176">
        <f t="shared" si="10"/>
        <v>20.822738976106493</v>
      </c>
      <c r="V8" s="176">
        <f t="shared" si="11"/>
        <v>5.3102732998849334</v>
      </c>
      <c r="W8" s="176">
        <f t="shared" si="12"/>
        <v>23.262911678043999</v>
      </c>
      <c r="X8" s="176">
        <f t="shared" ref="X8:X37" si="17">K8*$X$3</f>
        <v>42.363045651966665</v>
      </c>
      <c r="Y8" s="176">
        <f t="shared" si="13"/>
        <v>19.139280219402586</v>
      </c>
      <c r="Z8" s="176">
        <f t="shared" si="14"/>
        <v>67.612033584381095</v>
      </c>
      <c r="AA8" s="176"/>
      <c r="AB8" s="277">
        <f t="shared" si="1"/>
        <v>8.1835295259977559E-3</v>
      </c>
      <c r="AC8" s="278">
        <f>AB8*$AC$3</f>
        <v>54.385282170923283</v>
      </c>
    </row>
    <row r="9" spans="2:30" x14ac:dyDescent="0.25">
      <c r="B9" s="1" t="s">
        <v>23</v>
      </c>
      <c r="C9" t="s">
        <v>24</v>
      </c>
      <c r="D9" s="2"/>
      <c r="H9" s="255">
        <v>2583.91</v>
      </c>
      <c r="J9" s="2">
        <f t="shared" si="0"/>
        <v>1.776365282921117E-2</v>
      </c>
      <c r="K9" s="2">
        <f t="shared" si="2"/>
        <v>1.6367840760193597E-2</v>
      </c>
      <c r="L9" s="176">
        <f>J9*$L$3</f>
        <v>148.44303068647289</v>
      </c>
      <c r="M9" s="176">
        <f>J9*$M$3</f>
        <v>34.716217270240556</v>
      </c>
      <c r="N9" s="176">
        <f>J9*$N$3</f>
        <v>52.759469994983512</v>
      </c>
      <c r="O9" s="176">
        <f>J9*$O$3</f>
        <v>9.6724866020337732</v>
      </c>
      <c r="P9" s="176">
        <f>J9*$P$3</f>
        <v>35.975127346246751</v>
      </c>
      <c r="Q9" s="176"/>
      <c r="R9" s="176">
        <f t="shared" si="8"/>
        <v>49.201729325141955</v>
      </c>
      <c r="S9" s="176">
        <f t="shared" si="9"/>
        <v>73.655283420871186</v>
      </c>
      <c r="T9" s="176">
        <f t="shared" si="16"/>
        <v>27.696187028731185</v>
      </c>
      <c r="U9" s="176">
        <f t="shared" si="10"/>
        <v>20.024743742836051</v>
      </c>
      <c r="V9" s="176">
        <f t="shared" si="11"/>
        <v>5.1067663171804023</v>
      </c>
      <c r="W9" s="176">
        <f t="shared" si="12"/>
        <v>22.371401072625005</v>
      </c>
      <c r="X9" s="176">
        <f t="shared" si="17"/>
        <v>40.739555652121865</v>
      </c>
      <c r="Y9" s="176">
        <f t="shared" si="13"/>
        <v>18.405800613245301</v>
      </c>
      <c r="Z9" s="176">
        <f t="shared" si="14"/>
        <v>65.020920063053865</v>
      </c>
      <c r="AA9" s="176"/>
      <c r="AB9" s="277">
        <f t="shared" si="1"/>
        <v>7.8699099987795725E-3</v>
      </c>
      <c r="AC9" s="278">
        <f>AB9*$AC$3</f>
        <v>52.301060878889402</v>
      </c>
    </row>
    <row r="10" spans="2:30" x14ac:dyDescent="0.25">
      <c r="B10" s="1" t="s">
        <v>25</v>
      </c>
      <c r="C10" t="s">
        <v>26</v>
      </c>
      <c r="D10" s="2"/>
      <c r="H10" s="255">
        <v>253.28</v>
      </c>
      <c r="J10" s="2">
        <f t="shared" si="0"/>
        <v>1.7412285987447726E-3</v>
      </c>
      <c r="K10" s="2">
        <f t="shared" si="2"/>
        <v>1.6044083221713737E-3</v>
      </c>
      <c r="L10" s="176">
        <f t="shared" si="3"/>
        <v>14.550681259126616</v>
      </c>
      <c r="M10" s="176">
        <f t="shared" si="4"/>
        <v>3.4029526996708586</v>
      </c>
      <c r="N10" s="176">
        <f t="shared" si="5"/>
        <v>5.1715882365598738</v>
      </c>
      <c r="O10" s="176">
        <f t="shared" si="6"/>
        <v>0.9481163843025161</v>
      </c>
      <c r="P10" s="176">
        <f t="shared" si="7"/>
        <v>3.5263535704639009</v>
      </c>
      <c r="Q10" s="176"/>
      <c r="R10" s="176">
        <f t="shared" si="8"/>
        <v>4.8228514164471497</v>
      </c>
      <c r="S10" s="176">
        <f t="shared" si="9"/>
        <v>7.2198374497711812</v>
      </c>
      <c r="T10" s="176">
        <f t="shared" si="16"/>
        <v>2.7148353660294031</v>
      </c>
      <c r="U10" s="176">
        <f t="shared" si="10"/>
        <v>1.9628652295109021</v>
      </c>
      <c r="V10" s="176">
        <f t="shared" si="11"/>
        <v>0.50057539651746863</v>
      </c>
      <c r="W10" s="176">
        <f t="shared" si="12"/>
        <v>2.1928892506606119</v>
      </c>
      <c r="X10" s="176">
        <f t="shared" si="17"/>
        <v>3.9933723138845489</v>
      </c>
      <c r="Y10" s="176">
        <f t="shared" si="13"/>
        <v>1.8041732023649313</v>
      </c>
      <c r="Z10" s="176">
        <f t="shared" si="14"/>
        <v>6.3734799716593384</v>
      </c>
      <c r="AA10" s="176"/>
      <c r="AB10" s="277">
        <f t="shared" si="1"/>
        <v>7.7142423865029749E-4</v>
      </c>
      <c r="AC10" s="278">
        <f t="shared" si="15"/>
        <v>5.1266540627982815</v>
      </c>
    </row>
    <row r="11" spans="2:30" x14ac:dyDescent="0.25">
      <c r="B11" s="1">
        <v>112</v>
      </c>
      <c r="C11" t="s">
        <v>27</v>
      </c>
      <c r="D11" s="2"/>
      <c r="H11" s="255">
        <v>26768.54</v>
      </c>
      <c r="J11" s="2">
        <f t="shared" si="0"/>
        <v>0.18402616627701909</v>
      </c>
      <c r="K11" s="2">
        <f t="shared" si="2"/>
        <v>0.16956596789473036</v>
      </c>
      <c r="L11" s="176">
        <f t="shared" si="3"/>
        <v>1537.8257000638866</v>
      </c>
      <c r="M11" s="176">
        <f t="shared" si="4"/>
        <v>359.64969780182946</v>
      </c>
      <c r="N11" s="176">
        <f t="shared" si="5"/>
        <v>546.57243593604881</v>
      </c>
      <c r="O11" s="176">
        <f t="shared" si="6"/>
        <v>100.20408779949966</v>
      </c>
      <c r="P11" s="176">
        <f t="shared" si="7"/>
        <v>372.69163220588183</v>
      </c>
      <c r="Q11" s="176"/>
      <c r="R11" s="176">
        <f t="shared" si="8"/>
        <v>509.71529949155945</v>
      </c>
      <c r="S11" s="176">
        <f t="shared" si="9"/>
        <v>763.04685552628666</v>
      </c>
      <c r="T11" s="176">
        <f t="shared" si="16"/>
        <v>286.92426993435214</v>
      </c>
      <c r="U11" s="176">
        <f t="shared" si="10"/>
        <v>207.45039644177103</v>
      </c>
      <c r="V11" s="176">
        <f t="shared" si="11"/>
        <v>52.904581983155872</v>
      </c>
      <c r="W11" s="176">
        <f t="shared" si="12"/>
        <v>231.76106925883849</v>
      </c>
      <c r="X11" s="176">
        <f t="shared" si="17"/>
        <v>422.04969408998386</v>
      </c>
      <c r="Y11" s="176">
        <f t="shared" si="13"/>
        <v>190.67862655730323</v>
      </c>
      <c r="Z11" s="176">
        <f t="shared" si="14"/>
        <v>673.59741614245843</v>
      </c>
      <c r="AA11" s="176"/>
      <c r="AB11" s="277">
        <f t="shared" si="1"/>
        <v>8.1529929679722182E-2</v>
      </c>
      <c r="AC11" s="278">
        <f t="shared" si="15"/>
        <v>541.82345367252969</v>
      </c>
    </row>
    <row r="12" spans="2:30" ht="15.75" thickBot="1" x14ac:dyDescent="0.3">
      <c r="B12" s="1">
        <v>222</v>
      </c>
      <c r="C12" t="s">
        <v>29</v>
      </c>
      <c r="D12" s="2"/>
      <c r="H12" s="255">
        <v>2480.65</v>
      </c>
      <c r="J12" s="2">
        <f t="shared" si="0"/>
        <v>1.7053769438866946E-2</v>
      </c>
      <c r="K12" s="2">
        <f t="shared" si="2"/>
        <v>1.5713737777931214E-2</v>
      </c>
      <c r="L12" s="176">
        <f t="shared" si="3"/>
        <v>142.51084754205795</v>
      </c>
      <c r="M12" s="176">
        <f t="shared" si="4"/>
        <v>33.328863765155226</v>
      </c>
      <c r="N12" s="176">
        <f t="shared" si="5"/>
        <v>50.65105953498994</v>
      </c>
      <c r="O12" s="176">
        <f t="shared" si="6"/>
        <v>9.2859479971574412</v>
      </c>
      <c r="P12" s="176">
        <f t="shared" si="7"/>
        <v>34.537464405287729</v>
      </c>
      <c r="Q12" s="176"/>
      <c r="R12" s="176">
        <f t="shared" si="8"/>
        <v>47.235495760461234</v>
      </c>
      <c r="S12" s="176">
        <f t="shared" si="9"/>
        <v>70.711820000690466</v>
      </c>
      <c r="T12" s="176">
        <f t="shared" si="16"/>
        <v>26.589372831415186</v>
      </c>
      <c r="U12" s="176">
        <f t="shared" si="10"/>
        <v>19.224501072276606</v>
      </c>
      <c r="V12" s="176">
        <f t="shared" si="11"/>
        <v>4.902686186714539</v>
      </c>
      <c r="W12" s="176">
        <f t="shared" si="12"/>
        <v>21.477379657498602</v>
      </c>
      <c r="X12" s="176">
        <f t="shared" si="17"/>
        <v>39.111493329270793</v>
      </c>
      <c r="Y12" s="176">
        <f t="shared" si="13"/>
        <v>17.670255268661428</v>
      </c>
      <c r="Z12" s="176">
        <f t="shared" si="14"/>
        <v>62.422509048076193</v>
      </c>
      <c r="AA12" s="176"/>
      <c r="AB12" s="277">
        <f t="shared" si="1"/>
        <v>7.5554072078642632E-3</v>
      </c>
      <c r="AC12" s="278">
        <f t="shared" si="15"/>
        <v>50.210969681303531</v>
      </c>
    </row>
    <row r="13" spans="2:30" ht="15.75" thickBot="1" x14ac:dyDescent="0.3">
      <c r="B13" s="1">
        <v>223</v>
      </c>
      <c r="C13" t="s">
        <v>30</v>
      </c>
      <c r="D13" s="2"/>
      <c r="H13" s="255">
        <v>5471.42</v>
      </c>
      <c r="I13" s="28"/>
      <c r="J13" s="2">
        <f t="shared" si="0"/>
        <v>3.7614470071636624E-2</v>
      </c>
      <c r="K13" s="2">
        <f t="shared" si="2"/>
        <v>3.4658843106818139E-2</v>
      </c>
      <c r="L13" s="176">
        <f t="shared" si="3"/>
        <v>314.32757602183574</v>
      </c>
      <c r="M13" s="176">
        <f t="shared" si="4"/>
        <v>73.511463439802313</v>
      </c>
      <c r="N13" s="176">
        <f t="shared" si="5"/>
        <v>111.7179852703665</v>
      </c>
      <c r="O13" s="176">
        <f t="shared" si="6"/>
        <v>20.481455098706856</v>
      </c>
      <c r="P13" s="176">
        <f t="shared" si="7"/>
        <v>76.177200933779204</v>
      </c>
      <c r="Q13" s="176"/>
      <c r="R13" s="176">
        <f t="shared" si="8"/>
        <v>104.18448237909533</v>
      </c>
      <c r="S13" s="176">
        <f t="shared" si="9"/>
        <v>155.96479398068163</v>
      </c>
      <c r="T13" s="176">
        <f t="shared" si="16"/>
        <v>58.646575009478042</v>
      </c>
      <c r="U13" s="176">
        <f t="shared" si="10"/>
        <v>42.40232183374345</v>
      </c>
      <c r="V13" s="176">
        <f t="shared" si="11"/>
        <v>10.81355904932726</v>
      </c>
      <c r="W13" s="176">
        <f t="shared" si="12"/>
        <v>47.371360169967964</v>
      </c>
      <c r="X13" s="176">
        <f t="shared" si="17"/>
        <v>86.265860492870345</v>
      </c>
      <c r="Y13" s="176">
        <f t="shared" si="13"/>
        <v>38.974215662048067</v>
      </c>
      <c r="Z13" s="176">
        <f t="shared" si="14"/>
        <v>137.68156106497293</v>
      </c>
      <c r="AA13" s="281"/>
      <c r="AB13" s="103">
        <f t="shared" si="1"/>
        <v>1.666450571634559E-2</v>
      </c>
      <c r="AC13" s="282">
        <f t="shared" si="15"/>
        <v>110.74730563911788</v>
      </c>
    </row>
    <row r="14" spans="2:30" x14ac:dyDescent="0.25">
      <c r="B14" s="1">
        <v>566</v>
      </c>
      <c r="C14" t="s">
        <v>31</v>
      </c>
      <c r="D14" s="2"/>
      <c r="H14" s="255"/>
      <c r="J14" s="2">
        <f t="shared" si="0"/>
        <v>0</v>
      </c>
      <c r="K14" s="2">
        <f t="shared" si="2"/>
        <v>0</v>
      </c>
      <c r="L14" s="176">
        <f t="shared" ref="L14:Q14" si="18">$J$36*L3</f>
        <v>0</v>
      </c>
      <c r="M14" s="176">
        <f t="shared" si="18"/>
        <v>0</v>
      </c>
      <c r="N14" s="176">
        <f t="shared" si="18"/>
        <v>0</v>
      </c>
      <c r="O14" s="176">
        <f t="shared" si="18"/>
        <v>0</v>
      </c>
      <c r="P14" s="176">
        <f t="shared" si="18"/>
        <v>0</v>
      </c>
      <c r="Q14" s="176">
        <f t="shared" si="18"/>
        <v>0</v>
      </c>
      <c r="R14" s="176">
        <f t="shared" si="8"/>
        <v>0</v>
      </c>
      <c r="S14" s="176">
        <f t="shared" si="9"/>
        <v>0</v>
      </c>
      <c r="T14" s="176">
        <f t="shared" si="16"/>
        <v>0</v>
      </c>
      <c r="U14" s="176">
        <f t="shared" si="10"/>
        <v>0</v>
      </c>
      <c r="V14" s="176">
        <f t="shared" si="11"/>
        <v>0</v>
      </c>
      <c r="W14" s="176">
        <f t="shared" si="12"/>
        <v>0</v>
      </c>
      <c r="X14" s="176">
        <f t="shared" si="17"/>
        <v>0</v>
      </c>
      <c r="Y14" s="176">
        <f t="shared" si="13"/>
        <v>0</v>
      </c>
      <c r="Z14" s="176">
        <f t="shared" si="14"/>
        <v>0</v>
      </c>
      <c r="AA14" s="176"/>
      <c r="AB14" s="277">
        <f t="shared" si="1"/>
        <v>0</v>
      </c>
      <c r="AC14" s="276">
        <f t="shared" si="15"/>
        <v>0</v>
      </c>
    </row>
    <row r="15" spans="2:30" x14ac:dyDescent="0.25">
      <c r="B15" s="1" t="s">
        <v>32</v>
      </c>
      <c r="C15" s="230" t="s">
        <v>73</v>
      </c>
      <c r="D15" s="2"/>
      <c r="H15" s="256">
        <v>2146.15</v>
      </c>
      <c r="J15" s="2">
        <f t="shared" si="0"/>
        <v>1.4754176236560699E-2</v>
      </c>
      <c r="K15" s="2">
        <f t="shared" si="2"/>
        <v>1.3594839389719258E-2</v>
      </c>
      <c r="L15" s="176">
        <f>J15*$L$3</f>
        <v>123.29415897139367</v>
      </c>
      <c r="M15" s="176">
        <f>J15*$M$3</f>
        <v>28.834676786160035</v>
      </c>
      <c r="N15" s="176">
        <f>J15*$N$3</f>
        <v>43.821083756684203</v>
      </c>
      <c r="O15" s="176">
        <f>J15*$O$3</f>
        <v>8.0337965025696665</v>
      </c>
      <c r="P15" s="176">
        <f>J15*$P$3</f>
        <v>29.880305256045094</v>
      </c>
      <c r="Q15" s="176"/>
      <c r="R15" s="176">
        <f t="shared" si="8"/>
        <v>40.866087205496086</v>
      </c>
      <c r="S15" s="176">
        <f t="shared" si="9"/>
        <v>61.17677725373666</v>
      </c>
      <c r="T15" s="176">
        <f t="shared" si="16"/>
        <v>23.003963679737851</v>
      </c>
      <c r="U15" s="176">
        <f t="shared" si="10"/>
        <v>16.632198406170335</v>
      </c>
      <c r="V15" s="176">
        <f t="shared" si="11"/>
        <v>4.241589889592408</v>
      </c>
      <c r="W15" s="176">
        <f t="shared" si="12"/>
        <v>18.581290529474384</v>
      </c>
      <c r="X15" s="176">
        <f t="shared" si="17"/>
        <v>33.837555241011231</v>
      </c>
      <c r="Y15" s="176">
        <f t="shared" si="13"/>
        <v>15.287532842133203</v>
      </c>
      <c r="Z15" s="176">
        <f t="shared" si="14"/>
        <v>54.00522757887196</v>
      </c>
      <c r="AA15" s="176"/>
      <c r="AB15" s="277">
        <f t="shared" si="1"/>
        <v>6.5366082192803857E-3</v>
      </c>
      <c r="AC15" s="278">
        <f>AB15*$AC$3</f>
        <v>43.440337242871657</v>
      </c>
    </row>
    <row r="16" spans="2:30" x14ac:dyDescent="0.25">
      <c r="B16" s="1" t="s">
        <v>33</v>
      </c>
      <c r="C16" s="230" t="s">
        <v>115</v>
      </c>
      <c r="D16" s="2"/>
      <c r="H16" s="256">
        <v>3538.46</v>
      </c>
      <c r="J16" s="2">
        <f t="shared" si="0"/>
        <v>2.4325914985448626E-2</v>
      </c>
      <c r="K16" s="2">
        <f t="shared" si="2"/>
        <v>2.2414460958901292E-2</v>
      </c>
      <c r="L16" s="176">
        <f t="shared" si="3"/>
        <v>203.28096813080055</v>
      </c>
      <c r="M16" s="176">
        <f t="shared" si="4"/>
        <v>47.541108692661666</v>
      </c>
      <c r="N16" s="176">
        <f t="shared" si="5"/>
        <v>72.249913579981254</v>
      </c>
      <c r="O16" s="176">
        <f t="shared" si="6"/>
        <v>13.245703968726632</v>
      </c>
      <c r="P16" s="176">
        <f t="shared" si="7"/>
        <v>49.265086287680411</v>
      </c>
      <c r="Q16" s="176"/>
      <c r="R16" s="176">
        <f t="shared" si="8"/>
        <v>67.377869642457284</v>
      </c>
      <c r="S16" s="176">
        <f t="shared" si="9"/>
        <v>100.86507431505582</v>
      </c>
      <c r="T16" s="176">
        <f t="shared" si="16"/>
        <v>37.92773353316646</v>
      </c>
      <c r="U16" s="176">
        <f t="shared" si="10"/>
        <v>27.422299826339021</v>
      </c>
      <c r="V16" s="176">
        <f t="shared" si="11"/>
        <v>6.9933118191772028</v>
      </c>
      <c r="W16" s="176">
        <f t="shared" si="12"/>
        <v>30.635861094016697</v>
      </c>
      <c r="X16" s="176">
        <f t="shared" si="17"/>
        <v>55.789593326705315</v>
      </c>
      <c r="Y16" s="176">
        <f t="shared" si="13"/>
        <v>25.205285492894092</v>
      </c>
      <c r="Z16" s="176">
        <f t="shared" si="14"/>
        <v>89.040997870016213</v>
      </c>
      <c r="AA16" s="176"/>
      <c r="AB16" s="277">
        <f t="shared" si="1"/>
        <v>1.0777218143929769E-2</v>
      </c>
      <c r="AC16" s="278">
        <f t="shared" si="15"/>
        <v>71.62215861911406</v>
      </c>
    </row>
    <row r="17" spans="2:29" x14ac:dyDescent="0.25">
      <c r="B17" s="1" t="s">
        <v>35</v>
      </c>
      <c r="C17" t="s">
        <v>36</v>
      </c>
      <c r="D17" s="2"/>
      <c r="E17" s="26"/>
      <c r="F17" s="26"/>
      <c r="H17" s="256">
        <v>4580</v>
      </c>
      <c r="I17" s="6"/>
      <c r="J17" s="2">
        <f t="shared" si="0"/>
        <v>3.1486208868647579E-2</v>
      </c>
      <c r="K17" s="2">
        <f t="shared" si="2"/>
        <v>2.9012121429030684E-2</v>
      </c>
      <c r="L17" s="176">
        <f t="shared" si="3"/>
        <v>263.11639358338562</v>
      </c>
      <c r="M17" s="176">
        <f t="shared" si="4"/>
        <v>61.534757440352706</v>
      </c>
      <c r="N17" s="176">
        <f t="shared" si="5"/>
        <v>93.516559236592798</v>
      </c>
      <c r="O17" s="176">
        <f t="shared" si="6"/>
        <v>17.144555591067292</v>
      </c>
      <c r="P17" s="176">
        <f t="shared" si="7"/>
        <v>63.766185062873767</v>
      </c>
      <c r="Q17" s="176"/>
      <c r="R17" s="176">
        <f t="shared" si="8"/>
        <v>87.210437015666244</v>
      </c>
      <c r="S17" s="176">
        <f t="shared" si="9"/>
        <v>130.55454643063808</v>
      </c>
      <c r="T17" s="176">
        <f t="shared" si="16"/>
        <v>49.091700791277106</v>
      </c>
      <c r="U17" s="176">
        <f t="shared" si="10"/>
        <v>35.494009598704721</v>
      </c>
      <c r="V17" s="176">
        <f t="shared" si="11"/>
        <v>9.051781885857574</v>
      </c>
      <c r="W17" s="176">
        <f t="shared" si="12"/>
        <v>39.653477447984848</v>
      </c>
      <c r="X17" s="176">
        <f t="shared" si="17"/>
        <v>72.21117023685737</v>
      </c>
      <c r="Y17" s="176">
        <f t="shared" si="13"/>
        <v>32.624420668159296</v>
      </c>
      <c r="Z17" s="176">
        <f t="shared" si="14"/>
        <v>115.25007213439581</v>
      </c>
      <c r="AA17" s="176"/>
      <c r="AB17" s="277">
        <f t="shared" si="1"/>
        <v>1.3949474940849504E-2</v>
      </c>
      <c r="AC17" s="278">
        <f t="shared" si="15"/>
        <v>92.704025614403548</v>
      </c>
    </row>
    <row r="18" spans="2:29" x14ac:dyDescent="0.25">
      <c r="B18" s="1" t="s">
        <v>37</v>
      </c>
      <c r="C18" t="s">
        <v>38</v>
      </c>
      <c r="D18" s="2"/>
      <c r="H18" s="256">
        <v>1538.46</v>
      </c>
      <c r="J18" s="2">
        <f t="shared" si="0"/>
        <v>1.0576478798266278E-2</v>
      </c>
      <c r="K18" s="2">
        <f t="shared" si="2"/>
        <v>9.745412299935927E-3</v>
      </c>
      <c r="L18" s="176">
        <f t="shared" si="3"/>
        <v>88.382979666440036</v>
      </c>
      <c r="M18" s="176">
        <f t="shared" si="4"/>
        <v>20.670035574603716</v>
      </c>
      <c r="N18" s="176">
        <f t="shared" si="5"/>
        <v>31.412988149154707</v>
      </c>
      <c r="O18" s="176">
        <f t="shared" si="6"/>
        <v>5.758998470443971</v>
      </c>
      <c r="P18" s="176">
        <f t="shared" si="7"/>
        <v>21.41959062703685</v>
      </c>
      <c r="Q18" s="176"/>
      <c r="R18" s="176">
        <f t="shared" si="8"/>
        <v>29.294709373607397</v>
      </c>
      <c r="S18" s="176">
        <f t="shared" si="9"/>
        <v>43.854355349711675</v>
      </c>
      <c r="T18" s="176">
        <f t="shared" si="16"/>
        <v>16.49030960684458</v>
      </c>
      <c r="U18" s="176">
        <f t="shared" si="10"/>
        <v>11.922732315987613</v>
      </c>
      <c r="V18" s="176">
        <f t="shared" si="11"/>
        <v>3.0405686375800092</v>
      </c>
      <c r="W18" s="176">
        <f t="shared" si="12"/>
        <v>13.319932077429426</v>
      </c>
      <c r="X18" s="176">
        <f t="shared" si="17"/>
        <v>24.256331214540523</v>
      </c>
      <c r="Y18" s="176">
        <f t="shared" si="13"/>
        <v>10.958813585400948</v>
      </c>
      <c r="Z18" s="176">
        <f t="shared" si="14"/>
        <v>38.713455453249473</v>
      </c>
      <c r="AA18" s="176"/>
      <c r="AB18" s="277">
        <f t="shared" si="1"/>
        <v>4.6857443706330411E-3</v>
      </c>
      <c r="AC18" s="278">
        <f t="shared" si="15"/>
        <v>31.140051363916001</v>
      </c>
    </row>
    <row r="19" spans="2:29" x14ac:dyDescent="0.25">
      <c r="B19" s="1">
        <v>335</v>
      </c>
      <c r="C19" t="s">
        <v>39</v>
      </c>
      <c r="D19" s="2"/>
      <c r="H19" s="256">
        <v>846.15</v>
      </c>
      <c r="J19" s="2">
        <f t="shared" si="0"/>
        <v>5.8170427148921721E-3</v>
      </c>
      <c r="K19" s="2">
        <f t="shared" si="2"/>
        <v>5.3599577613917711E-3</v>
      </c>
      <c r="L19" s="176">
        <f t="shared" si="3"/>
        <v>48.610466469559327</v>
      </c>
      <c r="M19" s="176">
        <f t="shared" si="4"/>
        <v>11.368479259422367</v>
      </c>
      <c r="N19" s="176">
        <f t="shared" si="5"/>
        <v>17.277082226646943</v>
      </c>
      <c r="O19" s="176">
        <f t="shared" si="6"/>
        <v>3.1674379286859367</v>
      </c>
      <c r="P19" s="176">
        <f t="shared" si="7"/>
        <v>11.780733076626776</v>
      </c>
      <c r="Q19" s="176"/>
      <c r="R19" s="176">
        <f t="shared" si="8"/>
        <v>16.112033030743664</v>
      </c>
      <c r="S19" s="176">
        <f t="shared" si="9"/>
        <v>24.11980992626297</v>
      </c>
      <c r="T19" s="176">
        <f t="shared" si="16"/>
        <v>9.0696381276286289</v>
      </c>
      <c r="U19" s="176">
        <f t="shared" si="10"/>
        <v>6.5574795244419208</v>
      </c>
      <c r="V19" s="176">
        <f t="shared" si="11"/>
        <v>1.6723068215542325</v>
      </c>
      <c r="W19" s="176">
        <f t="shared" si="12"/>
        <v>7.325936668692659</v>
      </c>
      <c r="X19" s="176">
        <f t="shared" si="17"/>
        <v>13.340934868104117</v>
      </c>
      <c r="Y19" s="176">
        <f t="shared" si="13"/>
        <v>6.0273261022626601</v>
      </c>
      <c r="Z19" s="176">
        <f t="shared" si="14"/>
        <v>21.292325007973584</v>
      </c>
      <c r="AA19" s="176"/>
      <c r="AB19" s="277">
        <f t="shared" si="1"/>
        <v>2.5771502666375127E-3</v>
      </c>
      <c r="AC19" s="278">
        <f t="shared" si="15"/>
        <v>17.126967526992917</v>
      </c>
    </row>
    <row r="20" spans="2:29" ht="15.75" thickBot="1" x14ac:dyDescent="0.3">
      <c r="B20" s="1">
        <v>368</v>
      </c>
      <c r="C20" t="s">
        <v>40</v>
      </c>
      <c r="D20" s="2"/>
      <c r="H20" s="255">
        <v>4903.5</v>
      </c>
      <c r="J20" s="2">
        <f t="shared" si="0"/>
        <v>3.3710180171924321E-2</v>
      </c>
      <c r="K20" s="2">
        <f t="shared" si="2"/>
        <v>3.106134004961833E-2</v>
      </c>
      <c r="L20" s="176">
        <f>J20*$L$3</f>
        <v>281.70114321749588</v>
      </c>
      <c r="M20" s="176">
        <f>J20*$M$3</f>
        <v>65.88115351719857</v>
      </c>
      <c r="N20" s="176">
        <f>J20*$N$3</f>
        <v>100.12193192502899</v>
      </c>
      <c r="O20" s="176">
        <f>J20*$O$3</f>
        <v>18.35553020541451</v>
      </c>
      <c r="P20" s="176">
        <f>J20*$P$3</f>
        <v>68.270193985982857</v>
      </c>
      <c r="Q20" s="176"/>
      <c r="R20" s="176">
        <f t="shared" si="8"/>
        <v>93.370388189152706</v>
      </c>
      <c r="S20" s="176">
        <f t="shared" si="9"/>
        <v>139.77603022328248</v>
      </c>
      <c r="T20" s="176">
        <f t="shared" si="16"/>
        <v>52.559204111359669</v>
      </c>
      <c r="U20" s="176">
        <f t="shared" si="10"/>
        <v>38.001064643504058</v>
      </c>
      <c r="V20" s="176">
        <f t="shared" si="11"/>
        <v>9.6911380954809196</v>
      </c>
      <c r="W20" s="176">
        <f t="shared" si="12"/>
        <v>42.454328966417833</v>
      </c>
      <c r="X20" s="176">
        <f t="shared" si="17"/>
        <v>77.311675383500017</v>
      </c>
      <c r="Y20" s="176">
        <f t="shared" si="13"/>
        <v>34.928787499196311</v>
      </c>
      <c r="Z20" s="176">
        <f t="shared" si="14"/>
        <v>123.39055212030783</v>
      </c>
      <c r="AA20" s="176"/>
      <c r="AB20" s="277">
        <f t="shared" si="1"/>
        <v>1.4934770823680251E-2</v>
      </c>
      <c r="AC20" s="278">
        <f>AB20*$AC$3</f>
        <v>99.252006462931845</v>
      </c>
    </row>
    <row r="21" spans="2:29" ht="15.75" thickBot="1" x14ac:dyDescent="0.3">
      <c r="B21" s="1">
        <v>451</v>
      </c>
      <c r="C21" s="66" t="s">
        <v>41</v>
      </c>
      <c r="D21" s="53"/>
      <c r="E21" s="66"/>
      <c r="F21" s="66"/>
      <c r="G21" s="53"/>
      <c r="H21" s="333">
        <v>23537.96</v>
      </c>
      <c r="I21" s="31"/>
      <c r="J21" s="2">
        <f t="shared" si="0"/>
        <v>0.16181683949822531</v>
      </c>
      <c r="K21" s="2">
        <f t="shared" si="2"/>
        <v>0.14910178028639018</v>
      </c>
      <c r="L21" s="283">
        <f t="shared" si="3"/>
        <v>1352.2321282772896</v>
      </c>
      <c r="M21" s="283">
        <f t="shared" si="4"/>
        <v>316.24512210496164</v>
      </c>
      <c r="N21" s="283">
        <f t="shared" si="5"/>
        <v>480.608958656889</v>
      </c>
      <c r="O21" s="283">
        <f t="shared" si="6"/>
        <v>88.110887275178669</v>
      </c>
      <c r="P21" s="283">
        <f t="shared" si="7"/>
        <v>327.71308152020089</v>
      </c>
      <c r="Q21" s="283"/>
      <c r="R21" s="283">
        <f t="shared" si="8"/>
        <v>448.19995154088889</v>
      </c>
      <c r="S21" s="283">
        <f t="shared" si="9"/>
        <v>670.95801128875576</v>
      </c>
      <c r="T21" s="283">
        <f t="shared" si="16"/>
        <v>252.29661344040366</v>
      </c>
      <c r="U21" s="283">
        <f t="shared" si="10"/>
        <v>182.41410003797549</v>
      </c>
      <c r="V21" s="283">
        <f t="shared" si="11"/>
        <v>46.519755449353738</v>
      </c>
      <c r="W21" s="283">
        <f t="shared" si="12"/>
        <v>203.79082227763521</v>
      </c>
      <c r="X21" s="283">
        <f t="shared" si="17"/>
        <v>371.11433113282516</v>
      </c>
      <c r="Y21" s="283">
        <f t="shared" si="13"/>
        <v>167.66644294984863</v>
      </c>
      <c r="Z21" s="283">
        <f t="shared" si="14"/>
        <v>592.30384015207926</v>
      </c>
      <c r="AA21" s="283"/>
      <c r="AB21" s="284">
        <f t="shared" si="1"/>
        <v>7.1690433008453708E-2</v>
      </c>
      <c r="AC21" s="285">
        <f t="shared" si="15"/>
        <v>476.43311064428082</v>
      </c>
    </row>
    <row r="22" spans="2:29" x14ac:dyDescent="0.25">
      <c r="B22" s="1">
        <v>467</v>
      </c>
      <c r="C22" t="s">
        <v>44</v>
      </c>
      <c r="D22" s="2"/>
      <c r="H22" s="255">
        <v>3476.56</v>
      </c>
      <c r="J22" s="2">
        <f t="shared" si="0"/>
        <v>2.3900369935455332E-2</v>
      </c>
      <c r="K22" s="2">
        <f t="shared" si="2"/>
        <v>2.2022353902906314E-2</v>
      </c>
      <c r="L22" s="176">
        <f>J22*$L$3</f>
        <v>199.7248753878286</v>
      </c>
      <c r="M22" s="176">
        <f>J22*$M$3</f>
        <v>46.709448979657772</v>
      </c>
      <c r="N22" s="176">
        <f>J22*$N$3</f>
        <v>70.986010737897175</v>
      </c>
      <c r="O22" s="176">
        <f>J22*$O$3</f>
        <v>13.013990433554783</v>
      </c>
      <c r="P22" s="176">
        <f>J22*$P$3</f>
        <v>48.403268196983497</v>
      </c>
      <c r="Q22" s="176"/>
      <c r="R22" s="176">
        <f t="shared" si="8"/>
        <v>66.199195832136382</v>
      </c>
      <c r="S22" s="176">
        <f t="shared" si="9"/>
        <v>99.100592563078408</v>
      </c>
      <c r="T22" s="176">
        <f t="shared" si="16"/>
        <v>37.264245262646803</v>
      </c>
      <c r="U22" s="176">
        <f t="shared" si="10"/>
        <v>26.942588211893643</v>
      </c>
      <c r="V22" s="176">
        <f t="shared" si="11"/>
        <v>6.87097441770677</v>
      </c>
      <c r="W22" s="176">
        <f t="shared" si="12"/>
        <v>30.099933090953321</v>
      </c>
      <c r="X22" s="176">
        <f t="shared" si="17"/>
        <v>54.813638864333818</v>
      </c>
      <c r="Y22" s="176">
        <f t="shared" si="13"/>
        <v>24.764357187357177</v>
      </c>
      <c r="Z22" s="176">
        <f t="shared" si="14"/>
        <v>87.483360432217268</v>
      </c>
      <c r="AA22" s="176"/>
      <c r="AB22" s="277">
        <f t="shared" si="1"/>
        <v>1.0588687030646235E-2</v>
      </c>
      <c r="AC22" s="278">
        <f>AB22*$AC$3</f>
        <v>70.369237399565677</v>
      </c>
    </row>
    <row r="23" spans="2:29" x14ac:dyDescent="0.25">
      <c r="B23" s="1">
        <v>468</v>
      </c>
      <c r="C23" t="s">
        <v>45</v>
      </c>
      <c r="D23" s="2"/>
      <c r="H23" s="255">
        <v>6307.7</v>
      </c>
      <c r="J23" s="2">
        <f t="shared" si="0"/>
        <v>4.336365931894505E-2</v>
      </c>
      <c r="K23" s="2">
        <f t="shared" si="2"/>
        <v>3.9956279113077912E-2</v>
      </c>
      <c r="L23" s="176">
        <f>J23*$L$3</f>
        <v>362.37102091832344</v>
      </c>
      <c r="M23" s="176">
        <f>J23*$M$3</f>
        <v>84.74733395338707</v>
      </c>
      <c r="N23" s="176">
        <f>J23*$N$3</f>
        <v>128.79353727001231</v>
      </c>
      <c r="O23" s="176">
        <f>J23*$O$3</f>
        <v>23.611946135758767</v>
      </c>
      <c r="P23" s="176">
        <f>J23*$P$3</f>
        <v>87.82051648932071</v>
      </c>
      <c r="Q23" s="176"/>
      <c r="R23" s="176">
        <f t="shared" si="8"/>
        <v>120.1085750139122</v>
      </c>
      <c r="S23" s="176">
        <f t="shared" si="9"/>
        <v>179.80325600885061</v>
      </c>
      <c r="T23" s="176">
        <f t="shared" si="16"/>
        <v>67.610419450030264</v>
      </c>
      <c r="U23" s="176">
        <f t="shared" si="10"/>
        <v>48.883310992521785</v>
      </c>
      <c r="V23" s="176">
        <f t="shared" si="11"/>
        <v>12.46635908328031</v>
      </c>
      <c r="W23" s="176">
        <f t="shared" si="12"/>
        <v>54.611842728963758</v>
      </c>
      <c r="X23" s="176">
        <f t="shared" si="17"/>
        <v>99.451178712450925</v>
      </c>
      <c r="Y23" s="176">
        <f t="shared" si="13"/>
        <v>44.931235425447241</v>
      </c>
      <c r="Z23" s="176">
        <f t="shared" si="14"/>
        <v>158.72551965111975</v>
      </c>
      <c r="AA23" s="176"/>
      <c r="AB23" s="277">
        <f t="shared" si="1"/>
        <v>1.9211594559911883E-2</v>
      </c>
      <c r="AC23" s="278">
        <f>AB23*$AC$3</f>
        <v>127.67449396680639</v>
      </c>
    </row>
    <row r="24" spans="2:29" x14ac:dyDescent="0.25">
      <c r="B24" s="1">
        <v>502</v>
      </c>
      <c r="C24" t="s">
        <v>46</v>
      </c>
      <c r="D24" s="2"/>
      <c r="H24" s="255">
        <v>1915</v>
      </c>
      <c r="J24" s="2">
        <f t="shared" si="0"/>
        <v>1.3165085149227099E-2</v>
      </c>
      <c r="K24" s="2">
        <f t="shared" si="2"/>
        <v>1.2130614090959337E-2</v>
      </c>
      <c r="L24" s="176">
        <f t="shared" si="3"/>
        <v>110.0148239546252</v>
      </c>
      <c r="M24" s="176">
        <f t="shared" si="4"/>
        <v>25.729052510540487</v>
      </c>
      <c r="N24" s="176">
        <f t="shared" si="5"/>
        <v>39.101356100016424</v>
      </c>
      <c r="O24" s="176">
        <f t="shared" si="6"/>
        <v>7.1685205146056479</v>
      </c>
      <c r="P24" s="176">
        <f t="shared" si="7"/>
        <v>26.662062095066215</v>
      </c>
      <c r="Q24" s="176"/>
      <c r="R24" s="176">
        <f t="shared" si="8"/>
        <v>36.464625957423763</v>
      </c>
      <c r="S24" s="176">
        <f t="shared" si="9"/>
        <v>54.587763409317013</v>
      </c>
      <c r="T24" s="176">
        <f t="shared" si="16"/>
        <v>20.526333409453201</v>
      </c>
      <c r="U24" s="176">
        <f t="shared" si="10"/>
        <v>14.840835891161474</v>
      </c>
      <c r="V24" s="176">
        <f t="shared" si="11"/>
        <v>3.784751596379313</v>
      </c>
      <c r="W24" s="176">
        <f t="shared" si="12"/>
        <v>16.580002033382311</v>
      </c>
      <c r="X24" s="176">
        <f t="shared" si="17"/>
        <v>30.193098472397789</v>
      </c>
      <c r="Y24" s="176">
        <f t="shared" si="13"/>
        <v>13.640996851424683</v>
      </c>
      <c r="Z24" s="176">
        <f t="shared" si="14"/>
        <v>48.188621864054149</v>
      </c>
      <c r="AA24" s="176"/>
      <c r="AB24" s="277">
        <f t="shared" si="1"/>
        <v>5.8325861379316156E-3</v>
      </c>
      <c r="AC24" s="278">
        <f t="shared" si="15"/>
        <v>38.761617696852134</v>
      </c>
    </row>
    <row r="25" spans="2:29" x14ac:dyDescent="0.25">
      <c r="B25" s="1">
        <v>515</v>
      </c>
      <c r="C25" t="s">
        <v>47</v>
      </c>
      <c r="D25" s="2"/>
      <c r="H25" s="101">
        <v>3338.08</v>
      </c>
      <c r="J25" s="2">
        <f t="shared" si="0"/>
        <v>2.2948358973854825E-2</v>
      </c>
      <c r="K25" s="2">
        <f t="shared" si="2"/>
        <v>2.1145148973759551E-2</v>
      </c>
      <c r="L25" s="176">
        <f>J25*$L$3</f>
        <v>191.76933866655628</v>
      </c>
      <c r="M25" s="176">
        <f>J25*$M$3</f>
        <v>44.848895876963439</v>
      </c>
      <c r="N25" s="176">
        <f>J25*$N$3</f>
        <v>68.15846202106674</v>
      </c>
      <c r="O25" s="176">
        <f>J25*$O$3</f>
        <v>12.495610944853691</v>
      </c>
      <c r="P25" s="176">
        <f>J25*$P$3</f>
        <v>46.475246077440531</v>
      </c>
      <c r="Q25" s="176"/>
      <c r="R25" s="176">
        <f t="shared" si="8"/>
        <v>63.562317815121212</v>
      </c>
      <c r="S25" s="176">
        <f t="shared" si="9"/>
        <v>95.153170381917974</v>
      </c>
      <c r="T25" s="176">
        <f>K25*$T$3</f>
        <v>35.779918029988274</v>
      </c>
      <c r="U25" s="176">
        <f t="shared" si="10"/>
        <v>25.869398157476912</v>
      </c>
      <c r="V25" s="176">
        <f t="shared" si="11"/>
        <v>6.59728647981298</v>
      </c>
      <c r="W25" s="176">
        <f t="shared" si="12"/>
        <v>28.900978165844815</v>
      </c>
      <c r="X25" s="176">
        <f>K25*$X$3</f>
        <v>52.630275795687524</v>
      </c>
      <c r="Y25" s="176">
        <f t="shared" si="13"/>
        <v>23.777931472482354</v>
      </c>
      <c r="Z25" s="176">
        <f t="shared" si="14"/>
        <v>83.998681395280343</v>
      </c>
      <c r="AA25" s="176"/>
      <c r="AB25" s="277">
        <f t="shared" si="1"/>
        <v>1.016691338658317E-2</v>
      </c>
      <c r="AC25" s="278">
        <f>AB25*$AC$3</f>
        <v>67.566256293215773</v>
      </c>
    </row>
    <row r="26" spans="2:29" x14ac:dyDescent="0.25">
      <c r="B26" s="1">
        <v>525</v>
      </c>
      <c r="C26" t="s">
        <v>48</v>
      </c>
      <c r="D26" s="2"/>
      <c r="H26" s="101">
        <v>2076.9299999999998</v>
      </c>
      <c r="J26" s="2">
        <f t="shared" si="0"/>
        <v>1.4278308250122317E-2</v>
      </c>
      <c r="K26" s="2">
        <f t="shared" si="2"/>
        <v>1.3156363615632466E-2</v>
      </c>
      <c r="L26" s="176">
        <f>J26*$L$3</f>
        <v>119.31753959064214</v>
      </c>
      <c r="M26" s="176">
        <f>J26*$M$3</f>
        <v>27.904668945544049</v>
      </c>
      <c r="N26" s="176">
        <f>J26*$N$3</f>
        <v>42.407717767523287</v>
      </c>
      <c r="O26" s="176">
        <f>J26*$O$3</f>
        <v>7.7746816252741029</v>
      </c>
      <c r="P26" s="176">
        <f>J26*$P$3</f>
        <v>28.916572651230219</v>
      </c>
      <c r="Q26" s="176"/>
      <c r="R26" s="176">
        <f t="shared" si="8"/>
        <v>39.548029028591195</v>
      </c>
      <c r="S26" s="176">
        <f t="shared" si="9"/>
        <v>59.203636270346095</v>
      </c>
      <c r="T26" s="176">
        <f>K26*$T$3</f>
        <v>22.262014437647849</v>
      </c>
      <c r="U26" s="176">
        <f t="shared" si="10"/>
        <v>16.095758374637072</v>
      </c>
      <c r="V26" s="176">
        <f t="shared" si="11"/>
        <v>4.1047854480773296</v>
      </c>
      <c r="W26" s="176">
        <f t="shared" si="12"/>
        <v>17.981986226210296</v>
      </c>
      <c r="X26" s="176">
        <f>K26*$X$3</f>
        <v>32.746189039309208</v>
      </c>
      <c r="Y26" s="176">
        <f t="shared" si="13"/>
        <v>14.794462449414864</v>
      </c>
      <c r="Z26" s="176">
        <f t="shared" si="14"/>
        <v>52.263391335827656</v>
      </c>
      <c r="AA26" s="176"/>
      <c r="AB26" s="277">
        <f t="shared" si="1"/>
        <v>6.3257823119865853E-3</v>
      </c>
      <c r="AC26" s="278">
        <f>AB26*$AC$3</f>
        <v>42.039251510769247</v>
      </c>
    </row>
    <row r="27" spans="2:29" x14ac:dyDescent="0.25">
      <c r="B27" s="1">
        <v>560</v>
      </c>
      <c r="C27" t="s">
        <v>49</v>
      </c>
      <c r="D27" s="2"/>
      <c r="H27" s="101">
        <v>230.77</v>
      </c>
      <c r="J27" s="2">
        <f t="shared" si="0"/>
        <v>1.5864786944580355E-3</v>
      </c>
      <c r="K27" s="2">
        <f t="shared" si="2"/>
        <v>1.4618181795147186E-3</v>
      </c>
      <c r="L27" s="176">
        <f>J27*$L$3</f>
        <v>13.25750439896024</v>
      </c>
      <c r="M27" s="176">
        <f>J27*$M$3</f>
        <v>3.100518771727117</v>
      </c>
      <c r="N27" s="176">
        <f>J27*$N$3</f>
        <v>4.7119686408359218</v>
      </c>
      <c r="O27" s="176">
        <f>J27*$O$3</f>
        <v>0.86385351391934484</v>
      </c>
      <c r="P27" s="176">
        <f>J27*$P$3</f>
        <v>3.2129525168033579</v>
      </c>
      <c r="Q27" s="176"/>
      <c r="R27" s="176">
        <f t="shared" si="8"/>
        <v>4.3942254476212437</v>
      </c>
      <c r="S27" s="176">
        <f t="shared" si="9"/>
        <v>6.5781818078162333</v>
      </c>
      <c r="T27" s="176">
        <f t="shared" si="16"/>
        <v>2.4735571597386503</v>
      </c>
      <c r="U27" s="176">
        <f t="shared" si="10"/>
        <v>1.7884175971818972</v>
      </c>
      <c r="V27" s="176">
        <f t="shared" si="11"/>
        <v>0.45608727200859217</v>
      </c>
      <c r="W27" s="176">
        <f t="shared" si="12"/>
        <v>1.9979984695789221</v>
      </c>
      <c r="X27" s="176">
        <f t="shared" si="17"/>
        <v>3.6384654488121346</v>
      </c>
      <c r="Y27" s="176">
        <f t="shared" si="13"/>
        <v>1.6438291610460962</v>
      </c>
      <c r="Z27" s="176">
        <f t="shared" si="14"/>
        <v>5.8070434817586296</v>
      </c>
      <c r="AA27" s="176"/>
      <c r="AB27" s="277">
        <f t="shared" si="1"/>
        <v>7.0286470133184285E-4</v>
      </c>
      <c r="AC27" s="278">
        <f>AB27*$AC$3</f>
        <v>4.6710279456410282</v>
      </c>
    </row>
    <row r="28" spans="2:29" x14ac:dyDescent="0.25">
      <c r="B28" s="1">
        <v>561</v>
      </c>
      <c r="C28" t="s">
        <v>67</v>
      </c>
      <c r="D28" s="2"/>
      <c r="H28" s="101">
        <v>2461.54</v>
      </c>
      <c r="J28" s="2">
        <f t="shared" si="0"/>
        <v>1.692239357609842E-2</v>
      </c>
      <c r="K28" s="2">
        <f t="shared" si="2"/>
        <v>1.55926850179948E-2</v>
      </c>
      <c r="L28" s="176">
        <f>J28*$L$3</f>
        <v>141.41299726228101</v>
      </c>
      <c r="M28" s="176">
        <f>J28*$M$3</f>
        <v>33.072110661512184</v>
      </c>
      <c r="N28" s="176">
        <f>J28*$N$3</f>
        <v>50.260862712498394</v>
      </c>
      <c r="O28" s="176">
        <f>J28*$O$3</f>
        <v>9.2144125261213503</v>
      </c>
      <c r="P28" s="176">
        <f>J28*$P$3</f>
        <v>34.271400694250282</v>
      </c>
      <c r="Q28" s="176"/>
      <c r="R28" s="176">
        <f t="shared" si="8"/>
        <v>46.871611164092371</v>
      </c>
      <c r="S28" s="176">
        <f t="shared" si="9"/>
        <v>70.167082580976597</v>
      </c>
      <c r="T28" s="176">
        <f t="shared" si="16"/>
        <v>26.384538245799181</v>
      </c>
      <c r="U28" s="176">
        <f t="shared" si="10"/>
        <v>19.0764027047152</v>
      </c>
      <c r="V28" s="176">
        <f t="shared" si="11"/>
        <v>4.8649177256143776</v>
      </c>
      <c r="W28" s="176">
        <f t="shared" si="12"/>
        <v>21.311925955745114</v>
      </c>
      <c r="X28" s="176">
        <f t="shared" si="17"/>
        <v>38.81019300978906</v>
      </c>
      <c r="Y28" s="176">
        <f t="shared" si="13"/>
        <v>17.534130229585333</v>
      </c>
      <c r="Z28" s="176">
        <f t="shared" si="14"/>
        <v>61.941629380283985</v>
      </c>
      <c r="AA28" s="176"/>
      <c r="AB28" s="277">
        <f t="shared" si="1"/>
        <v>7.4972031759604121E-3</v>
      </c>
      <c r="AC28" s="278">
        <f>AB28*$AC$3</f>
        <v>49.82416314648011</v>
      </c>
    </row>
    <row r="29" spans="2:29" x14ac:dyDescent="0.25">
      <c r="B29" s="1">
        <v>567</v>
      </c>
      <c r="C29" t="s">
        <v>52</v>
      </c>
      <c r="D29" s="2"/>
      <c r="H29" s="101">
        <v>0</v>
      </c>
      <c r="J29" s="2">
        <f t="shared" si="0"/>
        <v>0</v>
      </c>
      <c r="K29" s="2">
        <f t="shared" si="2"/>
        <v>0</v>
      </c>
      <c r="L29" s="176">
        <f>J29*$L$3</f>
        <v>0</v>
      </c>
      <c r="M29" s="176">
        <f>J29*$M$3</f>
        <v>0</v>
      </c>
      <c r="N29" s="176">
        <f>J29*$N$3</f>
        <v>0</v>
      </c>
      <c r="O29" s="176">
        <f>J29*$O$3</f>
        <v>0</v>
      </c>
      <c r="P29" s="176">
        <f>J29*$P$3</f>
        <v>0</v>
      </c>
      <c r="Q29" s="176"/>
      <c r="R29" s="176">
        <f t="shared" si="8"/>
        <v>0</v>
      </c>
      <c r="S29" s="176">
        <f t="shared" si="9"/>
        <v>0</v>
      </c>
      <c r="T29" s="176">
        <f t="shared" si="16"/>
        <v>0</v>
      </c>
      <c r="U29" s="176">
        <f t="shared" si="10"/>
        <v>0</v>
      </c>
      <c r="V29" s="176">
        <f t="shared" si="11"/>
        <v>0</v>
      </c>
      <c r="W29" s="176">
        <f t="shared" si="12"/>
        <v>0</v>
      </c>
      <c r="X29" s="176">
        <f t="shared" si="17"/>
        <v>0</v>
      </c>
      <c r="Y29" s="176">
        <f t="shared" si="13"/>
        <v>0</v>
      </c>
      <c r="Z29" s="176">
        <f t="shared" si="14"/>
        <v>0</v>
      </c>
      <c r="AA29" s="176"/>
      <c r="AB29" s="277">
        <f t="shared" si="1"/>
        <v>0</v>
      </c>
      <c r="AC29" s="278">
        <f>AB29*$AC$3</f>
        <v>0</v>
      </c>
    </row>
    <row r="30" spans="2:29" x14ac:dyDescent="0.25">
      <c r="B30" s="1">
        <v>610</v>
      </c>
      <c r="C30" t="s">
        <v>53</v>
      </c>
      <c r="D30" s="2"/>
      <c r="H30" s="101">
        <v>9776.93</v>
      </c>
      <c r="J30" s="2">
        <f t="shared" si="0"/>
        <v>6.7213637570774365E-2</v>
      </c>
      <c r="K30" s="2">
        <f t="shared" si="2"/>
        <v>6.1932200952649119E-2</v>
      </c>
      <c r="L30" s="176">
        <f t="shared" si="3"/>
        <v>561.67479517843014</v>
      </c>
      <c r="M30" s="176">
        <f t="shared" si="4"/>
        <v>131.35830045006716</v>
      </c>
      <c r="N30" s="176">
        <f t="shared" si="5"/>
        <v>199.62988067620552</v>
      </c>
      <c r="O30" s="176">
        <f t="shared" si="6"/>
        <v>36.598497793662347</v>
      </c>
      <c r="P30" s="176">
        <f t="shared" si="7"/>
        <v>136.12173094470796</v>
      </c>
      <c r="Q30" s="176"/>
      <c r="R30" s="176">
        <f t="shared" si="8"/>
        <v>186.16819606366326</v>
      </c>
      <c r="S30" s="176">
        <f t="shared" si="9"/>
        <v>278.69490428692103</v>
      </c>
      <c r="T30" s="176">
        <f t="shared" si="16"/>
        <v>104.7960965539871</v>
      </c>
      <c r="U30" s="176">
        <f t="shared" si="10"/>
        <v>75.769093289489987</v>
      </c>
      <c r="V30" s="176">
        <f t="shared" si="11"/>
        <v>19.322846697226524</v>
      </c>
      <c r="W30" s="176">
        <f t="shared" si="12"/>
        <v>84.648312940071293</v>
      </c>
      <c r="X30" s="176">
        <f t="shared" si="17"/>
        <v>154.14924817114365</v>
      </c>
      <c r="Y30" s="176">
        <f t="shared" si="13"/>
        <v>69.643379293263465</v>
      </c>
      <c r="Z30" s="176">
        <f t="shared" si="14"/>
        <v>246.02442964037957</v>
      </c>
      <c r="AA30" s="176"/>
      <c r="AB30" s="277">
        <f t="shared" si="1"/>
        <v>2.9777956339178985E-2</v>
      </c>
      <c r="AC30" s="278">
        <f t="shared" si="15"/>
        <v>197.89536444328178</v>
      </c>
    </row>
    <row r="31" spans="2:29" x14ac:dyDescent="0.25">
      <c r="B31" s="1">
        <v>620</v>
      </c>
      <c r="C31" t="s">
        <v>54</v>
      </c>
      <c r="D31" s="2"/>
      <c r="H31" s="101">
        <v>6769.23</v>
      </c>
      <c r="J31" s="2">
        <f t="shared" si="0"/>
        <v>4.6536547960680179E-2</v>
      </c>
      <c r="K31" s="2">
        <f t="shared" si="2"/>
        <v>4.287985212686405E-2</v>
      </c>
      <c r="L31" s="176">
        <f t="shared" si="3"/>
        <v>388.88545522630153</v>
      </c>
      <c r="M31" s="176">
        <f t="shared" si="4"/>
        <v>90.948237141475701</v>
      </c>
      <c r="N31" s="176">
        <f t="shared" si="5"/>
        <v>138.21727036705698</v>
      </c>
      <c r="O31" s="176">
        <f t="shared" si="6"/>
        <v>25.339615730069962</v>
      </c>
      <c r="P31" s="176">
        <f t="shared" si="7"/>
        <v>94.246282295449106</v>
      </c>
      <c r="Q31" s="176"/>
      <c r="R31" s="176">
        <f t="shared" si="8"/>
        <v>128.89683549335334</v>
      </c>
      <c r="S31" s="176">
        <f t="shared" si="9"/>
        <v>192.95933457088822</v>
      </c>
      <c r="T31" s="176">
        <f t="shared" si="16"/>
        <v>72.557426582387919</v>
      </c>
      <c r="U31" s="176">
        <f t="shared" si="10"/>
        <v>52.460068689048022</v>
      </c>
      <c r="V31" s="176">
        <f t="shared" si="11"/>
        <v>13.378513863581583</v>
      </c>
      <c r="W31" s="176">
        <f t="shared" si="12"/>
        <v>58.607753088476514</v>
      </c>
      <c r="X31" s="176">
        <f t="shared" si="17"/>
        <v>106.72795194376462</v>
      </c>
      <c r="Y31" s="176">
        <f t="shared" si="13"/>
        <v>48.218822515179895</v>
      </c>
      <c r="Z31" s="176">
        <f t="shared" si="14"/>
        <v>170.33935497692491</v>
      </c>
      <c r="AA31" s="176"/>
      <c r="AB31" s="277">
        <f t="shared" si="1"/>
        <v>2.0617293505206701E-2</v>
      </c>
      <c r="AC31" s="278">
        <f t="shared" si="15"/>
        <v>137.01634744755216</v>
      </c>
    </row>
    <row r="32" spans="2:29" x14ac:dyDescent="0.25">
      <c r="B32" s="1">
        <v>630</v>
      </c>
      <c r="C32" t="s">
        <v>55</v>
      </c>
      <c r="D32" s="2"/>
      <c r="H32" s="101">
        <v>0</v>
      </c>
      <c r="J32" s="2">
        <f t="shared" si="0"/>
        <v>0</v>
      </c>
      <c r="K32" s="2">
        <f t="shared" si="2"/>
        <v>0</v>
      </c>
      <c r="L32" s="176">
        <f t="shared" si="3"/>
        <v>0</v>
      </c>
      <c r="M32" s="176">
        <f t="shared" si="4"/>
        <v>0</v>
      </c>
      <c r="N32" s="176">
        <f t="shared" si="5"/>
        <v>0</v>
      </c>
      <c r="O32" s="176">
        <f t="shared" si="6"/>
        <v>0</v>
      </c>
      <c r="P32" s="176">
        <f t="shared" si="7"/>
        <v>0</v>
      </c>
      <c r="Q32" s="176"/>
      <c r="R32" s="176">
        <f t="shared" si="8"/>
        <v>0</v>
      </c>
      <c r="S32" s="176">
        <f t="shared" si="9"/>
        <v>0</v>
      </c>
      <c r="T32" s="176">
        <f t="shared" si="16"/>
        <v>0</v>
      </c>
      <c r="U32" s="176">
        <f t="shared" si="10"/>
        <v>0</v>
      </c>
      <c r="V32" s="176">
        <f t="shared" si="11"/>
        <v>0</v>
      </c>
      <c r="W32" s="176">
        <f t="shared" si="12"/>
        <v>0</v>
      </c>
      <c r="X32" s="176">
        <f t="shared" si="17"/>
        <v>0</v>
      </c>
      <c r="Y32" s="176">
        <f t="shared" si="13"/>
        <v>0</v>
      </c>
      <c r="Z32" s="176">
        <f t="shared" si="14"/>
        <v>0</v>
      </c>
      <c r="AA32" s="176"/>
      <c r="AB32" s="277">
        <f t="shared" si="1"/>
        <v>0</v>
      </c>
      <c r="AC32" s="278">
        <f t="shared" si="15"/>
        <v>0</v>
      </c>
    </row>
    <row r="33" spans="2:33" x14ac:dyDescent="0.25">
      <c r="B33" s="1">
        <v>650</v>
      </c>
      <c r="C33" t="s">
        <v>56</v>
      </c>
      <c r="D33" s="2"/>
      <c r="H33" s="101">
        <v>269.10000000000002</v>
      </c>
      <c r="I33" s="53"/>
      <c r="J33" s="2">
        <f t="shared" si="0"/>
        <v>1.8499866389853851E-3</v>
      </c>
      <c r="K33" s="2">
        <f t="shared" si="2"/>
        <v>1.7046204970637899E-3</v>
      </c>
      <c r="L33" s="176">
        <f t="shared" si="3"/>
        <v>15.459524347879709</v>
      </c>
      <c r="M33" s="176">
        <f t="shared" si="4"/>
        <v>3.6155028880346975</v>
      </c>
      <c r="N33" s="176">
        <f t="shared" si="5"/>
        <v>5.494608316717712</v>
      </c>
      <c r="O33" s="176">
        <f t="shared" si="6"/>
        <v>1.0073362247939319</v>
      </c>
      <c r="P33" s="176">
        <f t="shared" si="7"/>
        <v>3.7466114411395917</v>
      </c>
      <c r="Q33" s="176"/>
      <c r="R33" s="176">
        <f t="shared" si="8"/>
        <v>5.1240892141737522</v>
      </c>
      <c r="S33" s="176">
        <f t="shared" si="9"/>
        <v>7.6707922367870545</v>
      </c>
      <c r="T33" s="176">
        <f t="shared" si="16"/>
        <v>2.8844053892866093</v>
      </c>
      <c r="U33" s="176">
        <f t="shared" si="10"/>
        <v>2.0854668085177819</v>
      </c>
      <c r="V33" s="176">
        <f t="shared" si="11"/>
        <v>0.53184159508390239</v>
      </c>
      <c r="W33" s="176">
        <f t="shared" si="12"/>
        <v>2.3298582491818172</v>
      </c>
      <c r="X33" s="176">
        <f t="shared" si="17"/>
        <v>4.2428004171917726</v>
      </c>
      <c r="Y33" s="176">
        <f t="shared" si="13"/>
        <v>1.9168627951532022</v>
      </c>
      <c r="Z33" s="176">
        <f t="shared" si="14"/>
        <v>6.7715708321759642</v>
      </c>
      <c r="AA33" s="176"/>
      <c r="AB33" s="277">
        <f t="shared" si="1"/>
        <v>8.1960779619707472E-4</v>
      </c>
      <c r="AC33" s="278">
        <f t="shared" si="15"/>
        <v>5.446867531186899</v>
      </c>
    </row>
    <row r="34" spans="2:33" x14ac:dyDescent="0.25">
      <c r="B34" s="1">
        <v>600</v>
      </c>
      <c r="C34" t="s">
        <v>57</v>
      </c>
      <c r="D34" s="2"/>
      <c r="H34" s="101">
        <v>0.01</v>
      </c>
      <c r="I34" s="15">
        <f>SUM(H6:H34)</f>
        <v>145460.51</v>
      </c>
      <c r="J34" s="2">
        <f t="shared" si="0"/>
        <v>6.8747180935911748E-8</v>
      </c>
      <c r="K34" s="2">
        <f t="shared" si="2"/>
        <v>6.3345243294826821E-8</v>
      </c>
      <c r="L34" s="176">
        <f t="shared" si="3"/>
        <v>5.744899423218027E-4</v>
      </c>
      <c r="M34" s="176">
        <f t="shared" si="4"/>
        <v>1.3435536559028977E-4</v>
      </c>
      <c r="N34" s="176">
        <f t="shared" si="5"/>
        <v>2.0418462715413277E-4</v>
      </c>
      <c r="O34" s="176">
        <f t="shared" si="6"/>
        <v>3.7433527491413307E-5</v>
      </c>
      <c r="P34" s="176">
        <f t="shared" si="7"/>
        <v>1.3922747830321785E-4</v>
      </c>
      <c r="Q34" s="176"/>
      <c r="R34" s="176">
        <f t="shared" si="8"/>
        <v>1.9041580134424943E-4</v>
      </c>
      <c r="S34" s="176">
        <f t="shared" si="9"/>
        <v>2.8505359482672071E-4</v>
      </c>
      <c r="T34" s="176">
        <f t="shared" si="16"/>
        <v>1.071871196316094E-4</v>
      </c>
      <c r="U34" s="176">
        <f t="shared" si="10"/>
        <v>7.7497837551757028E-5</v>
      </c>
      <c r="V34" s="176">
        <f t="shared" si="11"/>
        <v>1.976371590798597E-5</v>
      </c>
      <c r="W34" s="176">
        <f t="shared" si="12"/>
        <v>8.6579645082936354E-5</v>
      </c>
      <c r="X34" s="176">
        <f t="shared" si="17"/>
        <v>1.5766631056082396E-4</v>
      </c>
      <c r="Y34" s="176">
        <f t="shared" si="13"/>
        <v>7.1232359537465702E-5</v>
      </c>
      <c r="Z34" s="176">
        <f t="shared" si="14"/>
        <v>2.5163771208383366E-4</v>
      </c>
      <c r="AA34" s="176"/>
      <c r="AB34" s="277">
        <f t="shared" si="1"/>
        <v>3.0457368866483634E-8</v>
      </c>
      <c r="AC34" s="278">
        <f t="shared" si="15"/>
        <v>2.0241053627599028E-4</v>
      </c>
    </row>
    <row r="35" spans="2:33" x14ac:dyDescent="0.25">
      <c r="B35" s="1">
        <v>339</v>
      </c>
      <c r="C35" t="s">
        <v>58</v>
      </c>
      <c r="D35" s="2"/>
      <c r="H35" s="53">
        <v>5538.46</v>
      </c>
      <c r="J35" s="2"/>
      <c r="K35" s="2">
        <f>H35/$I$36</f>
        <v>3.5083509617866653E-2</v>
      </c>
      <c r="L35" s="176">
        <f>J35*$L$3</f>
        <v>0</v>
      </c>
      <c r="M35" s="176">
        <f>J35*$M$3</f>
        <v>0</v>
      </c>
      <c r="N35" s="176">
        <f>J35*$N$3</f>
        <v>0</v>
      </c>
      <c r="O35" s="176">
        <f>J35*$O$3</f>
        <v>0</v>
      </c>
      <c r="P35" s="176">
        <f>J35*$P$3</f>
        <v>0</v>
      </c>
      <c r="Q35" s="176"/>
      <c r="R35" s="176">
        <f t="shared" si="8"/>
        <v>105.46102991130715</v>
      </c>
      <c r="S35" s="176">
        <f t="shared" si="9"/>
        <v>157.87579328039993</v>
      </c>
      <c r="T35" s="176">
        <f t="shared" si="16"/>
        <v>59.365157459488337</v>
      </c>
      <c r="U35" s="176">
        <f t="shared" si="10"/>
        <v>42.921867336690426</v>
      </c>
      <c r="V35" s="176">
        <f t="shared" si="11"/>
        <v>10.946055000774395</v>
      </c>
      <c r="W35" s="176">
        <f t="shared" si="12"/>
        <v>47.951790110603959</v>
      </c>
      <c r="X35" s="176">
        <f t="shared" si="17"/>
        <v>87.322855438870093</v>
      </c>
      <c r="Y35" s="176">
        <f t="shared" si="13"/>
        <v>39.45175740038723</v>
      </c>
      <c r="Z35" s="176">
        <f t="shared" si="14"/>
        <v>139.36854028678292</v>
      </c>
      <c r="AA35" s="176"/>
      <c r="AB35" s="277">
        <f t="shared" si="1"/>
        <v>1.6868691917226494E-2</v>
      </c>
      <c r="AC35" s="278">
        <f>AB35*$AC$3</f>
        <v>112.10426587431211</v>
      </c>
    </row>
    <row r="36" spans="2:33" x14ac:dyDescent="0.25">
      <c r="B36" s="1">
        <v>225</v>
      </c>
      <c r="C36" t="s">
        <v>59</v>
      </c>
      <c r="D36" s="2"/>
      <c r="H36" s="101">
        <v>6866.08</v>
      </c>
      <c r="I36" s="99">
        <f>I34+H35+H36</f>
        <v>157865.04999999999</v>
      </c>
      <c r="J36" s="2"/>
      <c r="K36" s="2">
        <f>H36/$I$36</f>
        <v>4.3493350808174451E-2</v>
      </c>
      <c r="L36" s="176"/>
      <c r="M36" s="176"/>
      <c r="N36" s="176"/>
      <c r="O36" s="176"/>
      <c r="P36" s="176"/>
      <c r="Q36" s="176"/>
      <c r="R36" s="176">
        <f t="shared" si="8"/>
        <v>130.7410125293724</v>
      </c>
      <c r="S36" s="176">
        <f t="shared" si="9"/>
        <v>195.72007863678502</v>
      </c>
      <c r="T36" s="176">
        <f t="shared" si="16"/>
        <v>73.595533836020067</v>
      </c>
      <c r="U36" s="176">
        <f t="shared" si="10"/>
        <v>53.210635245736789</v>
      </c>
      <c r="V36" s="176">
        <f t="shared" si="11"/>
        <v>13.569925452150429</v>
      </c>
      <c r="W36" s="176">
        <f t="shared" si="12"/>
        <v>59.446276951104757</v>
      </c>
      <c r="X36" s="176">
        <f t="shared" si="17"/>
        <v>108.2549501615462</v>
      </c>
      <c r="Y36" s="176">
        <f t="shared" si="13"/>
        <v>48.908707917300255</v>
      </c>
      <c r="Z36" s="176">
        <f t="shared" si="14"/>
        <v>172.77646621845685</v>
      </c>
      <c r="AA36" s="176"/>
      <c r="AB36" s="277">
        <f t="shared" si="1"/>
        <v>2.0912273122678595E-2</v>
      </c>
      <c r="AC36" s="278">
        <f>AB36*$AC$3</f>
        <v>138.97669349138513</v>
      </c>
    </row>
    <row r="37" spans="2:33" x14ac:dyDescent="0.25">
      <c r="F37" s="8"/>
      <c r="H37" s="101"/>
      <c r="K37" s="2">
        <f>H37/$I$36</f>
        <v>0</v>
      </c>
      <c r="L37" s="176">
        <f t="shared" ref="L37" si="19">J37*$L$3</f>
        <v>0</v>
      </c>
      <c r="M37" s="176">
        <f t="shared" ref="M37" si="20">J37*$M$3</f>
        <v>0</v>
      </c>
      <c r="N37" s="176">
        <f t="shared" ref="N37" si="21">J37*$N$3</f>
        <v>0</v>
      </c>
      <c r="O37" s="176">
        <f t="shared" ref="O37" si="22">J37*$O$3</f>
        <v>0</v>
      </c>
      <c r="P37" s="176">
        <f t="shared" ref="P37" si="23">J37*$P$3</f>
        <v>0</v>
      </c>
      <c r="Q37" s="176"/>
      <c r="R37" s="176">
        <f t="shared" si="8"/>
        <v>0</v>
      </c>
      <c r="S37" s="176">
        <f t="shared" si="9"/>
        <v>0</v>
      </c>
      <c r="T37" s="176">
        <f t="shared" si="16"/>
        <v>0</v>
      </c>
      <c r="U37" s="176">
        <f t="shared" si="10"/>
        <v>0</v>
      </c>
      <c r="V37" s="176">
        <f t="shared" si="11"/>
        <v>0</v>
      </c>
      <c r="W37" s="176">
        <f t="shared" si="12"/>
        <v>0</v>
      </c>
      <c r="X37" s="176">
        <f t="shared" si="17"/>
        <v>0</v>
      </c>
      <c r="Y37" s="176">
        <f t="shared" si="13"/>
        <v>0</v>
      </c>
      <c r="Z37" s="176">
        <f t="shared" si="14"/>
        <v>0</v>
      </c>
      <c r="AA37" s="176"/>
      <c r="AB37" s="277">
        <f t="shared" si="1"/>
        <v>0</v>
      </c>
      <c r="AC37" s="278">
        <f t="shared" ref="AC37:AC38" si="24">AB37*$AC$3</f>
        <v>0</v>
      </c>
    </row>
    <row r="38" spans="2:33" x14ac:dyDescent="0.25">
      <c r="B38" s="45">
        <v>451</v>
      </c>
      <c r="C38" s="32" t="s">
        <v>60</v>
      </c>
      <c r="D38" s="32"/>
      <c r="E38" s="32"/>
      <c r="F38" s="32"/>
      <c r="G38" s="31"/>
      <c r="H38" s="286">
        <v>170462.72</v>
      </c>
      <c r="L38" s="176"/>
      <c r="M38" s="176"/>
      <c r="N38" s="176"/>
      <c r="O38" s="176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77">
        <f t="shared" si="1"/>
        <v>0.51918459410241169</v>
      </c>
      <c r="AC38" s="278">
        <f t="shared" si="24"/>
        <v>3450.3450570263972</v>
      </c>
    </row>
    <row r="39" spans="2:33" ht="15.75" thickBot="1" x14ac:dyDescent="0.3">
      <c r="H39" s="237">
        <f>SUM(H7:H38)</f>
        <v>328327.77</v>
      </c>
      <c r="I39" s="34"/>
      <c r="J39" s="54">
        <f t="shared" ref="J39:Z39" si="25">SUM(J7:J37)</f>
        <v>1</v>
      </c>
      <c r="K39" s="54">
        <f t="shared" si="25"/>
        <v>1.0000000000000002</v>
      </c>
      <c r="L39" s="196">
        <f t="shared" si="25"/>
        <v>8356.56</v>
      </c>
      <c r="M39" s="196">
        <f t="shared" si="25"/>
        <v>1954.3399999999997</v>
      </c>
      <c r="N39" s="196">
        <f t="shared" si="25"/>
        <v>2970.08</v>
      </c>
      <c r="O39" s="196">
        <f t="shared" si="25"/>
        <v>544.51</v>
      </c>
      <c r="P39" s="196">
        <f t="shared" si="25"/>
        <v>2025.2099999999994</v>
      </c>
      <c r="Q39" s="196">
        <f t="shared" si="25"/>
        <v>0</v>
      </c>
      <c r="R39" s="196">
        <f>SUM(R7:R37)</f>
        <v>3006.0000000000005</v>
      </c>
      <c r="S39" s="196">
        <f>SUM(S7:S37)</f>
        <v>4499.9999999999991</v>
      </c>
      <c r="T39" s="196">
        <f t="shared" si="25"/>
        <v>1692.1100000000004</v>
      </c>
      <c r="U39" s="196">
        <f>SUM(U7:U37)</f>
        <v>1223.4199999999998</v>
      </c>
      <c r="V39" s="196">
        <f>SUM(V7:V37)</f>
        <v>312</v>
      </c>
      <c r="W39" s="196">
        <f>SUM(W7:W37)</f>
        <v>1366.79</v>
      </c>
      <c r="X39" s="196">
        <f t="shared" si="25"/>
        <v>2489.0000000000005</v>
      </c>
      <c r="Y39" s="196">
        <f t="shared" si="25"/>
        <v>1124.51</v>
      </c>
      <c r="Z39" s="196">
        <f t="shared" si="25"/>
        <v>3972.4800000000005</v>
      </c>
      <c r="AA39" s="228"/>
      <c r="AB39" s="287">
        <f>SUM(AB7:AB38)</f>
        <v>1</v>
      </c>
      <c r="AC39" s="196">
        <f>SUM(AC7:AC38)</f>
        <v>6645.6999999999989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93"/>
      <c r="M40" s="93"/>
      <c r="N40" s="93"/>
      <c r="O40" s="93"/>
      <c r="P40" s="93"/>
      <c r="Q40" s="93"/>
      <c r="R40" s="93"/>
      <c r="S40" s="93"/>
      <c r="T40" s="93"/>
      <c r="U40" s="93"/>
      <c r="W40" s="93"/>
      <c r="X40" s="93"/>
      <c r="Y40" s="93"/>
      <c r="Z40" s="93"/>
    </row>
    <row r="41" spans="2:33" x14ac:dyDescent="0.25">
      <c r="C41" s="17">
        <v>43630</v>
      </c>
      <c r="D41" s="23"/>
      <c r="E41" s="23"/>
      <c r="F41" s="23"/>
      <c r="G41" s="18"/>
      <c r="H41" s="18">
        <v>69758.320000000007</v>
      </c>
      <c r="I41" s="18"/>
      <c r="J41" s="42"/>
      <c r="L41" s="94">
        <v>4171.8</v>
      </c>
      <c r="M41" s="94">
        <v>975.65</v>
      </c>
      <c r="N41" s="94">
        <v>1497</v>
      </c>
      <c r="O41" s="94">
        <v>274.45</v>
      </c>
      <c r="P41" s="94"/>
      <c r="Q41" s="93"/>
      <c r="R41" s="93"/>
      <c r="S41" s="93"/>
      <c r="T41" s="93"/>
      <c r="U41" s="93"/>
      <c r="W41" s="93"/>
      <c r="X41" s="93"/>
      <c r="Y41" s="93"/>
      <c r="Z41" s="93"/>
    </row>
    <row r="42" spans="2:33" x14ac:dyDescent="0.25">
      <c r="C42" s="19">
        <v>43644</v>
      </c>
      <c r="D42" s="24"/>
      <c r="E42" s="24"/>
      <c r="F42" s="24"/>
      <c r="H42" s="2">
        <v>69712.19</v>
      </c>
      <c r="J42" s="43">
        <v>0</v>
      </c>
      <c r="L42" s="94">
        <v>4184.76</v>
      </c>
      <c r="M42" s="94">
        <v>978.69</v>
      </c>
      <c r="N42" s="94">
        <v>1473.08</v>
      </c>
      <c r="O42" s="94">
        <v>270.06</v>
      </c>
      <c r="P42" s="94"/>
      <c r="Q42" s="93"/>
      <c r="R42" s="93"/>
      <c r="S42" s="93"/>
      <c r="T42" s="93"/>
      <c r="U42" s="93"/>
      <c r="W42" s="93"/>
      <c r="X42" s="93"/>
      <c r="Y42" s="93"/>
      <c r="Z42" s="93"/>
    </row>
    <row r="43" spans="2:33" ht="15.75" thickBot="1" x14ac:dyDescent="0.3">
      <c r="C43" s="19"/>
      <c r="D43" s="24"/>
      <c r="E43" s="24"/>
      <c r="F43" s="24"/>
      <c r="H43" s="2">
        <v>5832.51</v>
      </c>
      <c r="J43" s="43"/>
      <c r="L43" s="94"/>
      <c r="M43" s="94"/>
      <c r="N43" s="94"/>
      <c r="O43" s="94"/>
      <c r="P43" s="94"/>
      <c r="Q43" s="93"/>
      <c r="R43" s="93"/>
      <c r="S43" s="93"/>
      <c r="T43" s="93"/>
      <c r="U43" s="93"/>
      <c r="W43" s="93"/>
      <c r="X43" s="93"/>
      <c r="Y43" s="93"/>
      <c r="Z43" s="93"/>
    </row>
    <row r="44" spans="2:33" ht="15.75" thickBot="1" x14ac:dyDescent="0.3">
      <c r="C44" s="20"/>
      <c r="D44" s="20"/>
      <c r="E44" s="20"/>
      <c r="F44" s="20"/>
      <c r="G44" s="105"/>
      <c r="H44" s="236">
        <f>SUM(H41:H43)</f>
        <v>145303.02000000002</v>
      </c>
      <c r="I44" s="5"/>
      <c r="J44" s="44"/>
      <c r="K44" s="239"/>
      <c r="L44" s="95">
        <f>SUM(L41:L42)</f>
        <v>8356.5600000000013</v>
      </c>
      <c r="M44" s="96">
        <f>SUM(M41:M42)</f>
        <v>1954.3400000000001</v>
      </c>
      <c r="N44" s="96">
        <f>SUM(N41:N42)</f>
        <v>2970.08</v>
      </c>
      <c r="O44" s="96">
        <f>SUM(O41:O42)</f>
        <v>544.51</v>
      </c>
      <c r="P44" s="97">
        <f>SUM(P41:P42)</f>
        <v>0</v>
      </c>
      <c r="Q44" s="93"/>
      <c r="R44" s="93"/>
      <c r="S44" s="93"/>
      <c r="T44" s="93"/>
      <c r="U44" s="93"/>
      <c r="W44" s="93"/>
      <c r="X44" s="93"/>
      <c r="Y44" s="93"/>
      <c r="Z44" s="93"/>
    </row>
    <row r="45" spans="2:33" x14ac:dyDescent="0.25">
      <c r="H45" s="53">
        <f>H38</f>
        <v>170462.72</v>
      </c>
      <c r="L45" s="93"/>
      <c r="M45" s="93"/>
      <c r="N45" s="93"/>
      <c r="O45" s="93"/>
      <c r="P45" s="93"/>
      <c r="Q45" s="93"/>
      <c r="R45" s="93"/>
      <c r="S45" s="93"/>
      <c r="T45" s="93"/>
      <c r="U45" s="93"/>
      <c r="W45" s="93"/>
      <c r="X45" s="93"/>
      <c r="Y45" s="93"/>
      <c r="Z45" s="93"/>
      <c r="AG45">
        <v>114.44</v>
      </c>
    </row>
    <row r="46" spans="2:33" x14ac:dyDescent="0.25">
      <c r="B46" s="1" t="s">
        <v>63</v>
      </c>
      <c r="I46" s="2" t="s">
        <v>64</v>
      </c>
      <c r="J46" s="12" t="s">
        <v>65</v>
      </c>
      <c r="L46" s="201">
        <v>196.5</v>
      </c>
      <c r="M46" s="201">
        <v>45.96</v>
      </c>
      <c r="N46" s="201"/>
      <c r="O46" s="201"/>
      <c r="P46" s="66">
        <f>SUM(L46:O46)</f>
        <v>242.46</v>
      </c>
      <c r="AG46">
        <v>151.65</v>
      </c>
    </row>
    <row r="47" spans="2:33" ht="15.75" thickBot="1" x14ac:dyDescent="0.3">
      <c r="L47" s="201">
        <v>229.25</v>
      </c>
      <c r="M47" s="201">
        <v>53.62</v>
      </c>
      <c r="N47" s="201"/>
      <c r="O47" s="201"/>
      <c r="P47" s="66">
        <f>SUM(L47:O47)</f>
        <v>282.87</v>
      </c>
      <c r="R47" s="66">
        <f>SUM(P46:P47)</f>
        <v>525.33000000000004</v>
      </c>
      <c r="S47">
        <f>R47+'[1]May 2019 Alloc '!N58+'[1]April 2019 Alloc  '!R45</f>
        <v>2303.36</v>
      </c>
    </row>
    <row r="48" spans="2:33" x14ac:dyDescent="0.25">
      <c r="B48" s="1" t="s">
        <v>58</v>
      </c>
      <c r="H48" s="17">
        <v>43630</v>
      </c>
      <c r="I48" s="2">
        <v>2769.23</v>
      </c>
      <c r="J48" s="31">
        <v>3697.12</v>
      </c>
      <c r="K48" s="2"/>
      <c r="L48" s="201">
        <v>165.08</v>
      </c>
      <c r="M48" s="201">
        <v>38.61</v>
      </c>
      <c r="N48" s="101">
        <v>83.08</v>
      </c>
      <c r="O48" s="101">
        <v>15.23</v>
      </c>
    </row>
    <row r="49" spans="8:15" x14ac:dyDescent="0.25">
      <c r="H49" s="19">
        <v>43644</v>
      </c>
      <c r="I49" s="2">
        <v>2769.23</v>
      </c>
      <c r="J49" s="31">
        <v>3168.96</v>
      </c>
      <c r="K49" s="2"/>
      <c r="L49" s="201">
        <v>165.08</v>
      </c>
      <c r="M49" s="201">
        <v>38.61</v>
      </c>
      <c r="N49" s="101">
        <v>83.08</v>
      </c>
      <c r="O49" s="101">
        <v>15.23</v>
      </c>
    </row>
    <row r="50" spans="8:15" x14ac:dyDescent="0.25">
      <c r="J50" s="2"/>
      <c r="K50" s="2"/>
      <c r="L50" s="201"/>
      <c r="M50" s="201"/>
      <c r="N50" s="201"/>
      <c r="O50" s="201"/>
    </row>
    <row r="51" spans="8:15" ht="15.75" thickBot="1" x14ac:dyDescent="0.3">
      <c r="J51" s="2"/>
      <c r="K51" s="2"/>
    </row>
    <row r="52" spans="8:15" ht="15.75" thickBot="1" x14ac:dyDescent="0.3">
      <c r="I52" s="241">
        <f>SUM(I48:I51)</f>
        <v>5538.46</v>
      </c>
      <c r="J52" s="242">
        <f>SUM(J48:J51)</f>
        <v>6866.08</v>
      </c>
      <c r="K52" s="2"/>
    </row>
    <row r="54" spans="8:15" x14ac:dyDescent="0.25">
      <c r="J54" s="270">
        <f>J52+'[1]May 2019 Alloc '!I60+'[1]April 2019 Alloc  '!H44+'[1]April 2019 Alloc  '!H45</f>
        <v>30105.11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FF8C-3E35-435F-9F03-2782FAF6082D}">
  <sheetPr>
    <tabColor theme="5" tint="0.39997558519241921"/>
  </sheetPr>
  <dimension ref="B1:AG54"/>
  <sheetViews>
    <sheetView topLeftCell="B1" zoomScale="85" zoomScaleNormal="85" workbookViewId="0">
      <selection activeCell="C16" sqref="C16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66</v>
      </c>
      <c r="L1" s="66">
        <v>7251</v>
      </c>
      <c r="M1" s="66">
        <v>7252</v>
      </c>
      <c r="N1" s="66">
        <v>7253</v>
      </c>
      <c r="O1" s="66">
        <v>7254</v>
      </c>
      <c r="P1" s="66">
        <v>7260.1</v>
      </c>
      <c r="Q1" s="201"/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66">
        <v>7248</v>
      </c>
    </row>
    <row r="2" spans="2:30" ht="17.25" thickBot="1" x14ac:dyDescent="0.4">
      <c r="L2" s="202" t="s">
        <v>1</v>
      </c>
      <c r="M2" s="202" t="s">
        <v>2</v>
      </c>
      <c r="N2" s="202" t="s">
        <v>3</v>
      </c>
      <c r="O2" s="202" t="s">
        <v>4</v>
      </c>
      <c r="P2" s="202" t="s">
        <v>5</v>
      </c>
      <c r="Q2" s="202"/>
      <c r="R2" s="201" t="s">
        <v>6</v>
      </c>
      <c r="S2" s="203" t="s">
        <v>7</v>
      </c>
      <c r="T2" s="203" t="s">
        <v>8</v>
      </c>
      <c r="U2" s="203" t="s">
        <v>9</v>
      </c>
      <c r="V2" s="201" t="s">
        <v>10</v>
      </c>
      <c r="W2" s="203" t="s">
        <v>11</v>
      </c>
      <c r="X2" s="203" t="s">
        <v>12</v>
      </c>
      <c r="Y2" s="203" t="s">
        <v>13</v>
      </c>
      <c r="Z2" s="203" t="s">
        <v>14</v>
      </c>
      <c r="AA2" s="101"/>
      <c r="AB2" s="275"/>
      <c r="AC2" s="276" t="s">
        <v>15</v>
      </c>
      <c r="AD2" s="2"/>
    </row>
    <row r="3" spans="2:30" ht="15.75" thickBot="1" x14ac:dyDescent="0.3">
      <c r="L3" s="271">
        <v>8356.56</v>
      </c>
      <c r="M3" s="271">
        <v>1954.34</v>
      </c>
      <c r="N3" s="271">
        <v>2970.08</v>
      </c>
      <c r="O3" s="271">
        <v>544.51</v>
      </c>
      <c r="P3" s="102">
        <v>2025.21</v>
      </c>
      <c r="Q3" s="101"/>
      <c r="R3" s="204">
        <v>3006</v>
      </c>
      <c r="S3" s="103">
        <v>4500</v>
      </c>
      <c r="T3" s="103">
        <v>1692.11</v>
      </c>
      <c r="U3" s="102">
        <v>1223.42</v>
      </c>
      <c r="V3" s="204">
        <v>312</v>
      </c>
      <c r="W3" s="103">
        <v>1366.79</v>
      </c>
      <c r="X3" s="103">
        <v>2489</v>
      </c>
      <c r="Y3" s="102">
        <v>1124.51</v>
      </c>
      <c r="Z3" s="204">
        <v>3972.48</v>
      </c>
      <c r="AA3" s="101"/>
      <c r="AB3" s="277"/>
      <c r="AC3" s="278">
        <v>6645.7</v>
      </c>
      <c r="AD3" s="2"/>
    </row>
    <row r="4" spans="2:30" x14ac:dyDescent="0.25">
      <c r="L4" s="201">
        <v>1</v>
      </c>
      <c r="M4" s="201">
        <v>2</v>
      </c>
      <c r="N4" s="201">
        <v>3</v>
      </c>
      <c r="O4" s="201">
        <v>4</v>
      </c>
      <c r="P4" s="201">
        <v>5</v>
      </c>
      <c r="Q4" s="201">
        <v>6</v>
      </c>
      <c r="R4" s="201">
        <v>15</v>
      </c>
      <c r="S4" s="201">
        <v>9</v>
      </c>
      <c r="T4" s="201">
        <v>7</v>
      </c>
      <c r="U4" s="201">
        <v>11</v>
      </c>
      <c r="V4" s="201">
        <v>16</v>
      </c>
      <c r="W4" s="201">
        <v>10</v>
      </c>
      <c r="X4" s="201">
        <v>8</v>
      </c>
      <c r="Y4" s="201">
        <v>13</v>
      </c>
      <c r="Z4" s="201">
        <v>14</v>
      </c>
      <c r="AA4" s="201"/>
      <c r="AB4" s="279"/>
      <c r="AC4" s="280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79"/>
      <c r="AC5" s="280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4" si="0">H6/$I$34</f>
        <v>0</v>
      </c>
      <c r="K6" s="2">
        <f>H6/$H$39</f>
        <v>0</v>
      </c>
      <c r="L6" s="176">
        <f>J6*$L$3</f>
        <v>0</v>
      </c>
      <c r="M6" s="176">
        <f>J6*$M$3</f>
        <v>0</v>
      </c>
      <c r="N6" s="176">
        <f>J6*$N$3</f>
        <v>0</v>
      </c>
      <c r="O6" s="176">
        <f>J6*$O$3</f>
        <v>0</v>
      </c>
      <c r="P6" s="176">
        <f>J6*$P$3</f>
        <v>0</v>
      </c>
      <c r="Q6" s="176"/>
      <c r="R6" s="176">
        <f>J6*$R$3</f>
        <v>0</v>
      </c>
      <c r="S6" s="176">
        <f>J6*$S$3</f>
        <v>0</v>
      </c>
      <c r="T6" s="176">
        <f>J6*$T$3</f>
        <v>0</v>
      </c>
      <c r="U6" s="176">
        <f>J6*$U$3</f>
        <v>0</v>
      </c>
      <c r="V6" s="176">
        <f>J6*$V$3</f>
        <v>0</v>
      </c>
      <c r="W6" s="176">
        <f>J6*$W$3</f>
        <v>0</v>
      </c>
      <c r="X6" s="176">
        <f>J6*$X$3</f>
        <v>0</v>
      </c>
      <c r="Y6" s="176">
        <f>J6*$Y$3</f>
        <v>0</v>
      </c>
      <c r="Z6" s="176">
        <f>J6*$Z$3</f>
        <v>0</v>
      </c>
      <c r="AA6" s="176"/>
      <c r="AB6" s="277">
        <f t="shared" ref="AB6:AB38" si="1">H6/$H$39</f>
        <v>0</v>
      </c>
      <c r="AC6" s="278">
        <f>AB6*$AC$3</f>
        <v>0</v>
      </c>
    </row>
    <row r="7" spans="2:30" x14ac:dyDescent="0.25">
      <c r="B7" s="1">
        <v>111</v>
      </c>
      <c r="C7" t="s">
        <v>20</v>
      </c>
      <c r="D7" s="2"/>
      <c r="H7" s="101">
        <v>26415.68</v>
      </c>
      <c r="J7" s="2">
        <f t="shared" si="0"/>
        <v>0.18179743517710117</v>
      </c>
      <c r="K7" s="2">
        <f t="shared" ref="K7:K34" si="2">H7/$I$36</f>
        <v>0.16749807998815022</v>
      </c>
      <c r="L7" s="176">
        <f t="shared" ref="L7:L34" si="3">J7*$L$3</f>
        <v>1519.2011749035564</v>
      </c>
      <c r="M7" s="176">
        <f t="shared" ref="M7:M34" si="4">J7*$M$3</f>
        <v>355.29399946401588</v>
      </c>
      <c r="N7" s="176">
        <f t="shared" ref="N7:N34" si="5">J7*$N$3</f>
        <v>539.9529262708046</v>
      </c>
      <c r="O7" s="176">
        <f t="shared" ref="O7:O34" si="6">J7*$O$3</f>
        <v>98.990521428283358</v>
      </c>
      <c r="P7" s="176">
        <f t="shared" ref="P7:P34" si="7">J7*$P$3</f>
        <v>368.17798369501708</v>
      </c>
      <c r="Q7" s="176"/>
      <c r="R7" s="176">
        <f t="shared" ref="R7:R37" si="8">K7*$R$3</f>
        <v>503.49922844437958</v>
      </c>
      <c r="S7" s="176">
        <f t="shared" ref="S7:S37" si="9">K7*$S$3</f>
        <v>753.74135994667597</v>
      </c>
      <c r="T7" s="176">
        <f>K7*$T$3</f>
        <v>283.42517612874883</v>
      </c>
      <c r="U7" s="176">
        <f t="shared" ref="U7:U37" si="10">K7*$U$3</f>
        <v>204.92050101910274</v>
      </c>
      <c r="V7" s="176">
        <f t="shared" ref="V7:V37" si="11">K7*$V$3</f>
        <v>52.259400956302869</v>
      </c>
      <c r="W7" s="176">
        <f t="shared" ref="W7:W37" si="12">K7*$W$3</f>
        <v>228.93470074700383</v>
      </c>
      <c r="X7" s="176">
        <f>K7*$X$3</f>
        <v>416.90272109050591</v>
      </c>
      <c r="Y7" s="176">
        <f t="shared" ref="Y7:Y37" si="13">K7*$Y$3</f>
        <v>188.35326592747481</v>
      </c>
      <c r="Z7" s="176">
        <f t="shared" ref="Z7:Z37" si="14">K7*$Z$3</f>
        <v>665.38277279132694</v>
      </c>
      <c r="AA7" s="176"/>
      <c r="AB7" s="277">
        <f t="shared" si="1"/>
        <v>8.0493870739221582E-2</v>
      </c>
      <c r="AC7" s="278">
        <f t="shared" ref="AC7:AC34" si="15">AB7*$AC$3</f>
        <v>534.9381167716449</v>
      </c>
    </row>
    <row r="8" spans="2:30" x14ac:dyDescent="0.25">
      <c r="B8" s="1" t="s">
        <v>21</v>
      </c>
      <c r="C8" t="s">
        <v>22</v>
      </c>
      <c r="D8" s="2"/>
      <c r="H8" s="101">
        <v>2686.88</v>
      </c>
      <c r="J8" s="2">
        <f t="shared" si="0"/>
        <v>1.849158880742989E-2</v>
      </c>
      <c r="K8" s="2">
        <f t="shared" si="2"/>
        <v>1.7037124963603476E-2</v>
      </c>
      <c r="L8" s="176">
        <f>J8*$L$3</f>
        <v>154.52607136461631</v>
      </c>
      <c r="M8" s="176">
        <f>J8*$M$3</f>
        <v>36.138851669912533</v>
      </c>
      <c r="N8" s="176">
        <f>J8*$N$3</f>
        <v>54.921498085171365</v>
      </c>
      <c r="O8" s="176">
        <f>J8*$O$3</f>
        <v>10.068855021533649</v>
      </c>
      <c r="P8" s="176">
        <f>J8*$P$3</f>
        <v>37.449350568695088</v>
      </c>
      <c r="Q8" s="176"/>
      <c r="R8" s="176">
        <f t="shared" si="8"/>
        <v>51.213597640592049</v>
      </c>
      <c r="S8" s="176">
        <f t="shared" si="9"/>
        <v>76.667062336215636</v>
      </c>
      <c r="T8" s="176">
        <f t="shared" ref="T8:T37" si="16">K8*$T$3</f>
        <v>28.828689522163074</v>
      </c>
      <c r="U8" s="176">
        <f t="shared" si="10"/>
        <v>20.843559422971765</v>
      </c>
      <c r="V8" s="176">
        <f t="shared" si="11"/>
        <v>5.3155829886442847</v>
      </c>
      <c r="W8" s="176">
        <f t="shared" si="12"/>
        <v>23.286172029003595</v>
      </c>
      <c r="X8" s="176">
        <f t="shared" ref="X8:X37" si="17">K8*$X$3</f>
        <v>42.405404034409052</v>
      </c>
      <c r="Y8" s="176">
        <f t="shared" si="13"/>
        <v>19.158417392821743</v>
      </c>
      <c r="Z8" s="176">
        <f t="shared" si="14"/>
        <v>67.679638175415533</v>
      </c>
      <c r="AA8" s="176"/>
      <c r="AB8" s="277">
        <f t="shared" si="1"/>
        <v>8.1874618185789529E-3</v>
      </c>
      <c r="AC8" s="278">
        <f>AB8*$AC$3</f>
        <v>54.411415007730149</v>
      </c>
    </row>
    <row r="9" spans="2:30" x14ac:dyDescent="0.25">
      <c r="B9" s="1" t="s">
        <v>23</v>
      </c>
      <c r="C9" t="s">
        <v>24</v>
      </c>
      <c r="D9" s="2"/>
      <c r="H9" s="101">
        <v>2583.91</v>
      </c>
      <c r="J9" s="2">
        <f t="shared" si="0"/>
        <v>1.7782930847453613E-2</v>
      </c>
      <c r="K9" s="2">
        <f t="shared" si="2"/>
        <v>1.6384206799226111E-2</v>
      </c>
      <c r="L9" s="176">
        <f>J9*$L$3</f>
        <v>148.60412860259694</v>
      </c>
      <c r="M9" s="176">
        <f>J9*$M$3</f>
        <v>34.753893072412495</v>
      </c>
      <c r="N9" s="176">
        <f>J9*$N$3</f>
        <v>52.816727251405027</v>
      </c>
      <c r="O9" s="176">
        <f>J9*$O$3</f>
        <v>9.6829836757469661</v>
      </c>
      <c r="P9" s="176">
        <f>J9*$P$3</f>
        <v>36.014169381571534</v>
      </c>
      <c r="Q9" s="176"/>
      <c r="R9" s="176">
        <f t="shared" si="8"/>
        <v>49.250925638473689</v>
      </c>
      <c r="S9" s="176">
        <f t="shared" si="9"/>
        <v>73.7289305965175</v>
      </c>
      <c r="T9" s="176">
        <f t="shared" si="16"/>
        <v>27.723880167038491</v>
      </c>
      <c r="U9" s="176">
        <f t="shared" si="10"/>
        <v>20.044766282309208</v>
      </c>
      <c r="V9" s="176">
        <f t="shared" si="11"/>
        <v>5.1118725213585465</v>
      </c>
      <c r="W9" s="176">
        <f t="shared" si="12"/>
        <v>22.393770011114256</v>
      </c>
      <c r="X9" s="176">
        <f t="shared" si="17"/>
        <v>40.780290723273787</v>
      </c>
      <c r="Y9" s="176">
        <f t="shared" si="13"/>
        <v>18.424204387797754</v>
      </c>
      <c r="Z9" s="176">
        <f t="shared" si="14"/>
        <v>65.085933825789738</v>
      </c>
      <c r="AA9" s="176"/>
      <c r="AB9" s="277">
        <f t="shared" si="1"/>
        <v>7.8736915930909986E-3</v>
      </c>
      <c r="AC9" s="278">
        <f>AB9*$AC$3</f>
        <v>52.326192220204845</v>
      </c>
    </row>
    <row r="10" spans="2:30" x14ac:dyDescent="0.25">
      <c r="B10" s="1" t="s">
        <v>25</v>
      </c>
      <c r="C10" t="s">
        <v>26</v>
      </c>
      <c r="D10" s="2"/>
      <c r="H10" s="101">
        <v>253.28</v>
      </c>
      <c r="J10" s="2">
        <f t="shared" si="0"/>
        <v>1.7431182684548034E-3</v>
      </c>
      <c r="K10" s="2">
        <f t="shared" si="2"/>
        <v>1.6060125538846128E-3</v>
      </c>
      <c r="L10" s="176">
        <f t="shared" si="3"/>
        <v>14.566472397438671</v>
      </c>
      <c r="M10" s="176">
        <f t="shared" si="4"/>
        <v>3.4066457567719604</v>
      </c>
      <c r="N10" s="176">
        <f t="shared" si="5"/>
        <v>5.1772007067722425</v>
      </c>
      <c r="O10" s="176">
        <f t="shared" si="6"/>
        <v>0.94914532835632504</v>
      </c>
      <c r="P10" s="176">
        <f t="shared" si="7"/>
        <v>3.5301805484573525</v>
      </c>
      <c r="Q10" s="176"/>
      <c r="R10" s="176">
        <f t="shared" si="8"/>
        <v>4.8276737369771459</v>
      </c>
      <c r="S10" s="176">
        <f t="shared" si="9"/>
        <v>7.2270564924807577</v>
      </c>
      <c r="T10" s="176">
        <f t="shared" si="16"/>
        <v>2.7175499025536922</v>
      </c>
      <c r="U10" s="176">
        <f t="shared" si="10"/>
        <v>1.9648278786735132</v>
      </c>
      <c r="V10" s="176">
        <f t="shared" si="11"/>
        <v>0.50107591681199926</v>
      </c>
      <c r="W10" s="176">
        <f t="shared" si="12"/>
        <v>2.19508189852395</v>
      </c>
      <c r="X10" s="176">
        <f t="shared" si="17"/>
        <v>3.9973652466188012</v>
      </c>
      <c r="Y10" s="176">
        <f t="shared" si="13"/>
        <v>1.805977176968786</v>
      </c>
      <c r="Z10" s="176">
        <f t="shared" si="14"/>
        <v>6.3798527500555471</v>
      </c>
      <c r="AA10" s="176"/>
      <c r="AB10" s="277">
        <f t="shared" si="1"/>
        <v>7.7179491804981132E-4</v>
      </c>
      <c r="AC10" s="278">
        <f t="shared" si="15"/>
        <v>5.1291174868836311</v>
      </c>
    </row>
    <row r="11" spans="2:30" x14ac:dyDescent="0.25">
      <c r="B11" s="1">
        <v>112</v>
      </c>
      <c r="C11" t="s">
        <v>27</v>
      </c>
      <c r="D11" s="2"/>
      <c r="H11" s="101">
        <v>27856.16</v>
      </c>
      <c r="J11" s="2">
        <f t="shared" si="0"/>
        <v>0.19171107621999353</v>
      </c>
      <c r="K11" s="2">
        <f t="shared" si="2"/>
        <v>0.17663195934546114</v>
      </c>
      <c r="L11" s="176">
        <f t="shared" si="3"/>
        <v>1602.0451110969491</v>
      </c>
      <c r="M11" s="176">
        <f t="shared" si="4"/>
        <v>374.66862469978213</v>
      </c>
      <c r="N11" s="176">
        <f t="shared" si="5"/>
        <v>569.39723325947841</v>
      </c>
      <c r="O11" s="176">
        <f t="shared" si="6"/>
        <v>104.38859811254868</v>
      </c>
      <c r="P11" s="176">
        <f t="shared" si="7"/>
        <v>388.2551886714931</v>
      </c>
      <c r="Q11" s="176"/>
      <c r="R11" s="176">
        <f t="shared" si="8"/>
        <v>530.95566979245621</v>
      </c>
      <c r="S11" s="176">
        <f t="shared" si="9"/>
        <v>794.84381705457508</v>
      </c>
      <c r="T11" s="176">
        <f t="shared" si="16"/>
        <v>298.88070472804822</v>
      </c>
      <c r="U11" s="176">
        <f t="shared" si="10"/>
        <v>216.09507170242406</v>
      </c>
      <c r="V11" s="176">
        <f t="shared" si="11"/>
        <v>55.109171315783875</v>
      </c>
      <c r="W11" s="176">
        <f t="shared" si="12"/>
        <v>241.41879571378283</v>
      </c>
      <c r="X11" s="176">
        <f t="shared" si="17"/>
        <v>439.63694681085275</v>
      </c>
      <c r="Y11" s="176">
        <f t="shared" si="13"/>
        <v>198.6244046035645</v>
      </c>
      <c r="Z11" s="176">
        <f t="shared" si="14"/>
        <v>701.66692586065744</v>
      </c>
      <c r="AA11" s="176"/>
      <c r="AB11" s="277">
        <f t="shared" si="1"/>
        <v>8.4883301975609726E-2</v>
      </c>
      <c r="AC11" s="278">
        <f t="shared" si="15"/>
        <v>564.10895993930956</v>
      </c>
    </row>
    <row r="12" spans="2:30" ht="15.75" thickBot="1" x14ac:dyDescent="0.3">
      <c r="B12" s="1">
        <v>222</v>
      </c>
      <c r="C12" t="s">
        <v>29</v>
      </c>
      <c r="D12" s="2"/>
      <c r="H12" s="101">
        <v>2480.65</v>
      </c>
      <c r="J12" s="2">
        <f t="shared" si="0"/>
        <v>1.707227705560016E-2</v>
      </c>
      <c r="K12" s="2">
        <f t="shared" si="2"/>
        <v>1.5729449785983358E-2</v>
      </c>
      <c r="L12" s="176">
        <f t="shared" si="3"/>
        <v>142.66550755174606</v>
      </c>
      <c r="M12" s="176">
        <f t="shared" si="4"/>
        <v>33.365033940841613</v>
      </c>
      <c r="N12" s="176">
        <f t="shared" si="5"/>
        <v>50.706028637296924</v>
      </c>
      <c r="O12" s="176">
        <f t="shared" si="6"/>
        <v>9.2960255795448425</v>
      </c>
      <c r="P12" s="176">
        <f t="shared" si="7"/>
        <v>34.574946215772002</v>
      </c>
      <c r="Q12" s="176"/>
      <c r="R12" s="176">
        <f t="shared" si="8"/>
        <v>47.282726056665972</v>
      </c>
      <c r="S12" s="176">
        <f t="shared" si="9"/>
        <v>70.782524036925111</v>
      </c>
      <c r="T12" s="176">
        <f t="shared" si="16"/>
        <v>26.615959277360297</v>
      </c>
      <c r="U12" s="176">
        <f t="shared" si="10"/>
        <v>19.243723457167761</v>
      </c>
      <c r="V12" s="176">
        <f t="shared" si="11"/>
        <v>4.9075883332268075</v>
      </c>
      <c r="W12" s="176">
        <f t="shared" si="12"/>
        <v>21.498854672984194</v>
      </c>
      <c r="X12" s="176">
        <f t="shared" si="17"/>
        <v>39.150600517312576</v>
      </c>
      <c r="Y12" s="176">
        <f t="shared" si="13"/>
        <v>17.687923578836145</v>
      </c>
      <c r="Z12" s="176">
        <f t="shared" si="14"/>
        <v>62.484924685823167</v>
      </c>
      <c r="AA12" s="176"/>
      <c r="AB12" s="277">
        <f t="shared" si="1"/>
        <v>7.5590376794861993E-3</v>
      </c>
      <c r="AC12" s="278">
        <f t="shared" si="15"/>
        <v>50.235096706561436</v>
      </c>
    </row>
    <row r="13" spans="2:30" ht="15.75" thickBot="1" x14ac:dyDescent="0.3">
      <c r="B13" s="1">
        <v>223</v>
      </c>
      <c r="C13" t="s">
        <v>30</v>
      </c>
      <c r="D13" s="2"/>
      <c r="H13" s="101">
        <v>5471.42</v>
      </c>
      <c r="I13" s="28"/>
      <c r="J13" s="2">
        <f t="shared" si="0"/>
        <v>3.7655291204947018E-2</v>
      </c>
      <c r="K13" s="2">
        <f t="shared" si="2"/>
        <v>3.4693498134773168E-2</v>
      </c>
      <c r="L13" s="176">
        <f t="shared" si="3"/>
        <v>314.66870027161201</v>
      </c>
      <c r="M13" s="176">
        <f t="shared" si="4"/>
        <v>73.591241813476159</v>
      </c>
      <c r="N13" s="176">
        <f t="shared" si="5"/>
        <v>111.83922730198904</v>
      </c>
      <c r="O13" s="176">
        <f t="shared" si="6"/>
        <v>20.503682614005701</v>
      </c>
      <c r="P13" s="176">
        <f t="shared" si="7"/>
        <v>76.259872301170745</v>
      </c>
      <c r="Q13" s="176"/>
      <c r="R13" s="176">
        <f t="shared" si="8"/>
        <v>104.28865539312814</v>
      </c>
      <c r="S13" s="176">
        <f t="shared" si="9"/>
        <v>156.12074160647924</v>
      </c>
      <c r="T13" s="176">
        <f t="shared" si="16"/>
        <v>58.705215128831021</v>
      </c>
      <c r="U13" s="176">
        <f t="shared" si="10"/>
        <v>42.444719488044193</v>
      </c>
      <c r="V13" s="176">
        <f t="shared" si="11"/>
        <v>10.824371418049228</v>
      </c>
      <c r="W13" s="176">
        <f t="shared" si="12"/>
        <v>47.418726315626614</v>
      </c>
      <c r="X13" s="176">
        <f t="shared" si="17"/>
        <v>86.352116857450412</v>
      </c>
      <c r="Y13" s="176">
        <f t="shared" si="13"/>
        <v>39.013185587533776</v>
      </c>
      <c r="Z13" s="176">
        <f t="shared" si="14"/>
        <v>137.81922747042373</v>
      </c>
      <c r="AA13" s="281"/>
      <c r="AB13" s="103">
        <f t="shared" si="1"/>
        <v>1.6672513228506391E-2</v>
      </c>
      <c r="AC13" s="282">
        <f t="shared" si="15"/>
        <v>110.80052116268492</v>
      </c>
    </row>
    <row r="14" spans="2:30" x14ac:dyDescent="0.25">
      <c r="B14" s="1">
        <v>566</v>
      </c>
      <c r="C14" t="s">
        <v>31</v>
      </c>
      <c r="D14" s="2"/>
      <c r="H14" s="101"/>
      <c r="J14" s="2">
        <f t="shared" si="0"/>
        <v>0</v>
      </c>
      <c r="K14" s="2">
        <f t="shared" si="2"/>
        <v>0</v>
      </c>
      <c r="L14" s="176">
        <f t="shared" ref="L14:Q14" si="18">$J$36*L3</f>
        <v>0</v>
      </c>
      <c r="M14" s="176">
        <f t="shared" si="18"/>
        <v>0</v>
      </c>
      <c r="N14" s="176">
        <f t="shared" si="18"/>
        <v>0</v>
      </c>
      <c r="O14" s="176">
        <f t="shared" si="18"/>
        <v>0</v>
      </c>
      <c r="P14" s="176">
        <f t="shared" si="18"/>
        <v>0</v>
      </c>
      <c r="Q14" s="176">
        <f t="shared" si="18"/>
        <v>0</v>
      </c>
      <c r="R14" s="176">
        <f t="shared" si="8"/>
        <v>0</v>
      </c>
      <c r="S14" s="176">
        <f t="shared" si="9"/>
        <v>0</v>
      </c>
      <c r="T14" s="176">
        <f t="shared" si="16"/>
        <v>0</v>
      </c>
      <c r="U14" s="176">
        <f t="shared" si="10"/>
        <v>0</v>
      </c>
      <c r="V14" s="176">
        <f t="shared" si="11"/>
        <v>0</v>
      </c>
      <c r="W14" s="176">
        <f t="shared" si="12"/>
        <v>0</v>
      </c>
      <c r="X14" s="176">
        <f t="shared" si="17"/>
        <v>0</v>
      </c>
      <c r="Y14" s="176">
        <f t="shared" si="13"/>
        <v>0</v>
      </c>
      <c r="Z14" s="176">
        <f t="shared" si="14"/>
        <v>0</v>
      </c>
      <c r="AA14" s="176"/>
      <c r="AB14" s="277">
        <f t="shared" si="1"/>
        <v>0</v>
      </c>
      <c r="AC14" s="276">
        <f t="shared" si="15"/>
        <v>0</v>
      </c>
    </row>
    <row r="15" spans="2:30" x14ac:dyDescent="0.25">
      <c r="B15" s="1" t="s">
        <v>32</v>
      </c>
      <c r="C15" s="230" t="s">
        <v>73</v>
      </c>
      <c r="D15" s="2"/>
      <c r="H15" s="2">
        <v>2146.15</v>
      </c>
      <c r="J15" s="2">
        <f t="shared" si="0"/>
        <v>1.4770188217957505E-2</v>
      </c>
      <c r="K15" s="2">
        <f t="shared" si="2"/>
        <v>1.3608432732625797E-2</v>
      </c>
      <c r="L15" s="176">
        <f>J15*$L$3</f>
        <v>123.42796405465495</v>
      </c>
      <c r="M15" s="176">
        <f>J15*$M$3</f>
        <v>28.865969641883069</v>
      </c>
      <c r="N15" s="176">
        <f>J15*$N$3</f>
        <v>43.868640622391226</v>
      </c>
      <c r="O15" s="176">
        <f>J15*$O$3</f>
        <v>8.0425151865600402</v>
      </c>
      <c r="P15" s="176">
        <f>J15*$P$3</f>
        <v>29.912732880889717</v>
      </c>
      <c r="Q15" s="176"/>
      <c r="R15" s="176">
        <f t="shared" si="8"/>
        <v>40.906948794273148</v>
      </c>
      <c r="S15" s="176">
        <f t="shared" si="9"/>
        <v>61.237947296816088</v>
      </c>
      <c r="T15" s="176">
        <f t="shared" si="16"/>
        <v>23.026965111203435</v>
      </c>
      <c r="U15" s="176">
        <f t="shared" si="10"/>
        <v>16.648828773749052</v>
      </c>
      <c r="V15" s="176">
        <f t="shared" si="11"/>
        <v>4.2458310125792487</v>
      </c>
      <c r="W15" s="176">
        <f t="shared" si="12"/>
        <v>18.599869774625613</v>
      </c>
      <c r="X15" s="176">
        <f t="shared" si="17"/>
        <v>33.871389071505611</v>
      </c>
      <c r="Y15" s="176">
        <f t="shared" si="13"/>
        <v>15.302818692165035</v>
      </c>
      <c r="Z15" s="176">
        <f t="shared" si="14"/>
        <v>54.059226861701326</v>
      </c>
      <c r="AA15" s="176"/>
      <c r="AB15" s="277">
        <f t="shared" si="1"/>
        <v>6.5397491447117921E-3</v>
      </c>
      <c r="AC15" s="278">
        <f>AB15*$AC$3</f>
        <v>43.461210891011156</v>
      </c>
    </row>
    <row r="16" spans="2:30" x14ac:dyDescent="0.25">
      <c r="B16" s="1" t="s">
        <v>33</v>
      </c>
      <c r="C16" s="230" t="s">
        <v>115</v>
      </c>
      <c r="D16" s="2"/>
      <c r="H16" s="2">
        <v>3538.46</v>
      </c>
      <c r="J16" s="2">
        <f t="shared" si="0"/>
        <v>2.4352314703871541E-2</v>
      </c>
      <c r="K16" s="2">
        <f t="shared" si="2"/>
        <v>2.2436872952536904E-2</v>
      </c>
      <c r="L16" s="176">
        <f t="shared" si="3"/>
        <v>203.50157896178476</v>
      </c>
      <c r="M16" s="176">
        <f t="shared" si="4"/>
        <v>47.592702718364308</v>
      </c>
      <c r="N16" s="176">
        <f t="shared" si="5"/>
        <v>72.328322855674784</v>
      </c>
      <c r="O16" s="176">
        <f t="shared" si="6"/>
        <v>13.260078879405093</v>
      </c>
      <c r="P16" s="176">
        <f t="shared" si="7"/>
        <v>49.318551261427686</v>
      </c>
      <c r="Q16" s="176"/>
      <c r="R16" s="176">
        <f t="shared" si="8"/>
        <v>67.445240095325929</v>
      </c>
      <c r="S16" s="176">
        <f t="shared" si="9"/>
        <v>100.96592828641607</v>
      </c>
      <c r="T16" s="176">
        <f t="shared" si="16"/>
        <v>37.965657091717219</v>
      </c>
      <c r="U16" s="176">
        <f t="shared" si="10"/>
        <v>27.449719107592699</v>
      </c>
      <c r="V16" s="176">
        <f t="shared" si="11"/>
        <v>7.0003043611915139</v>
      </c>
      <c r="W16" s="176">
        <f t="shared" si="12"/>
        <v>30.666493582797912</v>
      </c>
      <c r="X16" s="176">
        <f t="shared" si="17"/>
        <v>55.845376778864356</v>
      </c>
      <c r="Y16" s="176">
        <f t="shared" si="13"/>
        <v>25.230488003857275</v>
      </c>
      <c r="Z16" s="176">
        <f t="shared" si="14"/>
        <v>89.130029066493805</v>
      </c>
      <c r="AA16" s="176"/>
      <c r="AB16" s="277">
        <f t="shared" si="1"/>
        <v>1.0782396737691628E-2</v>
      </c>
      <c r="AC16" s="278">
        <f t="shared" si="15"/>
        <v>71.656573999677249</v>
      </c>
    </row>
    <row r="17" spans="2:29" x14ac:dyDescent="0.25">
      <c r="B17" s="1" t="s">
        <v>35</v>
      </c>
      <c r="C17" t="s">
        <v>36</v>
      </c>
      <c r="D17" s="2"/>
      <c r="E17" s="26"/>
      <c r="F17" s="26"/>
      <c r="H17" s="2">
        <v>3780</v>
      </c>
      <c r="I17" s="6"/>
      <c r="J17" s="2">
        <f t="shared" si="0"/>
        <v>2.6014636192195031E-2</v>
      </c>
      <c r="K17" s="2">
        <f t="shared" si="2"/>
        <v>2.3968443831663914E-2</v>
      </c>
      <c r="L17" s="176">
        <f t="shared" si="3"/>
        <v>217.3928682182493</v>
      </c>
      <c r="M17" s="176">
        <f t="shared" si="4"/>
        <v>50.841444095854435</v>
      </c>
      <c r="N17" s="176">
        <f t="shared" si="5"/>
        <v>77.265550661714613</v>
      </c>
      <c r="O17" s="176">
        <f t="shared" si="6"/>
        <v>14.165229553012116</v>
      </c>
      <c r="P17" s="176">
        <f t="shared" si="7"/>
        <v>52.685101362795301</v>
      </c>
      <c r="Q17" s="176"/>
      <c r="R17" s="176">
        <f t="shared" si="8"/>
        <v>72.04914215798172</v>
      </c>
      <c r="S17" s="176">
        <f t="shared" si="9"/>
        <v>107.85799724248761</v>
      </c>
      <c r="T17" s="176">
        <f t="shared" si="16"/>
        <v>40.557243491996822</v>
      </c>
      <c r="U17" s="176">
        <f t="shared" si="10"/>
        <v>29.323473552534267</v>
      </c>
      <c r="V17" s="176">
        <f t="shared" si="11"/>
        <v>7.4781544754791414</v>
      </c>
      <c r="W17" s="176">
        <f t="shared" si="12"/>
        <v>32.759829344679922</v>
      </c>
      <c r="X17" s="176">
        <f t="shared" si="17"/>
        <v>59.657456697011483</v>
      </c>
      <c r="Y17" s="176">
        <f t="shared" si="13"/>
        <v>26.952754773144388</v>
      </c>
      <c r="Z17" s="176">
        <f t="shared" si="14"/>
        <v>95.214163752408268</v>
      </c>
      <c r="AA17" s="176"/>
      <c r="AB17" s="277">
        <f t="shared" si="1"/>
        <v>1.151841752301124E-2</v>
      </c>
      <c r="AC17" s="278">
        <f t="shared" si="15"/>
        <v>76.54794733267579</v>
      </c>
    </row>
    <row r="18" spans="2:29" x14ac:dyDescent="0.25">
      <c r="B18" s="1" t="s">
        <v>37</v>
      </c>
      <c r="C18" t="s">
        <v>38</v>
      </c>
      <c r="D18" s="2"/>
      <c r="H18" s="2">
        <v>2000</v>
      </c>
      <c r="J18" s="2">
        <f t="shared" si="0"/>
        <v>1.3764357773648164E-2</v>
      </c>
      <c r="K18" s="2">
        <f t="shared" si="2"/>
        <v>1.2681716313049689E-2</v>
      </c>
      <c r="L18" s="176">
        <f t="shared" si="3"/>
        <v>115.0226815969573</v>
      </c>
      <c r="M18" s="176">
        <f t="shared" si="4"/>
        <v>26.900234971351551</v>
      </c>
      <c r="N18" s="176">
        <f t="shared" si="5"/>
        <v>40.881243736356936</v>
      </c>
      <c r="O18" s="176">
        <f t="shared" si="6"/>
        <v>7.4948304513291619</v>
      </c>
      <c r="P18" s="176">
        <f t="shared" si="7"/>
        <v>27.875715006769997</v>
      </c>
      <c r="Q18" s="176"/>
      <c r="R18" s="176">
        <f t="shared" si="8"/>
        <v>38.121239237027368</v>
      </c>
      <c r="S18" s="176">
        <f t="shared" si="9"/>
        <v>57.067723408723602</v>
      </c>
      <c r="T18" s="176">
        <f t="shared" si="16"/>
        <v>21.458858990474507</v>
      </c>
      <c r="U18" s="176">
        <f t="shared" si="10"/>
        <v>15.515065371711252</v>
      </c>
      <c r="V18" s="176">
        <f t="shared" si="11"/>
        <v>3.9566954896715032</v>
      </c>
      <c r="W18" s="176">
        <f t="shared" si="12"/>
        <v>17.333243039513185</v>
      </c>
      <c r="X18" s="176">
        <f t="shared" si="17"/>
        <v>31.564791903180677</v>
      </c>
      <c r="Y18" s="176">
        <f t="shared" si="13"/>
        <v>14.260716811187507</v>
      </c>
      <c r="Z18" s="176">
        <f t="shared" si="14"/>
        <v>50.377864419263631</v>
      </c>
      <c r="AA18" s="176"/>
      <c r="AB18" s="277">
        <f t="shared" si="1"/>
        <v>6.0944008058260533E-3</v>
      </c>
      <c r="AC18" s="278">
        <f t="shared" si="15"/>
        <v>40.501559435278203</v>
      </c>
    </row>
    <row r="19" spans="2:29" x14ac:dyDescent="0.25">
      <c r="B19" s="1">
        <v>335</v>
      </c>
      <c r="C19" t="s">
        <v>39</v>
      </c>
      <c r="D19" s="2"/>
      <c r="H19" s="2">
        <v>3134.45</v>
      </c>
      <c r="J19" s="2">
        <f t="shared" si="0"/>
        <v>2.1571845611805741E-2</v>
      </c>
      <c r="K19" s="2">
        <f t="shared" si="2"/>
        <v>1.9875102848719298E-2</v>
      </c>
      <c r="L19" s="176">
        <f t="shared" si="3"/>
        <v>180.26642216579137</v>
      </c>
      <c r="M19" s="176">
        <f t="shared" si="4"/>
        <v>42.158720752976429</v>
      </c>
      <c r="N19" s="176">
        <f t="shared" si="5"/>
        <v>64.070107214711996</v>
      </c>
      <c r="O19" s="176">
        <f t="shared" si="6"/>
        <v>11.746085654084343</v>
      </c>
      <c r="P19" s="176">
        <f t="shared" si="7"/>
        <v>43.687517451485107</v>
      </c>
      <c r="Q19" s="176"/>
      <c r="R19" s="176">
        <f t="shared" si="8"/>
        <v>59.744559163250209</v>
      </c>
      <c r="S19" s="176">
        <f t="shared" si="9"/>
        <v>89.437962819236844</v>
      </c>
      <c r="T19" s="176">
        <f t="shared" si="16"/>
        <v>33.630860281346408</v>
      </c>
      <c r="U19" s="176">
        <f t="shared" si="10"/>
        <v>24.315598327180165</v>
      </c>
      <c r="V19" s="176">
        <f t="shared" si="11"/>
        <v>6.2010320888004209</v>
      </c>
      <c r="W19" s="176">
        <f t="shared" si="12"/>
        <v>27.165091822601049</v>
      </c>
      <c r="X19" s="176">
        <f t="shared" si="17"/>
        <v>49.469130990462332</v>
      </c>
      <c r="Y19" s="176">
        <f t="shared" si="13"/>
        <v>22.349751904413338</v>
      </c>
      <c r="Z19" s="176">
        <f t="shared" si="14"/>
        <v>78.953448564480439</v>
      </c>
      <c r="AA19" s="176"/>
      <c r="AB19" s="277">
        <f t="shared" si="1"/>
        <v>9.5512973029107349E-3</v>
      </c>
      <c r="AC19" s="278">
        <f t="shared" si="15"/>
        <v>63.475056485953871</v>
      </c>
    </row>
    <row r="20" spans="2:29" ht="15.75" thickBot="1" x14ac:dyDescent="0.3">
      <c r="B20" s="1">
        <v>368</v>
      </c>
      <c r="C20" t="s">
        <v>40</v>
      </c>
      <c r="D20" s="2"/>
      <c r="H20" s="101">
        <v>2615.1999999999998</v>
      </c>
      <c r="J20" s="2">
        <f t="shared" si="0"/>
        <v>1.7998274224822339E-2</v>
      </c>
      <c r="K20" s="2">
        <f t="shared" si="2"/>
        <v>1.6582612250943773E-2</v>
      </c>
      <c r="L20" s="176">
        <f>J20*$L$3</f>
        <v>150.40365845618135</v>
      </c>
      <c r="M20" s="176">
        <f>J20*$M$3</f>
        <v>35.17474724853929</v>
      </c>
      <c r="N20" s="176">
        <f>J20*$N$3</f>
        <v>53.456314309660335</v>
      </c>
      <c r="O20" s="176">
        <f>J20*$O$3</f>
        <v>9.8002402981580126</v>
      </c>
      <c r="P20" s="176">
        <f>J20*$P$3</f>
        <v>36.450284942852448</v>
      </c>
      <c r="Q20" s="176"/>
      <c r="R20" s="176">
        <f t="shared" si="8"/>
        <v>49.847332426336983</v>
      </c>
      <c r="S20" s="176">
        <f t="shared" si="9"/>
        <v>74.621755129246978</v>
      </c>
      <c r="T20" s="176">
        <f t="shared" si="16"/>
        <v>28.059604015944466</v>
      </c>
      <c r="U20" s="176">
        <f t="shared" si="10"/>
        <v>20.287499480049632</v>
      </c>
      <c r="V20" s="176">
        <f t="shared" si="11"/>
        <v>5.173775022294457</v>
      </c>
      <c r="W20" s="176">
        <f t="shared" si="12"/>
        <v>22.66494859846744</v>
      </c>
      <c r="X20" s="176">
        <f t="shared" si="17"/>
        <v>41.274121892599048</v>
      </c>
      <c r="Y20" s="176">
        <f t="shared" si="13"/>
        <v>18.647313302308781</v>
      </c>
      <c r="Z20" s="176">
        <f t="shared" si="14"/>
        <v>65.874095514629118</v>
      </c>
      <c r="AA20" s="176"/>
      <c r="AB20" s="277">
        <f t="shared" si="1"/>
        <v>7.9690384936981461E-3</v>
      </c>
      <c r="AC20" s="278">
        <f>AB20*$AC$3</f>
        <v>52.959839117569771</v>
      </c>
    </row>
    <row r="21" spans="2:29" ht="15.75" thickBot="1" x14ac:dyDescent="0.3">
      <c r="B21" s="1">
        <v>451</v>
      </c>
      <c r="C21" s="66" t="s">
        <v>41</v>
      </c>
      <c r="D21" s="53"/>
      <c r="E21" s="66"/>
      <c r="F21" s="66"/>
      <c r="G21" s="53"/>
      <c r="H21" s="67">
        <v>23396.04</v>
      </c>
      <c r="I21" s="31"/>
      <c r="J21" s="2">
        <f t="shared" si="0"/>
        <v>0.16101573252329171</v>
      </c>
      <c r="K21" s="2">
        <f t="shared" si="2"/>
        <v>0.14835097106438155</v>
      </c>
      <c r="L21" s="283">
        <f t="shared" si="3"/>
        <v>1345.5376297748385</v>
      </c>
      <c r="M21" s="283">
        <f t="shared" si="4"/>
        <v>314.67948669956991</v>
      </c>
      <c r="N21" s="283">
        <f t="shared" si="5"/>
        <v>478.2296068527782</v>
      </c>
      <c r="O21" s="283">
        <f t="shared" si="6"/>
        <v>87.674676516257563</v>
      </c>
      <c r="P21" s="283">
        <f t="shared" si="7"/>
        <v>326.09067166349558</v>
      </c>
      <c r="Q21" s="283"/>
      <c r="R21" s="283">
        <f t="shared" si="8"/>
        <v>445.94301901953094</v>
      </c>
      <c r="S21" s="283">
        <f t="shared" si="9"/>
        <v>667.57936978971702</v>
      </c>
      <c r="T21" s="283">
        <f t="shared" si="16"/>
        <v>251.02616164775065</v>
      </c>
      <c r="U21" s="283">
        <f t="shared" si="10"/>
        <v>181.49554501958571</v>
      </c>
      <c r="V21" s="283">
        <f t="shared" si="11"/>
        <v>46.285502972087045</v>
      </c>
      <c r="W21" s="283">
        <f t="shared" si="12"/>
        <v>202.76462374108607</v>
      </c>
      <c r="X21" s="283">
        <f t="shared" si="17"/>
        <v>369.24556697924567</v>
      </c>
      <c r="Y21" s="283">
        <f t="shared" si="13"/>
        <v>166.8221504716077</v>
      </c>
      <c r="Z21" s="283">
        <f t="shared" si="14"/>
        <v>589.32126553383443</v>
      </c>
      <c r="AA21" s="283"/>
      <c r="AB21" s="284">
        <f t="shared" si="1"/>
        <v>7.1292422514569284E-2</v>
      </c>
      <c r="AC21" s="285">
        <f t="shared" si="15"/>
        <v>473.78805230507305</v>
      </c>
    </row>
    <row r="22" spans="2:29" x14ac:dyDescent="0.25">
      <c r="B22" s="1">
        <v>467</v>
      </c>
      <c r="C22" t="s">
        <v>44</v>
      </c>
      <c r="D22" s="2"/>
      <c r="H22" s="101">
        <v>3938.1</v>
      </c>
      <c r="J22" s="2">
        <f t="shared" si="0"/>
        <v>2.7102708674201916E-2</v>
      </c>
      <c r="K22" s="2">
        <f t="shared" si="2"/>
        <v>2.4970933506210491E-2</v>
      </c>
      <c r="L22" s="176">
        <f>J22*$L$3</f>
        <v>226.48541119848875</v>
      </c>
      <c r="M22" s="176">
        <f>J22*$M$3</f>
        <v>52.96790767033977</v>
      </c>
      <c r="N22" s="176">
        <f>J22*$N$3</f>
        <v>80.497212979073623</v>
      </c>
      <c r="O22" s="176">
        <f>J22*$O$3</f>
        <v>14.757695900189685</v>
      </c>
      <c r="P22" s="176">
        <f>J22*$P$3</f>
        <v>54.888676634080461</v>
      </c>
      <c r="Q22" s="176"/>
      <c r="R22" s="176">
        <f t="shared" si="8"/>
        <v>75.062626119668735</v>
      </c>
      <c r="S22" s="176">
        <f t="shared" si="9"/>
        <v>112.36920077794721</v>
      </c>
      <c r="T22" s="176">
        <f t="shared" si="16"/>
        <v>42.253566295193828</v>
      </c>
      <c r="U22" s="176">
        <f t="shared" si="10"/>
        <v>30.549939470168042</v>
      </c>
      <c r="V22" s="176">
        <f t="shared" si="11"/>
        <v>7.7909312539376732</v>
      </c>
      <c r="W22" s="176">
        <f t="shared" si="12"/>
        <v>34.130022206953434</v>
      </c>
      <c r="X22" s="176">
        <f t="shared" si="17"/>
        <v>62.15265349695791</v>
      </c>
      <c r="Y22" s="176">
        <f t="shared" si="13"/>
        <v>28.08006443706876</v>
      </c>
      <c r="Z22" s="176">
        <f t="shared" si="14"/>
        <v>99.196533934751045</v>
      </c>
      <c r="AA22" s="176"/>
      <c r="AB22" s="277">
        <f t="shared" si="1"/>
        <v>1.2000179906711789E-2</v>
      </c>
      <c r="AC22" s="278">
        <f>AB22*$AC$3</f>
        <v>79.749595606034532</v>
      </c>
    </row>
    <row r="23" spans="2:29" x14ac:dyDescent="0.25">
      <c r="B23" s="1">
        <v>468</v>
      </c>
      <c r="C23" t="s">
        <v>45</v>
      </c>
      <c r="D23" s="2"/>
      <c r="H23" s="101">
        <v>6307.7</v>
      </c>
      <c r="J23" s="2">
        <f t="shared" si="0"/>
        <v>4.3410719764420264E-2</v>
      </c>
      <c r="K23" s="2">
        <f t="shared" si="2"/>
        <v>3.9996230993911766E-2</v>
      </c>
      <c r="L23" s="176">
        <f>J23*$L$3</f>
        <v>362.76428435456376</v>
      </c>
      <c r="M23" s="176">
        <f>J23*$M$3</f>
        <v>84.839306064397093</v>
      </c>
      <c r="N23" s="176">
        <f>J23*$N$3</f>
        <v>128.93331055790932</v>
      </c>
      <c r="O23" s="176">
        <f>J23*$O$3</f>
        <v>23.637571018924476</v>
      </c>
      <c r="P23" s="176">
        <f>J23*$P$3</f>
        <v>87.915823774101568</v>
      </c>
      <c r="Q23" s="176"/>
      <c r="R23" s="176">
        <f t="shared" si="8"/>
        <v>120.22867036769877</v>
      </c>
      <c r="S23" s="176">
        <f t="shared" si="9"/>
        <v>179.98303947260294</v>
      </c>
      <c r="T23" s="176">
        <f t="shared" si="16"/>
        <v>67.678022427108033</v>
      </c>
      <c r="U23" s="176">
        <f t="shared" si="10"/>
        <v>48.932188922571534</v>
      </c>
      <c r="V23" s="176">
        <f t="shared" si="11"/>
        <v>12.478824070100471</v>
      </c>
      <c r="W23" s="176">
        <f t="shared" si="12"/>
        <v>54.666448560168661</v>
      </c>
      <c r="X23" s="176">
        <f t="shared" si="17"/>
        <v>99.550618943846388</v>
      </c>
      <c r="Y23" s="176">
        <f t="shared" si="13"/>
        <v>44.976161714963723</v>
      </c>
      <c r="Z23" s="176">
        <f t="shared" si="14"/>
        <v>158.88422769869462</v>
      </c>
      <c r="AA23" s="176"/>
      <c r="AB23" s="277">
        <f t="shared" si="1"/>
        <v>1.9220825981454498E-2</v>
      </c>
      <c r="AC23" s="278">
        <f>AB23*$AC$3</f>
        <v>127.73584322495215</v>
      </c>
    </row>
    <row r="24" spans="2:29" x14ac:dyDescent="0.25">
      <c r="B24" s="1">
        <v>502</v>
      </c>
      <c r="C24" t="s">
        <v>46</v>
      </c>
      <c r="D24" s="2"/>
      <c r="H24" s="101">
        <v>1915</v>
      </c>
      <c r="J24" s="2">
        <f t="shared" si="0"/>
        <v>1.3179372568268117E-2</v>
      </c>
      <c r="K24" s="2">
        <f t="shared" si="2"/>
        <v>1.2142743369745078E-2</v>
      </c>
      <c r="L24" s="176">
        <f t="shared" si="3"/>
        <v>110.13421762908661</v>
      </c>
      <c r="M24" s="176">
        <f t="shared" si="4"/>
        <v>25.75697498506911</v>
      </c>
      <c r="N24" s="176">
        <f t="shared" si="5"/>
        <v>39.14379087756177</v>
      </c>
      <c r="O24" s="176">
        <f t="shared" si="6"/>
        <v>7.1763001571476721</v>
      </c>
      <c r="P24" s="176">
        <f t="shared" si="7"/>
        <v>26.690997118982274</v>
      </c>
      <c r="Q24" s="176"/>
      <c r="R24" s="176">
        <f t="shared" si="8"/>
        <v>36.501086569453705</v>
      </c>
      <c r="S24" s="176">
        <f t="shared" si="9"/>
        <v>54.642345163852852</v>
      </c>
      <c r="T24" s="176">
        <f t="shared" si="16"/>
        <v>20.546857483379341</v>
      </c>
      <c r="U24" s="176">
        <f t="shared" si="10"/>
        <v>14.855675093413524</v>
      </c>
      <c r="V24" s="176">
        <f t="shared" si="11"/>
        <v>3.7885359313604643</v>
      </c>
      <c r="W24" s="176">
        <f t="shared" si="12"/>
        <v>16.596580210333872</v>
      </c>
      <c r="X24" s="176">
        <f t="shared" si="17"/>
        <v>30.2232882472955</v>
      </c>
      <c r="Y24" s="176">
        <f t="shared" si="13"/>
        <v>13.654636346712037</v>
      </c>
      <c r="Z24" s="176">
        <f t="shared" si="14"/>
        <v>48.236805181444929</v>
      </c>
      <c r="AA24" s="176"/>
      <c r="AB24" s="277">
        <f t="shared" si="1"/>
        <v>5.8353887715784456E-3</v>
      </c>
      <c r="AC24" s="278">
        <f t="shared" si="15"/>
        <v>38.780243159278875</v>
      </c>
    </row>
    <row r="25" spans="2:29" x14ac:dyDescent="0.25">
      <c r="B25" s="1">
        <v>515</v>
      </c>
      <c r="C25" t="s">
        <v>47</v>
      </c>
      <c r="D25" s="2"/>
      <c r="H25" s="101">
        <v>3891.54</v>
      </c>
      <c r="J25" s="2">
        <f t="shared" si="0"/>
        <v>2.6782274425231387E-2</v>
      </c>
      <c r="K25" s="2">
        <f t="shared" si="2"/>
        <v>2.4675703150442697E-2</v>
      </c>
      <c r="L25" s="176">
        <f>J25*$L$3</f>
        <v>223.80768317091159</v>
      </c>
      <c r="M25" s="176">
        <f>J25*$M$3</f>
        <v>52.341670200206707</v>
      </c>
      <c r="N25" s="176">
        <f>J25*$N$3</f>
        <v>79.54549762489124</v>
      </c>
      <c r="O25" s="176">
        <f>J25*$O$3</f>
        <v>14.583216247282742</v>
      </c>
      <c r="P25" s="176">
        <f>J25*$P$3</f>
        <v>54.239729988722857</v>
      </c>
      <c r="Q25" s="176"/>
      <c r="R25" s="176">
        <f t="shared" si="8"/>
        <v>74.175163670230745</v>
      </c>
      <c r="S25" s="176">
        <f t="shared" si="9"/>
        <v>111.04066417699214</v>
      </c>
      <c r="T25" s="176">
        <f>K25*$T$3</f>
        <v>41.754004057895592</v>
      </c>
      <c r="U25" s="176">
        <f t="shared" si="10"/>
        <v>30.188748748314605</v>
      </c>
      <c r="V25" s="176">
        <f t="shared" si="11"/>
        <v>7.6988193829381215</v>
      </c>
      <c r="W25" s="176">
        <f t="shared" si="12"/>
        <v>33.726504308993576</v>
      </c>
      <c r="X25" s="176">
        <f>K25*$X$3</f>
        <v>61.417825141451871</v>
      </c>
      <c r="Y25" s="176">
        <f t="shared" si="13"/>
        <v>27.748074949704318</v>
      </c>
      <c r="Z25" s="176">
        <f t="shared" si="14"/>
        <v>98.0237372510706</v>
      </c>
      <c r="AA25" s="176"/>
      <c r="AB25" s="277">
        <f t="shared" si="1"/>
        <v>1.1858302255952158E-2</v>
      </c>
      <c r="AC25" s="278">
        <f>AB25*$AC$3</f>
        <v>78.806719302381254</v>
      </c>
    </row>
    <row r="26" spans="2:29" x14ac:dyDescent="0.25">
      <c r="B26" s="1">
        <v>525</v>
      </c>
      <c r="C26" t="s">
        <v>48</v>
      </c>
      <c r="D26" s="2"/>
      <c r="H26" s="101">
        <v>230.77</v>
      </c>
      <c r="J26" s="2">
        <f t="shared" si="0"/>
        <v>1.5882004217123934E-3</v>
      </c>
      <c r="K26" s="2">
        <f t="shared" si="2"/>
        <v>1.4632798367812385E-3</v>
      </c>
      <c r="L26" s="176">
        <f>J26*$L$3</f>
        <v>13.271892116064917</v>
      </c>
      <c r="M26" s="176">
        <f>J26*$M$3</f>
        <v>3.1038836121693989</v>
      </c>
      <c r="N26" s="176">
        <f>J26*$N$3</f>
        <v>4.7170823085195455</v>
      </c>
      <c r="O26" s="176">
        <f>J26*$O$3</f>
        <v>0.86479101162661531</v>
      </c>
      <c r="P26" s="176">
        <f>J26*$P$3</f>
        <v>3.2164393760561563</v>
      </c>
      <c r="Q26" s="176"/>
      <c r="R26" s="176">
        <f t="shared" si="8"/>
        <v>4.3986191893644033</v>
      </c>
      <c r="S26" s="176">
        <f t="shared" si="9"/>
        <v>6.5847592655155731</v>
      </c>
      <c r="T26" s="176">
        <f>K26*$T$3</f>
        <v>2.4760304446159016</v>
      </c>
      <c r="U26" s="176">
        <f t="shared" si="10"/>
        <v>1.790205817914903</v>
      </c>
      <c r="V26" s="176">
        <f t="shared" si="11"/>
        <v>0.45654330907574642</v>
      </c>
      <c r="W26" s="176">
        <f t="shared" si="12"/>
        <v>1.999996248114229</v>
      </c>
      <c r="X26" s="176">
        <f>K26*$X$3</f>
        <v>3.6421035137485029</v>
      </c>
      <c r="Y26" s="176">
        <f t="shared" si="13"/>
        <v>1.6454728092588706</v>
      </c>
      <c r="Z26" s="176">
        <f t="shared" si="14"/>
        <v>5.8128498860167346</v>
      </c>
      <c r="AA26" s="176"/>
      <c r="AB26" s="277">
        <f t="shared" si="1"/>
        <v>7.032024369802391E-4</v>
      </c>
      <c r="AC26" s="278">
        <f>AB26*$AC$3</f>
        <v>4.6732724354395749</v>
      </c>
    </row>
    <row r="27" spans="2:29" x14ac:dyDescent="0.25">
      <c r="B27" s="1">
        <v>560</v>
      </c>
      <c r="C27" t="s">
        <v>49</v>
      </c>
      <c r="D27" s="2"/>
      <c r="H27" s="101">
        <v>1384.62</v>
      </c>
      <c r="J27" s="2">
        <f t="shared" si="0"/>
        <v>9.5292025302743597E-3</v>
      </c>
      <c r="K27" s="2">
        <f t="shared" si="2"/>
        <v>8.7796790206874295E-3</v>
      </c>
      <c r="L27" s="176">
        <f>J27*$L$3</f>
        <v>79.631352696389499</v>
      </c>
      <c r="M27" s="176">
        <f>J27*$M$3</f>
        <v>18.623301673016392</v>
      </c>
      <c r="N27" s="176">
        <f>J27*$N$3</f>
        <v>28.302493851117269</v>
      </c>
      <c r="O27" s="176">
        <f>J27*$O$3</f>
        <v>5.1887460697596914</v>
      </c>
      <c r="P27" s="176">
        <f>J27*$P$3</f>
        <v>19.298636256336938</v>
      </c>
      <c r="Q27" s="176"/>
      <c r="R27" s="176">
        <f t="shared" si="8"/>
        <v>26.391715136186413</v>
      </c>
      <c r="S27" s="176">
        <f t="shared" si="9"/>
        <v>39.508555593093433</v>
      </c>
      <c r="T27" s="176">
        <f t="shared" si="16"/>
        <v>14.856182667695405</v>
      </c>
      <c r="U27" s="176">
        <f t="shared" si="10"/>
        <v>10.741234907489416</v>
      </c>
      <c r="V27" s="176">
        <f t="shared" si="11"/>
        <v>2.7392598544544779</v>
      </c>
      <c r="W27" s="176">
        <f t="shared" si="12"/>
        <v>11.999977488685371</v>
      </c>
      <c r="X27" s="176">
        <f t="shared" si="17"/>
        <v>21.852621082491012</v>
      </c>
      <c r="Y27" s="176">
        <f t="shared" si="13"/>
        <v>9.8728368555532207</v>
      </c>
      <c r="Z27" s="176">
        <f t="shared" si="14"/>
        <v>34.877099316100399</v>
      </c>
      <c r="AA27" s="176"/>
      <c r="AB27" s="277">
        <f t="shared" si="1"/>
        <v>4.2192146218814341E-3</v>
      </c>
      <c r="AC27" s="278">
        <f>AB27*$AC$3</f>
        <v>28.039634612637446</v>
      </c>
    </row>
    <row r="28" spans="2:29" x14ac:dyDescent="0.25">
      <c r="B28" s="1">
        <v>564</v>
      </c>
      <c r="C28" t="s">
        <v>67</v>
      </c>
      <c r="D28" s="2"/>
      <c r="H28" s="101">
        <v>2461.54</v>
      </c>
      <c r="J28" s="2">
        <f t="shared" si="0"/>
        <v>1.6940758617072952E-2</v>
      </c>
      <c r="K28" s="2">
        <f t="shared" si="2"/>
        <v>1.5608275986612167E-2</v>
      </c>
      <c r="L28" s="176">
        <f>J28*$L$3</f>
        <v>141.56646582908715</v>
      </c>
      <c r="M28" s="176">
        <f>J28*$M$3</f>
        <v>33.108002195690354</v>
      </c>
      <c r="N28" s="176">
        <f>J28*$N$3</f>
        <v>50.31540835339603</v>
      </c>
      <c r="O28" s="176">
        <f>J28*$O$3</f>
        <v>9.2244124745823921</v>
      </c>
      <c r="P28" s="176">
        <f>J28*$P$3</f>
        <v>34.308593758882317</v>
      </c>
      <c r="Q28" s="176"/>
      <c r="R28" s="176">
        <f t="shared" si="8"/>
        <v>46.918477615756174</v>
      </c>
      <c r="S28" s="176">
        <f t="shared" si="9"/>
        <v>70.237241939754753</v>
      </c>
      <c r="T28" s="176">
        <f t="shared" si="16"/>
        <v>26.410919879706313</v>
      </c>
      <c r="U28" s="176">
        <f t="shared" si="10"/>
        <v>19.095477007541056</v>
      </c>
      <c r="V28" s="176">
        <f t="shared" si="11"/>
        <v>4.8697821078229957</v>
      </c>
      <c r="W28" s="176">
        <f t="shared" si="12"/>
        <v>21.333235535741643</v>
      </c>
      <c r="X28" s="176">
        <f t="shared" si="17"/>
        <v>38.848998930677681</v>
      </c>
      <c r="Y28" s="176">
        <f t="shared" si="13"/>
        <v>17.551662429705246</v>
      </c>
      <c r="Z28" s="176">
        <f t="shared" si="14"/>
        <v>62.003564191297102</v>
      </c>
      <c r="AA28" s="176"/>
      <c r="AB28" s="277">
        <f t="shared" si="1"/>
        <v>7.500805679786531E-3</v>
      </c>
      <c r="AC28" s="278">
        <f>AB28*$AC$3</f>
        <v>49.848104306157346</v>
      </c>
    </row>
    <row r="29" spans="2:29" x14ac:dyDescent="0.25">
      <c r="B29" s="1">
        <v>567</v>
      </c>
      <c r="C29" t="s">
        <v>52</v>
      </c>
      <c r="D29" s="2"/>
      <c r="H29" s="101">
        <v>0</v>
      </c>
      <c r="J29" s="2">
        <f t="shared" si="0"/>
        <v>0</v>
      </c>
      <c r="K29" s="2">
        <f t="shared" si="2"/>
        <v>0</v>
      </c>
      <c r="L29" s="176">
        <f>J29*$L$3</f>
        <v>0</v>
      </c>
      <c r="M29" s="176">
        <f>J29*$M$3</f>
        <v>0</v>
      </c>
      <c r="N29" s="176">
        <f>J29*$N$3</f>
        <v>0</v>
      </c>
      <c r="O29" s="176">
        <f>J29*$O$3</f>
        <v>0</v>
      </c>
      <c r="P29" s="176">
        <f>J29*$P$3</f>
        <v>0</v>
      </c>
      <c r="Q29" s="176"/>
      <c r="R29" s="176">
        <f t="shared" si="8"/>
        <v>0</v>
      </c>
      <c r="S29" s="176">
        <f t="shared" si="9"/>
        <v>0</v>
      </c>
      <c r="T29" s="176">
        <f t="shared" si="16"/>
        <v>0</v>
      </c>
      <c r="U29" s="176">
        <f t="shared" si="10"/>
        <v>0</v>
      </c>
      <c r="V29" s="176">
        <f t="shared" si="11"/>
        <v>0</v>
      </c>
      <c r="W29" s="176">
        <f t="shared" si="12"/>
        <v>0</v>
      </c>
      <c r="X29" s="176">
        <f t="shared" si="17"/>
        <v>0</v>
      </c>
      <c r="Y29" s="176">
        <f t="shared" si="13"/>
        <v>0</v>
      </c>
      <c r="Z29" s="176">
        <f t="shared" si="14"/>
        <v>0</v>
      </c>
      <c r="AA29" s="176"/>
      <c r="AB29" s="277">
        <f t="shared" si="1"/>
        <v>0</v>
      </c>
      <c r="AC29" s="278">
        <f>AB29*$AC$3</f>
        <v>0</v>
      </c>
    </row>
    <row r="30" spans="2:29" x14ac:dyDescent="0.25">
      <c r="B30" s="1">
        <v>610</v>
      </c>
      <c r="C30" t="s">
        <v>53</v>
      </c>
      <c r="D30" s="2"/>
      <c r="H30" s="101">
        <v>9776.93</v>
      </c>
      <c r="J30" s="2">
        <f t="shared" si="0"/>
        <v>6.7286581223956976E-2</v>
      </c>
      <c r="K30" s="2">
        <f t="shared" si="2"/>
        <v>6.1994126336272458E-2</v>
      </c>
      <c r="L30" s="176">
        <f t="shared" si="3"/>
        <v>562.28435319286984</v>
      </c>
      <c r="M30" s="176">
        <f t="shared" si="4"/>
        <v>131.50085714922807</v>
      </c>
      <c r="N30" s="176">
        <f t="shared" si="5"/>
        <v>199.84652916165012</v>
      </c>
      <c r="O30" s="176">
        <f t="shared" si="6"/>
        <v>36.638216342256811</v>
      </c>
      <c r="P30" s="176">
        <f t="shared" si="7"/>
        <v>136.26945716056991</v>
      </c>
      <c r="Q30" s="176"/>
      <c r="R30" s="176">
        <f t="shared" si="8"/>
        <v>186.354343766835</v>
      </c>
      <c r="S30" s="176">
        <f t="shared" si="9"/>
        <v>278.97356851322604</v>
      </c>
      <c r="T30" s="176">
        <f t="shared" si="16"/>
        <v>104.90088111486999</v>
      </c>
      <c r="U30" s="176">
        <f t="shared" si="10"/>
        <v>75.844854042322453</v>
      </c>
      <c r="V30" s="176">
        <f t="shared" si="11"/>
        <v>19.342167416917007</v>
      </c>
      <c r="W30" s="176">
        <f t="shared" si="12"/>
        <v>84.732951935153835</v>
      </c>
      <c r="X30" s="176">
        <f t="shared" si="17"/>
        <v>154.30338045098216</v>
      </c>
      <c r="Y30" s="176">
        <f t="shared" si="13"/>
        <v>69.713015006401747</v>
      </c>
      <c r="Z30" s="176">
        <f t="shared" si="14"/>
        <v>246.27042698831562</v>
      </c>
      <c r="AA30" s="176"/>
      <c r="AB30" s="277">
        <f t="shared" si="1"/>
        <v>2.9792265035252456E-2</v>
      </c>
      <c r="AC30" s="278">
        <f t="shared" si="15"/>
        <v>197.99045574477725</v>
      </c>
    </row>
    <row r="31" spans="2:29" x14ac:dyDescent="0.25">
      <c r="B31" s="1">
        <v>620</v>
      </c>
      <c r="C31" t="s">
        <v>54</v>
      </c>
      <c r="D31" s="2"/>
      <c r="H31" s="101">
        <v>6769.23</v>
      </c>
      <c r="J31" s="2">
        <f t="shared" si="0"/>
        <v>4.6587051786056176E-2</v>
      </c>
      <c r="K31" s="2">
        <f t="shared" si="2"/>
        <v>4.2922727258892672E-2</v>
      </c>
      <c r="L31" s="176">
        <f t="shared" si="3"/>
        <v>389.30749347328555</v>
      </c>
      <c r="M31" s="176">
        <f t="shared" si="4"/>
        <v>91.046938787561018</v>
      </c>
      <c r="N31" s="176">
        <f t="shared" si="5"/>
        <v>138.36727076872972</v>
      </c>
      <c r="O31" s="176">
        <f t="shared" si="6"/>
        <v>25.367115568025447</v>
      </c>
      <c r="P31" s="176">
        <f t="shared" si="7"/>
        <v>94.348563147638828</v>
      </c>
      <c r="Q31" s="176"/>
      <c r="R31" s="176">
        <f t="shared" si="8"/>
        <v>129.02571814023136</v>
      </c>
      <c r="S31" s="176">
        <f t="shared" si="9"/>
        <v>193.15227266501702</v>
      </c>
      <c r="T31" s="176">
        <f t="shared" si="16"/>
        <v>72.629976022044872</v>
      </c>
      <c r="U31" s="176">
        <f t="shared" si="10"/>
        <v>52.512522983074476</v>
      </c>
      <c r="V31" s="176">
        <f t="shared" si="11"/>
        <v>13.391890904774513</v>
      </c>
      <c r="W31" s="176">
        <f t="shared" si="12"/>
        <v>58.666354390181915</v>
      </c>
      <c r="X31" s="176">
        <f t="shared" si="17"/>
        <v>106.83466814738387</v>
      </c>
      <c r="Y31" s="176">
        <f t="shared" si="13"/>
        <v>48.267036029897397</v>
      </c>
      <c r="Z31" s="176">
        <f t="shared" si="14"/>
        <v>170.50967558140596</v>
      </c>
      <c r="AA31" s="176"/>
      <c r="AB31" s="277">
        <f t="shared" si="1"/>
        <v>2.0627200383410944E-2</v>
      </c>
      <c r="AC31" s="278">
        <f t="shared" si="15"/>
        <v>137.08218558803409</v>
      </c>
    </row>
    <row r="32" spans="2:29" x14ac:dyDescent="0.25">
      <c r="B32" s="1">
        <v>630</v>
      </c>
      <c r="C32" t="s">
        <v>55</v>
      </c>
      <c r="D32" s="2"/>
      <c r="H32" s="101">
        <v>0</v>
      </c>
      <c r="J32" s="2">
        <f t="shared" si="0"/>
        <v>0</v>
      </c>
      <c r="K32" s="2">
        <f t="shared" si="2"/>
        <v>0</v>
      </c>
      <c r="L32" s="176">
        <f t="shared" si="3"/>
        <v>0</v>
      </c>
      <c r="M32" s="176">
        <f t="shared" si="4"/>
        <v>0</v>
      </c>
      <c r="N32" s="176">
        <f t="shared" si="5"/>
        <v>0</v>
      </c>
      <c r="O32" s="176">
        <f t="shared" si="6"/>
        <v>0</v>
      </c>
      <c r="P32" s="176">
        <f t="shared" si="7"/>
        <v>0</v>
      </c>
      <c r="Q32" s="176"/>
      <c r="R32" s="176">
        <f t="shared" si="8"/>
        <v>0</v>
      </c>
      <c r="S32" s="176">
        <f t="shared" si="9"/>
        <v>0</v>
      </c>
      <c r="T32" s="176">
        <f t="shared" si="16"/>
        <v>0</v>
      </c>
      <c r="U32" s="176">
        <f t="shared" si="10"/>
        <v>0</v>
      </c>
      <c r="V32" s="176">
        <f t="shared" si="11"/>
        <v>0</v>
      </c>
      <c r="W32" s="176">
        <f t="shared" si="12"/>
        <v>0</v>
      </c>
      <c r="X32" s="176">
        <f t="shared" si="17"/>
        <v>0</v>
      </c>
      <c r="Y32" s="176">
        <f t="shared" si="13"/>
        <v>0</v>
      </c>
      <c r="Z32" s="176">
        <f t="shared" si="14"/>
        <v>0</v>
      </c>
      <c r="AA32" s="176"/>
      <c r="AB32" s="277">
        <f t="shared" si="1"/>
        <v>0</v>
      </c>
      <c r="AC32" s="278">
        <f t="shared" si="15"/>
        <v>0</v>
      </c>
    </row>
    <row r="33" spans="2:33" x14ac:dyDescent="0.25">
      <c r="B33" s="1">
        <v>650</v>
      </c>
      <c r="C33" t="s">
        <v>56</v>
      </c>
      <c r="D33" s="2"/>
      <c r="H33" s="101">
        <v>269.10000000000002</v>
      </c>
      <c r="I33" s="53"/>
      <c r="J33" s="2">
        <f t="shared" si="0"/>
        <v>1.8519943384443607E-3</v>
      </c>
      <c r="K33" s="2">
        <f t="shared" si="2"/>
        <v>1.706324929920836E-3</v>
      </c>
      <c r="L33" s="176">
        <f t="shared" si="3"/>
        <v>15.476301808870605</v>
      </c>
      <c r="M33" s="176">
        <f t="shared" si="4"/>
        <v>3.6194266153953518</v>
      </c>
      <c r="N33" s="176">
        <f t="shared" si="5"/>
        <v>5.5005713447268265</v>
      </c>
      <c r="O33" s="176">
        <f t="shared" si="6"/>
        <v>1.0084294372263387</v>
      </c>
      <c r="P33" s="176">
        <f t="shared" si="7"/>
        <v>3.7506774541609036</v>
      </c>
      <c r="Q33" s="176"/>
      <c r="R33" s="176">
        <f t="shared" si="8"/>
        <v>5.1292127393420328</v>
      </c>
      <c r="S33" s="176">
        <f t="shared" si="9"/>
        <v>7.6784621846437622</v>
      </c>
      <c r="T33" s="176">
        <f t="shared" si="16"/>
        <v>2.8872894771683457</v>
      </c>
      <c r="U33" s="176">
        <f t="shared" si="10"/>
        <v>2.0875520457637493</v>
      </c>
      <c r="V33" s="176">
        <f t="shared" si="11"/>
        <v>0.53237337813530083</v>
      </c>
      <c r="W33" s="176">
        <f t="shared" si="12"/>
        <v>2.3321878509664993</v>
      </c>
      <c r="X33" s="176">
        <f t="shared" si="17"/>
        <v>4.2470427505729607</v>
      </c>
      <c r="Y33" s="176">
        <f t="shared" si="13"/>
        <v>1.9187794469452792</v>
      </c>
      <c r="Z33" s="176">
        <f t="shared" si="14"/>
        <v>6.7783416576119224</v>
      </c>
      <c r="AA33" s="176"/>
      <c r="AB33" s="277">
        <f t="shared" si="1"/>
        <v>8.2000162842389549E-4</v>
      </c>
      <c r="AC33" s="278">
        <f t="shared" si="15"/>
        <v>5.4494848220166823</v>
      </c>
    </row>
    <row r="34" spans="2:33" x14ac:dyDescent="0.25">
      <c r="B34" s="1">
        <v>600</v>
      </c>
      <c r="C34" t="s">
        <v>57</v>
      </c>
      <c r="D34" s="2"/>
      <c r="H34" s="101">
        <v>0.01</v>
      </c>
      <c r="I34" s="15">
        <f>SUM(H6:H34)</f>
        <v>145302.82</v>
      </c>
      <c r="J34" s="2">
        <f t="shared" si="0"/>
        <v>6.8821788868240817E-8</v>
      </c>
      <c r="K34" s="2">
        <f t="shared" si="2"/>
        <v>6.3408581565248456E-8</v>
      </c>
      <c r="L34" s="176">
        <f t="shared" si="3"/>
        <v>5.751134079847864E-4</v>
      </c>
      <c r="M34" s="176">
        <f t="shared" si="4"/>
        <v>1.3450117485675774E-4</v>
      </c>
      <c r="N34" s="176">
        <f t="shared" si="5"/>
        <v>2.0440621868178467E-4</v>
      </c>
      <c r="O34" s="176">
        <f t="shared" si="6"/>
        <v>3.7474152256645809E-5</v>
      </c>
      <c r="P34" s="176">
        <f t="shared" si="7"/>
        <v>1.3937857503385E-4</v>
      </c>
      <c r="Q34" s="176"/>
      <c r="R34" s="176">
        <f t="shared" si="8"/>
        <v>1.9060619618513686E-4</v>
      </c>
      <c r="S34" s="176">
        <f t="shared" si="9"/>
        <v>2.8533861704361808E-4</v>
      </c>
      <c r="T34" s="176">
        <f t="shared" si="16"/>
        <v>1.0729429495237256E-4</v>
      </c>
      <c r="U34" s="176">
        <f t="shared" si="10"/>
        <v>7.7575326858556268E-5</v>
      </c>
      <c r="V34" s="176">
        <f t="shared" si="11"/>
        <v>1.9783477448357519E-5</v>
      </c>
      <c r="W34" s="176">
        <f t="shared" si="12"/>
        <v>8.666621519756593E-5</v>
      </c>
      <c r="X34" s="176">
        <f t="shared" si="17"/>
        <v>1.5782395951590341E-4</v>
      </c>
      <c r="Y34" s="176">
        <f t="shared" si="13"/>
        <v>7.1303584055937543E-5</v>
      </c>
      <c r="Z34" s="176">
        <f t="shared" si="14"/>
        <v>2.5188932209631819E-4</v>
      </c>
      <c r="AA34" s="176"/>
      <c r="AB34" s="277">
        <f t="shared" si="1"/>
        <v>3.0472004029130268E-8</v>
      </c>
      <c r="AC34" s="278">
        <f t="shared" si="15"/>
        <v>2.0250779717639102E-4</v>
      </c>
    </row>
    <row r="35" spans="2:33" x14ac:dyDescent="0.25">
      <c r="B35" s="1">
        <v>339</v>
      </c>
      <c r="C35" t="s">
        <v>58</v>
      </c>
      <c r="D35" s="2"/>
      <c r="H35" s="53">
        <v>5538.46</v>
      </c>
      <c r="J35" s="2"/>
      <c r="K35" s="2">
        <f>H35/$I$36</f>
        <v>3.5118589265586593E-2</v>
      </c>
      <c r="L35" s="176">
        <f>J35*$L$3</f>
        <v>0</v>
      </c>
      <c r="M35" s="176">
        <f>J35*$M$3</f>
        <v>0</v>
      </c>
      <c r="N35" s="176">
        <f>J35*$N$3</f>
        <v>0</v>
      </c>
      <c r="O35" s="176">
        <f>J35*$O$3</f>
        <v>0</v>
      </c>
      <c r="P35" s="176">
        <f>J35*$P$3</f>
        <v>0</v>
      </c>
      <c r="Q35" s="176"/>
      <c r="R35" s="176">
        <f t="shared" si="8"/>
        <v>105.5664793323533</v>
      </c>
      <c r="S35" s="176">
        <f t="shared" si="9"/>
        <v>158.03365169513967</v>
      </c>
      <c r="T35" s="176">
        <f t="shared" si="16"/>
        <v>59.42451608219173</v>
      </c>
      <c r="U35" s="176">
        <f t="shared" si="10"/>
        <v>42.964784479303951</v>
      </c>
      <c r="V35" s="176">
        <f t="shared" si="11"/>
        <v>10.956999850863017</v>
      </c>
      <c r="W35" s="176">
        <f t="shared" si="12"/>
        <v>47.999736622311097</v>
      </c>
      <c r="X35" s="176">
        <f t="shared" si="17"/>
        <v>87.410168682045025</v>
      </c>
      <c r="Y35" s="176">
        <f t="shared" si="13"/>
        <v>39.491204815044782</v>
      </c>
      <c r="Z35" s="176">
        <f t="shared" si="14"/>
        <v>139.50789348575742</v>
      </c>
      <c r="AA35" s="176"/>
      <c r="AB35" s="277">
        <f t="shared" si="1"/>
        <v>1.6876797543517681E-2</v>
      </c>
      <c r="AC35" s="278">
        <f>AB35*$AC$3</f>
        <v>112.15813343495545</v>
      </c>
    </row>
    <row r="36" spans="2:33" x14ac:dyDescent="0.25">
      <c r="B36" s="1">
        <v>225</v>
      </c>
      <c r="C36" t="s">
        <v>59</v>
      </c>
      <c r="D36" s="2"/>
      <c r="H36" s="101">
        <v>6866.08</v>
      </c>
      <c r="I36" s="99">
        <f>I34+H35+H36</f>
        <v>157707.35999999999</v>
      </c>
      <c r="J36" s="2"/>
      <c r="K36" s="2">
        <f>H36/$I$36</f>
        <v>4.353683937135211E-2</v>
      </c>
      <c r="L36" s="176"/>
      <c r="M36" s="176"/>
      <c r="N36" s="176"/>
      <c r="O36" s="176"/>
      <c r="P36" s="176"/>
      <c r="Q36" s="176"/>
      <c r="R36" s="176">
        <f t="shared" si="8"/>
        <v>130.87173915028444</v>
      </c>
      <c r="S36" s="176">
        <f t="shared" si="9"/>
        <v>195.9157771710845</v>
      </c>
      <c r="T36" s="176">
        <f t="shared" si="16"/>
        <v>73.669121268658614</v>
      </c>
      <c r="U36" s="176">
        <f t="shared" si="10"/>
        <v>53.263840023699601</v>
      </c>
      <c r="V36" s="176">
        <f t="shared" si="11"/>
        <v>13.583493883861859</v>
      </c>
      <c r="W36" s="176">
        <f t="shared" si="12"/>
        <v>59.505716684370348</v>
      </c>
      <c r="X36" s="176">
        <f t="shared" si="17"/>
        <v>108.36319319529539</v>
      </c>
      <c r="Y36" s="176">
        <f t="shared" si="13"/>
        <v>48.957611241479164</v>
      </c>
      <c r="Z36" s="176">
        <f t="shared" si="14"/>
        <v>172.94922366590882</v>
      </c>
      <c r="AA36" s="176"/>
      <c r="AB36" s="277">
        <f t="shared" si="1"/>
        <v>2.0922321742433074E-2</v>
      </c>
      <c r="AC36" s="278">
        <f>AB36*$AC$3</f>
        <v>139.04347360368749</v>
      </c>
    </row>
    <row r="37" spans="2:33" x14ac:dyDescent="0.25">
      <c r="F37" s="8"/>
      <c r="H37" s="101"/>
      <c r="K37" s="2">
        <f>H37/$I$36</f>
        <v>0</v>
      </c>
      <c r="L37" s="176">
        <f t="shared" ref="L37" si="19">J37*$L$3</f>
        <v>0</v>
      </c>
      <c r="M37" s="176">
        <f t="shared" ref="M37" si="20">J37*$M$3</f>
        <v>0</v>
      </c>
      <c r="N37" s="176">
        <f t="shared" ref="N37" si="21">J37*$N$3</f>
        <v>0</v>
      </c>
      <c r="O37" s="176">
        <f t="shared" ref="O37" si="22">J37*$O$3</f>
        <v>0</v>
      </c>
      <c r="P37" s="176">
        <f t="shared" ref="P37" si="23">J37*$P$3</f>
        <v>0</v>
      </c>
      <c r="Q37" s="176"/>
      <c r="R37" s="176">
        <f t="shared" si="8"/>
        <v>0</v>
      </c>
      <c r="S37" s="176">
        <f t="shared" si="9"/>
        <v>0</v>
      </c>
      <c r="T37" s="176">
        <f t="shared" si="16"/>
        <v>0</v>
      </c>
      <c r="U37" s="176">
        <f t="shared" si="10"/>
        <v>0</v>
      </c>
      <c r="V37" s="176">
        <f t="shared" si="11"/>
        <v>0</v>
      </c>
      <c r="W37" s="176">
        <f t="shared" si="12"/>
        <v>0</v>
      </c>
      <c r="X37" s="176">
        <f t="shared" si="17"/>
        <v>0</v>
      </c>
      <c r="Y37" s="176">
        <f t="shared" si="13"/>
        <v>0</v>
      </c>
      <c r="Z37" s="176">
        <f t="shared" si="14"/>
        <v>0</v>
      </c>
      <c r="AA37" s="176"/>
      <c r="AB37" s="277">
        <f t="shared" si="1"/>
        <v>0</v>
      </c>
      <c r="AC37" s="278">
        <f t="shared" ref="AC37:AC38" si="24">AB37*$AC$3</f>
        <v>0</v>
      </c>
    </row>
    <row r="38" spans="2:33" x14ac:dyDescent="0.25">
      <c r="B38" s="45">
        <v>451</v>
      </c>
      <c r="C38" s="32" t="s">
        <v>60</v>
      </c>
      <c r="D38" s="32"/>
      <c r="E38" s="32"/>
      <c r="F38" s="32"/>
      <c r="G38" s="31"/>
      <c r="H38" s="286">
        <v>170462.72</v>
      </c>
      <c r="L38" s="176"/>
      <c r="M38" s="176"/>
      <c r="N38" s="176"/>
      <c r="O38" s="176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77">
        <f t="shared" si="1"/>
        <v>0.51943406906565037</v>
      </c>
      <c r="AC38" s="278">
        <f t="shared" si="24"/>
        <v>3452.0029927895926</v>
      </c>
    </row>
    <row r="39" spans="2:33" ht="15.75" thickBot="1" x14ac:dyDescent="0.3">
      <c r="H39" s="237">
        <f>SUM(H7:H38)</f>
        <v>328170.07999999996</v>
      </c>
      <c r="I39" s="34"/>
      <c r="J39" s="54">
        <f t="shared" ref="J39:Z39" si="25">SUM(J7:J37)</f>
        <v>0.99999999999999989</v>
      </c>
      <c r="K39" s="54">
        <f t="shared" si="25"/>
        <v>1.0000000000000002</v>
      </c>
      <c r="L39" s="196">
        <f t="shared" si="25"/>
        <v>8356.5600000000013</v>
      </c>
      <c r="M39" s="196">
        <f t="shared" si="25"/>
        <v>1954.34</v>
      </c>
      <c r="N39" s="196">
        <f t="shared" si="25"/>
        <v>2970.079999999999</v>
      </c>
      <c r="O39" s="196">
        <f t="shared" si="25"/>
        <v>544.5100000000001</v>
      </c>
      <c r="P39" s="196">
        <f t="shared" si="25"/>
        <v>2025.2100000000003</v>
      </c>
      <c r="Q39" s="196">
        <f t="shared" si="25"/>
        <v>0</v>
      </c>
      <c r="R39" s="196">
        <f>SUM(R7:R37)</f>
        <v>3006.0000000000005</v>
      </c>
      <c r="S39" s="196">
        <f>SUM(S7:S37)</f>
        <v>4500</v>
      </c>
      <c r="T39" s="196">
        <f t="shared" si="25"/>
        <v>1692.1100000000001</v>
      </c>
      <c r="U39" s="196">
        <f>SUM(U7:U37)</f>
        <v>1223.42</v>
      </c>
      <c r="V39" s="196">
        <f>SUM(V7:V37)</f>
        <v>312.00000000000011</v>
      </c>
      <c r="W39" s="196">
        <f>SUM(W7:W37)</f>
        <v>1366.7899999999997</v>
      </c>
      <c r="X39" s="196">
        <f t="shared" si="25"/>
        <v>2489.0000000000005</v>
      </c>
      <c r="Y39" s="196">
        <f t="shared" si="25"/>
        <v>1124.5100000000002</v>
      </c>
      <c r="Z39" s="196">
        <f t="shared" si="25"/>
        <v>3972.4800000000018</v>
      </c>
      <c r="AA39" s="228"/>
      <c r="AB39" s="287">
        <f>SUM(AB7:AB38)</f>
        <v>1</v>
      </c>
      <c r="AC39" s="196">
        <f>SUM(AC7:AC38)</f>
        <v>6645.7000000000007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93"/>
      <c r="M40" s="93"/>
      <c r="N40" s="93"/>
      <c r="O40" s="93"/>
      <c r="P40" s="93"/>
      <c r="Q40" s="93"/>
      <c r="R40" s="93"/>
      <c r="S40" s="93"/>
      <c r="T40" s="93"/>
      <c r="U40" s="93"/>
      <c r="W40" s="93"/>
      <c r="X40" s="93"/>
      <c r="Y40" s="93"/>
      <c r="Z40" s="93"/>
    </row>
    <row r="41" spans="2:33" x14ac:dyDescent="0.25">
      <c r="C41" s="17">
        <v>43630</v>
      </c>
      <c r="D41" s="23"/>
      <c r="E41" s="23"/>
      <c r="F41" s="23"/>
      <c r="G41" s="18"/>
      <c r="H41" s="18">
        <v>69758.320000000007</v>
      </c>
      <c r="I41" s="18"/>
      <c r="J41" s="42"/>
      <c r="L41" s="94">
        <v>4171.8</v>
      </c>
      <c r="M41" s="94">
        <v>975.65</v>
      </c>
      <c r="N41" s="94">
        <v>1497</v>
      </c>
      <c r="O41" s="94">
        <v>274.45</v>
      </c>
      <c r="P41" s="94"/>
      <c r="Q41" s="93"/>
      <c r="R41" s="93"/>
      <c r="S41" s="93"/>
      <c r="T41" s="93"/>
      <c r="U41" s="93"/>
      <c r="W41" s="93"/>
      <c r="X41" s="93"/>
      <c r="Y41" s="93"/>
      <c r="Z41" s="93"/>
    </row>
    <row r="42" spans="2:33" x14ac:dyDescent="0.25">
      <c r="C42" s="19">
        <v>43644</v>
      </c>
      <c r="D42" s="24"/>
      <c r="E42" s="24"/>
      <c r="F42" s="24"/>
      <c r="H42" s="2">
        <v>69712.19</v>
      </c>
      <c r="J42" s="43">
        <v>0</v>
      </c>
      <c r="L42" s="94">
        <v>4184.76</v>
      </c>
      <c r="M42" s="94">
        <v>978.69</v>
      </c>
      <c r="N42" s="94">
        <v>1473.08</v>
      </c>
      <c r="O42" s="94">
        <v>270.06</v>
      </c>
      <c r="P42" s="94"/>
      <c r="Q42" s="93"/>
      <c r="R42" s="93"/>
      <c r="S42" s="93"/>
      <c r="T42" s="93"/>
      <c r="U42" s="93"/>
      <c r="W42" s="93"/>
      <c r="X42" s="93"/>
      <c r="Y42" s="93"/>
      <c r="Z42" s="93"/>
    </row>
    <row r="43" spans="2:33" ht="15.75" thickBot="1" x14ac:dyDescent="0.3">
      <c r="C43" s="19"/>
      <c r="D43" s="24"/>
      <c r="E43" s="24"/>
      <c r="F43" s="24"/>
      <c r="H43" s="2">
        <v>5832.51</v>
      </c>
      <c r="J43" s="43"/>
      <c r="L43" s="94"/>
      <c r="M43" s="94"/>
      <c r="N43" s="94"/>
      <c r="O43" s="94"/>
      <c r="P43" s="94"/>
      <c r="Q43" s="93"/>
      <c r="R43" s="93"/>
      <c r="S43" s="93"/>
      <c r="T43" s="93"/>
      <c r="U43" s="93"/>
      <c r="W43" s="93"/>
      <c r="X43" s="93"/>
      <c r="Y43" s="93"/>
      <c r="Z43" s="93"/>
    </row>
    <row r="44" spans="2:33" ht="15.75" thickBot="1" x14ac:dyDescent="0.3">
      <c r="C44" s="20"/>
      <c r="D44" s="20"/>
      <c r="E44" s="20"/>
      <c r="F44" s="20"/>
      <c r="G44" s="105"/>
      <c r="H44" s="236">
        <f>SUM(H41:H43)</f>
        <v>145303.02000000002</v>
      </c>
      <c r="I44" s="5"/>
      <c r="J44" s="44"/>
      <c r="K44" s="239"/>
      <c r="L44" s="95">
        <f>SUM(L41:L42)</f>
        <v>8356.5600000000013</v>
      </c>
      <c r="M44" s="96">
        <f>SUM(M41:M42)</f>
        <v>1954.3400000000001</v>
      </c>
      <c r="N44" s="96">
        <f>SUM(N41:N42)</f>
        <v>2970.08</v>
      </c>
      <c r="O44" s="96">
        <f>SUM(O41:O42)</f>
        <v>544.51</v>
      </c>
      <c r="P44" s="97">
        <f>SUM(P41:P42)</f>
        <v>0</v>
      </c>
      <c r="Q44" s="93"/>
      <c r="R44" s="93"/>
      <c r="S44" s="93"/>
      <c r="T44" s="93"/>
      <c r="U44" s="93"/>
      <c r="W44" s="93"/>
      <c r="X44" s="93"/>
      <c r="Y44" s="93"/>
      <c r="Z44" s="93"/>
    </row>
    <row r="45" spans="2:33" x14ac:dyDescent="0.25">
      <c r="H45" s="53">
        <f>H38</f>
        <v>170462.72</v>
      </c>
      <c r="L45" s="93"/>
      <c r="M45" s="93"/>
      <c r="N45" s="93"/>
      <c r="O45" s="93"/>
      <c r="P45" s="93"/>
      <c r="Q45" s="93"/>
      <c r="R45" s="93"/>
      <c r="S45" s="93"/>
      <c r="T45" s="93"/>
      <c r="U45" s="93"/>
      <c r="W45" s="93"/>
      <c r="X45" s="93"/>
      <c r="Y45" s="93"/>
      <c r="Z45" s="93"/>
      <c r="AG45">
        <v>114.44</v>
      </c>
    </row>
    <row r="46" spans="2:33" x14ac:dyDescent="0.25">
      <c r="B46" s="1" t="s">
        <v>63</v>
      </c>
      <c r="I46" s="2" t="s">
        <v>64</v>
      </c>
      <c r="J46" s="12" t="s">
        <v>65</v>
      </c>
      <c r="L46" s="201">
        <v>196.5</v>
      </c>
      <c r="M46" s="201">
        <v>45.96</v>
      </c>
      <c r="N46" s="201"/>
      <c r="O46" s="201"/>
      <c r="P46" s="66">
        <f>SUM(L46:O46)</f>
        <v>242.46</v>
      </c>
      <c r="AG46">
        <v>151.65</v>
      </c>
    </row>
    <row r="47" spans="2:33" ht="15.75" thickBot="1" x14ac:dyDescent="0.3">
      <c r="L47" s="201">
        <v>229.25</v>
      </c>
      <c r="M47" s="201">
        <v>53.62</v>
      </c>
      <c r="N47" s="201"/>
      <c r="O47" s="201"/>
      <c r="P47" s="66">
        <f>SUM(L47:O47)</f>
        <v>282.87</v>
      </c>
      <c r="R47" s="66">
        <f>SUM(P46:P47)</f>
        <v>525.33000000000004</v>
      </c>
      <c r="S47">
        <f>R47+'[1]May 2019 Alloc '!N58+'[1]April 2019 Alloc  '!R45</f>
        <v>2303.36</v>
      </c>
    </row>
    <row r="48" spans="2:33" x14ac:dyDescent="0.25">
      <c r="B48" s="1" t="s">
        <v>58</v>
      </c>
      <c r="H48" s="17">
        <v>43630</v>
      </c>
      <c r="I48" s="2">
        <v>2769.23</v>
      </c>
      <c r="J48" s="31">
        <v>3697.12</v>
      </c>
      <c r="K48" s="2"/>
      <c r="L48" s="201">
        <v>165.08</v>
      </c>
      <c r="M48" s="201">
        <v>38.61</v>
      </c>
      <c r="N48" s="101">
        <v>83.08</v>
      </c>
      <c r="O48" s="101">
        <v>15.23</v>
      </c>
    </row>
    <row r="49" spans="8:15" x14ac:dyDescent="0.25">
      <c r="H49" s="19">
        <v>43644</v>
      </c>
      <c r="I49" s="2">
        <v>2769.23</v>
      </c>
      <c r="J49" s="31">
        <v>3168.96</v>
      </c>
      <c r="K49" s="2"/>
      <c r="L49" s="201">
        <v>165.08</v>
      </c>
      <c r="M49" s="201">
        <v>38.61</v>
      </c>
      <c r="N49" s="101">
        <v>83.08</v>
      </c>
      <c r="O49" s="101">
        <v>15.23</v>
      </c>
    </row>
    <row r="50" spans="8:15" x14ac:dyDescent="0.25">
      <c r="J50" s="2"/>
      <c r="K50" s="2"/>
      <c r="L50" s="201"/>
      <c r="M50" s="201"/>
      <c r="N50" s="201"/>
      <c r="O50" s="201"/>
    </row>
    <row r="51" spans="8:15" ht="15.75" thickBot="1" x14ac:dyDescent="0.3">
      <c r="J51" s="2"/>
      <c r="K51" s="2"/>
    </row>
    <row r="52" spans="8:15" ht="15.75" thickBot="1" x14ac:dyDescent="0.3">
      <c r="I52" s="241">
        <f>SUM(I48:I51)</f>
        <v>5538.46</v>
      </c>
      <c r="J52" s="242">
        <f>SUM(J48:J51)</f>
        <v>6866.08</v>
      </c>
      <c r="K52" s="2"/>
    </row>
    <row r="54" spans="8:15" x14ac:dyDescent="0.25">
      <c r="J54" s="270">
        <f>J52+'[1]May 2019 Alloc '!I60+'[1]April 2019 Alloc  '!H44+'[1]April 2019 Alloc  '!H45</f>
        <v>30105.11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A012-3D26-475E-8012-41C09B10035E}">
  <sheetPr>
    <tabColor theme="5" tint="0.39997558519241921"/>
    <pageSetUpPr fitToPage="1"/>
  </sheetPr>
  <dimension ref="B1:AG54"/>
  <sheetViews>
    <sheetView topLeftCell="B1" zoomScale="85" zoomScaleNormal="85" workbookViewId="0">
      <selection activeCell="C16" sqref="C16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66</v>
      </c>
      <c r="L1" s="66">
        <v>7251</v>
      </c>
      <c r="M1" s="66">
        <v>7252</v>
      </c>
      <c r="N1" s="66">
        <v>7253</v>
      </c>
      <c r="O1" s="66">
        <v>7254</v>
      </c>
      <c r="P1" s="66">
        <v>7260.1</v>
      </c>
      <c r="Q1" s="201"/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66">
        <v>7248</v>
      </c>
    </row>
    <row r="2" spans="2:30" ht="17.25" thickBot="1" x14ac:dyDescent="0.4">
      <c r="L2" s="262" t="s">
        <v>1</v>
      </c>
      <c r="M2" s="262" t="s">
        <v>2</v>
      </c>
      <c r="N2" s="262" t="s">
        <v>3</v>
      </c>
      <c r="O2" s="262" t="s">
        <v>4</v>
      </c>
      <c r="P2" s="262" t="s">
        <v>5</v>
      </c>
      <c r="Q2" s="262"/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71">
        <v>8356.56</v>
      </c>
      <c r="M3" s="271">
        <v>1954.34</v>
      </c>
      <c r="N3" s="271">
        <v>2970.08</v>
      </c>
      <c r="O3" s="271">
        <v>544.51</v>
      </c>
      <c r="P3" s="213">
        <v>2025.21</v>
      </c>
      <c r="Q3" s="214"/>
      <c r="R3" s="216">
        <v>3006</v>
      </c>
      <c r="S3" s="272">
        <v>4500</v>
      </c>
      <c r="T3" s="215">
        <v>1692.11</v>
      </c>
      <c r="U3" s="213">
        <v>1223.42</v>
      </c>
      <c r="V3" s="216">
        <v>312</v>
      </c>
      <c r="W3" s="215">
        <v>1366.79</v>
      </c>
      <c r="X3" s="215">
        <v>2489</v>
      </c>
      <c r="Y3" s="213">
        <v>1124.51</v>
      </c>
      <c r="Z3" s="216">
        <v>3972.48</v>
      </c>
      <c r="AA3" s="214"/>
      <c r="AB3" s="226"/>
      <c r="AC3" s="261">
        <v>6645.7</v>
      </c>
      <c r="AD3" s="2"/>
    </row>
    <row r="4" spans="2:30" x14ac:dyDescent="0.25">
      <c r="L4" s="218">
        <v>1</v>
      </c>
      <c r="M4" s="218">
        <v>2</v>
      </c>
      <c r="N4" s="218">
        <v>3</v>
      </c>
      <c r="O4" s="218">
        <v>4</v>
      </c>
      <c r="P4" s="218">
        <v>5</v>
      </c>
      <c r="Q4" s="218">
        <v>6</v>
      </c>
      <c r="R4" s="218">
        <v>15</v>
      </c>
      <c r="S4" s="218">
        <v>9</v>
      </c>
      <c r="T4" s="218">
        <v>7</v>
      </c>
      <c r="U4" s="218">
        <v>11</v>
      </c>
      <c r="V4" s="218">
        <v>16</v>
      </c>
      <c r="W4" s="218">
        <v>10</v>
      </c>
      <c r="X4" s="218">
        <v>8</v>
      </c>
      <c r="Y4" s="218">
        <v>13</v>
      </c>
      <c r="Z4" s="218">
        <v>14</v>
      </c>
      <c r="AA4" s="201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4" si="0">H6/$I$34</f>
        <v>0</v>
      </c>
      <c r="K6" s="2">
        <f>H6/$H$39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>
        <f>J6*$P$3</f>
        <v>0</v>
      </c>
      <c r="Q6" s="221"/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>
        <f>J6*$Z$3</f>
        <v>0</v>
      </c>
      <c r="AA6" s="176"/>
      <c r="AB6" s="226">
        <f t="shared" ref="AB6:AB38" si="1">H6/$H$39</f>
        <v>0</v>
      </c>
      <c r="AC6" s="261">
        <f>AB6*$AC$3</f>
        <v>0</v>
      </c>
    </row>
    <row r="7" spans="2:30" x14ac:dyDescent="0.25">
      <c r="B7" s="1">
        <v>111</v>
      </c>
      <c r="C7" t="s">
        <v>20</v>
      </c>
      <c r="D7" s="2"/>
      <c r="H7" s="101">
        <v>28322.71</v>
      </c>
      <c r="J7" s="2">
        <f>H7/$I$34</f>
        <v>0.18849414576031573</v>
      </c>
      <c r="K7" s="2">
        <f t="shared" ref="K7:K34" si="2">H7/$I$36</f>
        <v>0.17411968390218976</v>
      </c>
      <c r="L7" s="240">
        <f t="shared" ref="L7:L34" si="3">J7*$L$3</f>
        <v>1575.162638694824</v>
      </c>
      <c r="M7" s="240">
        <f t="shared" ref="M7:M34" si="4">J7*$M$3</f>
        <v>368.38164882521545</v>
      </c>
      <c r="N7" s="240">
        <f t="shared" ref="N7:N34" si="5">J7*$N$3</f>
        <v>559.8426924397985</v>
      </c>
      <c r="O7" s="240">
        <f t="shared" ref="O7:O34" si="6">J7*$O$3</f>
        <v>102.63694730794951</v>
      </c>
      <c r="P7" s="240">
        <f t="shared" ref="P7:P34" si="7">J7*$P$3</f>
        <v>381.74022893524904</v>
      </c>
      <c r="Q7" s="240"/>
      <c r="R7" s="240">
        <f t="shared" ref="R7:R37" si="8">K7*$R$3</f>
        <v>523.40376980998246</v>
      </c>
      <c r="S7" s="240">
        <f t="shared" ref="S7:S37" si="9">K7*$S$3</f>
        <v>783.53857755985393</v>
      </c>
      <c r="T7" s="240">
        <f>K7*$T$3</f>
        <v>294.62965832773432</v>
      </c>
      <c r="U7" s="240">
        <f t="shared" ref="U7:U37" si="10">K7*$U$3</f>
        <v>213.02150367961701</v>
      </c>
      <c r="V7" s="240">
        <f t="shared" ref="V7:V37" si="11">K7*$V$3</f>
        <v>54.325341377483205</v>
      </c>
      <c r="W7" s="240">
        <f t="shared" ref="W7:W37" si="12">K7*$W$3</f>
        <v>237.98504276067393</v>
      </c>
      <c r="X7" s="240">
        <f>K7*$X$3</f>
        <v>433.38389323255035</v>
      </c>
      <c r="Y7" s="240">
        <f t="shared" ref="Y7:Y37" si="13">K7*$Y$3</f>
        <v>195.79932574485142</v>
      </c>
      <c r="Z7" s="240">
        <f t="shared" ref="Z7:Z37" si="14">K7*$Z$3</f>
        <v>691.68696190777075</v>
      </c>
      <c r="AA7" s="176"/>
      <c r="AB7" s="226">
        <f t="shared" si="1"/>
        <v>9.3878003021442252E-2</v>
      </c>
      <c r="AC7" s="261">
        <f t="shared" ref="AC7:AC34" si="15">AB7*$AC$3</f>
        <v>623.88504467959876</v>
      </c>
    </row>
    <row r="8" spans="2:30" x14ac:dyDescent="0.25">
      <c r="B8" s="1" t="s">
        <v>21</v>
      </c>
      <c r="C8" t="s">
        <v>22</v>
      </c>
      <c r="D8" s="2"/>
      <c r="H8" s="101">
        <v>1616.82</v>
      </c>
      <c r="J8" s="2">
        <f t="shared" si="0"/>
        <v>1.0760308768059048E-2</v>
      </c>
      <c r="K8" s="2">
        <f t="shared" si="2"/>
        <v>9.9397334268768213E-3</v>
      </c>
      <c r="L8" s="221">
        <f>J8*$L$3</f>
        <v>89.919165838811509</v>
      </c>
      <c r="M8" s="221">
        <f>J8*$M$3</f>
        <v>21.029301837768518</v>
      </c>
      <c r="N8" s="221">
        <f>J8*$N$3</f>
        <v>31.958977865836818</v>
      </c>
      <c r="O8" s="221">
        <f>J8*$O$3</f>
        <v>5.8590957272958324</v>
      </c>
      <c r="P8" s="221">
        <f>J8*$P$3</f>
        <v>21.791884920160864</v>
      </c>
      <c r="Q8" s="221"/>
      <c r="R8" s="240">
        <f t="shared" si="8"/>
        <v>29.878838681191723</v>
      </c>
      <c r="S8" s="240">
        <f t="shared" si="9"/>
        <v>44.728800420945696</v>
      </c>
      <c r="T8" s="240">
        <f t="shared" ref="T8:T37" si="16">K8*$T$3</f>
        <v>16.819122328952538</v>
      </c>
      <c r="U8" s="240">
        <f t="shared" si="10"/>
        <v>12.160468669109642</v>
      </c>
      <c r="V8" s="240">
        <f t="shared" si="11"/>
        <v>3.101196829185568</v>
      </c>
      <c r="W8" s="240">
        <f t="shared" si="12"/>
        <v>13.585528250520969</v>
      </c>
      <c r="X8" s="240">
        <f t="shared" ref="X8:X37" si="17">K8*$X$3</f>
        <v>24.739996499496407</v>
      </c>
      <c r="Y8" s="240">
        <f t="shared" si="13"/>
        <v>11.177329635857253</v>
      </c>
      <c r="Z8" s="240">
        <f t="shared" si="14"/>
        <v>39.485392243599634</v>
      </c>
      <c r="AA8" s="176"/>
      <c r="AB8" s="226">
        <f t="shared" si="1"/>
        <v>5.3590857952903609E-3</v>
      </c>
      <c r="AC8" s="261">
        <f>AB8*$AC$3</f>
        <v>35.61487646976115</v>
      </c>
    </row>
    <row r="9" spans="2:30" x14ac:dyDescent="0.25">
      <c r="B9" s="1" t="s">
        <v>23</v>
      </c>
      <c r="C9" t="s">
        <v>24</v>
      </c>
      <c r="D9" s="2"/>
      <c r="H9" s="101">
        <v>1992.31</v>
      </c>
      <c r="J9" s="2">
        <f t="shared" si="0"/>
        <v>1.3259281034185451E-2</v>
      </c>
      <c r="K9" s="2">
        <f t="shared" si="2"/>
        <v>1.2248135416249775E-2</v>
      </c>
      <c r="L9" s="221">
        <f>J9*$L$3</f>
        <v>110.80197751903276</v>
      </c>
      <c r="M9" s="221">
        <f>J9*$M$3</f>
        <v>25.913143296349993</v>
      </c>
      <c r="N9" s="221">
        <f>J9*$N$3</f>
        <v>39.381125414013525</v>
      </c>
      <c r="O9" s="221">
        <f>J9*$O$3</f>
        <v>7.2198111159243199</v>
      </c>
      <c r="P9" s="221">
        <f>J9*$P$3</f>
        <v>26.852828543242719</v>
      </c>
      <c r="Q9" s="221"/>
      <c r="R9" s="240">
        <f t="shared" si="8"/>
        <v>36.817895061246823</v>
      </c>
      <c r="S9" s="240">
        <f t="shared" si="9"/>
        <v>55.116609373123985</v>
      </c>
      <c r="T9" s="240">
        <f t="shared" si="16"/>
        <v>20.725192419190403</v>
      </c>
      <c r="U9" s="240">
        <f t="shared" si="10"/>
        <v>14.9846138309483</v>
      </c>
      <c r="V9" s="240">
        <f t="shared" si="11"/>
        <v>3.8214182498699296</v>
      </c>
      <c r="W9" s="240">
        <f t="shared" si="12"/>
        <v>16.740629005576029</v>
      </c>
      <c r="X9" s="240">
        <f t="shared" si="17"/>
        <v>30.485609051045689</v>
      </c>
      <c r="Y9" s="240">
        <f t="shared" si="13"/>
        <v>13.773150756927034</v>
      </c>
      <c r="Z9" s="240">
        <f t="shared" si="14"/>
        <v>48.655472978343902</v>
      </c>
      <c r="AA9" s="176"/>
      <c r="AB9" s="226">
        <f t="shared" si="1"/>
        <v>6.6036789629117269E-3</v>
      </c>
      <c r="AC9" s="261">
        <f>AB9*$AC$3</f>
        <v>43.886069283822465</v>
      </c>
    </row>
    <row r="10" spans="2:30" x14ac:dyDescent="0.25">
      <c r="B10" s="1" t="s">
        <v>25</v>
      </c>
      <c r="C10" t="s">
        <v>26</v>
      </c>
      <c r="D10" s="2"/>
      <c r="H10" s="101">
        <v>374.41</v>
      </c>
      <c r="J10" s="2">
        <f t="shared" si="0"/>
        <v>2.4917846178603609E-3</v>
      </c>
      <c r="K10" s="2">
        <f t="shared" si="2"/>
        <v>2.3017624672857532E-3</v>
      </c>
      <c r="L10" s="221">
        <f t="shared" si="3"/>
        <v>20.822747666227176</v>
      </c>
      <c r="M10" s="221">
        <f t="shared" si="4"/>
        <v>4.8697943500692178</v>
      </c>
      <c r="N10" s="221">
        <f t="shared" si="5"/>
        <v>7.4007996578147006</v>
      </c>
      <c r="O10" s="221">
        <f t="shared" si="6"/>
        <v>1.3568016422711451</v>
      </c>
      <c r="P10" s="221">
        <f t="shared" si="7"/>
        <v>5.0463871259369819</v>
      </c>
      <c r="Q10" s="221"/>
      <c r="R10" s="240">
        <f t="shared" si="8"/>
        <v>6.9190979766609741</v>
      </c>
      <c r="S10" s="240">
        <f t="shared" si="9"/>
        <v>10.357931102785889</v>
      </c>
      <c r="T10" s="240">
        <f t="shared" si="16"/>
        <v>3.8948352885188955</v>
      </c>
      <c r="U10" s="240">
        <f t="shared" si="10"/>
        <v>2.8160222377267363</v>
      </c>
      <c r="V10" s="240">
        <f t="shared" si="11"/>
        <v>0.71814988979315497</v>
      </c>
      <c r="W10" s="240">
        <f t="shared" si="12"/>
        <v>3.1460259226614946</v>
      </c>
      <c r="X10" s="240">
        <f t="shared" si="17"/>
        <v>5.7290867810742396</v>
      </c>
      <c r="Y10" s="240">
        <f t="shared" si="13"/>
        <v>2.5883549120875022</v>
      </c>
      <c r="Z10" s="240">
        <f t="shared" si="14"/>
        <v>9.1437053660433083</v>
      </c>
      <c r="AA10" s="176"/>
      <c r="AB10" s="226">
        <f t="shared" si="1"/>
        <v>1.2410134168396383E-3</v>
      </c>
      <c r="AC10" s="261">
        <f t="shared" si="15"/>
        <v>8.2474028642911836</v>
      </c>
    </row>
    <row r="11" spans="2:30" ht="15.75" thickBot="1" x14ac:dyDescent="0.3">
      <c r="B11" s="1">
        <v>112</v>
      </c>
      <c r="C11" t="s">
        <v>27</v>
      </c>
      <c r="D11" s="2"/>
      <c r="H11" s="101">
        <v>28029.21</v>
      </c>
      <c r="J11" s="2">
        <f t="shared" si="0"/>
        <v>0.18654083579171976</v>
      </c>
      <c r="K11" s="2">
        <f t="shared" si="2"/>
        <v>0.17231533229793675</v>
      </c>
      <c r="L11" s="221">
        <f t="shared" si="3"/>
        <v>1558.8396867436536</v>
      </c>
      <c r="M11" s="221">
        <f t="shared" si="4"/>
        <v>364.56421702118956</v>
      </c>
      <c r="N11" s="221">
        <f t="shared" si="5"/>
        <v>554.04120556827104</v>
      </c>
      <c r="O11" s="221">
        <f t="shared" si="6"/>
        <v>101.57335049694933</v>
      </c>
      <c r="P11" s="221">
        <f t="shared" si="7"/>
        <v>377.78436605374878</v>
      </c>
      <c r="Q11" s="221"/>
      <c r="R11" s="240">
        <f t="shared" si="8"/>
        <v>517.97988888759789</v>
      </c>
      <c r="S11" s="240">
        <f t="shared" si="9"/>
        <v>775.41899534071536</v>
      </c>
      <c r="T11" s="240">
        <f t="shared" si="16"/>
        <v>291.57649693466175</v>
      </c>
      <c r="U11" s="240">
        <f t="shared" si="10"/>
        <v>210.8140238399418</v>
      </c>
      <c r="V11" s="240">
        <f t="shared" si="11"/>
        <v>53.762383676956262</v>
      </c>
      <c r="W11" s="240">
        <f t="shared" si="12"/>
        <v>235.51887303149695</v>
      </c>
      <c r="X11" s="240">
        <f t="shared" si="17"/>
        <v>428.89286208956457</v>
      </c>
      <c r="Y11" s="240">
        <f t="shared" si="13"/>
        <v>193.77031432235285</v>
      </c>
      <c r="Z11" s="240">
        <f t="shared" si="14"/>
        <v>684.51921124690773</v>
      </c>
      <c r="AA11" s="176"/>
      <c r="AB11" s="226">
        <f t="shared" si="1"/>
        <v>9.2905172600667066E-2</v>
      </c>
      <c r="AC11" s="261">
        <f t="shared" si="15"/>
        <v>617.41990555225311</v>
      </c>
    </row>
    <row r="12" spans="2:30" ht="15.75" thickBot="1" x14ac:dyDescent="0.3">
      <c r="B12" s="1">
        <v>222</v>
      </c>
      <c r="C12" t="s">
        <v>29</v>
      </c>
      <c r="D12" s="2"/>
      <c r="H12" s="102">
        <v>2480.65</v>
      </c>
      <c r="J12" s="2">
        <f t="shared" si="0"/>
        <v>1.6509295991814599E-2</v>
      </c>
      <c r="K12" s="2">
        <f t="shared" si="2"/>
        <v>1.5250305986678783E-2</v>
      </c>
      <c r="L12" s="221">
        <f t="shared" si="3"/>
        <v>137.96092251335821</v>
      </c>
      <c r="M12" s="221">
        <f t="shared" si="4"/>
        <v>32.264777528642945</v>
      </c>
      <c r="N12" s="221">
        <f t="shared" si="5"/>
        <v>49.033929839368703</v>
      </c>
      <c r="O12" s="221">
        <f t="shared" si="6"/>
        <v>8.9894767605029671</v>
      </c>
      <c r="P12" s="221">
        <f t="shared" si="7"/>
        <v>33.434791335582844</v>
      </c>
      <c r="Q12" s="221"/>
      <c r="R12" s="240">
        <f t="shared" si="8"/>
        <v>45.842419795956417</v>
      </c>
      <c r="S12" s="240">
        <f t="shared" si="9"/>
        <v>68.626376940054527</v>
      </c>
      <c r="T12" s="240">
        <f t="shared" si="16"/>
        <v>25.805195263119032</v>
      </c>
      <c r="U12" s="240">
        <f t="shared" si="10"/>
        <v>18.657529350222557</v>
      </c>
      <c r="V12" s="240">
        <f t="shared" si="11"/>
        <v>4.7580954678437806</v>
      </c>
      <c r="W12" s="240">
        <f t="shared" si="12"/>
        <v>20.843965719532694</v>
      </c>
      <c r="X12" s="240">
        <f t="shared" si="17"/>
        <v>37.958011600843491</v>
      </c>
      <c r="Y12" s="240">
        <f t="shared" si="13"/>
        <v>17.149121585080156</v>
      </c>
      <c r="Z12" s="240">
        <f t="shared" si="14"/>
        <v>60.581535525961733</v>
      </c>
      <c r="AA12" s="176"/>
      <c r="AB12" s="226">
        <f t="shared" si="1"/>
        <v>8.2223229413831058E-3</v>
      </c>
      <c r="AC12" s="261">
        <f t="shared" si="15"/>
        <v>54.643091571549704</v>
      </c>
    </row>
    <row r="13" spans="2:30" ht="15.75" thickBot="1" x14ac:dyDescent="0.3">
      <c r="B13" s="1">
        <v>223</v>
      </c>
      <c r="C13" t="s">
        <v>30</v>
      </c>
      <c r="D13" s="2"/>
      <c r="H13" s="181">
        <v>5471.42</v>
      </c>
      <c r="I13" s="56"/>
      <c r="J13" s="99">
        <f t="shared" si="0"/>
        <v>3.6413557847956878E-2</v>
      </c>
      <c r="K13" s="99">
        <f t="shared" si="2"/>
        <v>3.3636679572545111E-2</v>
      </c>
      <c r="L13" s="252">
        <f t="shared" si="3"/>
        <v>304.29208096992249</v>
      </c>
      <c r="M13" s="252">
        <f t="shared" si="4"/>
        <v>71.164472644576037</v>
      </c>
      <c r="N13" s="252">
        <f t="shared" si="5"/>
        <v>108.15117989305976</v>
      </c>
      <c r="O13" s="252">
        <f t="shared" si="6"/>
        <v>19.827546383790999</v>
      </c>
      <c r="P13" s="252">
        <f t="shared" si="7"/>
        <v>73.745101489260747</v>
      </c>
      <c r="Q13" s="252"/>
      <c r="R13" s="252">
        <f t="shared" si="8"/>
        <v>101.1118587950706</v>
      </c>
      <c r="S13" s="252">
        <f t="shared" si="9"/>
        <v>151.36505807645301</v>
      </c>
      <c r="T13" s="252">
        <f t="shared" si="16"/>
        <v>56.916961871499304</v>
      </c>
      <c r="U13" s="252">
        <f t="shared" si="10"/>
        <v>41.151786522643143</v>
      </c>
      <c r="V13" s="252">
        <f t="shared" si="11"/>
        <v>10.494644026634075</v>
      </c>
      <c r="W13" s="252">
        <f t="shared" si="12"/>
        <v>45.974277272958929</v>
      </c>
      <c r="X13" s="252">
        <f t="shared" si="17"/>
        <v>83.721695456064779</v>
      </c>
      <c r="Y13" s="252">
        <f t="shared" si="13"/>
        <v>37.824782546122705</v>
      </c>
      <c r="Z13" s="252">
        <f t="shared" si="14"/>
        <v>133.62103686834399</v>
      </c>
      <c r="AA13" s="180"/>
      <c r="AB13" s="215">
        <f t="shared" si="1"/>
        <v>1.8135481502002442E-2</v>
      </c>
      <c r="AC13" s="268">
        <f t="shared" si="15"/>
        <v>120.52296941785762</v>
      </c>
    </row>
    <row r="14" spans="2:30" ht="15.75" thickBot="1" x14ac:dyDescent="0.3">
      <c r="B14" s="1">
        <v>566</v>
      </c>
      <c r="C14" t="s">
        <v>31</v>
      </c>
      <c r="D14" s="2"/>
      <c r="H14" s="101"/>
      <c r="I14" s="118"/>
      <c r="J14" s="2">
        <f t="shared" si="0"/>
        <v>0</v>
      </c>
      <c r="K14" s="2">
        <f t="shared" si="2"/>
        <v>0</v>
      </c>
      <c r="L14" s="221">
        <f t="shared" ref="L14:Q14" si="18">$J$36*L3</f>
        <v>0</v>
      </c>
      <c r="M14" s="221">
        <f t="shared" si="18"/>
        <v>0</v>
      </c>
      <c r="N14" s="221">
        <f t="shared" si="18"/>
        <v>0</v>
      </c>
      <c r="O14" s="221">
        <f t="shared" si="18"/>
        <v>0</v>
      </c>
      <c r="P14" s="221">
        <f t="shared" si="18"/>
        <v>0</v>
      </c>
      <c r="Q14" s="221">
        <f t="shared" si="18"/>
        <v>0</v>
      </c>
      <c r="R14" s="240">
        <f t="shared" si="8"/>
        <v>0</v>
      </c>
      <c r="S14" s="240">
        <f t="shared" si="9"/>
        <v>0</v>
      </c>
      <c r="T14" s="240">
        <f t="shared" si="16"/>
        <v>0</v>
      </c>
      <c r="U14" s="240">
        <f t="shared" si="10"/>
        <v>0</v>
      </c>
      <c r="V14" s="240">
        <f t="shared" si="11"/>
        <v>0</v>
      </c>
      <c r="W14" s="240">
        <f t="shared" si="12"/>
        <v>0</v>
      </c>
      <c r="X14" s="240">
        <f t="shared" si="17"/>
        <v>0</v>
      </c>
      <c r="Y14" s="240">
        <f t="shared" si="13"/>
        <v>0</v>
      </c>
      <c r="Z14" s="240">
        <f t="shared" si="14"/>
        <v>0</v>
      </c>
      <c r="AA14" s="221">
        <f>$J$36*AA3</f>
        <v>0</v>
      </c>
      <c r="AB14" s="226">
        <f t="shared" si="1"/>
        <v>0</v>
      </c>
      <c r="AC14" s="268">
        <f t="shared" si="15"/>
        <v>0</v>
      </c>
    </row>
    <row r="15" spans="2:30" x14ac:dyDescent="0.25">
      <c r="B15" s="1" t="s">
        <v>32</v>
      </c>
      <c r="C15" s="230" t="s">
        <v>73</v>
      </c>
      <c r="D15" s="231"/>
      <c r="E15" s="230"/>
      <c r="F15" s="230"/>
      <c r="G15" s="231"/>
      <c r="H15" s="231">
        <v>2146.15</v>
      </c>
      <c r="I15" s="231"/>
      <c r="J15" s="2">
        <f t="shared" si="0"/>
        <v>1.4283121598304034E-2</v>
      </c>
      <c r="K15" s="2">
        <f t="shared" si="2"/>
        <v>1.3193898451337621E-2</v>
      </c>
      <c r="L15" s="232">
        <f>J15*$L$3</f>
        <v>119.35776262352356</v>
      </c>
      <c r="M15" s="232">
        <f>J15*$M$3</f>
        <v>27.914075864429506</v>
      </c>
      <c r="N15" s="232">
        <f>J15*$N$3</f>
        <v>42.422013796690841</v>
      </c>
      <c r="O15" s="232">
        <f>J15*$O$3</f>
        <v>7.7773025414925296</v>
      </c>
      <c r="P15" s="232">
        <f>J15*$P$3</f>
        <v>28.926320692101314</v>
      </c>
      <c r="Q15" s="232"/>
      <c r="R15" s="240">
        <f t="shared" si="8"/>
        <v>39.66085874472089</v>
      </c>
      <c r="S15" s="240">
        <f t="shared" si="9"/>
        <v>59.372543031019291</v>
      </c>
      <c r="T15" s="240">
        <f t="shared" si="16"/>
        <v>22.3255275084929</v>
      </c>
      <c r="U15" s="240">
        <f t="shared" si="10"/>
        <v>16.141679243335474</v>
      </c>
      <c r="V15" s="240">
        <f t="shared" si="11"/>
        <v>4.1164963168173374</v>
      </c>
      <c r="W15" s="240">
        <f t="shared" si="12"/>
        <v>18.033288464303745</v>
      </c>
      <c r="X15" s="240">
        <f t="shared" si="17"/>
        <v>32.83961324537934</v>
      </c>
      <c r="Y15" s="240">
        <f t="shared" si="13"/>
        <v>14.836670747513669</v>
      </c>
      <c r="Z15" s="240">
        <f t="shared" si="14"/>
        <v>52.412497719969672</v>
      </c>
      <c r="AA15" s="232"/>
      <c r="AB15" s="226">
        <f t="shared" si="1"/>
        <v>7.1135945742645491E-3</v>
      </c>
      <c r="AC15" s="261">
        <f>AB15*$AC$3</f>
        <v>47.274815462189913</v>
      </c>
    </row>
    <row r="16" spans="2:30" x14ac:dyDescent="0.25">
      <c r="B16" s="1" t="s">
        <v>33</v>
      </c>
      <c r="C16" s="230" t="s">
        <v>115</v>
      </c>
      <c r="D16" s="231"/>
      <c r="E16" s="230"/>
      <c r="F16" s="230"/>
      <c r="G16" s="231"/>
      <c r="H16" s="231">
        <v>3538.46</v>
      </c>
      <c r="I16" s="231"/>
      <c r="J16" s="2">
        <f t="shared" si="0"/>
        <v>2.3549264706909996E-2</v>
      </c>
      <c r="K16" s="2">
        <f t="shared" si="2"/>
        <v>2.1753410485809529E-2</v>
      </c>
      <c r="L16" s="232">
        <f t="shared" si="3"/>
        <v>196.79084347917578</v>
      </c>
      <c r="M16" s="232">
        <f t="shared" si="4"/>
        <v>46.023269987302477</v>
      </c>
      <c r="N16" s="232">
        <f t="shared" si="5"/>
        <v>69.943200120699245</v>
      </c>
      <c r="O16" s="232">
        <f t="shared" si="6"/>
        <v>12.822810125559561</v>
      </c>
      <c r="P16" s="232">
        <f t="shared" si="7"/>
        <v>47.692206377081192</v>
      </c>
      <c r="Q16" s="232"/>
      <c r="R16" s="240">
        <f t="shared" si="8"/>
        <v>65.390751920343448</v>
      </c>
      <c r="S16" s="240">
        <f t="shared" si="9"/>
        <v>97.890347186142876</v>
      </c>
      <c r="T16" s="240">
        <f t="shared" si="16"/>
        <v>36.809163417143161</v>
      </c>
      <c r="U16" s="240">
        <f t="shared" si="10"/>
        <v>26.613557456549096</v>
      </c>
      <c r="V16" s="240">
        <f t="shared" si="11"/>
        <v>6.7870640715725727</v>
      </c>
      <c r="W16" s="240">
        <f t="shared" si="12"/>
        <v>29.732343917899605</v>
      </c>
      <c r="X16" s="240">
        <f t="shared" si="17"/>
        <v>54.144238699179915</v>
      </c>
      <c r="Y16" s="240">
        <f t="shared" si="13"/>
        <v>24.461927625397674</v>
      </c>
      <c r="Z16" s="240">
        <f t="shared" si="14"/>
        <v>86.414988086668643</v>
      </c>
      <c r="AA16" s="232"/>
      <c r="AB16" s="226">
        <f t="shared" si="1"/>
        <v>1.1728523102882899E-2</v>
      </c>
      <c r="AC16" s="261">
        <f t="shared" si="15"/>
        <v>77.944245984828882</v>
      </c>
    </row>
    <row r="17" spans="2:29" x14ac:dyDescent="0.25">
      <c r="B17" s="1" t="s">
        <v>35</v>
      </c>
      <c r="C17" s="230" t="s">
        <v>36</v>
      </c>
      <c r="D17" s="231"/>
      <c r="E17" s="234"/>
      <c r="F17" s="234"/>
      <c r="G17" s="231"/>
      <c r="H17" s="231">
        <v>6330</v>
      </c>
      <c r="I17" s="235"/>
      <c r="J17" s="2">
        <f t="shared" si="0"/>
        <v>4.2127605114863603E-2</v>
      </c>
      <c r="K17" s="2">
        <f t="shared" si="2"/>
        <v>3.8914976677756515E-2</v>
      </c>
      <c r="L17" s="232">
        <f t="shared" si="3"/>
        <v>352.04185979866458</v>
      </c>
      <c r="M17" s="232">
        <f t="shared" si="4"/>
        <v>82.331663780182538</v>
      </c>
      <c r="N17" s="232">
        <f t="shared" si="5"/>
        <v>125.12235739955409</v>
      </c>
      <c r="O17" s="232">
        <f t="shared" si="6"/>
        <v>22.93890226109438</v>
      </c>
      <c r="P17" s="232">
        <f t="shared" si="7"/>
        <v>85.317247154672913</v>
      </c>
      <c r="Q17" s="232"/>
      <c r="R17" s="240">
        <f t="shared" si="8"/>
        <v>116.97841989333608</v>
      </c>
      <c r="S17" s="240">
        <f t="shared" si="9"/>
        <v>175.1173950499043</v>
      </c>
      <c r="T17" s="240">
        <f t="shared" si="16"/>
        <v>65.848421186198578</v>
      </c>
      <c r="U17" s="240">
        <f t="shared" si="10"/>
        <v>47.609360767100881</v>
      </c>
      <c r="V17" s="240">
        <f t="shared" si="11"/>
        <v>12.141472723460032</v>
      </c>
      <c r="W17" s="240">
        <f t="shared" si="12"/>
        <v>53.188600973390827</v>
      </c>
      <c r="X17" s="240">
        <f t="shared" si="17"/>
        <v>96.859376950935967</v>
      </c>
      <c r="Y17" s="240">
        <f t="shared" si="13"/>
        <v>43.760280423903978</v>
      </c>
      <c r="Z17" s="240">
        <f t="shared" si="14"/>
        <v>154.5889665528542</v>
      </c>
      <c r="AA17" s="232"/>
      <c r="AB17" s="226">
        <f t="shared" si="1"/>
        <v>2.0981317081795119E-2</v>
      </c>
      <c r="AC17" s="261">
        <f t="shared" si="15"/>
        <v>139.43553893048582</v>
      </c>
    </row>
    <row r="18" spans="2:29" x14ac:dyDescent="0.25">
      <c r="B18" s="1" t="s">
        <v>37</v>
      </c>
      <c r="C18" s="230" t="s">
        <v>38</v>
      </c>
      <c r="D18" s="231"/>
      <c r="E18" s="230"/>
      <c r="F18" s="230"/>
      <c r="G18" s="231"/>
      <c r="H18" s="231">
        <v>2000</v>
      </c>
      <c r="I18" s="231"/>
      <c r="J18" s="2">
        <f t="shared" si="0"/>
        <v>1.3310459751931628E-2</v>
      </c>
      <c r="K18" s="2">
        <f t="shared" si="2"/>
        <v>1.2295411272592895E-2</v>
      </c>
      <c r="L18" s="232">
        <f t="shared" si="3"/>
        <v>111.22965554460175</v>
      </c>
      <c r="M18" s="232">
        <f t="shared" si="4"/>
        <v>26.013163911590059</v>
      </c>
      <c r="N18" s="232">
        <f t="shared" si="5"/>
        <v>39.533130300017092</v>
      </c>
      <c r="O18" s="232">
        <f t="shared" si="6"/>
        <v>7.2476784395242904</v>
      </c>
      <c r="P18" s="232">
        <f t="shared" si="7"/>
        <v>26.956476194209454</v>
      </c>
      <c r="Q18" s="232"/>
      <c r="R18" s="240">
        <f t="shared" si="8"/>
        <v>36.960006285414245</v>
      </c>
      <c r="S18" s="240">
        <f t="shared" si="9"/>
        <v>55.329350726668032</v>
      </c>
      <c r="T18" s="240">
        <f t="shared" si="16"/>
        <v>20.805188368467164</v>
      </c>
      <c r="U18" s="240">
        <f t="shared" si="10"/>
        <v>15.0424520591156</v>
      </c>
      <c r="V18" s="240">
        <f t="shared" si="11"/>
        <v>3.8361683170489833</v>
      </c>
      <c r="W18" s="240">
        <f t="shared" si="12"/>
        <v>16.805245173267242</v>
      </c>
      <c r="X18" s="240">
        <f t="shared" si="17"/>
        <v>30.603278657483717</v>
      </c>
      <c r="Y18" s="240">
        <f t="shared" si="13"/>
        <v>13.826312930143436</v>
      </c>
      <c r="Z18" s="240">
        <f t="shared" si="14"/>
        <v>48.843275372149826</v>
      </c>
      <c r="AA18" s="232"/>
      <c r="AB18" s="226">
        <f t="shared" si="1"/>
        <v>6.6291681143112544E-3</v>
      </c>
      <c r="AC18" s="261">
        <f t="shared" si="15"/>
        <v>44.055462537278302</v>
      </c>
    </row>
    <row r="19" spans="2:29" x14ac:dyDescent="0.25">
      <c r="B19" s="1">
        <v>335</v>
      </c>
      <c r="C19" s="230" t="s">
        <v>39</v>
      </c>
      <c r="D19" s="231"/>
      <c r="E19" s="230"/>
      <c r="F19" s="230"/>
      <c r="G19" s="231"/>
      <c r="H19" s="31">
        <v>3134.45</v>
      </c>
      <c r="I19" s="31"/>
      <c r="J19" s="31">
        <f t="shared" si="0"/>
        <v>2.0860485284721047E-2</v>
      </c>
      <c r="K19" s="31">
        <f t="shared" si="2"/>
        <v>1.9269675931689399E-2</v>
      </c>
      <c r="L19" s="189">
        <f t="shared" si="3"/>
        <v>174.32189691088851</v>
      </c>
      <c r="M19" s="189">
        <f t="shared" si="4"/>
        <v>40.768480811341732</v>
      </c>
      <c r="N19" s="189">
        <f t="shared" si="5"/>
        <v>61.957310134444285</v>
      </c>
      <c r="O19" s="189">
        <f t="shared" si="6"/>
        <v>11.358742842383457</v>
      </c>
      <c r="P19" s="189">
        <f t="shared" si="7"/>
        <v>42.246863403469909</v>
      </c>
      <c r="Q19" s="189"/>
      <c r="R19" s="274">
        <f t="shared" si="8"/>
        <v>57.924645850658337</v>
      </c>
      <c r="S19" s="274">
        <f t="shared" si="9"/>
        <v>86.713541692602291</v>
      </c>
      <c r="T19" s="274">
        <f t="shared" si="16"/>
        <v>32.606411340770947</v>
      </c>
      <c r="U19" s="274">
        <f t="shared" si="10"/>
        <v>23.574906928347446</v>
      </c>
      <c r="V19" s="274">
        <f t="shared" si="11"/>
        <v>6.0121388906870923</v>
      </c>
      <c r="W19" s="274">
        <f t="shared" si="12"/>
        <v>26.337600366673755</v>
      </c>
      <c r="X19" s="274">
        <f t="shared" si="17"/>
        <v>47.962223393974917</v>
      </c>
      <c r="Y19" s="274">
        <f t="shared" si="13"/>
        <v>21.668943281944046</v>
      </c>
      <c r="Z19" s="274">
        <f t="shared" si="14"/>
        <v>76.548402245117501</v>
      </c>
      <c r="AA19" s="189"/>
      <c r="AB19" s="190">
        <f t="shared" si="1"/>
        <v>1.0389397997951454E-2</v>
      </c>
      <c r="AC19" s="191">
        <f t="shared" si="15"/>
        <v>69.044822274985975</v>
      </c>
    </row>
    <row r="20" spans="2:29" ht="15.75" thickBot="1" x14ac:dyDescent="0.3">
      <c r="B20" s="1">
        <v>368</v>
      </c>
      <c r="C20" t="s">
        <v>40</v>
      </c>
      <c r="D20" s="2"/>
      <c r="H20" s="101">
        <v>2615.1999999999998</v>
      </c>
      <c r="J20" s="2">
        <f t="shared" si="0"/>
        <v>1.7404757171625797E-2</v>
      </c>
      <c r="K20" s="2">
        <f t="shared" si="2"/>
        <v>1.607747978004247E-2</v>
      </c>
      <c r="L20" s="221">
        <f>J20*$L$3</f>
        <v>145.44389759012125</v>
      </c>
      <c r="M20" s="221">
        <f>J20*$M$3</f>
        <v>34.014813130795162</v>
      </c>
      <c r="N20" s="221">
        <f>J20*$N$3</f>
        <v>51.693521180302348</v>
      </c>
      <c r="O20" s="221">
        <f>J20*$O$3</f>
        <v>9.4770643275219619</v>
      </c>
      <c r="P20" s="221">
        <f>J20*$P$3</f>
        <v>35.248288271548283</v>
      </c>
      <c r="Q20" s="221"/>
      <c r="R20" s="240">
        <f t="shared" si="8"/>
        <v>48.328904218807665</v>
      </c>
      <c r="S20" s="240">
        <f t="shared" si="9"/>
        <v>72.348659010191113</v>
      </c>
      <c r="T20" s="240">
        <f t="shared" si="16"/>
        <v>27.204864310607661</v>
      </c>
      <c r="U20" s="240">
        <f t="shared" si="10"/>
        <v>19.669510312499561</v>
      </c>
      <c r="V20" s="240">
        <f t="shared" si="11"/>
        <v>5.0161736913732504</v>
      </c>
      <c r="W20" s="240">
        <f t="shared" si="12"/>
        <v>21.974538588564247</v>
      </c>
      <c r="X20" s="240">
        <f t="shared" si="17"/>
        <v>40.016847172525708</v>
      </c>
      <c r="Y20" s="240">
        <f t="shared" si="13"/>
        <v>18.079286787455558</v>
      </c>
      <c r="Z20" s="240">
        <f t="shared" si="14"/>
        <v>63.867466876623112</v>
      </c>
      <c r="AA20" s="176"/>
      <c r="AB20" s="226">
        <f t="shared" si="1"/>
        <v>8.6683002262733944E-3</v>
      </c>
      <c r="AC20" s="261">
        <f>AB20*$AC$3</f>
        <v>57.606922813745093</v>
      </c>
    </row>
    <row r="21" spans="2:29" ht="15.75" thickBot="1" x14ac:dyDescent="0.3">
      <c r="B21" s="1">
        <v>451</v>
      </c>
      <c r="C21" s="66" t="s">
        <v>41</v>
      </c>
      <c r="D21" s="53"/>
      <c r="E21" s="66"/>
      <c r="F21" s="66"/>
      <c r="G21" s="53"/>
      <c r="H21" s="67">
        <v>23537.97</v>
      </c>
      <c r="I21" s="31"/>
      <c r="J21" s="2">
        <f t="shared" si="0"/>
        <v>0.15665060116358706</v>
      </c>
      <c r="K21" s="2">
        <f t="shared" si="2"/>
        <v>0.14470451083597671</v>
      </c>
      <c r="L21" s="179">
        <f t="shared" si="3"/>
        <v>1309.060147659585</v>
      </c>
      <c r="M21" s="179">
        <f t="shared" si="4"/>
        <v>306.1485358780447</v>
      </c>
      <c r="N21" s="179">
        <f t="shared" si="5"/>
        <v>465.26481750394663</v>
      </c>
      <c r="O21" s="179">
        <f t="shared" si="6"/>
        <v>85.297818839584792</v>
      </c>
      <c r="P21" s="179">
        <f t="shared" si="7"/>
        <v>317.25036398250813</v>
      </c>
      <c r="Q21" s="179"/>
      <c r="R21" s="251">
        <f t="shared" si="8"/>
        <v>434.98175957294598</v>
      </c>
      <c r="S21" s="251">
        <f t="shared" si="9"/>
        <v>651.1702987618952</v>
      </c>
      <c r="T21" s="251">
        <f t="shared" si="16"/>
        <v>244.85594983066454</v>
      </c>
      <c r="U21" s="251">
        <f t="shared" si="10"/>
        <v>177.03439264695064</v>
      </c>
      <c r="V21" s="251">
        <f t="shared" si="11"/>
        <v>45.147807380824737</v>
      </c>
      <c r="W21" s="251">
        <f t="shared" si="12"/>
        <v>197.7806783655046</v>
      </c>
      <c r="X21" s="251">
        <f t="shared" si="17"/>
        <v>360.16952747074606</v>
      </c>
      <c r="Y21" s="251">
        <f t="shared" si="13"/>
        <v>162.72166948016417</v>
      </c>
      <c r="Z21" s="251">
        <f t="shared" si="14"/>
        <v>574.83577520570077</v>
      </c>
      <c r="AA21" s="179"/>
      <c r="AB21" s="226">
        <f t="shared" si="1"/>
        <v>7.8018580099807444E-2</v>
      </c>
      <c r="AC21" s="261">
        <f t="shared" si="15"/>
        <v>518.48807776929027</v>
      </c>
    </row>
    <row r="22" spans="2:29" x14ac:dyDescent="0.25">
      <c r="B22" s="1">
        <v>467</v>
      </c>
      <c r="C22" t="s">
        <v>44</v>
      </c>
      <c r="D22" s="2"/>
      <c r="H22" s="101">
        <v>3938.1</v>
      </c>
      <c r="J22" s="2">
        <f t="shared" si="0"/>
        <v>2.6208960774540973E-2</v>
      </c>
      <c r="K22" s="2">
        <f t="shared" si="2"/>
        <v>2.421027956629904E-2</v>
      </c>
      <c r="L22" s="221">
        <f>J22*$L$3</f>
        <v>219.01675325009811</v>
      </c>
      <c r="M22" s="221">
        <f>J22*$M$3</f>
        <v>51.221220400116401</v>
      </c>
      <c r="N22" s="221">
        <f>J22*$N$3</f>
        <v>77.842710217248651</v>
      </c>
      <c r="O22" s="221">
        <f>J22*$O$3</f>
        <v>14.271041231345304</v>
      </c>
      <c r="P22" s="221">
        <f>J22*$P$3</f>
        <v>53.078649450208125</v>
      </c>
      <c r="Q22" s="221"/>
      <c r="R22" s="240">
        <f t="shared" si="8"/>
        <v>72.77610037629492</v>
      </c>
      <c r="S22" s="240">
        <f t="shared" si="9"/>
        <v>108.94625804834568</v>
      </c>
      <c r="T22" s="240">
        <f t="shared" si="16"/>
        <v>40.966456156930263</v>
      </c>
      <c r="U22" s="240">
        <f t="shared" si="10"/>
        <v>29.619340227001572</v>
      </c>
      <c r="V22" s="240">
        <f t="shared" si="11"/>
        <v>7.5536072246853001</v>
      </c>
      <c r="W22" s="240">
        <f t="shared" si="12"/>
        <v>33.090368008421862</v>
      </c>
      <c r="X22" s="240">
        <f t="shared" si="17"/>
        <v>60.259385840518313</v>
      </c>
      <c r="Y22" s="240">
        <f t="shared" si="13"/>
        <v>27.224701475098932</v>
      </c>
      <c r="Z22" s="240">
        <f t="shared" si="14"/>
        <v>96.174851371531616</v>
      </c>
      <c r="AA22" s="176"/>
      <c r="AB22" s="226">
        <f t="shared" si="1"/>
        <v>1.3053163475484575E-2</v>
      </c>
      <c r="AC22" s="261">
        <f>AB22*$AC$3</f>
        <v>86.747408509027835</v>
      </c>
    </row>
    <row r="23" spans="2:29" x14ac:dyDescent="0.25">
      <c r="B23" s="1">
        <v>468</v>
      </c>
      <c r="C23" t="s">
        <v>45</v>
      </c>
      <c r="D23" s="2"/>
      <c r="H23" s="101">
        <v>6307.7</v>
      </c>
      <c r="J23" s="2">
        <f t="shared" si="0"/>
        <v>4.1979193488629565E-2</v>
      </c>
      <c r="K23" s="2">
        <f t="shared" si="2"/>
        <v>3.8777882842067103E-2</v>
      </c>
      <c r="L23" s="221">
        <f>J23*$L$3</f>
        <v>350.80164913934226</v>
      </c>
      <c r="M23" s="221">
        <f>J23*$M$3</f>
        <v>82.041617002568302</v>
      </c>
      <c r="N23" s="221">
        <f>J23*$N$3</f>
        <v>124.68156299670889</v>
      </c>
      <c r="O23" s="221">
        <f>J23*$O$3</f>
        <v>22.858090646493686</v>
      </c>
      <c r="P23" s="221">
        <f>J23*$P$3</f>
        <v>85.016682445107477</v>
      </c>
      <c r="Q23" s="221"/>
      <c r="R23" s="240">
        <f t="shared" si="8"/>
        <v>116.56631582325372</v>
      </c>
      <c r="S23" s="240">
        <f t="shared" si="9"/>
        <v>174.50047278930197</v>
      </c>
      <c r="T23" s="240">
        <f t="shared" si="16"/>
        <v>65.616443335890168</v>
      </c>
      <c r="U23" s="240">
        <f t="shared" si="10"/>
        <v>47.441637426641741</v>
      </c>
      <c r="V23" s="240">
        <f t="shared" si="11"/>
        <v>12.098699446724936</v>
      </c>
      <c r="W23" s="240">
        <f t="shared" si="12"/>
        <v>53.001222489708894</v>
      </c>
      <c r="X23" s="240">
        <f t="shared" si="17"/>
        <v>96.518150393905017</v>
      </c>
      <c r="Y23" s="240">
        <f t="shared" si="13"/>
        <v>43.606117034732875</v>
      </c>
      <c r="Z23" s="240">
        <f t="shared" si="14"/>
        <v>154.04436403245472</v>
      </c>
      <c r="AA23" s="176"/>
      <c r="AB23" s="226">
        <f t="shared" si="1"/>
        <v>2.0907401857320547E-2</v>
      </c>
      <c r="AC23" s="261">
        <f>AB23*$AC$3</f>
        <v>138.94432052319516</v>
      </c>
    </row>
    <row r="24" spans="2:29" x14ac:dyDescent="0.25">
      <c r="B24" s="1">
        <v>502</v>
      </c>
      <c r="C24" t="s">
        <v>46</v>
      </c>
      <c r="D24" s="2"/>
      <c r="H24" s="101">
        <v>665</v>
      </c>
      <c r="J24" s="2">
        <f t="shared" si="0"/>
        <v>4.4257278675172663E-3</v>
      </c>
      <c r="K24" s="2">
        <f t="shared" si="2"/>
        <v>4.0882242481371373E-3</v>
      </c>
      <c r="L24" s="221">
        <f t="shared" si="3"/>
        <v>36.983860468580083</v>
      </c>
      <c r="M24" s="221">
        <f t="shared" si="4"/>
        <v>8.6493770006036943</v>
      </c>
      <c r="N24" s="221">
        <f t="shared" si="5"/>
        <v>13.144765824755682</v>
      </c>
      <c r="O24" s="221">
        <f t="shared" si="6"/>
        <v>2.4098530811418266</v>
      </c>
      <c r="P24" s="221">
        <f t="shared" si="7"/>
        <v>8.9630283345746431</v>
      </c>
      <c r="Q24" s="221"/>
      <c r="R24" s="240">
        <f t="shared" si="8"/>
        <v>12.289202089900234</v>
      </c>
      <c r="S24" s="240">
        <f t="shared" si="9"/>
        <v>18.397009116617117</v>
      </c>
      <c r="T24" s="240">
        <f t="shared" si="16"/>
        <v>6.9177251325153311</v>
      </c>
      <c r="U24" s="240">
        <f t="shared" si="10"/>
        <v>5.0016153096559366</v>
      </c>
      <c r="V24" s="240">
        <f t="shared" si="11"/>
        <v>1.2755259654187867</v>
      </c>
      <c r="W24" s="240">
        <f t="shared" si="12"/>
        <v>5.5877440201113577</v>
      </c>
      <c r="X24" s="240">
        <f t="shared" si="17"/>
        <v>10.175590153613335</v>
      </c>
      <c r="Y24" s="240">
        <f t="shared" si="13"/>
        <v>4.5972490492726923</v>
      </c>
      <c r="Z24" s="240">
        <f t="shared" si="14"/>
        <v>16.240389061239814</v>
      </c>
      <c r="AA24" s="176"/>
      <c r="AB24" s="226">
        <f t="shared" si="1"/>
        <v>2.2041983980084921E-3</v>
      </c>
      <c r="AC24" s="261">
        <f t="shared" si="15"/>
        <v>14.648441293645035</v>
      </c>
    </row>
    <row r="25" spans="2:29" x14ac:dyDescent="0.25">
      <c r="B25" s="1">
        <v>515</v>
      </c>
      <c r="C25" t="s">
        <v>47</v>
      </c>
      <c r="D25" s="2"/>
      <c r="H25" s="101">
        <v>2449.62</v>
      </c>
      <c r="J25" s="2">
        <f t="shared" si="0"/>
        <v>1.6302784208763379E-2</v>
      </c>
      <c r="K25" s="2">
        <f t="shared" si="2"/>
        <v>1.5059542680784504E-2</v>
      </c>
      <c r="L25" s="221">
        <f>J25*$L$3</f>
        <v>136.23519440758369</v>
      </c>
      <c r="M25" s="221">
        <f>J25*$M$3</f>
        <v>31.861183290554621</v>
      </c>
      <c r="N25" s="221">
        <f>J25*$N$3</f>
        <v>48.420573322763936</v>
      </c>
      <c r="O25" s="221">
        <f>J25*$O$3</f>
        <v>8.8770290295137464</v>
      </c>
      <c r="P25" s="221">
        <f>J25*$P$3</f>
        <v>33.016561607429686</v>
      </c>
      <c r="Q25" s="221"/>
      <c r="R25" s="240">
        <f t="shared" si="8"/>
        <v>45.268985298438217</v>
      </c>
      <c r="S25" s="240">
        <f t="shared" si="9"/>
        <v>67.767942063530271</v>
      </c>
      <c r="T25" s="240">
        <f>K25*$T$3</f>
        <v>25.482402765582265</v>
      </c>
      <c r="U25" s="240">
        <f t="shared" si="10"/>
        <v>18.42414570652538</v>
      </c>
      <c r="V25" s="240">
        <f t="shared" si="11"/>
        <v>4.6985773164047648</v>
      </c>
      <c r="W25" s="240">
        <f t="shared" si="12"/>
        <v>20.583232340669451</v>
      </c>
      <c r="X25" s="240">
        <f>K25*$X$3</f>
        <v>37.483201732472629</v>
      </c>
      <c r="Y25" s="240">
        <f t="shared" si="13"/>
        <v>16.934606339968983</v>
      </c>
      <c r="Z25" s="240">
        <f t="shared" si="14"/>
        <v>59.82373210856283</v>
      </c>
      <c r="AA25" s="176"/>
      <c r="AB25" s="226">
        <f t="shared" si="1"/>
        <v>8.1194713980895662E-3</v>
      </c>
      <c r="AC25" s="261">
        <f>AB25*$AC$3</f>
        <v>53.959571070283829</v>
      </c>
    </row>
    <row r="26" spans="2:29" x14ac:dyDescent="0.25">
      <c r="B26" s="1">
        <v>525</v>
      </c>
      <c r="C26" t="s">
        <v>48</v>
      </c>
      <c r="D26" s="2"/>
      <c r="H26" s="101">
        <v>692.31</v>
      </c>
      <c r="J26" s="2">
        <f t="shared" si="0"/>
        <v>4.6074821954298923E-3</v>
      </c>
      <c r="K26" s="2">
        <f t="shared" si="2"/>
        <v>4.2561180890643936E-3</v>
      </c>
      <c r="L26" s="221">
        <f>J26*$L$3</f>
        <v>38.502701415041621</v>
      </c>
      <c r="M26" s="221">
        <f>J26*$M$3</f>
        <v>9.0045867538164561</v>
      </c>
      <c r="N26" s="221">
        <f>J26*$N$3</f>
        <v>13.684590719002415</v>
      </c>
      <c r="O26" s="221">
        <f>J26*$O$3</f>
        <v>2.5088201302335307</v>
      </c>
      <c r="P26" s="221">
        <f>J26*$P$3</f>
        <v>9.3311190170065732</v>
      </c>
      <c r="Q26" s="221"/>
      <c r="R26" s="240">
        <f t="shared" si="8"/>
        <v>12.793890975727567</v>
      </c>
      <c r="S26" s="240">
        <f t="shared" si="9"/>
        <v>19.152531400789773</v>
      </c>
      <c r="T26" s="240">
        <f>K26*$T$3</f>
        <v>7.2018199796867508</v>
      </c>
      <c r="U26" s="240">
        <f t="shared" si="10"/>
        <v>5.2070199925231604</v>
      </c>
      <c r="V26" s="240">
        <f t="shared" si="11"/>
        <v>1.3279088437880908</v>
      </c>
      <c r="W26" s="240">
        <f t="shared" si="12"/>
        <v>5.8172196429523222</v>
      </c>
      <c r="X26" s="240">
        <f>K26*$X$3</f>
        <v>10.593477923681275</v>
      </c>
      <c r="Y26" s="240">
        <f t="shared" si="13"/>
        <v>4.7860473523338012</v>
      </c>
      <c r="Z26" s="240">
        <f t="shared" si="14"/>
        <v>16.907343986446524</v>
      </c>
      <c r="AA26" s="176"/>
      <c r="AB26" s="226">
        <f t="shared" si="1"/>
        <v>2.2947196886094119E-3</v>
      </c>
      <c r="AC26" s="261">
        <f>AB26*$AC$3</f>
        <v>15.250018634591568</v>
      </c>
    </row>
    <row r="27" spans="2:29" x14ac:dyDescent="0.25">
      <c r="B27" s="1">
        <v>560</v>
      </c>
      <c r="C27" t="s">
        <v>49</v>
      </c>
      <c r="D27" s="2"/>
      <c r="H27" s="255">
        <v>1384.62</v>
      </c>
      <c r="I27" s="256"/>
      <c r="J27" s="256">
        <f t="shared" si="0"/>
        <v>9.2149643908597846E-3</v>
      </c>
      <c r="K27" s="256">
        <f t="shared" si="2"/>
        <v>8.5122361781287872E-3</v>
      </c>
      <c r="L27" s="257">
        <f>J27*$L$3</f>
        <v>77.005402830083241</v>
      </c>
      <c r="M27" s="257">
        <f>J27*$M$3</f>
        <v>18.009173507632912</v>
      </c>
      <c r="N27" s="257">
        <f>J27*$N$3</f>
        <v>27.36918143800483</v>
      </c>
      <c r="O27" s="257">
        <f>J27*$O$3</f>
        <v>5.0176402604670614</v>
      </c>
      <c r="P27" s="257">
        <f>J27*$P$3</f>
        <v>18.662238034013146</v>
      </c>
      <c r="Q27" s="257"/>
      <c r="R27" s="258">
        <f t="shared" si="8"/>
        <v>25.587781951455135</v>
      </c>
      <c r="S27" s="258">
        <f t="shared" si="9"/>
        <v>38.305062801579545</v>
      </c>
      <c r="T27" s="258">
        <f t="shared" si="16"/>
        <v>14.403639959373502</v>
      </c>
      <c r="U27" s="258">
        <f t="shared" si="10"/>
        <v>10.414039985046321</v>
      </c>
      <c r="V27" s="258">
        <f t="shared" si="11"/>
        <v>2.6558176875761816</v>
      </c>
      <c r="W27" s="258">
        <f t="shared" si="12"/>
        <v>11.634439285904644</v>
      </c>
      <c r="X27" s="258">
        <f t="shared" si="17"/>
        <v>21.186955847362551</v>
      </c>
      <c r="Y27" s="258">
        <f t="shared" si="13"/>
        <v>9.5720947046676024</v>
      </c>
      <c r="Z27" s="258">
        <f t="shared" si="14"/>
        <v>33.814687972893047</v>
      </c>
      <c r="AA27" s="257"/>
      <c r="AB27" s="226">
        <f t="shared" si="1"/>
        <v>4.5894393772188237E-3</v>
      </c>
      <c r="AC27" s="261">
        <f>AB27*$AC$3</f>
        <v>30.500037269183135</v>
      </c>
    </row>
    <row r="28" spans="2:29" x14ac:dyDescent="0.25">
      <c r="B28" s="1">
        <v>564</v>
      </c>
      <c r="C28" t="s">
        <v>67</v>
      </c>
      <c r="D28" s="2"/>
      <c r="H28" s="253">
        <v>4692.3100000000004</v>
      </c>
      <c r="I28" s="99"/>
      <c r="J28" s="99">
        <f t="shared" si="0"/>
        <v>3.1228401699293154E-2</v>
      </c>
      <c r="K28" s="99">
        <f t="shared" si="2"/>
        <v>2.8846940634250185E-2</v>
      </c>
      <c r="L28" s="183">
        <f>J28*$L$3</f>
        <v>260.96201250424519</v>
      </c>
      <c r="M28" s="183">
        <f>J28*$M$3</f>
        <v>61.03091457699658</v>
      </c>
      <c r="N28" s="183">
        <f>J28*$N$3</f>
        <v>92.750851319036613</v>
      </c>
      <c r="O28" s="183">
        <f>J28*$O$3</f>
        <v>17.004177009282117</v>
      </c>
      <c r="P28" s="183">
        <f>J28*$P$3</f>
        <v>63.244071405425487</v>
      </c>
      <c r="Q28" s="183"/>
      <c r="R28" s="252">
        <f t="shared" si="8"/>
        <v>86.713903546556054</v>
      </c>
      <c r="S28" s="252">
        <f t="shared" si="9"/>
        <v>129.81123285412582</v>
      </c>
      <c r="T28" s="252">
        <f t="shared" si="16"/>
        <v>48.812196716621081</v>
      </c>
      <c r="U28" s="252">
        <f t="shared" si="10"/>
        <v>35.291924110754366</v>
      </c>
      <c r="V28" s="252">
        <f t="shared" si="11"/>
        <v>9.0002454778860574</v>
      </c>
      <c r="W28" s="252">
        <f t="shared" si="12"/>
        <v>39.427709989486807</v>
      </c>
      <c r="X28" s="252">
        <f t="shared" si="17"/>
        <v>71.800035238648704</v>
      </c>
      <c r="Y28" s="252">
        <f t="shared" si="13"/>
        <v>32.438673212620678</v>
      </c>
      <c r="Z28" s="252">
        <f t="shared" si="14"/>
        <v>114.59389473074617</v>
      </c>
      <c r="AA28" s="183"/>
      <c r="AB28" s="226">
        <f t="shared" si="1"/>
        <v>1.5553055917231922E-2</v>
      </c>
      <c r="AC28" s="261">
        <f>AB28*$AC$3</f>
        <v>103.36094370914819</v>
      </c>
    </row>
    <row r="29" spans="2:29" x14ac:dyDescent="0.25">
      <c r="B29" s="1">
        <v>567</v>
      </c>
      <c r="C29" t="s">
        <v>52</v>
      </c>
      <c r="D29" s="2"/>
      <c r="H29" s="101">
        <v>461.54</v>
      </c>
      <c r="J29" s="2">
        <f t="shared" si="0"/>
        <v>3.0716547969532621E-3</v>
      </c>
      <c r="K29" s="2">
        <f t="shared" si="2"/>
        <v>2.8374120593762627E-3</v>
      </c>
      <c r="L29" s="221">
        <f>J29*$L$3</f>
        <v>25.668467610027751</v>
      </c>
      <c r="M29" s="221">
        <f>J29*$M$3</f>
        <v>6.0030578358776383</v>
      </c>
      <c r="N29" s="221">
        <f>J29*$N$3</f>
        <v>9.1230604793349439</v>
      </c>
      <c r="O29" s="221">
        <f>J29*$O$3</f>
        <v>1.6725467534890208</v>
      </c>
      <c r="P29" s="221">
        <f>J29*$P$3</f>
        <v>6.2207460113377158</v>
      </c>
      <c r="Q29" s="221"/>
      <c r="R29" s="240">
        <f t="shared" si="8"/>
        <v>8.5292606504850461</v>
      </c>
      <c r="S29" s="240">
        <f t="shared" si="9"/>
        <v>12.768354267193182</v>
      </c>
      <c r="T29" s="240">
        <f t="shared" si="16"/>
        <v>4.8012133197911675</v>
      </c>
      <c r="U29" s="240">
        <f t="shared" si="10"/>
        <v>3.4713466616821074</v>
      </c>
      <c r="V29" s="240">
        <f t="shared" si="11"/>
        <v>0.88527256252539399</v>
      </c>
      <c r="W29" s="240">
        <f t="shared" si="12"/>
        <v>3.8781464286348819</v>
      </c>
      <c r="X29" s="240">
        <f t="shared" si="17"/>
        <v>7.0623186157875182</v>
      </c>
      <c r="Y29" s="240">
        <f t="shared" si="13"/>
        <v>3.1906982348892012</v>
      </c>
      <c r="Z29" s="240">
        <f t="shared" si="14"/>
        <v>11.271562657631016</v>
      </c>
      <c r="AA29" s="176"/>
      <c r="AB29" s="226">
        <f t="shared" si="1"/>
        <v>1.5298131257396081E-3</v>
      </c>
      <c r="AC29" s="261">
        <f>AB29*$AC$3</f>
        <v>10.166679089727714</v>
      </c>
    </row>
    <row r="30" spans="2:29" x14ac:dyDescent="0.25">
      <c r="B30" s="1">
        <v>610</v>
      </c>
      <c r="C30" t="s">
        <v>53</v>
      </c>
      <c r="D30" s="2"/>
      <c r="H30" s="101">
        <v>9776.93</v>
      </c>
      <c r="J30" s="2">
        <f t="shared" si="0"/>
        <v>6.5067716631226458E-2</v>
      </c>
      <c r="K30" s="2">
        <f t="shared" si="2"/>
        <v>6.0105687666675831E-2</v>
      </c>
      <c r="L30" s="221">
        <f t="shared" si="3"/>
        <v>543.74227809184174</v>
      </c>
      <c r="M30" s="221">
        <f t="shared" si="4"/>
        <v>127.16444132107111</v>
      </c>
      <c r="N30" s="221">
        <f t="shared" si="5"/>
        <v>193.25632381207308</v>
      </c>
      <c r="O30" s="221">
        <f t="shared" si="6"/>
        <v>35.430022382869119</v>
      </c>
      <c r="P30" s="221">
        <f t="shared" si="7"/>
        <v>131.77579039872614</v>
      </c>
      <c r="Q30" s="221"/>
      <c r="R30" s="240">
        <f t="shared" si="8"/>
        <v>180.67769712602754</v>
      </c>
      <c r="S30" s="240">
        <f t="shared" si="9"/>
        <v>270.47559450004121</v>
      </c>
      <c r="T30" s="240">
        <f t="shared" si="16"/>
        <v>101.70543515765884</v>
      </c>
      <c r="U30" s="240">
        <f t="shared" si="10"/>
        <v>73.53450040516455</v>
      </c>
      <c r="V30" s="240">
        <f t="shared" si="11"/>
        <v>18.752974552002858</v>
      </c>
      <c r="W30" s="240">
        <f t="shared" si="12"/>
        <v>82.151852845935849</v>
      </c>
      <c r="X30" s="240">
        <f t="shared" si="17"/>
        <v>149.60305660235613</v>
      </c>
      <c r="Y30" s="240">
        <f t="shared" si="13"/>
        <v>67.589446838053632</v>
      </c>
      <c r="Z30" s="240">
        <f t="shared" si="14"/>
        <v>238.76864214211639</v>
      </c>
      <c r="AA30" s="176"/>
      <c r="AB30" s="226">
        <f t="shared" si="1"/>
        <v>3.2406456305926562E-2</v>
      </c>
      <c r="AC30" s="261">
        <f t="shared" si="15"/>
        <v>215.36358667229615</v>
      </c>
    </row>
    <row r="31" spans="2:29" x14ac:dyDescent="0.25">
      <c r="B31" s="1">
        <v>620</v>
      </c>
      <c r="C31" t="s">
        <v>54</v>
      </c>
      <c r="D31" s="2"/>
      <c r="H31" s="101">
        <v>6769.23</v>
      </c>
      <c r="J31" s="2">
        <f t="shared" si="0"/>
        <v>4.505078173328407E-2</v>
      </c>
      <c r="K31" s="2">
        <f t="shared" si="2"/>
        <v>4.1615233424386999E-2</v>
      </c>
      <c r="L31" s="221">
        <f t="shared" si="3"/>
        <v>376.46956060109233</v>
      </c>
      <c r="M31" s="221">
        <f t="shared" si="4"/>
        <v>88.044544772626381</v>
      </c>
      <c r="N31" s="221">
        <f t="shared" si="5"/>
        <v>133.80442581039236</v>
      </c>
      <c r="O31" s="221">
        <f t="shared" si="6"/>
        <v>24.530601161590507</v>
      </c>
      <c r="P31" s="221">
        <f t="shared" si="7"/>
        <v>91.237293674064233</v>
      </c>
      <c r="Q31" s="221"/>
      <c r="R31" s="240">
        <f t="shared" si="8"/>
        <v>125.09539167370733</v>
      </c>
      <c r="S31" s="240">
        <f t="shared" si="9"/>
        <v>187.26855040974149</v>
      </c>
      <c r="T31" s="240">
        <f t="shared" si="16"/>
        <v>70.417552629739475</v>
      </c>
      <c r="U31" s="240">
        <f t="shared" si="10"/>
        <v>50.912908876063547</v>
      </c>
      <c r="V31" s="240">
        <f t="shared" si="11"/>
        <v>12.983952828408743</v>
      </c>
      <c r="W31" s="240">
        <f t="shared" si="12"/>
        <v>56.879284892117909</v>
      </c>
      <c r="X31" s="240">
        <f t="shared" si="17"/>
        <v>103.58031599329924</v>
      </c>
      <c r="Y31" s="240">
        <f t="shared" si="13"/>
        <v>46.796746138057422</v>
      </c>
      <c r="Z31" s="240">
        <f t="shared" si="14"/>
        <v>165.31568247370888</v>
      </c>
      <c r="AA31" s="176"/>
      <c r="AB31" s="226">
        <f t="shared" si="1"/>
        <v>2.2437181837219582E-2</v>
      </c>
      <c r="AC31" s="261">
        <f t="shared" si="15"/>
        <v>149.11077933561018</v>
      </c>
    </row>
    <row r="32" spans="2:29" x14ac:dyDescent="0.25">
      <c r="B32" s="1">
        <v>630</v>
      </c>
      <c r="C32" t="s">
        <v>55</v>
      </c>
      <c r="D32" s="2"/>
      <c r="H32" s="101">
        <v>1261.54</v>
      </c>
      <c r="J32" s="2">
        <f t="shared" si="0"/>
        <v>8.3958386977259127E-3</v>
      </c>
      <c r="K32" s="2">
        <f t="shared" si="2"/>
        <v>7.7555765684134206E-3</v>
      </c>
      <c r="L32" s="221">
        <f t="shared" si="3"/>
        <v>70.160329827868452</v>
      </c>
      <c r="M32" s="221">
        <f t="shared" si="4"/>
        <v>16.408323400513659</v>
      </c>
      <c r="N32" s="221">
        <f t="shared" si="5"/>
        <v>24.936312599341779</v>
      </c>
      <c r="O32" s="221">
        <f t="shared" si="6"/>
        <v>4.571618129298737</v>
      </c>
      <c r="P32" s="221">
        <f t="shared" si="7"/>
        <v>17.003336489021496</v>
      </c>
      <c r="Q32" s="221"/>
      <c r="R32" s="240">
        <f t="shared" si="8"/>
        <v>23.313263164650742</v>
      </c>
      <c r="S32" s="240">
        <f t="shared" si="9"/>
        <v>34.900094557860392</v>
      </c>
      <c r="T32" s="240">
        <f t="shared" si="16"/>
        <v>13.123288667178032</v>
      </c>
      <c r="U32" s="240">
        <f t="shared" si="10"/>
        <v>9.4883274853283481</v>
      </c>
      <c r="V32" s="240">
        <f t="shared" si="11"/>
        <v>2.4197398893449873</v>
      </c>
      <c r="W32" s="240">
        <f t="shared" si="12"/>
        <v>10.600244497941778</v>
      </c>
      <c r="X32" s="240">
        <f t="shared" si="17"/>
        <v>19.303630078781005</v>
      </c>
      <c r="Y32" s="240">
        <f t="shared" si="13"/>
        <v>8.7212234069465762</v>
      </c>
      <c r="Z32" s="240">
        <f t="shared" si="14"/>
        <v>30.808872806490946</v>
      </c>
      <c r="AA32" s="176"/>
      <c r="AB32" s="226">
        <f t="shared" si="1"/>
        <v>4.1814803714641099E-3</v>
      </c>
      <c r="AC32" s="261">
        <f t="shared" si="15"/>
        <v>27.788864104639035</v>
      </c>
    </row>
    <row r="33" spans="2:33" x14ac:dyDescent="0.25">
      <c r="B33" s="1">
        <v>650</v>
      </c>
      <c r="C33" t="s">
        <v>56</v>
      </c>
      <c r="D33" s="2"/>
      <c r="H33" s="101">
        <v>269.10000000000002</v>
      </c>
      <c r="I33" s="53"/>
      <c r="J33" s="2">
        <f t="shared" si="0"/>
        <v>1.7909223596224008E-3</v>
      </c>
      <c r="K33" s="2">
        <f t="shared" si="2"/>
        <v>1.6543475867273742E-3</v>
      </c>
      <c r="L33" s="221">
        <f t="shared" si="3"/>
        <v>14.965950153526169</v>
      </c>
      <c r="M33" s="221">
        <f t="shared" si="4"/>
        <v>3.5000712043044424</v>
      </c>
      <c r="N33" s="221">
        <f t="shared" si="5"/>
        <v>5.3191826818673</v>
      </c>
      <c r="O33" s="221">
        <f t="shared" si="6"/>
        <v>0.97517513403799339</v>
      </c>
      <c r="P33" s="221">
        <f t="shared" si="7"/>
        <v>3.6269938719308823</v>
      </c>
      <c r="Q33" s="221"/>
      <c r="R33" s="240">
        <f t="shared" si="8"/>
        <v>4.9729688457024865</v>
      </c>
      <c r="S33" s="240">
        <f t="shared" si="9"/>
        <v>7.4445641402731839</v>
      </c>
      <c r="T33" s="240">
        <f t="shared" si="16"/>
        <v>2.7993380949772568</v>
      </c>
      <c r="U33" s="240">
        <f t="shared" si="10"/>
        <v>2.0239619245540044</v>
      </c>
      <c r="V33" s="240">
        <f t="shared" si="11"/>
        <v>0.5161564470589407</v>
      </c>
      <c r="W33" s="240">
        <f t="shared" si="12"/>
        <v>2.2611457380631075</v>
      </c>
      <c r="X33" s="240">
        <f t="shared" si="17"/>
        <v>4.1176711433644346</v>
      </c>
      <c r="Y33" s="240">
        <f t="shared" si="13"/>
        <v>1.8603304047507996</v>
      </c>
      <c r="Z33" s="240">
        <f t="shared" si="14"/>
        <v>6.5718627013227593</v>
      </c>
      <c r="AA33" s="176"/>
      <c r="AB33" s="226">
        <f t="shared" si="1"/>
        <v>8.919545697805793E-4</v>
      </c>
      <c r="AC33" s="261">
        <f t="shared" si="15"/>
        <v>5.9276624843907957</v>
      </c>
    </row>
    <row r="34" spans="2:33" x14ac:dyDescent="0.25">
      <c r="B34" s="1">
        <v>600</v>
      </c>
      <c r="C34" t="s">
        <v>57</v>
      </c>
      <c r="D34" s="2"/>
      <c r="H34" s="101">
        <v>0.01</v>
      </c>
      <c r="I34" s="15">
        <f>SUM(H6:H34)</f>
        <v>150257.77000000002</v>
      </c>
      <c r="J34" s="2">
        <f t="shared" si="0"/>
        <v>6.6552298759658145E-8</v>
      </c>
      <c r="K34" s="2">
        <f t="shared" si="2"/>
        <v>6.1477056362964477E-8</v>
      </c>
      <c r="L34" s="221">
        <f t="shared" si="3"/>
        <v>5.5614827772300889E-4</v>
      </c>
      <c r="M34" s="221">
        <f t="shared" si="4"/>
        <v>1.300658195579503E-4</v>
      </c>
      <c r="N34" s="221">
        <f t="shared" si="5"/>
        <v>1.9766565150008546E-4</v>
      </c>
      <c r="O34" s="221">
        <f t="shared" si="6"/>
        <v>3.6238392197621453E-5</v>
      </c>
      <c r="P34" s="221">
        <f t="shared" si="7"/>
        <v>1.3478238097104728E-4</v>
      </c>
      <c r="Q34" s="221"/>
      <c r="R34" s="240">
        <f t="shared" si="8"/>
        <v>1.8480003142707122E-4</v>
      </c>
      <c r="S34" s="240">
        <f t="shared" si="9"/>
        <v>2.7664675363334016E-4</v>
      </c>
      <c r="T34" s="240">
        <f t="shared" si="16"/>
        <v>1.0402594184233582E-4</v>
      </c>
      <c r="U34" s="240">
        <f t="shared" si="10"/>
        <v>7.5212260295578004E-5</v>
      </c>
      <c r="V34" s="240">
        <f t="shared" si="11"/>
        <v>1.9180841585244916E-5</v>
      </c>
      <c r="W34" s="240">
        <f t="shared" si="12"/>
        <v>8.4026225866336212E-5</v>
      </c>
      <c r="X34" s="240">
        <f t="shared" si="17"/>
        <v>1.530163932874186E-4</v>
      </c>
      <c r="Y34" s="240">
        <f t="shared" si="13"/>
        <v>6.9131564650717187E-5</v>
      </c>
      <c r="Z34" s="240">
        <f t="shared" si="14"/>
        <v>2.442163768607491E-4</v>
      </c>
      <c r="AA34" s="176"/>
      <c r="AB34" s="226">
        <f t="shared" si="1"/>
        <v>3.3145840571556273E-8</v>
      </c>
      <c r="AC34" s="261">
        <f t="shared" si="15"/>
        <v>2.2027731268639151E-4</v>
      </c>
    </row>
    <row r="35" spans="2:33" ht="15.75" thickBot="1" x14ac:dyDescent="0.3">
      <c r="B35" s="1">
        <v>339</v>
      </c>
      <c r="C35" t="s">
        <v>58</v>
      </c>
      <c r="D35" s="2"/>
      <c r="H35" s="53">
        <v>5538.46</v>
      </c>
      <c r="J35" s="2"/>
      <c r="K35" s="2">
        <f>H35/$I$36</f>
        <v>3.4048821758402424E-2</v>
      </c>
      <c r="L35" s="221">
        <f>J35*$L$3</f>
        <v>0</v>
      </c>
      <c r="M35" s="221">
        <f>J35*$M$3</f>
        <v>0</v>
      </c>
      <c r="N35" s="221">
        <f>J35*$N$3</f>
        <v>0</v>
      </c>
      <c r="O35" s="221">
        <f>J35*$O$3</f>
        <v>0</v>
      </c>
      <c r="P35" s="221">
        <f>J35*$P$3</f>
        <v>0</v>
      </c>
      <c r="Q35" s="221"/>
      <c r="R35" s="240">
        <f t="shared" si="8"/>
        <v>102.35075820575769</v>
      </c>
      <c r="S35" s="240">
        <f t="shared" si="9"/>
        <v>153.21969791281091</v>
      </c>
      <c r="T35" s="240">
        <f t="shared" si="16"/>
        <v>57.614351785610324</v>
      </c>
      <c r="U35" s="240">
        <f t="shared" si="10"/>
        <v>41.656009515664699</v>
      </c>
      <c r="V35" s="240">
        <f t="shared" si="11"/>
        <v>10.623232388621556</v>
      </c>
      <c r="W35" s="240">
        <f t="shared" si="12"/>
        <v>46.537589091166851</v>
      </c>
      <c r="X35" s="240">
        <f t="shared" si="17"/>
        <v>84.747517356663636</v>
      </c>
      <c r="Y35" s="240">
        <f t="shared" si="13"/>
        <v>38.288240555541108</v>
      </c>
      <c r="Z35" s="240">
        <f t="shared" si="14"/>
        <v>135.25826345881848</v>
      </c>
      <c r="AA35" s="176"/>
      <c r="AB35" s="226">
        <f t="shared" si="1"/>
        <v>1.8357691217194154E-2</v>
      </c>
      <c r="AC35" s="261">
        <f>AB35*$AC$3</f>
        <v>121.99970852210718</v>
      </c>
    </row>
    <row r="36" spans="2:33" ht="15.75" thickBot="1" x14ac:dyDescent="0.3">
      <c r="B36" s="1">
        <v>225</v>
      </c>
      <c r="C36" t="s">
        <v>59</v>
      </c>
      <c r="D36" s="2"/>
      <c r="H36" s="101">
        <v>6866.08</v>
      </c>
      <c r="I36" s="99">
        <f>I34+H35+H36</f>
        <v>162662.31</v>
      </c>
      <c r="J36" s="2"/>
      <c r="K36" s="2">
        <f>H36/$I$36</f>
        <v>4.2210638715262309E-2</v>
      </c>
      <c r="L36" s="221"/>
      <c r="M36" s="221"/>
      <c r="N36" s="221"/>
      <c r="O36" s="221"/>
      <c r="P36" s="221"/>
      <c r="Q36" s="221"/>
      <c r="R36" s="240">
        <f t="shared" si="8"/>
        <v>126.8851799780785</v>
      </c>
      <c r="S36" s="240">
        <f t="shared" si="9"/>
        <v>189.9478742186804</v>
      </c>
      <c r="T36" s="240">
        <f t="shared" si="16"/>
        <v>71.425043876482505</v>
      </c>
      <c r="U36" s="240">
        <f t="shared" si="10"/>
        <v>51.641339617026219</v>
      </c>
      <c r="V36" s="240">
        <f t="shared" si="11"/>
        <v>13.169719279161841</v>
      </c>
      <c r="W36" s="240">
        <f t="shared" si="12"/>
        <v>57.693078889633369</v>
      </c>
      <c r="X36" s="240">
        <f t="shared" si="17"/>
        <v>105.06227976228789</v>
      </c>
      <c r="Y36" s="240">
        <f t="shared" si="13"/>
        <v>47.466285341699617</v>
      </c>
      <c r="Z36" s="240">
        <f t="shared" si="14"/>
        <v>167.68091808360521</v>
      </c>
      <c r="AA36" s="221"/>
      <c r="AB36" s="226">
        <f t="shared" si="1"/>
        <v>2.2758199303155108E-2</v>
      </c>
      <c r="AC36" s="268">
        <f>AB36*$AC$3</f>
        <v>151.24416510897791</v>
      </c>
    </row>
    <row r="37" spans="2:33" x14ac:dyDescent="0.25">
      <c r="F37" s="8">
        <v>170462.72</v>
      </c>
      <c r="H37" s="101"/>
      <c r="K37" s="2">
        <f>H37/$I$36</f>
        <v>0</v>
      </c>
      <c r="L37" s="221">
        <f t="shared" ref="L37" si="19">J37*$L$3</f>
        <v>0</v>
      </c>
      <c r="M37" s="221">
        <f t="shared" ref="M37" si="20">J37*$M$3</f>
        <v>0</v>
      </c>
      <c r="N37" s="221">
        <f t="shared" ref="N37" si="21">J37*$N$3</f>
        <v>0</v>
      </c>
      <c r="O37" s="221">
        <f t="shared" ref="O37" si="22">J37*$O$3</f>
        <v>0</v>
      </c>
      <c r="P37" s="221">
        <f t="shared" ref="P37" si="23">J37*$P$3</f>
        <v>0</v>
      </c>
      <c r="Q37" s="221"/>
      <c r="R37" s="240">
        <f t="shared" si="8"/>
        <v>0</v>
      </c>
      <c r="S37" s="240">
        <f t="shared" si="9"/>
        <v>0</v>
      </c>
      <c r="T37" s="240">
        <f t="shared" si="16"/>
        <v>0</v>
      </c>
      <c r="U37" s="240">
        <f t="shared" si="10"/>
        <v>0</v>
      </c>
      <c r="V37" s="240">
        <f t="shared" si="11"/>
        <v>0</v>
      </c>
      <c r="W37" s="240">
        <f t="shared" si="12"/>
        <v>0</v>
      </c>
      <c r="X37" s="240">
        <f t="shared" si="17"/>
        <v>0</v>
      </c>
      <c r="Y37" s="240">
        <f t="shared" si="13"/>
        <v>0</v>
      </c>
      <c r="Z37" s="240">
        <f t="shared" si="14"/>
        <v>0</v>
      </c>
      <c r="AA37" s="176"/>
      <c r="AB37" s="226">
        <f t="shared" si="1"/>
        <v>0</v>
      </c>
      <c r="AC37" s="261">
        <f t="shared" ref="AC37:AC38" si="24">AB37*$AC$3</f>
        <v>0</v>
      </c>
    </row>
    <row r="38" spans="2:33" x14ac:dyDescent="0.25">
      <c r="B38" s="45"/>
      <c r="C38" s="32" t="s">
        <v>60</v>
      </c>
      <c r="D38" s="32"/>
      <c r="E38" s="32"/>
      <c r="F38" s="32"/>
      <c r="G38" s="31"/>
      <c r="H38" s="269">
        <v>139034.67000000001</v>
      </c>
      <c r="I38" s="118"/>
      <c r="J38" s="121"/>
      <c r="K38" s="121"/>
      <c r="L38" s="221"/>
      <c r="M38" s="221"/>
      <c r="N38" s="221"/>
      <c r="O38" s="221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226">
        <f t="shared" si="1"/>
        <v>0.4608421005738938</v>
      </c>
      <c r="AC38" s="261">
        <f t="shared" si="24"/>
        <v>3062.6183477839259</v>
      </c>
    </row>
    <row r="39" spans="2:33" ht="15.75" thickBot="1" x14ac:dyDescent="0.3">
      <c r="H39" s="237">
        <f>SUM(H7:H38)</f>
        <v>301696.98</v>
      </c>
      <c r="I39" s="34"/>
      <c r="J39" s="54">
        <f t="shared" ref="J39:Z39" si="25">SUM(J7:J37)</f>
        <v>1</v>
      </c>
      <c r="K39" s="54">
        <f t="shared" si="25"/>
        <v>0.99999999999999978</v>
      </c>
      <c r="L39" s="227">
        <f t="shared" si="25"/>
        <v>8356.5599999999959</v>
      </c>
      <c r="M39" s="227">
        <f t="shared" si="25"/>
        <v>1954.3399999999995</v>
      </c>
      <c r="N39" s="227">
        <f t="shared" si="25"/>
        <v>2970.0799999999995</v>
      </c>
      <c r="O39" s="227">
        <f t="shared" si="25"/>
        <v>544.50999999999988</v>
      </c>
      <c r="P39" s="227">
        <f t="shared" si="25"/>
        <v>2025.2099999999996</v>
      </c>
      <c r="Q39" s="227">
        <f t="shared" si="25"/>
        <v>0</v>
      </c>
      <c r="R39" s="227">
        <f>SUM(R7:R37)</f>
        <v>3006.0000000000005</v>
      </c>
      <c r="S39" s="227">
        <f>SUM(S7:S37)</f>
        <v>4499.9999999999991</v>
      </c>
      <c r="T39" s="227">
        <f t="shared" si="25"/>
        <v>1692.1100000000001</v>
      </c>
      <c r="U39" s="227">
        <f>SUM(U7:U37)</f>
        <v>1223.42</v>
      </c>
      <c r="V39" s="227">
        <f>SUM(V7:V37)</f>
        <v>312.00000000000006</v>
      </c>
      <c r="W39" s="227">
        <f>SUM(W7:W37)</f>
        <v>1366.79</v>
      </c>
      <c r="X39" s="227">
        <f t="shared" si="25"/>
        <v>2489</v>
      </c>
      <c r="Y39" s="227">
        <f t="shared" si="25"/>
        <v>1124.5100000000002</v>
      </c>
      <c r="Z39" s="227">
        <f t="shared" si="25"/>
        <v>3972.48</v>
      </c>
      <c r="AA39" s="228"/>
      <c r="AB39" s="227">
        <f>SUM(AB7:AB38)</f>
        <v>1.0000000000000002</v>
      </c>
      <c r="AC39" s="227">
        <f>SUM(AC7:AC38)</f>
        <v>6645.7000000000007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59"/>
      <c r="W40" s="114"/>
      <c r="X40" s="114"/>
      <c r="Y40" s="114"/>
      <c r="Z40" s="114"/>
      <c r="AC40">
        <v>5802</v>
      </c>
    </row>
    <row r="41" spans="2:33" x14ac:dyDescent="0.25">
      <c r="C41" s="17">
        <v>43630</v>
      </c>
      <c r="D41" s="23"/>
      <c r="E41" s="23"/>
      <c r="F41" s="23"/>
      <c r="G41" s="18"/>
      <c r="H41" s="18">
        <v>69758.320000000007</v>
      </c>
      <c r="I41" s="18"/>
      <c r="J41" s="42"/>
      <c r="K41" s="238"/>
      <c r="L41" s="158">
        <v>4171.8</v>
      </c>
      <c r="M41" s="158">
        <v>975.65</v>
      </c>
      <c r="N41" s="158">
        <v>1497</v>
      </c>
      <c r="O41" s="158">
        <v>274.45</v>
      </c>
      <c r="P41" s="158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x14ac:dyDescent="0.25">
      <c r="C42" s="19">
        <v>43644</v>
      </c>
      <c r="D42" s="24"/>
      <c r="E42" s="24"/>
      <c r="F42" s="24"/>
      <c r="H42" s="2">
        <v>69712.19</v>
      </c>
      <c r="J42" s="43">
        <v>0</v>
      </c>
      <c r="K42" s="238"/>
      <c r="L42" s="158">
        <v>4184.76</v>
      </c>
      <c r="M42" s="158">
        <v>978.69</v>
      </c>
      <c r="N42" s="158">
        <v>1473.08</v>
      </c>
      <c r="O42" s="158">
        <v>270.06</v>
      </c>
      <c r="P42" s="158"/>
      <c r="Q42" s="114"/>
      <c r="R42" s="114"/>
      <c r="S42" s="114"/>
      <c r="T42" s="114"/>
      <c r="U42" s="114"/>
      <c r="V42" s="159"/>
      <c r="W42" s="114"/>
      <c r="X42" s="114"/>
      <c r="Y42" s="114"/>
      <c r="Z42" s="114"/>
    </row>
    <row r="43" spans="2:33" ht="15.75" thickBot="1" x14ac:dyDescent="0.3">
      <c r="C43" s="19"/>
      <c r="D43" s="24"/>
      <c r="E43" s="24"/>
      <c r="F43" s="24"/>
      <c r="H43" s="2">
        <v>4504.75</v>
      </c>
      <c r="J43" s="43"/>
      <c r="K43" s="238"/>
      <c r="L43" s="158"/>
      <c r="M43" s="158"/>
      <c r="N43" s="158"/>
      <c r="O43" s="158"/>
      <c r="P43" s="158"/>
      <c r="Q43" s="114"/>
      <c r="R43" s="114"/>
      <c r="S43" s="114"/>
      <c r="T43" s="114"/>
      <c r="U43" s="114"/>
      <c r="V43" s="159"/>
      <c r="W43" s="114"/>
      <c r="X43" s="114"/>
      <c r="Y43" s="114"/>
      <c r="Z43" s="114"/>
    </row>
    <row r="44" spans="2:33" ht="15.75" thickBot="1" x14ac:dyDescent="0.3">
      <c r="C44" s="20"/>
      <c r="D44" s="20"/>
      <c r="E44" s="20"/>
      <c r="F44" s="20"/>
      <c r="G44" s="105"/>
      <c r="H44" s="236">
        <f>SUM(H41:H43)</f>
        <v>143975.26</v>
      </c>
      <c r="I44" s="5"/>
      <c r="J44" s="44"/>
      <c r="K44" s="239"/>
      <c r="L44" s="161">
        <f>SUM(L41:L42)</f>
        <v>8356.5600000000013</v>
      </c>
      <c r="M44" s="162">
        <f>SUM(M41:M42)</f>
        <v>1954.3400000000001</v>
      </c>
      <c r="N44" s="162">
        <f>SUM(N41:N42)</f>
        <v>2970.08</v>
      </c>
      <c r="O44" s="162">
        <f>SUM(O41:O42)</f>
        <v>544.51</v>
      </c>
      <c r="P44" s="163">
        <f>SUM(P41:P42)</f>
        <v>0</v>
      </c>
      <c r="Q44" s="114"/>
      <c r="R44" s="114"/>
      <c r="S44" s="114"/>
      <c r="T44" s="114"/>
      <c r="U44" s="114"/>
      <c r="V44" s="159"/>
      <c r="W44" s="114"/>
      <c r="X44" s="114"/>
      <c r="Y44" s="114"/>
      <c r="Z44" s="114"/>
    </row>
    <row r="45" spans="2:33" x14ac:dyDescent="0.25">
      <c r="H45" s="53">
        <f>H38</f>
        <v>139034.67000000001</v>
      </c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59"/>
      <c r="W45" s="114"/>
      <c r="X45" s="114"/>
      <c r="Y45" s="114"/>
      <c r="Z45" s="114"/>
      <c r="AG45">
        <v>114.44</v>
      </c>
    </row>
    <row r="46" spans="2:33" x14ac:dyDescent="0.25">
      <c r="B46" s="1" t="s">
        <v>63</v>
      </c>
      <c r="I46" s="2" t="s">
        <v>64</v>
      </c>
      <c r="J46" s="12" t="s">
        <v>65</v>
      </c>
      <c r="L46" s="201">
        <v>196.5</v>
      </c>
      <c r="M46" s="201">
        <v>45.96</v>
      </c>
      <c r="N46" s="201"/>
      <c r="O46" s="201"/>
      <c r="P46" s="66">
        <f>SUM(L46:O46)</f>
        <v>242.46</v>
      </c>
      <c r="AG46">
        <v>151.65</v>
      </c>
    </row>
    <row r="47" spans="2:33" ht="15.75" thickBot="1" x14ac:dyDescent="0.3">
      <c r="L47" s="201">
        <v>229.25</v>
      </c>
      <c r="M47" s="201">
        <v>53.62</v>
      </c>
      <c r="N47" s="201"/>
      <c r="O47" s="201"/>
      <c r="P47" s="66">
        <f>SUM(L47:O47)</f>
        <v>282.87</v>
      </c>
      <c r="R47" s="66">
        <f>SUM(P46:P47)</f>
        <v>525.33000000000004</v>
      </c>
      <c r="S47">
        <f>R47+'May 2019 Alloc '!N58+'April 2019 Alloc  '!R45</f>
        <v>2303.36</v>
      </c>
    </row>
    <row r="48" spans="2:33" x14ac:dyDescent="0.25">
      <c r="B48" s="1" t="s">
        <v>58</v>
      </c>
      <c r="H48" s="17">
        <v>43630</v>
      </c>
      <c r="I48" s="2">
        <v>2769.23</v>
      </c>
      <c r="J48" s="31">
        <v>3697.12</v>
      </c>
      <c r="K48" s="2"/>
      <c r="L48" s="201">
        <v>165.08</v>
      </c>
      <c r="M48" s="201">
        <v>38.61</v>
      </c>
      <c r="N48" s="101">
        <v>83.08</v>
      </c>
      <c r="O48" s="101">
        <v>15.23</v>
      </c>
    </row>
    <row r="49" spans="8:15" x14ac:dyDescent="0.25">
      <c r="H49" s="19">
        <v>43644</v>
      </c>
      <c r="I49" s="2">
        <v>2769.23</v>
      </c>
      <c r="J49" s="31">
        <v>3168.96</v>
      </c>
      <c r="K49" s="2"/>
      <c r="L49" s="201">
        <v>165.08</v>
      </c>
      <c r="M49" s="201">
        <v>38.61</v>
      </c>
      <c r="N49" s="101">
        <v>83.08</v>
      </c>
      <c r="O49" s="101">
        <v>15.23</v>
      </c>
    </row>
    <row r="50" spans="8:15" x14ac:dyDescent="0.25">
      <c r="J50" s="2"/>
      <c r="K50" s="2"/>
      <c r="L50" s="201"/>
      <c r="M50" s="201"/>
      <c r="N50" s="201"/>
      <c r="O50" s="201"/>
    </row>
    <row r="51" spans="8:15" ht="15.75" thickBot="1" x14ac:dyDescent="0.3">
      <c r="J51" s="2"/>
      <c r="K51" s="2"/>
    </row>
    <row r="52" spans="8:15" ht="15.75" thickBot="1" x14ac:dyDescent="0.3">
      <c r="I52" s="241">
        <f>SUM(I48:I51)</f>
        <v>5538.46</v>
      </c>
      <c r="J52" s="242">
        <f>SUM(J48:J51)</f>
        <v>6866.08</v>
      </c>
      <c r="K52" s="2"/>
    </row>
    <row r="54" spans="8:15" x14ac:dyDescent="0.25">
      <c r="J54" s="270">
        <f>J52+'May 2019 Alloc '!I60+'April 2019 Alloc  '!H44+'April 2019 Alloc  '!H45</f>
        <v>30105.11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F5C3-A388-4C4A-8219-F5A257E31CE4}">
  <sheetPr>
    <tabColor theme="5" tint="0.39997558519241921"/>
    <pageSetUpPr fitToPage="1"/>
  </sheetPr>
  <dimension ref="B1:AG53"/>
  <sheetViews>
    <sheetView topLeftCell="B1" zoomScale="85" zoomScaleNormal="85" workbookViewId="0">
      <selection activeCell="C16" sqref="C16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66</v>
      </c>
      <c r="L1" s="66">
        <v>7251</v>
      </c>
      <c r="M1" s="66">
        <v>7252</v>
      </c>
      <c r="N1" s="66">
        <v>7253</v>
      </c>
      <c r="O1" s="66">
        <v>7254</v>
      </c>
      <c r="P1" s="66">
        <v>7260.1</v>
      </c>
      <c r="Q1" s="201"/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66">
        <v>7248</v>
      </c>
    </row>
    <row r="2" spans="2:30" ht="17.25" thickBot="1" x14ac:dyDescent="0.4">
      <c r="L2" s="262" t="s">
        <v>1</v>
      </c>
      <c r="M2" s="262" t="s">
        <v>2</v>
      </c>
      <c r="N2" s="262" t="s">
        <v>3</v>
      </c>
      <c r="O2" s="262" t="s">
        <v>4</v>
      </c>
      <c r="P2" s="262" t="s">
        <v>5</v>
      </c>
      <c r="Q2" s="262"/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71">
        <v>8356.56</v>
      </c>
      <c r="M3" s="271">
        <v>1954.34</v>
      </c>
      <c r="N3" s="271">
        <v>2970.08</v>
      </c>
      <c r="O3" s="271">
        <v>544.51</v>
      </c>
      <c r="P3" s="213">
        <v>2025.21</v>
      </c>
      <c r="Q3" s="214"/>
      <c r="R3" s="216">
        <v>3006</v>
      </c>
      <c r="S3" s="272">
        <v>4500</v>
      </c>
      <c r="T3" s="215">
        <v>1692.11</v>
      </c>
      <c r="U3" s="213">
        <v>1223.42</v>
      </c>
      <c r="V3" s="216">
        <v>312</v>
      </c>
      <c r="W3" s="215">
        <v>1366.79</v>
      </c>
      <c r="X3" s="215">
        <v>2489</v>
      </c>
      <c r="Y3" s="213">
        <v>1124.51</v>
      </c>
      <c r="Z3" s="216">
        <v>3972.48</v>
      </c>
      <c r="AA3" s="214"/>
      <c r="AB3" s="226"/>
      <c r="AC3" s="261">
        <v>6645.7</v>
      </c>
      <c r="AD3" s="2"/>
    </row>
    <row r="4" spans="2:30" x14ac:dyDescent="0.25">
      <c r="L4" s="218">
        <v>1</v>
      </c>
      <c r="M4" s="218">
        <v>2</v>
      </c>
      <c r="N4" s="218">
        <v>3</v>
      </c>
      <c r="O4" s="218">
        <v>4</v>
      </c>
      <c r="P4" s="218">
        <v>5</v>
      </c>
      <c r="Q4" s="218">
        <v>6</v>
      </c>
      <c r="R4" s="218">
        <v>15</v>
      </c>
      <c r="S4" s="218">
        <v>9</v>
      </c>
      <c r="T4" s="218">
        <v>7</v>
      </c>
      <c r="U4" s="218">
        <v>11</v>
      </c>
      <c r="V4" s="218">
        <v>16</v>
      </c>
      <c r="W4" s="218">
        <v>10</v>
      </c>
      <c r="X4" s="218">
        <v>8</v>
      </c>
      <c r="Y4" s="218">
        <v>13</v>
      </c>
      <c r="Z4" s="218">
        <v>14</v>
      </c>
      <c r="AA4" s="201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4" si="0">H6/$I$34</f>
        <v>0</v>
      </c>
      <c r="K6" s="2">
        <f>H6/$H$39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>
        <f>J6*$P$3</f>
        <v>0</v>
      </c>
      <c r="Q6" s="221"/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>
        <f>J6*$Z$3</f>
        <v>0</v>
      </c>
      <c r="AA6" s="176"/>
      <c r="AB6" s="226">
        <f t="shared" ref="AB6:AB38" si="1">H6/$H$39</f>
        <v>0</v>
      </c>
      <c r="AC6" s="261">
        <f>AB6*$AC$3</f>
        <v>0</v>
      </c>
    </row>
    <row r="7" spans="2:30" x14ac:dyDescent="0.25">
      <c r="B7" s="1">
        <v>111</v>
      </c>
      <c r="C7" t="s">
        <v>20</v>
      </c>
      <c r="D7" s="2"/>
      <c r="H7" s="101">
        <v>28876.79</v>
      </c>
      <c r="J7" s="2">
        <f t="shared" si="0"/>
        <v>0.20704615964832654</v>
      </c>
      <c r="K7" s="2">
        <f t="shared" ref="K7:K34" si="2">H7/$I$36</f>
        <v>0.190135443105652</v>
      </c>
      <c r="L7" s="240">
        <f t="shared" ref="L7:L34" si="3">J7*$L$3</f>
        <v>1730.1936558708196</v>
      </c>
      <c r="M7" s="240">
        <f t="shared" ref="M7:M34" si="4">J7*$M$3</f>
        <v>404.63859164711045</v>
      </c>
      <c r="N7" s="240">
        <f t="shared" ref="N7:N34" si="5">J7*$N$3</f>
        <v>614.94365784830165</v>
      </c>
      <c r="O7" s="240">
        <f t="shared" ref="O7:O34" si="6">J7*$O$3</f>
        <v>112.73870439011029</v>
      </c>
      <c r="P7" s="240">
        <f t="shared" ref="P7:P34" si="7">J7*$P$3</f>
        <v>419.31195298138738</v>
      </c>
      <c r="Q7" s="240"/>
      <c r="R7" s="240">
        <f t="shared" ref="R7:R37" si="8">K7*$R$3</f>
        <v>571.54714197558997</v>
      </c>
      <c r="S7" s="240">
        <f t="shared" ref="S7:S37" si="9">K7*$S$3</f>
        <v>855.60949397543402</v>
      </c>
      <c r="T7" s="240">
        <f>K7*$T$3</f>
        <v>321.73008463350482</v>
      </c>
      <c r="U7" s="240">
        <f t="shared" ref="U7:U37" si="10">K7*$U$3</f>
        <v>232.61550380431677</v>
      </c>
      <c r="V7" s="240">
        <f t="shared" ref="V7:V37" si="11">K7*$V$3</f>
        <v>59.322258248963422</v>
      </c>
      <c r="W7" s="240">
        <f t="shared" ref="W7:W37" si="12">K7*$W$3</f>
        <v>259.87522228237407</v>
      </c>
      <c r="X7" s="240">
        <f>K7*$X$3</f>
        <v>473.24711788996785</v>
      </c>
      <c r="Y7" s="240">
        <f t="shared" ref="Y7:Y37" si="13">K7*$Y$3</f>
        <v>213.80920712673674</v>
      </c>
      <c r="Z7" s="240">
        <f t="shared" ref="Z7:Z37" si="14">K7*$Z$3</f>
        <v>755.30924502834046</v>
      </c>
      <c r="AA7" s="176"/>
      <c r="AB7" s="226">
        <f t="shared" si="1"/>
        <v>9.9263819210866661E-2</v>
      </c>
      <c r="AC7" s="261">
        <f t="shared" ref="AC7:AC34" si="15">AB7*$AC$3</f>
        <v>659.67756332965655</v>
      </c>
    </row>
    <row r="8" spans="2:30" x14ac:dyDescent="0.25">
      <c r="B8" s="1" t="s">
        <v>21</v>
      </c>
      <c r="C8" t="s">
        <v>22</v>
      </c>
      <c r="D8" s="2"/>
      <c r="H8" s="101">
        <v>1748.44</v>
      </c>
      <c r="J8" s="2">
        <f t="shared" si="0"/>
        <v>1.2536289088071079E-2</v>
      </c>
      <c r="K8" s="2">
        <f t="shared" si="2"/>
        <v>1.15123742681803E-2</v>
      </c>
      <c r="L8" s="221">
        <f>J8*$L$3</f>
        <v>104.76025194181125</v>
      </c>
      <c r="M8" s="221">
        <f>J8*$M$3</f>
        <v>24.500171216380831</v>
      </c>
      <c r="N8" s="221">
        <f>J8*$N$3</f>
        <v>37.23378149469815</v>
      </c>
      <c r="O8" s="221">
        <f>J8*$O$3</f>
        <v>6.8261347713455836</v>
      </c>
      <c r="P8" s="221">
        <f>J8*$P$3</f>
        <v>25.38861802405243</v>
      </c>
      <c r="Q8" s="221"/>
      <c r="R8" s="240">
        <f t="shared" si="8"/>
        <v>34.60619705014998</v>
      </c>
      <c r="S8" s="240">
        <f t="shared" si="9"/>
        <v>51.80568420681135</v>
      </c>
      <c r="T8" s="240">
        <f t="shared" ref="T8:T37" si="16">K8*$T$3</f>
        <v>19.480203622930567</v>
      </c>
      <c r="U8" s="240">
        <f t="shared" si="10"/>
        <v>14.084468927177143</v>
      </c>
      <c r="V8" s="240">
        <f t="shared" si="11"/>
        <v>3.5918607716722537</v>
      </c>
      <c r="W8" s="240">
        <f t="shared" si="12"/>
        <v>15.734998026006151</v>
      </c>
      <c r="X8" s="240">
        <f t="shared" ref="X8:X37" si="17">K8*$X$3</f>
        <v>28.654299553500767</v>
      </c>
      <c r="Y8" s="240">
        <f t="shared" si="13"/>
        <v>12.945779988311429</v>
      </c>
      <c r="Z8" s="240">
        <f t="shared" si="14"/>
        <v>45.732676532860879</v>
      </c>
      <c r="AA8" s="176"/>
      <c r="AB8" s="226">
        <f t="shared" si="1"/>
        <v>6.0102536348758881E-3</v>
      </c>
      <c r="AC8" s="261">
        <f>AB8*$AC$3</f>
        <v>39.942342581294689</v>
      </c>
    </row>
    <row r="9" spans="2:30" x14ac:dyDescent="0.25">
      <c r="B9" s="1" t="s">
        <v>23</v>
      </c>
      <c r="C9" t="s">
        <v>24</v>
      </c>
      <c r="D9" s="2"/>
      <c r="H9" s="101">
        <v>2583.91</v>
      </c>
      <c r="J9" s="2">
        <f t="shared" si="0"/>
        <v>1.8526596701950161E-2</v>
      </c>
      <c r="K9" s="2">
        <f t="shared" si="2"/>
        <v>1.701341710055464E-2</v>
      </c>
      <c r="L9" s="221">
        <f>J9*$L$3</f>
        <v>154.81861693564863</v>
      </c>
      <c r="M9" s="221">
        <f>J9*$M$3</f>
        <v>36.207268998489276</v>
      </c>
      <c r="N9" s="221">
        <f>J9*$N$3</f>
        <v>55.025474332528134</v>
      </c>
      <c r="O9" s="221">
        <f>J9*$O$3</f>
        <v>10.087917170178882</v>
      </c>
      <c r="P9" s="221">
        <f>J9*$P$3</f>
        <v>37.520248906756485</v>
      </c>
      <c r="Q9" s="221"/>
      <c r="R9" s="240">
        <f t="shared" si="8"/>
        <v>51.142331804267251</v>
      </c>
      <c r="S9" s="240">
        <f t="shared" si="9"/>
        <v>76.560376952495886</v>
      </c>
      <c r="T9" s="240">
        <f t="shared" si="16"/>
        <v>28.788573210019511</v>
      </c>
      <c r="U9" s="240">
        <f t="shared" si="10"/>
        <v>20.81455474916056</v>
      </c>
      <c r="V9" s="240">
        <f t="shared" si="11"/>
        <v>5.308186135373048</v>
      </c>
      <c r="W9" s="240">
        <f t="shared" si="12"/>
        <v>23.253768358867077</v>
      </c>
      <c r="X9" s="240">
        <f t="shared" si="17"/>
        <v>42.346395163280498</v>
      </c>
      <c r="Y9" s="240">
        <f t="shared" si="13"/>
        <v>19.131757663744697</v>
      </c>
      <c r="Z9" s="240">
        <f t="shared" si="14"/>
        <v>67.585459163611304</v>
      </c>
      <c r="AA9" s="176"/>
      <c r="AB9" s="226">
        <f t="shared" si="1"/>
        <v>8.8821775237881515E-3</v>
      </c>
      <c r="AC9" s="261">
        <f>AB9*$AC$3</f>
        <v>59.028287169838919</v>
      </c>
    </row>
    <row r="10" spans="2:30" x14ac:dyDescent="0.25">
      <c r="B10" s="1" t="s">
        <v>25</v>
      </c>
      <c r="C10" t="s">
        <v>26</v>
      </c>
      <c r="D10" s="2"/>
      <c r="H10" s="101">
        <v>253.28</v>
      </c>
      <c r="J10" s="2">
        <f t="shared" si="0"/>
        <v>1.8160138753555415E-3</v>
      </c>
      <c r="K10" s="2">
        <f t="shared" si="2"/>
        <v>1.6676889997052837E-3</v>
      </c>
      <c r="L10" s="221">
        <f t="shared" si="3"/>
        <v>15.175628910241103</v>
      </c>
      <c r="M10" s="221">
        <f t="shared" si="4"/>
        <v>3.5491085571623491</v>
      </c>
      <c r="N10" s="221">
        <f t="shared" si="5"/>
        <v>5.3937064909159869</v>
      </c>
      <c r="O10" s="221">
        <f t="shared" si="6"/>
        <v>0.98883771526984587</v>
      </c>
      <c r="P10" s="221">
        <f t="shared" si="7"/>
        <v>3.6778094605087963</v>
      </c>
      <c r="Q10" s="221"/>
      <c r="R10" s="240">
        <f t="shared" si="8"/>
        <v>5.0130731331140828</v>
      </c>
      <c r="S10" s="240">
        <f t="shared" si="9"/>
        <v>7.5046004986737769</v>
      </c>
      <c r="T10" s="240">
        <f t="shared" si="16"/>
        <v>2.8219132332913075</v>
      </c>
      <c r="U10" s="240">
        <f t="shared" si="10"/>
        <v>2.0402840760194385</v>
      </c>
      <c r="V10" s="240">
        <f t="shared" si="11"/>
        <v>0.52031896790804855</v>
      </c>
      <c r="W10" s="240">
        <f t="shared" si="12"/>
        <v>2.2793806479071845</v>
      </c>
      <c r="X10" s="240">
        <f t="shared" si="17"/>
        <v>4.150877920266451</v>
      </c>
      <c r="Y10" s="240">
        <f t="shared" si="13"/>
        <v>1.8753329570585886</v>
      </c>
      <c r="Z10" s="240">
        <f t="shared" si="14"/>
        <v>6.6248611975492455</v>
      </c>
      <c r="AA10" s="176"/>
      <c r="AB10" s="226">
        <f t="shared" si="1"/>
        <v>8.7064871579314417E-4</v>
      </c>
      <c r="AC10" s="261">
        <f t="shared" si="15"/>
        <v>5.7860701705464983</v>
      </c>
    </row>
    <row r="11" spans="2:30" ht="15.75" thickBot="1" x14ac:dyDescent="0.3">
      <c r="B11" s="1">
        <v>112</v>
      </c>
      <c r="C11" t="s">
        <v>27</v>
      </c>
      <c r="D11" s="2"/>
      <c r="H11" s="101">
        <v>26333.49</v>
      </c>
      <c r="J11" s="2">
        <f t="shared" si="0"/>
        <v>0.18881073604918036</v>
      </c>
      <c r="K11" s="2">
        <f t="shared" si="2"/>
        <v>0.17338941723329554</v>
      </c>
      <c r="L11" s="221">
        <f t="shared" si="3"/>
        <v>1577.8082444391384</v>
      </c>
      <c r="M11" s="221">
        <f t="shared" si="4"/>
        <v>369.00037389035515</v>
      </c>
      <c r="N11" s="221">
        <f t="shared" si="5"/>
        <v>560.78299092494956</v>
      </c>
      <c r="O11" s="221">
        <f t="shared" si="6"/>
        <v>102.8093338861392</v>
      </c>
      <c r="P11" s="221">
        <f t="shared" si="7"/>
        <v>382.38139075416058</v>
      </c>
      <c r="Q11" s="221"/>
      <c r="R11" s="240">
        <f t="shared" si="8"/>
        <v>521.20858820328635</v>
      </c>
      <c r="S11" s="240">
        <f t="shared" si="9"/>
        <v>780.25237754982993</v>
      </c>
      <c r="T11" s="240">
        <f t="shared" si="16"/>
        <v>293.39396679463169</v>
      </c>
      <c r="U11" s="240">
        <f t="shared" si="10"/>
        <v>212.12808083155844</v>
      </c>
      <c r="V11" s="240">
        <f t="shared" si="11"/>
        <v>54.097498176788207</v>
      </c>
      <c r="W11" s="240">
        <f t="shared" si="12"/>
        <v>236.98692158029601</v>
      </c>
      <c r="X11" s="240">
        <f t="shared" si="17"/>
        <v>431.56625949367259</v>
      </c>
      <c r="Y11" s="240">
        <f t="shared" si="13"/>
        <v>194.97813357301317</v>
      </c>
      <c r="Z11" s="240">
        <f t="shared" si="14"/>
        <v>688.78599217092187</v>
      </c>
      <c r="AA11" s="176"/>
      <c r="AB11" s="226">
        <f t="shared" si="1"/>
        <v>9.0521238356173428E-2</v>
      </c>
      <c r="AC11" s="261">
        <f t="shared" si="15"/>
        <v>601.57699374362176</v>
      </c>
    </row>
    <row r="12" spans="2:30" ht="15.75" thickBot="1" x14ac:dyDescent="0.3">
      <c r="B12" s="1">
        <v>222</v>
      </c>
      <c r="C12" t="s">
        <v>29</v>
      </c>
      <c r="D12" s="2"/>
      <c r="H12" s="102">
        <v>2480.65</v>
      </c>
      <c r="J12" s="2">
        <f t="shared" si="0"/>
        <v>1.7786224020454534E-2</v>
      </c>
      <c r="K12" s="2">
        <f t="shared" si="2"/>
        <v>1.6333515149711434E-2</v>
      </c>
      <c r="L12" s="221">
        <f t="shared" si="3"/>
        <v>148.63164820036954</v>
      </c>
      <c r="M12" s="221">
        <f t="shared" si="4"/>
        <v>34.760329052135113</v>
      </c>
      <c r="N12" s="221">
        <f t="shared" si="5"/>
        <v>52.8265082386716</v>
      </c>
      <c r="O12" s="221">
        <f t="shared" si="6"/>
        <v>9.6847768413776976</v>
      </c>
      <c r="P12" s="221">
        <f t="shared" si="7"/>
        <v>36.020838748464726</v>
      </c>
      <c r="Q12" s="221"/>
      <c r="R12" s="240">
        <f t="shared" si="8"/>
        <v>49.098546540032572</v>
      </c>
      <c r="S12" s="240">
        <f t="shared" si="9"/>
        <v>73.500818173701447</v>
      </c>
      <c r="T12" s="240">
        <f t="shared" si="16"/>
        <v>27.638104319978215</v>
      </c>
      <c r="U12" s="240">
        <f t="shared" si="10"/>
        <v>19.982749104459963</v>
      </c>
      <c r="V12" s="240">
        <f t="shared" si="11"/>
        <v>5.0960567267099677</v>
      </c>
      <c r="W12" s="240">
        <f t="shared" si="12"/>
        <v>22.324485171474091</v>
      </c>
      <c r="X12" s="240">
        <f t="shared" si="17"/>
        <v>40.654119207631759</v>
      </c>
      <c r="Y12" s="240">
        <f t="shared" si="13"/>
        <v>18.367201121002005</v>
      </c>
      <c r="Z12" s="240">
        <f t="shared" si="14"/>
        <v>64.88456226192568</v>
      </c>
      <c r="AA12" s="176"/>
      <c r="AB12" s="226">
        <f t="shared" si="1"/>
        <v>8.527221797347849E-3</v>
      </c>
      <c r="AC12" s="261">
        <f t="shared" si="15"/>
        <v>56.669357898634601</v>
      </c>
    </row>
    <row r="13" spans="2:30" ht="15.75" thickBot="1" x14ac:dyDescent="0.3">
      <c r="B13" s="1">
        <v>223</v>
      </c>
      <c r="C13" t="s">
        <v>30</v>
      </c>
      <c r="D13" s="2"/>
      <c r="H13" s="181">
        <v>5471.42</v>
      </c>
      <c r="I13" s="56"/>
      <c r="J13" s="99">
        <f t="shared" si="0"/>
        <v>3.9230000939268067E-2</v>
      </c>
      <c r="K13" s="99">
        <f t="shared" si="2"/>
        <v>3.6025848652745905E-2</v>
      </c>
      <c r="L13" s="252">
        <f t="shared" si="3"/>
        <v>327.82785664904992</v>
      </c>
      <c r="M13" s="252">
        <f t="shared" si="4"/>
        <v>76.668760035649157</v>
      </c>
      <c r="N13" s="252">
        <f t="shared" si="5"/>
        <v>116.5162411897013</v>
      </c>
      <c r="O13" s="252">
        <f t="shared" si="6"/>
        <v>21.361127811440856</v>
      </c>
      <c r="P13" s="252">
        <f t="shared" si="7"/>
        <v>79.448990202215086</v>
      </c>
      <c r="Q13" s="252"/>
      <c r="R13" s="252">
        <f t="shared" si="8"/>
        <v>108.2937010501542</v>
      </c>
      <c r="S13" s="252">
        <f t="shared" si="9"/>
        <v>162.11631893735657</v>
      </c>
      <c r="T13" s="252">
        <f t="shared" si="16"/>
        <v>60.959698763797867</v>
      </c>
      <c r="U13" s="252">
        <f t="shared" si="10"/>
        <v>44.0747437587424</v>
      </c>
      <c r="V13" s="252">
        <f t="shared" si="11"/>
        <v>11.240064779656722</v>
      </c>
      <c r="W13" s="252">
        <f t="shared" si="12"/>
        <v>49.239769680086575</v>
      </c>
      <c r="X13" s="252">
        <f t="shared" si="17"/>
        <v>89.668337296684555</v>
      </c>
      <c r="Y13" s="252">
        <f t="shared" si="13"/>
        <v>40.511427068499295</v>
      </c>
      <c r="Z13" s="252">
        <f t="shared" si="14"/>
        <v>143.11196325606005</v>
      </c>
      <c r="AA13" s="180"/>
      <c r="AB13" s="215">
        <f t="shared" si="1"/>
        <v>1.8807978508231699E-2</v>
      </c>
      <c r="AC13" s="268">
        <f t="shared" si="15"/>
        <v>124.9921827721554</v>
      </c>
    </row>
    <row r="14" spans="2:30" ht="15.75" thickBot="1" x14ac:dyDescent="0.3">
      <c r="B14" s="1">
        <v>566</v>
      </c>
      <c r="C14" t="s">
        <v>31</v>
      </c>
      <c r="D14" s="2"/>
      <c r="H14" s="101"/>
      <c r="I14" s="118"/>
      <c r="J14" s="2">
        <f t="shared" si="0"/>
        <v>0</v>
      </c>
      <c r="K14" s="2">
        <f t="shared" si="2"/>
        <v>0</v>
      </c>
      <c r="L14" s="221">
        <f t="shared" ref="L14:Q14" si="18">$J$36*L3</f>
        <v>0</v>
      </c>
      <c r="M14" s="221">
        <f t="shared" si="18"/>
        <v>0</v>
      </c>
      <c r="N14" s="221">
        <f t="shared" si="18"/>
        <v>0</v>
      </c>
      <c r="O14" s="221">
        <f t="shared" si="18"/>
        <v>0</v>
      </c>
      <c r="P14" s="221">
        <f t="shared" si="18"/>
        <v>0</v>
      </c>
      <c r="Q14" s="221">
        <f t="shared" si="18"/>
        <v>0</v>
      </c>
      <c r="R14" s="240">
        <f t="shared" si="8"/>
        <v>0</v>
      </c>
      <c r="S14" s="240">
        <f t="shared" si="9"/>
        <v>0</v>
      </c>
      <c r="T14" s="240">
        <f t="shared" si="16"/>
        <v>0</v>
      </c>
      <c r="U14" s="240">
        <f t="shared" si="10"/>
        <v>0</v>
      </c>
      <c r="V14" s="240">
        <f t="shared" si="11"/>
        <v>0</v>
      </c>
      <c r="W14" s="240">
        <f t="shared" si="12"/>
        <v>0</v>
      </c>
      <c r="X14" s="240">
        <f t="shared" si="17"/>
        <v>0</v>
      </c>
      <c r="Y14" s="240">
        <f t="shared" si="13"/>
        <v>0</v>
      </c>
      <c r="Z14" s="240">
        <f t="shared" si="14"/>
        <v>0</v>
      </c>
      <c r="AA14" s="221">
        <f>$J$36*AA3</f>
        <v>0</v>
      </c>
      <c r="AB14" s="226">
        <f t="shared" si="1"/>
        <v>0</v>
      </c>
      <c r="AC14" s="268">
        <f t="shared" si="15"/>
        <v>0</v>
      </c>
    </row>
    <row r="15" spans="2:30" x14ac:dyDescent="0.25">
      <c r="B15" s="1" t="s">
        <v>32</v>
      </c>
      <c r="C15" s="230" t="s">
        <v>73</v>
      </c>
      <c r="D15" s="231"/>
      <c r="E15" s="230"/>
      <c r="F15" s="230"/>
      <c r="G15" s="231"/>
      <c r="H15" s="231">
        <v>2146.15</v>
      </c>
      <c r="I15" s="231"/>
      <c r="J15" s="2">
        <f t="shared" si="0"/>
        <v>1.5387863939491059E-2</v>
      </c>
      <c r="K15" s="2">
        <f t="shared" si="2"/>
        <v>1.4131043693609818E-2</v>
      </c>
      <c r="L15" s="232">
        <f>J15*$L$3</f>
        <v>128.58960828219341</v>
      </c>
      <c r="M15" s="232">
        <f>J15*$M$3</f>
        <v>30.073118011504956</v>
      </c>
      <c r="N15" s="232">
        <f>J15*$N$3</f>
        <v>45.703186929403607</v>
      </c>
      <c r="O15" s="232">
        <f>J15*$O$3</f>
        <v>8.3788457936922764</v>
      </c>
      <c r="P15" s="232">
        <f>J15*$P$3</f>
        <v>31.163655928896688</v>
      </c>
      <c r="Q15" s="232"/>
      <c r="R15" s="240">
        <f t="shared" si="8"/>
        <v>42.477917342991113</v>
      </c>
      <c r="S15" s="240">
        <f t="shared" si="9"/>
        <v>63.58969662124418</v>
      </c>
      <c r="T15" s="240">
        <f t="shared" si="16"/>
        <v>23.911280344394108</v>
      </c>
      <c r="U15" s="240">
        <f t="shared" si="10"/>
        <v>17.288201475636125</v>
      </c>
      <c r="V15" s="240">
        <f t="shared" si="11"/>
        <v>4.4088856324062631</v>
      </c>
      <c r="W15" s="240">
        <f t="shared" si="12"/>
        <v>19.314169209988965</v>
      </c>
      <c r="X15" s="240">
        <f t="shared" si="17"/>
        <v>35.172167753394838</v>
      </c>
      <c r="Y15" s="240">
        <f t="shared" si="13"/>
        <v>15.890499943901176</v>
      </c>
      <c r="Z15" s="240">
        <f t="shared" si="14"/>
        <v>56.13528845199113</v>
      </c>
      <c r="AA15" s="232"/>
      <c r="AB15" s="226">
        <f t="shared" si="1"/>
        <v>7.3773797433648782E-3</v>
      </c>
      <c r="AC15" s="261">
        <f>AB15*$AC$3</f>
        <v>49.027852560479971</v>
      </c>
    </row>
    <row r="16" spans="2:30" x14ac:dyDescent="0.25">
      <c r="B16" s="1" t="s">
        <v>33</v>
      </c>
      <c r="C16" s="230" t="s">
        <v>115</v>
      </c>
      <c r="D16" s="231"/>
      <c r="E16" s="230"/>
      <c r="F16" s="230"/>
      <c r="G16" s="231"/>
      <c r="H16" s="231">
        <v>3538.46</v>
      </c>
      <c r="I16" s="231"/>
      <c r="J16" s="2">
        <f t="shared" si="0"/>
        <v>2.5370706164681654E-2</v>
      </c>
      <c r="K16" s="2">
        <f t="shared" si="2"/>
        <v>2.3298526602563006E-2</v>
      </c>
      <c r="L16" s="232">
        <f t="shared" si="3"/>
        <v>212.01182830753211</v>
      </c>
      <c r="M16" s="232">
        <f t="shared" si="4"/>
        <v>49.582985885883943</v>
      </c>
      <c r="N16" s="232">
        <f t="shared" si="5"/>
        <v>75.353026965597678</v>
      </c>
      <c r="O16" s="232">
        <f t="shared" si="6"/>
        <v>13.814603213730807</v>
      </c>
      <c r="P16" s="232">
        <f t="shared" si="7"/>
        <v>51.38100783177493</v>
      </c>
      <c r="Q16" s="232"/>
      <c r="R16" s="240">
        <f t="shared" si="8"/>
        <v>70.035370967304402</v>
      </c>
      <c r="S16" s="240">
        <f t="shared" si="9"/>
        <v>104.84336971153353</v>
      </c>
      <c r="T16" s="240">
        <f t="shared" si="16"/>
        <v>39.42366984946289</v>
      </c>
      <c r="U16" s="240">
        <f t="shared" si="10"/>
        <v>28.503883416107634</v>
      </c>
      <c r="V16" s="240">
        <f t="shared" si="11"/>
        <v>7.2691402999996582</v>
      </c>
      <c r="W16" s="240">
        <f t="shared" si="12"/>
        <v>31.844193175117091</v>
      </c>
      <c r="X16" s="240">
        <f t="shared" si="17"/>
        <v>57.990032713779321</v>
      </c>
      <c r="Y16" s="240">
        <f t="shared" si="13"/>
        <v>26.199426149848126</v>
      </c>
      <c r="Z16" s="240">
        <f t="shared" si="14"/>
        <v>92.552930958149489</v>
      </c>
      <c r="AA16" s="232"/>
      <c r="AB16" s="226">
        <f t="shared" si="1"/>
        <v>1.2163438308928494E-2</v>
      </c>
      <c r="AC16" s="261">
        <f t="shared" si="15"/>
        <v>80.834561969646089</v>
      </c>
    </row>
    <row r="17" spans="2:29" x14ac:dyDescent="0.25">
      <c r="B17" s="1" t="s">
        <v>35</v>
      </c>
      <c r="C17" s="230" t="s">
        <v>36</v>
      </c>
      <c r="D17" s="231"/>
      <c r="E17" s="234"/>
      <c r="F17" s="234"/>
      <c r="G17" s="231"/>
      <c r="H17" s="231">
        <v>6330</v>
      </c>
      <c r="I17" s="235"/>
      <c r="J17" s="2">
        <f t="shared" si="0"/>
        <v>4.5386006913299817E-2</v>
      </c>
      <c r="K17" s="2">
        <f t="shared" si="2"/>
        <v>4.167905625447902E-2</v>
      </c>
      <c r="L17" s="232">
        <f t="shared" si="3"/>
        <v>379.27088993140472</v>
      </c>
      <c r="M17" s="232">
        <f t="shared" si="4"/>
        <v>88.699688750938364</v>
      </c>
      <c r="N17" s="232">
        <f t="shared" si="5"/>
        <v>134.80007141305353</v>
      </c>
      <c r="O17" s="232">
        <f t="shared" si="6"/>
        <v>24.713134624360883</v>
      </c>
      <c r="P17" s="232">
        <f t="shared" si="7"/>
        <v>91.916195060883922</v>
      </c>
      <c r="Q17" s="232"/>
      <c r="R17" s="240">
        <f t="shared" si="8"/>
        <v>125.28724310096393</v>
      </c>
      <c r="S17" s="240">
        <f t="shared" si="9"/>
        <v>187.55575314515559</v>
      </c>
      <c r="T17" s="240">
        <f t="shared" si="16"/>
        <v>70.525547878766488</v>
      </c>
      <c r="U17" s="240">
        <f t="shared" si="10"/>
        <v>50.990991002854727</v>
      </c>
      <c r="V17" s="240">
        <f t="shared" si="11"/>
        <v>13.003865551397455</v>
      </c>
      <c r="W17" s="240">
        <f t="shared" si="12"/>
        <v>56.966517298059379</v>
      </c>
      <c r="X17" s="240">
        <f t="shared" si="17"/>
        <v>103.73917101739828</v>
      </c>
      <c r="Y17" s="240">
        <f t="shared" si="13"/>
        <v>46.868515548724204</v>
      </c>
      <c r="Z17" s="240">
        <f t="shared" si="14"/>
        <v>165.56921738979281</v>
      </c>
      <c r="AA17" s="232"/>
      <c r="AB17" s="226">
        <f t="shared" si="1"/>
        <v>2.1759342904969215E-2</v>
      </c>
      <c r="AC17" s="261">
        <f t="shared" si="15"/>
        <v>144.60606514355391</v>
      </c>
    </row>
    <row r="18" spans="2:29" x14ac:dyDescent="0.25">
      <c r="B18" s="1" t="s">
        <v>37</v>
      </c>
      <c r="C18" s="230" t="s">
        <v>38</v>
      </c>
      <c r="D18" s="231"/>
      <c r="E18" s="230"/>
      <c r="F18" s="230"/>
      <c r="G18" s="231"/>
      <c r="H18" s="231">
        <v>2000</v>
      </c>
      <c r="I18" s="231"/>
      <c r="J18" s="2">
        <f t="shared" si="0"/>
        <v>1.4339970588720321E-2</v>
      </c>
      <c r="K18" s="2">
        <f t="shared" si="2"/>
        <v>1.316873815307394E-2</v>
      </c>
      <c r="L18" s="232">
        <f t="shared" si="3"/>
        <v>119.83282462287669</v>
      </c>
      <c r="M18" s="232">
        <f t="shared" si="4"/>
        <v>28.025178120359673</v>
      </c>
      <c r="N18" s="232">
        <f t="shared" si="5"/>
        <v>42.590859846146451</v>
      </c>
      <c r="O18" s="232">
        <f t="shared" si="6"/>
        <v>7.8082573852641017</v>
      </c>
      <c r="P18" s="232">
        <f t="shared" si="7"/>
        <v>29.041451835982283</v>
      </c>
      <c r="Q18" s="232"/>
      <c r="R18" s="240">
        <f t="shared" si="8"/>
        <v>39.585226888140262</v>
      </c>
      <c r="S18" s="240">
        <f t="shared" si="9"/>
        <v>59.259321688832728</v>
      </c>
      <c r="T18" s="240">
        <f t="shared" si="16"/>
        <v>22.282953516197942</v>
      </c>
      <c r="U18" s="240">
        <f t="shared" si="10"/>
        <v>16.110897631233719</v>
      </c>
      <c r="V18" s="240">
        <f t="shared" si="11"/>
        <v>4.1086463037590697</v>
      </c>
      <c r="W18" s="240">
        <f t="shared" si="12"/>
        <v>17.998899620239929</v>
      </c>
      <c r="X18" s="240">
        <f t="shared" si="17"/>
        <v>32.776989263001035</v>
      </c>
      <c r="Y18" s="240">
        <f t="shared" si="13"/>
        <v>14.808377740513176</v>
      </c>
      <c r="Z18" s="240">
        <f t="shared" si="14"/>
        <v>52.312548938323168</v>
      </c>
      <c r="AA18" s="232"/>
      <c r="AB18" s="226">
        <f t="shared" si="1"/>
        <v>6.8749898593899574E-3</v>
      </c>
      <c r="AC18" s="261">
        <f t="shared" si="15"/>
        <v>45.68912010854784</v>
      </c>
    </row>
    <row r="19" spans="2:29" x14ac:dyDescent="0.25">
      <c r="B19" s="1">
        <v>335</v>
      </c>
      <c r="C19" s="230" t="s">
        <v>39</v>
      </c>
      <c r="D19" s="231"/>
      <c r="E19" s="230"/>
      <c r="F19" s="230"/>
      <c r="G19" s="231"/>
      <c r="H19" s="31">
        <v>3134.45</v>
      </c>
      <c r="I19" s="31"/>
      <c r="J19" s="31">
        <f t="shared" si="0"/>
        <v>2.2473960405907205E-2</v>
      </c>
      <c r="K19" s="31">
        <f t="shared" si="2"/>
        <v>2.0638375651951302E-2</v>
      </c>
      <c r="L19" s="189">
        <f t="shared" si="3"/>
        <v>187.80499856958789</v>
      </c>
      <c r="M19" s="189">
        <f t="shared" si="4"/>
        <v>43.921759779680684</v>
      </c>
      <c r="N19" s="189">
        <f t="shared" si="5"/>
        <v>66.749460322376876</v>
      </c>
      <c r="O19" s="189">
        <f t="shared" si="6"/>
        <v>12.237296180620532</v>
      </c>
      <c r="P19" s="189">
        <f t="shared" si="7"/>
        <v>45.514489353647328</v>
      </c>
      <c r="Q19" s="189"/>
      <c r="R19" s="274">
        <f t="shared" si="8"/>
        <v>62.038957209765613</v>
      </c>
      <c r="S19" s="274">
        <f t="shared" si="9"/>
        <v>92.872690433780861</v>
      </c>
      <c r="T19" s="274">
        <f t="shared" si="16"/>
        <v>34.922401824423318</v>
      </c>
      <c r="U19" s="274">
        <f t="shared" si="10"/>
        <v>25.249401540110263</v>
      </c>
      <c r="V19" s="274">
        <f t="shared" si="11"/>
        <v>6.4391732034088065</v>
      </c>
      <c r="W19" s="274">
        <f t="shared" si="12"/>
        <v>28.20832545733052</v>
      </c>
      <c r="X19" s="274">
        <f t="shared" si="17"/>
        <v>51.368916997706791</v>
      </c>
      <c r="Y19" s="274">
        <f t="shared" si="13"/>
        <v>23.208059804375758</v>
      </c>
      <c r="Z19" s="274">
        <f t="shared" si="14"/>
        <v>81.985534509863513</v>
      </c>
      <c r="AA19" s="189"/>
      <c r="AB19" s="190">
        <f t="shared" si="1"/>
        <v>1.0774655982382425E-2</v>
      </c>
      <c r="AC19" s="191">
        <f t="shared" si="15"/>
        <v>71.605131262118874</v>
      </c>
    </row>
    <row r="20" spans="2:29" ht="15.75" thickBot="1" x14ac:dyDescent="0.3">
      <c r="B20" s="1">
        <v>368</v>
      </c>
      <c r="C20" t="s">
        <v>40</v>
      </c>
      <c r="D20" s="2"/>
      <c r="H20" s="101">
        <v>2615.1999999999998</v>
      </c>
      <c r="J20" s="2">
        <f t="shared" si="0"/>
        <v>1.8750945541810692E-2</v>
      </c>
      <c r="K20" s="2">
        <f t="shared" si="2"/>
        <v>1.721944200895948E-2</v>
      </c>
      <c r="L20" s="221">
        <f>J20*$L$3</f>
        <v>156.69340147687353</v>
      </c>
      <c r="M20" s="221">
        <f>J20*$M$3</f>
        <v>36.645722910182307</v>
      </c>
      <c r="N20" s="221">
        <f>J20*$N$3</f>
        <v>55.691808334821097</v>
      </c>
      <c r="O20" s="221">
        <f>J20*$O$3</f>
        <v>10.21007735697134</v>
      </c>
      <c r="P20" s="221">
        <f>J20*$P$3</f>
        <v>37.974602420730434</v>
      </c>
      <c r="Q20" s="221"/>
      <c r="R20" s="240">
        <f t="shared" si="8"/>
        <v>51.761642678932198</v>
      </c>
      <c r="S20" s="240">
        <f t="shared" si="9"/>
        <v>77.487489040317655</v>
      </c>
      <c r="T20" s="240">
        <f t="shared" si="16"/>
        <v>29.137190017780426</v>
      </c>
      <c r="U20" s="240">
        <f t="shared" si="10"/>
        <v>21.066609742601209</v>
      </c>
      <c r="V20" s="240">
        <f t="shared" si="11"/>
        <v>5.372465906795358</v>
      </c>
      <c r="W20" s="240">
        <f t="shared" si="12"/>
        <v>23.535361143425728</v>
      </c>
      <c r="X20" s="240">
        <f t="shared" si="17"/>
        <v>42.859191160300149</v>
      </c>
      <c r="Y20" s="240">
        <f t="shared" si="13"/>
        <v>19.363434733495026</v>
      </c>
      <c r="Z20" s="240">
        <f t="shared" si="14"/>
        <v>68.403888991751359</v>
      </c>
      <c r="AA20" s="176"/>
      <c r="AB20" s="226">
        <f t="shared" si="1"/>
        <v>8.9897367401383065E-3</v>
      </c>
      <c r="AC20" s="261">
        <f>AB20*$AC$3</f>
        <v>59.743093453937142</v>
      </c>
    </row>
    <row r="21" spans="2:29" ht="15.75" thickBot="1" x14ac:dyDescent="0.3">
      <c r="B21" s="1">
        <v>451</v>
      </c>
      <c r="C21" t="s">
        <v>41</v>
      </c>
      <c r="D21" s="2"/>
      <c r="H21" s="102">
        <v>13290.06</v>
      </c>
      <c r="I21" s="31"/>
      <c r="J21" s="2">
        <f t="shared" si="0"/>
        <v>9.5289534761164182E-2</v>
      </c>
      <c r="K21" s="2">
        <f t="shared" si="2"/>
        <v>8.7506660089320912E-2</v>
      </c>
      <c r="L21" s="179">
        <f t="shared" si="3"/>
        <v>796.29271460375412</v>
      </c>
      <c r="M21" s="179">
        <f t="shared" si="4"/>
        <v>186.22814936513359</v>
      </c>
      <c r="N21" s="179">
        <f t="shared" si="5"/>
        <v>283.01754140343849</v>
      </c>
      <c r="O21" s="179">
        <f t="shared" si="6"/>
        <v>51.886104572801507</v>
      </c>
      <c r="P21" s="179">
        <f t="shared" si="7"/>
        <v>192.98131869365733</v>
      </c>
      <c r="Q21" s="179"/>
      <c r="R21" s="251">
        <f t="shared" si="8"/>
        <v>263.04502022849869</v>
      </c>
      <c r="S21" s="251">
        <f t="shared" si="9"/>
        <v>393.77997040194413</v>
      </c>
      <c r="T21" s="251">
        <f t="shared" si="16"/>
        <v>148.07089460374081</v>
      </c>
      <c r="U21" s="251">
        <f t="shared" si="10"/>
        <v>107.05739808647699</v>
      </c>
      <c r="V21" s="251">
        <f t="shared" si="11"/>
        <v>27.302077947868124</v>
      </c>
      <c r="W21" s="251">
        <f t="shared" si="12"/>
        <v>119.60322794348292</v>
      </c>
      <c r="X21" s="251">
        <f t="shared" si="17"/>
        <v>217.80407696231975</v>
      </c>
      <c r="Y21" s="251">
        <f t="shared" si="13"/>
        <v>98.402114337042264</v>
      </c>
      <c r="Z21" s="251">
        <f t="shared" si="14"/>
        <v>347.61845707162553</v>
      </c>
      <c r="AA21" s="179"/>
      <c r="AB21" s="226">
        <f t="shared" si="1"/>
        <v>4.5684513865342044E-2</v>
      </c>
      <c r="AC21" s="261">
        <f t="shared" si="15"/>
        <v>303.60557379490359</v>
      </c>
    </row>
    <row r="22" spans="2:29" x14ac:dyDescent="0.25">
      <c r="B22" s="1">
        <v>467</v>
      </c>
      <c r="C22" t="s">
        <v>44</v>
      </c>
      <c r="D22" s="2"/>
      <c r="H22" s="101">
        <v>3938.1</v>
      </c>
      <c r="J22" s="2">
        <f t="shared" si="0"/>
        <v>2.8236119087719749E-2</v>
      </c>
      <c r="K22" s="2">
        <f t="shared" si="2"/>
        <v>2.592990386031024E-2</v>
      </c>
      <c r="L22" s="221">
        <f>J22*$L$3</f>
        <v>235.95682332367534</v>
      </c>
      <c r="M22" s="221">
        <f>J22*$M$3</f>
        <v>55.182976977894214</v>
      </c>
      <c r="N22" s="221">
        <f>J22*$N$3</f>
        <v>83.863532580054667</v>
      </c>
      <c r="O22" s="221">
        <f>J22*$O$3</f>
        <v>15.37484920445428</v>
      </c>
      <c r="P22" s="221">
        <f>J22*$P$3</f>
        <v>57.184070737640916</v>
      </c>
      <c r="Q22" s="221"/>
      <c r="R22" s="240">
        <f t="shared" si="8"/>
        <v>77.945291004092581</v>
      </c>
      <c r="S22" s="240">
        <f t="shared" si="9"/>
        <v>116.68456737139608</v>
      </c>
      <c r="T22" s="240">
        <f t="shared" si="16"/>
        <v>43.876249621069562</v>
      </c>
      <c r="U22" s="240">
        <f t="shared" si="10"/>
        <v>31.723162980780756</v>
      </c>
      <c r="V22" s="240">
        <f t="shared" si="11"/>
        <v>8.0901300044167943</v>
      </c>
      <c r="W22" s="240">
        <f t="shared" si="12"/>
        <v>35.440733297233436</v>
      </c>
      <c r="X22" s="240">
        <f t="shared" si="17"/>
        <v>64.539530708312185</v>
      </c>
      <c r="Y22" s="240">
        <f t="shared" si="13"/>
        <v>29.158436189957467</v>
      </c>
      <c r="Z22" s="240">
        <f t="shared" si="14"/>
        <v>103.00602448700522</v>
      </c>
      <c r="AA22" s="176"/>
      <c r="AB22" s="226">
        <f t="shared" si="1"/>
        <v>1.3537198782631795E-2</v>
      </c>
      <c r="AC22" s="261">
        <f>AB22*$AC$3</f>
        <v>89.964161949736109</v>
      </c>
    </row>
    <row r="23" spans="2:29" x14ac:dyDescent="0.25">
      <c r="B23" s="1">
        <v>468</v>
      </c>
      <c r="C23" t="s">
        <v>45</v>
      </c>
      <c r="D23" s="2"/>
      <c r="H23" s="101">
        <v>6307.7</v>
      </c>
      <c r="J23" s="2">
        <f t="shared" si="0"/>
        <v>4.5226116241235584E-2</v>
      </c>
      <c r="K23" s="2">
        <f t="shared" si="2"/>
        <v>4.1532224824072241E-2</v>
      </c>
      <c r="L23" s="221">
        <f>J23*$L$3</f>
        <v>377.93475393685958</v>
      </c>
      <c r="M23" s="221">
        <f>J23*$M$3</f>
        <v>88.387208014896345</v>
      </c>
      <c r="N23" s="221">
        <f>J23*$N$3</f>
        <v>134.32518332576899</v>
      </c>
      <c r="O23" s="221">
        <f>J23*$O$3</f>
        <v>24.626072554515186</v>
      </c>
      <c r="P23" s="221">
        <f>J23*$P$3</f>
        <v>91.592382872912722</v>
      </c>
      <c r="Q23" s="221"/>
      <c r="R23" s="240">
        <f t="shared" si="8"/>
        <v>124.84586782116115</v>
      </c>
      <c r="S23" s="240">
        <f t="shared" si="9"/>
        <v>186.89501170832509</v>
      </c>
      <c r="T23" s="240">
        <f t="shared" si="16"/>
        <v>70.277092947060879</v>
      </c>
      <c r="U23" s="240">
        <f t="shared" si="10"/>
        <v>50.81135449426646</v>
      </c>
      <c r="V23" s="240">
        <f t="shared" si="11"/>
        <v>12.958054145110539</v>
      </c>
      <c r="W23" s="240">
        <f t="shared" si="12"/>
        <v>56.765829567293693</v>
      </c>
      <c r="X23" s="240">
        <f t="shared" si="17"/>
        <v>103.3737075871158</v>
      </c>
      <c r="Y23" s="240">
        <f t="shared" si="13"/>
        <v>46.703402136917475</v>
      </c>
      <c r="Z23" s="240">
        <f t="shared" si="14"/>
        <v>164.98593246913049</v>
      </c>
      <c r="AA23" s="176"/>
      <c r="AB23" s="226">
        <f t="shared" si="1"/>
        <v>2.1682686768037016E-2</v>
      </c>
      <c r="AC23" s="261">
        <f>AB23*$AC$3</f>
        <v>144.09663145434359</v>
      </c>
    </row>
    <row r="24" spans="2:29" x14ac:dyDescent="0.25">
      <c r="B24" s="1">
        <v>502</v>
      </c>
      <c r="C24" t="s">
        <v>46</v>
      </c>
      <c r="D24" s="2"/>
      <c r="H24" s="101">
        <v>665</v>
      </c>
      <c r="J24" s="2">
        <f t="shared" si="0"/>
        <v>4.7680402207495066E-3</v>
      </c>
      <c r="K24" s="2">
        <f t="shared" si="2"/>
        <v>4.3786054358970847E-3</v>
      </c>
      <c r="L24" s="221">
        <f t="shared" si="3"/>
        <v>39.844414187106494</v>
      </c>
      <c r="M24" s="221">
        <f t="shared" si="4"/>
        <v>9.3183717250195901</v>
      </c>
      <c r="N24" s="221">
        <f t="shared" si="5"/>
        <v>14.161460898843695</v>
      </c>
      <c r="O24" s="221">
        <f t="shared" si="6"/>
        <v>2.5962455806003137</v>
      </c>
      <c r="P24" s="221">
        <f t="shared" si="7"/>
        <v>9.6562827354641083</v>
      </c>
      <c r="Q24" s="221"/>
      <c r="R24" s="240">
        <f t="shared" si="8"/>
        <v>13.162087940306638</v>
      </c>
      <c r="S24" s="240">
        <f t="shared" si="9"/>
        <v>19.703724461536883</v>
      </c>
      <c r="T24" s="240">
        <f t="shared" si="16"/>
        <v>7.4090820441358156</v>
      </c>
      <c r="U24" s="240">
        <f t="shared" si="10"/>
        <v>5.3568734623852121</v>
      </c>
      <c r="V24" s="240">
        <f t="shared" si="11"/>
        <v>1.3661248959998904</v>
      </c>
      <c r="W24" s="240">
        <f t="shared" si="12"/>
        <v>5.9846341237297764</v>
      </c>
      <c r="X24" s="240">
        <f t="shared" si="17"/>
        <v>10.898348929947844</v>
      </c>
      <c r="Y24" s="240">
        <f t="shared" si="13"/>
        <v>4.9237855987206309</v>
      </c>
      <c r="Z24" s="240">
        <f t="shared" si="14"/>
        <v>17.393922521992451</v>
      </c>
      <c r="AA24" s="176"/>
      <c r="AB24" s="226">
        <f t="shared" si="1"/>
        <v>2.2859341282471606E-3</v>
      </c>
      <c r="AC24" s="261">
        <f t="shared" si="15"/>
        <v>15.191632436092155</v>
      </c>
    </row>
    <row r="25" spans="2:29" x14ac:dyDescent="0.25">
      <c r="B25" s="1">
        <v>515</v>
      </c>
      <c r="C25" t="s">
        <v>47</v>
      </c>
      <c r="D25" s="2"/>
      <c r="H25" s="101">
        <v>2449.62</v>
      </c>
      <c r="J25" s="2">
        <f t="shared" si="0"/>
        <v>1.7563739376770537E-2</v>
      </c>
      <c r="K25" s="2">
        <f t="shared" si="2"/>
        <v>1.6129202177266492E-2</v>
      </c>
      <c r="L25" s="221">
        <f>J25*$L$3</f>
        <v>146.77244192634558</v>
      </c>
      <c r="M25" s="221">
        <f>J25*$M$3</f>
        <v>34.325518413597727</v>
      </c>
      <c r="N25" s="221">
        <f>J25*$N$3</f>
        <v>52.165711048158634</v>
      </c>
      <c r="O25" s="221">
        <f>J25*$O$3</f>
        <v>9.5636317280453245</v>
      </c>
      <c r="P25" s="221">
        <f>J25*$P$3</f>
        <v>35.570260623229458</v>
      </c>
      <c r="Q25" s="221"/>
      <c r="R25" s="240">
        <f t="shared" si="8"/>
        <v>48.484381744863072</v>
      </c>
      <c r="S25" s="240">
        <f t="shared" si="9"/>
        <v>72.581409797699209</v>
      </c>
      <c r="T25" s="240">
        <f>K25*$T$3</f>
        <v>27.292384296174401</v>
      </c>
      <c r="U25" s="240">
        <f t="shared" si="10"/>
        <v>19.732788527711374</v>
      </c>
      <c r="V25" s="240">
        <f t="shared" si="11"/>
        <v>5.0323110793071457</v>
      </c>
      <c r="W25" s="240">
        <f t="shared" si="12"/>
        <v>22.045232243866067</v>
      </c>
      <c r="X25" s="240">
        <f>K25*$X$3</f>
        <v>40.145584219216296</v>
      </c>
      <c r="Y25" s="240">
        <f t="shared" si="13"/>
        <v>18.137449140357944</v>
      </c>
      <c r="Z25" s="240">
        <f t="shared" si="14"/>
        <v>64.072933065147595</v>
      </c>
      <c r="AA25" s="176"/>
      <c r="AB25" s="226">
        <f t="shared" si="1"/>
        <v>8.4205563296794132E-3</v>
      </c>
      <c r="AC25" s="261">
        <f>AB25*$AC$3</f>
        <v>55.960491200150472</v>
      </c>
    </row>
    <row r="26" spans="2:29" x14ac:dyDescent="0.25">
      <c r="B26" s="1">
        <v>525</v>
      </c>
      <c r="C26" t="s">
        <v>48</v>
      </c>
      <c r="D26" s="2"/>
      <c r="H26" s="101">
        <v>692.31</v>
      </c>
      <c r="J26" s="2">
        <f t="shared" si="0"/>
        <v>4.9638525191384826E-3</v>
      </c>
      <c r="K26" s="2">
        <f t="shared" si="2"/>
        <v>4.5584245553773094E-3</v>
      </c>
      <c r="L26" s="221">
        <f>J26*$L$3</f>
        <v>41.480731407331874</v>
      </c>
      <c r="M26" s="221">
        <f>J26*$M$3</f>
        <v>9.7010555322531022</v>
      </c>
      <c r="N26" s="221">
        <f>J26*$N$3</f>
        <v>14.743039090042824</v>
      </c>
      <c r="O26" s="221">
        <f>J26*$O$3</f>
        <v>2.7028673351960952</v>
      </c>
      <c r="P26" s="221">
        <f>J26*$P$3</f>
        <v>10.052843760284446</v>
      </c>
      <c r="Q26" s="221"/>
      <c r="R26" s="240">
        <f t="shared" si="8"/>
        <v>13.702624213464192</v>
      </c>
      <c r="S26" s="240">
        <f t="shared" si="9"/>
        <v>20.512910499197893</v>
      </c>
      <c r="T26" s="240">
        <f>K26*$T$3</f>
        <v>7.7133557743994983</v>
      </c>
      <c r="U26" s="240">
        <f t="shared" si="10"/>
        <v>5.5768677695397084</v>
      </c>
      <c r="V26" s="240">
        <f t="shared" si="11"/>
        <v>1.4222284612777205</v>
      </c>
      <c r="W26" s="240">
        <f t="shared" si="12"/>
        <v>6.2304090980441522</v>
      </c>
      <c r="X26" s="240">
        <f>K26*$X$3</f>
        <v>11.345918718334124</v>
      </c>
      <c r="Y26" s="240">
        <f t="shared" si="13"/>
        <v>5.1259939967673382</v>
      </c>
      <c r="Z26" s="240">
        <f t="shared" si="14"/>
        <v>18.108250377745254</v>
      </c>
      <c r="AA26" s="176"/>
      <c r="AB26" s="226">
        <f t="shared" si="1"/>
        <v>2.3798121147771303E-3</v>
      </c>
      <c r="AC26" s="261">
        <f>AB26*$AC$3</f>
        <v>15.815517371174375</v>
      </c>
    </row>
    <row r="27" spans="2:29" x14ac:dyDescent="0.25">
      <c r="B27" s="1">
        <v>560</v>
      </c>
      <c r="C27" t="s">
        <v>49</v>
      </c>
      <c r="D27" s="2"/>
      <c r="H27" s="255">
        <v>1384.62</v>
      </c>
      <c r="I27" s="256"/>
      <c r="J27" s="256">
        <f t="shared" si="0"/>
        <v>9.9277050382769651E-3</v>
      </c>
      <c r="K27" s="256">
        <f t="shared" si="2"/>
        <v>9.1168491107546188E-3</v>
      </c>
      <c r="L27" s="257">
        <f>J27*$L$3</f>
        <v>82.961462814663747</v>
      </c>
      <c r="M27" s="257">
        <f>J27*$M$3</f>
        <v>19.402111064506204</v>
      </c>
      <c r="N27" s="257">
        <f>J27*$N$3</f>
        <v>29.486078180085649</v>
      </c>
      <c r="O27" s="257">
        <f>J27*$O$3</f>
        <v>5.4057346703921905</v>
      </c>
      <c r="P27" s="257">
        <f>J27*$P$3</f>
        <v>20.105687520568893</v>
      </c>
      <c r="Q27" s="257"/>
      <c r="R27" s="258">
        <f t="shared" si="8"/>
        <v>27.405248426928384</v>
      </c>
      <c r="S27" s="258">
        <f t="shared" si="9"/>
        <v>41.025820998395787</v>
      </c>
      <c r="T27" s="258">
        <f t="shared" si="16"/>
        <v>15.426711548798997</v>
      </c>
      <c r="U27" s="258">
        <f t="shared" si="10"/>
        <v>11.153735539079417</v>
      </c>
      <c r="V27" s="258">
        <f t="shared" si="11"/>
        <v>2.844456922555441</v>
      </c>
      <c r="W27" s="258">
        <f t="shared" si="12"/>
        <v>12.460818196088304</v>
      </c>
      <c r="X27" s="258">
        <f t="shared" si="17"/>
        <v>22.691837436668248</v>
      </c>
      <c r="Y27" s="258">
        <f t="shared" si="13"/>
        <v>10.251987993534676</v>
      </c>
      <c r="Z27" s="258">
        <f t="shared" si="14"/>
        <v>36.216500755490507</v>
      </c>
      <c r="AA27" s="257"/>
      <c r="AB27" s="226">
        <f t="shared" si="1"/>
        <v>4.7596242295542606E-3</v>
      </c>
      <c r="AC27" s="261">
        <f>AB27*$AC$3</f>
        <v>31.631034742348749</v>
      </c>
    </row>
    <row r="28" spans="2:29" x14ac:dyDescent="0.25">
      <c r="B28" s="1">
        <v>564</v>
      </c>
      <c r="C28" t="s">
        <v>67</v>
      </c>
      <c r="D28" s="2"/>
      <c r="H28" s="253">
        <v>4692.3100000000004</v>
      </c>
      <c r="I28" s="99"/>
      <c r="J28" s="99">
        <f t="shared" si="0"/>
        <v>3.3643793696579126E-2</v>
      </c>
      <c r="K28" s="99">
        <f t="shared" si="2"/>
        <v>3.0895900861525192E-2</v>
      </c>
      <c r="L28" s="183">
        <f>J28*$L$3</f>
        <v>281.14638065308526</v>
      </c>
      <c r="M28" s="183">
        <f>J28*$M$3</f>
        <v>65.751411772972446</v>
      </c>
      <c r="N28" s="183">
        <f>J28*$N$3</f>
        <v>99.924758782335729</v>
      </c>
      <c r="O28" s="183">
        <f>J28*$O$3</f>
        <v>18.319382105724298</v>
      </c>
      <c r="P28" s="183">
        <f>J28*$P$3</f>
        <v>68.135747432249019</v>
      </c>
      <c r="Q28" s="183"/>
      <c r="R28" s="252">
        <f t="shared" si="8"/>
        <v>92.873077989744729</v>
      </c>
      <c r="S28" s="252">
        <f t="shared" si="9"/>
        <v>139.03155387686337</v>
      </c>
      <c r="T28" s="252">
        <f t="shared" si="16"/>
        <v>52.279262806795387</v>
      </c>
      <c r="U28" s="252">
        <f t="shared" si="10"/>
        <v>37.798663032007155</v>
      </c>
      <c r="V28" s="252">
        <f t="shared" si="11"/>
        <v>9.6395210687958599</v>
      </c>
      <c r="W28" s="252">
        <f t="shared" si="12"/>
        <v>42.228208338524013</v>
      </c>
      <c r="X28" s="252">
        <f t="shared" si="17"/>
        <v>76.899897244336202</v>
      </c>
      <c r="Y28" s="252">
        <f t="shared" si="13"/>
        <v>34.742749477793694</v>
      </c>
      <c r="Z28" s="252">
        <f t="shared" si="14"/>
        <v>122.7333482543916</v>
      </c>
      <c r="AA28" s="183"/>
      <c r="AB28" s="226">
        <f t="shared" si="1"/>
        <v>1.6129791833557047E-2</v>
      </c>
      <c r="AC28" s="261">
        <f>AB28*$AC$3</f>
        <v>107.19375758827006</v>
      </c>
    </row>
    <row r="29" spans="2:29" x14ac:dyDescent="0.25">
      <c r="B29" s="1">
        <v>567</v>
      </c>
      <c r="C29" t="s">
        <v>52</v>
      </c>
      <c r="D29" s="2"/>
      <c r="H29" s="101">
        <v>461.54</v>
      </c>
      <c r="J29" s="2">
        <f t="shared" si="0"/>
        <v>3.3092350127589885E-3</v>
      </c>
      <c r="K29" s="2">
        <f t="shared" si="2"/>
        <v>3.0389497035848731E-3</v>
      </c>
      <c r="L29" s="221">
        <f>J29*$L$3</f>
        <v>27.653820938221251</v>
      </c>
      <c r="M29" s="221">
        <f>J29*$M$3</f>
        <v>6.4673703548354018</v>
      </c>
      <c r="N29" s="221">
        <f>J29*$N$3</f>
        <v>9.8286927266952162</v>
      </c>
      <c r="O29" s="221">
        <f>J29*$O$3</f>
        <v>1.8019115567973969</v>
      </c>
      <c r="P29" s="221">
        <f>J29*$P$3</f>
        <v>6.7018958401896311</v>
      </c>
      <c r="Q29" s="221"/>
      <c r="R29" s="240">
        <f t="shared" si="8"/>
        <v>9.1350828089761293</v>
      </c>
      <c r="S29" s="240">
        <f t="shared" si="9"/>
        <v>13.675273666131929</v>
      </c>
      <c r="T29" s="240">
        <f t="shared" si="16"/>
        <v>5.1422371829329991</v>
      </c>
      <c r="U29" s="240">
        <f t="shared" si="10"/>
        <v>3.7179118463598058</v>
      </c>
      <c r="V29" s="240">
        <f t="shared" si="11"/>
        <v>0.94815230751848045</v>
      </c>
      <c r="W29" s="240">
        <f t="shared" si="12"/>
        <v>4.1536060653627684</v>
      </c>
      <c r="X29" s="240">
        <f t="shared" si="17"/>
        <v>7.563945812222749</v>
      </c>
      <c r="Y29" s="240">
        <f t="shared" si="13"/>
        <v>3.4173293311782258</v>
      </c>
      <c r="Z29" s="240">
        <f t="shared" si="14"/>
        <v>12.072166918496837</v>
      </c>
      <c r="AA29" s="176"/>
      <c r="AB29" s="226">
        <f t="shared" si="1"/>
        <v>1.5865414098514205E-3</v>
      </c>
      <c r="AC29" s="261">
        <f>AB29*$AC$3</f>
        <v>10.543678247449584</v>
      </c>
    </row>
    <row r="30" spans="2:29" x14ac:dyDescent="0.25">
      <c r="B30" s="1">
        <v>610</v>
      </c>
      <c r="C30" t="s">
        <v>53</v>
      </c>
      <c r="D30" s="2"/>
      <c r="H30" s="101">
        <v>9776.93</v>
      </c>
      <c r="J30" s="2">
        <f t="shared" si="0"/>
        <v>7.0100444323988681E-2</v>
      </c>
      <c r="K30" s="2">
        <f t="shared" si="2"/>
        <v>6.4374915555466594E-2</v>
      </c>
      <c r="L30" s="221">
        <f t="shared" si="3"/>
        <v>585.79856902007077</v>
      </c>
      <c r="M30" s="221">
        <f t="shared" si="4"/>
        <v>137.00010236014404</v>
      </c>
      <c r="N30" s="221">
        <f t="shared" si="5"/>
        <v>208.20392767779231</v>
      </c>
      <c r="O30" s="221">
        <f t="shared" si="6"/>
        <v>38.170392938855073</v>
      </c>
      <c r="P30" s="221">
        <f t="shared" si="7"/>
        <v>141.96812084938512</v>
      </c>
      <c r="Q30" s="221"/>
      <c r="R30" s="240">
        <f t="shared" si="8"/>
        <v>193.51099615973257</v>
      </c>
      <c r="S30" s="240">
        <f t="shared" si="9"/>
        <v>289.6871199995997</v>
      </c>
      <c r="T30" s="240">
        <f t="shared" si="16"/>
        <v>108.92943836056057</v>
      </c>
      <c r="U30" s="240">
        <f t="shared" si="10"/>
        <v>78.757559188868939</v>
      </c>
      <c r="V30" s="240">
        <f t="shared" si="11"/>
        <v>20.084973653305578</v>
      </c>
      <c r="W30" s="240">
        <f t="shared" si="12"/>
        <v>87.986990832056179</v>
      </c>
      <c r="X30" s="240">
        <f t="shared" si="17"/>
        <v>160.22916481755635</v>
      </c>
      <c r="Y30" s="240">
        <f t="shared" si="13"/>
        <v>72.390236291277745</v>
      </c>
      <c r="Z30" s="240">
        <f t="shared" si="14"/>
        <v>255.72806454577994</v>
      </c>
      <c r="AA30" s="176"/>
      <c r="AB30" s="226">
        <f t="shared" si="1"/>
        <v>3.3608147302982727E-2</v>
      </c>
      <c r="AC30" s="261">
        <f t="shared" si="15"/>
        <v>223.3496645314323</v>
      </c>
    </row>
    <row r="31" spans="2:29" x14ac:dyDescent="0.25">
      <c r="B31" s="1">
        <v>620</v>
      </c>
      <c r="C31" t="s">
        <v>54</v>
      </c>
      <c r="D31" s="2"/>
      <c r="H31" s="101">
        <v>6769.23</v>
      </c>
      <c r="J31" s="2">
        <f t="shared" si="0"/>
        <v>4.8535279554141622E-2</v>
      </c>
      <c r="K31" s="2">
        <f t="shared" si="2"/>
        <v>4.4571108683966347E-2</v>
      </c>
      <c r="L31" s="221">
        <f t="shared" si="3"/>
        <v>405.58797571095766</v>
      </c>
      <c r="M31" s="221">
        <f t="shared" si="4"/>
        <v>94.85443824384113</v>
      </c>
      <c r="N31" s="221">
        <f t="shared" si="5"/>
        <v>144.15366309816494</v>
      </c>
      <c r="O31" s="221">
        <f t="shared" si="6"/>
        <v>26.427945070025654</v>
      </c>
      <c r="P31" s="221">
        <f t="shared" si="7"/>
        <v>98.294133505843163</v>
      </c>
      <c r="Q31" s="221"/>
      <c r="R31" s="240">
        <f t="shared" si="8"/>
        <v>133.98075270400284</v>
      </c>
      <c r="S31" s="240">
        <f t="shared" si="9"/>
        <v>200.56998907784856</v>
      </c>
      <c r="T31" s="240">
        <f t="shared" si="16"/>
        <v>75.419218715226293</v>
      </c>
      <c r="U31" s="240">
        <f t="shared" si="10"/>
        <v>54.529185786138115</v>
      </c>
      <c r="V31" s="240">
        <f t="shared" si="11"/>
        <v>13.9061859093975</v>
      </c>
      <c r="W31" s="240">
        <f t="shared" si="12"/>
        <v>60.919345638158362</v>
      </c>
      <c r="X31" s="240">
        <f t="shared" si="17"/>
        <v>110.93748951439224</v>
      </c>
      <c r="Y31" s="240">
        <f t="shared" si="13"/>
        <v>50.120657426206996</v>
      </c>
      <c r="Z31" s="240">
        <f t="shared" si="14"/>
        <v>177.05783782488263</v>
      </c>
      <c r="AA31" s="176"/>
      <c r="AB31" s="226">
        <f t="shared" si="1"/>
        <v>2.3269193802939139E-2</v>
      </c>
      <c r="AC31" s="261">
        <f t="shared" si="15"/>
        <v>154.64008125619264</v>
      </c>
    </row>
    <row r="32" spans="2:29" x14ac:dyDescent="0.25">
      <c r="B32" s="1">
        <v>630</v>
      </c>
      <c r="C32" t="s">
        <v>55</v>
      </c>
      <c r="D32" s="2"/>
      <c r="H32" s="101">
        <v>1261.54</v>
      </c>
      <c r="J32" s="2">
        <f t="shared" si="0"/>
        <v>9.0452232482471171E-3</v>
      </c>
      <c r="K32" s="2">
        <f t="shared" si="2"/>
        <v>8.3064449648144485E-3</v>
      </c>
      <c r="L32" s="221">
        <f t="shared" si="3"/>
        <v>75.586950787371919</v>
      </c>
      <c r="M32" s="221">
        <f t="shared" si="4"/>
        <v>17.677441602979272</v>
      </c>
      <c r="N32" s="221">
        <f t="shared" si="5"/>
        <v>26.865036665153799</v>
      </c>
      <c r="O32" s="221">
        <f t="shared" si="6"/>
        <v>4.9252145109030376</v>
      </c>
      <c r="P32" s="221">
        <f t="shared" si="7"/>
        <v>18.318476574582544</v>
      </c>
      <c r="Q32" s="221"/>
      <c r="R32" s="240">
        <f t="shared" si="8"/>
        <v>24.969173564232232</v>
      </c>
      <c r="S32" s="240">
        <f t="shared" si="9"/>
        <v>37.379002341665021</v>
      </c>
      <c r="T32" s="240">
        <f t="shared" si="16"/>
        <v>14.055418589412175</v>
      </c>
      <c r="U32" s="240">
        <f t="shared" si="10"/>
        <v>10.162270898853293</v>
      </c>
      <c r="V32" s="240">
        <f t="shared" si="11"/>
        <v>2.591610829022108</v>
      </c>
      <c r="W32" s="240">
        <f t="shared" si="12"/>
        <v>11.35316591345874</v>
      </c>
      <c r="X32" s="240">
        <f t="shared" si="17"/>
        <v>20.674741517423161</v>
      </c>
      <c r="Y32" s="240">
        <f t="shared" si="13"/>
        <v>9.3406804273834947</v>
      </c>
      <c r="Z32" s="240">
        <f t="shared" si="14"/>
        <v>32.997186493826099</v>
      </c>
      <c r="AA32" s="176"/>
      <c r="AB32" s="226">
        <f t="shared" si="1"/>
        <v>4.3365373536074035E-3</v>
      </c>
      <c r="AC32" s="261">
        <f t="shared" si="15"/>
        <v>28.81932629086872</v>
      </c>
    </row>
    <row r="33" spans="2:33" x14ac:dyDescent="0.25">
      <c r="B33" s="1">
        <v>650</v>
      </c>
      <c r="C33" t="s">
        <v>56</v>
      </c>
      <c r="D33" s="2"/>
      <c r="H33" s="101">
        <v>269.10000000000002</v>
      </c>
      <c r="I33" s="53"/>
      <c r="J33" s="2">
        <f t="shared" si="0"/>
        <v>1.9294430427123192E-3</v>
      </c>
      <c r="K33" s="2">
        <f t="shared" si="2"/>
        <v>1.7718537184960987E-3</v>
      </c>
      <c r="L33" s="221">
        <f t="shared" si="3"/>
        <v>16.123506553008056</v>
      </c>
      <c r="M33" s="221">
        <f t="shared" si="4"/>
        <v>3.7707877160943939</v>
      </c>
      <c r="N33" s="221">
        <f t="shared" si="5"/>
        <v>5.7306001922990051</v>
      </c>
      <c r="O33" s="221">
        <f t="shared" si="6"/>
        <v>1.0506010311872849</v>
      </c>
      <c r="P33" s="221">
        <f t="shared" si="7"/>
        <v>3.9075273445314163</v>
      </c>
      <c r="Q33" s="221"/>
      <c r="R33" s="240">
        <f t="shared" si="8"/>
        <v>5.3261922777992723</v>
      </c>
      <c r="S33" s="240">
        <f t="shared" si="9"/>
        <v>7.9733417332324441</v>
      </c>
      <c r="T33" s="240">
        <f t="shared" si="16"/>
        <v>2.9981713956044334</v>
      </c>
      <c r="U33" s="240">
        <f t="shared" si="10"/>
        <v>2.1677212762824971</v>
      </c>
      <c r="V33" s="240">
        <f t="shared" si="11"/>
        <v>0.55281836017078279</v>
      </c>
      <c r="W33" s="240">
        <f t="shared" si="12"/>
        <v>2.4217519439032826</v>
      </c>
      <c r="X33" s="240">
        <f t="shared" si="17"/>
        <v>4.4101439053367892</v>
      </c>
      <c r="Y33" s="240">
        <f t="shared" si="13"/>
        <v>1.9924672249860478</v>
      </c>
      <c r="Z33" s="240">
        <f t="shared" si="14"/>
        <v>7.0386534596513819</v>
      </c>
      <c r="AA33" s="176"/>
      <c r="AB33" s="226">
        <f t="shared" si="1"/>
        <v>9.2502988558091877E-4</v>
      </c>
      <c r="AC33" s="261">
        <f t="shared" si="15"/>
        <v>6.1474711106051121</v>
      </c>
    </row>
    <row r="34" spans="2:33" x14ac:dyDescent="0.25">
      <c r="B34" s="1">
        <v>600</v>
      </c>
      <c r="C34" t="s">
        <v>57</v>
      </c>
      <c r="D34" s="2"/>
      <c r="H34" s="101">
        <v>0.01</v>
      </c>
      <c r="I34" s="15">
        <f>SUM(H6:H33)</f>
        <v>139470.30000000002</v>
      </c>
      <c r="J34" s="2">
        <f t="shared" si="0"/>
        <v>7.1699852943601605E-8</v>
      </c>
      <c r="K34" s="2">
        <f t="shared" si="2"/>
        <v>6.5843690765369698E-8</v>
      </c>
      <c r="L34" s="221">
        <f t="shared" si="3"/>
        <v>5.9916412311438339E-4</v>
      </c>
      <c r="M34" s="221">
        <f t="shared" si="4"/>
        <v>1.4012589060179834E-4</v>
      </c>
      <c r="N34" s="221">
        <f t="shared" si="5"/>
        <v>2.1295429923073224E-4</v>
      </c>
      <c r="O34" s="221">
        <f t="shared" si="6"/>
        <v>3.9041286926320507E-5</v>
      </c>
      <c r="P34" s="221">
        <f t="shared" si="7"/>
        <v>1.452072591799114E-4</v>
      </c>
      <c r="Q34" s="221"/>
      <c r="R34" s="240">
        <f t="shared" si="8"/>
        <v>1.9792613444070132E-4</v>
      </c>
      <c r="S34" s="240">
        <f t="shared" si="9"/>
        <v>2.9629660844416363E-4</v>
      </c>
      <c r="T34" s="240">
        <f t="shared" si="16"/>
        <v>1.1141476758098971E-4</v>
      </c>
      <c r="U34" s="240">
        <f t="shared" si="10"/>
        <v>8.0554488156168606E-5</v>
      </c>
      <c r="V34" s="240">
        <f t="shared" si="11"/>
        <v>2.0543231518795346E-5</v>
      </c>
      <c r="W34" s="240">
        <f t="shared" si="12"/>
        <v>8.9994498101199642E-5</v>
      </c>
      <c r="X34" s="240">
        <f t="shared" si="17"/>
        <v>1.6388494631500519E-4</v>
      </c>
      <c r="Y34" s="240">
        <f t="shared" si="13"/>
        <v>7.4041888702565875E-5</v>
      </c>
      <c r="Z34" s="240">
        <f t="shared" si="14"/>
        <v>2.6156274469161584E-4</v>
      </c>
      <c r="AA34" s="176"/>
      <c r="AB34" s="226">
        <f t="shared" si="1"/>
        <v>3.4374949296949789E-8</v>
      </c>
      <c r="AC34" s="261">
        <f t="shared" si="15"/>
        <v>2.2844560054273921E-4</v>
      </c>
    </row>
    <row r="35" spans="2:33" ht="15.75" thickBot="1" x14ac:dyDescent="0.3">
      <c r="B35" s="1">
        <v>339</v>
      </c>
      <c r="C35" t="s">
        <v>58</v>
      </c>
      <c r="D35" s="2"/>
      <c r="H35" s="53">
        <v>5538.46</v>
      </c>
      <c r="J35" s="2"/>
      <c r="K35" s="2">
        <f>H35/$I$36</f>
        <v>3.6467264755636948E-2</v>
      </c>
      <c r="L35" s="221">
        <f>J35*$L$3</f>
        <v>0</v>
      </c>
      <c r="M35" s="221">
        <f>J35*$M$3</f>
        <v>0</v>
      </c>
      <c r="N35" s="221">
        <f>J35*$N$3</f>
        <v>0</v>
      </c>
      <c r="O35" s="221">
        <f>J35*$O$3</f>
        <v>0</v>
      </c>
      <c r="P35" s="221">
        <f>J35*$P$3</f>
        <v>0</v>
      </c>
      <c r="Q35" s="221"/>
      <c r="R35" s="240">
        <f t="shared" si="8"/>
        <v>109.62059785544467</v>
      </c>
      <c r="S35" s="240">
        <f t="shared" si="9"/>
        <v>164.10269140036627</v>
      </c>
      <c r="T35" s="240">
        <f t="shared" si="16"/>
        <v>61.706623365660832</v>
      </c>
      <c r="U35" s="240">
        <f t="shared" si="10"/>
        <v>44.61478104734136</v>
      </c>
      <c r="V35" s="240">
        <f t="shared" si="11"/>
        <v>11.377786603758727</v>
      </c>
      <c r="W35" s="240">
        <f t="shared" si="12"/>
        <v>49.843092795357023</v>
      </c>
      <c r="X35" s="240">
        <f t="shared" si="17"/>
        <v>90.76702197678037</v>
      </c>
      <c r="Y35" s="240">
        <f t="shared" si="13"/>
        <v>41.007803890361302</v>
      </c>
      <c r="Z35" s="240">
        <f t="shared" si="14"/>
        <v>144.86547989647266</v>
      </c>
      <c r="AA35" s="176"/>
      <c r="AB35" s="226">
        <f t="shared" si="1"/>
        <v>1.9038428168318449E-2</v>
      </c>
      <c r="AC35" s="261">
        <f>AB35*$AC$3</f>
        <v>126.52368207819391</v>
      </c>
    </row>
    <row r="36" spans="2:33" ht="15.75" thickBot="1" x14ac:dyDescent="0.3">
      <c r="B36" s="1">
        <v>225</v>
      </c>
      <c r="C36" t="s">
        <v>59</v>
      </c>
      <c r="D36" s="2"/>
      <c r="H36" s="101">
        <v>6866.08</v>
      </c>
      <c r="I36" s="99">
        <f>I34+H35+H36</f>
        <v>151874.84</v>
      </c>
      <c r="J36" s="2"/>
      <c r="K36" s="2">
        <f>H36/$I$36</f>
        <v>4.5208804829028955E-2</v>
      </c>
      <c r="L36" s="221"/>
      <c r="M36" s="221"/>
      <c r="N36" s="221"/>
      <c r="O36" s="221"/>
      <c r="P36" s="221"/>
      <c r="Q36" s="221"/>
      <c r="R36" s="240">
        <f t="shared" si="8"/>
        <v>135.89766731606105</v>
      </c>
      <c r="S36" s="240">
        <f t="shared" si="9"/>
        <v>203.43962173063031</v>
      </c>
      <c r="T36" s="240">
        <f t="shared" si="16"/>
        <v>76.498270739248184</v>
      </c>
      <c r="U36" s="240">
        <f t="shared" si="10"/>
        <v>55.30935600393061</v>
      </c>
      <c r="V36" s="240">
        <f t="shared" si="11"/>
        <v>14.105147106657034</v>
      </c>
      <c r="W36" s="240">
        <f t="shared" si="12"/>
        <v>61.79094235226848</v>
      </c>
      <c r="X36" s="240">
        <f t="shared" si="17"/>
        <v>112.52471521945307</v>
      </c>
      <c r="Y36" s="240">
        <f t="shared" si="13"/>
        <v>50.837753118291353</v>
      </c>
      <c r="Z36" s="240">
        <f t="shared" si="14"/>
        <v>179.59107300722096</v>
      </c>
      <c r="AA36" s="221"/>
      <c r="AB36" s="226">
        <f t="shared" si="1"/>
        <v>2.3602115186880098E-2</v>
      </c>
      <c r="AC36" s="268">
        <f>AB36*$AC$3</f>
        <v>156.85257689744907</v>
      </c>
    </row>
    <row r="37" spans="2:33" x14ac:dyDescent="0.25">
      <c r="F37" s="8">
        <v>163891.18</v>
      </c>
      <c r="H37" s="101"/>
      <c r="K37" s="2">
        <f>H37/$I$36</f>
        <v>0</v>
      </c>
      <c r="L37" s="221">
        <f t="shared" ref="L37" si="19">J37*$L$3</f>
        <v>0</v>
      </c>
      <c r="M37" s="221">
        <f t="shared" ref="M37" si="20">J37*$M$3</f>
        <v>0</v>
      </c>
      <c r="N37" s="221">
        <f t="shared" ref="N37" si="21">J37*$N$3</f>
        <v>0</v>
      </c>
      <c r="O37" s="221">
        <f t="shared" ref="O37" si="22">J37*$O$3</f>
        <v>0</v>
      </c>
      <c r="P37" s="221">
        <f t="shared" ref="P37" si="23">J37*$P$3</f>
        <v>0</v>
      </c>
      <c r="Q37" s="221"/>
      <c r="R37" s="240">
        <f t="shared" si="8"/>
        <v>0</v>
      </c>
      <c r="S37" s="240">
        <f t="shared" si="9"/>
        <v>0</v>
      </c>
      <c r="T37" s="240">
        <f t="shared" si="16"/>
        <v>0</v>
      </c>
      <c r="U37" s="240">
        <f t="shared" si="10"/>
        <v>0</v>
      </c>
      <c r="V37" s="240">
        <f t="shared" si="11"/>
        <v>0</v>
      </c>
      <c r="W37" s="240">
        <f t="shared" si="12"/>
        <v>0</v>
      </c>
      <c r="X37" s="240">
        <f t="shared" si="17"/>
        <v>0</v>
      </c>
      <c r="Y37" s="240">
        <f t="shared" si="13"/>
        <v>0</v>
      </c>
      <c r="Z37" s="240">
        <f t="shared" si="14"/>
        <v>0</v>
      </c>
      <c r="AA37" s="176"/>
      <c r="AB37" s="226">
        <f t="shared" si="1"/>
        <v>0</v>
      </c>
      <c r="AC37" s="261">
        <f t="shared" ref="AC37:AC38" si="24">AB37*$AC$3</f>
        <v>0</v>
      </c>
    </row>
    <row r="38" spans="2:33" x14ac:dyDescent="0.25">
      <c r="B38" s="45"/>
      <c r="C38" s="32" t="s">
        <v>60</v>
      </c>
      <c r="D38" s="32"/>
      <c r="E38" s="32"/>
      <c r="F38" s="32"/>
      <c r="G38" s="31"/>
      <c r="H38" s="269">
        <v>139034.67000000001</v>
      </c>
      <c r="I38" s="118"/>
      <c r="J38" s="121"/>
      <c r="K38" s="121"/>
      <c r="L38" s="221"/>
      <c r="M38" s="221"/>
      <c r="N38" s="221"/>
      <c r="O38" s="221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226">
        <f t="shared" si="1"/>
        <v>0.4779309731768146</v>
      </c>
      <c r="AC38" s="261">
        <f t="shared" si="24"/>
        <v>3176.1858684411568</v>
      </c>
    </row>
    <row r="39" spans="2:33" ht="15.75" thickBot="1" x14ac:dyDescent="0.3">
      <c r="H39" s="237">
        <f>SUM(H7:H38)</f>
        <v>290909.52</v>
      </c>
      <c r="I39" s="34"/>
      <c r="J39" s="54">
        <f t="shared" ref="J39:Z39" si="25">SUM(J7:J37)</f>
        <v>1.0000000716998529</v>
      </c>
      <c r="K39" s="54">
        <f t="shared" si="25"/>
        <v>1.0000000658436909</v>
      </c>
      <c r="L39" s="227">
        <f t="shared" si="25"/>
        <v>8356.5605991641223</v>
      </c>
      <c r="M39" s="227">
        <f t="shared" si="25"/>
        <v>1954.3401401258902</v>
      </c>
      <c r="N39" s="227">
        <f t="shared" si="25"/>
        <v>2970.080212954299</v>
      </c>
      <c r="O39" s="227">
        <f t="shared" si="25"/>
        <v>544.51003904128697</v>
      </c>
      <c r="P39" s="227">
        <f t="shared" si="25"/>
        <v>2025.2101452072591</v>
      </c>
      <c r="Q39" s="227">
        <f t="shared" si="25"/>
        <v>0</v>
      </c>
      <c r="R39" s="227">
        <f>SUM(R7:R37)</f>
        <v>3006.0001979261351</v>
      </c>
      <c r="S39" s="227">
        <f>SUM(S7:S37)</f>
        <v>4500.0002962966073</v>
      </c>
      <c r="T39" s="227">
        <f t="shared" si="25"/>
        <v>1692.1101114147677</v>
      </c>
      <c r="U39" s="227">
        <f>SUM(U7:U37)</f>
        <v>1223.4200805544883</v>
      </c>
      <c r="V39" s="227">
        <f>SUM(V7:V37)</f>
        <v>312.00002054323153</v>
      </c>
      <c r="W39" s="227">
        <f>SUM(W7:W37)</f>
        <v>1366.790089994498</v>
      </c>
      <c r="X39" s="227">
        <f t="shared" si="25"/>
        <v>2489.0001638849467</v>
      </c>
      <c r="Y39" s="227">
        <f t="shared" si="25"/>
        <v>1124.5100740418891</v>
      </c>
      <c r="Z39" s="227">
        <f t="shared" si="25"/>
        <v>3972.4802615627445</v>
      </c>
      <c r="AA39" s="228"/>
      <c r="AB39" s="227">
        <f>SUM(AB7:AB38)</f>
        <v>1.0000000000000002</v>
      </c>
      <c r="AC39" s="227">
        <f>SUM(AC7:AC38)</f>
        <v>6645.6999999999989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59"/>
      <c r="W40" s="114"/>
      <c r="X40" s="114"/>
      <c r="Y40" s="114"/>
      <c r="Z40" s="114"/>
      <c r="AC40">
        <v>5802</v>
      </c>
    </row>
    <row r="41" spans="2:33" x14ac:dyDescent="0.25">
      <c r="C41" s="17">
        <v>43630</v>
      </c>
      <c r="D41" s="23"/>
      <c r="E41" s="23"/>
      <c r="F41" s="23"/>
      <c r="G41" s="18"/>
      <c r="H41" s="18">
        <v>69758.320000000007</v>
      </c>
      <c r="I41" s="18"/>
      <c r="J41" s="42"/>
      <c r="K41" s="238"/>
      <c r="L41" s="158">
        <v>4171.8</v>
      </c>
      <c r="M41" s="158">
        <v>975.65</v>
      </c>
      <c r="N41" s="158">
        <v>1497</v>
      </c>
      <c r="O41" s="158">
        <v>274.45</v>
      </c>
      <c r="P41" s="158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ht="15.75" thickBot="1" x14ac:dyDescent="0.3">
      <c r="C42" s="19">
        <v>43644</v>
      </c>
      <c r="D42" s="24"/>
      <c r="E42" s="24"/>
      <c r="F42" s="24"/>
      <c r="H42" s="2">
        <v>69712.19</v>
      </c>
      <c r="J42" s="43">
        <v>0</v>
      </c>
      <c r="K42" s="238"/>
      <c r="L42" s="158">
        <v>4184.76</v>
      </c>
      <c r="M42" s="158">
        <v>978.69</v>
      </c>
      <c r="N42" s="158">
        <v>1473.08</v>
      </c>
      <c r="O42" s="158">
        <v>270.06</v>
      </c>
      <c r="P42" s="158"/>
      <c r="Q42" s="114"/>
      <c r="R42" s="114"/>
      <c r="S42" s="114"/>
      <c r="T42" s="114"/>
      <c r="U42" s="114"/>
      <c r="V42" s="159"/>
      <c r="W42" s="114"/>
      <c r="X42" s="114"/>
      <c r="Y42" s="114"/>
      <c r="Z42" s="114"/>
    </row>
    <row r="43" spans="2:33" ht="15.75" thickBot="1" x14ac:dyDescent="0.3">
      <c r="C43" s="20"/>
      <c r="D43" s="20"/>
      <c r="E43" s="20"/>
      <c r="F43" s="20"/>
      <c r="G43" s="105"/>
      <c r="H43" s="236">
        <f>SUM(H41:H42)</f>
        <v>139470.51</v>
      </c>
      <c r="I43" s="5"/>
      <c r="J43" s="44"/>
      <c r="K43" s="239"/>
      <c r="L43" s="161">
        <f>SUM(L41:L42)</f>
        <v>8356.5600000000013</v>
      </c>
      <c r="M43" s="162">
        <f>SUM(M41:M42)</f>
        <v>1954.3400000000001</v>
      </c>
      <c r="N43" s="162">
        <f>SUM(N41:N42)</f>
        <v>2970.08</v>
      </c>
      <c r="O43" s="162">
        <f>SUM(O41:O42)</f>
        <v>544.51</v>
      </c>
      <c r="P43" s="163">
        <f>SUM(P41:P42)</f>
        <v>0</v>
      </c>
      <c r="Q43" s="114"/>
      <c r="R43" s="114"/>
      <c r="S43" s="114"/>
      <c r="T43" s="114"/>
      <c r="U43" s="114"/>
      <c r="V43" s="159"/>
      <c r="W43" s="114"/>
      <c r="X43" s="114"/>
      <c r="Y43" s="114"/>
      <c r="Z43" s="114"/>
    </row>
    <row r="44" spans="2:33" x14ac:dyDescent="0.25">
      <c r="H44" s="53">
        <f>H38</f>
        <v>139034.67000000001</v>
      </c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59"/>
      <c r="W44" s="114"/>
      <c r="X44" s="114"/>
      <c r="Y44" s="114"/>
      <c r="Z44" s="114"/>
      <c r="AG44">
        <v>114.44</v>
      </c>
    </row>
    <row r="45" spans="2:33" x14ac:dyDescent="0.25">
      <c r="B45" s="1" t="s">
        <v>63</v>
      </c>
      <c r="I45" s="2" t="s">
        <v>64</v>
      </c>
      <c r="J45" s="12" t="s">
        <v>65</v>
      </c>
      <c r="L45" s="201">
        <v>196.5</v>
      </c>
      <c r="M45" s="201">
        <v>45.96</v>
      </c>
      <c r="N45" s="201"/>
      <c r="O45" s="201"/>
      <c r="P45" s="66">
        <f>SUM(L45:O45)</f>
        <v>242.46</v>
      </c>
      <c r="AG45">
        <v>151.65</v>
      </c>
    </row>
    <row r="46" spans="2:33" ht="15.75" thickBot="1" x14ac:dyDescent="0.3">
      <c r="L46" s="201">
        <v>229.25</v>
      </c>
      <c r="M46" s="201">
        <v>53.62</v>
      </c>
      <c r="N46" s="201"/>
      <c r="O46" s="201"/>
      <c r="P46" s="66">
        <f>SUM(L46:O46)</f>
        <v>282.87</v>
      </c>
      <c r="R46" s="66">
        <f>SUM(P45:P46)</f>
        <v>525.33000000000004</v>
      </c>
      <c r="S46">
        <f>R46+'May 2019 Alloc '!N58+'April 2019 Alloc  '!R45</f>
        <v>2303.36</v>
      </c>
    </row>
    <row r="47" spans="2:33" x14ac:dyDescent="0.25">
      <c r="B47" s="1" t="s">
        <v>58</v>
      </c>
      <c r="H47" s="17">
        <v>43630</v>
      </c>
      <c r="I47" s="2">
        <v>2769.23</v>
      </c>
      <c r="J47" s="31">
        <v>3697.12</v>
      </c>
      <c r="K47" s="2"/>
      <c r="L47" s="201">
        <v>165.08</v>
      </c>
      <c r="M47" s="201">
        <v>38.61</v>
      </c>
      <c r="N47" s="101">
        <v>83.08</v>
      </c>
      <c r="O47" s="101">
        <v>15.23</v>
      </c>
    </row>
    <row r="48" spans="2:33" x14ac:dyDescent="0.25">
      <c r="H48" s="19">
        <v>43644</v>
      </c>
      <c r="I48" s="2">
        <v>2769.23</v>
      </c>
      <c r="J48" s="31">
        <v>3168.96</v>
      </c>
      <c r="K48" s="2"/>
      <c r="L48" s="201">
        <v>165.08</v>
      </c>
      <c r="M48" s="201">
        <v>38.61</v>
      </c>
      <c r="N48" s="101">
        <v>83.08</v>
      </c>
      <c r="O48" s="101">
        <v>15.23</v>
      </c>
    </row>
    <row r="49" spans="9:15" x14ac:dyDescent="0.25">
      <c r="J49" s="2"/>
      <c r="K49" s="2"/>
      <c r="L49" s="201"/>
      <c r="M49" s="201"/>
      <c r="N49" s="201"/>
      <c r="O49" s="201"/>
    </row>
    <row r="50" spans="9:15" ht="15.75" thickBot="1" x14ac:dyDescent="0.3">
      <c r="J50" s="2"/>
      <c r="K50" s="2"/>
    </row>
    <row r="51" spans="9:15" ht="15.75" thickBot="1" x14ac:dyDescent="0.3">
      <c r="I51" s="241">
        <f>SUM(I47:I50)</f>
        <v>5538.46</v>
      </c>
      <c r="J51" s="242">
        <f>SUM(J47:J50)</f>
        <v>6866.08</v>
      </c>
      <c r="K51" s="2"/>
    </row>
    <row r="53" spans="9:15" x14ac:dyDescent="0.25">
      <c r="J53" s="270">
        <f>J51+'May 2019 Alloc '!I60+'April 2019 Alloc  '!H44+'April 2019 Alloc  '!H45</f>
        <v>30105.11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E6D1-77BC-4371-AAA1-845EA1028B89}">
  <sheetPr>
    <tabColor theme="5" tint="0.39997558519241921"/>
    <pageSetUpPr fitToPage="1"/>
  </sheetPr>
  <dimension ref="B1:AG60"/>
  <sheetViews>
    <sheetView topLeftCell="B1" zoomScale="85" zoomScaleNormal="85" workbookViewId="0">
      <selection activeCell="I37" sqref="I37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3.140625" style="66" customWidth="1"/>
    <col min="19" max="19" width="15.140625" style="66" customWidth="1"/>
    <col min="20" max="20" width="17.42578125" customWidth="1"/>
    <col min="21" max="21" width="15.5703125" style="66" customWidth="1"/>
    <col min="22" max="22" width="15.28515625" style="66" customWidth="1"/>
    <col min="23" max="24" width="15.140625" customWidth="1"/>
    <col min="25" max="25" width="15.85546875" style="66" customWidth="1"/>
    <col min="26" max="26" width="15.57031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68</v>
      </c>
      <c r="L1" s="66">
        <v>7251</v>
      </c>
      <c r="M1" s="66">
        <v>7252</v>
      </c>
      <c r="N1">
        <v>7253</v>
      </c>
      <c r="O1">
        <v>7254</v>
      </c>
      <c r="P1" s="66">
        <v>7260.1</v>
      </c>
      <c r="R1" s="66">
        <v>8112</v>
      </c>
      <c r="S1" s="66">
        <v>8229.1</v>
      </c>
      <c r="T1">
        <v>7521</v>
      </c>
      <c r="U1" s="66">
        <v>8210.5</v>
      </c>
      <c r="V1" s="66">
        <v>8135.5</v>
      </c>
      <c r="W1" s="66">
        <v>8239</v>
      </c>
      <c r="X1" s="66">
        <v>8266</v>
      </c>
      <c r="Y1" s="66">
        <v>7515.5</v>
      </c>
      <c r="Z1">
        <v>8222</v>
      </c>
      <c r="AC1">
        <v>7248</v>
      </c>
    </row>
    <row r="2" spans="2:30" ht="17.25" thickBot="1" x14ac:dyDescent="0.4">
      <c r="L2" s="243" t="s">
        <v>1</v>
      </c>
      <c r="M2" s="243" t="s">
        <v>2</v>
      </c>
      <c r="N2" s="243" t="s">
        <v>3</v>
      </c>
      <c r="O2" s="243" t="s">
        <v>4</v>
      </c>
      <c r="P2" s="246" t="s">
        <v>5</v>
      </c>
      <c r="Q2" s="98"/>
      <c r="R2" s="244" t="s">
        <v>8</v>
      </c>
      <c r="S2" s="248" t="s">
        <v>12</v>
      </c>
      <c r="T2" s="248" t="s">
        <v>7</v>
      </c>
      <c r="U2" s="244" t="s">
        <v>11</v>
      </c>
      <c r="V2" s="244" t="s">
        <v>9</v>
      </c>
      <c r="W2" s="244" t="s">
        <v>13</v>
      </c>
      <c r="X2" s="248" t="s">
        <v>14</v>
      </c>
      <c r="Y2" s="72" t="s">
        <v>6</v>
      </c>
      <c r="Z2" s="92" t="s">
        <v>10</v>
      </c>
      <c r="AA2" s="2"/>
      <c r="AB2" s="35"/>
      <c r="AC2" s="245" t="s">
        <v>15</v>
      </c>
      <c r="AD2" s="2"/>
    </row>
    <row r="3" spans="2:30" ht="15.75" thickBot="1" x14ac:dyDescent="0.3">
      <c r="L3" s="213">
        <v>13185.15</v>
      </c>
      <c r="M3" s="213">
        <v>3083.62</v>
      </c>
      <c r="N3" s="213">
        <v>5510.73</v>
      </c>
      <c r="O3" s="213">
        <v>1010.37</v>
      </c>
      <c r="P3" s="247">
        <v>1851.71</v>
      </c>
      <c r="Q3" s="214"/>
      <c r="R3" s="215">
        <v>1378.51</v>
      </c>
      <c r="S3" s="249">
        <v>2782.72</v>
      </c>
      <c r="T3" s="249">
        <v>5775</v>
      </c>
      <c r="U3" s="215">
        <v>1177.51</v>
      </c>
      <c r="V3" s="213">
        <v>1225.8699999999999</v>
      </c>
      <c r="W3" s="213">
        <v>764.51</v>
      </c>
      <c r="X3" s="250">
        <v>3972.48</v>
      </c>
      <c r="Y3" s="250">
        <v>3006</v>
      </c>
      <c r="Z3" s="216">
        <v>312</v>
      </c>
      <c r="AA3" s="101"/>
      <c r="AB3" s="177"/>
      <c r="AC3" s="217">
        <v>6645.7</v>
      </c>
      <c r="AD3" s="2"/>
    </row>
    <row r="4" spans="2:30" x14ac:dyDescent="0.25">
      <c r="L4" s="218">
        <v>1</v>
      </c>
      <c r="M4" s="218">
        <v>2</v>
      </c>
      <c r="N4" s="218">
        <v>3</v>
      </c>
      <c r="O4" s="218">
        <v>4</v>
      </c>
      <c r="P4" s="218">
        <v>5</v>
      </c>
      <c r="Q4" s="218">
        <v>6</v>
      </c>
      <c r="R4" s="218">
        <v>7</v>
      </c>
      <c r="S4" s="218">
        <v>8</v>
      </c>
      <c r="T4" s="218">
        <v>9</v>
      </c>
      <c r="U4" s="218">
        <v>10</v>
      </c>
      <c r="V4" s="218">
        <v>11</v>
      </c>
      <c r="W4" s="218">
        <v>13</v>
      </c>
      <c r="X4" s="218">
        <v>14</v>
      </c>
      <c r="Y4" s="218">
        <v>15</v>
      </c>
      <c r="Z4" s="218">
        <v>16</v>
      </c>
      <c r="AA4" s="201"/>
      <c r="AB4" s="219"/>
      <c r="AC4" s="220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19"/>
      <c r="AC5" s="220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3" si="0">H6/$I$34</f>
        <v>0</v>
      </c>
      <c r="K6" s="2">
        <f>H6/$H$39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>
        <f>J6*$P$3</f>
        <v>0</v>
      </c>
      <c r="Q6" s="221"/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>
        <f>J6*$Z$3</f>
        <v>0</v>
      </c>
      <c r="AA6" s="176"/>
      <c r="AB6" s="177">
        <f t="shared" ref="AB6:AB33" si="1">H6/$H$39</f>
        <v>0</v>
      </c>
      <c r="AC6" s="178">
        <f>AB6*$AC$3</f>
        <v>0</v>
      </c>
    </row>
    <row r="7" spans="2:30" x14ac:dyDescent="0.25">
      <c r="B7" s="1">
        <v>111</v>
      </c>
      <c r="C7" t="s">
        <v>20</v>
      </c>
      <c r="D7" s="2"/>
      <c r="H7" s="255">
        <v>27503.3</v>
      </c>
      <c r="J7" s="2">
        <f t="shared" si="0"/>
        <v>0.13574424351826209</v>
      </c>
      <c r="K7" s="2">
        <f t="shared" ref="K7:K34" si="2">H7/$I$36</f>
        <v>0.12300515723338509</v>
      </c>
      <c r="L7" s="240">
        <f t="shared" ref="L7:L33" si="3">J7*$L$3</f>
        <v>1789.8082124248133</v>
      </c>
      <c r="M7" s="240">
        <f t="shared" ref="M7:M33" si="4">J7*$M$3</f>
        <v>418.58366419778332</v>
      </c>
      <c r="N7" s="240">
        <f t="shared" ref="N7:N33" si="5">J7*$N$3</f>
        <v>748.04987508339241</v>
      </c>
      <c r="O7" s="240">
        <f t="shared" ref="O7:O33" si="6">J7*$O$3</f>
        <v>137.15191132354647</v>
      </c>
      <c r="P7" s="240">
        <f t="shared" ref="P7:P33" si="7">J7*$P$3</f>
        <v>251.35897316520109</v>
      </c>
      <c r="Q7" s="240"/>
      <c r="R7" s="240">
        <f>K7*$R$3</f>
        <v>169.56383929779369</v>
      </c>
      <c r="S7" s="240">
        <f>K7*$S$3</f>
        <v>342.28891113648535</v>
      </c>
      <c r="T7" s="240">
        <f>K7*$T$3</f>
        <v>710.35478302279887</v>
      </c>
      <c r="U7" s="240">
        <f>K7*$U$3</f>
        <v>144.83980269388329</v>
      </c>
      <c r="V7" s="240">
        <f>K7*$V$3</f>
        <v>150.78833209768976</v>
      </c>
      <c r="W7" s="240">
        <f>K7*$W$3</f>
        <v>94.038672756495231</v>
      </c>
      <c r="X7" s="240">
        <f>K7*$X$3</f>
        <v>488.63552700647762</v>
      </c>
      <c r="Y7" s="240">
        <f>K7*$Y$3</f>
        <v>369.75350264355558</v>
      </c>
      <c r="Z7" s="240">
        <f>K7*$Z$3</f>
        <v>38.377609056816148</v>
      </c>
      <c r="AA7" s="176"/>
      <c r="AB7" s="177">
        <f t="shared" si="1"/>
        <v>8.6891873700154804E-2</v>
      </c>
      <c r="AC7" s="178">
        <f t="shared" ref="AC7:AC33" si="8">AB7*$AC$3</f>
        <v>577.45732504911871</v>
      </c>
    </row>
    <row r="8" spans="2:30" x14ac:dyDescent="0.25">
      <c r="B8" s="1" t="s">
        <v>21</v>
      </c>
      <c r="C8" t="s">
        <v>22</v>
      </c>
      <c r="D8" s="2"/>
      <c r="H8" s="255">
        <v>4611.1400000000003</v>
      </c>
      <c r="J8" s="2">
        <f t="shared" si="0"/>
        <v>2.2758567555776911E-2</v>
      </c>
      <c r="K8" s="2">
        <f t="shared" si="2"/>
        <v>2.0622761658606475E-2</v>
      </c>
      <c r="L8" s="221">
        <f>J8*$L$3</f>
        <v>300.07512700805194</v>
      </c>
      <c r="M8" s="221">
        <f>J8*$M$3</f>
        <v>70.178774086344802</v>
      </c>
      <c r="N8" s="221">
        <f>J8*$N$3</f>
        <v>125.41632098664648</v>
      </c>
      <c r="O8" s="221">
        <f>J8*$O$3</f>
        <v>22.994573901330316</v>
      </c>
      <c r="P8" s="221">
        <f>J8*$P$3</f>
        <v>42.142267128707665</v>
      </c>
      <c r="Q8" s="221"/>
      <c r="R8" s="240">
        <f t="shared" ref="R8:R37" si="9">K8*$R$3</f>
        <v>28.428683174005613</v>
      </c>
      <c r="S8" s="240">
        <f t="shared" ref="S8:S37" si="10">K8*$S$3</f>
        <v>57.387371322637406</v>
      </c>
      <c r="T8" s="240">
        <f t="shared" ref="T8:T37" si="11">K8*$T$3</f>
        <v>119.0964485784524</v>
      </c>
      <c r="U8" s="240">
        <f t="shared" ref="U8:U37" si="12">K8*$U$3</f>
        <v>24.283508080625708</v>
      </c>
      <c r="V8" s="240">
        <f t="shared" ref="V8:V37" si="13">K8*$V$3</f>
        <v>25.280824834435919</v>
      </c>
      <c r="W8" s="240">
        <f t="shared" ref="W8:W37" si="14">K8*$W$3</f>
        <v>15.766307515621236</v>
      </c>
      <c r="X8" s="240">
        <f t="shared" ref="X8:X37" si="15">K8*$X$3</f>
        <v>81.923508233581046</v>
      </c>
      <c r="Y8" s="240">
        <f t="shared" ref="Y8:Y37" si="16">K8*$Y$3</f>
        <v>61.99202154577106</v>
      </c>
      <c r="Z8" s="240">
        <f t="shared" ref="Z8:Z37" si="17">K8*$Z$3</f>
        <v>6.4343016374852198</v>
      </c>
      <c r="AA8" s="176"/>
      <c r="AB8" s="177">
        <f t="shared" si="1"/>
        <v>1.4568091628776614E-2</v>
      </c>
      <c r="AC8" s="178">
        <f>AB8*$AC$3</f>
        <v>96.815166537360739</v>
      </c>
    </row>
    <row r="9" spans="2:30" x14ac:dyDescent="0.25">
      <c r="B9" s="1" t="s">
        <v>23</v>
      </c>
      <c r="C9" t="s">
        <v>24</v>
      </c>
      <c r="D9" s="2"/>
      <c r="H9" s="255">
        <v>3875.87</v>
      </c>
      <c r="J9" s="2">
        <f t="shared" si="0"/>
        <v>1.9129596852927703E-2</v>
      </c>
      <c r="K9" s="2">
        <f t="shared" si="2"/>
        <v>1.7334356196025944E-2</v>
      </c>
      <c r="L9" s="221">
        <f>J9*$L$3</f>
        <v>252.22660394537971</v>
      </c>
      <c r="M9" s="221">
        <f>J9*$M$3</f>
        <v>58.988407447624922</v>
      </c>
      <c r="N9" s="221">
        <f>J9*$N$3</f>
        <v>105.41804326533428</v>
      </c>
      <c r="O9" s="221">
        <f>J9*$O$3</f>
        <v>19.327970772292563</v>
      </c>
      <c r="P9" s="221">
        <f>J9*$P$3</f>
        <v>35.422465788534758</v>
      </c>
      <c r="Q9" s="221"/>
      <c r="R9" s="240">
        <f t="shared" si="9"/>
        <v>23.895583359783725</v>
      </c>
      <c r="S9" s="240">
        <f t="shared" si="10"/>
        <v>48.236659673805313</v>
      </c>
      <c r="T9" s="240">
        <f t="shared" si="11"/>
        <v>100.10590703204983</v>
      </c>
      <c r="U9" s="240">
        <f t="shared" si="12"/>
        <v>20.411377764382511</v>
      </c>
      <c r="V9" s="240">
        <f t="shared" si="13"/>
        <v>21.249667230022322</v>
      </c>
      <c r="W9" s="240">
        <f t="shared" si="14"/>
        <v>13.252288655423794</v>
      </c>
      <c r="X9" s="240">
        <f t="shared" si="15"/>
        <v>68.860383301589138</v>
      </c>
      <c r="Y9" s="240">
        <f t="shared" si="16"/>
        <v>52.107074725253987</v>
      </c>
      <c r="Z9" s="240">
        <f t="shared" si="17"/>
        <v>5.4083191331600942</v>
      </c>
      <c r="AA9" s="176"/>
      <c r="AB9" s="177">
        <f t="shared" si="1"/>
        <v>1.2245134457254911E-2</v>
      </c>
      <c r="AC9" s="178">
        <f>AB9*$AC$3</f>
        <v>81.377490062578957</v>
      </c>
    </row>
    <row r="10" spans="2:30" x14ac:dyDescent="0.25">
      <c r="B10" s="1" t="s">
        <v>25</v>
      </c>
      <c r="C10" t="s">
        <v>26</v>
      </c>
      <c r="D10" s="2"/>
      <c r="H10" s="255">
        <v>318.68</v>
      </c>
      <c r="J10" s="2">
        <f t="shared" si="0"/>
        <v>1.5728649116433214E-3</v>
      </c>
      <c r="K10" s="2">
        <f t="shared" si="2"/>
        <v>1.4252574602733187E-3</v>
      </c>
      <c r="L10" s="221">
        <f t="shared" si="3"/>
        <v>20.738459789753939</v>
      </c>
      <c r="M10" s="221">
        <f t="shared" si="4"/>
        <v>4.8501176988415784</v>
      </c>
      <c r="N10" s="221">
        <f t="shared" si="5"/>
        <v>8.667633854540199</v>
      </c>
      <c r="O10" s="221">
        <f t="shared" si="6"/>
        <v>1.5891755207770626</v>
      </c>
      <c r="P10" s="221">
        <f t="shared" si="7"/>
        <v>2.9124896855390547</v>
      </c>
      <c r="Q10" s="221"/>
      <c r="R10" s="240">
        <f t="shared" si="9"/>
        <v>1.9647316615613726</v>
      </c>
      <c r="S10" s="240">
        <f t="shared" si="10"/>
        <v>3.966092439851769</v>
      </c>
      <c r="T10" s="240">
        <f t="shared" si="11"/>
        <v>8.230861833078416</v>
      </c>
      <c r="U10" s="240">
        <f t="shared" si="12"/>
        <v>1.6782549120464354</v>
      </c>
      <c r="V10" s="240">
        <f t="shared" si="13"/>
        <v>1.7471803628252529</v>
      </c>
      <c r="W10" s="240">
        <f t="shared" si="14"/>
        <v>1.0896235809535548</v>
      </c>
      <c r="X10" s="240">
        <f t="shared" si="15"/>
        <v>5.6618067557865528</v>
      </c>
      <c r="Y10" s="240">
        <f t="shared" si="16"/>
        <v>4.2843239255815959</v>
      </c>
      <c r="Z10" s="240">
        <f t="shared" si="17"/>
        <v>0.44468032760527543</v>
      </c>
      <c r="AA10" s="176"/>
      <c r="AB10" s="177">
        <f t="shared" si="1"/>
        <v>1.0068138118249567E-3</v>
      </c>
      <c r="AC10" s="178">
        <f t="shared" si="8"/>
        <v>6.6909825492451143</v>
      </c>
    </row>
    <row r="11" spans="2:30" ht="15.75" thickBot="1" x14ac:dyDescent="0.3">
      <c r="B11" s="1">
        <v>112</v>
      </c>
      <c r="C11" t="s">
        <v>27</v>
      </c>
      <c r="D11" s="2"/>
      <c r="H11" s="255">
        <v>40584.379999999997</v>
      </c>
      <c r="J11" s="2">
        <f t="shared" si="0"/>
        <v>0.20030672543868136</v>
      </c>
      <c r="K11" s="2">
        <f t="shared" si="2"/>
        <v>0.18150869325206245</v>
      </c>
      <c r="L11" s="221">
        <f t="shared" si="3"/>
        <v>2641.0742209178293</v>
      </c>
      <c r="M11" s="221">
        <f t="shared" si="4"/>
        <v>617.66982469722655</v>
      </c>
      <c r="N11" s="221">
        <f t="shared" si="5"/>
        <v>1103.8362810767044</v>
      </c>
      <c r="O11" s="221">
        <f t="shared" si="6"/>
        <v>202.38390618148048</v>
      </c>
      <c r="P11" s="221">
        <f t="shared" si="7"/>
        <v>370.90996656206067</v>
      </c>
      <c r="Q11" s="221"/>
      <c r="R11" s="240">
        <f t="shared" si="9"/>
        <v>250.21154873490062</v>
      </c>
      <c r="S11" s="240">
        <f t="shared" si="10"/>
        <v>505.08787088637916</v>
      </c>
      <c r="T11" s="240">
        <f t="shared" si="11"/>
        <v>1048.2127035306607</v>
      </c>
      <c r="U11" s="240">
        <f t="shared" si="12"/>
        <v>213.72830139123604</v>
      </c>
      <c r="V11" s="240">
        <f t="shared" si="13"/>
        <v>222.50606179690578</v>
      </c>
      <c r="W11" s="240">
        <f t="shared" si="14"/>
        <v>138.76521107813426</v>
      </c>
      <c r="X11" s="240">
        <f t="shared" si="15"/>
        <v>721.03965376995302</v>
      </c>
      <c r="Y11" s="240">
        <f t="shared" si="16"/>
        <v>545.61513191569975</v>
      </c>
      <c r="Z11" s="240">
        <f t="shared" si="17"/>
        <v>56.630712294643487</v>
      </c>
      <c r="AA11" s="176"/>
      <c r="AB11" s="177">
        <f t="shared" si="1"/>
        <v>0.12821926173074097</v>
      </c>
      <c r="AC11" s="178">
        <f t="shared" si="8"/>
        <v>852.10674768398519</v>
      </c>
    </row>
    <row r="12" spans="2:30" ht="15.75" thickBot="1" x14ac:dyDescent="0.3">
      <c r="B12" s="1">
        <v>222</v>
      </c>
      <c r="C12" t="s">
        <v>29</v>
      </c>
      <c r="D12" s="2"/>
      <c r="H12" s="330">
        <v>3720.98</v>
      </c>
      <c r="J12" s="2">
        <f t="shared" si="0"/>
        <v>1.836512764819432E-2</v>
      </c>
      <c r="K12" s="2">
        <f t="shared" si="2"/>
        <v>1.664162954853713E-2</v>
      </c>
      <c r="L12" s="221">
        <f t="shared" si="3"/>
        <v>242.14696281058932</v>
      </c>
      <c r="M12" s="221">
        <f t="shared" si="4"/>
        <v>56.631074918524966</v>
      </c>
      <c r="N12" s="221">
        <f t="shared" si="5"/>
        <v>101.20525988473388</v>
      </c>
      <c r="O12" s="221">
        <f t="shared" si="6"/>
        <v>18.555574021906097</v>
      </c>
      <c r="P12" s="221">
        <f t="shared" si="7"/>
        <v>34.006890517437903</v>
      </c>
      <c r="Q12" s="221"/>
      <c r="R12" s="240">
        <f t="shared" si="9"/>
        <v>22.940652748953919</v>
      </c>
      <c r="S12" s="240">
        <f t="shared" si="10"/>
        <v>46.308995377305237</v>
      </c>
      <c r="T12" s="240">
        <f t="shared" si="11"/>
        <v>96.105410642801928</v>
      </c>
      <c r="U12" s="240">
        <f t="shared" si="12"/>
        <v>19.595685209697955</v>
      </c>
      <c r="V12" s="240">
        <f t="shared" si="13"/>
        <v>20.400474414665211</v>
      </c>
      <c r="W12" s="240">
        <f t="shared" si="14"/>
        <v>12.722692206152121</v>
      </c>
      <c r="X12" s="240">
        <f t="shared" si="15"/>
        <v>66.108540548972783</v>
      </c>
      <c r="Y12" s="240">
        <f t="shared" si="16"/>
        <v>50.024738422902615</v>
      </c>
      <c r="Z12" s="240">
        <f t="shared" si="17"/>
        <v>5.1921884191435845</v>
      </c>
      <c r="AA12" s="176"/>
      <c r="AB12" s="177">
        <f t="shared" si="1"/>
        <v>1.1755786549279616E-2</v>
      </c>
      <c r="AC12" s="178">
        <f t="shared" si="8"/>
        <v>78.125430670547544</v>
      </c>
    </row>
    <row r="13" spans="2:30" ht="15.75" thickBot="1" x14ac:dyDescent="0.3">
      <c r="B13" s="1">
        <v>223</v>
      </c>
      <c r="C13" t="s">
        <v>30</v>
      </c>
      <c r="D13" s="2"/>
      <c r="H13" s="331">
        <v>14153.86</v>
      </c>
      <c r="I13" s="56"/>
      <c r="J13" s="99">
        <f t="shared" si="0"/>
        <v>6.9857254168168514E-2</v>
      </c>
      <c r="K13" s="99">
        <f t="shared" si="2"/>
        <v>6.3301413821589408E-2</v>
      </c>
      <c r="L13" s="252">
        <f t="shared" si="3"/>
        <v>921.07837479542707</v>
      </c>
      <c r="M13" s="252">
        <f t="shared" si="4"/>
        <v>215.4132260980478</v>
      </c>
      <c r="N13" s="252">
        <f t="shared" si="5"/>
        <v>384.96446626215123</v>
      </c>
      <c r="O13" s="252">
        <f t="shared" si="6"/>
        <v>70.581673893892429</v>
      </c>
      <c r="P13" s="252">
        <f t="shared" si="7"/>
        <v>129.35537611573932</v>
      </c>
      <c r="Q13" s="252"/>
      <c r="R13" s="252">
        <f t="shared" si="9"/>
        <v>87.261631967199222</v>
      </c>
      <c r="S13" s="252">
        <f t="shared" si="10"/>
        <v>176.15011026961326</v>
      </c>
      <c r="T13" s="252">
        <f t="shared" si="11"/>
        <v>365.56566481967883</v>
      </c>
      <c r="U13" s="252">
        <f t="shared" si="12"/>
        <v>74.538047789059746</v>
      </c>
      <c r="V13" s="252">
        <f t="shared" si="13"/>
        <v>77.599304161471807</v>
      </c>
      <c r="W13" s="252">
        <f t="shared" si="14"/>
        <v>48.39456388074332</v>
      </c>
      <c r="X13" s="252">
        <f t="shared" si="15"/>
        <v>251.46360037798749</v>
      </c>
      <c r="Y13" s="252">
        <f t="shared" si="16"/>
        <v>190.28404994769775</v>
      </c>
      <c r="Z13" s="252">
        <f t="shared" si="17"/>
        <v>19.750041112335897</v>
      </c>
      <c r="AA13" s="180"/>
      <c r="AB13" s="181">
        <f t="shared" si="1"/>
        <v>4.4716649110822085E-2</v>
      </c>
      <c r="AC13" s="182">
        <f t="shared" si="8"/>
        <v>297.17343499579033</v>
      </c>
    </row>
    <row r="14" spans="2:30" ht="15.75" thickBot="1" x14ac:dyDescent="0.3">
      <c r="B14" s="1">
        <v>566</v>
      </c>
      <c r="C14" t="s">
        <v>31</v>
      </c>
      <c r="D14" s="2"/>
      <c r="H14" s="101"/>
      <c r="I14" s="118"/>
      <c r="J14" s="2">
        <f t="shared" si="0"/>
        <v>0</v>
      </c>
      <c r="K14" s="2">
        <f t="shared" si="2"/>
        <v>0</v>
      </c>
      <c r="L14" s="221">
        <f t="shared" ref="L14:Q14" si="18">$J$36*L3</f>
        <v>0</v>
      </c>
      <c r="M14" s="221">
        <f t="shared" si="18"/>
        <v>0</v>
      </c>
      <c r="N14" s="221">
        <f t="shared" si="18"/>
        <v>0</v>
      </c>
      <c r="O14" s="221">
        <f t="shared" si="18"/>
        <v>0</v>
      </c>
      <c r="P14" s="221">
        <f t="shared" si="18"/>
        <v>0</v>
      </c>
      <c r="Q14" s="221">
        <f t="shared" si="18"/>
        <v>0</v>
      </c>
      <c r="R14" s="240">
        <f t="shared" si="9"/>
        <v>0</v>
      </c>
      <c r="S14" s="240">
        <f t="shared" si="10"/>
        <v>0</v>
      </c>
      <c r="T14" s="240">
        <f t="shared" si="11"/>
        <v>0</v>
      </c>
      <c r="U14" s="240">
        <f t="shared" si="12"/>
        <v>0</v>
      </c>
      <c r="V14" s="240">
        <f t="shared" si="13"/>
        <v>0</v>
      </c>
      <c r="W14" s="240">
        <f t="shared" si="14"/>
        <v>0</v>
      </c>
      <c r="X14" s="240">
        <f t="shared" si="15"/>
        <v>0</v>
      </c>
      <c r="Y14" s="240">
        <f t="shared" si="16"/>
        <v>0</v>
      </c>
      <c r="Z14" s="240">
        <f t="shared" si="17"/>
        <v>0</v>
      </c>
      <c r="AA14" s="221">
        <f>$J$36*AA3</f>
        <v>0</v>
      </c>
      <c r="AB14" s="226">
        <f t="shared" si="1"/>
        <v>0</v>
      </c>
      <c r="AC14" s="188">
        <f t="shared" si="8"/>
        <v>0</v>
      </c>
    </row>
    <row r="15" spans="2:30" x14ac:dyDescent="0.25">
      <c r="B15" s="1" t="s">
        <v>32</v>
      </c>
      <c r="C15" s="230" t="s">
        <v>73</v>
      </c>
      <c r="D15" s="231"/>
      <c r="E15" s="230"/>
      <c r="F15" s="230"/>
      <c r="G15" s="231"/>
      <c r="H15" s="256">
        <v>3966.92</v>
      </c>
      <c r="I15" s="231"/>
      <c r="J15" s="2">
        <f t="shared" si="0"/>
        <v>1.9578979776880018E-2</v>
      </c>
      <c r="K15" s="2">
        <f t="shared" si="2"/>
        <v>1.7741566224135287E-2</v>
      </c>
      <c r="L15" s="232">
        <f>J15*$L$3</f>
        <v>258.15178520512956</v>
      </c>
      <c r="M15" s="232">
        <f>J15*$M$3</f>
        <v>60.374133619582757</v>
      </c>
      <c r="N15" s="232">
        <f>J15*$N$3</f>
        <v>107.89447122584602</v>
      </c>
      <c r="O15" s="232">
        <f>J15*$O$3</f>
        <v>19.782013797166265</v>
      </c>
      <c r="P15" s="232">
        <f>J15*$P$3</f>
        <v>36.2545926426465</v>
      </c>
      <c r="Q15" s="232"/>
      <c r="R15" s="240">
        <f t="shared" si="9"/>
        <v>24.456926455632733</v>
      </c>
      <c r="S15" s="240">
        <f t="shared" si="10"/>
        <v>49.369811163225741</v>
      </c>
      <c r="T15" s="240">
        <f t="shared" si="11"/>
        <v>102.45754494438128</v>
      </c>
      <c r="U15" s="240">
        <f t="shared" si="12"/>
        <v>20.890871644581541</v>
      </c>
      <c r="V15" s="240">
        <f t="shared" si="13"/>
        <v>21.748853787180721</v>
      </c>
      <c r="W15" s="240">
        <f t="shared" si="14"/>
        <v>13.563604794013669</v>
      </c>
      <c r="X15" s="240">
        <f t="shared" si="15"/>
        <v>70.47801699405295</v>
      </c>
      <c r="Y15" s="240">
        <f t="shared" si="16"/>
        <v>53.331148069750675</v>
      </c>
      <c r="Z15" s="240">
        <f t="shared" si="17"/>
        <v>5.5353686619302094</v>
      </c>
      <c r="AA15" s="232"/>
      <c r="AB15" s="233">
        <f t="shared" si="1"/>
        <v>1.2532791033025787E-2</v>
      </c>
      <c r="AC15" s="217">
        <f>AB15*$AC$3</f>
        <v>83.289169368179472</v>
      </c>
    </row>
    <row r="16" spans="2:30" x14ac:dyDescent="0.25">
      <c r="B16" s="1" t="s">
        <v>33</v>
      </c>
      <c r="C16" s="230" t="s">
        <v>115</v>
      </c>
      <c r="D16" s="231"/>
      <c r="E16" s="230"/>
      <c r="F16" s="230"/>
      <c r="G16" s="231"/>
      <c r="H16" s="256">
        <v>5307.69</v>
      </c>
      <c r="I16" s="231"/>
      <c r="J16" s="2">
        <f t="shared" si="0"/>
        <v>2.6196433296347871E-2</v>
      </c>
      <c r="K16" s="2">
        <f t="shared" si="2"/>
        <v>2.3737996640260103E-2</v>
      </c>
      <c r="L16" s="232">
        <f t="shared" si="3"/>
        <v>345.40390247734115</v>
      </c>
      <c r="M16" s="232">
        <f t="shared" si="4"/>
        <v>80.779845641284226</v>
      </c>
      <c r="N16" s="232">
        <f t="shared" si="5"/>
        <v>144.3614708591831</v>
      </c>
      <c r="O16" s="232">
        <f t="shared" si="6"/>
        <v>26.468090309630998</v>
      </c>
      <c r="P16" s="232">
        <f t="shared" si="7"/>
        <v>48.508197499180319</v>
      </c>
      <c r="Q16" s="232"/>
      <c r="R16" s="240">
        <f t="shared" si="9"/>
        <v>32.723065748564956</v>
      </c>
      <c r="S16" s="240">
        <f t="shared" si="10"/>
        <v>66.056198010784584</v>
      </c>
      <c r="T16" s="240">
        <f t="shared" si="11"/>
        <v>137.08693059750209</v>
      </c>
      <c r="U16" s="240">
        <f t="shared" si="12"/>
        <v>27.951728423872673</v>
      </c>
      <c r="V16" s="240">
        <f t="shared" si="13"/>
        <v>29.09969794139565</v>
      </c>
      <c r="W16" s="240">
        <f t="shared" si="14"/>
        <v>18.147935811445251</v>
      </c>
      <c r="X16" s="240">
        <f t="shared" si="15"/>
        <v>94.298716893500455</v>
      </c>
      <c r="Y16" s="240">
        <f t="shared" si="16"/>
        <v>71.356417900621864</v>
      </c>
      <c r="Z16" s="240">
        <f t="shared" si="17"/>
        <v>7.4062549517611522</v>
      </c>
      <c r="AA16" s="232"/>
      <c r="AB16" s="233">
        <f t="shared" si="1"/>
        <v>1.6768719721617937E-2</v>
      </c>
      <c r="AC16" s="217">
        <f t="shared" si="8"/>
        <v>111.43988065395632</v>
      </c>
    </row>
    <row r="17" spans="2:29" x14ac:dyDescent="0.25">
      <c r="B17" s="1" t="s">
        <v>35</v>
      </c>
      <c r="C17" s="230" t="s">
        <v>36</v>
      </c>
      <c r="D17" s="231"/>
      <c r="E17" s="234"/>
      <c r="F17" s="234"/>
      <c r="G17" s="231"/>
      <c r="H17" s="256">
        <v>3252</v>
      </c>
      <c r="I17" s="235"/>
      <c r="J17" s="2">
        <f t="shared" si="0"/>
        <v>1.605044776159182E-2</v>
      </c>
      <c r="K17" s="2">
        <f t="shared" si="2"/>
        <v>1.4544173656360087E-2</v>
      </c>
      <c r="L17" s="232">
        <f t="shared" si="3"/>
        <v>211.62756130375237</v>
      </c>
      <c r="M17" s="232">
        <f t="shared" si="4"/>
        <v>49.493481726599768</v>
      </c>
      <c r="N17" s="232">
        <f t="shared" si="5"/>
        <v>88.449683993236889</v>
      </c>
      <c r="O17" s="232">
        <f t="shared" si="6"/>
        <v>16.216890904879527</v>
      </c>
      <c r="P17" s="232">
        <f t="shared" si="7"/>
        <v>29.720774624617189</v>
      </c>
      <c r="Q17" s="232"/>
      <c r="R17" s="240">
        <f t="shared" si="9"/>
        <v>20.049288827028942</v>
      </c>
      <c r="S17" s="240">
        <f t="shared" si="10"/>
        <v>40.472362917026338</v>
      </c>
      <c r="T17" s="240">
        <f t="shared" si="11"/>
        <v>83.992602865479498</v>
      </c>
      <c r="U17" s="240">
        <f t="shared" si="12"/>
        <v>17.125909922100565</v>
      </c>
      <c r="V17" s="240">
        <f t="shared" si="13"/>
        <v>17.829266160122138</v>
      </c>
      <c r="W17" s="240">
        <f t="shared" si="14"/>
        <v>11.11916620202385</v>
      </c>
      <c r="X17" s="240">
        <f t="shared" si="15"/>
        <v>57.776438966417317</v>
      </c>
      <c r="Y17" s="240">
        <f t="shared" si="16"/>
        <v>43.719786011018421</v>
      </c>
      <c r="Z17" s="240">
        <f t="shared" si="17"/>
        <v>4.5377821807843466</v>
      </c>
      <c r="AA17" s="232"/>
      <c r="AB17" s="233">
        <f t="shared" si="1"/>
        <v>1.0274126132969623E-2</v>
      </c>
      <c r="AC17" s="217">
        <f t="shared" si="8"/>
        <v>68.278760041876225</v>
      </c>
    </row>
    <row r="18" spans="2:29" x14ac:dyDescent="0.25">
      <c r="B18" s="1" t="s">
        <v>37</v>
      </c>
      <c r="C18" s="230" t="s">
        <v>38</v>
      </c>
      <c r="D18" s="231"/>
      <c r="E18" s="230"/>
      <c r="F18" s="230"/>
      <c r="G18" s="231"/>
      <c r="H18" s="256">
        <v>3000</v>
      </c>
      <c r="I18" s="231"/>
      <c r="J18" s="2">
        <f t="shared" si="0"/>
        <v>1.4806686126929723E-2</v>
      </c>
      <c r="K18" s="2">
        <f t="shared" si="2"/>
        <v>1.3417134369335873E-2</v>
      </c>
      <c r="L18" s="232">
        <f t="shared" si="3"/>
        <v>195.22837758648743</v>
      </c>
      <c r="M18" s="232">
        <f t="shared" si="4"/>
        <v>45.658193474723028</v>
      </c>
      <c r="N18" s="232">
        <f t="shared" si="5"/>
        <v>81.595649440255428</v>
      </c>
      <c r="O18" s="232">
        <f t="shared" si="6"/>
        <v>14.960231462065984</v>
      </c>
      <c r="P18" s="232">
        <f t="shared" si="7"/>
        <v>27.417688768097037</v>
      </c>
      <c r="Q18" s="232"/>
      <c r="R18" s="240">
        <f t="shared" si="9"/>
        <v>18.495653899473194</v>
      </c>
      <c r="S18" s="240">
        <f t="shared" si="10"/>
        <v>37.336128152238317</v>
      </c>
      <c r="T18" s="240">
        <f t="shared" si="11"/>
        <v>77.483950982914664</v>
      </c>
      <c r="U18" s="240">
        <f t="shared" si="12"/>
        <v>15.798809891236685</v>
      </c>
      <c r="V18" s="240">
        <f t="shared" si="13"/>
        <v>16.447662509337764</v>
      </c>
      <c r="W18" s="240">
        <f t="shared" si="14"/>
        <v>10.257533396700968</v>
      </c>
      <c r="X18" s="240">
        <f t="shared" si="15"/>
        <v>53.299297939499368</v>
      </c>
      <c r="Y18" s="240">
        <f t="shared" si="16"/>
        <v>40.331905914223633</v>
      </c>
      <c r="Z18" s="240">
        <f t="shared" si="17"/>
        <v>4.1861459232327922</v>
      </c>
      <c r="AA18" s="232"/>
      <c r="AB18" s="233">
        <f t="shared" si="1"/>
        <v>9.477976137425851E-3</v>
      </c>
      <c r="AC18" s="217">
        <f t="shared" si="8"/>
        <v>62.987786016490979</v>
      </c>
    </row>
    <row r="19" spans="2:29" x14ac:dyDescent="0.25">
      <c r="B19" s="1">
        <v>335</v>
      </c>
      <c r="C19" s="230" t="s">
        <v>39</v>
      </c>
      <c r="D19" s="231"/>
      <c r="E19" s="230"/>
      <c r="F19" s="230"/>
      <c r="G19" s="231"/>
      <c r="H19" s="256">
        <v>1269.23</v>
      </c>
      <c r="I19" s="231"/>
      <c r="J19" s="2">
        <f t="shared" si="0"/>
        <v>6.2643634109610042E-3</v>
      </c>
      <c r="K19" s="2">
        <f t="shared" si="2"/>
        <v>5.6764764851973898E-3</v>
      </c>
      <c r="L19" s="232">
        <f t="shared" si="3"/>
        <v>82.596571228032488</v>
      </c>
      <c r="M19" s="232">
        <f t="shared" si="4"/>
        <v>19.316916301307572</v>
      </c>
      <c r="N19" s="232">
        <f t="shared" si="5"/>
        <v>34.521215379685131</v>
      </c>
      <c r="O19" s="232">
        <f t="shared" si="6"/>
        <v>6.3293248595326697</v>
      </c>
      <c r="P19" s="232">
        <f t="shared" si="7"/>
        <v>11.599784371710602</v>
      </c>
      <c r="Q19" s="232"/>
      <c r="R19" s="240">
        <f t="shared" si="9"/>
        <v>7.8250795996094542</v>
      </c>
      <c r="S19" s="240">
        <f t="shared" si="10"/>
        <v>15.796044644888479</v>
      </c>
      <c r="T19" s="240">
        <f t="shared" si="11"/>
        <v>32.781651702014926</v>
      </c>
      <c r="U19" s="240">
        <f t="shared" si="12"/>
        <v>6.6841078260847784</v>
      </c>
      <c r="V19" s="240">
        <f t="shared" si="13"/>
        <v>6.9586222289089239</v>
      </c>
      <c r="W19" s="240">
        <f t="shared" si="14"/>
        <v>4.3397230376982563</v>
      </c>
      <c r="X19" s="240">
        <f t="shared" si="15"/>
        <v>22.549689307916928</v>
      </c>
      <c r="Y19" s="240">
        <f t="shared" si="16"/>
        <v>17.063488314503353</v>
      </c>
      <c r="Z19" s="240">
        <f t="shared" si="17"/>
        <v>1.7710606633815855</v>
      </c>
      <c r="AA19" s="232"/>
      <c r="AB19" s="233">
        <f t="shared" si="1"/>
        <v>4.009910550968338E-3</v>
      </c>
      <c r="AC19" s="217">
        <f t="shared" si="8"/>
        <v>26.648662548570282</v>
      </c>
    </row>
    <row r="20" spans="2:29" ht="15.75" thickBot="1" x14ac:dyDescent="0.3">
      <c r="B20" s="1">
        <v>368</v>
      </c>
      <c r="C20" t="s">
        <v>40</v>
      </c>
      <c r="D20" s="2"/>
      <c r="H20" s="255">
        <v>7355.25</v>
      </c>
      <c r="J20" s="2">
        <f t="shared" si="0"/>
        <v>3.6302292711699949E-2</v>
      </c>
      <c r="K20" s="2">
        <f t="shared" si="2"/>
        <v>3.2895459190019224E-2</v>
      </c>
      <c r="L20" s="221">
        <f>J20*$L$3</f>
        <v>478.65117474767055</v>
      </c>
      <c r="M20" s="221">
        <f>J20*$M$3</f>
        <v>111.94247585165219</v>
      </c>
      <c r="N20" s="221">
        <f>J20*$N$3</f>
        <v>200.05213351514624</v>
      </c>
      <c r="O20" s="221">
        <f>J20*$O$3</f>
        <v>36.678747487120276</v>
      </c>
      <c r="P20" s="221">
        <f>J20*$P$3</f>
        <v>67.221318437181907</v>
      </c>
      <c r="Q20" s="221"/>
      <c r="R20" s="240">
        <f t="shared" si="9"/>
        <v>45.346719448033404</v>
      </c>
      <c r="S20" s="240">
        <f t="shared" si="10"/>
        <v>91.538852197250293</v>
      </c>
      <c r="T20" s="240">
        <f t="shared" si="11"/>
        <v>189.97127682236103</v>
      </c>
      <c r="U20" s="240">
        <f t="shared" si="12"/>
        <v>38.734732150839534</v>
      </c>
      <c r="V20" s="240">
        <f t="shared" si="13"/>
        <v>40.325556557268861</v>
      </c>
      <c r="W20" s="240">
        <f t="shared" si="14"/>
        <v>25.148907505361596</v>
      </c>
      <c r="X20" s="240">
        <f t="shared" si="15"/>
        <v>130.67655372316756</v>
      </c>
      <c r="Y20" s="240">
        <f t="shared" si="16"/>
        <v>98.883750325197795</v>
      </c>
      <c r="Z20" s="240">
        <f t="shared" si="17"/>
        <v>10.263383267285999</v>
      </c>
      <c r="AA20" s="176"/>
      <c r="AB20" s="177">
        <f t="shared" si="1"/>
        <v>2.323762799493383E-2</v>
      </c>
      <c r="AC20" s="178">
        <f>AB20*$AC$3</f>
        <v>154.43030436593176</v>
      </c>
    </row>
    <row r="21" spans="2:29" ht="15.75" thickBot="1" x14ac:dyDescent="0.3">
      <c r="B21" s="1">
        <v>451</v>
      </c>
      <c r="C21" t="s">
        <v>41</v>
      </c>
      <c r="D21" s="2"/>
      <c r="H21" s="330">
        <v>23500.57</v>
      </c>
      <c r="I21" s="31"/>
      <c r="J21" s="2">
        <f t="shared" si="0"/>
        <v>0.11598852126464695</v>
      </c>
      <c r="K21" s="2">
        <f t="shared" si="2"/>
        <v>0.10510343514866118</v>
      </c>
      <c r="L21" s="179">
        <f t="shared" si="3"/>
        <v>1529.3260511525598</v>
      </c>
      <c r="M21" s="179">
        <f t="shared" si="4"/>
        <v>357.66452394209063</v>
      </c>
      <c r="N21" s="179">
        <f t="shared" si="5"/>
        <v>639.1814237887279</v>
      </c>
      <c r="O21" s="179">
        <f t="shared" si="6"/>
        <v>117.19132223016135</v>
      </c>
      <c r="P21" s="179">
        <f t="shared" si="7"/>
        <v>214.77710471095941</v>
      </c>
      <c r="Q21" s="179"/>
      <c r="R21" s="251">
        <f t="shared" si="9"/>
        <v>144.88613638678092</v>
      </c>
      <c r="S21" s="251">
        <f t="shared" si="10"/>
        <v>292.47343105688242</v>
      </c>
      <c r="T21" s="251">
        <f t="shared" si="11"/>
        <v>606.97233798351829</v>
      </c>
      <c r="U21" s="251">
        <f t="shared" si="12"/>
        <v>123.76034592190003</v>
      </c>
      <c r="V21" s="251">
        <f t="shared" si="13"/>
        <v>128.84314804568928</v>
      </c>
      <c r="W21" s="251">
        <f t="shared" si="14"/>
        <v>80.352627205502955</v>
      </c>
      <c r="X21" s="251">
        <f t="shared" si="15"/>
        <v>417.52129405935352</v>
      </c>
      <c r="Y21" s="251">
        <f t="shared" si="16"/>
        <v>315.94092605687547</v>
      </c>
      <c r="Z21" s="251">
        <f t="shared" si="17"/>
        <v>32.792271766382285</v>
      </c>
      <c r="AA21" s="179"/>
      <c r="AB21" s="177">
        <f t="shared" si="1"/>
        <v>7.424594722530195E-2</v>
      </c>
      <c r="AC21" s="178">
        <f t="shared" si="8"/>
        <v>493.41629147518915</v>
      </c>
    </row>
    <row r="22" spans="2:29" x14ac:dyDescent="0.25">
      <c r="B22" s="1">
        <v>467</v>
      </c>
      <c r="C22" t="s">
        <v>44</v>
      </c>
      <c r="D22" s="2"/>
      <c r="H22" s="255">
        <v>1346.16</v>
      </c>
      <c r="J22" s="2">
        <f t="shared" si="0"/>
        <v>6.6440561988759059E-3</v>
      </c>
      <c r="K22" s="2">
        <f t="shared" si="2"/>
        <v>6.0205365342083936E-3</v>
      </c>
      <c r="L22" s="221">
        <f>J22*$L$3</f>
        <v>87.602877590608642</v>
      </c>
      <c r="M22" s="221">
        <f>J22*$M$3</f>
        <v>20.487744575977722</v>
      </c>
      <c r="N22" s="221">
        <f>J22*$N$3</f>
        <v>36.613599816831417</v>
      </c>
      <c r="O22" s="221">
        <f>J22*$O$3</f>
        <v>6.7129550616582492</v>
      </c>
      <c r="P22" s="221">
        <f>J22*$P$3</f>
        <v>12.302865304020504</v>
      </c>
      <c r="Q22" s="221"/>
      <c r="R22" s="240">
        <f t="shared" si="9"/>
        <v>8.2993698177716126</v>
      </c>
      <c r="S22" s="240">
        <f t="shared" si="10"/>
        <v>16.75346742447238</v>
      </c>
      <c r="T22" s="240">
        <f t="shared" si="11"/>
        <v>34.768598485053474</v>
      </c>
      <c r="U22" s="240">
        <f t="shared" si="12"/>
        <v>7.0892419743957253</v>
      </c>
      <c r="V22" s="240">
        <f t="shared" si="13"/>
        <v>7.3803951211900429</v>
      </c>
      <c r="W22" s="240">
        <f t="shared" si="14"/>
        <v>4.6027603857676587</v>
      </c>
      <c r="X22" s="240">
        <f t="shared" si="15"/>
        <v>23.91646097141216</v>
      </c>
      <c r="Y22" s="240">
        <f t="shared" si="16"/>
        <v>18.09773282183043</v>
      </c>
      <c r="Z22" s="240">
        <f t="shared" si="17"/>
        <v>1.8784073986730188</v>
      </c>
      <c r="AA22" s="176"/>
      <c r="AB22" s="177">
        <f t="shared" si="1"/>
        <v>4.2529574523857286E-3</v>
      </c>
      <c r="AC22" s="178">
        <f>AB22*$AC$3</f>
        <v>28.263879341319836</v>
      </c>
    </row>
    <row r="23" spans="2:29" x14ac:dyDescent="0.25">
      <c r="B23" s="1">
        <v>468</v>
      </c>
      <c r="C23" t="s">
        <v>45</v>
      </c>
      <c r="D23" s="2"/>
      <c r="H23" s="255">
        <v>9461.5499999999993</v>
      </c>
      <c r="J23" s="2">
        <f t="shared" si="0"/>
        <v>4.6698067041417303E-2</v>
      </c>
      <c r="K23" s="2">
        <f t="shared" si="2"/>
        <v>4.2315629230729936E-2</v>
      </c>
      <c r="L23" s="221">
        <f>J23*$L$3</f>
        <v>615.72101865114337</v>
      </c>
      <c r="M23" s="221">
        <f>J23*$M$3</f>
        <v>143.99909349025521</v>
      </c>
      <c r="N23" s="221">
        <f>J23*$N$3</f>
        <v>257.34043898714953</v>
      </c>
      <c r="O23" s="221">
        <f>J23*$O$3</f>
        <v>47.182325996636798</v>
      </c>
      <c r="P23" s="221">
        <f>J23*$P$3</f>
        <v>86.471277721262837</v>
      </c>
      <c r="Q23" s="221"/>
      <c r="R23" s="240">
        <f t="shared" si="9"/>
        <v>58.332518050853523</v>
      </c>
      <c r="S23" s="240">
        <f t="shared" si="10"/>
        <v>117.75254777293679</v>
      </c>
      <c r="T23" s="240">
        <f t="shared" si="11"/>
        <v>244.37275880746537</v>
      </c>
      <c r="U23" s="240">
        <f t="shared" si="12"/>
        <v>49.827076575476809</v>
      </c>
      <c r="V23" s="240">
        <f t="shared" si="13"/>
        <v>51.873460405074901</v>
      </c>
      <c r="W23" s="240">
        <f t="shared" si="14"/>
        <v>32.350721703185343</v>
      </c>
      <c r="X23" s="240">
        <f t="shared" si="15"/>
        <v>168.09799080649006</v>
      </c>
      <c r="Y23" s="240">
        <f t="shared" si="16"/>
        <v>127.20078146757419</v>
      </c>
      <c r="Z23" s="240">
        <f t="shared" si="17"/>
        <v>13.20247631998774</v>
      </c>
      <c r="AA23" s="176"/>
      <c r="AB23" s="177">
        <f t="shared" si="1"/>
        <v>2.9892115041020517E-2</v>
      </c>
      <c r="AC23" s="178">
        <f>AB23*$AC$3</f>
        <v>198.65402892811005</v>
      </c>
    </row>
    <row r="24" spans="2:29" x14ac:dyDescent="0.25">
      <c r="B24" s="1">
        <v>502</v>
      </c>
      <c r="C24" t="s">
        <v>46</v>
      </c>
      <c r="D24" s="2"/>
      <c r="H24" s="255">
        <v>1963.5</v>
      </c>
      <c r="J24" s="2">
        <f t="shared" si="0"/>
        <v>9.6909760700755049E-3</v>
      </c>
      <c r="K24" s="2">
        <f t="shared" si="2"/>
        <v>8.7815144447303279E-3</v>
      </c>
      <c r="L24" s="221">
        <f t="shared" si="3"/>
        <v>127.77697313035604</v>
      </c>
      <c r="M24" s="221">
        <f t="shared" si="4"/>
        <v>29.883287629206226</v>
      </c>
      <c r="N24" s="221">
        <f t="shared" si="5"/>
        <v>53.404352558647183</v>
      </c>
      <c r="O24" s="221">
        <f t="shared" si="6"/>
        <v>9.7914714919221879</v>
      </c>
      <c r="P24" s="221">
        <f t="shared" si="7"/>
        <v>17.944877298719515</v>
      </c>
      <c r="Q24" s="221"/>
      <c r="R24" s="240">
        <f t="shared" si="9"/>
        <v>12.105405477205204</v>
      </c>
      <c r="S24" s="240">
        <f t="shared" si="10"/>
        <v>24.436495875639977</v>
      </c>
      <c r="T24" s="240">
        <f t="shared" si="11"/>
        <v>50.713245918317646</v>
      </c>
      <c r="U24" s="240">
        <f t="shared" si="12"/>
        <v>10.340321073814408</v>
      </c>
      <c r="V24" s="240">
        <f t="shared" si="13"/>
        <v>10.764995112361566</v>
      </c>
      <c r="W24" s="240">
        <f t="shared" si="14"/>
        <v>6.7135556081407826</v>
      </c>
      <c r="X24" s="240">
        <f t="shared" si="15"/>
        <v>34.884390501402336</v>
      </c>
      <c r="Y24" s="240">
        <f t="shared" si="16"/>
        <v>26.397232420859364</v>
      </c>
      <c r="Z24" s="240">
        <f t="shared" si="17"/>
        <v>2.7398325067558624</v>
      </c>
      <c r="AA24" s="176"/>
      <c r="AB24" s="177">
        <f t="shared" si="1"/>
        <v>6.2033353819452193E-3</v>
      </c>
      <c r="AC24" s="178">
        <f t="shared" si="8"/>
        <v>41.225505947793344</v>
      </c>
    </row>
    <row r="25" spans="2:29" x14ac:dyDescent="0.25">
      <c r="B25" s="1">
        <v>515</v>
      </c>
      <c r="C25" t="s">
        <v>47</v>
      </c>
      <c r="D25" s="2"/>
      <c r="H25" s="255">
        <v>5315.43</v>
      </c>
      <c r="J25" s="2">
        <f t="shared" si="0"/>
        <v>2.6234634546555356E-2</v>
      </c>
      <c r="K25" s="2">
        <f t="shared" si="2"/>
        <v>2.3772612846932994E-2</v>
      </c>
      <c r="L25" s="221">
        <f>J25*$L$3</f>
        <v>345.90759169151437</v>
      </c>
      <c r="M25" s="221">
        <f>J25*$M$3</f>
        <v>80.89764378044903</v>
      </c>
      <c r="N25" s="221">
        <f>J25*$N$3</f>
        <v>144.57198763473897</v>
      </c>
      <c r="O25" s="221">
        <f>J25*$O$3</f>
        <v>26.506687706803135</v>
      </c>
      <c r="P25" s="221">
        <f>J25*$P$3</f>
        <v>48.57893513620202</v>
      </c>
      <c r="Q25" s="221"/>
      <c r="R25" s="240">
        <f>K25*$R$3</f>
        <v>32.770784535625602</v>
      </c>
      <c r="S25" s="240">
        <f>K25*$S$3</f>
        <v>66.152525221417378</v>
      </c>
      <c r="T25" s="240">
        <f>K25*$T$3</f>
        <v>137.28683919103804</v>
      </c>
      <c r="U25" s="240">
        <f>K25*$U$3</f>
        <v>27.99248935339207</v>
      </c>
      <c r="V25" s="240">
        <f>K25*$V$3</f>
        <v>29.142132910669748</v>
      </c>
      <c r="W25" s="240">
        <f>K25*$W$3</f>
        <v>18.174400247608745</v>
      </c>
      <c r="X25" s="240">
        <f>K25*$X$3</f>
        <v>94.436229082184383</v>
      </c>
      <c r="Y25" s="240">
        <f>K25*$Y$3</f>
        <v>71.460474217880588</v>
      </c>
      <c r="Z25" s="240">
        <f>K25*$Z$3</f>
        <v>7.4170552082430943</v>
      </c>
      <c r="AA25" s="176"/>
      <c r="AB25" s="177">
        <f t="shared" si="1"/>
        <v>1.67931729000525E-2</v>
      </c>
      <c r="AC25" s="178">
        <f>AB25*$AC$3</f>
        <v>111.6023891418789</v>
      </c>
    </row>
    <row r="26" spans="2:29" x14ac:dyDescent="0.25">
      <c r="B26" s="1">
        <v>525</v>
      </c>
      <c r="C26" t="s">
        <v>48</v>
      </c>
      <c r="D26" s="2"/>
      <c r="H26" s="255">
        <v>3115.39</v>
      </c>
      <c r="J26" s="2">
        <f t="shared" si="0"/>
        <v>1.5376200630991863E-2</v>
      </c>
      <c r="K26" s="2">
        <f t="shared" si="2"/>
        <v>1.393320208096176E-2</v>
      </c>
      <c r="L26" s="221">
        <f>J26*$L$3</f>
        <v>202.73751174972236</v>
      </c>
      <c r="M26" s="221">
        <f>J26*$M$3</f>
        <v>47.414359789739123</v>
      </c>
      <c r="N26" s="221">
        <f>J26*$N$3</f>
        <v>84.734090103225782</v>
      </c>
      <c r="O26" s="221">
        <f>J26*$O$3</f>
        <v>15.535651831535247</v>
      </c>
      <c r="P26" s="221">
        <f>J26*$P$3</f>
        <v>28.472264470413943</v>
      </c>
      <c r="Q26" s="221"/>
      <c r="R26" s="240">
        <f>K26*$R$3</f>
        <v>19.207058400626597</v>
      </c>
      <c r="S26" s="240">
        <f>K26*$S$3</f>
        <v>38.772200094733904</v>
      </c>
      <c r="T26" s="240">
        <f>K26*$T$3</f>
        <v>80.46424201755417</v>
      </c>
      <c r="U26" s="240">
        <f>K26*$U$3</f>
        <v>16.406484782353282</v>
      </c>
      <c r="V26" s="240">
        <f>K26*$V$3</f>
        <v>17.080294434988591</v>
      </c>
      <c r="W26" s="240">
        <f>K26*$W$3</f>
        <v>10.652072322916075</v>
      </c>
      <c r="X26" s="240">
        <f>K26*$X$3</f>
        <v>55.349366602578975</v>
      </c>
      <c r="Y26" s="240">
        <f>K26*$Y$3</f>
        <v>41.883205455371055</v>
      </c>
      <c r="Z26" s="240">
        <f>K26*$Z$3</f>
        <v>4.3471590492600694</v>
      </c>
      <c r="AA26" s="176"/>
      <c r="AB26" s="177">
        <f t="shared" si="1"/>
        <v>9.8425306929250406E-3</v>
      </c>
      <c r="AC26" s="178">
        <f>AB26*$AC$3</f>
        <v>65.410506225971943</v>
      </c>
    </row>
    <row r="27" spans="2:29" x14ac:dyDescent="0.25">
      <c r="B27" s="1">
        <v>560</v>
      </c>
      <c r="C27" t="s">
        <v>49</v>
      </c>
      <c r="D27" s="2"/>
      <c r="H27" s="255">
        <v>692.31</v>
      </c>
      <c r="I27" s="256"/>
      <c r="J27" s="256">
        <f t="shared" si="0"/>
        <v>3.4169389575115722E-3</v>
      </c>
      <c r="K27" s="256">
        <f t="shared" si="2"/>
        <v>3.0962720984116393E-3</v>
      </c>
      <c r="L27" s="257">
        <f>J27*$L$3</f>
        <v>45.052852695633703</v>
      </c>
      <c r="M27" s="257">
        <f>J27*$M$3</f>
        <v>10.536541308161834</v>
      </c>
      <c r="N27" s="257">
        <f>J27*$N$3</f>
        <v>18.829828021327746</v>
      </c>
      <c r="O27" s="257">
        <f>J27*$O$3</f>
        <v>3.4523726145009674</v>
      </c>
      <c r="P27" s="257">
        <f>J27*$P$3</f>
        <v>6.3271800370137532</v>
      </c>
      <c r="Q27" s="257"/>
      <c r="R27" s="258">
        <f t="shared" si="9"/>
        <v>4.2682420503814287</v>
      </c>
      <c r="S27" s="258">
        <f t="shared" si="10"/>
        <v>8.6160582936920367</v>
      </c>
      <c r="T27" s="258">
        <f t="shared" si="11"/>
        <v>17.880971368327216</v>
      </c>
      <c r="U27" s="258">
        <f t="shared" si="12"/>
        <v>3.6458913586006894</v>
      </c>
      <c r="V27" s="258">
        <f t="shared" si="13"/>
        <v>3.7956270772798759</v>
      </c>
      <c r="W27" s="258">
        <f t="shared" si="14"/>
        <v>2.3671309819566821</v>
      </c>
      <c r="X27" s="258">
        <f t="shared" si="15"/>
        <v>12.299878985498269</v>
      </c>
      <c r="Y27" s="258">
        <f t="shared" si="16"/>
        <v>9.3073939278253874</v>
      </c>
      <c r="Z27" s="258">
        <f t="shared" si="17"/>
        <v>0.96603689470443144</v>
      </c>
      <c r="AA27" s="257"/>
      <c r="AB27" s="259">
        <f t="shared" si="1"/>
        <v>2.1872325532337634E-3</v>
      </c>
      <c r="AC27" s="260">
        <f>AB27*$AC$3</f>
        <v>14.535691379025621</v>
      </c>
    </row>
    <row r="28" spans="2:29" x14ac:dyDescent="0.25">
      <c r="B28" s="1">
        <v>561</v>
      </c>
      <c r="C28" t="s">
        <v>67</v>
      </c>
      <c r="D28" s="2"/>
      <c r="H28" s="255">
        <v>7730.78</v>
      </c>
      <c r="I28" s="99"/>
      <c r="J28" s="99">
        <f t="shared" si="0"/>
        <v>3.815574432544859E-2</v>
      </c>
      <c r="K28" s="99">
        <f t="shared" si="2"/>
        <v>3.457497134659146E-2</v>
      </c>
      <c r="L28" s="183">
        <f>J28*$L$3</f>
        <v>503.08921229268844</v>
      </c>
      <c r="M28" s="183">
        <f>J28*$M$3</f>
        <v>117.65781631683977</v>
      </c>
      <c r="N28" s="183">
        <f>J28*$N$3</f>
        <v>210.26600492657928</v>
      </c>
      <c r="O28" s="183">
        <f>J28*$O$3</f>
        <v>38.55141939410349</v>
      </c>
      <c r="P28" s="183">
        <f>J28*$P$3</f>
        <v>70.653373324876412</v>
      </c>
      <c r="Q28" s="183"/>
      <c r="R28" s="252">
        <f t="shared" si="9"/>
        <v>47.661943750989792</v>
      </c>
      <c r="S28" s="252">
        <f t="shared" si="10"/>
        <v>96.212464265586974</v>
      </c>
      <c r="T28" s="252">
        <f t="shared" si="11"/>
        <v>199.67045952656568</v>
      </c>
      <c r="U28" s="252">
        <f t="shared" si="12"/>
        <v>40.712374510324906</v>
      </c>
      <c r="V28" s="252">
        <f t="shared" si="13"/>
        <v>42.38442012464607</v>
      </c>
      <c r="W28" s="252">
        <f t="shared" si="14"/>
        <v>26.432911344182635</v>
      </c>
      <c r="X28" s="252">
        <f t="shared" si="15"/>
        <v>137.34838217490764</v>
      </c>
      <c r="Y28" s="252">
        <f t="shared" si="16"/>
        <v>103.93236386785392</v>
      </c>
      <c r="Z28" s="252">
        <f t="shared" si="17"/>
        <v>10.787391060136535</v>
      </c>
      <c r="AA28" s="183"/>
      <c r="AB28" s="184">
        <f t="shared" si="1"/>
        <v>2.4424049454563005E-2</v>
      </c>
      <c r="AC28" s="254">
        <f>AB28*$AC$3</f>
        <v>162.31490546018935</v>
      </c>
    </row>
    <row r="29" spans="2:29" x14ac:dyDescent="0.25">
      <c r="B29" s="1">
        <v>563</v>
      </c>
      <c r="C29" t="s">
        <v>118</v>
      </c>
      <c r="D29" s="2"/>
      <c r="H29" s="101">
        <v>0</v>
      </c>
      <c r="J29" s="2">
        <f t="shared" si="0"/>
        <v>0</v>
      </c>
      <c r="K29" s="2">
        <f t="shared" si="2"/>
        <v>0</v>
      </c>
      <c r="L29" s="221">
        <f>J29*$L$3</f>
        <v>0</v>
      </c>
      <c r="M29" s="221">
        <f>J29*$M$3</f>
        <v>0</v>
      </c>
      <c r="N29" s="221">
        <f>J29*$N$3</f>
        <v>0</v>
      </c>
      <c r="O29" s="221">
        <f>J29*$O$3</f>
        <v>0</v>
      </c>
      <c r="P29" s="221">
        <f>J29*$P$3</f>
        <v>0</v>
      </c>
      <c r="Q29" s="221"/>
      <c r="R29" s="240">
        <f t="shared" si="9"/>
        <v>0</v>
      </c>
      <c r="S29" s="240">
        <f t="shared" si="10"/>
        <v>0</v>
      </c>
      <c r="T29" s="240">
        <f t="shared" si="11"/>
        <v>0</v>
      </c>
      <c r="U29" s="240">
        <f t="shared" si="12"/>
        <v>0</v>
      </c>
      <c r="V29" s="240">
        <f t="shared" si="13"/>
        <v>0</v>
      </c>
      <c r="W29" s="240">
        <f t="shared" si="14"/>
        <v>0</v>
      </c>
      <c r="X29" s="240">
        <f t="shared" si="15"/>
        <v>0</v>
      </c>
      <c r="Y29" s="240">
        <f t="shared" si="16"/>
        <v>0</v>
      </c>
      <c r="Z29" s="240">
        <f t="shared" si="17"/>
        <v>0</v>
      </c>
      <c r="AA29" s="176"/>
      <c r="AB29" s="177">
        <f t="shared" si="1"/>
        <v>0</v>
      </c>
      <c r="AC29" s="178">
        <f>AB29*$AC$3</f>
        <v>0</v>
      </c>
    </row>
    <row r="30" spans="2:29" x14ac:dyDescent="0.25">
      <c r="B30" s="1">
        <v>610</v>
      </c>
      <c r="C30" t="s">
        <v>53</v>
      </c>
      <c r="D30" s="2"/>
      <c r="H30" s="255">
        <v>18071.54</v>
      </c>
      <c r="J30" s="2">
        <f t="shared" si="0"/>
        <v>8.9193206870085195E-2</v>
      </c>
      <c r="K30" s="2">
        <f t="shared" si="2"/>
        <v>8.0822760146942674E-2</v>
      </c>
      <c r="L30" s="221">
        <f t="shared" si="3"/>
        <v>1176.0258115631038</v>
      </c>
      <c r="M30" s="221">
        <f t="shared" si="4"/>
        <v>275.03795656873211</v>
      </c>
      <c r="N30" s="221">
        <f t="shared" si="5"/>
        <v>491.51968089518454</v>
      </c>
      <c r="O30" s="221">
        <f t="shared" si="6"/>
        <v>90.118140425327979</v>
      </c>
      <c r="P30" s="221">
        <f t="shared" si="7"/>
        <v>165.15995309340545</v>
      </c>
      <c r="Q30" s="221"/>
      <c r="R30" s="240">
        <f t="shared" si="9"/>
        <v>111.41498309016194</v>
      </c>
      <c r="S30" s="240">
        <f t="shared" si="10"/>
        <v>224.90711111610031</v>
      </c>
      <c r="T30" s="240">
        <f t="shared" si="11"/>
        <v>466.75143984859392</v>
      </c>
      <c r="U30" s="240">
        <f t="shared" si="12"/>
        <v>95.169608300626464</v>
      </c>
      <c r="V30" s="240">
        <f t="shared" si="13"/>
        <v>99.07819698133261</v>
      </c>
      <c r="W30" s="240">
        <f t="shared" si="14"/>
        <v>61.789808359939144</v>
      </c>
      <c r="X30" s="240">
        <f t="shared" si="15"/>
        <v>321.06679822852681</v>
      </c>
      <c r="Y30" s="240">
        <f t="shared" si="16"/>
        <v>242.95321700170967</v>
      </c>
      <c r="Z30" s="240">
        <f t="shared" si="17"/>
        <v>25.216701165846114</v>
      </c>
      <c r="AA30" s="176"/>
      <c r="AB30" s="177">
        <f t="shared" si="1"/>
        <v>5.7093874962178923E-2</v>
      </c>
      <c r="AC30" s="178">
        <f t="shared" si="8"/>
        <v>379.42876483615248</v>
      </c>
    </row>
    <row r="31" spans="2:29" x14ac:dyDescent="0.25">
      <c r="B31" s="1">
        <v>620</v>
      </c>
      <c r="C31" t="s">
        <v>54</v>
      </c>
      <c r="D31" s="2"/>
      <c r="H31" s="255">
        <v>10153.85</v>
      </c>
      <c r="J31" s="2">
        <f t="shared" si="0"/>
        <v>5.0114956643308457E-2</v>
      </c>
      <c r="K31" s="2">
        <f t="shared" si="2"/>
        <v>4.5411856605360353E-2</v>
      </c>
      <c r="L31" s="221">
        <f t="shared" si="3"/>
        <v>660.77322058551852</v>
      </c>
      <c r="M31" s="221">
        <f t="shared" si="4"/>
        <v>154.53548260443881</v>
      </c>
      <c r="N31" s="221">
        <f t="shared" si="5"/>
        <v>276.16999502297921</v>
      </c>
      <c r="O31" s="221">
        <f t="shared" si="6"/>
        <v>50.634648743699564</v>
      </c>
      <c r="P31" s="221">
        <f t="shared" si="7"/>
        <v>92.798366365980712</v>
      </c>
      <c r="Q31" s="221"/>
      <c r="R31" s="240">
        <f t="shared" si="9"/>
        <v>62.600698449055301</v>
      </c>
      <c r="S31" s="240">
        <f t="shared" si="10"/>
        <v>126.36848161286835</v>
      </c>
      <c r="T31" s="240">
        <f t="shared" si="11"/>
        <v>262.25347189595601</v>
      </c>
      <c r="U31" s="240">
        <f t="shared" si="12"/>
        <v>53.472915271377872</v>
      </c>
      <c r="V31" s="240">
        <f t="shared" si="13"/>
        <v>55.669032656813087</v>
      </c>
      <c r="W31" s="240">
        <f t="shared" si="14"/>
        <v>34.717818493364042</v>
      </c>
      <c r="X31" s="240">
        <f t="shared" si="15"/>
        <v>180.39769212766188</v>
      </c>
      <c r="Y31" s="240">
        <f t="shared" si="16"/>
        <v>136.50804095571323</v>
      </c>
      <c r="Z31" s="240">
        <f t="shared" si="17"/>
        <v>14.16849926087243</v>
      </c>
      <c r="AA31" s="176"/>
      <c r="AB31" s="177">
        <f t="shared" si="1"/>
        <v>3.2079316001000495E-2</v>
      </c>
      <c r="AC31" s="178">
        <f t="shared" si="8"/>
        <v>213.18951034784899</v>
      </c>
    </row>
    <row r="32" spans="2:29" x14ac:dyDescent="0.25">
      <c r="B32" s="1">
        <v>630</v>
      </c>
      <c r="C32" t="s">
        <v>55</v>
      </c>
      <c r="D32" s="2"/>
      <c r="H32" s="255">
        <v>1892.31</v>
      </c>
      <c r="J32" s="2">
        <f t="shared" si="0"/>
        <v>9.3396134082834609E-3</v>
      </c>
      <c r="K32" s="2">
        <f t="shared" si="2"/>
        <v>8.4631258461459885E-3</v>
      </c>
      <c r="L32" s="221">
        <f t="shared" si="3"/>
        <v>123.14420373022867</v>
      </c>
      <c r="M32" s="221">
        <f t="shared" si="4"/>
        <v>28.799818698051045</v>
      </c>
      <c r="N32" s="221">
        <f t="shared" si="5"/>
        <v>51.468087797429909</v>
      </c>
      <c r="O32" s="221">
        <f t="shared" si="6"/>
        <v>9.4364651993273601</v>
      </c>
      <c r="P32" s="221">
        <f t="shared" si="7"/>
        <v>17.294255544252568</v>
      </c>
      <c r="Q32" s="221"/>
      <c r="R32" s="240">
        <f t="shared" si="9"/>
        <v>11.666503610170707</v>
      </c>
      <c r="S32" s="240">
        <f t="shared" si="10"/>
        <v>23.550509554587364</v>
      </c>
      <c r="T32" s="240">
        <f t="shared" si="11"/>
        <v>48.87455176149308</v>
      </c>
      <c r="U32" s="240">
        <f t="shared" si="12"/>
        <v>9.9654153150953633</v>
      </c>
      <c r="V32" s="240">
        <f t="shared" si="13"/>
        <v>10.374692081014983</v>
      </c>
      <c r="W32" s="240">
        <f t="shared" si="14"/>
        <v>6.47014434063707</v>
      </c>
      <c r="X32" s="240">
        <f t="shared" si="15"/>
        <v>33.619598161298015</v>
      </c>
      <c r="Y32" s="240">
        <f t="shared" si="16"/>
        <v>25.440156293514843</v>
      </c>
      <c r="Z32" s="240">
        <f t="shared" si="17"/>
        <v>2.6404952639975483</v>
      </c>
      <c r="AA32" s="176"/>
      <c r="AB32" s="177">
        <f t="shared" si="1"/>
        <v>5.9784230082041041E-3</v>
      </c>
      <c r="AC32" s="178">
        <f t="shared" si="8"/>
        <v>39.73080578562201</v>
      </c>
    </row>
    <row r="33" spans="2:33" x14ac:dyDescent="0.25">
      <c r="B33" s="1">
        <v>650</v>
      </c>
      <c r="C33" t="s">
        <v>56</v>
      </c>
      <c r="D33" s="2"/>
      <c r="H33" s="255">
        <v>448.48</v>
      </c>
      <c r="I33" s="53"/>
      <c r="J33" s="2">
        <f t="shared" si="0"/>
        <v>2.2135008647351474E-3</v>
      </c>
      <c r="K33" s="2">
        <f t="shared" si="2"/>
        <v>2.0057721406532506E-3</v>
      </c>
      <c r="L33" s="221">
        <f t="shared" si="3"/>
        <v>29.185340926662629</v>
      </c>
      <c r="M33" s="221">
        <f t="shared" si="4"/>
        <v>6.8255955365145953</v>
      </c>
      <c r="N33" s="221">
        <f t="shared" si="5"/>
        <v>12.198005620321918</v>
      </c>
      <c r="O33" s="221">
        <f t="shared" si="6"/>
        <v>2.236454868702451</v>
      </c>
      <c r="P33" s="221">
        <f t="shared" si="7"/>
        <v>4.0987616862387197</v>
      </c>
      <c r="Q33" s="221"/>
      <c r="R33" s="240">
        <f t="shared" si="9"/>
        <v>2.7649769536119124</v>
      </c>
      <c r="S33" s="240">
        <f t="shared" si="10"/>
        <v>5.5815022512386134</v>
      </c>
      <c r="T33" s="240">
        <f t="shared" si="11"/>
        <v>11.583334112272523</v>
      </c>
      <c r="U33" s="240">
        <f t="shared" si="12"/>
        <v>2.3618167533406091</v>
      </c>
      <c r="V33" s="240">
        <f t="shared" si="13"/>
        <v>2.4588158940625999</v>
      </c>
      <c r="W33" s="240">
        <f t="shared" si="14"/>
        <v>1.5334328592508166</v>
      </c>
      <c r="X33" s="240">
        <f t="shared" si="15"/>
        <v>7.9678897133022248</v>
      </c>
      <c r="Y33" s="240">
        <f t="shared" si="16"/>
        <v>6.0293510548036711</v>
      </c>
      <c r="Z33" s="240">
        <f t="shared" si="17"/>
        <v>0.62580090788381415</v>
      </c>
      <c r="AA33" s="176"/>
      <c r="AB33" s="177">
        <f t="shared" si="1"/>
        <v>1.4168942460375819E-3</v>
      </c>
      <c r="AC33" s="178">
        <f t="shared" si="8"/>
        <v>9.4162540908919574</v>
      </c>
    </row>
    <row r="34" spans="2:33" x14ac:dyDescent="0.25">
      <c r="B34" s="1">
        <v>600</v>
      </c>
      <c r="C34" t="s">
        <v>57</v>
      </c>
      <c r="D34" s="2"/>
      <c r="H34" s="101"/>
      <c r="I34" s="2">
        <f>SUM(H6:H33)</f>
        <v>202611.17</v>
      </c>
      <c r="J34" s="2"/>
      <c r="K34" s="2">
        <f t="shared" si="2"/>
        <v>0</v>
      </c>
      <c r="L34" s="221"/>
      <c r="M34" s="221"/>
      <c r="N34" s="221"/>
      <c r="O34" s="221"/>
      <c r="P34" s="221"/>
      <c r="Q34" s="221"/>
      <c r="R34" s="240">
        <f t="shared" si="9"/>
        <v>0</v>
      </c>
      <c r="S34" s="240">
        <f t="shared" si="10"/>
        <v>0</v>
      </c>
      <c r="T34" s="240">
        <f t="shared" si="11"/>
        <v>0</v>
      </c>
      <c r="U34" s="240">
        <f t="shared" si="12"/>
        <v>0</v>
      </c>
      <c r="V34" s="240">
        <f t="shared" si="13"/>
        <v>0</v>
      </c>
      <c r="W34" s="240">
        <f t="shared" si="14"/>
        <v>0</v>
      </c>
      <c r="X34" s="240">
        <f t="shared" si="15"/>
        <v>0</v>
      </c>
      <c r="Y34" s="240">
        <f t="shared" si="16"/>
        <v>0</v>
      </c>
      <c r="Z34" s="240">
        <f t="shared" si="17"/>
        <v>0</v>
      </c>
      <c r="AA34" s="176"/>
      <c r="AB34" s="177"/>
      <c r="AC34" s="178"/>
    </row>
    <row r="35" spans="2:33" ht="15.75" thickBot="1" x14ac:dyDescent="0.3">
      <c r="B35" s="1">
        <v>339</v>
      </c>
      <c r="C35" t="s">
        <v>58</v>
      </c>
      <c r="D35" s="2"/>
      <c r="H35" s="332">
        <f>I53</f>
        <v>8307.69</v>
      </c>
      <c r="J35" s="2"/>
      <c r="K35" s="2">
        <f>H35/$I$36</f>
        <v>3.7155131009595978E-2</v>
      </c>
      <c r="L35" s="221">
        <f>J35*$L$3</f>
        <v>0</v>
      </c>
      <c r="M35" s="221">
        <f>J35*$M$3</f>
        <v>0</v>
      </c>
      <c r="N35" s="221">
        <f>J35*$N$3</f>
        <v>0</v>
      </c>
      <c r="O35" s="221">
        <f>J35*$O$3</f>
        <v>0</v>
      </c>
      <c r="P35" s="221">
        <f>J35*$P$3</f>
        <v>0</v>
      </c>
      <c r="Q35" s="221"/>
      <c r="R35" s="240">
        <f t="shared" si="9"/>
        <v>51.218719648038153</v>
      </c>
      <c r="S35" s="240">
        <f t="shared" si="10"/>
        <v>103.39232616302291</v>
      </c>
      <c r="T35" s="240">
        <f t="shared" si="11"/>
        <v>214.57088158041677</v>
      </c>
      <c r="U35" s="240">
        <f t="shared" si="12"/>
        <v>43.75053831510936</v>
      </c>
      <c r="V35" s="240">
        <f t="shared" si="13"/>
        <v>45.547360450733414</v>
      </c>
      <c r="W35" s="240">
        <f t="shared" si="14"/>
        <v>28.405469208146222</v>
      </c>
      <c r="X35" s="240">
        <f t="shared" si="15"/>
        <v>147.59801483299984</v>
      </c>
      <c r="Y35" s="240">
        <f t="shared" si="16"/>
        <v>111.6883238148455</v>
      </c>
      <c r="Z35" s="240">
        <f t="shared" si="17"/>
        <v>11.592400874993945</v>
      </c>
      <c r="AA35" s="176"/>
      <c r="AB35" s="177">
        <f>H35/$H$39</f>
        <v>2.6246695859043791E-2</v>
      </c>
      <c r="AC35" s="178">
        <f>AB35*$AC$3</f>
        <v>174.42766667044731</v>
      </c>
    </row>
    <row r="36" spans="2:33" ht="15.75" thickBot="1" x14ac:dyDescent="0.3">
      <c r="B36" s="1">
        <v>225</v>
      </c>
      <c r="C36" t="s">
        <v>59</v>
      </c>
      <c r="D36" s="2"/>
      <c r="F36">
        <v>241022.28</v>
      </c>
      <c r="H36" s="101">
        <f>I60</f>
        <v>12675.83</v>
      </c>
      <c r="I36" s="99">
        <f>I34+H35+H36</f>
        <v>223594.69</v>
      </c>
      <c r="J36" s="2"/>
      <c r="K36" s="2">
        <f>H36/$I$36</f>
        <v>5.6691104784286246E-2</v>
      </c>
      <c r="L36" s="221"/>
      <c r="M36" s="221"/>
      <c r="N36" s="221"/>
      <c r="O36" s="221"/>
      <c r="P36" s="221"/>
      <c r="Q36" s="221"/>
      <c r="R36" s="240">
        <f t="shared" si="9"/>
        <v>78.149254856186431</v>
      </c>
      <c r="S36" s="240">
        <f t="shared" si="10"/>
        <v>157.75547110532901</v>
      </c>
      <c r="T36" s="240">
        <f t="shared" si="11"/>
        <v>327.3911301292531</v>
      </c>
      <c r="U36" s="240">
        <f t="shared" si="12"/>
        <v>66.754342794544897</v>
      </c>
      <c r="V36" s="240">
        <f t="shared" si="13"/>
        <v>69.495924621912977</v>
      </c>
      <c r="W36" s="240">
        <f t="shared" si="14"/>
        <v>43.340916518634678</v>
      </c>
      <c r="X36" s="240">
        <f t="shared" si="15"/>
        <v>225.20427993348142</v>
      </c>
      <c r="Y36" s="240">
        <f t="shared" si="16"/>
        <v>170.41346098156447</v>
      </c>
      <c r="Z36" s="240">
        <f t="shared" si="17"/>
        <v>17.687624692697309</v>
      </c>
      <c r="AA36" s="221"/>
      <c r="AB36" s="226">
        <f>H36/$H$39</f>
        <v>4.0047071420688911E-2</v>
      </c>
      <c r="AC36" s="188">
        <f>AB36*$AC$3</f>
        <v>266.1408225404723</v>
      </c>
    </row>
    <row r="37" spans="2:33" x14ac:dyDescent="0.25">
      <c r="F37" s="8">
        <f>F36-I36</f>
        <v>17427.589999999997</v>
      </c>
      <c r="H37" s="101"/>
      <c r="K37" s="2">
        <f>H37/$I$36</f>
        <v>0</v>
      </c>
      <c r="L37" s="221">
        <f t="shared" ref="L37" si="19">J37*$L$3</f>
        <v>0</v>
      </c>
      <c r="M37" s="221">
        <f t="shared" ref="M37" si="20">J37*$M$3</f>
        <v>0</v>
      </c>
      <c r="N37" s="221">
        <f t="shared" ref="N37" si="21">J37*$N$3</f>
        <v>0</v>
      </c>
      <c r="O37" s="221">
        <f t="shared" ref="O37" si="22">J37*$O$3</f>
        <v>0</v>
      </c>
      <c r="P37" s="221">
        <f t="shared" ref="P37" si="23">J37*$P$3</f>
        <v>0</v>
      </c>
      <c r="Q37" s="221"/>
      <c r="R37" s="240">
        <f t="shared" si="9"/>
        <v>0</v>
      </c>
      <c r="S37" s="240">
        <f t="shared" si="10"/>
        <v>0</v>
      </c>
      <c r="T37" s="240">
        <f t="shared" si="11"/>
        <v>0</v>
      </c>
      <c r="U37" s="240">
        <f t="shared" si="12"/>
        <v>0</v>
      </c>
      <c r="V37" s="240">
        <f t="shared" si="13"/>
        <v>0</v>
      </c>
      <c r="W37" s="240">
        <f t="shared" si="14"/>
        <v>0</v>
      </c>
      <c r="X37" s="240">
        <f t="shared" si="15"/>
        <v>0</v>
      </c>
      <c r="Y37" s="240">
        <f t="shared" si="16"/>
        <v>0</v>
      </c>
      <c r="Z37" s="240">
        <f t="shared" si="17"/>
        <v>0</v>
      </c>
      <c r="AA37" s="176"/>
      <c r="AB37" s="177">
        <f>H37/$H$39</f>
        <v>0</v>
      </c>
      <c r="AC37" s="178">
        <f t="shared" ref="AC37:AC38" si="24">AB37*$AC$3</f>
        <v>0</v>
      </c>
    </row>
    <row r="38" spans="2:33" x14ac:dyDescent="0.25">
      <c r="B38" s="45"/>
      <c r="C38" s="32" t="s">
        <v>60</v>
      </c>
      <c r="D38" s="32"/>
      <c r="E38" s="32"/>
      <c r="F38" s="32"/>
      <c r="G38" s="31"/>
      <c r="H38" s="31">
        <v>92928.58</v>
      </c>
      <c r="I38" s="118"/>
      <c r="J38" s="121"/>
      <c r="K38" s="121"/>
      <c r="L38" s="221"/>
      <c r="M38" s="221"/>
      <c r="N38" s="221"/>
      <c r="O38" s="221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190">
        <f>H38/$H$39</f>
        <v>0.29359162124162308</v>
      </c>
      <c r="AC38" s="178">
        <f t="shared" si="24"/>
        <v>1951.1218372854544</v>
      </c>
    </row>
    <row r="39" spans="2:33" ht="15.75" thickBot="1" x14ac:dyDescent="0.3">
      <c r="H39" s="237">
        <f>SUM(H7:H38)</f>
        <v>316523.27</v>
      </c>
      <c r="I39" s="34"/>
      <c r="J39" s="54">
        <f t="shared" ref="J39:Z39" si="25">SUM(J7:J37)</f>
        <v>1</v>
      </c>
      <c r="K39" s="54">
        <f t="shared" si="25"/>
        <v>1</v>
      </c>
      <c r="L39" s="227">
        <f t="shared" si="25"/>
        <v>13185.15</v>
      </c>
      <c r="M39" s="227">
        <f t="shared" si="25"/>
        <v>3083.62</v>
      </c>
      <c r="N39" s="227">
        <f t="shared" si="25"/>
        <v>5510.73</v>
      </c>
      <c r="O39" s="227">
        <f t="shared" si="25"/>
        <v>1010.37</v>
      </c>
      <c r="P39" s="227">
        <f t="shared" si="25"/>
        <v>1851.7099999999998</v>
      </c>
      <c r="Q39" s="227">
        <f t="shared" si="25"/>
        <v>0</v>
      </c>
      <c r="R39" s="227">
        <f t="shared" si="25"/>
        <v>1378.5099999999998</v>
      </c>
      <c r="S39" s="227">
        <f t="shared" si="25"/>
        <v>2782.7200000000003</v>
      </c>
      <c r="T39" s="227">
        <f t="shared" si="25"/>
        <v>5775</v>
      </c>
      <c r="U39" s="227">
        <f t="shared" si="25"/>
        <v>1177.5100000000002</v>
      </c>
      <c r="V39" s="227">
        <f t="shared" si="25"/>
        <v>1225.8699999999997</v>
      </c>
      <c r="W39" s="227">
        <f t="shared" si="25"/>
        <v>764.5100000000001</v>
      </c>
      <c r="X39" s="227">
        <f t="shared" si="25"/>
        <v>3972.48</v>
      </c>
      <c r="Y39" s="227">
        <f t="shared" si="25"/>
        <v>3006.0000000000005</v>
      </c>
      <c r="Z39" s="227">
        <f t="shared" si="25"/>
        <v>311.99999999999994</v>
      </c>
      <c r="AA39" s="228"/>
      <c r="AB39" s="196">
        <f>SUM(AB7:AB38)</f>
        <v>0.99999999999999978</v>
      </c>
      <c r="AC39" s="229">
        <f>SUM(AC7:AC38)</f>
        <v>6645.6999999999989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59"/>
      <c r="AC40">
        <v>5802</v>
      </c>
    </row>
    <row r="41" spans="2:33" x14ac:dyDescent="0.25">
      <c r="C41" s="17">
        <v>43588</v>
      </c>
      <c r="D41" s="23"/>
      <c r="E41" s="23"/>
      <c r="F41" s="23"/>
      <c r="G41" s="18"/>
      <c r="H41" s="18">
        <v>73752.94</v>
      </c>
      <c r="I41" s="18"/>
      <c r="J41" s="42"/>
      <c r="K41" s="238"/>
      <c r="L41" s="158"/>
      <c r="M41" s="158"/>
      <c r="N41" s="158"/>
      <c r="O41" s="158"/>
      <c r="P41" s="158"/>
      <c r="Q41" s="114"/>
      <c r="R41" s="114"/>
      <c r="S41" s="114"/>
      <c r="T41" s="114"/>
      <c r="U41" s="114"/>
      <c r="V41" s="114"/>
      <c r="W41" s="114"/>
      <c r="X41" s="114"/>
      <c r="Y41" s="114"/>
      <c r="Z41" s="159"/>
    </row>
    <row r="42" spans="2:33" x14ac:dyDescent="0.25">
      <c r="C42" s="19">
        <v>43602</v>
      </c>
      <c r="D42" s="24"/>
      <c r="E42" s="24"/>
      <c r="F42" s="24"/>
      <c r="H42" s="2">
        <v>74921.25</v>
      </c>
      <c r="J42" s="43">
        <v>0</v>
      </c>
      <c r="K42" s="238"/>
      <c r="L42" s="158"/>
      <c r="M42" s="158"/>
      <c r="N42" s="158"/>
      <c r="O42" s="158"/>
      <c r="P42" s="158"/>
      <c r="Q42" s="114"/>
      <c r="R42" s="114"/>
      <c r="S42" s="114"/>
      <c r="T42" s="114"/>
      <c r="U42" s="114"/>
      <c r="V42" s="114"/>
      <c r="W42" s="114"/>
      <c r="X42" s="114"/>
      <c r="Y42" s="114"/>
      <c r="Z42" s="159"/>
    </row>
    <row r="43" spans="2:33" x14ac:dyDescent="0.25">
      <c r="C43" s="19">
        <v>43616</v>
      </c>
      <c r="D43" s="24"/>
      <c r="E43" s="24"/>
      <c r="F43" s="24"/>
      <c r="H43" s="2">
        <v>71364.570000000007</v>
      </c>
      <c r="J43" s="43"/>
      <c r="K43" s="238"/>
      <c r="L43" s="158"/>
      <c r="M43" s="158"/>
      <c r="N43" s="158"/>
      <c r="O43" s="158"/>
      <c r="P43" s="158"/>
      <c r="Q43" s="114"/>
      <c r="R43" s="114"/>
      <c r="S43" s="114"/>
      <c r="T43" s="114"/>
      <c r="U43" s="114"/>
      <c r="V43" s="114"/>
      <c r="W43" s="114"/>
      <c r="X43" s="114"/>
      <c r="Y43" s="114"/>
      <c r="Z43" s="159"/>
    </row>
    <row r="44" spans="2:33" x14ac:dyDescent="0.25">
      <c r="B44" s="1" t="s">
        <v>63</v>
      </c>
      <c r="C44" s="19"/>
      <c r="D44" s="24"/>
      <c r="E44" s="24"/>
      <c r="F44" s="24"/>
      <c r="H44" s="2">
        <f>I60</f>
        <v>12675.83</v>
      </c>
      <c r="J44" s="43"/>
      <c r="K44" s="238"/>
      <c r="L44" s="158"/>
      <c r="M44" s="158"/>
      <c r="N44" s="158"/>
      <c r="O44" s="158"/>
      <c r="P44" s="158"/>
      <c r="Q44" s="114"/>
      <c r="R44" s="114"/>
      <c r="S44" s="114"/>
      <c r="T44" s="114"/>
      <c r="U44" s="114"/>
      <c r="V44" s="114"/>
      <c r="W44" s="114"/>
      <c r="X44" s="114"/>
      <c r="Y44" s="114"/>
      <c r="Z44" s="159"/>
    </row>
    <row r="45" spans="2:33" ht="15.75" thickBot="1" x14ac:dyDescent="0.3">
      <c r="B45" s="1" t="s">
        <v>69</v>
      </c>
      <c r="C45" s="19"/>
      <c r="D45" s="24"/>
      <c r="E45" s="24"/>
      <c r="F45" s="24"/>
      <c r="H45" s="2">
        <f>I53</f>
        <v>8307.69</v>
      </c>
      <c r="J45" s="43"/>
      <c r="K45" s="238"/>
      <c r="L45" s="158"/>
      <c r="M45" s="158"/>
      <c r="N45" s="158"/>
      <c r="O45" s="158"/>
      <c r="P45" s="158"/>
      <c r="Q45" s="114"/>
      <c r="R45" s="114"/>
      <c r="S45" s="114"/>
      <c r="T45" s="114"/>
      <c r="U45" s="114"/>
      <c r="V45" s="114"/>
      <c r="W45" s="114"/>
      <c r="X45" s="114"/>
      <c r="Y45" s="114"/>
      <c r="Z45" s="159"/>
    </row>
    <row r="46" spans="2:33" ht="15.75" thickBot="1" x14ac:dyDescent="0.3">
      <c r="C46" s="20"/>
      <c r="D46" s="20"/>
      <c r="E46" s="20"/>
      <c r="F46" s="20"/>
      <c r="G46" s="105"/>
      <c r="H46" s="236">
        <f>SUM(H41:H45)</f>
        <v>241022.28</v>
      </c>
      <c r="I46" s="5"/>
      <c r="J46" s="44"/>
      <c r="K46" s="239"/>
      <c r="L46" s="161">
        <f>SUM(L41:L43)</f>
        <v>0</v>
      </c>
      <c r="M46" s="162">
        <f t="shared" ref="M46:P46" si="26">SUM(M41:M43)</f>
        <v>0</v>
      </c>
      <c r="N46" s="162">
        <f>SUM(N41:N43)</f>
        <v>0</v>
      </c>
      <c r="O46" s="162">
        <f t="shared" ref="O46" si="27">SUM(O41:O43)</f>
        <v>0</v>
      </c>
      <c r="P46" s="163">
        <f t="shared" si="26"/>
        <v>0</v>
      </c>
      <c r="Q46" s="114"/>
      <c r="R46" s="114"/>
      <c r="S46" s="114"/>
      <c r="T46" s="114"/>
      <c r="U46" s="114"/>
      <c r="V46" s="114"/>
      <c r="W46" s="114"/>
      <c r="X46" s="114"/>
      <c r="Y46" s="114"/>
      <c r="Z46" s="159"/>
    </row>
    <row r="47" spans="2:33" x14ac:dyDescent="0.25">
      <c r="H47" s="2">
        <f>H38</f>
        <v>92928.58</v>
      </c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59"/>
      <c r="AG47">
        <v>114.44</v>
      </c>
    </row>
    <row r="48" spans="2:33" x14ac:dyDescent="0.25">
      <c r="I48" s="2" t="s">
        <v>64</v>
      </c>
      <c r="AG48">
        <v>151.65</v>
      </c>
    </row>
    <row r="49" spans="9:14" x14ac:dyDescent="0.25">
      <c r="I49" s="2">
        <v>2769.23</v>
      </c>
      <c r="J49" s="93">
        <v>165.29</v>
      </c>
      <c r="K49" s="93">
        <v>38.659999999999997</v>
      </c>
      <c r="L49" s="93">
        <v>83.08</v>
      </c>
      <c r="M49" s="93">
        <v>15.23</v>
      </c>
    </row>
    <row r="50" spans="9:14" x14ac:dyDescent="0.25">
      <c r="I50" s="2">
        <v>2769.23</v>
      </c>
      <c r="J50" s="93">
        <v>165.29</v>
      </c>
      <c r="K50" s="93">
        <v>38.659999999999997</v>
      </c>
      <c r="L50" s="93">
        <v>83.08</v>
      </c>
      <c r="M50" s="93">
        <v>15.23</v>
      </c>
    </row>
    <row r="51" spans="9:14" x14ac:dyDescent="0.25">
      <c r="I51" s="2">
        <v>2769.23</v>
      </c>
      <c r="J51" s="93">
        <v>165.29</v>
      </c>
      <c r="K51" s="93">
        <v>38.659999999999997</v>
      </c>
      <c r="L51" s="93">
        <v>83.08</v>
      </c>
      <c r="M51" s="93">
        <v>15.23</v>
      </c>
    </row>
    <row r="52" spans="9:14" ht="15.75" thickBot="1" x14ac:dyDescent="0.3">
      <c r="K52" s="2"/>
    </row>
    <row r="53" spans="9:14" ht="15.75" thickBot="1" x14ac:dyDescent="0.3">
      <c r="I53" s="241">
        <f>SUM(I49:I52)</f>
        <v>8307.69</v>
      </c>
      <c r="K53" s="2"/>
    </row>
    <row r="55" spans="9:14" x14ac:dyDescent="0.25">
      <c r="I55" s="12" t="s">
        <v>65</v>
      </c>
    </row>
    <row r="56" spans="9:14" x14ac:dyDescent="0.25">
      <c r="I56" s="2">
        <v>3802.75</v>
      </c>
      <c r="J56" s="93">
        <v>288.2</v>
      </c>
      <c r="K56" s="93">
        <v>67.400000000000006</v>
      </c>
      <c r="L56" s="93"/>
      <c r="M56" s="93"/>
    </row>
    <row r="57" spans="9:14" x14ac:dyDescent="0.25">
      <c r="I57" s="2">
        <v>4225.28</v>
      </c>
      <c r="J57" s="93">
        <v>235.8</v>
      </c>
      <c r="K57" s="93">
        <v>55.15</v>
      </c>
      <c r="L57" s="93"/>
      <c r="M57" s="93"/>
    </row>
    <row r="58" spans="9:14" x14ac:dyDescent="0.25">
      <c r="I58" s="2">
        <v>4647.8</v>
      </c>
      <c r="J58" s="93">
        <v>262</v>
      </c>
      <c r="K58" s="93">
        <v>61.28</v>
      </c>
      <c r="L58" s="93"/>
      <c r="M58" s="93"/>
      <c r="N58">
        <f>SUM(J56:K58)</f>
        <v>969.83</v>
      </c>
    </row>
    <row r="59" spans="9:14" ht="15.75" thickBot="1" x14ac:dyDescent="0.3"/>
    <row r="60" spans="9:14" ht="15.75" thickBot="1" x14ac:dyDescent="0.3">
      <c r="I60" s="242">
        <f>SUM(I56:I59)</f>
        <v>12675.83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FEAB-7C37-4D54-B982-4C5F3B64CD0B}">
  <sheetPr>
    <tabColor theme="5" tint="0.39997558519241921"/>
    <pageSetUpPr fitToPage="1"/>
  </sheetPr>
  <dimension ref="B1:AG60"/>
  <sheetViews>
    <sheetView topLeftCell="B1" zoomScale="85" zoomScaleNormal="85" workbookViewId="0">
      <selection activeCell="H43" sqref="H43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3.140625" style="66" customWidth="1"/>
    <col min="19" max="19" width="15.140625" style="66" customWidth="1"/>
    <col min="20" max="20" width="17.42578125" customWidth="1"/>
    <col min="21" max="21" width="15.5703125" style="66" customWidth="1"/>
    <col min="22" max="22" width="15.28515625" style="66" customWidth="1"/>
    <col min="23" max="24" width="15.140625" customWidth="1"/>
    <col min="25" max="25" width="15.85546875" style="66" customWidth="1"/>
    <col min="26" max="26" width="15.57031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68</v>
      </c>
      <c r="L1" s="66">
        <v>7251</v>
      </c>
      <c r="M1" s="66">
        <v>7252</v>
      </c>
      <c r="N1">
        <v>7253</v>
      </c>
      <c r="O1">
        <v>7254</v>
      </c>
      <c r="P1" s="66">
        <v>7260.1</v>
      </c>
      <c r="R1" s="66">
        <v>8112</v>
      </c>
      <c r="S1" s="66">
        <v>8229.1</v>
      </c>
      <c r="T1">
        <v>7521</v>
      </c>
      <c r="U1" s="66">
        <v>8210.5</v>
      </c>
      <c r="V1" s="66">
        <v>8135.5</v>
      </c>
      <c r="W1" s="66">
        <v>8239</v>
      </c>
      <c r="X1" s="66">
        <v>8266</v>
      </c>
      <c r="Y1" s="66">
        <v>7515.5</v>
      </c>
      <c r="Z1">
        <v>8222</v>
      </c>
      <c r="AC1">
        <v>7248</v>
      </c>
    </row>
    <row r="2" spans="2:30" ht="17.25" thickBot="1" x14ac:dyDescent="0.4">
      <c r="L2" s="243" t="s">
        <v>1</v>
      </c>
      <c r="M2" s="243" t="s">
        <v>2</v>
      </c>
      <c r="N2" s="243" t="s">
        <v>3</v>
      </c>
      <c r="O2" s="243" t="s">
        <v>4</v>
      </c>
      <c r="P2" s="246" t="s">
        <v>5</v>
      </c>
      <c r="Q2" s="98"/>
      <c r="R2" s="244" t="s">
        <v>8</v>
      </c>
      <c r="S2" s="248" t="s">
        <v>12</v>
      </c>
      <c r="T2" s="248" t="s">
        <v>7</v>
      </c>
      <c r="U2" s="244" t="s">
        <v>11</v>
      </c>
      <c r="V2" s="244" t="s">
        <v>9</v>
      </c>
      <c r="W2" s="244" t="s">
        <v>13</v>
      </c>
      <c r="X2" s="248" t="s">
        <v>14</v>
      </c>
      <c r="Y2" s="72" t="s">
        <v>6</v>
      </c>
      <c r="Z2" s="92" t="s">
        <v>10</v>
      </c>
      <c r="AA2" s="2"/>
      <c r="AB2" s="35"/>
      <c r="AC2" s="245" t="s">
        <v>15</v>
      </c>
      <c r="AD2" s="2"/>
    </row>
    <row r="3" spans="2:30" ht="15.75" thickBot="1" x14ac:dyDescent="0.3">
      <c r="L3" s="213">
        <v>13185.15</v>
      </c>
      <c r="M3" s="213">
        <v>3083.62</v>
      </c>
      <c r="N3" s="213">
        <v>5510.73</v>
      </c>
      <c r="O3" s="213">
        <v>1010.37</v>
      </c>
      <c r="P3" s="247">
        <v>1851.71</v>
      </c>
      <c r="Q3" s="214"/>
      <c r="R3" s="215">
        <v>1378.51</v>
      </c>
      <c r="S3" s="249">
        <v>2782.72</v>
      </c>
      <c r="T3" s="249">
        <v>5775</v>
      </c>
      <c r="U3" s="215">
        <v>1177.51</v>
      </c>
      <c r="V3" s="213">
        <v>1225.8699999999999</v>
      </c>
      <c r="W3" s="213">
        <v>764.51</v>
      </c>
      <c r="X3" s="250">
        <v>3972.48</v>
      </c>
      <c r="Y3" s="250">
        <v>3006</v>
      </c>
      <c r="Z3" s="216">
        <v>312</v>
      </c>
      <c r="AA3" s="101"/>
      <c r="AB3" s="177"/>
      <c r="AC3" s="217">
        <v>6645.7</v>
      </c>
      <c r="AD3" s="2"/>
    </row>
    <row r="4" spans="2:30" x14ac:dyDescent="0.25">
      <c r="L4" s="218">
        <v>1</v>
      </c>
      <c r="M4" s="218">
        <v>2</v>
      </c>
      <c r="N4" s="218">
        <v>3</v>
      </c>
      <c r="O4" s="218">
        <v>4</v>
      </c>
      <c r="P4" s="218">
        <v>5</v>
      </c>
      <c r="Q4" s="218">
        <v>6</v>
      </c>
      <c r="R4" s="218">
        <v>7</v>
      </c>
      <c r="S4" s="218">
        <v>8</v>
      </c>
      <c r="T4" s="218">
        <v>9</v>
      </c>
      <c r="U4" s="218">
        <v>10</v>
      </c>
      <c r="V4" s="218">
        <v>11</v>
      </c>
      <c r="W4" s="218">
        <v>13</v>
      </c>
      <c r="X4" s="218">
        <v>14</v>
      </c>
      <c r="Y4" s="218">
        <v>15</v>
      </c>
      <c r="Z4" s="218">
        <v>16</v>
      </c>
      <c r="AA4" s="201"/>
      <c r="AB4" s="219"/>
      <c r="AC4" s="220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19"/>
      <c r="AC5" s="220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3" si="0">H6/$I$34</f>
        <v>0</v>
      </c>
      <c r="K6" s="2">
        <f>H6/$H$39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>
        <f>J6*$P$3</f>
        <v>0</v>
      </c>
      <c r="Q6" s="221"/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>
        <f>J6*$Z$3</f>
        <v>0</v>
      </c>
      <c r="AA6" s="176"/>
      <c r="AB6" s="177">
        <f t="shared" ref="AB6:AB33" si="1">H6/$H$39</f>
        <v>0</v>
      </c>
      <c r="AC6" s="178">
        <f>AB6*$AC$3</f>
        <v>0</v>
      </c>
    </row>
    <row r="7" spans="2:30" x14ac:dyDescent="0.25">
      <c r="B7" s="1">
        <v>111</v>
      </c>
      <c r="C7" t="s">
        <v>20</v>
      </c>
      <c r="D7" s="2"/>
      <c r="H7" s="101">
        <v>45622.95</v>
      </c>
      <c r="J7" s="2">
        <f t="shared" si="0"/>
        <v>0.20763493748485334</v>
      </c>
      <c r="K7" s="2">
        <f t="shared" ref="K7:K34" si="2">H7/$I$36</f>
        <v>0.1895347049380153</v>
      </c>
      <c r="L7" s="240">
        <f t="shared" ref="L7:L33" si="3">J7*$L$3</f>
        <v>2737.697795978414</v>
      </c>
      <c r="M7" s="240">
        <f t="shared" ref="M7:M33" si="4">J7*$M$3</f>
        <v>640.2672459270434</v>
      </c>
      <c r="N7" s="240">
        <f t="shared" ref="N7:N33" si="5">J7*$N$3</f>
        <v>1144.2200790459058</v>
      </c>
      <c r="O7" s="240">
        <f t="shared" ref="O7:O33" si="6">J7*$O$3</f>
        <v>209.78811178657128</v>
      </c>
      <c r="P7" s="240">
        <f t="shared" ref="P7:P33" si="7">J7*$P$3</f>
        <v>384.47969009007778</v>
      </c>
      <c r="Q7" s="240"/>
      <c r="R7" s="240">
        <f>K7*$R$3</f>
        <v>261.27548610410349</v>
      </c>
      <c r="S7" s="240">
        <f>K7*$S$3</f>
        <v>527.42201412511395</v>
      </c>
      <c r="T7" s="240">
        <f>K7*$T$3</f>
        <v>1094.5629210170384</v>
      </c>
      <c r="U7" s="240">
        <f>K7*$U$3</f>
        <v>223.17901041156239</v>
      </c>
      <c r="V7" s="240">
        <f>K7*$V$3</f>
        <v>232.34490874236479</v>
      </c>
      <c r="W7" s="240">
        <f>K7*$W$3</f>
        <v>144.90117727216207</v>
      </c>
      <c r="X7" s="240">
        <f>K7*$X$3</f>
        <v>752.92282467216705</v>
      </c>
      <c r="Y7" s="240">
        <f>K7*$Y$3</f>
        <v>569.74132304367402</v>
      </c>
      <c r="Z7" s="240">
        <f>K7*$Z$3</f>
        <v>59.134827940660777</v>
      </c>
      <c r="AA7" s="176"/>
      <c r="AB7" s="177">
        <f t="shared" si="1"/>
        <v>0.13674351772882565</v>
      </c>
      <c r="AC7" s="178">
        <f t="shared" ref="AC7:AC33" si="8">AB7*$AC$3</f>
        <v>908.75639577045661</v>
      </c>
    </row>
    <row r="8" spans="2:30" x14ac:dyDescent="0.25">
      <c r="B8" s="1" t="s">
        <v>21</v>
      </c>
      <c r="C8" t="s">
        <v>22</v>
      </c>
      <c r="D8" s="2"/>
      <c r="H8" s="101">
        <v>2455.6999999999998</v>
      </c>
      <c r="J8" s="2">
        <f t="shared" si="0"/>
        <v>1.1176154018570791E-2</v>
      </c>
      <c r="K8" s="2">
        <f t="shared" si="2"/>
        <v>1.0201891261224541E-2</v>
      </c>
      <c r="L8" s="221">
        <f>J8*$L$3</f>
        <v>147.35926715795867</v>
      </c>
      <c r="M8" s="221">
        <f>J8*$M$3</f>
        <v>34.463012054745263</v>
      </c>
      <c r="N8" s="221">
        <f>J8*$N$3</f>
        <v>61.588767234758613</v>
      </c>
      <c r="O8" s="221">
        <f>J8*$O$3</f>
        <v>11.29205073574337</v>
      </c>
      <c r="P8" s="221">
        <f>J8*$P$3</f>
        <v>20.694996157727722</v>
      </c>
      <c r="Q8" s="221"/>
      <c r="R8" s="240">
        <f t="shared" ref="R8:R37" si="9">K8*$R$3</f>
        <v>14.063409122510642</v>
      </c>
      <c r="S8" s="240">
        <f t="shared" ref="S8:S37" si="10">K8*$S$3</f>
        <v>28.389006850434754</v>
      </c>
      <c r="T8" s="240">
        <f t="shared" ref="T8:T37" si="11">K8*$T$3</f>
        <v>58.915922033571725</v>
      </c>
      <c r="U8" s="240">
        <f t="shared" ref="U8:U37" si="12">K8*$U$3</f>
        <v>12.01282897900451</v>
      </c>
      <c r="V8" s="240">
        <f t="shared" ref="V8:V37" si="13">K8*$V$3</f>
        <v>12.506192440397328</v>
      </c>
      <c r="W8" s="240">
        <f t="shared" ref="W8:W37" si="14">K8*$W$3</f>
        <v>7.7994478881187739</v>
      </c>
      <c r="X8" s="240">
        <f t="shared" ref="X8:X37" si="15">K8*$X$3</f>
        <v>40.526808997389267</v>
      </c>
      <c r="Y8" s="240">
        <f t="shared" ref="Y8:Y37" si="16">K8*$Y$3</f>
        <v>30.666885131240971</v>
      </c>
      <c r="Z8" s="240">
        <f t="shared" ref="Z8:Z37" si="17">K8*$Z$3</f>
        <v>3.1829900735020571</v>
      </c>
      <c r="AA8" s="176"/>
      <c r="AB8" s="177">
        <f t="shared" si="1"/>
        <v>7.3603538676625937E-3</v>
      </c>
      <c r="AC8" s="178">
        <f>AB8*$AC$3</f>
        <v>48.914703698325297</v>
      </c>
    </row>
    <row r="9" spans="2:30" x14ac:dyDescent="0.25">
      <c r="B9" s="1" t="s">
        <v>23</v>
      </c>
      <c r="C9" t="s">
        <v>24</v>
      </c>
      <c r="D9" s="2"/>
      <c r="H9" s="101">
        <v>2988.46</v>
      </c>
      <c r="J9" s="2">
        <f t="shared" si="0"/>
        <v>1.3600801905093485E-2</v>
      </c>
      <c r="K9" s="2">
        <f t="shared" si="2"/>
        <v>1.2415174475106526E-2</v>
      </c>
      <c r="L9" s="221">
        <f>J9*$L$3</f>
        <v>179.32861323894338</v>
      </c>
      <c r="M9" s="221">
        <f>J9*$M$3</f>
        <v>41.93970477058437</v>
      </c>
      <c r="N9" s="221">
        <f>J9*$N$3</f>
        <v>74.950347082455821</v>
      </c>
      <c r="O9" s="221">
        <f>J9*$O$3</f>
        <v>13.741842220849305</v>
      </c>
      <c r="P9" s="221">
        <f>J9*$P$3</f>
        <v>25.184740895680658</v>
      </c>
      <c r="Q9" s="221"/>
      <c r="R9" s="240">
        <f t="shared" si="9"/>
        <v>17.114442165679097</v>
      </c>
      <c r="S9" s="240">
        <f t="shared" si="10"/>
        <v>34.547954315368429</v>
      </c>
      <c r="T9" s="240">
        <f t="shared" si="11"/>
        <v>71.697632593740195</v>
      </c>
      <c r="U9" s="240">
        <f t="shared" si="12"/>
        <v>14.618992096182685</v>
      </c>
      <c r="V9" s="240">
        <f t="shared" si="13"/>
        <v>15.219389933798837</v>
      </c>
      <c r="W9" s="240">
        <f t="shared" si="14"/>
        <v>9.4915250379636902</v>
      </c>
      <c r="X9" s="240">
        <f t="shared" si="15"/>
        <v>49.319032298871171</v>
      </c>
      <c r="Y9" s="240">
        <f t="shared" si="16"/>
        <v>37.320014472170222</v>
      </c>
      <c r="Z9" s="240">
        <f t="shared" si="17"/>
        <v>3.873534436233236</v>
      </c>
      <c r="AA9" s="176"/>
      <c r="AB9" s="177">
        <f t="shared" si="1"/>
        <v>8.9571703055564434E-3</v>
      </c>
      <c r="AC9" s="178">
        <f>AB9*$AC$3</f>
        <v>59.526666699636458</v>
      </c>
    </row>
    <row r="10" spans="2:30" x14ac:dyDescent="0.25">
      <c r="B10" s="1" t="s">
        <v>25</v>
      </c>
      <c r="C10" t="s">
        <v>26</v>
      </c>
      <c r="D10" s="2"/>
      <c r="H10" s="101">
        <v>471.09</v>
      </c>
      <c r="J10" s="2">
        <f t="shared" si="0"/>
        <v>2.1439811038027911E-3</v>
      </c>
      <c r="K10" s="2">
        <f t="shared" si="2"/>
        <v>1.957083094128057E-3</v>
      </c>
      <c r="L10" s="221">
        <f t="shared" si="3"/>
        <v>28.268712450805371</v>
      </c>
      <c r="M10" s="221">
        <f t="shared" si="4"/>
        <v>6.6112230113083621</v>
      </c>
      <c r="N10" s="221">
        <f t="shared" si="5"/>
        <v>11.814900988159154</v>
      </c>
      <c r="O10" s="221">
        <f t="shared" si="6"/>
        <v>2.166214187849226</v>
      </c>
      <c r="P10" s="221">
        <f t="shared" si="7"/>
        <v>3.9700312497226666</v>
      </c>
      <c r="Q10" s="221"/>
      <c r="R10" s="240">
        <f t="shared" si="9"/>
        <v>2.6978586160864677</v>
      </c>
      <c r="S10" s="240">
        <f t="shared" si="10"/>
        <v>5.4460142676920267</v>
      </c>
      <c r="T10" s="240">
        <f t="shared" si="11"/>
        <v>11.302154868589529</v>
      </c>
      <c r="U10" s="240">
        <f t="shared" si="12"/>
        <v>2.3044849141667285</v>
      </c>
      <c r="V10" s="240">
        <f t="shared" si="13"/>
        <v>2.399129452598761</v>
      </c>
      <c r="W10" s="240">
        <f t="shared" si="14"/>
        <v>1.4962095962918409</v>
      </c>
      <c r="X10" s="240">
        <f t="shared" si="15"/>
        <v>7.7744734497618238</v>
      </c>
      <c r="Y10" s="240">
        <f t="shared" si="16"/>
        <v>5.8829917809489389</v>
      </c>
      <c r="Z10" s="240">
        <f t="shared" si="17"/>
        <v>0.61060992536795378</v>
      </c>
      <c r="AA10" s="176"/>
      <c r="AB10" s="177">
        <f t="shared" si="1"/>
        <v>1.4119758535314458E-3</v>
      </c>
      <c r="AC10" s="178">
        <f t="shared" si="8"/>
        <v>9.3835679298139301</v>
      </c>
    </row>
    <row r="11" spans="2:30" ht="15.75" thickBot="1" x14ac:dyDescent="0.3">
      <c r="B11" s="1">
        <v>112</v>
      </c>
      <c r="C11" t="s">
        <v>27</v>
      </c>
      <c r="D11" s="2"/>
      <c r="H11" s="101">
        <v>42470.74</v>
      </c>
      <c r="J11" s="2">
        <f t="shared" si="0"/>
        <v>0.1932888917712568</v>
      </c>
      <c r="K11" s="2">
        <f t="shared" si="2"/>
        <v>0.17643925205185471</v>
      </c>
      <c r="L11" s="221">
        <f t="shared" si="3"/>
        <v>2548.5430313377865</v>
      </c>
      <c r="M11" s="221">
        <f t="shared" si="4"/>
        <v>596.0294924436829</v>
      </c>
      <c r="N11" s="221">
        <f t="shared" si="5"/>
        <v>1065.1628945506179</v>
      </c>
      <c r="O11" s="221">
        <f t="shared" si="6"/>
        <v>195.29329757892472</v>
      </c>
      <c r="P11" s="221">
        <f t="shared" si="7"/>
        <v>357.91497378175393</v>
      </c>
      <c r="Q11" s="221"/>
      <c r="R11" s="240">
        <f t="shared" si="9"/>
        <v>243.22327334600223</v>
      </c>
      <c r="S11" s="240">
        <f t="shared" si="10"/>
        <v>490.98103546973709</v>
      </c>
      <c r="T11" s="240">
        <f t="shared" si="11"/>
        <v>1018.9366805994609</v>
      </c>
      <c r="U11" s="240">
        <f t="shared" si="12"/>
        <v>207.75898368357943</v>
      </c>
      <c r="V11" s="240">
        <f t="shared" si="13"/>
        <v>216.29158591280711</v>
      </c>
      <c r="W11" s="240">
        <f t="shared" si="14"/>
        <v>134.88957258616344</v>
      </c>
      <c r="X11" s="240">
        <f t="shared" si="15"/>
        <v>700.90139999095175</v>
      </c>
      <c r="Y11" s="240">
        <f t="shared" si="16"/>
        <v>530.37639166787528</v>
      </c>
      <c r="Z11" s="240">
        <f t="shared" si="17"/>
        <v>55.049046640178666</v>
      </c>
      <c r="AA11" s="176"/>
      <c r="AB11" s="177">
        <f t="shared" si="1"/>
        <v>0.12729554726615322</v>
      </c>
      <c r="AC11" s="178">
        <f t="shared" si="8"/>
        <v>845.96801846667438</v>
      </c>
    </row>
    <row r="12" spans="2:30" ht="15.75" thickBot="1" x14ac:dyDescent="0.3">
      <c r="B12" s="1">
        <v>222</v>
      </c>
      <c r="C12" t="s">
        <v>29</v>
      </c>
      <c r="D12" s="2"/>
      <c r="H12" s="102">
        <v>3720.98</v>
      </c>
      <c r="J12" s="2">
        <f t="shared" si="0"/>
        <v>1.6934578971381502E-2</v>
      </c>
      <c r="K12" s="2">
        <f t="shared" si="2"/>
        <v>1.5458335034894856E-2</v>
      </c>
      <c r="L12" s="221">
        <f t="shared" si="3"/>
        <v>223.28496392451081</v>
      </c>
      <c r="M12" s="221">
        <f t="shared" si="4"/>
        <v>52.219806407731426</v>
      </c>
      <c r="N12" s="221">
        <f t="shared" si="5"/>
        <v>93.32189237496118</v>
      </c>
      <c r="O12" s="221">
        <f t="shared" si="6"/>
        <v>17.110190555314727</v>
      </c>
      <c r="P12" s="221">
        <f t="shared" si="7"/>
        <v>31.357929227096839</v>
      </c>
      <c r="Q12" s="221"/>
      <c r="R12" s="240">
        <f t="shared" si="9"/>
        <v>21.309469428952909</v>
      </c>
      <c r="S12" s="240">
        <f t="shared" si="10"/>
        <v>43.016218068302614</v>
      </c>
      <c r="T12" s="240">
        <f t="shared" si="11"/>
        <v>89.271884826517791</v>
      </c>
      <c r="U12" s="240">
        <f t="shared" si="12"/>
        <v>18.202344086939043</v>
      </c>
      <c r="V12" s="240">
        <f t="shared" si="13"/>
        <v>18.949909169226554</v>
      </c>
      <c r="W12" s="240">
        <f t="shared" si="14"/>
        <v>11.818051717527466</v>
      </c>
      <c r="X12" s="240">
        <f t="shared" si="15"/>
        <v>61.407926759419119</v>
      </c>
      <c r="Y12" s="240">
        <f t="shared" si="16"/>
        <v>46.46775511489394</v>
      </c>
      <c r="Z12" s="240">
        <f t="shared" si="17"/>
        <v>4.823000530887195</v>
      </c>
      <c r="AA12" s="176"/>
      <c r="AB12" s="177">
        <f t="shared" si="1"/>
        <v>1.1152717976338787E-2</v>
      </c>
      <c r="AC12" s="178">
        <f t="shared" si="8"/>
        <v>74.117617855354681</v>
      </c>
    </row>
    <row r="13" spans="2:30" ht="15.75" thickBot="1" x14ac:dyDescent="0.3">
      <c r="B13" s="1">
        <v>223</v>
      </c>
      <c r="C13" t="s">
        <v>30</v>
      </c>
      <c r="D13" s="2"/>
      <c r="H13" s="181">
        <v>14153.86</v>
      </c>
      <c r="I13" s="56"/>
      <c r="J13" s="99">
        <f t="shared" si="0"/>
        <v>6.4415734543017633E-2</v>
      </c>
      <c r="K13" s="99">
        <f t="shared" si="2"/>
        <v>5.8800399334851816E-2</v>
      </c>
      <c r="L13" s="252">
        <f t="shared" si="3"/>
        <v>849.33112230986887</v>
      </c>
      <c r="M13" s="252">
        <f t="shared" si="4"/>
        <v>198.63364735154002</v>
      </c>
      <c r="N13" s="252">
        <f t="shared" si="5"/>
        <v>354.97772081824354</v>
      </c>
      <c r="O13" s="252">
        <f t="shared" si="6"/>
        <v>65.08372571022872</v>
      </c>
      <c r="P13" s="252">
        <f t="shared" si="7"/>
        <v>119.27925981065118</v>
      </c>
      <c r="Q13" s="252"/>
      <c r="R13" s="252">
        <f t="shared" si="9"/>
        <v>81.056938487086583</v>
      </c>
      <c r="S13" s="252">
        <f t="shared" si="10"/>
        <v>163.62504723707883</v>
      </c>
      <c r="T13" s="252">
        <f t="shared" si="11"/>
        <v>339.57230615876927</v>
      </c>
      <c r="U13" s="252">
        <f t="shared" si="12"/>
        <v>69.238058220781355</v>
      </c>
      <c r="V13" s="252">
        <f t="shared" si="13"/>
        <v>72.081645532614786</v>
      </c>
      <c r="W13" s="252">
        <f t="shared" si="14"/>
        <v>44.953493295487561</v>
      </c>
      <c r="X13" s="252">
        <f t="shared" si="15"/>
        <v>233.58341034971215</v>
      </c>
      <c r="Y13" s="252">
        <f t="shared" si="16"/>
        <v>176.75400040056456</v>
      </c>
      <c r="Z13" s="252">
        <f t="shared" si="17"/>
        <v>18.345724592473765</v>
      </c>
      <c r="AA13" s="180"/>
      <c r="AB13" s="181">
        <f t="shared" si="1"/>
        <v>4.2422697476627802E-2</v>
      </c>
      <c r="AC13" s="182">
        <f t="shared" si="8"/>
        <v>281.92852062042539</v>
      </c>
    </row>
    <row r="14" spans="2:30" ht="15.75" thickBot="1" x14ac:dyDescent="0.3">
      <c r="B14" s="1">
        <v>566</v>
      </c>
      <c r="C14" t="s">
        <v>31</v>
      </c>
      <c r="D14" s="2"/>
      <c r="H14" s="101"/>
      <c r="I14" s="118"/>
      <c r="J14" s="2">
        <f t="shared" si="0"/>
        <v>0</v>
      </c>
      <c r="K14" s="2">
        <f t="shared" si="2"/>
        <v>0</v>
      </c>
      <c r="L14" s="221">
        <f t="shared" ref="L14:Q14" si="18">$J$36*L3</f>
        <v>0</v>
      </c>
      <c r="M14" s="221">
        <f t="shared" si="18"/>
        <v>0</v>
      </c>
      <c r="N14" s="221">
        <f t="shared" si="18"/>
        <v>0</v>
      </c>
      <c r="O14" s="221">
        <f t="shared" si="18"/>
        <v>0</v>
      </c>
      <c r="P14" s="221">
        <f t="shared" si="18"/>
        <v>0</v>
      </c>
      <c r="Q14" s="221">
        <f t="shared" si="18"/>
        <v>0</v>
      </c>
      <c r="R14" s="240">
        <f t="shared" si="9"/>
        <v>0</v>
      </c>
      <c r="S14" s="240">
        <f t="shared" si="10"/>
        <v>0</v>
      </c>
      <c r="T14" s="240">
        <f t="shared" si="11"/>
        <v>0</v>
      </c>
      <c r="U14" s="240">
        <f t="shared" si="12"/>
        <v>0</v>
      </c>
      <c r="V14" s="240">
        <f t="shared" si="13"/>
        <v>0</v>
      </c>
      <c r="W14" s="240">
        <f t="shared" si="14"/>
        <v>0</v>
      </c>
      <c r="X14" s="240">
        <f t="shared" si="15"/>
        <v>0</v>
      </c>
      <c r="Y14" s="240">
        <f t="shared" si="16"/>
        <v>0</v>
      </c>
      <c r="Z14" s="240">
        <f t="shared" si="17"/>
        <v>0</v>
      </c>
      <c r="AA14" s="221">
        <f>$J$36*AA3</f>
        <v>0</v>
      </c>
      <c r="AB14" s="226">
        <f t="shared" si="1"/>
        <v>0</v>
      </c>
      <c r="AC14" s="188">
        <f t="shared" si="8"/>
        <v>0</v>
      </c>
    </row>
    <row r="15" spans="2:30" x14ac:dyDescent="0.25">
      <c r="B15" s="1" t="s">
        <v>32</v>
      </c>
      <c r="C15" s="230" t="s">
        <v>73</v>
      </c>
      <c r="D15" s="231"/>
      <c r="E15" s="230"/>
      <c r="F15" s="230"/>
      <c r="G15" s="231"/>
      <c r="H15" s="231">
        <v>3966.92</v>
      </c>
      <c r="I15" s="231"/>
      <c r="J15" s="2">
        <f t="shared" si="0"/>
        <v>1.8053878282912755E-2</v>
      </c>
      <c r="K15" s="2">
        <f t="shared" si="2"/>
        <v>1.6480061278648393E-2</v>
      </c>
      <c r="L15" s="232">
        <f>J15*$L$3</f>
        <v>238.0430932419471</v>
      </c>
      <c r="M15" s="232">
        <f>J15*$M$3</f>
        <v>55.671300150755428</v>
      </c>
      <c r="N15" s="232">
        <f>J15*$N$3</f>
        <v>99.490048669995801</v>
      </c>
      <c r="O15" s="232">
        <f>J15*$O$3</f>
        <v>18.24109700070656</v>
      </c>
      <c r="P15" s="232">
        <f>J15*$P$3</f>
        <v>33.430546955252375</v>
      </c>
      <c r="Q15" s="232"/>
      <c r="R15" s="240">
        <f t="shared" si="9"/>
        <v>22.717929273229597</v>
      </c>
      <c r="S15" s="240">
        <f t="shared" si="10"/>
        <v>45.859396121320451</v>
      </c>
      <c r="T15" s="240">
        <f t="shared" si="11"/>
        <v>95.172353884194465</v>
      </c>
      <c r="U15" s="240">
        <f t="shared" si="12"/>
        <v>19.405436956221269</v>
      </c>
      <c r="V15" s="240">
        <f t="shared" si="13"/>
        <v>20.202412719656703</v>
      </c>
      <c r="W15" s="240">
        <f t="shared" si="14"/>
        <v>12.599171648139484</v>
      </c>
      <c r="X15" s="240">
        <f t="shared" si="15"/>
        <v>65.466713828205172</v>
      </c>
      <c r="Y15" s="240">
        <f t="shared" si="16"/>
        <v>49.539064203617073</v>
      </c>
      <c r="Z15" s="240">
        <f t="shared" si="17"/>
        <v>5.1417791189382989</v>
      </c>
      <c r="AA15" s="232"/>
      <c r="AB15" s="233">
        <f t="shared" si="1"/>
        <v>1.1889862346666164E-2</v>
      </c>
      <c r="AC15" s="217">
        <f>AB15*$AC$3</f>
        <v>79.016458197239317</v>
      </c>
    </row>
    <row r="16" spans="2:30" x14ac:dyDescent="0.25">
      <c r="B16" s="1" t="s">
        <v>33</v>
      </c>
      <c r="C16" s="230" t="s">
        <v>115</v>
      </c>
      <c r="D16" s="231"/>
      <c r="E16" s="230"/>
      <c r="F16" s="230"/>
      <c r="G16" s="231"/>
      <c r="H16" s="231">
        <v>5307.69</v>
      </c>
      <c r="I16" s="231"/>
      <c r="J16" s="2">
        <f t="shared" si="0"/>
        <v>2.4155866320327405E-2</v>
      </c>
      <c r="K16" s="2">
        <f t="shared" si="2"/>
        <v>2.2050118592779611E-2</v>
      </c>
      <c r="L16" s="232">
        <f t="shared" si="3"/>
        <v>318.4987208134649</v>
      </c>
      <c r="M16" s="232">
        <f t="shared" si="4"/>
        <v>74.487512502687991</v>
      </c>
      <c r="N16" s="232">
        <f t="shared" si="5"/>
        <v>133.11645720741782</v>
      </c>
      <c r="O16" s="232">
        <f t="shared" si="6"/>
        <v>24.406362654069202</v>
      </c>
      <c r="P16" s="232">
        <f t="shared" si="7"/>
        <v>44.72965922401346</v>
      </c>
      <c r="Q16" s="232"/>
      <c r="R16" s="240">
        <f t="shared" si="9"/>
        <v>30.39630898133262</v>
      </c>
      <c r="S16" s="240">
        <f t="shared" si="10"/>
        <v>61.359306010499672</v>
      </c>
      <c r="T16" s="240">
        <f t="shared" si="11"/>
        <v>127.33943487330225</v>
      </c>
      <c r="U16" s="240">
        <f t="shared" si="12"/>
        <v>25.96423514418392</v>
      </c>
      <c r="V16" s="240">
        <f t="shared" si="13"/>
        <v>27.03057887933074</v>
      </c>
      <c r="W16" s="240">
        <f t="shared" si="14"/>
        <v>16.857536165365939</v>
      </c>
      <c r="X16" s="240">
        <f t="shared" si="15"/>
        <v>87.593655107445144</v>
      </c>
      <c r="Y16" s="240">
        <f t="shared" si="16"/>
        <v>66.282656489895516</v>
      </c>
      <c r="Z16" s="240">
        <f t="shared" si="17"/>
        <v>6.8796370009472385</v>
      </c>
      <c r="AA16" s="232"/>
      <c r="AB16" s="233">
        <f t="shared" si="1"/>
        <v>1.5908489074338915E-2</v>
      </c>
      <c r="AC16" s="217">
        <f t="shared" si="8"/>
        <v>105.72304584133413</v>
      </c>
    </row>
    <row r="17" spans="2:29" x14ac:dyDescent="0.25">
      <c r="B17" s="1" t="s">
        <v>35</v>
      </c>
      <c r="C17" s="230" t="s">
        <v>36</v>
      </c>
      <c r="D17" s="231"/>
      <c r="E17" s="234"/>
      <c r="F17" s="234"/>
      <c r="G17" s="231"/>
      <c r="H17" s="231">
        <v>5802</v>
      </c>
      <c r="I17" s="235"/>
      <c r="J17" s="2">
        <f t="shared" si="0"/>
        <v>2.6405524133952737E-2</v>
      </c>
      <c r="K17" s="2">
        <f t="shared" si="2"/>
        <v>2.4103666204188131E-2</v>
      </c>
      <c r="L17" s="232">
        <f t="shared" si="3"/>
        <v>348.16079653478693</v>
      </c>
      <c r="M17" s="232">
        <f t="shared" si="4"/>
        <v>81.424602329939333</v>
      </c>
      <c r="N17" s="232">
        <f t="shared" si="5"/>
        <v>145.51371401069736</v>
      </c>
      <c r="O17" s="232">
        <f t="shared" si="6"/>
        <v>26.679349419221829</v>
      </c>
      <c r="P17" s="232">
        <f t="shared" si="7"/>
        <v>48.895373094081627</v>
      </c>
      <c r="Q17" s="232"/>
      <c r="R17" s="240">
        <f t="shared" si="9"/>
        <v>33.227144899135382</v>
      </c>
      <c r="S17" s="240">
        <f t="shared" si="10"/>
        <v>67.073754019718393</v>
      </c>
      <c r="T17" s="240">
        <f t="shared" si="11"/>
        <v>139.19867232918645</v>
      </c>
      <c r="U17" s="240">
        <f t="shared" si="12"/>
        <v>28.382307992093565</v>
      </c>
      <c r="V17" s="240">
        <f t="shared" si="13"/>
        <v>29.5479612897281</v>
      </c>
      <c r="W17" s="240">
        <f t="shared" si="14"/>
        <v>18.427493849763867</v>
      </c>
      <c r="X17" s="240">
        <f t="shared" si="15"/>
        <v>95.751331922813264</v>
      </c>
      <c r="Y17" s="240">
        <f t="shared" si="16"/>
        <v>72.45562060978952</v>
      </c>
      <c r="Z17" s="240">
        <f t="shared" si="17"/>
        <v>7.5203438557066971</v>
      </c>
      <c r="AA17" s="232"/>
      <c r="AB17" s="233">
        <f t="shared" si="1"/>
        <v>1.7390061139462627E-2</v>
      </c>
      <c r="AC17" s="217">
        <f t="shared" si="8"/>
        <v>115.56912931452678</v>
      </c>
    </row>
    <row r="18" spans="2:29" x14ac:dyDescent="0.25">
      <c r="B18" s="1" t="s">
        <v>37</v>
      </c>
      <c r="C18" s="230" t="s">
        <v>38</v>
      </c>
      <c r="D18" s="231"/>
      <c r="E18" s="230"/>
      <c r="F18" s="230"/>
      <c r="G18" s="231"/>
      <c r="H18" s="231">
        <v>3000</v>
      </c>
      <c r="I18" s="231"/>
      <c r="J18" s="2">
        <f t="shared" si="0"/>
        <v>1.3653321682498831E-2</v>
      </c>
      <c r="K18" s="2">
        <f t="shared" si="2"/>
        <v>1.2463115927708445E-2</v>
      </c>
      <c r="L18" s="232">
        <f t="shared" si="3"/>
        <v>180.02109438199946</v>
      </c>
      <c r="M18" s="232">
        <f t="shared" si="4"/>
        <v>42.101655806587047</v>
      </c>
      <c r="N18" s="232">
        <f t="shared" si="5"/>
        <v>75.239769395396777</v>
      </c>
      <c r="O18" s="232">
        <f t="shared" si="6"/>
        <v>13.794906628346345</v>
      </c>
      <c r="P18" s="232">
        <f t="shared" si="7"/>
        <v>25.281992292699911</v>
      </c>
      <c r="Q18" s="232"/>
      <c r="R18" s="240">
        <f t="shared" si="9"/>
        <v>17.180529937505369</v>
      </c>
      <c r="S18" s="240">
        <f t="shared" si="10"/>
        <v>34.681361954352845</v>
      </c>
      <c r="T18" s="240">
        <f t="shared" si="11"/>
        <v>71.974494482516263</v>
      </c>
      <c r="U18" s="240">
        <f t="shared" si="12"/>
        <v>14.675443636035972</v>
      </c>
      <c r="V18" s="240">
        <f t="shared" si="13"/>
        <v>15.278159922299951</v>
      </c>
      <c r="W18" s="240">
        <f t="shared" si="14"/>
        <v>9.5281767578923837</v>
      </c>
      <c r="X18" s="240">
        <f t="shared" si="15"/>
        <v>49.509478760503242</v>
      </c>
      <c r="Y18" s="240">
        <f t="shared" si="16"/>
        <v>37.464126478691583</v>
      </c>
      <c r="Z18" s="240">
        <f t="shared" si="17"/>
        <v>3.8884921694450347</v>
      </c>
      <c r="AA18" s="232"/>
      <c r="AB18" s="233">
        <f t="shared" si="1"/>
        <v>8.9917586036518237E-3</v>
      </c>
      <c r="AC18" s="217">
        <f t="shared" si="8"/>
        <v>59.756530152288924</v>
      </c>
    </row>
    <row r="19" spans="2:29" x14ac:dyDescent="0.25">
      <c r="B19" s="1">
        <v>335</v>
      </c>
      <c r="C19" s="230" t="s">
        <v>39</v>
      </c>
      <c r="D19" s="231"/>
      <c r="E19" s="230"/>
      <c r="F19" s="230"/>
      <c r="G19" s="231"/>
      <c r="H19" s="231">
        <v>4701.68</v>
      </c>
      <c r="I19" s="231"/>
      <c r="J19" s="2">
        <f t="shared" si="0"/>
        <v>2.1397849829390369E-2</v>
      </c>
      <c r="K19" s="2">
        <f t="shared" si="2"/>
        <v>1.9532527631662747E-2</v>
      </c>
      <c r="L19" s="232">
        <f t="shared" si="3"/>
        <v>282.13385967798644</v>
      </c>
      <c r="M19" s="232">
        <f t="shared" si="4"/>
        <v>65.982837690904731</v>
      </c>
      <c r="N19" s="232">
        <f t="shared" si="5"/>
        <v>117.91777299031638</v>
      </c>
      <c r="O19" s="232">
        <f t="shared" si="6"/>
        <v>21.619745532121147</v>
      </c>
      <c r="P19" s="232">
        <f t="shared" si="7"/>
        <v>39.622612507580442</v>
      </c>
      <c r="Q19" s="232"/>
      <c r="R19" s="240">
        <f t="shared" si="9"/>
        <v>26.925784665523413</v>
      </c>
      <c r="S19" s="240">
        <f t="shared" si="10"/>
        <v>54.353555291180555</v>
      </c>
      <c r="T19" s="240">
        <f t="shared" si="11"/>
        <v>112.80034707285236</v>
      </c>
      <c r="U19" s="240">
        <f t="shared" si="12"/>
        <v>22.9997466115592</v>
      </c>
      <c r="V19" s="240">
        <f t="shared" si="13"/>
        <v>23.944339647826411</v>
      </c>
      <c r="W19" s="240">
        <f t="shared" si="14"/>
        <v>14.932812699682486</v>
      </c>
      <c r="X19" s="240">
        <f t="shared" si="15"/>
        <v>77.592575366227635</v>
      </c>
      <c r="Y19" s="240">
        <f t="shared" si="16"/>
        <v>58.714778060778215</v>
      </c>
      <c r="Z19" s="240">
        <f t="shared" si="17"/>
        <v>6.0941486210787774</v>
      </c>
      <c r="AA19" s="232"/>
      <c r="AB19" s="233">
        <f t="shared" si="1"/>
        <v>1.4092123863872569E-2</v>
      </c>
      <c r="AC19" s="217">
        <f t="shared" si="8"/>
        <v>93.652027562137931</v>
      </c>
    </row>
    <row r="20" spans="2:29" ht="15.75" thickBot="1" x14ac:dyDescent="0.3">
      <c r="B20" s="1">
        <v>368</v>
      </c>
      <c r="C20" t="s">
        <v>40</v>
      </c>
      <c r="D20" s="2"/>
      <c r="H20" s="101">
        <v>3922.8</v>
      </c>
      <c r="J20" s="2">
        <f t="shared" si="0"/>
        <v>1.7853083432035472E-2</v>
      </c>
      <c r="K20" s="2">
        <f t="shared" si="2"/>
        <v>1.6296770387071561E-2</v>
      </c>
      <c r="L20" s="221">
        <f>J20*$L$3</f>
        <v>235.3955830139025</v>
      </c>
      <c r="M20" s="221">
        <f>J20*$M$3</f>
        <v>55.05212513269322</v>
      </c>
      <c r="N20" s="221">
        <f>J20*$N$3</f>
        <v>98.383522461420824</v>
      </c>
      <c r="O20" s="221">
        <f>J20*$O$3</f>
        <v>18.038219907225681</v>
      </c>
      <c r="P20" s="221">
        <f>J20*$P$3</f>
        <v>33.058733121934402</v>
      </c>
      <c r="Q20" s="221"/>
      <c r="R20" s="240">
        <f t="shared" si="9"/>
        <v>22.465260946282019</v>
      </c>
      <c r="S20" s="240">
        <f t="shared" si="10"/>
        <v>45.349348891511774</v>
      </c>
      <c r="T20" s="240">
        <f t="shared" si="11"/>
        <v>94.113848985338265</v>
      </c>
      <c r="U20" s="240">
        <f t="shared" si="12"/>
        <v>19.189610098480635</v>
      </c>
      <c r="V20" s="240">
        <f t="shared" si="13"/>
        <v>19.977721914399414</v>
      </c>
      <c r="W20" s="240">
        <f t="shared" si="14"/>
        <v>12.459043928620078</v>
      </c>
      <c r="X20" s="240">
        <f t="shared" si="15"/>
        <v>64.738594427234034</v>
      </c>
      <c r="Y20" s="240">
        <f t="shared" si="16"/>
        <v>48.988091783537115</v>
      </c>
      <c r="Z20" s="240">
        <f t="shared" si="17"/>
        <v>5.0845923607663268</v>
      </c>
      <c r="AA20" s="176"/>
      <c r="AB20" s="177">
        <f t="shared" si="1"/>
        <v>1.1757623550135125E-2</v>
      </c>
      <c r="AC20" s="178">
        <f>AB20*$AC$3</f>
        <v>78.137638827133003</v>
      </c>
    </row>
    <row r="21" spans="2:29" ht="15.75" thickBot="1" x14ac:dyDescent="0.3">
      <c r="B21" s="1">
        <v>451</v>
      </c>
      <c r="C21" t="s">
        <v>41</v>
      </c>
      <c r="D21" s="2"/>
      <c r="H21" s="102">
        <v>23500.57</v>
      </c>
      <c r="I21" s="31"/>
      <c r="J21" s="2">
        <f t="shared" si="0"/>
        <v>0.10695361397736051</v>
      </c>
      <c r="K21" s="2">
        <f t="shared" si="2"/>
        <v>9.7630109425742406E-2</v>
      </c>
      <c r="L21" s="179">
        <f t="shared" si="3"/>
        <v>1410.1994433335949</v>
      </c>
      <c r="M21" s="179">
        <f t="shared" si="4"/>
        <v>329.80430313286843</v>
      </c>
      <c r="N21" s="179">
        <f t="shared" si="5"/>
        <v>589.39248915345991</v>
      </c>
      <c r="O21" s="179">
        <f t="shared" si="6"/>
        <v>108.06272295430574</v>
      </c>
      <c r="P21" s="179">
        <f t="shared" si="7"/>
        <v>198.04707653801825</v>
      </c>
      <c r="Q21" s="179"/>
      <c r="R21" s="251">
        <f t="shared" si="9"/>
        <v>134.58408214448016</v>
      </c>
      <c r="S21" s="251">
        <f t="shared" si="10"/>
        <v>271.67725810120191</v>
      </c>
      <c r="T21" s="251">
        <f t="shared" si="11"/>
        <v>563.8138819336624</v>
      </c>
      <c r="U21" s="251">
        <f t="shared" si="12"/>
        <v>114.96043014990595</v>
      </c>
      <c r="V21" s="251">
        <f t="shared" si="13"/>
        <v>119.68182224173484</v>
      </c>
      <c r="W21" s="251">
        <f t="shared" si="14"/>
        <v>74.639194957074324</v>
      </c>
      <c r="X21" s="251">
        <f t="shared" si="15"/>
        <v>387.83365709157317</v>
      </c>
      <c r="Y21" s="251">
        <f t="shared" si="16"/>
        <v>293.47610893378169</v>
      </c>
      <c r="Z21" s="251">
        <f t="shared" si="17"/>
        <v>30.460594140831631</v>
      </c>
      <c r="AA21" s="179"/>
      <c r="AB21" s="177">
        <f t="shared" si="1"/>
        <v>7.0437150829407311E-2</v>
      </c>
      <c r="AC21" s="178">
        <f t="shared" si="8"/>
        <v>468.10417326699218</v>
      </c>
    </row>
    <row r="22" spans="2:29" x14ac:dyDescent="0.25">
      <c r="B22" s="1">
        <v>467</v>
      </c>
      <c r="C22" t="s">
        <v>44</v>
      </c>
      <c r="D22" s="2"/>
      <c r="H22" s="101">
        <v>6769.25</v>
      </c>
      <c r="J22" s="2">
        <f t="shared" si="0"/>
        <v>3.0807582599751738E-2</v>
      </c>
      <c r="K22" s="2">
        <f t="shared" si="2"/>
        <v>2.812198249788013E-2</v>
      </c>
      <c r="L22" s="221">
        <f>J22*$L$3</f>
        <v>406.20259771511661</v>
      </c>
      <c r="M22" s="221">
        <f>J22*$M$3</f>
        <v>94.998877856246452</v>
      </c>
      <c r="N22" s="221">
        <f>J22*$N$3</f>
        <v>169.77226965992989</v>
      </c>
      <c r="O22" s="221">
        <f>J22*$O$3</f>
        <v>31.127057231311163</v>
      </c>
      <c r="P22" s="221">
        <f>J22*$P$3</f>
        <v>57.046708775786293</v>
      </c>
      <c r="Q22" s="221"/>
      <c r="R22" s="240">
        <f t="shared" si="9"/>
        <v>38.766434093152739</v>
      </c>
      <c r="S22" s="240">
        <f t="shared" si="10"/>
        <v>78.255603136500994</v>
      </c>
      <c r="T22" s="240">
        <f t="shared" si="11"/>
        <v>162.40444892525775</v>
      </c>
      <c r="U22" s="240">
        <f t="shared" si="12"/>
        <v>33.113915611078831</v>
      </c>
      <c r="V22" s="240">
        <f t="shared" si="13"/>
        <v>34.47389468467631</v>
      </c>
      <c r="W22" s="240">
        <f t="shared" si="14"/>
        <v>21.499536839454336</v>
      </c>
      <c r="X22" s="240">
        <f t="shared" si="15"/>
        <v>111.71401303317886</v>
      </c>
      <c r="Y22" s="240">
        <f t="shared" si="16"/>
        <v>84.534679388627666</v>
      </c>
      <c r="Z22" s="240">
        <f t="shared" si="17"/>
        <v>8.7740585393386006</v>
      </c>
      <c r="AA22" s="176"/>
      <c r="AB22" s="177">
        <f t="shared" si="1"/>
        <v>2.0289153975923367E-2</v>
      </c>
      <c r="AC22" s="178">
        <f>AB22*$AC$3</f>
        <v>134.83563057779392</v>
      </c>
    </row>
    <row r="23" spans="2:29" x14ac:dyDescent="0.25">
      <c r="B23" s="1">
        <v>468</v>
      </c>
      <c r="C23" t="s">
        <v>45</v>
      </c>
      <c r="D23" s="2"/>
      <c r="H23" s="101">
        <v>4730.78</v>
      </c>
      <c r="J23" s="2">
        <f t="shared" si="0"/>
        <v>2.1530287049710606E-2</v>
      </c>
      <c r="K23" s="2">
        <f t="shared" si="2"/>
        <v>1.9653419856161519E-2</v>
      </c>
      <c r="L23" s="221">
        <f>J23*$L$3</f>
        <v>283.88006429349178</v>
      </c>
      <c r="M23" s="221">
        <f>J23*$M$3</f>
        <v>66.391223752228612</v>
      </c>
      <c r="N23" s="221">
        <f>J23*$N$3</f>
        <v>118.64759875345172</v>
      </c>
      <c r="O23" s="221">
        <f>J23*$O$3</f>
        <v>21.753556126416104</v>
      </c>
      <c r="P23" s="221">
        <f>J23*$P$3</f>
        <v>39.867847832819628</v>
      </c>
      <c r="Q23" s="221"/>
      <c r="R23" s="240">
        <f t="shared" si="9"/>
        <v>27.092435805917216</v>
      </c>
      <c r="S23" s="240">
        <f t="shared" si="10"/>
        <v>54.689964502137776</v>
      </c>
      <c r="T23" s="240">
        <f t="shared" si="11"/>
        <v>113.49849966933277</v>
      </c>
      <c r="U23" s="240">
        <f t="shared" si="12"/>
        <v>23.142098414828748</v>
      </c>
      <c r="V23" s="240">
        <f t="shared" si="13"/>
        <v>24.092537799072719</v>
      </c>
      <c r="W23" s="240">
        <f t="shared" si="14"/>
        <v>15.025236014234043</v>
      </c>
      <c r="X23" s="240">
        <f t="shared" si="15"/>
        <v>78.072817310204513</v>
      </c>
      <c r="Y23" s="240">
        <f t="shared" si="16"/>
        <v>59.078180087621526</v>
      </c>
      <c r="Z23" s="240">
        <f t="shared" si="17"/>
        <v>6.1318669951223939</v>
      </c>
      <c r="AA23" s="176"/>
      <c r="AB23" s="177">
        <f t="shared" si="1"/>
        <v>1.4179343922327991E-2</v>
      </c>
      <c r="AC23" s="178">
        <f>AB23*$AC$3</f>
        <v>94.231665904615127</v>
      </c>
    </row>
    <row r="24" spans="2:29" x14ac:dyDescent="0.25">
      <c r="B24" s="1">
        <v>502</v>
      </c>
      <c r="C24" t="s">
        <v>46</v>
      </c>
      <c r="D24" s="2"/>
      <c r="H24" s="101">
        <v>1026</v>
      </c>
      <c r="J24" s="2">
        <f t="shared" si="0"/>
        <v>4.6694360154146001E-3</v>
      </c>
      <c r="K24" s="2">
        <f t="shared" si="2"/>
        <v>4.2623856472762877E-3</v>
      </c>
      <c r="L24" s="221">
        <f t="shared" si="3"/>
        <v>61.56721427864381</v>
      </c>
      <c r="M24" s="221">
        <f t="shared" si="4"/>
        <v>14.398766285852769</v>
      </c>
      <c r="N24" s="221">
        <f t="shared" si="5"/>
        <v>25.732001133225697</v>
      </c>
      <c r="O24" s="221">
        <f t="shared" si="6"/>
        <v>4.7178580668944496</v>
      </c>
      <c r="P24" s="221">
        <f t="shared" si="7"/>
        <v>8.6464413641033691</v>
      </c>
      <c r="Q24" s="221"/>
      <c r="R24" s="240">
        <f t="shared" si="9"/>
        <v>5.8757412386268353</v>
      </c>
      <c r="S24" s="240">
        <f t="shared" si="10"/>
        <v>11.861025788388671</v>
      </c>
      <c r="T24" s="240">
        <f t="shared" si="11"/>
        <v>24.615277113020561</v>
      </c>
      <c r="U24" s="240">
        <f t="shared" si="12"/>
        <v>5.0190017235243012</v>
      </c>
      <c r="V24" s="240">
        <f t="shared" si="13"/>
        <v>5.225130693426582</v>
      </c>
      <c r="W24" s="240">
        <f t="shared" si="14"/>
        <v>3.2586364511991945</v>
      </c>
      <c r="X24" s="240">
        <f t="shared" si="15"/>
        <v>16.932241736092106</v>
      </c>
      <c r="Y24" s="240">
        <f t="shared" si="16"/>
        <v>12.812731255712521</v>
      </c>
      <c r="Z24" s="240">
        <f t="shared" si="17"/>
        <v>1.3298643219502018</v>
      </c>
      <c r="AA24" s="176"/>
      <c r="AB24" s="177">
        <f t="shared" si="1"/>
        <v>3.0751814424489236E-3</v>
      </c>
      <c r="AC24" s="178">
        <f t="shared" si="8"/>
        <v>20.436733312082811</v>
      </c>
    </row>
    <row r="25" spans="2:29" x14ac:dyDescent="0.25">
      <c r="B25" s="1">
        <v>515</v>
      </c>
      <c r="C25" t="s">
        <v>47</v>
      </c>
      <c r="D25" s="2"/>
      <c r="H25" s="101">
        <v>3702.93</v>
      </c>
      <c r="J25" s="2">
        <f t="shared" si="0"/>
        <v>1.6852431485925131E-2</v>
      </c>
      <c r="K25" s="2">
        <f t="shared" si="2"/>
        <v>1.5383348620729809E-2</v>
      </c>
      <c r="L25" s="221">
        <f>J25*$L$3</f>
        <v>222.20183700664575</v>
      </c>
      <c r="M25" s="221">
        <f>J25*$M$3</f>
        <v>51.966494778628451</v>
      </c>
      <c r="N25" s="221">
        <f>J25*$N$3</f>
        <v>92.869199762432189</v>
      </c>
      <c r="O25" s="221">
        <f>J25*$O$3</f>
        <v>17.027191200434174</v>
      </c>
      <c r="P25" s="221">
        <f>J25*$P$3</f>
        <v>31.205815906802425</v>
      </c>
      <c r="Q25" s="221"/>
      <c r="R25" s="240">
        <f>K25*$R$3</f>
        <v>21.206099907162251</v>
      </c>
      <c r="S25" s="240">
        <f>K25*$S$3</f>
        <v>42.807551873877252</v>
      </c>
      <c r="T25" s="240">
        <f>K25*$T$3</f>
        <v>88.838838284714654</v>
      </c>
      <c r="U25" s="240">
        <f>K25*$U$3</f>
        <v>18.114046834395559</v>
      </c>
      <c r="V25" s="240">
        <f>K25*$V$3</f>
        <v>18.857985573694048</v>
      </c>
      <c r="W25" s="240">
        <f>K25*$W$3</f>
        <v>11.760723854034147</v>
      </c>
      <c r="X25" s="240">
        <f>K25*$X$3</f>
        <v>61.110044728876751</v>
      </c>
      <c r="Y25" s="240">
        <f>K25*$Y$3</f>
        <v>46.242345953913805</v>
      </c>
      <c r="Z25" s="240">
        <f>K25*$Z$3</f>
        <v>4.7996047696677007</v>
      </c>
      <c r="AA25" s="176"/>
      <c r="AB25" s="177">
        <f t="shared" si="1"/>
        <v>1.1098617562073481E-2</v>
      </c>
      <c r="AC25" s="178">
        <f>AB25*$AC$3</f>
        <v>73.758082732271731</v>
      </c>
    </row>
    <row r="26" spans="2:29" x14ac:dyDescent="0.25">
      <c r="B26" s="1">
        <v>525</v>
      </c>
      <c r="C26" t="s">
        <v>48</v>
      </c>
      <c r="D26" s="2"/>
      <c r="H26" s="101">
        <v>1038.47</v>
      </c>
      <c r="J26" s="2">
        <f t="shared" si="0"/>
        <v>4.7261883225415205E-3</v>
      </c>
      <c r="K26" s="2">
        <f t="shared" si="2"/>
        <v>4.3141906658157965E-3</v>
      </c>
      <c r="L26" s="221">
        <f>J26*$L$3</f>
        <v>62.315501960958329</v>
      </c>
      <c r="M26" s="221">
        <f>J26*$M$3</f>
        <v>14.573768835155484</v>
      </c>
      <c r="N26" s="221">
        <f>J26*$N$3</f>
        <v>26.04474777467923</v>
      </c>
      <c r="O26" s="221">
        <f>J26*$O$3</f>
        <v>4.7751988954462758</v>
      </c>
      <c r="P26" s="221">
        <f>J26*$P$3</f>
        <v>8.7515301787333595</v>
      </c>
      <c r="Q26" s="221"/>
      <c r="R26" s="240">
        <f>K26*$R$3</f>
        <v>5.9471549747337331</v>
      </c>
      <c r="S26" s="240">
        <f>K26*$S$3</f>
        <v>12.005184649578933</v>
      </c>
      <c r="T26" s="240">
        <f>K26*$T$3</f>
        <v>24.914451095086225</v>
      </c>
      <c r="U26" s="240">
        <f>K26*$U$3</f>
        <v>5.0800026509047589</v>
      </c>
      <c r="V26" s="240">
        <f>K26*$V$3</f>
        <v>5.2886369115036098</v>
      </c>
      <c r="W26" s="240">
        <f>K26*$W$3</f>
        <v>3.2982419059228345</v>
      </c>
      <c r="X26" s="240">
        <f>K26*$X$3</f>
        <v>17.138036136139934</v>
      </c>
      <c r="Y26" s="240">
        <f>K26*$Y$3</f>
        <v>12.968457141442284</v>
      </c>
      <c r="Z26" s="240">
        <f>K26*$Z$3</f>
        <v>1.3460274877345284</v>
      </c>
      <c r="AA26" s="176"/>
      <c r="AB26" s="177">
        <f t="shared" si="1"/>
        <v>3.1125571857114364E-3</v>
      </c>
      <c r="AC26" s="178">
        <f>AB26*$AC$3</f>
        <v>20.685121289082492</v>
      </c>
    </row>
    <row r="27" spans="2:29" x14ac:dyDescent="0.25">
      <c r="B27" s="1">
        <v>560</v>
      </c>
      <c r="C27" t="s">
        <v>49</v>
      </c>
      <c r="D27" s="2"/>
      <c r="H27" s="255">
        <v>2076.92</v>
      </c>
      <c r="I27" s="256"/>
      <c r="J27" s="256">
        <f t="shared" si="0"/>
        <v>9.4522856229384902E-3</v>
      </c>
      <c r="K27" s="256">
        <f t="shared" si="2"/>
        <v>8.6282982441920741E-3</v>
      </c>
      <c r="L27" s="257">
        <f>J27*$L$3</f>
        <v>124.62980378128744</v>
      </c>
      <c r="M27" s="257">
        <f>J27*$M$3</f>
        <v>29.147256992605588</v>
      </c>
      <c r="N27" s="257">
        <f>J27*$N$3</f>
        <v>52.088993950895819</v>
      </c>
      <c r="O27" s="257">
        <f>J27*$O$3</f>
        <v>9.5503058248483619</v>
      </c>
      <c r="P27" s="257">
        <f>J27*$P$3</f>
        <v>17.50289181085143</v>
      </c>
      <c r="Q27" s="257"/>
      <c r="R27" s="258">
        <f t="shared" si="9"/>
        <v>11.894195412601215</v>
      </c>
      <c r="S27" s="258">
        <f t="shared" si="10"/>
        <v>24.010138090078165</v>
      </c>
      <c r="T27" s="258">
        <f t="shared" si="11"/>
        <v>49.828422360209231</v>
      </c>
      <c r="U27" s="258">
        <f t="shared" si="12"/>
        <v>10.159907465518609</v>
      </c>
      <c r="V27" s="258">
        <f t="shared" si="13"/>
        <v>10.577171968607736</v>
      </c>
      <c r="W27" s="258">
        <f t="shared" si="14"/>
        <v>6.5964202906672824</v>
      </c>
      <c r="X27" s="258">
        <f t="shared" si="15"/>
        <v>34.275742209088129</v>
      </c>
      <c r="Y27" s="258">
        <f t="shared" si="16"/>
        <v>25.936664522041376</v>
      </c>
      <c r="Z27" s="258">
        <f t="shared" si="17"/>
        <v>2.6920290521879271</v>
      </c>
      <c r="AA27" s="257"/>
      <c r="AB27" s="259">
        <f t="shared" si="1"/>
        <v>6.2250544263655156E-3</v>
      </c>
      <c r="AC27" s="260">
        <f>AB27*$AC$3</f>
        <v>41.369844201297305</v>
      </c>
    </row>
    <row r="28" spans="2:29" x14ac:dyDescent="0.25">
      <c r="B28" s="1">
        <v>564</v>
      </c>
      <c r="C28" t="s">
        <v>67</v>
      </c>
      <c r="D28" s="2"/>
      <c r="H28" s="253">
        <v>7038.47</v>
      </c>
      <c r="I28" s="99"/>
      <c r="J28" s="99">
        <f t="shared" si="0"/>
        <v>3.2032831687539183E-2</v>
      </c>
      <c r="K28" s="99">
        <f t="shared" si="2"/>
        <v>2.9240422521232688E-2</v>
      </c>
      <c r="L28" s="183">
        <f>J28*$L$3</f>
        <v>422.35769072495725</v>
      </c>
      <c r="M28" s="183">
        <f>J28*$M$3</f>
        <v>98.777080448329571</v>
      </c>
      <c r="N28" s="183">
        <f>J28*$N$3</f>
        <v>176.52428656547278</v>
      </c>
      <c r="O28" s="183">
        <f>J28*$O$3</f>
        <v>32.365012152138966</v>
      </c>
      <c r="P28" s="183">
        <f>J28*$P$3</f>
        <v>59.315514764133184</v>
      </c>
      <c r="Q28" s="183"/>
      <c r="R28" s="252">
        <f t="shared" si="9"/>
        <v>40.308214849744473</v>
      </c>
      <c r="S28" s="252">
        <f t="shared" si="10"/>
        <v>81.367908558284611</v>
      </c>
      <c r="T28" s="252">
        <f t="shared" si="11"/>
        <v>168.86344006011876</v>
      </c>
      <c r="U28" s="252">
        <f t="shared" si="12"/>
        <v>34.430889922976704</v>
      </c>
      <c r="V28" s="252">
        <f t="shared" si="13"/>
        <v>35.844956756103514</v>
      </c>
      <c r="W28" s="252">
        <f t="shared" si="14"/>
        <v>22.3545954217076</v>
      </c>
      <c r="X28" s="252">
        <f t="shared" si="15"/>
        <v>116.15699365714643</v>
      </c>
      <c r="Y28" s="252">
        <f t="shared" si="16"/>
        <v>87.896710098825466</v>
      </c>
      <c r="Z28" s="252">
        <f t="shared" si="17"/>
        <v>9.1230118266245981</v>
      </c>
      <c r="AA28" s="183"/>
      <c r="AB28" s="184">
        <f t="shared" si="1"/>
        <v>2.1096074393015085E-2</v>
      </c>
      <c r="AC28" s="254">
        <f>AB28*$AC$3</f>
        <v>140.19818159366034</v>
      </c>
    </row>
    <row r="29" spans="2:29" x14ac:dyDescent="0.25">
      <c r="B29" s="1">
        <v>567</v>
      </c>
      <c r="C29" t="s">
        <v>52</v>
      </c>
      <c r="D29" s="2"/>
      <c r="H29" s="101">
        <v>692.31</v>
      </c>
      <c r="J29" s="2">
        <f t="shared" si="0"/>
        <v>3.1507770446702549E-3</v>
      </c>
      <c r="K29" s="2">
        <f t="shared" si="2"/>
        <v>2.8761132626372774E-3</v>
      </c>
      <c r="L29" s="221">
        <f>J29*$L$3</f>
        <v>41.543467950534009</v>
      </c>
      <c r="M29" s="221">
        <f>J29*$M$3</f>
        <v>9.7157991104860919</v>
      </c>
      <c r="N29" s="221">
        <f>J29*$N$3</f>
        <v>17.363081583375713</v>
      </c>
      <c r="O29" s="221">
        <f>J29*$O$3</f>
        <v>3.1834506026234854</v>
      </c>
      <c r="P29" s="221">
        <f>J29*$P$3</f>
        <v>5.8343253613863579</v>
      </c>
      <c r="Q29" s="221"/>
      <c r="R29" s="240">
        <f t="shared" si="9"/>
        <v>3.9647508936781133</v>
      </c>
      <c r="S29" s="240">
        <f t="shared" si="10"/>
        <v>8.0034178982060045</v>
      </c>
      <c r="T29" s="240">
        <f t="shared" si="11"/>
        <v>16.609554091730278</v>
      </c>
      <c r="U29" s="240">
        <f t="shared" si="12"/>
        <v>3.3866521278880204</v>
      </c>
      <c r="V29" s="240">
        <f t="shared" si="13"/>
        <v>3.5257409652691591</v>
      </c>
      <c r="W29" s="240">
        <f t="shared" si="14"/>
        <v>2.1988173504188251</v>
      </c>
      <c r="X29" s="240">
        <f t="shared" si="15"/>
        <v>11.425302413561331</v>
      </c>
      <c r="Y29" s="240">
        <f t="shared" si="16"/>
        <v>8.6455964674876551</v>
      </c>
      <c r="Z29" s="240">
        <f t="shared" si="17"/>
        <v>0.8973473379428305</v>
      </c>
      <c r="AA29" s="176"/>
      <c r="AB29" s="177">
        <f t="shared" si="1"/>
        <v>2.0750281329647313E-3</v>
      </c>
      <c r="AC29" s="178">
        <f>AB29*$AC$3</f>
        <v>13.790014463243715</v>
      </c>
    </row>
    <row r="30" spans="2:29" x14ac:dyDescent="0.25">
      <c r="B30" s="1">
        <v>610</v>
      </c>
      <c r="C30" t="s">
        <v>53</v>
      </c>
      <c r="D30" s="2"/>
      <c r="H30" s="101">
        <v>18071.54</v>
      </c>
      <c r="J30" s="2">
        <f t="shared" si="0"/>
        <v>8.2245516306048316E-2</v>
      </c>
      <c r="K30" s="2">
        <f t="shared" si="2"/>
        <v>7.5075899337406757E-2</v>
      </c>
      <c r="L30" s="221">
        <f t="shared" si="3"/>
        <v>1084.419469322693</v>
      </c>
      <c r="M30" s="221">
        <f t="shared" si="4"/>
        <v>253.6139189916567</v>
      </c>
      <c r="N30" s="221">
        <f t="shared" si="5"/>
        <v>453.23283407322958</v>
      </c>
      <c r="O30" s="221">
        <f t="shared" si="6"/>
        <v>83.098402310142035</v>
      </c>
      <c r="P30" s="221">
        <f t="shared" si="7"/>
        <v>152.29484499907272</v>
      </c>
      <c r="Q30" s="221"/>
      <c r="R30" s="240">
        <f t="shared" si="9"/>
        <v>103.49287799560859</v>
      </c>
      <c r="S30" s="240">
        <f t="shared" si="10"/>
        <v>208.91520660418851</v>
      </c>
      <c r="T30" s="240">
        <f t="shared" si="11"/>
        <v>433.56331867352401</v>
      </c>
      <c r="U30" s="240">
        <f t="shared" si="12"/>
        <v>88.402622228789824</v>
      </c>
      <c r="V30" s="240">
        <f t="shared" si="13"/>
        <v>92.033292720746815</v>
      </c>
      <c r="W30" s="240">
        <f t="shared" si="14"/>
        <v>57.39627580244084</v>
      </c>
      <c r="X30" s="240">
        <f t="shared" si="15"/>
        <v>298.2375085998616</v>
      </c>
      <c r="Y30" s="240">
        <f t="shared" si="16"/>
        <v>225.67815340824473</v>
      </c>
      <c r="Z30" s="240">
        <f t="shared" si="17"/>
        <v>23.423680593270909</v>
      </c>
      <c r="AA30" s="176"/>
      <c r="AB30" s="177">
        <f t="shared" si="1"/>
        <v>5.4164975092079362E-2</v>
      </c>
      <c r="AC30" s="178">
        <f t="shared" si="8"/>
        <v>359.96417496943178</v>
      </c>
    </row>
    <row r="31" spans="2:29" x14ac:dyDescent="0.25">
      <c r="B31" s="1">
        <v>620</v>
      </c>
      <c r="C31" t="s">
        <v>54</v>
      </c>
      <c r="D31" s="2"/>
      <c r="H31" s="101">
        <v>10153.85</v>
      </c>
      <c r="J31" s="2">
        <f t="shared" si="0"/>
        <v>4.6211260121946922E-2</v>
      </c>
      <c r="K31" s="2">
        <f t="shared" si="2"/>
        <v>4.2182869887520798E-2</v>
      </c>
      <c r="L31" s="221">
        <f t="shared" si="3"/>
        <v>609.30239639688841</v>
      </c>
      <c r="M31" s="221">
        <f t="shared" si="4"/>
        <v>142.49796593723795</v>
      </c>
      <c r="N31" s="221">
        <f t="shared" si="5"/>
        <v>254.65777749181655</v>
      </c>
      <c r="O31" s="221">
        <f t="shared" si="6"/>
        <v>46.690470889411515</v>
      </c>
      <c r="P31" s="221">
        <f t="shared" si="7"/>
        <v>85.569852480410333</v>
      </c>
      <c r="Q31" s="221"/>
      <c r="R31" s="240">
        <f t="shared" si="9"/>
        <v>58.149507968646297</v>
      </c>
      <c r="S31" s="240">
        <f t="shared" si="10"/>
        <v>117.38311569340186</v>
      </c>
      <c r="T31" s="240">
        <f t="shared" si="11"/>
        <v>243.60607360043261</v>
      </c>
      <c r="U31" s="240">
        <f t="shared" si="12"/>
        <v>49.670751121254611</v>
      </c>
      <c r="V31" s="240">
        <f t="shared" si="13"/>
        <v>51.710714709015114</v>
      </c>
      <c r="W31" s="240">
        <f t="shared" si="14"/>
        <v>32.249225857708524</v>
      </c>
      <c r="X31" s="240">
        <f t="shared" si="15"/>
        <v>167.57060697077861</v>
      </c>
      <c r="Y31" s="240">
        <f t="shared" si="16"/>
        <v>126.80170688188751</v>
      </c>
      <c r="Z31" s="240">
        <f t="shared" si="17"/>
        <v>13.161055404906488</v>
      </c>
      <c r="AA31" s="176"/>
      <c r="AB31" s="177">
        <f t="shared" si="1"/>
        <v>3.0433656032563358E-2</v>
      </c>
      <c r="AC31" s="178">
        <f t="shared" si="8"/>
        <v>202.2529478956063</v>
      </c>
    </row>
    <row r="32" spans="2:29" x14ac:dyDescent="0.25">
      <c r="B32" s="1">
        <v>630</v>
      </c>
      <c r="C32" t="s">
        <v>55</v>
      </c>
      <c r="D32" s="2"/>
      <c r="H32" s="101">
        <v>1892.31</v>
      </c>
      <c r="J32" s="2">
        <f t="shared" si="0"/>
        <v>8.6121057176697866E-3</v>
      </c>
      <c r="K32" s="2">
        <f t="shared" si="2"/>
        <v>7.8613596337206559E-3</v>
      </c>
      <c r="L32" s="221">
        <f t="shared" si="3"/>
        <v>113.55190570333379</v>
      </c>
      <c r="M32" s="221">
        <f t="shared" si="4"/>
        <v>26.556461433120905</v>
      </c>
      <c r="N32" s="221">
        <f t="shared" si="5"/>
        <v>47.458989341534419</v>
      </c>
      <c r="O32" s="221">
        <f t="shared" si="6"/>
        <v>8.7014132539620217</v>
      </c>
      <c r="P32" s="221">
        <f t="shared" si="7"/>
        <v>15.94712227846632</v>
      </c>
      <c r="Q32" s="221"/>
      <c r="R32" s="240">
        <f t="shared" si="9"/>
        <v>10.836962868680262</v>
      </c>
      <c r="S32" s="240">
        <f t="shared" si="10"/>
        <v>21.875962679947143</v>
      </c>
      <c r="T32" s="240">
        <f t="shared" si="11"/>
        <v>45.399351884736788</v>
      </c>
      <c r="U32" s="240">
        <f t="shared" si="12"/>
        <v>9.2568295823024087</v>
      </c>
      <c r="V32" s="240">
        <f t="shared" si="13"/>
        <v>9.6370049341891395</v>
      </c>
      <c r="W32" s="240">
        <f t="shared" si="14"/>
        <v>6.0100880535757781</v>
      </c>
      <c r="X32" s="240">
        <f t="shared" si="15"/>
        <v>31.229093917762633</v>
      </c>
      <c r="Y32" s="240">
        <f t="shared" si="16"/>
        <v>23.631247058964291</v>
      </c>
      <c r="Z32" s="240">
        <f t="shared" si="17"/>
        <v>2.4527442057208448</v>
      </c>
      <c r="AA32" s="176"/>
      <c r="AB32" s="177">
        <f t="shared" si="1"/>
        <v>5.6717315744254605E-3</v>
      </c>
      <c r="AC32" s="178">
        <f t="shared" si="8"/>
        <v>37.69262652415928</v>
      </c>
    </row>
    <row r="33" spans="2:33" x14ac:dyDescent="0.25">
      <c r="B33" s="1">
        <v>650</v>
      </c>
      <c r="C33" t="s">
        <v>56</v>
      </c>
      <c r="D33" s="2"/>
      <c r="H33" s="101">
        <v>448.48</v>
      </c>
      <c r="I33" s="53"/>
      <c r="J33" s="2">
        <f t="shared" si="0"/>
        <v>2.0410805693890253E-3</v>
      </c>
      <c r="K33" s="2">
        <f t="shared" si="2"/>
        <v>1.8631527437528944E-3</v>
      </c>
      <c r="L33" s="221">
        <f t="shared" si="3"/>
        <v>26.911953469479705</v>
      </c>
      <c r="M33" s="221">
        <f t="shared" si="4"/>
        <v>6.2939168653793862</v>
      </c>
      <c r="N33" s="221">
        <f t="shared" si="5"/>
        <v>11.247843926149182</v>
      </c>
      <c r="O33" s="221">
        <f t="shared" si="6"/>
        <v>2.0622465748935896</v>
      </c>
      <c r="P33" s="221">
        <f t="shared" si="7"/>
        <v>3.7794893011433524</v>
      </c>
      <c r="Q33" s="221"/>
      <c r="R33" s="240">
        <f t="shared" si="9"/>
        <v>2.5683746887908026</v>
      </c>
      <c r="S33" s="240">
        <f t="shared" si="10"/>
        <v>5.184632403096054</v>
      </c>
      <c r="T33" s="240">
        <f t="shared" si="11"/>
        <v>10.759707095172965</v>
      </c>
      <c r="U33" s="240">
        <f t="shared" si="12"/>
        <v>2.1938809872964709</v>
      </c>
      <c r="V33" s="240">
        <f t="shared" si="13"/>
        <v>2.2839830539843606</v>
      </c>
      <c r="W33" s="240">
        <f t="shared" si="14"/>
        <v>1.4243989041265253</v>
      </c>
      <c r="X33" s="240">
        <f t="shared" si="15"/>
        <v>7.4013370115034984</v>
      </c>
      <c r="Y33" s="240">
        <f t="shared" si="16"/>
        <v>5.6006371477212005</v>
      </c>
      <c r="Z33" s="240">
        <f t="shared" si="17"/>
        <v>0.58130365605090306</v>
      </c>
      <c r="AA33" s="176"/>
      <c r="AB33" s="177">
        <f t="shared" si="1"/>
        <v>1.3442079661885899E-3</v>
      </c>
      <c r="AC33" s="178">
        <f t="shared" si="8"/>
        <v>8.9332028808995112</v>
      </c>
    </row>
    <row r="34" spans="2:33" x14ac:dyDescent="0.25">
      <c r="B34" s="1">
        <v>600</v>
      </c>
      <c r="C34" t="s">
        <v>57</v>
      </c>
      <c r="D34" s="2"/>
      <c r="H34" s="101"/>
      <c r="I34" s="2">
        <f>SUM(H6:H33)</f>
        <v>219726.75</v>
      </c>
      <c r="J34" s="2"/>
      <c r="K34" s="2">
        <f t="shared" si="2"/>
        <v>0</v>
      </c>
      <c r="L34" s="221"/>
      <c r="M34" s="221"/>
      <c r="N34" s="221"/>
      <c r="O34" s="221"/>
      <c r="P34" s="221"/>
      <c r="Q34" s="221"/>
      <c r="R34" s="240">
        <f t="shared" si="9"/>
        <v>0</v>
      </c>
      <c r="S34" s="240">
        <f t="shared" si="10"/>
        <v>0</v>
      </c>
      <c r="T34" s="240">
        <f t="shared" si="11"/>
        <v>0</v>
      </c>
      <c r="U34" s="240">
        <f t="shared" si="12"/>
        <v>0</v>
      </c>
      <c r="V34" s="240">
        <f t="shared" si="13"/>
        <v>0</v>
      </c>
      <c r="W34" s="240">
        <f t="shared" si="14"/>
        <v>0</v>
      </c>
      <c r="X34" s="240">
        <f t="shared" si="15"/>
        <v>0</v>
      </c>
      <c r="Y34" s="240">
        <f t="shared" si="16"/>
        <v>0</v>
      </c>
      <c r="Z34" s="240">
        <f t="shared" si="17"/>
        <v>0</v>
      </c>
      <c r="AA34" s="176"/>
      <c r="AB34" s="177"/>
      <c r="AC34" s="178"/>
    </row>
    <row r="35" spans="2:33" ht="15.75" thickBot="1" x14ac:dyDescent="0.3">
      <c r="B35" s="1">
        <v>339</v>
      </c>
      <c r="C35" t="s">
        <v>58</v>
      </c>
      <c r="D35" s="2"/>
      <c r="H35" s="53">
        <f>I53</f>
        <v>8307.69</v>
      </c>
      <c r="J35" s="2"/>
      <c r="K35" s="2">
        <f>H35/$I$36</f>
        <v>3.4513234520488059E-2</v>
      </c>
      <c r="L35" s="221">
        <f>J35*$L$3</f>
        <v>0</v>
      </c>
      <c r="M35" s="221">
        <f>J35*$M$3</f>
        <v>0</v>
      </c>
      <c r="N35" s="221">
        <f>J35*$N$3</f>
        <v>0</v>
      </c>
      <c r="O35" s="221">
        <f>J35*$O$3</f>
        <v>0</v>
      </c>
      <c r="P35" s="221">
        <f>J35*$P$3</f>
        <v>0</v>
      </c>
      <c r="Q35" s="221"/>
      <c r="R35" s="240">
        <f t="shared" si="9"/>
        <v>47.576838918837993</v>
      </c>
      <c r="S35" s="240">
        <f t="shared" si="10"/>
        <v>96.040667964852531</v>
      </c>
      <c r="T35" s="240">
        <f t="shared" si="11"/>
        <v>199.31392935581854</v>
      </c>
      <c r="U35" s="240">
        <f t="shared" si="12"/>
        <v>40.639678780219896</v>
      </c>
      <c r="V35" s="240">
        <f t="shared" si="13"/>
        <v>42.308738801630696</v>
      </c>
      <c r="W35" s="240">
        <f t="shared" si="14"/>
        <v>26.385712923258325</v>
      </c>
      <c r="X35" s="240">
        <f t="shared" si="15"/>
        <v>137.1031338679484</v>
      </c>
      <c r="Y35" s="240">
        <f t="shared" si="16"/>
        <v>103.74678296858711</v>
      </c>
      <c r="Z35" s="240">
        <f t="shared" si="17"/>
        <v>10.768129170392275</v>
      </c>
      <c r="AA35" s="176"/>
      <c r="AB35" s="177">
        <f>H35/$H$39</f>
        <v>2.490024767799074E-2</v>
      </c>
      <c r="AC35" s="178">
        <f>AB35*$AC$3</f>
        <v>165.47957599362306</v>
      </c>
    </row>
    <row r="36" spans="2:33" ht="15.75" thickBot="1" x14ac:dyDescent="0.3">
      <c r="B36" s="1">
        <v>225</v>
      </c>
      <c r="C36" t="s">
        <v>59</v>
      </c>
      <c r="D36" s="2"/>
      <c r="F36">
        <v>241022.28</v>
      </c>
      <c r="H36" s="101">
        <f>I60</f>
        <v>12675.83</v>
      </c>
      <c r="I36" s="99">
        <f>I34+H35+H36</f>
        <v>240710.27</v>
      </c>
      <c r="J36" s="2"/>
      <c r="K36" s="2">
        <f>H36/$I$36</f>
        <v>5.2660112923308175E-2</v>
      </c>
      <c r="L36" s="221"/>
      <c r="M36" s="221"/>
      <c r="N36" s="221"/>
      <c r="O36" s="221"/>
      <c r="P36" s="221"/>
      <c r="Q36" s="221"/>
      <c r="R36" s="240">
        <f t="shared" si="9"/>
        <v>72.592492265909556</v>
      </c>
      <c r="S36" s="240">
        <f t="shared" si="10"/>
        <v>146.53834943394813</v>
      </c>
      <c r="T36" s="240">
        <f t="shared" si="11"/>
        <v>304.11215213210471</v>
      </c>
      <c r="U36" s="240">
        <f t="shared" si="12"/>
        <v>62.00780956832461</v>
      </c>
      <c r="V36" s="240">
        <f t="shared" si="13"/>
        <v>64.554452629295781</v>
      </c>
      <c r="W36" s="240">
        <f t="shared" si="14"/>
        <v>40.259182930998335</v>
      </c>
      <c r="X36" s="240">
        <f t="shared" si="15"/>
        <v>209.19124538558327</v>
      </c>
      <c r="Y36" s="240">
        <f t="shared" si="16"/>
        <v>158.29629944746438</v>
      </c>
      <c r="Z36" s="240">
        <f t="shared" si="17"/>
        <v>16.42995523207215</v>
      </c>
      <c r="AA36" s="221"/>
      <c r="AB36" s="226">
        <f>H36/$H$39</f>
        <v>3.79926678203093E-2</v>
      </c>
      <c r="AC36" s="188">
        <f>AB36*$AC$3</f>
        <v>252.48787253342951</v>
      </c>
    </row>
    <row r="37" spans="2:33" x14ac:dyDescent="0.25">
      <c r="F37" s="8">
        <f>F36-I36</f>
        <v>312.01000000000931</v>
      </c>
      <c r="H37" s="101"/>
      <c r="K37" s="2">
        <f>H37/$I$36</f>
        <v>0</v>
      </c>
      <c r="L37" s="221">
        <f t="shared" ref="L37" si="19">J37*$L$3</f>
        <v>0</v>
      </c>
      <c r="M37" s="221">
        <f t="shared" ref="M37" si="20">J37*$M$3</f>
        <v>0</v>
      </c>
      <c r="N37" s="221">
        <f t="shared" ref="N37" si="21">J37*$N$3</f>
        <v>0</v>
      </c>
      <c r="O37" s="221">
        <f t="shared" ref="O37" si="22">J37*$O$3</f>
        <v>0</v>
      </c>
      <c r="P37" s="221">
        <f t="shared" ref="P37" si="23">J37*$P$3</f>
        <v>0</v>
      </c>
      <c r="Q37" s="221"/>
      <c r="R37" s="240">
        <f t="shared" si="9"/>
        <v>0</v>
      </c>
      <c r="S37" s="240">
        <f t="shared" si="10"/>
        <v>0</v>
      </c>
      <c r="T37" s="240">
        <f t="shared" si="11"/>
        <v>0</v>
      </c>
      <c r="U37" s="240">
        <f t="shared" si="12"/>
        <v>0</v>
      </c>
      <c r="V37" s="240">
        <f t="shared" si="13"/>
        <v>0</v>
      </c>
      <c r="W37" s="240">
        <f t="shared" si="14"/>
        <v>0</v>
      </c>
      <c r="X37" s="240">
        <f t="shared" si="15"/>
        <v>0</v>
      </c>
      <c r="Y37" s="240">
        <f t="shared" si="16"/>
        <v>0</v>
      </c>
      <c r="Z37" s="240">
        <f t="shared" si="17"/>
        <v>0</v>
      </c>
      <c r="AA37" s="176"/>
      <c r="AB37" s="177">
        <f>H37/$H$39</f>
        <v>0</v>
      </c>
      <c r="AC37" s="178">
        <f t="shared" ref="AC37:AC38" si="24">AB37*$AC$3</f>
        <v>0</v>
      </c>
    </row>
    <row r="38" spans="2:33" x14ac:dyDescent="0.25">
      <c r="B38" s="45"/>
      <c r="C38" s="32" t="s">
        <v>60</v>
      </c>
      <c r="D38" s="32"/>
      <c r="E38" s="32"/>
      <c r="F38" s="32"/>
      <c r="G38" s="31"/>
      <c r="H38" s="31">
        <v>92928.58</v>
      </c>
      <c r="I38" s="118"/>
      <c r="J38" s="121"/>
      <c r="K38" s="121"/>
      <c r="L38" s="221"/>
      <c r="M38" s="221"/>
      <c r="N38" s="221"/>
      <c r="O38" s="221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190">
        <f>H38/$H$39</f>
        <v>0.27853045291338224</v>
      </c>
      <c r="AC38" s="178">
        <f t="shared" si="24"/>
        <v>1851.0298309264642</v>
      </c>
    </row>
    <row r="39" spans="2:33" ht="15.75" thickBot="1" x14ac:dyDescent="0.3">
      <c r="H39" s="237">
        <f>SUM(H7:H38)</f>
        <v>333638.84999999998</v>
      </c>
      <c r="I39" s="34"/>
      <c r="J39" s="54">
        <f t="shared" ref="J39:Z39" si="25">SUM(J7:J37)</f>
        <v>1.0000000000000002</v>
      </c>
      <c r="K39" s="54">
        <f t="shared" si="25"/>
        <v>1.0000000000000002</v>
      </c>
      <c r="L39" s="227">
        <f t="shared" si="25"/>
        <v>13185.149999999998</v>
      </c>
      <c r="M39" s="227">
        <f t="shared" si="25"/>
        <v>3083.619999999999</v>
      </c>
      <c r="N39" s="227">
        <f t="shared" si="25"/>
        <v>5510.7299999999987</v>
      </c>
      <c r="O39" s="227">
        <f t="shared" si="25"/>
        <v>1010.3699999999999</v>
      </c>
      <c r="P39" s="227">
        <f t="shared" si="25"/>
        <v>1851.7100000000003</v>
      </c>
      <c r="Q39" s="227">
        <f t="shared" si="25"/>
        <v>0</v>
      </c>
      <c r="R39" s="227">
        <f t="shared" si="25"/>
        <v>1378.5099999999998</v>
      </c>
      <c r="S39" s="227">
        <f t="shared" si="25"/>
        <v>2782.72</v>
      </c>
      <c r="T39" s="227">
        <f t="shared" si="25"/>
        <v>5775</v>
      </c>
      <c r="U39" s="227">
        <f t="shared" si="25"/>
        <v>1177.51</v>
      </c>
      <c r="V39" s="227">
        <f t="shared" si="25"/>
        <v>1225.8700000000001</v>
      </c>
      <c r="W39" s="227">
        <f t="shared" si="25"/>
        <v>764.5100000000001</v>
      </c>
      <c r="X39" s="227">
        <f t="shared" si="25"/>
        <v>3972.4800000000005</v>
      </c>
      <c r="Y39" s="227">
        <f t="shared" si="25"/>
        <v>3006</v>
      </c>
      <c r="Z39" s="227">
        <f t="shared" si="25"/>
        <v>311.99999999999994</v>
      </c>
      <c r="AA39" s="228"/>
      <c r="AB39" s="196">
        <f>SUM(AB7:AB38)</f>
        <v>1.0000000000000002</v>
      </c>
      <c r="AC39" s="229">
        <f>SUM(AC7:AC38)</f>
        <v>6645.7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59"/>
      <c r="AC40">
        <v>5802</v>
      </c>
    </row>
    <row r="41" spans="2:33" x14ac:dyDescent="0.25">
      <c r="C41" s="17">
        <v>43588</v>
      </c>
      <c r="D41" s="23"/>
      <c r="E41" s="23"/>
      <c r="F41" s="23"/>
      <c r="G41" s="18"/>
      <c r="H41" s="18">
        <v>73752.94</v>
      </c>
      <c r="I41" s="18"/>
      <c r="J41" s="42"/>
      <c r="K41" s="238"/>
      <c r="L41" s="158"/>
      <c r="M41" s="158"/>
      <c r="N41" s="158"/>
      <c r="O41" s="158"/>
      <c r="P41" s="158"/>
      <c r="Q41" s="114"/>
      <c r="R41" s="114"/>
      <c r="S41" s="114"/>
      <c r="T41" s="114"/>
      <c r="U41" s="114"/>
      <c r="V41" s="114"/>
      <c r="W41" s="114"/>
      <c r="X41" s="114"/>
      <c r="Y41" s="114"/>
      <c r="Z41" s="159"/>
    </row>
    <row r="42" spans="2:33" x14ac:dyDescent="0.25">
      <c r="C42" s="19">
        <v>43602</v>
      </c>
      <c r="D42" s="24"/>
      <c r="E42" s="24"/>
      <c r="F42" s="24"/>
      <c r="H42" s="2">
        <v>74921.25</v>
      </c>
      <c r="J42" s="43">
        <v>0</v>
      </c>
      <c r="K42" s="238"/>
      <c r="L42" s="158"/>
      <c r="M42" s="158"/>
      <c r="N42" s="158"/>
      <c r="O42" s="158"/>
      <c r="P42" s="158"/>
      <c r="Q42" s="114"/>
      <c r="R42" s="114"/>
      <c r="S42" s="114"/>
      <c r="T42" s="114"/>
      <c r="U42" s="114"/>
      <c r="V42" s="114"/>
      <c r="W42" s="114"/>
      <c r="X42" s="114"/>
      <c r="Y42" s="114"/>
      <c r="Z42" s="159"/>
    </row>
    <row r="43" spans="2:33" x14ac:dyDescent="0.25">
      <c r="C43" s="19">
        <v>43616</v>
      </c>
      <c r="D43" s="24"/>
      <c r="E43" s="24"/>
      <c r="F43" s="24"/>
      <c r="H43" s="2">
        <v>71364.570000000007</v>
      </c>
      <c r="J43" s="43"/>
      <c r="K43" s="238"/>
      <c r="L43" s="158"/>
      <c r="M43" s="158"/>
      <c r="N43" s="158"/>
      <c r="O43" s="158"/>
      <c r="P43" s="158"/>
      <c r="Q43" s="114"/>
      <c r="R43" s="114"/>
      <c r="S43" s="114"/>
      <c r="T43" s="114"/>
      <c r="U43" s="114"/>
      <c r="V43" s="114"/>
      <c r="W43" s="114"/>
      <c r="X43" s="114"/>
      <c r="Y43" s="114"/>
      <c r="Z43" s="159"/>
    </row>
    <row r="44" spans="2:33" x14ac:dyDescent="0.25">
      <c r="B44" s="1" t="s">
        <v>63</v>
      </c>
      <c r="C44" s="19"/>
      <c r="D44" s="24"/>
      <c r="E44" s="24"/>
      <c r="F44" s="24"/>
      <c r="H44" s="2">
        <f>I60</f>
        <v>12675.83</v>
      </c>
      <c r="J44" s="43"/>
      <c r="K44" s="238"/>
      <c r="L44" s="158"/>
      <c r="M44" s="158"/>
      <c r="N44" s="158"/>
      <c r="O44" s="158"/>
      <c r="P44" s="158"/>
      <c r="Q44" s="114"/>
      <c r="R44" s="114"/>
      <c r="S44" s="114"/>
      <c r="T44" s="114"/>
      <c r="U44" s="114"/>
      <c r="V44" s="114"/>
      <c r="W44" s="114"/>
      <c r="X44" s="114"/>
      <c r="Y44" s="114"/>
      <c r="Z44" s="159"/>
    </row>
    <row r="45" spans="2:33" ht="15.75" thickBot="1" x14ac:dyDescent="0.3">
      <c r="B45" s="1" t="s">
        <v>69</v>
      </c>
      <c r="C45" s="19"/>
      <c r="D45" s="24"/>
      <c r="E45" s="24"/>
      <c r="F45" s="24"/>
      <c r="H45" s="2">
        <f>I53</f>
        <v>8307.69</v>
      </c>
      <c r="J45" s="43"/>
      <c r="K45" s="238"/>
      <c r="L45" s="158"/>
      <c r="M45" s="158"/>
      <c r="N45" s="158"/>
      <c r="O45" s="158"/>
      <c r="P45" s="158"/>
      <c r="Q45" s="114"/>
      <c r="R45" s="114"/>
      <c r="S45" s="114"/>
      <c r="T45" s="114"/>
      <c r="U45" s="114"/>
      <c r="V45" s="114"/>
      <c r="W45" s="114"/>
      <c r="X45" s="114"/>
      <c r="Y45" s="114"/>
      <c r="Z45" s="159"/>
    </row>
    <row r="46" spans="2:33" ht="15.75" thickBot="1" x14ac:dyDescent="0.3">
      <c r="C46" s="20"/>
      <c r="D46" s="20"/>
      <c r="E46" s="20"/>
      <c r="F46" s="20"/>
      <c r="G46" s="105"/>
      <c r="H46" s="236">
        <f>SUM(H41:H45)</f>
        <v>241022.28</v>
      </c>
      <c r="I46" s="5"/>
      <c r="J46" s="44"/>
      <c r="K46" s="239"/>
      <c r="L46" s="161">
        <f>SUM(L41:L43)</f>
        <v>0</v>
      </c>
      <c r="M46" s="162">
        <f t="shared" ref="M46:P46" si="26">SUM(M41:M43)</f>
        <v>0</v>
      </c>
      <c r="N46" s="162">
        <f>SUM(N41:N43)</f>
        <v>0</v>
      </c>
      <c r="O46" s="162">
        <f t="shared" ref="O46" si="27">SUM(O41:O43)</f>
        <v>0</v>
      </c>
      <c r="P46" s="163">
        <f t="shared" si="26"/>
        <v>0</v>
      </c>
      <c r="Q46" s="114"/>
      <c r="R46" s="114"/>
      <c r="S46" s="114"/>
      <c r="T46" s="114"/>
      <c r="U46" s="114"/>
      <c r="V46" s="114"/>
      <c r="W46" s="114"/>
      <c r="X46" s="114"/>
      <c r="Y46" s="114"/>
      <c r="Z46" s="159"/>
    </row>
    <row r="47" spans="2:33" x14ac:dyDescent="0.25">
      <c r="H47" s="2">
        <f>H38</f>
        <v>92928.58</v>
      </c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59"/>
      <c r="AG47">
        <v>114.44</v>
      </c>
    </row>
    <row r="48" spans="2:33" x14ac:dyDescent="0.25">
      <c r="I48" s="2" t="s">
        <v>64</v>
      </c>
      <c r="AG48">
        <v>151.65</v>
      </c>
    </row>
    <row r="49" spans="9:14" x14ac:dyDescent="0.25">
      <c r="I49" s="2">
        <v>2769.23</v>
      </c>
      <c r="J49" s="93">
        <v>165.29</v>
      </c>
      <c r="K49" s="93">
        <v>38.659999999999997</v>
      </c>
      <c r="L49" s="93">
        <v>83.08</v>
      </c>
      <c r="M49" s="93">
        <v>15.23</v>
      </c>
    </row>
    <row r="50" spans="9:14" x14ac:dyDescent="0.25">
      <c r="I50" s="2">
        <v>2769.23</v>
      </c>
      <c r="J50" s="93">
        <v>165.29</v>
      </c>
      <c r="K50" s="93">
        <v>38.659999999999997</v>
      </c>
      <c r="L50" s="93">
        <v>83.08</v>
      </c>
      <c r="M50" s="93">
        <v>15.23</v>
      </c>
    </row>
    <row r="51" spans="9:14" x14ac:dyDescent="0.25">
      <c r="I51" s="2">
        <v>2769.23</v>
      </c>
      <c r="J51" s="93">
        <v>165.29</v>
      </c>
      <c r="K51" s="93">
        <v>38.659999999999997</v>
      </c>
      <c r="L51" s="93">
        <v>83.08</v>
      </c>
      <c r="M51" s="93">
        <v>15.23</v>
      </c>
    </row>
    <row r="52" spans="9:14" ht="15.75" thickBot="1" x14ac:dyDescent="0.3">
      <c r="K52" s="2"/>
    </row>
    <row r="53" spans="9:14" ht="15.75" thickBot="1" x14ac:dyDescent="0.3">
      <c r="I53" s="241">
        <f>SUM(I49:I52)</f>
        <v>8307.69</v>
      </c>
      <c r="K53" s="2"/>
    </row>
    <row r="55" spans="9:14" x14ac:dyDescent="0.25">
      <c r="I55" s="12" t="s">
        <v>65</v>
      </c>
    </row>
    <row r="56" spans="9:14" x14ac:dyDescent="0.25">
      <c r="I56" s="2">
        <v>3802.75</v>
      </c>
      <c r="J56" s="93">
        <v>288.2</v>
      </c>
      <c r="K56" s="93">
        <v>67.400000000000006</v>
      </c>
      <c r="L56" s="93"/>
      <c r="M56" s="93"/>
    </row>
    <row r="57" spans="9:14" x14ac:dyDescent="0.25">
      <c r="I57" s="2">
        <v>4225.28</v>
      </c>
      <c r="J57" s="93">
        <v>235.8</v>
      </c>
      <c r="K57" s="93">
        <v>55.15</v>
      </c>
      <c r="L57" s="93"/>
      <c r="M57" s="93"/>
    </row>
    <row r="58" spans="9:14" x14ac:dyDescent="0.25">
      <c r="I58" s="2">
        <v>4647.8</v>
      </c>
      <c r="J58" s="93">
        <v>262</v>
      </c>
      <c r="K58" s="93">
        <v>61.28</v>
      </c>
      <c r="L58" s="93"/>
      <c r="M58" s="93"/>
      <c r="N58">
        <f>SUM(J56:K58)</f>
        <v>969.83</v>
      </c>
    </row>
    <row r="59" spans="9:14" ht="15.75" thickBot="1" x14ac:dyDescent="0.3"/>
    <row r="60" spans="9:14" ht="15.75" thickBot="1" x14ac:dyDescent="0.3">
      <c r="I60" s="242">
        <f>SUM(I56:I59)</f>
        <v>12675.83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33A0-165A-4A22-ABBC-D7D6768E729E}">
  <sheetPr>
    <tabColor theme="5" tint="0.39997558519241921"/>
    <pageSetUpPr fitToPage="1"/>
  </sheetPr>
  <dimension ref="B1:AG60"/>
  <sheetViews>
    <sheetView topLeftCell="B1" zoomScale="85" zoomScaleNormal="85" workbookViewId="0">
      <selection activeCell="C16" sqref="C16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3.140625" style="66" customWidth="1"/>
    <col min="19" max="19" width="15.140625" style="66" customWidth="1"/>
    <col min="20" max="20" width="17.42578125" customWidth="1"/>
    <col min="21" max="21" width="15.5703125" style="66" customWidth="1"/>
    <col min="22" max="22" width="15.28515625" style="66" customWidth="1"/>
    <col min="23" max="24" width="15.140625" customWidth="1"/>
    <col min="25" max="25" width="15.85546875" style="66" customWidth="1"/>
    <col min="26" max="26" width="15.57031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68</v>
      </c>
      <c r="L1" s="66">
        <v>7251</v>
      </c>
      <c r="M1" s="66">
        <v>7252</v>
      </c>
      <c r="N1">
        <v>7253</v>
      </c>
      <c r="O1">
        <v>7254</v>
      </c>
      <c r="P1" s="66">
        <v>7260.1</v>
      </c>
      <c r="R1" s="66">
        <v>8112</v>
      </c>
      <c r="S1" s="66">
        <v>8229.1</v>
      </c>
      <c r="T1">
        <v>7521</v>
      </c>
      <c r="U1" s="66">
        <v>8210.5</v>
      </c>
      <c r="V1" s="66">
        <v>8135.5</v>
      </c>
      <c r="W1" s="66">
        <v>8239</v>
      </c>
      <c r="X1" s="66">
        <v>8266</v>
      </c>
      <c r="Y1" s="66">
        <v>7515.5</v>
      </c>
      <c r="Z1">
        <v>8222</v>
      </c>
      <c r="AC1">
        <v>7248</v>
      </c>
    </row>
    <row r="2" spans="2:30" ht="17.25" thickBot="1" x14ac:dyDescent="0.4">
      <c r="L2" s="243" t="s">
        <v>1</v>
      </c>
      <c r="M2" s="243" t="s">
        <v>2</v>
      </c>
      <c r="N2" s="243" t="s">
        <v>3</v>
      </c>
      <c r="O2" s="243" t="s">
        <v>4</v>
      </c>
      <c r="P2" s="246" t="s">
        <v>5</v>
      </c>
      <c r="Q2" s="98"/>
      <c r="R2" s="244" t="s">
        <v>8</v>
      </c>
      <c r="S2" s="248" t="s">
        <v>12</v>
      </c>
      <c r="T2" s="248" t="s">
        <v>7</v>
      </c>
      <c r="U2" s="244" t="s">
        <v>11</v>
      </c>
      <c r="V2" s="244" t="s">
        <v>9</v>
      </c>
      <c r="W2" s="244" t="s">
        <v>13</v>
      </c>
      <c r="X2" s="248" t="s">
        <v>14</v>
      </c>
      <c r="Y2" s="72" t="s">
        <v>6</v>
      </c>
      <c r="Z2" s="92" t="s">
        <v>10</v>
      </c>
      <c r="AA2" s="2"/>
      <c r="AB2" s="35"/>
      <c r="AC2" s="245" t="s">
        <v>15</v>
      </c>
      <c r="AD2" s="2"/>
    </row>
    <row r="3" spans="2:30" ht="15.75" thickBot="1" x14ac:dyDescent="0.3">
      <c r="L3" s="213">
        <v>13185.15</v>
      </c>
      <c r="M3" s="213">
        <v>3083.62</v>
      </c>
      <c r="N3" s="213">
        <v>5510.73</v>
      </c>
      <c r="O3" s="213">
        <v>1010.37</v>
      </c>
      <c r="P3" s="247">
        <v>1851.71</v>
      </c>
      <c r="Q3" s="214"/>
      <c r="R3" s="215">
        <v>1378.51</v>
      </c>
      <c r="S3" s="249">
        <v>2782.72</v>
      </c>
      <c r="T3" s="249">
        <v>5775</v>
      </c>
      <c r="U3" s="215">
        <v>1177.51</v>
      </c>
      <c r="V3" s="213">
        <v>1225.8699999999999</v>
      </c>
      <c r="W3" s="213">
        <v>764.51</v>
      </c>
      <c r="X3" s="250">
        <v>3972.48</v>
      </c>
      <c r="Y3" s="250">
        <v>3006</v>
      </c>
      <c r="Z3" s="216">
        <v>312</v>
      </c>
      <c r="AA3" s="101"/>
      <c r="AB3" s="177"/>
      <c r="AC3" s="217">
        <v>6645.7</v>
      </c>
      <c r="AD3" s="2"/>
    </row>
    <row r="4" spans="2:30" x14ac:dyDescent="0.25">
      <c r="L4" s="218">
        <v>1</v>
      </c>
      <c r="M4" s="218">
        <v>2</v>
      </c>
      <c r="N4" s="218">
        <v>3</v>
      </c>
      <c r="O4" s="218">
        <v>4</v>
      </c>
      <c r="P4" s="218">
        <v>5</v>
      </c>
      <c r="Q4" s="218">
        <v>6</v>
      </c>
      <c r="R4" s="218">
        <v>7</v>
      </c>
      <c r="S4" s="218">
        <v>8</v>
      </c>
      <c r="T4" s="218">
        <v>9</v>
      </c>
      <c r="U4" s="218">
        <v>10</v>
      </c>
      <c r="V4" s="218">
        <v>11</v>
      </c>
      <c r="W4" s="218">
        <v>13</v>
      </c>
      <c r="X4" s="218">
        <v>14</v>
      </c>
      <c r="Y4" s="218">
        <v>15</v>
      </c>
      <c r="Z4" s="218">
        <v>16</v>
      </c>
      <c r="AA4" s="201"/>
      <c r="AB4" s="219"/>
      <c r="AC4" s="220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19"/>
      <c r="AC5" s="220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3" si="0">H6/$I$34</f>
        <v>0</v>
      </c>
      <c r="K6" s="2">
        <f>H6/$H$39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>
        <f>J6*$P$3</f>
        <v>0</v>
      </c>
      <c r="Q6" s="221"/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>
        <f>J6*$Z$3</f>
        <v>0</v>
      </c>
      <c r="AA6" s="176"/>
      <c r="AB6" s="177">
        <f t="shared" ref="AB6:AB33" si="1">H6/$H$39</f>
        <v>0</v>
      </c>
      <c r="AC6" s="178">
        <f>AB6*$AC$3</f>
        <v>0</v>
      </c>
    </row>
    <row r="7" spans="2:30" x14ac:dyDescent="0.25">
      <c r="B7" s="1">
        <v>111</v>
      </c>
      <c r="C7" t="s">
        <v>20</v>
      </c>
      <c r="D7" s="2"/>
      <c r="H7" s="101">
        <v>47035.72</v>
      </c>
      <c r="J7" s="2">
        <f t="shared" si="0"/>
        <v>0.21376107617408296</v>
      </c>
      <c r="K7" s="2">
        <f t="shared" ref="K7:K33" si="2">H7/$I$36</f>
        <v>0.19515092941411596</v>
      </c>
      <c r="L7" s="240">
        <f t="shared" ref="L7:L33" si="3">J7*$L$3</f>
        <v>2818.4718535167099</v>
      </c>
      <c r="M7" s="240">
        <f t="shared" ref="M7:M33" si="4">J7*$M$3</f>
        <v>659.1579297119257</v>
      </c>
      <c r="N7" s="240">
        <f t="shared" ref="N7:N33" si="5">J7*$N$3</f>
        <v>1177.979575304804</v>
      </c>
      <c r="O7" s="240">
        <f t="shared" ref="O7:O33" si="6">J7*$O$3</f>
        <v>215.97777853400819</v>
      </c>
      <c r="P7" s="240">
        <f t="shared" ref="P7:P33" si="7">J7*$P$3</f>
        <v>395.82352236231117</v>
      </c>
      <c r="Q7" s="240"/>
      <c r="R7" s="240">
        <f>K7*$R$3</f>
        <v>269.01750770665302</v>
      </c>
      <c r="S7" s="240">
        <f>K7*$S$3</f>
        <v>543.05039429924875</v>
      </c>
      <c r="T7" s="240">
        <f>K7*$T$3</f>
        <v>1126.9966173665198</v>
      </c>
      <c r="U7" s="240">
        <f>K7*$U$3</f>
        <v>229.79217089441568</v>
      </c>
      <c r="V7" s="240">
        <f>K7*$V$3</f>
        <v>239.22966984088231</v>
      </c>
      <c r="W7" s="240">
        <f>K7*$W$3</f>
        <v>149.1948370463858</v>
      </c>
      <c r="X7" s="240">
        <f>K7*$X$3</f>
        <v>775.23316407898744</v>
      </c>
      <c r="Y7" s="240">
        <f>K7*$Y$3</f>
        <v>586.62369381883263</v>
      </c>
      <c r="Z7" s="240">
        <f>K7*$Z$3</f>
        <v>60.887089977204184</v>
      </c>
      <c r="AA7" s="176"/>
      <c r="AB7" s="177">
        <f t="shared" si="1"/>
        <v>0.14084623530678242</v>
      </c>
      <c r="AC7" s="178">
        <f t="shared" ref="AC7:AC33" si="8">AB7*$AC$3</f>
        <v>936.02182597828391</v>
      </c>
    </row>
    <row r="8" spans="2:30" x14ac:dyDescent="0.25">
      <c r="B8" s="1" t="s">
        <v>21</v>
      </c>
      <c r="C8" t="s">
        <v>22</v>
      </c>
      <c r="D8" s="2"/>
      <c r="H8" s="101">
        <v>3157.07</v>
      </c>
      <c r="J8" s="2">
        <f t="shared" si="0"/>
        <v>1.4347791014082746E-2</v>
      </c>
      <c r="K8" s="2">
        <f t="shared" si="2"/>
        <v>1.3098665115053476E-2</v>
      </c>
      <c r="L8" s="221">
        <f>J8*$L$3</f>
        <v>189.17777668933311</v>
      </c>
      <c r="M8" s="221">
        <f>J8*$M$3</f>
        <v>44.243135326845838</v>
      </c>
      <c r="N8" s="221">
        <f>J8*$N$3</f>
        <v>79.066802375036204</v>
      </c>
      <c r="O8" s="221">
        <f>J8*$O$3</f>
        <v>14.496577606898784</v>
      </c>
      <c r="P8" s="221">
        <f>J8*$P$3</f>
        <v>26.567948098687161</v>
      </c>
      <c r="Q8" s="221"/>
      <c r="R8" s="240">
        <f t="shared" ref="R8:R37" si="9">K8*$R$3</f>
        <v>18.056640847752366</v>
      </c>
      <c r="S8" s="240">
        <f t="shared" ref="S8:S37" si="10">K8*$S$3</f>
        <v>36.449917388961609</v>
      </c>
      <c r="T8" s="240">
        <f t="shared" ref="T8:T37" si="11">K8*$T$3</f>
        <v>75.644791039433827</v>
      </c>
      <c r="U8" s="240">
        <f t="shared" ref="U8:U37" si="12">K8*$U$3</f>
        <v>15.423809159626618</v>
      </c>
      <c r="V8" s="240">
        <f t="shared" ref="V8:V37" si="13">K8*$V$3</f>
        <v>16.057260604590603</v>
      </c>
      <c r="W8" s="240">
        <f t="shared" ref="W8:W37" si="14">K8*$W$3</f>
        <v>10.014060467109532</v>
      </c>
      <c r="X8" s="240">
        <f t="shared" ref="X8:X37" si="15">K8*$X$3</f>
        <v>52.034185196247634</v>
      </c>
      <c r="Y8" s="240">
        <f t="shared" ref="Y8:Y37" si="16">K8*$Y$3</f>
        <v>39.374587335850748</v>
      </c>
      <c r="Z8" s="240">
        <f t="shared" ref="Z8:Z37" si="17">K8*$Z$3</f>
        <v>4.0867835158966841</v>
      </c>
      <c r="AA8" s="176"/>
      <c r="AB8" s="177">
        <f t="shared" si="1"/>
        <v>9.4536965544480562E-3</v>
      </c>
      <c r="AC8" s="178">
        <f>AB8*$AC$3</f>
        <v>62.826431191895445</v>
      </c>
    </row>
    <row r="9" spans="2:30" x14ac:dyDescent="0.25">
      <c r="B9" s="1" t="s">
        <v>23</v>
      </c>
      <c r="C9" t="s">
        <v>24</v>
      </c>
      <c r="D9" s="2"/>
      <c r="H9" s="101">
        <v>3875.87</v>
      </c>
      <c r="J9" s="2">
        <f t="shared" si="0"/>
        <v>1.7614488357164362E-2</v>
      </c>
      <c r="K9" s="2">
        <f t="shared" si="2"/>
        <v>1.6080962145116298E-2</v>
      </c>
      <c r="L9" s="221">
        <f>J9*$L$3</f>
        <v>232.24967116246569</v>
      </c>
      <c r="M9" s="221">
        <f>J9*$M$3</f>
        <v>54.316388587919164</v>
      </c>
      <c r="N9" s="221">
        <f>J9*$N$3</f>
        <v>97.068689424476361</v>
      </c>
      <c r="O9" s="221">
        <f>J9*$O$3</f>
        <v>17.797150601428157</v>
      </c>
      <c r="P9" s="221">
        <f>J9*$P$3</f>
        <v>32.61692423584482</v>
      </c>
      <c r="Q9" s="221"/>
      <c r="R9" s="240">
        <f t="shared" si="9"/>
        <v>22.16776712666427</v>
      </c>
      <c r="S9" s="240">
        <f t="shared" si="10"/>
        <v>44.748814980458022</v>
      </c>
      <c r="T9" s="240">
        <f t="shared" si="11"/>
        <v>92.867556388046623</v>
      </c>
      <c r="U9" s="240">
        <f t="shared" si="12"/>
        <v>18.935493735495893</v>
      </c>
      <c r="V9" s="240">
        <f t="shared" si="13"/>
        <v>19.713169064833714</v>
      </c>
      <c r="W9" s="240">
        <f t="shared" si="14"/>
        <v>12.294056369562862</v>
      </c>
      <c r="X9" s="240">
        <f t="shared" si="15"/>
        <v>63.881300502231589</v>
      </c>
      <c r="Y9" s="240">
        <f t="shared" si="16"/>
        <v>48.339372208219594</v>
      </c>
      <c r="Z9" s="240">
        <f t="shared" si="17"/>
        <v>5.0172601892762847</v>
      </c>
      <c r="AA9" s="176"/>
      <c r="AB9" s="177">
        <f t="shared" si="1"/>
        <v>1.160610910258201E-2</v>
      </c>
      <c r="AC9" s="178">
        <f>AB9*$AC$3</f>
        <v>77.130719263029263</v>
      </c>
    </row>
    <row r="10" spans="2:30" x14ac:dyDescent="0.25">
      <c r="B10" s="1" t="s">
        <v>25</v>
      </c>
      <c r="C10" t="s">
        <v>26</v>
      </c>
      <c r="D10" s="2"/>
      <c r="H10" s="101">
        <v>318.68</v>
      </c>
      <c r="J10" s="2">
        <f t="shared" si="0"/>
        <v>1.4482903579483158E-3</v>
      </c>
      <c r="K10" s="2">
        <f t="shared" si="2"/>
        <v>1.3222014712582367E-3</v>
      </c>
      <c r="L10" s="221">
        <f t="shared" si="3"/>
        <v>19.095925613102235</v>
      </c>
      <c r="M10" s="221">
        <f t="shared" si="4"/>
        <v>4.4659771135765851</v>
      </c>
      <c r="N10" s="221">
        <f t="shared" si="5"/>
        <v>7.9811371242565219</v>
      </c>
      <c r="O10" s="221">
        <f t="shared" si="6"/>
        <v>1.4633091289602398</v>
      </c>
      <c r="P10" s="221">
        <f t="shared" si="7"/>
        <v>2.681813738716476</v>
      </c>
      <c r="Q10" s="221"/>
      <c r="R10" s="240">
        <f t="shared" si="9"/>
        <v>1.8226679501441918</v>
      </c>
      <c r="S10" s="240">
        <f t="shared" si="10"/>
        <v>3.6793164780997203</v>
      </c>
      <c r="T10" s="240">
        <f t="shared" si="11"/>
        <v>7.6357134965163169</v>
      </c>
      <c r="U10" s="240">
        <f t="shared" si="12"/>
        <v>1.5569054544212864</v>
      </c>
      <c r="V10" s="240">
        <f t="shared" si="13"/>
        <v>1.6208471175713346</v>
      </c>
      <c r="W10" s="240">
        <f t="shared" si="14"/>
        <v>1.0108362467916345</v>
      </c>
      <c r="X10" s="240">
        <f t="shared" si="15"/>
        <v>5.2524189005439199</v>
      </c>
      <c r="Y10" s="240">
        <f t="shared" si="16"/>
        <v>3.9745376226022597</v>
      </c>
      <c r="Z10" s="240">
        <f t="shared" si="17"/>
        <v>0.41252685903256986</v>
      </c>
      <c r="AA10" s="176"/>
      <c r="AB10" s="177">
        <f t="shared" si="1"/>
        <v>9.542721631042412E-4</v>
      </c>
      <c r="AC10" s="178">
        <f t="shared" si="8"/>
        <v>6.3418065143418554</v>
      </c>
    </row>
    <row r="11" spans="2:30" ht="15.75" thickBot="1" x14ac:dyDescent="0.3">
      <c r="B11" s="1">
        <v>112</v>
      </c>
      <c r="C11" t="s">
        <v>27</v>
      </c>
      <c r="D11" s="2"/>
      <c r="H11" s="101">
        <v>39933.599999999999</v>
      </c>
      <c r="J11" s="2">
        <f t="shared" si="0"/>
        <v>0.18148439763450752</v>
      </c>
      <c r="K11" s="2">
        <f t="shared" si="2"/>
        <v>0.16568427473527653</v>
      </c>
      <c r="L11" s="221">
        <f t="shared" si="3"/>
        <v>2392.8990054706269</v>
      </c>
      <c r="M11" s="221">
        <f t="shared" si="4"/>
        <v>559.62891823372001</v>
      </c>
      <c r="N11" s="221">
        <f t="shared" si="5"/>
        <v>1000.1115145764096</v>
      </c>
      <c r="O11" s="221">
        <f t="shared" si="6"/>
        <v>183.36639083797738</v>
      </c>
      <c r="P11" s="221">
        <f t="shared" si="7"/>
        <v>336.05647394379395</v>
      </c>
      <c r="Q11" s="221"/>
      <c r="R11" s="240">
        <f t="shared" si="9"/>
        <v>228.39742956532604</v>
      </c>
      <c r="S11" s="240">
        <f t="shared" si="10"/>
        <v>461.05294499134868</v>
      </c>
      <c r="T11" s="240">
        <f t="shared" si="11"/>
        <v>956.82668659622198</v>
      </c>
      <c r="U11" s="240">
        <f t="shared" si="12"/>
        <v>195.09489034353547</v>
      </c>
      <c r="V11" s="240">
        <f t="shared" si="13"/>
        <v>203.10738186973342</v>
      </c>
      <c r="W11" s="240">
        <f t="shared" si="14"/>
        <v>126.66728487786625</v>
      </c>
      <c r="X11" s="240">
        <f t="shared" si="15"/>
        <v>658.17746770039128</v>
      </c>
      <c r="Y11" s="240">
        <f t="shared" si="16"/>
        <v>498.04692985424123</v>
      </c>
      <c r="Z11" s="240">
        <f t="shared" si="17"/>
        <v>51.693493717406277</v>
      </c>
      <c r="AA11" s="176"/>
      <c r="AB11" s="177">
        <f t="shared" si="1"/>
        <v>0.11957927341703126</v>
      </c>
      <c r="AC11" s="178">
        <f t="shared" si="8"/>
        <v>794.68797734756458</v>
      </c>
    </row>
    <row r="12" spans="2:30" ht="15.75" thickBot="1" x14ac:dyDescent="0.3">
      <c r="B12" s="1">
        <v>222</v>
      </c>
      <c r="C12" t="s">
        <v>29</v>
      </c>
      <c r="D12" s="2"/>
      <c r="H12" s="102">
        <v>3720.98</v>
      </c>
      <c r="J12" s="2">
        <f t="shared" si="0"/>
        <v>1.6910566888786633E-2</v>
      </c>
      <c r="K12" s="2">
        <f t="shared" si="2"/>
        <v>1.5438324433671626E-2</v>
      </c>
      <c r="L12" s="221">
        <f t="shared" si="3"/>
        <v>222.96836101368507</v>
      </c>
      <c r="M12" s="221">
        <f t="shared" si="4"/>
        <v>52.145762269600233</v>
      </c>
      <c r="N12" s="221">
        <f t="shared" si="5"/>
        <v>93.189568271043157</v>
      </c>
      <c r="O12" s="221">
        <f t="shared" si="6"/>
        <v>17.085929467423352</v>
      </c>
      <c r="P12" s="221">
        <f t="shared" si="7"/>
        <v>31.313465813635098</v>
      </c>
      <c r="Q12" s="221"/>
      <c r="R12" s="240">
        <f t="shared" si="9"/>
        <v>21.281884615060672</v>
      </c>
      <c r="S12" s="240">
        <f t="shared" si="10"/>
        <v>42.960534168066701</v>
      </c>
      <c r="T12" s="240">
        <f t="shared" si="11"/>
        <v>89.156323604453647</v>
      </c>
      <c r="U12" s="240">
        <f t="shared" si="12"/>
        <v>18.178781403892675</v>
      </c>
      <c r="V12" s="240">
        <f t="shared" si="13"/>
        <v>18.925378773505035</v>
      </c>
      <c r="W12" s="240">
        <f t="shared" si="14"/>
        <v>11.802753412786295</v>
      </c>
      <c r="X12" s="240">
        <f t="shared" si="15"/>
        <v>61.328435046271863</v>
      </c>
      <c r="Y12" s="240">
        <f t="shared" si="16"/>
        <v>46.407603247616912</v>
      </c>
      <c r="Z12" s="240">
        <f t="shared" si="17"/>
        <v>4.8167572233055473</v>
      </c>
      <c r="AA12" s="176"/>
      <c r="AB12" s="177">
        <f t="shared" si="1"/>
        <v>1.1142298335219089E-2</v>
      </c>
      <c r="AC12" s="178">
        <f t="shared" si="8"/>
        <v>74.0483720463655</v>
      </c>
    </row>
    <row r="13" spans="2:30" ht="15.75" thickBot="1" x14ac:dyDescent="0.3">
      <c r="B13" s="1">
        <v>223</v>
      </c>
      <c r="C13" t="s">
        <v>30</v>
      </c>
      <c r="D13" s="2"/>
      <c r="H13" s="181">
        <v>14153.86</v>
      </c>
      <c r="I13" s="56"/>
      <c r="J13" s="99">
        <f t="shared" si="0"/>
        <v>6.4324397407274844E-2</v>
      </c>
      <c r="K13" s="99">
        <f t="shared" si="2"/>
        <v>5.8724283029945736E-2</v>
      </c>
      <c r="L13" s="252">
        <f t="shared" si="3"/>
        <v>848.12682847452993</v>
      </c>
      <c r="M13" s="252">
        <f t="shared" si="4"/>
        <v>198.35199833302084</v>
      </c>
      <c r="N13" s="252">
        <f t="shared" si="5"/>
        <v>354.47438652419169</v>
      </c>
      <c r="O13" s="252">
        <f t="shared" si="6"/>
        <v>64.991441408388283</v>
      </c>
      <c r="P13" s="252">
        <f t="shared" si="7"/>
        <v>119.1101299230249</v>
      </c>
      <c r="Q13" s="252"/>
      <c r="R13" s="252">
        <f t="shared" si="9"/>
        <v>80.952011399610498</v>
      </c>
      <c r="S13" s="252">
        <f t="shared" si="10"/>
        <v>163.4132368730906</v>
      </c>
      <c r="T13" s="252">
        <f t="shared" si="11"/>
        <v>339.13273449793661</v>
      </c>
      <c r="U13" s="252">
        <f t="shared" si="12"/>
        <v>69.148430510591396</v>
      </c>
      <c r="V13" s="252">
        <f t="shared" si="13"/>
        <v>71.988336837919576</v>
      </c>
      <c r="W13" s="252">
        <f t="shared" si="14"/>
        <v>44.895301619223815</v>
      </c>
      <c r="X13" s="252">
        <f t="shared" si="15"/>
        <v>233.28103985079883</v>
      </c>
      <c r="Y13" s="252">
        <f t="shared" si="16"/>
        <v>176.52519478801688</v>
      </c>
      <c r="Z13" s="252">
        <f t="shared" si="17"/>
        <v>18.321976305343071</v>
      </c>
      <c r="AA13" s="180"/>
      <c r="AB13" s="181">
        <f t="shared" si="1"/>
        <v>4.2383063256164789E-2</v>
      </c>
      <c r="AC13" s="182">
        <f t="shared" si="8"/>
        <v>281.66512348149433</v>
      </c>
    </row>
    <row r="14" spans="2:30" ht="15.75" thickBot="1" x14ac:dyDescent="0.3">
      <c r="B14" s="1">
        <v>566</v>
      </c>
      <c r="C14" t="s">
        <v>31</v>
      </c>
      <c r="D14" s="2"/>
      <c r="H14" s="101"/>
      <c r="I14" s="118"/>
      <c r="J14" s="2">
        <f t="shared" si="0"/>
        <v>0</v>
      </c>
      <c r="K14" s="2">
        <f t="shared" si="2"/>
        <v>0</v>
      </c>
      <c r="L14" s="221">
        <f t="shared" ref="L14:Q14" si="18">$J$36*L3</f>
        <v>0</v>
      </c>
      <c r="M14" s="221">
        <f t="shared" si="18"/>
        <v>0</v>
      </c>
      <c r="N14" s="221">
        <f t="shared" si="18"/>
        <v>0</v>
      </c>
      <c r="O14" s="221">
        <f t="shared" si="18"/>
        <v>0</v>
      </c>
      <c r="P14" s="221">
        <f t="shared" si="18"/>
        <v>0</v>
      </c>
      <c r="Q14" s="221">
        <f t="shared" si="18"/>
        <v>0</v>
      </c>
      <c r="R14" s="240">
        <f t="shared" si="9"/>
        <v>0</v>
      </c>
      <c r="S14" s="240">
        <f t="shared" si="10"/>
        <v>0</v>
      </c>
      <c r="T14" s="240">
        <f t="shared" si="11"/>
        <v>0</v>
      </c>
      <c r="U14" s="240">
        <f t="shared" si="12"/>
        <v>0</v>
      </c>
      <c r="V14" s="240">
        <f t="shared" si="13"/>
        <v>0</v>
      </c>
      <c r="W14" s="240">
        <f t="shared" si="14"/>
        <v>0</v>
      </c>
      <c r="X14" s="240">
        <f t="shared" si="15"/>
        <v>0</v>
      </c>
      <c r="Y14" s="240">
        <f t="shared" si="16"/>
        <v>0</v>
      </c>
      <c r="Z14" s="240">
        <f t="shared" si="17"/>
        <v>0</v>
      </c>
      <c r="AA14" s="221">
        <f>$J$36*AA3</f>
        <v>0</v>
      </c>
      <c r="AB14" s="226">
        <f t="shared" si="1"/>
        <v>0</v>
      </c>
      <c r="AC14" s="188">
        <f t="shared" si="8"/>
        <v>0</v>
      </c>
    </row>
    <row r="15" spans="2:30" x14ac:dyDescent="0.25">
      <c r="B15" s="1" t="s">
        <v>32</v>
      </c>
      <c r="C15" s="230" t="s">
        <v>73</v>
      </c>
      <c r="D15" s="231"/>
      <c r="E15" s="230"/>
      <c r="F15" s="230"/>
      <c r="G15" s="231"/>
      <c r="H15" s="231">
        <v>3966.92</v>
      </c>
      <c r="I15" s="231"/>
      <c r="J15" s="2">
        <f t="shared" si="0"/>
        <v>1.8028279109929497E-2</v>
      </c>
      <c r="K15" s="2">
        <f t="shared" si="2"/>
        <v>1.6458728066912655E-2</v>
      </c>
      <c r="L15" s="232">
        <f>J15*$L$3</f>
        <v>237.7055643062869</v>
      </c>
      <c r="M15" s="232">
        <f>J15*$M$3</f>
        <v>55.592362028960792</v>
      </c>
      <c r="N15" s="232">
        <f>J15*$N$3</f>
        <v>99.348978539461768</v>
      </c>
      <c r="O15" s="232">
        <f>J15*$O$3</f>
        <v>18.215232364299467</v>
      </c>
      <c r="P15" s="232">
        <f>J15*$P$3</f>
        <v>33.383144710647549</v>
      </c>
      <c r="Q15" s="232"/>
      <c r="R15" s="240">
        <f t="shared" si="9"/>
        <v>22.688521227519765</v>
      </c>
      <c r="S15" s="240">
        <f t="shared" si="10"/>
        <v>45.800031766359183</v>
      </c>
      <c r="T15" s="240">
        <f t="shared" si="11"/>
        <v>95.049154586420585</v>
      </c>
      <c r="U15" s="240">
        <f t="shared" si="12"/>
        <v>19.380316886070322</v>
      </c>
      <c r="V15" s="240">
        <f t="shared" si="13"/>
        <v>20.176260975386214</v>
      </c>
      <c r="W15" s="240">
        <f t="shared" si="14"/>
        <v>12.582862194435394</v>
      </c>
      <c r="X15" s="240">
        <f t="shared" si="15"/>
        <v>65.38196807124919</v>
      </c>
      <c r="Y15" s="240">
        <f t="shared" si="16"/>
        <v>49.474936569139437</v>
      </c>
      <c r="Z15" s="240">
        <f t="shared" si="17"/>
        <v>5.1351231568767481</v>
      </c>
      <c r="AA15" s="232"/>
      <c r="AB15" s="233">
        <f t="shared" si="1"/>
        <v>1.1878754014250899E-2</v>
      </c>
      <c r="AC15" s="217">
        <f>AB15*$AC$3</f>
        <v>78.942635552507198</v>
      </c>
    </row>
    <row r="16" spans="2:30" x14ac:dyDescent="0.25">
      <c r="B16" s="1" t="s">
        <v>33</v>
      </c>
      <c r="C16" s="230" t="s">
        <v>115</v>
      </c>
      <c r="D16" s="231"/>
      <c r="E16" s="230"/>
      <c r="F16" s="230"/>
      <c r="G16" s="231"/>
      <c r="H16" s="231">
        <v>5307.69</v>
      </c>
      <c r="I16" s="231"/>
      <c r="J16" s="2">
        <f t="shared" si="0"/>
        <v>2.4121614942822566E-2</v>
      </c>
      <c r="K16" s="2">
        <f t="shared" si="2"/>
        <v>2.2021575018773158E-2</v>
      </c>
      <c r="L16" s="232">
        <f t="shared" si="3"/>
        <v>318.04711126335695</v>
      </c>
      <c r="M16" s="232">
        <f t="shared" si="4"/>
        <v>74.381894269986518</v>
      </c>
      <c r="N16" s="232">
        <f t="shared" si="5"/>
        <v>132.92770711386058</v>
      </c>
      <c r="O16" s="232">
        <f t="shared" si="6"/>
        <v>24.371756089779637</v>
      </c>
      <c r="P16" s="232">
        <f t="shared" si="7"/>
        <v>44.666235605773977</v>
      </c>
      <c r="Q16" s="232"/>
      <c r="R16" s="240">
        <f t="shared" si="9"/>
        <v>30.356961379128986</v>
      </c>
      <c r="S16" s="240">
        <f t="shared" si="10"/>
        <v>61.279877236240438</v>
      </c>
      <c r="T16" s="240">
        <f t="shared" si="11"/>
        <v>127.17459573341499</v>
      </c>
      <c r="U16" s="240">
        <f t="shared" si="12"/>
        <v>25.930624800355581</v>
      </c>
      <c r="V16" s="240">
        <f t="shared" si="13"/>
        <v>26.995588168263449</v>
      </c>
      <c r="W16" s="240">
        <f t="shared" si="14"/>
        <v>16.835714317602267</v>
      </c>
      <c r="X16" s="240">
        <f t="shared" si="15"/>
        <v>87.480266330576001</v>
      </c>
      <c r="Y16" s="240">
        <f t="shared" si="16"/>
        <v>66.196854506432118</v>
      </c>
      <c r="Z16" s="240">
        <f t="shared" si="17"/>
        <v>6.8707314058572253</v>
      </c>
      <c r="AA16" s="232"/>
      <c r="AB16" s="233">
        <f t="shared" si="1"/>
        <v>1.5893626262667094E-2</v>
      </c>
      <c r="AC16" s="217">
        <f t="shared" si="8"/>
        <v>105.62427205380671</v>
      </c>
    </row>
    <row r="17" spans="2:29" x14ac:dyDescent="0.25">
      <c r="B17" s="1" t="s">
        <v>35</v>
      </c>
      <c r="C17" s="230" t="s">
        <v>36</v>
      </c>
      <c r="D17" s="231"/>
      <c r="E17" s="234"/>
      <c r="F17" s="234"/>
      <c r="G17" s="231"/>
      <c r="H17" s="231">
        <v>5802</v>
      </c>
      <c r="I17" s="235"/>
      <c r="J17" s="2">
        <f t="shared" si="0"/>
        <v>2.636808289449017E-2</v>
      </c>
      <c r="K17" s="2">
        <f t="shared" si="2"/>
        <v>2.4072464341158183E-2</v>
      </c>
      <c r="L17" s="232">
        <f t="shared" si="3"/>
        <v>347.66712817628706</v>
      </c>
      <c r="M17" s="232">
        <f t="shared" si="4"/>
        <v>81.309147775107775</v>
      </c>
      <c r="N17" s="232">
        <f t="shared" si="5"/>
        <v>145.3073854491538</v>
      </c>
      <c r="O17" s="232">
        <f t="shared" si="6"/>
        <v>26.641519914106034</v>
      </c>
      <c r="P17" s="232">
        <f t="shared" si="7"/>
        <v>48.826042776556392</v>
      </c>
      <c r="Q17" s="232"/>
      <c r="R17" s="240">
        <f t="shared" si="9"/>
        <v>33.184132818929967</v>
      </c>
      <c r="S17" s="240">
        <f t="shared" si="10"/>
        <v>66.98692797142769</v>
      </c>
      <c r="T17" s="240">
        <f t="shared" si="11"/>
        <v>139.0184815701885</v>
      </c>
      <c r="U17" s="240">
        <f t="shared" si="12"/>
        <v>28.345567486357172</v>
      </c>
      <c r="V17" s="240">
        <f t="shared" si="13"/>
        <v>29.509711861895578</v>
      </c>
      <c r="W17" s="240">
        <f t="shared" si="14"/>
        <v>18.403639713458844</v>
      </c>
      <c r="X17" s="240">
        <f t="shared" si="15"/>
        <v>95.62738314596406</v>
      </c>
      <c r="Y17" s="240">
        <f t="shared" si="16"/>
        <v>72.3618278095215</v>
      </c>
      <c r="Z17" s="240">
        <f t="shared" si="17"/>
        <v>7.5106088744413535</v>
      </c>
      <c r="AA17" s="232"/>
      <c r="AB17" s="233">
        <f t="shared" si="1"/>
        <v>1.7373814140613803E-2</v>
      </c>
      <c r="AC17" s="217">
        <f t="shared" si="8"/>
        <v>115.46115663427715</v>
      </c>
    </row>
    <row r="18" spans="2:29" x14ac:dyDescent="0.25">
      <c r="B18" s="1" t="s">
        <v>37</v>
      </c>
      <c r="C18" s="230" t="s">
        <v>38</v>
      </c>
      <c r="D18" s="231"/>
      <c r="E18" s="230"/>
      <c r="F18" s="230"/>
      <c r="G18" s="231"/>
      <c r="H18" s="231">
        <v>3000</v>
      </c>
      <c r="I18" s="231"/>
      <c r="J18" s="2">
        <f t="shared" si="0"/>
        <v>1.3633962199839799E-2</v>
      </c>
      <c r="K18" s="2">
        <f t="shared" si="2"/>
        <v>1.2446982596255523E-2</v>
      </c>
      <c r="L18" s="232">
        <f t="shared" si="3"/>
        <v>179.76583669921772</v>
      </c>
      <c r="M18" s="232">
        <f t="shared" si="4"/>
        <v>42.04195851867</v>
      </c>
      <c r="N18" s="232">
        <f t="shared" si="5"/>
        <v>75.133084513523173</v>
      </c>
      <c r="O18" s="232">
        <f t="shared" si="6"/>
        <v>13.775346387852137</v>
      </c>
      <c r="P18" s="232">
        <f t="shared" si="7"/>
        <v>25.246144145065355</v>
      </c>
      <c r="Q18" s="232"/>
      <c r="R18" s="240">
        <f t="shared" si="9"/>
        <v>17.158289978764202</v>
      </c>
      <c r="S18" s="240">
        <f t="shared" si="10"/>
        <v>34.636467410252166</v>
      </c>
      <c r="T18" s="240">
        <f t="shared" si="11"/>
        <v>71.881324493375644</v>
      </c>
      <c r="U18" s="240">
        <f t="shared" si="12"/>
        <v>14.656446476916841</v>
      </c>
      <c r="V18" s="240">
        <f t="shared" si="13"/>
        <v>15.258382555271757</v>
      </c>
      <c r="W18" s="240">
        <f t="shared" si="14"/>
        <v>9.5158426646633103</v>
      </c>
      <c r="X18" s="240">
        <f t="shared" si="15"/>
        <v>49.44538942397314</v>
      </c>
      <c r="Y18" s="240">
        <f t="shared" si="16"/>
        <v>37.415629684344104</v>
      </c>
      <c r="Z18" s="240">
        <f t="shared" si="17"/>
        <v>3.8834585700317232</v>
      </c>
      <c r="AA18" s="232"/>
      <c r="AB18" s="233">
        <f t="shared" si="1"/>
        <v>8.9833578803587399E-3</v>
      </c>
      <c r="AC18" s="217">
        <f t="shared" si="8"/>
        <v>59.700701465500075</v>
      </c>
    </row>
    <row r="19" spans="2:29" x14ac:dyDescent="0.25">
      <c r="B19" s="1">
        <v>335</v>
      </c>
      <c r="C19" s="230" t="s">
        <v>39</v>
      </c>
      <c r="D19" s="231"/>
      <c r="E19" s="230"/>
      <c r="F19" s="230"/>
      <c r="G19" s="231"/>
      <c r="H19" s="31">
        <v>4701.68</v>
      </c>
      <c r="I19" s="31"/>
      <c r="J19" s="31">
        <f t="shared" si="0"/>
        <v>2.1367509131914264E-2</v>
      </c>
      <c r="K19" s="31">
        <f t="shared" si="2"/>
        <v>1.9507243044387557E-2</v>
      </c>
      <c r="L19" s="189">
        <f t="shared" ref="L19" si="19">J19*$L$3</f>
        <v>281.73381303065935</v>
      </c>
      <c r="M19" s="189">
        <f t="shared" ref="M19" si="20">J19*$M$3</f>
        <v>65.88927850935346</v>
      </c>
      <c r="N19" s="189">
        <f t="shared" ref="N19" si="21">J19*$N$3</f>
        <v>117.75057359851388</v>
      </c>
      <c r="O19" s="189">
        <f t="shared" ref="O19" si="22">J19*$O$3</f>
        <v>21.589090201612215</v>
      </c>
      <c r="P19" s="189">
        <f t="shared" ref="P19" si="23">J19*$P$3</f>
        <v>39.566430334656964</v>
      </c>
      <c r="Q19" s="189"/>
      <c r="R19" s="274">
        <f t="shared" si="9"/>
        <v>26.89092960911869</v>
      </c>
      <c r="S19" s="274">
        <f t="shared" si="10"/>
        <v>54.283195364478139</v>
      </c>
      <c r="T19" s="274">
        <f t="shared" si="11"/>
        <v>112.65432858133813</v>
      </c>
      <c r="U19" s="274">
        <f t="shared" si="12"/>
        <v>22.96997375719679</v>
      </c>
      <c r="V19" s="274">
        <f t="shared" si="13"/>
        <v>23.913344030823371</v>
      </c>
      <c r="W19" s="274">
        <f t="shared" si="14"/>
        <v>14.91348237986473</v>
      </c>
      <c r="X19" s="274">
        <f t="shared" si="15"/>
        <v>77.49213284896868</v>
      </c>
      <c r="Y19" s="274">
        <f t="shared" si="16"/>
        <v>58.638772591428996</v>
      </c>
      <c r="Z19" s="274">
        <f t="shared" si="17"/>
        <v>6.0862598298489177</v>
      </c>
      <c r="AA19" s="189"/>
      <c r="AB19" s="190">
        <f t="shared" si="1"/>
        <v>1.4078958026308363E-2</v>
      </c>
      <c r="AC19" s="191">
        <f t="shared" ref="AC19" si="24">AB19*$AC$3</f>
        <v>93.564531355437481</v>
      </c>
    </row>
    <row r="20" spans="2:29" ht="15.75" thickBot="1" x14ac:dyDescent="0.3">
      <c r="B20" s="1">
        <v>368</v>
      </c>
      <c r="C20" t="s">
        <v>40</v>
      </c>
      <c r="D20" s="2"/>
      <c r="H20" s="101">
        <v>3922.8</v>
      </c>
      <c r="J20" s="2">
        <f t="shared" si="0"/>
        <v>1.7827768972510521E-2</v>
      </c>
      <c r="K20" s="2">
        <f t="shared" si="2"/>
        <v>1.6275674442863722E-2</v>
      </c>
      <c r="L20" s="221">
        <f>J20*$L$3</f>
        <v>235.06180806789709</v>
      </c>
      <c r="M20" s="221">
        <f>J20*$M$3</f>
        <v>54.974064959012892</v>
      </c>
      <c r="N20" s="221">
        <f>J20*$N$3</f>
        <v>98.244021309882896</v>
      </c>
      <c r="O20" s="221">
        <f>J20*$O$3</f>
        <v>18.012642936755455</v>
      </c>
      <c r="P20" s="221">
        <f>J20*$P$3</f>
        <v>33.011858084087457</v>
      </c>
      <c r="Q20" s="221"/>
      <c r="R20" s="240">
        <f t="shared" si="9"/>
        <v>22.436179976232069</v>
      </c>
      <c r="S20" s="240">
        <f t="shared" si="10"/>
        <v>45.290644785645732</v>
      </c>
      <c r="T20" s="240">
        <f t="shared" si="11"/>
        <v>93.992019907537994</v>
      </c>
      <c r="U20" s="240">
        <f t="shared" si="12"/>
        <v>19.164769413216462</v>
      </c>
      <c r="V20" s="240">
        <f t="shared" si="13"/>
        <v>19.951861029273349</v>
      </c>
      <c r="W20" s="240">
        <f t="shared" si="14"/>
        <v>12.442915868313744</v>
      </c>
      <c r="X20" s="240">
        <f t="shared" si="15"/>
        <v>64.65479121078728</v>
      </c>
      <c r="Y20" s="240">
        <f t="shared" si="16"/>
        <v>48.924677375248351</v>
      </c>
      <c r="Z20" s="240">
        <f t="shared" si="17"/>
        <v>5.0780104261734813</v>
      </c>
      <c r="AA20" s="176"/>
      <c r="AB20" s="177">
        <f t="shared" si="1"/>
        <v>1.174663876435709E-2</v>
      </c>
      <c r="AC20" s="178">
        <f>AB20*$AC$3</f>
        <v>78.064637236287908</v>
      </c>
    </row>
    <row r="21" spans="2:29" ht="15.75" thickBot="1" x14ac:dyDescent="0.3">
      <c r="B21" s="1">
        <v>451</v>
      </c>
      <c r="C21" t="s">
        <v>41</v>
      </c>
      <c r="D21" s="2"/>
      <c r="H21" s="102">
        <v>23500.57</v>
      </c>
      <c r="I21" s="31"/>
      <c r="J21" s="2">
        <f t="shared" si="0"/>
        <v>0.10680196101822972</v>
      </c>
      <c r="K21" s="2">
        <f t="shared" si="2"/>
        <v>9.7503728597361561E-2</v>
      </c>
      <c r="L21" s="179">
        <f t="shared" si="3"/>
        <v>1408.1998763195115</v>
      </c>
      <c r="M21" s="179">
        <f t="shared" si="4"/>
        <v>329.33666303503355</v>
      </c>
      <c r="N21" s="179">
        <f t="shared" si="5"/>
        <v>588.55677064198903</v>
      </c>
      <c r="O21" s="179">
        <f t="shared" si="6"/>
        <v>107.90949735398877</v>
      </c>
      <c r="P21" s="179">
        <f t="shared" si="7"/>
        <v>197.76625923706618</v>
      </c>
      <c r="Q21" s="179"/>
      <c r="R21" s="251">
        <f t="shared" si="9"/>
        <v>134.40986490874889</v>
      </c>
      <c r="S21" s="251">
        <f t="shared" si="10"/>
        <v>271.32557564244996</v>
      </c>
      <c r="T21" s="251">
        <f t="shared" si="11"/>
        <v>563.084032649763</v>
      </c>
      <c r="U21" s="251">
        <f t="shared" si="12"/>
        <v>114.81161546067921</v>
      </c>
      <c r="V21" s="251">
        <f t="shared" si="13"/>
        <v>119.5268957756476</v>
      </c>
      <c r="W21" s="251">
        <f t="shared" si="14"/>
        <v>74.542575549968888</v>
      </c>
      <c r="X21" s="251">
        <f t="shared" si="15"/>
        <v>387.33161177844687</v>
      </c>
      <c r="Y21" s="251">
        <f t="shared" si="16"/>
        <v>293.09620816366885</v>
      </c>
      <c r="Z21" s="251">
        <f t="shared" si="17"/>
        <v>30.421163322376806</v>
      </c>
      <c r="AA21" s="179"/>
      <c r="AB21" s="177">
        <f t="shared" si="1"/>
        <v>7.0371343567474071E-2</v>
      </c>
      <c r="AC21" s="178">
        <f t="shared" si="8"/>
        <v>467.66683794636242</v>
      </c>
    </row>
    <row r="22" spans="2:29" x14ac:dyDescent="0.25">
      <c r="B22" s="1">
        <v>467</v>
      </c>
      <c r="C22" t="s">
        <v>44</v>
      </c>
      <c r="D22" s="2"/>
      <c r="H22" s="101">
        <v>6769.25</v>
      </c>
      <c r="J22" s="2">
        <f t="shared" si="0"/>
        <v>3.0763899540421854E-2</v>
      </c>
      <c r="K22" s="2">
        <f t="shared" si="2"/>
        <v>2.80855789799009E-2</v>
      </c>
      <c r="L22" s="221">
        <f>J22*$L$3</f>
        <v>405.62663002539318</v>
      </c>
      <c r="M22" s="221">
        <f>J22*$M$3</f>
        <v>94.864175900835633</v>
      </c>
      <c r="N22" s="221">
        <f>J22*$N$3</f>
        <v>169.53154411438891</v>
      </c>
      <c r="O22" s="221">
        <f>J22*$O$3</f>
        <v>31.082921178656029</v>
      </c>
      <c r="P22" s="221">
        <f>J22*$P$3</f>
        <v>56.96582041799455</v>
      </c>
      <c r="Q22" s="221"/>
      <c r="R22" s="240">
        <f t="shared" si="9"/>
        <v>38.716251479583192</v>
      </c>
      <c r="S22" s="240">
        <f t="shared" si="10"/>
        <v>78.154302338949833</v>
      </c>
      <c r="T22" s="240">
        <f t="shared" si="11"/>
        <v>162.19421860892768</v>
      </c>
      <c r="U22" s="240">
        <f t="shared" si="12"/>
        <v>33.071050104623112</v>
      </c>
      <c r="V22" s="240">
        <f t="shared" si="13"/>
        <v>34.429268704091115</v>
      </c>
      <c r="W22" s="240">
        <f t="shared" si="14"/>
        <v>21.471705985924036</v>
      </c>
      <c r="X22" s="240">
        <f t="shared" si="15"/>
        <v>111.56940078607673</v>
      </c>
      <c r="Y22" s="240">
        <f t="shared" si="16"/>
        <v>84.425250413582106</v>
      </c>
      <c r="Z22" s="240">
        <f t="shared" si="17"/>
        <v>8.7627006417290811</v>
      </c>
      <c r="AA22" s="176"/>
      <c r="AB22" s="177">
        <f t="shared" si="1"/>
        <v>2.0270198443872803E-2</v>
      </c>
      <c r="AC22" s="178">
        <f>AB22*$AC$3</f>
        <v>134.70965779844548</v>
      </c>
    </row>
    <row r="23" spans="2:29" x14ac:dyDescent="0.25">
      <c r="B23" s="1">
        <v>468</v>
      </c>
      <c r="C23" t="s">
        <v>45</v>
      </c>
      <c r="D23" s="2"/>
      <c r="H23" s="101">
        <v>4730.78</v>
      </c>
      <c r="J23" s="2">
        <f t="shared" si="0"/>
        <v>2.1499758565252707E-2</v>
      </c>
      <c r="K23" s="2">
        <f t="shared" si="2"/>
        <v>1.9627978775571233E-2</v>
      </c>
      <c r="L23" s="221">
        <f>J23*$L$3</f>
        <v>283.47754164664173</v>
      </c>
      <c r="M23" s="221">
        <f>J23*$M$3</f>
        <v>66.297085506984544</v>
      </c>
      <c r="N23" s="221">
        <f>J23*$N$3</f>
        <v>118.47936451829504</v>
      </c>
      <c r="O23" s="221">
        <f>J23*$O$3</f>
        <v>21.722711061574376</v>
      </c>
      <c r="P23" s="221">
        <f>J23*$P$3</f>
        <v>39.811317932864092</v>
      </c>
      <c r="Q23" s="221"/>
      <c r="R23" s="240">
        <f t="shared" si="9"/>
        <v>27.057365021912702</v>
      </c>
      <c r="S23" s="240">
        <f t="shared" si="10"/>
        <v>54.619169098357581</v>
      </c>
      <c r="T23" s="240">
        <f t="shared" si="11"/>
        <v>113.35157742892387</v>
      </c>
      <c r="U23" s="240">
        <f t="shared" si="12"/>
        <v>23.112141288022883</v>
      </c>
      <c r="V23" s="240">
        <f t="shared" si="13"/>
        <v>24.061350341609504</v>
      </c>
      <c r="W23" s="240">
        <f t="shared" si="14"/>
        <v>15.005786053711963</v>
      </c>
      <c r="X23" s="240">
        <f t="shared" si="15"/>
        <v>77.971753126381216</v>
      </c>
      <c r="Y23" s="240">
        <f t="shared" si="16"/>
        <v>59.001704199367126</v>
      </c>
      <c r="Z23" s="240">
        <f t="shared" si="17"/>
        <v>6.1239293779782251</v>
      </c>
      <c r="AA23" s="176"/>
      <c r="AB23" s="177">
        <f t="shared" si="1"/>
        <v>1.416609659774784E-2</v>
      </c>
      <c r="AC23" s="178">
        <f>AB23*$AC$3</f>
        <v>94.14362815965282</v>
      </c>
    </row>
    <row r="24" spans="2:29" x14ac:dyDescent="0.25">
      <c r="B24" s="1">
        <v>502</v>
      </c>
      <c r="C24" t="s">
        <v>46</v>
      </c>
      <c r="D24" s="2"/>
      <c r="H24" s="101">
        <v>1026</v>
      </c>
      <c r="J24" s="2">
        <f t="shared" si="0"/>
        <v>4.6628150723452113E-3</v>
      </c>
      <c r="K24" s="2">
        <f t="shared" si="2"/>
        <v>4.2568680479193894E-3</v>
      </c>
      <c r="L24" s="221">
        <f t="shared" si="3"/>
        <v>61.479916151132457</v>
      </c>
      <c r="M24" s="221">
        <f t="shared" si="4"/>
        <v>14.378349813385141</v>
      </c>
      <c r="N24" s="221">
        <f t="shared" si="5"/>
        <v>25.695514903624925</v>
      </c>
      <c r="O24" s="221">
        <f t="shared" si="6"/>
        <v>4.7111684646454313</v>
      </c>
      <c r="P24" s="221">
        <f t="shared" si="7"/>
        <v>8.6341812976123506</v>
      </c>
      <c r="Q24" s="221"/>
      <c r="R24" s="240">
        <f t="shared" si="9"/>
        <v>5.8681351727373574</v>
      </c>
      <c r="S24" s="240">
        <f t="shared" si="10"/>
        <v>11.845671854306243</v>
      </c>
      <c r="T24" s="240">
        <f t="shared" si="11"/>
        <v>24.583412976734472</v>
      </c>
      <c r="U24" s="240">
        <f t="shared" si="12"/>
        <v>5.0125046951055605</v>
      </c>
      <c r="V24" s="240">
        <f t="shared" si="13"/>
        <v>5.218366833902941</v>
      </c>
      <c r="W24" s="240">
        <f t="shared" si="14"/>
        <v>3.2544181913148522</v>
      </c>
      <c r="X24" s="240">
        <f t="shared" si="15"/>
        <v>16.910323182998816</v>
      </c>
      <c r="Y24" s="240">
        <f t="shared" si="16"/>
        <v>12.796145352045684</v>
      </c>
      <c r="Z24" s="240">
        <f t="shared" si="17"/>
        <v>1.3281428309508494</v>
      </c>
      <c r="AA24" s="176"/>
      <c r="AB24" s="177">
        <f t="shared" si="1"/>
        <v>3.0723083950826894E-3</v>
      </c>
      <c r="AC24" s="178">
        <f t="shared" si="8"/>
        <v>20.417639901201028</v>
      </c>
    </row>
    <row r="25" spans="2:29" x14ac:dyDescent="0.25">
      <c r="B25" s="1">
        <v>515</v>
      </c>
      <c r="C25" t="s">
        <v>47</v>
      </c>
      <c r="D25" s="2"/>
      <c r="H25" s="101">
        <v>3702.93</v>
      </c>
      <c r="J25" s="2">
        <f t="shared" si="0"/>
        <v>1.6828535882884261E-2</v>
      </c>
      <c r="K25" s="2">
        <f t="shared" si="2"/>
        <v>1.5363435088384154E-2</v>
      </c>
      <c r="L25" s="221">
        <f>J25*$L$3</f>
        <v>221.8867698962114</v>
      </c>
      <c r="M25" s="221">
        <f>J25*$M$3</f>
        <v>51.892809819179561</v>
      </c>
      <c r="N25" s="221">
        <f>J25*$N$3</f>
        <v>92.737517545886774</v>
      </c>
      <c r="O25" s="221">
        <f>J25*$O$3</f>
        <v>17.003047799989769</v>
      </c>
      <c r="P25" s="221">
        <f>J25*$P$3</f>
        <v>31.161568179695614</v>
      </c>
      <c r="Q25" s="221"/>
      <c r="R25" s="240">
        <f>K25*$R$3</f>
        <v>21.17864890368844</v>
      </c>
      <c r="S25" s="240">
        <f>K25*$S$3</f>
        <v>42.752138089148353</v>
      </c>
      <c r="T25" s="240">
        <f>K25*$T$3</f>
        <v>88.723837635418491</v>
      </c>
      <c r="U25" s="240">
        <f>K25*$U$3</f>
        <v>18.090598450923224</v>
      </c>
      <c r="V25" s="240">
        <f>K25*$V$3</f>
        <v>18.83357417179748</v>
      </c>
      <c r="W25" s="240">
        <f>K25*$W$3</f>
        <v>11.74549975942057</v>
      </c>
      <c r="X25" s="240">
        <f>K25*$X$3</f>
        <v>61.030938619904283</v>
      </c>
      <c r="Y25" s="240">
        <f>K25*$Y$3</f>
        <v>46.182485875682765</v>
      </c>
      <c r="Z25" s="240">
        <f>K25*$Z$3</f>
        <v>4.7933917475758561</v>
      </c>
      <c r="AA25" s="176"/>
      <c r="AB25" s="177">
        <f t="shared" si="1"/>
        <v>1.1088248465305596E-2</v>
      </c>
      <c r="AC25" s="178">
        <f>AB25*$AC$3</f>
        <v>73.6891728258814</v>
      </c>
    </row>
    <row r="26" spans="2:29" x14ac:dyDescent="0.25">
      <c r="B26" s="1">
        <v>525</v>
      </c>
      <c r="C26" t="s">
        <v>48</v>
      </c>
      <c r="D26" s="2"/>
      <c r="H26" s="101">
        <v>1038.47</v>
      </c>
      <c r="J26" s="2">
        <f t="shared" si="0"/>
        <v>4.7194869085558791E-3</v>
      </c>
      <c r="K26" s="2">
        <f t="shared" si="2"/>
        <v>4.3086060055778242E-3</v>
      </c>
      <c r="L26" s="221">
        <f>J26*$L$3</f>
        <v>62.227142812345548</v>
      </c>
      <c r="M26" s="221">
        <f>J26*$M$3</f>
        <v>14.55310422096108</v>
      </c>
      <c r="N26" s="221">
        <f>J26*$N$3</f>
        <v>26.007818091586138</v>
      </c>
      <c r="O26" s="221">
        <f>J26*$O$3</f>
        <v>4.7684279877976037</v>
      </c>
      <c r="P26" s="221">
        <f>J26*$P$3</f>
        <v>8.7391211034420078</v>
      </c>
      <c r="Q26" s="221"/>
      <c r="R26" s="240">
        <f>K26*$R$3</f>
        <v>5.9394564647490862</v>
      </c>
      <c r="S26" s="240">
        <f>K26*$S$3</f>
        <v>11.989644103841522</v>
      </c>
      <c r="T26" s="240">
        <f>K26*$T$3</f>
        <v>24.882199682211933</v>
      </c>
      <c r="U26" s="240">
        <f>K26*$U$3</f>
        <v>5.0734266576279436</v>
      </c>
      <c r="V26" s="240">
        <f>K26*$V$3</f>
        <v>5.2817908440576868</v>
      </c>
      <c r="W26" s="240">
        <f>K26*$W$3</f>
        <v>3.2939723773243021</v>
      </c>
      <c r="X26" s="240">
        <f>K26*$X$3</f>
        <v>17.115851185037794</v>
      </c>
      <c r="Y26" s="240">
        <f>K26*$Y$3</f>
        <v>12.95166965276694</v>
      </c>
      <c r="Z26" s="240">
        <f>K26*$Z$3</f>
        <v>1.3442850737402812</v>
      </c>
      <c r="AA26" s="176"/>
      <c r="AB26" s="177">
        <f t="shared" si="1"/>
        <v>3.1096492193387138E-3</v>
      </c>
      <c r="AC26" s="178">
        <f>AB26*$AC$3</f>
        <v>20.665795816959289</v>
      </c>
    </row>
    <row r="27" spans="2:29" x14ac:dyDescent="0.25">
      <c r="B27" s="1">
        <v>560</v>
      </c>
      <c r="C27" t="s">
        <v>49</v>
      </c>
      <c r="D27" s="2"/>
      <c r="H27" s="255">
        <v>2076.92</v>
      </c>
      <c r="I27" s="256"/>
      <c r="J27" s="256">
        <f t="shared" si="0"/>
        <v>9.438882924030426E-3</v>
      </c>
      <c r="K27" s="256">
        <f t="shared" si="2"/>
        <v>8.6171290312716739E-3</v>
      </c>
      <c r="L27" s="257">
        <f>J27*$L$3</f>
        <v>124.45308718577976</v>
      </c>
      <c r="M27" s="257">
        <f>J27*$M$3</f>
        <v>29.105928162198701</v>
      </c>
      <c r="N27" s="257">
        <f>J27*$N$3</f>
        <v>52.015135295942187</v>
      </c>
      <c r="O27" s="257">
        <f>J27*$O$3</f>
        <v>9.5367641399526217</v>
      </c>
      <c r="P27" s="257">
        <f>J27*$P$3</f>
        <v>17.47807389925638</v>
      </c>
      <c r="Q27" s="257"/>
      <c r="R27" s="258">
        <f t="shared" si="9"/>
        <v>11.878798540898314</v>
      </c>
      <c r="S27" s="258">
        <f t="shared" si="10"/>
        <v>23.979057297900312</v>
      </c>
      <c r="T27" s="258">
        <f t="shared" si="11"/>
        <v>49.763920155593915</v>
      </c>
      <c r="U27" s="258">
        <f t="shared" si="12"/>
        <v>10.146755605612709</v>
      </c>
      <c r="V27" s="258">
        <f t="shared" si="13"/>
        <v>10.563479965565007</v>
      </c>
      <c r="W27" s="258">
        <f t="shared" si="14"/>
        <v>6.5878813156975076</v>
      </c>
      <c r="X27" s="258">
        <f t="shared" si="15"/>
        <v>34.231372734146099</v>
      </c>
      <c r="Y27" s="258">
        <f t="shared" si="16"/>
        <v>25.903089868002652</v>
      </c>
      <c r="Z27" s="258">
        <f t="shared" si="17"/>
        <v>2.6885442577567624</v>
      </c>
      <c r="AA27" s="257"/>
      <c r="AB27" s="259">
        <f t="shared" si="1"/>
        <v>6.2192385496248918E-3</v>
      </c>
      <c r="AC27" s="260">
        <f>AB27*$AC$3</f>
        <v>41.331193629242144</v>
      </c>
    </row>
    <row r="28" spans="2:29" x14ac:dyDescent="0.25">
      <c r="B28" s="1">
        <v>564</v>
      </c>
      <c r="C28" t="s">
        <v>67</v>
      </c>
      <c r="D28" s="2"/>
      <c r="H28" s="253">
        <v>7038.47</v>
      </c>
      <c r="I28" s="99"/>
      <c r="J28" s="99">
        <f t="shared" si="0"/>
        <v>3.1987411308235479E-2</v>
      </c>
      <c r="K28" s="99">
        <f t="shared" si="2"/>
        <v>2.9202571198088872E-2</v>
      </c>
      <c r="L28" s="183">
        <f>J28*$L$3</f>
        <v>421.75881621078099</v>
      </c>
      <c r="M28" s="183">
        <f>J28*$M$3</f>
        <v>98.63702125830109</v>
      </c>
      <c r="N28" s="183">
        <f>J28*$N$3</f>
        <v>176.27398711863248</v>
      </c>
      <c r="O28" s="183">
        <f>J28*$O$3</f>
        <v>32.319120763501878</v>
      </c>
      <c r="P28" s="183">
        <f>J28*$P$3</f>
        <v>59.231409393572719</v>
      </c>
      <c r="Q28" s="183"/>
      <c r="R28" s="252">
        <f t="shared" ref="R28" si="25">K28*$R$3</f>
        <v>40.256036422277489</v>
      </c>
      <c r="S28" s="252">
        <f t="shared" ref="S28" si="26">K28*$S$3</f>
        <v>81.26257892434586</v>
      </c>
      <c r="T28" s="252">
        <f t="shared" ref="T28" si="27">K28*$T$3</f>
        <v>168.64484866896322</v>
      </c>
      <c r="U28" s="252">
        <f t="shared" ref="U28" si="28">K28*$U$3</f>
        <v>34.38631961146163</v>
      </c>
      <c r="V28" s="252">
        <f t="shared" ref="V28" si="29">K28*$V$3</f>
        <v>35.798555954601206</v>
      </c>
      <c r="W28" s="252">
        <f t="shared" ref="W28" si="30">K28*$W$3</f>
        <v>22.325657706650922</v>
      </c>
      <c r="X28" s="252">
        <f t="shared" ref="X28" si="31">K28*$X$3</f>
        <v>116.00663003298408</v>
      </c>
      <c r="Y28" s="252">
        <f t="shared" ref="Y28" si="32">K28*$Y$3</f>
        <v>87.782929021455146</v>
      </c>
      <c r="Z28" s="252">
        <f t="shared" ref="Z28" si="33">K28*$Z$3</f>
        <v>9.1112022138037272</v>
      </c>
      <c r="AA28" s="183"/>
      <c r="AB28" s="184">
        <f t="shared" si="1"/>
        <v>2.1076364980056196E-2</v>
      </c>
      <c r="AC28" s="254">
        <f>AB28*$AC$3</f>
        <v>140.06719874795945</v>
      </c>
    </row>
    <row r="29" spans="2:29" x14ac:dyDescent="0.25">
      <c r="B29" s="1">
        <v>567</v>
      </c>
      <c r="C29" t="s">
        <v>52</v>
      </c>
      <c r="D29" s="2"/>
      <c r="H29" s="101">
        <v>692.31</v>
      </c>
      <c r="J29" s="2">
        <f t="shared" si="0"/>
        <v>3.1463094568570304E-3</v>
      </c>
      <c r="K29" s="2">
        <f t="shared" si="2"/>
        <v>2.8723901737378868E-3</v>
      </c>
      <c r="L29" s="221">
        <f>J29*$L$3</f>
        <v>41.484562135078477</v>
      </c>
      <c r="M29" s="221">
        <f>J29*$M$3</f>
        <v>9.7020227673534762</v>
      </c>
      <c r="N29" s="221">
        <f>J29*$N$3</f>
        <v>17.338461913185743</v>
      </c>
      <c r="O29" s="221">
        <f>J29*$O$3</f>
        <v>3.1789366859246377</v>
      </c>
      <c r="P29" s="221">
        <f>J29*$P$3</f>
        <v>5.826052684356732</v>
      </c>
      <c r="Q29" s="221"/>
      <c r="R29" s="240">
        <f t="shared" si="9"/>
        <v>3.9596185783994144</v>
      </c>
      <c r="S29" s="240">
        <f t="shared" si="10"/>
        <v>7.9930575842638918</v>
      </c>
      <c r="T29" s="240">
        <f t="shared" si="11"/>
        <v>16.588053253336295</v>
      </c>
      <c r="U29" s="240">
        <f t="shared" si="12"/>
        <v>3.3822681534780989</v>
      </c>
      <c r="V29" s="240">
        <f t="shared" si="13"/>
        <v>3.5211769422800629</v>
      </c>
      <c r="W29" s="240">
        <f t="shared" si="14"/>
        <v>2.1959710117243518</v>
      </c>
      <c r="X29" s="240">
        <f t="shared" si="15"/>
        <v>11.410512517370281</v>
      </c>
      <c r="Y29" s="240">
        <f t="shared" si="16"/>
        <v>8.6344048622560869</v>
      </c>
      <c r="Z29" s="240">
        <f t="shared" si="17"/>
        <v>0.89618573420622072</v>
      </c>
      <c r="AA29" s="176"/>
      <c r="AB29" s="177">
        <f t="shared" si="1"/>
        <v>2.0730894980503863E-3</v>
      </c>
      <c r="AC29" s="178">
        <f>AB29*$AC$3</f>
        <v>13.777130877193452</v>
      </c>
    </row>
    <row r="30" spans="2:29" x14ac:dyDescent="0.25">
      <c r="B30" s="1">
        <v>610</v>
      </c>
      <c r="C30" t="s">
        <v>53</v>
      </c>
      <c r="D30" s="2"/>
      <c r="H30" s="101">
        <v>18071.54</v>
      </c>
      <c r="J30" s="2">
        <f t="shared" si="0"/>
        <v>8.2128897750964311E-2</v>
      </c>
      <c r="K30" s="2">
        <f t="shared" si="2"/>
        <v>7.4978714622511849E-2</v>
      </c>
      <c r="L30" s="221">
        <f t="shared" si="3"/>
        <v>1082.881836181127</v>
      </c>
      <c r="M30" s="221">
        <f t="shared" si="4"/>
        <v>253.25431168282856</v>
      </c>
      <c r="N30" s="221">
        <f t="shared" si="5"/>
        <v>452.59018070317154</v>
      </c>
      <c r="O30" s="221">
        <f t="shared" si="6"/>
        <v>82.980574420641815</v>
      </c>
      <c r="P30" s="221">
        <f t="shared" si="7"/>
        <v>152.07890125443814</v>
      </c>
      <c r="Q30" s="221"/>
      <c r="R30" s="240">
        <f t="shared" si="9"/>
        <v>103.35890789427881</v>
      </c>
      <c r="S30" s="240">
        <f t="shared" si="10"/>
        <v>208.64476875435616</v>
      </c>
      <c r="T30" s="240">
        <f t="shared" si="11"/>
        <v>433.00207694500591</v>
      </c>
      <c r="U30" s="240">
        <f t="shared" si="12"/>
        <v>88.288186255153931</v>
      </c>
      <c r="V30" s="240">
        <f t="shared" si="13"/>
        <v>91.9141568942986</v>
      </c>
      <c r="W30" s="240">
        <f t="shared" si="14"/>
        <v>57.32197711605653</v>
      </c>
      <c r="X30" s="240">
        <f t="shared" si="15"/>
        <v>297.85144426363587</v>
      </c>
      <c r="Y30" s="240">
        <f t="shared" si="16"/>
        <v>225.38601615527062</v>
      </c>
      <c r="Z30" s="240">
        <f t="shared" si="17"/>
        <v>23.393358962223697</v>
      </c>
      <c r="AA30" s="176"/>
      <c r="AB30" s="177">
        <f t="shared" si="1"/>
        <v>5.4114370423072732E-2</v>
      </c>
      <c r="AC30" s="178">
        <f t="shared" si="8"/>
        <v>359.62787152061446</v>
      </c>
    </row>
    <row r="31" spans="2:29" x14ac:dyDescent="0.25">
      <c r="B31" s="1">
        <v>620</v>
      </c>
      <c r="C31" t="s">
        <v>54</v>
      </c>
      <c r="D31" s="2"/>
      <c r="H31" s="101">
        <v>10153.85</v>
      </c>
      <c r="J31" s="2">
        <f t="shared" si="0"/>
        <v>4.6145735694281119E-2</v>
      </c>
      <c r="K31" s="2">
        <f t="shared" si="2"/>
        <v>4.2128264744996383E-2</v>
      </c>
      <c r="L31" s="221">
        <f t="shared" si="3"/>
        <v>608.43844698945065</v>
      </c>
      <c r="M31" s="221">
        <f t="shared" si="4"/>
        <v>142.29591350159913</v>
      </c>
      <c r="N31" s="221">
        <f t="shared" si="5"/>
        <v>254.29669006254576</v>
      </c>
      <c r="O31" s="221">
        <f t="shared" si="6"/>
        <v>46.624266973430814</v>
      </c>
      <c r="P31" s="221">
        <f t="shared" si="7"/>
        <v>85.448520242457292</v>
      </c>
      <c r="Q31" s="221"/>
      <c r="R31" s="240">
        <f t="shared" si="9"/>
        <v>58.074234233624964</v>
      </c>
      <c r="S31" s="240">
        <f t="shared" si="10"/>
        <v>117.23116487119633</v>
      </c>
      <c r="T31" s="240">
        <f t="shared" si="11"/>
        <v>243.29072890235412</v>
      </c>
      <c r="U31" s="240">
        <f t="shared" si="12"/>
        <v>49.606453019880689</v>
      </c>
      <c r="V31" s="240">
        <f t="shared" si="13"/>
        <v>51.643775902948711</v>
      </c>
      <c r="W31" s="240">
        <f t="shared" si="14"/>
        <v>32.207479680197181</v>
      </c>
      <c r="X31" s="240">
        <f t="shared" si="15"/>
        <v>167.35368913420322</v>
      </c>
      <c r="Y31" s="240">
        <f t="shared" si="16"/>
        <v>126.63756382345913</v>
      </c>
      <c r="Z31" s="240">
        <f t="shared" si="17"/>
        <v>13.144018600438871</v>
      </c>
      <c r="AA31" s="176"/>
      <c r="AB31" s="177">
        <f t="shared" si="1"/>
        <v>3.0405222804493533E-2</v>
      </c>
      <c r="AC31" s="178">
        <f t="shared" si="8"/>
        <v>202.06398919182266</v>
      </c>
    </row>
    <row r="32" spans="2:29" x14ac:dyDescent="0.25">
      <c r="B32" s="1">
        <v>630</v>
      </c>
      <c r="C32" t="s">
        <v>55</v>
      </c>
      <c r="D32" s="2"/>
      <c r="H32" s="101">
        <v>1892.31</v>
      </c>
      <c r="J32" s="2">
        <f t="shared" si="0"/>
        <v>8.5998943367929497E-3</v>
      </c>
      <c r="K32" s="2">
        <f t="shared" si="2"/>
        <v>7.8511832122400965E-3</v>
      </c>
      <c r="L32" s="221">
        <f t="shared" si="3"/>
        <v>113.39089681476555</v>
      </c>
      <c r="M32" s="221">
        <f t="shared" si="4"/>
        <v>26.518806174821474</v>
      </c>
      <c r="N32" s="221">
        <f t="shared" si="5"/>
        <v>47.39169571859501</v>
      </c>
      <c r="O32" s="221">
        <f t="shared" si="6"/>
        <v>8.6890752410654919</v>
      </c>
      <c r="P32" s="221">
        <f t="shared" si="7"/>
        <v>15.924510342382874</v>
      </c>
      <c r="Q32" s="221"/>
      <c r="R32" s="240">
        <f t="shared" si="9"/>
        <v>10.822934569905096</v>
      </c>
      <c r="S32" s="240">
        <f t="shared" si="10"/>
        <v>21.847644548364759</v>
      </c>
      <c r="T32" s="240">
        <f t="shared" si="11"/>
        <v>45.340583050686554</v>
      </c>
      <c r="U32" s="240">
        <f t="shared" si="12"/>
        <v>9.2448467442448354</v>
      </c>
      <c r="V32" s="240">
        <f t="shared" si="13"/>
        <v>9.624529964388767</v>
      </c>
      <c r="W32" s="240">
        <f t="shared" si="14"/>
        <v>6.0023080775896762</v>
      </c>
      <c r="X32" s="240">
        <f t="shared" si="15"/>
        <v>31.188668286959537</v>
      </c>
      <c r="Y32" s="240">
        <f t="shared" si="16"/>
        <v>23.600656735993731</v>
      </c>
      <c r="Z32" s="240">
        <f t="shared" si="17"/>
        <v>2.4495691622189102</v>
      </c>
      <c r="AA32" s="176"/>
      <c r="AB32" s="177">
        <f t="shared" si="1"/>
        <v>5.6664326501938821E-3</v>
      </c>
      <c r="AC32" s="178">
        <f t="shared" si="8"/>
        <v>37.65741146339348</v>
      </c>
    </row>
    <row r="33" spans="2:33" x14ac:dyDescent="0.25">
      <c r="B33" s="1">
        <v>650</v>
      </c>
      <c r="C33" t="s">
        <v>56</v>
      </c>
      <c r="D33" s="2"/>
      <c r="H33" s="101">
        <v>448.48</v>
      </c>
      <c r="I33" s="53"/>
      <c r="J33" s="2">
        <f t="shared" si="0"/>
        <v>2.0381864557947179E-3</v>
      </c>
      <c r="K33" s="2">
        <f t="shared" si="2"/>
        <v>1.8607409182562259E-3</v>
      </c>
      <c r="L33" s="221">
        <f t="shared" si="3"/>
        <v>26.873794147621723</v>
      </c>
      <c r="M33" s="221">
        <f t="shared" si="4"/>
        <v>6.2849925188177078</v>
      </c>
      <c r="N33" s="221">
        <f t="shared" si="5"/>
        <v>11.231895247541624</v>
      </c>
      <c r="O33" s="221">
        <f t="shared" si="6"/>
        <v>2.0593224493413094</v>
      </c>
      <c r="P33" s="221">
        <f t="shared" si="7"/>
        <v>3.7741302420596372</v>
      </c>
      <c r="Q33" s="221"/>
      <c r="R33" s="240">
        <f t="shared" si="9"/>
        <v>2.5650499632253898</v>
      </c>
      <c r="S33" s="240">
        <f t="shared" si="10"/>
        <v>5.1779209680499649</v>
      </c>
      <c r="T33" s="240">
        <f t="shared" si="11"/>
        <v>10.745778802929705</v>
      </c>
      <c r="U33" s="240">
        <f t="shared" si="12"/>
        <v>2.1910410386558885</v>
      </c>
      <c r="V33" s="240">
        <f t="shared" si="13"/>
        <v>2.2810264694627596</v>
      </c>
      <c r="W33" s="240">
        <f t="shared" si="14"/>
        <v>1.4225550394160673</v>
      </c>
      <c r="X33" s="240">
        <f t="shared" si="15"/>
        <v>7.3917560829544922</v>
      </c>
      <c r="Y33" s="240">
        <f t="shared" si="16"/>
        <v>5.5933872002782152</v>
      </c>
      <c r="Z33" s="240">
        <f t="shared" si="17"/>
        <v>0.58055116649594252</v>
      </c>
      <c r="AA33" s="176"/>
      <c r="AB33" s="177">
        <f t="shared" si="1"/>
        <v>1.342952114061096E-3</v>
      </c>
      <c r="AC33" s="178">
        <f t="shared" si="8"/>
        <v>8.9248568644158262</v>
      </c>
    </row>
    <row r="34" spans="2:33" x14ac:dyDescent="0.25">
      <c r="B34" s="1">
        <v>600</v>
      </c>
      <c r="C34" t="s">
        <v>57</v>
      </c>
      <c r="D34" s="2"/>
      <c r="H34" s="101"/>
      <c r="I34" s="2">
        <f>SUM(H6:H33)</f>
        <v>220038.75000000003</v>
      </c>
      <c r="J34" s="2"/>
      <c r="K34" s="2">
        <f t="shared" ref="K34" si="34">H34/$I$36</f>
        <v>0</v>
      </c>
      <c r="L34" s="221"/>
      <c r="M34" s="221"/>
      <c r="N34" s="221"/>
      <c r="O34" s="221"/>
      <c r="P34" s="221"/>
      <c r="Q34" s="221"/>
      <c r="R34" s="240">
        <f t="shared" si="9"/>
        <v>0</v>
      </c>
      <c r="S34" s="240">
        <f t="shared" si="10"/>
        <v>0</v>
      </c>
      <c r="T34" s="240">
        <f t="shared" si="11"/>
        <v>0</v>
      </c>
      <c r="U34" s="240">
        <f t="shared" si="12"/>
        <v>0</v>
      </c>
      <c r="V34" s="240">
        <f t="shared" si="13"/>
        <v>0</v>
      </c>
      <c r="W34" s="240">
        <f t="shared" si="14"/>
        <v>0</v>
      </c>
      <c r="X34" s="240">
        <f t="shared" si="15"/>
        <v>0</v>
      </c>
      <c r="Y34" s="240">
        <f t="shared" si="16"/>
        <v>0</v>
      </c>
      <c r="Z34" s="240">
        <f t="shared" si="17"/>
        <v>0</v>
      </c>
      <c r="AA34" s="176"/>
      <c r="AB34" s="177"/>
      <c r="AC34" s="178"/>
    </row>
    <row r="35" spans="2:33" ht="15.75" thickBot="1" x14ac:dyDescent="0.3">
      <c r="B35" s="1">
        <v>339</v>
      </c>
      <c r="C35" t="s">
        <v>58</v>
      </c>
      <c r="D35" s="2"/>
      <c r="H35" s="53">
        <f>I53</f>
        <v>8307.69</v>
      </c>
      <c r="J35" s="2"/>
      <c r="K35" s="2">
        <f>H35/$I$36</f>
        <v>3.4468557615028685E-2</v>
      </c>
      <c r="L35" s="221">
        <f>J35*$L$3</f>
        <v>0</v>
      </c>
      <c r="M35" s="221">
        <f>J35*$M$3</f>
        <v>0</v>
      </c>
      <c r="N35" s="221">
        <f>J35*$N$3</f>
        <v>0</v>
      </c>
      <c r="O35" s="221">
        <f>J35*$O$3</f>
        <v>0</v>
      </c>
      <c r="P35" s="221">
        <f>J35*$P$3</f>
        <v>0</v>
      </c>
      <c r="Q35" s="221"/>
      <c r="R35" s="240">
        <f t="shared" si="9"/>
        <v>47.515251357893192</v>
      </c>
      <c r="S35" s="240">
        <f t="shared" si="10"/>
        <v>95.916344646492618</v>
      </c>
      <c r="T35" s="240">
        <f t="shared" si="11"/>
        <v>199.05592022679065</v>
      </c>
      <c r="U35" s="240">
        <f t="shared" si="12"/>
        <v>40.587071277272429</v>
      </c>
      <c r="V35" s="240">
        <f t="shared" si="13"/>
        <v>42.253970723535211</v>
      </c>
      <c r="W35" s="240">
        <f t="shared" si="14"/>
        <v>26.351556982265578</v>
      </c>
      <c r="X35" s="240">
        <f t="shared" si="15"/>
        <v>136.92565575454915</v>
      </c>
      <c r="Y35" s="240">
        <f t="shared" si="16"/>
        <v>103.61248419077623</v>
      </c>
      <c r="Z35" s="240">
        <f t="shared" si="17"/>
        <v>10.75418997588895</v>
      </c>
      <c r="AA35" s="176"/>
      <c r="AB35" s="177">
        <f>H35/$H$39</f>
        <v>2.4876984143025836E-2</v>
      </c>
      <c r="AC35" s="178">
        <f>AB35*$AC$3</f>
        <v>165.32497351930678</v>
      </c>
    </row>
    <row r="36" spans="2:33" ht="15.75" thickBot="1" x14ac:dyDescent="0.3">
      <c r="B36" s="1">
        <v>225</v>
      </c>
      <c r="C36" t="s">
        <v>59</v>
      </c>
      <c r="D36" s="2"/>
      <c r="H36" s="101">
        <f>I60</f>
        <v>12675.83</v>
      </c>
      <c r="I36" s="99">
        <f>I34+H35+H36</f>
        <v>241022.27000000002</v>
      </c>
      <c r="J36" s="2"/>
      <c r="K36" s="2">
        <f>H36/$I$36</f>
        <v>5.2591945134364548E-2</v>
      </c>
      <c r="L36" s="221"/>
      <c r="M36" s="221"/>
      <c r="N36" s="221"/>
      <c r="O36" s="221"/>
      <c r="P36" s="221"/>
      <c r="Q36" s="221"/>
      <c r="R36" s="240">
        <f t="shared" si="9"/>
        <v>72.498522287172875</v>
      </c>
      <c r="S36" s="240">
        <f t="shared" si="10"/>
        <v>146.34865756429892</v>
      </c>
      <c r="T36" s="240">
        <f t="shared" si="11"/>
        <v>303.71848315095525</v>
      </c>
      <c r="U36" s="240">
        <f t="shared" si="12"/>
        <v>61.927541315165598</v>
      </c>
      <c r="V36" s="240">
        <f t="shared" si="13"/>
        <v>64.470887781863468</v>
      </c>
      <c r="W36" s="240">
        <f t="shared" si="14"/>
        <v>40.207067974673038</v>
      </c>
      <c r="X36" s="240">
        <f t="shared" si="15"/>
        <v>208.92045020736049</v>
      </c>
      <c r="Y36" s="240">
        <f t="shared" si="16"/>
        <v>158.09138707389982</v>
      </c>
      <c r="Z36" s="240">
        <f t="shared" si="17"/>
        <v>16.408686881921739</v>
      </c>
      <c r="AA36" s="221"/>
      <c r="AB36" s="226">
        <f>H36/$H$39</f>
        <v>3.7957172440195912E-2</v>
      </c>
      <c r="AC36" s="188">
        <f>AB36*$AC$3</f>
        <v>252.25198088580996</v>
      </c>
    </row>
    <row r="37" spans="2:33" x14ac:dyDescent="0.25">
      <c r="F37" s="8"/>
      <c r="H37" s="101"/>
      <c r="K37" s="2">
        <f>H37/$I$36</f>
        <v>0</v>
      </c>
      <c r="L37" s="221">
        <f t="shared" ref="L37" si="35">J37*$L$3</f>
        <v>0</v>
      </c>
      <c r="M37" s="221">
        <f t="shared" ref="M37" si="36">J37*$M$3</f>
        <v>0</v>
      </c>
      <c r="N37" s="221">
        <f t="shared" ref="N37" si="37">J37*$N$3</f>
        <v>0</v>
      </c>
      <c r="O37" s="221">
        <f t="shared" ref="O37" si="38">J37*$O$3</f>
        <v>0</v>
      </c>
      <c r="P37" s="221">
        <f t="shared" ref="P37" si="39">J37*$P$3</f>
        <v>0</v>
      </c>
      <c r="Q37" s="221"/>
      <c r="R37" s="240">
        <f t="shared" si="9"/>
        <v>0</v>
      </c>
      <c r="S37" s="240">
        <f t="shared" si="10"/>
        <v>0</v>
      </c>
      <c r="T37" s="240">
        <f t="shared" si="11"/>
        <v>0</v>
      </c>
      <c r="U37" s="240">
        <f t="shared" si="12"/>
        <v>0</v>
      </c>
      <c r="V37" s="240">
        <f t="shared" si="13"/>
        <v>0</v>
      </c>
      <c r="W37" s="240">
        <f t="shared" si="14"/>
        <v>0</v>
      </c>
      <c r="X37" s="240">
        <f t="shared" si="15"/>
        <v>0</v>
      </c>
      <c r="Y37" s="240">
        <f t="shared" si="16"/>
        <v>0</v>
      </c>
      <c r="Z37" s="240">
        <f t="shared" si="17"/>
        <v>0</v>
      </c>
      <c r="AA37" s="176"/>
      <c r="AB37" s="177">
        <f>H37/$H$39</f>
        <v>0</v>
      </c>
      <c r="AC37" s="178">
        <f t="shared" ref="AC37:AC38" si="40">AB37*$AC$3</f>
        <v>0</v>
      </c>
    </row>
    <row r="38" spans="2:33" x14ac:dyDescent="0.25">
      <c r="B38" s="45"/>
      <c r="C38" s="32" t="s">
        <v>60</v>
      </c>
      <c r="D38" s="32"/>
      <c r="E38" s="32"/>
      <c r="F38" s="32"/>
      <c r="G38" s="31"/>
      <c r="H38" s="31">
        <v>92928.58</v>
      </c>
      <c r="I38" s="118"/>
      <c r="J38" s="121"/>
      <c r="K38" s="121"/>
      <c r="L38" s="221"/>
      <c r="M38" s="221"/>
      <c r="N38" s="221"/>
      <c r="O38" s="221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190">
        <f>H38/$H$39</f>
        <v>0.27827023048451588</v>
      </c>
      <c r="AC38" s="178">
        <f t="shared" si="40"/>
        <v>1849.3004707309472</v>
      </c>
    </row>
    <row r="39" spans="2:33" ht="15.75" thickBot="1" x14ac:dyDescent="0.3">
      <c r="H39" s="237">
        <f>SUM(H7:H38)</f>
        <v>333950.85000000003</v>
      </c>
      <c r="I39" s="34"/>
      <c r="J39" s="54">
        <f t="shared" ref="J39:Z39" si="41">SUM(J7:J37)</f>
        <v>0.99999999999999967</v>
      </c>
      <c r="K39" s="54">
        <f t="shared" si="41"/>
        <v>1</v>
      </c>
      <c r="L39" s="227">
        <f t="shared" si="41"/>
        <v>13185.149999999998</v>
      </c>
      <c r="M39" s="227">
        <f t="shared" si="41"/>
        <v>3083.6199999999985</v>
      </c>
      <c r="N39" s="227">
        <f t="shared" si="41"/>
        <v>5510.7299999999987</v>
      </c>
      <c r="O39" s="227">
        <f t="shared" si="41"/>
        <v>1010.37</v>
      </c>
      <c r="P39" s="227">
        <f t="shared" si="41"/>
        <v>1851.7099999999994</v>
      </c>
      <c r="Q39" s="227">
        <f t="shared" si="41"/>
        <v>0</v>
      </c>
      <c r="R39" s="227">
        <f t="shared" si="41"/>
        <v>1378.5099999999998</v>
      </c>
      <c r="S39" s="227">
        <f t="shared" si="41"/>
        <v>2782.7199999999993</v>
      </c>
      <c r="T39" s="227">
        <f t="shared" si="41"/>
        <v>5775</v>
      </c>
      <c r="U39" s="227">
        <f t="shared" si="41"/>
        <v>1177.51</v>
      </c>
      <c r="V39" s="227">
        <f t="shared" si="41"/>
        <v>1225.8699999999997</v>
      </c>
      <c r="W39" s="227">
        <f t="shared" si="41"/>
        <v>764.50999999999954</v>
      </c>
      <c r="X39" s="227">
        <f t="shared" si="41"/>
        <v>3972.4799999999996</v>
      </c>
      <c r="Y39" s="227">
        <f t="shared" si="41"/>
        <v>3005.9999999999995</v>
      </c>
      <c r="Z39" s="227">
        <f t="shared" si="41"/>
        <v>311.99999999999989</v>
      </c>
      <c r="AA39" s="228"/>
      <c r="AB39" s="196">
        <f>SUM(AB7:AB38)</f>
        <v>1</v>
      </c>
      <c r="AC39" s="229">
        <f>SUM(AC7:AC38)</f>
        <v>6645.7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59"/>
      <c r="AC40">
        <v>5802</v>
      </c>
    </row>
    <row r="41" spans="2:33" x14ac:dyDescent="0.25">
      <c r="C41" s="17">
        <v>43588</v>
      </c>
      <c r="D41" s="23"/>
      <c r="E41" s="23"/>
      <c r="F41" s="23"/>
      <c r="G41" s="18"/>
      <c r="H41" s="18">
        <v>73752.94</v>
      </c>
      <c r="I41" s="18"/>
      <c r="J41" s="42"/>
      <c r="K41" s="238"/>
      <c r="L41" s="158"/>
      <c r="M41" s="158"/>
      <c r="N41" s="158"/>
      <c r="O41" s="158"/>
      <c r="P41" s="158"/>
      <c r="Q41" s="114"/>
      <c r="R41" s="114"/>
      <c r="S41" s="114"/>
      <c r="T41" s="114"/>
      <c r="U41" s="114"/>
      <c r="V41" s="114"/>
      <c r="W41" s="114"/>
      <c r="X41" s="114"/>
      <c r="Y41" s="114"/>
      <c r="Z41" s="159"/>
    </row>
    <row r="42" spans="2:33" x14ac:dyDescent="0.25">
      <c r="C42" s="19">
        <v>43602</v>
      </c>
      <c r="D42" s="24"/>
      <c r="E42" s="24"/>
      <c r="F42" s="24"/>
      <c r="H42" s="2">
        <v>74921.25</v>
      </c>
      <c r="J42" s="43">
        <v>0</v>
      </c>
      <c r="K42" s="238"/>
      <c r="L42" s="158"/>
      <c r="M42" s="158"/>
      <c r="N42" s="158"/>
      <c r="O42" s="158"/>
      <c r="P42" s="158"/>
      <c r="Q42" s="114"/>
      <c r="R42" s="114"/>
      <c r="S42" s="114"/>
      <c r="T42" s="114"/>
      <c r="U42" s="114"/>
      <c r="V42" s="114"/>
      <c r="W42" s="114"/>
      <c r="X42" s="114"/>
      <c r="Y42" s="114"/>
      <c r="Z42" s="159"/>
    </row>
    <row r="43" spans="2:33" x14ac:dyDescent="0.25">
      <c r="C43" s="19">
        <v>43616</v>
      </c>
      <c r="D43" s="24"/>
      <c r="E43" s="24"/>
      <c r="F43" s="24"/>
      <c r="H43" s="2">
        <v>71364.570000000007</v>
      </c>
      <c r="J43" s="43"/>
      <c r="K43" s="238"/>
      <c r="L43" s="158"/>
      <c r="M43" s="158"/>
      <c r="N43" s="158"/>
      <c r="O43" s="158"/>
      <c r="P43" s="158"/>
      <c r="Q43" s="114"/>
      <c r="R43" s="114"/>
      <c r="S43" s="114"/>
      <c r="T43" s="114"/>
      <c r="U43" s="114"/>
      <c r="V43" s="114"/>
      <c r="W43" s="114"/>
      <c r="X43" s="114"/>
      <c r="Y43" s="114"/>
      <c r="Z43" s="159"/>
    </row>
    <row r="44" spans="2:33" x14ac:dyDescent="0.25">
      <c r="B44" s="1" t="s">
        <v>63</v>
      </c>
      <c r="C44" s="19"/>
      <c r="D44" s="24"/>
      <c r="E44" s="24"/>
      <c r="F44" s="24"/>
      <c r="H44" s="2">
        <f>I60</f>
        <v>12675.83</v>
      </c>
      <c r="J44" s="43"/>
      <c r="K44" s="238"/>
      <c r="L44" s="158"/>
      <c r="M44" s="158"/>
      <c r="N44" s="158"/>
      <c r="O44" s="158"/>
      <c r="P44" s="158"/>
      <c r="Q44" s="114"/>
      <c r="R44" s="114"/>
      <c r="S44" s="114"/>
      <c r="T44" s="114"/>
      <c r="U44" s="114"/>
      <c r="V44" s="114"/>
      <c r="W44" s="114"/>
      <c r="X44" s="114"/>
      <c r="Y44" s="114"/>
      <c r="Z44" s="159"/>
    </row>
    <row r="45" spans="2:33" ht="15.75" thickBot="1" x14ac:dyDescent="0.3">
      <c r="B45" s="1" t="s">
        <v>69</v>
      </c>
      <c r="C45" s="19"/>
      <c r="D45" s="24"/>
      <c r="E45" s="24"/>
      <c r="F45" s="24"/>
      <c r="H45" s="2">
        <f>I53</f>
        <v>8307.69</v>
      </c>
      <c r="J45" s="43"/>
      <c r="K45" s="238"/>
      <c r="L45" s="158"/>
      <c r="M45" s="158"/>
      <c r="N45" s="158"/>
      <c r="O45" s="158"/>
      <c r="P45" s="158"/>
      <c r="Q45" s="114"/>
      <c r="R45" s="114"/>
      <c r="S45" s="114"/>
      <c r="T45" s="114"/>
      <c r="U45" s="114"/>
      <c r="V45" s="114"/>
      <c r="W45" s="114"/>
      <c r="X45" s="114"/>
      <c r="Y45" s="114"/>
      <c r="Z45" s="159"/>
    </row>
    <row r="46" spans="2:33" ht="15.75" thickBot="1" x14ac:dyDescent="0.3">
      <c r="C46" s="20"/>
      <c r="D46" s="20"/>
      <c r="E46" s="20"/>
      <c r="F46" s="20"/>
      <c r="G46" s="105"/>
      <c r="H46" s="236">
        <f>SUM(H41:H45)</f>
        <v>241022.28</v>
      </c>
      <c r="I46" s="5"/>
      <c r="J46" s="44"/>
      <c r="K46" s="239"/>
      <c r="L46" s="161">
        <f>SUM(L41:L43)</f>
        <v>0</v>
      </c>
      <c r="M46" s="162">
        <f t="shared" ref="M46:P46" si="42">SUM(M41:M43)</f>
        <v>0</v>
      </c>
      <c r="N46" s="162">
        <f>SUM(N41:N43)</f>
        <v>0</v>
      </c>
      <c r="O46" s="162">
        <f t="shared" ref="O46" si="43">SUM(O41:O43)</f>
        <v>0</v>
      </c>
      <c r="P46" s="163">
        <f t="shared" si="42"/>
        <v>0</v>
      </c>
      <c r="Q46" s="114"/>
      <c r="R46" s="114"/>
      <c r="S46" s="114"/>
      <c r="T46" s="114"/>
      <c r="U46" s="114"/>
      <c r="V46" s="114"/>
      <c r="W46" s="114"/>
      <c r="X46" s="114"/>
      <c r="Y46" s="114"/>
      <c r="Z46" s="159"/>
    </row>
    <row r="47" spans="2:33" x14ac:dyDescent="0.25">
      <c r="H47" s="2">
        <f>H38</f>
        <v>92928.58</v>
      </c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59"/>
      <c r="AG47">
        <v>114.44</v>
      </c>
    </row>
    <row r="48" spans="2:33" x14ac:dyDescent="0.25">
      <c r="I48" s="2" t="s">
        <v>64</v>
      </c>
      <c r="AG48">
        <v>151.65</v>
      </c>
    </row>
    <row r="49" spans="9:14" x14ac:dyDescent="0.25">
      <c r="I49" s="2">
        <v>2769.23</v>
      </c>
      <c r="J49" s="93">
        <v>165.29</v>
      </c>
      <c r="K49" s="93">
        <v>38.659999999999997</v>
      </c>
      <c r="L49" s="93">
        <v>83.08</v>
      </c>
      <c r="M49" s="93">
        <v>15.23</v>
      </c>
    </row>
    <row r="50" spans="9:14" x14ac:dyDescent="0.25">
      <c r="I50" s="2">
        <v>2769.23</v>
      </c>
      <c r="J50" s="93">
        <v>165.29</v>
      </c>
      <c r="K50" s="93">
        <v>38.659999999999997</v>
      </c>
      <c r="L50" s="93">
        <v>83.08</v>
      </c>
      <c r="M50" s="93">
        <v>15.23</v>
      </c>
    </row>
    <row r="51" spans="9:14" x14ac:dyDescent="0.25">
      <c r="I51" s="2">
        <v>2769.23</v>
      </c>
      <c r="J51" s="93">
        <v>165.29</v>
      </c>
      <c r="K51" s="93">
        <v>38.659999999999997</v>
      </c>
      <c r="L51" s="93">
        <v>83.08</v>
      </c>
      <c r="M51" s="93">
        <v>15.23</v>
      </c>
    </row>
    <row r="52" spans="9:14" ht="15.75" thickBot="1" x14ac:dyDescent="0.3">
      <c r="K52" s="2"/>
    </row>
    <row r="53" spans="9:14" ht="15.75" thickBot="1" x14ac:dyDescent="0.3">
      <c r="I53" s="241">
        <f>SUM(I49:I52)</f>
        <v>8307.69</v>
      </c>
      <c r="K53" s="2"/>
    </row>
    <row r="55" spans="9:14" x14ac:dyDescent="0.25">
      <c r="I55" s="12" t="s">
        <v>65</v>
      </c>
    </row>
    <row r="56" spans="9:14" x14ac:dyDescent="0.25">
      <c r="I56" s="2">
        <v>3802.75</v>
      </c>
      <c r="J56" s="93">
        <v>288.2</v>
      </c>
      <c r="K56" s="93">
        <v>67.400000000000006</v>
      </c>
      <c r="L56" s="93"/>
      <c r="M56" s="93"/>
    </row>
    <row r="57" spans="9:14" x14ac:dyDescent="0.25">
      <c r="I57" s="2">
        <v>4225.28</v>
      </c>
      <c r="J57" s="93">
        <v>235.8</v>
      </c>
      <c r="K57" s="93">
        <v>55.15</v>
      </c>
      <c r="L57" s="93"/>
      <c r="M57" s="93"/>
    </row>
    <row r="58" spans="9:14" x14ac:dyDescent="0.25">
      <c r="I58" s="2">
        <v>4647.8</v>
      </c>
      <c r="J58" s="93">
        <v>262</v>
      </c>
      <c r="K58" s="93">
        <v>61.28</v>
      </c>
      <c r="L58" s="93"/>
      <c r="M58" s="93"/>
      <c r="N58">
        <f>SUM(J56:K58)</f>
        <v>969.83</v>
      </c>
    </row>
    <row r="59" spans="9:14" ht="15.75" thickBot="1" x14ac:dyDescent="0.3"/>
    <row r="60" spans="9:14" ht="15.75" thickBot="1" x14ac:dyDescent="0.3">
      <c r="I60" s="242">
        <f>SUM(I56:I59)</f>
        <v>12675.83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7375-2464-41E9-BB0F-3ED697F20930}">
  <sheetPr>
    <tabColor theme="5" tint="0.39997558519241921"/>
  </sheetPr>
  <dimension ref="B1:AD60"/>
  <sheetViews>
    <sheetView topLeftCell="B11" zoomScale="85" zoomScaleNormal="85" workbookViewId="0">
      <selection activeCell="I38" sqref="I38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3.140625" style="66" customWidth="1"/>
    <col min="19" max="19" width="15.140625" style="66" customWidth="1"/>
    <col min="20" max="20" width="17.42578125" customWidth="1"/>
    <col min="21" max="21" width="15.5703125" style="66" customWidth="1"/>
    <col min="22" max="22" width="15.28515625" style="66" customWidth="1"/>
    <col min="23" max="24" width="15.140625" customWidth="1"/>
    <col min="25" max="25" width="15.85546875" style="66" customWidth="1"/>
    <col min="26" max="26" width="15.57031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70</v>
      </c>
      <c r="L1" s="66">
        <v>7251</v>
      </c>
      <c r="M1" s="66">
        <v>7252</v>
      </c>
      <c r="N1">
        <v>7253</v>
      </c>
      <c r="O1">
        <v>7254</v>
      </c>
      <c r="P1" s="66">
        <v>7260.1</v>
      </c>
      <c r="R1" s="66">
        <v>8112</v>
      </c>
      <c r="S1" s="66">
        <v>8229.1</v>
      </c>
      <c r="T1">
        <v>7521</v>
      </c>
      <c r="U1" s="66">
        <v>8210.5</v>
      </c>
      <c r="V1" s="66">
        <v>8135.5</v>
      </c>
      <c r="W1" s="66">
        <v>8239</v>
      </c>
      <c r="X1" s="66">
        <v>8266</v>
      </c>
      <c r="Y1" s="66">
        <v>7515.5</v>
      </c>
      <c r="Z1">
        <v>8222</v>
      </c>
      <c r="AC1">
        <v>7248</v>
      </c>
    </row>
    <row r="2" spans="2:30" ht="17.25" thickBot="1" x14ac:dyDescent="0.4">
      <c r="L2" s="243" t="s">
        <v>1</v>
      </c>
      <c r="M2" s="243" t="s">
        <v>2</v>
      </c>
      <c r="N2" s="243" t="s">
        <v>3</v>
      </c>
      <c r="O2" s="243" t="s">
        <v>4</v>
      </c>
      <c r="P2" s="246" t="s">
        <v>5</v>
      </c>
      <c r="Q2" s="98"/>
      <c r="R2" s="244" t="s">
        <v>8</v>
      </c>
      <c r="S2" s="248" t="s">
        <v>12</v>
      </c>
      <c r="T2" s="248" t="s">
        <v>7</v>
      </c>
      <c r="U2" s="244" t="s">
        <v>11</v>
      </c>
      <c r="V2" s="244" t="s">
        <v>9</v>
      </c>
      <c r="W2" s="244" t="s">
        <v>13</v>
      </c>
      <c r="X2" s="248" t="s">
        <v>14</v>
      </c>
      <c r="Y2" s="72" t="s">
        <v>6</v>
      </c>
      <c r="Z2" s="92" t="s">
        <v>10</v>
      </c>
      <c r="AA2" s="2"/>
      <c r="AB2" s="35"/>
      <c r="AC2" s="245" t="s">
        <v>15</v>
      </c>
      <c r="AD2" s="2"/>
    </row>
    <row r="3" spans="2:30" ht="15.75" thickBot="1" x14ac:dyDescent="0.3">
      <c r="L3" s="213">
        <v>8796.17</v>
      </c>
      <c r="M3" s="213">
        <v>2057.16</v>
      </c>
      <c r="N3" s="213">
        <v>4190.43</v>
      </c>
      <c r="O3" s="213">
        <v>768.24</v>
      </c>
      <c r="P3" s="247">
        <v>1217.68</v>
      </c>
      <c r="Q3" s="214"/>
      <c r="R3" s="215">
        <v>320.75</v>
      </c>
      <c r="S3" s="249">
        <v>2731.48</v>
      </c>
      <c r="T3" s="249">
        <v>3585</v>
      </c>
      <c r="U3" s="215">
        <v>1466.51</v>
      </c>
      <c r="V3" s="213">
        <v>1226.95</v>
      </c>
      <c r="W3" s="213">
        <v>1169.51</v>
      </c>
      <c r="X3" s="250">
        <v>3972.48</v>
      </c>
      <c r="Y3" s="250">
        <v>3006</v>
      </c>
      <c r="Z3" s="216">
        <v>180</v>
      </c>
      <c r="AA3" s="101"/>
      <c r="AB3" s="177"/>
      <c r="AC3" s="217">
        <v>6645.7</v>
      </c>
      <c r="AD3" s="2"/>
    </row>
    <row r="4" spans="2:30" x14ac:dyDescent="0.25">
      <c r="L4" s="218">
        <v>1</v>
      </c>
      <c r="M4" s="218">
        <v>2</v>
      </c>
      <c r="N4" s="218">
        <v>3</v>
      </c>
      <c r="O4" s="218">
        <v>4</v>
      </c>
      <c r="P4" s="218">
        <v>5</v>
      </c>
      <c r="Q4" s="218">
        <v>6</v>
      </c>
      <c r="R4" s="218">
        <v>7</v>
      </c>
      <c r="S4" s="218">
        <v>8</v>
      </c>
      <c r="T4" s="218">
        <v>9</v>
      </c>
      <c r="U4" s="218">
        <v>10</v>
      </c>
      <c r="V4" s="218">
        <v>11</v>
      </c>
      <c r="W4" s="218">
        <v>13</v>
      </c>
      <c r="X4" s="218">
        <v>14</v>
      </c>
      <c r="Y4" s="218">
        <v>15</v>
      </c>
      <c r="Z4" s="218">
        <v>16</v>
      </c>
      <c r="AA4" s="201"/>
      <c r="AB4" s="219"/>
      <c r="AC4" s="220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19"/>
      <c r="AC5" s="220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317">
        <v>0</v>
      </c>
      <c r="I6" s="6"/>
      <c r="J6" s="2">
        <f t="shared" ref="J6:J33" si="0">H6/$I$34</f>
        <v>0</v>
      </c>
      <c r="K6" s="2">
        <f>H6/$H$39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>
        <f>J6*$P$3</f>
        <v>0</v>
      </c>
      <c r="Q6" s="221"/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>
        <f>J6*$Z$3</f>
        <v>0</v>
      </c>
      <c r="AA6" s="176"/>
      <c r="AB6" s="177">
        <f t="shared" ref="AB6:AB33" si="1">H6/$H$39</f>
        <v>0</v>
      </c>
      <c r="AC6" s="178">
        <f>AB6*$AC$3</f>
        <v>0</v>
      </c>
    </row>
    <row r="7" spans="2:30" s="159" customFormat="1" x14ac:dyDescent="0.25">
      <c r="B7" s="273">
        <v>111</v>
      </c>
      <c r="C7" s="159" t="s">
        <v>20</v>
      </c>
      <c r="D7" s="118"/>
      <c r="G7" s="118"/>
      <c r="H7" s="214">
        <v>34036.79</v>
      </c>
      <c r="I7" s="118"/>
      <c r="J7" s="118">
        <f t="shared" si="0"/>
        <v>0.23030587423328455</v>
      </c>
      <c r="K7" s="118">
        <f t="shared" ref="K7:K34" si="2">H7/$I$36</f>
        <v>0.20767924320501752</v>
      </c>
      <c r="L7" s="240">
        <f t="shared" ref="L7:L33" si="3">J7*$L$3</f>
        <v>2025.8096217545906</v>
      </c>
      <c r="M7" s="240">
        <f t="shared" ref="M7:M33" si="4">J7*$M$3</f>
        <v>473.77603223774361</v>
      </c>
      <c r="N7" s="240">
        <f t="shared" ref="N7:N33" si="5">J7*$N$3</f>
        <v>965.08064456338263</v>
      </c>
      <c r="O7" s="240">
        <f t="shared" ref="O7:O33" si="6">J7*$O$3</f>
        <v>176.93018482097852</v>
      </c>
      <c r="P7" s="240">
        <f t="shared" ref="P7:P33" si="7">J7*$P$3</f>
        <v>280.43885693638595</v>
      </c>
      <c r="Q7" s="240"/>
      <c r="R7" s="240">
        <f>K7*$R$3</f>
        <v>66.613117258009368</v>
      </c>
      <c r="S7" s="240">
        <f>K7*$S$3</f>
        <v>567.27169922964129</v>
      </c>
      <c r="T7" s="240">
        <f>K7*$T$3</f>
        <v>744.53008688998784</v>
      </c>
      <c r="U7" s="240">
        <f>K7*$U$3</f>
        <v>304.56368695259022</v>
      </c>
      <c r="V7" s="240">
        <f>K7*$V$3</f>
        <v>254.81204745039625</v>
      </c>
      <c r="W7" s="240">
        <f>K7*$W$3</f>
        <v>242.88295172070002</v>
      </c>
      <c r="X7" s="240">
        <f>K7*$X$3</f>
        <v>825.00164004706801</v>
      </c>
      <c r="Y7" s="240">
        <f>K7*$Y$3</f>
        <v>624.28380507428267</v>
      </c>
      <c r="Z7" s="240">
        <f>K7*$Z$3</f>
        <v>37.382263776903152</v>
      </c>
      <c r="AA7" s="221"/>
      <c r="AB7" s="226">
        <f t="shared" si="1"/>
        <v>0.12274262011618882</v>
      </c>
      <c r="AC7" s="261">
        <f t="shared" ref="AC7:AC33" si="8">AB7*$AC$3</f>
        <v>815.71063050615601</v>
      </c>
    </row>
    <row r="8" spans="2:30" x14ac:dyDescent="0.25">
      <c r="B8" s="1" t="s">
        <v>21</v>
      </c>
      <c r="C8" t="s">
        <v>22</v>
      </c>
      <c r="D8" s="2"/>
      <c r="H8" s="214">
        <v>3114.73</v>
      </c>
      <c r="J8" s="2">
        <f t="shared" si="0"/>
        <v>2.1075448526451476E-2</v>
      </c>
      <c r="K8" s="2">
        <f t="shared" si="2"/>
        <v>1.9004870000607115E-2</v>
      </c>
      <c r="L8" s="221">
        <f>J8*$L$3</f>
        <v>185.38322806491669</v>
      </c>
      <c r="M8" s="221">
        <f>J8*$M$3</f>
        <v>43.355569690674919</v>
      </c>
      <c r="N8" s="221">
        <f>J8*$N$3</f>
        <v>88.315191768698071</v>
      </c>
      <c r="O8" s="221">
        <f>J8*$O$3</f>
        <v>16.191002575961082</v>
      </c>
      <c r="P8" s="221">
        <f>J8*$P$3</f>
        <v>25.663152161689435</v>
      </c>
      <c r="Q8" s="221"/>
      <c r="R8" s="240">
        <f t="shared" ref="R8:R37" si="9">K8*$R$3</f>
        <v>6.0958120526947326</v>
      </c>
      <c r="S8" s="240">
        <f t="shared" ref="S8:S37" si="10">K8*$S$3</f>
        <v>51.91142230925832</v>
      </c>
      <c r="T8" s="240">
        <f t="shared" ref="T8:T37" si="11">K8*$T$3</f>
        <v>68.132458952176506</v>
      </c>
      <c r="U8" s="240">
        <f t="shared" ref="U8:U37" si="12">K8*$U$3</f>
        <v>27.870831904590339</v>
      </c>
      <c r="V8" s="240">
        <f t="shared" ref="V8:V37" si="13">K8*$V$3</f>
        <v>23.318025247244901</v>
      </c>
      <c r="W8" s="240">
        <f t="shared" ref="W8:W37" si="14">K8*$W$3</f>
        <v>22.226385514410026</v>
      </c>
      <c r="X8" s="240">
        <f t="shared" ref="X8:X37" si="15">K8*$X$3</f>
        <v>75.496465980011749</v>
      </c>
      <c r="Y8" s="240">
        <f t="shared" ref="Y8:Y37" si="16">K8*$Y$3</f>
        <v>57.12863922182499</v>
      </c>
      <c r="Z8" s="240">
        <f t="shared" ref="Z8:Z37" si="17">K8*$Z$3</f>
        <v>3.4208766001092807</v>
      </c>
      <c r="AA8" s="176"/>
      <c r="AB8" s="177">
        <f t="shared" si="1"/>
        <v>1.1232261360560053E-2</v>
      </c>
      <c r="AC8" s="178">
        <f>AB8*$AC$3</f>
        <v>74.646239323873942</v>
      </c>
    </row>
    <row r="9" spans="2:30" x14ac:dyDescent="0.25">
      <c r="B9" s="1" t="s">
        <v>23</v>
      </c>
      <c r="C9" t="s">
        <v>24</v>
      </c>
      <c r="D9" s="2"/>
      <c r="H9" s="214">
        <v>2583.91</v>
      </c>
      <c r="J9" s="2">
        <f t="shared" si="0"/>
        <v>1.7483718396773793E-2</v>
      </c>
      <c r="K9" s="2">
        <f t="shared" si="2"/>
        <v>1.5766012990939417E-2</v>
      </c>
      <c r="L9" s="221">
        <f>J9*$L$3</f>
        <v>153.78975925014973</v>
      </c>
      <c r="M9" s="221">
        <f>J9*$M$3</f>
        <v>35.966806137107177</v>
      </c>
      <c r="N9" s="221">
        <f>J9*$N$3</f>
        <v>73.264298081392809</v>
      </c>
      <c r="O9" s="221">
        <f>J9*$O$3</f>
        <v>13.431691821137498</v>
      </c>
      <c r="P9" s="221">
        <f>J9*$P$3</f>
        <v>21.289574217383514</v>
      </c>
      <c r="Q9" s="221"/>
      <c r="R9" s="240">
        <f t="shared" si="9"/>
        <v>5.0569486668438177</v>
      </c>
      <c r="S9" s="240">
        <f t="shared" si="10"/>
        <v>43.064549164491197</v>
      </c>
      <c r="T9" s="240">
        <f t="shared" si="11"/>
        <v>56.52115657251781</v>
      </c>
      <c r="U9" s="240">
        <f t="shared" si="12"/>
        <v>23.121015711342565</v>
      </c>
      <c r="V9" s="240">
        <f t="shared" si="13"/>
        <v>19.344109639233118</v>
      </c>
      <c r="W9" s="240">
        <f t="shared" si="14"/>
        <v>18.438509853033558</v>
      </c>
      <c r="X9" s="240">
        <f t="shared" si="15"/>
        <v>62.630171286247013</v>
      </c>
      <c r="Y9" s="240">
        <f t="shared" si="16"/>
        <v>47.392635050763886</v>
      </c>
      <c r="Z9" s="240">
        <f t="shared" si="17"/>
        <v>2.837882338369095</v>
      </c>
      <c r="AA9" s="176"/>
      <c r="AB9" s="177">
        <f t="shared" si="1"/>
        <v>9.3180315636234041E-3</v>
      </c>
      <c r="AC9" s="178">
        <f>AB9*$AC$3</f>
        <v>61.924842362372054</v>
      </c>
    </row>
    <row r="10" spans="2:30" x14ac:dyDescent="0.25">
      <c r="B10" s="1" t="s">
        <v>25</v>
      </c>
      <c r="C10" t="s">
        <v>26</v>
      </c>
      <c r="D10" s="2"/>
      <c r="H10" s="214">
        <v>261.60000000000002</v>
      </c>
      <c r="J10" s="2">
        <f t="shared" si="0"/>
        <v>1.7700851548993674E-3</v>
      </c>
      <c r="K10" s="2">
        <f t="shared" si="2"/>
        <v>1.5961813679384157E-3</v>
      </c>
      <c r="L10" s="221">
        <f t="shared" si="3"/>
        <v>15.569969936971169</v>
      </c>
      <c r="M10" s="221">
        <f t="shared" si="4"/>
        <v>3.6413483772527826</v>
      </c>
      <c r="N10" s="221">
        <f t="shared" si="5"/>
        <v>7.4174179356449566</v>
      </c>
      <c r="O10" s="221">
        <f t="shared" si="6"/>
        <v>1.35985021939989</v>
      </c>
      <c r="P10" s="221">
        <f t="shared" si="7"/>
        <v>2.1553972914178621</v>
      </c>
      <c r="Q10" s="221"/>
      <c r="R10" s="240">
        <f t="shared" si="9"/>
        <v>0.5119751737662469</v>
      </c>
      <c r="S10" s="240">
        <f t="shared" si="10"/>
        <v>4.3599374828964237</v>
      </c>
      <c r="T10" s="240">
        <f t="shared" si="11"/>
        <v>5.7223102040592204</v>
      </c>
      <c r="U10" s="240">
        <f t="shared" si="12"/>
        <v>2.3408159378953659</v>
      </c>
      <c r="V10" s="240">
        <f t="shared" si="13"/>
        <v>1.9584347293920392</v>
      </c>
      <c r="W10" s="240">
        <f t="shared" si="14"/>
        <v>1.8667500716176566</v>
      </c>
      <c r="X10" s="240">
        <f t="shared" si="15"/>
        <v>6.3407985605079977</v>
      </c>
      <c r="Y10" s="240">
        <f t="shared" si="16"/>
        <v>4.7981211920228777</v>
      </c>
      <c r="Z10" s="240">
        <f t="shared" si="17"/>
        <v>0.28731264622891484</v>
      </c>
      <c r="AA10" s="176"/>
      <c r="AB10" s="177">
        <f t="shared" si="1"/>
        <v>9.4337537183720901E-4</v>
      </c>
      <c r="AC10" s="178">
        <f t="shared" si="8"/>
        <v>6.2693897086185402</v>
      </c>
    </row>
    <row r="11" spans="2:30" ht="15.75" thickBot="1" x14ac:dyDescent="0.3">
      <c r="B11" s="1">
        <v>112</v>
      </c>
      <c r="C11" t="s">
        <v>27</v>
      </c>
      <c r="D11" s="2"/>
      <c r="H11" s="214">
        <v>29988.69</v>
      </c>
      <c r="J11" s="2">
        <f t="shared" si="0"/>
        <v>0.20291488908210667</v>
      </c>
      <c r="K11" s="2">
        <f t="shared" si="2"/>
        <v>0.18297931279388793</v>
      </c>
      <c r="L11" s="221">
        <f t="shared" si="3"/>
        <v>1784.8738598973544</v>
      </c>
      <c r="M11" s="221">
        <f t="shared" si="4"/>
        <v>417.42839322414653</v>
      </c>
      <c r="N11" s="221">
        <f t="shared" si="5"/>
        <v>850.30063865633235</v>
      </c>
      <c r="O11" s="221">
        <f t="shared" si="6"/>
        <v>155.88733438843764</v>
      </c>
      <c r="P11" s="221">
        <f t="shared" si="7"/>
        <v>247.08540213749967</v>
      </c>
      <c r="Q11" s="221"/>
      <c r="R11" s="240">
        <f t="shared" si="9"/>
        <v>58.690614578639554</v>
      </c>
      <c r="S11" s="240">
        <f t="shared" si="10"/>
        <v>499.80433331024904</v>
      </c>
      <c r="T11" s="240">
        <f t="shared" si="11"/>
        <v>655.98083636608828</v>
      </c>
      <c r="U11" s="240">
        <f t="shared" si="12"/>
        <v>268.34099200536457</v>
      </c>
      <c r="V11" s="240">
        <f t="shared" si="13"/>
        <v>224.5064678324608</v>
      </c>
      <c r="W11" s="240">
        <f t="shared" si="14"/>
        <v>213.99613610557986</v>
      </c>
      <c r="X11" s="240">
        <f t="shared" si="15"/>
        <v>726.88166048746393</v>
      </c>
      <c r="Y11" s="240">
        <f t="shared" si="16"/>
        <v>550.03581425842708</v>
      </c>
      <c r="Z11" s="240">
        <f t="shared" si="17"/>
        <v>32.936276302899827</v>
      </c>
      <c r="AA11" s="176"/>
      <c r="AB11" s="177">
        <f t="shared" si="1"/>
        <v>0.10814446322500301</v>
      </c>
      <c r="AC11" s="178">
        <f t="shared" si="8"/>
        <v>718.69565925440247</v>
      </c>
    </row>
    <row r="12" spans="2:30" ht="15.75" thickBot="1" x14ac:dyDescent="0.3">
      <c r="B12" s="1">
        <v>222</v>
      </c>
      <c r="C12" t="s">
        <v>29</v>
      </c>
      <c r="D12" s="2"/>
      <c r="H12" s="213">
        <v>2480.65</v>
      </c>
      <c r="J12" s="2">
        <f t="shared" si="0"/>
        <v>1.6785021939988976E-2</v>
      </c>
      <c r="K12" s="2">
        <f t="shared" si="2"/>
        <v>1.513596066657657E-2</v>
      </c>
      <c r="L12" s="221">
        <f t="shared" si="3"/>
        <v>147.64390643787283</v>
      </c>
      <c r="M12" s="221">
        <f t="shared" si="4"/>
        <v>34.529475734067717</v>
      </c>
      <c r="N12" s="221">
        <f t="shared" si="5"/>
        <v>70.336459487988009</v>
      </c>
      <c r="O12" s="221">
        <f t="shared" si="6"/>
        <v>12.894925255177132</v>
      </c>
      <c r="P12" s="221">
        <f t="shared" si="7"/>
        <v>20.438785515885776</v>
      </c>
      <c r="Q12" s="221"/>
      <c r="R12" s="240">
        <f t="shared" si="9"/>
        <v>4.8548593838044347</v>
      </c>
      <c r="S12" s="240">
        <f t="shared" si="10"/>
        <v>41.343573841540568</v>
      </c>
      <c r="T12" s="240">
        <f t="shared" si="11"/>
        <v>54.262418989677002</v>
      </c>
      <c r="U12" s="240">
        <f t="shared" si="12"/>
        <v>22.197037677141207</v>
      </c>
      <c r="V12" s="240">
        <f t="shared" si="13"/>
        <v>18.571066939856124</v>
      </c>
      <c r="W12" s="240">
        <f t="shared" si="14"/>
        <v>17.701657359167964</v>
      </c>
      <c r="X12" s="240">
        <f t="shared" si="15"/>
        <v>60.127301028762098</v>
      </c>
      <c r="Y12" s="240">
        <f t="shared" si="16"/>
        <v>45.498697763729169</v>
      </c>
      <c r="Z12" s="240">
        <f t="shared" si="17"/>
        <v>2.7244729199837825</v>
      </c>
      <c r="AA12" s="176"/>
      <c r="AB12" s="177">
        <f t="shared" si="1"/>
        <v>8.9456579363454605E-3</v>
      </c>
      <c r="AC12" s="178">
        <f t="shared" si="8"/>
        <v>59.450158947571026</v>
      </c>
    </row>
    <row r="13" spans="2:30" ht="15.75" thickBot="1" x14ac:dyDescent="0.3">
      <c r="B13" s="1">
        <v>223</v>
      </c>
      <c r="C13" t="s">
        <v>30</v>
      </c>
      <c r="D13" s="2"/>
      <c r="H13" s="215">
        <v>14246.17</v>
      </c>
      <c r="I13" s="56"/>
      <c r="J13" s="99">
        <f t="shared" si="0"/>
        <v>9.6395007764421711E-2</v>
      </c>
      <c r="K13" s="99">
        <f t="shared" si="2"/>
        <v>8.6924583786250828E-2</v>
      </c>
      <c r="L13" s="252">
        <f t="shared" si="3"/>
        <v>847.90687544717332</v>
      </c>
      <c r="M13" s="252">
        <f t="shared" si="4"/>
        <v>198.29995417265775</v>
      </c>
      <c r="N13" s="252">
        <f t="shared" si="5"/>
        <v>403.9365323862657</v>
      </c>
      <c r="O13" s="252">
        <f t="shared" si="6"/>
        <v>74.054500764939334</v>
      </c>
      <c r="P13" s="252">
        <f t="shared" si="7"/>
        <v>117.37827305458103</v>
      </c>
      <c r="Q13" s="252"/>
      <c r="R13" s="252">
        <f t="shared" si="9"/>
        <v>27.881060249439955</v>
      </c>
      <c r="S13" s="252">
        <f t="shared" si="10"/>
        <v>237.43276212046842</v>
      </c>
      <c r="T13" s="252">
        <f t="shared" si="11"/>
        <v>311.62463287370923</v>
      </c>
      <c r="U13" s="252">
        <f t="shared" si="12"/>
        <v>127.47577136837469</v>
      </c>
      <c r="V13" s="252">
        <f t="shared" si="13"/>
        <v>106.65211807654046</v>
      </c>
      <c r="W13" s="252">
        <f t="shared" si="14"/>
        <v>101.65916998385821</v>
      </c>
      <c r="X13" s="252">
        <f t="shared" si="15"/>
        <v>345.3061705992057</v>
      </c>
      <c r="Y13" s="252">
        <f t="shared" si="16"/>
        <v>261.29529886146997</v>
      </c>
      <c r="Z13" s="252">
        <f t="shared" si="17"/>
        <v>15.646425081525148</v>
      </c>
      <c r="AA13" s="180"/>
      <c r="AB13" s="181">
        <f t="shared" si="1"/>
        <v>5.1374181655222062E-2</v>
      </c>
      <c r="AC13" s="182">
        <f t="shared" si="8"/>
        <v>341.41739902610925</v>
      </c>
    </row>
    <row r="14" spans="2:30" ht="15.75" thickBot="1" x14ac:dyDescent="0.3">
      <c r="B14" s="1">
        <v>566</v>
      </c>
      <c r="C14" t="s">
        <v>31</v>
      </c>
      <c r="D14" s="2"/>
      <c r="H14" s="214"/>
      <c r="I14" s="118"/>
      <c r="J14" s="2">
        <f t="shared" si="0"/>
        <v>0</v>
      </c>
      <c r="K14" s="2">
        <f t="shared" si="2"/>
        <v>0</v>
      </c>
      <c r="L14" s="221">
        <f t="shared" ref="L14:Q14" si="18">$J$36*L3</f>
        <v>0</v>
      </c>
      <c r="M14" s="221">
        <f t="shared" si="18"/>
        <v>0</v>
      </c>
      <c r="N14" s="221">
        <f t="shared" si="18"/>
        <v>0</v>
      </c>
      <c r="O14" s="221">
        <f t="shared" si="18"/>
        <v>0</v>
      </c>
      <c r="P14" s="221">
        <f t="shared" si="18"/>
        <v>0</v>
      </c>
      <c r="Q14" s="221">
        <f t="shared" si="18"/>
        <v>0</v>
      </c>
      <c r="R14" s="240">
        <f t="shared" si="9"/>
        <v>0</v>
      </c>
      <c r="S14" s="240">
        <f t="shared" si="10"/>
        <v>0</v>
      </c>
      <c r="T14" s="240">
        <f t="shared" si="11"/>
        <v>0</v>
      </c>
      <c r="U14" s="240">
        <f t="shared" si="12"/>
        <v>0</v>
      </c>
      <c r="V14" s="240">
        <f t="shared" si="13"/>
        <v>0</v>
      </c>
      <c r="W14" s="240">
        <f t="shared" si="14"/>
        <v>0</v>
      </c>
      <c r="X14" s="240">
        <f t="shared" si="15"/>
        <v>0</v>
      </c>
      <c r="Y14" s="240">
        <f t="shared" si="16"/>
        <v>0</v>
      </c>
      <c r="Z14" s="240">
        <f t="shared" si="17"/>
        <v>0</v>
      </c>
      <c r="AA14" s="221">
        <f>$J$36*AA3</f>
        <v>0</v>
      </c>
      <c r="AB14" s="226">
        <f t="shared" si="1"/>
        <v>0</v>
      </c>
      <c r="AC14" s="188">
        <f t="shared" si="8"/>
        <v>0</v>
      </c>
    </row>
    <row r="15" spans="2:30" x14ac:dyDescent="0.25">
      <c r="B15" s="1" t="s">
        <v>32</v>
      </c>
      <c r="C15" s="230" t="s">
        <v>73</v>
      </c>
      <c r="D15" s="231"/>
      <c r="E15" s="230"/>
      <c r="F15" s="230"/>
      <c r="G15" s="231"/>
      <c r="H15" s="118">
        <v>2007.69</v>
      </c>
      <c r="I15" s="231"/>
      <c r="J15" s="2">
        <f t="shared" si="0"/>
        <v>1.3584794589602106E-2</v>
      </c>
      <c r="K15" s="2">
        <f t="shared" si="2"/>
        <v>1.2250142853961307E-2</v>
      </c>
      <c r="L15" s="232">
        <f>J15*$L$3</f>
        <v>119.49416262522035</v>
      </c>
      <c r="M15" s="232">
        <f>J15*$M$3</f>
        <v>27.946096037945864</v>
      </c>
      <c r="N15" s="232">
        <f>J15*$N$3</f>
        <v>56.926130792106356</v>
      </c>
      <c r="O15" s="232">
        <f>J15*$O$3</f>
        <v>10.436382595515921</v>
      </c>
      <c r="P15" s="232">
        <f>J15*$P$3</f>
        <v>16.541932675866693</v>
      </c>
      <c r="Q15" s="232"/>
      <c r="R15" s="240">
        <f t="shared" si="9"/>
        <v>3.9292333204080889</v>
      </c>
      <c r="S15" s="240">
        <f t="shared" si="10"/>
        <v>33.461020202738233</v>
      </c>
      <c r="T15" s="240">
        <f t="shared" si="11"/>
        <v>43.916762131451286</v>
      </c>
      <c r="U15" s="240">
        <f t="shared" si="12"/>
        <v>17.964956996762794</v>
      </c>
      <c r="V15" s="240">
        <f t="shared" si="13"/>
        <v>15.030312774667825</v>
      </c>
      <c r="W15" s="240">
        <f t="shared" si="14"/>
        <v>14.326664569136287</v>
      </c>
      <c r="X15" s="240">
        <f t="shared" si="15"/>
        <v>48.663447484504211</v>
      </c>
      <c r="Y15" s="240">
        <f t="shared" si="16"/>
        <v>36.82392941900769</v>
      </c>
      <c r="Z15" s="240">
        <f t="shared" si="17"/>
        <v>2.2050257137130354</v>
      </c>
      <c r="AA15" s="232"/>
      <c r="AB15" s="233">
        <f t="shared" si="1"/>
        <v>7.2400814231033872E-3</v>
      </c>
      <c r="AC15" s="217">
        <f>AB15*$AC$3</f>
        <v>48.115409113518176</v>
      </c>
    </row>
    <row r="16" spans="2:30" x14ac:dyDescent="0.25">
      <c r="B16" s="1" t="s">
        <v>33</v>
      </c>
      <c r="C16" s="230" t="s">
        <v>115</v>
      </c>
      <c r="D16" s="231"/>
      <c r="E16" s="230"/>
      <c r="F16" s="230"/>
      <c r="G16" s="231"/>
      <c r="H16" s="118">
        <v>3538.46</v>
      </c>
      <c r="I16" s="231"/>
      <c r="J16" s="2">
        <f t="shared" si="0"/>
        <v>2.3942566961793636E-2</v>
      </c>
      <c r="K16" s="2">
        <f t="shared" si="2"/>
        <v>2.1590305516801859E-2</v>
      </c>
      <c r="L16" s="232">
        <f t="shared" si="3"/>
        <v>210.60288923232034</v>
      </c>
      <c r="M16" s="232">
        <f t="shared" si="4"/>
        <v>49.25369105112339</v>
      </c>
      <c r="N16" s="232">
        <f t="shared" si="5"/>
        <v>100.32965087370891</v>
      </c>
      <c r="O16" s="232">
        <f t="shared" si="6"/>
        <v>18.393637642728343</v>
      </c>
      <c r="P16" s="232">
        <f t="shared" si="7"/>
        <v>29.154384938036877</v>
      </c>
      <c r="Q16" s="232"/>
      <c r="R16" s="240">
        <f t="shared" si="9"/>
        <v>6.9250904945141967</v>
      </c>
      <c r="S16" s="240">
        <f t="shared" si="10"/>
        <v>58.97348771303394</v>
      </c>
      <c r="T16" s="240">
        <f t="shared" si="11"/>
        <v>77.40124527773466</v>
      </c>
      <c r="U16" s="240">
        <f t="shared" si="12"/>
        <v>31.662398943445094</v>
      </c>
      <c r="V16" s="240">
        <f t="shared" si="13"/>
        <v>26.490225353840042</v>
      </c>
      <c r="W16" s="240">
        <f t="shared" si="14"/>
        <v>25.250078204954942</v>
      </c>
      <c r="X16" s="240">
        <f t="shared" si="15"/>
        <v>85.76705685938505</v>
      </c>
      <c r="Y16" s="240">
        <f t="shared" si="16"/>
        <v>64.90045838350639</v>
      </c>
      <c r="Z16" s="240">
        <f t="shared" si="17"/>
        <v>3.8862549930243344</v>
      </c>
      <c r="AA16" s="232"/>
      <c r="AB16" s="233">
        <f t="shared" si="1"/>
        <v>1.2760305880088266E-2</v>
      </c>
      <c r="AC16" s="217">
        <f t="shared" si="8"/>
        <v>84.801164787302582</v>
      </c>
    </row>
    <row r="17" spans="2:29" x14ac:dyDescent="0.25">
      <c r="B17" s="1" t="s">
        <v>35</v>
      </c>
      <c r="C17" s="230" t="s">
        <v>36</v>
      </c>
      <c r="D17" s="231"/>
      <c r="E17" s="234"/>
      <c r="F17" s="234"/>
      <c r="G17" s="231"/>
      <c r="H17" s="118">
        <v>1330</v>
      </c>
      <c r="I17" s="235"/>
      <c r="J17" s="2">
        <f t="shared" si="0"/>
        <v>8.9992861468507594E-3</v>
      </c>
      <c r="K17" s="2">
        <f t="shared" si="2"/>
        <v>8.115142275833688E-3</v>
      </c>
      <c r="L17" s="232">
        <f t="shared" si="3"/>
        <v>79.159250826344248</v>
      </c>
      <c r="M17" s="232">
        <f t="shared" si="4"/>
        <v>18.512971489855506</v>
      </c>
      <c r="N17" s="232">
        <f t="shared" si="5"/>
        <v>37.71087864834783</v>
      </c>
      <c r="O17" s="232">
        <f t="shared" si="6"/>
        <v>6.9136115894566279</v>
      </c>
      <c r="P17" s="232">
        <f t="shared" si="7"/>
        <v>10.958250755297234</v>
      </c>
      <c r="Q17" s="232"/>
      <c r="R17" s="240">
        <f t="shared" si="9"/>
        <v>2.6029318849736556</v>
      </c>
      <c r="S17" s="240">
        <f t="shared" si="10"/>
        <v>22.166348823594202</v>
      </c>
      <c r="T17" s="240">
        <f t="shared" si="11"/>
        <v>29.092785058863772</v>
      </c>
      <c r="U17" s="240">
        <f t="shared" si="12"/>
        <v>11.900937298932861</v>
      </c>
      <c r="V17" s="240">
        <f t="shared" si="13"/>
        <v>9.9568738153341432</v>
      </c>
      <c r="W17" s="240">
        <f t="shared" si="14"/>
        <v>9.4907400430102555</v>
      </c>
      <c r="X17" s="240">
        <f t="shared" si="15"/>
        <v>32.23724038790381</v>
      </c>
      <c r="Y17" s="240">
        <f t="shared" si="16"/>
        <v>24.394117681156064</v>
      </c>
      <c r="Z17" s="240">
        <f t="shared" si="17"/>
        <v>1.4607256096500638</v>
      </c>
      <c r="AA17" s="232"/>
      <c r="AB17" s="233">
        <f t="shared" si="1"/>
        <v>4.7962127084995717E-3</v>
      </c>
      <c r="AC17" s="217">
        <f t="shared" si="8"/>
        <v>31.874190796875602</v>
      </c>
    </row>
    <row r="18" spans="2:29" x14ac:dyDescent="0.25">
      <c r="B18" s="1" t="s">
        <v>37</v>
      </c>
      <c r="C18" s="230" t="s">
        <v>38</v>
      </c>
      <c r="D18" s="231"/>
      <c r="E18" s="230"/>
      <c r="F18" s="230"/>
      <c r="G18" s="231"/>
      <c r="H18" s="118">
        <v>2000</v>
      </c>
      <c r="I18" s="231"/>
      <c r="J18" s="2">
        <f t="shared" si="0"/>
        <v>1.3532761123083848E-2</v>
      </c>
      <c r="K18" s="2">
        <f t="shared" si="2"/>
        <v>1.2203221467419079E-2</v>
      </c>
      <c r="L18" s="232">
        <f t="shared" si="3"/>
        <v>119.03646740803644</v>
      </c>
      <c r="M18" s="232">
        <f t="shared" si="4"/>
        <v>27.839054871963167</v>
      </c>
      <c r="N18" s="232">
        <f t="shared" si="5"/>
        <v>56.708088193004251</v>
      </c>
      <c r="O18" s="232">
        <f t="shared" si="6"/>
        <v>10.396408405197935</v>
      </c>
      <c r="P18" s="232">
        <f t="shared" si="7"/>
        <v>16.478572564356739</v>
      </c>
      <c r="Q18" s="232"/>
      <c r="R18" s="240">
        <f t="shared" si="9"/>
        <v>3.9141832856746697</v>
      </c>
      <c r="S18" s="240">
        <f t="shared" si="10"/>
        <v>33.332855373825865</v>
      </c>
      <c r="T18" s="240">
        <f t="shared" si="11"/>
        <v>43.748548960697399</v>
      </c>
      <c r="U18" s="240">
        <f t="shared" si="12"/>
        <v>17.896146314184755</v>
      </c>
      <c r="V18" s="240">
        <f t="shared" si="13"/>
        <v>14.972742579449839</v>
      </c>
      <c r="W18" s="240">
        <f t="shared" si="14"/>
        <v>14.271789538361288</v>
      </c>
      <c r="X18" s="240">
        <f t="shared" si="15"/>
        <v>48.477053214892948</v>
      </c>
      <c r="Y18" s="240">
        <f t="shared" si="16"/>
        <v>36.68288373106175</v>
      </c>
      <c r="Z18" s="240">
        <f t="shared" si="17"/>
        <v>2.1965798641354342</v>
      </c>
      <c r="AA18" s="232"/>
      <c r="AB18" s="233">
        <f t="shared" si="1"/>
        <v>7.2123499375933405E-3</v>
      </c>
      <c r="AC18" s="217">
        <f t="shared" si="8"/>
        <v>47.931113980264058</v>
      </c>
    </row>
    <row r="19" spans="2:29" x14ac:dyDescent="0.25">
      <c r="B19" s="1">
        <v>335</v>
      </c>
      <c r="C19" s="230" t="s">
        <v>39</v>
      </c>
      <c r="D19" s="231"/>
      <c r="E19" s="230"/>
      <c r="F19" s="230"/>
      <c r="G19" s="231"/>
      <c r="H19" s="118">
        <v>846.15</v>
      </c>
      <c r="I19" s="231"/>
      <c r="J19" s="2">
        <f t="shared" si="0"/>
        <v>5.7253729121486989E-3</v>
      </c>
      <c r="K19" s="2">
        <f t="shared" si="2"/>
        <v>5.1628779223283272E-3</v>
      </c>
      <c r="L19" s="232">
        <f t="shared" si="3"/>
        <v>50.361353448655024</v>
      </c>
      <c r="M19" s="232">
        <f t="shared" si="4"/>
        <v>11.778008139955816</v>
      </c>
      <c r="N19" s="232">
        <f t="shared" si="5"/>
        <v>23.991774412255275</v>
      </c>
      <c r="O19" s="232">
        <f t="shared" si="6"/>
        <v>4.3984604860291165</v>
      </c>
      <c r="P19" s="232">
        <f t="shared" si="7"/>
        <v>6.9716720876652278</v>
      </c>
      <c r="Q19" s="232"/>
      <c r="R19" s="240">
        <f t="shared" si="9"/>
        <v>1.655993093586811</v>
      </c>
      <c r="S19" s="240">
        <f t="shared" si="10"/>
        <v>14.10229778728138</v>
      </c>
      <c r="T19" s="240">
        <f t="shared" si="11"/>
        <v>18.508917351547051</v>
      </c>
      <c r="U19" s="240">
        <f t="shared" si="12"/>
        <v>7.5714121018737153</v>
      </c>
      <c r="V19" s="240">
        <f t="shared" si="13"/>
        <v>6.3345930668007409</v>
      </c>
      <c r="W19" s="240">
        <f t="shared" si="14"/>
        <v>6.0380373589422023</v>
      </c>
      <c r="X19" s="240">
        <f t="shared" si="15"/>
        <v>20.509429288890832</v>
      </c>
      <c r="Y19" s="240">
        <f t="shared" si="16"/>
        <v>15.519611034518951</v>
      </c>
      <c r="Z19" s="240">
        <f t="shared" si="17"/>
        <v>0.92931802601909885</v>
      </c>
      <c r="AA19" s="232"/>
      <c r="AB19" s="233">
        <f t="shared" si="1"/>
        <v>3.0513649498473024E-3</v>
      </c>
      <c r="AC19" s="217">
        <f t="shared" si="8"/>
        <v>20.278456047200216</v>
      </c>
    </row>
    <row r="20" spans="2:29" ht="15.75" thickBot="1" x14ac:dyDescent="0.3">
      <c r="B20" s="1">
        <v>368</v>
      </c>
      <c r="C20" t="s">
        <v>40</v>
      </c>
      <c r="D20" s="2"/>
      <c r="H20" s="214">
        <v>4903.5</v>
      </c>
      <c r="J20" s="2">
        <f t="shared" si="0"/>
        <v>3.3178947083520823E-2</v>
      </c>
      <c r="K20" s="2">
        <f t="shared" si="2"/>
        <v>2.9919248232744729E-2</v>
      </c>
      <c r="L20" s="221">
        <f>J20*$L$3</f>
        <v>291.84765896765333</v>
      </c>
      <c r="M20" s="221">
        <f>J20*$M$3</f>
        <v>68.254402782335688</v>
      </c>
      <c r="N20" s="221">
        <f>J20*$N$3</f>
        <v>139.03405522719817</v>
      </c>
      <c r="O20" s="221">
        <f>J20*$O$3</f>
        <v>25.489394307444037</v>
      </c>
      <c r="P20" s="221">
        <f>J20*$P$3</f>
        <v>40.401340284661636</v>
      </c>
      <c r="Q20" s="221"/>
      <c r="R20" s="240">
        <f t="shared" si="9"/>
        <v>9.5965988706528709</v>
      </c>
      <c r="S20" s="240">
        <f t="shared" si="10"/>
        <v>81.723828162777579</v>
      </c>
      <c r="T20" s="240">
        <f t="shared" si="11"/>
        <v>107.26050491438986</v>
      </c>
      <c r="U20" s="240">
        <f t="shared" si="12"/>
        <v>43.876876725802475</v>
      </c>
      <c r="V20" s="240">
        <f t="shared" si="13"/>
        <v>36.709421619166143</v>
      </c>
      <c r="W20" s="240">
        <f t="shared" si="14"/>
        <v>34.990860000677287</v>
      </c>
      <c r="X20" s="240">
        <f t="shared" si="15"/>
        <v>118.85361521961379</v>
      </c>
      <c r="Y20" s="240">
        <f t="shared" si="16"/>
        <v>89.937260187630656</v>
      </c>
      <c r="Z20" s="240">
        <f t="shared" si="17"/>
        <v>5.3854646818940513</v>
      </c>
      <c r="AA20" s="176"/>
      <c r="AB20" s="177">
        <f t="shared" si="1"/>
        <v>1.7682878959494473E-2</v>
      </c>
      <c r="AC20" s="178">
        <f>AB20*$AC$3</f>
        <v>117.51510870111241</v>
      </c>
    </row>
    <row r="21" spans="2:29" ht="15.75" thickBot="1" x14ac:dyDescent="0.3">
      <c r="B21" s="1">
        <v>451</v>
      </c>
      <c r="C21" t="s">
        <v>41</v>
      </c>
      <c r="D21" s="2"/>
      <c r="H21" s="213">
        <v>15982.38</v>
      </c>
      <c r="I21" s="31"/>
      <c r="J21" s="2">
        <f t="shared" si="0"/>
        <v>0.10814286535917642</v>
      </c>
      <c r="K21" s="2">
        <f t="shared" si="2"/>
        <v>9.7518261358224667E-2</v>
      </c>
      <c r="L21" s="179">
        <f t="shared" si="3"/>
        <v>951.2430279864268</v>
      </c>
      <c r="M21" s="179">
        <f t="shared" si="4"/>
        <v>222.46717690228334</v>
      </c>
      <c r="N21" s="179">
        <f t="shared" si="5"/>
        <v>453.16510728705367</v>
      </c>
      <c r="O21" s="179">
        <f t="shared" si="6"/>
        <v>83.079674883533684</v>
      </c>
      <c r="P21" s="179">
        <f t="shared" si="7"/>
        <v>131.68340429056195</v>
      </c>
      <c r="Q21" s="179"/>
      <c r="R21" s="251">
        <f t="shared" si="9"/>
        <v>31.27898233065056</v>
      </c>
      <c r="S21" s="251">
        <f t="shared" si="10"/>
        <v>266.36918053476353</v>
      </c>
      <c r="T21" s="251">
        <f t="shared" si="11"/>
        <v>349.60296696923541</v>
      </c>
      <c r="U21" s="251">
        <f t="shared" si="12"/>
        <v>143.01150546445007</v>
      </c>
      <c r="V21" s="251">
        <f t="shared" si="13"/>
        <v>119.65003077347376</v>
      </c>
      <c r="W21" s="251">
        <f t="shared" si="14"/>
        <v>114.04858184105733</v>
      </c>
      <c r="X21" s="251">
        <f t="shared" si="15"/>
        <v>387.38934288032033</v>
      </c>
      <c r="Y21" s="251">
        <f t="shared" si="16"/>
        <v>293.13989364282332</v>
      </c>
      <c r="Z21" s="251">
        <f t="shared" si="17"/>
        <v>17.553287044480442</v>
      </c>
      <c r="AA21" s="179"/>
      <c r="AB21" s="177">
        <f t="shared" si="1"/>
        <v>5.7635258697796524E-2</v>
      </c>
      <c r="AC21" s="178">
        <f t="shared" si="8"/>
        <v>383.02663872794636</v>
      </c>
    </row>
    <row r="22" spans="2:29" x14ac:dyDescent="0.25">
      <c r="B22" s="1">
        <v>467</v>
      </c>
      <c r="C22" t="s">
        <v>44</v>
      </c>
      <c r="D22" s="2"/>
      <c r="H22" s="214">
        <v>0</v>
      </c>
      <c r="J22" s="2">
        <f t="shared" si="0"/>
        <v>0</v>
      </c>
      <c r="K22" s="2">
        <f t="shared" si="2"/>
        <v>0</v>
      </c>
      <c r="L22" s="221">
        <f>J22*$L$3</f>
        <v>0</v>
      </c>
      <c r="M22" s="221">
        <f>J22*$M$3</f>
        <v>0</v>
      </c>
      <c r="N22" s="221">
        <f>J22*$N$3</f>
        <v>0</v>
      </c>
      <c r="O22" s="221">
        <f>J22*$O$3</f>
        <v>0</v>
      </c>
      <c r="P22" s="221">
        <f>J22*$P$3</f>
        <v>0</v>
      </c>
      <c r="Q22" s="221"/>
      <c r="R22" s="240">
        <f t="shared" si="9"/>
        <v>0</v>
      </c>
      <c r="S22" s="240">
        <f t="shared" si="10"/>
        <v>0</v>
      </c>
      <c r="T22" s="240">
        <f t="shared" si="11"/>
        <v>0</v>
      </c>
      <c r="U22" s="240">
        <f t="shared" si="12"/>
        <v>0</v>
      </c>
      <c r="V22" s="240">
        <f t="shared" si="13"/>
        <v>0</v>
      </c>
      <c r="W22" s="240">
        <f t="shared" si="14"/>
        <v>0</v>
      </c>
      <c r="X22" s="240">
        <f t="shared" si="15"/>
        <v>0</v>
      </c>
      <c r="Y22" s="240">
        <f t="shared" si="16"/>
        <v>0</v>
      </c>
      <c r="Z22" s="240">
        <f t="shared" si="17"/>
        <v>0</v>
      </c>
      <c r="AA22" s="176"/>
      <c r="AB22" s="177">
        <f t="shared" si="1"/>
        <v>0</v>
      </c>
      <c r="AC22" s="178">
        <f>AB22*$AC$3</f>
        <v>0</v>
      </c>
    </row>
    <row r="23" spans="2:29" x14ac:dyDescent="0.25">
      <c r="B23" s="1">
        <v>468</v>
      </c>
      <c r="C23" t="s">
        <v>45</v>
      </c>
      <c r="D23" s="2"/>
      <c r="H23" s="214">
        <v>6307.7</v>
      </c>
      <c r="J23" s="2">
        <f t="shared" si="0"/>
        <v>4.2680298668037991E-2</v>
      </c>
      <c r="K23" s="2">
        <f t="shared" si="2"/>
        <v>3.8487130025019661E-2</v>
      </c>
      <c r="L23" s="221">
        <f>J23*$L$3</f>
        <v>375.42316273483573</v>
      </c>
      <c r="M23" s="221">
        <f>J23*$M$3</f>
        <v>87.800203207941024</v>
      </c>
      <c r="N23" s="221">
        <f>J23*$N$3</f>
        <v>178.84880394750644</v>
      </c>
      <c r="O23" s="221">
        <f>J23*$O$3</f>
        <v>32.788712648733508</v>
      </c>
      <c r="P23" s="221">
        <f>J23*$P$3</f>
        <v>51.970946082096503</v>
      </c>
      <c r="Q23" s="221"/>
      <c r="R23" s="240">
        <f t="shared" si="9"/>
        <v>12.344746955525057</v>
      </c>
      <c r="S23" s="240">
        <f t="shared" si="10"/>
        <v>105.1268259207407</v>
      </c>
      <c r="T23" s="240">
        <f t="shared" si="11"/>
        <v>137.97636113969548</v>
      </c>
      <c r="U23" s="240">
        <f t="shared" si="12"/>
        <v>56.441761052991581</v>
      </c>
      <c r="V23" s="240">
        <f t="shared" si="13"/>
        <v>47.221784184197872</v>
      </c>
      <c r="W23" s="240">
        <f t="shared" si="14"/>
        <v>45.011083435560742</v>
      </c>
      <c r="X23" s="240">
        <f t="shared" si="15"/>
        <v>152.88935428179011</v>
      </c>
      <c r="Y23" s="240">
        <f t="shared" si="16"/>
        <v>115.6923128552091</v>
      </c>
      <c r="Z23" s="240">
        <f t="shared" si="17"/>
        <v>6.9276834045035391</v>
      </c>
      <c r="AA23" s="176"/>
      <c r="AB23" s="177">
        <f t="shared" si="1"/>
        <v>2.2746669850678757E-2</v>
      </c>
      <c r="AC23" s="178">
        <f>AB23*$AC$3</f>
        <v>151.16754382665582</v>
      </c>
    </row>
    <row r="24" spans="2:29" x14ac:dyDescent="0.25">
      <c r="B24" s="1">
        <v>502</v>
      </c>
      <c r="C24" t="s">
        <v>46</v>
      </c>
      <c r="D24" s="2"/>
      <c r="H24" s="214">
        <v>665</v>
      </c>
      <c r="J24" s="2">
        <f t="shared" si="0"/>
        <v>4.4996430734253797E-3</v>
      </c>
      <c r="K24" s="2">
        <f t="shared" si="2"/>
        <v>4.057571137916844E-3</v>
      </c>
      <c r="L24" s="221">
        <f t="shared" si="3"/>
        <v>39.579625413172124</v>
      </c>
      <c r="M24" s="221">
        <f t="shared" si="4"/>
        <v>9.2564857449277529</v>
      </c>
      <c r="N24" s="221">
        <f t="shared" si="5"/>
        <v>18.855439324173915</v>
      </c>
      <c r="O24" s="221">
        <f t="shared" si="6"/>
        <v>3.456805794728314</v>
      </c>
      <c r="P24" s="221">
        <f t="shared" si="7"/>
        <v>5.4791253776486171</v>
      </c>
      <c r="Q24" s="221"/>
      <c r="R24" s="240">
        <f t="shared" si="9"/>
        <v>1.3014659424868278</v>
      </c>
      <c r="S24" s="240">
        <f t="shared" si="10"/>
        <v>11.083174411797101</v>
      </c>
      <c r="T24" s="240">
        <f t="shared" si="11"/>
        <v>14.546392529431886</v>
      </c>
      <c r="U24" s="240">
        <f t="shared" si="12"/>
        <v>5.9504686494664307</v>
      </c>
      <c r="V24" s="240">
        <f t="shared" si="13"/>
        <v>4.9784369076670716</v>
      </c>
      <c r="W24" s="240">
        <f t="shared" si="14"/>
        <v>4.7453700215051278</v>
      </c>
      <c r="X24" s="240">
        <f t="shared" si="15"/>
        <v>16.118620193951905</v>
      </c>
      <c r="Y24" s="240">
        <f t="shared" si="16"/>
        <v>12.197058840578032</v>
      </c>
      <c r="Z24" s="240">
        <f t="shared" si="17"/>
        <v>0.73036280482503191</v>
      </c>
      <c r="AA24" s="176"/>
      <c r="AB24" s="177">
        <f t="shared" si="1"/>
        <v>2.3981063542497859E-3</v>
      </c>
      <c r="AC24" s="178">
        <f t="shared" si="8"/>
        <v>15.937095398437801</v>
      </c>
    </row>
    <row r="25" spans="2:29" x14ac:dyDescent="0.25">
      <c r="B25" s="1">
        <v>515</v>
      </c>
      <c r="C25" t="s">
        <v>47</v>
      </c>
      <c r="D25" s="2"/>
      <c r="H25" s="214">
        <v>2449.62</v>
      </c>
      <c r="J25" s="2">
        <f t="shared" si="0"/>
        <v>1.6575061151164326E-2</v>
      </c>
      <c r="K25" s="2">
        <f t="shared" si="2"/>
        <v>1.4946627685509561E-2</v>
      </c>
      <c r="L25" s="221">
        <f>J25*$L$3</f>
        <v>145.79705564603711</v>
      </c>
      <c r="M25" s="221">
        <f>J25*$M$3</f>
        <v>34.0975527977292</v>
      </c>
      <c r="N25" s="221">
        <f>J25*$N$3</f>
        <v>69.456633499673529</v>
      </c>
      <c r="O25" s="221">
        <f>J25*$O$3</f>
        <v>12.733624978770482</v>
      </c>
      <c r="P25" s="221">
        <f>J25*$P$3</f>
        <v>20.183120462549777</v>
      </c>
      <c r="Q25" s="221"/>
      <c r="R25" s="240">
        <f>K25*$R$3</f>
        <v>4.7941308301271919</v>
      </c>
      <c r="S25" s="240">
        <f>K25*$S$3</f>
        <v>40.826414590415659</v>
      </c>
      <c r="T25" s="240">
        <f>K25*$T$3</f>
        <v>53.583660252551773</v>
      </c>
      <c r="U25" s="240">
        <f>K25*$U$3</f>
        <v>21.919378967076625</v>
      </c>
      <c r="V25" s="240">
        <f>K25*$V$3</f>
        <v>18.338764838735958</v>
      </c>
      <c r="W25" s="240">
        <f>K25*$W$3</f>
        <v>17.480230544480285</v>
      </c>
      <c r="X25" s="240">
        <f>K25*$X$3</f>
        <v>59.375179548133019</v>
      </c>
      <c r="Y25" s="240">
        <f>K25*$Y$3</f>
        <v>44.929562822641742</v>
      </c>
      <c r="Z25" s="240">
        <f>K25*$Z$3</f>
        <v>2.6903929833917211</v>
      </c>
      <c r="AA25" s="176"/>
      <c r="AB25" s="177">
        <f t="shared" si="1"/>
        <v>8.8337583270636996E-3</v>
      </c>
      <c r="AC25" s="178">
        <f>AB25*$AC$3</f>
        <v>58.70650771416723</v>
      </c>
    </row>
    <row r="26" spans="2:29" x14ac:dyDescent="0.25">
      <c r="B26" s="1">
        <v>525</v>
      </c>
      <c r="C26" t="s">
        <v>48</v>
      </c>
      <c r="D26" s="2"/>
      <c r="H26" s="214">
        <v>1923.08</v>
      </c>
      <c r="J26" s="2">
        <f t="shared" si="0"/>
        <v>1.3012291130290043E-2</v>
      </c>
      <c r="K26" s="2">
        <f t="shared" si="2"/>
        <v>1.1733885569782141E-2</v>
      </c>
      <c r="L26" s="221">
        <f>J26*$L$3</f>
        <v>114.45832487152337</v>
      </c>
      <c r="M26" s="221">
        <f>J26*$M$3</f>
        <v>26.768364821587465</v>
      </c>
      <c r="N26" s="221">
        <f>J26*$N$3</f>
        <v>54.527095121101311</v>
      </c>
      <c r="O26" s="221">
        <f>J26*$O$3</f>
        <v>9.9965625379340235</v>
      </c>
      <c r="P26" s="221">
        <f>J26*$P$3</f>
        <v>15.84480666353158</v>
      </c>
      <c r="Q26" s="221"/>
      <c r="R26" s="240">
        <f>K26*$R$3</f>
        <v>3.7636437965076217</v>
      </c>
      <c r="S26" s="240">
        <f>K26*$S$3</f>
        <v>32.050873756148526</v>
      </c>
      <c r="T26" s="240">
        <f>K26*$T$3</f>
        <v>42.065979767668978</v>
      </c>
      <c r="U26" s="240">
        <f>K26*$U$3</f>
        <v>17.207860526941207</v>
      </c>
      <c r="V26" s="240">
        <f>K26*$V$3</f>
        <v>14.396890899844198</v>
      </c>
      <c r="W26" s="240">
        <f>K26*$W$3</f>
        <v>13.722896512715911</v>
      </c>
      <c r="X26" s="240">
        <f>K26*$X$3</f>
        <v>46.612625748248163</v>
      </c>
      <c r="Y26" s="240">
        <f>K26*$Y$3</f>
        <v>35.272060022765118</v>
      </c>
      <c r="Z26" s="240">
        <f>K26*$Z$3</f>
        <v>2.1120994025607853</v>
      </c>
      <c r="AA26" s="176"/>
      <c r="AB26" s="177">
        <f t="shared" si="1"/>
        <v>6.9349629589935003E-3</v>
      </c>
      <c r="AC26" s="178">
        <f>AB26*$AC$3</f>
        <v>46.087683336583105</v>
      </c>
    </row>
    <row r="27" spans="2:29" x14ac:dyDescent="0.25">
      <c r="B27" s="1">
        <v>560</v>
      </c>
      <c r="C27" t="s">
        <v>49</v>
      </c>
      <c r="D27" s="2"/>
      <c r="H27" s="214">
        <v>461.54</v>
      </c>
      <c r="I27" s="256"/>
      <c r="J27" s="256">
        <f t="shared" si="0"/>
        <v>3.1229552843740596E-3</v>
      </c>
      <c r="K27" s="256">
        <f t="shared" si="2"/>
        <v>2.8161374180363011E-3</v>
      </c>
      <c r="L27" s="257">
        <f>J27*$L$3</f>
        <v>27.470045583752572</v>
      </c>
      <c r="M27" s="257">
        <f>J27*$M$3</f>
        <v>6.4244186928029396</v>
      </c>
      <c r="N27" s="257">
        <f>J27*$N$3</f>
        <v>13.086525512299591</v>
      </c>
      <c r="O27" s="257">
        <f>J27*$O$3</f>
        <v>2.3991791676675276</v>
      </c>
      <c r="P27" s="257">
        <f>J27*$P$3</f>
        <v>3.8027601906766053</v>
      </c>
      <c r="Q27" s="257"/>
      <c r="R27" s="258">
        <f t="shared" si="9"/>
        <v>0.90327607683514355</v>
      </c>
      <c r="S27" s="258">
        <f t="shared" si="10"/>
        <v>7.692223034617796</v>
      </c>
      <c r="T27" s="258">
        <f t="shared" si="11"/>
        <v>10.095852643660139</v>
      </c>
      <c r="U27" s="258">
        <f t="shared" si="12"/>
        <v>4.1298936849244159</v>
      </c>
      <c r="V27" s="258">
        <f t="shared" si="13"/>
        <v>3.4552598050596397</v>
      </c>
      <c r="W27" s="258">
        <f t="shared" si="14"/>
        <v>3.2935008717676344</v>
      </c>
      <c r="X27" s="258">
        <f t="shared" si="15"/>
        <v>11.187049570400845</v>
      </c>
      <c r="Y27" s="258">
        <f t="shared" si="16"/>
        <v>8.4653090786171212</v>
      </c>
      <c r="Z27" s="258">
        <f t="shared" si="17"/>
        <v>0.50690473524653423</v>
      </c>
      <c r="AA27" s="257"/>
      <c r="AB27" s="259">
        <f t="shared" si="1"/>
        <v>1.6643939950984152E-3</v>
      </c>
      <c r="AC27" s="260">
        <f>AB27*$AC$3</f>
        <v>11.061063173225538</v>
      </c>
    </row>
    <row r="28" spans="2:29" x14ac:dyDescent="0.25">
      <c r="B28" s="1">
        <v>561</v>
      </c>
      <c r="C28" t="s">
        <v>67</v>
      </c>
      <c r="D28" s="2"/>
      <c r="H28" s="214">
        <v>461.54</v>
      </c>
      <c r="I28" s="99"/>
      <c r="J28" s="99">
        <f t="shared" si="0"/>
        <v>3.1229552843740596E-3</v>
      </c>
      <c r="K28" s="99">
        <f t="shared" si="2"/>
        <v>2.8161374180363011E-3</v>
      </c>
      <c r="L28" s="183">
        <f>J28*$L$3</f>
        <v>27.470045583752572</v>
      </c>
      <c r="M28" s="183">
        <f>J28*$M$3</f>
        <v>6.4244186928029396</v>
      </c>
      <c r="N28" s="183">
        <f>J28*$N$3</f>
        <v>13.086525512299591</v>
      </c>
      <c r="O28" s="183">
        <f>J28*$O$3</f>
        <v>2.3991791676675276</v>
      </c>
      <c r="P28" s="183">
        <f>J28*$P$3</f>
        <v>3.8027601906766053</v>
      </c>
      <c r="Q28" s="183"/>
      <c r="R28" s="252">
        <f t="shared" si="9"/>
        <v>0.90327607683514355</v>
      </c>
      <c r="S28" s="252">
        <f t="shared" si="10"/>
        <v>7.692223034617796</v>
      </c>
      <c r="T28" s="252">
        <f t="shared" si="11"/>
        <v>10.095852643660139</v>
      </c>
      <c r="U28" s="252">
        <f t="shared" si="12"/>
        <v>4.1298936849244159</v>
      </c>
      <c r="V28" s="252">
        <f t="shared" si="13"/>
        <v>3.4552598050596397</v>
      </c>
      <c r="W28" s="252">
        <f t="shared" si="14"/>
        <v>3.2935008717676344</v>
      </c>
      <c r="X28" s="252">
        <f t="shared" si="15"/>
        <v>11.187049570400845</v>
      </c>
      <c r="Y28" s="252">
        <f t="shared" si="16"/>
        <v>8.4653090786171212</v>
      </c>
      <c r="Z28" s="252">
        <f t="shared" si="17"/>
        <v>0.50690473524653423</v>
      </c>
      <c r="AA28" s="183"/>
      <c r="AB28" s="184">
        <f t="shared" si="1"/>
        <v>1.6643939950984152E-3</v>
      </c>
      <c r="AC28" s="254">
        <f>AB28*$AC$3</f>
        <v>11.061063173225538</v>
      </c>
    </row>
    <row r="29" spans="2:29" x14ac:dyDescent="0.25">
      <c r="B29" s="1">
        <v>563</v>
      </c>
      <c r="C29" t="s">
        <v>118</v>
      </c>
      <c r="D29" s="2"/>
      <c r="H29" s="214">
        <v>769.23</v>
      </c>
      <c r="J29" s="2">
        <f t="shared" si="0"/>
        <v>5.2049029193548943E-3</v>
      </c>
      <c r="K29" s="2">
        <f t="shared" si="2"/>
        <v>4.6935420246913889E-3</v>
      </c>
      <c r="L29" s="221">
        <f>J29*$L$3</f>
        <v>45.783210912141939</v>
      </c>
      <c r="M29" s="221">
        <f>J29*$M$3</f>
        <v>10.707318089580113</v>
      </c>
      <c r="N29" s="221">
        <f>J29*$N$3</f>
        <v>21.810781340352332</v>
      </c>
      <c r="O29" s="221">
        <f>J29*$O$3</f>
        <v>3.9986146187652039</v>
      </c>
      <c r="P29" s="221">
        <f>J29*$P$3</f>
        <v>6.3379061868400681</v>
      </c>
      <c r="Q29" s="221"/>
      <c r="R29" s="240">
        <f t="shared" si="9"/>
        <v>1.5054536044197631</v>
      </c>
      <c r="S29" s="240">
        <f t="shared" si="10"/>
        <v>12.820316169604036</v>
      </c>
      <c r="T29" s="240">
        <f t="shared" si="11"/>
        <v>16.826348158518631</v>
      </c>
      <c r="U29" s="240">
        <f t="shared" si="12"/>
        <v>6.8831263146301689</v>
      </c>
      <c r="V29" s="240">
        <f t="shared" si="13"/>
        <v>5.7587413871950996</v>
      </c>
      <c r="W29" s="240">
        <f t="shared" si="14"/>
        <v>5.4891443332968262</v>
      </c>
      <c r="X29" s="240">
        <f t="shared" si="15"/>
        <v>18.645001822246048</v>
      </c>
      <c r="Y29" s="240">
        <f t="shared" si="16"/>
        <v>14.108787326222314</v>
      </c>
      <c r="Z29" s="240">
        <f t="shared" si="17"/>
        <v>0.84483756444445002</v>
      </c>
      <c r="AA29" s="176"/>
      <c r="AB29" s="177">
        <f t="shared" si="1"/>
        <v>2.7739779712474626E-3</v>
      </c>
      <c r="AC29" s="178">
        <f>AB29*$AC$3</f>
        <v>18.435025403519262</v>
      </c>
    </row>
    <row r="30" spans="2:29" x14ac:dyDescent="0.25">
      <c r="B30" s="1">
        <v>610</v>
      </c>
      <c r="C30" t="s">
        <v>53</v>
      </c>
      <c r="D30" s="2"/>
      <c r="H30" s="214">
        <v>9146.16</v>
      </c>
      <c r="J30" s="2">
        <f t="shared" si="0"/>
        <v>6.1886399236752286E-2</v>
      </c>
      <c r="K30" s="2">
        <f t="shared" si="2"/>
        <v>5.5806308028224845E-2</v>
      </c>
      <c r="L30" s="221">
        <f t="shared" si="3"/>
        <v>544.36328837434337</v>
      </c>
      <c r="M30" s="221">
        <f t="shared" si="4"/>
        <v>127.31022505387732</v>
      </c>
      <c r="N30" s="221">
        <f t="shared" si="5"/>
        <v>259.33062395366392</v>
      </c>
      <c r="O30" s="221">
        <f t="shared" si="6"/>
        <v>47.543607349642578</v>
      </c>
      <c r="P30" s="221">
        <f t="shared" si="7"/>
        <v>75.357830622608532</v>
      </c>
      <c r="Q30" s="221"/>
      <c r="R30" s="240">
        <f t="shared" si="9"/>
        <v>17.89987330005312</v>
      </c>
      <c r="S30" s="240">
        <f t="shared" si="10"/>
        <v>152.4338142529356</v>
      </c>
      <c r="T30" s="240">
        <f t="shared" si="11"/>
        <v>200.06561428118607</v>
      </c>
      <c r="U30" s="240">
        <f t="shared" si="12"/>
        <v>81.840508786472014</v>
      </c>
      <c r="V30" s="240">
        <f t="shared" si="13"/>
        <v>68.471549635230474</v>
      </c>
      <c r="W30" s="240">
        <f t="shared" si="14"/>
        <v>65.266035302089236</v>
      </c>
      <c r="X30" s="240">
        <f t="shared" si="15"/>
        <v>221.68944251596264</v>
      </c>
      <c r="Y30" s="240">
        <f t="shared" si="16"/>
        <v>167.75376193284387</v>
      </c>
      <c r="Z30" s="240">
        <f t="shared" si="17"/>
        <v>10.045135445080472</v>
      </c>
      <c r="AA30" s="176"/>
      <c r="AB30" s="177">
        <f t="shared" si="1"/>
        <v>3.2982653252609351E-2</v>
      </c>
      <c r="AC30" s="178">
        <f t="shared" si="8"/>
        <v>219.19281872086594</v>
      </c>
    </row>
    <row r="31" spans="2:29" x14ac:dyDescent="0.25">
      <c r="B31" s="1">
        <v>620</v>
      </c>
      <c r="C31" t="s">
        <v>54</v>
      </c>
      <c r="D31" s="2"/>
      <c r="H31" s="214">
        <v>6769.23</v>
      </c>
      <c r="J31" s="2">
        <f t="shared" si="0"/>
        <v>4.5803186288606433E-2</v>
      </c>
      <c r="K31" s="2">
        <f t="shared" si="2"/>
        <v>4.1303206426948624E-2</v>
      </c>
      <c r="L31" s="221">
        <f t="shared" si="3"/>
        <v>402.89261313625127</v>
      </c>
      <c r="M31" s="221">
        <f t="shared" si="4"/>
        <v>94.224482705469597</v>
      </c>
      <c r="N31" s="221">
        <f t="shared" si="5"/>
        <v>191.93504591936508</v>
      </c>
      <c r="O31" s="221">
        <f t="shared" si="6"/>
        <v>35.187839834359004</v>
      </c>
      <c r="P31" s="221">
        <f t="shared" si="7"/>
        <v>55.773623879910282</v>
      </c>
      <c r="Q31" s="221"/>
      <c r="R31" s="240">
        <f t="shared" si="9"/>
        <v>13.248003461443771</v>
      </c>
      <c r="S31" s="240">
        <f t="shared" si="10"/>
        <v>112.81888229108164</v>
      </c>
      <c r="T31" s="240">
        <f t="shared" si="11"/>
        <v>148.07199504061083</v>
      </c>
      <c r="U31" s="240">
        <f t="shared" si="12"/>
        <v>60.571565257184425</v>
      </c>
      <c r="V31" s="240">
        <f t="shared" si="13"/>
        <v>50.676969125544616</v>
      </c>
      <c r="W31" s="240">
        <f t="shared" si="14"/>
        <v>48.304512948380683</v>
      </c>
      <c r="X31" s="240">
        <f t="shared" si="15"/>
        <v>164.07616146692487</v>
      </c>
      <c r="Y31" s="240">
        <f t="shared" si="16"/>
        <v>124.15743851940756</v>
      </c>
      <c r="Z31" s="240">
        <f t="shared" si="17"/>
        <v>7.4345771568507519</v>
      </c>
      <c r="AA31" s="176"/>
      <c r="AB31" s="177">
        <f t="shared" si="1"/>
        <v>2.4411027784027484E-2</v>
      </c>
      <c r="AC31" s="178">
        <f t="shared" si="8"/>
        <v>162.22836734431144</v>
      </c>
    </row>
    <row r="32" spans="2:29" x14ac:dyDescent="0.25">
      <c r="B32" s="1">
        <v>630</v>
      </c>
      <c r="C32" t="s">
        <v>55</v>
      </c>
      <c r="D32" s="2"/>
      <c r="H32" s="214">
        <v>1261.53</v>
      </c>
      <c r="J32" s="2">
        <f t="shared" si="0"/>
        <v>8.5359920698019828E-3</v>
      </c>
      <c r="K32" s="2">
        <f t="shared" si="2"/>
        <v>7.6973649888965956E-3</v>
      </c>
      <c r="L32" s="221">
        <f t="shared" si="3"/>
        <v>75.084037364630106</v>
      </c>
      <c r="M32" s="221">
        <f t="shared" si="4"/>
        <v>17.559901446313845</v>
      </c>
      <c r="N32" s="221">
        <f t="shared" si="5"/>
        <v>35.769477249060323</v>
      </c>
      <c r="O32" s="221">
        <f t="shared" si="6"/>
        <v>6.5576905477046754</v>
      </c>
      <c r="P32" s="221">
        <f t="shared" si="7"/>
        <v>10.394106823556479</v>
      </c>
      <c r="Q32" s="221"/>
      <c r="R32" s="240">
        <f t="shared" si="9"/>
        <v>2.468929820188583</v>
      </c>
      <c r="S32" s="240">
        <f t="shared" si="10"/>
        <v>21.025198519871275</v>
      </c>
      <c r="T32" s="240">
        <f t="shared" si="11"/>
        <v>27.595053485194295</v>
      </c>
      <c r="U32" s="240">
        <f t="shared" si="12"/>
        <v>11.288262729866746</v>
      </c>
      <c r="V32" s="240">
        <f t="shared" si="13"/>
        <v>9.4442819731266781</v>
      </c>
      <c r="W32" s="240">
        <f t="shared" si="14"/>
        <v>9.0021453281644579</v>
      </c>
      <c r="X32" s="240">
        <f t="shared" si="15"/>
        <v>30.577628471091948</v>
      </c>
      <c r="Y32" s="240">
        <f t="shared" si="16"/>
        <v>23.138279156623167</v>
      </c>
      <c r="Z32" s="240">
        <f t="shared" si="17"/>
        <v>1.3855256980013873</v>
      </c>
      <c r="AA32" s="176"/>
      <c r="AB32" s="177">
        <f t="shared" si="1"/>
        <v>4.5492979083860633E-3</v>
      </c>
      <c r="AC32" s="178">
        <f t="shared" si="8"/>
        <v>30.23326910976126</v>
      </c>
    </row>
    <row r="33" spans="2:30" x14ac:dyDescent="0.25">
      <c r="B33" s="1">
        <v>650</v>
      </c>
      <c r="C33" t="s">
        <v>56</v>
      </c>
      <c r="D33" s="2"/>
      <c r="H33" s="214">
        <v>254.15</v>
      </c>
      <c r="I33" s="53"/>
      <c r="J33" s="2">
        <f t="shared" si="0"/>
        <v>1.7196756197158801E-3</v>
      </c>
      <c r="K33" s="2">
        <f t="shared" si="2"/>
        <v>1.5507243679722795E-3</v>
      </c>
      <c r="L33" s="221">
        <f t="shared" si="3"/>
        <v>15.126559095876233</v>
      </c>
      <c r="M33" s="221">
        <f t="shared" si="4"/>
        <v>3.5376478978547197</v>
      </c>
      <c r="N33" s="221">
        <f t="shared" si="5"/>
        <v>7.206180307126016</v>
      </c>
      <c r="O33" s="221">
        <f t="shared" si="6"/>
        <v>1.3211235980905278</v>
      </c>
      <c r="P33" s="221">
        <f t="shared" si="7"/>
        <v>2.094014608615633</v>
      </c>
      <c r="Q33" s="221"/>
      <c r="R33" s="240">
        <f t="shared" si="9"/>
        <v>0.49739484102710863</v>
      </c>
      <c r="S33" s="240">
        <f t="shared" si="10"/>
        <v>4.2357725966289221</v>
      </c>
      <c r="T33" s="240">
        <f t="shared" si="11"/>
        <v>5.5593468591806214</v>
      </c>
      <c r="U33" s="240">
        <f t="shared" si="12"/>
        <v>2.2741527928750274</v>
      </c>
      <c r="V33" s="240">
        <f t="shared" si="13"/>
        <v>1.9026612632835884</v>
      </c>
      <c r="W33" s="240">
        <f t="shared" si="14"/>
        <v>1.8135876555872605</v>
      </c>
      <c r="X33" s="240">
        <f t="shared" si="15"/>
        <v>6.1602215372825206</v>
      </c>
      <c r="Y33" s="240">
        <f t="shared" si="16"/>
        <v>4.6614774501246723</v>
      </c>
      <c r="Z33" s="240">
        <f t="shared" si="17"/>
        <v>0.2791303862350103</v>
      </c>
      <c r="AA33" s="176"/>
      <c r="AB33" s="177">
        <f t="shared" si="1"/>
        <v>9.1650936831967373E-4</v>
      </c>
      <c r="AC33" s="178">
        <f t="shared" si="8"/>
        <v>6.0908463090420559</v>
      </c>
    </row>
    <row r="34" spans="2:30" x14ac:dyDescent="0.25">
      <c r="B34" s="1">
        <v>600</v>
      </c>
      <c r="C34" t="s">
        <v>57</v>
      </c>
      <c r="D34" s="2"/>
      <c r="H34" s="214"/>
      <c r="I34" s="2">
        <f>SUM(H6:H33)</f>
        <v>147789.49999999997</v>
      </c>
      <c r="J34" s="2"/>
      <c r="K34" s="2">
        <f t="shared" si="2"/>
        <v>0</v>
      </c>
      <c r="L34" s="221"/>
      <c r="M34" s="221"/>
      <c r="N34" s="221"/>
      <c r="O34" s="221"/>
      <c r="P34" s="221"/>
      <c r="Q34" s="221"/>
      <c r="R34" s="240">
        <f t="shared" si="9"/>
        <v>0</v>
      </c>
      <c r="S34" s="240">
        <f t="shared" si="10"/>
        <v>0</v>
      </c>
      <c r="T34" s="240">
        <f t="shared" si="11"/>
        <v>0</v>
      </c>
      <c r="U34" s="240">
        <f t="shared" si="12"/>
        <v>0</v>
      </c>
      <c r="V34" s="240">
        <f t="shared" si="13"/>
        <v>0</v>
      </c>
      <c r="W34" s="240">
        <f t="shared" si="14"/>
        <v>0</v>
      </c>
      <c r="X34" s="240">
        <f t="shared" si="15"/>
        <v>0</v>
      </c>
      <c r="Y34" s="240">
        <f t="shared" si="16"/>
        <v>0</v>
      </c>
      <c r="Z34" s="240">
        <f t="shared" si="17"/>
        <v>0</v>
      </c>
      <c r="AA34" s="176"/>
      <c r="AB34" s="177"/>
      <c r="AC34" s="178"/>
    </row>
    <row r="35" spans="2:30" ht="15.75" thickBot="1" x14ac:dyDescent="0.3">
      <c r="B35" s="1">
        <v>339</v>
      </c>
      <c r="C35" t="s">
        <v>58</v>
      </c>
      <c r="D35" s="2"/>
      <c r="H35" s="319">
        <v>5538.46</v>
      </c>
      <c r="J35" s="2"/>
      <c r="K35" s="2">
        <f>H35/$I$36</f>
        <v>3.3793526984220938E-2</v>
      </c>
      <c r="L35" s="221">
        <f>J35*$L$3</f>
        <v>0</v>
      </c>
      <c r="M35" s="221">
        <f>J35*$M$3</f>
        <v>0</v>
      </c>
      <c r="N35" s="221">
        <f>J35*$N$3</f>
        <v>0</v>
      </c>
      <c r="O35" s="221">
        <f>J35*$O$3</f>
        <v>0</v>
      </c>
      <c r="P35" s="221">
        <f>J35*$P$3</f>
        <v>0</v>
      </c>
      <c r="Q35" s="221"/>
      <c r="R35" s="240">
        <f t="shared" si="9"/>
        <v>10.839273780188867</v>
      </c>
      <c r="S35" s="240">
        <f t="shared" si="10"/>
        <v>92.306343086859812</v>
      </c>
      <c r="T35" s="240">
        <f t="shared" si="11"/>
        <v>121.14979423843207</v>
      </c>
      <c r="U35" s="240">
        <f t="shared" si="12"/>
        <v>49.558545257629845</v>
      </c>
      <c r="V35" s="240">
        <f t="shared" si="13"/>
        <v>41.462967933289882</v>
      </c>
      <c r="W35" s="240">
        <f t="shared" si="14"/>
        <v>39.521867743316228</v>
      </c>
      <c r="X35" s="240">
        <f t="shared" si="15"/>
        <v>134.24411007427798</v>
      </c>
      <c r="Y35" s="240">
        <f t="shared" si="16"/>
        <v>101.58334211456814</v>
      </c>
      <c r="Z35" s="240">
        <f t="shared" si="17"/>
        <v>6.082834857159769</v>
      </c>
      <c r="AA35" s="176"/>
      <c r="AB35" s="177">
        <f>H35/$H$39</f>
        <v>1.9972655817681605E-2</v>
      </c>
      <c r="AC35" s="178">
        <f>AB35*$AC$3</f>
        <v>132.73227876756664</v>
      </c>
    </row>
    <row r="36" spans="2:30" ht="15.75" thickBot="1" x14ac:dyDescent="0.3">
      <c r="B36" s="1">
        <v>225</v>
      </c>
      <c r="C36" t="s">
        <v>59</v>
      </c>
      <c r="D36" s="2"/>
      <c r="H36" s="214">
        <v>10563.19</v>
      </c>
      <c r="I36" s="99">
        <f>I34+H35+H36</f>
        <v>163891.14999999997</v>
      </c>
      <c r="J36" s="2"/>
      <c r="K36" s="2">
        <f>H36/$I$36</f>
        <v>6.4452473486213274E-2</v>
      </c>
      <c r="L36" s="221"/>
      <c r="M36" s="221"/>
      <c r="N36" s="221"/>
      <c r="O36" s="221"/>
      <c r="P36" s="221"/>
      <c r="Q36" s="221"/>
      <c r="R36" s="240">
        <f t="shared" si="9"/>
        <v>20.673130870702909</v>
      </c>
      <c r="S36" s="240">
        <f t="shared" si="10"/>
        <v>176.05064227812184</v>
      </c>
      <c r="T36" s="240">
        <f t="shared" si="11"/>
        <v>231.06211744807459</v>
      </c>
      <c r="U36" s="240">
        <f t="shared" si="12"/>
        <v>94.520196892266625</v>
      </c>
      <c r="V36" s="240">
        <f t="shared" si="13"/>
        <v>79.079962343909386</v>
      </c>
      <c r="W36" s="240">
        <f t="shared" si="14"/>
        <v>75.377812266861284</v>
      </c>
      <c r="X36" s="240">
        <f t="shared" si="15"/>
        <v>256.03616187451252</v>
      </c>
      <c r="Y36" s="240">
        <f t="shared" si="16"/>
        <v>193.74413529955712</v>
      </c>
      <c r="Z36" s="240">
        <f t="shared" si="17"/>
        <v>11.60144522751839</v>
      </c>
      <c r="AA36" s="221"/>
      <c r="AB36" s="226">
        <f>H36/$H$39</f>
        <v>3.8092711368643298E-2</v>
      </c>
      <c r="AC36" s="188">
        <f>AB36*$AC$3</f>
        <v>253.15273194259277</v>
      </c>
    </row>
    <row r="37" spans="2:30" x14ac:dyDescent="0.25">
      <c r="F37" s="8">
        <v>163891.18</v>
      </c>
      <c r="H37" s="214"/>
      <c r="K37" s="2">
        <f>H37/$I$36</f>
        <v>0</v>
      </c>
      <c r="L37" s="221">
        <f t="shared" ref="L37" si="19">J37*$L$3</f>
        <v>0</v>
      </c>
      <c r="M37" s="221">
        <f t="shared" ref="M37" si="20">J37*$M$3</f>
        <v>0</v>
      </c>
      <c r="N37" s="221">
        <f t="shared" ref="N37" si="21">J37*$N$3</f>
        <v>0</v>
      </c>
      <c r="O37" s="221">
        <f t="shared" ref="O37" si="22">J37*$O$3</f>
        <v>0</v>
      </c>
      <c r="P37" s="221">
        <f t="shared" ref="P37" si="23">J37*$P$3</f>
        <v>0</v>
      </c>
      <c r="Q37" s="221"/>
      <c r="R37" s="240">
        <f t="shared" si="9"/>
        <v>0</v>
      </c>
      <c r="S37" s="240">
        <f t="shared" si="10"/>
        <v>0</v>
      </c>
      <c r="T37" s="240">
        <f t="shared" si="11"/>
        <v>0</v>
      </c>
      <c r="U37" s="240">
        <f t="shared" si="12"/>
        <v>0</v>
      </c>
      <c r="V37" s="240">
        <f t="shared" si="13"/>
        <v>0</v>
      </c>
      <c r="W37" s="240">
        <f t="shared" si="14"/>
        <v>0</v>
      </c>
      <c r="X37" s="240">
        <f t="shared" si="15"/>
        <v>0</v>
      </c>
      <c r="Y37" s="240">
        <f t="shared" si="16"/>
        <v>0</v>
      </c>
      <c r="Z37" s="240">
        <f t="shared" si="17"/>
        <v>0</v>
      </c>
      <c r="AA37" s="176"/>
      <c r="AB37" s="177">
        <f>H37/$H$39</f>
        <v>0</v>
      </c>
      <c r="AC37" s="178">
        <f t="shared" ref="AC37:AC38" si="24">AB37*$AC$3</f>
        <v>0</v>
      </c>
    </row>
    <row r="38" spans="2:30" x14ac:dyDescent="0.25">
      <c r="B38" s="45"/>
      <c r="C38" s="32" t="s">
        <v>60</v>
      </c>
      <c r="D38" s="32"/>
      <c r="E38" s="32"/>
      <c r="F38" s="32"/>
      <c r="G38" s="31"/>
      <c r="H38" s="118">
        <v>113410.98</v>
      </c>
      <c r="I38" s="118"/>
      <c r="J38" s="121"/>
      <c r="K38" s="121"/>
      <c r="L38" s="221"/>
      <c r="M38" s="221"/>
      <c r="N38" s="221"/>
      <c r="O38" s="221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190">
        <f>H38/$H$39</f>
        <v>0.40897983726269976</v>
      </c>
      <c r="AC38" s="178">
        <f t="shared" si="24"/>
        <v>2717.9573044967237</v>
      </c>
    </row>
    <row r="39" spans="2:30" ht="15.75" thickBot="1" x14ac:dyDescent="0.3">
      <c r="H39" s="237">
        <f>SUM(H7:H38)</f>
        <v>277302.12999999995</v>
      </c>
      <c r="I39" s="34"/>
      <c r="J39" s="54">
        <f t="shared" ref="J39:Z39" si="25">SUM(J7:J37)</f>
        <v>1.0000000000000002</v>
      </c>
      <c r="K39" s="54">
        <f t="shared" si="25"/>
        <v>1</v>
      </c>
      <c r="L39" s="227">
        <f t="shared" si="25"/>
        <v>8796.17</v>
      </c>
      <c r="M39" s="227">
        <f t="shared" si="25"/>
        <v>2057.16</v>
      </c>
      <c r="N39" s="227">
        <f t="shared" si="25"/>
        <v>4190.43</v>
      </c>
      <c r="O39" s="227">
        <f t="shared" si="25"/>
        <v>768.24000000000012</v>
      </c>
      <c r="P39" s="227">
        <f t="shared" si="25"/>
        <v>1217.6799999999998</v>
      </c>
      <c r="Q39" s="227">
        <f t="shared" si="25"/>
        <v>0</v>
      </c>
      <c r="R39" s="227">
        <f t="shared" si="25"/>
        <v>320.75000000000011</v>
      </c>
      <c r="S39" s="227">
        <f t="shared" si="25"/>
        <v>2731.4800000000005</v>
      </c>
      <c r="T39" s="227">
        <f t="shared" si="25"/>
        <v>3585.0000000000018</v>
      </c>
      <c r="U39" s="227">
        <f t="shared" si="25"/>
        <v>1466.5100000000002</v>
      </c>
      <c r="V39" s="227">
        <f t="shared" si="25"/>
        <v>1226.95</v>
      </c>
      <c r="W39" s="227">
        <f t="shared" si="25"/>
        <v>1169.5100000000004</v>
      </c>
      <c r="X39" s="227">
        <f t="shared" si="25"/>
        <v>3972.48</v>
      </c>
      <c r="Y39" s="227">
        <f t="shared" si="25"/>
        <v>3006.0000000000005</v>
      </c>
      <c r="Z39" s="227">
        <f t="shared" si="25"/>
        <v>180.00000000000003</v>
      </c>
      <c r="AA39" s="228"/>
      <c r="AB39" s="196">
        <f>SUM(AB7:AB38)</f>
        <v>1.0000000000000002</v>
      </c>
      <c r="AC39" s="229">
        <f>SUM(AC7:AC38)</f>
        <v>6645.7000000000007</v>
      </c>
      <c r="AD39" s="8"/>
    </row>
    <row r="40" spans="2:30" ht="16.5" thickTop="1" thickBot="1" x14ac:dyDescent="0.3">
      <c r="H40" s="22" t="s">
        <v>61</v>
      </c>
      <c r="I40" s="22"/>
      <c r="J40" s="41" t="s">
        <v>62</v>
      </c>
      <c r="K40" s="41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59"/>
      <c r="AC40">
        <v>5802</v>
      </c>
    </row>
    <row r="41" spans="2:30" x14ac:dyDescent="0.25">
      <c r="C41" s="17">
        <v>43559</v>
      </c>
      <c r="D41" s="23"/>
      <c r="E41" s="23"/>
      <c r="F41" s="23"/>
      <c r="G41" s="18"/>
      <c r="H41" s="18">
        <v>73342.69</v>
      </c>
      <c r="I41" s="18"/>
      <c r="J41" s="42"/>
      <c r="L41" s="158">
        <v>4376.76</v>
      </c>
      <c r="M41" s="158">
        <v>1023.58</v>
      </c>
      <c r="N41" s="158">
        <v>2138.92</v>
      </c>
      <c r="O41" s="158">
        <v>392.13</v>
      </c>
      <c r="P41" s="158">
        <v>633.84</v>
      </c>
      <c r="Q41" s="114"/>
      <c r="R41" s="114"/>
      <c r="S41" s="114"/>
      <c r="T41" s="114"/>
      <c r="U41" s="114"/>
      <c r="V41" s="114"/>
      <c r="W41" s="114"/>
      <c r="X41" s="114"/>
      <c r="Y41" s="114"/>
      <c r="Z41" s="159"/>
    </row>
    <row r="42" spans="2:30" x14ac:dyDescent="0.25">
      <c r="C42" s="19">
        <v>43574</v>
      </c>
      <c r="D42" s="24"/>
      <c r="E42" s="24"/>
      <c r="F42" s="24"/>
      <c r="H42" s="2">
        <v>74446.83</v>
      </c>
      <c r="J42" s="43">
        <v>0</v>
      </c>
      <c r="L42" s="158">
        <v>4419.41</v>
      </c>
      <c r="M42" s="158">
        <v>1033.58</v>
      </c>
      <c r="N42" s="158">
        <v>2051.5100000000002</v>
      </c>
      <c r="O42" s="158">
        <v>376.11</v>
      </c>
      <c r="P42" s="158">
        <v>583.84</v>
      </c>
      <c r="Q42" s="114"/>
      <c r="R42" s="114"/>
      <c r="S42" s="114"/>
      <c r="T42" s="114"/>
      <c r="U42" s="114"/>
      <c r="V42" s="114"/>
      <c r="W42" s="114"/>
      <c r="X42" s="114"/>
      <c r="Y42" s="114"/>
      <c r="Z42" s="159"/>
    </row>
    <row r="43" spans="2:30" x14ac:dyDescent="0.25">
      <c r="C43" s="19">
        <v>43616</v>
      </c>
      <c r="D43" s="24"/>
      <c r="E43" s="24"/>
      <c r="F43" s="24"/>
      <c r="H43" s="2">
        <v>0</v>
      </c>
      <c r="J43" s="43"/>
      <c r="K43" s="238"/>
      <c r="L43" s="158"/>
      <c r="M43" s="158"/>
      <c r="N43" s="158"/>
      <c r="O43" s="158"/>
      <c r="P43" s="158"/>
      <c r="Q43" s="114"/>
      <c r="R43" s="114"/>
      <c r="S43" s="114"/>
      <c r="T43" s="114"/>
      <c r="U43" s="114"/>
      <c r="V43" s="114"/>
      <c r="W43" s="114"/>
      <c r="X43" s="114"/>
      <c r="Y43" s="114"/>
      <c r="Z43" s="159"/>
    </row>
    <row r="44" spans="2:30" x14ac:dyDescent="0.25">
      <c r="B44" s="1" t="s">
        <v>63</v>
      </c>
      <c r="C44" s="19"/>
      <c r="D44" s="24"/>
      <c r="E44" s="24"/>
      <c r="F44" s="24"/>
      <c r="H44" s="2">
        <v>0</v>
      </c>
      <c r="J44" s="43"/>
      <c r="K44" s="238"/>
      <c r="L44" s="158"/>
      <c r="M44" s="158"/>
      <c r="N44" s="158"/>
      <c r="O44" s="158"/>
      <c r="P44" s="158"/>
      <c r="Q44" s="114"/>
      <c r="R44" s="114"/>
      <c r="S44" s="114"/>
      <c r="T44" s="114"/>
      <c r="U44" s="114"/>
      <c r="V44" s="114"/>
      <c r="W44" s="114"/>
      <c r="X44" s="114"/>
      <c r="Y44" s="114"/>
      <c r="Z44" s="159"/>
    </row>
    <row r="45" spans="2:30" ht="15.75" thickBot="1" x14ac:dyDescent="0.3">
      <c r="B45" s="1" t="s">
        <v>69</v>
      </c>
      <c r="C45" s="19"/>
      <c r="D45" s="24"/>
      <c r="E45" s="24"/>
      <c r="F45" s="24"/>
      <c r="H45" s="2">
        <v>0</v>
      </c>
      <c r="J45" s="43"/>
      <c r="K45" s="238"/>
      <c r="L45" s="158"/>
      <c r="M45" s="158"/>
      <c r="N45" s="158"/>
      <c r="O45" s="158"/>
      <c r="P45" s="158"/>
      <c r="Q45" s="114"/>
      <c r="R45" s="114"/>
      <c r="S45" s="114"/>
      <c r="T45" s="114"/>
      <c r="U45" s="114"/>
      <c r="V45" s="114"/>
      <c r="W45" s="114"/>
      <c r="X45" s="114"/>
      <c r="Y45" s="114"/>
      <c r="Z45" s="159"/>
    </row>
    <row r="46" spans="2:30" ht="15.75" thickBot="1" x14ac:dyDescent="0.3">
      <c r="C46" s="20"/>
      <c r="D46" s="20"/>
      <c r="E46" s="20"/>
      <c r="F46" s="20"/>
      <c r="G46" s="105"/>
      <c r="H46" s="236">
        <f>SUM(H41:H45)</f>
        <v>147789.52000000002</v>
      </c>
      <c r="I46" s="5"/>
      <c r="J46" s="44"/>
      <c r="K46" s="239"/>
      <c r="L46" s="161">
        <f>SUM(L41:L43)</f>
        <v>8796.17</v>
      </c>
      <c r="M46" s="162">
        <f t="shared" ref="M46" si="26">SUM(M41:M43)</f>
        <v>2057.16</v>
      </c>
      <c r="N46" s="162">
        <f>SUM(N41:N43)</f>
        <v>4190.43</v>
      </c>
      <c r="O46" s="162">
        <f t="shared" ref="O46" si="27">SUM(O41:O43)</f>
        <v>768.24</v>
      </c>
      <c r="P46" s="163">
        <f>SUM(P41:P43)</f>
        <v>1217.68</v>
      </c>
      <c r="Q46" s="114"/>
      <c r="R46" s="114"/>
      <c r="S46" s="114"/>
      <c r="T46" s="114"/>
      <c r="U46" s="114"/>
      <c r="V46" s="114"/>
      <c r="W46" s="114"/>
      <c r="X46" s="114"/>
      <c r="Y46" s="114"/>
      <c r="Z46" s="159"/>
    </row>
    <row r="47" spans="2:30" x14ac:dyDescent="0.25">
      <c r="H47" s="2">
        <f>H38</f>
        <v>113410.98</v>
      </c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59"/>
    </row>
    <row r="48" spans="2:30" x14ac:dyDescent="0.25">
      <c r="I48" s="2" t="s">
        <v>64</v>
      </c>
    </row>
    <row r="49" spans="9:13" x14ac:dyDescent="0.25">
      <c r="I49" s="2">
        <v>2769.23</v>
      </c>
      <c r="J49" s="93">
        <v>165.29</v>
      </c>
      <c r="K49" s="93">
        <v>38.659999999999997</v>
      </c>
      <c r="L49" s="93">
        <v>83.08</v>
      </c>
      <c r="M49" s="93">
        <v>15.23</v>
      </c>
    </row>
    <row r="50" spans="9:13" x14ac:dyDescent="0.25">
      <c r="I50" s="2">
        <v>2769.23</v>
      </c>
      <c r="J50" s="93">
        <v>165.29</v>
      </c>
      <c r="K50" s="93">
        <v>38.659999999999997</v>
      </c>
      <c r="L50" s="93">
        <v>83.08</v>
      </c>
      <c r="M50" s="93">
        <v>15.23</v>
      </c>
    </row>
    <row r="51" spans="9:13" x14ac:dyDescent="0.25">
      <c r="I51" s="2">
        <v>2769.23</v>
      </c>
      <c r="J51" s="93">
        <v>165.29</v>
      </c>
      <c r="K51" s="93">
        <v>38.659999999999997</v>
      </c>
      <c r="L51" s="93">
        <v>83.08</v>
      </c>
      <c r="M51" s="93">
        <v>15.23</v>
      </c>
    </row>
    <row r="52" spans="9:13" ht="15.75" thickBot="1" x14ac:dyDescent="0.3">
      <c r="K52" s="2"/>
    </row>
    <row r="53" spans="9:13" ht="15.75" thickBot="1" x14ac:dyDescent="0.3">
      <c r="I53" s="241">
        <f>SUM(I49:I52)</f>
        <v>8307.69</v>
      </c>
      <c r="K53" s="2"/>
    </row>
    <row r="55" spans="9:13" x14ac:dyDescent="0.25">
      <c r="I55" s="12" t="s">
        <v>65</v>
      </c>
    </row>
    <row r="56" spans="9:13" x14ac:dyDescent="0.25">
      <c r="I56" s="2">
        <v>3802.75</v>
      </c>
      <c r="J56" s="93">
        <v>288.2</v>
      </c>
      <c r="K56" s="93">
        <v>67.400000000000006</v>
      </c>
      <c r="L56" s="93"/>
      <c r="M56" s="93"/>
    </row>
    <row r="57" spans="9:13" x14ac:dyDescent="0.25">
      <c r="I57" s="2">
        <v>4225.28</v>
      </c>
      <c r="J57" s="93">
        <v>235.8</v>
      </c>
      <c r="K57" s="93">
        <v>55.15</v>
      </c>
      <c r="L57" s="93"/>
      <c r="M57" s="93"/>
    </row>
    <row r="58" spans="9:13" x14ac:dyDescent="0.25">
      <c r="I58" s="2">
        <v>4647.8</v>
      </c>
      <c r="J58" s="93">
        <v>262</v>
      </c>
      <c r="K58" s="93">
        <v>61.28</v>
      </c>
      <c r="L58" s="93"/>
      <c r="M58" s="93"/>
    </row>
    <row r="59" spans="9:13" ht="15.75" thickBot="1" x14ac:dyDescent="0.3"/>
    <row r="60" spans="9:13" ht="15.75" thickBot="1" x14ac:dyDescent="0.3">
      <c r="I60" s="242">
        <f>SUM(I56:I59)</f>
        <v>12675.83</v>
      </c>
    </row>
  </sheetData>
  <pageMargins left="0.25" right="0.25" top="0.75" bottom="0.75" header="0.3" footer="0.3"/>
  <pageSetup paperSize="5" scale="6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6C3A-C830-49CF-896B-85F086FB8C3A}">
  <sheetPr>
    <tabColor theme="5" tint="0.39997558519241921"/>
  </sheetPr>
  <dimension ref="B1:AD60"/>
  <sheetViews>
    <sheetView topLeftCell="B1" zoomScale="85" zoomScaleNormal="85" workbookViewId="0">
      <selection activeCell="C16" sqref="C16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3.140625" style="66" customWidth="1"/>
    <col min="19" max="19" width="15.140625" style="66" customWidth="1"/>
    <col min="20" max="20" width="17.42578125" customWidth="1"/>
    <col min="21" max="21" width="15.5703125" style="66" customWidth="1"/>
    <col min="22" max="22" width="15.28515625" style="66" customWidth="1"/>
    <col min="23" max="24" width="15.140625" customWidth="1"/>
    <col min="25" max="25" width="15.85546875" style="66" customWidth="1"/>
    <col min="26" max="26" width="15.57031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70</v>
      </c>
      <c r="L1" s="66">
        <v>7251</v>
      </c>
      <c r="M1" s="66">
        <v>7252</v>
      </c>
      <c r="N1">
        <v>7253</v>
      </c>
      <c r="O1">
        <v>7254</v>
      </c>
      <c r="P1" s="66">
        <v>7260.1</v>
      </c>
      <c r="R1" s="66">
        <v>8112</v>
      </c>
      <c r="S1" s="66">
        <v>8229.1</v>
      </c>
      <c r="T1">
        <v>7521</v>
      </c>
      <c r="U1" s="66">
        <v>8210.5</v>
      </c>
      <c r="V1" s="66">
        <v>8135.5</v>
      </c>
      <c r="W1" s="66">
        <v>8239</v>
      </c>
      <c r="X1" s="66">
        <v>8266</v>
      </c>
      <c r="Y1" s="66">
        <v>7515.5</v>
      </c>
      <c r="Z1">
        <v>8222</v>
      </c>
      <c r="AC1">
        <v>7248</v>
      </c>
    </row>
    <row r="2" spans="2:30" ht="17.25" thickBot="1" x14ac:dyDescent="0.4">
      <c r="L2" s="243" t="s">
        <v>1</v>
      </c>
      <c r="M2" s="243" t="s">
        <v>2</v>
      </c>
      <c r="N2" s="243" t="s">
        <v>3</v>
      </c>
      <c r="O2" s="243" t="s">
        <v>4</v>
      </c>
      <c r="P2" s="246" t="s">
        <v>5</v>
      </c>
      <c r="Q2" s="98"/>
      <c r="R2" s="244" t="s">
        <v>8</v>
      </c>
      <c r="S2" s="248" t="s">
        <v>12</v>
      </c>
      <c r="T2" s="248" t="s">
        <v>7</v>
      </c>
      <c r="U2" s="244" t="s">
        <v>11</v>
      </c>
      <c r="V2" s="244" t="s">
        <v>9</v>
      </c>
      <c r="W2" s="244" t="s">
        <v>13</v>
      </c>
      <c r="X2" s="248" t="s">
        <v>14</v>
      </c>
      <c r="Y2" s="72" t="s">
        <v>6</v>
      </c>
      <c r="Z2" s="92" t="s">
        <v>10</v>
      </c>
      <c r="AA2" s="2"/>
      <c r="AB2" s="35"/>
      <c r="AC2" s="245" t="s">
        <v>15</v>
      </c>
      <c r="AD2" s="2"/>
    </row>
    <row r="3" spans="2:30" ht="15.75" thickBot="1" x14ac:dyDescent="0.3">
      <c r="L3" s="213">
        <v>8796.17</v>
      </c>
      <c r="M3" s="213">
        <v>2057.16</v>
      </c>
      <c r="N3" s="213">
        <v>4190.43</v>
      </c>
      <c r="O3" s="213">
        <v>768.24</v>
      </c>
      <c r="P3" s="247">
        <v>1217.68</v>
      </c>
      <c r="Q3" s="214"/>
      <c r="R3" s="215">
        <v>320.75</v>
      </c>
      <c r="S3" s="249">
        <v>2731.48</v>
      </c>
      <c r="T3" s="249">
        <v>3585</v>
      </c>
      <c r="U3" s="215">
        <v>1466.51</v>
      </c>
      <c r="V3" s="213">
        <v>1226.95</v>
      </c>
      <c r="W3" s="213">
        <v>1169.51</v>
      </c>
      <c r="X3" s="250">
        <v>3972.48</v>
      </c>
      <c r="Y3" s="250">
        <v>3006</v>
      </c>
      <c r="Z3" s="216">
        <v>180</v>
      </c>
      <c r="AA3" s="101"/>
      <c r="AB3" s="177"/>
      <c r="AC3" s="217">
        <v>6645.7</v>
      </c>
      <c r="AD3" s="2"/>
    </row>
    <row r="4" spans="2:30" x14ac:dyDescent="0.25">
      <c r="L4" s="218">
        <v>1</v>
      </c>
      <c r="M4" s="218">
        <v>2</v>
      </c>
      <c r="N4" s="218">
        <v>3</v>
      </c>
      <c r="O4" s="218">
        <v>4</v>
      </c>
      <c r="P4" s="218">
        <v>5</v>
      </c>
      <c r="Q4" s="218">
        <v>6</v>
      </c>
      <c r="R4" s="218">
        <v>7</v>
      </c>
      <c r="S4" s="218">
        <v>8</v>
      </c>
      <c r="T4" s="218">
        <v>9</v>
      </c>
      <c r="U4" s="218">
        <v>10</v>
      </c>
      <c r="V4" s="218">
        <v>11</v>
      </c>
      <c r="W4" s="218">
        <v>13</v>
      </c>
      <c r="X4" s="218">
        <v>14</v>
      </c>
      <c r="Y4" s="218">
        <v>15</v>
      </c>
      <c r="Z4" s="218">
        <v>16</v>
      </c>
      <c r="AA4" s="201"/>
      <c r="AB4" s="219"/>
      <c r="AC4" s="220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19"/>
      <c r="AC5" s="220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3" si="0">H6/$I$34</f>
        <v>0</v>
      </c>
      <c r="K6" s="2">
        <f>H6/$H$39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>
        <f>J6*$P$3</f>
        <v>0</v>
      </c>
      <c r="Q6" s="221"/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>
        <f>J6*$Z$3</f>
        <v>0</v>
      </c>
      <c r="AA6" s="176"/>
      <c r="AB6" s="177">
        <f t="shared" ref="AB6:AB33" si="1">H6/$H$39</f>
        <v>0</v>
      </c>
      <c r="AC6" s="178">
        <f>AB6*$AC$3</f>
        <v>0</v>
      </c>
    </row>
    <row r="7" spans="2:30" s="159" customFormat="1" x14ac:dyDescent="0.25">
      <c r="B7" s="273">
        <v>111</v>
      </c>
      <c r="C7" s="159" t="s">
        <v>20</v>
      </c>
      <c r="D7" s="118"/>
      <c r="G7" s="118"/>
      <c r="H7" s="214">
        <v>34180.85</v>
      </c>
      <c r="I7" s="118"/>
      <c r="J7" s="118">
        <f t="shared" si="0"/>
        <v>0.23023056971016995</v>
      </c>
      <c r="K7" s="118">
        <f t="shared" ref="K7:K34" si="2">H7/$I$36</f>
        <v>0.20770398555077346</v>
      </c>
      <c r="L7" s="240">
        <f t="shared" ref="L7:L33" si="3">J7*$L$3</f>
        <v>2025.1472303675057</v>
      </c>
      <c r="M7" s="240">
        <f t="shared" ref="M7:M33" si="4">J7*$M$3</f>
        <v>473.62111878497319</v>
      </c>
      <c r="N7" s="240">
        <f t="shared" ref="N7:N33" si="5">J7*$N$3</f>
        <v>964.76508623058749</v>
      </c>
      <c r="O7" s="240">
        <f t="shared" ref="O7:O33" si="6">J7*$O$3</f>
        <v>176.87233287414097</v>
      </c>
      <c r="P7" s="240">
        <f t="shared" ref="P7:P33" si="7">J7*$P$3</f>
        <v>280.34716012467976</v>
      </c>
      <c r="Q7" s="240"/>
      <c r="R7" s="240">
        <f>K7*$R$3</f>
        <v>66.621053365410589</v>
      </c>
      <c r="S7" s="240">
        <f>K7*$S$3</f>
        <v>567.33928245222671</v>
      </c>
      <c r="T7" s="240">
        <f>K7*$T$3</f>
        <v>744.6187881995229</v>
      </c>
      <c r="U7" s="240">
        <f>K7*$U$3</f>
        <v>304.59997185006478</v>
      </c>
      <c r="V7" s="240">
        <f>K7*$V$3</f>
        <v>254.84240507152151</v>
      </c>
      <c r="W7" s="240">
        <f>K7*$W$3</f>
        <v>242.91188814148506</v>
      </c>
      <c r="X7" s="240">
        <f>K7*$X$3</f>
        <v>825.09992852073651</v>
      </c>
      <c r="Y7" s="240">
        <f>K7*$Y$3</f>
        <v>624.35818056562505</v>
      </c>
      <c r="Z7" s="240">
        <f>K7*$Z$3</f>
        <v>37.386717399139222</v>
      </c>
      <c r="AA7" s="221"/>
      <c r="AB7" s="226">
        <f t="shared" si="1"/>
        <v>0.12296322933269932</v>
      </c>
      <c r="AC7" s="261">
        <f t="shared" ref="AC7:AC33" si="8">AB7*$AC$3</f>
        <v>817.17673317631989</v>
      </c>
    </row>
    <row r="8" spans="2:30" x14ac:dyDescent="0.25">
      <c r="B8" s="1" t="s">
        <v>21</v>
      </c>
      <c r="C8" t="s">
        <v>22</v>
      </c>
      <c r="D8" s="2"/>
      <c r="H8" s="101">
        <v>2002.14</v>
      </c>
      <c r="J8" s="2">
        <f t="shared" si="0"/>
        <v>1.3485733468872767E-2</v>
      </c>
      <c r="K8" s="2">
        <f t="shared" si="2"/>
        <v>1.2166240969157456E-2</v>
      </c>
      <c r="L8" s="221">
        <f>J8*$L$3</f>
        <v>118.62280416689457</v>
      </c>
      <c r="M8" s="221">
        <f>J8*$M$3</f>
        <v>27.742311462826297</v>
      </c>
      <c r="N8" s="221">
        <f>J8*$N$3</f>
        <v>56.511022099968514</v>
      </c>
      <c r="O8" s="221">
        <f>J8*$O$3</f>
        <v>10.360279880126814</v>
      </c>
      <c r="P8" s="221">
        <f>J8*$P$3</f>
        <v>16.42130793037699</v>
      </c>
      <c r="Q8" s="221"/>
      <c r="R8" s="240">
        <f t="shared" ref="R8:R37" si="9">K8*$R$3</f>
        <v>3.9023217908572541</v>
      </c>
      <c r="S8" s="240">
        <f t="shared" ref="S8:S37" si="10">K8*$S$3</f>
        <v>33.231843882434205</v>
      </c>
      <c r="T8" s="240">
        <f t="shared" ref="T8:T37" si="11">K8*$T$3</f>
        <v>43.615973874429478</v>
      </c>
      <c r="U8" s="240">
        <f t="shared" ref="U8:U37" si="12">K8*$U$3</f>
        <v>17.8419140436791</v>
      </c>
      <c r="V8" s="240">
        <f t="shared" ref="V8:V37" si="13">K8*$V$3</f>
        <v>14.927369357107741</v>
      </c>
      <c r="W8" s="240">
        <f t="shared" ref="W8:W37" si="14">K8*$W$3</f>
        <v>14.228540475839337</v>
      </c>
      <c r="X8" s="240">
        <f t="shared" ref="X8:X37" si="15">K8*$X$3</f>
        <v>48.33014892515861</v>
      </c>
      <c r="Y8" s="240">
        <f t="shared" ref="Y8:Y37" si="16">K8*$Y$3</f>
        <v>36.571720353287311</v>
      </c>
      <c r="Z8" s="240">
        <f t="shared" ref="Z8:Z37" si="17">K8*$Z$3</f>
        <v>2.189923374448342</v>
      </c>
      <c r="AA8" s="176"/>
      <c r="AB8" s="177">
        <f t="shared" si="1"/>
        <v>7.2025593271135922E-3</v>
      </c>
      <c r="AC8" s="178">
        <f>AB8*$AC$3</f>
        <v>47.866048520198795</v>
      </c>
    </row>
    <row r="9" spans="2:30" x14ac:dyDescent="0.25">
      <c r="B9" s="1" t="s">
        <v>23</v>
      </c>
      <c r="C9" t="s">
        <v>24</v>
      </c>
      <c r="D9" s="2"/>
      <c r="H9" s="101">
        <v>1992.31</v>
      </c>
      <c r="J9" s="2">
        <f t="shared" si="0"/>
        <v>1.3419521935214271E-2</v>
      </c>
      <c r="K9" s="2">
        <f t="shared" si="2"/>
        <v>1.210650780927512E-2</v>
      </c>
      <c r="L9" s="221">
        <f>J9*$L$3</f>
        <v>118.04039626087372</v>
      </c>
      <c r="M9" s="221">
        <f>J9*$M$3</f>
        <v>27.606103744245388</v>
      </c>
      <c r="N9" s="221">
        <f>J9*$N$3</f>
        <v>56.233567302979942</v>
      </c>
      <c r="O9" s="221">
        <f>J9*$O$3</f>
        <v>10.309413531509012</v>
      </c>
      <c r="P9" s="221">
        <f>J9*$P$3</f>
        <v>16.340683470071713</v>
      </c>
      <c r="Q9" s="221"/>
      <c r="R9" s="240">
        <f t="shared" si="9"/>
        <v>3.8831623798249946</v>
      </c>
      <c r="S9" s="240">
        <f t="shared" si="10"/>
        <v>33.068683950878807</v>
      </c>
      <c r="T9" s="240">
        <f t="shared" si="11"/>
        <v>43.401830496251307</v>
      </c>
      <c r="U9" s="240">
        <f t="shared" si="12"/>
        <v>17.754314767380055</v>
      </c>
      <c r="V9" s="240">
        <f t="shared" si="13"/>
        <v>14.854079756590108</v>
      </c>
      <c r="W9" s="240">
        <f t="shared" si="14"/>
        <v>14.158681948025345</v>
      </c>
      <c r="X9" s="240">
        <f t="shared" si="15"/>
        <v>48.092860142189231</v>
      </c>
      <c r="Y9" s="240">
        <f t="shared" si="16"/>
        <v>36.392162474681008</v>
      </c>
      <c r="Z9" s="240">
        <f t="shared" si="17"/>
        <v>2.1791714056695217</v>
      </c>
      <c r="AA9" s="176"/>
      <c r="AB9" s="177">
        <f t="shared" si="1"/>
        <v>7.1671965861536558E-3</v>
      </c>
      <c r="AC9" s="178">
        <f>AB9*$AC$3</f>
        <v>47.631038352601351</v>
      </c>
    </row>
    <row r="10" spans="2:30" x14ac:dyDescent="0.25">
      <c r="B10" s="1" t="s">
        <v>25</v>
      </c>
      <c r="C10" t="s">
        <v>26</v>
      </c>
      <c r="D10" s="2"/>
      <c r="H10" s="101">
        <v>386.72</v>
      </c>
      <c r="J10" s="2">
        <f t="shared" si="0"/>
        <v>2.6048142722699093E-3</v>
      </c>
      <c r="K10" s="2">
        <f t="shared" si="2"/>
        <v>2.3499499073953724E-3</v>
      </c>
      <c r="L10" s="221">
        <f t="shared" si="3"/>
        <v>22.912389157312408</v>
      </c>
      <c r="M10" s="221">
        <f t="shared" si="4"/>
        <v>5.3585197283427659</v>
      </c>
      <c r="N10" s="221">
        <f t="shared" si="5"/>
        <v>10.915291870947996</v>
      </c>
      <c r="O10" s="221">
        <f t="shared" si="6"/>
        <v>2.001122516528635</v>
      </c>
      <c r="P10" s="221">
        <f t="shared" si="7"/>
        <v>3.1718302430576233</v>
      </c>
      <c r="Q10" s="221"/>
      <c r="R10" s="240">
        <f t="shared" si="9"/>
        <v>0.75374643279706566</v>
      </c>
      <c r="S10" s="240">
        <f t="shared" si="10"/>
        <v>6.4188411730523116</v>
      </c>
      <c r="T10" s="240">
        <f t="shared" si="11"/>
        <v>8.4245704180124097</v>
      </c>
      <c r="U10" s="240">
        <f t="shared" si="12"/>
        <v>3.4462250386943878</v>
      </c>
      <c r="V10" s="240">
        <f t="shared" si="13"/>
        <v>2.8832710388787524</v>
      </c>
      <c r="W10" s="240">
        <f t="shared" si="14"/>
        <v>2.7482899161979621</v>
      </c>
      <c r="X10" s="240">
        <f t="shared" si="15"/>
        <v>9.3351290081299698</v>
      </c>
      <c r="Y10" s="240">
        <f t="shared" si="16"/>
        <v>7.0639494216304897</v>
      </c>
      <c r="Z10" s="240">
        <f t="shared" si="17"/>
        <v>0.42299098333116703</v>
      </c>
      <c r="AA10" s="176"/>
      <c r="AB10" s="177">
        <f t="shared" si="1"/>
        <v>1.3911982893211106E-3</v>
      </c>
      <c r="AC10" s="178">
        <f t="shared" si="8"/>
        <v>9.2454864713413052</v>
      </c>
    </row>
    <row r="11" spans="2:30" ht="15.75" thickBot="1" x14ac:dyDescent="0.3">
      <c r="B11" s="1">
        <v>112</v>
      </c>
      <c r="C11" t="s">
        <v>27</v>
      </c>
      <c r="D11" s="2"/>
      <c r="H11" s="101">
        <v>31246.9</v>
      </c>
      <c r="J11" s="2">
        <f t="shared" si="0"/>
        <v>0.2104684812892807</v>
      </c>
      <c r="K11" s="2">
        <f t="shared" si="2"/>
        <v>0.18987549069453988</v>
      </c>
      <c r="L11" s="221">
        <f t="shared" si="3"/>
        <v>1851.3165410623321</v>
      </c>
      <c r="M11" s="221">
        <f t="shared" si="4"/>
        <v>432.96734096905664</v>
      </c>
      <c r="N11" s="221">
        <f t="shared" si="5"/>
        <v>881.95343804904053</v>
      </c>
      <c r="O11" s="221">
        <f t="shared" si="6"/>
        <v>161.69030606567699</v>
      </c>
      <c r="P11" s="221">
        <f t="shared" si="7"/>
        <v>256.28326029633132</v>
      </c>
      <c r="Q11" s="221"/>
      <c r="R11" s="240">
        <f t="shared" si="9"/>
        <v>60.902563640273662</v>
      </c>
      <c r="S11" s="240">
        <f t="shared" si="10"/>
        <v>518.64110532232178</v>
      </c>
      <c r="T11" s="240">
        <f t="shared" si="11"/>
        <v>680.7036341399255</v>
      </c>
      <c r="U11" s="240">
        <f t="shared" si="12"/>
        <v>278.45430585844969</v>
      </c>
      <c r="V11" s="240">
        <f t="shared" si="13"/>
        <v>232.96773330766572</v>
      </c>
      <c r="W11" s="240">
        <f t="shared" si="14"/>
        <v>222.06128512217134</v>
      </c>
      <c r="X11" s="240">
        <f t="shared" si="15"/>
        <v>754.27658927424579</v>
      </c>
      <c r="Y11" s="240">
        <f t="shared" si="16"/>
        <v>570.76572502778686</v>
      </c>
      <c r="Z11" s="240">
        <f t="shared" si="17"/>
        <v>34.177588325017176</v>
      </c>
      <c r="AA11" s="176"/>
      <c r="AB11" s="177">
        <f t="shared" si="1"/>
        <v>0.11240854837243434</v>
      </c>
      <c r="AC11" s="178">
        <f t="shared" si="8"/>
        <v>747.03348991868688</v>
      </c>
    </row>
    <row r="12" spans="2:30" ht="15.75" thickBot="1" x14ac:dyDescent="0.3">
      <c r="B12" s="1">
        <v>222</v>
      </c>
      <c r="C12" t="s">
        <v>29</v>
      </c>
      <c r="D12" s="2"/>
      <c r="H12" s="102">
        <v>2480.65</v>
      </c>
      <c r="J12" s="2">
        <f t="shared" si="0"/>
        <v>1.6708813933870373E-2</v>
      </c>
      <c r="K12" s="2">
        <f t="shared" si="2"/>
        <v>1.5073963688923072E-2</v>
      </c>
      <c r="L12" s="221">
        <f t="shared" si="3"/>
        <v>146.97356786069255</v>
      </c>
      <c r="M12" s="221">
        <f t="shared" si="4"/>
        <v>34.372703672200771</v>
      </c>
      <c r="N12" s="221">
        <f t="shared" si="5"/>
        <v>70.017115172908433</v>
      </c>
      <c r="O12" s="221">
        <f t="shared" si="6"/>
        <v>12.836379216556576</v>
      </c>
      <c r="P12" s="221">
        <f t="shared" si="7"/>
        <v>20.345988550995276</v>
      </c>
      <c r="Q12" s="221"/>
      <c r="R12" s="240">
        <f t="shared" si="9"/>
        <v>4.8349738532220758</v>
      </c>
      <c r="S12" s="240">
        <f t="shared" si="10"/>
        <v>41.174230337019594</v>
      </c>
      <c r="T12" s="240">
        <f t="shared" si="11"/>
        <v>54.040159824789214</v>
      </c>
      <c r="U12" s="240">
        <f t="shared" si="12"/>
        <v>22.106118489442576</v>
      </c>
      <c r="V12" s="240">
        <f t="shared" si="13"/>
        <v>18.494999748124165</v>
      </c>
      <c r="W12" s="240">
        <f t="shared" si="14"/>
        <v>17.629151273832424</v>
      </c>
      <c r="X12" s="240">
        <f t="shared" si="15"/>
        <v>59.881019274973127</v>
      </c>
      <c r="Y12" s="240">
        <f t="shared" si="16"/>
        <v>45.312334848902758</v>
      </c>
      <c r="Z12" s="240">
        <f t="shared" si="17"/>
        <v>2.7133134640061529</v>
      </c>
      <c r="AA12" s="176"/>
      <c r="AB12" s="177">
        <f t="shared" si="1"/>
        <v>8.9239657540453373E-3</v>
      </c>
      <c r="AC12" s="178">
        <f t="shared" si="8"/>
        <v>59.305999211659099</v>
      </c>
    </row>
    <row r="13" spans="2:30" ht="15.75" thickBot="1" x14ac:dyDescent="0.3">
      <c r="B13" s="1">
        <v>223</v>
      </c>
      <c r="C13" t="s">
        <v>30</v>
      </c>
      <c r="D13" s="2"/>
      <c r="H13" s="181">
        <v>14246.17</v>
      </c>
      <c r="I13" s="56"/>
      <c r="J13" s="99">
        <f t="shared" si="0"/>
        <v>9.5957351420106057E-2</v>
      </c>
      <c r="K13" s="99">
        <f t="shared" si="2"/>
        <v>8.6568540215760062E-2</v>
      </c>
      <c r="L13" s="252">
        <f t="shared" si="3"/>
        <v>844.05717584099432</v>
      </c>
      <c r="M13" s="252">
        <f t="shared" si="4"/>
        <v>197.39962504738537</v>
      </c>
      <c r="N13" s="252">
        <f t="shared" si="5"/>
        <v>402.10256411135504</v>
      </c>
      <c r="O13" s="252">
        <f t="shared" si="6"/>
        <v>73.718275654982278</v>
      </c>
      <c r="P13" s="252">
        <f t="shared" si="7"/>
        <v>116.84534767723476</v>
      </c>
      <c r="Q13" s="252"/>
      <c r="R13" s="252">
        <f t="shared" si="9"/>
        <v>27.766859274205039</v>
      </c>
      <c r="S13" s="252">
        <f t="shared" si="10"/>
        <v>236.46023622854429</v>
      </c>
      <c r="T13" s="252">
        <f t="shared" si="11"/>
        <v>310.34821667349985</v>
      </c>
      <c r="U13" s="252">
        <f t="shared" si="12"/>
        <v>126.95362991181429</v>
      </c>
      <c r="V13" s="252">
        <f t="shared" si="13"/>
        <v>106.21527041772681</v>
      </c>
      <c r="W13" s="252">
        <f t="shared" si="14"/>
        <v>101.24277346773354</v>
      </c>
      <c r="X13" s="252">
        <f t="shared" si="15"/>
        <v>343.89179463630251</v>
      </c>
      <c r="Y13" s="252">
        <f t="shared" si="16"/>
        <v>260.22503188857473</v>
      </c>
      <c r="Z13" s="252">
        <f t="shared" si="17"/>
        <v>15.582337238836811</v>
      </c>
      <c r="AA13" s="180"/>
      <c r="AB13" s="181">
        <f t="shared" si="1"/>
        <v>5.1249605226980049E-2</v>
      </c>
      <c r="AC13" s="182">
        <f t="shared" si="8"/>
        <v>340.58950145694132</v>
      </c>
    </row>
    <row r="14" spans="2:30" ht="15.75" thickBot="1" x14ac:dyDescent="0.3">
      <c r="B14" s="1">
        <v>566</v>
      </c>
      <c r="C14" t="s">
        <v>31</v>
      </c>
      <c r="D14" s="2"/>
      <c r="H14" s="101"/>
      <c r="I14" s="118"/>
      <c r="J14" s="2">
        <f t="shared" si="0"/>
        <v>0</v>
      </c>
      <c r="K14" s="2">
        <f t="shared" si="2"/>
        <v>0</v>
      </c>
      <c r="L14" s="221">
        <f t="shared" ref="L14:Q14" si="18">$J$36*L3</f>
        <v>0</v>
      </c>
      <c r="M14" s="221">
        <f t="shared" si="18"/>
        <v>0</v>
      </c>
      <c r="N14" s="221">
        <f t="shared" si="18"/>
        <v>0</v>
      </c>
      <c r="O14" s="221">
        <f t="shared" si="18"/>
        <v>0</v>
      </c>
      <c r="P14" s="221">
        <f t="shared" si="18"/>
        <v>0</v>
      </c>
      <c r="Q14" s="221">
        <f t="shared" si="18"/>
        <v>0</v>
      </c>
      <c r="R14" s="240">
        <f t="shared" si="9"/>
        <v>0</v>
      </c>
      <c r="S14" s="240">
        <f t="shared" si="10"/>
        <v>0</v>
      </c>
      <c r="T14" s="240">
        <f t="shared" si="11"/>
        <v>0</v>
      </c>
      <c r="U14" s="240">
        <f t="shared" si="12"/>
        <v>0</v>
      </c>
      <c r="V14" s="240">
        <f t="shared" si="13"/>
        <v>0</v>
      </c>
      <c r="W14" s="240">
        <f t="shared" si="14"/>
        <v>0</v>
      </c>
      <c r="X14" s="240">
        <f t="shared" si="15"/>
        <v>0</v>
      </c>
      <c r="Y14" s="240">
        <f t="shared" si="16"/>
        <v>0</v>
      </c>
      <c r="Z14" s="240">
        <f t="shared" si="17"/>
        <v>0</v>
      </c>
      <c r="AA14" s="221">
        <f>$J$36*AA3</f>
        <v>0</v>
      </c>
      <c r="AB14" s="226">
        <f t="shared" si="1"/>
        <v>0</v>
      </c>
      <c r="AC14" s="188">
        <f t="shared" si="8"/>
        <v>0</v>
      </c>
    </row>
    <row r="15" spans="2:30" x14ac:dyDescent="0.25">
      <c r="B15" s="1" t="s">
        <v>32</v>
      </c>
      <c r="C15" s="230" t="s">
        <v>73</v>
      </c>
      <c r="D15" s="231"/>
      <c r="E15" s="230"/>
      <c r="F15" s="230"/>
      <c r="G15" s="231"/>
      <c r="H15" s="231">
        <v>2007.69</v>
      </c>
      <c r="I15" s="231"/>
      <c r="J15" s="2">
        <f t="shared" si="0"/>
        <v>1.352311637953448E-2</v>
      </c>
      <c r="K15" s="2">
        <f t="shared" si="2"/>
        <v>1.2199966201847889E-2</v>
      </c>
      <c r="L15" s="232">
        <f>J15*$L$3</f>
        <v>118.95163060416981</v>
      </c>
      <c r="M15" s="232">
        <f>J15*$M$3</f>
        <v>27.81921409132315</v>
      </c>
      <c r="N15" s="232">
        <f>J15*$N$3</f>
        <v>56.667672570292673</v>
      </c>
      <c r="O15" s="232">
        <f>J15*$O$3</f>
        <v>10.388998927413569</v>
      </c>
      <c r="P15" s="232">
        <f>J15*$P$3</f>
        <v>16.466828353031548</v>
      </c>
      <c r="Q15" s="232"/>
      <c r="R15" s="240">
        <f t="shared" si="9"/>
        <v>3.9131391592427103</v>
      </c>
      <c r="S15" s="240">
        <f t="shared" si="10"/>
        <v>33.323963681023471</v>
      </c>
      <c r="T15" s="240">
        <f t="shared" si="11"/>
        <v>43.736878833624679</v>
      </c>
      <c r="U15" s="240">
        <f t="shared" si="12"/>
        <v>17.891372434671947</v>
      </c>
      <c r="V15" s="240">
        <f t="shared" si="13"/>
        <v>14.968748531357267</v>
      </c>
      <c r="W15" s="240">
        <f t="shared" si="14"/>
        <v>14.267982472723125</v>
      </c>
      <c r="X15" s="240">
        <f t="shared" si="15"/>
        <v>48.464121737516699</v>
      </c>
      <c r="Y15" s="240">
        <f t="shared" si="16"/>
        <v>36.673098402754754</v>
      </c>
      <c r="Z15" s="240">
        <f t="shared" si="17"/>
        <v>2.1959939163326201</v>
      </c>
      <c r="AA15" s="232"/>
      <c r="AB15" s="233">
        <f t="shared" si="1"/>
        <v>7.2225250659058247E-3</v>
      </c>
      <c r="AC15" s="217">
        <f>AB15*$AC$3</f>
        <v>47.998734830490335</v>
      </c>
    </row>
    <row r="16" spans="2:30" x14ac:dyDescent="0.25">
      <c r="B16" s="1" t="s">
        <v>33</v>
      </c>
      <c r="C16" s="230" t="s">
        <v>115</v>
      </c>
      <c r="D16" s="231"/>
      <c r="E16" s="230"/>
      <c r="F16" s="230"/>
      <c r="G16" s="231"/>
      <c r="H16" s="231">
        <v>3538.46</v>
      </c>
      <c r="I16" s="231"/>
      <c r="J16" s="2">
        <f t="shared" si="0"/>
        <v>2.3833861992801467E-2</v>
      </c>
      <c r="K16" s="2">
        <f t="shared" si="2"/>
        <v>2.1501871507349581E-2</v>
      </c>
      <c r="L16" s="232">
        <f t="shared" si="3"/>
        <v>209.64670184522049</v>
      </c>
      <c r="M16" s="232">
        <f t="shared" si="4"/>
        <v>49.030067537111464</v>
      </c>
      <c r="N16" s="232">
        <f t="shared" si="5"/>
        <v>99.874130310495062</v>
      </c>
      <c r="O16" s="232">
        <f t="shared" si="6"/>
        <v>18.310126137349801</v>
      </c>
      <c r="P16" s="232">
        <f t="shared" si="7"/>
        <v>29.022017071394494</v>
      </c>
      <c r="Q16" s="232"/>
      <c r="R16" s="240">
        <f t="shared" si="9"/>
        <v>6.8967252859823782</v>
      </c>
      <c r="S16" s="240">
        <f t="shared" si="10"/>
        <v>58.731931984895233</v>
      </c>
      <c r="T16" s="240">
        <f t="shared" si="11"/>
        <v>77.084209353848252</v>
      </c>
      <c r="U16" s="240">
        <f t="shared" si="12"/>
        <v>31.532709584243236</v>
      </c>
      <c r="V16" s="240">
        <f t="shared" si="13"/>
        <v>26.381721245942568</v>
      </c>
      <c r="W16" s="240">
        <f t="shared" si="14"/>
        <v>25.146653746560407</v>
      </c>
      <c r="X16" s="240">
        <f t="shared" si="15"/>
        <v>85.415754525516064</v>
      </c>
      <c r="Y16" s="240">
        <f t="shared" si="16"/>
        <v>64.634625751092841</v>
      </c>
      <c r="Z16" s="240">
        <f t="shared" si="17"/>
        <v>3.8703368713229245</v>
      </c>
      <c r="AA16" s="232"/>
      <c r="AB16" s="233">
        <f t="shared" si="1"/>
        <v>1.2729363619236597E-2</v>
      </c>
      <c r="AC16" s="217">
        <f t="shared" si="8"/>
        <v>84.595531804360647</v>
      </c>
    </row>
    <row r="17" spans="2:29" x14ac:dyDescent="0.25">
      <c r="B17" s="1" t="s">
        <v>35</v>
      </c>
      <c r="C17" s="230" t="s">
        <v>36</v>
      </c>
      <c r="D17" s="231"/>
      <c r="E17" s="234"/>
      <c r="F17" s="234"/>
      <c r="G17" s="231"/>
      <c r="H17" s="231">
        <v>1330</v>
      </c>
      <c r="I17" s="235"/>
      <c r="J17" s="2">
        <f t="shared" si="0"/>
        <v>8.9584272396539596E-3</v>
      </c>
      <c r="K17" s="2">
        <f t="shared" si="2"/>
        <v>8.0819026086984009E-3</v>
      </c>
      <c r="L17" s="232">
        <f t="shared" si="3"/>
        <v>78.799848932626972</v>
      </c>
      <c r="M17" s="232">
        <f t="shared" si="4"/>
        <v>18.428918180326537</v>
      </c>
      <c r="N17" s="232">
        <f t="shared" si="5"/>
        <v>37.539662257863142</v>
      </c>
      <c r="O17" s="232">
        <f t="shared" si="6"/>
        <v>6.8822221425917576</v>
      </c>
      <c r="P17" s="232">
        <f t="shared" si="7"/>
        <v>10.908497681181833</v>
      </c>
      <c r="Q17" s="232"/>
      <c r="R17" s="240">
        <f t="shared" si="9"/>
        <v>2.592270261740012</v>
      </c>
      <c r="S17" s="240">
        <f t="shared" si="10"/>
        <v>22.075555337607508</v>
      </c>
      <c r="T17" s="240">
        <f t="shared" si="11"/>
        <v>28.973620852183767</v>
      </c>
      <c r="U17" s="240">
        <f t="shared" si="12"/>
        <v>11.852190994682292</v>
      </c>
      <c r="V17" s="240">
        <f t="shared" si="13"/>
        <v>9.9160904057425032</v>
      </c>
      <c r="W17" s="240">
        <f t="shared" si="14"/>
        <v>9.4518659198988662</v>
      </c>
      <c r="X17" s="240">
        <f t="shared" si="15"/>
        <v>32.105196475002224</v>
      </c>
      <c r="Y17" s="240">
        <f t="shared" si="16"/>
        <v>24.294199241747393</v>
      </c>
      <c r="Z17" s="240">
        <f t="shared" si="17"/>
        <v>1.4547424695657121</v>
      </c>
      <c r="AA17" s="232"/>
      <c r="AB17" s="233">
        <f t="shared" si="1"/>
        <v>4.7845824493097768E-3</v>
      </c>
      <c r="AC17" s="217">
        <f t="shared" si="8"/>
        <v>31.796899583377982</v>
      </c>
    </row>
    <row r="18" spans="2:29" x14ac:dyDescent="0.25">
      <c r="B18" s="1" t="s">
        <v>37</v>
      </c>
      <c r="C18" s="230" t="s">
        <v>38</v>
      </c>
      <c r="D18" s="231"/>
      <c r="E18" s="230"/>
      <c r="F18" s="230"/>
      <c r="G18" s="231"/>
      <c r="H18" s="231">
        <v>2000</v>
      </c>
      <c r="I18" s="231"/>
      <c r="J18" s="2">
        <f t="shared" si="0"/>
        <v>1.3471319157374375E-2</v>
      </c>
      <c r="K18" s="2">
        <f t="shared" si="2"/>
        <v>1.2153237005561503E-2</v>
      </c>
      <c r="L18" s="232">
        <f t="shared" si="3"/>
        <v>118.49601343252175</v>
      </c>
      <c r="M18" s="232">
        <f t="shared" si="4"/>
        <v>27.712658917784267</v>
      </c>
      <c r="N18" s="232">
        <f t="shared" si="5"/>
        <v>56.450619936636308</v>
      </c>
      <c r="O18" s="232">
        <f t="shared" si="6"/>
        <v>10.34920622946129</v>
      </c>
      <c r="P18" s="232">
        <f t="shared" si="7"/>
        <v>16.403755911551631</v>
      </c>
      <c r="Q18" s="232"/>
      <c r="R18" s="240">
        <f t="shared" si="9"/>
        <v>3.8981507695338524</v>
      </c>
      <c r="S18" s="240">
        <f t="shared" si="10"/>
        <v>33.196323815951132</v>
      </c>
      <c r="T18" s="240">
        <f t="shared" si="11"/>
        <v>43.56935466493799</v>
      </c>
      <c r="U18" s="240">
        <f t="shared" si="12"/>
        <v>17.822843601026001</v>
      </c>
      <c r="V18" s="240">
        <f t="shared" si="13"/>
        <v>14.911414143973687</v>
      </c>
      <c r="W18" s="240">
        <f t="shared" si="14"/>
        <v>14.213332210374233</v>
      </c>
      <c r="X18" s="240">
        <f t="shared" si="15"/>
        <v>48.278490939852958</v>
      </c>
      <c r="Y18" s="240">
        <f t="shared" si="16"/>
        <v>36.532630438717881</v>
      </c>
      <c r="Z18" s="240">
        <f t="shared" si="17"/>
        <v>2.1875826610010707</v>
      </c>
      <c r="AA18" s="232"/>
      <c r="AB18" s="233">
        <f t="shared" si="1"/>
        <v>7.1948608260297402E-3</v>
      </c>
      <c r="AC18" s="217">
        <f t="shared" si="8"/>
        <v>47.814886591545843</v>
      </c>
    </row>
    <row r="19" spans="2:29" x14ac:dyDescent="0.25">
      <c r="B19" s="1">
        <v>335</v>
      </c>
      <c r="C19" s="230" t="s">
        <v>39</v>
      </c>
      <c r="D19" s="231"/>
      <c r="E19" s="230"/>
      <c r="F19" s="230"/>
      <c r="G19" s="231"/>
      <c r="H19" s="231">
        <v>0</v>
      </c>
      <c r="I19" s="231"/>
      <c r="J19" s="2">
        <f t="shared" si="0"/>
        <v>0</v>
      </c>
      <c r="K19" s="2">
        <f t="shared" si="2"/>
        <v>0</v>
      </c>
      <c r="L19" s="232">
        <f t="shared" si="3"/>
        <v>0</v>
      </c>
      <c r="M19" s="232">
        <f t="shared" si="4"/>
        <v>0</v>
      </c>
      <c r="N19" s="232">
        <f t="shared" si="5"/>
        <v>0</v>
      </c>
      <c r="O19" s="232">
        <f t="shared" si="6"/>
        <v>0</v>
      </c>
      <c r="P19" s="232">
        <f t="shared" si="7"/>
        <v>0</v>
      </c>
      <c r="Q19" s="232"/>
      <c r="R19" s="240">
        <f t="shared" si="9"/>
        <v>0</v>
      </c>
      <c r="S19" s="240">
        <f t="shared" si="10"/>
        <v>0</v>
      </c>
      <c r="T19" s="240">
        <f t="shared" si="11"/>
        <v>0</v>
      </c>
      <c r="U19" s="240">
        <f t="shared" si="12"/>
        <v>0</v>
      </c>
      <c r="V19" s="240">
        <f t="shared" si="13"/>
        <v>0</v>
      </c>
      <c r="W19" s="240">
        <f t="shared" si="14"/>
        <v>0</v>
      </c>
      <c r="X19" s="240">
        <f t="shared" si="15"/>
        <v>0</v>
      </c>
      <c r="Y19" s="240">
        <f t="shared" si="16"/>
        <v>0</v>
      </c>
      <c r="Z19" s="240">
        <f t="shared" si="17"/>
        <v>0</v>
      </c>
      <c r="AA19" s="232"/>
      <c r="AB19" s="233">
        <f t="shared" si="1"/>
        <v>0</v>
      </c>
      <c r="AC19" s="217">
        <f t="shared" si="8"/>
        <v>0</v>
      </c>
    </row>
    <row r="20" spans="2:29" ht="15.75" thickBot="1" x14ac:dyDescent="0.3">
      <c r="B20" s="1">
        <v>368</v>
      </c>
      <c r="C20" t="s">
        <v>40</v>
      </c>
      <c r="D20" s="2"/>
      <c r="H20" s="101">
        <v>4903.5</v>
      </c>
      <c r="J20" s="2">
        <f t="shared" si="0"/>
        <v>3.3028306744092628E-2</v>
      </c>
      <c r="K20" s="2">
        <f t="shared" si="2"/>
        <v>2.9796698828385419E-2</v>
      </c>
      <c r="L20" s="221">
        <f>J20*$L$3</f>
        <v>290.52260093318523</v>
      </c>
      <c r="M20" s="221">
        <f>J20*$M$3</f>
        <v>67.944511501677582</v>
      </c>
      <c r="N20" s="221">
        <f>J20*$N$3</f>
        <v>138.40280742964808</v>
      </c>
      <c r="O20" s="221">
        <f>J20*$O$3</f>
        <v>25.373666373081722</v>
      </c>
      <c r="P20" s="221">
        <f>J20*$P$3</f>
        <v>40.21790855614671</v>
      </c>
      <c r="Q20" s="221"/>
      <c r="R20" s="240">
        <f t="shared" si="9"/>
        <v>9.5572911492046231</v>
      </c>
      <c r="S20" s="240">
        <f t="shared" si="10"/>
        <v>81.389086915758199</v>
      </c>
      <c r="T20" s="240">
        <f t="shared" si="11"/>
        <v>106.82116529976173</v>
      </c>
      <c r="U20" s="240">
        <f t="shared" si="12"/>
        <v>43.697156798815499</v>
      </c>
      <c r="V20" s="240">
        <f t="shared" si="13"/>
        <v>36.559059627487493</v>
      </c>
      <c r="W20" s="240">
        <f t="shared" si="14"/>
        <v>34.847537246785031</v>
      </c>
      <c r="X20" s="240">
        <f t="shared" si="15"/>
        <v>118.36679016178451</v>
      </c>
      <c r="Y20" s="240">
        <f t="shared" si="16"/>
        <v>89.568876678126571</v>
      </c>
      <c r="Z20" s="240">
        <f t="shared" si="17"/>
        <v>5.3634057891093754</v>
      </c>
      <c r="AA20" s="176"/>
      <c r="AB20" s="177">
        <f t="shared" si="1"/>
        <v>1.7640000030218414E-2</v>
      </c>
      <c r="AC20" s="178">
        <f>AB20*$AC$3</f>
        <v>117.23014820082251</v>
      </c>
    </row>
    <row r="21" spans="2:29" ht="15.75" thickBot="1" x14ac:dyDescent="0.3">
      <c r="B21" s="1">
        <v>451</v>
      </c>
      <c r="C21" t="s">
        <v>41</v>
      </c>
      <c r="D21" s="2"/>
      <c r="H21" s="102">
        <v>15982.38</v>
      </c>
      <c r="I21" s="31"/>
      <c r="J21" s="2">
        <f t="shared" si="0"/>
        <v>0.10765187093721854</v>
      </c>
      <c r="K21" s="2">
        <f t="shared" si="2"/>
        <v>9.7118826026473037E-2</v>
      </c>
      <c r="L21" s="179">
        <f t="shared" si="3"/>
        <v>946.92415758183358</v>
      </c>
      <c r="M21" s="179">
        <f t="shared" si="4"/>
        <v>221.45712281720847</v>
      </c>
      <c r="N21" s="179">
        <f t="shared" si="5"/>
        <v>451.10762953144871</v>
      </c>
      <c r="O21" s="179">
        <f t="shared" si="6"/>
        <v>82.702473328808765</v>
      </c>
      <c r="P21" s="179">
        <f t="shared" si="7"/>
        <v>131.08553020283227</v>
      </c>
      <c r="Q21" s="179"/>
      <c r="R21" s="251">
        <f t="shared" si="9"/>
        <v>31.150863447991227</v>
      </c>
      <c r="S21" s="251">
        <f t="shared" si="10"/>
        <v>265.27813091479055</v>
      </c>
      <c r="T21" s="251">
        <f t="shared" si="11"/>
        <v>348.17099130490584</v>
      </c>
      <c r="U21" s="251">
        <f t="shared" si="12"/>
        <v>142.42572955608298</v>
      </c>
      <c r="V21" s="251">
        <f t="shared" si="13"/>
        <v>119.1599435931811</v>
      </c>
      <c r="W21" s="251">
        <f t="shared" si="14"/>
        <v>113.58143822622048</v>
      </c>
      <c r="X21" s="251">
        <f t="shared" si="15"/>
        <v>385.80259401364361</v>
      </c>
      <c r="Y21" s="251">
        <f t="shared" si="16"/>
        <v>291.93919103557795</v>
      </c>
      <c r="Z21" s="251">
        <f t="shared" si="17"/>
        <v>17.481388684765147</v>
      </c>
      <c r="AA21" s="179"/>
      <c r="AB21" s="177">
        <f t="shared" si="1"/>
        <v>5.7495499884360597E-2</v>
      </c>
      <c r="AC21" s="178">
        <f t="shared" si="8"/>
        <v>382.09784358149523</v>
      </c>
    </row>
    <row r="22" spans="2:29" x14ac:dyDescent="0.25">
      <c r="B22" s="1">
        <v>467</v>
      </c>
      <c r="C22" t="s">
        <v>44</v>
      </c>
      <c r="D22" s="2"/>
      <c r="H22" s="101">
        <v>3615.39</v>
      </c>
      <c r="J22" s="2">
        <f t="shared" si="0"/>
        <v>2.435203628418987E-2</v>
      </c>
      <c r="K22" s="2">
        <f t="shared" si="2"/>
        <v>2.1969345768768501E-2</v>
      </c>
      <c r="L22" s="221">
        <f>J22*$L$3</f>
        <v>214.20465100190242</v>
      </c>
      <c r="M22" s="221">
        <f>J22*$M$3</f>
        <v>50.096034962384032</v>
      </c>
      <c r="N22" s="221">
        <f>J22*$N$3</f>
        <v>102.04550340635777</v>
      </c>
      <c r="O22" s="221">
        <f>J22*$O$3</f>
        <v>18.708208354966025</v>
      </c>
      <c r="P22" s="221">
        <f>J22*$P$3</f>
        <v>29.652987542532323</v>
      </c>
      <c r="Q22" s="221"/>
      <c r="R22" s="240">
        <f t="shared" si="9"/>
        <v>7.0466676553324969</v>
      </c>
      <c r="S22" s="240">
        <f t="shared" si="10"/>
        <v>60.008828580475786</v>
      </c>
      <c r="T22" s="240">
        <f t="shared" si="11"/>
        <v>78.76010458103508</v>
      </c>
      <c r="U22" s="240">
        <f t="shared" si="12"/>
        <v>32.218265263356692</v>
      </c>
      <c r="V22" s="240">
        <f t="shared" si="13"/>
        <v>26.955288790990515</v>
      </c>
      <c r="W22" s="240">
        <f t="shared" si="14"/>
        <v>25.693369570032448</v>
      </c>
      <c r="X22" s="240">
        <f t="shared" si="15"/>
        <v>87.272786679517495</v>
      </c>
      <c r="Y22" s="240">
        <f t="shared" si="16"/>
        <v>66.039853380918117</v>
      </c>
      <c r="Z22" s="240">
        <f t="shared" si="17"/>
        <v>3.9544822383783305</v>
      </c>
      <c r="AA22" s="176"/>
      <c r="AB22" s="177">
        <f t="shared" si="1"/>
        <v>1.3006113940909831E-2</v>
      </c>
      <c r="AC22" s="178">
        <f>AB22*$AC$3</f>
        <v>86.434731417104459</v>
      </c>
    </row>
    <row r="23" spans="2:29" x14ac:dyDescent="0.25">
      <c r="B23" s="1">
        <v>468</v>
      </c>
      <c r="C23" t="s">
        <v>45</v>
      </c>
      <c r="D23" s="2"/>
      <c r="H23" s="101">
        <v>3153.85</v>
      </c>
      <c r="J23" s="2">
        <f t="shared" si="0"/>
        <v>2.1243259962242585E-2</v>
      </c>
      <c r="K23" s="2">
        <f t="shared" si="2"/>
        <v>1.9164743264995076E-2</v>
      </c>
      <c r="L23" s="221">
        <f>J23*$L$3</f>
        <v>186.85932598207935</v>
      </c>
      <c r="M23" s="221">
        <f>J23*$M$3</f>
        <v>43.700784663926953</v>
      </c>
      <c r="N23" s="221">
        <f>J23*$N$3</f>
        <v>89.018393843580199</v>
      </c>
      <c r="O23" s="221">
        <f>J23*$O$3</f>
        <v>16.319922033393244</v>
      </c>
      <c r="P23" s="221">
        <f>J23*$P$3</f>
        <v>25.867492790823551</v>
      </c>
      <c r="Q23" s="221"/>
      <c r="R23" s="240">
        <f t="shared" si="9"/>
        <v>6.1470914022471703</v>
      </c>
      <c r="S23" s="240">
        <f t="shared" si="10"/>
        <v>52.348112933468748</v>
      </c>
      <c r="T23" s="240">
        <f t="shared" si="11"/>
        <v>68.705604605007352</v>
      </c>
      <c r="U23" s="240">
        <f t="shared" si="12"/>
        <v>28.105287645547929</v>
      </c>
      <c r="V23" s="240">
        <f t="shared" si="13"/>
        <v>23.51418174898571</v>
      </c>
      <c r="W23" s="240">
        <f t="shared" si="14"/>
        <v>22.413358895844389</v>
      </c>
      <c r="X23" s="240">
        <f t="shared" si="15"/>
        <v>76.131559325327643</v>
      </c>
      <c r="Y23" s="240">
        <f t="shared" si="16"/>
        <v>57.609218254575197</v>
      </c>
      <c r="Z23" s="240">
        <f t="shared" si="17"/>
        <v>3.4496537876991136</v>
      </c>
      <c r="AA23" s="176"/>
      <c r="AB23" s="177">
        <f t="shared" si="1"/>
        <v>1.1345755908086948E-2</v>
      </c>
      <c r="AC23" s="178">
        <f>AB23*$AC$3</f>
        <v>75.400490038373434</v>
      </c>
    </row>
    <row r="24" spans="2:29" x14ac:dyDescent="0.25">
      <c r="B24" s="1">
        <v>502</v>
      </c>
      <c r="C24" t="s">
        <v>46</v>
      </c>
      <c r="D24" s="2"/>
      <c r="H24" s="101">
        <v>665</v>
      </c>
      <c r="J24" s="2">
        <f t="shared" si="0"/>
        <v>4.4792136198269798E-3</v>
      </c>
      <c r="K24" s="2">
        <f t="shared" si="2"/>
        <v>4.0409513043492004E-3</v>
      </c>
      <c r="L24" s="221">
        <f t="shared" si="3"/>
        <v>39.399924466313486</v>
      </c>
      <c r="M24" s="221">
        <f t="shared" si="4"/>
        <v>9.2144590901632686</v>
      </c>
      <c r="N24" s="221">
        <f t="shared" si="5"/>
        <v>18.769831128931571</v>
      </c>
      <c r="O24" s="221">
        <f t="shared" si="6"/>
        <v>3.4411110712958788</v>
      </c>
      <c r="P24" s="221">
        <f t="shared" si="7"/>
        <v>5.4542488405909166</v>
      </c>
      <c r="Q24" s="221"/>
      <c r="R24" s="240">
        <f t="shared" si="9"/>
        <v>1.296135130870006</v>
      </c>
      <c r="S24" s="240">
        <f t="shared" si="10"/>
        <v>11.037777668803754</v>
      </c>
      <c r="T24" s="240">
        <f t="shared" si="11"/>
        <v>14.486810426091884</v>
      </c>
      <c r="U24" s="240">
        <f t="shared" si="12"/>
        <v>5.9260954973411462</v>
      </c>
      <c r="V24" s="240">
        <f t="shared" si="13"/>
        <v>4.9580452028712516</v>
      </c>
      <c r="W24" s="240">
        <f t="shared" si="14"/>
        <v>4.7259329599494331</v>
      </c>
      <c r="X24" s="240">
        <f t="shared" si="15"/>
        <v>16.052598237501112</v>
      </c>
      <c r="Y24" s="240">
        <f t="shared" si="16"/>
        <v>12.147099620873696</v>
      </c>
      <c r="Z24" s="240">
        <f t="shared" si="17"/>
        <v>0.72737123478285604</v>
      </c>
      <c r="AA24" s="176"/>
      <c r="AB24" s="177">
        <f t="shared" si="1"/>
        <v>2.3922912246548884E-3</v>
      </c>
      <c r="AC24" s="178">
        <f t="shared" si="8"/>
        <v>15.898449791688991</v>
      </c>
    </row>
    <row r="25" spans="2:29" x14ac:dyDescent="0.25">
      <c r="B25" s="1">
        <v>515</v>
      </c>
      <c r="C25" t="s">
        <v>47</v>
      </c>
      <c r="D25" s="2"/>
      <c r="H25" s="101">
        <v>2449.62</v>
      </c>
      <c r="J25" s="2">
        <f t="shared" si="0"/>
        <v>1.6499806417143707E-2</v>
      </c>
      <c r="K25" s="2">
        <f t="shared" si="2"/>
        <v>1.4885406216781786E-2</v>
      </c>
      <c r="L25" s="221">
        <f>J25*$L$3</f>
        <v>145.13510221228697</v>
      </c>
      <c r="M25" s="221">
        <f>J25*$M$3</f>
        <v>33.942741769091349</v>
      </c>
      <c r="N25" s="221">
        <f>J25*$N$3</f>
        <v>69.141283804591509</v>
      </c>
      <c r="O25" s="221">
        <f>J25*$O$3</f>
        <v>12.675811281906482</v>
      </c>
      <c r="P25" s="221">
        <f>J25*$P$3</f>
        <v>20.091484278027551</v>
      </c>
      <c r="Q25" s="221"/>
      <c r="R25" s="240">
        <f>K25*$R$3</f>
        <v>4.7744940440327577</v>
      </c>
      <c r="S25" s="240">
        <f>K25*$S$3</f>
        <v>40.65918937301511</v>
      </c>
      <c r="T25" s="240">
        <f>K25*$T$3</f>
        <v>53.364181287162701</v>
      </c>
      <c r="U25" s="240">
        <f>K25*$U$3</f>
        <v>21.829597070972657</v>
      </c>
      <c r="V25" s="240">
        <f>K25*$V$3</f>
        <v>18.263649157680412</v>
      </c>
      <c r="W25" s="240">
        <f>K25*$W$3</f>
        <v>17.408631424588467</v>
      </c>
      <c r="X25" s="240">
        <f>K25*$X$3</f>
        <v>59.131978488041305</v>
      </c>
      <c r="Y25" s="240">
        <f>K25*$Y$3</f>
        <v>44.74553108764605</v>
      </c>
      <c r="Z25" s="240">
        <f>K25*$Z$3</f>
        <v>2.6793731190207213</v>
      </c>
      <c r="AA25" s="176"/>
      <c r="AB25" s="177">
        <f t="shared" si="1"/>
        <v>8.8123374883294862E-3</v>
      </c>
      <c r="AC25" s="178">
        <f>AB25*$AC$3</f>
        <v>58.564151246191265</v>
      </c>
    </row>
    <row r="26" spans="2:29" x14ac:dyDescent="0.25">
      <c r="B26" s="1">
        <v>525</v>
      </c>
      <c r="C26" t="s">
        <v>48</v>
      </c>
      <c r="D26" s="2"/>
      <c r="H26" s="101">
        <v>692.31</v>
      </c>
      <c r="J26" s="2">
        <f t="shared" si="0"/>
        <v>4.6631644829209264E-3</v>
      </c>
      <c r="K26" s="2">
        <f t="shared" si="2"/>
        <v>4.2069037556601418E-3</v>
      </c>
      <c r="L26" s="221">
        <f>J26*$L$3</f>
        <v>41.017987529734562</v>
      </c>
      <c r="M26" s="221">
        <f>J26*$M$3</f>
        <v>9.5928754476856124</v>
      </c>
      <c r="N26" s="221">
        <f>J26*$N$3</f>
        <v>19.540664344166338</v>
      </c>
      <c r="O26" s="221">
        <f>J26*$O$3</f>
        <v>3.5824294823591725</v>
      </c>
      <c r="P26" s="221">
        <f>J26*$P$3</f>
        <v>5.6782421275631538</v>
      </c>
      <c r="Q26" s="221"/>
      <c r="R26" s="240">
        <f>K26*$R$3</f>
        <v>1.3493643796279904</v>
      </c>
      <c r="S26" s="240">
        <f>K26*$S$3</f>
        <v>11.491073470510564</v>
      </c>
      <c r="T26" s="240">
        <f>K26*$T$3</f>
        <v>15.081749964041608</v>
      </c>
      <c r="U26" s="240">
        <f>K26*$U$3</f>
        <v>6.1694664267131545</v>
      </c>
      <c r="V26" s="240">
        <f>K26*$V$3</f>
        <v>5.161660563007211</v>
      </c>
      <c r="W26" s="240">
        <f>K26*$W$3</f>
        <v>4.9200160112820921</v>
      </c>
      <c r="X26" s="240">
        <f>K26*$X$3</f>
        <v>16.711841031284798</v>
      </c>
      <c r="Y26" s="240">
        <f>K26*$Y$3</f>
        <v>12.645952689514386</v>
      </c>
      <c r="Z26" s="240">
        <f>K26*$Z$3</f>
        <v>0.75724267601882556</v>
      </c>
      <c r="AA26" s="176"/>
      <c r="AB26" s="177">
        <f t="shared" si="1"/>
        <v>2.4905370492343246E-3</v>
      </c>
      <c r="AC26" s="178">
        <f>AB26*$AC$3</f>
        <v>16.551362068096552</v>
      </c>
    </row>
    <row r="27" spans="2:29" x14ac:dyDescent="0.25">
      <c r="B27" s="1">
        <v>560</v>
      </c>
      <c r="C27" t="s">
        <v>49</v>
      </c>
      <c r="D27" s="2"/>
      <c r="H27" s="255">
        <v>2000</v>
      </c>
      <c r="I27" s="256"/>
      <c r="J27" s="256">
        <f t="shared" si="0"/>
        <v>1.3471319157374375E-2</v>
      </c>
      <c r="K27" s="256">
        <f t="shared" si="2"/>
        <v>1.2153237005561503E-2</v>
      </c>
      <c r="L27" s="257">
        <f>J27*$L$3</f>
        <v>118.49601343252175</v>
      </c>
      <c r="M27" s="257">
        <f>J27*$M$3</f>
        <v>27.712658917784267</v>
      </c>
      <c r="N27" s="257">
        <f>J27*$N$3</f>
        <v>56.450619936636308</v>
      </c>
      <c r="O27" s="257">
        <f>J27*$O$3</f>
        <v>10.34920622946129</v>
      </c>
      <c r="P27" s="257">
        <f>J27*$P$3</f>
        <v>16.403755911551631</v>
      </c>
      <c r="Q27" s="257"/>
      <c r="R27" s="258">
        <f t="shared" si="9"/>
        <v>3.8981507695338524</v>
      </c>
      <c r="S27" s="258">
        <f t="shared" si="10"/>
        <v>33.196323815951132</v>
      </c>
      <c r="T27" s="258">
        <f t="shared" si="11"/>
        <v>43.56935466493799</v>
      </c>
      <c r="U27" s="258">
        <f t="shared" si="12"/>
        <v>17.822843601026001</v>
      </c>
      <c r="V27" s="258">
        <f t="shared" si="13"/>
        <v>14.911414143973687</v>
      </c>
      <c r="W27" s="258">
        <f t="shared" si="14"/>
        <v>14.213332210374233</v>
      </c>
      <c r="X27" s="258">
        <f t="shared" si="15"/>
        <v>48.278490939852958</v>
      </c>
      <c r="Y27" s="258">
        <f t="shared" si="16"/>
        <v>36.532630438717881</v>
      </c>
      <c r="Z27" s="258">
        <f t="shared" si="17"/>
        <v>2.1875826610010707</v>
      </c>
      <c r="AA27" s="257"/>
      <c r="AB27" s="259">
        <f t="shared" si="1"/>
        <v>7.1948608260297402E-3</v>
      </c>
      <c r="AC27" s="260">
        <f>AB27*$AC$3</f>
        <v>47.814886591545843</v>
      </c>
    </row>
    <row r="28" spans="2:29" x14ac:dyDescent="0.25">
      <c r="B28" s="1">
        <v>564</v>
      </c>
      <c r="C28" t="s">
        <v>67</v>
      </c>
      <c r="D28" s="2"/>
      <c r="H28" s="253">
        <v>0</v>
      </c>
      <c r="I28" s="99"/>
      <c r="J28" s="99">
        <f t="shared" si="0"/>
        <v>0</v>
      </c>
      <c r="K28" s="99">
        <f t="shared" si="2"/>
        <v>0</v>
      </c>
      <c r="L28" s="183">
        <f>J28*$L$3</f>
        <v>0</v>
      </c>
      <c r="M28" s="183">
        <f>J28*$M$3</f>
        <v>0</v>
      </c>
      <c r="N28" s="183">
        <f>J28*$N$3</f>
        <v>0</v>
      </c>
      <c r="O28" s="183">
        <f>J28*$O$3</f>
        <v>0</v>
      </c>
      <c r="P28" s="183">
        <f>J28*$P$3</f>
        <v>0</v>
      </c>
      <c r="Q28" s="183"/>
      <c r="R28" s="252">
        <f t="shared" si="9"/>
        <v>0</v>
      </c>
      <c r="S28" s="252">
        <f t="shared" si="10"/>
        <v>0</v>
      </c>
      <c r="T28" s="252">
        <f t="shared" si="11"/>
        <v>0</v>
      </c>
      <c r="U28" s="252">
        <f t="shared" si="12"/>
        <v>0</v>
      </c>
      <c r="V28" s="252">
        <f t="shared" si="13"/>
        <v>0</v>
      </c>
      <c r="W28" s="252">
        <f t="shared" si="14"/>
        <v>0</v>
      </c>
      <c r="X28" s="252">
        <f t="shared" si="15"/>
        <v>0</v>
      </c>
      <c r="Y28" s="252">
        <f t="shared" si="16"/>
        <v>0</v>
      </c>
      <c r="Z28" s="252">
        <f t="shared" si="17"/>
        <v>0</v>
      </c>
      <c r="AA28" s="183"/>
      <c r="AB28" s="184">
        <f t="shared" si="1"/>
        <v>0</v>
      </c>
      <c r="AC28" s="254">
        <f>AB28*$AC$3</f>
        <v>0</v>
      </c>
    </row>
    <row r="29" spans="2:29" x14ac:dyDescent="0.25">
      <c r="B29" s="1">
        <v>567</v>
      </c>
      <c r="C29" t="s">
        <v>52</v>
      </c>
      <c r="D29" s="2"/>
      <c r="H29" s="101">
        <v>461.54</v>
      </c>
      <c r="J29" s="2">
        <f t="shared" si="0"/>
        <v>3.108776321947285E-3</v>
      </c>
      <c r="K29" s="2">
        <f t="shared" si="2"/>
        <v>2.8046025037734286E-3</v>
      </c>
      <c r="L29" s="221">
        <f>J29*$L$3</f>
        <v>27.345325019823051</v>
      </c>
      <c r="M29" s="221">
        <f>J29*$M$3</f>
        <v>6.3952502984570767</v>
      </c>
      <c r="N29" s="221">
        <f>J29*$N$3</f>
        <v>13.027109562777563</v>
      </c>
      <c r="O29" s="221">
        <f>J29*$O$3</f>
        <v>2.3882863215727821</v>
      </c>
      <c r="P29" s="221">
        <f>J29*$P$3</f>
        <v>3.7854947517087703</v>
      </c>
      <c r="Q29" s="221"/>
      <c r="R29" s="240">
        <f t="shared" si="9"/>
        <v>0.89957625308532718</v>
      </c>
      <c r="S29" s="240">
        <f t="shared" si="10"/>
        <v>7.660715647007045</v>
      </c>
      <c r="T29" s="240">
        <f t="shared" si="11"/>
        <v>10.054499976027742</v>
      </c>
      <c r="U29" s="240">
        <f t="shared" si="12"/>
        <v>4.1129776178087711</v>
      </c>
      <c r="V29" s="240">
        <f t="shared" si="13"/>
        <v>3.4411070420048082</v>
      </c>
      <c r="W29" s="240">
        <f t="shared" si="14"/>
        <v>3.2800106741880626</v>
      </c>
      <c r="X29" s="240">
        <f t="shared" si="15"/>
        <v>11.141227354189869</v>
      </c>
      <c r="Y29" s="240">
        <f t="shared" si="16"/>
        <v>8.430635126342926</v>
      </c>
      <c r="Z29" s="240">
        <f t="shared" si="17"/>
        <v>0.50482845067921711</v>
      </c>
      <c r="AA29" s="176"/>
      <c r="AB29" s="177">
        <f t="shared" si="1"/>
        <v>1.6603580328228831E-3</v>
      </c>
      <c r="AC29" s="178">
        <f>AB29*$AC$3</f>
        <v>11.034241378731034</v>
      </c>
    </row>
    <row r="30" spans="2:29" x14ac:dyDescent="0.25">
      <c r="B30" s="1">
        <v>610</v>
      </c>
      <c r="C30" t="s">
        <v>53</v>
      </c>
      <c r="D30" s="2"/>
      <c r="H30" s="101">
        <v>9146.16</v>
      </c>
      <c r="J30" s="2">
        <f t="shared" si="0"/>
        <v>6.1605420212205608E-2</v>
      </c>
      <c r="K30" s="2">
        <f t="shared" si="2"/>
        <v>5.5577725085393201E-2</v>
      </c>
      <c r="L30" s="221">
        <f t="shared" si="3"/>
        <v>541.89174910799659</v>
      </c>
      <c r="M30" s="221">
        <f t="shared" si="4"/>
        <v>126.73220624374088</v>
      </c>
      <c r="N30" s="221">
        <f t="shared" si="5"/>
        <v>258.15320101983275</v>
      </c>
      <c r="O30" s="221">
        <f t="shared" si="6"/>
        <v>47.327748023824839</v>
      </c>
      <c r="P30" s="221">
        <f t="shared" si="7"/>
        <v>75.015688083998526</v>
      </c>
      <c r="Q30" s="221"/>
      <c r="R30" s="240">
        <f t="shared" si="9"/>
        <v>17.826555321139868</v>
      </c>
      <c r="S30" s="240">
        <f t="shared" si="10"/>
        <v>151.80944451624981</v>
      </c>
      <c r="T30" s="240">
        <f t="shared" si="11"/>
        <v>199.24614443113464</v>
      </c>
      <c r="U30" s="240">
        <f t="shared" si="12"/>
        <v>81.505289614979986</v>
      </c>
      <c r="V30" s="240">
        <f t="shared" si="13"/>
        <v>68.19108979352319</v>
      </c>
      <c r="W30" s="240">
        <f t="shared" si="14"/>
        <v>64.998705264618195</v>
      </c>
      <c r="X30" s="240">
        <f t="shared" si="15"/>
        <v>220.78140134722278</v>
      </c>
      <c r="Y30" s="240">
        <f t="shared" si="16"/>
        <v>167.06664160669197</v>
      </c>
      <c r="Z30" s="240">
        <f t="shared" si="17"/>
        <v>10.003990515370775</v>
      </c>
      <c r="AA30" s="176"/>
      <c r="AB30" s="177">
        <f t="shared" si="1"/>
        <v>3.2902674146300083E-2</v>
      </c>
      <c r="AC30" s="178">
        <f t="shared" si="8"/>
        <v>218.66130157406644</v>
      </c>
    </row>
    <row r="31" spans="2:29" x14ac:dyDescent="0.25">
      <c r="B31" s="1">
        <v>620</v>
      </c>
      <c r="C31" t="s">
        <v>54</v>
      </c>
      <c r="D31" s="2"/>
      <c r="H31" s="101">
        <v>7615.39</v>
      </c>
      <c r="J31" s="2">
        <f t="shared" si="0"/>
        <v>5.1294674598938626E-2</v>
      </c>
      <c r="K31" s="2">
        <f t="shared" si="2"/>
        <v>4.6275819779891515E-2</v>
      </c>
      <c r="L31" s="221">
        <f t="shared" si="3"/>
        <v>451.196677866946</v>
      </c>
      <c r="M31" s="221">
        <f t="shared" si="4"/>
        <v>105.52135279795257</v>
      </c>
      <c r="N31" s="221">
        <f t="shared" si="5"/>
        <v>214.9467432796304</v>
      </c>
      <c r="O31" s="221">
        <f t="shared" si="6"/>
        <v>39.406620813888608</v>
      </c>
      <c r="P31" s="221">
        <f t="shared" si="7"/>
        <v>62.460499365635592</v>
      </c>
      <c r="Q31" s="221"/>
      <c r="R31" s="240">
        <f t="shared" si="9"/>
        <v>14.842969194400203</v>
      </c>
      <c r="S31" s="240">
        <f t="shared" si="10"/>
        <v>126.40147621237807</v>
      </c>
      <c r="T31" s="240">
        <f t="shared" si="11"/>
        <v>165.89881391091109</v>
      </c>
      <c r="U31" s="240">
        <f t="shared" si="12"/>
        <v>67.863952465408701</v>
      </c>
      <c r="V31" s="240">
        <f t="shared" si="13"/>
        <v>56.778117078937896</v>
      </c>
      <c r="W31" s="240">
        <f t="shared" si="14"/>
        <v>54.120033990780925</v>
      </c>
      <c r="X31" s="240">
        <f t="shared" si="15"/>
        <v>183.82976855922345</v>
      </c>
      <c r="Y31" s="240">
        <f t="shared" si="16"/>
        <v>139.10511425835389</v>
      </c>
      <c r="Z31" s="240">
        <f t="shared" si="17"/>
        <v>8.3296475603804723</v>
      </c>
      <c r="AA31" s="176"/>
      <c r="AB31" s="177">
        <f t="shared" si="1"/>
        <v>2.7395835592969313E-2</v>
      </c>
      <c r="AC31" s="178">
        <f t="shared" si="8"/>
        <v>182.06450460019616</v>
      </c>
    </row>
    <row r="32" spans="2:29" x14ac:dyDescent="0.25">
      <c r="B32" s="1">
        <v>630</v>
      </c>
      <c r="C32" t="s">
        <v>55</v>
      </c>
      <c r="D32" s="2"/>
      <c r="H32" s="101">
        <v>1261.53</v>
      </c>
      <c r="J32" s="2">
        <f t="shared" si="0"/>
        <v>8.4972366283012479E-3</v>
      </c>
      <c r="K32" s="2">
        <f t="shared" si="2"/>
        <v>7.6658365398130021E-3</v>
      </c>
      <c r="L32" s="221">
        <f t="shared" si="3"/>
        <v>74.743137912764581</v>
      </c>
      <c r="M32" s="221">
        <f t="shared" si="4"/>
        <v>17.480175302276194</v>
      </c>
      <c r="N32" s="221">
        <f t="shared" si="5"/>
        <v>35.607075284332403</v>
      </c>
      <c r="O32" s="221">
        <f t="shared" si="6"/>
        <v>6.5279170673261504</v>
      </c>
      <c r="P32" s="221">
        <f t="shared" si="7"/>
        <v>10.346915097549864</v>
      </c>
      <c r="Q32" s="221"/>
      <c r="R32" s="240">
        <f t="shared" si="9"/>
        <v>2.4588170701450203</v>
      </c>
      <c r="S32" s="240">
        <f t="shared" si="10"/>
        <v>20.939079191768418</v>
      </c>
      <c r="T32" s="240">
        <f t="shared" si="11"/>
        <v>27.482023995229614</v>
      </c>
      <c r="U32" s="240">
        <f t="shared" si="12"/>
        <v>11.242025944001165</v>
      </c>
      <c r="V32" s="240">
        <f t="shared" si="13"/>
        <v>9.405598142523564</v>
      </c>
      <c r="W32" s="240">
        <f t="shared" si="14"/>
        <v>8.9652724916767035</v>
      </c>
      <c r="X32" s="240">
        <f t="shared" si="15"/>
        <v>30.452382337676354</v>
      </c>
      <c r="Y32" s="240">
        <f t="shared" si="16"/>
        <v>23.043504638677884</v>
      </c>
      <c r="Z32" s="240">
        <f t="shared" si="17"/>
        <v>1.3798505771663403</v>
      </c>
      <c r="AA32" s="176"/>
      <c r="AB32" s="177">
        <f t="shared" si="1"/>
        <v>4.538266388930649E-3</v>
      </c>
      <c r="AC32" s="178">
        <f t="shared" si="8"/>
        <v>30.159956940916413</v>
      </c>
    </row>
    <row r="33" spans="2:30" x14ac:dyDescent="0.25">
      <c r="B33" s="1">
        <v>650</v>
      </c>
      <c r="C33" t="s">
        <v>56</v>
      </c>
      <c r="D33" s="2"/>
      <c r="H33" s="101">
        <v>1105</v>
      </c>
      <c r="I33" s="53"/>
      <c r="J33" s="2">
        <f t="shared" si="0"/>
        <v>7.4429038344493428E-3</v>
      </c>
      <c r="K33" s="2">
        <f t="shared" si="2"/>
        <v>6.7146634455727307E-3</v>
      </c>
      <c r="L33" s="221">
        <f t="shared" si="3"/>
        <v>65.469047421468275</v>
      </c>
      <c r="M33" s="221">
        <f t="shared" si="4"/>
        <v>15.311244052075809</v>
      </c>
      <c r="N33" s="221">
        <f t="shared" si="5"/>
        <v>31.18896751499156</v>
      </c>
      <c r="O33" s="221">
        <f t="shared" si="6"/>
        <v>5.717936441777363</v>
      </c>
      <c r="P33" s="221">
        <f t="shared" si="7"/>
        <v>9.063075141132277</v>
      </c>
      <c r="Q33" s="221"/>
      <c r="R33" s="240">
        <f t="shared" si="9"/>
        <v>2.1537283001674532</v>
      </c>
      <c r="S33" s="240">
        <f t="shared" si="10"/>
        <v>18.340968908313002</v>
      </c>
      <c r="T33" s="240">
        <f t="shared" si="11"/>
        <v>24.07206845237824</v>
      </c>
      <c r="U33" s="240">
        <f t="shared" si="12"/>
        <v>9.8471210895668655</v>
      </c>
      <c r="V33" s="240">
        <f t="shared" si="13"/>
        <v>8.2385563145454626</v>
      </c>
      <c r="W33" s="240">
        <f t="shared" si="14"/>
        <v>7.8528660462317639</v>
      </c>
      <c r="X33" s="240">
        <f t="shared" si="15"/>
        <v>26.673866244268762</v>
      </c>
      <c r="Y33" s="240">
        <f t="shared" si="16"/>
        <v>20.184278317391627</v>
      </c>
      <c r="Z33" s="240">
        <f t="shared" si="17"/>
        <v>1.2086394202030915</v>
      </c>
      <c r="AA33" s="176"/>
      <c r="AB33" s="177">
        <f t="shared" si="1"/>
        <v>3.9751606063814313E-3</v>
      </c>
      <c r="AC33" s="178">
        <f t="shared" si="8"/>
        <v>26.417724841829077</v>
      </c>
    </row>
    <row r="34" spans="2:30" x14ac:dyDescent="0.25">
      <c r="B34" s="1">
        <v>600</v>
      </c>
      <c r="C34" t="s">
        <v>57</v>
      </c>
      <c r="D34" s="2"/>
      <c r="H34" s="101"/>
      <c r="I34" s="2">
        <f>SUM(H6:H33)</f>
        <v>148463.56</v>
      </c>
      <c r="J34" s="2"/>
      <c r="K34" s="2">
        <f t="shared" si="2"/>
        <v>0</v>
      </c>
      <c r="L34" s="221"/>
      <c r="M34" s="221"/>
      <c r="N34" s="221"/>
      <c r="O34" s="221"/>
      <c r="P34" s="221"/>
      <c r="Q34" s="221"/>
      <c r="R34" s="240">
        <f t="shared" si="9"/>
        <v>0</v>
      </c>
      <c r="S34" s="240">
        <f t="shared" si="10"/>
        <v>0</v>
      </c>
      <c r="T34" s="240">
        <f t="shared" si="11"/>
        <v>0</v>
      </c>
      <c r="U34" s="240">
        <f t="shared" si="12"/>
        <v>0</v>
      </c>
      <c r="V34" s="240">
        <f t="shared" si="13"/>
        <v>0</v>
      </c>
      <c r="W34" s="240">
        <f t="shared" si="14"/>
        <v>0</v>
      </c>
      <c r="X34" s="240">
        <f t="shared" si="15"/>
        <v>0</v>
      </c>
      <c r="Y34" s="240">
        <f t="shared" si="16"/>
        <v>0</v>
      </c>
      <c r="Z34" s="240">
        <f t="shared" si="17"/>
        <v>0</v>
      </c>
      <c r="AA34" s="176"/>
      <c r="AB34" s="177"/>
      <c r="AC34" s="178"/>
    </row>
    <row r="35" spans="2:30" ht="15.75" thickBot="1" x14ac:dyDescent="0.3">
      <c r="B35" s="1">
        <v>339</v>
      </c>
      <c r="C35" t="s">
        <v>58</v>
      </c>
      <c r="D35" s="2"/>
      <c r="H35" s="53">
        <v>5538.46</v>
      </c>
      <c r="J35" s="2"/>
      <c r="K35" s="2">
        <f>H35/$I$36</f>
        <v>3.3655108512911085E-2</v>
      </c>
      <c r="L35" s="221">
        <f>J35*$L$3</f>
        <v>0</v>
      </c>
      <c r="M35" s="221">
        <f>J35*$M$3</f>
        <v>0</v>
      </c>
      <c r="N35" s="221">
        <f>J35*$N$3</f>
        <v>0</v>
      </c>
      <c r="O35" s="221">
        <f>J35*$O$3</f>
        <v>0</v>
      </c>
      <c r="P35" s="221">
        <f>J35*$P$3</f>
        <v>0</v>
      </c>
      <c r="Q35" s="221"/>
      <c r="R35" s="240">
        <f t="shared" si="9"/>
        <v>10.79487605551623</v>
      </c>
      <c r="S35" s="240">
        <f t="shared" si="10"/>
        <v>91.928255800846372</v>
      </c>
      <c r="T35" s="240">
        <f t="shared" si="11"/>
        <v>120.65356401878624</v>
      </c>
      <c r="U35" s="240">
        <f t="shared" si="12"/>
        <v>49.355553185269237</v>
      </c>
      <c r="V35" s="240">
        <f t="shared" si="13"/>
        <v>41.293135389916259</v>
      </c>
      <c r="W35" s="240">
        <f t="shared" si="14"/>
        <v>39.359985956934644</v>
      </c>
      <c r="X35" s="240">
        <f t="shared" si="15"/>
        <v>133.69424546536902</v>
      </c>
      <c r="Y35" s="240">
        <f t="shared" si="16"/>
        <v>101.16725618981071</v>
      </c>
      <c r="Z35" s="240">
        <f t="shared" si="17"/>
        <v>6.0579195323239956</v>
      </c>
      <c r="AA35" s="176"/>
      <c r="AB35" s="177">
        <f>H35/$H$39</f>
        <v>1.9924224445266338E-2</v>
      </c>
      <c r="AC35" s="178">
        <f>AB35*$AC$3</f>
        <v>132.4104183959065</v>
      </c>
    </row>
    <row r="36" spans="2:30" ht="15.75" thickBot="1" x14ac:dyDescent="0.3">
      <c r="B36" s="1">
        <v>225</v>
      </c>
      <c r="C36" t="s">
        <v>59</v>
      </c>
      <c r="D36" s="2"/>
      <c r="H36" s="101">
        <v>10563.19</v>
      </c>
      <c r="I36" s="99">
        <f>I34+H35+H36</f>
        <v>164565.21</v>
      </c>
      <c r="J36" s="2"/>
      <c r="K36" s="2">
        <f>H36/$I$36</f>
        <v>6.4188475802388609E-2</v>
      </c>
      <c r="L36" s="221"/>
      <c r="M36" s="221"/>
      <c r="N36" s="221"/>
      <c r="O36" s="221"/>
      <c r="P36" s="221"/>
      <c r="Q36" s="221"/>
      <c r="R36" s="240">
        <f t="shared" si="9"/>
        <v>20.588453613616146</v>
      </c>
      <c r="S36" s="240">
        <f t="shared" si="10"/>
        <v>175.32953788470843</v>
      </c>
      <c r="T36" s="240">
        <f t="shared" si="11"/>
        <v>230.11568575156315</v>
      </c>
      <c r="U36" s="240">
        <f t="shared" si="12"/>
        <v>94.133041648960912</v>
      </c>
      <c r="V36" s="240">
        <f t="shared" si="13"/>
        <v>78.756050385740707</v>
      </c>
      <c r="W36" s="240">
        <f t="shared" si="14"/>
        <v>75.069064335651504</v>
      </c>
      <c r="X36" s="240">
        <f t="shared" si="15"/>
        <v>254.98743635547271</v>
      </c>
      <c r="Y36" s="240">
        <f t="shared" si="16"/>
        <v>192.95055826198015</v>
      </c>
      <c r="Z36" s="240">
        <f t="shared" si="17"/>
        <v>11.553925644429949</v>
      </c>
      <c r="AA36" s="221"/>
      <c r="AB36" s="226">
        <f>H36/$H$39</f>
        <v>3.8000340964454545E-2</v>
      </c>
      <c r="AC36" s="188">
        <f>AB36*$AC$3</f>
        <v>252.53886594747556</v>
      </c>
    </row>
    <row r="37" spans="2:30" x14ac:dyDescent="0.25">
      <c r="F37" s="8">
        <v>163891.18</v>
      </c>
      <c r="H37" s="101"/>
      <c r="K37" s="2">
        <f>H37/$I$36</f>
        <v>0</v>
      </c>
      <c r="L37" s="221">
        <f t="shared" ref="L37" si="19">J37*$L$3</f>
        <v>0</v>
      </c>
      <c r="M37" s="221">
        <f t="shared" ref="M37" si="20">J37*$M$3</f>
        <v>0</v>
      </c>
      <c r="N37" s="221">
        <f t="shared" ref="N37" si="21">J37*$N$3</f>
        <v>0</v>
      </c>
      <c r="O37" s="221">
        <f t="shared" ref="O37" si="22">J37*$O$3</f>
        <v>0</v>
      </c>
      <c r="P37" s="221">
        <f t="shared" ref="P37" si="23">J37*$P$3</f>
        <v>0</v>
      </c>
      <c r="Q37" s="221"/>
      <c r="R37" s="240">
        <f t="shared" si="9"/>
        <v>0</v>
      </c>
      <c r="S37" s="240">
        <f t="shared" si="10"/>
        <v>0</v>
      </c>
      <c r="T37" s="240">
        <f t="shared" si="11"/>
        <v>0</v>
      </c>
      <c r="U37" s="240">
        <f t="shared" si="12"/>
        <v>0</v>
      </c>
      <c r="V37" s="240">
        <f t="shared" si="13"/>
        <v>0</v>
      </c>
      <c r="W37" s="240">
        <f t="shared" si="14"/>
        <v>0</v>
      </c>
      <c r="X37" s="240">
        <f t="shared" si="15"/>
        <v>0</v>
      </c>
      <c r="Y37" s="240">
        <f t="shared" si="16"/>
        <v>0</v>
      </c>
      <c r="Z37" s="240">
        <f t="shared" si="17"/>
        <v>0</v>
      </c>
      <c r="AA37" s="176"/>
      <c r="AB37" s="177">
        <f>H37/$H$39</f>
        <v>0</v>
      </c>
      <c r="AC37" s="178">
        <f t="shared" ref="AC37:AC38" si="24">AB37*$AC$3</f>
        <v>0</v>
      </c>
    </row>
    <row r="38" spans="2:30" x14ac:dyDescent="0.25">
      <c r="B38" s="45"/>
      <c r="C38" s="32" t="s">
        <v>60</v>
      </c>
      <c r="D38" s="32"/>
      <c r="E38" s="32"/>
      <c r="F38" s="32"/>
      <c r="G38" s="31"/>
      <c r="H38" s="31">
        <v>113410.98</v>
      </c>
      <c r="I38" s="118"/>
      <c r="J38" s="121"/>
      <c r="K38" s="121"/>
      <c r="L38" s="221"/>
      <c r="M38" s="221"/>
      <c r="N38" s="221"/>
      <c r="O38" s="221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190">
        <f>H38/$H$39</f>
        <v>0.40798810862182117</v>
      </c>
      <c r="AC38" s="178">
        <f t="shared" si="24"/>
        <v>2711.3665734680367</v>
      </c>
    </row>
    <row r="39" spans="2:30" ht="15.75" thickBot="1" x14ac:dyDescent="0.3">
      <c r="H39" s="237">
        <f>SUM(H7:H38)</f>
        <v>277976.19</v>
      </c>
      <c r="I39" s="34"/>
      <c r="J39" s="54">
        <f t="shared" ref="J39:Z39" si="25">SUM(J7:J37)</f>
        <v>1.0000000000000002</v>
      </c>
      <c r="K39" s="54">
        <f t="shared" si="25"/>
        <v>1</v>
      </c>
      <c r="L39" s="227">
        <f t="shared" si="25"/>
        <v>8796.17</v>
      </c>
      <c r="M39" s="227">
        <f t="shared" si="25"/>
        <v>2057.16</v>
      </c>
      <c r="N39" s="227">
        <f t="shared" si="25"/>
        <v>4190.4300000000012</v>
      </c>
      <c r="O39" s="227">
        <f t="shared" si="25"/>
        <v>768.24</v>
      </c>
      <c r="P39" s="227">
        <f t="shared" si="25"/>
        <v>1217.6799999999998</v>
      </c>
      <c r="Q39" s="227">
        <f t="shared" si="25"/>
        <v>0</v>
      </c>
      <c r="R39" s="227">
        <f t="shared" si="25"/>
        <v>320.75000000000006</v>
      </c>
      <c r="S39" s="227">
        <f t="shared" si="25"/>
        <v>2731.48</v>
      </c>
      <c r="T39" s="227">
        <f t="shared" si="25"/>
        <v>3585.0000000000005</v>
      </c>
      <c r="U39" s="227">
        <f t="shared" si="25"/>
        <v>1466.5099999999995</v>
      </c>
      <c r="V39" s="227">
        <f t="shared" si="25"/>
        <v>1226.9500000000003</v>
      </c>
      <c r="W39" s="227">
        <f t="shared" si="25"/>
        <v>1169.51</v>
      </c>
      <c r="X39" s="227">
        <f t="shared" si="25"/>
        <v>3972.4799999999996</v>
      </c>
      <c r="Y39" s="227">
        <f t="shared" si="25"/>
        <v>3005.9999999999995</v>
      </c>
      <c r="Z39" s="227">
        <f t="shared" si="25"/>
        <v>180</v>
      </c>
      <c r="AA39" s="228"/>
      <c r="AB39" s="196">
        <f>SUM(AB7:AB38)</f>
        <v>1</v>
      </c>
      <c r="AC39" s="229">
        <f>SUM(AC7:AC38)</f>
        <v>6645.7</v>
      </c>
      <c r="AD39" s="8"/>
    </row>
    <row r="40" spans="2:30" ht="16.5" thickTop="1" thickBot="1" x14ac:dyDescent="0.3">
      <c r="H40" s="22" t="s">
        <v>61</v>
      </c>
      <c r="I40" s="22"/>
      <c r="J40" s="41" t="s">
        <v>62</v>
      </c>
      <c r="K40" s="41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59"/>
      <c r="AC40">
        <v>5802</v>
      </c>
    </row>
    <row r="41" spans="2:30" x14ac:dyDescent="0.25">
      <c r="C41" s="17">
        <v>43559</v>
      </c>
      <c r="D41" s="23"/>
      <c r="E41" s="23"/>
      <c r="F41" s="23"/>
      <c r="G41" s="18"/>
      <c r="H41" s="18">
        <v>73342.69</v>
      </c>
      <c r="I41" s="18"/>
      <c r="J41" s="42"/>
      <c r="L41" s="158">
        <v>4376.76</v>
      </c>
      <c r="M41" s="158">
        <v>1023.58</v>
      </c>
      <c r="N41" s="158">
        <v>2138.92</v>
      </c>
      <c r="O41" s="158">
        <v>392.13</v>
      </c>
      <c r="P41" s="158">
        <v>633.84</v>
      </c>
      <c r="Q41" s="114"/>
      <c r="R41" s="114"/>
      <c r="S41" s="114"/>
      <c r="T41" s="114"/>
      <c r="U41" s="114"/>
      <c r="V41" s="114"/>
      <c r="W41" s="114"/>
      <c r="X41" s="114"/>
      <c r="Y41" s="114"/>
      <c r="Z41" s="159"/>
    </row>
    <row r="42" spans="2:30" x14ac:dyDescent="0.25">
      <c r="C42" s="19">
        <v>43574</v>
      </c>
      <c r="D42" s="24"/>
      <c r="E42" s="24"/>
      <c r="F42" s="24"/>
      <c r="H42" s="2">
        <v>74446.83</v>
      </c>
      <c r="J42" s="43">
        <v>0</v>
      </c>
      <c r="L42" s="158">
        <v>4419.41</v>
      </c>
      <c r="M42" s="158">
        <v>1033.58</v>
      </c>
      <c r="N42" s="158">
        <v>2051.5100000000002</v>
      </c>
      <c r="O42" s="158">
        <v>376.11</v>
      </c>
      <c r="P42" s="158">
        <v>583.84</v>
      </c>
      <c r="Q42" s="114"/>
      <c r="R42" s="114"/>
      <c r="S42" s="114"/>
      <c r="T42" s="114"/>
      <c r="U42" s="114"/>
      <c r="V42" s="114"/>
      <c r="W42" s="114"/>
      <c r="X42" s="114"/>
      <c r="Y42" s="114"/>
      <c r="Z42" s="159"/>
    </row>
    <row r="43" spans="2:30" x14ac:dyDescent="0.25">
      <c r="C43" s="19">
        <v>43616</v>
      </c>
      <c r="D43" s="24"/>
      <c r="E43" s="24"/>
      <c r="F43" s="24"/>
      <c r="H43" s="2">
        <v>0</v>
      </c>
      <c r="J43" s="43"/>
      <c r="K43" s="238"/>
      <c r="L43" s="158"/>
      <c r="M43" s="158"/>
      <c r="N43" s="158"/>
      <c r="O43" s="158"/>
      <c r="P43" s="158"/>
      <c r="Q43" s="114"/>
      <c r="R43" s="114"/>
      <c r="S43" s="114"/>
      <c r="T43" s="114"/>
      <c r="U43" s="114"/>
      <c r="V43" s="114"/>
      <c r="W43" s="114"/>
      <c r="X43" s="114"/>
      <c r="Y43" s="114"/>
      <c r="Z43" s="159"/>
    </row>
    <row r="44" spans="2:30" x14ac:dyDescent="0.25">
      <c r="B44" s="1" t="s">
        <v>63</v>
      </c>
      <c r="C44" s="19"/>
      <c r="D44" s="24"/>
      <c r="E44" s="24"/>
      <c r="F44" s="24"/>
      <c r="H44" s="2">
        <v>0</v>
      </c>
      <c r="J44" s="43"/>
      <c r="K44" s="238"/>
      <c r="L44" s="158"/>
      <c r="M44" s="158"/>
      <c r="N44" s="158"/>
      <c r="O44" s="158"/>
      <c r="P44" s="158"/>
      <c r="Q44" s="114"/>
      <c r="R44" s="114"/>
      <c r="S44" s="114"/>
      <c r="T44" s="114"/>
      <c r="U44" s="114"/>
      <c r="V44" s="114"/>
      <c r="W44" s="114"/>
      <c r="X44" s="114"/>
      <c r="Y44" s="114"/>
      <c r="Z44" s="159"/>
    </row>
    <row r="45" spans="2:30" ht="15.75" thickBot="1" x14ac:dyDescent="0.3">
      <c r="B45" s="1" t="s">
        <v>69</v>
      </c>
      <c r="C45" s="19"/>
      <c r="D45" s="24"/>
      <c r="E45" s="24"/>
      <c r="F45" s="24"/>
      <c r="H45" s="2">
        <v>0</v>
      </c>
      <c r="J45" s="43"/>
      <c r="K45" s="238"/>
      <c r="L45" s="158"/>
      <c r="M45" s="158"/>
      <c r="N45" s="158"/>
      <c r="O45" s="158"/>
      <c r="P45" s="158"/>
      <c r="Q45" s="114"/>
      <c r="R45" s="114"/>
      <c r="S45" s="114"/>
      <c r="T45" s="114"/>
      <c r="U45" s="114"/>
      <c r="V45" s="114"/>
      <c r="W45" s="114"/>
      <c r="X45" s="114"/>
      <c r="Y45" s="114"/>
      <c r="Z45" s="159"/>
    </row>
    <row r="46" spans="2:30" ht="15.75" thickBot="1" x14ac:dyDescent="0.3">
      <c r="C46" s="20"/>
      <c r="D46" s="20"/>
      <c r="E46" s="20"/>
      <c r="F46" s="20"/>
      <c r="G46" s="105"/>
      <c r="H46" s="236">
        <f>SUM(H41:H45)</f>
        <v>147789.52000000002</v>
      </c>
      <c r="I46" s="5"/>
      <c r="J46" s="44"/>
      <c r="K46" s="239"/>
      <c r="L46" s="161">
        <f>SUM(L41:L43)</f>
        <v>8796.17</v>
      </c>
      <c r="M46" s="162">
        <f t="shared" ref="M46" si="26">SUM(M41:M43)</f>
        <v>2057.16</v>
      </c>
      <c r="N46" s="162">
        <f>SUM(N41:N43)</f>
        <v>4190.43</v>
      </c>
      <c r="O46" s="162">
        <f t="shared" ref="O46" si="27">SUM(O41:O43)</f>
        <v>768.24</v>
      </c>
      <c r="P46" s="163">
        <f>SUM(P41:P43)</f>
        <v>1217.68</v>
      </c>
      <c r="Q46" s="114"/>
      <c r="R46" s="114"/>
      <c r="S46" s="114"/>
      <c r="T46" s="114"/>
      <c r="U46" s="114"/>
      <c r="V46" s="114"/>
      <c r="W46" s="114"/>
      <c r="X46" s="114"/>
      <c r="Y46" s="114"/>
      <c r="Z46" s="159"/>
    </row>
    <row r="47" spans="2:30" x14ac:dyDescent="0.25">
      <c r="H47" s="2">
        <f>H38</f>
        <v>113410.98</v>
      </c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59"/>
    </row>
    <row r="48" spans="2:30" x14ac:dyDescent="0.25">
      <c r="I48" s="2" t="s">
        <v>64</v>
      </c>
    </row>
    <row r="49" spans="9:13" x14ac:dyDescent="0.25">
      <c r="I49" s="2">
        <v>2769.23</v>
      </c>
      <c r="J49" s="93">
        <v>165.29</v>
      </c>
      <c r="K49" s="93">
        <v>38.659999999999997</v>
      </c>
      <c r="L49" s="93">
        <v>83.08</v>
      </c>
      <c r="M49" s="93">
        <v>15.23</v>
      </c>
    </row>
    <row r="50" spans="9:13" x14ac:dyDescent="0.25">
      <c r="I50" s="2">
        <v>2769.23</v>
      </c>
      <c r="J50" s="93">
        <v>165.29</v>
      </c>
      <c r="K50" s="93">
        <v>38.659999999999997</v>
      </c>
      <c r="L50" s="93">
        <v>83.08</v>
      </c>
      <c r="M50" s="93">
        <v>15.23</v>
      </c>
    </row>
    <row r="51" spans="9:13" x14ac:dyDescent="0.25">
      <c r="I51" s="2">
        <v>2769.23</v>
      </c>
      <c r="J51" s="93">
        <v>165.29</v>
      </c>
      <c r="K51" s="93">
        <v>38.659999999999997</v>
      </c>
      <c r="L51" s="93">
        <v>83.08</v>
      </c>
      <c r="M51" s="93">
        <v>15.23</v>
      </c>
    </row>
    <row r="52" spans="9:13" ht="15.75" thickBot="1" x14ac:dyDescent="0.3">
      <c r="K52" s="2"/>
    </row>
    <row r="53" spans="9:13" ht="15.75" thickBot="1" x14ac:dyDescent="0.3">
      <c r="I53" s="241">
        <f>SUM(I49:I52)</f>
        <v>8307.69</v>
      </c>
      <c r="K53" s="2"/>
    </row>
    <row r="55" spans="9:13" x14ac:dyDescent="0.25">
      <c r="I55" s="12" t="s">
        <v>65</v>
      </c>
    </row>
    <row r="56" spans="9:13" x14ac:dyDescent="0.25">
      <c r="I56" s="2">
        <v>3802.75</v>
      </c>
      <c r="J56" s="93">
        <v>288.2</v>
      </c>
      <c r="K56" s="93">
        <v>67.400000000000006</v>
      </c>
      <c r="L56" s="93"/>
      <c r="M56" s="93"/>
    </row>
    <row r="57" spans="9:13" x14ac:dyDescent="0.25">
      <c r="I57" s="2">
        <v>4225.28</v>
      </c>
      <c r="J57" s="93">
        <v>235.8</v>
      </c>
      <c r="K57" s="93">
        <v>55.15</v>
      </c>
      <c r="L57" s="93"/>
      <c r="M57" s="93"/>
    </row>
    <row r="58" spans="9:13" x14ac:dyDescent="0.25">
      <c r="I58" s="2">
        <v>4647.8</v>
      </c>
      <c r="J58" s="93">
        <v>262</v>
      </c>
      <c r="K58" s="93">
        <v>61.28</v>
      </c>
      <c r="L58" s="93"/>
      <c r="M58" s="93"/>
    </row>
    <row r="59" spans="9:13" ht="15.75" thickBot="1" x14ac:dyDescent="0.3"/>
    <row r="60" spans="9:13" ht="15.75" thickBot="1" x14ac:dyDescent="0.3">
      <c r="I60" s="242">
        <f>SUM(I56:I59)</f>
        <v>12675.83</v>
      </c>
    </row>
  </sheetData>
  <pageMargins left="0.25" right="0.25" top="0.75" bottom="0.75" header="0.3" footer="0.3"/>
  <pageSetup paperSize="5" scale="6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5F86-C48F-40B7-B08A-20F2A737471D}">
  <sheetPr>
    <tabColor theme="5" tint="0.39997558519241921"/>
    <pageSetUpPr fitToPage="1"/>
  </sheetPr>
  <dimension ref="B1:AF49"/>
  <sheetViews>
    <sheetView topLeftCell="B1" zoomScale="85" zoomScaleNormal="85" workbookViewId="0">
      <selection activeCell="B1" sqref="A1:XFD1048576"/>
    </sheetView>
  </sheetViews>
  <sheetFormatPr defaultRowHeight="15" x14ac:dyDescent="0.25"/>
  <cols>
    <col min="1" max="1" width="0" style="159" hidden="1" customWidth="1"/>
    <col min="2" max="2" width="9.140625" style="273"/>
    <col min="3" max="3" width="29.28515625" style="159" customWidth="1"/>
    <col min="4" max="4" width="9" style="159" customWidth="1"/>
    <col min="5" max="5" width="8.140625" style="159" customWidth="1"/>
    <col min="6" max="6" width="12.7109375" style="159" customWidth="1"/>
    <col min="7" max="7" width="12.7109375" style="118" customWidth="1"/>
    <col min="8" max="9" width="13.85546875" style="118" customWidth="1"/>
    <col min="10" max="10" width="12.140625" style="121" customWidth="1"/>
    <col min="11" max="11" width="11.28515625" style="157" customWidth="1"/>
    <col min="12" max="12" width="13.42578125" style="157" customWidth="1"/>
    <col min="13" max="13" width="13.28515625" style="159" customWidth="1"/>
    <col min="14" max="14" width="15.7109375" style="159" customWidth="1"/>
    <col min="15" max="15" width="11.7109375" style="157" customWidth="1"/>
    <col min="16" max="16" width="1" style="159" customWidth="1"/>
    <col min="17" max="17" width="13.140625" style="157" customWidth="1"/>
    <col min="18" max="18" width="15.140625" style="157" customWidth="1"/>
    <col min="19" max="19" width="17.42578125" style="159" customWidth="1"/>
    <col min="20" max="20" width="15.5703125" style="157" customWidth="1"/>
    <col min="21" max="21" width="15.28515625" style="157" customWidth="1"/>
    <col min="22" max="23" width="15.140625" style="159" customWidth="1"/>
    <col min="24" max="24" width="15.85546875" style="157" customWidth="1"/>
    <col min="25" max="25" width="15.5703125" style="159" customWidth="1"/>
    <col min="26" max="26" width="2.85546875" style="159" customWidth="1"/>
    <col min="27" max="27" width="8.5703125" style="159" customWidth="1"/>
    <col min="28" max="28" width="11.85546875" style="159" customWidth="1"/>
    <col min="29" max="29" width="12.7109375" style="159" customWidth="1"/>
    <col min="30" max="16384" width="9.140625" style="159"/>
  </cols>
  <sheetData>
    <row r="1" spans="2:29" ht="15.75" thickBot="1" x14ac:dyDescent="0.3">
      <c r="B1" s="118" t="s">
        <v>71</v>
      </c>
      <c r="K1" s="157">
        <v>7251</v>
      </c>
      <c r="L1" s="157">
        <v>7252</v>
      </c>
      <c r="M1" s="159">
        <v>7253</v>
      </c>
      <c r="N1" s="159">
        <v>7254</v>
      </c>
      <c r="O1" s="157">
        <v>7260.1</v>
      </c>
      <c r="Q1" s="157">
        <v>8112</v>
      </c>
      <c r="R1" s="157">
        <v>8229.1</v>
      </c>
      <c r="S1" s="159">
        <v>7521</v>
      </c>
      <c r="T1" s="157">
        <v>8210.5</v>
      </c>
      <c r="U1" s="157">
        <v>8135.5</v>
      </c>
      <c r="V1" s="157">
        <v>8239</v>
      </c>
      <c r="W1" s="157">
        <v>8266</v>
      </c>
      <c r="X1" s="157">
        <v>7515.5</v>
      </c>
      <c r="Y1" s="159">
        <v>8222</v>
      </c>
      <c r="AB1" s="159">
        <v>7248</v>
      </c>
    </row>
    <row r="2" spans="2:29" ht="17.25" thickBot="1" x14ac:dyDescent="0.4">
      <c r="K2" s="335" t="s">
        <v>1</v>
      </c>
      <c r="L2" s="335" t="s">
        <v>2</v>
      </c>
      <c r="M2" s="335" t="s">
        <v>3</v>
      </c>
      <c r="N2" s="335" t="s">
        <v>4</v>
      </c>
      <c r="O2" s="335" t="s">
        <v>5</v>
      </c>
      <c r="P2" s="335"/>
      <c r="Q2" s="336" t="s">
        <v>8</v>
      </c>
      <c r="R2" s="336" t="s">
        <v>12</v>
      </c>
      <c r="S2" s="336" t="s">
        <v>7</v>
      </c>
      <c r="T2" s="336" t="s">
        <v>11</v>
      </c>
      <c r="U2" s="336" t="s">
        <v>9</v>
      </c>
      <c r="V2" s="336" t="s">
        <v>13</v>
      </c>
      <c r="W2" s="336" t="s">
        <v>14</v>
      </c>
      <c r="X2" s="114" t="s">
        <v>6</v>
      </c>
      <c r="Y2" s="114" t="s">
        <v>10</v>
      </c>
      <c r="Z2" s="118"/>
      <c r="AA2" s="337"/>
      <c r="AB2" s="338" t="s">
        <v>15</v>
      </c>
      <c r="AC2" s="118"/>
    </row>
    <row r="3" spans="2:29" ht="15.75" thickBot="1" x14ac:dyDescent="0.3">
      <c r="K3" s="213">
        <f>K42</f>
        <v>8796.17</v>
      </c>
      <c r="L3" s="213">
        <f t="shared" ref="L3:O3" si="0">L42</f>
        <v>2057.16</v>
      </c>
      <c r="M3" s="213">
        <f t="shared" si="0"/>
        <v>4190.43</v>
      </c>
      <c r="N3" s="213">
        <f t="shared" si="0"/>
        <v>768.24</v>
      </c>
      <c r="O3" s="213">
        <f t="shared" si="0"/>
        <v>1217.68</v>
      </c>
      <c r="P3" s="214">
        <v>0</v>
      </c>
      <c r="Q3" s="215">
        <v>480.83</v>
      </c>
      <c r="R3" s="215">
        <v>2731.48</v>
      </c>
      <c r="S3" s="215">
        <v>3585</v>
      </c>
      <c r="T3" s="215">
        <v>1466.51</v>
      </c>
      <c r="U3" s="213">
        <v>1226.95</v>
      </c>
      <c r="V3" s="213">
        <v>1169.51</v>
      </c>
      <c r="W3" s="216">
        <v>3972.48</v>
      </c>
      <c r="X3" s="216">
        <v>3006</v>
      </c>
      <c r="Y3" s="216">
        <v>180</v>
      </c>
      <c r="Z3" s="214"/>
      <c r="AA3" s="226"/>
      <c r="AB3" s="261">
        <v>6645.7</v>
      </c>
      <c r="AC3" s="118"/>
    </row>
    <row r="4" spans="2:29" x14ac:dyDescent="0.25">
      <c r="K4" s="218">
        <v>1</v>
      </c>
      <c r="L4" s="218">
        <v>2</v>
      </c>
      <c r="M4" s="218">
        <v>3</v>
      </c>
      <c r="N4" s="218">
        <v>4</v>
      </c>
      <c r="O4" s="218">
        <v>5</v>
      </c>
      <c r="P4" s="218">
        <v>6</v>
      </c>
      <c r="Q4" s="218">
        <v>7</v>
      </c>
      <c r="R4" s="218">
        <v>8</v>
      </c>
      <c r="S4" s="218">
        <v>9</v>
      </c>
      <c r="T4" s="218">
        <v>10</v>
      </c>
      <c r="U4" s="218">
        <v>11</v>
      </c>
      <c r="V4" s="218">
        <v>13</v>
      </c>
      <c r="W4" s="218">
        <v>14</v>
      </c>
      <c r="X4" s="218">
        <v>15</v>
      </c>
      <c r="Y4" s="218">
        <v>16</v>
      </c>
      <c r="Z4" s="218"/>
      <c r="AA4" s="266"/>
      <c r="AB4" s="267">
        <v>0.04</v>
      </c>
    </row>
    <row r="5" spans="2:29" x14ac:dyDescent="0.25">
      <c r="D5" s="159">
        <v>7222</v>
      </c>
      <c r="E5" s="159" t="s">
        <v>16</v>
      </c>
      <c r="F5" s="159" t="s">
        <v>17</v>
      </c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66"/>
      <c r="AB5" s="267"/>
    </row>
    <row r="6" spans="2:29" ht="15.75" thickBot="1" x14ac:dyDescent="0.3">
      <c r="B6" s="273">
        <v>41</v>
      </c>
      <c r="C6" s="159" t="s">
        <v>19</v>
      </c>
      <c r="D6" s="118"/>
      <c r="E6" s="339"/>
      <c r="F6" s="339"/>
      <c r="G6" s="319"/>
      <c r="H6" s="317">
        <v>0</v>
      </c>
      <c r="I6" s="318"/>
      <c r="J6" s="118">
        <f t="shared" ref="J6:J14" si="1">H6/$F$35</f>
        <v>0</v>
      </c>
      <c r="K6" s="221">
        <f>J6*$K$3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/>
      <c r="Q6" s="221">
        <f>J6*$Q$3</f>
        <v>0</v>
      </c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/>
      <c r="AA6" s="226">
        <f t="shared" ref="AA6:AA21" si="2">H6/$H$37</f>
        <v>0</v>
      </c>
      <c r="AB6" s="261">
        <f>AA6*$AB$3</f>
        <v>0</v>
      </c>
    </row>
    <row r="7" spans="2:29" ht="15.75" thickBot="1" x14ac:dyDescent="0.3">
      <c r="B7" s="273">
        <v>111</v>
      </c>
      <c r="C7" s="159" t="s">
        <v>20</v>
      </c>
      <c r="D7" s="118"/>
      <c r="H7" s="214">
        <v>34794.35</v>
      </c>
      <c r="J7" s="118">
        <f t="shared" si="1"/>
        <v>0.21230154057100573</v>
      </c>
      <c r="K7" s="222">
        <f t="shared" ref="K7:K33" si="3">J7*$K$3</f>
        <v>1867.4404421244635</v>
      </c>
      <c r="L7" s="223">
        <f t="shared" ref="L7:L33" si="4">J7*$L$3</f>
        <v>436.73823720105008</v>
      </c>
      <c r="M7" s="223">
        <f t="shared" ref="M7:M33" si="5">J7*$M$3</f>
        <v>889.6347446549596</v>
      </c>
      <c r="N7" s="223">
        <f t="shared" ref="N7:N33" si="6">J7*$N$3</f>
        <v>163.09853552826945</v>
      </c>
      <c r="O7" s="223">
        <f t="shared" ref="O7:O33" si="7">J7*$O$3</f>
        <v>258.51533992250228</v>
      </c>
      <c r="P7" s="223"/>
      <c r="Q7" s="223">
        <f t="shared" ref="Q7:Q33" si="8">J7*$Q$3</f>
        <v>102.08094975275668</v>
      </c>
      <c r="R7" s="223">
        <f t="shared" ref="R7:R33" si="9">J7*$R$3</f>
        <v>579.89741203889071</v>
      </c>
      <c r="S7" s="223">
        <f t="shared" ref="S7:S33" si="10">J7*$S$3</f>
        <v>761.10102294705553</v>
      </c>
      <c r="T7" s="223">
        <f t="shared" ref="T7:T33" si="11">J7*$T$3</f>
        <v>311.34233226278559</v>
      </c>
      <c r="U7" s="223">
        <f>J7*$U$3</f>
        <v>260.48337520359547</v>
      </c>
      <c r="V7" s="223">
        <f t="shared" ref="V7:V13" si="12">J7*$V$3</f>
        <v>248.28877471319691</v>
      </c>
      <c r="W7" s="223">
        <f t="shared" ref="W7:W13" si="13">J7*$W$3</f>
        <v>843.36362388750888</v>
      </c>
      <c r="X7" s="223">
        <f t="shared" ref="X7:X13" si="14">J7*$X$3</f>
        <v>638.17843095644321</v>
      </c>
      <c r="Y7" s="224">
        <f t="shared" ref="Y7:Y13" si="15">J7*$Y$3</f>
        <v>38.214277302781028</v>
      </c>
      <c r="Z7" s="221"/>
      <c r="AA7" s="226">
        <f t="shared" si="2"/>
        <v>0.12547450950072003</v>
      </c>
      <c r="AB7" s="261">
        <f t="shared" ref="AB7:AB33" si="16">AA7*$AB$3</f>
        <v>833.86594778893505</v>
      </c>
    </row>
    <row r="8" spans="2:29" x14ac:dyDescent="0.25">
      <c r="B8" s="273" t="s">
        <v>21</v>
      </c>
      <c r="C8" s="159" t="s">
        <v>22</v>
      </c>
      <c r="D8" s="118"/>
      <c r="H8" s="214">
        <v>1940.17</v>
      </c>
      <c r="J8" s="118">
        <f t="shared" si="1"/>
        <v>1.1838159930265924E-2</v>
      </c>
      <c r="K8" s="221">
        <f>J8*$K$3</f>
        <v>104.13046723380721</v>
      </c>
      <c r="L8" s="221">
        <f>J8*$L$3</f>
        <v>24.352989082145847</v>
      </c>
      <c r="M8" s="221">
        <f>J8*$M$3</f>
        <v>49.606980516584237</v>
      </c>
      <c r="N8" s="221">
        <f>J8*$N$3</f>
        <v>9.0945479848274928</v>
      </c>
      <c r="O8" s="221">
        <f>J8*$O$3</f>
        <v>14.415090583886212</v>
      </c>
      <c r="P8" s="221"/>
      <c r="Q8" s="221">
        <f>J8*$Q$3</f>
        <v>5.6921424392697642</v>
      </c>
      <c r="R8" s="221">
        <f>J8*$R$3</f>
        <v>32.335697086322767</v>
      </c>
      <c r="S8" s="221">
        <f>J8*$S$3</f>
        <v>42.439803350003338</v>
      </c>
      <c r="T8" s="221">
        <f>J8*$T$3</f>
        <v>17.360779919334281</v>
      </c>
      <c r="U8" s="221">
        <f>J8*$U$3</f>
        <v>14.524830326439776</v>
      </c>
      <c r="V8" s="221">
        <f>J8*$V$3</f>
        <v>13.8448464200453</v>
      </c>
      <c r="W8" s="221">
        <f>J8*$W$3</f>
        <v>47.026853559782779</v>
      </c>
      <c r="X8" s="221">
        <f>J8*$X$3</f>
        <v>35.585508750379368</v>
      </c>
      <c r="Y8" s="221">
        <f>J8*$Y$3</f>
        <v>2.1308687874478665</v>
      </c>
      <c r="Z8" s="221"/>
      <c r="AA8" s="226">
        <f t="shared" si="2"/>
        <v>6.9965922369008759E-3</v>
      </c>
      <c r="AB8" s="261">
        <f>AA8*$AB$3</f>
        <v>46.49725302877215</v>
      </c>
    </row>
    <row r="9" spans="2:29" x14ac:dyDescent="0.25">
      <c r="B9" s="273" t="s">
        <v>23</v>
      </c>
      <c r="C9" s="159" t="s">
        <v>24</v>
      </c>
      <c r="D9" s="118"/>
      <c r="H9" s="214">
        <v>2583.91</v>
      </c>
      <c r="J9" s="118">
        <f t="shared" si="1"/>
        <v>1.5766010104997719E-2</v>
      </c>
      <c r="K9" s="221">
        <f>J9*$K$3</f>
        <v>138.6805051052778</v>
      </c>
      <c r="L9" s="221">
        <f>J9*$L$3</f>
        <v>32.433205347597109</v>
      </c>
      <c r="M9" s="221">
        <f>J9*$M$3</f>
        <v>66.066361724285599</v>
      </c>
      <c r="N9" s="221">
        <f>J9*$N$3</f>
        <v>12.112079603063448</v>
      </c>
      <c r="O9" s="221">
        <f>J9*$O$3</f>
        <v>19.197955184653622</v>
      </c>
      <c r="P9" s="221"/>
      <c r="Q9" s="221">
        <f>J9*$Q$3</f>
        <v>7.5807706387860527</v>
      </c>
      <c r="R9" s="221">
        <f>J9*$R$3</f>
        <v>43.064541281599169</v>
      </c>
      <c r="S9" s="221">
        <f>J9*$S$3</f>
        <v>56.521146226416825</v>
      </c>
      <c r="T9" s="221">
        <f>J9*$T$3</f>
        <v>23.121011479080206</v>
      </c>
      <c r="U9" s="221">
        <f>J9*$U$3</f>
        <v>19.344106098326954</v>
      </c>
      <c r="V9" s="221">
        <f t="shared" si="12"/>
        <v>18.438506477895881</v>
      </c>
      <c r="W9" s="221">
        <f t="shared" si="13"/>
        <v>62.630159821901337</v>
      </c>
      <c r="X9" s="221">
        <f t="shared" si="14"/>
        <v>47.392626375623145</v>
      </c>
      <c r="Y9" s="221">
        <f t="shared" si="15"/>
        <v>2.8378818188995893</v>
      </c>
      <c r="Z9" s="221"/>
      <c r="AA9" s="226">
        <f t="shared" si="2"/>
        <v>9.318031227598892E-3</v>
      </c>
      <c r="AB9" s="261">
        <f>AA9*$AB$3</f>
        <v>61.924840129253958</v>
      </c>
    </row>
    <row r="10" spans="2:29" x14ac:dyDescent="0.25">
      <c r="B10" s="273" t="s">
        <v>25</v>
      </c>
      <c r="C10" s="159" t="s">
        <v>26</v>
      </c>
      <c r="D10" s="118"/>
      <c r="H10" s="214">
        <v>261.60000000000002</v>
      </c>
      <c r="J10" s="118">
        <f t="shared" si="1"/>
        <v>1.5961810757601478E-3</v>
      </c>
      <c r="K10" s="221">
        <f t="shared" si="3"/>
        <v>14.040280093169139</v>
      </c>
      <c r="L10" s="221">
        <f t="shared" si="4"/>
        <v>3.2835998618107456</v>
      </c>
      <c r="M10" s="221">
        <f t="shared" si="5"/>
        <v>6.6886850652975971</v>
      </c>
      <c r="N10" s="221">
        <f t="shared" si="6"/>
        <v>1.226250149641976</v>
      </c>
      <c r="O10" s="221">
        <f t="shared" si="7"/>
        <v>1.9436377723316169</v>
      </c>
      <c r="P10" s="221"/>
      <c r="Q10" s="221">
        <f t="shared" si="8"/>
        <v>0.76749174665775188</v>
      </c>
      <c r="R10" s="221">
        <f t="shared" si="9"/>
        <v>4.3599366848173284</v>
      </c>
      <c r="S10" s="221">
        <f t="shared" si="10"/>
        <v>5.7223091566001303</v>
      </c>
      <c r="T10" s="221">
        <f t="shared" si="11"/>
        <v>2.3408155094130145</v>
      </c>
      <c r="U10" s="221">
        <f t="shared" ref="U10:U35" si="17">J10*$U$3</f>
        <v>1.9584343709039134</v>
      </c>
      <c r="V10" s="221">
        <f t="shared" si="12"/>
        <v>1.8667497299122504</v>
      </c>
      <c r="W10" s="221">
        <f t="shared" si="13"/>
        <v>6.3407973998356724</v>
      </c>
      <c r="X10" s="221">
        <f t="shared" si="14"/>
        <v>4.7981203137350041</v>
      </c>
      <c r="Y10" s="221">
        <f t="shared" si="15"/>
        <v>0.2873125936368266</v>
      </c>
      <c r="Z10" s="221"/>
      <c r="AA10" s="226">
        <f t="shared" si="2"/>
        <v>9.4337533781744349E-4</v>
      </c>
      <c r="AB10" s="261">
        <f t="shared" si="16"/>
        <v>6.2693894825333842</v>
      </c>
    </row>
    <row r="11" spans="2:29" ht="15.75" thickBot="1" x14ac:dyDescent="0.3">
      <c r="B11" s="273">
        <v>112</v>
      </c>
      <c r="C11" s="159" t="s">
        <v>27</v>
      </c>
      <c r="D11" s="118"/>
      <c r="H11" s="214">
        <v>29554.84</v>
      </c>
      <c r="J11" s="118">
        <f t="shared" si="1"/>
        <v>0.18033209596758046</v>
      </c>
      <c r="K11" s="221">
        <f t="shared" si="3"/>
        <v>1586.2317725871521</v>
      </c>
      <c r="L11" s="221">
        <f t="shared" si="4"/>
        <v>370.97197454066782</v>
      </c>
      <c r="M11" s="221">
        <f t="shared" si="5"/>
        <v>755.66902490542827</v>
      </c>
      <c r="N11" s="221">
        <f t="shared" si="6"/>
        <v>138.53832940613401</v>
      </c>
      <c r="O11" s="221">
        <f t="shared" si="7"/>
        <v>219.5867866178034</v>
      </c>
      <c r="P11" s="221"/>
      <c r="Q11" s="221">
        <f t="shared" si="8"/>
        <v>86.709081704091702</v>
      </c>
      <c r="R11" s="221">
        <f t="shared" si="9"/>
        <v>492.57351349352666</v>
      </c>
      <c r="S11" s="221">
        <f t="shared" si="10"/>
        <v>646.49056404377598</v>
      </c>
      <c r="T11" s="221">
        <f t="shared" si="11"/>
        <v>264.4588220574164</v>
      </c>
      <c r="U11" s="221">
        <f t="shared" si="17"/>
        <v>221.25846514742284</v>
      </c>
      <c r="V11" s="221">
        <f t="shared" si="12"/>
        <v>210.90018955504502</v>
      </c>
      <c r="W11" s="221">
        <f t="shared" si="13"/>
        <v>716.36564458929399</v>
      </c>
      <c r="X11" s="221">
        <f t="shared" si="14"/>
        <v>542.07828047854684</v>
      </c>
      <c r="Y11" s="221">
        <f t="shared" si="15"/>
        <v>32.45977727416448</v>
      </c>
      <c r="Z11" s="221"/>
      <c r="AA11" s="226">
        <f t="shared" si="2"/>
        <v>0.10657992037133214</v>
      </c>
      <c r="AB11" s="261">
        <f t="shared" si="16"/>
        <v>708.298176811762</v>
      </c>
    </row>
    <row r="12" spans="2:29" ht="15.75" thickBot="1" x14ac:dyDescent="0.3">
      <c r="B12" s="273">
        <v>222</v>
      </c>
      <c r="C12" s="159" t="s">
        <v>29</v>
      </c>
      <c r="D12" s="118"/>
      <c r="H12" s="213">
        <v>2480.65</v>
      </c>
      <c r="J12" s="118">
        <f t="shared" si="1"/>
        <v>1.5135957895964872E-2</v>
      </c>
      <c r="K12" s="221">
        <f t="shared" si="3"/>
        <v>133.13845876574933</v>
      </c>
      <c r="L12" s="221">
        <f t="shared" si="4"/>
        <v>31.137087145263095</v>
      </c>
      <c r="M12" s="221">
        <f t="shared" si="5"/>
        <v>63.426172045988082</v>
      </c>
      <c r="N12" s="221">
        <f t="shared" si="6"/>
        <v>11.628048293996054</v>
      </c>
      <c r="O12" s="221">
        <f t="shared" si="7"/>
        <v>18.430753210758507</v>
      </c>
      <c r="P12" s="221"/>
      <c r="Q12" s="221">
        <f t="shared" si="8"/>
        <v>7.277822635116789</v>
      </c>
      <c r="R12" s="221">
        <f t="shared" si="9"/>
        <v>41.343566273670127</v>
      </c>
      <c r="S12" s="221">
        <f t="shared" si="10"/>
        <v>54.262409057034063</v>
      </c>
      <c r="T12" s="221">
        <f t="shared" si="11"/>
        <v>22.197033614011445</v>
      </c>
      <c r="U12" s="221">
        <f t="shared" si="17"/>
        <v>18.571063540454102</v>
      </c>
      <c r="V12" s="221">
        <f t="shared" si="12"/>
        <v>17.701654118909879</v>
      </c>
      <c r="W12" s="221">
        <f t="shared" si="13"/>
        <v>60.127290022562534</v>
      </c>
      <c r="X12" s="221">
        <f t="shared" si="14"/>
        <v>45.498689435270407</v>
      </c>
      <c r="Y12" s="221">
        <f t="shared" si="15"/>
        <v>2.7244724212736768</v>
      </c>
      <c r="Z12" s="221"/>
      <c r="AA12" s="226">
        <f t="shared" si="2"/>
        <v>8.9456576137493925E-3</v>
      </c>
      <c r="AB12" s="261">
        <f t="shared" si="16"/>
        <v>59.450156803694334</v>
      </c>
    </row>
    <row r="13" spans="2:29" ht="15.75" thickBot="1" x14ac:dyDescent="0.3">
      <c r="B13" s="273">
        <v>223</v>
      </c>
      <c r="C13" s="159" t="s">
        <v>30</v>
      </c>
      <c r="D13" s="118"/>
      <c r="H13" s="215">
        <v>14246.17</v>
      </c>
      <c r="I13" s="115"/>
      <c r="J13" s="115">
        <f t="shared" si="1"/>
        <v>8.692456787485453E-2</v>
      </c>
      <c r="K13" s="225">
        <f t="shared" si="3"/>
        <v>764.60327620375915</v>
      </c>
      <c r="L13" s="225">
        <f t="shared" si="4"/>
        <v>178.81774404943573</v>
      </c>
      <c r="M13" s="225">
        <f t="shared" si="5"/>
        <v>364.25131695982668</v>
      </c>
      <c r="N13" s="225">
        <f t="shared" si="6"/>
        <v>66.778930024178251</v>
      </c>
      <c r="O13" s="225">
        <f t="shared" si="7"/>
        <v>105.84630780985287</v>
      </c>
      <c r="P13" s="225"/>
      <c r="Q13" s="225">
        <f t="shared" si="8"/>
        <v>41.7959399712663</v>
      </c>
      <c r="R13" s="225">
        <f t="shared" si="9"/>
        <v>237.43271865880766</v>
      </c>
      <c r="S13" s="225">
        <f t="shared" si="10"/>
        <v>311.62457583135347</v>
      </c>
      <c r="T13" s="225">
        <f t="shared" si="11"/>
        <v>127.47574803415291</v>
      </c>
      <c r="U13" s="225">
        <f t="shared" si="17"/>
        <v>106.65209855405277</v>
      </c>
      <c r="V13" s="225">
        <f t="shared" si="12"/>
        <v>101.65915137532112</v>
      </c>
      <c r="W13" s="225">
        <f t="shared" si="13"/>
        <v>345.30610739150211</v>
      </c>
      <c r="X13" s="225">
        <f t="shared" si="14"/>
        <v>261.29525103181271</v>
      </c>
      <c r="Y13" s="225">
        <f t="shared" si="15"/>
        <v>15.646422217473816</v>
      </c>
      <c r="Z13" s="225"/>
      <c r="AA13" s="215">
        <f t="shared" si="2"/>
        <v>5.1374179802579238E-2</v>
      </c>
      <c r="AB13" s="268">
        <f t="shared" si="16"/>
        <v>341.41738671400083</v>
      </c>
    </row>
    <row r="14" spans="2:29" ht="15.75" thickBot="1" x14ac:dyDescent="0.3">
      <c r="B14" s="273">
        <v>225</v>
      </c>
      <c r="C14" s="159" t="s">
        <v>59</v>
      </c>
      <c r="D14" s="118"/>
      <c r="H14" s="214">
        <v>10563.19</v>
      </c>
      <c r="J14" s="118">
        <f t="shared" si="1"/>
        <v>6.4452461688298296E-2</v>
      </c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6">
        <f t="shared" si="2"/>
        <v>3.8092709994953518E-2</v>
      </c>
      <c r="AB14" s="268">
        <f t="shared" si="16"/>
        <v>253.15272281346259</v>
      </c>
    </row>
    <row r="15" spans="2:29" ht="15.75" thickBot="1" x14ac:dyDescent="0.3">
      <c r="B15" s="273">
        <v>566</v>
      </c>
      <c r="C15" s="159" t="s">
        <v>31</v>
      </c>
      <c r="D15" s="118"/>
      <c r="H15" s="214"/>
      <c r="J15" s="118"/>
      <c r="K15" s="221">
        <f>$J$14*K3</f>
        <v>566.9348099287588</v>
      </c>
      <c r="L15" s="221">
        <f t="shared" ref="L15:Z15" si="18">$J$14*L3</f>
        <v>132.5890260866997</v>
      </c>
      <c r="M15" s="221">
        <f t="shared" si="18"/>
        <v>270.08352903249585</v>
      </c>
      <c r="N15" s="221">
        <f t="shared" si="18"/>
        <v>49.514959167418283</v>
      </c>
      <c r="O15" s="221">
        <f t="shared" si="18"/>
        <v>78.482473548607075</v>
      </c>
      <c r="P15" s="221">
        <f t="shared" si="18"/>
        <v>0</v>
      </c>
      <c r="Q15" s="221">
        <f t="shared" si="18"/>
        <v>30.990677153584468</v>
      </c>
      <c r="R15" s="221">
        <f t="shared" si="18"/>
        <v>176.05061005235302</v>
      </c>
      <c r="S15" s="221">
        <f t="shared" si="18"/>
        <v>231.0620751525494</v>
      </c>
      <c r="T15" s="221">
        <f t="shared" si="18"/>
        <v>94.520179590506331</v>
      </c>
      <c r="U15" s="221">
        <f t="shared" si="18"/>
        <v>79.079947868457594</v>
      </c>
      <c r="V15" s="221">
        <f t="shared" si="18"/>
        <v>75.377798469081739</v>
      </c>
      <c r="W15" s="221">
        <f t="shared" si="18"/>
        <v>256.03611500753124</v>
      </c>
      <c r="X15" s="221">
        <f t="shared" si="18"/>
        <v>193.74409983502468</v>
      </c>
      <c r="Y15" s="221">
        <f t="shared" si="18"/>
        <v>11.601443103893693</v>
      </c>
      <c r="Z15" s="221">
        <f t="shared" si="18"/>
        <v>0</v>
      </c>
      <c r="AA15" s="226">
        <f t="shared" si="2"/>
        <v>0</v>
      </c>
      <c r="AB15" s="268">
        <f t="shared" ref="AB15" si="19">AA15*$AB$3</f>
        <v>0</v>
      </c>
    </row>
    <row r="16" spans="2:29" x14ac:dyDescent="0.25">
      <c r="B16" s="273" t="s">
        <v>72</v>
      </c>
      <c r="C16" s="159" t="s">
        <v>73</v>
      </c>
      <c r="D16" s="118"/>
      <c r="H16" s="118">
        <v>2007.69</v>
      </c>
      <c r="J16" s="118">
        <f t="shared" ref="J16:J21" si="20">H16/$F$35</f>
        <v>1.2250140611593621E-2</v>
      </c>
      <c r="K16" s="221">
        <f>J16*$K$3</f>
        <v>107.75431934348146</v>
      </c>
      <c r="L16" s="221">
        <f>J16*$L$3</f>
        <v>25.200499260545932</v>
      </c>
      <c r="M16" s="221">
        <f>J16*$M$3</f>
        <v>51.333356723040261</v>
      </c>
      <c r="N16" s="221">
        <f>J16*$N$3</f>
        <v>9.4110480234506841</v>
      </c>
      <c r="O16" s="221">
        <f>J16*$O$3</f>
        <v>14.91675121992532</v>
      </c>
      <c r="P16" s="221"/>
      <c r="Q16" s="221">
        <f>J16*$Q$3</f>
        <v>5.8902351102725605</v>
      </c>
      <c r="R16" s="221">
        <f>J16*$R$3</f>
        <v>33.461014077755742</v>
      </c>
      <c r="S16" s="221">
        <f>J16*$S$3</f>
        <v>43.916754092563131</v>
      </c>
      <c r="T16" s="221">
        <f>J16*$T$3</f>
        <v>17.964953708308162</v>
      </c>
      <c r="U16" s="221">
        <f>J16*$U$3</f>
        <v>15.030310023394794</v>
      </c>
      <c r="V16" s="221">
        <f t="shared" ref="V16:V33" si="21">J16*$V$3</f>
        <v>14.326661946664855</v>
      </c>
      <c r="W16" s="221">
        <f t="shared" ref="W16:W35" si="22">J16*$W$3</f>
        <v>48.663438576743424</v>
      </c>
      <c r="X16" s="221">
        <f t="shared" ref="X16:X33" si="23">J16*$X$3</f>
        <v>36.823922678450423</v>
      </c>
      <c r="Y16" s="221">
        <f t="shared" ref="Y16:Y33" si="24">J16*$Y$3</f>
        <v>2.2050253100868518</v>
      </c>
      <c r="Z16" s="221"/>
      <c r="AA16" s="226">
        <f t="shared" si="2"/>
        <v>7.2400811620133903E-3</v>
      </c>
      <c r="AB16" s="261">
        <f>AA16*$AB$3</f>
        <v>48.115407378392383</v>
      </c>
    </row>
    <row r="17" spans="2:28" x14ac:dyDescent="0.25">
      <c r="B17" s="273" t="s">
        <v>33</v>
      </c>
      <c r="C17" s="159" t="s">
        <v>34</v>
      </c>
      <c r="D17" s="118"/>
      <c r="H17" s="118">
        <v>3538.46</v>
      </c>
      <c r="J17" s="118">
        <f t="shared" si="20"/>
        <v>2.1590301564733381E-2</v>
      </c>
      <c r="K17" s="221">
        <f t="shared" si="3"/>
        <v>189.91196291466082</v>
      </c>
      <c r="L17" s="221">
        <f t="shared" si="4"/>
        <v>44.414704766906915</v>
      </c>
      <c r="M17" s="221">
        <f t="shared" si="5"/>
        <v>90.472647385905702</v>
      </c>
      <c r="N17" s="221">
        <f t="shared" si="6"/>
        <v>16.586533274090772</v>
      </c>
      <c r="O17" s="221">
        <f t="shared" si="7"/>
        <v>26.290078409344545</v>
      </c>
      <c r="P17" s="221"/>
      <c r="Q17" s="221">
        <f t="shared" si="8"/>
        <v>10.381264701370752</v>
      </c>
      <c r="R17" s="221">
        <f t="shared" si="9"/>
        <v>58.973476918037939</v>
      </c>
      <c r="S17" s="221">
        <f t="shared" si="10"/>
        <v>77.401231109569167</v>
      </c>
      <c r="T17" s="221">
        <f t="shared" si="11"/>
        <v>31.662393147697149</v>
      </c>
      <c r="U17" s="221">
        <f t="shared" si="17"/>
        <v>26.490220504849624</v>
      </c>
      <c r="V17" s="221">
        <f t="shared" si="21"/>
        <v>25.250073582971336</v>
      </c>
      <c r="W17" s="221">
        <f t="shared" si="22"/>
        <v>85.767041159872065</v>
      </c>
      <c r="X17" s="221">
        <f t="shared" si="23"/>
        <v>64.90044650358854</v>
      </c>
      <c r="Y17" s="221">
        <f t="shared" si="24"/>
        <v>3.8862542816520085</v>
      </c>
      <c r="Z17" s="221"/>
      <c r="AA17" s="226">
        <f t="shared" si="2"/>
        <v>1.2760305419929324E-2</v>
      </c>
      <c r="AB17" s="261">
        <f t="shared" si="16"/>
        <v>84.801161729224305</v>
      </c>
    </row>
    <row r="18" spans="2:28" x14ac:dyDescent="0.25">
      <c r="B18" s="273" t="s">
        <v>35</v>
      </c>
      <c r="C18" s="159" t="s">
        <v>36</v>
      </c>
      <c r="D18" s="118"/>
      <c r="E18" s="339"/>
      <c r="F18" s="339"/>
      <c r="H18" s="118">
        <v>1330</v>
      </c>
      <c r="I18" s="318"/>
      <c r="J18" s="118">
        <f t="shared" si="20"/>
        <v>8.1151407903707826E-3</v>
      </c>
      <c r="K18" s="221">
        <f t="shared" si="3"/>
        <v>71.382157966035763</v>
      </c>
      <c r="L18" s="221">
        <f t="shared" si="4"/>
        <v>16.694143028319157</v>
      </c>
      <c r="M18" s="221">
        <f t="shared" si="5"/>
        <v>34.005929422193439</v>
      </c>
      <c r="N18" s="221">
        <f t="shared" si="6"/>
        <v>6.2343757607944497</v>
      </c>
      <c r="O18" s="221">
        <f t="shared" si="7"/>
        <v>9.8816446376186953</v>
      </c>
      <c r="P18" s="221"/>
      <c r="Q18" s="221">
        <f t="shared" si="8"/>
        <v>3.9020031462339833</v>
      </c>
      <c r="R18" s="221">
        <f t="shared" si="9"/>
        <v>22.166344766081984</v>
      </c>
      <c r="S18" s="221">
        <f t="shared" si="10"/>
        <v>29.092779733479254</v>
      </c>
      <c r="T18" s="221">
        <f t="shared" si="11"/>
        <v>11.900935120486656</v>
      </c>
      <c r="U18" s="221">
        <f t="shared" si="17"/>
        <v>9.9568719927454321</v>
      </c>
      <c r="V18" s="221">
        <f t="shared" si="21"/>
        <v>9.4907383057465342</v>
      </c>
      <c r="W18" s="221">
        <f t="shared" si="22"/>
        <v>32.237234486932124</v>
      </c>
      <c r="X18" s="221">
        <f t="shared" si="23"/>
        <v>24.394113215854574</v>
      </c>
      <c r="Y18" s="221">
        <f t="shared" si="24"/>
        <v>1.4607253422667408</v>
      </c>
      <c r="Z18" s="221"/>
      <c r="AA18" s="226">
        <f t="shared" si="2"/>
        <v>4.7962125355397543E-3</v>
      </c>
      <c r="AB18" s="261">
        <f t="shared" si="16"/>
        <v>31.874189647436545</v>
      </c>
    </row>
    <row r="19" spans="2:28" x14ac:dyDescent="0.25">
      <c r="B19" s="273" t="s">
        <v>37</v>
      </c>
      <c r="C19" s="159" t="s">
        <v>38</v>
      </c>
      <c r="D19" s="118"/>
      <c r="H19" s="118">
        <v>2000</v>
      </c>
      <c r="J19" s="118">
        <f t="shared" si="20"/>
        <v>1.2203219233640273E-2</v>
      </c>
      <c r="K19" s="221">
        <f t="shared" si="3"/>
        <v>107.34159092636956</v>
      </c>
      <c r="L19" s="221">
        <f t="shared" si="4"/>
        <v>25.103974478675422</v>
      </c>
      <c r="M19" s="221">
        <f t="shared" si="5"/>
        <v>51.136735973223217</v>
      </c>
      <c r="N19" s="221">
        <f t="shared" si="6"/>
        <v>9.3750011440518044</v>
      </c>
      <c r="O19" s="221">
        <f t="shared" si="7"/>
        <v>14.859615996419089</v>
      </c>
      <c r="P19" s="221"/>
      <c r="Q19" s="221">
        <f t="shared" si="8"/>
        <v>5.8676739041112524</v>
      </c>
      <c r="R19" s="221">
        <f t="shared" si="9"/>
        <v>33.332849272303733</v>
      </c>
      <c r="S19" s="221">
        <f t="shared" si="10"/>
        <v>43.748540952600379</v>
      </c>
      <c r="T19" s="221">
        <f t="shared" si="11"/>
        <v>17.896143038325796</v>
      </c>
      <c r="U19" s="221">
        <f t="shared" si="17"/>
        <v>14.972739838714935</v>
      </c>
      <c r="V19" s="221">
        <f t="shared" si="21"/>
        <v>14.271786925934636</v>
      </c>
      <c r="W19" s="221">
        <f t="shared" si="22"/>
        <v>48.477044341251315</v>
      </c>
      <c r="X19" s="221">
        <f t="shared" si="23"/>
        <v>36.682877016322664</v>
      </c>
      <c r="Y19" s="221">
        <f t="shared" si="24"/>
        <v>2.196579462055249</v>
      </c>
      <c r="Z19" s="221"/>
      <c r="AA19" s="226">
        <f t="shared" si="2"/>
        <v>7.21234967750339E-3</v>
      </c>
      <c r="AB19" s="261">
        <f t="shared" si="16"/>
        <v>47.931112251784278</v>
      </c>
    </row>
    <row r="20" spans="2:28" x14ac:dyDescent="0.25">
      <c r="B20" s="273">
        <v>339</v>
      </c>
      <c r="C20" s="159" t="s">
        <v>58</v>
      </c>
      <c r="D20" s="118"/>
      <c r="H20" s="319">
        <f>2769.23+2769.23</f>
        <v>5538.46</v>
      </c>
      <c r="J20" s="118">
        <f t="shared" si="20"/>
        <v>3.3793520798373652E-2</v>
      </c>
      <c r="K20" s="221">
        <f t="shared" si="3"/>
        <v>297.2535538410304</v>
      </c>
      <c r="L20" s="221">
        <f t="shared" si="4"/>
        <v>69.518679245582334</v>
      </c>
      <c r="M20" s="221">
        <f t="shared" si="5"/>
        <v>141.60938335912891</v>
      </c>
      <c r="N20" s="221">
        <f t="shared" si="6"/>
        <v>25.961534418142573</v>
      </c>
      <c r="O20" s="221">
        <f t="shared" si="7"/>
        <v>41.149694405763633</v>
      </c>
      <c r="P20" s="221"/>
      <c r="Q20" s="221">
        <f t="shared" si="8"/>
        <v>16.248938605482003</v>
      </c>
      <c r="R20" s="221">
        <f t="shared" si="9"/>
        <v>92.306326190341665</v>
      </c>
      <c r="S20" s="221">
        <f t="shared" si="10"/>
        <v>121.14977206216955</v>
      </c>
      <c r="T20" s="221">
        <f t="shared" si="11"/>
        <v>49.558536186022941</v>
      </c>
      <c r="U20" s="221">
        <f t="shared" si="17"/>
        <v>41.462960343564554</v>
      </c>
      <c r="V20" s="221">
        <f t="shared" si="21"/>
        <v>39.521860508905966</v>
      </c>
      <c r="W20" s="221">
        <f t="shared" si="22"/>
        <v>134.24408550112338</v>
      </c>
      <c r="X20" s="221">
        <f t="shared" si="23"/>
        <v>101.5833235199112</v>
      </c>
      <c r="Y20" s="221">
        <f t="shared" si="24"/>
        <v>6.0828337437072575</v>
      </c>
      <c r="Z20" s="221"/>
      <c r="AA20" s="226">
        <f t="shared" si="2"/>
        <v>1.9972655097432714E-2</v>
      </c>
      <c r="AB20" s="261">
        <f t="shared" si="16"/>
        <v>132.73227398100857</v>
      </c>
    </row>
    <row r="21" spans="2:28" ht="15.75" thickBot="1" x14ac:dyDescent="0.3">
      <c r="B21" s="273">
        <v>368</v>
      </c>
      <c r="C21" s="159" t="s">
        <v>40</v>
      </c>
      <c r="D21" s="118"/>
      <c r="H21" s="214">
        <v>4903.5</v>
      </c>
      <c r="J21" s="118">
        <f t="shared" si="20"/>
        <v>2.991924275607754E-2</v>
      </c>
      <c r="K21" s="221">
        <f>J21*$K$3</f>
        <v>263.17474555372655</v>
      </c>
      <c r="L21" s="221">
        <f>J21*$L$3</f>
        <v>61.548669428092467</v>
      </c>
      <c r="M21" s="221">
        <f>J21*$M$3</f>
        <v>125.37449242235002</v>
      </c>
      <c r="N21" s="221">
        <f>J21*$N$3</f>
        <v>22.98515905492901</v>
      </c>
      <c r="O21" s="221">
        <f>J21*$O$3</f>
        <v>36.432063519220499</v>
      </c>
      <c r="P21" s="221"/>
      <c r="Q21" s="221">
        <f>J21*$Q$3</f>
        <v>14.386069494404763</v>
      </c>
      <c r="R21" s="221">
        <f>J21*$R$3</f>
        <v>81.723813203370682</v>
      </c>
      <c r="S21" s="221">
        <f>J21*$S$3</f>
        <v>107.26048528053798</v>
      </c>
      <c r="T21" s="221">
        <f>J21*$T$3</f>
        <v>43.876868694215275</v>
      </c>
      <c r="U21" s="221">
        <f>J21*$U$3</f>
        <v>36.709414899569339</v>
      </c>
      <c r="V21" s="221">
        <f>J21*$V$3</f>
        <v>34.990853595660241</v>
      </c>
      <c r="W21" s="221">
        <f>J21*$W$3</f>
        <v>118.8535934636629</v>
      </c>
      <c r="X21" s="221">
        <f>J21*$X$3</f>
        <v>89.93724372476909</v>
      </c>
      <c r="Y21" s="221">
        <f>J21*$Y$3</f>
        <v>5.3854636960939573</v>
      </c>
      <c r="Z21" s="221"/>
      <c r="AA21" s="226">
        <f t="shared" si="2"/>
        <v>1.7682878321818935E-2</v>
      </c>
      <c r="AB21" s="261">
        <f>AA21*$AB$3</f>
        <v>117.5151044633121</v>
      </c>
    </row>
    <row r="22" spans="2:28" ht="15.75" thickBot="1" x14ac:dyDescent="0.3">
      <c r="B22" s="273">
        <v>451</v>
      </c>
      <c r="C22" s="159" t="s">
        <v>41</v>
      </c>
      <c r="D22" s="118"/>
      <c r="H22" s="213">
        <v>15982.38</v>
      </c>
      <c r="J22" s="118">
        <f t="shared" ref="J22:J33" si="25">H22/$F$35</f>
        <v>9.751824350767381E-2</v>
      </c>
      <c r="K22" s="221">
        <f t="shared" si="3"/>
        <v>857.78704799489515</v>
      </c>
      <c r="L22" s="221">
        <f t="shared" si="4"/>
        <v>200.61062981424624</v>
      </c>
      <c r="M22" s="221">
        <f t="shared" si="5"/>
        <v>408.64337314186162</v>
      </c>
      <c r="N22" s="221">
        <f t="shared" si="6"/>
        <v>74.917415392335329</v>
      </c>
      <c r="O22" s="221">
        <f t="shared" si="7"/>
        <v>118.74601475442425</v>
      </c>
      <c r="P22" s="221"/>
      <c r="Q22" s="221">
        <f t="shared" si="8"/>
        <v>46.889697025794796</v>
      </c>
      <c r="R22" s="221">
        <f t="shared" si="9"/>
        <v>266.36913177634085</v>
      </c>
      <c r="S22" s="221">
        <f t="shared" si="10"/>
        <v>349.60290297501064</v>
      </c>
      <c r="T22" s="221">
        <f t="shared" si="11"/>
        <v>143.01147928643871</v>
      </c>
      <c r="U22" s="221">
        <f t="shared" si="17"/>
        <v>119.65000887174038</v>
      </c>
      <c r="V22" s="221">
        <f t="shared" si="21"/>
        <v>114.0485609646596</v>
      </c>
      <c r="W22" s="221">
        <f t="shared" si="22"/>
        <v>387.38927196936407</v>
      </c>
      <c r="X22" s="221">
        <f t="shared" si="23"/>
        <v>293.13983998406746</v>
      </c>
      <c r="Y22" s="221">
        <f t="shared" si="24"/>
        <v>17.553283831381286</v>
      </c>
      <c r="Z22" s="221"/>
      <c r="AA22" s="226">
        <f t="shared" ref="AA22:AA33" si="26">H22/$H$37</f>
        <v>5.7635256619368309E-2</v>
      </c>
      <c r="AB22" s="261">
        <f t="shared" si="16"/>
        <v>383.02662491533596</v>
      </c>
    </row>
    <row r="23" spans="2:28" x14ac:dyDescent="0.25">
      <c r="B23" s="273">
        <v>467</v>
      </c>
      <c r="C23" s="159" t="s">
        <v>44</v>
      </c>
      <c r="D23" s="118"/>
      <c r="H23" s="214">
        <v>3615.39</v>
      </c>
      <c r="J23" s="118">
        <f t="shared" si="25"/>
        <v>2.2059698392555352E-2</v>
      </c>
      <c r="K23" s="221">
        <f>J23*$K$3</f>
        <v>194.0408572096436</v>
      </c>
      <c r="L23" s="221">
        <f>J23*$L$3</f>
        <v>45.380329145229162</v>
      </c>
      <c r="M23" s="221">
        <f>J23*$M$3</f>
        <v>92.439621935115724</v>
      </c>
      <c r="N23" s="221">
        <f>J23*$N$3</f>
        <v>16.947142693096723</v>
      </c>
      <c r="O23" s="221">
        <f>J23*$O$3</f>
        <v>26.861653538646802</v>
      </c>
      <c r="P23" s="221"/>
      <c r="Q23" s="221">
        <f>J23*$Q$3</f>
        <v>10.60696477809239</v>
      </c>
      <c r="R23" s="221">
        <f>J23*$R$3</f>
        <v>60.255624965297095</v>
      </c>
      <c r="S23" s="221">
        <f>J23*$S$3</f>
        <v>79.084018737310942</v>
      </c>
      <c r="T23" s="221">
        <f>J23*$T$3</f>
        <v>32.350768289666348</v>
      </c>
      <c r="U23" s="221">
        <f>J23*$U$3</f>
        <v>27.066146942745789</v>
      </c>
      <c r="V23" s="221">
        <f>J23*$V$3</f>
        <v>25.799037867077409</v>
      </c>
      <c r="W23" s="221">
        <f>J23*$W$3</f>
        <v>87.63171067045829</v>
      </c>
      <c r="X23" s="221">
        <f>J23*$X$3</f>
        <v>66.31145336802139</v>
      </c>
      <c r="Y23" s="221">
        <f>J23*$Y$3</f>
        <v>3.9707457106599633</v>
      </c>
      <c r="Z23" s="221"/>
      <c r="AA23" s="226">
        <f t="shared" si="26"/>
        <v>1.303772845027449E-2</v>
      </c>
      <c r="AB23" s="261">
        <f>AA23*$AB$3</f>
        <v>86.644831961989169</v>
      </c>
    </row>
    <row r="24" spans="2:28" x14ac:dyDescent="0.25">
      <c r="B24" s="273">
        <v>468</v>
      </c>
      <c r="C24" s="159" t="s">
        <v>45</v>
      </c>
      <c r="D24" s="118"/>
      <c r="H24" s="214">
        <v>3153.85</v>
      </c>
      <c r="J24" s="118">
        <f t="shared" si="25"/>
        <v>1.9243561490008186E-2</v>
      </c>
      <c r="K24" s="221">
        <f>J24*$K$3</f>
        <v>169.2696382715653</v>
      </c>
      <c r="L24" s="221">
        <f>J24*$L$3</f>
        <v>39.58708495478524</v>
      </c>
      <c r="M24" s="221">
        <f>J24*$M$3</f>
        <v>80.638797374575006</v>
      </c>
      <c r="N24" s="221">
        <f>J24*$N$3</f>
        <v>14.78367367908389</v>
      </c>
      <c r="O24" s="221">
        <f>J24*$O$3</f>
        <v>23.432499955153169</v>
      </c>
      <c r="P24" s="221"/>
      <c r="Q24" s="221">
        <f>J24*$Q$3</f>
        <v>9.252881671240635</v>
      </c>
      <c r="R24" s="221">
        <f>J24*$R$3</f>
        <v>52.563403338727561</v>
      </c>
      <c r="S24" s="221">
        <f>J24*$S$3</f>
        <v>68.98816794167935</v>
      </c>
      <c r="T24" s="221">
        <f>J24*$T$3</f>
        <v>28.220875360711904</v>
      </c>
      <c r="U24" s="221">
        <f>J24*$U$3</f>
        <v>23.610887770165544</v>
      </c>
      <c r="V24" s="221">
        <f>J24*$V$3</f>
        <v>22.505537598179473</v>
      </c>
      <c r="W24" s="221">
        <f>J24*$W$3</f>
        <v>76.444663147827725</v>
      </c>
      <c r="X24" s="221">
        <f>J24*$X$3</f>
        <v>57.84614583896461</v>
      </c>
      <c r="Y24" s="221">
        <f>J24*$Y$3</f>
        <v>3.4638410682014733</v>
      </c>
      <c r="Z24" s="221"/>
      <c r="AA24" s="226">
        <f t="shared" si="26"/>
        <v>1.1373334515197033E-2</v>
      </c>
      <c r="AB24" s="261">
        <f>AA24*$AB$3</f>
        <v>75.583769187644918</v>
      </c>
    </row>
    <row r="25" spans="2:28" x14ac:dyDescent="0.25">
      <c r="B25" s="273">
        <v>552</v>
      </c>
      <c r="C25" s="159" t="s">
        <v>46</v>
      </c>
      <c r="D25" s="118"/>
      <c r="H25" s="214">
        <v>665</v>
      </c>
      <c r="J25" s="118">
        <f t="shared" si="25"/>
        <v>4.0575703951853913E-3</v>
      </c>
      <c r="K25" s="221">
        <f t="shared" si="3"/>
        <v>35.691078983017881</v>
      </c>
      <c r="L25" s="221">
        <f t="shared" si="4"/>
        <v>8.3470715141595786</v>
      </c>
      <c r="M25" s="221">
        <f t="shared" si="5"/>
        <v>17.00296471109672</v>
      </c>
      <c r="N25" s="221">
        <f t="shared" si="6"/>
        <v>3.1171878803972248</v>
      </c>
      <c r="O25" s="221">
        <f t="shared" si="7"/>
        <v>4.9408223188093476</v>
      </c>
      <c r="P25" s="221"/>
      <c r="Q25" s="221">
        <f t="shared" si="8"/>
        <v>1.9510015731169916</v>
      </c>
      <c r="R25" s="221">
        <f t="shared" si="9"/>
        <v>11.083172383040992</v>
      </c>
      <c r="S25" s="221">
        <f t="shared" si="10"/>
        <v>14.546389866739627</v>
      </c>
      <c r="T25" s="221">
        <f t="shared" si="11"/>
        <v>5.9504675602433279</v>
      </c>
      <c r="U25" s="221">
        <f t="shared" si="17"/>
        <v>4.9784359963727161</v>
      </c>
      <c r="V25" s="221">
        <f t="shared" si="21"/>
        <v>4.7453691528732671</v>
      </c>
      <c r="W25" s="221">
        <f t="shared" si="22"/>
        <v>16.118617243466062</v>
      </c>
      <c r="X25" s="221">
        <f t="shared" si="23"/>
        <v>12.197056607927287</v>
      </c>
      <c r="Y25" s="221">
        <f t="shared" si="24"/>
        <v>0.73036267113337039</v>
      </c>
      <c r="Z25" s="221"/>
      <c r="AA25" s="226">
        <f t="shared" si="26"/>
        <v>2.3981062677698771E-3</v>
      </c>
      <c r="AB25" s="261">
        <f t="shared" si="16"/>
        <v>15.937094823718272</v>
      </c>
    </row>
    <row r="26" spans="2:28" x14ac:dyDescent="0.25">
      <c r="B26" s="273">
        <v>560</v>
      </c>
      <c r="C26" s="159" t="s">
        <v>49</v>
      </c>
      <c r="D26" s="118"/>
      <c r="H26" s="214">
        <v>2000</v>
      </c>
      <c r="J26" s="118">
        <f t="shared" si="25"/>
        <v>1.2203219233640273E-2</v>
      </c>
      <c r="K26" s="221">
        <f>J26*$K$3</f>
        <v>107.34159092636956</v>
      </c>
      <c r="L26" s="221">
        <f>J26*$L$3</f>
        <v>25.103974478675422</v>
      </c>
      <c r="M26" s="221">
        <f>J26*$M$3</f>
        <v>51.136735973223217</v>
      </c>
      <c r="N26" s="221">
        <f>J26*$N$3</f>
        <v>9.3750011440518044</v>
      </c>
      <c r="O26" s="221">
        <f>J26*$O$3</f>
        <v>14.859615996419089</v>
      </c>
      <c r="P26" s="221"/>
      <c r="Q26" s="221">
        <f>J26*$Q$3</f>
        <v>5.8676739041112524</v>
      </c>
      <c r="R26" s="221">
        <f>J26*$R$3</f>
        <v>33.332849272303733</v>
      </c>
      <c r="S26" s="221">
        <f>J26*$S$3</f>
        <v>43.748540952600379</v>
      </c>
      <c r="T26" s="221">
        <f>J26*$T$3</f>
        <v>17.896143038325796</v>
      </c>
      <c r="U26" s="221">
        <f>J26*$U$3</f>
        <v>14.972739838714935</v>
      </c>
      <c r="V26" s="221">
        <f t="shared" si="21"/>
        <v>14.271786925934636</v>
      </c>
      <c r="W26" s="221">
        <f t="shared" si="22"/>
        <v>48.477044341251315</v>
      </c>
      <c r="X26" s="221">
        <f t="shared" si="23"/>
        <v>36.682877016322664</v>
      </c>
      <c r="Y26" s="221">
        <f t="shared" si="24"/>
        <v>2.196579462055249</v>
      </c>
      <c r="Z26" s="221"/>
      <c r="AA26" s="226">
        <f t="shared" si="26"/>
        <v>7.21234967750339E-3</v>
      </c>
      <c r="AB26" s="261">
        <f>AA26*$AB$3</f>
        <v>47.931112251784278</v>
      </c>
    </row>
    <row r="27" spans="2:28" x14ac:dyDescent="0.25">
      <c r="B27" s="273">
        <v>567</v>
      </c>
      <c r="C27" s="159" t="s">
        <v>52</v>
      </c>
      <c r="D27" s="118"/>
      <c r="H27" s="214">
        <v>461.54</v>
      </c>
      <c r="J27" s="118">
        <f t="shared" si="25"/>
        <v>2.8161369025471658E-3</v>
      </c>
      <c r="K27" s="221">
        <f>J27*$K$3</f>
        <v>24.771218938078302</v>
      </c>
      <c r="L27" s="221">
        <f>J27*$L$3</f>
        <v>5.7932441904439269</v>
      </c>
      <c r="M27" s="221">
        <f>J27*$M$3</f>
        <v>11.80082456054072</v>
      </c>
      <c r="N27" s="221">
        <f>J27*$N$3</f>
        <v>2.1634690140128345</v>
      </c>
      <c r="O27" s="221">
        <f>J27*$O$3</f>
        <v>3.4291535834936329</v>
      </c>
      <c r="P27" s="221"/>
      <c r="Q27" s="221">
        <f>J27*$Q$3</f>
        <v>1.3540831068517536</v>
      </c>
      <c r="R27" s="221">
        <f>J27*$R$3</f>
        <v>7.6922216265695322</v>
      </c>
      <c r="S27" s="221">
        <f>J27*$S$3</f>
        <v>10.095850795631589</v>
      </c>
      <c r="T27" s="221">
        <f>J27*$T$3</f>
        <v>4.1298929289544439</v>
      </c>
      <c r="U27" s="221">
        <f>J27*$U$3</f>
        <v>3.4552591725802451</v>
      </c>
      <c r="V27" s="221">
        <f>J27*$V$3</f>
        <v>3.2935002688979358</v>
      </c>
      <c r="W27" s="221">
        <f>J27*$W$3</f>
        <v>11.187047522630566</v>
      </c>
      <c r="X27" s="221">
        <f>J27*$X$3</f>
        <v>8.4653075290567799</v>
      </c>
      <c r="Y27" s="221">
        <f>J27*$Y$3</f>
        <v>0.50690464245848987</v>
      </c>
      <c r="Z27" s="221"/>
      <c r="AA27" s="226">
        <f t="shared" si="26"/>
        <v>1.6643939350774574E-3</v>
      </c>
      <c r="AB27" s="261">
        <f>AA27*$AB$3</f>
        <v>11.061062774344258</v>
      </c>
    </row>
    <row r="28" spans="2:28" x14ac:dyDescent="0.25">
      <c r="B28" s="273">
        <v>569</v>
      </c>
      <c r="C28" s="159" t="s">
        <v>47</v>
      </c>
      <c r="D28" s="118"/>
      <c r="H28" s="214">
        <v>2449.62</v>
      </c>
      <c r="J28" s="118">
        <f t="shared" si="25"/>
        <v>1.4946624949554942E-2</v>
      </c>
      <c r="K28" s="221">
        <f>J28*$K$3</f>
        <v>131.47305398252669</v>
      </c>
      <c r="L28" s="221">
        <f>J28*$L$3</f>
        <v>30.747598981226442</v>
      </c>
      <c r="M28" s="221">
        <f>J28*$M$3</f>
        <v>62.632785587363522</v>
      </c>
      <c r="N28" s="221">
        <f>J28*$N$3</f>
        <v>11.482595151246089</v>
      </c>
      <c r="O28" s="221">
        <f>J28*$O$3</f>
        <v>18.200206268574064</v>
      </c>
      <c r="P28" s="221"/>
      <c r="Q28" s="221">
        <f>J28*$Q$3</f>
        <v>7.1867856744945025</v>
      </c>
      <c r="R28" s="221">
        <f>J28*$R$3</f>
        <v>40.82640711721033</v>
      </c>
      <c r="S28" s="221">
        <f>J28*$S$3</f>
        <v>53.583650444154465</v>
      </c>
      <c r="T28" s="221">
        <f>J28*$T$3</f>
        <v>21.919374954771818</v>
      </c>
      <c r="U28" s="221">
        <f>J28*$U$3</f>
        <v>18.338761481856437</v>
      </c>
      <c r="V28" s="221">
        <f>J28*$V$3</f>
        <v>17.480227344753999</v>
      </c>
      <c r="W28" s="221">
        <f>J28*$W$3</f>
        <v>59.375168679608016</v>
      </c>
      <c r="X28" s="221">
        <f>J28*$X$3</f>
        <v>44.929554598362152</v>
      </c>
      <c r="Y28" s="221">
        <f>J28*$Y$3</f>
        <v>2.6903924909198897</v>
      </c>
      <c r="Z28" s="221"/>
      <c r="AA28" s="226">
        <f t="shared" si="26"/>
        <v>8.8337580085029264E-3</v>
      </c>
      <c r="AB28" s="261">
        <f>AA28*$AB$3</f>
        <v>58.706505597107899</v>
      </c>
    </row>
    <row r="29" spans="2:28" x14ac:dyDescent="0.25">
      <c r="B29" s="273">
        <v>582</v>
      </c>
      <c r="C29" s="159" t="s">
        <v>48</v>
      </c>
      <c r="D29" s="118"/>
      <c r="H29" s="214">
        <v>692.31</v>
      </c>
      <c r="J29" s="118">
        <f t="shared" si="25"/>
        <v>4.2242053538207487E-3</v>
      </c>
      <c r="K29" s="221">
        <f t="shared" si="3"/>
        <v>37.156828407117459</v>
      </c>
      <c r="L29" s="221">
        <f t="shared" si="4"/>
        <v>8.6898662856658913</v>
      </c>
      <c r="M29" s="221">
        <f t="shared" si="5"/>
        <v>17.701236840811081</v>
      </c>
      <c r="N29" s="221">
        <f t="shared" si="6"/>
        <v>3.2452035210192522</v>
      </c>
      <c r="O29" s="221">
        <f t="shared" si="7"/>
        <v>5.14373037524045</v>
      </c>
      <c r="P29" s="221"/>
      <c r="Q29" s="221">
        <f t="shared" si="8"/>
        <v>2.0311246602776305</v>
      </c>
      <c r="R29" s="221">
        <f t="shared" si="9"/>
        <v>11.538332439854299</v>
      </c>
      <c r="S29" s="221">
        <f t="shared" si="10"/>
        <v>15.143776193447383</v>
      </c>
      <c r="T29" s="221">
        <f t="shared" si="11"/>
        <v>6.1948393934316659</v>
      </c>
      <c r="U29" s="221">
        <f t="shared" si="17"/>
        <v>5.1828887588703676</v>
      </c>
      <c r="V29" s="221">
        <f t="shared" si="21"/>
        <v>4.9402504033469041</v>
      </c>
      <c r="W29" s="221">
        <f t="shared" si="22"/>
        <v>16.780571283945847</v>
      </c>
      <c r="X29" s="221">
        <f t="shared" si="23"/>
        <v>12.69796129358517</v>
      </c>
      <c r="Y29" s="221">
        <f t="shared" si="24"/>
        <v>0.76035696368773475</v>
      </c>
      <c r="Z29" s="221"/>
      <c r="AA29" s="226">
        <f t="shared" si="26"/>
        <v>2.4965909026161857E-3</v>
      </c>
      <c r="AB29" s="261">
        <f t="shared" si="16"/>
        <v>16.591594161516387</v>
      </c>
    </row>
    <row r="30" spans="2:28" x14ac:dyDescent="0.25">
      <c r="B30" s="273">
        <v>610</v>
      </c>
      <c r="C30" s="159" t="s">
        <v>53</v>
      </c>
      <c r="D30" s="118"/>
      <c r="H30" s="214">
        <v>9146.16</v>
      </c>
      <c r="J30" s="118">
        <f t="shared" si="25"/>
        <v>5.5806297812975657E-2</v>
      </c>
      <c r="K30" s="221">
        <f t="shared" si="3"/>
        <v>490.88168263356209</v>
      </c>
      <c r="L30" s="221">
        <f t="shared" si="4"/>
        <v>114.80248360894099</v>
      </c>
      <c r="M30" s="221">
        <f t="shared" si="5"/>
        <v>233.85238454442759</v>
      </c>
      <c r="N30" s="221">
        <f t="shared" si="6"/>
        <v>42.872630231840418</v>
      </c>
      <c r="O30" s="221">
        <f t="shared" si="7"/>
        <v>67.954212720904195</v>
      </c>
      <c r="P30" s="221"/>
      <c r="Q30" s="221">
        <f t="shared" si="8"/>
        <v>26.833342177413083</v>
      </c>
      <c r="R30" s="221">
        <f t="shared" si="9"/>
        <v>152.43378635018675</v>
      </c>
      <c r="S30" s="221">
        <f t="shared" si="10"/>
        <v>200.06557765951774</v>
      </c>
      <c r="T30" s="221">
        <f t="shared" si="11"/>
        <v>81.840493805706927</v>
      </c>
      <c r="U30" s="221">
        <f t="shared" si="17"/>
        <v>68.471537101630489</v>
      </c>
      <c r="V30" s="221">
        <f t="shared" si="21"/>
        <v>65.266023355253154</v>
      </c>
      <c r="W30" s="221">
        <f t="shared" si="22"/>
        <v>221.68940193608952</v>
      </c>
      <c r="X30" s="221">
        <f t="shared" si="23"/>
        <v>167.75373122580481</v>
      </c>
      <c r="Y30" s="221">
        <f t="shared" si="24"/>
        <v>10.045133606335618</v>
      </c>
      <c r="Z30" s="221"/>
      <c r="AA30" s="226">
        <f t="shared" si="26"/>
        <v>3.2982652063197199E-2</v>
      </c>
      <c r="AB30" s="261">
        <f t="shared" si="16"/>
        <v>219.19281081638962</v>
      </c>
    </row>
    <row r="31" spans="2:28" x14ac:dyDescent="0.25">
      <c r="B31" s="273">
        <v>620</v>
      </c>
      <c r="C31" s="159" t="s">
        <v>54</v>
      </c>
      <c r="D31" s="118"/>
      <c r="H31" s="214">
        <v>7615.39</v>
      </c>
      <c r="J31" s="118">
        <f t="shared" si="25"/>
        <v>4.6466136859835902E-2</v>
      </c>
      <c r="K31" s="221">
        <f t="shared" si="3"/>
        <v>408.72403906238276</v>
      </c>
      <c r="L31" s="221">
        <f t="shared" si="4"/>
        <v>95.58827810258002</v>
      </c>
      <c r="M31" s="221">
        <f t="shared" si="5"/>
        <v>194.71309388156217</v>
      </c>
      <c r="N31" s="221">
        <f t="shared" si="6"/>
        <v>35.697144981200331</v>
      </c>
      <c r="O31" s="221">
        <f t="shared" si="7"/>
        <v>56.580885531484981</v>
      </c>
      <c r="P31" s="221"/>
      <c r="Q31" s="221">
        <f t="shared" si="8"/>
        <v>22.342312586314897</v>
      </c>
      <c r="R31" s="221">
        <f t="shared" si="9"/>
        <v>126.92132350990457</v>
      </c>
      <c r="S31" s="221">
        <f t="shared" si="10"/>
        <v>166.5811006425117</v>
      </c>
      <c r="T31" s="221">
        <f t="shared" si="11"/>
        <v>68.143054366317955</v>
      </c>
      <c r="U31" s="221">
        <f t="shared" si="17"/>
        <v>57.011626620175662</v>
      </c>
      <c r="V31" s="221">
        <f t="shared" si="21"/>
        <v>54.342611718946685</v>
      </c>
      <c r="W31" s="221">
        <f t="shared" si="22"/>
        <v>184.58579935296092</v>
      </c>
      <c r="X31" s="221">
        <f t="shared" si="23"/>
        <v>139.67720740066673</v>
      </c>
      <c r="Y31" s="221">
        <f t="shared" si="24"/>
        <v>8.3639046347704618</v>
      </c>
      <c r="Z31" s="221"/>
      <c r="AA31" s="226">
        <f t="shared" si="26"/>
        <v>2.7462427805281273E-2</v>
      </c>
      <c r="AB31" s="261">
        <f t="shared" si="16"/>
        <v>182.50705646555775</v>
      </c>
    </row>
    <row r="32" spans="2:28" x14ac:dyDescent="0.25">
      <c r="B32" s="273">
        <v>630</v>
      </c>
      <c r="C32" s="159" t="s">
        <v>55</v>
      </c>
      <c r="D32" s="118"/>
      <c r="H32" s="214">
        <v>1261.53</v>
      </c>
      <c r="J32" s="118">
        <f t="shared" si="25"/>
        <v>7.6973635799071072E-3</v>
      </c>
      <c r="K32" s="221">
        <f t="shared" si="3"/>
        <v>67.707318600671499</v>
      </c>
      <c r="L32" s="221">
        <f t="shared" si="4"/>
        <v>15.834708462041704</v>
      </c>
      <c r="M32" s="221">
        <f t="shared" si="5"/>
        <v>32.255263266150145</v>
      </c>
      <c r="N32" s="221">
        <f t="shared" si="6"/>
        <v>5.9134225966278358</v>
      </c>
      <c r="O32" s="221">
        <f t="shared" si="7"/>
        <v>9.3729256839812862</v>
      </c>
      <c r="P32" s="221"/>
      <c r="Q32" s="221">
        <f t="shared" si="8"/>
        <v>3.7011233301267343</v>
      </c>
      <c r="R32" s="221">
        <f t="shared" si="9"/>
        <v>21.025194671244666</v>
      </c>
      <c r="S32" s="221">
        <f t="shared" si="10"/>
        <v>27.59504843396698</v>
      </c>
      <c r="T32" s="221">
        <f t="shared" si="11"/>
        <v>11.288260663569572</v>
      </c>
      <c r="U32" s="221">
        <f t="shared" si="17"/>
        <v>9.4442802443670253</v>
      </c>
      <c r="V32" s="221">
        <f t="shared" si="21"/>
        <v>9.0021436803371611</v>
      </c>
      <c r="W32" s="221">
        <f t="shared" si="22"/>
        <v>30.577622873909384</v>
      </c>
      <c r="X32" s="221">
        <f t="shared" si="23"/>
        <v>23.138274921200765</v>
      </c>
      <c r="Y32" s="221">
        <f t="shared" si="24"/>
        <v>1.3855254443832794</v>
      </c>
      <c r="Z32" s="221"/>
      <c r="AA32" s="226">
        <f t="shared" si="26"/>
        <v>4.5492977443304253E-3</v>
      </c>
      <c r="AB32" s="261">
        <f t="shared" si="16"/>
        <v>30.233268019496705</v>
      </c>
    </row>
    <row r="33" spans="2:32" x14ac:dyDescent="0.25">
      <c r="B33" s="273">
        <v>650</v>
      </c>
      <c r="C33" s="159" t="s">
        <v>56</v>
      </c>
      <c r="D33" s="118"/>
      <c r="H33" s="214">
        <v>1105</v>
      </c>
      <c r="I33" s="319">
        <f>SUM(H6:H33)</f>
        <v>163891.16000000003</v>
      </c>
      <c r="J33" s="118">
        <f t="shared" si="25"/>
        <v>6.7422786265862508E-3</v>
      </c>
      <c r="K33" s="221">
        <f t="shared" si="3"/>
        <v>59.306228986819178</v>
      </c>
      <c r="L33" s="221">
        <f t="shared" si="4"/>
        <v>13.869945899468171</v>
      </c>
      <c r="M33" s="221">
        <f t="shared" si="5"/>
        <v>28.253046625205826</v>
      </c>
      <c r="N33" s="221">
        <f t="shared" si="6"/>
        <v>5.1796881320886214</v>
      </c>
      <c r="O33" s="221">
        <f t="shared" si="7"/>
        <v>8.2099378380215455</v>
      </c>
      <c r="P33" s="221"/>
      <c r="Q33" s="221">
        <f t="shared" si="8"/>
        <v>3.2418898320214669</v>
      </c>
      <c r="R33" s="221">
        <f t="shared" si="9"/>
        <v>18.416399222947813</v>
      </c>
      <c r="S33" s="221">
        <f t="shared" si="10"/>
        <v>24.171068876311708</v>
      </c>
      <c r="T33" s="221">
        <f t="shared" si="11"/>
        <v>9.8876190286750028</v>
      </c>
      <c r="U33" s="221">
        <f t="shared" si="17"/>
        <v>8.272438760890001</v>
      </c>
      <c r="V33" s="221">
        <f t="shared" si="21"/>
        <v>7.8851622765788862</v>
      </c>
      <c r="W33" s="221">
        <f t="shared" si="22"/>
        <v>26.78356699854135</v>
      </c>
      <c r="X33" s="221">
        <f t="shared" si="23"/>
        <v>20.267289551518271</v>
      </c>
      <c r="Y33" s="221">
        <f t="shared" si="24"/>
        <v>1.2136101527855252</v>
      </c>
      <c r="Z33" s="221"/>
      <c r="AA33" s="226">
        <f t="shared" si="26"/>
        <v>3.9848231968206234E-3</v>
      </c>
      <c r="AB33" s="261">
        <f t="shared" si="16"/>
        <v>26.481939519110817</v>
      </c>
    </row>
    <row r="34" spans="2:32" x14ac:dyDescent="0.25">
      <c r="D34" s="118"/>
      <c r="H34" s="214"/>
      <c r="J34" s="118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>
        <f t="shared" si="17"/>
        <v>0</v>
      </c>
      <c r="V34" s="221"/>
      <c r="W34" s="221">
        <f t="shared" si="22"/>
        <v>0</v>
      </c>
      <c r="X34" s="221"/>
      <c r="Y34" s="221"/>
      <c r="Z34" s="221"/>
      <c r="AA34" s="226"/>
      <c r="AB34" s="261"/>
    </row>
    <row r="35" spans="2:32" x14ac:dyDescent="0.25">
      <c r="F35" s="119">
        <v>163891.18</v>
      </c>
      <c r="H35" s="214"/>
      <c r="K35" s="221">
        <f t="shared" ref="K35" si="27">J35*$K$3</f>
        <v>0</v>
      </c>
      <c r="L35" s="221">
        <f t="shared" ref="L35" si="28">J35*$L$3</f>
        <v>0</v>
      </c>
      <c r="M35" s="221">
        <f t="shared" ref="M35" si="29">J35*$M$3</f>
        <v>0</v>
      </c>
      <c r="N35" s="221">
        <f t="shared" ref="N35" si="30">J35*$N$3</f>
        <v>0</v>
      </c>
      <c r="O35" s="221">
        <f t="shared" ref="O35" si="31">J35*$O$3</f>
        <v>0</v>
      </c>
      <c r="P35" s="221"/>
      <c r="Q35" s="221">
        <f t="shared" ref="Q35" si="32">J35*$Q$3</f>
        <v>0</v>
      </c>
      <c r="R35" s="221">
        <f t="shared" ref="R35" si="33">J35*$R$3</f>
        <v>0</v>
      </c>
      <c r="S35" s="221">
        <f t="shared" ref="S35" si="34">J35*$S$3</f>
        <v>0</v>
      </c>
      <c r="T35" s="221">
        <f>J35*$T$3</f>
        <v>0</v>
      </c>
      <c r="U35" s="221">
        <f t="shared" si="17"/>
        <v>0</v>
      </c>
      <c r="V35" s="221">
        <f>J35*$V$3</f>
        <v>0</v>
      </c>
      <c r="W35" s="221">
        <f t="shared" si="22"/>
        <v>0</v>
      </c>
      <c r="X35" s="221">
        <f>J35*$X$3</f>
        <v>0</v>
      </c>
      <c r="Y35" s="221">
        <f>J35*$Y$3</f>
        <v>0</v>
      </c>
      <c r="Z35" s="221"/>
      <c r="AA35" s="226">
        <f>H35/$H$37</f>
        <v>0</v>
      </c>
      <c r="AB35" s="261">
        <f t="shared" ref="AB35:AB36" si="35">AA35*$AB$3</f>
        <v>0</v>
      </c>
    </row>
    <row r="36" spans="2:32" x14ac:dyDescent="0.25">
      <c r="C36" s="159" t="s">
        <v>60</v>
      </c>
      <c r="H36" s="118">
        <v>113410.98</v>
      </c>
      <c r="K36" s="221"/>
      <c r="L36" s="221"/>
      <c r="M36" s="221"/>
      <c r="N36" s="221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26">
        <f>H36/$H$37</f>
        <v>0.4089798225141717</v>
      </c>
      <c r="AB36" s="261">
        <f t="shared" si="35"/>
        <v>2717.9572064824306</v>
      </c>
    </row>
    <row r="37" spans="2:32" ht="15.75" thickBot="1" x14ac:dyDescent="0.3">
      <c r="H37" s="320">
        <f>SUM(H7:H36)</f>
        <v>277302.14</v>
      </c>
      <c r="I37" s="320"/>
      <c r="J37" s="321">
        <f t="shared" ref="J37:Y37" si="36">SUM(J7:J35)</f>
        <v>0.99999987796780765</v>
      </c>
      <c r="K37" s="227">
        <f t="shared" si="36"/>
        <v>8796.1689265840905</v>
      </c>
      <c r="L37" s="227">
        <f t="shared" si="36"/>
        <v>2057.159748960255</v>
      </c>
      <c r="M37" s="227">
        <f t="shared" si="36"/>
        <v>4190.4294886326397</v>
      </c>
      <c r="N37" s="227">
        <f t="shared" si="36"/>
        <v>768.23990624998851</v>
      </c>
      <c r="O37" s="227">
        <f t="shared" si="36"/>
        <v>1217.6798514038401</v>
      </c>
      <c r="P37" s="227">
        <f t="shared" si="36"/>
        <v>0</v>
      </c>
      <c r="Q37" s="227">
        <f t="shared" si="36"/>
        <v>480.82994132326098</v>
      </c>
      <c r="R37" s="227">
        <f t="shared" si="36"/>
        <v>2731.4796666715074</v>
      </c>
      <c r="S37" s="227">
        <f t="shared" si="36"/>
        <v>3584.9995625145912</v>
      </c>
      <c r="T37" s="227">
        <f t="shared" si="36"/>
        <v>1466.5098210385702</v>
      </c>
      <c r="U37" s="227">
        <f t="shared" si="36"/>
        <v>1226.9498502726021</v>
      </c>
      <c r="V37" s="227">
        <f t="shared" si="36"/>
        <v>1169.5098572821312</v>
      </c>
      <c r="W37" s="227">
        <f t="shared" si="36"/>
        <v>3972.4795152295569</v>
      </c>
      <c r="X37" s="227">
        <f t="shared" si="36"/>
        <v>3005.9996331712296</v>
      </c>
      <c r="Y37" s="227">
        <f t="shared" si="36"/>
        <v>179.99997803420538</v>
      </c>
      <c r="Z37" s="340"/>
      <c r="AA37" s="227">
        <f>SUM(AA7:AA36)</f>
        <v>1</v>
      </c>
      <c r="AB37" s="227">
        <f>SUM(AB7:AB36)</f>
        <v>6645.6999999999989</v>
      </c>
      <c r="AC37" s="119"/>
    </row>
    <row r="38" spans="2:32" ht="16.5" thickTop="1" thickBot="1" x14ac:dyDescent="0.3">
      <c r="H38" s="341" t="s">
        <v>61</v>
      </c>
      <c r="I38" s="341"/>
      <c r="J38" s="342" t="s">
        <v>62</v>
      </c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</row>
    <row r="39" spans="2:32" x14ac:dyDescent="0.25">
      <c r="C39" s="343">
        <v>43559</v>
      </c>
      <c r="D39" s="344"/>
      <c r="E39" s="344"/>
      <c r="F39" s="344"/>
      <c r="G39" s="345"/>
      <c r="H39" s="345">
        <v>73342.69</v>
      </c>
      <c r="I39" s="345"/>
      <c r="J39" s="346"/>
      <c r="K39" s="158">
        <v>4376.76</v>
      </c>
      <c r="L39" s="158">
        <v>1023.58</v>
      </c>
      <c r="M39" s="158">
        <v>2138.92</v>
      </c>
      <c r="N39" s="158">
        <v>392.13</v>
      </c>
      <c r="O39" s="158">
        <v>633.84</v>
      </c>
      <c r="P39" s="114"/>
      <c r="Q39" s="114"/>
      <c r="R39" s="114"/>
      <c r="S39" s="114"/>
      <c r="T39" s="114"/>
      <c r="U39" s="114"/>
      <c r="V39" s="114"/>
      <c r="W39" s="114"/>
      <c r="X39" s="114"/>
    </row>
    <row r="40" spans="2:32" x14ac:dyDescent="0.25">
      <c r="C40" s="347">
        <v>43574</v>
      </c>
      <c r="D40" s="348"/>
      <c r="E40" s="348"/>
      <c r="F40" s="348"/>
      <c r="H40" s="118">
        <v>74446.83</v>
      </c>
      <c r="J40" s="349">
        <v>0</v>
      </c>
      <c r="K40" s="158">
        <v>4419.41</v>
      </c>
      <c r="L40" s="158">
        <v>1033.58</v>
      </c>
      <c r="M40" s="158">
        <v>2051.5100000000002</v>
      </c>
      <c r="N40" s="158">
        <v>376.11</v>
      </c>
      <c r="O40" s="158">
        <v>583.84</v>
      </c>
      <c r="P40" s="114"/>
      <c r="Q40" s="114"/>
      <c r="R40" s="114"/>
      <c r="S40" s="114"/>
      <c r="T40" s="114"/>
      <c r="U40" s="114"/>
      <c r="V40" s="114"/>
      <c r="W40" s="114"/>
      <c r="X40" s="114"/>
    </row>
    <row r="41" spans="2:32" ht="15.75" thickBot="1" x14ac:dyDescent="0.3">
      <c r="C41" s="347"/>
      <c r="D41" s="348"/>
      <c r="E41" s="348"/>
      <c r="F41" s="348"/>
      <c r="J41" s="349"/>
      <c r="K41" s="158"/>
      <c r="L41" s="158"/>
      <c r="M41" s="158"/>
      <c r="N41" s="158"/>
      <c r="O41" s="158"/>
      <c r="P41" s="114"/>
      <c r="Q41" s="114"/>
      <c r="R41" s="114"/>
      <c r="S41" s="114"/>
      <c r="T41" s="114"/>
      <c r="U41" s="114"/>
      <c r="V41" s="114"/>
      <c r="W41" s="114"/>
      <c r="X41" s="114"/>
    </row>
    <row r="42" spans="2:32" ht="15.75" thickBot="1" x14ac:dyDescent="0.3">
      <c r="C42" s="350"/>
      <c r="D42" s="350"/>
      <c r="E42" s="350"/>
      <c r="F42" s="350"/>
      <c r="G42" s="351"/>
      <c r="H42" s="352">
        <f>SUM(H39:H41)</f>
        <v>147789.52000000002</v>
      </c>
      <c r="I42" s="353"/>
      <c r="J42" s="354"/>
      <c r="K42" s="161">
        <f>SUM(K39:K41)</f>
        <v>8796.17</v>
      </c>
      <c r="L42" s="162">
        <f t="shared" ref="L42:O42" si="37">SUM(L39:L41)</f>
        <v>2057.16</v>
      </c>
      <c r="M42" s="162">
        <f>SUM(M39:M41)</f>
        <v>4190.43</v>
      </c>
      <c r="N42" s="162">
        <f t="shared" ref="N42" si="38">SUM(N39:N41)</f>
        <v>768.24</v>
      </c>
      <c r="O42" s="163">
        <f t="shared" si="37"/>
        <v>1217.68</v>
      </c>
      <c r="P42" s="114"/>
      <c r="Q42" s="114"/>
      <c r="R42" s="114"/>
      <c r="S42" s="114"/>
      <c r="T42" s="114"/>
      <c r="U42" s="114"/>
      <c r="V42" s="114"/>
      <c r="W42" s="114"/>
      <c r="X42" s="114"/>
    </row>
    <row r="43" spans="2:32" x14ac:dyDescent="0.25">
      <c r="H43" s="118">
        <f>H36</f>
        <v>113410.98</v>
      </c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AF43" s="159">
        <v>114.44</v>
      </c>
    </row>
    <row r="44" spans="2:32" x14ac:dyDescent="0.25">
      <c r="G44" s="118" t="s">
        <v>63</v>
      </c>
      <c r="H44" s="118">
        <v>5281.6</v>
      </c>
      <c r="K44" s="114">
        <v>327.5</v>
      </c>
      <c r="L44" s="114">
        <v>76.599999999999994</v>
      </c>
      <c r="M44" s="114"/>
      <c r="N44" s="114"/>
      <c r="O44" s="114"/>
      <c r="P44" s="114"/>
      <c r="Q44" s="114">
        <f>SUM(K44:P44)</f>
        <v>404.1</v>
      </c>
      <c r="R44" s="114"/>
      <c r="S44" s="114"/>
      <c r="T44" s="114"/>
      <c r="U44" s="114"/>
      <c r="V44" s="114"/>
      <c r="W44" s="114"/>
      <c r="X44" s="114"/>
    </row>
    <row r="45" spans="2:32" x14ac:dyDescent="0.25">
      <c r="H45" s="118">
        <v>5281.6</v>
      </c>
      <c r="K45" s="114">
        <v>327.5</v>
      </c>
      <c r="L45" s="114">
        <v>76.599999999999994</v>
      </c>
      <c r="M45" s="114"/>
      <c r="N45" s="114"/>
      <c r="O45" s="114"/>
      <c r="P45" s="114"/>
      <c r="Q45" s="114">
        <f>SUM(K45:P45)</f>
        <v>404.1</v>
      </c>
      <c r="R45" s="114">
        <f>SUM(Q44:Q45)</f>
        <v>808.2</v>
      </c>
      <c r="S45" s="114"/>
      <c r="T45" s="114"/>
      <c r="U45" s="114"/>
      <c r="V45" s="114"/>
      <c r="W45" s="114"/>
      <c r="X45" s="114"/>
    </row>
    <row r="46" spans="2:32" x14ac:dyDescent="0.25">
      <c r="G46" s="118" t="s">
        <v>58</v>
      </c>
      <c r="H46" s="319">
        <v>2769.23</v>
      </c>
      <c r="K46" s="114">
        <v>165.29</v>
      </c>
      <c r="L46" s="114">
        <v>38.659999999999997</v>
      </c>
      <c r="M46" s="114">
        <v>83.08</v>
      </c>
      <c r="N46" s="114">
        <v>15.23</v>
      </c>
      <c r="O46" s="114"/>
      <c r="P46" s="114"/>
      <c r="Q46" s="114"/>
      <c r="R46" s="114"/>
      <c r="S46" s="114"/>
      <c r="T46" s="114"/>
      <c r="U46" s="114"/>
      <c r="V46" s="114"/>
      <c r="W46" s="114"/>
      <c r="X46" s="114"/>
    </row>
    <row r="47" spans="2:32" x14ac:dyDescent="0.25">
      <c r="H47" s="319">
        <v>2769.23</v>
      </c>
      <c r="K47" s="114">
        <v>165.29</v>
      </c>
      <c r="L47" s="114">
        <v>38.659999999999997</v>
      </c>
      <c r="M47" s="114">
        <v>83.08</v>
      </c>
      <c r="N47" s="114">
        <v>15.23</v>
      </c>
      <c r="O47" s="114"/>
      <c r="P47" s="114"/>
      <c r="Q47" s="114"/>
      <c r="R47" s="114"/>
      <c r="S47" s="114"/>
      <c r="T47" s="114"/>
      <c r="U47" s="114"/>
      <c r="V47" s="114"/>
      <c r="W47" s="114"/>
      <c r="X47" s="114"/>
    </row>
    <row r="48" spans="2:32" ht="15.75" thickBot="1" x14ac:dyDescent="0.3">
      <c r="H48" s="352">
        <f>SUM(H42:H47)</f>
        <v>277302.15999999992</v>
      </c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</row>
    <row r="49" spans="8:32" x14ac:dyDescent="0.25">
      <c r="H49" s="118">
        <f>H37-H48</f>
        <v>-1.999999990221113E-2</v>
      </c>
      <c r="AF49" s="159">
        <v>151.65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1E16F-FF7D-47DB-A61F-3C552581AC56}">
  <sheetPr>
    <tabColor theme="5" tint="0.39997558519241921"/>
    <pageSetUpPr fitToPage="1"/>
  </sheetPr>
  <dimension ref="B1:AF46"/>
  <sheetViews>
    <sheetView zoomScale="85" zoomScaleNormal="85" workbookViewId="0">
      <selection sqref="A1:XFD1048576"/>
    </sheetView>
  </sheetViews>
  <sheetFormatPr defaultRowHeight="15" x14ac:dyDescent="0.25"/>
  <cols>
    <col min="1" max="1" width="9.140625" style="159"/>
    <col min="2" max="2" width="9.140625" style="273"/>
    <col min="3" max="3" width="29.28515625" style="159" customWidth="1"/>
    <col min="4" max="4" width="9" style="159" hidden="1" customWidth="1"/>
    <col min="5" max="5" width="8.140625" style="159" hidden="1" customWidth="1"/>
    <col min="6" max="6" width="12.7109375" style="159" hidden="1" customWidth="1"/>
    <col min="7" max="7" width="12.7109375" style="118" hidden="1" customWidth="1"/>
    <col min="8" max="9" width="13.85546875" style="118" customWidth="1"/>
    <col min="10" max="10" width="12.140625" style="121" customWidth="1"/>
    <col min="11" max="11" width="11.28515625" style="157" customWidth="1"/>
    <col min="12" max="12" width="13.42578125" style="157" customWidth="1"/>
    <col min="13" max="13" width="13.28515625" style="159" customWidth="1"/>
    <col min="14" max="14" width="15.7109375" style="159" customWidth="1"/>
    <col min="15" max="15" width="11.7109375" style="157" customWidth="1"/>
    <col min="16" max="16" width="1" style="159" customWidth="1"/>
    <col min="17" max="17" width="13.140625" style="157" customWidth="1"/>
    <col min="18" max="18" width="15.140625" style="157" customWidth="1"/>
    <col min="19" max="19" width="17.42578125" style="159" customWidth="1"/>
    <col min="20" max="20" width="15.5703125" style="157" customWidth="1"/>
    <col min="21" max="21" width="15.28515625" style="157" customWidth="1"/>
    <col min="22" max="23" width="15.140625" style="159" customWidth="1"/>
    <col min="24" max="24" width="15.85546875" style="157" customWidth="1"/>
    <col min="25" max="25" width="15.5703125" style="159" customWidth="1"/>
    <col min="26" max="26" width="2.85546875" style="159" customWidth="1"/>
    <col min="27" max="27" width="8.5703125" style="159" customWidth="1"/>
    <col min="28" max="28" width="11.85546875" style="159" customWidth="1"/>
    <col min="29" max="29" width="12.7109375" style="159" customWidth="1"/>
    <col min="30" max="16384" width="9.140625" style="159"/>
  </cols>
  <sheetData>
    <row r="1" spans="2:30" ht="15.75" thickBot="1" x14ac:dyDescent="0.3">
      <c r="B1" s="118" t="s">
        <v>74</v>
      </c>
      <c r="K1" s="157">
        <v>7251</v>
      </c>
      <c r="L1" s="157">
        <v>7252</v>
      </c>
      <c r="M1" s="159">
        <v>7253</v>
      </c>
      <c r="N1" s="159">
        <v>7254</v>
      </c>
      <c r="O1" s="157">
        <v>7260.1</v>
      </c>
      <c r="Q1" s="157">
        <v>8112</v>
      </c>
      <c r="R1" s="157">
        <v>8229.1</v>
      </c>
      <c r="S1" s="159">
        <v>7521</v>
      </c>
      <c r="T1" s="157">
        <v>8210.5</v>
      </c>
      <c r="U1" s="157">
        <v>8135.5</v>
      </c>
      <c r="V1" s="157">
        <v>8239</v>
      </c>
      <c r="W1" s="157">
        <v>8266</v>
      </c>
      <c r="X1" s="157">
        <v>7515.5</v>
      </c>
      <c r="Y1" s="159">
        <v>8222</v>
      </c>
      <c r="AB1" s="159">
        <v>7248</v>
      </c>
    </row>
    <row r="2" spans="2:30" ht="17.25" thickBot="1" x14ac:dyDescent="0.4">
      <c r="K2" s="335" t="s">
        <v>1</v>
      </c>
      <c r="L2" s="335" t="s">
        <v>2</v>
      </c>
      <c r="M2" s="335" t="s">
        <v>3</v>
      </c>
      <c r="N2" s="335" t="s">
        <v>4</v>
      </c>
      <c r="O2" s="335" t="s">
        <v>5</v>
      </c>
      <c r="P2" s="335"/>
      <c r="Q2" s="336" t="s">
        <v>8</v>
      </c>
      <c r="R2" s="336" t="s">
        <v>12</v>
      </c>
      <c r="S2" s="336" t="s">
        <v>7</v>
      </c>
      <c r="T2" s="336" t="s">
        <v>11</v>
      </c>
      <c r="U2" s="336" t="s">
        <v>9</v>
      </c>
      <c r="V2" s="336" t="s">
        <v>13</v>
      </c>
      <c r="W2" s="336" t="s">
        <v>14</v>
      </c>
      <c r="X2" s="114" t="s">
        <v>6</v>
      </c>
      <c r="Y2" s="114" t="s">
        <v>75</v>
      </c>
      <c r="Z2" s="118"/>
      <c r="AA2" s="337"/>
      <c r="AB2" s="338" t="s">
        <v>15</v>
      </c>
      <c r="AC2" s="118"/>
    </row>
    <row r="3" spans="2:30" ht="15.75" thickBot="1" x14ac:dyDescent="0.3">
      <c r="K3" s="355">
        <f>K43</f>
        <v>9633.17</v>
      </c>
      <c r="L3" s="355">
        <f t="shared" ref="L3:O3" si="0">L43</f>
        <v>2252.9299999999998</v>
      </c>
      <c r="M3" s="355">
        <f t="shared" si="0"/>
        <v>4530.1499999999996</v>
      </c>
      <c r="N3" s="355">
        <f t="shared" si="0"/>
        <v>830.53</v>
      </c>
      <c r="O3" s="355">
        <f t="shared" si="0"/>
        <v>1335.75</v>
      </c>
      <c r="P3" s="158">
        <v>0</v>
      </c>
      <c r="Q3" s="161">
        <v>1353.65</v>
      </c>
      <c r="R3" s="161">
        <v>3454.6</v>
      </c>
      <c r="S3" s="161">
        <v>6547.5</v>
      </c>
      <c r="T3" s="161">
        <v>2543.69</v>
      </c>
      <c r="U3" s="355">
        <v>1231.8800000000001</v>
      </c>
      <c r="V3" s="355">
        <v>1564.51</v>
      </c>
      <c r="W3" s="162">
        <v>3972.48</v>
      </c>
      <c r="X3" s="162">
        <v>3006</v>
      </c>
      <c r="Y3" s="162"/>
      <c r="Z3" s="118"/>
      <c r="AA3" s="120"/>
      <c r="AB3" s="210">
        <v>6645.7</v>
      </c>
      <c r="AC3" s="118"/>
    </row>
    <row r="4" spans="2:30" x14ac:dyDescent="0.25">
      <c r="K4" s="114">
        <v>1</v>
      </c>
      <c r="L4" s="114">
        <v>2</v>
      </c>
      <c r="M4" s="114">
        <v>3</v>
      </c>
      <c r="N4" s="114">
        <v>4</v>
      </c>
      <c r="O4" s="114">
        <v>5</v>
      </c>
      <c r="P4" s="114">
        <v>6</v>
      </c>
      <c r="Q4" s="114">
        <v>7</v>
      </c>
      <c r="R4" s="114">
        <v>8</v>
      </c>
      <c r="S4" s="114">
        <v>9</v>
      </c>
      <c r="T4" s="114">
        <v>10</v>
      </c>
      <c r="U4" s="114">
        <v>11</v>
      </c>
      <c r="V4" s="114">
        <v>13</v>
      </c>
      <c r="W4" s="114">
        <v>14</v>
      </c>
      <c r="X4" s="114">
        <v>15</v>
      </c>
      <c r="Y4" s="114">
        <v>16</v>
      </c>
      <c r="AA4" s="356"/>
      <c r="AB4" s="357">
        <v>0.04</v>
      </c>
    </row>
    <row r="5" spans="2:30" ht="15.75" thickBot="1" x14ac:dyDescent="0.3">
      <c r="B5" s="273">
        <v>41</v>
      </c>
      <c r="C5" s="159" t="s">
        <v>19</v>
      </c>
      <c r="D5" s="118"/>
      <c r="E5" s="339"/>
      <c r="F5" s="339"/>
      <c r="G5" s="319">
        <f>SUM(H16:H18)</f>
        <v>6868.46</v>
      </c>
      <c r="H5" s="317"/>
      <c r="I5" s="318"/>
      <c r="J5" s="118">
        <f t="shared" ref="J5:J34" si="1">H5/$F$36</f>
        <v>0</v>
      </c>
      <c r="K5" s="108">
        <f>J5*$K$3</f>
        <v>0</v>
      </c>
      <c r="L5" s="108">
        <f>J5*$L$3</f>
        <v>0</v>
      </c>
      <c r="M5" s="108">
        <f>J5*$M$3</f>
        <v>0</v>
      </c>
      <c r="N5" s="108">
        <f>J5*$N$3</f>
        <v>0</v>
      </c>
      <c r="O5" s="109">
        <f>J5*$O$3</f>
        <v>0</v>
      </c>
      <c r="P5" s="108"/>
      <c r="Q5" s="108">
        <f>J5*$Q$3</f>
        <v>0</v>
      </c>
      <c r="R5" s="108">
        <f>J5*$R$3</f>
        <v>0</v>
      </c>
      <c r="S5" s="108">
        <f>J5*$S$3</f>
        <v>0</v>
      </c>
      <c r="T5" s="108">
        <f>J5*$T$3</f>
        <v>0</v>
      </c>
      <c r="U5" s="108">
        <f>J5*$U$3</f>
        <v>0</v>
      </c>
      <c r="V5" s="108">
        <f>J5*$V$3</f>
        <v>0</v>
      </c>
      <c r="W5" s="108">
        <f>J5*$W$3</f>
        <v>0</v>
      </c>
      <c r="X5" s="108">
        <f>J5*$X$3</f>
        <v>0</v>
      </c>
      <c r="Y5" s="119">
        <f>J5*$Y$3</f>
        <v>0</v>
      </c>
      <c r="Z5" s="119"/>
      <c r="AA5" s="120">
        <f t="shared" ref="AA5:AA34" si="2">H5/$H$38</f>
        <v>0</v>
      </c>
      <c r="AB5" s="209">
        <f>AA5*$AB$3</f>
        <v>0</v>
      </c>
    </row>
    <row r="6" spans="2:30" ht="15.75" thickBot="1" x14ac:dyDescent="0.3">
      <c r="B6" s="273">
        <v>111</v>
      </c>
      <c r="C6" s="159" t="s">
        <v>20</v>
      </c>
      <c r="D6" s="118"/>
      <c r="H6" s="214">
        <v>30821.26</v>
      </c>
      <c r="J6" s="118">
        <f t="shared" si="1"/>
        <v>0.19056213159700117</v>
      </c>
      <c r="K6" s="208">
        <f t="shared" ref="K6:K34" si="3">J6*$K$3</f>
        <v>1835.7174092362836</v>
      </c>
      <c r="L6" s="110">
        <f t="shared" ref="L6:L34" si="4">J6*$L$3</f>
        <v>429.32314313883182</v>
      </c>
      <c r="M6" s="110">
        <f t="shared" ref="M6:M34" si="5">J6*$M$3</f>
        <v>863.27504045415481</v>
      </c>
      <c r="N6" s="110">
        <f t="shared" ref="N6:N34" si="6">J6*$N$3</f>
        <v>158.26756715525738</v>
      </c>
      <c r="O6" s="111">
        <f t="shared" ref="O6:O34" si="7">J6*$O$3</f>
        <v>254.5433672806943</v>
      </c>
      <c r="P6" s="110"/>
      <c r="Q6" s="110">
        <f t="shared" ref="Q6:Q34" si="8">J6*$Q$3</f>
        <v>257.95442943628063</v>
      </c>
      <c r="R6" s="110">
        <f t="shared" ref="R6:R34" si="9">J6*$R$3</f>
        <v>658.31593981500021</v>
      </c>
      <c r="S6" s="110">
        <f t="shared" ref="S6:S34" si="10">J6*$S$3</f>
        <v>1247.7055566313652</v>
      </c>
      <c r="T6" s="110">
        <f t="shared" ref="T6:T34" si="11">J6*$T$3</f>
        <v>484.73098852197592</v>
      </c>
      <c r="U6" s="110">
        <f>J6*$U$3</f>
        <v>234.74967867171381</v>
      </c>
      <c r="V6" s="110">
        <f t="shared" ref="V6:V34" si="12">J6*$V$3</f>
        <v>298.13636050482427</v>
      </c>
      <c r="W6" s="110">
        <f t="shared" ref="W6:W36" si="13">J6*$W$3</f>
        <v>757.00425652645515</v>
      </c>
      <c r="X6" s="110">
        <f t="shared" ref="X6:X34" si="14">J6*$X$3</f>
        <v>572.82976758058555</v>
      </c>
      <c r="Y6" s="160">
        <f t="shared" ref="Y6:Y12" si="15">J6*$Y$3</f>
        <v>0</v>
      </c>
      <c r="Z6" s="119"/>
      <c r="AA6" s="120">
        <f t="shared" si="2"/>
        <v>0.11059472050569788</v>
      </c>
      <c r="AB6" s="209">
        <f t="shared" ref="AB6:AB34" si="16">AA6*$AB$3</f>
        <v>734.97933406471634</v>
      </c>
    </row>
    <row r="7" spans="2:30" x14ac:dyDescent="0.25">
      <c r="B7" s="273" t="s">
        <v>23</v>
      </c>
      <c r="C7" s="159" t="s">
        <v>24</v>
      </c>
      <c r="D7" s="118"/>
      <c r="H7" s="214">
        <v>2583.91</v>
      </c>
      <c r="J7" s="118">
        <f t="shared" si="1"/>
        <v>1.5975836077266381E-2</v>
      </c>
      <c r="K7" s="108">
        <f>J7*$K$3</f>
        <v>153.89794482444017</v>
      </c>
      <c r="L7" s="108">
        <f>J7*$L$3</f>
        <v>35.992440373555745</v>
      </c>
      <c r="M7" s="108">
        <f>J7*$M$3</f>
        <v>72.372933805428289</v>
      </c>
      <c r="N7" s="108">
        <f>J7*$N$3</f>
        <v>13.268411137252047</v>
      </c>
      <c r="O7" s="109">
        <f>J7*$O$3</f>
        <v>21.339723040208568</v>
      </c>
      <c r="P7" s="108"/>
      <c r="Q7" s="108">
        <f>J7*$Q$3</f>
        <v>21.625690505991638</v>
      </c>
      <c r="R7" s="108">
        <f>J7*$R$3</f>
        <v>55.190123312524442</v>
      </c>
      <c r="S7" s="108">
        <f>J7*$S$3</f>
        <v>104.60178671590162</v>
      </c>
      <c r="T7" s="108">
        <f>J7*$T$3</f>
        <v>40.637574471381718</v>
      </c>
      <c r="U7" s="108">
        <f>J7*$U$3</f>
        <v>19.680312946862912</v>
      </c>
      <c r="V7" s="108">
        <f t="shared" si="12"/>
        <v>24.994355301244024</v>
      </c>
      <c r="W7" s="108">
        <f t="shared" si="13"/>
        <v>63.463689300219151</v>
      </c>
      <c r="X7" s="108">
        <f t="shared" si="14"/>
        <v>48.02336324826274</v>
      </c>
      <c r="Y7" s="109">
        <f t="shared" si="15"/>
        <v>0</v>
      </c>
      <c r="Z7" s="119"/>
      <c r="AA7" s="120">
        <f t="shared" si="2"/>
        <v>9.2717430845422229E-3</v>
      </c>
      <c r="AB7" s="209">
        <f>AA7*$AB$3</f>
        <v>61.617223016942248</v>
      </c>
    </row>
    <row r="8" spans="2:30" x14ac:dyDescent="0.25">
      <c r="B8" s="273" t="s">
        <v>21</v>
      </c>
      <c r="C8" s="159" t="s">
        <v>22</v>
      </c>
      <c r="D8" s="118"/>
      <c r="H8" s="214">
        <v>3243.07</v>
      </c>
      <c r="J8" s="118">
        <f t="shared" si="1"/>
        <v>2.0051300048028103E-2</v>
      </c>
      <c r="K8" s="108">
        <f t="shared" si="3"/>
        <v>193.15758208366287</v>
      </c>
      <c r="L8" s="108">
        <f t="shared" si="4"/>
        <v>45.174175417203955</v>
      </c>
      <c r="M8" s="108">
        <f t="shared" si="5"/>
        <v>90.83539691257451</v>
      </c>
      <c r="N8" s="108">
        <f t="shared" si="6"/>
        <v>16.653206228888781</v>
      </c>
      <c r="O8" s="109">
        <f t="shared" si="7"/>
        <v>26.783524039153541</v>
      </c>
      <c r="P8" s="108"/>
      <c r="Q8" s="108">
        <f t="shared" si="8"/>
        <v>27.142442310013244</v>
      </c>
      <c r="R8" s="108">
        <f t="shared" si="9"/>
        <v>69.269221145917882</v>
      </c>
      <c r="S8" s="108">
        <f t="shared" si="10"/>
        <v>131.28588706446402</v>
      </c>
      <c r="T8" s="108">
        <f t="shared" si="11"/>
        <v>51.004291419168609</v>
      </c>
      <c r="U8" s="108">
        <f t="shared" ref="U8:U36" si="17">J8*$U$3</f>
        <v>24.700795503164862</v>
      </c>
      <c r="V8" s="108">
        <f t="shared" si="12"/>
        <v>31.370459438140447</v>
      </c>
      <c r="W8" s="108">
        <f t="shared" si="13"/>
        <v>79.653388414790683</v>
      </c>
      <c r="X8" s="108">
        <f t="shared" si="14"/>
        <v>60.274207944372478</v>
      </c>
      <c r="Y8" s="109">
        <f t="shared" si="15"/>
        <v>0</v>
      </c>
      <c r="Z8" s="119"/>
      <c r="AA8" s="120">
        <f t="shared" si="2"/>
        <v>1.1636981104290145E-2</v>
      </c>
      <c r="AB8" s="209">
        <f t="shared" si="16"/>
        <v>77.335885324781017</v>
      </c>
    </row>
    <row r="9" spans="2:30" x14ac:dyDescent="0.25">
      <c r="B9" s="273" t="s">
        <v>25</v>
      </c>
      <c r="C9" s="159" t="s">
        <v>26</v>
      </c>
      <c r="D9" s="118"/>
      <c r="H9" s="214">
        <v>241.98</v>
      </c>
      <c r="J9" s="118">
        <f t="shared" si="1"/>
        <v>1.4961174398399786E-3</v>
      </c>
      <c r="K9" s="108">
        <f t="shared" si="3"/>
        <v>14.412353637943287</v>
      </c>
      <c r="L9" s="108">
        <f t="shared" si="4"/>
        <v>3.3706478637386827</v>
      </c>
      <c r="M9" s="108">
        <f t="shared" si="5"/>
        <v>6.7776364200910786</v>
      </c>
      <c r="N9" s="108">
        <f t="shared" si="6"/>
        <v>1.2425704173102974</v>
      </c>
      <c r="O9" s="109">
        <f t="shared" si="7"/>
        <v>1.9984388702662514</v>
      </c>
      <c r="P9" s="108"/>
      <c r="Q9" s="108">
        <f t="shared" si="8"/>
        <v>2.0252193724393872</v>
      </c>
      <c r="R9" s="108">
        <f t="shared" si="9"/>
        <v>5.1684873076711897</v>
      </c>
      <c r="S9" s="108">
        <f t="shared" si="10"/>
        <v>9.79582893735226</v>
      </c>
      <c r="T9" s="108">
        <f t="shared" si="11"/>
        <v>3.8056589705465553</v>
      </c>
      <c r="U9" s="108">
        <f t="shared" si="17"/>
        <v>1.843037151790073</v>
      </c>
      <c r="V9" s="108">
        <f t="shared" si="12"/>
        <v>2.340690695804045</v>
      </c>
      <c r="W9" s="108">
        <f t="shared" si="13"/>
        <v>5.943296607415518</v>
      </c>
      <c r="X9" s="108">
        <f t="shared" si="14"/>
        <v>4.4973290241589758</v>
      </c>
      <c r="Y9" s="109">
        <f t="shared" si="15"/>
        <v>0</v>
      </c>
      <c r="Z9" s="119"/>
      <c r="AA9" s="120">
        <f t="shared" si="2"/>
        <v>8.6828735969810369E-4</v>
      </c>
      <c r="AB9" s="209">
        <f t="shared" si="16"/>
        <v>5.7703773063456874</v>
      </c>
    </row>
    <row r="10" spans="2:30" ht="15.75" thickBot="1" x14ac:dyDescent="0.3">
      <c r="B10" s="273">
        <v>112</v>
      </c>
      <c r="C10" s="159" t="s">
        <v>27</v>
      </c>
      <c r="D10" s="118"/>
      <c r="H10" s="214">
        <v>29844.84</v>
      </c>
      <c r="J10" s="118">
        <f t="shared" si="1"/>
        <v>0.18452510791484333</v>
      </c>
      <c r="K10" s="108">
        <f t="shared" si="3"/>
        <v>1777.5617338120314</v>
      </c>
      <c r="L10" s="108">
        <f t="shared" si="4"/>
        <v>415.72215137458795</v>
      </c>
      <c r="M10" s="108">
        <f t="shared" si="5"/>
        <v>835.92641762042751</v>
      </c>
      <c r="N10" s="108">
        <f t="shared" si="6"/>
        <v>153.25363787651483</v>
      </c>
      <c r="O10" s="109">
        <f t="shared" si="7"/>
        <v>246.47941289725199</v>
      </c>
      <c r="P10" s="108"/>
      <c r="Q10" s="108">
        <f t="shared" si="8"/>
        <v>249.78241232892771</v>
      </c>
      <c r="R10" s="108">
        <f t="shared" si="9"/>
        <v>637.46043780261778</v>
      </c>
      <c r="S10" s="108">
        <f t="shared" si="10"/>
        <v>1208.1781440724367</v>
      </c>
      <c r="T10" s="108">
        <f t="shared" si="11"/>
        <v>469.37467175190784</v>
      </c>
      <c r="U10" s="108">
        <f t="shared" si="17"/>
        <v>227.31278993813723</v>
      </c>
      <c r="V10" s="108">
        <f t="shared" si="12"/>
        <v>288.69137658385154</v>
      </c>
      <c r="W10" s="108">
        <f t="shared" si="13"/>
        <v>733.0223006895568</v>
      </c>
      <c r="X10" s="108">
        <f t="shared" si="14"/>
        <v>554.68247439201912</v>
      </c>
      <c r="Y10" s="119">
        <f t="shared" si="15"/>
        <v>0</v>
      </c>
      <c r="Z10" s="119"/>
      <c r="AA10" s="120">
        <f t="shared" si="2"/>
        <v>0.10709107084970805</v>
      </c>
      <c r="AB10" s="209">
        <f t="shared" si="16"/>
        <v>711.69512954590482</v>
      </c>
    </row>
    <row r="11" spans="2:30" ht="15.75" thickBot="1" x14ac:dyDescent="0.3">
      <c r="B11" s="273">
        <v>222</v>
      </c>
      <c r="C11" s="159" t="s">
        <v>29</v>
      </c>
      <c r="D11" s="118"/>
      <c r="H11" s="213">
        <v>2480.65</v>
      </c>
      <c r="J11" s="118">
        <f t="shared" si="1"/>
        <v>1.5337398657488401E-2</v>
      </c>
      <c r="K11" s="108">
        <f t="shared" si="3"/>
        <v>147.74776862535754</v>
      </c>
      <c r="L11" s="108">
        <f t="shared" si="4"/>
        <v>34.554085557415341</v>
      </c>
      <c r="M11" s="108">
        <f t="shared" si="5"/>
        <v>69.48071652822108</v>
      </c>
      <c r="N11" s="108">
        <f t="shared" si="6"/>
        <v>12.738169707003841</v>
      </c>
      <c r="O11" s="109">
        <f t="shared" si="7"/>
        <v>20.486930256740131</v>
      </c>
      <c r="P11" s="108"/>
      <c r="Q11" s="108">
        <f t="shared" si="8"/>
        <v>20.761469692709174</v>
      </c>
      <c r="R11" s="108">
        <f t="shared" si="9"/>
        <v>52.984577402159431</v>
      </c>
      <c r="S11" s="108">
        <f t="shared" si="10"/>
        <v>100.42161770990531</v>
      </c>
      <c r="T11" s="108">
        <f t="shared" si="11"/>
        <v>39.013587591066674</v>
      </c>
      <c r="U11" s="108">
        <f t="shared" si="17"/>
        <v>18.893834658186812</v>
      </c>
      <c r="V11" s="108">
        <f t="shared" si="12"/>
        <v>23.995513573627179</v>
      </c>
      <c r="W11" s="108">
        <f t="shared" si="13"/>
        <v>60.927509418899525</v>
      </c>
      <c r="X11" s="108">
        <f t="shared" si="14"/>
        <v>46.104220364410132</v>
      </c>
      <c r="Y11" s="119">
        <f t="shared" si="15"/>
        <v>0</v>
      </c>
      <c r="Z11" s="119"/>
      <c r="AA11" s="120">
        <f t="shared" si="2"/>
        <v>8.9012192695061623E-3</v>
      </c>
      <c r="AB11" s="209">
        <f t="shared" si="16"/>
        <v>59.154832899357103</v>
      </c>
    </row>
    <row r="12" spans="2:30" ht="15.75" thickBot="1" x14ac:dyDescent="0.3">
      <c r="B12" s="273">
        <v>223</v>
      </c>
      <c r="C12" s="159" t="s">
        <v>30</v>
      </c>
      <c r="D12" s="118"/>
      <c r="H12" s="215">
        <v>16166.17</v>
      </c>
      <c r="I12" s="115"/>
      <c r="J12" s="115">
        <f t="shared" si="1"/>
        <v>9.9952429425646208E-2</v>
      </c>
      <c r="K12" s="112">
        <f t="shared" si="3"/>
        <v>962.85874457025227</v>
      </c>
      <c r="L12" s="112">
        <f t="shared" si="4"/>
        <v>225.18582682592108</v>
      </c>
      <c r="M12" s="112">
        <f t="shared" si="5"/>
        <v>452.79949816259114</v>
      </c>
      <c r="N12" s="112">
        <f t="shared" si="6"/>
        <v>83.013491210881938</v>
      </c>
      <c r="O12" s="113">
        <f t="shared" si="7"/>
        <v>133.51145760530693</v>
      </c>
      <c r="P12" s="112"/>
      <c r="Q12" s="112">
        <f t="shared" si="8"/>
        <v>135.30060609202599</v>
      </c>
      <c r="R12" s="112">
        <f t="shared" si="9"/>
        <v>345.29566269383736</v>
      </c>
      <c r="S12" s="112">
        <f t="shared" si="10"/>
        <v>654.43853166441852</v>
      </c>
      <c r="T12" s="112">
        <f t="shared" si="11"/>
        <v>254.24799520572202</v>
      </c>
      <c r="U12" s="112">
        <f t="shared" si="17"/>
        <v>123.12939876086506</v>
      </c>
      <c r="V12" s="112">
        <f t="shared" si="12"/>
        <v>156.37657536071774</v>
      </c>
      <c r="W12" s="112">
        <f t="shared" si="13"/>
        <v>397.05902684479105</v>
      </c>
      <c r="X12" s="112">
        <f t="shared" si="14"/>
        <v>300.4570028534925</v>
      </c>
      <c r="Y12" s="116">
        <f t="shared" si="15"/>
        <v>0</v>
      </c>
      <c r="Z12" s="116"/>
      <c r="AA12" s="117">
        <f t="shared" si="2"/>
        <v>5.8008434853007246E-2</v>
      </c>
      <c r="AB12" s="212">
        <f t="shared" si="16"/>
        <v>385.50665550263022</v>
      </c>
    </row>
    <row r="13" spans="2:30" ht="15.75" thickBot="1" x14ac:dyDescent="0.3">
      <c r="B13" s="273">
        <v>225</v>
      </c>
      <c r="C13" s="159" t="s">
        <v>59</v>
      </c>
      <c r="D13" s="118"/>
      <c r="H13" s="214">
        <v>10563.18</v>
      </c>
      <c r="J13" s="118">
        <f t="shared" si="1"/>
        <v>6.5310181908293519E-2</v>
      </c>
      <c r="K13" s="108">
        <f t="shared" si="3"/>
        <v>629.14408505351582</v>
      </c>
      <c r="L13" s="108">
        <f t="shared" si="4"/>
        <v>147.1392681266517</v>
      </c>
      <c r="M13" s="108">
        <f t="shared" si="5"/>
        <v>295.86492057185586</v>
      </c>
      <c r="N13" s="108">
        <f t="shared" si="6"/>
        <v>54.242065380295017</v>
      </c>
      <c r="O13" s="109">
        <f t="shared" si="7"/>
        <v>87.238075484003062</v>
      </c>
      <c r="P13" s="108"/>
      <c r="Q13" s="108">
        <f t="shared" si="8"/>
        <v>88.407127740161528</v>
      </c>
      <c r="R13" s="108">
        <f t="shared" si="9"/>
        <v>225.62055442039079</v>
      </c>
      <c r="S13" s="108">
        <f t="shared" si="10"/>
        <v>427.61841604455179</v>
      </c>
      <c r="T13" s="108">
        <f t="shared" si="11"/>
        <v>166.12885661830714</v>
      </c>
      <c r="U13" s="108">
        <f t="shared" si="17"/>
        <v>80.454306889188629</v>
      </c>
      <c r="V13" s="108">
        <f t="shared" si="12"/>
        <v>102.17843269734429</v>
      </c>
      <c r="W13" s="108">
        <f t="shared" si="13"/>
        <v>259.44339142705786</v>
      </c>
      <c r="X13" s="108">
        <f t="shared" si="14"/>
        <v>196.32240681633033</v>
      </c>
      <c r="Y13" s="119"/>
      <c r="Z13" s="119"/>
      <c r="AA13" s="120">
        <f t="shared" si="2"/>
        <v>3.7903445211239839E-2</v>
      </c>
      <c r="AB13" s="212">
        <f t="shared" si="16"/>
        <v>251.89492584033658</v>
      </c>
    </row>
    <row r="14" spans="2:30" x14ac:dyDescent="0.25">
      <c r="B14" s="273">
        <v>334</v>
      </c>
      <c r="C14" s="159" t="s">
        <v>76</v>
      </c>
      <c r="D14" s="118"/>
      <c r="H14" s="319">
        <v>0</v>
      </c>
      <c r="J14" s="118">
        <f t="shared" si="1"/>
        <v>0</v>
      </c>
      <c r="K14" s="108">
        <f t="shared" si="3"/>
        <v>0</v>
      </c>
      <c r="L14" s="108">
        <f t="shared" si="4"/>
        <v>0</v>
      </c>
      <c r="M14" s="108">
        <f t="shared" si="5"/>
        <v>0</v>
      </c>
      <c r="N14" s="108">
        <f t="shared" si="6"/>
        <v>0</v>
      </c>
      <c r="O14" s="109">
        <f t="shared" si="7"/>
        <v>0</v>
      </c>
      <c r="P14" s="108"/>
      <c r="Q14" s="108">
        <f t="shared" si="8"/>
        <v>0</v>
      </c>
      <c r="R14" s="108">
        <f t="shared" si="9"/>
        <v>0</v>
      </c>
      <c r="S14" s="108">
        <f t="shared" si="10"/>
        <v>0</v>
      </c>
      <c r="T14" s="108">
        <f t="shared" si="11"/>
        <v>0</v>
      </c>
      <c r="U14" s="108">
        <f t="shared" si="17"/>
        <v>0</v>
      </c>
      <c r="V14" s="108">
        <f t="shared" si="12"/>
        <v>0</v>
      </c>
      <c r="W14" s="108">
        <f t="shared" si="13"/>
        <v>0</v>
      </c>
      <c r="X14" s="108">
        <f t="shared" si="14"/>
        <v>0</v>
      </c>
      <c r="Y14" s="119">
        <f t="shared" ref="Y14:Y34" si="18">J14*$Y$3</f>
        <v>0</v>
      </c>
      <c r="Z14" s="119"/>
      <c r="AA14" s="120">
        <f t="shared" si="2"/>
        <v>0</v>
      </c>
      <c r="AB14" s="209">
        <f t="shared" si="16"/>
        <v>0</v>
      </c>
      <c r="AD14" s="159" t="s">
        <v>77</v>
      </c>
    </row>
    <row r="15" spans="2:30" x14ac:dyDescent="0.25">
      <c r="B15" s="273">
        <v>334</v>
      </c>
      <c r="C15" s="159" t="s">
        <v>73</v>
      </c>
      <c r="D15" s="118"/>
      <c r="H15" s="118">
        <v>1869.23</v>
      </c>
      <c r="J15" s="118">
        <f t="shared" si="1"/>
        <v>1.1557102248417569E-2</v>
      </c>
      <c r="K15" s="108">
        <f>J15*$K$3</f>
        <v>111.33153066638867</v>
      </c>
      <c r="L15" s="108">
        <f>J15*$L$3</f>
        <v>26.037342368527391</v>
      </c>
      <c r="M15" s="108">
        <f>J15*$M$3</f>
        <v>52.355406750668848</v>
      </c>
      <c r="N15" s="108">
        <f>J15*$N$3</f>
        <v>9.5985201303782439</v>
      </c>
      <c r="O15" s="109">
        <f>J15*$O$3</f>
        <v>15.437399328323767</v>
      </c>
      <c r="P15" s="108"/>
      <c r="Q15" s="108">
        <f>J15*$Q$3</f>
        <v>15.644271458570444</v>
      </c>
      <c r="R15" s="108">
        <f>J15*$R$3</f>
        <v>39.925165427383334</v>
      </c>
      <c r="S15" s="108">
        <f>J15*$S$3</f>
        <v>75.670126971514037</v>
      </c>
      <c r="T15" s="108">
        <f>J15*$T$3</f>
        <v>29.397685418277288</v>
      </c>
      <c r="U15" s="108">
        <f>J15*$U$3</f>
        <v>14.236963117780636</v>
      </c>
      <c r="V15" s="108">
        <f t="shared" si="12"/>
        <v>18.081202038671773</v>
      </c>
      <c r="W15" s="108">
        <f t="shared" si="13"/>
        <v>45.910357539793829</v>
      </c>
      <c r="X15" s="108">
        <f t="shared" si="14"/>
        <v>34.740649358743212</v>
      </c>
      <c r="Y15" s="119">
        <f t="shared" si="18"/>
        <v>0</v>
      </c>
      <c r="Z15" s="119"/>
      <c r="AA15" s="120">
        <f t="shared" si="2"/>
        <v>6.7072848225823885E-3</v>
      </c>
      <c r="AB15" s="209">
        <f>AA15*$AB$3</f>
        <v>44.574602745435776</v>
      </c>
    </row>
    <row r="16" spans="2:30" x14ac:dyDescent="0.25">
      <c r="B16" s="273" t="s">
        <v>33</v>
      </c>
      <c r="C16" s="159" t="s">
        <v>34</v>
      </c>
      <c r="D16" s="118"/>
      <c r="H16" s="118">
        <v>3538.46</v>
      </c>
      <c r="J16" s="118">
        <f t="shared" si="1"/>
        <v>2.1877641607472399E-2</v>
      </c>
      <c r="K16" s="108">
        <f t="shared" si="3"/>
        <v>210.75104080385489</v>
      </c>
      <c r="L16" s="108">
        <f t="shared" si="4"/>
        <v>49.288795106722787</v>
      </c>
      <c r="M16" s="108">
        <f t="shared" si="5"/>
        <v>99.108998128091073</v>
      </c>
      <c r="N16" s="108">
        <f t="shared" si="6"/>
        <v>18.170037684254051</v>
      </c>
      <c r="O16" s="109">
        <f t="shared" si="7"/>
        <v>29.223059777181255</v>
      </c>
      <c r="P16" s="108"/>
      <c r="Q16" s="108">
        <f t="shared" si="8"/>
        <v>29.614669561955015</v>
      </c>
      <c r="R16" s="108">
        <f t="shared" si="9"/>
        <v>75.57850069717415</v>
      </c>
      <c r="S16" s="108">
        <f t="shared" si="10"/>
        <v>143.24385842492552</v>
      </c>
      <c r="T16" s="108">
        <f t="shared" si="11"/>
        <v>55.649938180511469</v>
      </c>
      <c r="U16" s="108">
        <f t="shared" si="17"/>
        <v>26.950629143413099</v>
      </c>
      <c r="V16" s="108">
        <f t="shared" si="12"/>
        <v>34.227789071306645</v>
      </c>
      <c r="W16" s="108">
        <f t="shared" si="13"/>
        <v>86.908493732851952</v>
      </c>
      <c r="X16" s="108">
        <f t="shared" si="14"/>
        <v>65.764190672062028</v>
      </c>
      <c r="Y16" s="119">
        <f t="shared" si="18"/>
        <v>0</v>
      </c>
      <c r="Z16" s="119"/>
      <c r="AA16" s="120">
        <f t="shared" si="2"/>
        <v>1.2696917475813505E-2</v>
      </c>
      <c r="AB16" s="209">
        <f t="shared" si="16"/>
        <v>84.379904469013809</v>
      </c>
    </row>
    <row r="17" spans="2:28" x14ac:dyDescent="0.25">
      <c r="B17" s="273" t="s">
        <v>35</v>
      </c>
      <c r="C17" s="159" t="s">
        <v>36</v>
      </c>
      <c r="D17" s="118"/>
      <c r="E17" s="339"/>
      <c r="F17" s="339"/>
      <c r="H17" s="118">
        <v>1330</v>
      </c>
      <c r="I17" s="318"/>
      <c r="J17" s="118">
        <f t="shared" si="1"/>
        <v>8.2231432142622195E-3</v>
      </c>
      <c r="K17" s="108">
        <f t="shared" si="3"/>
        <v>79.21493651733438</v>
      </c>
      <c r="L17" s="108">
        <f t="shared" si="4"/>
        <v>18.526166041707782</v>
      </c>
      <c r="M17" s="108">
        <f t="shared" si="5"/>
        <v>37.252072232089994</v>
      </c>
      <c r="N17" s="108">
        <f t="shared" si="6"/>
        <v>6.8295671337412012</v>
      </c>
      <c r="O17" s="109">
        <f t="shared" si="7"/>
        <v>10.984063548450759</v>
      </c>
      <c r="P17" s="108"/>
      <c r="Q17" s="108">
        <f t="shared" si="8"/>
        <v>11.131257811986055</v>
      </c>
      <c r="R17" s="108">
        <f t="shared" si="9"/>
        <v>28.407670547990264</v>
      </c>
      <c r="S17" s="108">
        <f t="shared" si="10"/>
        <v>53.841030195381883</v>
      </c>
      <c r="T17" s="108">
        <f t="shared" si="11"/>
        <v>20.917127162686665</v>
      </c>
      <c r="U17" s="108">
        <f t="shared" si="17"/>
        <v>10.129925662785343</v>
      </c>
      <c r="V17" s="108">
        <f t="shared" si="12"/>
        <v>12.865189790145385</v>
      </c>
      <c r="W17" s="108">
        <f t="shared" si="13"/>
        <v>32.666271955792382</v>
      </c>
      <c r="X17" s="108">
        <f t="shared" si="14"/>
        <v>24.718768502072233</v>
      </c>
      <c r="Y17" s="119">
        <f t="shared" si="18"/>
        <v>0</v>
      </c>
      <c r="Z17" s="119"/>
      <c r="AA17" s="120">
        <f t="shared" si="2"/>
        <v>4.7723869261859569E-3</v>
      </c>
      <c r="AB17" s="209">
        <f t="shared" si="16"/>
        <v>31.715851795354013</v>
      </c>
    </row>
    <row r="18" spans="2:28" x14ac:dyDescent="0.25">
      <c r="B18" s="273" t="s">
        <v>37</v>
      </c>
      <c r="C18" s="159" t="s">
        <v>38</v>
      </c>
      <c r="D18" s="118"/>
      <c r="H18" s="118">
        <v>2000</v>
      </c>
      <c r="J18" s="118">
        <f t="shared" si="1"/>
        <v>1.2365628893627396E-2</v>
      </c>
      <c r="K18" s="108">
        <f t="shared" si="3"/>
        <v>119.12020528922463</v>
      </c>
      <c r="L18" s="108">
        <f t="shared" si="4"/>
        <v>27.858896303319966</v>
      </c>
      <c r="M18" s="108">
        <f t="shared" si="5"/>
        <v>56.018153732466146</v>
      </c>
      <c r="N18" s="108">
        <f t="shared" si="6"/>
        <v>10.270025765024361</v>
      </c>
      <c r="O18" s="109">
        <f t="shared" si="7"/>
        <v>16.517388794662793</v>
      </c>
      <c r="P18" s="108"/>
      <c r="Q18" s="108">
        <f t="shared" si="8"/>
        <v>16.738733551858726</v>
      </c>
      <c r="R18" s="108">
        <f t="shared" si="9"/>
        <v>42.718301575925203</v>
      </c>
      <c r="S18" s="108">
        <f t="shared" si="10"/>
        <v>80.963955181025369</v>
      </c>
      <c r="T18" s="108">
        <f t="shared" si="11"/>
        <v>31.45432656043107</v>
      </c>
      <c r="U18" s="108">
        <f t="shared" si="17"/>
        <v>15.232970921481717</v>
      </c>
      <c r="V18" s="108">
        <f t="shared" si="12"/>
        <v>19.346150060368998</v>
      </c>
      <c r="W18" s="108">
        <f t="shared" si="13"/>
        <v>49.122213467356957</v>
      </c>
      <c r="X18" s="108">
        <f t="shared" si="14"/>
        <v>37.171080454243956</v>
      </c>
      <c r="Y18" s="119">
        <f t="shared" si="18"/>
        <v>0</v>
      </c>
      <c r="Z18" s="119"/>
      <c r="AA18" s="120">
        <f t="shared" si="2"/>
        <v>7.1765216935127177E-3</v>
      </c>
      <c r="AB18" s="209">
        <f t="shared" si="16"/>
        <v>47.69301021857747</v>
      </c>
    </row>
    <row r="19" spans="2:28" x14ac:dyDescent="0.25">
      <c r="B19" s="273">
        <v>335</v>
      </c>
      <c r="C19" s="159" t="s">
        <v>39</v>
      </c>
      <c r="H19" s="118">
        <v>846.15</v>
      </c>
      <c r="J19" s="118">
        <f t="shared" si="1"/>
        <v>5.2315884441714111E-3</v>
      </c>
      <c r="K19" s="108">
        <f>J19*$K$3</f>
        <v>50.396780852738715</v>
      </c>
      <c r="L19" s="108">
        <f>J19*$L$3</f>
        <v>11.786402553527097</v>
      </c>
      <c r="M19" s="108">
        <f>J19*$M$3</f>
        <v>23.699880390363116</v>
      </c>
      <c r="N19" s="108">
        <f>J19*$N$3</f>
        <v>4.3449911505376821</v>
      </c>
      <c r="O19" s="109">
        <f>J19*$O$3</f>
        <v>6.9880942643019628</v>
      </c>
      <c r="P19" s="108"/>
      <c r="Q19" s="108">
        <f>J19*$Q$3</f>
        <v>7.0817396974526314</v>
      </c>
      <c r="R19" s="108">
        <f>J19*$R$3</f>
        <v>18.073045439234555</v>
      </c>
      <c r="S19" s="108">
        <f>J19*$S$3</f>
        <v>34.253825338212316</v>
      </c>
      <c r="T19" s="108">
        <f>J19*$T$3</f>
        <v>13.307539209554378</v>
      </c>
      <c r="U19" s="108">
        <f>J19*$U$3</f>
        <v>6.4446891726058784</v>
      </c>
      <c r="V19" s="108">
        <f>J19*$V$3</f>
        <v>8.1848724367906147</v>
      </c>
      <c r="W19" s="108">
        <f>J19*$W$3</f>
        <v>20.782380462702047</v>
      </c>
      <c r="X19" s="108">
        <f>J19*$X$3</f>
        <v>15.726154863179262</v>
      </c>
      <c r="Y19" s="119">
        <f>J19*$Y$3</f>
        <v>0</v>
      </c>
      <c r="Z19" s="119"/>
      <c r="AA19" s="120">
        <f t="shared" si="2"/>
        <v>3.0362069154828931E-3</v>
      </c>
      <c r="AB19" s="209">
        <f>AA19*$AB$3</f>
        <v>20.177720298224664</v>
      </c>
    </row>
    <row r="20" spans="2:28" x14ac:dyDescent="0.25">
      <c r="B20" s="273">
        <v>339</v>
      </c>
      <c r="C20" s="159" t="s">
        <v>58</v>
      </c>
      <c r="D20" s="118"/>
      <c r="H20" s="214">
        <v>5538.46</v>
      </c>
      <c r="J20" s="118">
        <f t="shared" si="1"/>
        <v>3.4243270501099793E-2</v>
      </c>
      <c r="K20" s="108">
        <f t="shared" si="3"/>
        <v>329.87124609307949</v>
      </c>
      <c r="L20" s="108">
        <f t="shared" si="4"/>
        <v>77.147691410042754</v>
      </c>
      <c r="M20" s="108">
        <f t="shared" si="5"/>
        <v>155.12715186055721</v>
      </c>
      <c r="N20" s="108">
        <f t="shared" si="6"/>
        <v>28.440063449278409</v>
      </c>
      <c r="O20" s="109">
        <f t="shared" si="7"/>
        <v>45.740448571844048</v>
      </c>
      <c r="P20" s="108"/>
      <c r="Q20" s="108">
        <f t="shared" si="8"/>
        <v>46.353403113813741</v>
      </c>
      <c r="R20" s="108">
        <f t="shared" si="9"/>
        <v>118.29680227309935</v>
      </c>
      <c r="S20" s="108">
        <f t="shared" si="10"/>
        <v>224.20781360595089</v>
      </c>
      <c r="T20" s="108">
        <f t="shared" si="11"/>
        <v>87.10426474094254</v>
      </c>
      <c r="U20" s="108">
        <f t="shared" si="17"/>
        <v>42.183600064894819</v>
      </c>
      <c r="V20" s="108">
        <f t="shared" si="12"/>
        <v>53.573939131675637</v>
      </c>
      <c r="W20" s="108">
        <f t="shared" si="13"/>
        <v>136.03070720020889</v>
      </c>
      <c r="X20" s="108">
        <f t="shared" si="14"/>
        <v>102.93527112630598</v>
      </c>
      <c r="Y20" s="119">
        <f t="shared" si="18"/>
        <v>0</v>
      </c>
      <c r="Z20" s="119"/>
      <c r="AA20" s="120">
        <f t="shared" si="2"/>
        <v>1.9873439169326223E-2</v>
      </c>
      <c r="AB20" s="209">
        <f t="shared" si="16"/>
        <v>132.07291468759126</v>
      </c>
    </row>
    <row r="21" spans="2:28" ht="15.75" thickBot="1" x14ac:dyDescent="0.3">
      <c r="B21" s="273">
        <v>368</v>
      </c>
      <c r="C21" s="159" t="s">
        <v>40</v>
      </c>
      <c r="D21" s="118"/>
      <c r="H21" s="214">
        <v>4903.5</v>
      </c>
      <c r="J21" s="118">
        <f t="shared" si="1"/>
        <v>3.031743063995097E-2</v>
      </c>
      <c r="K21" s="108">
        <f>J21*$K$3</f>
        <v>292.05296331785649</v>
      </c>
      <c r="L21" s="108">
        <f>J21*$L$3</f>
        <v>68.30304901166474</v>
      </c>
      <c r="M21" s="108">
        <f>J21*$M$3</f>
        <v>137.34250841357388</v>
      </c>
      <c r="N21" s="108">
        <f>J21*$N$3</f>
        <v>25.179535669398479</v>
      </c>
      <c r="O21" s="109">
        <f>J21*$O$3</f>
        <v>40.496507977314508</v>
      </c>
      <c r="P21" s="108"/>
      <c r="Q21" s="108">
        <f>J21*$Q$3</f>
        <v>41.039189985769632</v>
      </c>
      <c r="R21" s="108">
        <f>J21*$R$3</f>
        <v>104.73459588877462</v>
      </c>
      <c r="S21" s="108">
        <f>J21*$S$3</f>
        <v>198.50337711507899</v>
      </c>
      <c r="T21" s="108">
        <f>J21*$T$3</f>
        <v>77.118145144536882</v>
      </c>
      <c r="U21" s="108">
        <f>J21*$U$3</f>
        <v>37.347436456742805</v>
      </c>
      <c r="V21" s="108">
        <f>J21*$V$3</f>
        <v>47.43192341050969</v>
      </c>
      <c r="W21" s="108">
        <f>J21*$W$3</f>
        <v>120.43538686859243</v>
      </c>
      <c r="X21" s="108">
        <f>J21*$X$3</f>
        <v>91.134196503692621</v>
      </c>
      <c r="Y21" s="119">
        <f>J21*$Y$3</f>
        <v>0</v>
      </c>
      <c r="Z21" s="119"/>
      <c r="AA21" s="120">
        <f t="shared" si="2"/>
        <v>1.7595037062069805E-2</v>
      </c>
      <c r="AB21" s="209">
        <f>AA21*$AB$3</f>
        <v>116.9313378033973</v>
      </c>
    </row>
    <row r="22" spans="2:28" ht="15.75" thickBot="1" x14ac:dyDescent="0.3">
      <c r="B22" s="273">
        <v>451</v>
      </c>
      <c r="C22" s="159" t="s">
        <v>41</v>
      </c>
      <c r="D22" s="118"/>
      <c r="H22" s="213">
        <v>16068.9</v>
      </c>
      <c r="J22" s="118">
        <f t="shared" si="1"/>
        <v>9.9351027064404643E-2</v>
      </c>
      <c r="K22" s="108">
        <f t="shared" si="3"/>
        <v>957.06533338601093</v>
      </c>
      <c r="L22" s="108">
        <f t="shared" si="4"/>
        <v>223.83090940420914</v>
      </c>
      <c r="M22" s="108">
        <f t="shared" si="5"/>
        <v>450.07505525581263</v>
      </c>
      <c r="N22" s="108">
        <f t="shared" si="6"/>
        <v>82.514008507799986</v>
      </c>
      <c r="O22" s="109">
        <f t="shared" si="7"/>
        <v>132.7081344012785</v>
      </c>
      <c r="P22" s="108"/>
      <c r="Q22" s="108">
        <f t="shared" si="8"/>
        <v>134.48651778573137</v>
      </c>
      <c r="R22" s="108">
        <f t="shared" si="9"/>
        <v>343.21805809669229</v>
      </c>
      <c r="S22" s="108">
        <f t="shared" si="10"/>
        <v>650.50084970418936</v>
      </c>
      <c r="T22" s="108">
        <f t="shared" si="11"/>
        <v>252.71821403345544</v>
      </c>
      <c r="U22" s="108">
        <f t="shared" si="17"/>
        <v>122.3885432200988</v>
      </c>
      <c r="V22" s="108">
        <f t="shared" si="12"/>
        <v>155.43567535253172</v>
      </c>
      <c r="W22" s="108">
        <f t="shared" si="13"/>
        <v>394.66996799280616</v>
      </c>
      <c r="X22" s="108">
        <f t="shared" si="14"/>
        <v>298.64918735560036</v>
      </c>
      <c r="Y22" s="119">
        <f t="shared" si="18"/>
        <v>0</v>
      </c>
      <c r="Z22" s="119"/>
      <c r="AA22" s="120">
        <f t="shared" si="2"/>
        <v>5.7659404720443251E-2</v>
      </c>
      <c r="AB22" s="209">
        <f t="shared" si="16"/>
        <v>383.18710595064971</v>
      </c>
    </row>
    <row r="23" spans="2:28" x14ac:dyDescent="0.25">
      <c r="B23" s="273">
        <v>467</v>
      </c>
      <c r="C23" s="159" t="s">
        <v>78</v>
      </c>
      <c r="D23" s="118"/>
      <c r="H23" s="214"/>
      <c r="J23" s="118">
        <f t="shared" si="1"/>
        <v>0</v>
      </c>
      <c r="K23" s="108">
        <f>J23*$K$3</f>
        <v>0</v>
      </c>
      <c r="L23" s="108">
        <f>J23*$L$3</f>
        <v>0</v>
      </c>
      <c r="M23" s="108">
        <f>J23*$M$3</f>
        <v>0</v>
      </c>
      <c r="N23" s="108">
        <f>J23*$N$3</f>
        <v>0</v>
      </c>
      <c r="O23" s="109">
        <f>J23*$O$3</f>
        <v>0</v>
      </c>
      <c r="P23" s="108"/>
      <c r="Q23" s="108">
        <f>J23*$Q$3</f>
        <v>0</v>
      </c>
      <c r="R23" s="108">
        <f>J23*$R$3</f>
        <v>0</v>
      </c>
      <c r="S23" s="108">
        <f>J23*$S$3</f>
        <v>0</v>
      </c>
      <c r="T23" s="108">
        <f>J23*$T$3</f>
        <v>0</v>
      </c>
      <c r="U23" s="108">
        <f>J23*$U$3</f>
        <v>0</v>
      </c>
      <c r="V23" s="108">
        <f>J23*$V$3</f>
        <v>0</v>
      </c>
      <c r="W23" s="108">
        <f>J23*$W$3</f>
        <v>0</v>
      </c>
      <c r="X23" s="108">
        <f>J23*$X$3</f>
        <v>0</v>
      </c>
      <c r="Y23" s="119">
        <f>J23*$Y$3</f>
        <v>0</v>
      </c>
      <c r="Z23" s="119"/>
      <c r="AA23" s="120">
        <f t="shared" si="2"/>
        <v>0</v>
      </c>
      <c r="AB23" s="209">
        <f>AA23*$AB$3</f>
        <v>0</v>
      </c>
    </row>
    <row r="24" spans="2:28" x14ac:dyDescent="0.25">
      <c r="B24" s="273">
        <v>468</v>
      </c>
      <c r="C24" s="159" t="s">
        <v>45</v>
      </c>
      <c r="D24" s="118"/>
      <c r="H24" s="214">
        <v>6307.7</v>
      </c>
      <c r="J24" s="118">
        <f t="shared" si="1"/>
        <v>3.8999338686166764E-2</v>
      </c>
      <c r="K24" s="108">
        <f>J24*$K$3</f>
        <v>375.68725945142108</v>
      </c>
      <c r="L24" s="108">
        <f>J24*$L$3</f>
        <v>87.862780106225685</v>
      </c>
      <c r="M24" s="108">
        <f>J24*$M$3</f>
        <v>176.67285414913835</v>
      </c>
      <c r="N24" s="108">
        <f>J24*$N$3</f>
        <v>32.390120759022082</v>
      </c>
      <c r="O24" s="109">
        <f>J24*$O$3</f>
        <v>52.093366650047251</v>
      </c>
      <c r="P24" s="108"/>
      <c r="Q24" s="108">
        <f>J24*$Q$3</f>
        <v>52.791454812529643</v>
      </c>
      <c r="R24" s="108">
        <f>J24*$R$3</f>
        <v>134.72711542523169</v>
      </c>
      <c r="S24" s="108">
        <f>J24*$S$3</f>
        <v>255.34817004767689</v>
      </c>
      <c r="T24" s="108">
        <f>J24*$T$3</f>
        <v>99.202227822615541</v>
      </c>
      <c r="U24" s="108">
        <f>J24*$U$3</f>
        <v>48.042505340715117</v>
      </c>
      <c r="V24" s="108">
        <f>J24*$V$3</f>
        <v>61.014855367894761</v>
      </c>
      <c r="W24" s="108">
        <f>J24*$W$3</f>
        <v>154.92409294402376</v>
      </c>
      <c r="X24" s="108">
        <f>J24*$X$3</f>
        <v>117.23201209061729</v>
      </c>
      <c r="Y24" s="119">
        <f>J24*$Y$3</f>
        <v>0</v>
      </c>
      <c r="Z24" s="119"/>
      <c r="AA24" s="120">
        <f t="shared" si="2"/>
        <v>2.2633672943085083E-2</v>
      </c>
      <c r="AB24" s="209">
        <f>AA24*$AB$3</f>
        <v>150.41660027786054</v>
      </c>
    </row>
    <row r="25" spans="2:28" x14ac:dyDescent="0.25">
      <c r="B25" s="273">
        <v>552</v>
      </c>
      <c r="C25" s="159" t="s">
        <v>46</v>
      </c>
      <c r="D25" s="118"/>
      <c r="H25" s="214">
        <v>665</v>
      </c>
      <c r="J25" s="118">
        <f t="shared" si="1"/>
        <v>4.1115716071311098E-3</v>
      </c>
      <c r="K25" s="108">
        <f t="shared" si="3"/>
        <v>39.60746825866719</v>
      </c>
      <c r="L25" s="108">
        <f t="shared" si="4"/>
        <v>9.263083020853891</v>
      </c>
      <c r="M25" s="108">
        <f t="shared" si="5"/>
        <v>18.626036116044997</v>
      </c>
      <c r="N25" s="108">
        <f t="shared" si="6"/>
        <v>3.4147835668706006</v>
      </c>
      <c r="O25" s="109">
        <f t="shared" si="7"/>
        <v>5.4920317742253797</v>
      </c>
      <c r="P25" s="108"/>
      <c r="Q25" s="108">
        <f t="shared" si="8"/>
        <v>5.5656289059930275</v>
      </c>
      <c r="R25" s="108">
        <f t="shared" si="9"/>
        <v>14.203835273995132</v>
      </c>
      <c r="S25" s="108">
        <f t="shared" si="10"/>
        <v>26.920515097690942</v>
      </c>
      <c r="T25" s="108">
        <f t="shared" si="11"/>
        <v>10.458563581343332</v>
      </c>
      <c r="U25" s="108">
        <f t="shared" si="17"/>
        <v>5.0649628313926716</v>
      </c>
      <c r="V25" s="108">
        <f t="shared" si="12"/>
        <v>6.4325948950726923</v>
      </c>
      <c r="W25" s="108">
        <f t="shared" si="13"/>
        <v>16.333135977896191</v>
      </c>
      <c r="X25" s="108">
        <f t="shared" si="14"/>
        <v>12.359384251036117</v>
      </c>
      <c r="Y25" s="119">
        <f t="shared" si="18"/>
        <v>0</v>
      </c>
      <c r="Z25" s="119"/>
      <c r="AA25" s="120">
        <f t="shared" si="2"/>
        <v>2.3861934630929785E-3</v>
      </c>
      <c r="AB25" s="209">
        <f t="shared" si="16"/>
        <v>15.857925897677006</v>
      </c>
    </row>
    <row r="26" spans="2:28" x14ac:dyDescent="0.25">
      <c r="B26" s="273">
        <v>560</v>
      </c>
      <c r="C26" s="159" t="s">
        <v>49</v>
      </c>
      <c r="D26" s="118"/>
      <c r="H26" s="214">
        <v>461.54</v>
      </c>
      <c r="J26" s="118">
        <f t="shared" si="1"/>
        <v>2.8536161797823945E-3</v>
      </c>
      <c r="K26" s="108">
        <f>J26*$K$3</f>
        <v>27.489369774594369</v>
      </c>
      <c r="L26" s="108">
        <f>J26*$L$3</f>
        <v>6.4289974999171493</v>
      </c>
      <c r="M26" s="108">
        <f>J26*$M$3</f>
        <v>12.927309336841214</v>
      </c>
      <c r="N26" s="108">
        <f>J26*$N$3</f>
        <v>2.3700138457946722</v>
      </c>
      <c r="O26" s="109">
        <f>J26*$O$3</f>
        <v>3.8117178121443334</v>
      </c>
      <c r="P26" s="108"/>
      <c r="Q26" s="108">
        <f>J26*$Q$3</f>
        <v>3.8627975417624385</v>
      </c>
      <c r="R26" s="108">
        <f>J26*$R$3</f>
        <v>9.8581024546762599</v>
      </c>
      <c r="S26" s="108">
        <f>J26*$S$3</f>
        <v>18.684051937125229</v>
      </c>
      <c r="T26" s="108">
        <f>J26*$T$3</f>
        <v>7.2587149403506794</v>
      </c>
      <c r="U26" s="108">
        <f>J26*$U$3</f>
        <v>3.5153126995503365</v>
      </c>
      <c r="V26" s="108">
        <f t="shared" si="12"/>
        <v>4.464511049431354</v>
      </c>
      <c r="W26" s="108">
        <f t="shared" si="13"/>
        <v>11.335933201861966</v>
      </c>
      <c r="X26" s="108">
        <f t="shared" si="14"/>
        <v>8.5779702364258785</v>
      </c>
      <c r="Y26" s="119">
        <f t="shared" si="18"/>
        <v>0</v>
      </c>
      <c r="Z26" s="119"/>
      <c r="AA26" s="120">
        <f t="shared" si="2"/>
        <v>1.65612591121193E-3</v>
      </c>
      <c r="AB26" s="209">
        <f>AA26*$AB$3</f>
        <v>11.006115968141122</v>
      </c>
    </row>
    <row r="27" spans="2:28" x14ac:dyDescent="0.25">
      <c r="B27" s="273">
        <v>561</v>
      </c>
      <c r="C27" s="159" t="s">
        <v>67</v>
      </c>
      <c r="D27" s="118"/>
      <c r="H27" s="214">
        <v>461.54</v>
      </c>
      <c r="J27" s="118">
        <f t="shared" si="1"/>
        <v>2.8536161797823945E-3</v>
      </c>
      <c r="K27" s="108">
        <f>J27*$K$3</f>
        <v>27.489369774594369</v>
      </c>
      <c r="L27" s="108">
        <f>J27*$L$3</f>
        <v>6.4289974999171493</v>
      </c>
      <c r="M27" s="108">
        <f>J27*$M$3</f>
        <v>12.927309336841214</v>
      </c>
      <c r="N27" s="108">
        <f>J27*$N$3</f>
        <v>2.3700138457946722</v>
      </c>
      <c r="O27" s="109">
        <f>J27*$O$3</f>
        <v>3.8117178121443334</v>
      </c>
      <c r="P27" s="108"/>
      <c r="Q27" s="108">
        <f>J27*$Q$3</f>
        <v>3.8627975417624385</v>
      </c>
      <c r="R27" s="108">
        <f>J27*$R$3</f>
        <v>9.8581024546762599</v>
      </c>
      <c r="S27" s="108">
        <f>J27*$S$3</f>
        <v>18.684051937125229</v>
      </c>
      <c r="T27" s="108">
        <f>J27*$T$3</f>
        <v>7.2587149403506794</v>
      </c>
      <c r="U27" s="108">
        <f>J27*$U$3</f>
        <v>3.5153126995503365</v>
      </c>
      <c r="V27" s="108">
        <f t="shared" si="12"/>
        <v>4.464511049431354</v>
      </c>
      <c r="W27" s="108">
        <f t="shared" si="13"/>
        <v>11.335933201861966</v>
      </c>
      <c r="X27" s="108">
        <f t="shared" si="14"/>
        <v>8.5779702364258785</v>
      </c>
      <c r="Y27" s="119">
        <f t="shared" si="18"/>
        <v>0</v>
      </c>
      <c r="Z27" s="119"/>
      <c r="AA27" s="120">
        <f t="shared" si="2"/>
        <v>1.65612591121193E-3</v>
      </c>
      <c r="AB27" s="209">
        <f>AA27*$AB$3</f>
        <v>11.006115968141122</v>
      </c>
    </row>
    <row r="28" spans="2:28" x14ac:dyDescent="0.25">
      <c r="B28" s="273">
        <v>563</v>
      </c>
      <c r="C28" s="159" t="s">
        <v>117</v>
      </c>
      <c r="D28" s="118"/>
      <c r="H28" s="214">
        <v>769.23</v>
      </c>
      <c r="J28" s="118">
        <f t="shared" si="1"/>
        <v>4.7560063569225012E-3</v>
      </c>
      <c r="K28" s="108">
        <f>J28*$K$3</f>
        <v>45.815417757315132</v>
      </c>
      <c r="L28" s="108">
        <f>J28*$L$3</f>
        <v>10.714949401701411</v>
      </c>
      <c r="M28" s="108">
        <f>J28*$M$3</f>
        <v>21.545422197812467</v>
      </c>
      <c r="N28" s="108">
        <f>J28*$N$3</f>
        <v>3.9500059596148449</v>
      </c>
      <c r="O28" s="109">
        <f>J28*$O$3</f>
        <v>6.3528354912592313</v>
      </c>
      <c r="P28" s="108"/>
      <c r="Q28" s="108">
        <f>J28*$Q$3</f>
        <v>6.4379680050481438</v>
      </c>
      <c r="R28" s="108">
        <f>J28*$R$3</f>
        <v>16.430099560624473</v>
      </c>
      <c r="S28" s="108">
        <f>J28*$S$3</f>
        <v>31.139951621950075</v>
      </c>
      <c r="T28" s="108">
        <f>J28*$T$3</f>
        <v>12.097805810040198</v>
      </c>
      <c r="U28" s="108">
        <f>J28*$U$3</f>
        <v>5.8588291109656909</v>
      </c>
      <c r="V28" s="108">
        <f t="shared" si="12"/>
        <v>7.4408195054688226</v>
      </c>
      <c r="W28" s="108">
        <f t="shared" si="13"/>
        <v>18.893140132747497</v>
      </c>
      <c r="X28" s="108">
        <f t="shared" si="14"/>
        <v>14.296555108909038</v>
      </c>
      <c r="Y28" s="119">
        <f t="shared" si="18"/>
        <v>0</v>
      </c>
      <c r="Z28" s="119"/>
      <c r="AA28" s="120">
        <f t="shared" si="2"/>
        <v>2.7601978911503942E-3</v>
      </c>
      <c r="AB28" s="209">
        <f>AA28*$AB$3</f>
        <v>18.343447125218173</v>
      </c>
    </row>
    <row r="29" spans="2:28" x14ac:dyDescent="0.25">
      <c r="B29" s="273">
        <v>569</v>
      </c>
      <c r="C29" s="159" t="s">
        <v>47</v>
      </c>
      <c r="D29" s="118"/>
      <c r="H29" s="214">
        <v>2449.62</v>
      </c>
      <c r="J29" s="118">
        <f t="shared" si="1"/>
        <v>1.5145545925203771E-2</v>
      </c>
      <c r="K29" s="108">
        <f t="shared" si="3"/>
        <v>145.89961864029522</v>
      </c>
      <c r="L29" s="108">
        <f t="shared" si="4"/>
        <v>34.121854781269327</v>
      </c>
      <c r="M29" s="108">
        <f t="shared" si="5"/>
        <v>68.611594873061861</v>
      </c>
      <c r="N29" s="108">
        <f t="shared" si="6"/>
        <v>12.578830257259488</v>
      </c>
      <c r="O29" s="109">
        <f t="shared" si="7"/>
        <v>20.230662969590938</v>
      </c>
      <c r="P29" s="108"/>
      <c r="Q29" s="108">
        <f t="shared" si="8"/>
        <v>20.501768241652087</v>
      </c>
      <c r="R29" s="108">
        <f t="shared" si="9"/>
        <v>52.321802953208945</v>
      </c>
      <c r="S29" s="108">
        <f t="shared" si="10"/>
        <v>99.165461945271687</v>
      </c>
      <c r="T29" s="108">
        <f t="shared" si="11"/>
        <v>38.525573714481581</v>
      </c>
      <c r="U29" s="108">
        <f t="shared" si="17"/>
        <v>18.657495114340023</v>
      </c>
      <c r="V29" s="108">
        <f t="shared" si="12"/>
        <v>23.695358055440551</v>
      </c>
      <c r="W29" s="108">
        <f t="shared" si="13"/>
        <v>60.165378276953476</v>
      </c>
      <c r="X29" s="108">
        <f t="shared" si="14"/>
        <v>45.527511051162534</v>
      </c>
      <c r="Y29" s="119">
        <f t="shared" si="18"/>
        <v>0</v>
      </c>
      <c r="Z29" s="119"/>
      <c r="AA29" s="120">
        <f t="shared" si="2"/>
        <v>8.7898755354313112E-3</v>
      </c>
      <c r="AB29" s="209">
        <f t="shared" si="16"/>
        <v>58.414875845815864</v>
      </c>
    </row>
    <row r="30" spans="2:28" x14ac:dyDescent="0.25">
      <c r="B30" s="273">
        <v>582</v>
      </c>
      <c r="C30" s="159" t="s">
        <v>48</v>
      </c>
      <c r="D30" s="118"/>
      <c r="H30" s="214">
        <v>1923.08</v>
      </c>
      <c r="J30" s="118">
        <f t="shared" si="1"/>
        <v>1.1890046806378486E-2</v>
      </c>
      <c r="K30" s="108">
        <f>J30*$K$3</f>
        <v>114.53884219380105</v>
      </c>
      <c r="L30" s="108">
        <f>J30*$L$3</f>
        <v>26.78744315149428</v>
      </c>
      <c r="M30" s="108">
        <f>J30*$M$3</f>
        <v>53.863695539915497</v>
      </c>
      <c r="N30" s="108">
        <f>J30*$N$3</f>
        <v>9.8750405741015239</v>
      </c>
      <c r="O30" s="109">
        <f>J30*$O$3</f>
        <v>15.882130021620062</v>
      </c>
      <c r="P30" s="108"/>
      <c r="Q30" s="108">
        <f>J30*$Q$3</f>
        <v>16.094961859454237</v>
      </c>
      <c r="R30" s="108">
        <f>J30*$R$3</f>
        <v>41.075355697315118</v>
      </c>
      <c r="S30" s="108">
        <f>J30*$S$3</f>
        <v>77.850081464763136</v>
      </c>
      <c r="T30" s="108">
        <f>J30*$T$3</f>
        <v>30.244593160916892</v>
      </c>
      <c r="U30" s="108">
        <f>J30*$U$3</f>
        <v>14.647110859841531</v>
      </c>
      <c r="V30" s="108">
        <f>J30*$V$3</f>
        <v>18.602097129047205</v>
      </c>
      <c r="W30" s="108">
        <f>J30*$W$3</f>
        <v>47.232973137402411</v>
      </c>
      <c r="X30" s="108">
        <f>J30*$X$3</f>
        <v>35.741480699973728</v>
      </c>
      <c r="Y30" s="119">
        <f>J30*$Y$3</f>
        <v>0</v>
      </c>
      <c r="Z30" s="119"/>
      <c r="AA30" s="120">
        <f t="shared" si="2"/>
        <v>6.9005126691802183E-3</v>
      </c>
      <c r="AB30" s="209">
        <f>AA30*$AB$3</f>
        <v>45.858737045570976</v>
      </c>
    </row>
    <row r="31" spans="2:28" x14ac:dyDescent="0.25">
      <c r="B31" s="273">
        <v>610</v>
      </c>
      <c r="C31" s="159" t="s">
        <v>53</v>
      </c>
      <c r="D31" s="118"/>
      <c r="H31" s="214">
        <v>8515.39</v>
      </c>
      <c r="J31" s="118">
        <f t="shared" si="1"/>
        <v>5.2649076312252893E-2</v>
      </c>
      <c r="K31" s="108">
        <f t="shared" si="3"/>
        <v>507.17750245890522</v>
      </c>
      <c r="L31" s="108">
        <f t="shared" si="4"/>
        <v>118.61468349616391</v>
      </c>
      <c r="M31" s="108">
        <f t="shared" si="5"/>
        <v>238.50821305595244</v>
      </c>
      <c r="N31" s="108">
        <f t="shared" si="6"/>
        <v>43.726637349615395</v>
      </c>
      <c r="O31" s="109">
        <f t="shared" si="7"/>
        <v>70.326003684091802</v>
      </c>
      <c r="P31" s="108"/>
      <c r="Q31" s="108">
        <f t="shared" si="8"/>
        <v>71.268422150081136</v>
      </c>
      <c r="R31" s="108">
        <f t="shared" si="9"/>
        <v>181.88149902830884</v>
      </c>
      <c r="S31" s="108">
        <f t="shared" si="10"/>
        <v>344.71982715447581</v>
      </c>
      <c r="T31" s="108">
        <f t="shared" si="11"/>
        <v>133.92292892471457</v>
      </c>
      <c r="U31" s="108">
        <f t="shared" si="17"/>
        <v>64.857344127538099</v>
      </c>
      <c r="V31" s="108">
        <f t="shared" si="12"/>
        <v>82.370006381282778</v>
      </c>
      <c r="W31" s="108">
        <f t="shared" si="13"/>
        <v>209.14740266889837</v>
      </c>
      <c r="X31" s="108">
        <f t="shared" si="14"/>
        <v>158.2631233946322</v>
      </c>
      <c r="Y31" s="119">
        <f t="shared" si="18"/>
        <v>0</v>
      </c>
      <c r="Z31" s="119"/>
      <c r="AA31" s="120">
        <f t="shared" si="2"/>
        <v>3.0555440531860628E-2</v>
      </c>
      <c r="AB31" s="209">
        <f t="shared" si="16"/>
        <v>203.06229114258616</v>
      </c>
    </row>
    <row r="32" spans="2:28" x14ac:dyDescent="0.25">
      <c r="B32" s="273">
        <v>620</v>
      </c>
      <c r="C32" s="159" t="s">
        <v>54</v>
      </c>
      <c r="D32" s="118"/>
      <c r="H32" s="214">
        <v>6769.23</v>
      </c>
      <c r="J32" s="118">
        <f t="shared" si="1"/>
        <v>4.1852893037804692E-2</v>
      </c>
      <c r="K32" s="108">
        <f t="shared" si="3"/>
        <v>403.17603362498903</v>
      </c>
      <c r="L32" s="108">
        <f t="shared" si="4"/>
        <v>94.291638311661316</v>
      </c>
      <c r="M32" s="108">
        <f t="shared" si="5"/>
        <v>189.59988339521092</v>
      </c>
      <c r="N32" s="108">
        <f t="shared" si="6"/>
        <v>34.760083254687927</v>
      </c>
      <c r="O32" s="109">
        <f t="shared" si="7"/>
        <v>55.905001875247621</v>
      </c>
      <c r="P32" s="108"/>
      <c r="Q32" s="108">
        <f t="shared" si="8"/>
        <v>56.654168660624322</v>
      </c>
      <c r="R32" s="108">
        <f t="shared" si="9"/>
        <v>144.58500428840009</v>
      </c>
      <c r="S32" s="108">
        <f t="shared" si="10"/>
        <v>274.03181716502621</v>
      </c>
      <c r="T32" s="108">
        <f t="shared" si="11"/>
        <v>106.46078549133343</v>
      </c>
      <c r="U32" s="108">
        <f t="shared" si="17"/>
        <v>51.557741875410848</v>
      </c>
      <c r="V32" s="108">
        <f t="shared" si="12"/>
        <v>65.479269686575819</v>
      </c>
      <c r="W32" s="108">
        <f t="shared" si="13"/>
        <v>166.25978053481839</v>
      </c>
      <c r="X32" s="108">
        <f t="shared" si="14"/>
        <v>125.80979647164091</v>
      </c>
      <c r="Y32" s="119">
        <f t="shared" si="18"/>
        <v>0</v>
      </c>
      <c r="Z32" s="119"/>
      <c r="AA32" s="120">
        <f t="shared" si="2"/>
        <v>2.4289762971688545E-2</v>
      </c>
      <c r="AB32" s="209">
        <f t="shared" si="16"/>
        <v>161.42247778095057</v>
      </c>
    </row>
    <row r="33" spans="2:32" x14ac:dyDescent="0.25">
      <c r="B33" s="273">
        <v>630</v>
      </c>
      <c r="C33" s="159" t="s">
        <v>55</v>
      </c>
      <c r="D33" s="118"/>
      <c r="H33" s="214">
        <v>1261.54</v>
      </c>
      <c r="J33" s="118">
        <f t="shared" si="1"/>
        <v>7.7998677372333527E-3</v>
      </c>
      <c r="K33" s="108">
        <f t="shared" si="3"/>
        <v>75.137451890284211</v>
      </c>
      <c r="L33" s="108">
        <f t="shared" si="4"/>
        <v>17.572556021245138</v>
      </c>
      <c r="M33" s="108">
        <f t="shared" si="5"/>
        <v>35.334570829827669</v>
      </c>
      <c r="N33" s="108">
        <f t="shared" si="6"/>
        <v>6.4780241518044166</v>
      </c>
      <c r="O33" s="109">
        <f t="shared" si="7"/>
        <v>10.418673330009451</v>
      </c>
      <c r="P33" s="108"/>
      <c r="Q33" s="108">
        <f t="shared" si="8"/>
        <v>10.558290962505929</v>
      </c>
      <c r="R33" s="108">
        <f t="shared" si="9"/>
        <v>26.94542308504634</v>
      </c>
      <c r="S33" s="108">
        <f t="shared" si="10"/>
        <v>51.069634009535378</v>
      </c>
      <c r="T33" s="108">
        <f t="shared" si="11"/>
        <v>19.840445564523108</v>
      </c>
      <c r="U33" s="108">
        <f t="shared" si="17"/>
        <v>9.6085010681430241</v>
      </c>
      <c r="V33" s="108">
        <f t="shared" si="12"/>
        <v>12.202971073578952</v>
      </c>
      <c r="W33" s="108">
        <f t="shared" si="13"/>
        <v>30.98481858880475</v>
      </c>
      <c r="X33" s="108">
        <f t="shared" si="14"/>
        <v>23.446402418123458</v>
      </c>
      <c r="Y33" s="119">
        <f t="shared" si="18"/>
        <v>0</v>
      </c>
      <c r="Z33" s="119"/>
      <c r="AA33" s="120">
        <f t="shared" si="2"/>
        <v>4.5267345886170164E-3</v>
      </c>
      <c r="AB33" s="209">
        <f t="shared" si="16"/>
        <v>30.083320055572106</v>
      </c>
    </row>
    <row r="34" spans="2:32" x14ac:dyDescent="0.25">
      <c r="B34" s="273">
        <v>650</v>
      </c>
      <c r="C34" s="159" t="s">
        <v>56</v>
      </c>
      <c r="D34" s="118"/>
      <c r="H34" s="214">
        <v>115</v>
      </c>
      <c r="I34" s="319"/>
      <c r="J34" s="118">
        <f t="shared" si="1"/>
        <v>7.1102366138357527E-4</v>
      </c>
      <c r="K34" s="108">
        <f t="shared" si="3"/>
        <v>6.8494118041304155</v>
      </c>
      <c r="L34" s="108">
        <f t="shared" si="4"/>
        <v>1.6018865374408982</v>
      </c>
      <c r="M34" s="108">
        <f t="shared" si="5"/>
        <v>3.2210438396168031</v>
      </c>
      <c r="N34" s="108">
        <f t="shared" si="6"/>
        <v>0.59052648148890075</v>
      </c>
      <c r="O34" s="109">
        <f t="shared" si="7"/>
        <v>0.94974985569311066</v>
      </c>
      <c r="P34" s="108"/>
      <c r="Q34" s="108">
        <f t="shared" si="8"/>
        <v>0.9624771792318767</v>
      </c>
      <c r="R34" s="108">
        <f t="shared" si="9"/>
        <v>2.4563023406156992</v>
      </c>
      <c r="S34" s="108">
        <f t="shared" si="10"/>
        <v>4.6554274229089589</v>
      </c>
      <c r="T34" s="108">
        <f t="shared" si="11"/>
        <v>1.8086237772247866</v>
      </c>
      <c r="U34" s="108">
        <f t="shared" si="17"/>
        <v>0.87589582798519883</v>
      </c>
      <c r="V34" s="108">
        <f t="shared" si="12"/>
        <v>1.1124036284712173</v>
      </c>
      <c r="W34" s="108">
        <f t="shared" si="13"/>
        <v>2.824527274373025</v>
      </c>
      <c r="X34" s="108">
        <f t="shared" si="14"/>
        <v>2.1373371261190273</v>
      </c>
      <c r="Y34" s="119">
        <f t="shared" si="18"/>
        <v>0</v>
      </c>
      <c r="Z34" s="119"/>
      <c r="AA34" s="120">
        <f t="shared" si="2"/>
        <v>4.1264999737698126E-4</v>
      </c>
      <c r="AB34" s="209">
        <f t="shared" si="16"/>
        <v>2.7423480875682045</v>
      </c>
    </row>
    <row r="35" spans="2:32" x14ac:dyDescent="0.25">
      <c r="D35" s="118"/>
      <c r="H35" s="214"/>
      <c r="I35" s="118">
        <f>SUM(H5:H34)</f>
        <v>161738.63000000006</v>
      </c>
      <c r="J35" s="11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>
        <f t="shared" si="17"/>
        <v>0</v>
      </c>
      <c r="V35" s="108"/>
      <c r="W35" s="108">
        <f t="shared" si="13"/>
        <v>0</v>
      </c>
      <c r="X35" s="108"/>
      <c r="Y35" s="119"/>
      <c r="Z35" s="119"/>
      <c r="AA35" s="120"/>
      <c r="AB35" s="209"/>
    </row>
    <row r="36" spans="2:32" x14ac:dyDescent="0.25">
      <c r="F36" s="119">
        <f>H43</f>
        <v>161738.64000000001</v>
      </c>
      <c r="H36" s="214"/>
      <c r="K36" s="108">
        <f t="shared" ref="K36" si="19">J36*$K$3</f>
        <v>0</v>
      </c>
      <c r="L36" s="108">
        <f t="shared" ref="L36" si="20">J36*$L$3</f>
        <v>0</v>
      </c>
      <c r="M36" s="108">
        <f t="shared" ref="M36" si="21">J36*$M$3</f>
        <v>0</v>
      </c>
      <c r="N36" s="108">
        <f t="shared" ref="N36" si="22">J36*$N$3</f>
        <v>0</v>
      </c>
      <c r="O36" s="108">
        <f t="shared" ref="O36" si="23">J36*$O$3</f>
        <v>0</v>
      </c>
      <c r="P36" s="108"/>
      <c r="Q36" s="108">
        <f t="shared" ref="Q36" si="24">J36*$Q$3</f>
        <v>0</v>
      </c>
      <c r="R36" s="108">
        <f t="shared" ref="R36" si="25">J36*$R$3</f>
        <v>0</v>
      </c>
      <c r="S36" s="108">
        <f t="shared" ref="S36" si="26">J36*$S$3</f>
        <v>0</v>
      </c>
      <c r="T36" s="108">
        <f>J36*$T$3</f>
        <v>0</v>
      </c>
      <c r="U36" s="108">
        <f t="shared" si="17"/>
        <v>0</v>
      </c>
      <c r="V36" s="108">
        <f>J36*$V$3</f>
        <v>0</v>
      </c>
      <c r="W36" s="108">
        <f t="shared" si="13"/>
        <v>0</v>
      </c>
      <c r="X36" s="108">
        <f>J36*$X$3</f>
        <v>0</v>
      </c>
      <c r="Y36" s="119">
        <f>J36*$Y$3</f>
        <v>0</v>
      </c>
      <c r="Z36" s="119"/>
      <c r="AA36" s="120">
        <f>H36/$H$38</f>
        <v>0</v>
      </c>
      <c r="AB36" s="209">
        <f t="shared" ref="AB36:AB37" si="27">AA36*$AB$3</f>
        <v>0</v>
      </c>
    </row>
    <row r="37" spans="2:32" x14ac:dyDescent="0.25">
      <c r="C37" s="159" t="s">
        <v>60</v>
      </c>
      <c r="H37" s="118">
        <v>116947.91</v>
      </c>
      <c r="K37" s="108"/>
      <c r="L37" s="108"/>
      <c r="M37" s="108"/>
      <c r="N37" s="108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AA37" s="120">
        <f>H37/$H$38</f>
        <v>0.41963960656298643</v>
      </c>
      <c r="AB37" s="209">
        <f t="shared" si="27"/>
        <v>2788.798933335639</v>
      </c>
      <c r="AC37" s="159">
        <v>7130</v>
      </c>
    </row>
    <row r="38" spans="2:32" ht="15.75" thickBot="1" x14ac:dyDescent="0.3">
      <c r="H38" s="320">
        <f>SUM(H6:H37)</f>
        <v>278686.54000000004</v>
      </c>
      <c r="I38" s="320"/>
      <c r="J38" s="321">
        <f t="shared" ref="J38:Y38" si="28">SUM(J6:J36)</f>
        <v>0.99999993817185551</v>
      </c>
      <c r="K38" s="358">
        <f t="shared" si="28"/>
        <v>9633.1694043989737</v>
      </c>
      <c r="L38" s="358">
        <f t="shared" si="28"/>
        <v>2252.929860705518</v>
      </c>
      <c r="M38" s="358">
        <f t="shared" si="28"/>
        <v>4530.14971990923</v>
      </c>
      <c r="N38" s="358">
        <f t="shared" si="28"/>
        <v>830.52994864987124</v>
      </c>
      <c r="O38" s="358">
        <f t="shared" si="28"/>
        <v>1335.7499174130553</v>
      </c>
      <c r="P38" s="358">
        <f t="shared" si="28"/>
        <v>0</v>
      </c>
      <c r="Q38" s="358">
        <f t="shared" si="28"/>
        <v>1353.6499163063315</v>
      </c>
      <c r="R38" s="358">
        <f t="shared" si="28"/>
        <v>3454.5997864084916</v>
      </c>
      <c r="S38" s="358">
        <f t="shared" si="28"/>
        <v>6547.4995951802239</v>
      </c>
      <c r="T38" s="358">
        <f t="shared" si="28"/>
        <v>2543.6898427283663</v>
      </c>
      <c r="U38" s="358">
        <f t="shared" si="28"/>
        <v>1231.8799238351451</v>
      </c>
      <c r="V38" s="358">
        <f t="shared" si="28"/>
        <v>1564.5099032692499</v>
      </c>
      <c r="W38" s="358">
        <f t="shared" si="28"/>
        <v>3972.4797543889335</v>
      </c>
      <c r="X38" s="358">
        <f t="shared" si="28"/>
        <v>3005.9998141445972</v>
      </c>
      <c r="Y38" s="321">
        <f t="shared" si="28"/>
        <v>0</v>
      </c>
      <c r="Z38" s="320"/>
      <c r="AA38" s="321">
        <f>SUM(AA6:AA37)</f>
        <v>0.99999999999999978</v>
      </c>
      <c r="AB38" s="359">
        <f>SUM(AB6:AB37)</f>
        <v>6645.6999999999989</v>
      </c>
      <c r="AC38" s="119"/>
    </row>
    <row r="39" spans="2:32" ht="16.5" thickTop="1" thickBot="1" x14ac:dyDescent="0.3">
      <c r="H39" s="341" t="s">
        <v>61</v>
      </c>
      <c r="I39" s="341"/>
      <c r="J39" s="342" t="s">
        <v>62</v>
      </c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</row>
    <row r="40" spans="2:32" x14ac:dyDescent="0.25">
      <c r="C40" s="343">
        <v>43532</v>
      </c>
      <c r="D40" s="344"/>
      <c r="E40" s="344"/>
      <c r="F40" s="344"/>
      <c r="G40" s="345"/>
      <c r="H40" s="345">
        <v>79657.09</v>
      </c>
      <c r="I40" s="345"/>
      <c r="J40" s="346"/>
      <c r="K40" s="158">
        <v>4744.3599999999997</v>
      </c>
      <c r="L40" s="158">
        <v>1109.57</v>
      </c>
      <c r="M40" s="158">
        <v>2228.86</v>
      </c>
      <c r="N40" s="158">
        <v>408.62</v>
      </c>
      <c r="O40" s="158">
        <v>656.71</v>
      </c>
      <c r="P40" s="114"/>
      <c r="Q40" s="114"/>
      <c r="R40" s="114"/>
      <c r="S40" s="114"/>
      <c r="T40" s="114"/>
      <c r="U40" s="114"/>
      <c r="V40" s="114"/>
      <c r="W40" s="114"/>
      <c r="X40" s="114"/>
    </row>
    <row r="41" spans="2:32" x14ac:dyDescent="0.25">
      <c r="C41" s="347">
        <v>43546</v>
      </c>
      <c r="D41" s="348"/>
      <c r="E41" s="348"/>
      <c r="F41" s="348"/>
      <c r="H41" s="118">
        <v>82081.55</v>
      </c>
      <c r="J41" s="349">
        <v>0</v>
      </c>
      <c r="K41" s="158">
        <v>4888.8100000000004</v>
      </c>
      <c r="L41" s="158">
        <v>1143.3599999999999</v>
      </c>
      <c r="M41" s="158">
        <v>2301.29</v>
      </c>
      <c r="N41" s="158">
        <v>421.91</v>
      </c>
      <c r="O41" s="158">
        <v>679.04</v>
      </c>
      <c r="P41" s="114"/>
      <c r="Q41" s="114"/>
      <c r="R41" s="114"/>
      <c r="S41" s="114"/>
      <c r="T41" s="114"/>
      <c r="U41" s="114"/>
      <c r="V41" s="114"/>
      <c r="W41" s="114"/>
      <c r="X41" s="114"/>
    </row>
    <row r="42" spans="2:32" ht="15.75" thickBot="1" x14ac:dyDescent="0.3">
      <c r="C42" s="347"/>
      <c r="D42" s="348"/>
      <c r="E42" s="348"/>
      <c r="F42" s="348"/>
      <c r="J42" s="349"/>
      <c r="K42" s="158"/>
      <c r="L42" s="158"/>
      <c r="M42" s="158"/>
      <c r="N42" s="158"/>
      <c r="O42" s="158"/>
      <c r="P42" s="114"/>
      <c r="Q42" s="114"/>
      <c r="R42" s="114"/>
      <c r="S42" s="114"/>
      <c r="T42" s="114"/>
      <c r="U42" s="114"/>
      <c r="V42" s="114"/>
      <c r="W42" s="114"/>
      <c r="X42" s="114"/>
    </row>
    <row r="43" spans="2:32" ht="15.75" thickBot="1" x14ac:dyDescent="0.3">
      <c r="C43" s="350"/>
      <c r="D43" s="350"/>
      <c r="E43" s="350"/>
      <c r="F43" s="350"/>
      <c r="G43" s="351"/>
      <c r="H43" s="352">
        <f>SUM(H40:H42)</f>
        <v>161738.64000000001</v>
      </c>
      <c r="I43" s="353"/>
      <c r="J43" s="354"/>
      <c r="K43" s="161">
        <f>SUM(K40:K42)</f>
        <v>9633.17</v>
      </c>
      <c r="L43" s="162">
        <f t="shared" ref="L43:O43" si="29">SUM(L40:L42)</f>
        <v>2252.9299999999998</v>
      </c>
      <c r="M43" s="162">
        <f>SUM(M40:M42)</f>
        <v>4530.1499999999996</v>
      </c>
      <c r="N43" s="162">
        <f t="shared" ref="N43" si="30">SUM(N40:N42)</f>
        <v>830.53</v>
      </c>
      <c r="O43" s="163">
        <f t="shared" si="29"/>
        <v>1335.75</v>
      </c>
      <c r="P43" s="114"/>
      <c r="Q43" s="114"/>
      <c r="R43" s="114"/>
      <c r="S43" s="114"/>
      <c r="T43" s="114"/>
      <c r="U43" s="114"/>
      <c r="V43" s="114"/>
      <c r="W43" s="114"/>
      <c r="X43" s="114"/>
    </row>
    <row r="44" spans="2:32" ht="15.75" thickBot="1" x14ac:dyDescent="0.3">
      <c r="H44" s="118">
        <f>H37</f>
        <v>116947.91</v>
      </c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AF44" s="159">
        <v>114.44</v>
      </c>
    </row>
    <row r="45" spans="2:32" ht="15.75" thickBot="1" x14ac:dyDescent="0.3">
      <c r="H45" s="352">
        <f>SUM(H43:H44)</f>
        <v>278686.55000000005</v>
      </c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</row>
    <row r="46" spans="2:32" x14ac:dyDescent="0.25">
      <c r="AF46" s="159">
        <v>151.65</v>
      </c>
    </row>
  </sheetData>
  <pageMargins left="0" right="0" top="0.75" bottom="0.75" header="0.3" footer="0.3"/>
  <pageSetup paperSize="5" scale="56" orientation="landscape" r:id="rId1"/>
  <headerFooter>
    <oddFooter>&amp;L&amp;Z&amp;F &amp;D &amp;T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70FB-F08C-44DD-B08C-49043FDDBC2A}">
  <sheetPr>
    <tabColor theme="5" tint="0.39997558519241921"/>
    <pageSetUpPr fitToPage="1"/>
  </sheetPr>
  <dimension ref="B1:AF46"/>
  <sheetViews>
    <sheetView zoomScale="85" zoomScaleNormal="85" workbookViewId="0">
      <selection sqref="A1:XFD1048576"/>
    </sheetView>
  </sheetViews>
  <sheetFormatPr defaultRowHeight="15" x14ac:dyDescent="0.25"/>
  <cols>
    <col min="1" max="1" width="9.140625" style="159"/>
    <col min="2" max="2" width="9.140625" style="273"/>
    <col min="3" max="3" width="29.28515625" style="159" customWidth="1"/>
    <col min="4" max="4" width="9" style="159" hidden="1" customWidth="1"/>
    <col min="5" max="5" width="8.140625" style="159" hidden="1" customWidth="1"/>
    <col min="6" max="6" width="12.7109375" style="159" hidden="1" customWidth="1"/>
    <col min="7" max="7" width="12.7109375" style="118" hidden="1" customWidth="1"/>
    <col min="8" max="9" width="13.85546875" style="118" customWidth="1"/>
    <col min="10" max="10" width="12.140625" style="121" customWidth="1"/>
    <col min="11" max="11" width="11.28515625" style="157" customWidth="1"/>
    <col min="12" max="12" width="13.42578125" style="157" customWidth="1"/>
    <col min="13" max="13" width="13.28515625" style="159" customWidth="1"/>
    <col min="14" max="14" width="15.7109375" style="159" customWidth="1"/>
    <col min="15" max="15" width="11.7109375" style="157" customWidth="1"/>
    <col min="16" max="16" width="1" style="159" customWidth="1"/>
    <col min="17" max="17" width="13.140625" style="157" customWidth="1"/>
    <col min="18" max="18" width="15.140625" style="157" customWidth="1"/>
    <col min="19" max="19" width="17.42578125" style="159" customWidth="1"/>
    <col min="20" max="20" width="15.5703125" style="157" customWidth="1"/>
    <col min="21" max="21" width="15.28515625" style="157" customWidth="1"/>
    <col min="22" max="23" width="15.140625" style="159" customWidth="1"/>
    <col min="24" max="24" width="15.85546875" style="157" customWidth="1"/>
    <col min="25" max="25" width="15.5703125" style="159" customWidth="1"/>
    <col min="26" max="26" width="2.85546875" style="159" customWidth="1"/>
    <col min="27" max="27" width="8.5703125" style="159" customWidth="1"/>
    <col min="28" max="28" width="11.85546875" style="159" customWidth="1"/>
    <col min="29" max="29" width="12.7109375" style="159" customWidth="1"/>
    <col min="30" max="16384" width="9.140625" style="159"/>
  </cols>
  <sheetData>
    <row r="1" spans="2:30" ht="15.75" thickBot="1" x14ac:dyDescent="0.3">
      <c r="B1" s="118" t="s">
        <v>74</v>
      </c>
      <c r="K1" s="157">
        <v>7251</v>
      </c>
      <c r="L1" s="157">
        <v>7252</v>
      </c>
      <c r="M1" s="159">
        <v>7253</v>
      </c>
      <c r="N1" s="159">
        <v>7254</v>
      </c>
      <c r="O1" s="157">
        <v>7260.1</v>
      </c>
      <c r="Q1" s="157">
        <v>8112</v>
      </c>
      <c r="R1" s="157">
        <v>8229.1</v>
      </c>
      <c r="S1" s="159">
        <v>7521</v>
      </c>
      <c r="T1" s="157">
        <v>8210.5</v>
      </c>
      <c r="U1" s="157">
        <v>8135.5</v>
      </c>
      <c r="V1" s="157">
        <v>8239</v>
      </c>
      <c r="W1" s="157">
        <v>8266</v>
      </c>
      <c r="X1" s="157">
        <v>7515.5</v>
      </c>
      <c r="Y1" s="159">
        <v>8222</v>
      </c>
      <c r="AB1" s="159">
        <v>7248</v>
      </c>
    </row>
    <row r="2" spans="2:30" ht="17.25" thickBot="1" x14ac:dyDescent="0.4">
      <c r="K2" s="335" t="s">
        <v>1</v>
      </c>
      <c r="L2" s="335" t="s">
        <v>2</v>
      </c>
      <c r="M2" s="335" t="s">
        <v>3</v>
      </c>
      <c r="N2" s="335" t="s">
        <v>4</v>
      </c>
      <c r="O2" s="335" t="s">
        <v>5</v>
      </c>
      <c r="P2" s="335"/>
      <c r="Q2" s="336" t="s">
        <v>8</v>
      </c>
      <c r="R2" s="336" t="s">
        <v>12</v>
      </c>
      <c r="S2" s="336" t="s">
        <v>7</v>
      </c>
      <c r="T2" s="336" t="s">
        <v>11</v>
      </c>
      <c r="U2" s="336" t="s">
        <v>9</v>
      </c>
      <c r="V2" s="336" t="s">
        <v>13</v>
      </c>
      <c r="W2" s="336" t="s">
        <v>14</v>
      </c>
      <c r="X2" s="114" t="s">
        <v>6</v>
      </c>
      <c r="Y2" s="114" t="s">
        <v>75</v>
      </c>
      <c r="Z2" s="118"/>
      <c r="AA2" s="337"/>
      <c r="AB2" s="338" t="s">
        <v>15</v>
      </c>
      <c r="AC2" s="118"/>
    </row>
    <row r="3" spans="2:30" ht="15.75" thickBot="1" x14ac:dyDescent="0.3">
      <c r="K3" s="355">
        <f>K43</f>
        <v>9633.17</v>
      </c>
      <c r="L3" s="355">
        <f t="shared" ref="L3:O3" si="0">L43</f>
        <v>2252.9299999999998</v>
      </c>
      <c r="M3" s="355">
        <f t="shared" si="0"/>
        <v>4530.1499999999996</v>
      </c>
      <c r="N3" s="355">
        <f t="shared" si="0"/>
        <v>830.53</v>
      </c>
      <c r="O3" s="355">
        <f t="shared" si="0"/>
        <v>1335.75</v>
      </c>
      <c r="P3" s="158">
        <v>0</v>
      </c>
      <c r="Q3" s="161">
        <v>1353.65</v>
      </c>
      <c r="R3" s="161">
        <v>3454.6</v>
      </c>
      <c r="S3" s="161">
        <v>6547.5</v>
      </c>
      <c r="T3" s="161">
        <v>2543.69</v>
      </c>
      <c r="U3" s="355">
        <v>1231.8800000000001</v>
      </c>
      <c r="V3" s="355">
        <v>1564.51</v>
      </c>
      <c r="W3" s="162">
        <v>3972.48</v>
      </c>
      <c r="X3" s="162">
        <v>3006</v>
      </c>
      <c r="Y3" s="162"/>
      <c r="Z3" s="118"/>
      <c r="AA3" s="120"/>
      <c r="AB3" s="210">
        <v>6645.7</v>
      </c>
      <c r="AC3" s="118"/>
    </row>
    <row r="4" spans="2:30" x14ac:dyDescent="0.25">
      <c r="K4" s="114">
        <v>1</v>
      </c>
      <c r="L4" s="114">
        <v>2</v>
      </c>
      <c r="M4" s="114">
        <v>3</v>
      </c>
      <c r="N4" s="114">
        <v>4</v>
      </c>
      <c r="O4" s="114">
        <v>5</v>
      </c>
      <c r="P4" s="114">
        <v>6</v>
      </c>
      <c r="Q4" s="114">
        <v>7</v>
      </c>
      <c r="R4" s="114">
        <v>8</v>
      </c>
      <c r="S4" s="114">
        <v>9</v>
      </c>
      <c r="T4" s="114">
        <v>10</v>
      </c>
      <c r="U4" s="114">
        <v>11</v>
      </c>
      <c r="V4" s="114">
        <v>13</v>
      </c>
      <c r="W4" s="114">
        <v>14</v>
      </c>
      <c r="X4" s="114">
        <v>15</v>
      </c>
      <c r="Y4" s="114">
        <v>16</v>
      </c>
      <c r="AA4" s="356"/>
      <c r="AB4" s="357">
        <v>0.04</v>
      </c>
    </row>
    <row r="5" spans="2:30" ht="15.75" thickBot="1" x14ac:dyDescent="0.3">
      <c r="B5" s="273">
        <v>41</v>
      </c>
      <c r="C5" s="159" t="s">
        <v>19</v>
      </c>
      <c r="D5" s="118"/>
      <c r="E5" s="339"/>
      <c r="F5" s="339"/>
      <c r="G5" s="319">
        <f>SUM(H16:H18)</f>
        <v>6868.46</v>
      </c>
      <c r="H5" s="317"/>
      <c r="I5" s="318"/>
      <c r="J5" s="118">
        <f t="shared" ref="J5:J20" si="1">H5/$F$36</f>
        <v>0</v>
      </c>
      <c r="K5" s="108">
        <f>J5*$K$3</f>
        <v>0</v>
      </c>
      <c r="L5" s="108">
        <f>J5*$L$3</f>
        <v>0</v>
      </c>
      <c r="M5" s="108">
        <f>J5*$M$3</f>
        <v>0</v>
      </c>
      <c r="N5" s="108">
        <f>J5*$N$3</f>
        <v>0</v>
      </c>
      <c r="O5" s="109">
        <f>J5*$O$3</f>
        <v>0</v>
      </c>
      <c r="P5" s="108"/>
      <c r="Q5" s="108">
        <f>J5*$Q$3</f>
        <v>0</v>
      </c>
      <c r="R5" s="108">
        <f>J5*$R$3</f>
        <v>0</v>
      </c>
      <c r="S5" s="108">
        <f>J5*$S$3</f>
        <v>0</v>
      </c>
      <c r="T5" s="108">
        <f>J5*$T$3</f>
        <v>0</v>
      </c>
      <c r="U5" s="108">
        <f>J5*$U$3</f>
        <v>0</v>
      </c>
      <c r="V5" s="108">
        <f>J5*$V$3</f>
        <v>0</v>
      </c>
      <c r="W5" s="108">
        <f>J5*$W$3</f>
        <v>0</v>
      </c>
      <c r="X5" s="108">
        <f>J5*$X$3</f>
        <v>0</v>
      </c>
      <c r="Y5" s="119">
        <f>J5*$Y$3</f>
        <v>0</v>
      </c>
      <c r="Z5" s="119"/>
      <c r="AA5" s="120">
        <f t="shared" ref="AA5:AA20" si="2">H5/$H$38</f>
        <v>0</v>
      </c>
      <c r="AB5" s="209">
        <f>AA5*$AB$3</f>
        <v>0</v>
      </c>
    </row>
    <row r="6" spans="2:30" ht="15.75" thickBot="1" x14ac:dyDescent="0.3">
      <c r="B6" s="273">
        <v>111</v>
      </c>
      <c r="C6" s="159" t="s">
        <v>20</v>
      </c>
      <c r="D6" s="118"/>
      <c r="H6" s="214">
        <v>29497.05</v>
      </c>
      <c r="J6" s="118">
        <f t="shared" si="1"/>
        <v>0.18237478687838599</v>
      </c>
      <c r="K6" s="208">
        <f t="shared" ref="K6:K34" si="3">J6*$K$3</f>
        <v>1756.8473257132616</v>
      </c>
      <c r="L6" s="110">
        <f t="shared" ref="L6:L34" si="4">J6*$L$3</f>
        <v>410.87762860192208</v>
      </c>
      <c r="M6" s="110">
        <f t="shared" ref="M6:M34" si="5">J6*$M$3</f>
        <v>826.18514077712018</v>
      </c>
      <c r="N6" s="110">
        <f t="shared" ref="N6:N34" si="6">J6*$N$3</f>
        <v>151.4677317461059</v>
      </c>
      <c r="O6" s="111">
        <f t="shared" ref="O6:O34" si="7">J6*$O$3</f>
        <v>243.60712157280409</v>
      </c>
      <c r="P6" s="110"/>
      <c r="Q6" s="110">
        <f t="shared" ref="Q6:Q34" si="8">J6*$Q$3</f>
        <v>246.87163025792719</v>
      </c>
      <c r="R6" s="110">
        <f t="shared" ref="R6:R34" si="9">J6*$R$3</f>
        <v>630.03193875007219</v>
      </c>
      <c r="S6" s="110">
        <f t="shared" ref="S6:S34" si="10">J6*$S$3</f>
        <v>1194.0989170862322</v>
      </c>
      <c r="T6" s="110">
        <f t="shared" ref="T6:T34" si="11">J6*$T$3</f>
        <v>463.90492163468167</v>
      </c>
      <c r="U6" s="110">
        <f>J6*$U$3</f>
        <v>224.66385245974615</v>
      </c>
      <c r="V6" s="110">
        <f t="shared" ref="V6:V13" si="12">J6*$V$3</f>
        <v>285.32717781910367</v>
      </c>
      <c r="W6" s="110">
        <f t="shared" ref="W6:W13" si="13">J6*$W$3</f>
        <v>724.48019337865071</v>
      </c>
      <c r="X6" s="110">
        <f t="shared" ref="X6:X13" si="14">J6*$X$3</f>
        <v>548.21860935642826</v>
      </c>
      <c r="Y6" s="160">
        <f t="shared" ref="Y6:Y12" si="15">J6*$Y$3</f>
        <v>0</v>
      </c>
      <c r="Z6" s="119"/>
      <c r="AA6" s="120">
        <f t="shared" si="2"/>
        <v>0.10584310201396147</v>
      </c>
      <c r="AB6" s="209">
        <f t="shared" ref="AB6:AB34" si="16">AA6*$AB$3</f>
        <v>703.40150305418365</v>
      </c>
    </row>
    <row r="7" spans="2:30" x14ac:dyDescent="0.25">
      <c r="B7" s="273" t="s">
        <v>23</v>
      </c>
      <c r="C7" s="159" t="s">
        <v>24</v>
      </c>
      <c r="D7" s="118"/>
      <c r="H7" s="214">
        <v>3828.67</v>
      </c>
      <c r="J7" s="118">
        <f t="shared" si="1"/>
        <v>2.3671956188082204E-2</v>
      </c>
      <c r="K7" s="108">
        <f>J7*$K$3</f>
        <v>228.03597819234784</v>
      </c>
      <c r="L7" s="108">
        <f>J7*$L$3</f>
        <v>53.331260254816037</v>
      </c>
      <c r="M7" s="108">
        <f>J7*$M$3</f>
        <v>107.23751232544059</v>
      </c>
      <c r="N7" s="108">
        <f>J7*$N$3</f>
        <v>19.660269772887911</v>
      </c>
      <c r="O7" s="109">
        <f>J7*$O$3</f>
        <v>31.619815478230802</v>
      </c>
      <c r="P7" s="108"/>
      <c r="Q7" s="108">
        <f>J7*$Q$3</f>
        <v>32.043543493997475</v>
      </c>
      <c r="R7" s="108">
        <f>J7*$R$3</f>
        <v>81.777139847348778</v>
      </c>
      <c r="S7" s="108">
        <f>J7*$S$3</f>
        <v>154.99213314146823</v>
      </c>
      <c r="T7" s="108">
        <f>J7*$T$3</f>
        <v>60.214118236062824</v>
      </c>
      <c r="U7" s="108">
        <f>J7*$U$3</f>
        <v>29.161009388974708</v>
      </c>
      <c r="V7" s="108">
        <f t="shared" si="12"/>
        <v>37.03501217581649</v>
      </c>
      <c r="W7" s="108">
        <f t="shared" si="13"/>
        <v>94.036372518032792</v>
      </c>
      <c r="X7" s="108">
        <f t="shared" si="14"/>
        <v>71.157900301375108</v>
      </c>
      <c r="Y7" s="109">
        <f t="shared" si="15"/>
        <v>0</v>
      </c>
      <c r="Z7" s="119"/>
      <c r="AA7" s="120">
        <f t="shared" si="2"/>
        <v>1.3738265670221052E-2</v>
      </c>
      <c r="AB7" s="209">
        <f>AA7*$AB$3</f>
        <v>91.300392164588047</v>
      </c>
    </row>
    <row r="8" spans="2:30" x14ac:dyDescent="0.25">
      <c r="B8" s="273" t="s">
        <v>21</v>
      </c>
      <c r="C8" s="159" t="s">
        <v>22</v>
      </c>
      <c r="D8" s="118"/>
      <c r="H8" s="214">
        <v>1963.64</v>
      </c>
      <c r="J8" s="118">
        <f t="shared" si="1"/>
        <v>1.2140821760341251E-2</v>
      </c>
      <c r="K8" s="108">
        <f t="shared" si="3"/>
        <v>116.95459995706653</v>
      </c>
      <c r="L8" s="108">
        <f t="shared" si="4"/>
        <v>27.352421568525614</v>
      </c>
      <c r="M8" s="108">
        <f t="shared" si="5"/>
        <v>54.999743697609915</v>
      </c>
      <c r="N8" s="108">
        <f t="shared" si="6"/>
        <v>10.083316696616219</v>
      </c>
      <c r="O8" s="109">
        <f t="shared" si="7"/>
        <v>16.217102666375826</v>
      </c>
      <c r="P8" s="108"/>
      <c r="Q8" s="108">
        <f t="shared" si="8"/>
        <v>16.434423375885935</v>
      </c>
      <c r="R8" s="108">
        <f t="shared" si="9"/>
        <v>41.941682853274884</v>
      </c>
      <c r="S8" s="108">
        <f t="shared" si="10"/>
        <v>79.492030475834341</v>
      </c>
      <c r="T8" s="108">
        <f t="shared" si="11"/>
        <v>30.882486903562437</v>
      </c>
      <c r="U8" s="108">
        <f t="shared" ref="U8:U36" si="17">J8*$U$3</f>
        <v>14.956035510129182</v>
      </c>
      <c r="V8" s="108">
        <f t="shared" si="12"/>
        <v>18.99443705227149</v>
      </c>
      <c r="W8" s="108">
        <f t="shared" si="13"/>
        <v>48.229171626520412</v>
      </c>
      <c r="X8" s="108">
        <f t="shared" si="14"/>
        <v>36.495310211585803</v>
      </c>
      <c r="Y8" s="109">
        <f t="shared" si="15"/>
        <v>0</v>
      </c>
      <c r="Z8" s="119"/>
      <c r="AA8" s="120">
        <f t="shared" si="2"/>
        <v>7.0460520234632042E-3</v>
      </c>
      <c r="AB8" s="209">
        <f t="shared" si="16"/>
        <v>46.825947932329413</v>
      </c>
    </row>
    <row r="9" spans="2:30" x14ac:dyDescent="0.25">
      <c r="B9" s="273" t="s">
        <v>25</v>
      </c>
      <c r="C9" s="159" t="s">
        <v>26</v>
      </c>
      <c r="D9" s="118"/>
      <c r="H9" s="214">
        <v>789.08</v>
      </c>
      <c r="J9" s="118">
        <f t="shared" si="1"/>
        <v>4.878735223691753E-3</v>
      </c>
      <c r="K9" s="108">
        <f t="shared" si="3"/>
        <v>46.997685794810685</v>
      </c>
      <c r="L9" s="108">
        <f t="shared" si="4"/>
        <v>10.991448947511861</v>
      </c>
      <c r="M9" s="108">
        <f t="shared" si="5"/>
        <v>22.101402373607193</v>
      </c>
      <c r="N9" s="108">
        <f t="shared" si="6"/>
        <v>4.0519359653327118</v>
      </c>
      <c r="O9" s="109">
        <f t="shared" si="7"/>
        <v>6.5167705750462588</v>
      </c>
      <c r="P9" s="108"/>
      <c r="Q9" s="108">
        <f t="shared" si="8"/>
        <v>6.6040999355503418</v>
      </c>
      <c r="R9" s="108">
        <f t="shared" si="9"/>
        <v>16.854078703765531</v>
      </c>
      <c r="S9" s="108">
        <f t="shared" si="10"/>
        <v>31.943518877121754</v>
      </c>
      <c r="T9" s="108">
        <f t="shared" si="11"/>
        <v>12.409990001152476</v>
      </c>
      <c r="U9" s="108">
        <f t="shared" si="17"/>
        <v>6.0100163473613968</v>
      </c>
      <c r="V9" s="108">
        <f t="shared" si="12"/>
        <v>7.6328300448179842</v>
      </c>
      <c r="W9" s="108">
        <f t="shared" si="13"/>
        <v>19.380678101411014</v>
      </c>
      <c r="X9" s="108">
        <f t="shared" si="14"/>
        <v>14.66547808241741</v>
      </c>
      <c r="Y9" s="109">
        <f t="shared" si="15"/>
        <v>0</v>
      </c>
      <c r="Z9" s="119"/>
      <c r="AA9" s="120">
        <f t="shared" si="2"/>
        <v>2.8314246657607021E-3</v>
      </c>
      <c r="AB9" s="209">
        <f t="shared" si="16"/>
        <v>18.816798901245896</v>
      </c>
    </row>
    <row r="10" spans="2:30" ht="15.75" thickBot="1" x14ac:dyDescent="0.3">
      <c r="B10" s="273">
        <v>112</v>
      </c>
      <c r="C10" s="159" t="s">
        <v>27</v>
      </c>
      <c r="D10" s="118"/>
      <c r="H10" s="214">
        <v>30396.63</v>
      </c>
      <c r="J10" s="118">
        <f t="shared" si="1"/>
        <v>0.18793672309845066</v>
      </c>
      <c r="K10" s="108">
        <f t="shared" si="3"/>
        <v>1810.4264028503021</v>
      </c>
      <c r="L10" s="108">
        <f t="shared" si="4"/>
        <v>423.4082815701924</v>
      </c>
      <c r="M10" s="108">
        <f t="shared" si="5"/>
        <v>851.38154614444625</v>
      </c>
      <c r="N10" s="108">
        <f t="shared" si="6"/>
        <v>156.08708663495622</v>
      </c>
      <c r="O10" s="109">
        <f t="shared" si="7"/>
        <v>251.03647787875548</v>
      </c>
      <c r="P10" s="108"/>
      <c r="Q10" s="108">
        <f t="shared" si="8"/>
        <v>254.40054522221777</v>
      </c>
      <c r="R10" s="108">
        <f t="shared" si="9"/>
        <v>649.24620361590769</v>
      </c>
      <c r="S10" s="108">
        <f t="shared" si="10"/>
        <v>1230.5156944871057</v>
      </c>
      <c r="T10" s="108">
        <f t="shared" si="11"/>
        <v>478.05276317829799</v>
      </c>
      <c r="U10" s="108">
        <f t="shared" si="17"/>
        <v>231.51549045051942</v>
      </c>
      <c r="V10" s="108">
        <f t="shared" si="12"/>
        <v>294.02888265475707</v>
      </c>
      <c r="W10" s="108">
        <f t="shared" si="13"/>
        <v>746.57487377413327</v>
      </c>
      <c r="X10" s="108">
        <f t="shared" si="14"/>
        <v>564.93778963394266</v>
      </c>
      <c r="Y10" s="119">
        <f t="shared" si="15"/>
        <v>0</v>
      </c>
      <c r="Z10" s="119"/>
      <c r="AA10" s="120">
        <f t="shared" si="2"/>
        <v>0.10907102947483364</v>
      </c>
      <c r="AB10" s="209">
        <f t="shared" si="16"/>
        <v>724.85334058090189</v>
      </c>
    </row>
    <row r="11" spans="2:30" ht="15.75" thickBot="1" x14ac:dyDescent="0.3">
      <c r="B11" s="273">
        <v>222</v>
      </c>
      <c r="C11" s="159" t="s">
        <v>29</v>
      </c>
      <c r="D11" s="118"/>
      <c r="H11" s="213">
        <v>2480.65</v>
      </c>
      <c r="J11" s="118">
        <f t="shared" si="1"/>
        <v>1.5337398657488401E-2</v>
      </c>
      <c r="K11" s="108">
        <f t="shared" si="3"/>
        <v>147.74776862535754</v>
      </c>
      <c r="L11" s="108">
        <f t="shared" si="4"/>
        <v>34.554085557415341</v>
      </c>
      <c r="M11" s="108">
        <f t="shared" si="5"/>
        <v>69.48071652822108</v>
      </c>
      <c r="N11" s="108">
        <f t="shared" si="6"/>
        <v>12.738169707003841</v>
      </c>
      <c r="O11" s="109">
        <f t="shared" si="7"/>
        <v>20.486930256740131</v>
      </c>
      <c r="P11" s="108"/>
      <c r="Q11" s="108">
        <f t="shared" si="8"/>
        <v>20.761469692709174</v>
      </c>
      <c r="R11" s="108">
        <f t="shared" si="9"/>
        <v>52.984577402159431</v>
      </c>
      <c r="S11" s="108">
        <f t="shared" si="10"/>
        <v>100.42161770990531</v>
      </c>
      <c r="T11" s="108">
        <f t="shared" si="11"/>
        <v>39.013587591066674</v>
      </c>
      <c r="U11" s="108">
        <f t="shared" si="17"/>
        <v>18.893834658186812</v>
      </c>
      <c r="V11" s="108">
        <f t="shared" si="12"/>
        <v>23.995513573627179</v>
      </c>
      <c r="W11" s="108">
        <f t="shared" si="13"/>
        <v>60.927509418899525</v>
      </c>
      <c r="X11" s="108">
        <f t="shared" si="14"/>
        <v>46.104220364410132</v>
      </c>
      <c r="Y11" s="119">
        <f t="shared" si="15"/>
        <v>0</v>
      </c>
      <c r="Z11" s="119"/>
      <c r="AA11" s="120">
        <f t="shared" si="2"/>
        <v>8.9012186307082745E-3</v>
      </c>
      <c r="AB11" s="209">
        <f t="shared" si="16"/>
        <v>59.154828654097976</v>
      </c>
    </row>
    <row r="12" spans="2:30" ht="15.75" thickBot="1" x14ac:dyDescent="0.3">
      <c r="B12" s="273">
        <v>223</v>
      </c>
      <c r="C12" s="159" t="s">
        <v>30</v>
      </c>
      <c r="D12" s="118"/>
      <c r="H12" s="215">
        <v>16166.17</v>
      </c>
      <c r="I12" s="115"/>
      <c r="J12" s="115">
        <f t="shared" si="1"/>
        <v>9.9952429425646208E-2</v>
      </c>
      <c r="K12" s="112">
        <f t="shared" si="3"/>
        <v>962.85874457025227</v>
      </c>
      <c r="L12" s="112">
        <f t="shared" si="4"/>
        <v>225.18582682592108</v>
      </c>
      <c r="M12" s="112">
        <f t="shared" si="5"/>
        <v>452.79949816259114</v>
      </c>
      <c r="N12" s="112">
        <f t="shared" si="6"/>
        <v>83.013491210881938</v>
      </c>
      <c r="O12" s="113">
        <f t="shared" si="7"/>
        <v>133.51145760530693</v>
      </c>
      <c r="P12" s="112"/>
      <c r="Q12" s="112">
        <f t="shared" si="8"/>
        <v>135.30060609202599</v>
      </c>
      <c r="R12" s="112">
        <f t="shared" si="9"/>
        <v>345.29566269383736</v>
      </c>
      <c r="S12" s="112">
        <f t="shared" si="10"/>
        <v>654.43853166441852</v>
      </c>
      <c r="T12" s="112">
        <f t="shared" si="11"/>
        <v>254.24799520572202</v>
      </c>
      <c r="U12" s="112">
        <f t="shared" si="17"/>
        <v>123.12939876086506</v>
      </c>
      <c r="V12" s="112">
        <f t="shared" si="12"/>
        <v>156.37657536071774</v>
      </c>
      <c r="W12" s="112">
        <f t="shared" si="13"/>
        <v>397.05902684479105</v>
      </c>
      <c r="X12" s="112">
        <f t="shared" si="14"/>
        <v>300.4570028534925</v>
      </c>
      <c r="Y12" s="116">
        <f t="shared" si="15"/>
        <v>0</v>
      </c>
      <c r="Z12" s="116"/>
      <c r="AA12" s="117">
        <f t="shared" si="2"/>
        <v>5.8008430690019631E-2</v>
      </c>
      <c r="AB12" s="212">
        <f t="shared" si="16"/>
        <v>385.50662783666343</v>
      </c>
    </row>
    <row r="13" spans="2:30" ht="15.75" thickBot="1" x14ac:dyDescent="0.3">
      <c r="B13" s="273">
        <v>225</v>
      </c>
      <c r="C13" s="159" t="s">
        <v>59</v>
      </c>
      <c r="D13" s="118"/>
      <c r="H13" s="214">
        <v>10563.18</v>
      </c>
      <c r="J13" s="118">
        <f t="shared" si="1"/>
        <v>6.5310181908293519E-2</v>
      </c>
      <c r="K13" s="108">
        <f t="shared" si="3"/>
        <v>629.14408505351582</v>
      </c>
      <c r="L13" s="108">
        <f t="shared" si="4"/>
        <v>147.1392681266517</v>
      </c>
      <c r="M13" s="108">
        <f t="shared" si="5"/>
        <v>295.86492057185586</v>
      </c>
      <c r="N13" s="108">
        <f t="shared" si="6"/>
        <v>54.242065380295017</v>
      </c>
      <c r="O13" s="109">
        <f t="shared" si="7"/>
        <v>87.238075484003062</v>
      </c>
      <c r="P13" s="108"/>
      <c r="Q13" s="108">
        <f t="shared" si="8"/>
        <v>88.407127740161528</v>
      </c>
      <c r="R13" s="108">
        <f t="shared" si="9"/>
        <v>225.62055442039079</v>
      </c>
      <c r="S13" s="108">
        <f t="shared" si="10"/>
        <v>427.61841604455179</v>
      </c>
      <c r="T13" s="108">
        <f t="shared" si="11"/>
        <v>166.12885661830714</v>
      </c>
      <c r="U13" s="108">
        <f t="shared" si="17"/>
        <v>80.454306889188629</v>
      </c>
      <c r="V13" s="108">
        <f t="shared" si="12"/>
        <v>102.17843269734429</v>
      </c>
      <c r="W13" s="108">
        <f t="shared" si="13"/>
        <v>259.44339142705786</v>
      </c>
      <c r="X13" s="108">
        <f t="shared" si="14"/>
        <v>196.32240681633033</v>
      </c>
      <c r="Y13" s="119"/>
      <c r="Z13" s="119"/>
      <c r="AA13" s="120">
        <f t="shared" si="2"/>
        <v>3.7903442491091059E-2</v>
      </c>
      <c r="AB13" s="212">
        <f t="shared" si="16"/>
        <v>251.89490776304385</v>
      </c>
    </row>
    <row r="14" spans="2:30" x14ac:dyDescent="0.25">
      <c r="B14" s="273">
        <v>334</v>
      </c>
      <c r="C14" s="159" t="s">
        <v>76</v>
      </c>
      <c r="D14" s="118"/>
      <c r="H14" s="319">
        <v>0</v>
      </c>
      <c r="J14" s="118">
        <f t="shared" si="1"/>
        <v>0</v>
      </c>
      <c r="K14" s="108">
        <f t="shared" si="3"/>
        <v>0</v>
      </c>
      <c r="L14" s="108">
        <f t="shared" si="4"/>
        <v>0</v>
      </c>
      <c r="M14" s="108">
        <f t="shared" si="5"/>
        <v>0</v>
      </c>
      <c r="N14" s="108">
        <f t="shared" si="6"/>
        <v>0</v>
      </c>
      <c r="O14" s="109">
        <f t="shared" si="7"/>
        <v>0</v>
      </c>
      <c r="P14" s="108"/>
      <c r="Q14" s="108">
        <f t="shared" si="8"/>
        <v>0</v>
      </c>
      <c r="R14" s="108">
        <f t="shared" si="9"/>
        <v>0</v>
      </c>
      <c r="S14" s="108">
        <f t="shared" si="10"/>
        <v>0</v>
      </c>
      <c r="T14" s="108">
        <f t="shared" si="11"/>
        <v>0</v>
      </c>
      <c r="U14" s="108">
        <f t="shared" si="17"/>
        <v>0</v>
      </c>
      <c r="V14" s="108">
        <f t="shared" ref="V14:V34" si="18">J14*$V$3</f>
        <v>0</v>
      </c>
      <c r="W14" s="108">
        <f t="shared" ref="W14:W36" si="19">J14*$W$3</f>
        <v>0</v>
      </c>
      <c r="X14" s="108">
        <f t="shared" ref="X14:X34" si="20">J14*$X$3</f>
        <v>0</v>
      </c>
      <c r="Y14" s="119">
        <f t="shared" ref="Y14:Y34" si="21">J14*$Y$3</f>
        <v>0</v>
      </c>
      <c r="Z14" s="119"/>
      <c r="AA14" s="120">
        <f t="shared" si="2"/>
        <v>0</v>
      </c>
      <c r="AB14" s="209">
        <f t="shared" si="16"/>
        <v>0</v>
      </c>
      <c r="AD14" s="159" t="s">
        <v>77</v>
      </c>
    </row>
    <row r="15" spans="2:30" x14ac:dyDescent="0.25">
      <c r="B15" s="273">
        <v>334</v>
      </c>
      <c r="C15" s="159" t="s">
        <v>73</v>
      </c>
      <c r="D15" s="118"/>
      <c r="H15" s="118">
        <v>1869.23</v>
      </c>
      <c r="J15" s="118">
        <f t="shared" si="1"/>
        <v>1.1557102248417569E-2</v>
      </c>
      <c r="K15" s="108">
        <f>J15*$K$3</f>
        <v>111.33153066638867</v>
      </c>
      <c r="L15" s="108">
        <f>J15*$L$3</f>
        <v>26.037342368527391</v>
      </c>
      <c r="M15" s="108">
        <f>J15*$M$3</f>
        <v>52.355406750668848</v>
      </c>
      <c r="N15" s="108">
        <f>J15*$N$3</f>
        <v>9.5985201303782439</v>
      </c>
      <c r="O15" s="109">
        <f>J15*$O$3</f>
        <v>15.437399328323767</v>
      </c>
      <c r="P15" s="108"/>
      <c r="Q15" s="108">
        <f>J15*$Q$3</f>
        <v>15.644271458570444</v>
      </c>
      <c r="R15" s="108">
        <f>J15*$R$3</f>
        <v>39.925165427383334</v>
      </c>
      <c r="S15" s="108">
        <f>J15*$S$3</f>
        <v>75.670126971514037</v>
      </c>
      <c r="T15" s="108">
        <f>J15*$T$3</f>
        <v>29.397685418277288</v>
      </c>
      <c r="U15" s="108">
        <f>J15*$U$3</f>
        <v>14.236963117780636</v>
      </c>
      <c r="V15" s="108">
        <f t="shared" si="18"/>
        <v>18.081202038671773</v>
      </c>
      <c r="W15" s="108">
        <f t="shared" si="19"/>
        <v>45.910357539793829</v>
      </c>
      <c r="X15" s="108">
        <f t="shared" si="20"/>
        <v>34.740649358743212</v>
      </c>
      <c r="Y15" s="119">
        <f t="shared" si="21"/>
        <v>0</v>
      </c>
      <c r="Z15" s="119"/>
      <c r="AA15" s="120">
        <f t="shared" si="2"/>
        <v>6.7072843412326723E-3</v>
      </c>
      <c r="AB15" s="209">
        <f>AA15*$AB$3</f>
        <v>44.574599546529967</v>
      </c>
    </row>
    <row r="16" spans="2:30" x14ac:dyDescent="0.25">
      <c r="B16" s="273" t="s">
        <v>33</v>
      </c>
      <c r="C16" s="159" t="s">
        <v>34</v>
      </c>
      <c r="D16" s="118"/>
      <c r="H16" s="118">
        <v>3538.46</v>
      </c>
      <c r="J16" s="118">
        <f t="shared" si="1"/>
        <v>2.1877641607472399E-2</v>
      </c>
      <c r="K16" s="108">
        <f t="shared" si="3"/>
        <v>210.75104080385489</v>
      </c>
      <c r="L16" s="108">
        <f t="shared" si="4"/>
        <v>49.288795106722787</v>
      </c>
      <c r="M16" s="108">
        <f t="shared" si="5"/>
        <v>99.108998128091073</v>
      </c>
      <c r="N16" s="108">
        <f t="shared" si="6"/>
        <v>18.170037684254051</v>
      </c>
      <c r="O16" s="109">
        <f t="shared" si="7"/>
        <v>29.223059777181255</v>
      </c>
      <c r="P16" s="108"/>
      <c r="Q16" s="108">
        <f t="shared" si="8"/>
        <v>29.614669561955015</v>
      </c>
      <c r="R16" s="108">
        <f t="shared" si="9"/>
        <v>75.57850069717415</v>
      </c>
      <c r="S16" s="108">
        <f t="shared" si="10"/>
        <v>143.24385842492552</v>
      </c>
      <c r="T16" s="108">
        <f t="shared" si="11"/>
        <v>55.649938180511469</v>
      </c>
      <c r="U16" s="108">
        <f t="shared" si="17"/>
        <v>26.950629143413099</v>
      </c>
      <c r="V16" s="108">
        <f t="shared" si="18"/>
        <v>34.227789071306645</v>
      </c>
      <c r="W16" s="108">
        <f t="shared" si="19"/>
        <v>86.908493732851952</v>
      </c>
      <c r="X16" s="108">
        <f t="shared" si="20"/>
        <v>65.764190672062028</v>
      </c>
      <c r="Y16" s="119">
        <f t="shared" si="21"/>
        <v>0</v>
      </c>
      <c r="Z16" s="119"/>
      <c r="AA16" s="120">
        <f t="shared" si="2"/>
        <v>1.2696916564616533E-2</v>
      </c>
      <c r="AB16" s="209">
        <f t="shared" si="16"/>
        <v>84.379898413472091</v>
      </c>
    </row>
    <row r="17" spans="2:28" x14ac:dyDescent="0.25">
      <c r="B17" s="273" t="s">
        <v>35</v>
      </c>
      <c r="C17" s="159" t="s">
        <v>36</v>
      </c>
      <c r="D17" s="118"/>
      <c r="E17" s="339"/>
      <c r="F17" s="339"/>
      <c r="H17" s="118">
        <v>1330</v>
      </c>
      <c r="I17" s="318"/>
      <c r="J17" s="118">
        <f t="shared" si="1"/>
        <v>8.2231432142622195E-3</v>
      </c>
      <c r="K17" s="108">
        <f t="shared" si="3"/>
        <v>79.21493651733438</v>
      </c>
      <c r="L17" s="108">
        <f t="shared" si="4"/>
        <v>18.526166041707782</v>
      </c>
      <c r="M17" s="108">
        <f t="shared" si="5"/>
        <v>37.252072232089994</v>
      </c>
      <c r="N17" s="108">
        <f t="shared" si="6"/>
        <v>6.8295671337412012</v>
      </c>
      <c r="O17" s="109">
        <f t="shared" si="7"/>
        <v>10.984063548450759</v>
      </c>
      <c r="P17" s="108"/>
      <c r="Q17" s="108">
        <f t="shared" si="8"/>
        <v>11.131257811986055</v>
      </c>
      <c r="R17" s="108">
        <f t="shared" si="9"/>
        <v>28.407670547990264</v>
      </c>
      <c r="S17" s="108">
        <f t="shared" si="10"/>
        <v>53.841030195381883</v>
      </c>
      <c r="T17" s="108">
        <f t="shared" si="11"/>
        <v>20.917127162686665</v>
      </c>
      <c r="U17" s="108">
        <f t="shared" si="17"/>
        <v>10.129925662785343</v>
      </c>
      <c r="V17" s="108">
        <f t="shared" si="18"/>
        <v>12.865189790145385</v>
      </c>
      <c r="W17" s="108">
        <f t="shared" si="19"/>
        <v>32.666271955792382</v>
      </c>
      <c r="X17" s="108">
        <f t="shared" si="20"/>
        <v>24.718768502072233</v>
      </c>
      <c r="Y17" s="119">
        <f t="shared" si="21"/>
        <v>0</v>
      </c>
      <c r="Z17" s="119"/>
      <c r="AA17" s="120">
        <f t="shared" si="2"/>
        <v>4.7723865836945987E-3</v>
      </c>
      <c r="AB17" s="209">
        <f t="shared" si="16"/>
        <v>31.715849519259194</v>
      </c>
    </row>
    <row r="18" spans="2:28" x14ac:dyDescent="0.25">
      <c r="B18" s="273" t="s">
        <v>37</v>
      </c>
      <c r="C18" s="159" t="s">
        <v>38</v>
      </c>
      <c r="D18" s="118"/>
      <c r="H18" s="118">
        <v>2000</v>
      </c>
      <c r="J18" s="118">
        <f t="shared" si="1"/>
        <v>1.2365628893627396E-2</v>
      </c>
      <c r="K18" s="108">
        <f t="shared" si="3"/>
        <v>119.12020528922463</v>
      </c>
      <c r="L18" s="108">
        <f t="shared" si="4"/>
        <v>27.858896303319966</v>
      </c>
      <c r="M18" s="108">
        <f t="shared" si="5"/>
        <v>56.018153732466146</v>
      </c>
      <c r="N18" s="108">
        <f t="shared" si="6"/>
        <v>10.270025765024361</v>
      </c>
      <c r="O18" s="109">
        <f t="shared" si="7"/>
        <v>16.517388794662793</v>
      </c>
      <c r="P18" s="108"/>
      <c r="Q18" s="108">
        <f t="shared" si="8"/>
        <v>16.738733551858726</v>
      </c>
      <c r="R18" s="108">
        <f t="shared" si="9"/>
        <v>42.718301575925203</v>
      </c>
      <c r="S18" s="108">
        <f t="shared" si="10"/>
        <v>80.963955181025369</v>
      </c>
      <c r="T18" s="108">
        <f t="shared" si="11"/>
        <v>31.45432656043107</v>
      </c>
      <c r="U18" s="108">
        <f t="shared" si="17"/>
        <v>15.232970921481717</v>
      </c>
      <c r="V18" s="108">
        <f t="shared" si="18"/>
        <v>19.346150060368998</v>
      </c>
      <c r="W18" s="108">
        <f t="shared" si="19"/>
        <v>49.122213467356957</v>
      </c>
      <c r="X18" s="108">
        <f t="shared" si="20"/>
        <v>37.171080454243956</v>
      </c>
      <c r="Y18" s="119">
        <f t="shared" si="21"/>
        <v>0</v>
      </c>
      <c r="Z18" s="119"/>
      <c r="AA18" s="120">
        <f t="shared" si="2"/>
        <v>7.1765211784881183E-3</v>
      </c>
      <c r="AB18" s="209">
        <f t="shared" si="16"/>
        <v>47.693006795878489</v>
      </c>
    </row>
    <row r="19" spans="2:28" x14ac:dyDescent="0.25">
      <c r="B19" s="273">
        <v>339</v>
      </c>
      <c r="C19" s="159" t="s">
        <v>58</v>
      </c>
      <c r="D19" s="118"/>
      <c r="H19" s="214">
        <v>5538.46</v>
      </c>
      <c r="J19" s="118">
        <f t="shared" si="1"/>
        <v>3.4243270501099793E-2</v>
      </c>
      <c r="K19" s="108">
        <f t="shared" si="3"/>
        <v>329.87124609307949</v>
      </c>
      <c r="L19" s="108">
        <f t="shared" si="4"/>
        <v>77.147691410042754</v>
      </c>
      <c r="M19" s="108">
        <f t="shared" si="5"/>
        <v>155.12715186055721</v>
      </c>
      <c r="N19" s="108">
        <f t="shared" si="6"/>
        <v>28.440063449278409</v>
      </c>
      <c r="O19" s="109">
        <f t="shared" si="7"/>
        <v>45.740448571844048</v>
      </c>
      <c r="P19" s="108"/>
      <c r="Q19" s="108">
        <f t="shared" si="8"/>
        <v>46.353403113813741</v>
      </c>
      <c r="R19" s="108">
        <f t="shared" si="9"/>
        <v>118.29680227309935</v>
      </c>
      <c r="S19" s="108">
        <f t="shared" si="10"/>
        <v>224.20781360595089</v>
      </c>
      <c r="T19" s="108">
        <f t="shared" si="11"/>
        <v>87.10426474094254</v>
      </c>
      <c r="U19" s="108">
        <f t="shared" si="17"/>
        <v>42.183600064894819</v>
      </c>
      <c r="V19" s="108">
        <f t="shared" si="18"/>
        <v>53.573939131675637</v>
      </c>
      <c r="W19" s="108">
        <f t="shared" si="19"/>
        <v>136.03070720020889</v>
      </c>
      <c r="X19" s="108">
        <f t="shared" si="20"/>
        <v>102.93527112630598</v>
      </c>
      <c r="Y19" s="119">
        <f t="shared" si="21"/>
        <v>0</v>
      </c>
      <c r="Z19" s="119"/>
      <c r="AA19" s="120">
        <f t="shared" si="2"/>
        <v>1.9873437743104651E-2</v>
      </c>
      <c r="AB19" s="209">
        <f t="shared" si="16"/>
        <v>132.07290520935058</v>
      </c>
    </row>
    <row r="20" spans="2:28" x14ac:dyDescent="0.25">
      <c r="B20" s="273">
        <v>368</v>
      </c>
      <c r="C20" s="159" t="s">
        <v>40</v>
      </c>
      <c r="D20" s="118"/>
      <c r="H20" s="214">
        <v>4903.5</v>
      </c>
      <c r="J20" s="118">
        <f t="shared" si="1"/>
        <v>3.031743063995097E-2</v>
      </c>
      <c r="K20" s="108">
        <f>J20*$K$3</f>
        <v>292.05296331785649</v>
      </c>
      <c r="L20" s="108">
        <f>J20*$L$3</f>
        <v>68.30304901166474</v>
      </c>
      <c r="M20" s="108">
        <f>J20*$M$3</f>
        <v>137.34250841357388</v>
      </c>
      <c r="N20" s="108">
        <f>J20*$N$3</f>
        <v>25.179535669398479</v>
      </c>
      <c r="O20" s="109">
        <f>J20*$O$3</f>
        <v>40.496507977314508</v>
      </c>
      <c r="P20" s="108"/>
      <c r="Q20" s="108">
        <f>J20*$Q$3</f>
        <v>41.039189985769632</v>
      </c>
      <c r="R20" s="108">
        <f>J20*$R$3</f>
        <v>104.73459588877462</v>
      </c>
      <c r="S20" s="108">
        <f>J20*$S$3</f>
        <v>198.50337711507899</v>
      </c>
      <c r="T20" s="108">
        <f>J20*$T$3</f>
        <v>77.118145144536882</v>
      </c>
      <c r="U20" s="108">
        <f>J20*$U$3</f>
        <v>37.347436456742805</v>
      </c>
      <c r="V20" s="108">
        <f>J20*$V$3</f>
        <v>47.43192341050969</v>
      </c>
      <c r="W20" s="108">
        <f>J20*$W$3</f>
        <v>120.43538686859243</v>
      </c>
      <c r="X20" s="108">
        <f>J20*$X$3</f>
        <v>91.134196503692621</v>
      </c>
      <c r="Y20" s="119">
        <f>J20*$Y$3</f>
        <v>0</v>
      </c>
      <c r="Z20" s="119"/>
      <c r="AA20" s="120">
        <f t="shared" si="2"/>
        <v>1.7595035799358245E-2</v>
      </c>
      <c r="AB20" s="209">
        <f>AA20*$AB$3</f>
        <v>116.93132941179509</v>
      </c>
    </row>
    <row r="21" spans="2:28" ht="15.75" thickBot="1" x14ac:dyDescent="0.3"/>
    <row r="22" spans="2:28" ht="15.75" thickBot="1" x14ac:dyDescent="0.3">
      <c r="B22" s="273">
        <v>451</v>
      </c>
      <c r="C22" s="159" t="s">
        <v>41</v>
      </c>
      <c r="D22" s="118"/>
      <c r="H22" s="213">
        <v>16068.9</v>
      </c>
      <c r="J22" s="118">
        <f>H22/$F$36</f>
        <v>9.9351027064404643E-2</v>
      </c>
      <c r="K22" s="108">
        <f t="shared" si="3"/>
        <v>957.06533338601093</v>
      </c>
      <c r="L22" s="108">
        <f t="shared" si="4"/>
        <v>223.83090940420914</v>
      </c>
      <c r="M22" s="108">
        <f t="shared" si="5"/>
        <v>450.07505525581263</v>
      </c>
      <c r="N22" s="108">
        <f t="shared" si="6"/>
        <v>82.514008507799986</v>
      </c>
      <c r="O22" s="109">
        <f t="shared" si="7"/>
        <v>132.7081344012785</v>
      </c>
      <c r="P22" s="108"/>
      <c r="Q22" s="108">
        <f t="shared" si="8"/>
        <v>134.48651778573137</v>
      </c>
      <c r="R22" s="108">
        <f t="shared" si="9"/>
        <v>343.21805809669229</v>
      </c>
      <c r="S22" s="108">
        <f t="shared" si="10"/>
        <v>650.50084970418936</v>
      </c>
      <c r="T22" s="108">
        <f t="shared" si="11"/>
        <v>252.71821403345544</v>
      </c>
      <c r="U22" s="108">
        <f t="shared" si="17"/>
        <v>122.3885432200988</v>
      </c>
      <c r="V22" s="108">
        <f t="shared" si="18"/>
        <v>155.43567535253172</v>
      </c>
      <c r="W22" s="108">
        <f t="shared" si="19"/>
        <v>394.66996799280616</v>
      </c>
      <c r="X22" s="108">
        <f t="shared" si="20"/>
        <v>298.64918735560036</v>
      </c>
      <c r="Y22" s="119">
        <f t="shared" si="21"/>
        <v>0</v>
      </c>
      <c r="Z22" s="119"/>
      <c r="AA22" s="120">
        <f>H22/$H$38</f>
        <v>5.7659400582503857E-2</v>
      </c>
      <c r="AB22" s="209">
        <f t="shared" si="16"/>
        <v>383.18707845114585</v>
      </c>
    </row>
    <row r="23" spans="2:28" x14ac:dyDescent="0.25">
      <c r="B23" s="273">
        <v>467</v>
      </c>
      <c r="C23" s="159" t="s">
        <v>78</v>
      </c>
      <c r="D23" s="118"/>
      <c r="H23" s="214">
        <v>3615.39</v>
      </c>
      <c r="J23" s="118">
        <f>H23/$F$36</f>
        <v>2.2353285522865775E-2</v>
      </c>
      <c r="K23" s="108">
        <f>J23*$K$3</f>
        <v>215.33299950030491</v>
      </c>
      <c r="L23" s="108">
        <f>J23*$L$3</f>
        <v>50.360387553029987</v>
      </c>
      <c r="M23" s="108">
        <f>J23*$M$3</f>
        <v>101.26373641141039</v>
      </c>
      <c r="N23" s="108">
        <f>J23*$N$3</f>
        <v>18.565074225305711</v>
      </c>
      <c r="O23" s="109">
        <f>J23*$O$3</f>
        <v>29.858401137167959</v>
      </c>
      <c r="P23" s="108"/>
      <c r="Q23" s="108">
        <f>J23*$Q$3</f>
        <v>30.258524948027258</v>
      </c>
      <c r="R23" s="108">
        <f>J23*$R$3</f>
        <v>77.2216601672921</v>
      </c>
      <c r="S23" s="108">
        <f>J23*$S$3</f>
        <v>146.35813696096366</v>
      </c>
      <c r="T23" s="108">
        <f>J23*$T$3</f>
        <v>56.859828851658449</v>
      </c>
      <c r="U23" s="108">
        <f>J23*$U$3</f>
        <v>27.536565369907894</v>
      </c>
      <c r="V23" s="108">
        <f>J23*$V$3</f>
        <v>34.971938733378735</v>
      </c>
      <c r="W23" s="108">
        <f>J23*$W$3</f>
        <v>88.79797967387384</v>
      </c>
      <c r="X23" s="108">
        <f>J23*$X$3</f>
        <v>67.193976281734521</v>
      </c>
      <c r="Y23" s="119">
        <f>J23*$Y$3</f>
        <v>0</v>
      </c>
      <c r="Z23" s="119"/>
      <c r="AA23" s="120">
        <f>H23/$H$38</f>
        <v>1.2972961451747077E-2</v>
      </c>
      <c r="AB23" s="209">
        <f>AA23*$AB$3</f>
        <v>86.21440991987555</v>
      </c>
    </row>
    <row r="24" spans="2:28" x14ac:dyDescent="0.25">
      <c r="B24" s="273">
        <v>468</v>
      </c>
      <c r="C24" s="159" t="s">
        <v>45</v>
      </c>
      <c r="D24" s="118"/>
      <c r="H24" s="214">
        <v>3153.85</v>
      </c>
      <c r="J24" s="118">
        <f>H24/$F$36</f>
        <v>1.9499669343083382E-2</v>
      </c>
      <c r="K24" s="108">
        <f>J24*$K$3</f>
        <v>187.84362972571054</v>
      </c>
      <c r="L24" s="108">
        <f>J24*$L$3</f>
        <v>43.931390053112843</v>
      </c>
      <c r="M24" s="108">
        <f>J24*$M$3</f>
        <v>88.336427074569173</v>
      </c>
      <c r="N24" s="108">
        <f>J24*$N$3</f>
        <v>16.195060379511041</v>
      </c>
      <c r="O24" s="109">
        <f>J24*$O$3</f>
        <v>26.046683325023626</v>
      </c>
      <c r="P24" s="108"/>
      <c r="Q24" s="108">
        <f>J24*$Q$3</f>
        <v>26.395727406264822</v>
      </c>
      <c r="R24" s="108">
        <f>J24*$R$3</f>
        <v>67.363557712615844</v>
      </c>
      <c r="S24" s="108">
        <f>J24*$S$3</f>
        <v>127.67408502383844</v>
      </c>
      <c r="T24" s="108">
        <f>J24*$T$3</f>
        <v>49.60111391130777</v>
      </c>
      <c r="U24" s="108">
        <f>J24*$U$3</f>
        <v>24.021252670357558</v>
      </c>
      <c r="V24" s="108">
        <f>J24*$V$3</f>
        <v>30.50742768394738</v>
      </c>
      <c r="W24" s="108">
        <f>J24*$W$3</f>
        <v>77.462046472011878</v>
      </c>
      <c r="X24" s="108">
        <f>J24*$X$3</f>
        <v>58.616006045308644</v>
      </c>
      <c r="Y24" s="119">
        <f>J24*$Y$3</f>
        <v>0</v>
      </c>
      <c r="Z24" s="119"/>
      <c r="AA24" s="120">
        <f>H24/$H$38</f>
        <v>1.1316835659387375E-2</v>
      </c>
      <c r="AB24" s="209">
        <f>AA24*$AB$3</f>
        <v>75.208294741590677</v>
      </c>
    </row>
    <row r="25" spans="2:28" x14ac:dyDescent="0.25">
      <c r="B25" s="273">
        <v>552</v>
      </c>
      <c r="C25" s="159" t="s">
        <v>46</v>
      </c>
      <c r="D25" s="118"/>
      <c r="H25" s="214">
        <v>665</v>
      </c>
      <c r="J25" s="118">
        <f>H25/$F$36</f>
        <v>4.1115716071311098E-3</v>
      </c>
      <c r="K25" s="108">
        <f t="shared" si="3"/>
        <v>39.60746825866719</v>
      </c>
      <c r="L25" s="108">
        <f t="shared" si="4"/>
        <v>9.263083020853891</v>
      </c>
      <c r="M25" s="108">
        <f t="shared" si="5"/>
        <v>18.626036116044997</v>
      </c>
      <c r="N25" s="108">
        <f t="shared" si="6"/>
        <v>3.4147835668706006</v>
      </c>
      <c r="O25" s="109">
        <f t="shared" si="7"/>
        <v>5.4920317742253797</v>
      </c>
      <c r="P25" s="108"/>
      <c r="Q25" s="108">
        <f t="shared" si="8"/>
        <v>5.5656289059930275</v>
      </c>
      <c r="R25" s="108">
        <f t="shared" si="9"/>
        <v>14.203835273995132</v>
      </c>
      <c r="S25" s="108">
        <f t="shared" si="10"/>
        <v>26.920515097690942</v>
      </c>
      <c r="T25" s="108">
        <f t="shared" si="11"/>
        <v>10.458563581343332</v>
      </c>
      <c r="U25" s="108">
        <f t="shared" si="17"/>
        <v>5.0649628313926716</v>
      </c>
      <c r="V25" s="108">
        <f t="shared" si="18"/>
        <v>6.4325948950726923</v>
      </c>
      <c r="W25" s="108">
        <f t="shared" si="19"/>
        <v>16.333135977896191</v>
      </c>
      <c r="X25" s="108">
        <f t="shared" si="20"/>
        <v>12.359384251036117</v>
      </c>
      <c r="Y25" s="119">
        <f t="shared" si="21"/>
        <v>0</v>
      </c>
      <c r="Z25" s="119"/>
      <c r="AA25" s="120">
        <f>H25/$H$38</f>
        <v>2.3861932918472994E-3</v>
      </c>
      <c r="AB25" s="209">
        <f t="shared" si="16"/>
        <v>15.857924759629597</v>
      </c>
    </row>
    <row r="26" spans="2:28" x14ac:dyDescent="0.25">
      <c r="B26" s="273">
        <v>560</v>
      </c>
      <c r="C26" s="159" t="s">
        <v>49</v>
      </c>
      <c r="D26" s="118"/>
      <c r="H26" s="214">
        <v>2000</v>
      </c>
      <c r="J26" s="118">
        <f>H26/$F$36</f>
        <v>1.2365628893627396E-2</v>
      </c>
      <c r="K26" s="108">
        <f>J26*$K$3</f>
        <v>119.12020528922463</v>
      </c>
      <c r="L26" s="108">
        <f>J26*$L$3</f>
        <v>27.858896303319966</v>
      </c>
      <c r="M26" s="108">
        <f>J26*$M$3</f>
        <v>56.018153732466146</v>
      </c>
      <c r="N26" s="108">
        <f>J26*$N$3</f>
        <v>10.270025765024361</v>
      </c>
      <c r="O26" s="109">
        <f>J26*$O$3</f>
        <v>16.517388794662793</v>
      </c>
      <c r="P26" s="108"/>
      <c r="Q26" s="108">
        <f>J26*$Q$3</f>
        <v>16.738733551858726</v>
      </c>
      <c r="R26" s="108">
        <f>J26*$R$3</f>
        <v>42.718301575925203</v>
      </c>
      <c r="S26" s="108">
        <f>J26*$S$3</f>
        <v>80.963955181025369</v>
      </c>
      <c r="T26" s="108">
        <f>J26*$T$3</f>
        <v>31.45432656043107</v>
      </c>
      <c r="U26" s="108">
        <f>J26*$U$3</f>
        <v>15.232970921481717</v>
      </c>
      <c r="V26" s="108">
        <f t="shared" si="18"/>
        <v>19.346150060368998</v>
      </c>
      <c r="W26" s="108">
        <f t="shared" si="19"/>
        <v>49.122213467356957</v>
      </c>
      <c r="X26" s="108">
        <f t="shared" si="20"/>
        <v>37.171080454243956</v>
      </c>
      <c r="Y26" s="119">
        <f t="shared" si="21"/>
        <v>0</v>
      </c>
      <c r="Z26" s="119"/>
      <c r="AA26" s="120">
        <f>H26/$H$38</f>
        <v>7.1765211784881183E-3</v>
      </c>
      <c r="AB26" s="209">
        <f>AA26*$AB$3</f>
        <v>47.693006795878489</v>
      </c>
    </row>
    <row r="27" spans="2:28" x14ac:dyDescent="0.25">
      <c r="B27" s="273">
        <v>566</v>
      </c>
      <c r="C27" s="159" t="s">
        <v>31</v>
      </c>
      <c r="D27" s="118"/>
      <c r="H27" s="214"/>
      <c r="J27" s="118"/>
      <c r="K27" s="108"/>
      <c r="L27" s="108"/>
      <c r="M27" s="108"/>
      <c r="N27" s="108"/>
      <c r="O27" s="109"/>
      <c r="P27" s="108"/>
      <c r="Q27" s="108"/>
      <c r="R27" s="108"/>
      <c r="S27" s="108"/>
      <c r="T27" s="108"/>
      <c r="U27" s="108"/>
      <c r="V27" s="108"/>
      <c r="W27" s="108"/>
      <c r="X27" s="108"/>
      <c r="Y27" s="119"/>
      <c r="Z27" s="119"/>
      <c r="AA27" s="120"/>
      <c r="AB27" s="209"/>
    </row>
    <row r="28" spans="2:28" x14ac:dyDescent="0.25">
      <c r="B28" s="273">
        <v>567</v>
      </c>
      <c r="C28" s="159" t="s">
        <v>52</v>
      </c>
      <c r="D28" s="118"/>
      <c r="H28" s="214">
        <v>461.54</v>
      </c>
      <c r="J28" s="118">
        <f t="shared" ref="J28:J34" si="22">H28/$F$36</f>
        <v>2.8536161797823945E-3</v>
      </c>
      <c r="K28" s="108">
        <f>J28*$K$3</f>
        <v>27.489369774594369</v>
      </c>
      <c r="L28" s="108">
        <f>J28*$L$3</f>
        <v>6.4289974999171493</v>
      </c>
      <c r="M28" s="108">
        <f>J28*$M$3</f>
        <v>12.927309336841214</v>
      </c>
      <c r="N28" s="108">
        <f>J28*$N$3</f>
        <v>2.3700138457946722</v>
      </c>
      <c r="O28" s="109">
        <f>J28*$O$3</f>
        <v>3.8117178121443334</v>
      </c>
      <c r="P28" s="108"/>
      <c r="Q28" s="108">
        <f>J28*$Q$3</f>
        <v>3.8627975417624385</v>
      </c>
      <c r="R28" s="108">
        <f>J28*$R$3</f>
        <v>9.8581024546762599</v>
      </c>
      <c r="S28" s="108">
        <f>J28*$S$3</f>
        <v>18.684051937125229</v>
      </c>
      <c r="T28" s="108">
        <f>J28*$T$3</f>
        <v>7.2587149403506794</v>
      </c>
      <c r="U28" s="108">
        <f>J28*$U$3</f>
        <v>3.5153126995503365</v>
      </c>
      <c r="V28" s="108">
        <f>J28*$V$3</f>
        <v>4.464511049431354</v>
      </c>
      <c r="W28" s="108">
        <f>J28*$W$3</f>
        <v>11.335933201861966</v>
      </c>
      <c r="X28" s="108">
        <f>J28*$X$3</f>
        <v>8.5779702364258785</v>
      </c>
      <c r="Y28" s="119">
        <f>J28*$Y$3</f>
        <v>0</v>
      </c>
      <c r="Z28" s="119"/>
      <c r="AA28" s="120">
        <f t="shared" ref="AA28:AA34" si="23">H28/$H$38</f>
        <v>1.6561257923597031E-3</v>
      </c>
      <c r="AB28" s="209">
        <f>AA28*$AB$3</f>
        <v>11.006115178284878</v>
      </c>
    </row>
    <row r="29" spans="2:28" x14ac:dyDescent="0.25">
      <c r="B29" s="273">
        <v>569</v>
      </c>
      <c r="C29" s="159" t="s">
        <v>47</v>
      </c>
      <c r="D29" s="118"/>
      <c r="H29" s="214">
        <v>2449.62</v>
      </c>
      <c r="J29" s="118">
        <f t="shared" si="22"/>
        <v>1.5145545925203771E-2</v>
      </c>
      <c r="K29" s="108">
        <f t="shared" si="3"/>
        <v>145.89961864029522</v>
      </c>
      <c r="L29" s="108">
        <f t="shared" si="4"/>
        <v>34.121854781269327</v>
      </c>
      <c r="M29" s="108">
        <f t="shared" si="5"/>
        <v>68.611594873061861</v>
      </c>
      <c r="N29" s="108">
        <f t="shared" si="6"/>
        <v>12.578830257259488</v>
      </c>
      <c r="O29" s="109">
        <f t="shared" si="7"/>
        <v>20.230662969590938</v>
      </c>
      <c r="P29" s="108"/>
      <c r="Q29" s="108">
        <f t="shared" si="8"/>
        <v>20.501768241652087</v>
      </c>
      <c r="R29" s="108">
        <f t="shared" si="9"/>
        <v>52.321802953208945</v>
      </c>
      <c r="S29" s="108">
        <f t="shared" si="10"/>
        <v>99.165461945271687</v>
      </c>
      <c r="T29" s="108">
        <f t="shared" si="11"/>
        <v>38.525573714481581</v>
      </c>
      <c r="U29" s="108">
        <f t="shared" si="17"/>
        <v>18.657495114340023</v>
      </c>
      <c r="V29" s="108">
        <f t="shared" si="18"/>
        <v>23.695358055440551</v>
      </c>
      <c r="W29" s="108">
        <f t="shared" si="19"/>
        <v>60.165378276953476</v>
      </c>
      <c r="X29" s="108">
        <f t="shared" si="20"/>
        <v>45.527511051162534</v>
      </c>
      <c r="Y29" s="119">
        <f t="shared" si="21"/>
        <v>0</v>
      </c>
      <c r="Z29" s="119"/>
      <c r="AA29" s="120">
        <f t="shared" si="23"/>
        <v>8.7898749046240315E-3</v>
      </c>
      <c r="AB29" s="209">
        <f t="shared" si="16"/>
        <v>58.414871653659922</v>
      </c>
    </row>
    <row r="30" spans="2:28" x14ac:dyDescent="0.25">
      <c r="B30" s="273">
        <v>582</v>
      </c>
      <c r="C30" s="159" t="s">
        <v>48</v>
      </c>
      <c r="D30" s="118"/>
      <c r="H30" s="214">
        <v>692.31</v>
      </c>
      <c r="J30" s="118">
        <f t="shared" si="22"/>
        <v>4.2804242696735913E-3</v>
      </c>
      <c r="K30" s="108">
        <f>J30*$K$3</f>
        <v>41.234054661891548</v>
      </c>
      <c r="L30" s="108">
        <f>J30*$L$3</f>
        <v>9.6434962498757226</v>
      </c>
      <c r="M30" s="108">
        <f>J30*$M$3</f>
        <v>19.390964005261818</v>
      </c>
      <c r="N30" s="108">
        <f>J30*$N$3</f>
        <v>3.5550207686920077</v>
      </c>
      <c r="O30" s="109">
        <f>J30*$O$3</f>
        <v>5.7175767182164998</v>
      </c>
      <c r="P30" s="108"/>
      <c r="Q30" s="108">
        <f>J30*$Q$3</f>
        <v>5.7941963126436571</v>
      </c>
      <c r="R30" s="108">
        <f>J30*$R$3</f>
        <v>14.787153682014388</v>
      </c>
      <c r="S30" s="108">
        <f>J30*$S$3</f>
        <v>28.026077905687838</v>
      </c>
      <c r="T30" s="108">
        <f>J30*$T$3</f>
        <v>10.888072410526018</v>
      </c>
      <c r="U30" s="108">
        <f>J30*$U$3</f>
        <v>5.2729690493255044</v>
      </c>
      <c r="V30" s="108">
        <f>J30*$V$3</f>
        <v>6.6967665741470306</v>
      </c>
      <c r="W30" s="108">
        <f>J30*$W$3</f>
        <v>17.003899802792947</v>
      </c>
      <c r="X30" s="108">
        <f>J30*$X$3</f>
        <v>12.866955354638815</v>
      </c>
      <c r="Y30" s="119">
        <f>J30*$Y$3</f>
        <v>0</v>
      </c>
      <c r="Z30" s="119"/>
      <c r="AA30" s="120">
        <f t="shared" si="23"/>
        <v>2.4841886885395544E-3</v>
      </c>
      <c r="AB30" s="209">
        <f>AA30*$AB$3</f>
        <v>16.509172767427316</v>
      </c>
    </row>
    <row r="31" spans="2:28" x14ac:dyDescent="0.25">
      <c r="B31" s="273">
        <v>610</v>
      </c>
      <c r="C31" s="159" t="s">
        <v>53</v>
      </c>
      <c r="D31" s="118"/>
      <c r="H31" s="214">
        <v>8515.39</v>
      </c>
      <c r="J31" s="118">
        <f t="shared" si="22"/>
        <v>5.2649076312252893E-2</v>
      </c>
      <c r="K31" s="108">
        <f t="shared" si="3"/>
        <v>507.17750245890522</v>
      </c>
      <c r="L31" s="108">
        <f t="shared" si="4"/>
        <v>118.61468349616391</v>
      </c>
      <c r="M31" s="108">
        <f t="shared" si="5"/>
        <v>238.50821305595244</v>
      </c>
      <c r="N31" s="108">
        <f t="shared" si="6"/>
        <v>43.726637349615395</v>
      </c>
      <c r="O31" s="109">
        <f t="shared" si="7"/>
        <v>70.326003684091802</v>
      </c>
      <c r="P31" s="108"/>
      <c r="Q31" s="108">
        <f t="shared" si="8"/>
        <v>71.268422150081136</v>
      </c>
      <c r="R31" s="108">
        <f t="shared" si="9"/>
        <v>181.88149902830884</v>
      </c>
      <c r="S31" s="108">
        <f t="shared" si="10"/>
        <v>344.71982715447581</v>
      </c>
      <c r="T31" s="108">
        <f t="shared" si="11"/>
        <v>133.92292892471457</v>
      </c>
      <c r="U31" s="108">
        <f t="shared" si="17"/>
        <v>64.857344127538099</v>
      </c>
      <c r="V31" s="108">
        <f t="shared" si="18"/>
        <v>82.370006381282778</v>
      </c>
      <c r="W31" s="108">
        <f t="shared" si="19"/>
        <v>209.14740266889837</v>
      </c>
      <c r="X31" s="108">
        <f t="shared" si="20"/>
        <v>158.2631233946322</v>
      </c>
      <c r="Y31" s="119">
        <f t="shared" si="21"/>
        <v>0</v>
      </c>
      <c r="Z31" s="119"/>
      <c r="AA31" s="120">
        <f t="shared" si="23"/>
        <v>3.0555438339042965E-2</v>
      </c>
      <c r="AB31" s="209">
        <f t="shared" si="16"/>
        <v>203.06227656977782</v>
      </c>
    </row>
    <row r="32" spans="2:28" x14ac:dyDescent="0.25">
      <c r="B32" s="273">
        <v>620</v>
      </c>
      <c r="C32" s="159" t="s">
        <v>54</v>
      </c>
      <c r="D32" s="118"/>
      <c r="H32" s="214">
        <v>7615.39</v>
      </c>
      <c r="J32" s="118">
        <f t="shared" si="22"/>
        <v>4.7084543310120575E-2</v>
      </c>
      <c r="K32" s="108">
        <f t="shared" si="3"/>
        <v>453.57341007875419</v>
      </c>
      <c r="L32" s="108">
        <f t="shared" si="4"/>
        <v>106.07818015966994</v>
      </c>
      <c r="M32" s="108">
        <f t="shared" si="5"/>
        <v>213.3000438763427</v>
      </c>
      <c r="N32" s="108">
        <f t="shared" si="6"/>
        <v>39.105125755354436</v>
      </c>
      <c r="O32" s="109">
        <f t="shared" si="7"/>
        <v>62.893178726493559</v>
      </c>
      <c r="P32" s="108"/>
      <c r="Q32" s="108">
        <f t="shared" si="8"/>
        <v>63.735992051744724</v>
      </c>
      <c r="R32" s="108">
        <f t="shared" si="9"/>
        <v>162.65826331914252</v>
      </c>
      <c r="S32" s="108">
        <f t="shared" si="10"/>
        <v>308.28604732301449</v>
      </c>
      <c r="T32" s="108">
        <f t="shared" si="11"/>
        <v>119.7684819725206</v>
      </c>
      <c r="U32" s="108">
        <f t="shared" si="17"/>
        <v>58.002507212871336</v>
      </c>
      <c r="V32" s="108">
        <f t="shared" si="18"/>
        <v>73.664238854116746</v>
      </c>
      <c r="W32" s="108">
        <f t="shared" si="19"/>
        <v>187.04240660858778</v>
      </c>
      <c r="X32" s="108">
        <f t="shared" si="20"/>
        <v>141.53613719022243</v>
      </c>
      <c r="Y32" s="119">
        <f t="shared" si="21"/>
        <v>0</v>
      </c>
      <c r="Z32" s="119"/>
      <c r="AA32" s="120">
        <f t="shared" si="23"/>
        <v>2.7326003808723315E-2</v>
      </c>
      <c r="AB32" s="209">
        <f t="shared" si="16"/>
        <v>181.60042351163253</v>
      </c>
    </row>
    <row r="33" spans="2:32" x14ac:dyDescent="0.25">
      <c r="B33" s="273">
        <v>630</v>
      </c>
      <c r="C33" s="159" t="s">
        <v>55</v>
      </c>
      <c r="D33" s="118"/>
      <c r="H33" s="214">
        <v>1261.54</v>
      </c>
      <c r="J33" s="118">
        <f t="shared" si="22"/>
        <v>7.7998677372333527E-3</v>
      </c>
      <c r="K33" s="108">
        <f t="shared" si="3"/>
        <v>75.137451890284211</v>
      </c>
      <c r="L33" s="108">
        <f t="shared" si="4"/>
        <v>17.572556021245138</v>
      </c>
      <c r="M33" s="108">
        <f t="shared" si="5"/>
        <v>35.334570829827669</v>
      </c>
      <c r="N33" s="108">
        <f t="shared" si="6"/>
        <v>6.4780241518044166</v>
      </c>
      <c r="O33" s="109">
        <f t="shared" si="7"/>
        <v>10.418673330009451</v>
      </c>
      <c r="P33" s="108"/>
      <c r="Q33" s="108">
        <f t="shared" si="8"/>
        <v>10.558290962505929</v>
      </c>
      <c r="R33" s="108">
        <f t="shared" si="9"/>
        <v>26.94542308504634</v>
      </c>
      <c r="S33" s="108">
        <f t="shared" si="10"/>
        <v>51.069634009535378</v>
      </c>
      <c r="T33" s="108">
        <f t="shared" si="11"/>
        <v>19.840445564523108</v>
      </c>
      <c r="U33" s="108">
        <f t="shared" si="17"/>
        <v>9.6085010681430241</v>
      </c>
      <c r="V33" s="108">
        <f t="shared" si="18"/>
        <v>12.202971073578952</v>
      </c>
      <c r="W33" s="108">
        <f t="shared" si="19"/>
        <v>30.98481858880475</v>
      </c>
      <c r="X33" s="108">
        <f t="shared" si="20"/>
        <v>23.446402418123458</v>
      </c>
      <c r="Y33" s="119">
        <f t="shared" si="21"/>
        <v>0</v>
      </c>
      <c r="Z33" s="119"/>
      <c r="AA33" s="120">
        <f t="shared" si="23"/>
        <v>4.5267342637549503E-3</v>
      </c>
      <c r="AB33" s="209">
        <f t="shared" si="16"/>
        <v>30.083317896636274</v>
      </c>
    </row>
    <row r="34" spans="2:32" x14ac:dyDescent="0.25">
      <c r="B34" s="273">
        <v>650</v>
      </c>
      <c r="C34" s="159" t="s">
        <v>56</v>
      </c>
      <c r="D34" s="118"/>
      <c r="H34" s="214">
        <v>375</v>
      </c>
      <c r="I34" s="319"/>
      <c r="J34" s="118">
        <f t="shared" si="22"/>
        <v>2.3185554175551371E-3</v>
      </c>
      <c r="K34" s="108">
        <f t="shared" si="3"/>
        <v>22.33503849172962</v>
      </c>
      <c r="L34" s="108">
        <f t="shared" si="4"/>
        <v>5.2235430568724945</v>
      </c>
      <c r="M34" s="108">
        <f t="shared" si="5"/>
        <v>10.503403824837404</v>
      </c>
      <c r="N34" s="108">
        <f t="shared" si="6"/>
        <v>1.9256298309420679</v>
      </c>
      <c r="O34" s="109">
        <f t="shared" si="7"/>
        <v>3.0970103989992745</v>
      </c>
      <c r="P34" s="108"/>
      <c r="Q34" s="108">
        <f t="shared" si="8"/>
        <v>3.1385125409735117</v>
      </c>
      <c r="R34" s="108">
        <f t="shared" si="9"/>
        <v>8.0096815454859769</v>
      </c>
      <c r="S34" s="108">
        <f t="shared" si="10"/>
        <v>15.18074159644226</v>
      </c>
      <c r="T34" s="108">
        <f t="shared" si="11"/>
        <v>5.8976862300808266</v>
      </c>
      <c r="U34" s="108">
        <f t="shared" si="17"/>
        <v>2.8561820477778226</v>
      </c>
      <c r="V34" s="108">
        <f t="shared" si="18"/>
        <v>3.6274031363191876</v>
      </c>
      <c r="W34" s="108">
        <f t="shared" si="19"/>
        <v>9.2104150251294303</v>
      </c>
      <c r="X34" s="108">
        <f t="shared" si="20"/>
        <v>6.9695775851707422</v>
      </c>
      <c r="Y34" s="119">
        <f t="shared" si="21"/>
        <v>0</v>
      </c>
      <c r="Z34" s="119"/>
      <c r="AA34" s="120">
        <f t="shared" si="23"/>
        <v>1.3455977209665222E-3</v>
      </c>
      <c r="AB34" s="209">
        <f t="shared" si="16"/>
        <v>8.9424387742272167</v>
      </c>
    </row>
    <row r="35" spans="2:32" x14ac:dyDescent="0.25">
      <c r="D35" s="118"/>
      <c r="H35" s="214"/>
      <c r="I35" s="118">
        <f>SUM(H5:H34)</f>
        <v>161738.65000000005</v>
      </c>
      <c r="J35" s="11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>
        <f t="shared" si="17"/>
        <v>0</v>
      </c>
      <c r="V35" s="108"/>
      <c r="W35" s="108">
        <f t="shared" si="19"/>
        <v>0</v>
      </c>
      <c r="X35" s="108"/>
      <c r="Y35" s="119"/>
      <c r="Z35" s="119"/>
      <c r="AA35" s="120"/>
      <c r="AB35" s="209"/>
    </row>
    <row r="36" spans="2:32" x14ac:dyDescent="0.25">
      <c r="F36" s="119">
        <f>H43</f>
        <v>161738.64000000001</v>
      </c>
      <c r="H36" s="214"/>
      <c r="K36" s="108">
        <f t="shared" ref="K36" si="24">J36*$K$3</f>
        <v>0</v>
      </c>
      <c r="L36" s="108">
        <f t="shared" ref="L36" si="25">J36*$L$3</f>
        <v>0</v>
      </c>
      <c r="M36" s="108">
        <f t="shared" ref="M36" si="26">J36*$M$3</f>
        <v>0</v>
      </c>
      <c r="N36" s="108">
        <f t="shared" ref="N36" si="27">J36*$N$3</f>
        <v>0</v>
      </c>
      <c r="O36" s="108">
        <f t="shared" ref="O36" si="28">J36*$O$3</f>
        <v>0</v>
      </c>
      <c r="P36" s="108"/>
      <c r="Q36" s="108">
        <f t="shared" ref="Q36" si="29">J36*$Q$3</f>
        <v>0</v>
      </c>
      <c r="R36" s="108">
        <f t="shared" ref="R36" si="30">J36*$R$3</f>
        <v>0</v>
      </c>
      <c r="S36" s="108">
        <f t="shared" ref="S36" si="31">J36*$S$3</f>
        <v>0</v>
      </c>
      <c r="T36" s="108">
        <f>J36*$T$3</f>
        <v>0</v>
      </c>
      <c r="U36" s="108">
        <f t="shared" si="17"/>
        <v>0</v>
      </c>
      <c r="V36" s="108">
        <f>J36*$V$3</f>
        <v>0</v>
      </c>
      <c r="W36" s="108">
        <f t="shared" si="19"/>
        <v>0</v>
      </c>
      <c r="X36" s="108">
        <f>J36*$X$3</f>
        <v>0</v>
      </c>
      <c r="Y36" s="119">
        <f>J36*$Y$3</f>
        <v>0</v>
      </c>
      <c r="Z36" s="119"/>
      <c r="AA36" s="120">
        <f>H36/$H$38</f>
        <v>0</v>
      </c>
      <c r="AB36" s="209">
        <f t="shared" ref="AB36:AB37" si="32">AA36*$AB$3</f>
        <v>0</v>
      </c>
    </row>
    <row r="37" spans="2:32" x14ac:dyDescent="0.25">
      <c r="C37" s="159" t="s">
        <v>60</v>
      </c>
      <c r="H37" s="118">
        <v>116947.91</v>
      </c>
      <c r="K37" s="108"/>
      <c r="L37" s="108"/>
      <c r="M37" s="108"/>
      <c r="N37" s="108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AA37" s="120">
        <f>H37/$H$38</f>
        <v>0.41963957644746119</v>
      </c>
      <c r="AB37" s="209">
        <f t="shared" si="32"/>
        <v>2788.798733196893</v>
      </c>
      <c r="AC37" s="159">
        <v>7130</v>
      </c>
    </row>
    <row r="38" spans="2:32" ht="15.75" thickBot="1" x14ac:dyDescent="0.3">
      <c r="H38" s="320">
        <f>SUM(H6:H37)</f>
        <v>278686.56000000006</v>
      </c>
      <c r="I38" s="320"/>
      <c r="J38" s="321">
        <f t="shared" ref="J38:Y38" si="33">SUM(J6:J36)</f>
        <v>1.0000000618281444</v>
      </c>
      <c r="K38" s="358">
        <f t="shared" si="33"/>
        <v>9633.1705956010264</v>
      </c>
      <c r="L38" s="358">
        <f t="shared" si="33"/>
        <v>2252.9301392944803</v>
      </c>
      <c r="M38" s="358">
        <f t="shared" si="33"/>
        <v>4530.1502800907674</v>
      </c>
      <c r="N38" s="358">
        <f t="shared" si="33"/>
        <v>830.53005135012847</v>
      </c>
      <c r="O38" s="358">
        <f t="shared" si="33"/>
        <v>1335.7500825869436</v>
      </c>
      <c r="P38" s="358">
        <f t="shared" si="33"/>
        <v>0</v>
      </c>
      <c r="Q38" s="358">
        <f t="shared" si="33"/>
        <v>1353.6500836936675</v>
      </c>
      <c r="R38" s="358">
        <f t="shared" si="33"/>
        <v>3454.6002135915073</v>
      </c>
      <c r="S38" s="358">
        <f t="shared" si="33"/>
        <v>6547.5004048197752</v>
      </c>
      <c r="T38" s="358">
        <f t="shared" si="33"/>
        <v>2543.6901572716324</v>
      </c>
      <c r="U38" s="358">
        <f t="shared" si="33"/>
        <v>1231.8800761648542</v>
      </c>
      <c r="V38" s="358">
        <f t="shared" si="33"/>
        <v>1564.5100967307499</v>
      </c>
      <c r="W38" s="358">
        <f t="shared" si="33"/>
        <v>3972.4802456110683</v>
      </c>
      <c r="X38" s="358">
        <f t="shared" si="33"/>
        <v>3006.0001858554015</v>
      </c>
      <c r="Y38" s="321">
        <f t="shared" si="33"/>
        <v>0</v>
      </c>
      <c r="Z38" s="320"/>
      <c r="AA38" s="321">
        <f>SUM(AA6:AA37)</f>
        <v>0.99999999999999967</v>
      </c>
      <c r="AB38" s="359">
        <f>SUM(AB6:AB37)</f>
        <v>6645.6999999999971</v>
      </c>
      <c r="AC38" s="119"/>
    </row>
    <row r="39" spans="2:32" ht="16.5" thickTop="1" thickBot="1" x14ac:dyDescent="0.3">
      <c r="H39" s="341" t="s">
        <v>61</v>
      </c>
      <c r="I39" s="341"/>
      <c r="J39" s="342" t="s">
        <v>62</v>
      </c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</row>
    <row r="40" spans="2:32" x14ac:dyDescent="0.25">
      <c r="C40" s="343">
        <v>43532</v>
      </c>
      <c r="D40" s="344"/>
      <c r="E40" s="344"/>
      <c r="F40" s="344"/>
      <c r="G40" s="345"/>
      <c r="H40" s="345">
        <v>79657.09</v>
      </c>
      <c r="I40" s="345"/>
      <c r="J40" s="346"/>
      <c r="K40" s="158">
        <v>4744.3599999999997</v>
      </c>
      <c r="L40" s="158">
        <v>1109.57</v>
      </c>
      <c r="M40" s="158">
        <v>2228.86</v>
      </c>
      <c r="N40" s="158">
        <v>408.62</v>
      </c>
      <c r="O40" s="158">
        <v>656.71</v>
      </c>
      <c r="P40" s="114"/>
      <c r="Q40" s="114"/>
      <c r="R40" s="114"/>
      <c r="S40" s="114"/>
      <c r="T40" s="114"/>
      <c r="U40" s="114"/>
      <c r="V40" s="114"/>
      <c r="W40" s="114"/>
      <c r="X40" s="114"/>
    </row>
    <row r="41" spans="2:32" x14ac:dyDescent="0.25">
      <c r="C41" s="347">
        <v>43546</v>
      </c>
      <c r="D41" s="348"/>
      <c r="E41" s="348"/>
      <c r="F41" s="348"/>
      <c r="H41" s="118">
        <v>82081.55</v>
      </c>
      <c r="J41" s="349">
        <v>0</v>
      </c>
      <c r="K41" s="158">
        <v>4888.8100000000004</v>
      </c>
      <c r="L41" s="158">
        <v>1143.3599999999999</v>
      </c>
      <c r="M41" s="158">
        <v>2301.29</v>
      </c>
      <c r="N41" s="158">
        <v>421.91</v>
      </c>
      <c r="O41" s="158">
        <v>679.04</v>
      </c>
      <c r="P41" s="114"/>
      <c r="Q41" s="114"/>
      <c r="R41" s="114"/>
      <c r="S41" s="114"/>
      <c r="T41" s="114"/>
      <c r="U41" s="114"/>
      <c r="V41" s="114"/>
      <c r="W41" s="114"/>
      <c r="X41" s="114"/>
    </row>
    <row r="42" spans="2:32" ht="15.75" thickBot="1" x14ac:dyDescent="0.3">
      <c r="C42" s="347"/>
      <c r="D42" s="348"/>
      <c r="E42" s="348"/>
      <c r="F42" s="348"/>
      <c r="J42" s="349"/>
      <c r="K42" s="158"/>
      <c r="L42" s="158"/>
      <c r="M42" s="158"/>
      <c r="N42" s="158"/>
      <c r="O42" s="158"/>
      <c r="P42" s="114"/>
      <c r="Q42" s="114"/>
      <c r="R42" s="114"/>
      <c r="S42" s="114"/>
      <c r="T42" s="114"/>
      <c r="U42" s="114"/>
      <c r="V42" s="114"/>
      <c r="W42" s="114"/>
      <c r="X42" s="114"/>
    </row>
    <row r="43" spans="2:32" ht="15.75" thickBot="1" x14ac:dyDescent="0.3">
      <c r="C43" s="350"/>
      <c r="D43" s="350"/>
      <c r="E43" s="350"/>
      <c r="F43" s="350"/>
      <c r="G43" s="351"/>
      <c r="H43" s="352">
        <f>SUM(H40:H42)</f>
        <v>161738.64000000001</v>
      </c>
      <c r="I43" s="353"/>
      <c r="J43" s="354"/>
      <c r="K43" s="161">
        <f>SUM(K40:K42)</f>
        <v>9633.17</v>
      </c>
      <c r="L43" s="162">
        <f t="shared" ref="L43:O43" si="34">SUM(L40:L42)</f>
        <v>2252.9299999999998</v>
      </c>
      <c r="M43" s="162">
        <f>SUM(M40:M42)</f>
        <v>4530.1499999999996</v>
      </c>
      <c r="N43" s="162">
        <f t="shared" ref="N43" si="35">SUM(N40:N42)</f>
        <v>830.53</v>
      </c>
      <c r="O43" s="163">
        <f t="shared" si="34"/>
        <v>1335.75</v>
      </c>
      <c r="P43" s="114"/>
      <c r="Q43" s="114"/>
      <c r="R43" s="114"/>
      <c r="S43" s="114"/>
      <c r="T43" s="114"/>
      <c r="U43" s="114"/>
      <c r="V43" s="114"/>
      <c r="W43" s="114"/>
      <c r="X43" s="114"/>
    </row>
    <row r="44" spans="2:32" ht="15.75" thickBot="1" x14ac:dyDescent="0.3">
      <c r="H44" s="118">
        <f>H37</f>
        <v>116947.91</v>
      </c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AF44" s="159">
        <v>114.44</v>
      </c>
    </row>
    <row r="45" spans="2:32" ht="15.75" thickBot="1" x14ac:dyDescent="0.3">
      <c r="H45" s="352">
        <f>SUM(H43:H44)</f>
        <v>278686.55000000005</v>
      </c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</row>
    <row r="46" spans="2:32" x14ac:dyDescent="0.25">
      <c r="AF46" s="159">
        <v>151.65</v>
      </c>
    </row>
  </sheetData>
  <pageMargins left="0" right="0" top="0.75" bottom="0.75" header="0.3" footer="0.3"/>
  <pageSetup paperSize="5" scale="56" orientation="landscape" r:id="rId1"/>
  <headerFooter>
    <oddFooter>&amp;L&amp;Z&amp;F &amp;D &amp;T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FE08-C9D9-4F40-B035-56A4F7059643}">
  <sheetPr>
    <tabColor theme="5" tint="0.39997558519241921"/>
    <pageSetUpPr fitToPage="1"/>
  </sheetPr>
  <dimension ref="B1:AF44"/>
  <sheetViews>
    <sheetView zoomScale="85" zoomScaleNormal="85" workbookViewId="0">
      <selection sqref="A1:XFD1048576"/>
    </sheetView>
  </sheetViews>
  <sheetFormatPr defaultRowHeight="15" x14ac:dyDescent="0.25"/>
  <cols>
    <col min="1" max="1" width="9.140625" style="159"/>
    <col min="2" max="2" width="9.140625" style="273"/>
    <col min="3" max="3" width="29.28515625" style="159" customWidth="1"/>
    <col min="4" max="4" width="9" style="159" hidden="1" customWidth="1"/>
    <col min="5" max="5" width="8.140625" style="159" hidden="1" customWidth="1"/>
    <col min="6" max="6" width="12.7109375" style="159" hidden="1" customWidth="1"/>
    <col min="7" max="7" width="12.7109375" style="118" hidden="1" customWidth="1"/>
    <col min="8" max="9" width="13.85546875" style="118" customWidth="1"/>
    <col min="10" max="10" width="12.140625" style="121" customWidth="1"/>
    <col min="11" max="11" width="11.28515625" style="157" customWidth="1"/>
    <col min="12" max="12" width="13.42578125" style="157" customWidth="1"/>
    <col min="13" max="13" width="13.28515625" style="159" customWidth="1"/>
    <col min="14" max="14" width="15.7109375" style="159" customWidth="1"/>
    <col min="15" max="15" width="11.7109375" style="157" customWidth="1"/>
    <col min="16" max="16" width="1" style="159" customWidth="1"/>
    <col min="17" max="17" width="13.140625" style="157" customWidth="1"/>
    <col min="18" max="18" width="15.140625" style="157" customWidth="1"/>
    <col min="19" max="19" width="17.42578125" style="159" customWidth="1"/>
    <col min="20" max="20" width="15.5703125" style="157" customWidth="1"/>
    <col min="21" max="21" width="15.28515625" style="157" customWidth="1"/>
    <col min="22" max="23" width="15.140625" style="159" customWidth="1"/>
    <col min="24" max="24" width="15.85546875" style="157" customWidth="1"/>
    <col min="25" max="25" width="15.5703125" style="159" customWidth="1"/>
    <col min="26" max="26" width="2.85546875" style="159" customWidth="1"/>
    <col min="27" max="27" width="8.5703125" style="159" customWidth="1"/>
    <col min="28" max="28" width="11.85546875" style="159" customWidth="1"/>
    <col min="29" max="29" width="12.7109375" style="159" customWidth="1"/>
    <col min="30" max="16384" width="9.140625" style="159"/>
  </cols>
  <sheetData>
    <row r="1" spans="2:29" ht="15.75" thickBot="1" x14ac:dyDescent="0.3">
      <c r="B1" s="118" t="s">
        <v>79</v>
      </c>
      <c r="K1" s="157">
        <v>7251</v>
      </c>
      <c r="L1" s="157">
        <v>7252</v>
      </c>
      <c r="M1" s="159">
        <v>7253</v>
      </c>
      <c r="N1" s="159">
        <v>7254</v>
      </c>
      <c r="O1" s="157">
        <v>7260</v>
      </c>
      <c r="Q1" s="157">
        <v>7251</v>
      </c>
      <c r="R1" s="157">
        <v>7252</v>
      </c>
      <c r="S1" s="159">
        <v>7253</v>
      </c>
      <c r="T1" s="157">
        <v>7260</v>
      </c>
      <c r="Y1" s="159">
        <v>8222</v>
      </c>
      <c r="AB1" s="159">
        <v>7248</v>
      </c>
    </row>
    <row r="2" spans="2:29" ht="17.25" thickBot="1" x14ac:dyDescent="0.4">
      <c r="K2" s="335" t="s">
        <v>1</v>
      </c>
      <c r="L2" s="335" t="s">
        <v>2</v>
      </c>
      <c r="M2" s="335" t="s">
        <v>3</v>
      </c>
      <c r="N2" s="335" t="s">
        <v>4</v>
      </c>
      <c r="O2" s="335" t="s">
        <v>5</v>
      </c>
      <c r="P2" s="335"/>
      <c r="Q2" s="336" t="s">
        <v>8</v>
      </c>
      <c r="R2" s="336" t="s">
        <v>12</v>
      </c>
      <c r="S2" s="336" t="s">
        <v>7</v>
      </c>
      <c r="T2" s="336" t="s">
        <v>11</v>
      </c>
      <c r="U2" s="336" t="s">
        <v>9</v>
      </c>
      <c r="V2" s="336" t="s">
        <v>13</v>
      </c>
      <c r="W2" s="336" t="s">
        <v>14</v>
      </c>
      <c r="X2" s="114" t="s">
        <v>6</v>
      </c>
      <c r="Y2" s="114" t="s">
        <v>75</v>
      </c>
      <c r="Z2" s="118"/>
      <c r="AA2" s="337"/>
      <c r="AB2" s="338" t="s">
        <v>15</v>
      </c>
      <c r="AC2" s="118"/>
    </row>
    <row r="3" spans="2:29" ht="15.75" thickBot="1" x14ac:dyDescent="0.3">
      <c r="K3" s="355">
        <f>K41</f>
        <v>9555.130000000001</v>
      </c>
      <c r="L3" s="355">
        <f t="shared" ref="L3:O3" si="0">L41</f>
        <v>2234.71</v>
      </c>
      <c r="M3" s="355">
        <f t="shared" si="0"/>
        <v>4497.13</v>
      </c>
      <c r="N3" s="355">
        <f t="shared" si="0"/>
        <v>824.5</v>
      </c>
      <c r="O3" s="355">
        <f t="shared" si="0"/>
        <v>1313.42</v>
      </c>
      <c r="P3" s="158">
        <v>0</v>
      </c>
      <c r="Q3" s="161">
        <v>541.66</v>
      </c>
      <c r="R3" s="161">
        <v>3231.93</v>
      </c>
      <c r="S3" s="161">
        <v>5880</v>
      </c>
      <c r="T3" s="161">
        <v>2444.3200000000002</v>
      </c>
      <c r="U3" s="355">
        <v>1214.6099999999999</v>
      </c>
      <c r="V3" s="355">
        <v>665</v>
      </c>
      <c r="W3" s="162">
        <v>3972.48</v>
      </c>
      <c r="X3" s="162">
        <v>3006</v>
      </c>
      <c r="Y3" s="162"/>
      <c r="Z3" s="118"/>
      <c r="AA3" s="120"/>
      <c r="AB3" s="210">
        <v>6645.7</v>
      </c>
      <c r="AC3" s="118"/>
    </row>
    <row r="4" spans="2:29" x14ac:dyDescent="0.25"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AA4" s="356"/>
      <c r="AB4" s="357">
        <v>0.04</v>
      </c>
    </row>
    <row r="5" spans="2:29" ht="15.75" thickBot="1" x14ac:dyDescent="0.3">
      <c r="D5" s="159">
        <v>7222</v>
      </c>
      <c r="E5" s="159" t="s">
        <v>16</v>
      </c>
      <c r="F5" s="159" t="s">
        <v>17</v>
      </c>
      <c r="S5" s="157"/>
      <c r="Y5" s="157"/>
      <c r="AA5" s="356"/>
      <c r="AB5" s="357"/>
    </row>
    <row r="6" spans="2:29" ht="15.75" thickBot="1" x14ac:dyDescent="0.3">
      <c r="B6" s="273">
        <v>111</v>
      </c>
      <c r="C6" s="159" t="s">
        <v>20</v>
      </c>
      <c r="D6" s="118"/>
      <c r="H6" s="214">
        <v>27352.71</v>
      </c>
      <c r="J6" s="118">
        <f t="shared" ref="J6:J32" si="1">H6/$F$34</f>
        <v>0.17035354730317817</v>
      </c>
      <c r="K6" s="208">
        <f t="shared" ref="K6:K32" si="2">J6*$K$3</f>
        <v>1627.7502904430171</v>
      </c>
      <c r="L6" s="110">
        <f t="shared" ref="L6:L32" si="3">J6*$L$3</f>
        <v>380.69077569388531</v>
      </c>
      <c r="M6" s="110">
        <f t="shared" ref="M6:M32" si="4">J6*$M$3</f>
        <v>766.10204818354168</v>
      </c>
      <c r="N6" s="110">
        <f t="shared" ref="N6:N32" si="5">J6*$N$3</f>
        <v>140.4564997514704</v>
      </c>
      <c r="O6" s="111">
        <f t="shared" ref="O6:O32" si="6">J6*$O$3</f>
        <v>223.74575609894029</v>
      </c>
      <c r="P6" s="110"/>
      <c r="Q6" s="110">
        <f t="shared" ref="Q6:Q32" si="7">J6*$Q$3</f>
        <v>92.273702432239489</v>
      </c>
      <c r="R6" s="110">
        <f t="shared" ref="R6:R32" si="8">J6*$R$3</f>
        <v>550.57074013556064</v>
      </c>
      <c r="S6" s="110">
        <f t="shared" ref="S6:S32" si="9">J6*$S$3</f>
        <v>1001.6788581426877</v>
      </c>
      <c r="T6" s="110">
        <f t="shared" ref="T6:T32" si="10">J6*$T$3</f>
        <v>416.39858274410449</v>
      </c>
      <c r="U6" s="110">
        <f>J6*$U$3</f>
        <v>206.91312208991323</v>
      </c>
      <c r="V6" s="110">
        <f t="shared" ref="V6:V32" si="11">J6*$V$3</f>
        <v>113.28510895661348</v>
      </c>
      <c r="W6" s="110">
        <f t="shared" ref="W6:W34" si="12">J6*$W$3</f>
        <v>676.72605959092925</v>
      </c>
      <c r="X6" s="110">
        <f t="shared" ref="X6:X32" si="13">J6*$X$3</f>
        <v>512.08276319335357</v>
      </c>
      <c r="Y6" s="160">
        <f t="shared" ref="Y6:Y12" si="14">J6*$Y$3</f>
        <v>0</v>
      </c>
      <c r="Z6" s="119"/>
      <c r="AA6" s="120">
        <f t="shared" ref="AA6:AA32" si="15">H6/$H$36</f>
        <v>9.7658582717692954E-2</v>
      </c>
      <c r="AB6" s="209">
        <f t="shared" ref="AB6:AB32" si="16">AA6*$AB$3</f>
        <v>649.00964316697207</v>
      </c>
    </row>
    <row r="7" spans="2:29" x14ac:dyDescent="0.25">
      <c r="B7" s="273" t="s">
        <v>23</v>
      </c>
      <c r="C7" s="159" t="s">
        <v>24</v>
      </c>
      <c r="D7" s="118"/>
      <c r="H7" s="214">
        <v>3828.67</v>
      </c>
      <c r="J7" s="118">
        <f t="shared" si="1"/>
        <v>2.3845078456696214E-2</v>
      </c>
      <c r="K7" s="108">
        <f>J7*$K$3</f>
        <v>227.84282451393173</v>
      </c>
      <c r="L7" s="108">
        <f>J7*$L$3</f>
        <v>53.286835277963597</v>
      </c>
      <c r="M7" s="108">
        <f>J7*$M$3</f>
        <v>107.23441767996225</v>
      </c>
      <c r="N7" s="108">
        <f>J7*$N$3</f>
        <v>19.66026718754603</v>
      </c>
      <c r="O7" s="109">
        <f>J7*$O$3</f>
        <v>31.318602946593945</v>
      </c>
      <c r="P7" s="108"/>
      <c r="Q7" s="108">
        <f>J7*$Q$3</f>
        <v>12.91592519685407</v>
      </c>
      <c r="R7" s="108">
        <f>J7*$R$3</f>
        <v>77.065624416550193</v>
      </c>
      <c r="S7" s="108">
        <f>J7*$S$3</f>
        <v>140.20906132537374</v>
      </c>
      <c r="T7" s="108">
        <f>J7*$T$3</f>
        <v>58.285002173271693</v>
      </c>
      <c r="U7" s="108">
        <f>J7*$U$3</f>
        <v>28.962470744287785</v>
      </c>
      <c r="V7" s="108">
        <f t="shared" si="11"/>
        <v>15.856977173702983</v>
      </c>
      <c r="W7" s="108">
        <f t="shared" si="12"/>
        <v>94.724097267656575</v>
      </c>
      <c r="X7" s="108">
        <f t="shared" si="13"/>
        <v>71.678305840828827</v>
      </c>
      <c r="Y7" s="109">
        <f t="shared" si="14"/>
        <v>0</v>
      </c>
      <c r="Z7" s="119"/>
      <c r="AA7" s="120">
        <f t="shared" si="15"/>
        <v>1.3669668778477508E-2</v>
      </c>
      <c r="AB7" s="209">
        <f>AA7*$AB$3</f>
        <v>90.844517801127964</v>
      </c>
    </row>
    <row r="8" spans="2:29" x14ac:dyDescent="0.25">
      <c r="B8" s="273" t="s">
        <v>21</v>
      </c>
      <c r="C8" s="159" t="s">
        <v>22</v>
      </c>
      <c r="D8" s="118"/>
      <c r="H8" s="214">
        <v>1753.41</v>
      </c>
      <c r="J8" s="118">
        <f t="shared" si="1"/>
        <v>1.0920293213245256E-2</v>
      </c>
      <c r="K8" s="108">
        <f t="shared" si="2"/>
        <v>104.34482129067615</v>
      </c>
      <c r="L8" s="108">
        <f t="shared" si="3"/>
        <v>24.403688446571305</v>
      </c>
      <c r="M8" s="108">
        <f t="shared" si="4"/>
        <v>49.109978218081636</v>
      </c>
      <c r="N8" s="108">
        <f t="shared" si="5"/>
        <v>9.0037817543207126</v>
      </c>
      <c r="O8" s="109">
        <f t="shared" si="6"/>
        <v>14.342931512140584</v>
      </c>
      <c r="P8" s="108"/>
      <c r="Q8" s="108">
        <f t="shared" si="7"/>
        <v>5.9150860218864247</v>
      </c>
      <c r="R8" s="108">
        <f t="shared" si="8"/>
        <v>35.293623244683737</v>
      </c>
      <c r="S8" s="108">
        <f t="shared" si="9"/>
        <v>64.211324093882098</v>
      </c>
      <c r="T8" s="108">
        <f t="shared" si="10"/>
        <v>26.692691106999646</v>
      </c>
      <c r="U8" s="108">
        <f t="shared" ref="U8:U34" si="17">J8*$U$3</f>
        <v>13.263897339739819</v>
      </c>
      <c r="V8" s="108">
        <f t="shared" si="11"/>
        <v>7.2619949868080953</v>
      </c>
      <c r="W8" s="108">
        <f t="shared" si="12"/>
        <v>43.380646383752513</v>
      </c>
      <c r="X8" s="108">
        <f t="shared" si="13"/>
        <v>32.826401399015239</v>
      </c>
      <c r="Y8" s="109">
        <f t="shared" si="14"/>
        <v>0</v>
      </c>
      <c r="Z8" s="119"/>
      <c r="AA8" s="120">
        <f t="shared" si="15"/>
        <v>6.2602767887726665E-3</v>
      </c>
      <c r="AB8" s="209">
        <f t="shared" si="16"/>
        <v>41.603921455146505</v>
      </c>
    </row>
    <row r="9" spans="2:29" x14ac:dyDescent="0.25">
      <c r="B9" s="273" t="s">
        <v>25</v>
      </c>
      <c r="C9" s="159" t="s">
        <v>26</v>
      </c>
      <c r="D9" s="118"/>
      <c r="H9" s="214">
        <v>771.62</v>
      </c>
      <c r="J9" s="118">
        <f t="shared" si="1"/>
        <v>4.805673886429474E-3</v>
      </c>
      <c r="K9" s="108">
        <f t="shared" si="2"/>
        <v>45.918838722438863</v>
      </c>
      <c r="L9" s="108">
        <f t="shared" si="3"/>
        <v>10.739287490742811</v>
      </c>
      <c r="M9" s="108">
        <f t="shared" si="4"/>
        <v>21.611740204878579</v>
      </c>
      <c r="N9" s="108">
        <f t="shared" si="5"/>
        <v>3.9622781193611014</v>
      </c>
      <c r="O9" s="109">
        <f t="shared" si="6"/>
        <v>6.3118681959142</v>
      </c>
      <c r="P9" s="108"/>
      <c r="Q9" s="108">
        <f t="shared" si="7"/>
        <v>2.6030413173233886</v>
      </c>
      <c r="R9" s="108">
        <f t="shared" si="8"/>
        <v>15.531601603768008</v>
      </c>
      <c r="S9" s="108">
        <f t="shared" si="9"/>
        <v>28.257362452205307</v>
      </c>
      <c r="T9" s="108">
        <f t="shared" si="10"/>
        <v>11.746604794077292</v>
      </c>
      <c r="U9" s="108">
        <f t="shared" si="17"/>
        <v>5.8370195591961025</v>
      </c>
      <c r="V9" s="108">
        <f t="shared" si="11"/>
        <v>3.1957731344756004</v>
      </c>
      <c r="W9" s="108">
        <f t="shared" si="12"/>
        <v>19.090443400363355</v>
      </c>
      <c r="X9" s="108">
        <f t="shared" si="13"/>
        <v>14.445855702606998</v>
      </c>
      <c r="Y9" s="109">
        <f t="shared" si="14"/>
        <v>0</v>
      </c>
      <c r="Z9" s="119"/>
      <c r="AA9" s="120">
        <f t="shared" si="15"/>
        <v>2.7549488001966257E-3</v>
      </c>
      <c r="AB9" s="209">
        <f t="shared" si="16"/>
        <v>18.308563241466715</v>
      </c>
    </row>
    <row r="10" spans="2:29" ht="15.75" thickBot="1" x14ac:dyDescent="0.3">
      <c r="B10" s="273">
        <v>112</v>
      </c>
      <c r="C10" s="159" t="s">
        <v>27</v>
      </c>
      <c r="D10" s="118"/>
      <c r="H10" s="214">
        <v>30307.05</v>
      </c>
      <c r="J10" s="118">
        <f t="shared" si="1"/>
        <v>0.18875327072874262</v>
      </c>
      <c r="K10" s="108">
        <f t="shared" si="2"/>
        <v>1803.5620397383307</v>
      </c>
      <c r="L10" s="108">
        <f t="shared" si="3"/>
        <v>421.80882163022841</v>
      </c>
      <c r="M10" s="108">
        <f t="shared" si="4"/>
        <v>848.8479963923503</v>
      </c>
      <c r="N10" s="108">
        <f t="shared" si="5"/>
        <v>155.6270717158483</v>
      </c>
      <c r="O10" s="109">
        <f t="shared" si="6"/>
        <v>247.91232084054514</v>
      </c>
      <c r="P10" s="108"/>
      <c r="Q10" s="108">
        <f t="shared" si="7"/>
        <v>102.24009662293072</v>
      </c>
      <c r="R10" s="108">
        <f t="shared" si="8"/>
        <v>610.03735826634511</v>
      </c>
      <c r="S10" s="108">
        <f t="shared" si="9"/>
        <v>1109.8692318850067</v>
      </c>
      <c r="T10" s="108">
        <f t="shared" si="10"/>
        <v>461.37339470768018</v>
      </c>
      <c r="U10" s="108">
        <f t="shared" si="17"/>
        <v>229.26161015983806</v>
      </c>
      <c r="V10" s="108">
        <f t="shared" si="11"/>
        <v>125.52092503461384</v>
      </c>
      <c r="W10" s="108">
        <f t="shared" si="12"/>
        <v>749.81859290451553</v>
      </c>
      <c r="X10" s="108">
        <f t="shared" si="13"/>
        <v>567.39233181060035</v>
      </c>
      <c r="Y10" s="119">
        <f t="shared" si="14"/>
        <v>0</v>
      </c>
      <c r="Z10" s="119"/>
      <c r="AA10" s="120">
        <f t="shared" si="15"/>
        <v>0.10820659266866998</v>
      </c>
      <c r="AB10" s="210">
        <f t="shared" si="16"/>
        <v>719.10855289818005</v>
      </c>
    </row>
    <row r="11" spans="2:29" ht="15.75" thickBot="1" x14ac:dyDescent="0.3">
      <c r="B11" s="273">
        <v>222</v>
      </c>
      <c r="C11" s="159" t="s">
        <v>29</v>
      </c>
      <c r="D11" s="118"/>
      <c r="H11" s="213">
        <v>2480.65</v>
      </c>
      <c r="J11" s="118">
        <f t="shared" si="1"/>
        <v>1.5449567049028376E-2</v>
      </c>
      <c r="K11" s="108">
        <f t="shared" si="2"/>
        <v>147.62262159718253</v>
      </c>
      <c r="L11" s="108">
        <f t="shared" si="3"/>
        <v>34.525301980134202</v>
      </c>
      <c r="M11" s="108">
        <f t="shared" si="4"/>
        <v>69.478711463196987</v>
      </c>
      <c r="N11" s="108">
        <f t="shared" si="5"/>
        <v>12.738168031923896</v>
      </c>
      <c r="O11" s="109">
        <f t="shared" si="6"/>
        <v>20.291770353534851</v>
      </c>
      <c r="P11" s="108"/>
      <c r="Q11" s="108">
        <f t="shared" si="7"/>
        <v>8.368412487776709</v>
      </c>
      <c r="R11" s="108">
        <f t="shared" si="8"/>
        <v>49.931919232766276</v>
      </c>
      <c r="S11" s="108">
        <f t="shared" si="9"/>
        <v>90.843454248286847</v>
      </c>
      <c r="T11" s="108">
        <f t="shared" si="10"/>
        <v>37.763685729281043</v>
      </c>
      <c r="U11" s="108">
        <f t="shared" si="17"/>
        <v>18.765198633420354</v>
      </c>
      <c r="V11" s="108">
        <f t="shared" si="11"/>
        <v>10.27396208760387</v>
      </c>
      <c r="W11" s="108">
        <f t="shared" si="12"/>
        <v>61.373096110924244</v>
      </c>
      <c r="X11" s="108">
        <f t="shared" si="13"/>
        <v>46.441398549379301</v>
      </c>
      <c r="Y11" s="119">
        <f t="shared" si="14"/>
        <v>0</v>
      </c>
      <c r="Z11" s="119"/>
      <c r="AA11" s="120">
        <f t="shared" si="15"/>
        <v>8.856773724382155E-3</v>
      </c>
      <c r="AB11" s="210">
        <f t="shared" si="16"/>
        <v>58.859461140126484</v>
      </c>
    </row>
    <row r="12" spans="2:29" ht="15.75" thickBot="1" x14ac:dyDescent="0.3">
      <c r="B12" s="273">
        <v>223</v>
      </c>
      <c r="C12" s="159" t="s">
        <v>30</v>
      </c>
      <c r="D12" s="118"/>
      <c r="H12" s="215">
        <v>16446.169999999998</v>
      </c>
      <c r="I12" s="115"/>
      <c r="J12" s="115">
        <f t="shared" si="1"/>
        <v>0.10242726951190977</v>
      </c>
      <c r="K12" s="112">
        <f t="shared" si="2"/>
        <v>978.70587573133446</v>
      </c>
      <c r="L12" s="112">
        <f t="shared" si="3"/>
        <v>228.89524345095987</v>
      </c>
      <c r="M12" s="112">
        <f t="shared" si="4"/>
        <v>460.62874654009477</v>
      </c>
      <c r="N12" s="112">
        <f t="shared" si="5"/>
        <v>84.451283712569605</v>
      </c>
      <c r="O12" s="113">
        <f t="shared" si="6"/>
        <v>134.53002432233254</v>
      </c>
      <c r="P12" s="112"/>
      <c r="Q12" s="112">
        <f t="shared" si="7"/>
        <v>55.480754803821043</v>
      </c>
      <c r="R12" s="112">
        <f t="shared" si="8"/>
        <v>331.03776515362654</v>
      </c>
      <c r="S12" s="112">
        <f t="shared" si="9"/>
        <v>602.27234473002943</v>
      </c>
      <c r="T12" s="112">
        <f t="shared" si="10"/>
        <v>250.36502341335131</v>
      </c>
      <c r="U12" s="112">
        <f t="shared" si="17"/>
        <v>124.40918582186072</v>
      </c>
      <c r="V12" s="112">
        <f t="shared" si="11"/>
        <v>68.114134225419988</v>
      </c>
      <c r="W12" s="112">
        <f t="shared" si="12"/>
        <v>406.8902795906713</v>
      </c>
      <c r="X12" s="112">
        <f t="shared" si="13"/>
        <v>307.89637215280078</v>
      </c>
      <c r="Y12" s="116">
        <f t="shared" si="14"/>
        <v>0</v>
      </c>
      <c r="Z12" s="116"/>
      <c r="AA12" s="117">
        <f t="shared" si="15"/>
        <v>5.8718483592091614E-2</v>
      </c>
      <c r="AB12" s="211">
        <f t="shared" si="16"/>
        <v>390.22542640796325</v>
      </c>
    </row>
    <row r="13" spans="2:29" ht="15.75" thickBot="1" x14ac:dyDescent="0.3">
      <c r="B13" s="273">
        <v>225</v>
      </c>
      <c r="C13" s="159" t="s">
        <v>59</v>
      </c>
      <c r="D13" s="118"/>
      <c r="H13" s="214">
        <v>10596.88</v>
      </c>
      <c r="J13" s="118">
        <f t="shared" si="1"/>
        <v>6.5997705468529538E-2</v>
      </c>
      <c r="K13" s="108">
        <f t="shared" si="2"/>
        <v>630.6166554535107</v>
      </c>
      <c r="L13" s="108">
        <f t="shared" si="3"/>
        <v>147.48573238757766</v>
      </c>
      <c r="M13" s="108">
        <f t="shared" si="4"/>
        <v>296.80026119368824</v>
      </c>
      <c r="N13" s="108">
        <f t="shared" si="5"/>
        <v>54.415108158802603</v>
      </c>
      <c r="O13" s="109">
        <f t="shared" si="6"/>
        <v>86.682706316476072</v>
      </c>
      <c r="P13" s="108"/>
      <c r="Q13" s="108">
        <f t="shared" si="7"/>
        <v>35.748317144083707</v>
      </c>
      <c r="R13" s="108">
        <f t="shared" si="8"/>
        <v>213.29996423490465</v>
      </c>
      <c r="S13" s="108">
        <f t="shared" si="9"/>
        <v>388.06650815495368</v>
      </c>
      <c r="T13" s="108">
        <f t="shared" si="10"/>
        <v>161.31951143083614</v>
      </c>
      <c r="U13" s="108">
        <f t="shared" si="17"/>
        <v>80.161473039130655</v>
      </c>
      <c r="V13" s="108">
        <f t="shared" si="11"/>
        <v>43.888474136572142</v>
      </c>
      <c r="W13" s="108">
        <f t="shared" si="12"/>
        <v>262.1745650196242</v>
      </c>
      <c r="X13" s="108">
        <f t="shared" si="13"/>
        <v>198.38910263839981</v>
      </c>
      <c r="Y13" s="119"/>
      <c r="Z13" s="119"/>
      <c r="AA13" s="120">
        <f t="shared" si="15"/>
        <v>3.783450641744332E-2</v>
      </c>
      <c r="AB13" s="211">
        <f t="shared" si="16"/>
        <v>251.43677929840305</v>
      </c>
    </row>
    <row r="14" spans="2:29" x14ac:dyDescent="0.25">
      <c r="B14" s="273">
        <v>334</v>
      </c>
      <c r="C14" s="159" t="s">
        <v>73</v>
      </c>
      <c r="D14" s="118"/>
      <c r="H14" s="118">
        <v>1869.23</v>
      </c>
      <c r="J14" s="118">
        <f t="shared" si="1"/>
        <v>1.164162385465717E-2</v>
      </c>
      <c r="K14" s="108">
        <f>J14*$K$3</f>
        <v>111.23722934235037</v>
      </c>
      <c r="L14" s="108">
        <f>J14*$L$3</f>
        <v>26.015653244240923</v>
      </c>
      <c r="M14" s="108">
        <f>J14*$M$3</f>
        <v>52.353895885494403</v>
      </c>
      <c r="N14" s="108">
        <f>J14*$N$3</f>
        <v>9.5985188681648363</v>
      </c>
      <c r="O14" s="109">
        <f>J14*$O$3</f>
        <v>15.290341603183821</v>
      </c>
      <c r="P14" s="108"/>
      <c r="Q14" s="108">
        <f>J14*$Q$3</f>
        <v>6.3058019771136022</v>
      </c>
      <c r="R14" s="108">
        <f>J14*$R$3</f>
        <v>37.624913384582143</v>
      </c>
      <c r="S14" s="108">
        <f>J14*$S$3</f>
        <v>68.452748265384159</v>
      </c>
      <c r="T14" s="108">
        <f>J14*$T$3</f>
        <v>28.455854020415615</v>
      </c>
      <c r="U14" s="108">
        <f>J14*$U$3</f>
        <v>14.140032750105144</v>
      </c>
      <c r="V14" s="108">
        <f t="shared" si="11"/>
        <v>7.7416798633470183</v>
      </c>
      <c r="W14" s="108">
        <f t="shared" si="12"/>
        <v>46.246117930148515</v>
      </c>
      <c r="X14" s="108">
        <f t="shared" si="13"/>
        <v>34.994721307099454</v>
      </c>
      <c r="Y14" s="119">
        <f t="shared" ref="Y14:Y32" si="18">J14*$Y$3</f>
        <v>0</v>
      </c>
      <c r="Z14" s="119"/>
      <c r="AA14" s="120">
        <f t="shared" si="15"/>
        <v>6.6737940252864598E-3</v>
      </c>
      <c r="AB14" s="210">
        <f>AA14*$AB$3</f>
        <v>44.352032953846226</v>
      </c>
    </row>
    <row r="15" spans="2:29" x14ac:dyDescent="0.25">
      <c r="B15" s="273">
        <v>334</v>
      </c>
      <c r="C15" s="159" t="s">
        <v>34</v>
      </c>
      <c r="D15" s="118"/>
      <c r="H15" s="118">
        <v>3538.46</v>
      </c>
      <c r="J15" s="118">
        <f t="shared" si="1"/>
        <v>2.2037641352187911E-2</v>
      </c>
      <c r="K15" s="108">
        <f t="shared" ref="K15" si="19">J15*$K$3</f>
        <v>210.5725280135313</v>
      </c>
      <c r="L15" s="108">
        <f t="shared" ref="L15" si="20">J15*$L$3</f>
        <v>49.24773750614785</v>
      </c>
      <c r="M15" s="108">
        <f t="shared" ref="M15" si="21">J15*$M$3</f>
        <v>99.106138054164816</v>
      </c>
      <c r="N15" s="108">
        <f t="shared" ref="N15" si="22">J15*$N$3</f>
        <v>18.170035294878932</v>
      </c>
      <c r="O15" s="109">
        <f t="shared" ref="O15" si="23">J15*$O$3</f>
        <v>28.944678904790649</v>
      </c>
      <c r="P15" s="108"/>
      <c r="Q15" s="108">
        <f t="shared" ref="Q15" si="24">J15*$Q$3</f>
        <v>11.936908814826102</v>
      </c>
      <c r="R15" s="108">
        <f t="shared" ref="R15" si="25">J15*$R$3</f>
        <v>71.224114215376673</v>
      </c>
      <c r="S15" s="108">
        <f t="shared" ref="S15" si="26">J15*$S$3</f>
        <v>129.58133115086491</v>
      </c>
      <c r="T15" s="108">
        <f t="shared" ref="T15" si="27">J15*$T$3</f>
        <v>53.867047509979955</v>
      </c>
      <c r="U15" s="108">
        <f t="shared" ref="U15" si="28">J15*$U$3</f>
        <v>26.767139562780958</v>
      </c>
      <c r="V15" s="108">
        <f t="shared" si="11"/>
        <v>14.655031499204961</v>
      </c>
      <c r="W15" s="108">
        <f t="shared" si="12"/>
        <v>87.544089518739426</v>
      </c>
      <c r="X15" s="108">
        <f t="shared" si="13"/>
        <v>66.245149904676865</v>
      </c>
      <c r="Y15" s="119">
        <f t="shared" si="18"/>
        <v>0</v>
      </c>
      <c r="Z15" s="119"/>
      <c r="AA15" s="120">
        <f t="shared" si="15"/>
        <v>1.2633519260184743E-2</v>
      </c>
      <c r="AB15" s="210">
        <f t="shared" ref="AB15" si="29">AA15*$AB$3</f>
        <v>83.958578947409748</v>
      </c>
    </row>
    <row r="16" spans="2:29" x14ac:dyDescent="0.25">
      <c r="B16" s="273" t="s">
        <v>33</v>
      </c>
      <c r="C16" s="159" t="s">
        <v>36</v>
      </c>
      <c r="D16" s="118"/>
      <c r="E16" s="339"/>
      <c r="F16" s="339"/>
      <c r="H16" s="118">
        <v>1396.5</v>
      </c>
      <c r="I16" s="318"/>
      <c r="J16" s="118">
        <f t="shared" si="1"/>
        <v>8.6974463886352864E-3</v>
      </c>
      <c r="K16" s="108">
        <f t="shared" si="2"/>
        <v>83.1052309114407</v>
      </c>
      <c r="L16" s="108">
        <f t="shared" si="3"/>
        <v>19.43627041914716</v>
      </c>
      <c r="M16" s="108">
        <f t="shared" si="4"/>
        <v>39.113547077723403</v>
      </c>
      <c r="N16" s="108">
        <f t="shared" si="5"/>
        <v>7.1710445474297932</v>
      </c>
      <c r="O16" s="109">
        <f t="shared" si="6"/>
        <v>11.423400035761359</v>
      </c>
      <c r="P16" s="108"/>
      <c r="Q16" s="108">
        <f t="shared" si="7"/>
        <v>4.711058810868189</v>
      </c>
      <c r="R16" s="108">
        <f t="shared" si="8"/>
        <v>28.109537906822041</v>
      </c>
      <c r="S16" s="108">
        <f t="shared" si="9"/>
        <v>51.140984765175482</v>
      </c>
      <c r="T16" s="108">
        <f t="shared" si="10"/>
        <v>21.259342156669003</v>
      </c>
      <c r="U16" s="108">
        <f t="shared" si="17"/>
        <v>10.564005358100305</v>
      </c>
      <c r="V16" s="108">
        <f t="shared" si="11"/>
        <v>5.7838018484424651</v>
      </c>
      <c r="W16" s="108">
        <f t="shared" si="12"/>
        <v>34.550431829925905</v>
      </c>
      <c r="X16" s="108">
        <f t="shared" si="13"/>
        <v>26.144523844237671</v>
      </c>
      <c r="Y16" s="119">
        <f t="shared" si="18"/>
        <v>0</v>
      </c>
      <c r="Z16" s="119"/>
      <c r="AA16" s="120">
        <f t="shared" si="15"/>
        <v>4.9859853288854459E-3</v>
      </c>
      <c r="AB16" s="210">
        <f t="shared" si="16"/>
        <v>33.135362700174007</v>
      </c>
    </row>
    <row r="17" spans="2:28" x14ac:dyDescent="0.25">
      <c r="B17" s="273" t="s">
        <v>35</v>
      </c>
      <c r="C17" s="159" t="s">
        <v>38</v>
      </c>
      <c r="D17" s="118"/>
      <c r="H17" s="118">
        <v>2000</v>
      </c>
      <c r="J17" s="118">
        <f t="shared" si="1"/>
        <v>1.2456063571264286E-2</v>
      </c>
      <c r="K17" s="108">
        <f t="shared" si="2"/>
        <v>119.01930671169453</v>
      </c>
      <c r="L17" s="108">
        <f t="shared" si="3"/>
        <v>27.835689823340012</v>
      </c>
      <c r="M17" s="108">
        <f t="shared" si="4"/>
        <v>56.016537168239758</v>
      </c>
      <c r="N17" s="108">
        <f t="shared" si="5"/>
        <v>10.270024414507404</v>
      </c>
      <c r="O17" s="109">
        <f t="shared" si="6"/>
        <v>16.360043015769939</v>
      </c>
      <c r="P17" s="108"/>
      <c r="Q17" s="108">
        <f t="shared" si="7"/>
        <v>6.7469513940110124</v>
      </c>
      <c r="R17" s="108">
        <f t="shared" si="8"/>
        <v>40.257125537876178</v>
      </c>
      <c r="S17" s="108">
        <f t="shared" si="9"/>
        <v>73.241653799033998</v>
      </c>
      <c r="T17" s="108">
        <f t="shared" si="10"/>
        <v>30.446605308512719</v>
      </c>
      <c r="U17" s="108">
        <f t="shared" si="17"/>
        <v>15.129259374293312</v>
      </c>
      <c r="V17" s="108">
        <f t="shared" si="11"/>
        <v>8.28328227489075</v>
      </c>
      <c r="W17" s="108">
        <f t="shared" si="12"/>
        <v>49.481463415575952</v>
      </c>
      <c r="X17" s="108">
        <f t="shared" si="13"/>
        <v>37.44292709522044</v>
      </c>
      <c r="Y17" s="119">
        <f t="shared" si="18"/>
        <v>0</v>
      </c>
      <c r="Z17" s="119"/>
      <c r="AA17" s="120">
        <f t="shared" si="15"/>
        <v>7.1406879038817695E-3</v>
      </c>
      <c r="AB17" s="210">
        <f t="shared" si="16"/>
        <v>47.454869602827074</v>
      </c>
    </row>
    <row r="18" spans="2:28" x14ac:dyDescent="0.25">
      <c r="B18" s="273" t="s">
        <v>37</v>
      </c>
      <c r="C18" s="159" t="s">
        <v>58</v>
      </c>
      <c r="D18" s="118"/>
      <c r="H18" s="214">
        <v>5538.46</v>
      </c>
      <c r="J18" s="118">
        <f t="shared" si="1"/>
        <v>3.4493704923452197E-2</v>
      </c>
      <c r="K18" s="108">
        <f t="shared" si="2"/>
        <v>329.59183472522585</v>
      </c>
      <c r="L18" s="108">
        <f t="shared" si="3"/>
        <v>77.083427329487861</v>
      </c>
      <c r="M18" s="108">
        <f t="shared" si="4"/>
        <v>155.12267522240458</v>
      </c>
      <c r="N18" s="108">
        <f t="shared" si="5"/>
        <v>28.440059709386336</v>
      </c>
      <c r="O18" s="109">
        <f t="shared" si="6"/>
        <v>45.304721920560588</v>
      </c>
      <c r="P18" s="108"/>
      <c r="Q18" s="108">
        <f t="shared" si="7"/>
        <v>18.683860208837118</v>
      </c>
      <c r="R18" s="108">
        <f t="shared" si="8"/>
        <v>111.48123975325285</v>
      </c>
      <c r="S18" s="108">
        <f t="shared" si="9"/>
        <v>202.82298494989891</v>
      </c>
      <c r="T18" s="108">
        <f t="shared" si="10"/>
        <v>84.313652818492685</v>
      </c>
      <c r="U18" s="108">
        <f t="shared" si="17"/>
        <v>41.896398937074267</v>
      </c>
      <c r="V18" s="108">
        <f t="shared" si="11"/>
        <v>22.938313774095711</v>
      </c>
      <c r="W18" s="108">
        <f t="shared" si="12"/>
        <v>137.02555293431539</v>
      </c>
      <c r="X18" s="108">
        <f t="shared" si="13"/>
        <v>103.68807699989731</v>
      </c>
      <c r="Y18" s="119">
        <f t="shared" si="18"/>
        <v>0</v>
      </c>
      <c r="Z18" s="119"/>
      <c r="AA18" s="120">
        <f t="shared" si="15"/>
        <v>1.9774207164066512E-2</v>
      </c>
      <c r="AB18" s="210">
        <f t="shared" si="16"/>
        <v>131.41344855023681</v>
      </c>
    </row>
    <row r="19" spans="2:28" ht="15.75" thickBot="1" x14ac:dyDescent="0.3">
      <c r="B19" s="273">
        <v>141</v>
      </c>
      <c r="C19" s="159" t="s">
        <v>19</v>
      </c>
      <c r="D19" s="118"/>
      <c r="E19" s="339"/>
      <c r="F19" s="339"/>
      <c r="G19" s="319">
        <f>SUM(G14:G18)</f>
        <v>0</v>
      </c>
      <c r="H19" s="317"/>
      <c r="I19" s="318"/>
      <c r="J19" s="118">
        <f t="shared" si="1"/>
        <v>0</v>
      </c>
      <c r="K19" s="108">
        <f t="shared" si="2"/>
        <v>0</v>
      </c>
      <c r="L19" s="108">
        <f t="shared" si="3"/>
        <v>0</v>
      </c>
      <c r="M19" s="108">
        <f t="shared" si="4"/>
        <v>0</v>
      </c>
      <c r="N19" s="108">
        <f t="shared" si="5"/>
        <v>0</v>
      </c>
      <c r="O19" s="109">
        <f t="shared" si="6"/>
        <v>0</v>
      </c>
      <c r="P19" s="108"/>
      <c r="Q19" s="108">
        <f t="shared" si="7"/>
        <v>0</v>
      </c>
      <c r="R19" s="108">
        <f t="shared" si="8"/>
        <v>0</v>
      </c>
      <c r="S19" s="108">
        <f t="shared" si="9"/>
        <v>0</v>
      </c>
      <c r="T19" s="108">
        <f t="shared" si="10"/>
        <v>0</v>
      </c>
      <c r="U19" s="108">
        <f t="shared" si="17"/>
        <v>0</v>
      </c>
      <c r="V19" s="108">
        <f t="shared" si="11"/>
        <v>0</v>
      </c>
      <c r="W19" s="108">
        <f t="shared" si="12"/>
        <v>0</v>
      </c>
      <c r="X19" s="108">
        <f t="shared" si="13"/>
        <v>0</v>
      </c>
      <c r="Y19" s="119">
        <f t="shared" si="18"/>
        <v>0</v>
      </c>
      <c r="Z19" s="119"/>
      <c r="AA19" s="120">
        <f t="shared" si="15"/>
        <v>0</v>
      </c>
      <c r="AB19" s="210">
        <f t="shared" si="16"/>
        <v>0</v>
      </c>
    </row>
    <row r="20" spans="2:28" ht="15.75" thickBot="1" x14ac:dyDescent="0.3">
      <c r="B20" s="273">
        <v>151</v>
      </c>
      <c r="C20" s="159" t="s">
        <v>41</v>
      </c>
      <c r="D20" s="118"/>
      <c r="H20" s="213">
        <v>15549.78</v>
      </c>
      <c r="J20" s="118">
        <f t="shared" si="1"/>
        <v>9.6844524099586979E-2</v>
      </c>
      <c r="K20" s="108">
        <f t="shared" si="2"/>
        <v>925.36201755968659</v>
      </c>
      <c r="L20" s="108">
        <f t="shared" si="3"/>
        <v>216.41942645058802</v>
      </c>
      <c r="M20" s="108">
        <f t="shared" si="4"/>
        <v>435.52241466397561</v>
      </c>
      <c r="N20" s="108">
        <f t="shared" si="5"/>
        <v>79.84831012010946</v>
      </c>
      <c r="O20" s="109">
        <f t="shared" si="6"/>
        <v>127.19753484287953</v>
      </c>
      <c r="P20" s="108"/>
      <c r="Q20" s="108">
        <f t="shared" si="7"/>
        <v>52.456804923782279</v>
      </c>
      <c r="R20" s="108">
        <f t="shared" si="8"/>
        <v>312.99472277317813</v>
      </c>
      <c r="S20" s="108">
        <f t="shared" si="9"/>
        <v>569.4458017055714</v>
      </c>
      <c r="T20" s="108">
        <f t="shared" si="10"/>
        <v>236.71900714710247</v>
      </c>
      <c r="U20" s="108">
        <f t="shared" si="17"/>
        <v>117.62832741659933</v>
      </c>
      <c r="V20" s="108">
        <f t="shared" si="11"/>
        <v>64.401608526225345</v>
      </c>
      <c r="W20" s="108">
        <f t="shared" si="12"/>
        <v>384.71293509512731</v>
      </c>
      <c r="X20" s="108">
        <f t="shared" si="13"/>
        <v>291.11463944335844</v>
      </c>
      <c r="Y20" s="119">
        <f t="shared" si="18"/>
        <v>0</v>
      </c>
      <c r="Z20" s="119"/>
      <c r="AA20" s="120">
        <f t="shared" si="15"/>
        <v>5.5518062977011333E-2</v>
      </c>
      <c r="AB20" s="210">
        <f t="shared" si="16"/>
        <v>368.95639112632421</v>
      </c>
    </row>
    <row r="21" spans="2:28" x14ac:dyDescent="0.25">
      <c r="B21" s="273">
        <v>152</v>
      </c>
      <c r="C21" s="159" t="s">
        <v>46</v>
      </c>
      <c r="D21" s="118"/>
      <c r="H21" s="214">
        <v>698.25</v>
      </c>
      <c r="J21" s="118">
        <f t="shared" si="1"/>
        <v>4.3487231943176432E-3</v>
      </c>
      <c r="K21" s="108">
        <f t="shared" si="2"/>
        <v>41.55261545572035</v>
      </c>
      <c r="L21" s="108">
        <f t="shared" si="3"/>
        <v>9.71813520957358</v>
      </c>
      <c r="M21" s="108">
        <f t="shared" si="4"/>
        <v>19.556773538861702</v>
      </c>
      <c r="N21" s="108">
        <f t="shared" si="5"/>
        <v>3.5855222737148966</v>
      </c>
      <c r="O21" s="109">
        <f t="shared" si="6"/>
        <v>5.7117000178806796</v>
      </c>
      <c r="P21" s="108"/>
      <c r="Q21" s="108">
        <f t="shared" si="7"/>
        <v>2.3555294054340945</v>
      </c>
      <c r="R21" s="108">
        <f t="shared" si="8"/>
        <v>14.054768953411021</v>
      </c>
      <c r="S21" s="108">
        <f t="shared" si="9"/>
        <v>25.570492382587741</v>
      </c>
      <c r="T21" s="108">
        <f t="shared" si="10"/>
        <v>10.629671078334502</v>
      </c>
      <c r="U21" s="108">
        <f t="shared" si="17"/>
        <v>5.2820026790501524</v>
      </c>
      <c r="V21" s="108">
        <f t="shared" si="11"/>
        <v>2.8919009242212326</v>
      </c>
      <c r="W21" s="108">
        <f t="shared" si="12"/>
        <v>17.275215914962953</v>
      </c>
      <c r="X21" s="108">
        <f t="shared" si="13"/>
        <v>13.072261922118836</v>
      </c>
      <c r="Y21" s="119">
        <f t="shared" si="18"/>
        <v>0</v>
      </c>
      <c r="Z21" s="119"/>
      <c r="AA21" s="120">
        <f t="shared" si="15"/>
        <v>2.4929926644427229E-3</v>
      </c>
      <c r="AB21" s="210">
        <f t="shared" si="16"/>
        <v>16.567681350087003</v>
      </c>
    </row>
    <row r="22" spans="2:28" x14ac:dyDescent="0.25">
      <c r="B22" s="273">
        <v>160.1</v>
      </c>
      <c r="C22" s="159" t="s">
        <v>52</v>
      </c>
      <c r="D22" s="118"/>
      <c r="H22" s="214">
        <v>461.54</v>
      </c>
      <c r="J22" s="118">
        <f t="shared" si="1"/>
        <v>2.8744857903406592E-3</v>
      </c>
      <c r="K22" s="108">
        <f t="shared" si="2"/>
        <v>27.466085409857747</v>
      </c>
      <c r="L22" s="108">
        <f t="shared" si="3"/>
        <v>6.4236421405321744</v>
      </c>
      <c r="M22" s="108">
        <f t="shared" si="4"/>
        <v>12.926936282314688</v>
      </c>
      <c r="N22" s="108">
        <f t="shared" si="5"/>
        <v>2.3700135341358735</v>
      </c>
      <c r="O22" s="109">
        <f t="shared" si="6"/>
        <v>3.7754071267492288</v>
      </c>
      <c r="P22" s="108"/>
      <c r="Q22" s="108">
        <f t="shared" si="7"/>
        <v>1.5569939731959215</v>
      </c>
      <c r="R22" s="108">
        <f t="shared" si="8"/>
        <v>9.2901368603756858</v>
      </c>
      <c r="S22" s="108">
        <f t="shared" si="9"/>
        <v>16.901976447203076</v>
      </c>
      <c r="T22" s="108">
        <f t="shared" si="10"/>
        <v>7.0261631070454804</v>
      </c>
      <c r="U22" s="108">
        <f t="shared" si="17"/>
        <v>3.491379185805668</v>
      </c>
      <c r="V22" s="108">
        <f t="shared" si="11"/>
        <v>1.9115330505765384</v>
      </c>
      <c r="W22" s="108">
        <f t="shared" si="12"/>
        <v>11.418837312412462</v>
      </c>
      <c r="X22" s="108">
        <f t="shared" si="13"/>
        <v>8.6407042857640217</v>
      </c>
      <c r="Y22" s="119">
        <f t="shared" si="18"/>
        <v>0</v>
      </c>
      <c r="Z22" s="119"/>
      <c r="AA22" s="120">
        <f t="shared" si="15"/>
        <v>1.647856547578796E-3</v>
      </c>
      <c r="AB22" s="210">
        <f t="shared" si="16"/>
        <v>10.951160258244403</v>
      </c>
    </row>
    <row r="23" spans="2:28" x14ac:dyDescent="0.25">
      <c r="B23" s="273">
        <v>160.30000000000001</v>
      </c>
      <c r="C23" s="159" t="s">
        <v>48</v>
      </c>
      <c r="D23" s="118"/>
      <c r="H23" s="214">
        <v>692.31</v>
      </c>
      <c r="J23" s="118">
        <f t="shared" si="1"/>
        <v>4.3117286855109882E-3</v>
      </c>
      <c r="K23" s="108">
        <f t="shared" si="2"/>
        <v>41.19912811478661</v>
      </c>
      <c r="L23" s="108">
        <f t="shared" si="3"/>
        <v>9.6354632107982603</v>
      </c>
      <c r="M23" s="108">
        <f t="shared" si="4"/>
        <v>19.390404423472031</v>
      </c>
      <c r="N23" s="108">
        <f t="shared" si="5"/>
        <v>3.5550203012038097</v>
      </c>
      <c r="O23" s="109">
        <f t="shared" si="6"/>
        <v>5.6631106901238422</v>
      </c>
      <c r="P23" s="108"/>
      <c r="Q23" s="108">
        <f t="shared" si="7"/>
        <v>2.3354909597938818</v>
      </c>
      <c r="R23" s="108">
        <f t="shared" si="8"/>
        <v>13.935205290563527</v>
      </c>
      <c r="S23" s="108">
        <f t="shared" si="9"/>
        <v>25.35296467080461</v>
      </c>
      <c r="T23" s="108">
        <f t="shared" si="10"/>
        <v>10.539244660568219</v>
      </c>
      <c r="U23" s="108">
        <f t="shared" si="17"/>
        <v>5.2370687787085011</v>
      </c>
      <c r="V23" s="108">
        <f t="shared" si="11"/>
        <v>2.867299575864807</v>
      </c>
      <c r="W23" s="108">
        <f t="shared" si="12"/>
        <v>17.128255968618689</v>
      </c>
      <c r="X23" s="108">
        <f t="shared" si="13"/>
        <v>12.96105642864603</v>
      </c>
      <c r="Y23" s="119">
        <f t="shared" si="18"/>
        <v>0</v>
      </c>
      <c r="Z23" s="119"/>
      <c r="AA23" s="120">
        <f t="shared" si="15"/>
        <v>2.4717848213681938E-3</v>
      </c>
      <c r="AB23" s="210">
        <f t="shared" si="16"/>
        <v>16.426740387366607</v>
      </c>
    </row>
    <row r="24" spans="2:28" x14ac:dyDescent="0.25">
      <c r="B24" s="273">
        <v>167</v>
      </c>
      <c r="C24" s="159" t="s">
        <v>78</v>
      </c>
      <c r="D24" s="118"/>
      <c r="H24" s="214">
        <v>3615.39</v>
      </c>
      <c r="J24" s="118">
        <f t="shared" si="1"/>
        <v>2.2516763837456592E-2</v>
      </c>
      <c r="K24" s="108">
        <f t="shared" si="2"/>
        <v>215.15060564619662</v>
      </c>
      <c r="L24" s="108">
        <f t="shared" si="3"/>
        <v>50.318437315202623</v>
      </c>
      <c r="M24" s="108">
        <f t="shared" si="4"/>
        <v>101.26081415634117</v>
      </c>
      <c r="N24" s="108">
        <f t="shared" si="5"/>
        <v>18.565071783982962</v>
      </c>
      <c r="O24" s="109">
        <f t="shared" si="6"/>
        <v>29.573967959392238</v>
      </c>
      <c r="P24" s="108"/>
      <c r="Q24" s="108">
        <f t="shared" si="7"/>
        <v>12.196430300196736</v>
      </c>
      <c r="R24" s="108">
        <f t="shared" si="8"/>
        <v>72.772604549191087</v>
      </c>
      <c r="S24" s="108">
        <f t="shared" si="9"/>
        <v>132.39857136424476</v>
      </c>
      <c r="T24" s="108">
        <f t="shared" si="10"/>
        <v>55.038176183171899</v>
      </c>
      <c r="U24" s="108">
        <f t="shared" si="17"/>
        <v>27.349086524613149</v>
      </c>
      <c r="V24" s="108">
        <f t="shared" si="11"/>
        <v>14.973647951908633</v>
      </c>
      <c r="W24" s="108">
        <f t="shared" si="12"/>
        <v>89.447394009019561</v>
      </c>
      <c r="X24" s="108">
        <f t="shared" si="13"/>
        <v>67.685392095394519</v>
      </c>
      <c r="Y24" s="119">
        <f t="shared" si="18"/>
        <v>0</v>
      </c>
      <c r="Z24" s="119"/>
      <c r="AA24" s="120">
        <f t="shared" si="15"/>
        <v>1.2908185820407555E-2</v>
      </c>
      <c r="AB24" s="210">
        <f t="shared" si="16"/>
        <v>85.783930506682481</v>
      </c>
    </row>
    <row r="25" spans="2:28" x14ac:dyDescent="0.25">
      <c r="C25" s="159" t="s">
        <v>45</v>
      </c>
      <c r="D25" s="118"/>
      <c r="H25" s="214">
        <v>3153.85</v>
      </c>
      <c r="J25" s="118">
        <f t="shared" si="1"/>
        <v>1.9642278047115932E-2</v>
      </c>
      <c r="K25" s="108">
        <f t="shared" si="2"/>
        <v>187.68452023633887</v>
      </c>
      <c r="L25" s="108">
        <f t="shared" si="3"/>
        <v>43.894795174670442</v>
      </c>
      <c r="M25" s="108">
        <f t="shared" si="4"/>
        <v>88.33387787402647</v>
      </c>
      <c r="N25" s="108">
        <f t="shared" si="5"/>
        <v>16.195058249847087</v>
      </c>
      <c r="O25" s="109">
        <f t="shared" si="6"/>
        <v>25.798560832643009</v>
      </c>
      <c r="P25" s="108"/>
      <c r="Q25" s="108">
        <f t="shared" si="7"/>
        <v>10.639436327000816</v>
      </c>
      <c r="R25" s="108">
        <f t="shared" si="8"/>
        <v>63.48246768881539</v>
      </c>
      <c r="S25" s="108">
        <f t="shared" si="9"/>
        <v>115.49659491704168</v>
      </c>
      <c r="T25" s="108">
        <f t="shared" si="10"/>
        <v>48.012013076126415</v>
      </c>
      <c r="U25" s="108">
        <f t="shared" si="17"/>
        <v>23.857707338807479</v>
      </c>
      <c r="V25" s="108">
        <f t="shared" si="11"/>
        <v>13.062114901332095</v>
      </c>
      <c r="W25" s="108">
        <f t="shared" si="12"/>
        <v>78.028556696607097</v>
      </c>
      <c r="X25" s="108">
        <f t="shared" si="13"/>
        <v>59.044687809630489</v>
      </c>
      <c r="Y25" s="119">
        <f t="shared" si="18"/>
        <v>0</v>
      </c>
      <c r="Z25" s="119"/>
      <c r="AA25" s="120">
        <f t="shared" si="15"/>
        <v>1.1260329272828759E-2</v>
      </c>
      <c r="AB25" s="210">
        <f t="shared" si="16"/>
        <v>74.832770248438081</v>
      </c>
    </row>
    <row r="26" spans="2:28" x14ac:dyDescent="0.25">
      <c r="B26" s="273">
        <v>168</v>
      </c>
      <c r="C26" s="159" t="s">
        <v>40</v>
      </c>
      <c r="D26" s="118"/>
      <c r="H26" s="214">
        <v>4903.5</v>
      </c>
      <c r="J26" s="118">
        <f t="shared" si="1"/>
        <v>3.0539153860847212E-2</v>
      </c>
      <c r="K26" s="108">
        <f>J26*$K$3</f>
        <v>291.80558523039707</v>
      </c>
      <c r="L26" s="108">
        <f>J26*$L$3</f>
        <v>68.246152524373869</v>
      </c>
      <c r="M26" s="108">
        <f>J26*$M$3</f>
        <v>137.33854500223183</v>
      </c>
      <c r="N26" s="108">
        <f>J26*$N$3</f>
        <v>25.179532358268528</v>
      </c>
      <c r="O26" s="109">
        <f>J26*$O$3</f>
        <v>40.110735463913947</v>
      </c>
      <c r="P26" s="108"/>
      <c r="Q26" s="108">
        <f>J26*$Q$3</f>
        <v>16.541838080266501</v>
      </c>
      <c r="R26" s="108">
        <f>J26*$R$3</f>
        <v>98.700407537487919</v>
      </c>
      <c r="S26" s="108">
        <f>J26*$S$3</f>
        <v>179.5702247017816</v>
      </c>
      <c r="T26" s="108">
        <f>J26*$T$3</f>
        <v>74.647464565146066</v>
      </c>
      <c r="U26" s="108">
        <f>J26*$U$3</f>
        <v>37.093161670923628</v>
      </c>
      <c r="V26" s="108">
        <f t="shared" si="11"/>
        <v>20.308537317463397</v>
      </c>
      <c r="W26" s="108">
        <f t="shared" si="12"/>
        <v>121.31617792913833</v>
      </c>
      <c r="X26" s="108">
        <f t="shared" si="13"/>
        <v>91.800696505706725</v>
      </c>
      <c r="Y26" s="119">
        <f t="shared" si="18"/>
        <v>0</v>
      </c>
      <c r="Z26" s="119"/>
      <c r="AA26" s="120">
        <f t="shared" si="15"/>
        <v>1.7507181568342127E-2</v>
      </c>
      <c r="AB26" s="210">
        <f>AA26*$AB$3</f>
        <v>116.34747654873127</v>
      </c>
    </row>
    <row r="27" spans="2:28" x14ac:dyDescent="0.25">
      <c r="B27" s="273">
        <v>169</v>
      </c>
      <c r="C27" s="159" t="s">
        <v>47</v>
      </c>
      <c r="D27" s="118"/>
      <c r="H27" s="214">
        <v>2482.87</v>
      </c>
      <c r="J27" s="118">
        <f t="shared" si="1"/>
        <v>1.5463393279592477E-2</v>
      </c>
      <c r="K27" s="108">
        <f t="shared" si="2"/>
        <v>147.75473302763248</v>
      </c>
      <c r="L27" s="108">
        <f t="shared" si="3"/>
        <v>34.556199595838102</v>
      </c>
      <c r="M27" s="108">
        <f t="shared" si="4"/>
        <v>69.54088981945371</v>
      </c>
      <c r="N27" s="108">
        <f t="shared" si="5"/>
        <v>12.749567759023996</v>
      </c>
      <c r="O27" s="109">
        <f t="shared" si="6"/>
        <v>20.309930001282353</v>
      </c>
      <c r="P27" s="108"/>
      <c r="Q27" s="108">
        <f t="shared" si="7"/>
        <v>8.3759016038240599</v>
      </c>
      <c r="R27" s="108">
        <f t="shared" si="8"/>
        <v>49.976604642113308</v>
      </c>
      <c r="S27" s="108">
        <f t="shared" si="9"/>
        <v>90.924752484003761</v>
      </c>
      <c r="T27" s="108">
        <f t="shared" si="10"/>
        <v>37.797481461173483</v>
      </c>
      <c r="U27" s="108">
        <f t="shared" si="17"/>
        <v>18.781992111325817</v>
      </c>
      <c r="V27" s="108">
        <f t="shared" si="11"/>
        <v>10.283156530928997</v>
      </c>
      <c r="W27" s="108">
        <f t="shared" si="12"/>
        <v>61.428020535315518</v>
      </c>
      <c r="X27" s="108">
        <f t="shared" si="13"/>
        <v>46.482960198454983</v>
      </c>
      <c r="Y27" s="119">
        <f t="shared" si="18"/>
        <v>0</v>
      </c>
      <c r="Z27" s="119"/>
      <c r="AA27" s="120">
        <f t="shared" si="15"/>
        <v>8.8646998879554646E-3</v>
      </c>
      <c r="AB27" s="210">
        <f t="shared" si="16"/>
        <v>58.91213604538563</v>
      </c>
    </row>
    <row r="28" spans="2:28" x14ac:dyDescent="0.25">
      <c r="C28" s="159" t="s">
        <v>49</v>
      </c>
      <c r="D28" s="118"/>
      <c r="H28" s="214">
        <v>2000</v>
      </c>
      <c r="J28" s="118">
        <f t="shared" si="1"/>
        <v>1.2456063571264286E-2</v>
      </c>
      <c r="K28" s="108">
        <f t="shared" si="2"/>
        <v>119.01930671169453</v>
      </c>
      <c r="L28" s="108">
        <f t="shared" si="3"/>
        <v>27.835689823340012</v>
      </c>
      <c r="M28" s="108">
        <f t="shared" si="4"/>
        <v>56.016537168239758</v>
      </c>
      <c r="N28" s="108">
        <f t="shared" si="5"/>
        <v>10.270024414507404</v>
      </c>
      <c r="O28" s="109">
        <f t="shared" si="6"/>
        <v>16.360043015769939</v>
      </c>
      <c r="P28" s="108"/>
      <c r="Q28" s="108">
        <f t="shared" si="7"/>
        <v>6.7469513940110124</v>
      </c>
      <c r="R28" s="108">
        <f t="shared" si="8"/>
        <v>40.257125537876178</v>
      </c>
      <c r="S28" s="108">
        <f t="shared" si="9"/>
        <v>73.241653799033998</v>
      </c>
      <c r="T28" s="108">
        <f t="shared" si="10"/>
        <v>30.446605308512719</v>
      </c>
      <c r="U28" s="108">
        <f t="shared" si="17"/>
        <v>15.129259374293312</v>
      </c>
      <c r="V28" s="108">
        <f t="shared" si="11"/>
        <v>8.28328227489075</v>
      </c>
      <c r="W28" s="108">
        <f t="shared" si="12"/>
        <v>49.481463415575952</v>
      </c>
      <c r="X28" s="108">
        <f t="shared" si="13"/>
        <v>37.44292709522044</v>
      </c>
      <c r="Y28" s="119">
        <f t="shared" si="18"/>
        <v>0</v>
      </c>
      <c r="Z28" s="119"/>
      <c r="AA28" s="120">
        <f t="shared" si="15"/>
        <v>7.1406879038817695E-3</v>
      </c>
      <c r="AB28" s="210">
        <f t="shared" si="16"/>
        <v>47.454869602827074</v>
      </c>
    </row>
    <row r="29" spans="2:28" x14ac:dyDescent="0.25">
      <c r="B29" s="273">
        <v>610</v>
      </c>
      <c r="C29" s="159" t="s">
        <v>53</v>
      </c>
      <c r="D29" s="118"/>
      <c r="H29" s="214">
        <v>8515.39</v>
      </c>
      <c r="J29" s="118">
        <f t="shared" si="1"/>
        <v>5.303411958705409E-2</v>
      </c>
      <c r="K29" s="108">
        <f t="shared" si="2"/>
        <v>506.74790708984818</v>
      </c>
      <c r="L29" s="108">
        <f t="shared" si="3"/>
        <v>118.51587738238565</v>
      </c>
      <c r="M29" s="108">
        <f t="shared" si="4"/>
        <v>238.50133021852858</v>
      </c>
      <c r="N29" s="108">
        <f t="shared" si="5"/>
        <v>43.726631599526101</v>
      </c>
      <c r="O29" s="109">
        <f t="shared" si="6"/>
        <v>69.656073348028585</v>
      </c>
      <c r="P29" s="108"/>
      <c r="Q29" s="108">
        <f t="shared" si="7"/>
        <v>28.726461215523717</v>
      </c>
      <c r="R29" s="108">
        <f t="shared" si="8"/>
        <v>171.40256211698772</v>
      </c>
      <c r="S29" s="108">
        <f t="shared" si="9"/>
        <v>311.84062317187806</v>
      </c>
      <c r="T29" s="108">
        <f t="shared" si="10"/>
        <v>129.63235918902805</v>
      </c>
      <c r="U29" s="108">
        <f t="shared" si="17"/>
        <v>64.415771991631757</v>
      </c>
      <c r="V29" s="108">
        <f t="shared" si="11"/>
        <v>35.267689525390971</v>
      </c>
      <c r="W29" s="108">
        <f t="shared" si="12"/>
        <v>210.67697937718063</v>
      </c>
      <c r="X29" s="108">
        <f t="shared" si="13"/>
        <v>159.42056347868458</v>
      </c>
      <c r="Y29" s="119">
        <f t="shared" si="18"/>
        <v>0</v>
      </c>
      <c r="Z29" s="119"/>
      <c r="AA29" s="120">
        <f t="shared" si="15"/>
        <v>3.0402871184917888E-2</v>
      </c>
      <c r="AB29" s="210">
        <f t="shared" si="16"/>
        <v>202.04836103360881</v>
      </c>
    </row>
    <row r="30" spans="2:28" x14ac:dyDescent="0.25">
      <c r="B30" s="273">
        <v>620</v>
      </c>
      <c r="C30" s="159" t="s">
        <v>54</v>
      </c>
      <c r="D30" s="118"/>
      <c r="H30" s="214">
        <v>7615.39</v>
      </c>
      <c r="J30" s="118">
        <f t="shared" si="1"/>
        <v>4.7428890979985164E-2</v>
      </c>
      <c r="K30" s="108">
        <f t="shared" si="2"/>
        <v>453.1892190695857</v>
      </c>
      <c r="L30" s="108">
        <f t="shared" si="3"/>
        <v>105.98981696188265</v>
      </c>
      <c r="M30" s="108">
        <f t="shared" si="4"/>
        <v>213.29388849282068</v>
      </c>
      <c r="N30" s="108">
        <f t="shared" si="5"/>
        <v>39.105120612997766</v>
      </c>
      <c r="O30" s="109">
        <f t="shared" si="6"/>
        <v>62.29405399093212</v>
      </c>
      <c r="P30" s="108"/>
      <c r="Q30" s="108">
        <f t="shared" si="7"/>
        <v>25.690333088218761</v>
      </c>
      <c r="R30" s="108">
        <f t="shared" si="8"/>
        <v>153.28685562494346</v>
      </c>
      <c r="S30" s="108">
        <f t="shared" si="9"/>
        <v>278.88187896231278</v>
      </c>
      <c r="T30" s="108">
        <f t="shared" si="10"/>
        <v>115.93138680019734</v>
      </c>
      <c r="U30" s="108">
        <f t="shared" si="17"/>
        <v>57.607605273199773</v>
      </c>
      <c r="V30" s="108">
        <f t="shared" si="11"/>
        <v>31.540212501690135</v>
      </c>
      <c r="W30" s="108">
        <f t="shared" si="12"/>
        <v>188.41032084017147</v>
      </c>
      <c r="X30" s="108">
        <f t="shared" si="13"/>
        <v>142.5712462858354</v>
      </c>
      <c r="Y30" s="119">
        <f t="shared" si="18"/>
        <v>0</v>
      </c>
      <c r="Z30" s="119"/>
      <c r="AA30" s="120">
        <f t="shared" si="15"/>
        <v>2.7189561628171096E-2</v>
      </c>
      <c r="AB30" s="210">
        <f t="shared" si="16"/>
        <v>180.69366971233666</v>
      </c>
    </row>
    <row r="31" spans="2:28" x14ac:dyDescent="0.25">
      <c r="B31" s="273">
        <v>630</v>
      </c>
      <c r="C31" s="159" t="s">
        <v>55</v>
      </c>
      <c r="D31" s="118"/>
      <c r="H31" s="214">
        <v>1261.54</v>
      </c>
      <c r="J31" s="118">
        <f t="shared" si="1"/>
        <v>7.8569112188463727E-3</v>
      </c>
      <c r="K31" s="108">
        <f t="shared" si="2"/>
        <v>75.073808094535551</v>
      </c>
      <c r="L31" s="108">
        <f t="shared" si="3"/>
        <v>17.55791806986818</v>
      </c>
      <c r="M31" s="108">
        <f t="shared" si="4"/>
        <v>35.333551149610592</v>
      </c>
      <c r="N31" s="108">
        <f t="shared" si="5"/>
        <v>6.4780232999388341</v>
      </c>
      <c r="O31" s="109">
        <f t="shared" si="6"/>
        <v>10.319424333057203</v>
      </c>
      <c r="P31" s="108"/>
      <c r="Q31" s="108">
        <f t="shared" si="7"/>
        <v>4.2557745308003261</v>
      </c>
      <c r="R31" s="108">
        <f t="shared" si="8"/>
        <v>25.392987075526158</v>
      </c>
      <c r="S31" s="108">
        <f t="shared" si="9"/>
        <v>46.198637966816669</v>
      </c>
      <c r="T31" s="108">
        <f t="shared" si="10"/>
        <v>19.204805230450567</v>
      </c>
      <c r="U31" s="108">
        <f t="shared" si="17"/>
        <v>9.5430829355229925</v>
      </c>
      <c r="V31" s="108">
        <f t="shared" si="11"/>
        <v>5.2248459605328375</v>
      </c>
      <c r="W31" s="108">
        <f t="shared" si="12"/>
        <v>31.21142267864284</v>
      </c>
      <c r="X31" s="108">
        <f t="shared" si="13"/>
        <v>23.617875123852198</v>
      </c>
      <c r="Y31" s="119">
        <f t="shared" si="18"/>
        <v>0</v>
      </c>
      <c r="Z31" s="119"/>
      <c r="AA31" s="120">
        <f t="shared" si="15"/>
        <v>4.5041317091315033E-3</v>
      </c>
      <c r="AB31" s="210">
        <f t="shared" si="16"/>
        <v>29.933108099375229</v>
      </c>
    </row>
    <row r="32" spans="2:28" x14ac:dyDescent="0.25">
      <c r="B32" s="273">
        <v>650</v>
      </c>
      <c r="C32" s="159" t="s">
        <v>56</v>
      </c>
      <c r="D32" s="118"/>
      <c r="H32" s="214">
        <v>1734.75</v>
      </c>
      <c r="I32" s="319">
        <f>SUM(H5:H32)</f>
        <v>160564.37000000002</v>
      </c>
      <c r="J32" s="118">
        <f t="shared" si="1"/>
        <v>1.0804078140125359E-2</v>
      </c>
      <c r="K32" s="108">
        <f t="shared" si="2"/>
        <v>103.23437115905604</v>
      </c>
      <c r="L32" s="108">
        <f t="shared" si="3"/>
        <v>24.143981460519541</v>
      </c>
      <c r="M32" s="108">
        <f t="shared" si="4"/>
        <v>48.587343926301955</v>
      </c>
      <c r="N32" s="108">
        <f t="shared" si="5"/>
        <v>8.9079624265333592</v>
      </c>
      <c r="O32" s="109">
        <f t="shared" si="6"/>
        <v>14.19029231080345</v>
      </c>
      <c r="P32" s="108"/>
      <c r="Q32" s="108">
        <f t="shared" si="7"/>
        <v>5.8521369653803017</v>
      </c>
      <c r="R32" s="108">
        <f t="shared" si="8"/>
        <v>34.918024263415347</v>
      </c>
      <c r="S32" s="108">
        <f t="shared" si="9"/>
        <v>63.527979463937115</v>
      </c>
      <c r="T32" s="108">
        <f t="shared" si="10"/>
        <v>26.408624279471219</v>
      </c>
      <c r="U32" s="108">
        <f t="shared" si="17"/>
        <v>13.122741349777661</v>
      </c>
      <c r="V32" s="108">
        <f t="shared" si="11"/>
        <v>7.1847119631833642</v>
      </c>
      <c r="W32" s="108">
        <f t="shared" si="12"/>
        <v>42.918984330085188</v>
      </c>
      <c r="X32" s="108">
        <f t="shared" si="13"/>
        <v>32.477058889216828</v>
      </c>
      <c r="Y32" s="119">
        <f t="shared" si="18"/>
        <v>0</v>
      </c>
      <c r="Z32" s="119"/>
      <c r="AA32" s="120">
        <f t="shared" si="15"/>
        <v>6.1936541706294496E-3</v>
      </c>
      <c r="AB32" s="210">
        <f t="shared" si="16"/>
        <v>41.161167521752134</v>
      </c>
    </row>
    <row r="33" spans="3:32" x14ac:dyDescent="0.25">
      <c r="D33" s="118"/>
      <c r="H33" s="214"/>
      <c r="J33" s="11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>
        <f t="shared" si="17"/>
        <v>0</v>
      </c>
      <c r="V33" s="108"/>
      <c r="W33" s="108">
        <f t="shared" si="12"/>
        <v>0</v>
      </c>
      <c r="X33" s="108"/>
      <c r="Y33" s="119"/>
      <c r="Z33" s="119"/>
      <c r="AA33" s="120"/>
      <c r="AB33" s="210"/>
    </row>
    <row r="34" spans="3:32" x14ac:dyDescent="0.25">
      <c r="F34" s="119">
        <v>160564.37</v>
      </c>
      <c r="H34" s="214"/>
      <c r="K34" s="108">
        <f t="shared" ref="K34" si="30">J34*$K$3</f>
        <v>0</v>
      </c>
      <c r="L34" s="108">
        <f t="shared" ref="L34" si="31">J34*$L$3</f>
        <v>0</v>
      </c>
      <c r="M34" s="108">
        <f t="shared" ref="M34" si="32">J34*$M$3</f>
        <v>0</v>
      </c>
      <c r="N34" s="108">
        <f t="shared" ref="N34" si="33">J34*$N$3</f>
        <v>0</v>
      </c>
      <c r="O34" s="108">
        <f t="shared" ref="O34" si="34">J34*$O$3</f>
        <v>0</v>
      </c>
      <c r="P34" s="108"/>
      <c r="Q34" s="108">
        <f t="shared" ref="Q34" si="35">J34*$Q$3</f>
        <v>0</v>
      </c>
      <c r="R34" s="108">
        <f t="shared" ref="R34" si="36">J34*$R$3</f>
        <v>0</v>
      </c>
      <c r="S34" s="108">
        <f t="shared" ref="S34" si="37">J34*$S$3</f>
        <v>0</v>
      </c>
      <c r="T34" s="108">
        <f>J34*$T$3</f>
        <v>0</v>
      </c>
      <c r="U34" s="108">
        <f t="shared" si="17"/>
        <v>0</v>
      </c>
      <c r="V34" s="108">
        <f>J34*$V$3</f>
        <v>0</v>
      </c>
      <c r="W34" s="108">
        <f t="shared" si="12"/>
        <v>0</v>
      </c>
      <c r="X34" s="108">
        <f>J34*$X$3</f>
        <v>0</v>
      </c>
      <c r="Y34" s="119">
        <f>J34*$Y$3</f>
        <v>0</v>
      </c>
      <c r="Z34" s="119"/>
      <c r="AA34" s="120">
        <f>H34/$H$36</f>
        <v>0</v>
      </c>
      <c r="AB34" s="210">
        <f t="shared" ref="AB34:AB35" si="38">AA34*$AB$3</f>
        <v>0</v>
      </c>
    </row>
    <row r="35" spans="3:32" x14ac:dyDescent="0.25">
      <c r="C35" s="159" t="s">
        <v>60</v>
      </c>
      <c r="H35" s="118">
        <v>119520.69</v>
      </c>
      <c r="K35" s="108"/>
      <c r="L35" s="108"/>
      <c r="M35" s="108"/>
      <c r="N35" s="108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AA35" s="120">
        <f>H35/$H$36</f>
        <v>0.42672997267330137</v>
      </c>
      <c r="AB35" s="210">
        <f t="shared" si="38"/>
        <v>2835.9193793949589</v>
      </c>
    </row>
    <row r="36" spans="3:32" ht="15.75" thickBot="1" x14ac:dyDescent="0.3">
      <c r="H36" s="320">
        <f>SUM(H6:H35)</f>
        <v>280085.06000000006</v>
      </c>
      <c r="I36" s="320"/>
      <c r="J36" s="321">
        <f t="shared" ref="J36:Y36" si="39">SUM(J6:J34)</f>
        <v>1</v>
      </c>
      <c r="K36" s="358">
        <f t="shared" si="39"/>
        <v>9555.130000000001</v>
      </c>
      <c r="L36" s="358">
        <f t="shared" si="39"/>
        <v>2234.71</v>
      </c>
      <c r="M36" s="358">
        <f t="shared" si="39"/>
        <v>4497.13</v>
      </c>
      <c r="N36" s="358">
        <f t="shared" si="39"/>
        <v>824.49999999999977</v>
      </c>
      <c r="O36" s="358">
        <f t="shared" si="39"/>
        <v>1313.42</v>
      </c>
      <c r="P36" s="358">
        <f t="shared" si="39"/>
        <v>0</v>
      </c>
      <c r="Q36" s="358">
        <f t="shared" si="39"/>
        <v>541.66</v>
      </c>
      <c r="R36" s="358">
        <f t="shared" si="39"/>
        <v>3231.9299999999989</v>
      </c>
      <c r="S36" s="358">
        <f t="shared" si="39"/>
        <v>5880.0000000000018</v>
      </c>
      <c r="T36" s="358">
        <f t="shared" si="39"/>
        <v>2444.3199999999997</v>
      </c>
      <c r="U36" s="358">
        <f t="shared" si="39"/>
        <v>1214.6099999999999</v>
      </c>
      <c r="V36" s="358">
        <f t="shared" si="39"/>
        <v>665.00000000000011</v>
      </c>
      <c r="W36" s="358">
        <f t="shared" si="39"/>
        <v>3972.4800000000009</v>
      </c>
      <c r="X36" s="358">
        <f t="shared" si="39"/>
        <v>3006.0000000000005</v>
      </c>
      <c r="Y36" s="321">
        <f t="shared" si="39"/>
        <v>0</v>
      </c>
      <c r="Z36" s="320"/>
      <c r="AA36" s="321">
        <f>SUM(AA6:AA35)</f>
        <v>0.99999999999999989</v>
      </c>
      <c r="AB36" s="321">
        <f>SUM(AB6:AB35)</f>
        <v>6645.6999999999971</v>
      </c>
      <c r="AC36" s="119"/>
    </row>
    <row r="37" spans="3:32" ht="16.5" thickTop="1" thickBot="1" x14ac:dyDescent="0.3">
      <c r="H37" s="341" t="s">
        <v>61</v>
      </c>
      <c r="I37" s="341"/>
      <c r="J37" s="342" t="s">
        <v>62</v>
      </c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</row>
    <row r="38" spans="3:32" x14ac:dyDescent="0.25">
      <c r="C38" s="343">
        <v>43470</v>
      </c>
      <c r="D38" s="344"/>
      <c r="E38" s="344"/>
      <c r="F38" s="344"/>
      <c r="G38" s="345"/>
      <c r="H38" s="345">
        <v>80440.73</v>
      </c>
      <c r="I38" s="345"/>
      <c r="J38" s="346"/>
      <c r="K38" s="158">
        <v>4787.16</v>
      </c>
      <c r="L38" s="158">
        <v>1119.5899999999999</v>
      </c>
      <c r="M38" s="158">
        <v>2253.96</v>
      </c>
      <c r="N38" s="158">
        <v>413.22</v>
      </c>
      <c r="O38" s="158">
        <v>656.71</v>
      </c>
      <c r="P38" s="114"/>
      <c r="Q38" s="114"/>
      <c r="R38" s="114"/>
      <c r="S38" s="114">
        <v>10510.36</v>
      </c>
      <c r="T38" s="114"/>
      <c r="U38" s="114"/>
      <c r="V38" s="114"/>
      <c r="W38" s="114"/>
      <c r="X38" s="114"/>
    </row>
    <row r="39" spans="3:32" x14ac:dyDescent="0.25">
      <c r="C39" s="347">
        <v>43484</v>
      </c>
      <c r="D39" s="348"/>
      <c r="E39" s="348"/>
      <c r="F39" s="348"/>
      <c r="H39" s="118">
        <v>80123.64</v>
      </c>
      <c r="J39" s="349">
        <v>0</v>
      </c>
      <c r="K39" s="158">
        <v>4767.97</v>
      </c>
      <c r="L39" s="158">
        <v>1115.1199999999999</v>
      </c>
      <c r="M39" s="158">
        <v>2243.17</v>
      </c>
      <c r="N39" s="158">
        <v>411.28</v>
      </c>
      <c r="O39" s="158">
        <v>656.71</v>
      </c>
      <c r="P39" s="114"/>
      <c r="Q39" s="114"/>
      <c r="R39" s="114"/>
      <c r="S39" s="114">
        <v>150054.01</v>
      </c>
      <c r="T39" s="114"/>
      <c r="U39" s="114"/>
      <c r="V39" s="114"/>
      <c r="W39" s="114"/>
      <c r="X39" s="114"/>
    </row>
    <row r="40" spans="3:32" ht="15.75" thickBot="1" x14ac:dyDescent="0.3">
      <c r="C40" s="347"/>
      <c r="D40" s="348"/>
      <c r="E40" s="348"/>
      <c r="F40" s="348"/>
      <c r="J40" s="349"/>
      <c r="K40" s="158"/>
      <c r="L40" s="158"/>
      <c r="M40" s="158"/>
      <c r="N40" s="158"/>
      <c r="O40" s="158"/>
      <c r="P40" s="114"/>
      <c r="Q40" s="114"/>
      <c r="R40" s="114"/>
      <c r="S40" s="114">
        <f>SUM(S38:S39)</f>
        <v>160564.37</v>
      </c>
      <c r="T40" s="114"/>
      <c r="U40" s="114"/>
      <c r="V40" s="114"/>
      <c r="W40" s="114"/>
      <c r="X40" s="114"/>
    </row>
    <row r="41" spans="3:32" ht="15.75" thickBot="1" x14ac:dyDescent="0.3">
      <c r="C41" s="350"/>
      <c r="D41" s="350"/>
      <c r="E41" s="350"/>
      <c r="F41" s="350"/>
      <c r="G41" s="351"/>
      <c r="H41" s="352">
        <f>SUM(H38:H40)</f>
        <v>160564.37</v>
      </c>
      <c r="I41" s="353"/>
      <c r="J41" s="354"/>
      <c r="K41" s="161">
        <f>SUM(K38:K40)</f>
        <v>9555.130000000001</v>
      </c>
      <c r="L41" s="162">
        <f t="shared" ref="L41:O41" si="40">SUM(L38:L40)</f>
        <v>2234.71</v>
      </c>
      <c r="M41" s="162">
        <f>SUM(M38:M40)</f>
        <v>4497.13</v>
      </c>
      <c r="N41" s="162">
        <f t="shared" ref="N41" si="41">SUM(N38:N40)</f>
        <v>824.5</v>
      </c>
      <c r="O41" s="163">
        <f t="shared" si="40"/>
        <v>1313.42</v>
      </c>
      <c r="P41" s="114"/>
      <c r="Q41" s="114"/>
      <c r="R41" s="114"/>
      <c r="S41" s="114"/>
      <c r="T41" s="114"/>
      <c r="U41" s="114"/>
      <c r="V41" s="114"/>
      <c r="W41" s="114"/>
      <c r="X41" s="114"/>
    </row>
    <row r="42" spans="3:32" ht="15.75" thickBot="1" x14ac:dyDescent="0.3">
      <c r="H42" s="118">
        <f>H35</f>
        <v>119520.69</v>
      </c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AF42" s="159">
        <v>114.44</v>
      </c>
    </row>
    <row r="43" spans="3:32" ht="15.75" thickBot="1" x14ac:dyDescent="0.3">
      <c r="H43" s="352">
        <f>SUM(H41:H42)</f>
        <v>280085.06</v>
      </c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</row>
    <row r="44" spans="3:32" x14ac:dyDescent="0.25">
      <c r="AF44" s="159">
        <v>151.65</v>
      </c>
    </row>
  </sheetData>
  <pageMargins left="0" right="0" top="0.75" bottom="0.75" header="0.3" footer="0.3"/>
  <pageSetup paperSize="5" scale="56" orientation="landscape" r:id="rId1"/>
  <headerFooter>
    <oddFooter>&amp;L&amp;Z&amp;F &amp;D &amp;T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C755-47D5-4A4A-9582-3EF40CC3D70E}">
  <sheetPr>
    <tabColor theme="5" tint="0.39997558519241921"/>
    <pageSetUpPr fitToPage="1"/>
  </sheetPr>
  <dimension ref="B1:AE44"/>
  <sheetViews>
    <sheetView topLeftCell="A7" zoomScale="115" zoomScaleNormal="115" workbookViewId="0">
      <selection activeCell="H14" sqref="H14"/>
    </sheetView>
  </sheetViews>
  <sheetFormatPr defaultRowHeight="15" x14ac:dyDescent="0.25"/>
  <cols>
    <col min="1" max="1" width="4.42578125" style="159" customWidth="1"/>
    <col min="2" max="2" width="9.140625" style="273"/>
    <col min="3" max="3" width="17.28515625" style="159" customWidth="1"/>
    <col min="4" max="4" width="9" style="159" hidden="1" customWidth="1"/>
    <col min="5" max="5" width="8.140625" style="159" hidden="1" customWidth="1"/>
    <col min="6" max="7" width="12.7109375" style="159" hidden="1" customWidth="1"/>
    <col min="8" max="9" width="13.85546875" style="118" customWidth="1"/>
    <col min="10" max="10" width="12.140625" style="121" customWidth="1"/>
    <col min="11" max="11" width="11.28515625" style="157" customWidth="1"/>
    <col min="12" max="12" width="13.42578125" style="157" customWidth="1"/>
    <col min="13" max="13" width="13.28515625" style="159" customWidth="1"/>
    <col min="14" max="14" width="15.7109375" style="159" customWidth="1"/>
    <col min="15" max="15" width="11.7109375" style="157" customWidth="1"/>
    <col min="16" max="16" width="1" style="159" customWidth="1"/>
    <col min="17" max="17" width="13.140625" style="157" customWidth="1"/>
    <col min="18" max="18" width="15.140625" style="157" customWidth="1"/>
    <col min="19" max="19" width="17.42578125" style="159" customWidth="1"/>
    <col min="20" max="20" width="15.5703125" style="157" customWidth="1"/>
    <col min="21" max="21" width="15.28515625" style="157" customWidth="1"/>
    <col min="22" max="22" width="15.140625" style="159" customWidth="1"/>
    <col min="23" max="23" width="15.85546875" style="157" customWidth="1"/>
    <col min="24" max="24" width="15.5703125" style="159" customWidth="1"/>
    <col min="25" max="25" width="2.85546875" style="159" customWidth="1"/>
    <col min="26" max="26" width="8.5703125" style="159" customWidth="1"/>
    <col min="27" max="27" width="11.85546875" style="159" customWidth="1"/>
    <col min="28" max="28" width="12.7109375" style="159" customWidth="1"/>
    <col min="29" max="16384" width="9.140625" style="159"/>
  </cols>
  <sheetData>
    <row r="1" spans="2:28" x14ac:dyDescent="0.25">
      <c r="B1" s="118" t="s">
        <v>80</v>
      </c>
      <c r="K1" s="157">
        <v>7251</v>
      </c>
      <c r="L1" s="157">
        <v>7252</v>
      </c>
      <c r="M1" s="159">
        <v>7253</v>
      </c>
      <c r="N1" s="159">
        <v>7254</v>
      </c>
      <c r="O1" s="157">
        <v>7260</v>
      </c>
      <c r="Q1" s="157">
        <v>7251</v>
      </c>
      <c r="R1" s="157">
        <v>7252</v>
      </c>
      <c r="S1" s="159">
        <v>7253</v>
      </c>
      <c r="T1" s="157">
        <v>7260</v>
      </c>
      <c r="X1" s="159">
        <v>8222</v>
      </c>
      <c r="AA1" s="159">
        <v>7248</v>
      </c>
    </row>
    <row r="2" spans="2:28" ht="16.5" x14ac:dyDescent="0.35">
      <c r="K2" s="335" t="s">
        <v>1</v>
      </c>
      <c r="L2" s="335" t="s">
        <v>2</v>
      </c>
      <c r="M2" s="335" t="s">
        <v>3</v>
      </c>
      <c r="N2" s="335" t="s">
        <v>4</v>
      </c>
      <c r="O2" s="335" t="s">
        <v>5</v>
      </c>
      <c r="P2" s="335"/>
      <c r="Q2" s="336" t="s">
        <v>8</v>
      </c>
      <c r="R2" s="336" t="s">
        <v>12</v>
      </c>
      <c r="S2" s="336" t="s">
        <v>7</v>
      </c>
      <c r="T2" s="336" t="s">
        <v>11</v>
      </c>
      <c r="U2" s="336" t="s">
        <v>9</v>
      </c>
      <c r="V2" s="336" t="s">
        <v>13</v>
      </c>
      <c r="W2" s="114" t="s">
        <v>6</v>
      </c>
      <c r="X2" s="114" t="s">
        <v>81</v>
      </c>
      <c r="Y2" s="118"/>
      <c r="Z2" s="337"/>
      <c r="AA2" s="338" t="s">
        <v>15</v>
      </c>
      <c r="AB2" s="118"/>
    </row>
    <row r="3" spans="2:28" x14ac:dyDescent="0.25">
      <c r="K3" s="355">
        <f>K40</f>
        <v>9366.6899999999987</v>
      </c>
      <c r="L3" s="355">
        <f t="shared" ref="L3:O3" si="0">L40</f>
        <v>2190.61</v>
      </c>
      <c r="M3" s="355">
        <f t="shared" si="0"/>
        <v>4446.09</v>
      </c>
      <c r="N3" s="355">
        <f t="shared" si="0"/>
        <v>818.04</v>
      </c>
      <c r="O3" s="355">
        <f t="shared" si="0"/>
        <v>2232.19</v>
      </c>
      <c r="P3" s="158"/>
      <c r="Q3" s="161">
        <v>2476.56</v>
      </c>
      <c r="R3" s="161">
        <v>2615.87</v>
      </c>
      <c r="S3" s="161">
        <v>6576</v>
      </c>
      <c r="T3" s="161">
        <v>2175.65</v>
      </c>
      <c r="U3" s="355">
        <v>1720.21</v>
      </c>
      <c r="V3" s="355">
        <v>1019.51</v>
      </c>
      <c r="W3" s="162">
        <v>3006</v>
      </c>
      <c r="X3" s="162">
        <v>3972.48</v>
      </c>
      <c r="Y3" s="118"/>
      <c r="Z3" s="120"/>
      <c r="AA3" s="210">
        <v>6645.7</v>
      </c>
      <c r="AB3" s="118"/>
    </row>
    <row r="4" spans="2:28" x14ac:dyDescent="0.25"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Z4" s="356"/>
      <c r="AA4" s="357">
        <v>0.04</v>
      </c>
    </row>
    <row r="5" spans="2:28" ht="15.75" thickBot="1" x14ac:dyDescent="0.3">
      <c r="B5" s="273">
        <v>41</v>
      </c>
      <c r="C5" s="159" t="s">
        <v>19</v>
      </c>
      <c r="D5" s="118"/>
      <c r="E5" s="339"/>
      <c r="F5" s="339"/>
      <c r="G5" s="339">
        <f>SUM(G14:G18)</f>
        <v>8737.69</v>
      </c>
      <c r="H5" s="317">
        <v>0</v>
      </c>
      <c r="I5" s="318"/>
      <c r="J5" s="118">
        <f t="shared" ref="J5:J14" si="1">H5/$F$33</f>
        <v>0</v>
      </c>
      <c r="K5" s="108">
        <f>J5*$K$3</f>
        <v>0</v>
      </c>
      <c r="L5" s="108">
        <f>J5*$L$3</f>
        <v>0</v>
      </c>
      <c r="M5" s="108">
        <f>J5*$M$3</f>
        <v>0</v>
      </c>
      <c r="N5" s="108">
        <f>J5*$N$3</f>
        <v>0</v>
      </c>
      <c r="O5" s="108">
        <f>J5*$O$3</f>
        <v>0</v>
      </c>
      <c r="P5" s="108"/>
      <c r="Q5" s="108">
        <f>J5*$Q$3</f>
        <v>0</v>
      </c>
      <c r="R5" s="108">
        <f>J5*$R$3</f>
        <v>0</v>
      </c>
      <c r="S5" s="108">
        <f>J5*$S$3</f>
        <v>0</v>
      </c>
      <c r="T5" s="108">
        <f>J5*$T$3</f>
        <v>0</v>
      </c>
      <c r="U5" s="108">
        <f>J5*$U$3</f>
        <v>0</v>
      </c>
      <c r="V5" s="108">
        <f>J5*$V$3</f>
        <v>0</v>
      </c>
      <c r="W5" s="108">
        <f>J5*$W$3</f>
        <v>0</v>
      </c>
      <c r="X5" s="119">
        <f>J5*$X$3</f>
        <v>0</v>
      </c>
      <c r="Y5" s="119"/>
      <c r="Z5" s="120">
        <f t="shared" ref="Z5:Z14" si="2">H5/$H$35</f>
        <v>0</v>
      </c>
      <c r="AA5" s="210">
        <f>Z5*$AA$3</f>
        <v>0</v>
      </c>
    </row>
    <row r="6" spans="2:28" ht="15.75" thickBot="1" x14ac:dyDescent="0.3">
      <c r="B6" s="273">
        <v>111</v>
      </c>
      <c r="C6" s="159" t="s">
        <v>20</v>
      </c>
      <c r="D6" s="118"/>
      <c r="H6" s="214">
        <v>30203.95</v>
      </c>
      <c r="J6" s="118">
        <f t="shared" si="1"/>
        <v>0.19436925418751436</v>
      </c>
      <c r="K6" s="208">
        <f t="shared" ref="K6:K31" si="3">J6*$K$3</f>
        <v>1820.5965495056487</v>
      </c>
      <c r="L6" s="110">
        <f t="shared" ref="L6:L31" si="4">J6*$L$3</f>
        <v>425.78723191571083</v>
      </c>
      <c r="M6" s="110">
        <f t="shared" ref="M6:M31" si="5">J6*$M$3</f>
        <v>864.18319735056571</v>
      </c>
      <c r="N6" s="110">
        <f t="shared" ref="N6:N31" si="6">J6*$N$3</f>
        <v>159.00182469555423</v>
      </c>
      <c r="O6" s="110">
        <f t="shared" ref="O6:O31" si="7">J6*$O$3</f>
        <v>433.8691055048277</v>
      </c>
      <c r="P6" s="110"/>
      <c r="Q6" s="110">
        <f t="shared" ref="Q6:Q31" si="8">J6*$Q$3</f>
        <v>481.36712015063057</v>
      </c>
      <c r="R6" s="110">
        <f t="shared" ref="R6:R31" si="9">J6*$R$3</f>
        <v>508.44470095149313</v>
      </c>
      <c r="S6" s="110">
        <f t="shared" ref="S6:S31" si="10">J6*$S$3</f>
        <v>1278.1722155370944</v>
      </c>
      <c r="T6" s="110">
        <f t="shared" ref="T6:T31" si="11">J6*$T$3</f>
        <v>422.87946787306561</v>
      </c>
      <c r="U6" s="110">
        <f>J6*$U$3</f>
        <v>334.35593474590405</v>
      </c>
      <c r="V6" s="110">
        <f t="shared" ref="V6:V31" si="12">J6*$V$3</f>
        <v>198.16139833671275</v>
      </c>
      <c r="W6" s="110">
        <f t="shared" ref="W6:W31" si="13">J6*$W$3</f>
        <v>584.27397808766818</v>
      </c>
      <c r="X6" s="160">
        <f t="shared" ref="X6:X31" si="14">J6*$X$3</f>
        <v>772.12797487481703</v>
      </c>
      <c r="Y6" s="119"/>
      <c r="Z6" s="120">
        <f t="shared" si="2"/>
        <v>0.10986635232994239</v>
      </c>
      <c r="AA6" s="209">
        <f t="shared" ref="AA6:AA31" si="15">Z6*$AA$3</f>
        <v>730.13881767909811</v>
      </c>
    </row>
    <row r="7" spans="2:28" x14ac:dyDescent="0.25">
      <c r="B7" s="273" t="s">
        <v>23</v>
      </c>
      <c r="C7" s="159" t="s">
        <v>24</v>
      </c>
      <c r="D7" s="118"/>
      <c r="H7" s="214">
        <v>3853.67</v>
      </c>
      <c r="J7" s="118">
        <f t="shared" si="1"/>
        <v>2.4799238635502919E-2</v>
      </c>
      <c r="K7" s="108">
        <f>J7*$K$3</f>
        <v>232.28678053477881</v>
      </c>
      <c r="L7" s="108">
        <f>J7*$L$3</f>
        <v>54.325460147319049</v>
      </c>
      <c r="M7" s="108">
        <f>J7*$M$3</f>
        <v>110.25964690492317</v>
      </c>
      <c r="N7" s="108">
        <f>J7*$N$3</f>
        <v>20.286769173386809</v>
      </c>
      <c r="O7" s="108">
        <f>J7*$O$3</f>
        <v>55.356612489783259</v>
      </c>
      <c r="P7" s="108"/>
      <c r="Q7" s="108">
        <f>J7*$Q$3</f>
        <v>61.416802435141108</v>
      </c>
      <c r="R7" s="108">
        <f>J7*$R$3</f>
        <v>64.871584369453018</v>
      </c>
      <c r="S7" s="108">
        <f>J7*$S$3</f>
        <v>163.0797932670672</v>
      </c>
      <c r="T7" s="108">
        <f>J7*$T$3</f>
        <v>53.954463537331925</v>
      </c>
      <c r="U7" s="108">
        <f>J7*$U$3</f>
        <v>42.659898293178479</v>
      </c>
      <c r="V7" s="108">
        <f>J7*$V$3</f>
        <v>25.283071781281581</v>
      </c>
      <c r="W7" s="108">
        <f>J7*$W$3</f>
        <v>74.546511338321778</v>
      </c>
      <c r="X7" s="109">
        <f>J7*$X$3</f>
        <v>98.514479494762639</v>
      </c>
      <c r="Y7" s="119"/>
      <c r="Z7" s="120">
        <f t="shared" si="2"/>
        <v>1.4017658815596275E-2</v>
      </c>
      <c r="AA7" s="209">
        <f>Z7*$AA$3</f>
        <v>93.157155190808169</v>
      </c>
    </row>
    <row r="8" spans="2:28" x14ac:dyDescent="0.25">
      <c r="B8" s="273" t="s">
        <v>21</v>
      </c>
      <c r="C8" s="159" t="s">
        <v>22</v>
      </c>
      <c r="D8" s="118"/>
      <c r="H8" s="214">
        <v>1575.89</v>
      </c>
      <c r="J8" s="118">
        <f t="shared" si="1"/>
        <v>1.0141208814792833E-2</v>
      </c>
      <c r="K8" s="108">
        <f t="shared" si="3"/>
        <v>94.989559193431859</v>
      </c>
      <c r="L8" s="108">
        <f t="shared" si="4"/>
        <v>22.215433441773328</v>
      </c>
      <c r="M8" s="108">
        <f t="shared" si="5"/>
        <v>45.088727099362266</v>
      </c>
      <c r="N8" s="108">
        <f t="shared" si="6"/>
        <v>8.2959144588531277</v>
      </c>
      <c r="O8" s="108">
        <f t="shared" si="7"/>
        <v>22.637104904292414</v>
      </c>
      <c r="P8" s="108"/>
      <c r="Q8" s="108">
        <f t="shared" si="8"/>
        <v>25.115312102363337</v>
      </c>
      <c r="R8" s="108">
        <f t="shared" si="9"/>
        <v>26.528083902352126</v>
      </c>
      <c r="S8" s="108">
        <f t="shared" si="10"/>
        <v>66.688589166077662</v>
      </c>
      <c r="T8" s="108">
        <f t="shared" si="11"/>
        <v>22.063720957904028</v>
      </c>
      <c r="U8" s="108">
        <f t="shared" ref="U8:U33" si="16">J8*$U$3</f>
        <v>17.445008815294781</v>
      </c>
      <c r="V8" s="108">
        <f t="shared" si="12"/>
        <v>10.339063798769441</v>
      </c>
      <c r="W8" s="108">
        <f t="shared" si="13"/>
        <v>30.484473697267255</v>
      </c>
      <c r="X8" s="109">
        <f t="shared" si="14"/>
        <v>40.285749192588234</v>
      </c>
      <c r="Y8" s="119"/>
      <c r="Z8" s="120">
        <f t="shared" si="2"/>
        <v>5.7322729634115051E-3</v>
      </c>
      <c r="AA8" s="209">
        <f t="shared" si="15"/>
        <v>38.094966432943842</v>
      </c>
    </row>
    <row r="9" spans="2:28" x14ac:dyDescent="0.25">
      <c r="B9" s="273" t="s">
        <v>25</v>
      </c>
      <c r="C9" s="159" t="s">
        <v>26</v>
      </c>
      <c r="D9" s="118"/>
      <c r="H9" s="214">
        <v>542.85</v>
      </c>
      <c r="J9" s="118">
        <f t="shared" si="1"/>
        <v>3.4933626110390252E-3</v>
      </c>
      <c r="K9" s="108">
        <f t="shared" si="3"/>
        <v>32.721244635193123</v>
      </c>
      <c r="L9" s="108">
        <f t="shared" si="4"/>
        <v>7.6525950693681999</v>
      </c>
      <c r="M9" s="108">
        <f t="shared" si="5"/>
        <v>15.531804571314501</v>
      </c>
      <c r="N9" s="108">
        <f t="shared" si="6"/>
        <v>2.8577103503343642</v>
      </c>
      <c r="O9" s="108">
        <f t="shared" si="7"/>
        <v>7.7978490867352015</v>
      </c>
      <c r="P9" s="108"/>
      <c r="Q9" s="108">
        <f t="shared" si="8"/>
        <v>8.6515221079948077</v>
      </c>
      <c r="R9" s="108">
        <f t="shared" si="9"/>
        <v>9.1381824533386542</v>
      </c>
      <c r="S9" s="108">
        <f t="shared" si="10"/>
        <v>22.97235253019263</v>
      </c>
      <c r="T9" s="108">
        <f t="shared" si="11"/>
        <v>7.6003343647070558</v>
      </c>
      <c r="U9" s="108">
        <f t="shared" si="16"/>
        <v>6.0093172971354418</v>
      </c>
      <c r="V9" s="108">
        <f t="shared" si="12"/>
        <v>3.5615181155803968</v>
      </c>
      <c r="W9" s="108">
        <f t="shared" si="13"/>
        <v>10.501048008783309</v>
      </c>
      <c r="X9" s="109">
        <f t="shared" si="14"/>
        <v>13.877313105100306</v>
      </c>
      <c r="Y9" s="119"/>
      <c r="Z9" s="120">
        <f t="shared" si="2"/>
        <v>1.9746076047109477E-3</v>
      </c>
      <c r="AA9" s="209">
        <f t="shared" si="15"/>
        <v>13.122649758627546</v>
      </c>
    </row>
    <row r="10" spans="2:28" x14ac:dyDescent="0.25">
      <c r="B10" s="273">
        <v>112</v>
      </c>
      <c r="C10" s="159" t="s">
        <v>27</v>
      </c>
      <c r="D10" s="118"/>
      <c r="H10" s="214">
        <v>29632.02</v>
      </c>
      <c r="J10" s="118">
        <f t="shared" si="1"/>
        <v>0.19068875519491685</v>
      </c>
      <c r="K10" s="108">
        <f t="shared" si="3"/>
        <v>1786.1224563966755</v>
      </c>
      <c r="L10" s="108">
        <f t="shared" si="4"/>
        <v>417.72469401753682</v>
      </c>
      <c r="M10" s="108">
        <f t="shared" si="5"/>
        <v>847.81936758456789</v>
      </c>
      <c r="N10" s="108">
        <f t="shared" si="6"/>
        <v>155.99102929964977</v>
      </c>
      <c r="O10" s="108">
        <f t="shared" si="7"/>
        <v>425.65353245854146</v>
      </c>
      <c r="P10" s="108"/>
      <c r="Q10" s="108">
        <f t="shared" si="8"/>
        <v>472.25214356552328</v>
      </c>
      <c r="R10" s="108">
        <f t="shared" si="9"/>
        <v>498.81699405172714</v>
      </c>
      <c r="S10" s="108">
        <f t="shared" si="10"/>
        <v>1253.9692541617733</v>
      </c>
      <c r="T10" s="108">
        <f t="shared" si="11"/>
        <v>414.87199023982083</v>
      </c>
      <c r="U10" s="108">
        <f t="shared" si="16"/>
        <v>328.02470357384794</v>
      </c>
      <c r="V10" s="108">
        <f t="shared" si="12"/>
        <v>194.40909280876969</v>
      </c>
      <c r="W10" s="108">
        <f t="shared" si="13"/>
        <v>573.21039811592004</v>
      </c>
      <c r="X10" s="119">
        <f t="shared" si="14"/>
        <v>757.50726623670323</v>
      </c>
      <c r="Y10" s="119"/>
      <c r="Z10" s="120">
        <f t="shared" si="2"/>
        <v>0.10778596672183273</v>
      </c>
      <c r="AA10" s="210">
        <f t="shared" si="15"/>
        <v>716.3131990432837</v>
      </c>
    </row>
    <row r="11" spans="2:28" x14ac:dyDescent="0.25">
      <c r="B11" s="273">
        <v>222</v>
      </c>
      <c r="C11" s="159" t="s">
        <v>29</v>
      </c>
      <c r="D11" s="118"/>
      <c r="H11" s="213">
        <v>2480.65</v>
      </c>
      <c r="J11" s="118">
        <f t="shared" si="1"/>
        <v>1.5963544185454467E-2</v>
      </c>
      <c r="K11" s="108">
        <f t="shared" si="3"/>
        <v>149.52556968645447</v>
      </c>
      <c r="L11" s="108">
        <f t="shared" si="4"/>
        <v>34.969899528098416</v>
      </c>
      <c r="M11" s="108">
        <f t="shared" si="5"/>
        <v>70.975354167507248</v>
      </c>
      <c r="N11" s="108">
        <f t="shared" si="6"/>
        <v>13.058817685469172</v>
      </c>
      <c r="O11" s="108">
        <f t="shared" si="7"/>
        <v>35.633663695329609</v>
      </c>
      <c r="P11" s="108"/>
      <c r="Q11" s="108">
        <f t="shared" si="8"/>
        <v>39.534674987929115</v>
      </c>
      <c r="R11" s="108">
        <f t="shared" si="9"/>
        <v>41.758556328404779</v>
      </c>
      <c r="S11" s="108">
        <f t="shared" si="10"/>
        <v>104.97626656354858</v>
      </c>
      <c r="T11" s="108">
        <f t="shared" si="11"/>
        <v>34.731084907084011</v>
      </c>
      <c r="U11" s="108">
        <f t="shared" si="16"/>
        <v>27.46064834326063</v>
      </c>
      <c r="V11" s="108">
        <f t="shared" si="12"/>
        <v>16.274992932512685</v>
      </c>
      <c r="W11" s="108">
        <f t="shared" si="13"/>
        <v>47.986413821476127</v>
      </c>
      <c r="X11" s="119">
        <f t="shared" si="14"/>
        <v>63.414860005834164</v>
      </c>
      <c r="Y11" s="119"/>
      <c r="Z11" s="120">
        <f t="shared" si="2"/>
        <v>9.0233220127589799E-3</v>
      </c>
      <c r="AA11" s="210">
        <f t="shared" si="15"/>
        <v>59.96629110019235</v>
      </c>
    </row>
    <row r="12" spans="2:28" ht="15.75" thickBot="1" x14ac:dyDescent="0.3">
      <c r="B12" s="273">
        <v>223</v>
      </c>
      <c r="C12" s="159" t="s">
        <v>30</v>
      </c>
      <c r="D12" s="118"/>
      <c r="H12" s="215">
        <v>12924.08</v>
      </c>
      <c r="I12" s="115"/>
      <c r="J12" s="115">
        <f t="shared" si="1"/>
        <v>8.3169379854614062E-2</v>
      </c>
      <c r="K12" s="112">
        <f t="shared" si="3"/>
        <v>779.02179859041485</v>
      </c>
      <c r="L12" s="112">
        <f t="shared" si="4"/>
        <v>182.19167520331612</v>
      </c>
      <c r="M12" s="112">
        <f t="shared" si="5"/>
        <v>369.77854807780102</v>
      </c>
      <c r="N12" s="112">
        <f t="shared" si="6"/>
        <v>68.035879496268478</v>
      </c>
      <c r="O12" s="112">
        <f t="shared" si="7"/>
        <v>185.64985801767097</v>
      </c>
      <c r="P12" s="112"/>
      <c r="Q12" s="112">
        <f t="shared" si="8"/>
        <v>205.973959372743</v>
      </c>
      <c r="R12" s="112">
        <f t="shared" si="9"/>
        <v>217.56028568028927</v>
      </c>
      <c r="S12" s="112">
        <f t="shared" si="10"/>
        <v>546.92184192394211</v>
      </c>
      <c r="T12" s="112">
        <f t="shared" si="11"/>
        <v>180.9474612806911</v>
      </c>
      <c r="U12" s="112">
        <f t="shared" si="16"/>
        <v>143.06879891970567</v>
      </c>
      <c r="V12" s="112">
        <f t="shared" si="12"/>
        <v>84.792014455577586</v>
      </c>
      <c r="W12" s="112">
        <f t="shared" si="13"/>
        <v>250.00715584296987</v>
      </c>
      <c r="X12" s="116">
        <f t="shared" si="14"/>
        <v>330.38869808485725</v>
      </c>
      <c r="Y12" s="116"/>
      <c r="Z12" s="117">
        <f t="shared" si="2"/>
        <v>4.7011120294542998E-2</v>
      </c>
      <c r="AA12" s="211">
        <f t="shared" si="15"/>
        <v>312.4218021414444</v>
      </c>
    </row>
    <row r="13" spans="2:28" ht="15.75" thickBot="1" x14ac:dyDescent="0.3">
      <c r="B13" s="273">
        <v>225</v>
      </c>
      <c r="C13" s="159" t="s">
        <v>59</v>
      </c>
      <c r="D13" s="118"/>
      <c r="H13" s="214">
        <v>6604.32</v>
      </c>
      <c r="J13" s="118">
        <f t="shared" si="1"/>
        <v>4.2500293928962429E-2</v>
      </c>
      <c r="K13" s="108">
        <f t="shared" si="3"/>
        <v>398.08707814147306</v>
      </c>
      <c r="L13" s="108">
        <f t="shared" si="4"/>
        <v>93.101568883724397</v>
      </c>
      <c r="M13" s="108">
        <f t="shared" si="5"/>
        <v>188.96013183462057</v>
      </c>
      <c r="N13" s="108">
        <f t="shared" si="6"/>
        <v>34.766940445648423</v>
      </c>
      <c r="O13" s="108">
        <f t="shared" si="7"/>
        <v>94.868731105290649</v>
      </c>
      <c r="P13" s="108"/>
      <c r="Q13" s="108">
        <f t="shared" si="8"/>
        <v>105.2545279327112</v>
      </c>
      <c r="R13" s="108">
        <f t="shared" si="9"/>
        <v>111.17524387995495</v>
      </c>
      <c r="S13" s="108">
        <f t="shared" si="10"/>
        <v>279.48193287685694</v>
      </c>
      <c r="T13" s="108">
        <f t="shared" si="11"/>
        <v>92.465764486547116</v>
      </c>
      <c r="U13" s="108">
        <f t="shared" si="16"/>
        <v>73.109430619540461</v>
      </c>
      <c r="V13" s="108">
        <f t="shared" si="12"/>
        <v>43.329474663516486</v>
      </c>
      <c r="W13" s="108">
        <f t="shared" si="13"/>
        <v>127.75588355046106</v>
      </c>
      <c r="X13" s="116">
        <f t="shared" si="14"/>
        <v>168.83156762692468</v>
      </c>
      <c r="Y13" s="119"/>
      <c r="Z13" s="120">
        <f t="shared" si="2"/>
        <v>2.4023101217545556E-2</v>
      </c>
      <c r="AA13" s="211">
        <f t="shared" si="15"/>
        <v>159.65032376144251</v>
      </c>
    </row>
    <row r="14" spans="2:28" x14ac:dyDescent="0.25">
      <c r="B14" s="273">
        <v>334</v>
      </c>
      <c r="C14" s="159" t="s">
        <v>73</v>
      </c>
      <c r="D14" s="118"/>
      <c r="G14" s="159">
        <v>1869.23</v>
      </c>
      <c r="H14" s="31">
        <v>1869.23</v>
      </c>
      <c r="J14" s="118">
        <f t="shared" si="1"/>
        <v>1.2028918105245421E-2</v>
      </c>
      <c r="K14" s="108">
        <f>J14*$K$3</f>
        <v>112.67114692722122</v>
      </c>
      <c r="L14" s="108">
        <f>J14*$L$3</f>
        <v>26.350668290531672</v>
      </c>
      <c r="M14" s="108">
        <f>J14*$M$3</f>
        <v>53.481652498550616</v>
      </c>
      <c r="N14" s="108">
        <f>J14*$N$3</f>
        <v>9.8401361668149647</v>
      </c>
      <c r="O14" s="108">
        <f>J14*$O$3</f>
        <v>26.850830705347779</v>
      </c>
      <c r="P14" s="108"/>
      <c r="Q14" s="108">
        <f>J14*$Q$3</f>
        <v>29.790337422726601</v>
      </c>
      <c r="R14" s="108">
        <f>J14*$R$3</f>
        <v>31.466086003968339</v>
      </c>
      <c r="S14" s="108">
        <f>J14*$S$3</f>
        <v>79.102165460093886</v>
      </c>
      <c r="T14" s="108">
        <f>J14*$T$3</f>
        <v>26.170715675677201</v>
      </c>
      <c r="U14" s="108">
        <f>J14*$U$3</f>
        <v>20.692265213824225</v>
      </c>
      <c r="V14" s="108">
        <f t="shared" si="12"/>
        <v>12.263602297478759</v>
      </c>
      <c r="W14" s="108">
        <f>J14*$W$3</f>
        <v>36.158927824367737</v>
      </c>
      <c r="X14" s="119">
        <f>J14*$X$3</f>
        <v>47.784636594725335</v>
      </c>
      <c r="Y14" s="119"/>
      <c r="Z14" s="120">
        <f t="shared" si="2"/>
        <v>6.7992922040229255E-3</v>
      </c>
      <c r="AA14" s="210">
        <f>Z14*$AA$3</f>
        <v>45.186056200275154</v>
      </c>
    </row>
    <row r="15" spans="2:28" x14ac:dyDescent="0.25">
      <c r="B15" s="273" t="s">
        <v>33</v>
      </c>
      <c r="C15" s="159" t="s">
        <v>34</v>
      </c>
      <c r="D15" s="118"/>
      <c r="G15" s="159">
        <v>3538.46</v>
      </c>
      <c r="H15" s="118">
        <v>3538.46</v>
      </c>
      <c r="J15" s="118">
        <f t="shared" ref="J15:J31" si="17">H15/$F$33</f>
        <v>2.2770790945301923E-2</v>
      </c>
      <c r="K15" s="108">
        <f t="shared" ref="K15" si="18">J15*$K$3</f>
        <v>213.28693983945004</v>
      </c>
      <c r="L15" s="108">
        <f t="shared" ref="L15" si="19">J15*$L$3</f>
        <v>49.881922352687845</v>
      </c>
      <c r="M15" s="108">
        <f t="shared" ref="M15" si="20">J15*$M$3</f>
        <v>101.24098591399743</v>
      </c>
      <c r="N15" s="108">
        <f t="shared" ref="N15" si="21">J15*$N$3</f>
        <v>18.627417824894785</v>
      </c>
      <c r="O15" s="108">
        <f t="shared" ref="O15" si="22">J15*$O$3</f>
        <v>50.828731840193498</v>
      </c>
      <c r="P15" s="108"/>
      <c r="Q15" s="108">
        <f t="shared" ref="Q15" si="23">J15*$Q$3</f>
        <v>56.393230023496926</v>
      </c>
      <c r="R15" s="108">
        <f t="shared" ref="R15" si="24">J15*$R$3</f>
        <v>59.565428910086936</v>
      </c>
      <c r="S15" s="108">
        <f t="shared" ref="S15" si="25">J15*$S$3</f>
        <v>149.74072125630545</v>
      </c>
      <c r="T15" s="108">
        <f t="shared" ref="T15" si="26">J15*$T$3</f>
        <v>49.54127132014613</v>
      </c>
      <c r="U15" s="108">
        <f t="shared" ref="U15" si="27">J15*$U$3</f>
        <v>39.170542292017821</v>
      </c>
      <c r="V15" s="108">
        <f t="shared" ref="V15" si="28">J15*$V$3</f>
        <v>23.215049076644764</v>
      </c>
      <c r="W15" s="108">
        <f t="shared" ref="W15" si="29">J15*$W$3</f>
        <v>68.448997581577586</v>
      </c>
      <c r="X15" s="119">
        <f t="shared" ref="X15" si="30">J15*$X$3</f>
        <v>90.45651161439298</v>
      </c>
      <c r="Y15" s="119"/>
      <c r="Z15" s="120">
        <f t="shared" ref="Z15:Z31" si="31">H15/$H$35</f>
        <v>1.287108782346044E-2</v>
      </c>
      <c r="AA15" s="210">
        <f t="shared" ref="AA15" si="32">Z15*$AA$3</f>
        <v>85.537388348371039</v>
      </c>
    </row>
    <row r="16" spans="2:28" x14ac:dyDescent="0.25">
      <c r="B16" s="273" t="s">
        <v>35</v>
      </c>
      <c r="C16" s="159" t="s">
        <v>36</v>
      </c>
      <c r="D16" s="118"/>
      <c r="E16" s="339">
        <v>7120</v>
      </c>
      <c r="F16" s="339">
        <v>7130</v>
      </c>
      <c r="G16" s="339">
        <v>1791.54</v>
      </c>
      <c r="H16" s="360">
        <v>1330</v>
      </c>
      <c r="I16" s="318"/>
      <c r="J16" s="118">
        <f t="shared" si="17"/>
        <v>8.5588510135063151E-3</v>
      </c>
      <c r="K16" s="108">
        <f t="shared" si="3"/>
        <v>80.168104199699457</v>
      </c>
      <c r="L16" s="108">
        <f t="shared" si="4"/>
        <v>18.749104618697071</v>
      </c>
      <c r="M16" s="108">
        <f t="shared" si="5"/>
        <v>38.053421902640295</v>
      </c>
      <c r="N16" s="108">
        <f t="shared" si="6"/>
        <v>7.0014824830887061</v>
      </c>
      <c r="O16" s="108">
        <f t="shared" si="7"/>
        <v>19.104981643838663</v>
      </c>
      <c r="P16" s="108"/>
      <c r="Q16" s="108">
        <f t="shared" si="8"/>
        <v>21.196508066009198</v>
      </c>
      <c r="R16" s="108">
        <f t="shared" si="9"/>
        <v>22.388841600700765</v>
      </c>
      <c r="S16" s="108">
        <f t="shared" si="10"/>
        <v>56.283004264817528</v>
      </c>
      <c r="T16" s="108">
        <f t="shared" si="11"/>
        <v>18.621064207535014</v>
      </c>
      <c r="U16" s="108">
        <f t="shared" si="16"/>
        <v>14.723021101943699</v>
      </c>
      <c r="V16" s="108">
        <f t="shared" si="12"/>
        <v>8.7258341967798234</v>
      </c>
      <c r="W16" s="108">
        <f t="shared" si="13"/>
        <v>25.727906146599985</v>
      </c>
      <c r="X16" s="119">
        <f t="shared" si="14"/>
        <v>33.999864474133567</v>
      </c>
      <c r="Y16" s="119"/>
      <c r="Z16" s="120">
        <f t="shared" si="31"/>
        <v>4.8378522874929731E-3</v>
      </c>
      <c r="AA16" s="210">
        <f t="shared" si="15"/>
        <v>32.150914946992053</v>
      </c>
    </row>
    <row r="17" spans="2:27" x14ac:dyDescent="0.25">
      <c r="B17" s="273" t="s">
        <v>37</v>
      </c>
      <c r="C17" s="159" t="s">
        <v>38</v>
      </c>
      <c r="D17" s="118"/>
      <c r="G17" s="159">
        <v>1538.46</v>
      </c>
      <c r="H17" s="319">
        <v>2000</v>
      </c>
      <c r="J17" s="118">
        <f t="shared" si="17"/>
        <v>1.2870452651889196E-2</v>
      </c>
      <c r="K17" s="108">
        <f t="shared" si="3"/>
        <v>120.553540149924</v>
      </c>
      <c r="L17" s="108">
        <f t="shared" si="4"/>
        <v>28.194142283754996</v>
      </c>
      <c r="M17" s="108">
        <f t="shared" si="5"/>
        <v>57.223190831038039</v>
      </c>
      <c r="N17" s="108">
        <f t="shared" si="6"/>
        <v>10.528545087351437</v>
      </c>
      <c r="O17" s="108">
        <f t="shared" si="7"/>
        <v>28.729295705020547</v>
      </c>
      <c r="P17" s="108"/>
      <c r="Q17" s="108">
        <f t="shared" si="8"/>
        <v>31.874448219562709</v>
      </c>
      <c r="R17" s="108">
        <f t="shared" si="9"/>
        <v>33.667430978497393</v>
      </c>
      <c r="S17" s="108">
        <f t="shared" si="10"/>
        <v>84.636096638823361</v>
      </c>
      <c r="T17" s="108">
        <f t="shared" si="11"/>
        <v>28.001600312082733</v>
      </c>
      <c r="U17" s="108">
        <f t="shared" si="16"/>
        <v>22.139881356306315</v>
      </c>
      <c r="V17" s="108">
        <f t="shared" si="12"/>
        <v>13.121555183127555</v>
      </c>
      <c r="W17" s="108">
        <f t="shared" si="13"/>
        <v>38.688580671578926</v>
      </c>
      <c r="X17" s="119">
        <f t="shared" si="14"/>
        <v>51.127615750576794</v>
      </c>
      <c r="Y17" s="119"/>
      <c r="Z17" s="120">
        <f t="shared" si="31"/>
        <v>7.2749658458540947E-3</v>
      </c>
      <c r="AA17" s="210">
        <f t="shared" si="15"/>
        <v>48.347240521792557</v>
      </c>
    </row>
    <row r="18" spans="2:27" x14ac:dyDescent="0.25">
      <c r="B18" s="273">
        <v>339</v>
      </c>
      <c r="C18" s="159" t="s">
        <v>58</v>
      </c>
      <c r="D18" s="118"/>
      <c r="H18" s="214">
        <v>5538.46</v>
      </c>
      <c r="J18" s="118">
        <f t="shared" si="17"/>
        <v>3.5641243597191119E-2</v>
      </c>
      <c r="K18" s="108">
        <f t="shared" si="3"/>
        <v>333.84047998937405</v>
      </c>
      <c r="L18" s="108">
        <f t="shared" si="4"/>
        <v>78.076064636442837</v>
      </c>
      <c r="M18" s="108">
        <f t="shared" si="5"/>
        <v>158.46417674503547</v>
      </c>
      <c r="N18" s="108">
        <f t="shared" si="6"/>
        <v>29.15596291224622</v>
      </c>
      <c r="O18" s="108">
        <f t="shared" si="7"/>
        <v>79.558027545214046</v>
      </c>
      <c r="P18" s="108"/>
      <c r="Q18" s="108">
        <f t="shared" si="8"/>
        <v>88.267678243059635</v>
      </c>
      <c r="R18" s="108">
        <f t="shared" si="9"/>
        <v>93.232859888584329</v>
      </c>
      <c r="S18" s="108">
        <f t="shared" si="10"/>
        <v>234.3768178951288</v>
      </c>
      <c r="T18" s="108">
        <f t="shared" si="11"/>
        <v>77.542871632228866</v>
      </c>
      <c r="U18" s="108">
        <f t="shared" si="16"/>
        <v>61.310423648324139</v>
      </c>
      <c r="V18" s="108">
        <f t="shared" si="12"/>
        <v>36.336604259772315</v>
      </c>
      <c r="W18" s="108">
        <f t="shared" si="13"/>
        <v>107.13757825315651</v>
      </c>
      <c r="X18" s="119">
        <f t="shared" si="14"/>
        <v>141.58412736496979</v>
      </c>
      <c r="Y18" s="119"/>
      <c r="Z18" s="120">
        <f t="shared" si="31"/>
        <v>2.0146053669314535E-2</v>
      </c>
      <c r="AA18" s="210">
        <f t="shared" si="15"/>
        <v>133.8846288701636</v>
      </c>
    </row>
    <row r="19" spans="2:27" ht="15.75" thickBot="1" x14ac:dyDescent="0.3">
      <c r="B19" s="273">
        <v>368</v>
      </c>
      <c r="C19" s="159" t="s">
        <v>40</v>
      </c>
      <c r="D19" s="118"/>
      <c r="H19" s="214">
        <v>4903.5</v>
      </c>
      <c r="J19" s="118">
        <f t="shared" si="17"/>
        <v>3.1555132289269337E-2</v>
      </c>
      <c r="K19" s="108">
        <f>J19*$K$3</f>
        <v>295.56714206257618</v>
      </c>
      <c r="L19" s="108">
        <f>J19*$L$3</f>
        <v>69.124988344196311</v>
      </c>
      <c r="M19" s="108">
        <f>J19*$M$3</f>
        <v>140.2969581199975</v>
      </c>
      <c r="N19" s="108">
        <f>J19*$N$3</f>
        <v>25.813360417913888</v>
      </c>
      <c r="O19" s="108">
        <f>J19*$O$3</f>
        <v>70.437050744784131</v>
      </c>
      <c r="P19" s="108"/>
      <c r="Q19" s="108">
        <f>J19*$Q$3</f>
        <v>78.148178422312867</v>
      </c>
      <c r="R19" s="108">
        <f>J19*$R$3</f>
        <v>82.54412390153098</v>
      </c>
      <c r="S19" s="108">
        <f>J19*$S$3</f>
        <v>207.50654993423515</v>
      </c>
      <c r="T19" s="108">
        <f>J19*$T$3</f>
        <v>68.652923565148839</v>
      </c>
      <c r="U19" s="108">
        <f>J19*$U$3</f>
        <v>54.28145411532401</v>
      </c>
      <c r="V19" s="108">
        <f>J19*$V$3</f>
        <v>32.170772920232984</v>
      </c>
      <c r="W19" s="108">
        <f>J19*$W$3</f>
        <v>94.854727661543635</v>
      </c>
      <c r="X19" s="119">
        <f>J19*$X$3</f>
        <v>125.35213191647665</v>
      </c>
      <c r="Y19" s="119"/>
      <c r="Z19" s="120">
        <f t="shared" si="31"/>
        <v>1.7836397512572776E-2</v>
      </c>
      <c r="AA19" s="210">
        <f>Z19*$AA$3</f>
        <v>118.53534694930489</v>
      </c>
    </row>
    <row r="20" spans="2:27" ht="15.75" thickBot="1" x14ac:dyDescent="0.3">
      <c r="B20" s="273">
        <v>451</v>
      </c>
      <c r="C20" s="159" t="s">
        <v>41</v>
      </c>
      <c r="D20" s="118"/>
      <c r="H20" s="213">
        <v>16093.9</v>
      </c>
      <c r="J20" s="118">
        <f t="shared" si="17"/>
        <v>0.10356788896711977</v>
      </c>
      <c r="K20" s="108">
        <f t="shared" si="3"/>
        <v>970.0883099094309</v>
      </c>
      <c r="L20" s="108">
        <f t="shared" si="4"/>
        <v>226.87685325026226</v>
      </c>
      <c r="M20" s="108">
        <f t="shared" si="5"/>
        <v>460.47215545782154</v>
      </c>
      <c r="N20" s="108">
        <f t="shared" si="6"/>
        <v>84.722675890662657</v>
      </c>
      <c r="O20" s="108">
        <f t="shared" si="7"/>
        <v>231.18320607351509</v>
      </c>
      <c r="P20" s="108"/>
      <c r="Q20" s="108">
        <f t="shared" si="8"/>
        <v>256.49209110041011</v>
      </c>
      <c r="R20" s="108">
        <f t="shared" si="9"/>
        <v>270.92013371241956</v>
      </c>
      <c r="S20" s="108">
        <f t="shared" si="10"/>
        <v>681.06243784777962</v>
      </c>
      <c r="T20" s="108">
        <f t="shared" si="11"/>
        <v>225.32747763131414</v>
      </c>
      <c r="U20" s="108">
        <f t="shared" si="16"/>
        <v>178.1585182801291</v>
      </c>
      <c r="V20" s="108">
        <f t="shared" si="12"/>
        <v>105.58849848086828</v>
      </c>
      <c r="W20" s="108">
        <f t="shared" si="13"/>
        <v>311.32507423516205</v>
      </c>
      <c r="X20" s="119">
        <f t="shared" si="14"/>
        <v>411.42136756410395</v>
      </c>
      <c r="Y20" s="119"/>
      <c r="Z20" s="120">
        <f t="shared" si="31"/>
        <v>5.8541286413295611E-2</v>
      </c>
      <c r="AA20" s="210">
        <f t="shared" si="15"/>
        <v>389.04782711683862</v>
      </c>
    </row>
    <row r="21" spans="2:27" x14ac:dyDescent="0.25">
      <c r="B21" s="273">
        <v>467</v>
      </c>
      <c r="C21" s="159" t="s">
        <v>78</v>
      </c>
      <c r="D21" s="118"/>
      <c r="H21" s="214">
        <v>3615.39</v>
      </c>
      <c r="J21" s="118">
        <f t="shared" si="17"/>
        <v>2.326585290655684E-2</v>
      </c>
      <c r="K21" s="108">
        <f>J21*$K$3</f>
        <v>217.92403176131685</v>
      </c>
      <c r="L21" s="108">
        <f>J21*$L$3</f>
        <v>50.966410035632485</v>
      </c>
      <c r="M21" s="108">
        <f>J21*$M$3</f>
        <v>103.44207594931331</v>
      </c>
      <c r="N21" s="108">
        <f>J21*$N$3</f>
        <v>19.032398311679756</v>
      </c>
      <c r="O21" s="108">
        <f>J21*$O$3</f>
        <v>51.933804199487113</v>
      </c>
      <c r="P21" s="108"/>
      <c r="Q21" s="108">
        <f>J21*$Q$3</f>
        <v>57.619280674262406</v>
      </c>
      <c r="R21" s="108">
        <f>J21*$R$3</f>
        <v>60.860446642674837</v>
      </c>
      <c r="S21" s="108">
        <f>J21*$S$3</f>
        <v>152.99624871351779</v>
      </c>
      <c r="T21" s="108">
        <f>J21*$T$3</f>
        <v>50.618352876150389</v>
      </c>
      <c r="U21" s="108">
        <f>J21*$U$3</f>
        <v>40.022152828388144</v>
      </c>
      <c r="V21" s="108">
        <f>J21*$V$3</f>
        <v>23.719769696763763</v>
      </c>
      <c r="W21" s="108">
        <f>J21*$W$3</f>
        <v>69.937153837109861</v>
      </c>
      <c r="X21" s="119">
        <f>J21*$X$3</f>
        <v>92.423135354238923</v>
      </c>
      <c r="Y21" s="119"/>
      <c r="Z21" s="120">
        <f t="shared" si="31"/>
        <v>1.3150919384721217E-2</v>
      </c>
      <c r="AA21" s="210">
        <f>Z21*$AA$3</f>
        <v>87.397064955041785</v>
      </c>
    </row>
    <row r="22" spans="2:27" x14ac:dyDescent="0.25">
      <c r="B22" s="273">
        <v>468</v>
      </c>
      <c r="C22" s="159" t="s">
        <v>45</v>
      </c>
      <c r="D22" s="118"/>
      <c r="H22" s="214">
        <v>3153.85</v>
      </c>
      <c r="J22" s="118">
        <f t="shared" si="17"/>
        <v>2.029573854808037E-2</v>
      </c>
      <c r="K22" s="108">
        <f>J22*$K$3</f>
        <v>190.10389130091889</v>
      </c>
      <c r="L22" s="108">
        <f>J22*$L$3</f>
        <v>44.460047820810345</v>
      </c>
      <c r="M22" s="108">
        <f>J22*$M$3</f>
        <v>90.236680201234648</v>
      </c>
      <c r="N22" s="108">
        <f>J22*$N$3</f>
        <v>16.602725961871666</v>
      </c>
      <c r="O22" s="108">
        <f>J22*$O$3</f>
        <v>45.303944629639524</v>
      </c>
      <c r="P22" s="108"/>
      <c r="Q22" s="108">
        <f>J22*$Q$3</f>
        <v>50.263614258633922</v>
      </c>
      <c r="R22" s="108">
        <f>J22*$R$3</f>
        <v>53.091013595766995</v>
      </c>
      <c r="S22" s="108">
        <f>J22*$S$3</f>
        <v>133.46477669217651</v>
      </c>
      <c r="T22" s="108">
        <f>J22*$T$3</f>
        <v>44.156423572131061</v>
      </c>
      <c r="U22" s="108">
        <f>J22*$U$3</f>
        <v>34.912932407793335</v>
      </c>
      <c r="V22" s="108">
        <f>J22*$V$3</f>
        <v>20.691708407153417</v>
      </c>
      <c r="W22" s="108">
        <f>J22*$W$3</f>
        <v>61.008990075529589</v>
      </c>
      <c r="X22" s="119">
        <f>J22*$X$3</f>
        <v>80.624415467478315</v>
      </c>
      <c r="Y22" s="119"/>
      <c r="Z22" s="120">
        <f t="shared" si="31"/>
        <v>1.1472075516473468E-2</v>
      </c>
      <c r="AA22" s="210">
        <f>Z22*$AA$3</f>
        <v>76.239972259827724</v>
      </c>
    </row>
    <row r="23" spans="2:27" x14ac:dyDescent="0.25">
      <c r="B23" s="273">
        <v>552</v>
      </c>
      <c r="C23" s="159" t="s">
        <v>46</v>
      </c>
      <c r="D23" s="118"/>
      <c r="H23" s="214">
        <v>665</v>
      </c>
      <c r="J23" s="118">
        <f t="shared" si="17"/>
        <v>4.2794255067531576E-3</v>
      </c>
      <c r="K23" s="108">
        <f t="shared" si="3"/>
        <v>40.084052099849728</v>
      </c>
      <c r="L23" s="108">
        <f t="shared" si="4"/>
        <v>9.3745523093485357</v>
      </c>
      <c r="M23" s="108">
        <f t="shared" si="5"/>
        <v>19.026710951320148</v>
      </c>
      <c r="N23" s="108">
        <f t="shared" si="6"/>
        <v>3.5007412415443531</v>
      </c>
      <c r="O23" s="108">
        <f t="shared" si="7"/>
        <v>9.5524908219193314</v>
      </c>
      <c r="P23" s="108"/>
      <c r="Q23" s="108">
        <f t="shared" si="8"/>
        <v>10.598254033004599</v>
      </c>
      <c r="R23" s="108">
        <f t="shared" si="9"/>
        <v>11.194420800350382</v>
      </c>
      <c r="S23" s="108">
        <f t="shared" si="10"/>
        <v>28.141502132408764</v>
      </c>
      <c r="T23" s="108">
        <f t="shared" si="11"/>
        <v>9.3105321037675068</v>
      </c>
      <c r="U23" s="108">
        <f t="shared" si="16"/>
        <v>7.3615105509718495</v>
      </c>
      <c r="V23" s="108">
        <f t="shared" si="12"/>
        <v>4.3629170983899117</v>
      </c>
      <c r="W23" s="108">
        <f t="shared" si="13"/>
        <v>12.863953073299992</v>
      </c>
      <c r="X23" s="119">
        <f t="shared" si="14"/>
        <v>16.999932237066783</v>
      </c>
      <c r="Y23" s="119"/>
      <c r="Z23" s="120">
        <f t="shared" si="31"/>
        <v>2.4189261437464866E-3</v>
      </c>
      <c r="AA23" s="210">
        <f t="shared" si="15"/>
        <v>16.075457473496026</v>
      </c>
    </row>
    <row r="24" spans="2:27" x14ac:dyDescent="0.25">
      <c r="B24" s="273">
        <v>560</v>
      </c>
      <c r="C24" s="159" t="s">
        <v>49</v>
      </c>
      <c r="D24" s="118"/>
      <c r="H24" s="214">
        <v>2000</v>
      </c>
      <c r="J24" s="118">
        <f t="shared" si="17"/>
        <v>1.2870452651889196E-2</v>
      </c>
      <c r="K24" s="108">
        <f>J24*$K$3</f>
        <v>120.553540149924</v>
      </c>
      <c r="L24" s="108">
        <f>J24*$L$3</f>
        <v>28.194142283754996</v>
      </c>
      <c r="M24" s="108">
        <f>J24*$M$3</f>
        <v>57.223190831038039</v>
      </c>
      <c r="N24" s="108">
        <f>J24*$N$3</f>
        <v>10.528545087351437</v>
      </c>
      <c r="O24" s="108">
        <f>J24*$O$3</f>
        <v>28.729295705020547</v>
      </c>
      <c r="P24" s="108"/>
      <c r="Q24" s="108">
        <f>J24*$Q$3</f>
        <v>31.874448219562709</v>
      </c>
      <c r="R24" s="108">
        <f>J24*$R$3</f>
        <v>33.667430978497393</v>
      </c>
      <c r="S24" s="108">
        <f>J24*$S$3</f>
        <v>84.636096638823361</v>
      </c>
      <c r="T24" s="108">
        <f>J24*$T$3</f>
        <v>28.001600312082733</v>
      </c>
      <c r="U24" s="108">
        <f>J24*$U$3</f>
        <v>22.139881356306315</v>
      </c>
      <c r="V24" s="108">
        <f>J24*$V$3</f>
        <v>13.121555183127555</v>
      </c>
      <c r="W24" s="108">
        <f>J24*$W$3</f>
        <v>38.688580671578926</v>
      </c>
      <c r="X24" s="119">
        <f>J24*$X$3</f>
        <v>51.127615750576794</v>
      </c>
      <c r="Y24" s="119"/>
      <c r="Z24" s="120">
        <f t="shared" si="31"/>
        <v>7.2749658458540947E-3</v>
      </c>
      <c r="AA24" s="210">
        <f>Z24*$AA$3</f>
        <v>48.347240521792557</v>
      </c>
    </row>
    <row r="25" spans="2:27" x14ac:dyDescent="0.25">
      <c r="B25" s="273">
        <v>567</v>
      </c>
      <c r="C25" s="159" t="s">
        <v>52</v>
      </c>
      <c r="D25" s="118"/>
      <c r="H25" s="214">
        <v>461.54</v>
      </c>
      <c r="J25" s="118">
        <f t="shared" si="17"/>
        <v>2.9701143584764701E-3</v>
      </c>
      <c r="K25" s="108">
        <f t="shared" si="3"/>
        <v>27.820140460397965</v>
      </c>
      <c r="L25" s="108">
        <f t="shared" si="4"/>
        <v>6.5063622148221407</v>
      </c>
      <c r="M25" s="108">
        <f t="shared" si="5"/>
        <v>13.205395748078649</v>
      </c>
      <c r="N25" s="108">
        <f t="shared" si="6"/>
        <v>2.4296723498080914</v>
      </c>
      <c r="O25" s="108">
        <f t="shared" si="7"/>
        <v>6.6298595698475919</v>
      </c>
      <c r="P25" s="108"/>
      <c r="Q25" s="108">
        <f t="shared" si="8"/>
        <v>7.3556664156284866</v>
      </c>
      <c r="R25" s="108">
        <f t="shared" si="9"/>
        <v>7.7694330469078432</v>
      </c>
      <c r="S25" s="108">
        <f t="shared" si="10"/>
        <v>19.531472021341269</v>
      </c>
      <c r="T25" s="108">
        <f t="shared" si="11"/>
        <v>6.4619293040193329</v>
      </c>
      <c r="U25" s="108">
        <f t="shared" si="16"/>
        <v>5.1092204205948084</v>
      </c>
      <c r="V25" s="108">
        <f t="shared" si="12"/>
        <v>3.028061289610346</v>
      </c>
      <c r="W25" s="108">
        <f t="shared" si="13"/>
        <v>8.9281637615802687</v>
      </c>
      <c r="X25" s="119">
        <f t="shared" si="14"/>
        <v>11.798719886760608</v>
      </c>
      <c r="Y25" s="119"/>
      <c r="Z25" s="120">
        <f t="shared" si="31"/>
        <v>1.6788438682477497E-3</v>
      </c>
      <c r="AA25" s="210">
        <f t="shared" si="15"/>
        <v>11.15709269521407</v>
      </c>
    </row>
    <row r="26" spans="2:27" x14ac:dyDescent="0.25">
      <c r="B26" s="273">
        <v>569</v>
      </c>
      <c r="C26" s="159" t="s">
        <v>47</v>
      </c>
      <c r="D26" s="118"/>
      <c r="H26" s="214">
        <v>2449.62</v>
      </c>
      <c r="J26" s="118">
        <f t="shared" si="17"/>
        <v>1.5763859112560407E-2</v>
      </c>
      <c r="K26" s="108">
        <f>J26*$K$3</f>
        <v>147.65518151102842</v>
      </c>
      <c r="L26" s="108">
        <f>J26*$L$3</f>
        <v>34.532467410565957</v>
      </c>
      <c r="M26" s="108">
        <f>J26*$M$3</f>
        <v>70.087536361763696</v>
      </c>
      <c r="N26" s="108">
        <f>J26*$N$3</f>
        <v>12.895467308438915</v>
      </c>
      <c r="O26" s="108">
        <f>J26*$O$3</f>
        <v>35.187928672466214</v>
      </c>
      <c r="P26" s="108"/>
      <c r="Q26" s="108">
        <f>J26*$Q$3</f>
        <v>39.040142923802598</v>
      </c>
      <c r="R26" s="108">
        <f>J26*$R$3</f>
        <v>41.23620613677339</v>
      </c>
      <c r="S26" s="108">
        <f>J26*$S$3</f>
        <v>103.66313752419724</v>
      </c>
      <c r="T26" s="108">
        <f>J26*$T$3</f>
        <v>34.296640078242049</v>
      </c>
      <c r="U26" s="108">
        <f>J26*$U$3</f>
        <v>27.11714808401754</v>
      </c>
      <c r="V26" s="108">
        <f>J26*$V$3</f>
        <v>16.071412003846461</v>
      </c>
      <c r="W26" s="108">
        <f>J26*$W$3</f>
        <v>47.386160492356581</v>
      </c>
      <c r="X26" s="119">
        <f>J26*$X$3</f>
        <v>62.621615047463969</v>
      </c>
      <c r="Y26" s="119"/>
      <c r="Z26" s="120">
        <f t="shared" si="31"/>
        <v>8.9104509176605538E-3</v>
      </c>
      <c r="AA26" s="210">
        <f>Z26*$AA$3</f>
        <v>59.216183663496743</v>
      </c>
    </row>
    <row r="27" spans="2:27" x14ac:dyDescent="0.25">
      <c r="B27" s="273">
        <v>582</v>
      </c>
      <c r="C27" s="159" t="s">
        <v>48</v>
      </c>
      <c r="D27" s="118"/>
      <c r="H27" s="214">
        <v>692.3</v>
      </c>
      <c r="J27" s="118">
        <f t="shared" si="17"/>
        <v>4.4551071854514448E-3</v>
      </c>
      <c r="K27" s="108">
        <f t="shared" si="3"/>
        <v>41.729607922896186</v>
      </c>
      <c r="L27" s="108">
        <f t="shared" si="4"/>
        <v>9.7594023515217909</v>
      </c>
      <c r="M27" s="108">
        <f t="shared" si="5"/>
        <v>19.807807506163815</v>
      </c>
      <c r="N27" s="108">
        <f t="shared" si="6"/>
        <v>3.6444558819866999</v>
      </c>
      <c r="O27" s="108">
        <f t="shared" si="7"/>
        <v>9.9446457082928603</v>
      </c>
      <c r="P27" s="108"/>
      <c r="Q27" s="108">
        <f t="shared" si="8"/>
        <v>11.033340251201629</v>
      </c>
      <c r="R27" s="108">
        <f t="shared" si="9"/>
        <v>11.653981233206871</v>
      </c>
      <c r="S27" s="108">
        <f t="shared" si="10"/>
        <v>29.296784851528702</v>
      </c>
      <c r="T27" s="108">
        <f t="shared" si="11"/>
        <v>9.6927539480274358</v>
      </c>
      <c r="U27" s="108">
        <f t="shared" si="16"/>
        <v>7.6637199314854296</v>
      </c>
      <c r="V27" s="108">
        <f t="shared" si="12"/>
        <v>4.5420263266396024</v>
      </c>
      <c r="W27" s="108">
        <f t="shared" si="13"/>
        <v>13.392052199467043</v>
      </c>
      <c r="X27" s="119">
        <f t="shared" si="14"/>
        <v>17.697824192062157</v>
      </c>
      <c r="Y27" s="119"/>
      <c r="Z27" s="120">
        <f t="shared" si="31"/>
        <v>2.518229427542395E-3</v>
      </c>
      <c r="AA27" s="210">
        <f t="shared" si="15"/>
        <v>16.735397306618495</v>
      </c>
    </row>
    <row r="28" spans="2:27" x14ac:dyDescent="0.25">
      <c r="B28" s="273">
        <v>610</v>
      </c>
      <c r="C28" s="159" t="s">
        <v>53</v>
      </c>
      <c r="D28" s="118"/>
      <c r="H28" s="214">
        <v>8515.39</v>
      </c>
      <c r="J28" s="118">
        <f t="shared" si="17"/>
        <v>5.4798461903685369E-2</v>
      </c>
      <c r="K28" s="108">
        <f t="shared" si="3"/>
        <v>513.28020512863066</v>
      </c>
      <c r="L28" s="108">
        <f t="shared" si="4"/>
        <v>120.04205863083222</v>
      </c>
      <c r="M28" s="108">
        <f t="shared" si="5"/>
        <v>243.6388934853565</v>
      </c>
      <c r="N28" s="108">
        <f t="shared" si="6"/>
        <v>44.827333775690775</v>
      </c>
      <c r="O28" s="108">
        <f t="shared" si="7"/>
        <v>122.32057867678745</v>
      </c>
      <c r="P28" s="108"/>
      <c r="Q28" s="108">
        <f t="shared" si="8"/>
        <v>135.71167881219102</v>
      </c>
      <c r="R28" s="108">
        <f t="shared" si="9"/>
        <v>143.34565253999344</v>
      </c>
      <c r="S28" s="108">
        <f t="shared" si="10"/>
        <v>360.35468547863496</v>
      </c>
      <c r="T28" s="108">
        <f t="shared" si="11"/>
        <v>119.22227364075307</v>
      </c>
      <c r="U28" s="108">
        <f t="shared" si="16"/>
        <v>94.264862151338605</v>
      </c>
      <c r="V28" s="108">
        <f t="shared" si="12"/>
        <v>55.867579895426267</v>
      </c>
      <c r="W28" s="108">
        <f t="shared" si="13"/>
        <v>164.72417648247821</v>
      </c>
      <c r="X28" s="119">
        <f t="shared" si="14"/>
        <v>217.68579394315205</v>
      </c>
      <c r="Y28" s="119"/>
      <c r="Z28" s="120">
        <f t="shared" si="31"/>
        <v>3.097458570706375E-2</v>
      </c>
      <c r="AA28" s="210">
        <f t="shared" si="15"/>
        <v>205.84780423343355</v>
      </c>
    </row>
    <row r="29" spans="2:27" x14ac:dyDescent="0.25">
      <c r="B29" s="273">
        <v>620</v>
      </c>
      <c r="C29" s="159" t="s">
        <v>54</v>
      </c>
      <c r="D29" s="118"/>
      <c r="H29" s="214">
        <v>7615.39</v>
      </c>
      <c r="J29" s="118">
        <f t="shared" si="17"/>
        <v>4.9006758210335233E-2</v>
      </c>
      <c r="K29" s="108">
        <f t="shared" si="3"/>
        <v>459.03111206116483</v>
      </c>
      <c r="L29" s="108">
        <f t="shared" si="4"/>
        <v>107.35469460314248</v>
      </c>
      <c r="M29" s="108">
        <f t="shared" si="5"/>
        <v>217.88845761138938</v>
      </c>
      <c r="N29" s="108">
        <f t="shared" si="6"/>
        <v>40.089488486382635</v>
      </c>
      <c r="O29" s="108">
        <f t="shared" si="7"/>
        <v>109.39239560952821</v>
      </c>
      <c r="P29" s="108"/>
      <c r="Q29" s="108">
        <f t="shared" si="8"/>
        <v>121.36817711338782</v>
      </c>
      <c r="R29" s="108">
        <f t="shared" si="9"/>
        <v>128.19530859966963</v>
      </c>
      <c r="S29" s="108">
        <f t="shared" si="10"/>
        <v>322.26844199116448</v>
      </c>
      <c r="T29" s="108">
        <f t="shared" si="11"/>
        <v>106.62155350031585</v>
      </c>
      <c r="U29" s="108">
        <f t="shared" si="16"/>
        <v>84.301915541000767</v>
      </c>
      <c r="V29" s="108">
        <f t="shared" si="12"/>
        <v>49.962880063018872</v>
      </c>
      <c r="W29" s="108">
        <f t="shared" si="13"/>
        <v>147.3143151802677</v>
      </c>
      <c r="X29" s="119">
        <f t="shared" si="14"/>
        <v>194.67836685539251</v>
      </c>
      <c r="Y29" s="119"/>
      <c r="Z29" s="120">
        <f t="shared" si="31"/>
        <v>2.770085107642941E-2</v>
      </c>
      <c r="AA29" s="210">
        <f t="shared" si="15"/>
        <v>184.09154599862691</v>
      </c>
    </row>
    <row r="30" spans="2:27" x14ac:dyDescent="0.25">
      <c r="B30" s="273">
        <v>630</v>
      </c>
      <c r="C30" s="159" t="s">
        <v>55</v>
      </c>
      <c r="D30" s="118"/>
      <c r="H30" s="214">
        <v>1261.54</v>
      </c>
      <c r="J30" s="118">
        <f t="shared" si="17"/>
        <v>8.1182954192321483E-3</v>
      </c>
      <c r="K30" s="108">
        <f t="shared" si="3"/>
        <v>76.041556520367564</v>
      </c>
      <c r="L30" s="108">
        <f t="shared" si="4"/>
        <v>17.784019128324136</v>
      </c>
      <c r="M30" s="108">
        <f t="shared" si="5"/>
        <v>36.094672080493865</v>
      </c>
      <c r="N30" s="108">
        <f t="shared" si="6"/>
        <v>6.641090384748666</v>
      </c>
      <c r="O30" s="108">
        <f t="shared" si="7"/>
        <v>18.121577851855811</v>
      </c>
      <c r="P30" s="108"/>
      <c r="Q30" s="108">
        <f t="shared" si="8"/>
        <v>20.105445703453569</v>
      </c>
      <c r="R30" s="108">
        <f t="shared" si="9"/>
        <v>21.2364054383068</v>
      </c>
      <c r="S30" s="108">
        <f t="shared" si="10"/>
        <v>53.385910676870608</v>
      </c>
      <c r="T30" s="108">
        <f t="shared" si="11"/>
        <v>17.662569428852425</v>
      </c>
      <c r="U30" s="108">
        <f t="shared" si="16"/>
        <v>13.965172963117334</v>
      </c>
      <c r="V30" s="108">
        <f t="shared" si="12"/>
        <v>8.2766833628613679</v>
      </c>
      <c r="W30" s="108">
        <f t="shared" si="13"/>
        <v>24.403596030211837</v>
      </c>
      <c r="X30" s="119">
        <f t="shared" si="14"/>
        <v>32.249766186991323</v>
      </c>
      <c r="Y30" s="119"/>
      <c r="Z30" s="120">
        <f t="shared" si="31"/>
        <v>4.5888302065893874E-3</v>
      </c>
      <c r="AA30" s="210">
        <f t="shared" si="15"/>
        <v>30.495988903931092</v>
      </c>
    </row>
    <row r="31" spans="2:27" x14ac:dyDescent="0.25">
      <c r="B31" s="273">
        <v>650</v>
      </c>
      <c r="C31" s="159" t="s">
        <v>56</v>
      </c>
      <c r="D31" s="118"/>
      <c r="H31" s="214">
        <v>1873.69</v>
      </c>
      <c r="I31" s="319">
        <f>SUM(H5:H31)</f>
        <v>155394.69000000003</v>
      </c>
      <c r="J31" s="118">
        <f t="shared" si="17"/>
        <v>1.2057619214659135E-2</v>
      </c>
      <c r="K31" s="108">
        <f t="shared" si="3"/>
        <v>112.93998132175555</v>
      </c>
      <c r="L31" s="108">
        <f t="shared" si="4"/>
        <v>26.413541227824449</v>
      </c>
      <c r="M31" s="108">
        <f t="shared" si="5"/>
        <v>53.609260214103834</v>
      </c>
      <c r="N31" s="108">
        <f t="shared" si="6"/>
        <v>9.8636148223597573</v>
      </c>
      <c r="O31" s="108">
        <f t="shared" si="7"/>
        <v>26.914897034769975</v>
      </c>
      <c r="P31" s="108"/>
      <c r="Q31" s="108">
        <f t="shared" si="8"/>
        <v>29.861417442256226</v>
      </c>
      <c r="R31" s="108">
        <f t="shared" si="9"/>
        <v>31.541164375050389</v>
      </c>
      <c r="S31" s="108">
        <f t="shared" si="10"/>
        <v>79.290903955598466</v>
      </c>
      <c r="T31" s="108">
        <f t="shared" si="11"/>
        <v>26.233159244373148</v>
      </c>
      <c r="U31" s="108">
        <f t="shared" si="16"/>
        <v>20.741637149248792</v>
      </c>
      <c r="V31" s="108">
        <f t="shared" si="12"/>
        <v>12.292863365537134</v>
      </c>
      <c r="W31" s="108">
        <f t="shared" si="13"/>
        <v>36.245203359265361</v>
      </c>
      <c r="X31" s="119">
        <f t="shared" si="14"/>
        <v>47.898651177849118</v>
      </c>
      <c r="Y31" s="119"/>
      <c r="Z31" s="120">
        <f t="shared" si="31"/>
        <v>6.81551537785918E-3</v>
      </c>
      <c r="AA31" s="210">
        <f t="shared" si="15"/>
        <v>45.29387054663875</v>
      </c>
    </row>
    <row r="32" spans="2:27" x14ac:dyDescent="0.25">
      <c r="D32" s="118"/>
      <c r="H32" s="214"/>
      <c r="J32" s="11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>
        <f t="shared" si="16"/>
        <v>0</v>
      </c>
      <c r="V32" s="108"/>
      <c r="W32" s="108"/>
      <c r="X32" s="119"/>
      <c r="Y32" s="119"/>
      <c r="Z32" s="120"/>
      <c r="AA32" s="210"/>
    </row>
    <row r="33" spans="3:31" x14ac:dyDescent="0.25">
      <c r="F33" s="119">
        <f>SUM(H6:H32)</f>
        <v>155394.69000000003</v>
      </c>
      <c r="G33" s="119"/>
      <c r="H33" s="214"/>
      <c r="K33" s="108">
        <f t="shared" ref="K33" si="33">J33*$K$3</f>
        <v>0</v>
      </c>
      <c r="L33" s="108">
        <f t="shared" ref="L33" si="34">J33*$L$3</f>
        <v>0</v>
      </c>
      <c r="M33" s="108">
        <f t="shared" ref="M33" si="35">J33*$M$3</f>
        <v>0</v>
      </c>
      <c r="N33" s="108">
        <f t="shared" ref="N33" si="36">J33*$N$3</f>
        <v>0</v>
      </c>
      <c r="O33" s="108">
        <f t="shared" ref="O33" si="37">J33*$O$3</f>
        <v>0</v>
      </c>
      <c r="P33" s="108"/>
      <c r="Q33" s="108">
        <f t="shared" ref="Q33" si="38">J33*$Q$3</f>
        <v>0</v>
      </c>
      <c r="R33" s="108">
        <f t="shared" ref="R33" si="39">J33*$R$3</f>
        <v>0</v>
      </c>
      <c r="S33" s="108">
        <f t="shared" ref="S33" si="40">J33*$S$3</f>
        <v>0</v>
      </c>
      <c r="T33" s="108">
        <f>J33*$T$3</f>
        <v>0</v>
      </c>
      <c r="U33" s="108">
        <f t="shared" si="16"/>
        <v>0</v>
      </c>
      <c r="V33" s="108">
        <f t="shared" ref="V33" si="41">J33*$V$3</f>
        <v>0</v>
      </c>
      <c r="W33" s="108">
        <f t="shared" ref="W33" si="42">J33*$W$3</f>
        <v>0</v>
      </c>
      <c r="X33" s="119">
        <f t="shared" ref="X33" si="43">J33*$X$3</f>
        <v>0</v>
      </c>
      <c r="Y33" s="119"/>
      <c r="Z33" s="120">
        <f>H33/$H$35</f>
        <v>0</v>
      </c>
      <c r="AA33" s="210">
        <f t="shared" ref="AA33:AA34" si="44">Z33*$AA$3</f>
        <v>0</v>
      </c>
    </row>
    <row r="34" spans="3:31" x14ac:dyDescent="0.25">
      <c r="C34" s="159" t="s">
        <v>60</v>
      </c>
      <c r="H34" s="118">
        <v>119520.69</v>
      </c>
      <c r="K34" s="108"/>
      <c r="L34" s="108"/>
      <c r="M34" s="108"/>
      <c r="N34" s="108"/>
      <c r="O34" s="114"/>
      <c r="P34" s="114"/>
      <c r="Q34" s="114"/>
      <c r="R34" s="114"/>
      <c r="S34" s="114"/>
      <c r="T34" s="114"/>
      <c r="U34" s="114"/>
      <c r="V34" s="114"/>
      <c r="W34" s="114"/>
      <c r="Z34" s="120">
        <f>H34/$H$35</f>
        <v>0.43475446881145757</v>
      </c>
      <c r="AA34" s="210">
        <f t="shared" si="44"/>
        <v>2889.2477733803034</v>
      </c>
    </row>
    <row r="35" spans="3:31" x14ac:dyDescent="0.25">
      <c r="H35" s="320">
        <f>SUM(H6:H34)</f>
        <v>274915.38</v>
      </c>
      <c r="I35" s="320"/>
      <c r="J35" s="321">
        <f t="shared" ref="J35:X35" si="45">SUM(J6:J33)</f>
        <v>0.99999999999999989</v>
      </c>
      <c r="K35" s="358">
        <f t="shared" si="45"/>
        <v>9366.6899999999951</v>
      </c>
      <c r="L35" s="358">
        <f t="shared" si="45"/>
        <v>2190.6099999999988</v>
      </c>
      <c r="M35" s="358">
        <f t="shared" si="45"/>
        <v>4446.09</v>
      </c>
      <c r="N35" s="358">
        <f t="shared" si="45"/>
        <v>818.03999999999985</v>
      </c>
      <c r="O35" s="358">
        <f t="shared" si="45"/>
        <v>2232.19</v>
      </c>
      <c r="P35" s="358">
        <f t="shared" si="45"/>
        <v>0</v>
      </c>
      <c r="Q35" s="358">
        <f t="shared" si="45"/>
        <v>2476.5599999999995</v>
      </c>
      <c r="R35" s="358">
        <f t="shared" si="45"/>
        <v>2615.87</v>
      </c>
      <c r="S35" s="358">
        <f t="shared" si="45"/>
        <v>6576</v>
      </c>
      <c r="T35" s="358">
        <f t="shared" si="45"/>
        <v>2175.6499999999987</v>
      </c>
      <c r="U35" s="358">
        <f t="shared" si="45"/>
        <v>1720.2099999999994</v>
      </c>
      <c r="V35" s="358">
        <f t="shared" si="45"/>
        <v>1019.51</v>
      </c>
      <c r="W35" s="358">
        <f t="shared" si="45"/>
        <v>3005.9999999999995</v>
      </c>
      <c r="X35" s="321">
        <f t="shared" si="45"/>
        <v>3972.4799999999987</v>
      </c>
      <c r="Y35" s="320"/>
      <c r="Z35" s="321">
        <f>SUM(Z6:Z34)</f>
        <v>0.99999999999999978</v>
      </c>
      <c r="AA35" s="321">
        <f>SUM(AA6:AA34)</f>
        <v>6645.7</v>
      </c>
      <c r="AB35" s="119"/>
    </row>
    <row r="36" spans="3:31" x14ac:dyDescent="0.25">
      <c r="H36" s="341" t="s">
        <v>61</v>
      </c>
      <c r="I36" s="341"/>
      <c r="J36" s="342" t="s">
        <v>62</v>
      </c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</row>
    <row r="37" spans="3:31" x14ac:dyDescent="0.25">
      <c r="C37" s="343">
        <v>43470</v>
      </c>
      <c r="D37" s="344"/>
      <c r="E37" s="344"/>
      <c r="F37" s="344"/>
      <c r="G37" s="344"/>
      <c r="H37" s="345">
        <v>75134.67</v>
      </c>
      <c r="I37" s="345"/>
      <c r="J37" s="346">
        <v>25182.73</v>
      </c>
      <c r="K37" s="158">
        <v>4549.25</v>
      </c>
      <c r="L37" s="158">
        <v>1063.95</v>
      </c>
      <c r="M37" s="158">
        <v>2173.7600000000002</v>
      </c>
      <c r="N37" s="158">
        <v>401.45</v>
      </c>
      <c r="O37" s="158">
        <v>706.71</v>
      </c>
      <c r="P37" s="114"/>
      <c r="Q37" s="114"/>
      <c r="R37" s="114"/>
      <c r="S37" s="114"/>
      <c r="T37" s="114"/>
      <c r="U37" s="114"/>
      <c r="V37" s="114"/>
      <c r="W37" s="114"/>
    </row>
    <row r="38" spans="3:31" x14ac:dyDescent="0.25">
      <c r="C38" s="347">
        <v>43484</v>
      </c>
      <c r="D38" s="348"/>
      <c r="E38" s="348"/>
      <c r="F38" s="348"/>
      <c r="G38" s="348"/>
      <c r="H38" s="118">
        <v>80260.02</v>
      </c>
      <c r="J38" s="349">
        <v>0</v>
      </c>
      <c r="K38" s="158">
        <v>4817.4399999999996</v>
      </c>
      <c r="L38" s="158">
        <v>1126.6600000000001</v>
      </c>
      <c r="M38" s="158">
        <v>2272.33</v>
      </c>
      <c r="N38" s="158">
        <v>416.59</v>
      </c>
      <c r="O38" s="158">
        <v>1525.48</v>
      </c>
      <c r="P38" s="114"/>
      <c r="Q38" s="114"/>
      <c r="R38" s="114"/>
      <c r="S38" s="114">
        <v>6604.32</v>
      </c>
      <c r="T38" s="114"/>
      <c r="U38" s="114"/>
      <c r="V38" s="114"/>
      <c r="W38" s="114"/>
    </row>
    <row r="39" spans="3:31" x14ac:dyDescent="0.25">
      <c r="C39" s="347"/>
      <c r="D39" s="348"/>
      <c r="E39" s="348"/>
      <c r="F39" s="348"/>
      <c r="G39" s="348"/>
      <c r="J39" s="349"/>
      <c r="K39" s="158"/>
      <c r="L39" s="158"/>
      <c r="M39" s="158"/>
      <c r="N39" s="158"/>
      <c r="O39" s="158"/>
      <c r="P39" s="114"/>
      <c r="Q39" s="114"/>
      <c r="R39" s="114"/>
      <c r="S39" s="114">
        <v>148790.37</v>
      </c>
      <c r="T39" s="114"/>
      <c r="U39" s="114"/>
      <c r="V39" s="114"/>
      <c r="W39" s="114"/>
    </row>
    <row r="40" spans="3:31" x14ac:dyDescent="0.25">
      <c r="C40" s="350"/>
      <c r="D40" s="350"/>
      <c r="E40" s="350"/>
      <c r="F40" s="350"/>
      <c r="G40" s="350"/>
      <c r="H40" s="352">
        <f>SUM(H37:H39)</f>
        <v>155394.69</v>
      </c>
      <c r="I40" s="353"/>
      <c r="J40" s="354"/>
      <c r="K40" s="161">
        <f>SUM(K37:K39)</f>
        <v>9366.6899999999987</v>
      </c>
      <c r="L40" s="162">
        <f t="shared" ref="L40:O40" si="46">SUM(L37:L39)</f>
        <v>2190.61</v>
      </c>
      <c r="M40" s="162">
        <f>SUM(M37:M39)</f>
        <v>4446.09</v>
      </c>
      <c r="N40" s="162">
        <f t="shared" ref="N40" si="47">SUM(N37:N39)</f>
        <v>818.04</v>
      </c>
      <c r="O40" s="163">
        <f t="shared" si="46"/>
        <v>2232.19</v>
      </c>
      <c r="P40" s="114"/>
      <c r="Q40" s="114"/>
      <c r="R40" s="114"/>
      <c r="S40" s="157">
        <f>SUM(S38:S39)</f>
        <v>155394.69</v>
      </c>
      <c r="T40" s="114"/>
      <c r="U40" s="114"/>
      <c r="V40" s="114"/>
      <c r="W40" s="114"/>
    </row>
    <row r="41" spans="3:31" x14ac:dyDescent="0.25">
      <c r="H41" s="118">
        <f>H34</f>
        <v>119520.69</v>
      </c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AE41" s="159">
        <v>114.44</v>
      </c>
    </row>
    <row r="42" spans="3:31" x14ac:dyDescent="0.25">
      <c r="H42" s="352">
        <f>SUM(H40:H41)</f>
        <v>274915.38</v>
      </c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</row>
    <row r="43" spans="3:31" x14ac:dyDescent="0.25">
      <c r="AE43" s="159">
        <v>151.65</v>
      </c>
    </row>
    <row r="44" spans="3:31" x14ac:dyDescent="0.25">
      <c r="H44" s="118">
        <f>H35-H42</f>
        <v>0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fitToPage="1"/>
  </sheetPr>
  <dimension ref="B1:AD46"/>
  <sheetViews>
    <sheetView topLeftCell="D1" zoomScale="85" zoomScaleNormal="85" workbookViewId="0">
      <selection activeCell="Z18" sqref="Z18"/>
    </sheetView>
  </sheetViews>
  <sheetFormatPr defaultRowHeight="15" x14ac:dyDescent="0.25"/>
  <cols>
    <col min="2" max="2" width="9.140625" style="1"/>
    <col min="3" max="3" width="17.28515625" customWidth="1"/>
    <col min="4" max="4" width="9" customWidth="1"/>
    <col min="5" max="5" width="8.140625" customWidth="1"/>
    <col min="6" max="6" width="12.7109375" customWidth="1"/>
    <col min="7" max="8" width="13.85546875" style="2" customWidth="1"/>
    <col min="9" max="9" width="15.140625" style="164" customWidth="1"/>
    <col min="10" max="10" width="11.28515625" style="66" customWidth="1"/>
    <col min="11" max="11" width="13.42578125" style="66" customWidth="1"/>
    <col min="12" max="12" width="13.28515625" customWidth="1"/>
    <col min="13" max="13" width="15.7109375" customWidth="1"/>
    <col min="14" max="14" width="11.7109375" style="66" customWidth="1"/>
    <col min="15" max="15" width="1" customWidth="1"/>
    <col min="16" max="16" width="13.140625" style="66" customWidth="1"/>
    <col min="17" max="17" width="15.140625" style="66" customWidth="1"/>
    <col min="18" max="18" width="17.42578125" customWidth="1"/>
    <col min="19" max="19" width="15.5703125" style="66" customWidth="1"/>
    <col min="20" max="20" width="15.28515625" style="66" customWidth="1"/>
    <col min="21" max="21" width="15.140625" customWidth="1"/>
    <col min="22" max="22" width="15.85546875" style="66" customWidth="1"/>
    <col min="23" max="23" width="15.5703125" customWidth="1"/>
    <col min="24" max="24" width="2.85546875" customWidth="1"/>
    <col min="25" max="25" width="8.5703125" customWidth="1"/>
    <col min="26" max="26" width="11.85546875" customWidth="1"/>
    <col min="27" max="27" width="12.7109375" customWidth="1"/>
  </cols>
  <sheetData>
    <row r="1" spans="2:28" ht="15.75" thickBot="1" x14ac:dyDescent="0.3">
      <c r="B1" s="2" t="s">
        <v>82</v>
      </c>
      <c r="J1" s="201">
        <v>7251</v>
      </c>
      <c r="K1" s="201">
        <v>7252</v>
      </c>
      <c r="L1" s="201">
        <v>7253</v>
      </c>
      <c r="M1" s="201">
        <v>7254</v>
      </c>
      <c r="N1" s="201">
        <v>7260</v>
      </c>
      <c r="O1" s="201"/>
      <c r="P1" s="201">
        <v>7251</v>
      </c>
      <c r="Q1" s="201">
        <v>7252</v>
      </c>
      <c r="R1" s="201">
        <v>7253</v>
      </c>
      <c r="S1" s="201">
        <v>7260</v>
      </c>
      <c r="T1" s="201"/>
      <c r="W1">
        <v>8222</v>
      </c>
      <c r="Z1">
        <v>7248</v>
      </c>
    </row>
    <row r="2" spans="2:28" ht="17.25" thickBot="1" x14ac:dyDescent="0.4">
      <c r="J2" s="202" t="s">
        <v>1</v>
      </c>
      <c r="K2" s="202" t="s">
        <v>2</v>
      </c>
      <c r="L2" s="202" t="s">
        <v>3</v>
      </c>
      <c r="M2" s="202" t="s">
        <v>4</v>
      </c>
      <c r="N2" s="202" t="s">
        <v>5</v>
      </c>
      <c r="O2" s="202"/>
      <c r="P2" s="203" t="s">
        <v>8</v>
      </c>
      <c r="Q2" s="203" t="s">
        <v>12</v>
      </c>
      <c r="R2" s="203" t="s">
        <v>7</v>
      </c>
      <c r="S2" s="203" t="s">
        <v>11</v>
      </c>
      <c r="T2" s="203" t="s">
        <v>9</v>
      </c>
      <c r="U2" s="50" t="s">
        <v>83</v>
      </c>
      <c r="V2" s="66" t="s">
        <v>6</v>
      </c>
      <c r="W2" t="s">
        <v>75</v>
      </c>
      <c r="X2" s="2"/>
      <c r="Y2" s="35"/>
      <c r="Z2" s="36" t="s">
        <v>15</v>
      </c>
      <c r="AA2" s="2"/>
    </row>
    <row r="3" spans="2:28" ht="15.75" thickBot="1" x14ac:dyDescent="0.3">
      <c r="J3" s="102">
        <v>9838.7999999999993</v>
      </c>
      <c r="K3" s="204">
        <v>2365.12</v>
      </c>
      <c r="L3" s="102">
        <v>2691.06</v>
      </c>
      <c r="M3" s="204">
        <v>506.65</v>
      </c>
      <c r="N3" s="102">
        <v>1463.47</v>
      </c>
      <c r="O3" s="101"/>
      <c r="P3" s="103">
        <v>230.78</v>
      </c>
      <c r="Q3" s="103">
        <v>2373.19</v>
      </c>
      <c r="R3" s="103">
        <v>10035</v>
      </c>
      <c r="S3" s="103">
        <v>3978.11</v>
      </c>
      <c r="T3" s="102">
        <v>1288.8399999999999</v>
      </c>
      <c r="U3" s="21">
        <v>3972</v>
      </c>
      <c r="V3" s="75">
        <v>9018</v>
      </c>
      <c r="W3" s="75">
        <v>360</v>
      </c>
      <c r="X3" s="2"/>
      <c r="Y3" s="37"/>
      <c r="Z3" s="38">
        <v>7022</v>
      </c>
      <c r="AA3" s="2"/>
    </row>
    <row r="4" spans="2:28" x14ac:dyDescent="0.25">
      <c r="R4" s="66"/>
      <c r="W4" s="66"/>
      <c r="Y4" s="39"/>
      <c r="Z4" s="40">
        <v>0.04</v>
      </c>
    </row>
    <row r="5" spans="2:28" x14ac:dyDescent="0.25">
      <c r="D5">
        <v>7222</v>
      </c>
      <c r="E5" t="s">
        <v>16</v>
      </c>
      <c r="F5" t="s">
        <v>17</v>
      </c>
      <c r="R5" s="66"/>
      <c r="W5" s="66"/>
      <c r="Y5" s="39"/>
      <c r="Z5" s="40"/>
    </row>
    <row r="6" spans="2:28" x14ac:dyDescent="0.25">
      <c r="B6" s="1">
        <v>41</v>
      </c>
      <c r="C6" t="s">
        <v>19</v>
      </c>
      <c r="D6" s="2"/>
      <c r="E6" s="26"/>
      <c r="F6" s="26"/>
      <c r="G6" s="6">
        <v>2240</v>
      </c>
      <c r="H6" s="6"/>
      <c r="I6" s="165">
        <f>G6/F36</f>
        <v>1.2839113809974351E-2</v>
      </c>
      <c r="J6" s="176">
        <f>I6*$J$3</f>
        <v>126.32147295357564</v>
      </c>
      <c r="K6" s="176">
        <f>I6*$K$3</f>
        <v>30.366044854246535</v>
      </c>
      <c r="L6" s="176">
        <f>I6*$L$3</f>
        <v>34.550825609469577</v>
      </c>
      <c r="M6" s="176">
        <f>I6*$M$3</f>
        <v>6.5049370118235048</v>
      </c>
      <c r="N6" s="176">
        <f>I6*$N$3</f>
        <v>18.789657887483163</v>
      </c>
      <c r="O6" s="176"/>
      <c r="P6" s="176">
        <f>I6*$P$3</f>
        <v>2.9630106850658806</v>
      </c>
      <c r="Q6" s="68">
        <f>I6*$Q$3</f>
        <v>30.469656502693031</v>
      </c>
      <c r="R6" s="176">
        <f>I6*$R$3</f>
        <v>128.8405070830926</v>
      </c>
      <c r="S6" s="176">
        <f>I6*$S$3</f>
        <v>51.075407038597064</v>
      </c>
      <c r="T6" s="176">
        <f>I6*$T$3</f>
        <v>16.547563442847341</v>
      </c>
      <c r="U6" s="176">
        <f>I6*$U$3</f>
        <v>50.996960053218118</v>
      </c>
      <c r="V6" s="176">
        <f>I6*$V$3</f>
        <v>115.78312833834869</v>
      </c>
      <c r="W6" s="176">
        <f>I6*$W$3</f>
        <v>4.6220809715907665</v>
      </c>
      <c r="X6" s="176"/>
      <c r="Y6" s="177">
        <f>G6/$G$38</f>
        <v>6.5454067724856338E-3</v>
      </c>
      <c r="Z6" s="178">
        <f>Y6*$Z$3</f>
        <v>45.961846356394119</v>
      </c>
    </row>
    <row r="7" spans="2:28" x14ac:dyDescent="0.25">
      <c r="B7" s="1">
        <v>111</v>
      </c>
      <c r="C7" t="s">
        <v>20</v>
      </c>
      <c r="D7" s="2"/>
      <c r="G7" s="89">
        <v>32544.75</v>
      </c>
      <c r="I7" s="165">
        <f>G7/F$36</f>
        <v>0.18653828087819765</v>
      </c>
      <c r="J7" s="176">
        <f t="shared" ref="J7:J37" si="0">I7*$J$3</f>
        <v>1835.312837904411</v>
      </c>
      <c r="K7" s="176">
        <f t="shared" ref="K7:K36" si="1">I7*$K$3</f>
        <v>441.18541887064282</v>
      </c>
      <c r="L7" s="179">
        <f t="shared" ref="L7:L34" si="2">I7*$L$3</f>
        <v>501.98570614008258</v>
      </c>
      <c r="M7" s="179">
        <f t="shared" ref="M7:M34" si="3">I7*$M$3</f>
        <v>94.509620006938832</v>
      </c>
      <c r="N7" s="179">
        <f t="shared" ref="N7:N34" si="4">I7*$N$3</f>
        <v>272.99317791681591</v>
      </c>
      <c r="O7" s="176"/>
      <c r="P7" s="179">
        <f t="shared" ref="P7:P34" si="5">I7*$P$3</f>
        <v>43.049304461070456</v>
      </c>
      <c r="Q7" s="90">
        <f t="shared" ref="Q7:Q34" si="6">I7*$Q$3</f>
        <v>442.69078279732992</v>
      </c>
      <c r="R7" s="179">
        <f t="shared" ref="R7:R34" si="7">I7*$R$3</f>
        <v>1871.9116486127134</v>
      </c>
      <c r="S7" s="179">
        <f t="shared" ref="S7:S34" si="8">I7*$S$3</f>
        <v>742.0698005443669</v>
      </c>
      <c r="T7" s="179">
        <f>I7*$T$3</f>
        <v>240.41799792705626</v>
      </c>
      <c r="U7" s="176">
        <f t="shared" ref="U7:U34" si="9">I7*$U$3</f>
        <v>740.93005164820113</v>
      </c>
      <c r="V7" s="179">
        <f t="shared" ref="V7:V34" si="10">I7*$V$3</f>
        <v>1682.2022169595864</v>
      </c>
      <c r="W7" s="179">
        <f t="shared" ref="W7:W34" si="11">I7*$W$3</f>
        <v>67.153781116151151</v>
      </c>
      <c r="X7" s="176"/>
      <c r="Y7" s="177">
        <f>G7/$G$38</f>
        <v>9.5097601365558851E-2</v>
      </c>
      <c r="Z7" s="178">
        <f t="shared" ref="Z7:Z34" si="12">Y7*$Z$3</f>
        <v>667.77535678895424</v>
      </c>
    </row>
    <row r="8" spans="2:28" x14ac:dyDescent="0.25">
      <c r="B8" s="1" t="s">
        <v>23</v>
      </c>
      <c r="C8" t="s">
        <v>24</v>
      </c>
      <c r="D8" s="2"/>
      <c r="G8" s="2">
        <v>3829.11</v>
      </c>
      <c r="I8" s="165">
        <f>G8/F$36</f>
        <v>2.1947490661120932E-2</v>
      </c>
      <c r="J8" s="176">
        <f t="shared" si="0"/>
        <v>215.93697111663661</v>
      </c>
      <c r="K8" s="176">
        <f t="shared" si="1"/>
        <v>51.90844911243034</v>
      </c>
      <c r="L8" s="176">
        <f>I8*$L$3</f>
        <v>59.062014218516097</v>
      </c>
      <c r="M8" s="176">
        <f>I8*$M$3</f>
        <v>11.11969614345692</v>
      </c>
      <c r="N8" s="176">
        <f>I8*$N$3</f>
        <v>32.119494157830651</v>
      </c>
      <c r="O8" s="176"/>
      <c r="P8" s="176">
        <f>I8*$P$3</f>
        <v>5.065041894773489</v>
      </c>
      <c r="Q8" s="68">
        <f>I8*$Q$3</f>
        <v>52.085565362065587</v>
      </c>
      <c r="R8" s="176">
        <f>I8*$R$3</f>
        <v>220.24306878434857</v>
      </c>
      <c r="S8" s="176">
        <f>I8*$S$3</f>
        <v>87.309532073911797</v>
      </c>
      <c r="T8" s="176">
        <f>I8*$T$3</f>
        <v>28.286803863679101</v>
      </c>
      <c r="U8" s="176">
        <f>I8*$U$3</f>
        <v>87.175432905972343</v>
      </c>
      <c r="V8" s="176">
        <f>I8*$V$3</f>
        <v>197.92247078198858</v>
      </c>
      <c r="W8" s="176">
        <f>I8*$W$3</f>
        <v>7.9010966380035352</v>
      </c>
      <c r="X8" s="176"/>
      <c r="Y8" s="177">
        <f>G8/$G$38</f>
        <v>1.1188876127943066E-2</v>
      </c>
      <c r="Z8" s="178">
        <f>Y8*$Z$3</f>
        <v>78.56828817041621</v>
      </c>
    </row>
    <row r="9" spans="2:28" x14ac:dyDescent="0.25">
      <c r="B9" s="1" t="s">
        <v>21</v>
      </c>
      <c r="C9" t="s">
        <v>22</v>
      </c>
      <c r="D9" s="2"/>
      <c r="G9" s="2">
        <v>2453.4699999999998</v>
      </c>
      <c r="I9" s="165">
        <f>G9/F$36</f>
        <v>1.4062669892570432E-2</v>
      </c>
      <c r="J9" s="176">
        <f t="shared" si="0"/>
        <v>138.35979653902197</v>
      </c>
      <c r="K9" s="176">
        <f t="shared" si="1"/>
        <v>33.25990181631618</v>
      </c>
      <c r="L9" s="176">
        <f t="shared" si="2"/>
        <v>37.84348844110059</v>
      </c>
      <c r="M9" s="176">
        <f t="shared" si="3"/>
        <v>7.124851701070809</v>
      </c>
      <c r="N9" s="176">
        <f t="shared" si="4"/>
        <v>20.580295507680052</v>
      </c>
      <c r="O9" s="176"/>
      <c r="P9" s="176">
        <f t="shared" si="5"/>
        <v>3.2453829578074043</v>
      </c>
      <c r="Q9" s="68">
        <f t="shared" si="6"/>
        <v>33.373387562349222</v>
      </c>
      <c r="R9" s="176">
        <f t="shared" si="7"/>
        <v>141.1188923719443</v>
      </c>
      <c r="S9" s="176">
        <f t="shared" si="8"/>
        <v>55.942847726333362</v>
      </c>
      <c r="T9" s="176">
        <f t="shared" ref="T9:T34" si="13">I9*$T$3</f>
        <v>18.124531464340475</v>
      </c>
      <c r="U9" s="176">
        <f t="shared" si="9"/>
        <v>55.856924813289758</v>
      </c>
      <c r="V9" s="176">
        <f t="shared" si="10"/>
        <v>126.81715709120016</v>
      </c>
      <c r="W9" s="176">
        <f t="shared" si="11"/>
        <v>5.0625611613253554</v>
      </c>
      <c r="X9" s="176"/>
      <c r="Y9" s="177">
        <f>G9/$G$38</f>
        <v>7.1691781937903249E-3</v>
      </c>
      <c r="Z9" s="178">
        <f t="shared" si="12"/>
        <v>50.341969276795659</v>
      </c>
    </row>
    <row r="10" spans="2:28" x14ac:dyDescent="0.25">
      <c r="B10" s="1" t="s">
        <v>25</v>
      </c>
      <c r="C10" t="s">
        <v>26</v>
      </c>
      <c r="D10" s="2"/>
      <c r="G10" s="2">
        <v>1189.0999999999999</v>
      </c>
      <c r="I10" s="165">
        <f>G10/F$36</f>
        <v>6.8156206390359367E-3</v>
      </c>
      <c r="J10" s="176">
        <f t="shared" si="0"/>
        <v>67.057528343346775</v>
      </c>
      <c r="K10" s="176">
        <f t="shared" si="1"/>
        <v>16.119760685796674</v>
      </c>
      <c r="L10" s="176">
        <f t="shared" si="2"/>
        <v>18.341244076884049</v>
      </c>
      <c r="M10" s="176">
        <f t="shared" si="3"/>
        <v>3.4531341967675573</v>
      </c>
      <c r="N10" s="176">
        <f t="shared" si="4"/>
        <v>9.9744563366099221</v>
      </c>
      <c r="O10" s="176"/>
      <c r="P10" s="176">
        <f t="shared" si="5"/>
        <v>1.5729089310767135</v>
      </c>
      <c r="Q10" s="68">
        <f t="shared" si="6"/>
        <v>16.174762744353696</v>
      </c>
      <c r="R10" s="176">
        <f t="shared" si="7"/>
        <v>68.394753112725624</v>
      </c>
      <c r="S10" s="176">
        <f t="shared" si="8"/>
        <v>27.113288620355252</v>
      </c>
      <c r="T10" s="176">
        <f t="shared" si="13"/>
        <v>8.7842445044150761</v>
      </c>
      <c r="U10" s="176">
        <f t="shared" si="9"/>
        <v>27.071645178250741</v>
      </c>
      <c r="V10" s="176">
        <f t="shared" si="10"/>
        <v>61.46326692282608</v>
      </c>
      <c r="W10" s="176">
        <f t="shared" si="11"/>
        <v>2.4536234300529371</v>
      </c>
      <c r="X10" s="176"/>
      <c r="Y10" s="177">
        <f>G10/$G$38</f>
        <v>3.4746174969476191E-3</v>
      </c>
      <c r="Z10" s="178">
        <f t="shared" si="12"/>
        <v>24.39876406356618</v>
      </c>
    </row>
    <row r="11" spans="2:28" x14ac:dyDescent="0.25">
      <c r="B11" s="1">
        <v>114</v>
      </c>
      <c r="C11" t="s">
        <v>84</v>
      </c>
      <c r="D11" s="2"/>
      <c r="I11" s="165"/>
      <c r="J11" s="176"/>
      <c r="K11" s="176"/>
      <c r="L11" s="176"/>
      <c r="M11" s="176"/>
      <c r="N11" s="176"/>
      <c r="O11" s="176"/>
      <c r="P11" s="176"/>
      <c r="Q11" s="68"/>
      <c r="R11" s="176"/>
      <c r="S11" s="176"/>
      <c r="T11" s="176"/>
      <c r="U11" s="176"/>
      <c r="V11" s="176"/>
      <c r="W11" s="176"/>
      <c r="X11" s="176"/>
      <c r="Y11" s="177"/>
      <c r="Z11" s="178"/>
    </row>
    <row r="12" spans="2:28" ht="15.75" thickBot="1" x14ac:dyDescent="0.3">
      <c r="B12" s="1">
        <v>112</v>
      </c>
      <c r="C12" t="s">
        <v>27</v>
      </c>
      <c r="D12" s="2"/>
      <c r="G12" s="2">
        <v>40936.18</v>
      </c>
      <c r="I12" s="165">
        <f t="shared" ref="I12:I35" si="14">G12/F$36</f>
        <v>0.23463583659178383</v>
      </c>
      <c r="J12" s="176">
        <f t="shared" si="0"/>
        <v>2308.5350690592427</v>
      </c>
      <c r="K12" s="176">
        <f t="shared" si="1"/>
        <v>554.94190983995975</v>
      </c>
      <c r="L12" s="176">
        <f t="shared" si="2"/>
        <v>631.41911441868581</v>
      </c>
      <c r="M12" s="176">
        <f t="shared" si="3"/>
        <v>118.87824660922728</v>
      </c>
      <c r="N12" s="176">
        <f t="shared" si="4"/>
        <v>343.38250777697789</v>
      </c>
      <c r="O12" s="176"/>
      <c r="P12" s="176">
        <f t="shared" si="5"/>
        <v>54.149258368651871</v>
      </c>
      <c r="Q12" s="68">
        <f t="shared" si="6"/>
        <v>556.83542104125547</v>
      </c>
      <c r="R12" s="176">
        <f t="shared" si="7"/>
        <v>2354.5706201985508</v>
      </c>
      <c r="S12" s="176">
        <f t="shared" si="8"/>
        <v>933.40716790414126</v>
      </c>
      <c r="T12" s="176">
        <f t="shared" si="13"/>
        <v>302.40805163295465</v>
      </c>
      <c r="U12" s="176">
        <f t="shared" si="9"/>
        <v>931.97354294256536</v>
      </c>
      <c r="V12" s="176">
        <f t="shared" si="10"/>
        <v>2115.9459743847065</v>
      </c>
      <c r="W12" s="176">
        <f t="shared" si="11"/>
        <v>84.468901173042184</v>
      </c>
      <c r="X12" s="176"/>
      <c r="Y12" s="177">
        <f t="shared" ref="Y12:Y37" si="15">G12/$G$38</f>
        <v>0.11961783473736204</v>
      </c>
      <c r="Z12" s="178">
        <f t="shared" si="12"/>
        <v>839.95643552575621</v>
      </c>
    </row>
    <row r="13" spans="2:28" ht="15.75" thickBot="1" x14ac:dyDescent="0.3">
      <c r="B13" s="1">
        <v>222</v>
      </c>
      <c r="C13" t="s">
        <v>29</v>
      </c>
      <c r="D13" s="2"/>
      <c r="G13" s="21">
        <v>2953.66</v>
      </c>
      <c r="I13" s="165">
        <f t="shared" si="14"/>
        <v>1.6929632542843232E-2</v>
      </c>
      <c r="J13" s="176">
        <f t="shared" si="0"/>
        <v>166.56726866252598</v>
      </c>
      <c r="K13" s="176">
        <f t="shared" si="1"/>
        <v>40.040612519729386</v>
      </c>
      <c r="L13" s="176">
        <f t="shared" si="2"/>
        <v>45.55865695074371</v>
      </c>
      <c r="M13" s="176">
        <f t="shared" si="3"/>
        <v>8.5773983278315225</v>
      </c>
      <c r="N13" s="176">
        <f t="shared" si="4"/>
        <v>24.776009337474786</v>
      </c>
      <c r="O13" s="176"/>
      <c r="P13" s="176">
        <f t="shared" si="5"/>
        <v>3.9070205982373611</v>
      </c>
      <c r="Q13" s="68">
        <f t="shared" si="6"/>
        <v>40.17723465435013</v>
      </c>
      <c r="R13" s="176">
        <f t="shared" si="7"/>
        <v>169.88886256743183</v>
      </c>
      <c r="S13" s="176">
        <f t="shared" si="8"/>
        <v>67.347940515010094</v>
      </c>
      <c r="T13" s="176">
        <f t="shared" si="13"/>
        <v>21.81958760651807</v>
      </c>
      <c r="U13" s="176">
        <f t="shared" si="9"/>
        <v>67.244500460173313</v>
      </c>
      <c r="V13" s="176">
        <f t="shared" si="10"/>
        <v>152.67142627136027</v>
      </c>
      <c r="W13" s="176">
        <f t="shared" si="11"/>
        <v>6.0946677154235633</v>
      </c>
      <c r="X13" s="176"/>
      <c r="Y13" s="177">
        <f t="shared" si="15"/>
        <v>8.6307616819731765E-3</v>
      </c>
      <c r="Z13" s="178">
        <f t="shared" si="12"/>
        <v>60.605208530815645</v>
      </c>
    </row>
    <row r="14" spans="2:28" ht="15.75" thickBot="1" x14ac:dyDescent="0.3">
      <c r="B14" s="1">
        <v>223</v>
      </c>
      <c r="C14" t="s">
        <v>30</v>
      </c>
      <c r="D14" s="2"/>
      <c r="G14" s="55">
        <v>14975.09</v>
      </c>
      <c r="H14" s="56"/>
      <c r="I14" s="165">
        <f t="shared" si="14"/>
        <v>8.5833430725271789E-2</v>
      </c>
      <c r="J14" s="176">
        <f t="shared" si="0"/>
        <v>844.49795821980399</v>
      </c>
      <c r="K14" s="176">
        <f t="shared" si="1"/>
        <v>203.00636367695481</v>
      </c>
      <c r="L14" s="180">
        <f t="shared" si="2"/>
        <v>230.98291208754989</v>
      </c>
      <c r="M14" s="180">
        <f t="shared" si="3"/>
        <v>43.487507676958948</v>
      </c>
      <c r="N14" s="180">
        <f t="shared" si="4"/>
        <v>125.6146508635135</v>
      </c>
      <c r="O14" s="180"/>
      <c r="P14" s="180">
        <f t="shared" si="5"/>
        <v>19.808639142778222</v>
      </c>
      <c r="Q14" s="69">
        <f t="shared" si="6"/>
        <v>203.69903946290776</v>
      </c>
      <c r="R14" s="180">
        <f t="shared" si="7"/>
        <v>861.33847732810239</v>
      </c>
      <c r="S14" s="180">
        <f t="shared" si="8"/>
        <v>341.45482910251098</v>
      </c>
      <c r="T14" s="180">
        <f t="shared" si="13"/>
        <v>110.62555885595928</v>
      </c>
      <c r="U14" s="180">
        <f t="shared" si="9"/>
        <v>340.93038684077953</v>
      </c>
      <c r="V14" s="180">
        <f t="shared" si="10"/>
        <v>774.04587828050103</v>
      </c>
      <c r="W14" s="180">
        <f t="shared" si="11"/>
        <v>30.900035061097846</v>
      </c>
      <c r="X14" s="180"/>
      <c r="Y14" s="181">
        <f t="shared" si="15"/>
        <v>4.3758060493116917E-2</v>
      </c>
      <c r="Z14" s="182">
        <f t="shared" si="12"/>
        <v>307.26910078266701</v>
      </c>
    </row>
    <row r="15" spans="2:28" ht="15.75" thickBot="1" x14ac:dyDescent="0.3">
      <c r="B15" s="1">
        <v>225</v>
      </c>
      <c r="C15" t="s">
        <v>59</v>
      </c>
      <c r="D15" s="2"/>
      <c r="G15" s="99">
        <v>4825.24</v>
      </c>
      <c r="H15" s="99"/>
      <c r="I15" s="165">
        <f t="shared" si="14"/>
        <v>2.7657056035910996E-2</v>
      </c>
      <c r="J15" s="176">
        <f t="shared" si="0"/>
        <v>272.1122429261211</v>
      </c>
      <c r="K15" s="176">
        <f t="shared" si="1"/>
        <v>65.412256371653811</v>
      </c>
      <c r="L15" s="180">
        <f t="shared" ref="L15" si="16">I15*$L$3</f>
        <v>74.426797215998647</v>
      </c>
      <c r="M15" s="180">
        <f t="shared" ref="M15" si="17">I15*$M$3</f>
        <v>14.012447440594306</v>
      </c>
      <c r="N15" s="183">
        <f t="shared" si="4"/>
        <v>40.475271796874665</v>
      </c>
      <c r="O15" s="183"/>
      <c r="P15" s="183">
        <f t="shared" si="5"/>
        <v>6.3826953919675393</v>
      </c>
      <c r="Q15" s="104">
        <f t="shared" si="6"/>
        <v>65.635448813863619</v>
      </c>
      <c r="R15" s="180">
        <f t="shared" si="7"/>
        <v>277.53855732036686</v>
      </c>
      <c r="S15" s="183">
        <f t="shared" si="8"/>
        <v>110.02281118701789</v>
      </c>
      <c r="T15" s="183">
        <f t="shared" si="13"/>
        <v>35.645520101323527</v>
      </c>
      <c r="U15" s="183">
        <f t="shared" si="9"/>
        <v>109.85382657463848</v>
      </c>
      <c r="V15" s="183">
        <f t="shared" si="10"/>
        <v>249.41133133184536</v>
      </c>
      <c r="W15" s="180">
        <f t="shared" si="11"/>
        <v>9.9565401729279586</v>
      </c>
      <c r="X15" s="183"/>
      <c r="Y15" s="184">
        <f t="shared" si="15"/>
        <v>1.4099624363780617E-2</v>
      </c>
      <c r="Z15" s="182">
        <f t="shared" si="12"/>
        <v>99.007562282467489</v>
      </c>
    </row>
    <row r="16" spans="2:28" x14ac:dyDescent="0.25">
      <c r="B16" s="1">
        <v>334</v>
      </c>
      <c r="C16" t="s">
        <v>85</v>
      </c>
      <c r="D16" s="2"/>
      <c r="G16" s="2">
        <v>5538.46</v>
      </c>
      <c r="I16" s="165">
        <f t="shared" si="14"/>
        <v>3.1745052799995774E-2</v>
      </c>
      <c r="J16" s="176">
        <f t="shared" si="0"/>
        <v>312.33322548859837</v>
      </c>
      <c r="K16" s="176">
        <f t="shared" si="1"/>
        <v>75.080859278326002</v>
      </c>
      <c r="L16" s="176">
        <f t="shared" si="2"/>
        <v>85.427841787956623</v>
      </c>
      <c r="M16" s="176">
        <f t="shared" si="3"/>
        <v>16.083631001117858</v>
      </c>
      <c r="N16" s="176">
        <f t="shared" si="4"/>
        <v>46.457932421209819</v>
      </c>
      <c r="O16" s="176"/>
      <c r="P16" s="176">
        <f t="shared" si="5"/>
        <v>7.3261232851830247</v>
      </c>
      <c r="Q16" s="68">
        <f t="shared" si="6"/>
        <v>75.337041854421969</v>
      </c>
      <c r="R16" s="176">
        <f t="shared" si="7"/>
        <v>318.5616048479576</v>
      </c>
      <c r="S16" s="176">
        <f t="shared" si="8"/>
        <v>126.28531199419119</v>
      </c>
      <c r="T16" s="176">
        <f t="shared" si="13"/>
        <v>40.914293850746553</v>
      </c>
      <c r="U16" s="176">
        <f t="shared" si="9"/>
        <v>126.09134972158321</v>
      </c>
      <c r="V16" s="176">
        <f t="shared" si="10"/>
        <v>286.27688615036186</v>
      </c>
      <c r="W16" s="176">
        <f t="shared" si="11"/>
        <v>11.428219007998479</v>
      </c>
      <c r="X16" s="176"/>
      <c r="Y16" s="177">
        <f t="shared" si="15"/>
        <v>1.6183693568366422E-2</v>
      </c>
      <c r="Z16" s="178">
        <f t="shared" si="12"/>
        <v>113.64189623706902</v>
      </c>
      <c r="AB16" t="s">
        <v>77</v>
      </c>
    </row>
    <row r="17" spans="2:26" ht="15.75" thickBot="1" x14ac:dyDescent="0.3">
      <c r="B17" s="1" t="s">
        <v>33</v>
      </c>
      <c r="C17" t="s">
        <v>86</v>
      </c>
      <c r="D17" s="2"/>
      <c r="G17" s="2">
        <v>3538.46</v>
      </c>
      <c r="I17" s="165">
        <f t="shared" si="14"/>
        <v>2.0281558326804394E-2</v>
      </c>
      <c r="J17" s="176">
        <f t="shared" si="0"/>
        <v>199.54619606576307</v>
      </c>
      <c r="K17" s="176">
        <f t="shared" si="1"/>
        <v>47.968319229891605</v>
      </c>
      <c r="L17" s="176">
        <f t="shared" si="2"/>
        <v>54.57889035093023</v>
      </c>
      <c r="M17" s="176">
        <f t="shared" si="3"/>
        <v>10.275651526275446</v>
      </c>
      <c r="N17" s="176">
        <f t="shared" si="4"/>
        <v>29.681452164528427</v>
      </c>
      <c r="O17" s="176"/>
      <c r="P17" s="176">
        <f t="shared" si="5"/>
        <v>4.6805780306599178</v>
      </c>
      <c r="Q17" s="68">
        <f t="shared" si="6"/>
        <v>48.13199140558892</v>
      </c>
      <c r="R17" s="176">
        <f t="shared" si="7"/>
        <v>203.5254378094821</v>
      </c>
      <c r="S17" s="176">
        <f t="shared" si="8"/>
        <v>80.682269995443832</v>
      </c>
      <c r="T17" s="176">
        <f t="shared" si="13"/>
        <v>26.139683633918573</v>
      </c>
      <c r="U17" s="176">
        <f t="shared" si="9"/>
        <v>80.55834967406706</v>
      </c>
      <c r="V17" s="176">
        <f t="shared" si="10"/>
        <v>182.89909299112202</v>
      </c>
      <c r="W17" s="176">
        <f t="shared" si="11"/>
        <v>7.3013609976495815</v>
      </c>
      <c r="X17" s="176"/>
      <c r="Y17" s="177">
        <f t="shared" si="15"/>
        <v>1.0339580378647106E-2</v>
      </c>
      <c r="Z17" s="178">
        <f t="shared" si="12"/>
        <v>72.604533418859972</v>
      </c>
    </row>
    <row r="18" spans="2:26" ht="15.75" thickBot="1" x14ac:dyDescent="0.3">
      <c r="B18" s="1" t="s">
        <v>35</v>
      </c>
      <c r="C18" t="s">
        <v>36</v>
      </c>
      <c r="D18" s="2"/>
      <c r="E18" s="26">
        <v>7120</v>
      </c>
      <c r="F18" s="26">
        <v>7130</v>
      </c>
      <c r="G18" s="122">
        <v>1771.56</v>
      </c>
      <c r="H18" s="6"/>
      <c r="I18" s="165">
        <f t="shared" si="14"/>
        <v>1.0154134134463463E-2</v>
      </c>
      <c r="J18" s="176">
        <f t="shared" si="0"/>
        <v>99.904494922159117</v>
      </c>
      <c r="K18" s="176">
        <f t="shared" si="1"/>
        <v>24.015745724102224</v>
      </c>
      <c r="L18" s="176">
        <f t="shared" si="2"/>
        <v>27.325384203889246</v>
      </c>
      <c r="M18" s="176">
        <f t="shared" si="3"/>
        <v>5.1445920592259133</v>
      </c>
      <c r="N18" s="207">
        <f t="shared" si="4"/>
        <v>14.860270681763245</v>
      </c>
      <c r="O18" s="176"/>
      <c r="P18" s="176">
        <f t="shared" si="5"/>
        <v>2.3433710755514783</v>
      </c>
      <c r="Q18" s="68">
        <f t="shared" si="6"/>
        <v>24.097689586567348</v>
      </c>
      <c r="R18" s="176">
        <f t="shared" si="7"/>
        <v>101.89673603934085</v>
      </c>
      <c r="S18" s="176">
        <f t="shared" si="8"/>
        <v>40.394262541650448</v>
      </c>
      <c r="T18" s="176">
        <f t="shared" si="13"/>
        <v>13.087054237861889</v>
      </c>
      <c r="U18" s="176">
        <f t="shared" si="9"/>
        <v>40.332220782088875</v>
      </c>
      <c r="V18" s="176">
        <f t="shared" si="10"/>
        <v>91.569981624591506</v>
      </c>
      <c r="W18" s="176">
        <f t="shared" si="11"/>
        <v>3.6554882884068469</v>
      </c>
      <c r="X18" s="176"/>
      <c r="Y18" s="177">
        <f t="shared" si="15"/>
        <v>5.1765985811895758E-3</v>
      </c>
      <c r="Z18" s="178">
        <f t="shared" si="12"/>
        <v>36.350075237113202</v>
      </c>
    </row>
    <row r="19" spans="2:26" ht="15.75" thickBot="1" x14ac:dyDescent="0.3">
      <c r="B19" s="1">
        <v>334</v>
      </c>
      <c r="C19" t="s">
        <v>73</v>
      </c>
      <c r="D19" s="2"/>
      <c r="G19" s="89">
        <v>1869.23</v>
      </c>
      <c r="I19" s="165">
        <f t="shared" si="14"/>
        <v>1.0713953887061766E-2</v>
      </c>
      <c r="J19" s="176">
        <f t="shared" si="0"/>
        <v>105.4124495040233</v>
      </c>
      <c r="K19" s="176">
        <f t="shared" si="1"/>
        <v>25.339786617367523</v>
      </c>
      <c r="L19" s="176">
        <f t="shared" si="2"/>
        <v>28.831892747316434</v>
      </c>
      <c r="M19" s="176">
        <f t="shared" si="3"/>
        <v>5.4282247368798435</v>
      </c>
      <c r="N19" s="176">
        <f t="shared" si="4"/>
        <v>15.679550095098284</v>
      </c>
      <c r="O19" s="176"/>
      <c r="P19" s="176">
        <f t="shared" si="5"/>
        <v>2.4725662780561142</v>
      </c>
      <c r="Q19" s="68">
        <f t="shared" si="6"/>
        <v>25.426248225236112</v>
      </c>
      <c r="R19" s="176">
        <f t="shared" si="7"/>
        <v>107.51452725666482</v>
      </c>
      <c r="S19" s="176">
        <f t="shared" si="8"/>
        <v>42.621287097659284</v>
      </c>
      <c r="T19" s="176">
        <f t="shared" si="13"/>
        <v>13.808572327800686</v>
      </c>
      <c r="U19" s="176">
        <f t="shared" si="9"/>
        <v>42.555824839409333</v>
      </c>
      <c r="V19" s="176">
        <f t="shared" si="10"/>
        <v>96.618436153523007</v>
      </c>
      <c r="W19" s="176">
        <f t="shared" si="11"/>
        <v>3.8570233993422356</v>
      </c>
      <c r="X19" s="176"/>
      <c r="Y19" s="177">
        <f t="shared" si="15"/>
        <v>5.4619958488095191E-3</v>
      </c>
      <c r="Z19" s="178">
        <f t="shared" si="12"/>
        <v>38.354134850340444</v>
      </c>
    </row>
    <row r="20" spans="2:26" ht="15.75" thickBot="1" x14ac:dyDescent="0.3">
      <c r="B20" s="1" t="s">
        <v>37</v>
      </c>
      <c r="C20" t="s">
        <v>38</v>
      </c>
      <c r="D20" s="2"/>
      <c r="G20" s="2">
        <v>4000</v>
      </c>
      <c r="I20" s="165">
        <f t="shared" si="14"/>
        <v>2.292698894638277E-2</v>
      </c>
      <c r="J20" s="176">
        <f t="shared" si="0"/>
        <v>225.57405884567078</v>
      </c>
      <c r="K20" s="176">
        <f t="shared" si="1"/>
        <v>54.225080096868815</v>
      </c>
      <c r="L20" s="185">
        <f t="shared" si="2"/>
        <v>61.697902874052815</v>
      </c>
      <c r="M20" s="200">
        <f t="shared" si="3"/>
        <v>11.615958949684829</v>
      </c>
      <c r="N20" s="185">
        <f t="shared" si="4"/>
        <v>33.552960513362791</v>
      </c>
      <c r="O20" s="186"/>
      <c r="P20" s="185">
        <f t="shared" si="5"/>
        <v>5.2910905090462155</v>
      </c>
      <c r="Q20" s="106">
        <f t="shared" si="6"/>
        <v>54.410100897666126</v>
      </c>
      <c r="R20" s="185">
        <f t="shared" si="7"/>
        <v>230.07233407695108</v>
      </c>
      <c r="S20" s="186">
        <f t="shared" si="8"/>
        <v>91.206083997494758</v>
      </c>
      <c r="T20" s="185">
        <f t="shared" si="13"/>
        <v>29.549220433655968</v>
      </c>
      <c r="U20" s="186">
        <f t="shared" si="9"/>
        <v>91.066000095032365</v>
      </c>
      <c r="V20" s="185">
        <f t="shared" si="10"/>
        <v>206.75558631847983</v>
      </c>
      <c r="W20" s="185">
        <f t="shared" si="11"/>
        <v>8.2537160206977962</v>
      </c>
      <c r="X20" s="186"/>
      <c r="Y20" s="187">
        <f t="shared" si="15"/>
        <v>1.1688226379438633E-2</v>
      </c>
      <c r="Z20" s="188">
        <f t="shared" si="12"/>
        <v>82.07472563641808</v>
      </c>
    </row>
    <row r="21" spans="2:26" ht="15.75" thickBot="1" x14ac:dyDescent="0.3">
      <c r="B21" s="1">
        <v>368</v>
      </c>
      <c r="C21" t="s">
        <v>40</v>
      </c>
      <c r="D21" s="2"/>
      <c r="G21" s="2">
        <v>5076.6499999999996</v>
      </c>
      <c r="I21" s="165">
        <f t="shared" si="14"/>
        <v>2.9098074608663517E-2</v>
      </c>
      <c r="J21" s="176">
        <f t="shared" si="0"/>
        <v>286.29013645971861</v>
      </c>
      <c r="K21" s="176">
        <f t="shared" si="1"/>
        <v>68.820438218442249</v>
      </c>
      <c r="L21" s="176">
        <f>I21*$L$3</f>
        <v>78.304664656390045</v>
      </c>
      <c r="M21" s="176">
        <f>I21*$M$3</f>
        <v>14.742539500479371</v>
      </c>
      <c r="N21" s="176">
        <f>I21*$N$3</f>
        <v>42.584159247540796</v>
      </c>
      <c r="O21" s="176"/>
      <c r="P21" s="176">
        <f>I21*$P$3</f>
        <v>6.7152536581873665</v>
      </c>
      <c r="Q21" s="68">
        <f>I21*$Q$3</f>
        <v>69.055259680534178</v>
      </c>
      <c r="R21" s="176">
        <f>I21*$R$3</f>
        <v>291.99917869793842</v>
      </c>
      <c r="S21" s="176">
        <f>I21*$S$3</f>
        <v>115.75534158147043</v>
      </c>
      <c r="T21" s="176">
        <f>I21*$T$3</f>
        <v>37.502762478629883</v>
      </c>
      <c r="U21" s="176">
        <f>I21*$U$3</f>
        <v>115.57755234561149</v>
      </c>
      <c r="V21" s="176">
        <f>I21*$V$3</f>
        <v>262.40643682092758</v>
      </c>
      <c r="W21" s="176">
        <f>I21*$W$3</f>
        <v>10.475306859118866</v>
      </c>
      <c r="X21" s="176"/>
      <c r="Y21" s="177">
        <f t="shared" si="15"/>
        <v>1.4834258612294282E-2</v>
      </c>
      <c r="Z21" s="178">
        <f>Y21*$Z$3</f>
        <v>104.16616397553045</v>
      </c>
    </row>
    <row r="22" spans="2:26" ht="15.75" thickBot="1" x14ac:dyDescent="0.3">
      <c r="B22" s="1">
        <v>451</v>
      </c>
      <c r="C22" t="s">
        <v>41</v>
      </c>
      <c r="D22" s="2"/>
      <c r="G22" s="33">
        <v>16068.9</v>
      </c>
      <c r="H22" s="31"/>
      <c r="I22" s="165">
        <f t="shared" si="14"/>
        <v>9.2102873170132521E-2</v>
      </c>
      <c r="J22" s="176">
        <f t="shared" si="0"/>
        <v>906.18174854629979</v>
      </c>
      <c r="K22" s="176">
        <f t="shared" si="1"/>
        <v>217.83434739214383</v>
      </c>
      <c r="L22" s="189">
        <f t="shared" si="2"/>
        <v>247.85435787321683</v>
      </c>
      <c r="M22" s="189">
        <f t="shared" si="3"/>
        <v>46.66392069164764</v>
      </c>
      <c r="N22" s="189">
        <f t="shared" si="4"/>
        <v>134.78979179829383</v>
      </c>
      <c r="O22" s="189"/>
      <c r="P22" s="189">
        <f t="shared" si="5"/>
        <v>21.255501070203184</v>
      </c>
      <c r="Q22" s="70">
        <f t="shared" si="6"/>
        <v>218.57761757862681</v>
      </c>
      <c r="R22" s="189">
        <f t="shared" si="7"/>
        <v>924.25233226227988</v>
      </c>
      <c r="S22" s="189">
        <f t="shared" si="8"/>
        <v>366.39536078683591</v>
      </c>
      <c r="T22" s="189">
        <f t="shared" si="13"/>
        <v>118.70586705659359</v>
      </c>
      <c r="U22" s="189">
        <f t="shared" si="9"/>
        <v>365.83261223176635</v>
      </c>
      <c r="V22" s="189">
        <f t="shared" si="10"/>
        <v>830.5837102482551</v>
      </c>
      <c r="W22" s="189">
        <f t="shared" si="11"/>
        <v>33.157034341247709</v>
      </c>
      <c r="X22" s="189"/>
      <c r="Y22" s="190">
        <f t="shared" si="15"/>
        <v>4.6954235217140358E-2</v>
      </c>
      <c r="Z22" s="191">
        <f t="shared" si="12"/>
        <v>329.71263969475962</v>
      </c>
    </row>
    <row r="23" spans="2:26" x14ac:dyDescent="0.25">
      <c r="B23" s="1">
        <v>467</v>
      </c>
      <c r="C23" t="s">
        <v>78</v>
      </c>
      <c r="D23" s="2"/>
      <c r="G23" s="2">
        <v>7461.55</v>
      </c>
      <c r="I23" s="165">
        <f t="shared" si="14"/>
        <v>4.2767718593220587E-2</v>
      </c>
      <c r="J23" s="176">
        <f t="shared" si="0"/>
        <v>420.78302969497867</v>
      </c>
      <c r="K23" s="176">
        <f t="shared" si="1"/>
        <v>101.15078659919787</v>
      </c>
      <c r="L23" s="176">
        <f>I23*$L$3</f>
        <v>115.09049679747218</v>
      </c>
      <c r="M23" s="176">
        <f>I23*$M$3</f>
        <v>21.668264625255208</v>
      </c>
      <c r="N23" s="176">
        <f>I23*$N$3</f>
        <v>62.589273129620537</v>
      </c>
      <c r="O23" s="176"/>
      <c r="P23" s="176">
        <f>I23*$P$3</f>
        <v>9.8699340969434477</v>
      </c>
      <c r="Q23" s="68">
        <f>I23*$Q$3</f>
        <v>101.49592208824517</v>
      </c>
      <c r="R23" s="176">
        <f>I23*$R$3</f>
        <v>429.1740560829686</v>
      </c>
      <c r="S23" s="176">
        <f>I23*$S$3</f>
        <v>170.13468901287675</v>
      </c>
      <c r="T23" s="176">
        <f>I23*$T$3</f>
        <v>55.12074643168642</v>
      </c>
      <c r="U23" s="176">
        <f>I23*$U$3</f>
        <v>169.87337825227218</v>
      </c>
      <c r="V23" s="176">
        <f>I23*$V$3</f>
        <v>385.67928627366325</v>
      </c>
      <c r="W23" s="176">
        <f>I23*$W$3</f>
        <v>15.396378693559411</v>
      </c>
      <c r="X23" s="176"/>
      <c r="Y23" s="177">
        <f t="shared" si="15"/>
        <v>2.1803071385375083E-2</v>
      </c>
      <c r="Z23" s="178">
        <f>Y23*$Z$3</f>
        <v>153.10116726810384</v>
      </c>
    </row>
    <row r="24" spans="2:26" x14ac:dyDescent="0.25">
      <c r="B24" s="1">
        <v>552</v>
      </c>
      <c r="C24" t="s">
        <v>46</v>
      </c>
      <c r="D24" s="2"/>
      <c r="G24" s="2">
        <v>787.36</v>
      </c>
      <c r="I24" s="165">
        <f t="shared" si="14"/>
        <v>4.5129485042059844E-3</v>
      </c>
      <c r="J24" s="176">
        <f t="shared" si="0"/>
        <v>44.401997743181838</v>
      </c>
      <c r="K24" s="176">
        <f t="shared" si="1"/>
        <v>10.673664766267658</v>
      </c>
      <c r="L24" s="176">
        <f t="shared" si="2"/>
        <v>12.144615201728556</v>
      </c>
      <c r="M24" s="176">
        <f t="shared" si="3"/>
        <v>2.2864853596559618</v>
      </c>
      <c r="N24" s="176">
        <f t="shared" si="4"/>
        <v>6.6045647474503317</v>
      </c>
      <c r="O24" s="176"/>
      <c r="P24" s="176">
        <f t="shared" si="5"/>
        <v>1.0414982558006571</v>
      </c>
      <c r="Q24" s="68">
        <f t="shared" si="6"/>
        <v>10.7100842606966</v>
      </c>
      <c r="R24" s="176">
        <f t="shared" si="7"/>
        <v>45.287438239707051</v>
      </c>
      <c r="S24" s="176">
        <f t="shared" si="8"/>
        <v>17.953005574066868</v>
      </c>
      <c r="T24" s="176">
        <f t="shared" si="13"/>
        <v>5.8164685501608409</v>
      </c>
      <c r="U24" s="176">
        <f t="shared" si="9"/>
        <v>17.925431458706171</v>
      </c>
      <c r="V24" s="176">
        <f t="shared" si="10"/>
        <v>40.697769610929569</v>
      </c>
      <c r="W24" s="176">
        <f t="shared" si="11"/>
        <v>1.6246614615141544</v>
      </c>
      <c r="X24" s="176"/>
      <c r="Y24" s="177">
        <f t="shared" si="15"/>
        <v>2.3007104805287002E-3</v>
      </c>
      <c r="Z24" s="178">
        <f t="shared" si="12"/>
        <v>16.155588994272534</v>
      </c>
    </row>
    <row r="25" spans="2:26" x14ac:dyDescent="0.25">
      <c r="B25" s="1">
        <v>564</v>
      </c>
      <c r="C25" s="60" t="s">
        <v>87</v>
      </c>
      <c r="D25" s="61"/>
      <c r="E25" s="60"/>
      <c r="F25" s="60"/>
      <c r="G25" s="61">
        <v>0</v>
      </c>
      <c r="H25" s="61"/>
      <c r="I25" s="165">
        <f t="shared" si="14"/>
        <v>0</v>
      </c>
      <c r="J25" s="176">
        <f t="shared" si="0"/>
        <v>0</v>
      </c>
      <c r="K25" s="176">
        <f t="shared" si="1"/>
        <v>0</v>
      </c>
      <c r="L25" s="192">
        <f t="shared" si="2"/>
        <v>0</v>
      </c>
      <c r="M25" s="192">
        <f t="shared" si="3"/>
        <v>0</v>
      </c>
      <c r="N25" s="192">
        <f t="shared" si="4"/>
        <v>0</v>
      </c>
      <c r="O25" s="192"/>
      <c r="P25" s="192">
        <f t="shared" si="5"/>
        <v>0</v>
      </c>
      <c r="Q25" s="71">
        <f t="shared" si="6"/>
        <v>0</v>
      </c>
      <c r="R25" s="192">
        <f t="shared" si="7"/>
        <v>0</v>
      </c>
      <c r="S25" s="192">
        <f t="shared" si="8"/>
        <v>0</v>
      </c>
      <c r="T25" s="192">
        <f t="shared" si="13"/>
        <v>0</v>
      </c>
      <c r="U25" s="192">
        <f t="shared" si="9"/>
        <v>0</v>
      </c>
      <c r="V25" s="192">
        <f t="shared" si="10"/>
        <v>0</v>
      </c>
      <c r="W25" s="192">
        <f t="shared" si="11"/>
        <v>0</v>
      </c>
      <c r="X25" s="192"/>
      <c r="Y25" s="193">
        <f t="shared" si="15"/>
        <v>0</v>
      </c>
      <c r="Z25" s="194">
        <f t="shared" si="12"/>
        <v>0</v>
      </c>
    </row>
    <row r="26" spans="2:26" x14ac:dyDescent="0.25">
      <c r="B26" s="1">
        <v>567</v>
      </c>
      <c r="C26" t="s">
        <v>52</v>
      </c>
      <c r="D26" s="2"/>
      <c r="G26" s="2">
        <v>461.54</v>
      </c>
      <c r="I26" s="165">
        <f t="shared" si="14"/>
        <v>2.6454306195783758E-3</v>
      </c>
      <c r="J26" s="176">
        <f t="shared" si="0"/>
        <v>26.027862779907721</v>
      </c>
      <c r="K26" s="176">
        <f t="shared" si="1"/>
        <v>6.2567608669772081</v>
      </c>
      <c r="L26" s="176">
        <f>I26*$L$3</f>
        <v>7.119012523122584</v>
      </c>
      <c r="M26" s="176">
        <f>I26*$M$3</f>
        <v>1.3403074234093841</v>
      </c>
      <c r="N26" s="176">
        <f>I26*$N$3</f>
        <v>3.8715083488343658</v>
      </c>
      <c r="O26" s="176"/>
      <c r="P26" s="176">
        <f>I26*$P$3</f>
        <v>0.61051247838629763</v>
      </c>
      <c r="Q26" s="68">
        <f>I26*$Q$3</f>
        <v>6.2781094920772063</v>
      </c>
      <c r="R26" s="176">
        <f>I26*$R$3</f>
        <v>26.546896267469002</v>
      </c>
      <c r="S26" s="176">
        <f>I26*$S$3</f>
        <v>10.523814002050933</v>
      </c>
      <c r="T26" s="176">
        <f>I26*$T$3</f>
        <v>3.4095367997373938</v>
      </c>
      <c r="U26" s="176">
        <f>I26*$U$3</f>
        <v>10.507650420965309</v>
      </c>
      <c r="V26" s="176">
        <f>I26*$V$3</f>
        <v>23.856493327357793</v>
      </c>
      <c r="W26" s="176">
        <f>I26*$W$3</f>
        <v>0.95235502304821529</v>
      </c>
      <c r="X26" s="176"/>
      <c r="Y26" s="177">
        <f t="shared" si="15"/>
        <v>1.3486460007915266E-3</v>
      </c>
      <c r="Z26" s="178">
        <f>Y26*$Z$3</f>
        <v>9.4701922175581004</v>
      </c>
    </row>
    <row r="27" spans="2:26" x14ac:dyDescent="0.25">
      <c r="B27" s="1">
        <v>569</v>
      </c>
      <c r="C27" t="s">
        <v>47</v>
      </c>
      <c r="D27" s="2"/>
      <c r="G27" s="2">
        <v>253.07</v>
      </c>
      <c r="I27" s="165">
        <f t="shared" si="14"/>
        <v>1.4505332731652718E-3</v>
      </c>
      <c r="J27" s="176">
        <f t="shared" si="0"/>
        <v>14.271506768018476</v>
      </c>
      <c r="K27" s="176">
        <f t="shared" si="1"/>
        <v>3.4306852550286475</v>
      </c>
      <c r="L27" s="176">
        <f t="shared" si="2"/>
        <v>3.9034720700841361</v>
      </c>
      <c r="M27" s="176">
        <f t="shared" si="3"/>
        <v>0.73491268284918498</v>
      </c>
      <c r="N27" s="176">
        <f t="shared" si="4"/>
        <v>2.1228119292791803</v>
      </c>
      <c r="O27" s="176"/>
      <c r="P27" s="176">
        <f t="shared" si="5"/>
        <v>0.33475406878108144</v>
      </c>
      <c r="Q27" s="68">
        <f t="shared" si="6"/>
        <v>3.4423910585430915</v>
      </c>
      <c r="R27" s="176">
        <f t="shared" si="7"/>
        <v>14.556101396213503</v>
      </c>
      <c r="S27" s="176">
        <f t="shared" si="8"/>
        <v>5.7703809193114992</v>
      </c>
      <c r="T27" s="176">
        <f t="shared" si="13"/>
        <v>1.8695053037863287</v>
      </c>
      <c r="U27" s="176">
        <f t="shared" si="9"/>
        <v>5.7615181610124599</v>
      </c>
      <c r="V27" s="176">
        <f t="shared" si="10"/>
        <v>13.080909057404421</v>
      </c>
      <c r="W27" s="176">
        <f t="shared" si="11"/>
        <v>0.52219197833949782</v>
      </c>
      <c r="X27" s="176"/>
      <c r="Y27" s="177">
        <f t="shared" si="15"/>
        <v>7.3948486246113365E-4</v>
      </c>
      <c r="Z27" s="178">
        <f t="shared" si="12"/>
        <v>5.1926627042020801</v>
      </c>
    </row>
    <row r="28" spans="2:26" x14ac:dyDescent="0.25">
      <c r="B28" s="1">
        <v>580</v>
      </c>
      <c r="C28" t="s">
        <v>88</v>
      </c>
      <c r="D28" s="2"/>
      <c r="G28" s="2">
        <v>461.54</v>
      </c>
      <c r="I28" s="165">
        <f t="shared" si="14"/>
        <v>2.6454306195783758E-3</v>
      </c>
      <c r="J28" s="176">
        <f t="shared" si="0"/>
        <v>26.027862779907721</v>
      </c>
      <c r="K28" s="176">
        <f t="shared" si="1"/>
        <v>6.2567608669772081</v>
      </c>
      <c r="L28" s="176">
        <f>I28*$L$3</f>
        <v>7.119012523122584</v>
      </c>
      <c r="M28" s="176">
        <f>I28*$M$3</f>
        <v>1.3403074234093841</v>
      </c>
      <c r="N28" s="176">
        <f>I28*$N$3</f>
        <v>3.8715083488343658</v>
      </c>
      <c r="O28" s="176"/>
      <c r="P28" s="176">
        <f>I28*$P$3</f>
        <v>0.61051247838629763</v>
      </c>
      <c r="Q28" s="68">
        <f>I28*$Q$3</f>
        <v>6.2781094920772063</v>
      </c>
      <c r="R28" s="176">
        <f>I28*$R$3</f>
        <v>26.546896267469002</v>
      </c>
      <c r="S28" s="176">
        <f>I28*$S$3</f>
        <v>10.523814002050933</v>
      </c>
      <c r="T28" s="176">
        <f>I28*$T$3</f>
        <v>3.4095367997373938</v>
      </c>
      <c r="U28" s="176">
        <f>I28*$U$3</f>
        <v>10.507650420965309</v>
      </c>
      <c r="V28" s="176">
        <f>I28*$V$3</f>
        <v>23.856493327357793</v>
      </c>
      <c r="W28" s="176">
        <f>I28*$W$3</f>
        <v>0.95235502304821529</v>
      </c>
      <c r="X28" s="176"/>
      <c r="Y28" s="177">
        <f t="shared" si="15"/>
        <v>1.3486460007915266E-3</v>
      </c>
      <c r="Z28" s="178">
        <f>Y28*$Z$3</f>
        <v>9.4701922175581004</v>
      </c>
    </row>
    <row r="29" spans="2:26" x14ac:dyDescent="0.25">
      <c r="B29" s="1">
        <v>582</v>
      </c>
      <c r="C29" t="s">
        <v>48</v>
      </c>
      <c r="D29" s="2"/>
      <c r="G29" s="2">
        <v>461.54</v>
      </c>
      <c r="I29" s="165">
        <f t="shared" si="14"/>
        <v>2.6454306195783758E-3</v>
      </c>
      <c r="J29" s="176">
        <f t="shared" si="0"/>
        <v>26.027862779907721</v>
      </c>
      <c r="K29" s="176">
        <f t="shared" si="1"/>
        <v>6.2567608669772081</v>
      </c>
      <c r="L29" s="176">
        <f>I29*$L$3</f>
        <v>7.119012523122584</v>
      </c>
      <c r="M29" s="176">
        <f>I29*$M$3</f>
        <v>1.3403074234093841</v>
      </c>
      <c r="N29" s="176">
        <f>I29*$N$3</f>
        <v>3.8715083488343658</v>
      </c>
      <c r="O29" s="176"/>
      <c r="P29" s="176">
        <f>I29*$P$3</f>
        <v>0.61051247838629763</v>
      </c>
      <c r="Q29" s="68">
        <f>I29*$Q$3</f>
        <v>6.2781094920772063</v>
      </c>
      <c r="R29" s="176">
        <f>I29*$R$3</f>
        <v>26.546896267469002</v>
      </c>
      <c r="S29" s="176">
        <f>I29*$S$3</f>
        <v>10.523814002050933</v>
      </c>
      <c r="T29" s="176">
        <f>I29*$T$3</f>
        <v>3.4095367997373938</v>
      </c>
      <c r="U29" s="176">
        <f>I29*$U$3</f>
        <v>10.507650420965309</v>
      </c>
      <c r="V29" s="176">
        <f>I29*$V$3</f>
        <v>23.856493327357793</v>
      </c>
      <c r="W29" s="176">
        <f>I29*$W$3</f>
        <v>0.95235502304821529</v>
      </c>
      <c r="X29" s="176"/>
      <c r="Y29" s="177">
        <f t="shared" si="15"/>
        <v>1.3486460007915266E-3</v>
      </c>
      <c r="Z29" s="178">
        <f>Y29*$Z$3</f>
        <v>9.4701922175581004</v>
      </c>
    </row>
    <row r="30" spans="2:26" x14ac:dyDescent="0.25">
      <c r="B30" s="1">
        <v>610</v>
      </c>
      <c r="C30" t="s">
        <v>53</v>
      </c>
      <c r="D30" s="2"/>
      <c r="G30" s="2">
        <v>8515.39</v>
      </c>
      <c r="I30" s="165">
        <f t="shared" si="14"/>
        <v>4.8808063101034589E-2</v>
      </c>
      <c r="J30" s="176">
        <f t="shared" si="0"/>
        <v>480.21277123845908</v>
      </c>
      <c r="K30" s="176">
        <f t="shared" si="1"/>
        <v>115.43692620151893</v>
      </c>
      <c r="L30" s="176">
        <f t="shared" si="2"/>
        <v>131.34542628867013</v>
      </c>
      <c r="M30" s="176">
        <f t="shared" si="3"/>
        <v>24.728605170139172</v>
      </c>
      <c r="N30" s="176">
        <f t="shared" si="4"/>
        <v>71.429136106471091</v>
      </c>
      <c r="O30" s="176"/>
      <c r="P30" s="176">
        <f t="shared" si="5"/>
        <v>11.263924802456762</v>
      </c>
      <c r="Q30" s="68">
        <f t="shared" si="6"/>
        <v>115.83080727074427</v>
      </c>
      <c r="R30" s="176">
        <f t="shared" si="7"/>
        <v>489.7889132188821</v>
      </c>
      <c r="S30" s="176">
        <f t="shared" si="8"/>
        <v>194.16384390285671</v>
      </c>
      <c r="T30" s="176">
        <f t="shared" si="13"/>
        <v>62.905784047137416</v>
      </c>
      <c r="U30" s="176">
        <f t="shared" si="9"/>
        <v>193.86562663730939</v>
      </c>
      <c r="V30" s="176">
        <f t="shared" si="10"/>
        <v>440.15111304512993</v>
      </c>
      <c r="W30" s="176">
        <f t="shared" si="11"/>
        <v>17.570902716372451</v>
      </c>
      <c r="X30" s="176"/>
      <c r="Y30" s="177">
        <f t="shared" si="15"/>
        <v>2.4882451507301982E-2</v>
      </c>
      <c r="Z30" s="178">
        <f t="shared" si="12"/>
        <v>174.72457448427451</v>
      </c>
    </row>
    <row r="31" spans="2:26" x14ac:dyDescent="0.25">
      <c r="B31" s="1">
        <v>620</v>
      </c>
      <c r="C31" t="s">
        <v>54</v>
      </c>
      <c r="D31" s="2"/>
      <c r="G31" s="2">
        <v>8123.08</v>
      </c>
      <c r="I31" s="165">
        <f t="shared" si="14"/>
        <v>4.6559441342645731E-2</v>
      </c>
      <c r="J31" s="176">
        <f t="shared" si="0"/>
        <v>458.08903148202279</v>
      </c>
      <c r="K31" s="176">
        <f t="shared" si="1"/>
        <v>110.11866590831826</v>
      </c>
      <c r="L31" s="176">
        <f t="shared" si="2"/>
        <v>125.29425021954022</v>
      </c>
      <c r="M31" s="176">
        <f t="shared" si="3"/>
        <v>23.589340956251458</v>
      </c>
      <c r="N31" s="176">
        <f t="shared" si="4"/>
        <v>68.138345621721754</v>
      </c>
      <c r="O31" s="176"/>
      <c r="P31" s="176">
        <f t="shared" si="5"/>
        <v>10.744987873055782</v>
      </c>
      <c r="Q31" s="68">
        <f t="shared" si="6"/>
        <v>110.49440059995342</v>
      </c>
      <c r="R31" s="176">
        <f t="shared" si="7"/>
        <v>467.2239938734499</v>
      </c>
      <c r="S31" s="176">
        <f t="shared" si="8"/>
        <v>185.21857919959243</v>
      </c>
      <c r="T31" s="176">
        <f t="shared" si="13"/>
        <v>60.007670380055522</v>
      </c>
      <c r="U31" s="176">
        <f t="shared" si="9"/>
        <v>184.93410101298883</v>
      </c>
      <c r="V31" s="176">
        <f t="shared" si="10"/>
        <v>419.87304202797918</v>
      </c>
      <c r="W31" s="176">
        <f t="shared" si="11"/>
        <v>16.761398883352463</v>
      </c>
      <c r="X31" s="176"/>
      <c r="Y31" s="177">
        <f t="shared" si="15"/>
        <v>2.373609948457259E-2</v>
      </c>
      <c r="Z31" s="178">
        <f t="shared" si="12"/>
        <v>166.67489058066872</v>
      </c>
    </row>
    <row r="32" spans="2:26" x14ac:dyDescent="0.25">
      <c r="B32" s="1">
        <v>630</v>
      </c>
      <c r="C32" t="s">
        <v>55</v>
      </c>
      <c r="D32" s="2"/>
      <c r="G32" s="2">
        <v>1892.31</v>
      </c>
      <c r="I32" s="165">
        <f t="shared" si="14"/>
        <v>1.0846242613282394E-2</v>
      </c>
      <c r="J32" s="176">
        <f t="shared" si="0"/>
        <v>106.71401182356281</v>
      </c>
      <c r="K32" s="176">
        <f t="shared" si="1"/>
        <v>25.652665329526457</v>
      </c>
      <c r="L32" s="176">
        <f t="shared" si="2"/>
        <v>29.18788964689972</v>
      </c>
      <c r="M32" s="176">
        <f t="shared" si="3"/>
        <v>5.4952488200195244</v>
      </c>
      <c r="N32" s="176">
        <f t="shared" si="4"/>
        <v>15.873150677260385</v>
      </c>
      <c r="O32" s="176"/>
      <c r="P32" s="176">
        <f t="shared" si="5"/>
        <v>2.5030958702933108</v>
      </c>
      <c r="Q32" s="68">
        <f t="shared" si="6"/>
        <v>25.740194507415644</v>
      </c>
      <c r="R32" s="176">
        <f t="shared" si="7"/>
        <v>108.84204462428883</v>
      </c>
      <c r="S32" s="176">
        <f t="shared" si="8"/>
        <v>43.147546202324826</v>
      </c>
      <c r="T32" s="176">
        <f t="shared" si="13"/>
        <v>13.979071329702879</v>
      </c>
      <c r="U32" s="176">
        <f t="shared" si="9"/>
        <v>43.081275659957669</v>
      </c>
      <c r="V32" s="176">
        <f t="shared" si="10"/>
        <v>97.811415886580633</v>
      </c>
      <c r="W32" s="176">
        <f t="shared" si="11"/>
        <v>3.9046473407816618</v>
      </c>
      <c r="X32" s="176"/>
      <c r="Y32" s="177">
        <f t="shared" si="15"/>
        <v>5.5294369150188797E-3</v>
      </c>
      <c r="Z32" s="178">
        <f t="shared" si="12"/>
        <v>38.827706017262571</v>
      </c>
    </row>
    <row r="33" spans="2:30" x14ac:dyDescent="0.25">
      <c r="B33" s="1">
        <v>640</v>
      </c>
      <c r="C33" t="s">
        <v>89</v>
      </c>
      <c r="D33" s="2"/>
      <c r="G33" s="2">
        <v>0</v>
      </c>
      <c r="I33" s="165">
        <f t="shared" si="14"/>
        <v>0</v>
      </c>
      <c r="J33" s="176">
        <f t="shared" si="0"/>
        <v>0</v>
      </c>
      <c r="K33" s="176">
        <f t="shared" si="1"/>
        <v>0</v>
      </c>
      <c r="L33" s="176">
        <f t="shared" si="2"/>
        <v>0</v>
      </c>
      <c r="M33" s="176">
        <f t="shared" si="3"/>
        <v>0</v>
      </c>
      <c r="N33" s="176">
        <f t="shared" si="4"/>
        <v>0</v>
      </c>
      <c r="O33" s="176"/>
      <c r="P33" s="176">
        <f t="shared" si="5"/>
        <v>0</v>
      </c>
      <c r="Q33" s="68">
        <f t="shared" si="6"/>
        <v>0</v>
      </c>
      <c r="R33" s="176">
        <f t="shared" si="7"/>
        <v>0</v>
      </c>
      <c r="S33" s="176">
        <f t="shared" si="8"/>
        <v>0</v>
      </c>
      <c r="T33" s="176">
        <f t="shared" si="13"/>
        <v>0</v>
      </c>
      <c r="U33" s="176">
        <f t="shared" si="9"/>
        <v>0</v>
      </c>
      <c r="V33" s="176">
        <f t="shared" si="10"/>
        <v>0</v>
      </c>
      <c r="W33" s="176">
        <f t="shared" si="11"/>
        <v>0</v>
      </c>
      <c r="X33" s="176"/>
      <c r="Y33" s="177">
        <f t="shared" si="15"/>
        <v>0</v>
      </c>
      <c r="Z33" s="178">
        <f t="shared" si="12"/>
        <v>0</v>
      </c>
    </row>
    <row r="34" spans="2:30" x14ac:dyDescent="0.25">
      <c r="B34" s="1">
        <v>650</v>
      </c>
      <c r="C34" t="s">
        <v>56</v>
      </c>
      <c r="D34" s="2"/>
      <c r="G34" s="53">
        <v>2239.63</v>
      </c>
      <c r="H34" s="53"/>
      <c r="I34" s="165">
        <f t="shared" si="14"/>
        <v>1.283699306349681E-2</v>
      </c>
      <c r="J34" s="176">
        <f t="shared" si="0"/>
        <v>126.30060735313241</v>
      </c>
      <c r="K34" s="176">
        <f t="shared" si="1"/>
        <v>30.361029034337573</v>
      </c>
      <c r="L34" s="176">
        <f t="shared" si="2"/>
        <v>34.545118553453726</v>
      </c>
      <c r="M34" s="176">
        <f t="shared" si="3"/>
        <v>6.5038625356206587</v>
      </c>
      <c r="N34" s="176">
        <f t="shared" si="4"/>
        <v>18.786554238635677</v>
      </c>
      <c r="O34" s="176"/>
      <c r="P34" s="176">
        <f t="shared" si="5"/>
        <v>2.9625212591937937</v>
      </c>
      <c r="Q34" s="68">
        <f t="shared" si="6"/>
        <v>30.464623568359993</v>
      </c>
      <c r="R34" s="176">
        <f t="shared" si="7"/>
        <v>128.81922539219048</v>
      </c>
      <c r="S34" s="176">
        <f t="shared" si="8"/>
        <v>51.066970475827297</v>
      </c>
      <c r="T34" s="176">
        <f t="shared" si="13"/>
        <v>16.544830139957227</v>
      </c>
      <c r="U34" s="176">
        <f t="shared" si="9"/>
        <v>50.988536448209331</v>
      </c>
      <c r="V34" s="176">
        <f t="shared" si="10"/>
        <v>115.76400344661423</v>
      </c>
      <c r="W34" s="176">
        <f t="shared" si="11"/>
        <v>4.6213175028588518</v>
      </c>
      <c r="X34" s="176"/>
      <c r="Y34" s="177">
        <f t="shared" si="15"/>
        <v>6.5443256115455366E-3</v>
      </c>
      <c r="Z34" s="178">
        <f t="shared" si="12"/>
        <v>45.954254444272756</v>
      </c>
    </row>
    <row r="35" spans="2:30" x14ac:dyDescent="0.25">
      <c r="B35" s="1">
        <v>600</v>
      </c>
      <c r="C35" t="s">
        <v>57</v>
      </c>
      <c r="D35" s="2"/>
      <c r="I35" s="165">
        <f t="shared" si="14"/>
        <v>0</v>
      </c>
      <c r="J35" s="176">
        <f t="shared" si="0"/>
        <v>0</v>
      </c>
      <c r="K35" s="176">
        <f t="shared" si="1"/>
        <v>0</v>
      </c>
      <c r="L35" s="176">
        <f t="shared" ref="L35" si="18">I35*$L$3</f>
        <v>0</v>
      </c>
      <c r="M35" s="176">
        <f t="shared" ref="M35" si="19">I35*$M$3</f>
        <v>0</v>
      </c>
      <c r="N35" s="176">
        <f t="shared" ref="N35" si="20">I35*$N$3</f>
        <v>0</v>
      </c>
      <c r="O35" s="176"/>
      <c r="P35" s="176">
        <f t="shared" ref="P35" si="21">I35*$P$3</f>
        <v>0</v>
      </c>
      <c r="Q35" s="68">
        <f t="shared" ref="Q35" si="22">I35*$Q$3</f>
        <v>0</v>
      </c>
      <c r="R35" s="176">
        <f t="shared" ref="R35" si="23">I35*$R$3</f>
        <v>0</v>
      </c>
      <c r="S35" s="176">
        <f t="shared" ref="S35" si="24">I35*$S$3</f>
        <v>0</v>
      </c>
      <c r="T35" s="176">
        <f t="shared" ref="T35" si="25">I35*$T$3</f>
        <v>0</v>
      </c>
      <c r="U35" s="176">
        <f t="shared" ref="U35" si="26">I35*$U$3</f>
        <v>0</v>
      </c>
      <c r="V35" s="176">
        <f t="shared" ref="V35" si="27">I35*$V$3</f>
        <v>0</v>
      </c>
      <c r="W35" s="176">
        <f t="shared" ref="W35" si="28">I35*$W$3</f>
        <v>0</v>
      </c>
      <c r="X35" s="176"/>
      <c r="Y35" s="177">
        <f t="shared" si="15"/>
        <v>0</v>
      </c>
      <c r="Z35" s="178">
        <f t="shared" ref="Z35" si="29">Y35*$Z$3</f>
        <v>0</v>
      </c>
    </row>
    <row r="36" spans="2:30" x14ac:dyDescent="0.25">
      <c r="F36" s="8">
        <f>SUM(G6:G35)</f>
        <v>174466.87000000002</v>
      </c>
      <c r="J36" s="176">
        <f t="shared" si="0"/>
        <v>0</v>
      </c>
      <c r="K36" s="176">
        <f t="shared" si="1"/>
        <v>0</v>
      </c>
      <c r="L36" s="176">
        <f t="shared" ref="L36" si="30">I36*$L$3</f>
        <v>0</v>
      </c>
      <c r="M36" s="176">
        <f t="shared" ref="M36" si="31">I36*$M$3</f>
        <v>0</v>
      </c>
      <c r="N36" s="176">
        <f t="shared" ref="N36" si="32">I36*$N$3</f>
        <v>0</v>
      </c>
      <c r="O36" s="176"/>
      <c r="P36" s="176">
        <f t="shared" ref="P36" si="33">I36*$P$3</f>
        <v>0</v>
      </c>
      <c r="Q36" s="68">
        <f t="shared" ref="Q36" si="34">I36*$Q$3</f>
        <v>0</v>
      </c>
      <c r="R36" s="176">
        <f t="shared" ref="R36" si="35">I36*$R$3</f>
        <v>0</v>
      </c>
      <c r="S36" s="176">
        <f>I36*$S$3</f>
        <v>0</v>
      </c>
      <c r="T36" s="176">
        <f t="shared" ref="T36" si="36">I36*$T$3</f>
        <v>0</v>
      </c>
      <c r="U36" s="176">
        <f t="shared" ref="U36" si="37">I36*$U$3</f>
        <v>0</v>
      </c>
      <c r="V36" s="176">
        <f t="shared" ref="V36" si="38">I36*$V$3</f>
        <v>0</v>
      </c>
      <c r="W36" s="176">
        <f t="shared" ref="W36" si="39">I36*$W$3</f>
        <v>0</v>
      </c>
      <c r="X36" s="176"/>
      <c r="Y36" s="177">
        <f t="shared" si="15"/>
        <v>0</v>
      </c>
      <c r="Z36" s="178">
        <f t="shared" ref="Z36" si="40">Y36*$Z$3</f>
        <v>0</v>
      </c>
    </row>
    <row r="37" spans="2:30" x14ac:dyDescent="0.25">
      <c r="B37" s="1">
        <v>451</v>
      </c>
      <c r="C37" s="32" t="s">
        <v>60</v>
      </c>
      <c r="D37" s="32"/>
      <c r="E37" s="32"/>
      <c r="F37" s="32"/>
      <c r="G37" s="31">
        <v>167757.85</v>
      </c>
      <c r="H37" s="31"/>
      <c r="I37" s="166"/>
      <c r="J37" s="176">
        <f t="shared" si="0"/>
        <v>0</v>
      </c>
      <c r="K37" s="189"/>
      <c r="L37" s="189"/>
      <c r="M37" s="189"/>
      <c r="N37" s="195"/>
      <c r="O37" s="195"/>
      <c r="P37" s="195"/>
      <c r="Q37" s="72"/>
      <c r="R37" s="195"/>
      <c r="S37" s="195"/>
      <c r="T37" s="195"/>
      <c r="U37" s="195"/>
      <c r="V37" s="195"/>
      <c r="W37" s="195"/>
      <c r="X37" s="195"/>
      <c r="Y37" s="190">
        <f t="shared" si="15"/>
        <v>0.4901979319319773</v>
      </c>
      <c r="Z37" s="191">
        <f t="shared" ref="Z37" si="41">Y37*$Z$3</f>
        <v>3442.1698780263446</v>
      </c>
    </row>
    <row r="38" spans="2:30" ht="15.75" thickBot="1" x14ac:dyDescent="0.3">
      <c r="G38" s="34">
        <f>F36+G37</f>
        <v>342224.72000000003</v>
      </c>
      <c r="H38" s="34"/>
      <c r="I38" s="167">
        <f>SUM(I6:I37)</f>
        <v>0.99999999999999978</v>
      </c>
      <c r="J38" s="167">
        <f t="shared" ref="J38:W38" si="42">SUM(J6:J37)</f>
        <v>9838.7999999999938</v>
      </c>
      <c r="K38" s="167">
        <f t="shared" si="42"/>
        <v>2365.1200000000003</v>
      </c>
      <c r="L38" s="167">
        <f t="shared" si="42"/>
        <v>2691.0599999999986</v>
      </c>
      <c r="M38" s="167">
        <f t="shared" si="42"/>
        <v>506.65000000000003</v>
      </c>
      <c r="N38" s="167">
        <f t="shared" si="42"/>
        <v>1463.4699999999998</v>
      </c>
      <c r="O38" s="167">
        <f t="shared" si="42"/>
        <v>0</v>
      </c>
      <c r="P38" s="167">
        <f t="shared" si="42"/>
        <v>230.78</v>
      </c>
      <c r="Q38" s="167">
        <f t="shared" si="42"/>
        <v>2373.19</v>
      </c>
      <c r="R38" s="167">
        <f t="shared" si="42"/>
        <v>10035.000000000002</v>
      </c>
      <c r="S38" s="167">
        <f t="shared" si="42"/>
        <v>3978.1099999999997</v>
      </c>
      <c r="T38" s="167">
        <f t="shared" si="42"/>
        <v>1288.8399999999999</v>
      </c>
      <c r="U38" s="167">
        <f t="shared" si="42"/>
        <v>3971.9999999999986</v>
      </c>
      <c r="V38" s="167">
        <f t="shared" si="42"/>
        <v>9018</v>
      </c>
      <c r="W38" s="167">
        <f t="shared" si="42"/>
        <v>359.99999999999989</v>
      </c>
      <c r="X38" s="196">
        <f>SUM(X6:X37)</f>
        <v>0</v>
      </c>
      <c r="Y38" s="196">
        <f>SUM(Y6:Y37)</f>
        <v>1</v>
      </c>
      <c r="Z38" s="196">
        <f>SUM(Z6:Z37)</f>
        <v>7021.9999999999991</v>
      </c>
      <c r="AA38" s="8"/>
    </row>
    <row r="39" spans="2:30" ht="16.5" thickTop="1" thickBot="1" x14ac:dyDescent="0.3">
      <c r="G39" s="22" t="s">
        <v>61</v>
      </c>
      <c r="H39" s="22"/>
      <c r="I39" s="168" t="s">
        <v>62</v>
      </c>
    </row>
    <row r="40" spans="2:30" x14ac:dyDescent="0.25">
      <c r="C40" s="17">
        <v>43827</v>
      </c>
      <c r="D40" s="23"/>
      <c r="E40" s="23"/>
      <c r="F40" s="23"/>
      <c r="G40" s="18">
        <v>92299.48</v>
      </c>
      <c r="H40" s="18"/>
      <c r="I40" s="169">
        <v>25182.73</v>
      </c>
      <c r="J40" s="53">
        <v>5090.99</v>
      </c>
      <c r="K40" s="53">
        <v>1254.73</v>
      </c>
      <c r="L40" s="2">
        <v>1446.63</v>
      </c>
      <c r="M40" s="2">
        <v>278.48</v>
      </c>
      <c r="N40" s="53">
        <v>773.39</v>
      </c>
    </row>
    <row r="41" spans="2:30" x14ac:dyDescent="0.25">
      <c r="C41" s="19">
        <v>43813</v>
      </c>
      <c r="D41" s="24"/>
      <c r="E41" s="24"/>
      <c r="F41" s="24"/>
      <c r="G41" s="2">
        <v>82167.39</v>
      </c>
      <c r="I41" s="170">
        <v>0</v>
      </c>
      <c r="J41" s="53">
        <v>4747.8100000000004</v>
      </c>
      <c r="K41" s="53">
        <v>1110.3900000000001</v>
      </c>
      <c r="L41" s="2">
        <v>1244.43</v>
      </c>
      <c r="M41" s="2">
        <v>228.17</v>
      </c>
      <c r="N41" s="53">
        <v>690.08</v>
      </c>
    </row>
    <row r="42" spans="2:30" ht="15.75" thickBot="1" x14ac:dyDescent="0.3">
      <c r="C42" s="19"/>
      <c r="D42" s="24"/>
      <c r="E42" s="24"/>
      <c r="F42" s="24"/>
      <c r="I42" s="170"/>
      <c r="J42" s="53"/>
      <c r="K42" s="53"/>
      <c r="L42" s="2"/>
      <c r="M42" s="2"/>
      <c r="N42" s="53"/>
    </row>
    <row r="43" spans="2:30" ht="15.75" thickBot="1" x14ac:dyDescent="0.3">
      <c r="C43" s="20"/>
      <c r="D43" s="20"/>
      <c r="E43" s="20"/>
      <c r="F43" s="20"/>
      <c r="G43" s="21">
        <f>SUM(G40:G42)</f>
        <v>174466.87</v>
      </c>
      <c r="H43" s="5"/>
      <c r="I43" s="171"/>
      <c r="J43" s="76">
        <f>SUM(J40:J42)</f>
        <v>9838.7999999999993</v>
      </c>
      <c r="K43" s="77">
        <f t="shared" ref="K43:N43" si="43">SUM(K40:K42)</f>
        <v>2365.12</v>
      </c>
      <c r="L43" s="28">
        <f>SUM(L40:L42)</f>
        <v>2691.0600000000004</v>
      </c>
      <c r="M43" s="28">
        <f t="shared" ref="M43" si="44">SUM(M40:M42)</f>
        <v>506.65</v>
      </c>
      <c r="N43" s="74">
        <f t="shared" si="43"/>
        <v>1463.47</v>
      </c>
    </row>
    <row r="44" spans="2:30" ht="15.75" thickBot="1" x14ac:dyDescent="0.3">
      <c r="G44" s="2">
        <f>G37</f>
        <v>167757.85</v>
      </c>
      <c r="J44" s="68">
        <f>J38-J43</f>
        <v>0</v>
      </c>
      <c r="K44" s="68">
        <f t="shared" ref="K44:N44" si="45">K38-K43</f>
        <v>0</v>
      </c>
      <c r="L44" s="68">
        <f t="shared" si="45"/>
        <v>0</v>
      </c>
      <c r="M44" s="68">
        <f t="shared" si="45"/>
        <v>0</v>
      </c>
      <c r="N44" s="68">
        <f t="shared" si="45"/>
        <v>0</v>
      </c>
      <c r="AD44">
        <v>114.44</v>
      </c>
    </row>
    <row r="45" spans="2:30" ht="15.75" thickBot="1" x14ac:dyDescent="0.3">
      <c r="G45" s="33">
        <f>SUM(G43:G44)</f>
        <v>342224.72</v>
      </c>
      <c r="H45" s="31"/>
    </row>
    <row r="46" spans="2:30" x14ac:dyDescent="0.25">
      <c r="AD46">
        <v>151.65</v>
      </c>
    </row>
  </sheetData>
  <pageMargins left="0" right="0" top="0.75" bottom="0.75" header="0.3" footer="0.3"/>
  <pageSetup paperSize="5" scale="55" orientation="landscape" r:id="rId1"/>
  <headerFooter>
    <oddFooter>&amp;L&amp;Z&amp;F &amp;D &amp;T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  <pageSetUpPr fitToPage="1"/>
  </sheetPr>
  <dimension ref="B1:AA46"/>
  <sheetViews>
    <sheetView topLeftCell="C1" zoomScaleNormal="100" workbookViewId="0">
      <selection activeCell="Z18" sqref="Z18"/>
    </sheetView>
  </sheetViews>
  <sheetFormatPr defaultRowHeight="15" x14ac:dyDescent="0.25"/>
  <cols>
    <col min="2" max="2" width="9.140625" style="1"/>
    <col min="3" max="3" width="17.28515625" customWidth="1"/>
    <col min="4" max="4" width="9" customWidth="1"/>
    <col min="5" max="5" width="8.140625" customWidth="1"/>
    <col min="6" max="6" width="12.7109375" customWidth="1"/>
    <col min="7" max="8" width="13.85546875" style="2" customWidth="1"/>
    <col min="9" max="9" width="12.140625" style="12" customWidth="1"/>
    <col min="10" max="10" width="11.28515625" customWidth="1"/>
    <col min="11" max="11" width="9.28515625" customWidth="1"/>
    <col min="12" max="12" width="9.42578125" customWidth="1"/>
    <col min="13" max="13" width="9.28515625" customWidth="1"/>
    <col min="14" max="14" width="13.7109375" customWidth="1"/>
    <col min="15" max="15" width="2.28515625" customWidth="1"/>
    <col min="16" max="23" width="13" customWidth="1"/>
    <col min="24" max="24" width="2.85546875" customWidth="1"/>
    <col min="25" max="25" width="8.5703125" customWidth="1"/>
    <col min="26" max="26" width="11.85546875" customWidth="1"/>
    <col min="27" max="27" width="12.7109375" customWidth="1"/>
  </cols>
  <sheetData>
    <row r="1" spans="2:27" ht="15.75" thickBot="1" x14ac:dyDescent="0.3">
      <c r="B1" s="2" t="s">
        <v>90</v>
      </c>
      <c r="J1">
        <v>7251</v>
      </c>
      <c r="K1">
        <v>7252</v>
      </c>
      <c r="L1">
        <v>7253</v>
      </c>
      <c r="M1">
        <v>7254</v>
      </c>
      <c r="N1">
        <v>7260</v>
      </c>
      <c r="P1">
        <v>7251</v>
      </c>
      <c r="Q1">
        <v>7252</v>
      </c>
      <c r="R1">
        <v>7253</v>
      </c>
      <c r="S1">
        <v>7260</v>
      </c>
      <c r="W1">
        <v>7254</v>
      </c>
      <c r="Z1">
        <v>7248</v>
      </c>
    </row>
    <row r="2" spans="2:27" ht="15.75" thickBot="1" x14ac:dyDescent="0.3"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/>
      <c r="P2" t="s">
        <v>8</v>
      </c>
      <c r="Q2" t="s">
        <v>12</v>
      </c>
      <c r="R2" t="s">
        <v>7</v>
      </c>
      <c r="S2" t="s">
        <v>11</v>
      </c>
      <c r="T2" t="s">
        <v>9</v>
      </c>
      <c r="U2" t="s">
        <v>13</v>
      </c>
      <c r="V2" t="s">
        <v>83</v>
      </c>
      <c r="W2" t="s">
        <v>91</v>
      </c>
      <c r="X2" s="2"/>
      <c r="Y2" s="35"/>
      <c r="Z2" s="36" t="s">
        <v>15</v>
      </c>
      <c r="AA2" s="2"/>
    </row>
    <row r="3" spans="2:27" ht="15.75" thickBot="1" x14ac:dyDescent="0.3">
      <c r="J3" s="2">
        <v>14363.6</v>
      </c>
      <c r="K3" s="2">
        <v>3359.29</v>
      </c>
      <c r="L3" s="2">
        <v>3971.04</v>
      </c>
      <c r="M3" s="2">
        <v>728.07</v>
      </c>
      <c r="N3" s="2">
        <v>2045.74</v>
      </c>
      <c r="O3" s="2"/>
      <c r="P3" s="27">
        <v>547.41</v>
      </c>
      <c r="Q3" s="30">
        <v>2370.94</v>
      </c>
      <c r="R3" s="30">
        <v>4635</v>
      </c>
      <c r="S3" s="30">
        <v>1372.57</v>
      </c>
      <c r="T3" s="30">
        <v>731.38</v>
      </c>
      <c r="U3" s="28">
        <v>1493</v>
      </c>
      <c r="V3" s="28">
        <v>3972</v>
      </c>
      <c r="W3" s="28"/>
      <c r="X3" s="2"/>
      <c r="Y3" s="37"/>
      <c r="Z3" s="38">
        <v>7022</v>
      </c>
      <c r="AA3" s="2"/>
    </row>
    <row r="4" spans="2:27" x14ac:dyDescent="0.25">
      <c r="Y4" s="39"/>
      <c r="Z4" s="40">
        <v>0.04</v>
      </c>
    </row>
    <row r="5" spans="2:27" x14ac:dyDescent="0.25">
      <c r="D5">
        <v>7222</v>
      </c>
      <c r="E5" t="s">
        <v>16</v>
      </c>
      <c r="F5" t="s">
        <v>17</v>
      </c>
      <c r="G5" s="2" t="s">
        <v>92</v>
      </c>
      <c r="M5" s="66"/>
      <c r="Y5" s="39"/>
      <c r="Z5" s="40"/>
    </row>
    <row r="6" spans="2:27" x14ac:dyDescent="0.25">
      <c r="B6" s="1">
        <v>41</v>
      </c>
      <c r="C6" t="s">
        <v>19</v>
      </c>
      <c r="D6" s="2"/>
      <c r="E6" s="26"/>
      <c r="F6" s="26"/>
      <c r="G6" s="6">
        <v>3360</v>
      </c>
      <c r="H6" s="6"/>
      <c r="I6" s="2">
        <f t="shared" ref="I6:I35" si="0">G6/$F$37</f>
        <v>1.3600925057202822E-2</v>
      </c>
      <c r="J6" s="8">
        <f>I6*$J$3</f>
        <v>195.35824715163847</v>
      </c>
      <c r="K6" s="8">
        <f>I6*$K$3</f>
        <v>45.689451535410868</v>
      </c>
      <c r="L6" s="8">
        <f>I6*$L$3</f>
        <v>54.009817439154695</v>
      </c>
      <c r="M6" s="8">
        <f>I6*$M$3</f>
        <v>9.9024255063976589</v>
      </c>
      <c r="N6" s="8">
        <f>I6*$N$3</f>
        <v>27.823956426522102</v>
      </c>
      <c r="O6" s="8"/>
      <c r="P6" s="8">
        <f>I6*$P$3</f>
        <v>7.4452823855633961</v>
      </c>
      <c r="Q6" s="68">
        <f>I6*$Q$3</f>
        <v>32.246977255124463</v>
      </c>
      <c r="R6" s="8">
        <f>I6*$R$3</f>
        <v>63.040287640135084</v>
      </c>
      <c r="S6" s="8">
        <f>I6*$S$3</f>
        <v>18.668221705764878</v>
      </c>
      <c r="T6" s="8">
        <f>I6*$T$3</f>
        <v>9.9474445683369996</v>
      </c>
      <c r="U6" s="8">
        <f>I6*$U$3</f>
        <v>20.306181110403813</v>
      </c>
      <c r="V6" s="8">
        <f>I6*$V$3</f>
        <v>54.022874327209607</v>
      </c>
      <c r="W6" s="8">
        <f>I6*$W$3</f>
        <v>0</v>
      </c>
      <c r="X6" s="8"/>
      <c r="Y6" s="37">
        <f t="shared" ref="Y6:Y35" si="1">G6/$G$39</f>
        <v>8.9413347848100143E-3</v>
      </c>
      <c r="Z6" s="38">
        <f>Y6*$Z$3</f>
        <v>62.786052858935918</v>
      </c>
    </row>
    <row r="7" spans="2:27" x14ac:dyDescent="0.25">
      <c r="B7" s="1">
        <v>111</v>
      </c>
      <c r="C7" t="s">
        <v>20</v>
      </c>
      <c r="D7" s="2"/>
      <c r="G7" s="89">
        <v>48096.09</v>
      </c>
      <c r="I7" s="2">
        <f t="shared" si="0"/>
        <v>0.19468789155788155</v>
      </c>
      <c r="J7" s="90">
        <f t="shared" ref="J7:J35" si="2">I7*$J$3</f>
        <v>2796.4189991807875</v>
      </c>
      <c r="K7" s="90">
        <f t="shared" ref="K7" si="3">I7*$K$3</f>
        <v>654.01308723147588</v>
      </c>
      <c r="L7" s="90">
        <f t="shared" ref="L7" si="4">I7*$L$3</f>
        <v>773.11340489200995</v>
      </c>
      <c r="M7" s="90">
        <f t="shared" ref="M7" si="5">I7*$M$3</f>
        <v>141.74641320654683</v>
      </c>
      <c r="N7" s="90">
        <f t="shared" ref="N7" si="6">I7*$N$3</f>
        <v>398.28080727562059</v>
      </c>
      <c r="O7" s="8"/>
      <c r="P7" s="90">
        <f t="shared" ref="P7" si="7">I7*$P$3</f>
        <v>106.57409871769993</v>
      </c>
      <c r="Q7" s="90">
        <f t="shared" ref="Q7" si="8">I7*$Q$3</f>
        <v>461.59330961024369</v>
      </c>
      <c r="R7" s="90">
        <f t="shared" ref="R7" si="9">I7*$R$3</f>
        <v>902.37837737078098</v>
      </c>
      <c r="S7" s="90">
        <f t="shared" ref="S7" si="10">I7*$S$3</f>
        <v>267.22275931560148</v>
      </c>
      <c r="T7" s="90">
        <f>I7*$T$3</f>
        <v>142.39083012760341</v>
      </c>
      <c r="U7" s="90">
        <f t="shared" ref="U7" si="11">I7*$U$3</f>
        <v>290.66902209591717</v>
      </c>
      <c r="V7" s="8">
        <f t="shared" ref="V7" si="12">I7*$V$3</f>
        <v>773.30030526790551</v>
      </c>
      <c r="W7" s="8">
        <f t="shared" ref="W7" si="13">I7*$W$3</f>
        <v>0</v>
      </c>
      <c r="X7" s="8"/>
      <c r="Y7" s="37">
        <f t="shared" si="1"/>
        <v>0.1279890602768908</v>
      </c>
      <c r="Z7" s="80">
        <f t="shared" ref="Z7:Z35" si="14">Y7*$Z$3</f>
        <v>898.73918126432727</v>
      </c>
    </row>
    <row r="8" spans="2:27" x14ac:dyDescent="0.25">
      <c r="B8" s="1" t="s">
        <v>23</v>
      </c>
      <c r="C8" t="s">
        <v>24</v>
      </c>
      <c r="D8" s="2"/>
      <c r="G8" s="2">
        <v>5875.6</v>
      </c>
      <c r="I8" s="2">
        <f t="shared" si="0"/>
        <v>2.3783808114910984E-2</v>
      </c>
      <c r="J8" s="68">
        <f>I8*$J$3</f>
        <v>341.6211062393354</v>
      </c>
      <c r="K8" s="68">
        <f>I8*$K$3</f>
        <v>79.896708762339316</v>
      </c>
      <c r="L8" s="68">
        <f>I8*$L$3</f>
        <v>94.446453376636114</v>
      </c>
      <c r="M8" s="68">
        <f>I8*$M$3</f>
        <v>17.316277174223242</v>
      </c>
      <c r="N8" s="68">
        <f>I8*$N$3</f>
        <v>48.655487612997995</v>
      </c>
      <c r="O8" s="8"/>
      <c r="P8" s="68">
        <f>I8*$P$3</f>
        <v>13.019494400183421</v>
      </c>
      <c r="Q8" s="68">
        <f>I8*$Q$3</f>
        <v>56.389982011967049</v>
      </c>
      <c r="R8" s="68">
        <f>I8*$R$3</f>
        <v>110.23795061261241</v>
      </c>
      <c r="S8" s="68">
        <f>I8*$S$3</f>
        <v>32.644941504283366</v>
      </c>
      <c r="T8" s="68">
        <f t="shared" ref="T8:T37" si="15">I8*$T$3</f>
        <v>17.395001579083594</v>
      </c>
      <c r="U8" s="68">
        <f>I8*$U$3</f>
        <v>35.5092255155621</v>
      </c>
      <c r="V8" s="8">
        <f>I8*$V$3</f>
        <v>94.469285832426422</v>
      </c>
      <c r="W8" s="8">
        <f>I8*$W$3</f>
        <v>0</v>
      </c>
      <c r="X8" s="8"/>
      <c r="Y8" s="37">
        <f t="shared" si="1"/>
        <v>1.5635626982627895E-2</v>
      </c>
      <c r="Z8" s="80">
        <f>Y8*$Z$3</f>
        <v>109.79337267201308</v>
      </c>
    </row>
    <row r="9" spans="2:27" x14ac:dyDescent="0.25">
      <c r="B9" s="1" t="s">
        <v>21</v>
      </c>
      <c r="C9" t="s">
        <v>22</v>
      </c>
      <c r="D9" s="2"/>
      <c r="G9" s="2">
        <v>2991.04</v>
      </c>
      <c r="I9" s="2">
        <f t="shared" si="0"/>
        <v>1.210741395330236E-2</v>
      </c>
      <c r="J9" s="68">
        <f t="shared" si="2"/>
        <v>173.90605105965378</v>
      </c>
      <c r="K9" s="68">
        <f t="shared" ref="K9:K35" si="16">I9*$K$3</f>
        <v>40.672314619189081</v>
      </c>
      <c r="L9" s="68">
        <f t="shared" ref="L9:L35" si="17">I9*$L$3</f>
        <v>48.079025105121801</v>
      </c>
      <c r="M9" s="68">
        <f t="shared" ref="M9:M35" si="18">I9*$M$3</f>
        <v>8.8150448769808492</v>
      </c>
      <c r="N9" s="68">
        <f t="shared" ref="N9:N35" si="19">I9*$N$3</f>
        <v>24.768621020828771</v>
      </c>
      <c r="O9" s="8"/>
      <c r="P9" s="68">
        <f t="shared" ref="P9:P35" si="20">I9*$P$3</f>
        <v>6.6277194721772448</v>
      </c>
      <c r="Q9" s="68">
        <f t="shared" ref="Q9:Q35" si="21">I9*$Q$3</f>
        <v>28.705952038442696</v>
      </c>
      <c r="R9" s="68">
        <f t="shared" ref="R9:R35" si="22">I9*$R$3</f>
        <v>56.117863673556435</v>
      </c>
      <c r="S9" s="68">
        <f t="shared" ref="S9:S35" si="23">I9*$S$3</f>
        <v>16.618273169884219</v>
      </c>
      <c r="T9" s="68">
        <f t="shared" si="15"/>
        <v>8.8551204171662796</v>
      </c>
      <c r="U9" s="68">
        <f t="shared" ref="U9:U35" si="24">I9*$U$3</f>
        <v>18.076369032280422</v>
      </c>
      <c r="V9" s="8">
        <f t="shared" ref="V9:V35" si="25">I9*$V$3</f>
        <v>48.090648222516975</v>
      </c>
      <c r="W9" s="8">
        <f t="shared" ref="W9:W35" si="26">I9*$W$3</f>
        <v>0</v>
      </c>
      <c r="X9" s="8"/>
      <c r="Y9" s="37">
        <f t="shared" si="1"/>
        <v>7.9594910698684955E-3</v>
      </c>
      <c r="Z9" s="80">
        <f t="shared" si="14"/>
        <v>55.891546292616574</v>
      </c>
    </row>
    <row r="10" spans="2:27" x14ac:dyDescent="0.25">
      <c r="B10" s="1" t="s">
        <v>25</v>
      </c>
      <c r="C10" t="s">
        <v>26</v>
      </c>
      <c r="D10" s="2"/>
      <c r="G10" s="2">
        <v>1457.94</v>
      </c>
      <c r="I10" s="2">
        <f t="shared" si="0"/>
        <v>5.901587106517346E-3</v>
      </c>
      <c r="J10" s="68">
        <f t="shared" si="2"/>
        <v>84.768036563172558</v>
      </c>
      <c r="K10" s="68">
        <f t="shared" si="16"/>
        <v>19.825142551052654</v>
      </c>
      <c r="L10" s="68">
        <f t="shared" si="17"/>
        <v>23.435438463464642</v>
      </c>
      <c r="M10" s="68">
        <f t="shared" si="18"/>
        <v>4.2967685246420846</v>
      </c>
      <c r="N10" s="68">
        <f t="shared" si="19"/>
        <v>12.073112807286796</v>
      </c>
      <c r="O10" s="8"/>
      <c r="P10" s="68">
        <f t="shared" si="20"/>
        <v>3.2305877979786604</v>
      </c>
      <c r="Q10" s="68">
        <f t="shared" si="21"/>
        <v>13.992308934326237</v>
      </c>
      <c r="R10" s="68">
        <f t="shared" si="22"/>
        <v>27.353856238707898</v>
      </c>
      <c r="S10" s="68">
        <f t="shared" si="23"/>
        <v>8.1003414147925135</v>
      </c>
      <c r="T10" s="68">
        <f t="shared" si="15"/>
        <v>4.3163027779646566</v>
      </c>
      <c r="U10" s="68">
        <f t="shared" si="24"/>
        <v>8.8110695500303979</v>
      </c>
      <c r="V10" s="8">
        <f t="shared" si="25"/>
        <v>23.441103987086898</v>
      </c>
      <c r="W10" s="8">
        <f t="shared" si="26"/>
        <v>0</v>
      </c>
      <c r="X10" s="8"/>
      <c r="Y10" s="37">
        <f t="shared" si="1"/>
        <v>3.879740963144617E-3</v>
      </c>
      <c r="Z10" s="80">
        <f t="shared" si="14"/>
        <v>27.2435410432015</v>
      </c>
    </row>
    <row r="11" spans="2:27" x14ac:dyDescent="0.25">
      <c r="B11" s="1">
        <v>114</v>
      </c>
      <c r="C11" t="s">
        <v>84</v>
      </c>
      <c r="D11" s="2"/>
      <c r="G11" s="2">
        <v>0</v>
      </c>
      <c r="I11" s="2">
        <f t="shared" si="0"/>
        <v>0</v>
      </c>
      <c r="J11" s="68">
        <f t="shared" si="2"/>
        <v>0</v>
      </c>
      <c r="K11" s="68">
        <f t="shared" si="16"/>
        <v>0</v>
      </c>
      <c r="L11" s="68">
        <f t="shared" si="17"/>
        <v>0</v>
      </c>
      <c r="M11" s="68">
        <f t="shared" si="18"/>
        <v>0</v>
      </c>
      <c r="N11" s="68">
        <f t="shared" si="19"/>
        <v>0</v>
      </c>
      <c r="O11" s="8"/>
      <c r="P11" s="68">
        <f t="shared" si="20"/>
        <v>0</v>
      </c>
      <c r="Q11" s="68">
        <f t="shared" si="21"/>
        <v>0</v>
      </c>
      <c r="R11" s="68">
        <f t="shared" si="22"/>
        <v>0</v>
      </c>
      <c r="S11" s="68">
        <f t="shared" si="23"/>
        <v>0</v>
      </c>
      <c r="T11" s="68">
        <f t="shared" si="15"/>
        <v>0</v>
      </c>
      <c r="U11" s="68">
        <f t="shared" si="24"/>
        <v>0</v>
      </c>
      <c r="V11" s="8">
        <f t="shared" si="25"/>
        <v>0</v>
      </c>
      <c r="W11" s="8">
        <f t="shared" si="26"/>
        <v>0</v>
      </c>
      <c r="X11" s="8"/>
      <c r="Y11" s="37">
        <f t="shared" si="1"/>
        <v>0</v>
      </c>
      <c r="Z11" s="80">
        <f t="shared" si="14"/>
        <v>0</v>
      </c>
    </row>
    <row r="12" spans="2:27" x14ac:dyDescent="0.25">
      <c r="B12" s="1">
        <v>112</v>
      </c>
      <c r="C12" t="s">
        <v>27</v>
      </c>
      <c r="D12" s="2"/>
      <c r="G12" s="2">
        <v>46423.77</v>
      </c>
      <c r="I12" s="2">
        <f t="shared" si="0"/>
        <v>0.1879185168579823</v>
      </c>
      <c r="J12" s="8">
        <f t="shared" si="2"/>
        <v>2699.1864087413146</v>
      </c>
      <c r="K12" s="8">
        <f t="shared" si="16"/>
        <v>631.27279449585137</v>
      </c>
      <c r="L12" s="8">
        <f t="shared" si="17"/>
        <v>746.23194718372201</v>
      </c>
      <c r="M12" s="8">
        <f t="shared" si="18"/>
        <v>136.8178345687912</v>
      </c>
      <c r="N12" s="8">
        <f t="shared" si="19"/>
        <v>384.43242667704874</v>
      </c>
      <c r="O12" s="8"/>
      <c r="P12" s="8">
        <f t="shared" si="20"/>
        <v>102.86847531322809</v>
      </c>
      <c r="Q12" s="68">
        <f t="shared" si="21"/>
        <v>445.5435283592646</v>
      </c>
      <c r="R12" s="8">
        <f t="shared" si="22"/>
        <v>871.00232563674797</v>
      </c>
      <c r="S12" s="8">
        <f t="shared" si="23"/>
        <v>257.93131868376076</v>
      </c>
      <c r="T12" s="8">
        <f t="shared" si="15"/>
        <v>137.43984485959109</v>
      </c>
      <c r="U12" s="8">
        <f t="shared" si="24"/>
        <v>280.56234566896757</v>
      </c>
      <c r="V12" s="8">
        <f t="shared" si="25"/>
        <v>746.41234895990567</v>
      </c>
      <c r="W12" s="8">
        <f t="shared" si="26"/>
        <v>0</v>
      </c>
      <c r="X12" s="8"/>
      <c r="Y12" s="37">
        <f t="shared" si="1"/>
        <v>0.12353883022113678</v>
      </c>
      <c r="Z12" s="38">
        <f t="shared" si="14"/>
        <v>867.48966581282241</v>
      </c>
    </row>
    <row r="13" spans="2:27" x14ac:dyDescent="0.25">
      <c r="B13" s="1">
        <v>222</v>
      </c>
      <c r="C13" t="s">
        <v>29</v>
      </c>
      <c r="D13" s="2"/>
      <c r="G13" s="2">
        <v>4430.49</v>
      </c>
      <c r="I13" s="2">
        <f t="shared" si="0"/>
        <v>1.7934155493061467E-2</v>
      </c>
      <c r="J13" s="8">
        <f t="shared" si="2"/>
        <v>257.59903584013767</v>
      </c>
      <c r="K13" s="8">
        <f t="shared" si="16"/>
        <v>60.246029206286451</v>
      </c>
      <c r="L13" s="8">
        <f t="shared" si="17"/>
        <v>71.217248829166806</v>
      </c>
      <c r="M13" s="8">
        <f t="shared" si="18"/>
        <v>13.057320589833264</v>
      </c>
      <c r="N13" s="8">
        <f t="shared" si="19"/>
        <v>36.688619258375567</v>
      </c>
      <c r="O13" s="8"/>
      <c r="P13" s="8">
        <f t="shared" si="20"/>
        <v>9.8173360584567764</v>
      </c>
      <c r="Q13" s="68">
        <f t="shared" si="21"/>
        <v>42.520806624719157</v>
      </c>
      <c r="R13" s="8">
        <f t="shared" si="22"/>
        <v>83.124810710339901</v>
      </c>
      <c r="S13" s="8">
        <f t="shared" si="23"/>
        <v>24.615883805111377</v>
      </c>
      <c r="T13" s="8">
        <f t="shared" si="15"/>
        <v>13.116682644515295</v>
      </c>
      <c r="U13" s="8">
        <f t="shared" si="24"/>
        <v>26.775694151140769</v>
      </c>
      <c r="V13" s="8">
        <f t="shared" si="25"/>
        <v>71.23446561844014</v>
      </c>
      <c r="W13" s="8">
        <f t="shared" si="26"/>
        <v>0</v>
      </c>
      <c r="X13" s="8"/>
      <c r="Y13" s="37">
        <f t="shared" si="1"/>
        <v>1.1790028080581227E-2</v>
      </c>
      <c r="Z13" s="38">
        <f t="shared" si="14"/>
        <v>82.789577181841381</v>
      </c>
    </row>
    <row r="14" spans="2:27" x14ac:dyDescent="0.25">
      <c r="B14" s="1">
        <v>223</v>
      </c>
      <c r="C14" t="s">
        <v>30</v>
      </c>
      <c r="D14" s="2"/>
      <c r="G14" s="31">
        <v>20051.84</v>
      </c>
      <c r="H14" s="31"/>
      <c r="I14" s="2">
        <f t="shared" si="0"/>
        <v>8.1167730088994597E-2</v>
      </c>
      <c r="J14" s="8">
        <f t="shared" si="2"/>
        <v>1165.8608079062828</v>
      </c>
      <c r="K14" s="8">
        <f t="shared" si="16"/>
        <v>272.66594401065868</v>
      </c>
      <c r="L14" s="8">
        <f t="shared" si="17"/>
        <v>322.32030289260109</v>
      </c>
      <c r="M14" s="8">
        <f t="shared" si="18"/>
        <v>59.095789245894302</v>
      </c>
      <c r="N14" s="8">
        <f t="shared" si="19"/>
        <v>166.04807215225981</v>
      </c>
      <c r="O14" s="8"/>
      <c r="P14" s="8">
        <f t="shared" si="20"/>
        <v>44.432027128016529</v>
      </c>
      <c r="Q14" s="68">
        <f t="shared" si="21"/>
        <v>192.44381797720087</v>
      </c>
      <c r="R14" s="8">
        <f t="shared" si="22"/>
        <v>376.21242896248998</v>
      </c>
      <c r="S14" s="8">
        <f t="shared" si="23"/>
        <v>111.40839128825131</v>
      </c>
      <c r="T14" s="8">
        <f t="shared" si="15"/>
        <v>59.36445443248887</v>
      </c>
      <c r="U14" s="8">
        <f t="shared" si="24"/>
        <v>121.18342102286893</v>
      </c>
      <c r="V14" s="8">
        <f t="shared" si="25"/>
        <v>322.39822391348656</v>
      </c>
      <c r="W14" s="8">
        <f t="shared" si="26"/>
        <v>0</v>
      </c>
      <c r="X14" s="8"/>
      <c r="Y14" s="37">
        <f t="shared" si="1"/>
        <v>5.3360182884358585E-2</v>
      </c>
      <c r="Z14" s="38">
        <f t="shared" si="14"/>
        <v>374.69520421396601</v>
      </c>
    </row>
    <row r="15" spans="2:27" ht="15.75" thickBot="1" x14ac:dyDescent="0.3">
      <c r="B15" s="1">
        <v>225</v>
      </c>
      <c r="C15" t="s">
        <v>59</v>
      </c>
      <c r="D15" s="2"/>
      <c r="G15" s="2">
        <v>8056.53</v>
      </c>
      <c r="I15" s="2">
        <f t="shared" si="0"/>
        <v>3.2611982366400664E-2</v>
      </c>
      <c r="J15" s="8">
        <f t="shared" si="2"/>
        <v>468.4254699180326</v>
      </c>
      <c r="K15" s="8">
        <f t="shared" si="16"/>
        <v>109.55310624362609</v>
      </c>
      <c r="L15" s="8">
        <f t="shared" si="17"/>
        <v>129.5034864562717</v>
      </c>
      <c r="M15" s="8">
        <f t="shared" si="18"/>
        <v>23.743806001505334</v>
      </c>
      <c r="N15" s="8">
        <f t="shared" si="19"/>
        <v>66.715636806240497</v>
      </c>
      <c r="O15" s="8"/>
      <c r="P15" s="8">
        <f t="shared" si="20"/>
        <v>17.852125267191386</v>
      </c>
      <c r="Q15" s="68">
        <f t="shared" si="21"/>
        <v>77.321053471793988</v>
      </c>
      <c r="R15" s="8">
        <f t="shared" si="22"/>
        <v>151.15653826826707</v>
      </c>
      <c r="S15" s="8">
        <f t="shared" si="23"/>
        <v>44.762228636650555</v>
      </c>
      <c r="T15" s="8">
        <f t="shared" si="15"/>
        <v>23.851751663138117</v>
      </c>
      <c r="U15" s="8">
        <f t="shared" si="24"/>
        <v>48.689689673036192</v>
      </c>
      <c r="V15" s="8">
        <f t="shared" si="25"/>
        <v>129.53479395934343</v>
      </c>
      <c r="W15" s="8">
        <f t="shared" si="26"/>
        <v>0</v>
      </c>
      <c r="X15" s="8"/>
      <c r="Y15" s="37">
        <f t="shared" si="1"/>
        <v>2.1439324980317091E-2</v>
      </c>
      <c r="Z15" s="38">
        <f t="shared" si="14"/>
        <v>150.5469400117866</v>
      </c>
    </row>
    <row r="16" spans="2:27" x14ac:dyDescent="0.25">
      <c r="B16" s="1">
        <v>334</v>
      </c>
      <c r="C16" t="s">
        <v>85</v>
      </c>
      <c r="D16" s="2"/>
      <c r="G16" s="143">
        <v>8307.69</v>
      </c>
      <c r="H16" s="144"/>
      <c r="I16" s="144">
        <f t="shared" si="0"/>
        <v>3.362865151442658E-2</v>
      </c>
      <c r="J16" s="145">
        <f t="shared" si="2"/>
        <v>483.02849889261762</v>
      </c>
      <c r="K16" s="145">
        <f t="shared" si="16"/>
        <v>112.96839274589807</v>
      </c>
      <c r="L16" s="145">
        <f t="shared" si="17"/>
        <v>133.54072030984852</v>
      </c>
      <c r="M16" s="145">
        <f t="shared" si="18"/>
        <v>24.484012308108561</v>
      </c>
      <c r="N16" s="145">
        <f t="shared" si="19"/>
        <v>68.795477549123035</v>
      </c>
      <c r="O16" s="145"/>
      <c r="P16" s="145">
        <f t="shared" si="20"/>
        <v>18.408660125512252</v>
      </c>
      <c r="Q16" s="197">
        <f t="shared" si="21"/>
        <v>79.731515021614555</v>
      </c>
      <c r="R16" s="145">
        <f t="shared" si="22"/>
        <v>155.8687997693672</v>
      </c>
      <c r="S16" s="145">
        <f t="shared" si="23"/>
        <v>46.157678209156487</v>
      </c>
      <c r="T16" s="145">
        <f t="shared" si="15"/>
        <v>24.595323144621311</v>
      </c>
      <c r="U16" s="145">
        <f t="shared" si="24"/>
        <v>50.207576711038882</v>
      </c>
      <c r="V16" s="145">
        <f t="shared" si="25"/>
        <v>133.57300381530237</v>
      </c>
      <c r="W16" s="145">
        <f t="shared" si="26"/>
        <v>0</v>
      </c>
      <c r="X16" s="145"/>
      <c r="Y16" s="143">
        <f t="shared" si="1"/>
        <v>2.2107689755481642E-2</v>
      </c>
      <c r="Z16" s="146">
        <f t="shared" si="14"/>
        <v>155.24019746299209</v>
      </c>
    </row>
    <row r="17" spans="2:26" ht="15.75" thickBot="1" x14ac:dyDescent="0.3">
      <c r="B17" s="1" t="s">
        <v>33</v>
      </c>
      <c r="C17" t="s">
        <v>86</v>
      </c>
      <c r="D17" s="2"/>
      <c r="G17" s="147">
        <v>5307.69</v>
      </c>
      <c r="H17" s="148"/>
      <c r="I17" s="148">
        <f t="shared" si="0"/>
        <v>2.1484968427638345E-2</v>
      </c>
      <c r="J17" s="149">
        <f t="shared" si="2"/>
        <v>308.60149250722611</v>
      </c>
      <c r="K17" s="149">
        <f t="shared" si="16"/>
        <v>72.174239589281214</v>
      </c>
      <c r="L17" s="149">
        <f t="shared" si="17"/>
        <v>85.317669024888971</v>
      </c>
      <c r="M17" s="149">
        <f t="shared" si="18"/>
        <v>15.64256096311065</v>
      </c>
      <c r="N17" s="149">
        <f t="shared" si="19"/>
        <v>43.952659311156872</v>
      </c>
      <c r="O17" s="149"/>
      <c r="P17" s="149">
        <f t="shared" si="20"/>
        <v>11.761086566973505</v>
      </c>
      <c r="Q17" s="198">
        <f t="shared" si="21"/>
        <v>50.939571043824856</v>
      </c>
      <c r="R17" s="149">
        <f t="shared" si="22"/>
        <v>99.582828662103722</v>
      </c>
      <c r="S17" s="149">
        <f t="shared" si="23"/>
        <v>29.48962311472356</v>
      </c>
      <c r="T17" s="149">
        <f t="shared" si="15"/>
        <v>15.713676208606133</v>
      </c>
      <c r="U17" s="149">
        <f t="shared" si="24"/>
        <v>32.077057862464052</v>
      </c>
      <c r="V17" s="149">
        <f t="shared" si="25"/>
        <v>85.338294594579509</v>
      </c>
      <c r="W17" s="149">
        <f t="shared" si="26"/>
        <v>0</v>
      </c>
      <c r="X17" s="149"/>
      <c r="Y17" s="147">
        <f t="shared" si="1"/>
        <v>1.4124355126186983E-2</v>
      </c>
      <c r="Z17" s="150">
        <f t="shared" si="14"/>
        <v>99.18122169608499</v>
      </c>
    </row>
    <row r="18" spans="2:26" ht="15.75" thickBot="1" x14ac:dyDescent="0.3">
      <c r="B18" s="1" t="s">
        <v>35</v>
      </c>
      <c r="C18" t="s">
        <v>36</v>
      </c>
      <c r="D18" s="2"/>
      <c r="E18" s="26">
        <v>7120</v>
      </c>
      <c r="F18" s="26">
        <v>7130</v>
      </c>
      <c r="G18" s="151">
        <v>2762.08</v>
      </c>
      <c r="H18" s="152"/>
      <c r="I18" s="148">
        <f t="shared" si="0"/>
        <v>1.1180608060118681E-2</v>
      </c>
      <c r="J18" s="149">
        <f t="shared" si="2"/>
        <v>160.5937819323207</v>
      </c>
      <c r="K18" s="149">
        <f t="shared" si="16"/>
        <v>37.558904850276086</v>
      </c>
      <c r="L18" s="149">
        <f t="shared" si="17"/>
        <v>44.398641831053688</v>
      </c>
      <c r="M18" s="149">
        <f t="shared" si="18"/>
        <v>8.1402653103306086</v>
      </c>
      <c r="N18" s="206">
        <f t="shared" si="19"/>
        <v>22.872617132907191</v>
      </c>
      <c r="O18" s="149"/>
      <c r="P18" s="149">
        <f t="shared" si="20"/>
        <v>6.1203766581895662</v>
      </c>
      <c r="Q18" s="198">
        <f t="shared" si="21"/>
        <v>26.508550874057786</v>
      </c>
      <c r="R18" s="149">
        <f t="shared" si="22"/>
        <v>51.822118358650087</v>
      </c>
      <c r="S18" s="149">
        <f t="shared" si="23"/>
        <v>15.346167205077096</v>
      </c>
      <c r="T18" s="149">
        <f t="shared" si="15"/>
        <v>8.1772731230096003</v>
      </c>
      <c r="U18" s="149">
        <f t="shared" si="24"/>
        <v>16.692647833757189</v>
      </c>
      <c r="V18" s="149">
        <f t="shared" si="25"/>
        <v>44.409375214791403</v>
      </c>
      <c r="W18" s="149">
        <f t="shared" si="26"/>
        <v>0</v>
      </c>
      <c r="X18" s="149"/>
      <c r="Y18" s="147">
        <f t="shared" si="1"/>
        <v>7.3502029709607277E-3</v>
      </c>
      <c r="Z18" s="150">
        <f t="shared" si="14"/>
        <v>51.613125262086228</v>
      </c>
    </row>
    <row r="19" spans="2:26" x14ac:dyDescent="0.25">
      <c r="B19" s="1">
        <v>334</v>
      </c>
      <c r="C19" t="s">
        <v>73</v>
      </c>
      <c r="D19" s="2"/>
      <c r="G19" s="147">
        <v>2803.85</v>
      </c>
      <c r="H19" s="148"/>
      <c r="I19" s="148">
        <f t="shared" si="0"/>
        <v>1.1349688607630396E-2</v>
      </c>
      <c r="J19" s="149">
        <f t="shared" si="2"/>
        <v>163.02238728455995</v>
      </c>
      <c r="K19" s="149">
        <f t="shared" si="16"/>
        <v>38.126895442726713</v>
      </c>
      <c r="L19" s="149">
        <f t="shared" si="17"/>
        <v>45.070067448444604</v>
      </c>
      <c r="M19" s="149">
        <f t="shared" si="18"/>
        <v>8.2633677845574631</v>
      </c>
      <c r="N19" s="149">
        <f t="shared" si="19"/>
        <v>23.218511972173808</v>
      </c>
      <c r="O19" s="149"/>
      <c r="P19" s="149">
        <f t="shared" si="20"/>
        <v>6.2129330407029544</v>
      </c>
      <c r="Q19" s="198">
        <f t="shared" si="21"/>
        <v>26.909430707375211</v>
      </c>
      <c r="R19" s="149">
        <f t="shared" si="22"/>
        <v>52.605806696366884</v>
      </c>
      <c r="S19" s="149">
        <f t="shared" si="23"/>
        <v>15.578242092175252</v>
      </c>
      <c r="T19" s="149">
        <f t="shared" si="15"/>
        <v>8.3009352538487189</v>
      </c>
      <c r="U19" s="149">
        <f t="shared" si="24"/>
        <v>16.94508509119218</v>
      </c>
      <c r="V19" s="149">
        <f t="shared" si="25"/>
        <v>45.08096314950793</v>
      </c>
      <c r="W19" s="149">
        <f t="shared" si="26"/>
        <v>0</v>
      </c>
      <c r="X19" s="149"/>
      <c r="Y19" s="147">
        <f t="shared" si="1"/>
        <v>7.4613576001159405E-3</v>
      </c>
      <c r="Z19" s="150">
        <f t="shared" si="14"/>
        <v>52.393653068014132</v>
      </c>
    </row>
    <row r="20" spans="2:26" ht="15.75" thickBot="1" x14ac:dyDescent="0.3">
      <c r="B20" s="1" t="s">
        <v>37</v>
      </c>
      <c r="C20" t="s">
        <v>38</v>
      </c>
      <c r="D20" s="2"/>
      <c r="G20" s="153">
        <v>4615.37</v>
      </c>
      <c r="H20" s="154"/>
      <c r="I20" s="154">
        <f t="shared" si="0"/>
        <v>1.8682530202756602E-2</v>
      </c>
      <c r="J20" s="155">
        <f t="shared" si="2"/>
        <v>268.34839082031476</v>
      </c>
      <c r="K20" s="155">
        <f t="shared" si="16"/>
        <v>62.760036884818227</v>
      </c>
      <c r="L20" s="155">
        <f t="shared" si="17"/>
        <v>74.189074736354584</v>
      </c>
      <c r="M20" s="155">
        <f t="shared" si="18"/>
        <v>13.602189764721</v>
      </c>
      <c r="N20" s="155">
        <f t="shared" si="19"/>
        <v>38.219599336987294</v>
      </c>
      <c r="O20" s="155"/>
      <c r="P20" s="155">
        <f t="shared" si="20"/>
        <v>10.227003858290992</v>
      </c>
      <c r="Q20" s="199">
        <f t="shared" si="21"/>
        <v>44.295158158923741</v>
      </c>
      <c r="R20" s="155">
        <f t="shared" si="22"/>
        <v>86.593527489776847</v>
      </c>
      <c r="S20" s="155">
        <f t="shared" si="23"/>
        <v>25.643080480397629</v>
      </c>
      <c r="T20" s="155">
        <f t="shared" si="15"/>
        <v>13.664028939692123</v>
      </c>
      <c r="U20" s="155">
        <f t="shared" si="24"/>
        <v>27.893017592715609</v>
      </c>
      <c r="V20" s="155">
        <f t="shared" si="25"/>
        <v>74.207009965349229</v>
      </c>
      <c r="W20" s="155">
        <f t="shared" si="26"/>
        <v>0</v>
      </c>
      <c r="X20" s="155"/>
      <c r="Y20" s="153">
        <f t="shared" si="1"/>
        <v>1.2282014382669225E-2</v>
      </c>
      <c r="Z20" s="156">
        <f t="shared" si="14"/>
        <v>86.244304995103306</v>
      </c>
    </row>
    <row r="21" spans="2:26" ht="15.75" thickBot="1" x14ac:dyDescent="0.3">
      <c r="B21" s="1">
        <v>368</v>
      </c>
      <c r="C21" t="s">
        <v>40</v>
      </c>
      <c r="D21" s="2"/>
      <c r="G21" s="2">
        <v>7268.82</v>
      </c>
      <c r="I21" s="2">
        <f t="shared" si="0"/>
        <v>2.9423415498302682E-2</v>
      </c>
      <c r="J21" s="8">
        <f t="shared" si="2"/>
        <v>422.6261708514204</v>
      </c>
      <c r="K21" s="8">
        <f t="shared" si="16"/>
        <v>98.841785449293212</v>
      </c>
      <c r="L21" s="8">
        <f t="shared" si="17"/>
        <v>116.84155988037988</v>
      </c>
      <c r="M21" s="8">
        <f t="shared" si="18"/>
        <v>21.422306121849235</v>
      </c>
      <c r="N21" s="8">
        <f t="shared" si="19"/>
        <v>60.192658021497728</v>
      </c>
      <c r="O21" s="8"/>
      <c r="P21" s="8">
        <f t="shared" si="20"/>
        <v>16.106671877925869</v>
      </c>
      <c r="Q21" s="68">
        <f t="shared" si="21"/>
        <v>69.761152741545757</v>
      </c>
      <c r="R21" s="8">
        <f t="shared" si="22"/>
        <v>136.37753083463292</v>
      </c>
      <c r="S21" s="8">
        <f t="shared" si="23"/>
        <v>40.385697410505308</v>
      </c>
      <c r="T21" s="8">
        <f t="shared" si="15"/>
        <v>21.519697627148616</v>
      </c>
      <c r="U21" s="8">
        <f t="shared" si="24"/>
        <v>43.929159338965903</v>
      </c>
      <c r="V21" s="8">
        <f t="shared" si="25"/>
        <v>116.86980635925825</v>
      </c>
      <c r="W21" s="8">
        <f t="shared" si="26"/>
        <v>0</v>
      </c>
      <c r="X21" s="8"/>
      <c r="Y21" s="37">
        <f t="shared" si="1"/>
        <v>1.9343140806703192E-2</v>
      </c>
      <c r="Z21" s="38">
        <f t="shared" si="14"/>
        <v>135.8275347446698</v>
      </c>
    </row>
    <row r="22" spans="2:26" ht="15.75" thickBot="1" x14ac:dyDescent="0.3">
      <c r="B22" s="1">
        <v>451</v>
      </c>
      <c r="C22" t="s">
        <v>41</v>
      </c>
      <c r="D22" s="2"/>
      <c r="G22" s="33">
        <v>24141.8</v>
      </c>
      <c r="H22" s="31"/>
      <c r="I22" s="2">
        <f t="shared" si="0"/>
        <v>9.7723456114874721E-2</v>
      </c>
      <c r="J22" s="8">
        <f t="shared" si="2"/>
        <v>1403.6606342516145</v>
      </c>
      <c r="K22" s="8">
        <f t="shared" si="16"/>
        <v>328.28142889213751</v>
      </c>
      <c r="L22" s="8">
        <f t="shared" si="17"/>
        <v>388.0637531704121</v>
      </c>
      <c r="M22" s="8">
        <f t="shared" si="18"/>
        <v>71.149516693556848</v>
      </c>
      <c r="N22" s="8">
        <f t="shared" si="19"/>
        <v>199.91678311244382</v>
      </c>
      <c r="O22" s="8"/>
      <c r="P22" s="8">
        <f t="shared" si="20"/>
        <v>53.494797111843567</v>
      </c>
      <c r="Q22" s="68">
        <f t="shared" si="21"/>
        <v>231.69645104100107</v>
      </c>
      <c r="R22" s="8">
        <f t="shared" si="22"/>
        <v>452.94821909244433</v>
      </c>
      <c r="S22" s="8">
        <f t="shared" si="23"/>
        <v>134.13228415959358</v>
      </c>
      <c r="T22" s="8">
        <f t="shared" si="15"/>
        <v>71.472981333297071</v>
      </c>
      <c r="U22" s="8">
        <f t="shared" si="24"/>
        <v>145.90111997950797</v>
      </c>
      <c r="V22" s="8">
        <f t="shared" si="25"/>
        <v>388.15756768828237</v>
      </c>
      <c r="W22" s="8">
        <f t="shared" si="26"/>
        <v>0</v>
      </c>
      <c r="X22" s="8"/>
      <c r="Y22" s="37">
        <f t="shared" si="1"/>
        <v>6.4244022651168575E-2</v>
      </c>
      <c r="Z22" s="38">
        <f t="shared" si="14"/>
        <v>451.12152705650573</v>
      </c>
    </row>
    <row r="23" spans="2:26" x14ac:dyDescent="0.25">
      <c r="B23" s="1">
        <v>467</v>
      </c>
      <c r="C23" t="s">
        <v>78</v>
      </c>
      <c r="D23" s="2"/>
      <c r="G23" s="2">
        <v>12034.58</v>
      </c>
      <c r="I23" s="2">
        <f t="shared" si="0"/>
        <v>4.8714708534199978E-2</v>
      </c>
      <c r="J23" s="8">
        <f>I23*$J$3</f>
        <v>699.7185875018348</v>
      </c>
      <c r="K23" s="8">
        <f>I23*$K$3</f>
        <v>163.64683323185264</v>
      </c>
      <c r="L23" s="8">
        <f>I23*$L$3</f>
        <v>193.44805617764948</v>
      </c>
      <c r="M23" s="8">
        <f>I23*$M$3</f>
        <v>35.467717842494977</v>
      </c>
      <c r="N23" s="8">
        <f>I23*$N$3</f>
        <v>99.657627836754259</v>
      </c>
      <c r="O23" s="8"/>
      <c r="P23" s="8">
        <f>I23*$P$3</f>
        <v>26.66691859870641</v>
      </c>
      <c r="Q23" s="68">
        <f>I23*$Q$3</f>
        <v>115.4996510520761</v>
      </c>
      <c r="R23" s="8">
        <f>I23*$R$3</f>
        <v>225.79267405601689</v>
      </c>
      <c r="S23" s="8">
        <f>I23*$S$3</f>
        <v>66.864347492786862</v>
      </c>
      <c r="T23" s="8">
        <f>I23*$T$3</f>
        <v>35.628963527743181</v>
      </c>
      <c r="U23" s="8">
        <f>I23*$U$3</f>
        <v>72.731059841560565</v>
      </c>
      <c r="V23" s="8">
        <f>I23*$V$3</f>
        <v>193.49482229784232</v>
      </c>
      <c r="W23" s="8">
        <f>I23*$W$3</f>
        <v>0</v>
      </c>
      <c r="X23" s="8"/>
      <c r="Y23" s="37">
        <f t="shared" si="1"/>
        <v>3.2025359754338963E-2</v>
      </c>
      <c r="Z23" s="38">
        <f>Y23*$Z$3</f>
        <v>224.88207619496819</v>
      </c>
    </row>
    <row r="24" spans="2:26" x14ac:dyDescent="0.25">
      <c r="B24" s="1">
        <v>552</v>
      </c>
      <c r="C24" t="s">
        <v>46</v>
      </c>
      <c r="D24" s="2"/>
      <c r="G24" s="2">
        <v>1227.5899999999999</v>
      </c>
      <c r="I24" s="2">
        <f t="shared" si="0"/>
        <v>4.9691546401701217E-3</v>
      </c>
      <c r="J24" s="8">
        <f t="shared" si="2"/>
        <v>71.374949589547569</v>
      </c>
      <c r="K24" s="8">
        <f t="shared" si="16"/>
        <v>16.692831491177088</v>
      </c>
      <c r="L24" s="8">
        <f t="shared" si="17"/>
        <v>19.73271184230116</v>
      </c>
      <c r="M24" s="8">
        <f t="shared" si="18"/>
        <v>3.617892418868661</v>
      </c>
      <c r="N24" s="8">
        <f t="shared" si="19"/>
        <v>10.165598413581625</v>
      </c>
      <c r="O24" s="8"/>
      <c r="P24" s="8">
        <f t="shared" si="20"/>
        <v>2.720164941575526</v>
      </c>
      <c r="Q24" s="68">
        <f t="shared" si="21"/>
        <v>11.781567502564949</v>
      </c>
      <c r="R24" s="8">
        <f t="shared" si="22"/>
        <v>23.032031757188513</v>
      </c>
      <c r="S24" s="8">
        <f t="shared" si="23"/>
        <v>6.8205125844583039</v>
      </c>
      <c r="T24" s="8">
        <f t="shared" si="15"/>
        <v>3.6343403207276235</v>
      </c>
      <c r="U24" s="8">
        <f t="shared" si="24"/>
        <v>7.4189478777739915</v>
      </c>
      <c r="V24" s="8">
        <f t="shared" si="25"/>
        <v>19.737482230755724</v>
      </c>
      <c r="W24" s="8">
        <f t="shared" si="26"/>
        <v>0</v>
      </c>
      <c r="X24" s="8"/>
      <c r="Y24" s="37">
        <f t="shared" si="1"/>
        <v>3.266753919191942E-3</v>
      </c>
      <c r="Z24" s="38">
        <f t="shared" si="14"/>
        <v>22.939146020565818</v>
      </c>
    </row>
    <row r="25" spans="2:26" x14ac:dyDescent="0.25">
      <c r="B25" s="1">
        <v>564</v>
      </c>
      <c r="C25" t="s">
        <v>87</v>
      </c>
      <c r="D25" s="2"/>
      <c r="G25" s="2">
        <v>3461.55</v>
      </c>
      <c r="I25" s="2">
        <f t="shared" si="0"/>
        <v>1.4011988729690604E-2</v>
      </c>
      <c r="J25" s="8">
        <f>I25*$J$3</f>
        <v>201.26260131778398</v>
      </c>
      <c r="K25" s="8">
        <f>I25*$K$3</f>
        <v>47.070333619762351</v>
      </c>
      <c r="L25" s="8">
        <f>I25*$L$3</f>
        <v>55.642167725150578</v>
      </c>
      <c r="M25" s="8">
        <f>I25*$M$3</f>
        <v>10.20170863442584</v>
      </c>
      <c r="N25" s="8">
        <f>I25*$N$3</f>
        <v>28.664885823877256</v>
      </c>
      <c r="O25" s="8"/>
      <c r="P25" s="8">
        <f>I25*$P$3</f>
        <v>7.6703027505199337</v>
      </c>
      <c r="Q25" s="68">
        <f>I25*$Q$3</f>
        <v>33.221584558772641</v>
      </c>
      <c r="R25" s="8">
        <f>I25*$R$3</f>
        <v>64.945567762115957</v>
      </c>
      <c r="S25" s="8">
        <f>I25*$S$3</f>
        <v>19.232435370711432</v>
      </c>
      <c r="T25" s="8">
        <f>I25*$T$3</f>
        <v>10.248088317121114</v>
      </c>
      <c r="U25" s="8">
        <f>I25*$U$3</f>
        <v>20.919899173428071</v>
      </c>
      <c r="V25" s="8">
        <f>I25*$V$3</f>
        <v>55.655619234331077</v>
      </c>
      <c r="W25" s="8">
        <f>I25*$W$3</f>
        <v>0</v>
      </c>
      <c r="X25" s="8"/>
      <c r="Y25" s="37">
        <f t="shared" si="1"/>
        <v>9.2115706620116387E-3</v>
      </c>
      <c r="Z25" s="38">
        <f>Y25*$Z$3</f>
        <v>64.683649188645731</v>
      </c>
    </row>
    <row r="26" spans="2:26" x14ac:dyDescent="0.25">
      <c r="B26" s="1">
        <v>567</v>
      </c>
      <c r="C26" t="s">
        <v>52</v>
      </c>
      <c r="D26" s="2"/>
      <c r="G26" s="2">
        <v>692.31</v>
      </c>
      <c r="I26" s="2">
        <f t="shared" si="0"/>
        <v>2.8023977459381202E-3</v>
      </c>
      <c r="J26" s="8">
        <f t="shared" si="2"/>
        <v>40.252520263556782</v>
      </c>
      <c r="K26" s="8">
        <f t="shared" si="16"/>
        <v>9.4140667239524678</v>
      </c>
      <c r="L26" s="8">
        <f t="shared" si="17"/>
        <v>11.128433545030113</v>
      </c>
      <c r="M26" s="8">
        <f t="shared" si="18"/>
        <v>2.0403417268851674</v>
      </c>
      <c r="N26" s="8">
        <f t="shared" si="19"/>
        <v>5.7329771647754502</v>
      </c>
      <c r="O26" s="8"/>
      <c r="P26" s="8">
        <f t="shared" si="20"/>
        <v>1.5340605501039863</v>
      </c>
      <c r="Q26" s="68">
        <f t="shared" si="21"/>
        <v>6.6443169117545269</v>
      </c>
      <c r="R26" s="8">
        <f t="shared" si="22"/>
        <v>12.989113552423188</v>
      </c>
      <c r="S26" s="8">
        <f t="shared" si="23"/>
        <v>3.8464870741422854</v>
      </c>
      <c r="T26" s="8">
        <f t="shared" si="15"/>
        <v>2.0496176634242222</v>
      </c>
      <c r="U26" s="8">
        <f t="shared" si="24"/>
        <v>4.1839798346856139</v>
      </c>
      <c r="V26" s="8">
        <f t="shared" si="25"/>
        <v>11.131123846866213</v>
      </c>
      <c r="W26" s="8">
        <f t="shared" si="26"/>
        <v>0</v>
      </c>
      <c r="X26" s="8"/>
      <c r="Y26" s="37">
        <f t="shared" si="1"/>
        <v>1.8423141324023277E-3</v>
      </c>
      <c r="Z26" s="38">
        <f t="shared" si="14"/>
        <v>12.936729837729144</v>
      </c>
    </row>
    <row r="27" spans="2:26" x14ac:dyDescent="0.25">
      <c r="B27" s="1">
        <v>569</v>
      </c>
      <c r="C27" t="s">
        <v>47</v>
      </c>
      <c r="D27" s="2"/>
      <c r="G27" s="2">
        <v>1340.74</v>
      </c>
      <c r="I27" s="2">
        <f t="shared" si="0"/>
        <v>5.427173887260152E-3</v>
      </c>
      <c r="J27" s="8">
        <f>I27*$J$3</f>
        <v>77.953754847049922</v>
      </c>
      <c r="K27" s="8">
        <f>I27*$K$3</f>
        <v>18.231450967734155</v>
      </c>
      <c r="L27" s="8">
        <f>I27*$L$3</f>
        <v>21.551524593265555</v>
      </c>
      <c r="M27" s="8">
        <f>I27*$M$3</f>
        <v>3.9513624920974992</v>
      </c>
      <c r="N27" s="8">
        <f>I27*$N$3</f>
        <v>11.102586708123583</v>
      </c>
      <c r="O27" s="8"/>
      <c r="P27" s="8">
        <f>I27*$P$3</f>
        <v>2.9708892576250796</v>
      </c>
      <c r="Q27" s="68">
        <f>I27*$Q$3</f>
        <v>12.867503656260585</v>
      </c>
      <c r="R27" s="8">
        <f>I27*$R$3</f>
        <v>25.154950967450805</v>
      </c>
      <c r="S27" s="8">
        <f>I27*$S$3</f>
        <v>7.449176062436667</v>
      </c>
      <c r="T27" s="8">
        <f>I27*$T$3</f>
        <v>3.9693264376643298</v>
      </c>
      <c r="U27" s="8">
        <f>I27*$U$3</f>
        <v>8.1027706136794073</v>
      </c>
      <c r="V27" s="8">
        <f>I27*$V$3</f>
        <v>21.556734680197323</v>
      </c>
      <c r="W27" s="8">
        <f>I27*$W$3</f>
        <v>0</v>
      </c>
      <c r="X27" s="8"/>
      <c r="Y27" s="37">
        <f t="shared" si="1"/>
        <v>3.5678586902935057E-3</v>
      </c>
      <c r="Z27" s="38">
        <f>Y27*$Z$3</f>
        <v>25.053503723240997</v>
      </c>
    </row>
    <row r="28" spans="2:26" x14ac:dyDescent="0.25">
      <c r="B28" s="1">
        <v>580</v>
      </c>
      <c r="C28" t="s">
        <v>88</v>
      </c>
      <c r="D28" s="2"/>
      <c r="G28" s="2">
        <v>692.31</v>
      </c>
      <c r="I28" s="2">
        <f t="shared" si="0"/>
        <v>2.8023977459381202E-3</v>
      </c>
      <c r="J28" s="8">
        <f t="shared" si="2"/>
        <v>40.252520263556782</v>
      </c>
      <c r="K28" s="8">
        <f t="shared" si="16"/>
        <v>9.4140667239524678</v>
      </c>
      <c r="L28" s="8">
        <f t="shared" si="17"/>
        <v>11.128433545030113</v>
      </c>
      <c r="M28" s="8">
        <f t="shared" si="18"/>
        <v>2.0403417268851674</v>
      </c>
      <c r="N28" s="8">
        <f t="shared" si="19"/>
        <v>5.7329771647754502</v>
      </c>
      <c r="O28" s="8"/>
      <c r="P28" s="8">
        <f t="shared" si="20"/>
        <v>1.5340605501039863</v>
      </c>
      <c r="Q28" s="68">
        <f t="shared" si="21"/>
        <v>6.6443169117545269</v>
      </c>
      <c r="R28" s="8">
        <f t="shared" si="22"/>
        <v>12.989113552423188</v>
      </c>
      <c r="S28" s="8">
        <f t="shared" si="23"/>
        <v>3.8464870741422854</v>
      </c>
      <c r="T28" s="8">
        <f t="shared" si="15"/>
        <v>2.0496176634242222</v>
      </c>
      <c r="U28" s="8">
        <f t="shared" si="24"/>
        <v>4.1839798346856139</v>
      </c>
      <c r="V28" s="8">
        <f t="shared" si="25"/>
        <v>11.131123846866213</v>
      </c>
      <c r="W28" s="8">
        <f t="shared" si="26"/>
        <v>0</v>
      </c>
      <c r="X28" s="8"/>
      <c r="Y28" s="37">
        <f t="shared" si="1"/>
        <v>1.8423141324023277E-3</v>
      </c>
      <c r="Z28" s="38">
        <f t="shared" si="14"/>
        <v>12.936729837729144</v>
      </c>
    </row>
    <row r="29" spans="2:26" x14ac:dyDescent="0.25">
      <c r="B29" s="1">
        <v>582</v>
      </c>
      <c r="C29" t="s">
        <v>48</v>
      </c>
      <c r="D29" s="2"/>
      <c r="G29" s="2">
        <v>692.31</v>
      </c>
      <c r="I29" s="2">
        <f t="shared" si="0"/>
        <v>2.8023977459381202E-3</v>
      </c>
      <c r="J29" s="8">
        <f t="shared" si="2"/>
        <v>40.252520263556782</v>
      </c>
      <c r="K29" s="8">
        <f t="shared" si="16"/>
        <v>9.4140667239524678</v>
      </c>
      <c r="L29" s="8">
        <f t="shared" si="17"/>
        <v>11.128433545030113</v>
      </c>
      <c r="M29" s="8">
        <f t="shared" si="18"/>
        <v>2.0403417268851674</v>
      </c>
      <c r="N29" s="8">
        <f t="shared" si="19"/>
        <v>5.7329771647754502</v>
      </c>
      <c r="O29" s="8"/>
      <c r="P29" s="8">
        <f t="shared" si="20"/>
        <v>1.5340605501039863</v>
      </c>
      <c r="Q29" s="68">
        <f t="shared" si="21"/>
        <v>6.6443169117545269</v>
      </c>
      <c r="R29" s="8">
        <f t="shared" si="22"/>
        <v>12.989113552423188</v>
      </c>
      <c r="S29" s="8">
        <f t="shared" si="23"/>
        <v>3.8464870741422854</v>
      </c>
      <c r="T29" s="8">
        <f t="shared" si="15"/>
        <v>2.0496176634242222</v>
      </c>
      <c r="U29" s="8">
        <f t="shared" si="24"/>
        <v>4.1839798346856139</v>
      </c>
      <c r="V29" s="8">
        <f t="shared" si="25"/>
        <v>11.131123846866213</v>
      </c>
      <c r="W29" s="8">
        <f t="shared" si="26"/>
        <v>0</v>
      </c>
      <c r="X29" s="8"/>
      <c r="Y29" s="37">
        <f t="shared" si="1"/>
        <v>1.8423141324023277E-3</v>
      </c>
      <c r="Z29" s="38">
        <f t="shared" si="14"/>
        <v>12.936729837729144</v>
      </c>
    </row>
    <row r="30" spans="2:26" x14ac:dyDescent="0.25">
      <c r="B30" s="1">
        <v>610</v>
      </c>
      <c r="C30" t="s">
        <v>53</v>
      </c>
      <c r="D30" s="2"/>
      <c r="G30" s="2">
        <v>12773.08</v>
      </c>
      <c r="I30" s="2">
        <f t="shared" si="0"/>
        <v>5.1704078520731014E-2</v>
      </c>
      <c r="J30" s="8">
        <f t="shared" si="2"/>
        <v>742.65670224037206</v>
      </c>
      <c r="K30" s="8">
        <f t="shared" si="16"/>
        <v>173.68899393390649</v>
      </c>
      <c r="L30" s="8">
        <f t="shared" si="17"/>
        <v>205.31896396896369</v>
      </c>
      <c r="M30" s="8">
        <f t="shared" si="18"/>
        <v>37.644188448588629</v>
      </c>
      <c r="N30" s="8">
        <f t="shared" si="19"/>
        <v>105.77310159300026</v>
      </c>
      <c r="O30" s="8"/>
      <c r="P30" s="8">
        <f t="shared" si="20"/>
        <v>28.303329623033363</v>
      </c>
      <c r="Q30" s="68">
        <f t="shared" si="21"/>
        <v>122.58726792794199</v>
      </c>
      <c r="R30" s="8">
        <f t="shared" si="22"/>
        <v>239.64840394358825</v>
      </c>
      <c r="S30" s="8">
        <f t="shared" si="23"/>
        <v>70.967467055199762</v>
      </c>
      <c r="T30" s="8">
        <f t="shared" si="15"/>
        <v>37.815328948492251</v>
      </c>
      <c r="U30" s="8">
        <f t="shared" si="24"/>
        <v>77.194189231451404</v>
      </c>
      <c r="V30" s="8">
        <f t="shared" si="25"/>
        <v>205.36859988434358</v>
      </c>
      <c r="W30" s="8">
        <f t="shared" si="26"/>
        <v>0</v>
      </c>
      <c r="X30" s="8"/>
      <c r="Y30" s="37">
        <f t="shared" si="1"/>
        <v>3.3990590628916996E-2</v>
      </c>
      <c r="Z30" s="38">
        <f t="shared" si="14"/>
        <v>238.68192739625513</v>
      </c>
    </row>
    <row r="31" spans="2:26" x14ac:dyDescent="0.25">
      <c r="B31" s="1">
        <v>620</v>
      </c>
      <c r="C31" t="s">
        <v>54</v>
      </c>
      <c r="D31" s="2"/>
      <c r="G31" s="2">
        <v>12184.62</v>
      </c>
      <c r="I31" s="2">
        <f t="shared" si="0"/>
        <v>4.9322054604313888E-2</v>
      </c>
      <c r="J31" s="8">
        <f t="shared" si="2"/>
        <v>708.44226351452301</v>
      </c>
      <c r="K31" s="8">
        <f t="shared" si="16"/>
        <v>165.68708481172561</v>
      </c>
      <c r="L31" s="8">
        <f t="shared" si="17"/>
        <v>195.85985171591463</v>
      </c>
      <c r="M31" s="8">
        <f t="shared" si="18"/>
        <v>35.909908295762811</v>
      </c>
      <c r="N31" s="8">
        <f t="shared" si="19"/>
        <v>100.90009998622909</v>
      </c>
      <c r="O31" s="8"/>
      <c r="P31" s="8">
        <f t="shared" si="20"/>
        <v>26.999385910947463</v>
      </c>
      <c r="Q31" s="68">
        <f t="shared" si="21"/>
        <v>116.93963214355198</v>
      </c>
      <c r="R31" s="8">
        <f t="shared" si="22"/>
        <v>228.60772309099488</v>
      </c>
      <c r="S31" s="8">
        <f t="shared" si="23"/>
        <v>67.69797248824311</v>
      </c>
      <c r="T31" s="8">
        <f t="shared" si="15"/>
        <v>36.073164296503094</v>
      </c>
      <c r="U31" s="8">
        <f t="shared" si="24"/>
        <v>73.637827524240635</v>
      </c>
      <c r="V31" s="8">
        <f t="shared" si="25"/>
        <v>195.90720088833476</v>
      </c>
      <c r="W31" s="8">
        <f t="shared" si="26"/>
        <v>0</v>
      </c>
      <c r="X31" s="8"/>
      <c r="Y31" s="37">
        <f t="shared" si="1"/>
        <v>3.2424632930265422E-2</v>
      </c>
      <c r="Z31" s="38">
        <f t="shared" si="14"/>
        <v>227.68577243632379</v>
      </c>
    </row>
    <row r="32" spans="2:26" x14ac:dyDescent="0.25">
      <c r="B32" s="1">
        <v>630</v>
      </c>
      <c r="C32" t="s">
        <v>55</v>
      </c>
      <c r="D32" s="2"/>
      <c r="G32" s="2">
        <v>2838.45</v>
      </c>
      <c r="I32" s="2">
        <f t="shared" si="0"/>
        <v>1.1489745752564687E-2</v>
      </c>
      <c r="J32" s="8">
        <f t="shared" si="2"/>
        <v>165.03411209153813</v>
      </c>
      <c r="K32" s="8">
        <f t="shared" si="16"/>
        <v>38.597388009133027</v>
      </c>
      <c r="L32" s="8">
        <f t="shared" si="17"/>
        <v>45.626239973264475</v>
      </c>
      <c r="M32" s="8">
        <f t="shared" si="18"/>
        <v>8.365339190069772</v>
      </c>
      <c r="N32" s="8">
        <f t="shared" si="19"/>
        <v>23.505032475851682</v>
      </c>
      <c r="O32" s="8"/>
      <c r="P32" s="8">
        <f t="shared" si="20"/>
        <v>6.2896017224114349</v>
      </c>
      <c r="Q32" s="68">
        <f t="shared" si="21"/>
        <v>27.241497794585719</v>
      </c>
      <c r="R32" s="8">
        <f t="shared" si="22"/>
        <v>53.254971563137325</v>
      </c>
      <c r="S32" s="8">
        <f t="shared" si="23"/>
        <v>15.770480327597712</v>
      </c>
      <c r="T32" s="8">
        <f t="shared" si="15"/>
        <v>8.4033702485107611</v>
      </c>
      <c r="U32" s="8">
        <f t="shared" si="24"/>
        <v>17.154190408579076</v>
      </c>
      <c r="V32" s="8">
        <f t="shared" si="25"/>
        <v>45.637270129186938</v>
      </c>
      <c r="W32" s="8">
        <f t="shared" si="26"/>
        <v>0</v>
      </c>
      <c r="X32" s="8"/>
      <c r="Y32" s="37">
        <f t="shared" si="1"/>
        <v>7.5534320595071385E-3</v>
      </c>
      <c r="Z32" s="38">
        <f t="shared" si="14"/>
        <v>53.040199921859127</v>
      </c>
    </row>
    <row r="33" spans="2:27" x14ac:dyDescent="0.25">
      <c r="B33" s="1">
        <v>640</v>
      </c>
      <c r="C33" t="s">
        <v>89</v>
      </c>
      <c r="D33" s="2"/>
      <c r="G33" s="2">
        <v>0</v>
      </c>
      <c r="I33" s="2">
        <f t="shared" si="0"/>
        <v>0</v>
      </c>
      <c r="J33" s="8">
        <f t="shared" si="2"/>
        <v>0</v>
      </c>
      <c r="K33" s="8">
        <f t="shared" si="16"/>
        <v>0</v>
      </c>
      <c r="L33" s="8">
        <f t="shared" si="17"/>
        <v>0</v>
      </c>
      <c r="M33" s="8">
        <f t="shared" si="18"/>
        <v>0</v>
      </c>
      <c r="N33" s="8">
        <f t="shared" si="19"/>
        <v>0</v>
      </c>
      <c r="O33" s="8"/>
      <c r="P33" s="8">
        <f t="shared" si="20"/>
        <v>0</v>
      </c>
      <c r="Q33" s="68">
        <f t="shared" si="21"/>
        <v>0</v>
      </c>
      <c r="R33" s="8">
        <f t="shared" si="22"/>
        <v>0</v>
      </c>
      <c r="S33" s="8">
        <f t="shared" si="23"/>
        <v>0</v>
      </c>
      <c r="T33" s="8">
        <f t="shared" si="15"/>
        <v>0</v>
      </c>
      <c r="U33" s="8">
        <f t="shared" si="24"/>
        <v>0</v>
      </c>
      <c r="V33" s="8">
        <f t="shared" si="25"/>
        <v>0</v>
      </c>
      <c r="W33" s="8">
        <f t="shared" si="26"/>
        <v>0</v>
      </c>
      <c r="X33" s="8"/>
      <c r="Y33" s="37">
        <f t="shared" si="1"/>
        <v>0</v>
      </c>
      <c r="Z33" s="38">
        <f t="shared" si="14"/>
        <v>0</v>
      </c>
    </row>
    <row r="34" spans="2:27" x14ac:dyDescent="0.25">
      <c r="B34" s="1">
        <v>650</v>
      </c>
      <c r="C34" t="s">
        <v>56</v>
      </c>
      <c r="D34" s="2"/>
      <c r="G34" s="53">
        <f>4432.75-1278.88</f>
        <v>3153.87</v>
      </c>
      <c r="H34" s="53"/>
      <c r="I34" s="2">
        <f t="shared" si="0"/>
        <v>1.2766532592309601E-2</v>
      </c>
      <c r="J34" s="8">
        <f t="shared" si="2"/>
        <v>183.37336754289819</v>
      </c>
      <c r="K34" s="8">
        <f t="shared" si="16"/>
        <v>42.886485272019719</v>
      </c>
      <c r="L34" s="8">
        <f t="shared" si="17"/>
        <v>50.696411585365119</v>
      </c>
      <c r="M34" s="8">
        <f t="shared" si="18"/>
        <v>9.2949293844828524</v>
      </c>
      <c r="N34" s="8">
        <f t="shared" si="19"/>
        <v>26.117006385391445</v>
      </c>
      <c r="O34" s="8"/>
      <c r="P34" s="8">
        <f t="shared" si="20"/>
        <v>6.9885276063561985</v>
      </c>
      <c r="Q34" s="68">
        <f t="shared" si="21"/>
        <v>30.268682784410526</v>
      </c>
      <c r="R34" s="8">
        <f t="shared" si="22"/>
        <v>59.172878565354999</v>
      </c>
      <c r="S34" s="8">
        <f t="shared" si="23"/>
        <v>17.522959640226389</v>
      </c>
      <c r="T34" s="8">
        <f t="shared" si="15"/>
        <v>9.337186607363396</v>
      </c>
      <c r="U34" s="8">
        <f t="shared" si="24"/>
        <v>19.060433160318233</v>
      </c>
      <c r="V34" s="8">
        <f t="shared" si="25"/>
        <v>50.708667456653735</v>
      </c>
      <c r="W34" s="8">
        <f t="shared" si="26"/>
        <v>0</v>
      </c>
      <c r="X34" s="8"/>
      <c r="Y34" s="37">
        <f t="shared" si="1"/>
        <v>8.392799862431178E-3</v>
      </c>
      <c r="Z34" s="38">
        <f t="shared" si="14"/>
        <v>58.934240633991735</v>
      </c>
    </row>
    <row r="35" spans="2:27" x14ac:dyDescent="0.25">
      <c r="B35" s="1">
        <v>660</v>
      </c>
      <c r="C35" t="s">
        <v>93</v>
      </c>
      <c r="D35" s="2"/>
      <c r="G35" s="2">
        <v>0.01</v>
      </c>
      <c r="I35" s="2">
        <f t="shared" si="0"/>
        <v>4.0478943622627443E-8</v>
      </c>
      <c r="J35" s="8">
        <f t="shared" si="2"/>
        <v>5.8142335461797156E-4</v>
      </c>
      <c r="K35" s="8">
        <f t="shared" si="16"/>
        <v>1.3598051052205614E-4</v>
      </c>
      <c r="L35" s="8">
        <f t="shared" si="17"/>
        <v>1.6074350428319848E-4</v>
      </c>
      <c r="M35" s="8">
        <f t="shared" si="18"/>
        <v>2.9471504483326363E-5</v>
      </c>
      <c r="N35" s="8">
        <f t="shared" si="19"/>
        <v>8.2809394126553862E-5</v>
      </c>
      <c r="O35" s="8"/>
      <c r="P35" s="8">
        <f t="shared" si="20"/>
        <v>2.2158578528462488E-5</v>
      </c>
      <c r="Q35" s="68">
        <f t="shared" si="21"/>
        <v>9.5973146592632318E-5</v>
      </c>
      <c r="R35" s="8">
        <f t="shared" si="22"/>
        <v>1.8761990369087819E-4</v>
      </c>
      <c r="S35" s="8">
        <f t="shared" si="23"/>
        <v>5.5560183648109744E-5</v>
      </c>
      <c r="T35" s="8">
        <f t="shared" si="15"/>
        <v>2.9605489786717259E-5</v>
      </c>
      <c r="U35" s="8">
        <f t="shared" si="24"/>
        <v>6.043506282858277E-5</v>
      </c>
      <c r="V35" s="8">
        <f t="shared" si="25"/>
        <v>1.607823640690762E-4</v>
      </c>
      <c r="W35" s="8">
        <f t="shared" si="26"/>
        <v>0</v>
      </c>
      <c r="X35" s="8"/>
      <c r="Y35" s="37">
        <f t="shared" si="1"/>
        <v>2.6611115430982188E-8</v>
      </c>
      <c r="Z35" s="38">
        <f t="shared" si="14"/>
        <v>1.8686325255635693E-4</v>
      </c>
    </row>
    <row r="36" spans="2:27" x14ac:dyDescent="0.25">
      <c r="D36" s="2"/>
      <c r="I36" s="2"/>
      <c r="J36" s="8"/>
      <c r="K36" s="8"/>
      <c r="L36" s="8"/>
      <c r="M36" s="8"/>
      <c r="N36" s="8"/>
      <c r="O36" s="8"/>
      <c r="P36" s="8"/>
      <c r="Q36" s="68"/>
      <c r="R36" s="8"/>
      <c r="S36" s="8"/>
      <c r="T36" s="8">
        <f t="shared" si="15"/>
        <v>0</v>
      </c>
      <c r="U36" s="8"/>
      <c r="V36" s="8"/>
      <c r="W36" s="8"/>
      <c r="X36" s="8"/>
      <c r="Y36" s="37"/>
      <c r="Z36" s="38"/>
    </row>
    <row r="37" spans="2:27" x14ac:dyDescent="0.25">
      <c r="F37" s="8">
        <f>SUM(G6:G36)</f>
        <v>247042.01999999996</v>
      </c>
      <c r="J37" s="8">
        <f t="shared" ref="J37" si="27">I37*$J$3</f>
        <v>0</v>
      </c>
      <c r="K37" s="8">
        <f t="shared" ref="K37" si="28">I37*$K$3</f>
        <v>0</v>
      </c>
      <c r="L37" s="8">
        <f t="shared" ref="L37" si="29">I37*$L$3</f>
        <v>0</v>
      </c>
      <c r="M37" s="8">
        <f t="shared" ref="M37" si="30">I37*$M$3</f>
        <v>0</v>
      </c>
      <c r="N37" s="8">
        <f t="shared" ref="N37" si="31">I37*$N$3</f>
        <v>0</v>
      </c>
      <c r="O37" s="8"/>
      <c r="P37" s="8">
        <f t="shared" ref="P37" si="32">I37*$P$3</f>
        <v>0</v>
      </c>
      <c r="Q37" s="68">
        <f t="shared" ref="Q37" si="33">I37*$Q$3</f>
        <v>0</v>
      </c>
      <c r="R37" s="8">
        <f t="shared" ref="R37" si="34">I37*$R$3</f>
        <v>0</v>
      </c>
      <c r="S37" s="8">
        <f>I37*$S$3</f>
        <v>0</v>
      </c>
      <c r="T37" s="8">
        <f t="shared" si="15"/>
        <v>0</v>
      </c>
      <c r="U37" s="8">
        <f t="shared" ref="U37" si="35">I37*$U$3</f>
        <v>0</v>
      </c>
      <c r="V37" s="8">
        <f t="shared" ref="V37" si="36">I37*$V$3</f>
        <v>0</v>
      </c>
      <c r="W37" s="8">
        <f t="shared" ref="W37" si="37">I37*$W$3</f>
        <v>0</v>
      </c>
      <c r="X37" s="8"/>
      <c r="Y37" s="37">
        <f>G37/$G$39</f>
        <v>0</v>
      </c>
      <c r="Z37" s="38">
        <f t="shared" ref="Z37:Z38" si="38">Y37*$Z$3</f>
        <v>0</v>
      </c>
    </row>
    <row r="38" spans="2:27" x14ac:dyDescent="0.25">
      <c r="B38" s="45">
        <v>451</v>
      </c>
      <c r="C38" s="32" t="s">
        <v>60</v>
      </c>
      <c r="D38" s="32"/>
      <c r="E38" s="32"/>
      <c r="F38" s="32"/>
      <c r="G38" s="31">
        <v>128740.8</v>
      </c>
      <c r="H38" s="31"/>
      <c r="I38" s="46"/>
      <c r="J38" s="29"/>
      <c r="K38" s="29"/>
      <c r="L38" s="29"/>
      <c r="M38" s="29"/>
      <c r="N38" s="32"/>
      <c r="O38" s="32"/>
      <c r="P38" s="32"/>
      <c r="Q38" s="72"/>
      <c r="R38" s="32"/>
      <c r="S38" s="32"/>
      <c r="T38" s="32"/>
      <c r="U38" s="32"/>
      <c r="V38" s="32"/>
      <c r="W38" s="32"/>
      <c r="X38" s="32"/>
      <c r="Y38" s="47">
        <f>G38/$G$39</f>
        <v>0.34259362894769918</v>
      </c>
      <c r="Z38" s="48">
        <f t="shared" si="38"/>
        <v>2405.6924624707435</v>
      </c>
    </row>
    <row r="39" spans="2:27" ht="15.75" thickBot="1" x14ac:dyDescent="0.3">
      <c r="G39" s="34">
        <f>F37+G38</f>
        <v>375782.81999999995</v>
      </c>
      <c r="H39" s="34"/>
      <c r="I39" s="54">
        <f>SUM(I6:I38)</f>
        <v>1.0000000000000002</v>
      </c>
      <c r="J39" s="54">
        <f>SUM(J6:J38)</f>
        <v>14363.600000000008</v>
      </c>
      <c r="K39" s="54">
        <f t="shared" ref="K39:Z39" si="39">SUM(K6:K38)</f>
        <v>3359.2900000000013</v>
      </c>
      <c r="L39" s="54">
        <f t="shared" si="39"/>
        <v>3971.04</v>
      </c>
      <c r="M39" s="54">
        <f t="shared" si="39"/>
        <v>728.07</v>
      </c>
      <c r="N39" s="54">
        <f t="shared" si="39"/>
        <v>2045.7400000000009</v>
      </c>
      <c r="O39" s="54">
        <f t="shared" si="39"/>
        <v>0</v>
      </c>
      <c r="P39" s="54">
        <f t="shared" si="39"/>
        <v>547.41000000000008</v>
      </c>
      <c r="Q39" s="73">
        <f t="shared" si="39"/>
        <v>2370.9400000000005</v>
      </c>
      <c r="R39" s="54">
        <f t="shared" si="39"/>
        <v>4635.0000000000009</v>
      </c>
      <c r="S39" s="54">
        <f t="shared" si="39"/>
        <v>1372.5700000000002</v>
      </c>
      <c r="T39" s="54">
        <f t="shared" si="39"/>
        <v>731.38000000000011</v>
      </c>
      <c r="U39" s="54">
        <f t="shared" si="39"/>
        <v>1493.0000000000009</v>
      </c>
      <c r="V39" s="54">
        <f t="shared" si="39"/>
        <v>3972</v>
      </c>
      <c r="W39" s="54">
        <f t="shared" si="39"/>
        <v>0</v>
      </c>
      <c r="X39" s="54">
        <f t="shared" si="39"/>
        <v>0</v>
      </c>
      <c r="Y39" s="54">
        <f t="shared" si="39"/>
        <v>1</v>
      </c>
      <c r="Z39" s="54">
        <f t="shared" si="39"/>
        <v>7022.0000000000009</v>
      </c>
      <c r="AA39" s="8"/>
    </row>
    <row r="40" spans="2:27" ht="16.5" thickTop="1" thickBot="1" x14ac:dyDescent="0.3">
      <c r="G40" s="22" t="s">
        <v>61</v>
      </c>
      <c r="H40" s="22"/>
      <c r="I40" s="41" t="s">
        <v>62</v>
      </c>
    </row>
    <row r="41" spans="2:27" x14ac:dyDescent="0.25">
      <c r="C41" s="17">
        <v>43406</v>
      </c>
      <c r="D41" s="23"/>
      <c r="E41" s="23"/>
      <c r="F41" s="23"/>
      <c r="G41" s="18">
        <v>83007.960000000006</v>
      </c>
      <c r="H41" s="18"/>
      <c r="I41" s="42">
        <v>25182.73</v>
      </c>
      <c r="J41" s="2">
        <v>4830</v>
      </c>
      <c r="K41" s="2">
        <v>1129.5999999999999</v>
      </c>
      <c r="L41" s="2">
        <v>1416.11</v>
      </c>
      <c r="M41" s="2">
        <v>259.61</v>
      </c>
      <c r="N41" s="2">
        <v>723.95</v>
      </c>
    </row>
    <row r="42" spans="2:27" x14ac:dyDescent="0.25">
      <c r="C42" s="19">
        <v>43420</v>
      </c>
      <c r="D42" s="24"/>
      <c r="E42" s="24"/>
      <c r="F42" s="24"/>
      <c r="G42" s="2">
        <v>81440.08</v>
      </c>
      <c r="I42" s="43">
        <v>0</v>
      </c>
      <c r="J42" s="2">
        <v>4746.95</v>
      </c>
      <c r="K42" s="2">
        <v>1110.22</v>
      </c>
      <c r="L42" s="2">
        <v>1300.96</v>
      </c>
      <c r="M42" s="2">
        <v>238.53</v>
      </c>
      <c r="N42" s="2">
        <v>665.08</v>
      </c>
    </row>
    <row r="43" spans="2:27" ht="15.75" thickBot="1" x14ac:dyDescent="0.3">
      <c r="C43" s="19">
        <v>43434</v>
      </c>
      <c r="D43" s="24"/>
      <c r="E43" s="24"/>
      <c r="F43" s="24"/>
      <c r="G43" s="2">
        <v>82593.98</v>
      </c>
      <c r="I43" s="43"/>
      <c r="J43" s="2">
        <v>4786.6499999999996</v>
      </c>
      <c r="K43" s="2">
        <v>1119.47</v>
      </c>
      <c r="L43" s="2">
        <v>1253.97</v>
      </c>
      <c r="M43" s="2">
        <v>229.93</v>
      </c>
      <c r="N43" s="2">
        <v>656.71</v>
      </c>
    </row>
    <row r="44" spans="2:27" ht="15.75" thickBot="1" x14ac:dyDescent="0.3">
      <c r="C44" s="20"/>
      <c r="D44" s="20"/>
      <c r="E44" s="20"/>
      <c r="F44" s="20"/>
      <c r="G44" s="21">
        <f>SUM(G41:G43)</f>
        <v>247042.02000000002</v>
      </c>
      <c r="H44" s="5"/>
      <c r="I44" s="44"/>
      <c r="J44" s="27">
        <f>SUM(J41:J43)</f>
        <v>14363.6</v>
      </c>
      <c r="K44" s="28">
        <f t="shared" ref="K44:N44" si="40">SUM(K41:K43)</f>
        <v>3359.29</v>
      </c>
      <c r="L44" s="28">
        <f>SUM(L41:L43)</f>
        <v>3971.04</v>
      </c>
      <c r="M44" s="28">
        <f t="shared" ref="M44" si="41">SUM(M41:M43)</f>
        <v>728.06999999999994</v>
      </c>
      <c r="N44" s="25">
        <f t="shared" si="40"/>
        <v>2045.7400000000002</v>
      </c>
    </row>
    <row r="45" spans="2:27" ht="15.75" thickBot="1" x14ac:dyDescent="0.3">
      <c r="G45" s="2">
        <f>G38</f>
        <v>128740.8</v>
      </c>
    </row>
    <row r="46" spans="2:27" ht="15.75" thickBot="1" x14ac:dyDescent="0.3">
      <c r="G46" s="33">
        <f>SUM(G44:G45)</f>
        <v>375782.82</v>
      </c>
      <c r="H46" s="31"/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  <pageSetUpPr fitToPage="1"/>
  </sheetPr>
  <dimension ref="B1:AA44"/>
  <sheetViews>
    <sheetView zoomScale="85" zoomScaleNormal="85" workbookViewId="0">
      <selection activeCell="Z18" sqref="Z18"/>
    </sheetView>
  </sheetViews>
  <sheetFormatPr defaultRowHeight="15" x14ac:dyDescent="0.25"/>
  <cols>
    <col min="1" max="1" width="1.28515625" customWidth="1"/>
    <col min="2" max="2" width="7.42578125" style="1" customWidth="1"/>
    <col min="3" max="3" width="22" customWidth="1"/>
    <col min="4" max="4" width="9" hidden="1" customWidth="1"/>
    <col min="5" max="5" width="8.140625" hidden="1" customWidth="1"/>
    <col min="6" max="6" width="11.5703125" hidden="1" customWidth="1"/>
    <col min="7" max="8" width="13.85546875" style="2" customWidth="1"/>
    <col min="9" max="9" width="10.5703125" style="2" customWidth="1"/>
    <col min="10" max="10" width="13.42578125" customWidth="1"/>
    <col min="11" max="11" width="11.5703125" customWidth="1"/>
    <col min="12" max="12" width="9.28515625" customWidth="1"/>
    <col min="13" max="13" width="11.140625" customWidth="1"/>
    <col min="14" max="14" width="12" customWidth="1"/>
    <col min="15" max="15" width="2.28515625" customWidth="1"/>
    <col min="16" max="16" width="11.140625" bestFit="1" customWidth="1"/>
    <col min="17" max="23" width="12" customWidth="1"/>
    <col min="24" max="24" width="2.85546875" customWidth="1"/>
    <col min="25" max="25" width="8.5703125" customWidth="1"/>
    <col min="26" max="26" width="11.85546875" customWidth="1"/>
    <col min="27" max="27" width="12.7109375" customWidth="1"/>
  </cols>
  <sheetData>
    <row r="1" spans="2:27" ht="15.75" thickBot="1" x14ac:dyDescent="0.3">
      <c r="B1" s="2" t="s">
        <v>94</v>
      </c>
      <c r="J1">
        <v>7251</v>
      </c>
      <c r="K1">
        <v>7252</v>
      </c>
      <c r="L1">
        <v>7253</v>
      </c>
      <c r="M1">
        <v>7254</v>
      </c>
      <c r="N1">
        <v>7260</v>
      </c>
      <c r="P1">
        <v>8112</v>
      </c>
      <c r="Q1">
        <v>8229</v>
      </c>
      <c r="R1">
        <v>7521</v>
      </c>
      <c r="S1">
        <v>8266</v>
      </c>
      <c r="T1">
        <v>8210.5</v>
      </c>
      <c r="U1">
        <v>8135.5</v>
      </c>
      <c r="V1">
        <v>8239</v>
      </c>
      <c r="W1">
        <v>7515.5</v>
      </c>
      <c r="Z1">
        <v>7248</v>
      </c>
    </row>
    <row r="2" spans="2:27" ht="15.75" thickBot="1" x14ac:dyDescent="0.3"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/>
      <c r="P2" t="s">
        <v>8</v>
      </c>
      <c r="Q2" t="s">
        <v>12</v>
      </c>
      <c r="R2" t="s">
        <v>7</v>
      </c>
      <c r="S2" t="s">
        <v>83</v>
      </c>
      <c r="T2" t="s">
        <v>11</v>
      </c>
      <c r="U2" t="s">
        <v>9</v>
      </c>
      <c r="V2" t="s">
        <v>13</v>
      </c>
      <c r="W2" t="s">
        <v>6</v>
      </c>
      <c r="X2" s="2"/>
      <c r="Y2" s="35"/>
      <c r="Z2" s="36" t="s">
        <v>15</v>
      </c>
      <c r="AA2" s="2"/>
    </row>
    <row r="3" spans="2:27" ht="15.75" thickBot="1" x14ac:dyDescent="0.3">
      <c r="J3" s="2">
        <v>10142.89</v>
      </c>
      <c r="K3" s="2">
        <v>2372.15</v>
      </c>
      <c r="L3" s="2">
        <v>3018.9</v>
      </c>
      <c r="M3" s="2">
        <v>654.1</v>
      </c>
      <c r="N3" s="2">
        <v>1338.78</v>
      </c>
      <c r="O3" s="2"/>
      <c r="P3" s="27">
        <v>0</v>
      </c>
      <c r="Q3" s="30">
        <v>2321.34</v>
      </c>
      <c r="R3" s="30">
        <v>8382.41</v>
      </c>
      <c r="S3" s="28">
        <v>3972.48</v>
      </c>
      <c r="T3" s="30">
        <v>1040.22</v>
      </c>
      <c r="U3" s="30">
        <v>1911.13</v>
      </c>
      <c r="V3" s="28">
        <v>1944.31</v>
      </c>
      <c r="W3" s="28">
        <v>1490</v>
      </c>
      <c r="X3" s="2"/>
      <c r="Y3" s="37"/>
      <c r="Z3" s="38">
        <v>7022</v>
      </c>
      <c r="AA3" s="2"/>
    </row>
    <row r="4" spans="2:27" ht="15.75" thickBot="1" x14ac:dyDescent="0.3">
      <c r="Y4" s="39"/>
      <c r="Z4" s="40">
        <v>0.04</v>
      </c>
    </row>
    <row r="5" spans="2:27" ht="15.75" thickBot="1" x14ac:dyDescent="0.3">
      <c r="D5">
        <v>7222</v>
      </c>
      <c r="E5" t="s">
        <v>16</v>
      </c>
      <c r="F5" t="s">
        <v>17</v>
      </c>
      <c r="G5" s="2" t="s">
        <v>92</v>
      </c>
      <c r="T5" s="10">
        <f>SUM(T3:T4)</f>
        <v>1040.22</v>
      </c>
      <c r="Y5" s="39"/>
      <c r="Z5" s="40"/>
    </row>
    <row r="6" spans="2:27" x14ac:dyDescent="0.25">
      <c r="B6" s="1">
        <v>41</v>
      </c>
      <c r="C6" t="s">
        <v>19</v>
      </c>
      <c r="D6" s="2"/>
      <c r="E6" s="26"/>
      <c r="F6" s="26"/>
      <c r="G6" s="6">
        <v>2240</v>
      </c>
      <c r="H6" s="6"/>
      <c r="I6" s="6">
        <f>G6/$F$36</f>
        <v>1.287979141177808E-2</v>
      </c>
      <c r="J6" s="68">
        <f>I6*$J$3</f>
        <v>130.63830751260977</v>
      </c>
      <c r="K6" s="172">
        <f>I6*$K$3</f>
        <v>30.552797197449372</v>
      </c>
      <c r="L6" s="172">
        <f>I6*$L$3</f>
        <v>38.882802293016844</v>
      </c>
      <c r="M6" s="172">
        <f>I6*$M$3</f>
        <v>8.4246715624440434</v>
      </c>
      <c r="N6" s="172">
        <f>I6*$N$3</f>
        <v>17.243207146260257</v>
      </c>
      <c r="O6" s="7"/>
      <c r="P6" s="7">
        <f>I6*$P$3</f>
        <v>0</v>
      </c>
      <c r="Q6" s="172">
        <f>I6*$Q$3</f>
        <v>29.89837499581693</v>
      </c>
      <c r="R6" s="172">
        <f>I6*$R$3</f>
        <v>107.96369232800269</v>
      </c>
      <c r="S6" s="172">
        <f>I6*$S$3</f>
        <v>51.164713787460187</v>
      </c>
      <c r="T6" s="172">
        <f>I6*$T$5</f>
        <v>13.397816622359795</v>
      </c>
      <c r="U6" s="172">
        <f>I6*$U$3</f>
        <v>24.614955760791442</v>
      </c>
      <c r="V6" s="172">
        <f>I6*$V$3</f>
        <v>25.042307239834237</v>
      </c>
      <c r="W6" s="172">
        <f>I6*$W$3</f>
        <v>19.190889203549339</v>
      </c>
      <c r="X6" s="7"/>
      <c r="Y6" s="37">
        <f>G6/$G$38</f>
        <v>7.5423260014853642E-3</v>
      </c>
      <c r="Z6" s="80">
        <f>Y6*$Z$3</f>
        <v>52.962213182430226</v>
      </c>
    </row>
    <row r="7" spans="2:27" x14ac:dyDescent="0.25">
      <c r="B7" s="1">
        <v>111</v>
      </c>
      <c r="C7" t="s">
        <v>20</v>
      </c>
      <c r="D7" s="2"/>
      <c r="G7" s="81">
        <f>31493.78+1090.38</f>
        <v>32584.16</v>
      </c>
      <c r="I7" s="2">
        <f>G7/$F$36</f>
        <v>0.18735588577142986</v>
      </c>
      <c r="J7" s="90">
        <f t="shared" ref="J7:J34" si="0">I7*$J$3</f>
        <v>1900.3301402321781</v>
      </c>
      <c r="K7" s="90">
        <f t="shared" ref="K7:K12" si="1">I7*$K$3</f>
        <v>444.43626443269739</v>
      </c>
      <c r="L7" s="90">
        <f t="shared" ref="L7:L12" si="2">I7*$L$3</f>
        <v>565.60868355536968</v>
      </c>
      <c r="M7" s="172">
        <f t="shared" ref="M7:M34" si="3">I7*$M$3</f>
        <v>122.54948488309228</v>
      </c>
      <c r="N7" s="90">
        <f>I7*$N$3</f>
        <v>250.82831275307487</v>
      </c>
      <c r="O7" s="8"/>
      <c r="P7" s="91">
        <f t="shared" ref="P7:P12" si="4">I7*$P$3</f>
        <v>0</v>
      </c>
      <c r="Q7" s="90">
        <f>I7*$Q$3</f>
        <v>434.91671187665105</v>
      </c>
      <c r="R7" s="90">
        <f>I7*$R$3</f>
        <v>1570.4938504492914</v>
      </c>
      <c r="S7" s="68">
        <f>I7*$S$3</f>
        <v>744.26750910928968</v>
      </c>
      <c r="T7" s="90">
        <f>I7*$T$5</f>
        <v>194.89133949715679</v>
      </c>
      <c r="U7" s="90">
        <f>I7*$U$3</f>
        <v>358.06145397435279</v>
      </c>
      <c r="V7" s="90">
        <f>I7*$V$3</f>
        <v>364.27792226424879</v>
      </c>
      <c r="W7" s="90">
        <f>I7*$W$3</f>
        <v>279.16026979943052</v>
      </c>
      <c r="X7" s="8"/>
      <c r="Y7" s="37">
        <f>G7/$G$38</f>
        <v>0.10971444518060686</v>
      </c>
      <c r="Z7" s="80">
        <f>Y7*$Z$3</f>
        <v>770.41483405822135</v>
      </c>
    </row>
    <row r="8" spans="2:27" x14ac:dyDescent="0.25">
      <c r="B8" s="1" t="s">
        <v>23</v>
      </c>
      <c r="C8" t="s">
        <v>24</v>
      </c>
      <c r="D8" s="2"/>
      <c r="G8" s="2">
        <v>3828.67</v>
      </c>
      <c r="I8" s="2">
        <f>G8/$F$36</f>
        <v>2.2014495975237674E-2</v>
      </c>
      <c r="J8" s="68">
        <f>I8*$J$3</f>
        <v>223.29061108227845</v>
      </c>
      <c r="K8" s="68">
        <f>I8*$K$3</f>
        <v>52.221686627660048</v>
      </c>
      <c r="L8" s="68">
        <f>I8*$L$3</f>
        <v>66.45956189964501</v>
      </c>
      <c r="M8" s="172">
        <f t="shared" si="3"/>
        <v>14.399681817402962</v>
      </c>
      <c r="N8" s="68">
        <f>I8*$N$3</f>
        <v>29.472566921728692</v>
      </c>
      <c r="O8" s="8"/>
      <c r="P8" s="8">
        <f t="shared" si="4"/>
        <v>0</v>
      </c>
      <c r="Q8" s="68">
        <f>I8*$Q$3</f>
        <v>51.103130087158227</v>
      </c>
      <c r="R8" s="68">
        <f>I8*$R$3</f>
        <v>184.53453120779201</v>
      </c>
      <c r="S8" s="68">
        <f>I8*$S$3</f>
        <v>87.452144971712158</v>
      </c>
      <c r="T8" s="68">
        <f>I8*$T$5</f>
        <v>22.899919003361735</v>
      </c>
      <c r="U8" s="68">
        <f>I8*$U$3</f>
        <v>42.072563693155978</v>
      </c>
      <c r="V8" s="68">
        <f>I8*$V$3</f>
        <v>42.80300466961436</v>
      </c>
      <c r="W8" s="68">
        <f>I8*$W$3</f>
        <v>32.801599003104137</v>
      </c>
      <c r="X8" s="8"/>
      <c r="Y8" s="37">
        <f>G8/$G$38</f>
        <v>1.2891552362547755E-2</v>
      </c>
      <c r="Z8" s="80">
        <f>Y8*$Z$3</f>
        <v>90.524480689810332</v>
      </c>
    </row>
    <row r="9" spans="2:27" x14ac:dyDescent="0.25">
      <c r="B9" s="1" t="s">
        <v>21</v>
      </c>
      <c r="C9" t="s">
        <v>22</v>
      </c>
      <c r="D9" s="2"/>
      <c r="G9" s="2">
        <v>2333.5</v>
      </c>
      <c r="I9" s="2">
        <f>G9/$F$36</f>
        <v>1.3417407705082211E-2</v>
      </c>
      <c r="J9" s="68">
        <f t="shared" si="0"/>
        <v>136.09129043780129</v>
      </c>
      <c r="K9" s="68">
        <f t="shared" si="1"/>
        <v>31.828103687610767</v>
      </c>
      <c r="L9" s="68">
        <f t="shared" si="2"/>
        <v>40.50581212087269</v>
      </c>
      <c r="M9" s="172">
        <f t="shared" si="3"/>
        <v>8.7763263798942734</v>
      </c>
      <c r="N9" s="68">
        <f>I9*$N$3</f>
        <v>17.962957087409961</v>
      </c>
      <c r="O9" s="8"/>
      <c r="P9" s="8">
        <f t="shared" si="4"/>
        <v>0</v>
      </c>
      <c r="Q9" s="68">
        <f>I9*$Q$3</f>
        <v>31.14636520211554</v>
      </c>
      <c r="R9" s="68">
        <f>I9*$R$3</f>
        <v>112.47021252115817</v>
      </c>
      <c r="S9" s="68">
        <f>I9*$S$3</f>
        <v>53.30038376028498</v>
      </c>
      <c r="T9" s="68">
        <f>I9*$T$5</f>
        <v>13.957055842980617</v>
      </c>
      <c r="U9" s="68">
        <f>I9*$U$3</f>
        <v>25.642410387413765</v>
      </c>
      <c r="V9" s="68">
        <f>I9*$V$3</f>
        <v>26.087599975068393</v>
      </c>
      <c r="W9" s="68">
        <f>I9*$W$3</f>
        <v>19.991937480572492</v>
      </c>
      <c r="X9" s="8"/>
      <c r="Y9" s="37">
        <f>G9/$G$38</f>
        <v>7.8571507698509367E-3</v>
      </c>
      <c r="Z9" s="80">
        <f>Y9*$Z$3</f>
        <v>55.172912705893275</v>
      </c>
    </row>
    <row r="10" spans="2:27" ht="15.75" thickBot="1" x14ac:dyDescent="0.3">
      <c r="B10" s="1" t="s">
        <v>25</v>
      </c>
      <c r="C10" t="s">
        <v>26</v>
      </c>
      <c r="D10" s="2"/>
      <c r="G10" s="89">
        <v>982.3</v>
      </c>
      <c r="I10" s="2">
        <f>G10/$F$36</f>
        <v>5.6481335284775036E-3</v>
      </c>
      <c r="J10" s="68">
        <f t="shared" si="0"/>
        <v>57.288397084659181</v>
      </c>
      <c r="K10" s="68">
        <f t="shared" si="1"/>
        <v>13.398219949577911</v>
      </c>
      <c r="L10" s="68">
        <f t="shared" si="2"/>
        <v>17.051150309120736</v>
      </c>
      <c r="M10" s="172">
        <f t="shared" si="3"/>
        <v>3.6944441409771351</v>
      </c>
      <c r="N10" s="68">
        <f>I10*$N$3</f>
        <v>7.5616082052551121</v>
      </c>
      <c r="O10" s="8"/>
      <c r="P10" s="8">
        <f t="shared" si="4"/>
        <v>0</v>
      </c>
      <c r="Q10" s="68">
        <f>I10*$Q$3</f>
        <v>13.111238284995968</v>
      </c>
      <c r="R10" s="68">
        <f>I10*$R$3</f>
        <v>47.344970970445111</v>
      </c>
      <c r="S10" s="68">
        <f>I10*$S$3</f>
        <v>22.437097479206315</v>
      </c>
      <c r="T10" s="68">
        <f>I10*$T$5</f>
        <v>5.8753014589928689</v>
      </c>
      <c r="U10" s="68">
        <f>I10*$U$3</f>
        <v>10.794317430279213</v>
      </c>
      <c r="V10" s="68">
        <f>I10*$V$3</f>
        <v>10.981722500754096</v>
      </c>
      <c r="W10" s="68">
        <f>I10*$W$3</f>
        <v>8.4157189574314799</v>
      </c>
      <c r="X10" s="8"/>
      <c r="Y10" s="37">
        <f>G10/$G$38</f>
        <v>3.3075119782406577E-3</v>
      </c>
      <c r="Z10" s="80">
        <f>Y10*$Z$3</f>
        <v>23.225349111205897</v>
      </c>
    </row>
    <row r="11" spans="2:27" ht="15.75" thickBot="1" x14ac:dyDescent="0.3">
      <c r="B11" s="1">
        <v>114</v>
      </c>
      <c r="C11" t="s">
        <v>28</v>
      </c>
      <c r="D11" s="2"/>
      <c r="G11" s="2">
        <v>0</v>
      </c>
      <c r="H11" s="55"/>
      <c r="I11" s="56"/>
      <c r="J11" s="69"/>
      <c r="K11" s="69"/>
      <c r="L11" s="69"/>
      <c r="M11" s="172">
        <f t="shared" si="3"/>
        <v>0</v>
      </c>
      <c r="N11" s="174"/>
      <c r="O11" s="8"/>
      <c r="P11" s="8"/>
      <c r="Q11" s="173"/>
      <c r="R11" s="69"/>
      <c r="S11" s="69"/>
      <c r="T11" s="69"/>
      <c r="U11" s="69"/>
      <c r="V11" s="69"/>
      <c r="W11" s="69"/>
      <c r="X11" s="57"/>
      <c r="Y11" s="57"/>
      <c r="Z11" s="174"/>
      <c r="AA11" s="8"/>
    </row>
    <row r="12" spans="2:27" x14ac:dyDescent="0.25">
      <c r="B12" s="1">
        <v>112</v>
      </c>
      <c r="C12" t="s">
        <v>27</v>
      </c>
      <c r="D12" s="2"/>
      <c r="G12" s="2">
        <v>31476.37</v>
      </c>
      <c r="I12" s="2">
        <f t="shared" ref="I12:I34" si="5">G12/$F$36</f>
        <v>0.18098619642854877</v>
      </c>
      <c r="J12" s="68">
        <f t="shared" si="0"/>
        <v>1835.723081893163</v>
      </c>
      <c r="K12" s="68">
        <f t="shared" si="1"/>
        <v>429.32640585798197</v>
      </c>
      <c r="L12" s="68">
        <f t="shared" si="2"/>
        <v>546.37922839814587</v>
      </c>
      <c r="M12" s="172">
        <f t="shared" si="3"/>
        <v>118.38307108391375</v>
      </c>
      <c r="N12" s="68">
        <f>I12*$N$3</f>
        <v>242.30070005461252</v>
      </c>
      <c r="O12" s="8"/>
      <c r="P12" s="8">
        <f t="shared" si="4"/>
        <v>0</v>
      </c>
      <c r="Q12" s="68">
        <f>I12*$Q$3</f>
        <v>420.13049721744744</v>
      </c>
      <c r="R12" s="68">
        <f>I12*$R$3</f>
        <v>1517.1005028046316</v>
      </c>
      <c r="S12" s="68">
        <f>I12*$S$3</f>
        <v>718.96404558848144</v>
      </c>
      <c r="T12" s="68">
        <f>I12*$T$5</f>
        <v>188.26546124890501</v>
      </c>
      <c r="U12" s="68">
        <f>I12*$U$3</f>
        <v>345.88814958049244</v>
      </c>
      <c r="V12" s="68">
        <f>I12*$V$3</f>
        <v>351.89327157799164</v>
      </c>
      <c r="W12" s="68">
        <f>I12*$W$3</f>
        <v>269.66943267853765</v>
      </c>
      <c r="X12" s="8"/>
      <c r="Y12" s="37">
        <f t="shared" ref="Y12:Y34" si="6">G12/$G$38</f>
        <v>0.10598439459079191</v>
      </c>
      <c r="Z12" s="80">
        <f t="shared" ref="Z12:Z37" si="7">Y12*$Z$3</f>
        <v>744.22241881654077</v>
      </c>
    </row>
    <row r="13" spans="2:27" x14ac:dyDescent="0.25">
      <c r="B13" s="1">
        <v>222</v>
      </c>
      <c r="C13" t="s">
        <v>29</v>
      </c>
      <c r="D13" s="2"/>
      <c r="G13" s="2">
        <v>2953.66</v>
      </c>
      <c r="I13" s="2">
        <f t="shared" si="5"/>
        <v>1.6983269955943056E-2</v>
      </c>
      <c r="J13" s="68">
        <f t="shared" si="0"/>
        <v>172.25943900343526</v>
      </c>
      <c r="K13" s="68">
        <f t="shared" ref="K13:K34" si="8">I13*$K$3</f>
        <v>40.286863825990324</v>
      </c>
      <c r="L13" s="68">
        <f t="shared" ref="L13:L34" si="9">I13*$L$3</f>
        <v>51.270793669996493</v>
      </c>
      <c r="M13" s="172">
        <f t="shared" si="3"/>
        <v>11.108756878182353</v>
      </c>
      <c r="N13" s="68">
        <f t="shared" ref="N13:N34" si="10">I13*$N$3</f>
        <v>22.736862151617444</v>
      </c>
      <c r="O13" s="8"/>
      <c r="P13" s="8">
        <f t="shared" ref="P13:P34" si="11">I13*$P$3</f>
        <v>0</v>
      </c>
      <c r="Q13" s="68">
        <f t="shared" ref="Q13:Q34" si="12">I13*$Q$3</f>
        <v>39.423943879528856</v>
      </c>
      <c r="R13" s="68">
        <f t="shared" ref="R13:R34" si="13">I13*$R$3</f>
        <v>142.36073191139664</v>
      </c>
      <c r="S13" s="68">
        <f t="shared" ref="S13:S34" si="14">I13*$S$3</f>
        <v>67.465700234584673</v>
      </c>
      <c r="T13" s="68">
        <f t="shared" ref="T13:T34" si="15">I13*$T$5</f>
        <v>17.666337073571086</v>
      </c>
      <c r="U13" s="68">
        <f t="shared" ref="U13:U34" si="16">I13*$U$3</f>
        <v>32.457236710901455</v>
      </c>
      <c r="V13" s="68">
        <f t="shared" ref="V13:V34" si="17">I13*$V$3</f>
        <v>33.020741608039643</v>
      </c>
      <c r="W13" s="68">
        <f t="shared" ref="W13:W34" si="18">I13*$W$3</f>
        <v>25.305072234355155</v>
      </c>
      <c r="X13" s="8"/>
      <c r="Y13" s="37">
        <f t="shared" si="6"/>
        <v>9.9452975971193128E-3</v>
      </c>
      <c r="Z13" s="80">
        <f t="shared" si="7"/>
        <v>69.835879726971811</v>
      </c>
    </row>
    <row r="14" spans="2:27" x14ac:dyDescent="0.25">
      <c r="B14" s="1">
        <v>223</v>
      </c>
      <c r="C14" t="s">
        <v>30</v>
      </c>
      <c r="D14" s="2"/>
      <c r="G14" s="31">
        <v>18380.63</v>
      </c>
      <c r="H14" s="31"/>
      <c r="I14" s="31">
        <f t="shared" si="5"/>
        <v>0.10568691090047792</v>
      </c>
      <c r="J14" s="70">
        <f t="shared" si="0"/>
        <v>1071.9707117033486</v>
      </c>
      <c r="K14" s="70">
        <f t="shared" si="8"/>
        <v>250.70520569256871</v>
      </c>
      <c r="L14" s="70">
        <f t="shared" si="9"/>
        <v>319.05821531745283</v>
      </c>
      <c r="M14" s="172">
        <f t="shared" si="3"/>
        <v>69.129808420002618</v>
      </c>
      <c r="N14" s="70">
        <f t="shared" si="10"/>
        <v>141.49152257534183</v>
      </c>
      <c r="O14" s="29"/>
      <c r="P14" s="29">
        <f t="shared" si="11"/>
        <v>0</v>
      </c>
      <c r="Q14" s="70">
        <f t="shared" si="12"/>
        <v>245.33525374971543</v>
      </c>
      <c r="R14" s="70">
        <f t="shared" si="13"/>
        <v>885.91101880127519</v>
      </c>
      <c r="S14" s="70">
        <f t="shared" si="14"/>
        <v>419.83913981393056</v>
      </c>
      <c r="T14" s="70">
        <f t="shared" si="15"/>
        <v>109.93763845689514</v>
      </c>
      <c r="U14" s="70">
        <f t="shared" si="16"/>
        <v>201.98142602923039</v>
      </c>
      <c r="V14" s="70">
        <f t="shared" si="17"/>
        <v>205.48811773290822</v>
      </c>
      <c r="W14" s="70">
        <f t="shared" si="18"/>
        <v>157.4734972417121</v>
      </c>
      <c r="X14" s="29"/>
      <c r="Y14" s="37">
        <f t="shared" si="6"/>
        <v>6.188959980923301E-2</v>
      </c>
      <c r="Z14" s="80">
        <f t="shared" si="7"/>
        <v>434.58876986043418</v>
      </c>
    </row>
    <row r="15" spans="2:27" ht="15.75" thickBot="1" x14ac:dyDescent="0.3">
      <c r="B15" s="1">
        <v>225</v>
      </c>
      <c r="C15" t="s">
        <v>95</v>
      </c>
      <c r="D15" s="2"/>
      <c r="G15" s="15">
        <v>4500.47</v>
      </c>
      <c r="H15" s="15"/>
      <c r="I15" s="2">
        <f t="shared" si="5"/>
        <v>2.5877283417395047E-2</v>
      </c>
      <c r="J15" s="68">
        <f t="shared" si="0"/>
        <v>262.47043920146206</v>
      </c>
      <c r="K15" s="68">
        <f t="shared" si="8"/>
        <v>61.384797858573663</v>
      </c>
      <c r="L15" s="68">
        <f t="shared" si="9"/>
        <v>78.120930908773914</v>
      </c>
      <c r="M15" s="172">
        <f t="shared" si="3"/>
        <v>16.9263310833181</v>
      </c>
      <c r="N15" s="68">
        <f t="shared" si="10"/>
        <v>34.64398949354014</v>
      </c>
      <c r="O15" s="8"/>
      <c r="P15" s="8">
        <f t="shared" si="11"/>
        <v>0</v>
      </c>
      <c r="Q15" s="68">
        <f t="shared" si="12"/>
        <v>60.069973088135818</v>
      </c>
      <c r="R15" s="68">
        <f t="shared" si="13"/>
        <v>216.9139992908064</v>
      </c>
      <c r="S15" s="68">
        <f t="shared" si="14"/>
        <v>102.79699082993348</v>
      </c>
      <c r="T15" s="68">
        <f t="shared" si="15"/>
        <v>26.918067756442674</v>
      </c>
      <c r="U15" s="68">
        <f t="shared" si="16"/>
        <v>49.4548526574862</v>
      </c>
      <c r="V15" s="68">
        <f t="shared" si="17"/>
        <v>50.313460921275365</v>
      </c>
      <c r="W15" s="68">
        <f t="shared" si="18"/>
        <v>38.557152291918619</v>
      </c>
      <c r="X15" s="8"/>
      <c r="Y15" s="37">
        <f t="shared" si="6"/>
        <v>1.5153576741028947E-2</v>
      </c>
      <c r="Z15" s="80">
        <f t="shared" si="7"/>
        <v>106.40841587550527</v>
      </c>
    </row>
    <row r="16" spans="2:27" x14ac:dyDescent="0.25">
      <c r="B16" s="1">
        <v>334</v>
      </c>
      <c r="C16" t="s">
        <v>85</v>
      </c>
      <c r="D16" s="2"/>
      <c r="G16" s="140">
        <v>5538.46</v>
      </c>
      <c r="H16" s="18"/>
      <c r="I16" s="18">
        <f t="shared" si="5"/>
        <v>3.184562926003412E-2</v>
      </c>
      <c r="J16" s="133">
        <f t="shared" si="0"/>
        <v>323.00671456530745</v>
      </c>
      <c r="K16" s="133">
        <f t="shared" si="8"/>
        <v>75.542609449189939</v>
      </c>
      <c r="L16" s="133">
        <f t="shared" si="9"/>
        <v>96.13877017311701</v>
      </c>
      <c r="M16" s="172">
        <f t="shared" si="3"/>
        <v>20.830226098988319</v>
      </c>
      <c r="N16" s="133">
        <f t="shared" si="10"/>
        <v>42.634291540748478</v>
      </c>
      <c r="O16" s="124"/>
      <c r="P16" s="124">
        <f t="shared" si="11"/>
        <v>0</v>
      </c>
      <c r="Q16" s="133">
        <f t="shared" si="12"/>
        <v>73.924533026487609</v>
      </c>
      <c r="R16" s="133">
        <f t="shared" si="13"/>
        <v>266.94312116560258</v>
      </c>
      <c r="S16" s="133">
        <f t="shared" si="14"/>
        <v>126.50612532290035</v>
      </c>
      <c r="T16" s="133">
        <f t="shared" si="15"/>
        <v>33.126460468872693</v>
      </c>
      <c r="U16" s="133">
        <f t="shared" si="16"/>
        <v>60.861137447729007</v>
      </c>
      <c r="V16" s="133">
        <f t="shared" si="17"/>
        <v>61.917775426576938</v>
      </c>
      <c r="W16" s="133">
        <f t="shared" si="18"/>
        <v>47.449987597450836</v>
      </c>
      <c r="X16" s="124"/>
      <c r="Y16" s="35">
        <f t="shared" si="6"/>
        <v>1.8648603065261889E-2</v>
      </c>
      <c r="Z16" s="131">
        <f t="shared" si="7"/>
        <v>130.95049072426897</v>
      </c>
    </row>
    <row r="17" spans="2:26" x14ac:dyDescent="0.25">
      <c r="B17" s="1" t="s">
        <v>33</v>
      </c>
      <c r="C17" t="s">
        <v>86</v>
      </c>
      <c r="D17" s="2"/>
      <c r="G17" s="125">
        <v>3538.46</v>
      </c>
      <c r="H17" s="126"/>
      <c r="I17" s="126">
        <f t="shared" si="5"/>
        <v>2.0345815499517975E-2</v>
      </c>
      <c r="J17" s="134">
        <f t="shared" si="0"/>
        <v>206.36536857190586</v>
      </c>
      <c r="K17" s="134">
        <f t="shared" si="8"/>
        <v>48.263326237181566</v>
      </c>
      <c r="L17" s="134">
        <f t="shared" si="9"/>
        <v>61.421982411494817</v>
      </c>
      <c r="M17" s="172">
        <f t="shared" si="3"/>
        <v>13.308197918234708</v>
      </c>
      <c r="N17" s="134">
        <f t="shared" si="10"/>
        <v>27.238570874444676</v>
      </c>
      <c r="O17" s="127"/>
      <c r="P17" s="127">
        <f t="shared" si="11"/>
        <v>0</v>
      </c>
      <c r="Q17" s="134">
        <f t="shared" si="12"/>
        <v>47.229555351651058</v>
      </c>
      <c r="R17" s="134">
        <f t="shared" si="13"/>
        <v>170.54696730131448</v>
      </c>
      <c r="S17" s="134">
        <f t="shared" si="14"/>
        <v>80.823345155525161</v>
      </c>
      <c r="T17" s="134">
        <f t="shared" si="15"/>
        <v>21.164124198908588</v>
      </c>
      <c r="U17" s="134">
        <f t="shared" si="16"/>
        <v>38.883498375593788</v>
      </c>
      <c r="V17" s="134">
        <f t="shared" si="17"/>
        <v>39.558572533867796</v>
      </c>
      <c r="W17" s="134">
        <f t="shared" si="18"/>
        <v>30.315265094281784</v>
      </c>
      <c r="X17" s="127"/>
      <c r="Y17" s="37">
        <f t="shared" si="6"/>
        <v>1.1914383421078529E-2</v>
      </c>
      <c r="Z17" s="80">
        <f t="shared" si="7"/>
        <v>83.66280038281343</v>
      </c>
    </row>
    <row r="18" spans="2:26" x14ac:dyDescent="0.25">
      <c r="B18" s="1" t="s">
        <v>35</v>
      </c>
      <c r="C18" t="s">
        <v>36</v>
      </c>
      <c r="D18" s="2"/>
      <c r="E18" s="26">
        <v>7120</v>
      </c>
      <c r="F18" s="26">
        <v>7130</v>
      </c>
      <c r="G18" s="125">
        <v>1862.83</v>
      </c>
      <c r="H18" s="123"/>
      <c r="I18" s="123">
        <f t="shared" si="5"/>
        <v>1.0711099033751144E-2</v>
      </c>
      <c r="J18" s="134">
        <f t="shared" si="0"/>
        <v>108.64149927844414</v>
      </c>
      <c r="K18" s="136">
        <f>I18*$K$3</f>
        <v>25.408333572912777</v>
      </c>
      <c r="L18" s="136">
        <f>I18*$L$3</f>
        <v>32.335736872991333</v>
      </c>
      <c r="M18" s="172">
        <f t="shared" si="3"/>
        <v>7.0061298779766235</v>
      </c>
      <c r="N18" s="205">
        <f>I18*$N$3</f>
        <v>14.339805164405357</v>
      </c>
      <c r="O18" s="137"/>
      <c r="P18" s="137">
        <f t="shared" si="11"/>
        <v>0</v>
      </c>
      <c r="Q18" s="136">
        <f t="shared" si="12"/>
        <v>24.864102631007881</v>
      </c>
      <c r="R18" s="136">
        <f t="shared" si="13"/>
        <v>89.784823651505931</v>
      </c>
      <c r="S18" s="136">
        <f t="shared" si="14"/>
        <v>42.549626689595748</v>
      </c>
      <c r="T18" s="136">
        <f t="shared" si="15"/>
        <v>11.141899436888616</v>
      </c>
      <c r="U18" s="136">
        <f t="shared" si="16"/>
        <v>20.470302696372826</v>
      </c>
      <c r="V18" s="136">
        <f t="shared" si="17"/>
        <v>20.825696962312687</v>
      </c>
      <c r="W18" s="136">
        <f t="shared" si="18"/>
        <v>15.959537560289204</v>
      </c>
      <c r="X18" s="137"/>
      <c r="Y18" s="138">
        <f t="shared" si="6"/>
        <v>6.2723531898870449E-3</v>
      </c>
      <c r="Z18" s="80">
        <f t="shared" si="7"/>
        <v>44.044464099386829</v>
      </c>
    </row>
    <row r="19" spans="2:26" x14ac:dyDescent="0.25">
      <c r="B19" s="1">
        <v>334</v>
      </c>
      <c r="C19" t="s">
        <v>73</v>
      </c>
      <c r="D19" s="2"/>
      <c r="G19" s="125">
        <v>1869.23</v>
      </c>
      <c r="H19" s="126"/>
      <c r="I19" s="126">
        <f t="shared" si="5"/>
        <v>1.0747898437784795E-2</v>
      </c>
      <c r="J19" s="134">
        <f t="shared" si="0"/>
        <v>109.01475158562302</v>
      </c>
      <c r="K19" s="134">
        <f t="shared" si="8"/>
        <v>25.495627279191204</v>
      </c>
      <c r="L19" s="134">
        <f t="shared" si="9"/>
        <v>32.446830593828516</v>
      </c>
      <c r="M19" s="172">
        <f t="shared" si="3"/>
        <v>7.0302003681550351</v>
      </c>
      <c r="N19" s="142">
        <f t="shared" si="10"/>
        <v>14.389071470537528</v>
      </c>
      <c r="O19" s="127"/>
      <c r="P19" s="127">
        <f t="shared" si="11"/>
        <v>0</v>
      </c>
      <c r="Q19" s="134">
        <f t="shared" si="12"/>
        <v>24.949526559567357</v>
      </c>
      <c r="R19" s="134">
        <f t="shared" si="13"/>
        <v>90.093291343871641</v>
      </c>
      <c r="S19" s="134">
        <f t="shared" si="14"/>
        <v>42.695811586131342</v>
      </c>
      <c r="T19" s="134">
        <f t="shared" si="15"/>
        <v>11.180178912952499</v>
      </c>
      <c r="U19" s="134">
        <f t="shared" si="16"/>
        <v>20.540631141403658</v>
      </c>
      <c r="V19" s="134">
        <f t="shared" si="17"/>
        <v>20.897246411569355</v>
      </c>
      <c r="W19" s="134">
        <f t="shared" si="18"/>
        <v>16.014368672299344</v>
      </c>
      <c r="X19" s="127"/>
      <c r="Y19" s="138">
        <f t="shared" si="6"/>
        <v>6.2939026927484321E-3</v>
      </c>
      <c r="Z19" s="80">
        <f t="shared" si="7"/>
        <v>44.195784708479493</v>
      </c>
    </row>
    <row r="20" spans="2:26" ht="15.75" thickBot="1" x14ac:dyDescent="0.3">
      <c r="B20" s="1" t="s">
        <v>37</v>
      </c>
      <c r="C20" t="s">
        <v>38</v>
      </c>
      <c r="D20" s="2"/>
      <c r="G20" s="128">
        <v>3076.92</v>
      </c>
      <c r="H20" s="129"/>
      <c r="I20" s="129">
        <f t="shared" si="5"/>
        <v>1.7692003478003666E-2</v>
      </c>
      <c r="J20" s="135">
        <f t="shared" si="0"/>
        <v>179.44804515700858</v>
      </c>
      <c r="K20" s="135">
        <f t="shared" si="8"/>
        <v>41.9680860503464</v>
      </c>
      <c r="L20" s="135">
        <f t="shared" si="9"/>
        <v>53.410389299745269</v>
      </c>
      <c r="M20" s="172">
        <f t="shared" si="3"/>
        <v>11.572339474962199</v>
      </c>
      <c r="N20" s="141">
        <f t="shared" si="10"/>
        <v>23.685700416281747</v>
      </c>
      <c r="O20" s="130"/>
      <c r="P20" s="130">
        <f t="shared" si="11"/>
        <v>0</v>
      </c>
      <c r="Q20" s="135">
        <f t="shared" si="12"/>
        <v>41.069155353629029</v>
      </c>
      <c r="R20" s="135">
        <f t="shared" si="13"/>
        <v>148.30162687405272</v>
      </c>
      <c r="S20" s="135">
        <f t="shared" si="14"/>
        <v>70.281129976300008</v>
      </c>
      <c r="T20" s="135">
        <f t="shared" si="15"/>
        <v>18.403575857888974</v>
      </c>
      <c r="U20" s="135">
        <f t="shared" si="16"/>
        <v>33.811718606917147</v>
      </c>
      <c r="V20" s="135">
        <f t="shared" si="17"/>
        <v>34.398739282317308</v>
      </c>
      <c r="W20" s="135">
        <f t="shared" si="18"/>
        <v>26.361085182225462</v>
      </c>
      <c r="X20" s="130"/>
      <c r="Y20" s="139">
        <f t="shared" si="6"/>
        <v>1.0360327553790334E-2</v>
      </c>
      <c r="Z20" s="132">
        <f t="shared" si="7"/>
        <v>72.750220082715728</v>
      </c>
    </row>
    <row r="21" spans="2:26" ht="15.75" thickBot="1" x14ac:dyDescent="0.3">
      <c r="B21" s="1">
        <v>368</v>
      </c>
      <c r="C21" t="s">
        <v>40</v>
      </c>
      <c r="D21" s="2"/>
      <c r="G21" s="2">
        <v>4845.88</v>
      </c>
      <c r="I21" s="2">
        <f t="shared" si="5"/>
        <v>2.7863358752904986E-2</v>
      </c>
      <c r="J21" s="68">
        <f t="shared" si="0"/>
        <v>282.61498286125243</v>
      </c>
      <c r="K21" s="68">
        <f t="shared" si="8"/>
        <v>66.096066465703572</v>
      </c>
      <c r="L21" s="68">
        <f t="shared" si="9"/>
        <v>84.116693739144864</v>
      </c>
      <c r="M21" s="172">
        <f t="shared" si="3"/>
        <v>18.225422960275154</v>
      </c>
      <c r="N21" s="68">
        <f t="shared" si="10"/>
        <v>37.302907431214138</v>
      </c>
      <c r="O21" s="8"/>
      <c r="P21" s="8">
        <f t="shared" si="11"/>
        <v>0</v>
      </c>
      <c r="Q21" s="68">
        <f t="shared" si="12"/>
        <v>64.680329207468461</v>
      </c>
      <c r="R21" s="68">
        <f t="shared" si="13"/>
        <v>233.56209704393828</v>
      </c>
      <c r="S21" s="68">
        <f t="shared" si="14"/>
        <v>110.68663537873999</v>
      </c>
      <c r="T21" s="68">
        <f t="shared" si="15"/>
        <v>28.984023041946827</v>
      </c>
      <c r="U21" s="68">
        <f t="shared" si="16"/>
        <v>53.250500813439309</v>
      </c>
      <c r="V21" s="68">
        <f t="shared" si="17"/>
        <v>54.175007056860693</v>
      </c>
      <c r="W21" s="68">
        <f t="shared" si="18"/>
        <v>41.516404541828429</v>
      </c>
      <c r="X21" s="8"/>
      <c r="Y21" s="37">
        <f t="shared" si="6"/>
        <v>1.6316610144677633E-2</v>
      </c>
      <c r="Z21" s="80">
        <f t="shared" si="7"/>
        <v>114.57523643592634</v>
      </c>
    </row>
    <row r="22" spans="2:26" ht="15.75" thickBot="1" x14ac:dyDescent="0.3">
      <c r="B22" s="1">
        <v>451</v>
      </c>
      <c r="C22" t="s">
        <v>41</v>
      </c>
      <c r="D22" s="2"/>
      <c r="G22" s="33">
        <v>16453.5</v>
      </c>
      <c r="H22" s="31"/>
      <c r="I22" s="31">
        <f t="shared" si="5"/>
        <v>9.4606092854326182E-2</v>
      </c>
      <c r="J22" s="70">
        <f t="shared" si="0"/>
        <v>959.57919315121649</v>
      </c>
      <c r="K22" s="70">
        <f t="shared" si="8"/>
        <v>224.41984316438987</v>
      </c>
      <c r="L22" s="70">
        <f t="shared" si="9"/>
        <v>285.60633371792534</v>
      </c>
      <c r="M22" s="172">
        <f t="shared" si="3"/>
        <v>61.881845336014756</v>
      </c>
      <c r="N22" s="70">
        <f t="shared" si="10"/>
        <v>126.6567449915148</v>
      </c>
      <c r="O22" s="29"/>
      <c r="P22" s="29">
        <f t="shared" si="11"/>
        <v>0</v>
      </c>
      <c r="Q22" s="70">
        <f t="shared" si="12"/>
        <v>219.61290758646155</v>
      </c>
      <c r="R22" s="70">
        <f t="shared" si="13"/>
        <v>793.02705880303233</v>
      </c>
      <c r="S22" s="70">
        <f t="shared" si="14"/>
        <v>375.82081174195366</v>
      </c>
      <c r="T22" s="70">
        <f t="shared" si="15"/>
        <v>98.411149908927186</v>
      </c>
      <c r="U22" s="70">
        <f t="shared" si="16"/>
        <v>180.80454223668841</v>
      </c>
      <c r="V22" s="70">
        <f t="shared" si="17"/>
        <v>183.94357239759492</v>
      </c>
      <c r="W22" s="70">
        <f t="shared" si="18"/>
        <v>140.96307835294601</v>
      </c>
      <c r="X22" s="29"/>
      <c r="Y22" s="37">
        <f t="shared" si="6"/>
        <v>5.5400741457785466E-2</v>
      </c>
      <c r="Z22" s="80">
        <f t="shared" si="7"/>
        <v>389.02400651656956</v>
      </c>
    </row>
    <row r="23" spans="2:26" x14ac:dyDescent="0.25">
      <c r="B23" s="1">
        <v>467</v>
      </c>
      <c r="C23" t="s">
        <v>78</v>
      </c>
      <c r="D23" s="2"/>
      <c r="G23" s="2">
        <v>6484.66</v>
      </c>
      <c r="I23" s="2">
        <f t="shared" si="5"/>
        <v>3.7286191150134304E-2</v>
      </c>
      <c r="J23" s="68">
        <f>I23*$J$3</f>
        <v>378.18973535478568</v>
      </c>
      <c r="K23" s="68">
        <f>I23*$K$3</f>
        <v>88.448438336791099</v>
      </c>
      <c r="L23" s="68">
        <f>I23*$L$3</f>
        <v>112.56328246314045</v>
      </c>
      <c r="M23" s="172">
        <f t="shared" si="3"/>
        <v>24.38889763130285</v>
      </c>
      <c r="N23" s="68">
        <f>I23*$N$3</f>
        <v>49.918006987976803</v>
      </c>
      <c r="O23" s="8"/>
      <c r="P23" s="8">
        <f>I23*$P$3</f>
        <v>0</v>
      </c>
      <c r="Q23" s="68">
        <f>I23*$Q$3</f>
        <v>86.553926964452771</v>
      </c>
      <c r="R23" s="68">
        <f>I23*$R$3</f>
        <v>312.54814155879728</v>
      </c>
      <c r="S23" s="68">
        <f>I23*$S$3</f>
        <v>148.11864862008551</v>
      </c>
      <c r="T23" s="68">
        <f>I23*$T$5</f>
        <v>38.78584175819271</v>
      </c>
      <c r="U23" s="68">
        <f>I23*$U$3</f>
        <v>71.258758492756172</v>
      </c>
      <c r="V23" s="68">
        <f>I23*$V$3</f>
        <v>72.495914315117631</v>
      </c>
      <c r="W23" s="68">
        <f>I23*$W$3</f>
        <v>55.556424813700112</v>
      </c>
      <c r="X23" s="8"/>
      <c r="Y23" s="37">
        <f t="shared" si="6"/>
        <v>2.1834562378925036E-2</v>
      </c>
      <c r="Z23" s="80">
        <f t="shared" si="7"/>
        <v>153.3222970248116</v>
      </c>
    </row>
    <row r="24" spans="2:26" x14ac:dyDescent="0.25">
      <c r="B24" s="1">
        <v>552</v>
      </c>
      <c r="C24" t="s">
        <v>46</v>
      </c>
      <c r="D24" s="2"/>
      <c r="G24" s="2">
        <v>827.93</v>
      </c>
      <c r="I24" s="2">
        <f t="shared" si="5"/>
        <v>4.7605204033720648E-3</v>
      </c>
      <c r="J24" s="68">
        <f t="shared" si="0"/>
        <v>48.285434794158476</v>
      </c>
      <c r="K24" s="68">
        <f t="shared" si="8"/>
        <v>11.292668474859044</v>
      </c>
      <c r="L24" s="68">
        <f t="shared" si="9"/>
        <v>14.371535045739927</v>
      </c>
      <c r="M24" s="172">
        <f t="shared" si="3"/>
        <v>3.1138563958456675</v>
      </c>
      <c r="N24" s="68">
        <f t="shared" si="10"/>
        <v>6.3732895056264525</v>
      </c>
      <c r="O24" s="8"/>
      <c r="P24" s="8">
        <f t="shared" si="11"/>
        <v>0</v>
      </c>
      <c r="Q24" s="68">
        <f t="shared" si="12"/>
        <v>11.05078643316371</v>
      </c>
      <c r="R24" s="68">
        <f t="shared" si="13"/>
        <v>39.90463383443003</v>
      </c>
      <c r="S24" s="68">
        <f t="shared" si="14"/>
        <v>18.91107209198746</v>
      </c>
      <c r="T24" s="68">
        <f t="shared" si="15"/>
        <v>4.9519885339956895</v>
      </c>
      <c r="U24" s="68">
        <f t="shared" si="16"/>
        <v>9.0979733584964553</v>
      </c>
      <c r="V24" s="68">
        <f t="shared" si="17"/>
        <v>9.2559274254803388</v>
      </c>
      <c r="W24" s="68">
        <f t="shared" si="18"/>
        <v>7.0931754010243768</v>
      </c>
      <c r="X24" s="8"/>
      <c r="Y24" s="37">
        <f t="shared" si="6"/>
        <v>2.7877312350043648E-3</v>
      </c>
      <c r="Z24" s="80">
        <f t="shared" si="7"/>
        <v>19.575448732200648</v>
      </c>
    </row>
    <row r="25" spans="2:26" x14ac:dyDescent="0.25">
      <c r="B25" s="1">
        <v>564</v>
      </c>
      <c r="C25" t="s">
        <v>87</v>
      </c>
      <c r="D25" s="2"/>
      <c r="G25" s="2">
        <v>2307.6999999999998</v>
      </c>
      <c r="I25" s="2">
        <f t="shared" si="5"/>
        <v>1.3269060107571552E-2</v>
      </c>
      <c r="J25" s="68">
        <f>I25*$J$3</f>
        <v>134.58661707448641</v>
      </c>
      <c r="K25" s="68">
        <f>I25*$K$3</f>
        <v>31.476200934175857</v>
      </c>
      <c r="L25" s="68">
        <f>I25*$L$3</f>
        <v>40.05796555874776</v>
      </c>
      <c r="M25" s="172">
        <f t="shared" si="3"/>
        <v>8.679292216362553</v>
      </c>
      <c r="N25" s="68">
        <f>I25*$N$3</f>
        <v>17.764352290814642</v>
      </c>
      <c r="O25" s="8"/>
      <c r="P25" s="8">
        <f>I25*$P$3</f>
        <v>0</v>
      </c>
      <c r="Q25" s="68">
        <f>I25*$Q$3</f>
        <v>30.801999990110147</v>
      </c>
      <c r="R25" s="68">
        <f>I25*$R$3</f>
        <v>111.22670213630884</v>
      </c>
      <c r="S25" s="68">
        <f>I25*$S$3</f>
        <v>52.711075896125834</v>
      </c>
      <c r="T25" s="68">
        <f>I25*$T$5</f>
        <v>13.802741705098081</v>
      </c>
      <c r="U25" s="68">
        <f>I25*$U$3</f>
        <v>25.358898843383219</v>
      </c>
      <c r="V25" s="68">
        <f>I25*$V$3</f>
        <v>25.799166257752443</v>
      </c>
      <c r="W25" s="68">
        <f>I25*$W$3</f>
        <v>19.770899560281613</v>
      </c>
      <c r="X25" s="8"/>
      <c r="Y25" s="37">
        <f t="shared" si="6"/>
        <v>7.7702793364409703E-3</v>
      </c>
      <c r="Z25" s="80">
        <f t="shared" si="7"/>
        <v>54.562901500488493</v>
      </c>
    </row>
    <row r="26" spans="2:26" x14ac:dyDescent="0.25">
      <c r="B26" s="1">
        <v>567</v>
      </c>
      <c r="C26" t="s">
        <v>52</v>
      </c>
      <c r="D26" s="2"/>
      <c r="G26" s="2">
        <v>461.54</v>
      </c>
      <c r="I26" s="2">
        <f t="shared" si="5"/>
        <v>2.6538120215143105E-3</v>
      </c>
      <c r="J26" s="68">
        <f t="shared" si="0"/>
        <v>26.917323414897282</v>
      </c>
      <c r="K26" s="68">
        <f t="shared" si="8"/>
        <v>6.2952401868351719</v>
      </c>
      <c r="L26" s="68">
        <f t="shared" si="9"/>
        <v>8.0115931117495514</v>
      </c>
      <c r="M26" s="172">
        <f t="shared" si="3"/>
        <v>1.7358584432725106</v>
      </c>
      <c r="N26" s="68">
        <f t="shared" si="10"/>
        <v>3.5528704581629285</v>
      </c>
      <c r="O26" s="8"/>
      <c r="P26" s="8">
        <f t="shared" si="11"/>
        <v>0</v>
      </c>
      <c r="Q26" s="68">
        <f t="shared" si="12"/>
        <v>6.1603999980220303</v>
      </c>
      <c r="R26" s="68">
        <f t="shared" si="13"/>
        <v>22.24534042726177</v>
      </c>
      <c r="S26" s="68">
        <f t="shared" si="14"/>
        <v>10.542215179225169</v>
      </c>
      <c r="T26" s="68">
        <f t="shared" si="15"/>
        <v>2.7605483410196161</v>
      </c>
      <c r="U26" s="68">
        <f t="shared" si="16"/>
        <v>5.0717797686766444</v>
      </c>
      <c r="V26" s="68">
        <f t="shared" si="17"/>
        <v>5.1598332515504888</v>
      </c>
      <c r="W26" s="68">
        <f t="shared" si="18"/>
        <v>3.9541799120563228</v>
      </c>
      <c r="X26" s="8"/>
      <c r="Y26" s="37">
        <f t="shared" si="6"/>
        <v>1.5540558672881943E-3</v>
      </c>
      <c r="Z26" s="80">
        <f t="shared" si="7"/>
        <v>10.9125803000977</v>
      </c>
    </row>
    <row r="27" spans="2:26" x14ac:dyDescent="0.25">
      <c r="B27" s="1">
        <v>569</v>
      </c>
      <c r="C27" t="s">
        <v>47</v>
      </c>
      <c r="D27" s="2"/>
      <c r="G27" s="2">
        <v>896.89</v>
      </c>
      <c r="I27" s="2">
        <f t="shared" si="5"/>
        <v>5.1570339818346623E-3</v>
      </c>
      <c r="J27" s="68">
        <f>I27*$J$3</f>
        <v>52.307228404010978</v>
      </c>
      <c r="K27" s="68">
        <f>I27*$K$3</f>
        <v>12.233258160009095</v>
      </c>
      <c r="L27" s="68">
        <f>I27*$L$3</f>
        <v>15.568569887760663</v>
      </c>
      <c r="M27" s="172">
        <f t="shared" si="3"/>
        <v>3.3732159275180527</v>
      </c>
      <c r="N27" s="68">
        <f>I27*$N$3</f>
        <v>6.904133954200609</v>
      </c>
      <c r="O27" s="8"/>
      <c r="P27" s="8">
        <f>I27*$P$3</f>
        <v>0</v>
      </c>
      <c r="Q27" s="68">
        <f>I27*$Q$3</f>
        <v>11.971229263392075</v>
      </c>
      <c r="R27" s="68">
        <f>I27*$R$3</f>
        <v>43.228373219670694</v>
      </c>
      <c r="S27" s="68">
        <f>I27*$S$3</f>
        <v>20.486214352158559</v>
      </c>
      <c r="T27" s="68">
        <f>I27*$T$5</f>
        <v>5.3644498885840521</v>
      </c>
      <c r="U27" s="68">
        <f>I27*$U$3</f>
        <v>9.8557623537036783</v>
      </c>
      <c r="V27" s="68">
        <f>I27*$V$3</f>
        <v>10.026872741220952</v>
      </c>
      <c r="W27" s="68">
        <f>I27*$W$3</f>
        <v>7.6839806329336469</v>
      </c>
      <c r="X27" s="8"/>
      <c r="Y27" s="37">
        <f t="shared" si="6"/>
        <v>3.0199271283358072E-3</v>
      </c>
      <c r="Z27" s="80">
        <f t="shared" si="7"/>
        <v>21.205928295174036</v>
      </c>
    </row>
    <row r="28" spans="2:26" x14ac:dyDescent="0.25">
      <c r="B28" s="1">
        <v>580</v>
      </c>
      <c r="C28" t="s">
        <v>88</v>
      </c>
      <c r="D28" s="2"/>
      <c r="G28" s="2">
        <v>461.54</v>
      </c>
      <c r="I28" s="2">
        <f t="shared" si="5"/>
        <v>2.6538120215143105E-3</v>
      </c>
      <c r="J28" s="68">
        <f t="shared" si="0"/>
        <v>26.917323414897282</v>
      </c>
      <c r="K28" s="68">
        <f t="shared" si="8"/>
        <v>6.2952401868351719</v>
      </c>
      <c r="L28" s="68">
        <f t="shared" si="9"/>
        <v>8.0115931117495514</v>
      </c>
      <c r="M28" s="172">
        <f t="shared" si="3"/>
        <v>1.7358584432725106</v>
      </c>
      <c r="N28" s="68">
        <f t="shared" si="10"/>
        <v>3.5528704581629285</v>
      </c>
      <c r="O28" s="8"/>
      <c r="P28" s="8">
        <f t="shared" si="11"/>
        <v>0</v>
      </c>
      <c r="Q28" s="68">
        <f t="shared" si="12"/>
        <v>6.1603999980220303</v>
      </c>
      <c r="R28" s="68">
        <f t="shared" si="13"/>
        <v>22.24534042726177</v>
      </c>
      <c r="S28" s="68">
        <f t="shared" si="14"/>
        <v>10.542215179225169</v>
      </c>
      <c r="T28" s="68">
        <f t="shared" si="15"/>
        <v>2.7605483410196161</v>
      </c>
      <c r="U28" s="68">
        <f t="shared" si="16"/>
        <v>5.0717797686766444</v>
      </c>
      <c r="V28" s="68">
        <f t="shared" si="17"/>
        <v>5.1598332515504888</v>
      </c>
      <c r="W28" s="68">
        <f t="shared" si="18"/>
        <v>3.9541799120563228</v>
      </c>
      <c r="X28" s="8"/>
      <c r="Y28" s="37">
        <f t="shared" si="6"/>
        <v>1.5540558672881943E-3</v>
      </c>
      <c r="Z28" s="80">
        <f t="shared" si="7"/>
        <v>10.9125803000977</v>
      </c>
    </row>
    <row r="29" spans="2:26" x14ac:dyDescent="0.25">
      <c r="B29" s="1">
        <v>582</v>
      </c>
      <c r="C29" t="s">
        <v>48</v>
      </c>
      <c r="D29" s="2"/>
      <c r="G29" s="2">
        <v>461.54</v>
      </c>
      <c r="I29" s="2">
        <f t="shared" si="5"/>
        <v>2.6538120215143105E-3</v>
      </c>
      <c r="J29" s="68">
        <f t="shared" si="0"/>
        <v>26.917323414897282</v>
      </c>
      <c r="K29" s="68">
        <f t="shared" si="8"/>
        <v>6.2952401868351719</v>
      </c>
      <c r="L29" s="68">
        <f t="shared" si="9"/>
        <v>8.0115931117495514</v>
      </c>
      <c r="M29" s="172">
        <f t="shared" si="3"/>
        <v>1.7358584432725106</v>
      </c>
      <c r="N29" s="68">
        <f t="shared" si="10"/>
        <v>3.5528704581629285</v>
      </c>
      <c r="O29" s="8"/>
      <c r="P29" s="8">
        <f t="shared" si="11"/>
        <v>0</v>
      </c>
      <c r="Q29" s="68">
        <f t="shared" si="12"/>
        <v>6.1603999980220303</v>
      </c>
      <c r="R29" s="68">
        <f t="shared" si="13"/>
        <v>22.24534042726177</v>
      </c>
      <c r="S29" s="68">
        <f t="shared" si="14"/>
        <v>10.542215179225169</v>
      </c>
      <c r="T29" s="68">
        <f t="shared" si="15"/>
        <v>2.7605483410196161</v>
      </c>
      <c r="U29" s="68">
        <f t="shared" si="16"/>
        <v>5.0717797686766444</v>
      </c>
      <c r="V29" s="68">
        <f t="shared" si="17"/>
        <v>5.1598332515504888</v>
      </c>
      <c r="W29" s="68">
        <f t="shared" si="18"/>
        <v>3.9541799120563228</v>
      </c>
      <c r="X29" s="8"/>
      <c r="Y29" s="37">
        <f t="shared" si="6"/>
        <v>1.5540558672881943E-3</v>
      </c>
      <c r="Z29" s="80">
        <f t="shared" si="7"/>
        <v>10.9125803000977</v>
      </c>
    </row>
    <row r="30" spans="2:26" x14ac:dyDescent="0.25">
      <c r="B30" s="1">
        <v>610</v>
      </c>
      <c r="C30" t="s">
        <v>53</v>
      </c>
      <c r="D30" s="2"/>
      <c r="G30" s="2">
        <v>8515.39</v>
      </c>
      <c r="I30" s="2">
        <f t="shared" si="5"/>
        <v>4.8962699549080779E-2</v>
      </c>
      <c r="J30" s="68">
        <f t="shared" si="0"/>
        <v>496.62327562937594</v>
      </c>
      <c r="K30" s="68">
        <f t="shared" si="8"/>
        <v>116.14686773535198</v>
      </c>
      <c r="L30" s="68">
        <f t="shared" si="9"/>
        <v>147.81349366871996</v>
      </c>
      <c r="M30" s="172">
        <f t="shared" si="3"/>
        <v>32.026501775053738</v>
      </c>
      <c r="N30" s="68">
        <f t="shared" si="10"/>
        <v>65.550282902318358</v>
      </c>
      <c r="O30" s="8"/>
      <c r="P30" s="8">
        <f t="shared" si="11"/>
        <v>0</v>
      </c>
      <c r="Q30" s="68">
        <f t="shared" si="12"/>
        <v>113.65907297126319</v>
      </c>
      <c r="R30" s="68">
        <f t="shared" si="13"/>
        <v>410.42542232721019</v>
      </c>
      <c r="S30" s="68">
        <f t="shared" si="14"/>
        <v>194.50334470473243</v>
      </c>
      <c r="T30" s="68">
        <f t="shared" si="15"/>
        <v>50.931979324944813</v>
      </c>
      <c r="U30" s="68">
        <f t="shared" si="16"/>
        <v>93.574083989234751</v>
      </c>
      <c r="V30" s="68">
        <f t="shared" si="17"/>
        <v>95.198666360273251</v>
      </c>
      <c r="W30" s="68">
        <f t="shared" si="18"/>
        <v>72.954422328130363</v>
      </c>
      <c r="X30" s="8"/>
      <c r="Y30" s="37">
        <f t="shared" si="6"/>
        <v>2.8672253307941271E-2</v>
      </c>
      <c r="Z30" s="80">
        <f t="shared" si="7"/>
        <v>201.33656272836362</v>
      </c>
    </row>
    <row r="31" spans="2:26" x14ac:dyDescent="0.25">
      <c r="B31" s="1">
        <v>620</v>
      </c>
      <c r="C31" t="s">
        <v>54</v>
      </c>
      <c r="D31" s="2"/>
      <c r="G31" s="2">
        <v>8123.08</v>
      </c>
      <c r="I31" s="2">
        <f t="shared" si="5"/>
        <v>4.6706953580886737E-2</v>
      </c>
      <c r="J31" s="68">
        <f t="shared" si="0"/>
        <v>473.74349240604028</v>
      </c>
      <c r="K31" s="68">
        <f t="shared" si="8"/>
        <v>110.79589993690048</v>
      </c>
      <c r="L31" s="68">
        <f t="shared" si="9"/>
        <v>141.00362216533898</v>
      </c>
      <c r="M31" s="172">
        <f t="shared" si="3"/>
        <v>30.551018337258014</v>
      </c>
      <c r="N31" s="68">
        <f t="shared" si="10"/>
        <v>62.530335315019542</v>
      </c>
      <c r="O31" s="8"/>
      <c r="P31" s="8">
        <f t="shared" si="11"/>
        <v>0</v>
      </c>
      <c r="Q31" s="68">
        <f t="shared" si="12"/>
        <v>108.42271962545563</v>
      </c>
      <c r="R31" s="68">
        <f t="shared" si="13"/>
        <v>391.51683476596077</v>
      </c>
      <c r="S31" s="68">
        <f t="shared" si="14"/>
        <v>185.54243896100095</v>
      </c>
      <c r="T31" s="68">
        <f t="shared" si="15"/>
        <v>48.585507253910002</v>
      </c>
      <c r="U31" s="68">
        <f t="shared" si="16"/>
        <v>89.263060197040076</v>
      </c>
      <c r="V31" s="68">
        <f t="shared" si="17"/>
        <v>90.812796916853884</v>
      </c>
      <c r="W31" s="68">
        <f t="shared" si="18"/>
        <v>69.593360835521239</v>
      </c>
      <c r="X31" s="8"/>
      <c r="Y31" s="37">
        <f t="shared" si="6"/>
        <v>2.7351302453636487E-2</v>
      </c>
      <c r="Z31" s="80">
        <f t="shared" si="7"/>
        <v>192.06084582943541</v>
      </c>
    </row>
    <row r="32" spans="2:26" x14ac:dyDescent="0.25">
      <c r="B32" s="1">
        <v>630</v>
      </c>
      <c r="C32" t="s">
        <v>55</v>
      </c>
      <c r="D32" s="2"/>
      <c r="G32" s="2">
        <v>1892.31</v>
      </c>
      <c r="I32" s="2">
        <f t="shared" si="5"/>
        <v>1.0880606288581151E-2</v>
      </c>
      <c r="J32" s="68">
        <f t="shared" si="0"/>
        <v>110.36079271838686</v>
      </c>
      <c r="K32" s="68">
        <f t="shared" si="8"/>
        <v>25.810430207457777</v>
      </c>
      <c r="L32" s="68">
        <f t="shared" si="9"/>
        <v>32.847462324597636</v>
      </c>
      <c r="M32" s="172">
        <f t="shared" si="3"/>
        <v>7.1170045733609317</v>
      </c>
      <c r="N32" s="68">
        <f t="shared" si="10"/>
        <v>14.566738087026673</v>
      </c>
      <c r="O32" s="8"/>
      <c r="P32" s="8">
        <f t="shared" si="11"/>
        <v>0</v>
      </c>
      <c r="Q32" s="68">
        <f t="shared" si="12"/>
        <v>25.257586601934971</v>
      </c>
      <c r="R32" s="68">
        <f t="shared" si="13"/>
        <v>91.205702959465526</v>
      </c>
      <c r="S32" s="68">
        <f t="shared" si="14"/>
        <v>43.222990869262851</v>
      </c>
      <c r="T32" s="68">
        <f t="shared" si="15"/>
        <v>11.318224273507886</v>
      </c>
      <c r="U32" s="68">
        <f t="shared" si="16"/>
        <v>20.794253096296096</v>
      </c>
      <c r="V32" s="68">
        <f t="shared" si="17"/>
        <v>21.155271612951218</v>
      </c>
      <c r="W32" s="68">
        <f t="shared" si="18"/>
        <v>16.212103369985915</v>
      </c>
      <c r="X32" s="8"/>
      <c r="Y32" s="37">
        <f t="shared" si="6"/>
        <v>6.3716155874423081E-3</v>
      </c>
      <c r="Z32" s="80">
        <f t="shared" si="7"/>
        <v>44.741484655019889</v>
      </c>
    </row>
    <row r="33" spans="2:27" x14ac:dyDescent="0.25">
      <c r="B33" s="1">
        <v>640</v>
      </c>
      <c r="C33" t="s">
        <v>89</v>
      </c>
      <c r="D33" s="2"/>
      <c r="G33" s="2">
        <v>4615.38</v>
      </c>
      <c r="I33" s="2">
        <f t="shared" si="5"/>
        <v>2.65380052170055E-2</v>
      </c>
      <c r="J33" s="68">
        <f t="shared" si="0"/>
        <v>269.17206773551288</v>
      </c>
      <c r="K33" s="68">
        <f t="shared" si="8"/>
        <v>62.952129075519601</v>
      </c>
      <c r="L33" s="68">
        <f t="shared" si="9"/>
        <v>80.115583949617914</v>
      </c>
      <c r="M33" s="172">
        <f t="shared" si="3"/>
        <v>17.358509212443298</v>
      </c>
      <c r="N33" s="68">
        <f t="shared" si="10"/>
        <v>35.528550624422621</v>
      </c>
      <c r="O33" s="8"/>
      <c r="P33" s="8">
        <f t="shared" si="11"/>
        <v>0</v>
      </c>
      <c r="Q33" s="68">
        <f t="shared" si="12"/>
        <v>61.60373303044355</v>
      </c>
      <c r="R33" s="68">
        <f t="shared" si="13"/>
        <v>222.45244031107907</v>
      </c>
      <c r="S33" s="68">
        <f t="shared" si="14"/>
        <v>105.42169496445001</v>
      </c>
      <c r="T33" s="68">
        <f t="shared" si="15"/>
        <v>27.605363786833461</v>
      </c>
      <c r="U33" s="68">
        <f t="shared" si="16"/>
        <v>50.717577910375724</v>
      </c>
      <c r="V33" s="68">
        <f t="shared" si="17"/>
        <v>51.598108923475962</v>
      </c>
      <c r="W33" s="68">
        <f t="shared" si="18"/>
        <v>39.541627773338199</v>
      </c>
      <c r="X33" s="8"/>
      <c r="Y33" s="37">
        <f t="shared" si="6"/>
        <v>1.55404913306855E-2</v>
      </c>
      <c r="Z33" s="80">
        <f t="shared" si="7"/>
        <v>109.12533012407359</v>
      </c>
    </row>
    <row r="34" spans="2:27" x14ac:dyDescent="0.25">
      <c r="B34" s="1">
        <v>650</v>
      </c>
      <c r="C34" t="s">
        <v>56</v>
      </c>
      <c r="D34" s="2"/>
      <c r="G34" s="53">
        <v>2402.86</v>
      </c>
      <c r="H34" s="53"/>
      <c r="I34" s="2">
        <f t="shared" si="5"/>
        <v>1.3816221246296912E-2</v>
      </c>
      <c r="J34" s="68">
        <f t="shared" si="0"/>
        <v>140.13641231685247</v>
      </c>
      <c r="K34" s="68">
        <f t="shared" si="8"/>
        <v>32.774149229403221</v>
      </c>
      <c r="L34" s="68">
        <f t="shared" si="9"/>
        <v>41.709790320445748</v>
      </c>
      <c r="M34" s="172">
        <f t="shared" si="3"/>
        <v>9.0371903172028105</v>
      </c>
      <c r="N34" s="68">
        <f t="shared" si="10"/>
        <v>18.496880680117378</v>
      </c>
      <c r="O34" s="8"/>
      <c r="P34" s="8">
        <f t="shared" si="11"/>
        <v>0</v>
      </c>
      <c r="Q34" s="68">
        <f t="shared" si="12"/>
        <v>32.072147027878877</v>
      </c>
      <c r="R34" s="68">
        <f t="shared" si="13"/>
        <v>115.8132311371717</v>
      </c>
      <c r="S34" s="68">
        <f t="shared" si="14"/>
        <v>54.884662576489553</v>
      </c>
      <c r="T34" s="68">
        <f t="shared" si="15"/>
        <v>14.371909664822974</v>
      </c>
      <c r="U34" s="68">
        <f t="shared" si="16"/>
        <v>26.404594910435417</v>
      </c>
      <c r="V34" s="68">
        <f t="shared" si="17"/>
        <v>26.863017131387547</v>
      </c>
      <c r="W34" s="68">
        <f t="shared" si="18"/>
        <v>20.586169656982399</v>
      </c>
      <c r="X34" s="8"/>
      <c r="Y34" s="37">
        <f t="shared" si="6"/>
        <v>8.0906935071112154E-3</v>
      </c>
      <c r="Z34" s="80">
        <f t="shared" si="7"/>
        <v>56.812849806934956</v>
      </c>
    </row>
    <row r="35" spans="2:27" x14ac:dyDescent="0.25">
      <c r="D35" s="2"/>
      <c r="J35" s="68"/>
      <c r="K35" s="68"/>
      <c r="L35" s="68"/>
      <c r="M35" s="68"/>
      <c r="N35" s="68"/>
      <c r="O35" s="8"/>
      <c r="P35" s="8"/>
      <c r="Q35" s="68"/>
      <c r="R35" s="68"/>
      <c r="S35" s="68"/>
      <c r="T35" s="68"/>
      <c r="U35" s="68"/>
      <c r="V35" s="68"/>
      <c r="W35" s="68"/>
      <c r="X35" s="8"/>
      <c r="Y35" s="37">
        <f t="shared" ref="Y35:Y37" si="19">G35/$G$38</f>
        <v>0</v>
      </c>
      <c r="Z35" s="80">
        <f t="shared" si="7"/>
        <v>0</v>
      </c>
    </row>
    <row r="36" spans="2:27" x14ac:dyDescent="0.25">
      <c r="D36" s="2"/>
      <c r="F36" s="8">
        <f>SUM(G6:G34)</f>
        <v>173915.86000000007</v>
      </c>
      <c r="I36" s="2">
        <f t="shared" ref="I36:X36" si="20">SUM(I6:I35)</f>
        <v>0.99999999999999956</v>
      </c>
      <c r="J36" s="53">
        <f t="shared" si="20"/>
        <v>10142.889999999998</v>
      </c>
      <c r="K36" s="53">
        <f t="shared" si="20"/>
        <v>2372.1499999999996</v>
      </c>
      <c r="L36" s="53">
        <f t="shared" si="20"/>
        <v>3018.8999999999978</v>
      </c>
      <c r="M36" s="53">
        <f t="shared" si="20"/>
        <v>654.09999999999957</v>
      </c>
      <c r="N36" s="53">
        <f t="shared" si="20"/>
        <v>1338.7799999999993</v>
      </c>
      <c r="O36" s="2">
        <f t="shared" si="20"/>
        <v>0</v>
      </c>
      <c r="P36" s="2">
        <f t="shared" si="20"/>
        <v>0</v>
      </c>
      <c r="Q36" s="53">
        <f t="shared" si="20"/>
        <v>2321.3399999999992</v>
      </c>
      <c r="R36" s="53">
        <f t="shared" si="20"/>
        <v>8382.41</v>
      </c>
      <c r="S36" s="53">
        <f t="shared" si="20"/>
        <v>3972.4799999999977</v>
      </c>
      <c r="T36" s="53">
        <f t="shared" si="20"/>
        <v>1040.22</v>
      </c>
      <c r="U36" s="53">
        <f t="shared" si="20"/>
        <v>1911.1299999999992</v>
      </c>
      <c r="V36" s="53">
        <f t="shared" si="20"/>
        <v>1944.3099999999997</v>
      </c>
      <c r="W36" s="53">
        <f t="shared" si="20"/>
        <v>1489.9999999999993</v>
      </c>
      <c r="X36" s="2">
        <f t="shared" si="20"/>
        <v>0</v>
      </c>
      <c r="Y36" s="37">
        <f t="shared" si="19"/>
        <v>0</v>
      </c>
      <c r="Z36" s="80">
        <f t="shared" si="7"/>
        <v>0</v>
      </c>
    </row>
    <row r="37" spans="2:27" ht="15.75" thickBot="1" x14ac:dyDescent="0.3">
      <c r="B37" s="1">
        <v>451</v>
      </c>
      <c r="C37" s="32" t="s">
        <v>60</v>
      </c>
      <c r="D37" s="32"/>
      <c r="E37" s="32"/>
      <c r="F37" s="32"/>
      <c r="G37" s="31">
        <v>123074.75</v>
      </c>
      <c r="H37" s="31"/>
      <c r="I37" s="46"/>
      <c r="J37" s="8"/>
      <c r="K37" s="8"/>
      <c r="L37" s="8"/>
      <c r="M37" s="8"/>
      <c r="R37" s="66"/>
      <c r="Y37" s="37">
        <f t="shared" si="19"/>
        <v>0.41440619957647806</v>
      </c>
      <c r="Z37" s="80">
        <f t="shared" si="7"/>
        <v>2909.9603334260291</v>
      </c>
    </row>
    <row r="38" spans="2:27" ht="15.75" thickBot="1" x14ac:dyDescent="0.3">
      <c r="G38" s="34">
        <f>F36+G37</f>
        <v>296990.6100000001</v>
      </c>
      <c r="H38" s="34"/>
      <c r="I38" s="13">
        <f>SUM(I37:I37)</f>
        <v>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9">
        <f>SUM(Y6:Y37)</f>
        <v>0.99999999999999967</v>
      </c>
      <c r="Z38" s="175">
        <f>SUM(Z6:Z37)</f>
        <v>7021.9999999999982</v>
      </c>
      <c r="AA38" s="8"/>
    </row>
    <row r="39" spans="2:27" ht="16.5" thickTop="1" thickBot="1" x14ac:dyDescent="0.3">
      <c r="G39" s="22" t="s">
        <v>61</v>
      </c>
      <c r="H39" s="22"/>
      <c r="I39" s="22" t="s">
        <v>62</v>
      </c>
    </row>
    <row r="40" spans="2:27" x14ac:dyDescent="0.25">
      <c r="C40" s="17">
        <v>43378</v>
      </c>
      <c r="D40" s="23"/>
      <c r="E40" s="23"/>
      <c r="F40" s="23"/>
      <c r="G40" s="18">
        <v>63059.56</v>
      </c>
      <c r="H40" s="18"/>
      <c r="I40" s="3">
        <v>25182.73</v>
      </c>
      <c r="K40" s="2">
        <v>8228.34</v>
      </c>
    </row>
    <row r="41" spans="2:27" ht="15.75" thickBot="1" x14ac:dyDescent="0.3">
      <c r="C41" s="19">
        <v>43392</v>
      </c>
      <c r="D41" s="24"/>
      <c r="E41" s="24"/>
      <c r="F41" s="24"/>
      <c r="G41" s="2">
        <v>85673.57</v>
      </c>
      <c r="I41" s="4">
        <v>0</v>
      </c>
      <c r="K41" s="2">
        <v>7959.7</v>
      </c>
    </row>
    <row r="42" spans="2:27" ht="15.75" thickBot="1" x14ac:dyDescent="0.3">
      <c r="C42" s="20"/>
      <c r="D42" s="20"/>
      <c r="E42" s="20"/>
      <c r="F42" s="20"/>
      <c r="G42" s="21">
        <f>SUM(G40:I41)</f>
        <v>173915.86</v>
      </c>
      <c r="H42" s="5"/>
      <c r="I42" s="5"/>
    </row>
    <row r="43" spans="2:27" ht="15.75" thickBot="1" x14ac:dyDescent="0.3">
      <c r="G43" s="2">
        <f>G37</f>
        <v>123074.75</v>
      </c>
    </row>
    <row r="44" spans="2:27" ht="15.75" thickBot="1" x14ac:dyDescent="0.3">
      <c r="G44" s="33">
        <f>SUM(G42:G43)</f>
        <v>296990.61</v>
      </c>
      <c r="H44" s="31"/>
    </row>
  </sheetData>
  <pageMargins left="0" right="0" top="0.75" bottom="0.75" header="0.3" footer="0.3"/>
  <pageSetup paperSize="5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  <pageSetUpPr fitToPage="1"/>
  </sheetPr>
  <dimension ref="B1:AA44"/>
  <sheetViews>
    <sheetView zoomScale="85" zoomScaleNormal="85" workbookViewId="0">
      <selection activeCell="G21" sqref="G21"/>
    </sheetView>
  </sheetViews>
  <sheetFormatPr defaultRowHeight="15" x14ac:dyDescent="0.25"/>
  <cols>
    <col min="2" max="2" width="9.140625" style="1"/>
    <col min="3" max="3" width="31.85546875" customWidth="1"/>
    <col min="4" max="4" width="9" customWidth="1"/>
    <col min="5" max="5" width="8.140625" customWidth="1"/>
    <col min="6" max="6" width="12.28515625" customWidth="1"/>
    <col min="7" max="8" width="20.5703125" style="2" customWidth="1"/>
    <col min="9" max="9" width="14.5703125" style="2" customWidth="1"/>
    <col min="10" max="23" width="12.85546875" customWidth="1"/>
    <col min="24" max="24" width="2.85546875" customWidth="1"/>
    <col min="25" max="25" width="8.5703125" customWidth="1"/>
    <col min="26" max="26" width="11.85546875" customWidth="1"/>
    <col min="27" max="27" width="12.7109375" customWidth="1"/>
  </cols>
  <sheetData>
    <row r="1" spans="2:27" ht="15.75" thickBot="1" x14ac:dyDescent="0.3">
      <c r="J1">
        <v>7251</v>
      </c>
      <c r="K1">
        <v>7252</v>
      </c>
      <c r="L1">
        <v>7253</v>
      </c>
      <c r="M1">
        <v>7254</v>
      </c>
      <c r="N1">
        <v>7260</v>
      </c>
      <c r="P1">
        <v>7251</v>
      </c>
      <c r="Q1">
        <v>7252</v>
      </c>
      <c r="R1">
        <v>7253</v>
      </c>
      <c r="S1">
        <v>7254</v>
      </c>
      <c r="T1">
        <v>7260</v>
      </c>
      <c r="Z1">
        <v>7248</v>
      </c>
    </row>
    <row r="2" spans="2:27" ht="15.75" thickBot="1" x14ac:dyDescent="0.3">
      <c r="G2" s="2" t="s">
        <v>96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/>
      <c r="P2" t="s">
        <v>8</v>
      </c>
      <c r="Q2" t="s">
        <v>12</v>
      </c>
      <c r="R2" t="s">
        <v>7</v>
      </c>
      <c r="S2" t="s">
        <v>83</v>
      </c>
      <c r="T2" t="s">
        <v>11</v>
      </c>
      <c r="U2" t="s">
        <v>9</v>
      </c>
      <c r="V2" t="s">
        <v>13</v>
      </c>
      <c r="W2" t="s">
        <v>6</v>
      </c>
      <c r="X2" s="2"/>
      <c r="Y2" s="35"/>
      <c r="Z2" s="36" t="s">
        <v>15</v>
      </c>
      <c r="AA2" s="2"/>
    </row>
    <row r="3" spans="2:27" x14ac:dyDescent="0.25">
      <c r="J3" s="53">
        <v>10088.64</v>
      </c>
      <c r="K3" s="53">
        <v>2359.4499999999998</v>
      </c>
      <c r="L3" s="53">
        <v>-637.91999999999996</v>
      </c>
      <c r="M3" s="2">
        <v>734.47</v>
      </c>
      <c r="N3" s="2">
        <v>1496.37</v>
      </c>
      <c r="O3" s="2"/>
      <c r="P3" s="27">
        <v>2044.19</v>
      </c>
      <c r="Q3" s="30">
        <v>2289.21</v>
      </c>
      <c r="R3" s="30">
        <v>6465</v>
      </c>
      <c r="S3" s="28">
        <v>3972</v>
      </c>
      <c r="T3" s="30">
        <v>1591.03</v>
      </c>
      <c r="U3" s="30">
        <v>1088.95</v>
      </c>
      <c r="V3" s="28">
        <v>843.2</v>
      </c>
      <c r="W3" s="28">
        <v>820</v>
      </c>
      <c r="X3" s="2"/>
      <c r="Y3" s="37"/>
      <c r="Z3" s="38">
        <v>7022</v>
      </c>
      <c r="AA3" s="2"/>
    </row>
    <row r="4" spans="2:27" ht="15.75" thickBot="1" x14ac:dyDescent="0.3">
      <c r="Y4" s="39"/>
      <c r="Z4" s="40">
        <v>0.04</v>
      </c>
    </row>
    <row r="5" spans="2:27" ht="15.75" thickBot="1" x14ac:dyDescent="0.3">
      <c r="D5">
        <v>7222</v>
      </c>
      <c r="E5" t="s">
        <v>16</v>
      </c>
      <c r="F5" t="s">
        <v>17</v>
      </c>
      <c r="G5" s="2" t="s">
        <v>92</v>
      </c>
      <c r="T5" s="10">
        <f>SUM(T3:T4)</f>
        <v>1591.03</v>
      </c>
      <c r="Y5" s="39"/>
      <c r="Z5" s="40"/>
    </row>
    <row r="6" spans="2:27" x14ac:dyDescent="0.25">
      <c r="B6" s="1">
        <v>111</v>
      </c>
      <c r="C6" t="s">
        <v>20</v>
      </c>
      <c r="D6" s="2"/>
      <c r="G6" s="2">
        <f>27680.86-6764.59</f>
        <v>20916.27</v>
      </c>
      <c r="I6" s="2">
        <f>G6/$F$36</f>
        <v>0.11913586262711921</v>
      </c>
      <c r="J6" s="85">
        <f t="shared" ref="J6:J35" si="0">I6*$J$3</f>
        <v>1201.9188291344599</v>
      </c>
      <c r="K6" s="85">
        <f t="shared" ref="K6:K12" si="1">I6*$K$3</f>
        <v>281.09511107555642</v>
      </c>
      <c r="L6" s="85">
        <f t="shared" ref="L6:L12" si="2">I6*$L$3</f>
        <v>-75.999149487091884</v>
      </c>
      <c r="M6" s="85">
        <f t="shared" ref="M6:M12" si="3">I6*$M$3</f>
        <v>87.501717023740255</v>
      </c>
      <c r="N6" s="85">
        <f t="shared" ref="N6:N12" si="4">I6*$N$3</f>
        <v>178.27133075934236</v>
      </c>
      <c r="O6" s="8"/>
      <c r="P6" s="85">
        <f t="shared" ref="P6:P12" si="5">I6*$P$3</f>
        <v>243.53633902373082</v>
      </c>
      <c r="Q6" s="85">
        <f t="shared" ref="Q6:Q12" si="6">I6*$Q$3</f>
        <v>272.72700808462758</v>
      </c>
      <c r="R6" s="85">
        <f t="shared" ref="R6:R12" si="7">I6*$R$3</f>
        <v>770.21335188432568</v>
      </c>
      <c r="S6" s="8">
        <f t="shared" ref="S6:S12" si="8">I6*$S$3</f>
        <v>473.20764635491753</v>
      </c>
      <c r="T6" s="85">
        <f t="shared" ref="T6:T12" si="9">I6*$T$5</f>
        <v>189.54873151562549</v>
      </c>
      <c r="U6" s="85">
        <f t="shared" ref="U6:U12" si="10">I6*$U$3</f>
        <v>129.73299760780148</v>
      </c>
      <c r="V6" s="85">
        <f t="shared" ref="V6:V12" si="11">I6*$V$3</f>
        <v>100.45535936718693</v>
      </c>
      <c r="W6" s="85">
        <f t="shared" ref="W6:W12" si="12">I6*$W$3</f>
        <v>97.691407354237754</v>
      </c>
      <c r="X6" s="8"/>
      <c r="Y6" s="37">
        <f>G6/$G$38</f>
        <v>6.9940999663206813E-2</v>
      </c>
      <c r="Z6" s="87">
        <f t="shared" ref="Z6:Z12" si="13">Y6*$Z$3</f>
        <v>491.12569963503825</v>
      </c>
    </row>
    <row r="7" spans="2:27" x14ac:dyDescent="0.25">
      <c r="C7" t="s">
        <v>24</v>
      </c>
      <c r="D7" s="2"/>
      <c r="G7" s="2">
        <v>3527.66</v>
      </c>
      <c r="I7" s="2">
        <f>G7/$F$36</f>
        <v>2.0093009755333208E-2</v>
      </c>
      <c r="J7" s="68">
        <f>I7*$J$3</f>
        <v>202.71114193804479</v>
      </c>
      <c r="K7" s="68">
        <f>I7*$K$3</f>
        <v>47.408451867220933</v>
      </c>
      <c r="L7" s="68">
        <f>I7*$L$3</f>
        <v>-12.817732783122159</v>
      </c>
      <c r="M7" s="68">
        <f>I7*$M$3</f>
        <v>14.757712874999582</v>
      </c>
      <c r="N7" s="68">
        <f>I7*$N$3</f>
        <v>30.066577007587949</v>
      </c>
      <c r="O7" s="8"/>
      <c r="P7" s="68">
        <f>I7*$P$3</f>
        <v>41.073929611754593</v>
      </c>
      <c r="Q7" s="68">
        <f>I7*$Q$3</f>
        <v>45.997118862006332</v>
      </c>
      <c r="R7" s="68">
        <f>I7*$R$3</f>
        <v>129.90130806822918</v>
      </c>
      <c r="S7" s="8">
        <f>I7*$S$3</f>
        <v>79.809434748183506</v>
      </c>
      <c r="T7" s="68">
        <f>I7*$T$5</f>
        <v>31.968581311027794</v>
      </c>
      <c r="U7" s="68">
        <f>I7*$U$3</f>
        <v>21.880282973070099</v>
      </c>
      <c r="V7" s="68">
        <f>I7*$V$3</f>
        <v>16.942425825696962</v>
      </c>
      <c r="W7" s="68">
        <f>I7*$W$3</f>
        <v>16.476267999373231</v>
      </c>
      <c r="X7" s="8"/>
      <c r="Y7" s="37">
        <f>G7/$G$38</f>
        <v>1.1795987854044154E-2</v>
      </c>
      <c r="Z7" s="80">
        <f>Y7*$Z$3</f>
        <v>82.831426711098047</v>
      </c>
    </row>
    <row r="8" spans="2:27" x14ac:dyDescent="0.25">
      <c r="C8" t="s">
        <v>22</v>
      </c>
      <c r="D8" s="2"/>
      <c r="G8" s="2">
        <v>1966.65</v>
      </c>
      <c r="I8" s="2">
        <f>G8/$F$36</f>
        <v>1.120173645853797E-2</v>
      </c>
      <c r="J8" s="68">
        <f t="shared" si="0"/>
        <v>113.0102865050645</v>
      </c>
      <c r="K8" s="68">
        <f t="shared" si="1"/>
        <v>26.429937087097411</v>
      </c>
      <c r="L8" s="68">
        <f t="shared" si="2"/>
        <v>-7.1458117216305412</v>
      </c>
      <c r="M8" s="68">
        <f t="shared" si="3"/>
        <v>8.2273393767023837</v>
      </c>
      <c r="N8" s="68">
        <f t="shared" si="4"/>
        <v>16.761942384462461</v>
      </c>
      <c r="O8" s="8"/>
      <c r="P8" s="68">
        <f t="shared" si="5"/>
        <v>22.898477651178734</v>
      </c>
      <c r="Q8" s="68">
        <f t="shared" si="6"/>
        <v>25.643127118249708</v>
      </c>
      <c r="R8" s="68">
        <f t="shared" si="7"/>
        <v>72.41922620444798</v>
      </c>
      <c r="S8" s="8">
        <f t="shared" si="8"/>
        <v>44.493297213312815</v>
      </c>
      <c r="T8" s="68">
        <f t="shared" si="9"/>
        <v>17.822298757627667</v>
      </c>
      <c r="U8" s="68">
        <f t="shared" si="10"/>
        <v>12.198130916524923</v>
      </c>
      <c r="V8" s="68">
        <f t="shared" si="11"/>
        <v>9.4453041818392176</v>
      </c>
      <c r="W8" s="68">
        <f t="shared" si="12"/>
        <v>9.1854238960011347</v>
      </c>
      <c r="X8" s="8"/>
      <c r="Y8" s="37">
        <f>G8/$G$38</f>
        <v>6.5761948467697954E-3</v>
      </c>
      <c r="Z8" s="80">
        <f t="shared" si="13"/>
        <v>46.1780402140175</v>
      </c>
    </row>
    <row r="9" spans="2:27" x14ac:dyDescent="0.25">
      <c r="B9" s="1" t="s">
        <v>25</v>
      </c>
      <c r="C9" t="s">
        <v>26</v>
      </c>
      <c r="D9" s="2"/>
      <c r="G9" s="2">
        <v>1039.17</v>
      </c>
      <c r="I9" s="2">
        <f>G9/$F$36</f>
        <v>5.9189527753382163E-3</v>
      </c>
      <c r="J9" s="68">
        <f t="shared" si="0"/>
        <v>59.714183727388139</v>
      </c>
      <c r="K9" s="68">
        <f t="shared" si="1"/>
        <v>13.965473125771753</v>
      </c>
      <c r="L9" s="68">
        <f t="shared" si="2"/>
        <v>-3.7758183544437545</v>
      </c>
      <c r="M9" s="68">
        <f t="shared" si="3"/>
        <v>4.3472932449026596</v>
      </c>
      <c r="N9" s="68">
        <f t="shared" si="4"/>
        <v>8.8569433644328459</v>
      </c>
      <c r="O9" s="8"/>
      <c r="P9" s="68">
        <f t="shared" si="5"/>
        <v>12.099464073818629</v>
      </c>
      <c r="Q9" s="68">
        <f t="shared" si="6"/>
        <v>13.549725882831998</v>
      </c>
      <c r="R9" s="68">
        <f t="shared" si="7"/>
        <v>38.266029692561567</v>
      </c>
      <c r="S9" s="8">
        <f t="shared" si="8"/>
        <v>23.510080423643394</v>
      </c>
      <c r="T9" s="68">
        <f t="shared" si="9"/>
        <v>9.4172314341463625</v>
      </c>
      <c r="U9" s="68">
        <f t="shared" si="10"/>
        <v>6.4454436247045512</v>
      </c>
      <c r="V9" s="68">
        <f t="shared" si="11"/>
        <v>4.9908609801651842</v>
      </c>
      <c r="W9" s="68">
        <f t="shared" si="12"/>
        <v>4.8535412757773377</v>
      </c>
      <c r="X9" s="8"/>
      <c r="Y9" s="37">
        <f>G9/$G$38</f>
        <v>3.4748350743232241E-3</v>
      </c>
      <c r="Z9" s="80">
        <f t="shared" si="13"/>
        <v>24.40029189189768</v>
      </c>
    </row>
    <row r="10" spans="2:27" ht="15.75" thickBot="1" x14ac:dyDescent="0.3">
      <c r="B10" s="1">
        <v>114</v>
      </c>
      <c r="C10" t="s">
        <v>28</v>
      </c>
      <c r="D10" s="2"/>
      <c r="G10" s="2">
        <v>6764.59</v>
      </c>
      <c r="H10" s="2">
        <f>SUM(G6:G10)</f>
        <v>34214.339999999997</v>
      </c>
      <c r="I10" s="2">
        <f>G10/$F$36</f>
        <v>3.8530066066692785E-2</v>
      </c>
      <c r="J10" s="68">
        <f>I10*$J$3</f>
        <v>388.71596572307948</v>
      </c>
      <c r="K10" s="68">
        <f>I10*$K$3</f>
        <v>90.909764381058281</v>
      </c>
      <c r="L10" s="68">
        <f>I10*$L$3</f>
        <v>-24.57909974526466</v>
      </c>
      <c r="M10" s="68">
        <f>I10*$M$3</f>
        <v>28.29917762400385</v>
      </c>
      <c r="N10" s="68">
        <f>I10*$N$3</f>
        <v>57.655234960217079</v>
      </c>
      <c r="O10" s="8"/>
      <c r="P10" s="68">
        <f>I10*$P$3</f>
        <v>78.762775752872727</v>
      </c>
      <c r="Q10" s="68">
        <f>I10*$Q$3</f>
        <v>88.20341254053379</v>
      </c>
      <c r="R10" s="68">
        <f>I10*$R$3</f>
        <v>249.09687712116886</v>
      </c>
      <c r="S10" s="8">
        <f>I10*$S$3</f>
        <v>153.04142241690374</v>
      </c>
      <c r="T10" s="68">
        <f>I10*$T$5</f>
        <v>61.302491014090222</v>
      </c>
      <c r="U10" s="68">
        <f>I10*$U$3</f>
        <v>41.957315443325108</v>
      </c>
      <c r="V10" s="68">
        <f>I10*$V$3</f>
        <v>32.488551707435356</v>
      </c>
      <c r="W10" s="68">
        <f>I10*$W$3</f>
        <v>31.594654174688085</v>
      </c>
      <c r="X10" s="8"/>
      <c r="Y10" s="37">
        <f>G10/$G$38</f>
        <v>2.2619816387517092E-2</v>
      </c>
      <c r="Z10" s="80">
        <f>Y10*$Z$3</f>
        <v>158.83635067314503</v>
      </c>
    </row>
    <row r="11" spans="2:27" ht="15.75" thickBot="1" x14ac:dyDescent="0.3">
      <c r="D11" s="2"/>
      <c r="J11" s="79"/>
      <c r="K11" s="57"/>
      <c r="L11" s="57"/>
      <c r="M11" s="57"/>
      <c r="N11" s="78"/>
      <c r="O11" s="8"/>
      <c r="P11" s="68"/>
      <c r="Q11" s="68"/>
      <c r="R11" s="79"/>
      <c r="S11" s="57"/>
      <c r="T11" s="57"/>
      <c r="U11" s="57"/>
      <c r="V11" s="57"/>
      <c r="W11" s="78"/>
      <c r="X11" s="8"/>
      <c r="Y11" s="37"/>
      <c r="Z11" s="38"/>
    </row>
    <row r="12" spans="2:27" x14ac:dyDescent="0.25">
      <c r="B12" s="1">
        <v>112</v>
      </c>
      <c r="C12" t="s">
        <v>27</v>
      </c>
      <c r="D12" s="2" t="s">
        <v>57</v>
      </c>
      <c r="G12" s="2">
        <v>30306.36</v>
      </c>
      <c r="I12" s="2">
        <f>G12/$F$36</f>
        <v>0.17262037359854412</v>
      </c>
      <c r="J12" s="8">
        <f t="shared" si="0"/>
        <v>1741.5048059012161</v>
      </c>
      <c r="K12" s="8">
        <f t="shared" si="1"/>
        <v>407.28914048708492</v>
      </c>
      <c r="L12" s="8">
        <f t="shared" si="2"/>
        <v>-110.11798872598327</v>
      </c>
      <c r="M12" s="8">
        <f t="shared" si="3"/>
        <v>126.78448579692271</v>
      </c>
      <c r="N12" s="8">
        <f t="shared" si="4"/>
        <v>258.30394844165346</v>
      </c>
      <c r="O12" s="8"/>
      <c r="P12" s="68">
        <f t="shared" si="5"/>
        <v>352.86884150640793</v>
      </c>
      <c r="Q12" s="68">
        <f t="shared" si="6"/>
        <v>395.16428544552321</v>
      </c>
      <c r="R12" s="8">
        <f t="shared" si="7"/>
        <v>1115.9907153145878</v>
      </c>
      <c r="S12" s="8">
        <f t="shared" si="8"/>
        <v>685.64812393341731</v>
      </c>
      <c r="T12" s="8">
        <f t="shared" si="9"/>
        <v>274.64419300649166</v>
      </c>
      <c r="U12" s="8">
        <f t="shared" si="10"/>
        <v>187.97495583013463</v>
      </c>
      <c r="V12" s="8">
        <f t="shared" si="11"/>
        <v>145.55349901829243</v>
      </c>
      <c r="W12" s="8">
        <f t="shared" si="12"/>
        <v>141.54870635080619</v>
      </c>
      <c r="X12" s="8"/>
      <c r="Y12" s="37">
        <f>G12/$G$38</f>
        <v>0.1013401105719626</v>
      </c>
      <c r="Z12" s="38">
        <f t="shared" si="13"/>
        <v>711.61025643632138</v>
      </c>
    </row>
    <row r="13" spans="2:27" x14ac:dyDescent="0.25">
      <c r="B13" s="1">
        <v>122</v>
      </c>
      <c r="C13" t="s">
        <v>29</v>
      </c>
      <c r="D13" s="2"/>
      <c r="G13" s="2">
        <v>3103.1</v>
      </c>
      <c r="I13" s="2">
        <f>G13/$F$36</f>
        <v>1.7674781178394314E-2</v>
      </c>
      <c r="J13" s="8">
        <f t="shared" si="0"/>
        <v>178.314504387596</v>
      </c>
      <c r="K13" s="8">
        <f t="shared" ref="K13:K36" si="14">I13*$K$3</f>
        <v>41.70276245136246</v>
      </c>
      <c r="L13" s="8">
        <f t="shared" ref="L13:L36" si="15">I13*$L$3</f>
        <v>-11.2750964093213</v>
      </c>
      <c r="M13" s="8">
        <f t="shared" ref="M13:M36" si="16">I13*$M$3</f>
        <v>12.981596532095272</v>
      </c>
      <c r="N13" s="8">
        <f t="shared" ref="N13:N36" si="17">I13*$N$3</f>
        <v>26.448012311913896</v>
      </c>
      <c r="O13" s="8"/>
      <c r="P13" s="8">
        <f t="shared" ref="P13:P36" si="18">I13*$P$3</f>
        <v>36.130610937061874</v>
      </c>
      <c r="Q13" s="8">
        <f t="shared" ref="Q13:Q36" si="19">I13*$Q$3</f>
        <v>40.461285821392046</v>
      </c>
      <c r="R13" s="8">
        <f t="shared" ref="R13:R36" si="20">I13*$R$3</f>
        <v>114.26746031831924</v>
      </c>
      <c r="S13" s="8">
        <f t="shared" ref="S13:S36" si="21">I13*$S$3</f>
        <v>70.204230840582213</v>
      </c>
      <c r="T13" s="8">
        <f t="shared" ref="T13:T35" si="22">I13*$T$5</f>
        <v>28.121107098260705</v>
      </c>
      <c r="U13" s="8">
        <f t="shared" ref="U13:U36" si="23">I13*$U$3</f>
        <v>19.24695296421249</v>
      </c>
      <c r="V13" s="8">
        <f t="shared" ref="V13:V36" si="24">I13*$V$3</f>
        <v>14.903375489622086</v>
      </c>
      <c r="W13" s="8">
        <f t="shared" ref="W13:W36" si="25">I13*$W$3</f>
        <v>14.493320566283337</v>
      </c>
      <c r="X13" s="8"/>
      <c r="Y13" s="37">
        <f>G13/$G$38</f>
        <v>1.0376320254753693E-2</v>
      </c>
      <c r="Z13" s="38">
        <f t="shared" ref="Z13:Z37" si="26">Y13*$Z$3</f>
        <v>72.862520828880434</v>
      </c>
    </row>
    <row r="14" spans="2:27" x14ac:dyDescent="0.25">
      <c r="B14" s="1">
        <v>123</v>
      </c>
      <c r="C14" t="s">
        <v>30</v>
      </c>
      <c r="D14" s="2"/>
      <c r="G14" s="31">
        <v>18145.849999999999</v>
      </c>
      <c r="H14" s="31"/>
      <c r="I14" s="31">
        <f>G14/$F$36</f>
        <v>0.10335597565207902</v>
      </c>
      <c r="J14" s="29">
        <f t="shared" si="0"/>
        <v>1042.7212302025905</v>
      </c>
      <c r="K14" s="29">
        <f t="shared" si="14"/>
        <v>243.86325675229781</v>
      </c>
      <c r="L14" s="29">
        <f t="shared" si="15"/>
        <v>-65.932843987974238</v>
      </c>
      <c r="M14" s="29">
        <f t="shared" si="16"/>
        <v>75.911863437182475</v>
      </c>
      <c r="N14" s="29">
        <f t="shared" si="17"/>
        <v>154.65878128650147</v>
      </c>
      <c r="O14" s="29"/>
      <c r="P14" s="29">
        <f t="shared" si="18"/>
        <v>211.27925186822341</v>
      </c>
      <c r="Q14" s="29">
        <f t="shared" si="19"/>
        <v>236.60353302249581</v>
      </c>
      <c r="R14" s="29">
        <f t="shared" si="20"/>
        <v>668.19638259069086</v>
      </c>
      <c r="S14" s="29">
        <f t="shared" si="21"/>
        <v>410.52993529005784</v>
      </c>
      <c r="T14" s="29">
        <f t="shared" si="22"/>
        <v>164.44245794172727</v>
      </c>
      <c r="U14" s="29">
        <f t="shared" si="23"/>
        <v>112.54948968633146</v>
      </c>
      <c r="V14" s="29">
        <f t="shared" si="24"/>
        <v>87.149758669833034</v>
      </c>
      <c r="W14" s="29">
        <f t="shared" si="25"/>
        <v>84.751900034704789</v>
      </c>
      <c r="X14" s="29"/>
      <c r="Y14" s="47">
        <f>G14/$G$38</f>
        <v>6.0677113497703036E-2</v>
      </c>
      <c r="Z14" s="48">
        <f t="shared" si="26"/>
        <v>426.07469098087074</v>
      </c>
    </row>
    <row r="15" spans="2:27" x14ac:dyDescent="0.25">
      <c r="B15" s="1">
        <v>134</v>
      </c>
      <c r="C15" t="s">
        <v>85</v>
      </c>
      <c r="D15" s="2"/>
      <c r="I15" s="2">
        <f>G15/$F$36</f>
        <v>0</v>
      </c>
      <c r="J15" s="8">
        <f t="shared" si="0"/>
        <v>0</v>
      </c>
      <c r="K15" s="8">
        <f t="shared" si="14"/>
        <v>0</v>
      </c>
      <c r="L15" s="8">
        <f t="shared" si="15"/>
        <v>0</v>
      </c>
      <c r="M15" s="8">
        <f t="shared" si="16"/>
        <v>0</v>
      </c>
      <c r="N15" s="8">
        <f t="shared" si="17"/>
        <v>0</v>
      </c>
      <c r="O15" s="8"/>
      <c r="P15" s="8">
        <f t="shared" si="18"/>
        <v>0</v>
      </c>
      <c r="Q15" s="8">
        <f t="shared" si="19"/>
        <v>0</v>
      </c>
      <c r="R15" s="8">
        <f t="shared" si="20"/>
        <v>0</v>
      </c>
      <c r="S15" s="8">
        <f t="shared" si="21"/>
        <v>0</v>
      </c>
      <c r="T15" s="8">
        <f t="shared" si="22"/>
        <v>0</v>
      </c>
      <c r="U15" s="8">
        <f t="shared" si="23"/>
        <v>0</v>
      </c>
      <c r="V15" s="8">
        <f t="shared" si="24"/>
        <v>0</v>
      </c>
      <c r="W15" s="8">
        <f t="shared" si="25"/>
        <v>0</v>
      </c>
      <c r="X15" s="8"/>
      <c r="Y15" s="37">
        <f>G15/$G$38</f>
        <v>0</v>
      </c>
      <c r="Z15" s="38">
        <f t="shared" si="26"/>
        <v>0</v>
      </c>
    </row>
    <row r="16" spans="2:27" ht="15.75" thickBot="1" x14ac:dyDescent="0.3">
      <c r="C16" t="s">
        <v>86</v>
      </c>
      <c r="D16" s="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37"/>
      <c r="Z16" s="38"/>
    </row>
    <row r="17" spans="2:26" ht="15.75" thickBot="1" x14ac:dyDescent="0.3">
      <c r="C17" t="s">
        <v>36</v>
      </c>
      <c r="D17" s="2"/>
      <c r="E17" s="26">
        <v>7120</v>
      </c>
      <c r="F17" s="26">
        <v>7130</v>
      </c>
      <c r="G17" s="52">
        <v>7600.72</v>
      </c>
      <c r="H17" s="6"/>
      <c r="I17" s="6">
        <f t="shared" ref="I17:I35" si="27">G17/$F$36</f>
        <v>4.3292534174936427E-2</v>
      </c>
      <c r="J17" s="8">
        <f t="shared" si="0"/>
        <v>436.76279197863062</v>
      </c>
      <c r="K17" s="7">
        <f>I17*$K$3</f>
        <v>102.14656975905375</v>
      </c>
      <c r="L17" s="7">
        <f>I17*$L$3</f>
        <v>-27.617173400875444</v>
      </c>
      <c r="M17" s="7">
        <f>I17*$M$3</f>
        <v>31.797067575465558</v>
      </c>
      <c r="N17" s="7">
        <f>I17*$N$3</f>
        <v>64.781649363349615</v>
      </c>
      <c r="O17" s="7"/>
      <c r="P17" s="7">
        <f t="shared" si="18"/>
        <v>88.498165435063299</v>
      </c>
      <c r="Q17" s="7">
        <f t="shared" si="19"/>
        <v>99.105702158606221</v>
      </c>
      <c r="R17" s="7">
        <f t="shared" si="20"/>
        <v>279.88623344096402</v>
      </c>
      <c r="S17" s="7">
        <f t="shared" si="21"/>
        <v>171.9579457428475</v>
      </c>
      <c r="T17" s="7">
        <f t="shared" si="22"/>
        <v>68.879720648349107</v>
      </c>
      <c r="U17" s="7">
        <f t="shared" si="23"/>
        <v>47.143405089797021</v>
      </c>
      <c r="V17" s="7">
        <f t="shared" si="24"/>
        <v>36.504264816306396</v>
      </c>
      <c r="W17" s="7">
        <f t="shared" si="25"/>
        <v>35.49987802344787</v>
      </c>
      <c r="X17" s="7"/>
      <c r="Y17" s="37">
        <f t="shared" ref="Y17:Y36" si="28">G17/$G$38</f>
        <v>2.541571489372289E-2</v>
      </c>
      <c r="Z17" s="11">
        <f t="shared" si="26"/>
        <v>178.46914998372213</v>
      </c>
    </row>
    <row r="18" spans="2:26" x14ac:dyDescent="0.25">
      <c r="C18" t="s">
        <v>73</v>
      </c>
      <c r="D18" s="2"/>
      <c r="G18" s="2">
        <v>1869.23</v>
      </c>
      <c r="I18" s="2">
        <f t="shared" si="27"/>
        <v>1.0646847095514164E-2</v>
      </c>
      <c r="J18" s="8">
        <f t="shared" si="0"/>
        <v>107.412207481688</v>
      </c>
      <c r="K18" s="8">
        <f t="shared" si="14"/>
        <v>25.120703379510893</v>
      </c>
      <c r="L18" s="8">
        <f t="shared" si="15"/>
        <v>-6.7918366991703945</v>
      </c>
      <c r="M18" s="8">
        <f t="shared" si="16"/>
        <v>7.8197897862422883</v>
      </c>
      <c r="N18" s="8">
        <f t="shared" si="17"/>
        <v>15.931622588314527</v>
      </c>
      <c r="O18" s="8"/>
      <c r="P18" s="8">
        <f t="shared" si="18"/>
        <v>21.764178364179099</v>
      </c>
      <c r="Q18" s="8">
        <f t="shared" si="19"/>
        <v>24.372868839521978</v>
      </c>
      <c r="R18" s="8">
        <f t="shared" si="20"/>
        <v>68.831866472499073</v>
      </c>
      <c r="S18" s="8">
        <f t="shared" si="21"/>
        <v>42.28927666338226</v>
      </c>
      <c r="T18" s="8">
        <f t="shared" si="22"/>
        <v>16.939453134375899</v>
      </c>
      <c r="U18" s="8">
        <f t="shared" si="23"/>
        <v>11.59388414466015</v>
      </c>
      <c r="V18" s="8">
        <f t="shared" si="24"/>
        <v>8.9774214709375428</v>
      </c>
      <c r="W18" s="8">
        <f t="shared" si="25"/>
        <v>8.730414618321614</v>
      </c>
      <c r="X18" s="8"/>
      <c r="Y18" s="37">
        <f t="shared" si="28"/>
        <v>6.2504363732374876E-3</v>
      </c>
      <c r="Z18" s="38">
        <f t="shared" si="26"/>
        <v>43.890564212873635</v>
      </c>
    </row>
    <row r="19" spans="2:26" x14ac:dyDescent="0.25">
      <c r="C19" t="s">
        <v>38</v>
      </c>
      <c r="D19" s="2"/>
      <c r="G19" s="2">
        <v>7153.85</v>
      </c>
      <c r="I19" s="2">
        <f t="shared" si="27"/>
        <v>4.0747231263270976E-2</v>
      </c>
      <c r="J19" s="8">
        <f t="shared" si="0"/>
        <v>411.08414721188609</v>
      </c>
      <c r="K19" s="8">
        <f t="shared" si="14"/>
        <v>96.141054804124693</v>
      </c>
      <c r="L19" s="8">
        <f t="shared" si="15"/>
        <v>-25.993473767465819</v>
      </c>
      <c r="M19" s="8">
        <f t="shared" si="16"/>
        <v>29.927618945934636</v>
      </c>
      <c r="N19" s="8">
        <f t="shared" si="17"/>
        <v>60.972934445420783</v>
      </c>
      <c r="O19" s="8"/>
      <c r="P19" s="8">
        <f t="shared" si="18"/>
        <v>83.295082676065903</v>
      </c>
      <c r="Q19" s="8">
        <f t="shared" si="19"/>
        <v>93.278969280192555</v>
      </c>
      <c r="R19" s="8">
        <f t="shared" si="20"/>
        <v>263.43085011704687</v>
      </c>
      <c r="S19" s="8">
        <f t="shared" si="21"/>
        <v>161.84800257771232</v>
      </c>
      <c r="T19" s="8">
        <f t="shared" si="22"/>
        <v>64.830067356802019</v>
      </c>
      <c r="U19" s="8">
        <f t="shared" si="23"/>
        <v>44.371697484138934</v>
      </c>
      <c r="V19" s="8">
        <f t="shared" si="24"/>
        <v>34.358065401190089</v>
      </c>
      <c r="W19" s="8">
        <f t="shared" si="25"/>
        <v>33.412729635882201</v>
      </c>
      <c r="X19" s="8"/>
      <c r="Y19" s="37">
        <f t="shared" si="28"/>
        <v>2.3921445862031425E-2</v>
      </c>
      <c r="Z19" s="38">
        <f t="shared" si="26"/>
        <v>167.97639284318467</v>
      </c>
    </row>
    <row r="20" spans="2:26" ht="15.75" thickBot="1" x14ac:dyDescent="0.3">
      <c r="B20" s="1">
        <v>141</v>
      </c>
      <c r="C20" t="s">
        <v>19</v>
      </c>
      <c r="D20" s="2"/>
      <c r="E20" s="26"/>
      <c r="F20" s="26"/>
      <c r="G20" s="6">
        <v>5778.46</v>
      </c>
      <c r="H20" s="6"/>
      <c r="I20" s="6">
        <f t="shared" si="27"/>
        <v>3.2913220988077856E-2</v>
      </c>
      <c r="J20" s="8">
        <f t="shared" si="0"/>
        <v>332.04963778916175</v>
      </c>
      <c r="K20" s="7">
        <f t="shared" si="14"/>
        <v>77.657099260320294</v>
      </c>
      <c r="L20" s="7">
        <f t="shared" si="15"/>
        <v>-20.996001932714623</v>
      </c>
      <c r="M20" s="7">
        <f t="shared" si="16"/>
        <v>24.173773419113544</v>
      </c>
      <c r="N20" s="7">
        <f t="shared" si="17"/>
        <v>49.250356489930056</v>
      </c>
      <c r="O20" s="7"/>
      <c r="P20" s="7">
        <f t="shared" si="18"/>
        <v>67.280877211618872</v>
      </c>
      <c r="Q20" s="7">
        <f t="shared" si="19"/>
        <v>75.345274618117713</v>
      </c>
      <c r="R20" s="7">
        <f t="shared" si="20"/>
        <v>212.78397368792335</v>
      </c>
      <c r="S20" s="7">
        <f t="shared" si="21"/>
        <v>130.73131376464525</v>
      </c>
      <c r="T20" s="7">
        <f t="shared" si="22"/>
        <v>52.365921988661512</v>
      </c>
      <c r="U20" s="7">
        <f t="shared" si="23"/>
        <v>35.84085199496738</v>
      </c>
      <c r="V20" s="7">
        <f t="shared" si="24"/>
        <v>27.75242793714725</v>
      </c>
      <c r="W20" s="7">
        <f t="shared" si="25"/>
        <v>26.988841210223843</v>
      </c>
      <c r="X20" s="7"/>
      <c r="Y20" s="37">
        <f t="shared" si="28"/>
        <v>1.9322339447418398E-2</v>
      </c>
      <c r="Z20" s="11">
        <f t="shared" si="26"/>
        <v>135.68146759977199</v>
      </c>
    </row>
    <row r="21" spans="2:26" ht="15.75" thickBot="1" x14ac:dyDescent="0.3">
      <c r="B21" s="1">
        <v>150</v>
      </c>
      <c r="C21" t="s">
        <v>41</v>
      </c>
      <c r="D21" s="2"/>
      <c r="G21" s="33">
        <v>14822.86</v>
      </c>
      <c r="H21" s="31"/>
      <c r="I21" s="31">
        <f t="shared" si="27"/>
        <v>8.4428734793585106E-2</v>
      </c>
      <c r="J21" s="29">
        <f t="shared" si="0"/>
        <v>851.77111098795444</v>
      </c>
      <c r="K21" s="29">
        <f t="shared" si="14"/>
        <v>199.20537830872436</v>
      </c>
      <c r="L21" s="29">
        <f t="shared" si="15"/>
        <v>-53.858778499523808</v>
      </c>
      <c r="M21" s="29">
        <f t="shared" si="16"/>
        <v>62.010372843844458</v>
      </c>
      <c r="N21" s="29">
        <f t="shared" si="17"/>
        <v>126.33662588307693</v>
      </c>
      <c r="O21" s="29"/>
      <c r="P21" s="29">
        <f t="shared" si="18"/>
        <v>172.58837537769875</v>
      </c>
      <c r="Q21" s="29">
        <f t="shared" si="19"/>
        <v>193.27510397682298</v>
      </c>
      <c r="R21" s="29">
        <f t="shared" si="20"/>
        <v>545.83177044052775</v>
      </c>
      <c r="S21" s="29">
        <f t="shared" si="21"/>
        <v>335.35093460012001</v>
      </c>
      <c r="T21" s="29">
        <f t="shared" si="22"/>
        <v>134.32864991863769</v>
      </c>
      <c r="U21" s="29">
        <f t="shared" si="23"/>
        <v>91.938670753474511</v>
      </c>
      <c r="V21" s="29">
        <f t="shared" si="24"/>
        <v>71.190309177950965</v>
      </c>
      <c r="W21" s="29">
        <f t="shared" si="25"/>
        <v>69.231562530739794</v>
      </c>
      <c r="X21" s="29"/>
      <c r="Y21" s="47">
        <f t="shared" si="28"/>
        <v>4.9565512697424617E-2</v>
      </c>
      <c r="Z21" s="48">
        <f t="shared" si="26"/>
        <v>348.04903016131567</v>
      </c>
    </row>
    <row r="22" spans="2:26" x14ac:dyDescent="0.25">
      <c r="B22" s="1">
        <v>152</v>
      </c>
      <c r="C22" t="s">
        <v>46</v>
      </c>
      <c r="D22" s="2"/>
      <c r="G22" s="2">
        <v>356.44</v>
      </c>
      <c r="I22" s="2">
        <f t="shared" si="27"/>
        <v>2.0302275154609486E-3</v>
      </c>
      <c r="J22" s="8">
        <f t="shared" si="0"/>
        <v>20.482234521579944</v>
      </c>
      <c r="K22" s="8">
        <f t="shared" si="14"/>
        <v>4.7902203113543349</v>
      </c>
      <c r="L22" s="8">
        <f t="shared" si="15"/>
        <v>-1.2951227366628482</v>
      </c>
      <c r="M22" s="8">
        <f t="shared" si="16"/>
        <v>1.4911412032806028</v>
      </c>
      <c r="N22" s="8">
        <f t="shared" si="17"/>
        <v>3.0379715473102995</v>
      </c>
      <c r="O22" s="8"/>
      <c r="P22" s="8">
        <f t="shared" si="18"/>
        <v>4.1501707848301166</v>
      </c>
      <c r="Q22" s="8">
        <f t="shared" si="19"/>
        <v>4.6476171306683582</v>
      </c>
      <c r="R22" s="8">
        <f t="shared" si="20"/>
        <v>13.125420887455032</v>
      </c>
      <c r="S22" s="8">
        <f t="shared" si="21"/>
        <v>8.0640636914108885</v>
      </c>
      <c r="T22" s="8">
        <f t="shared" si="22"/>
        <v>3.2301528839238332</v>
      </c>
      <c r="U22" s="8">
        <f t="shared" si="23"/>
        <v>2.2108162529611999</v>
      </c>
      <c r="V22" s="8">
        <f t="shared" si="24"/>
        <v>1.711887841036672</v>
      </c>
      <c r="W22" s="8">
        <f t="shared" si="25"/>
        <v>1.6647865626779779</v>
      </c>
      <c r="X22" s="8"/>
      <c r="Y22" s="37">
        <f t="shared" si="28"/>
        <v>1.1918841131785655E-3</v>
      </c>
      <c r="Z22" s="38">
        <f t="shared" si="26"/>
        <v>8.3694102427398871</v>
      </c>
    </row>
    <row r="23" spans="2:26" x14ac:dyDescent="0.25">
      <c r="B23" s="1">
        <v>160.1</v>
      </c>
      <c r="C23" t="s">
        <v>52</v>
      </c>
      <c r="D23" s="2"/>
      <c r="G23" s="2">
        <v>461.54</v>
      </c>
      <c r="I23" s="2">
        <f t="shared" si="27"/>
        <v>2.6288609793677651E-3</v>
      </c>
      <c r="J23" s="8">
        <f t="shared" si="0"/>
        <v>26.521632030888806</v>
      </c>
      <c r="K23" s="8">
        <f t="shared" si="14"/>
        <v>6.2026660377692728</v>
      </c>
      <c r="L23" s="8">
        <f t="shared" si="15"/>
        <v>-1.6770029959582846</v>
      </c>
      <c r="M23" s="8">
        <f t="shared" si="16"/>
        <v>1.9308195235162424</v>
      </c>
      <c r="N23" s="8">
        <f t="shared" si="17"/>
        <v>3.9337487036965424</v>
      </c>
      <c r="O23" s="8"/>
      <c r="P23" s="8">
        <f t="shared" si="18"/>
        <v>5.3738913254137914</v>
      </c>
      <c r="Q23" s="8">
        <f t="shared" si="19"/>
        <v>6.0180148425784816</v>
      </c>
      <c r="R23" s="8">
        <f t="shared" si="20"/>
        <v>16.995586231612602</v>
      </c>
      <c r="S23" s="8">
        <f t="shared" si="21"/>
        <v>10.441835810048763</v>
      </c>
      <c r="T23" s="8">
        <f t="shared" si="22"/>
        <v>4.1825966840034949</v>
      </c>
      <c r="U23" s="8">
        <f t="shared" si="23"/>
        <v>2.8626981634825279</v>
      </c>
      <c r="V23" s="8">
        <f t="shared" si="24"/>
        <v>2.2166555778028996</v>
      </c>
      <c r="W23" s="8">
        <f t="shared" si="25"/>
        <v>2.1556660030815675</v>
      </c>
      <c r="X23" s="8"/>
      <c r="Y23" s="37">
        <f t="shared" si="28"/>
        <v>1.54332340252619E-3</v>
      </c>
      <c r="Z23" s="38">
        <f t="shared" si="26"/>
        <v>10.837216932538906</v>
      </c>
    </row>
    <row r="24" spans="2:26" x14ac:dyDescent="0.25">
      <c r="B24" s="1">
        <v>160.19999999999999</v>
      </c>
      <c r="C24" t="s">
        <v>88</v>
      </c>
      <c r="D24" s="2"/>
      <c r="G24" s="2">
        <v>461.54</v>
      </c>
      <c r="I24" s="2">
        <f t="shared" si="27"/>
        <v>2.6288609793677651E-3</v>
      </c>
      <c r="J24" s="8">
        <f t="shared" si="0"/>
        <v>26.521632030888806</v>
      </c>
      <c r="K24" s="8">
        <f t="shared" si="14"/>
        <v>6.2026660377692728</v>
      </c>
      <c r="L24" s="8">
        <f t="shared" si="15"/>
        <v>-1.6770029959582846</v>
      </c>
      <c r="M24" s="8">
        <f t="shared" si="16"/>
        <v>1.9308195235162424</v>
      </c>
      <c r="N24" s="8">
        <f t="shared" si="17"/>
        <v>3.9337487036965424</v>
      </c>
      <c r="O24" s="8"/>
      <c r="P24" s="8">
        <f t="shared" si="18"/>
        <v>5.3738913254137914</v>
      </c>
      <c r="Q24" s="8">
        <f t="shared" si="19"/>
        <v>6.0180148425784816</v>
      </c>
      <c r="R24" s="8">
        <f t="shared" si="20"/>
        <v>16.995586231612602</v>
      </c>
      <c r="S24" s="8">
        <f t="shared" si="21"/>
        <v>10.441835810048763</v>
      </c>
      <c r="T24" s="8">
        <f t="shared" si="22"/>
        <v>4.1825966840034949</v>
      </c>
      <c r="U24" s="8">
        <f t="shared" si="23"/>
        <v>2.8626981634825279</v>
      </c>
      <c r="V24" s="8">
        <f t="shared" si="24"/>
        <v>2.2166555778028996</v>
      </c>
      <c r="W24" s="8">
        <f t="shared" si="25"/>
        <v>2.1556660030815675</v>
      </c>
      <c r="X24" s="8"/>
      <c r="Y24" s="37">
        <f t="shared" si="28"/>
        <v>1.54332340252619E-3</v>
      </c>
      <c r="Z24" s="38">
        <f t="shared" si="26"/>
        <v>10.837216932538906</v>
      </c>
    </row>
    <row r="25" spans="2:26" x14ac:dyDescent="0.25">
      <c r="B25" s="1">
        <v>160.30000000000001</v>
      </c>
      <c r="C25" t="s">
        <v>48</v>
      </c>
      <c r="D25" s="2"/>
      <c r="G25" s="2">
        <v>461.54</v>
      </c>
      <c r="I25" s="2">
        <f t="shared" si="27"/>
        <v>2.6288609793677651E-3</v>
      </c>
      <c r="J25" s="8">
        <f t="shared" si="0"/>
        <v>26.521632030888806</v>
      </c>
      <c r="K25" s="8">
        <f t="shared" si="14"/>
        <v>6.2026660377692728</v>
      </c>
      <c r="L25" s="8">
        <f t="shared" si="15"/>
        <v>-1.6770029959582846</v>
      </c>
      <c r="M25" s="8">
        <f t="shared" si="16"/>
        <v>1.9308195235162424</v>
      </c>
      <c r="N25" s="8">
        <f t="shared" si="17"/>
        <v>3.9337487036965424</v>
      </c>
      <c r="O25" s="8"/>
      <c r="P25" s="8">
        <f t="shared" si="18"/>
        <v>5.3738913254137914</v>
      </c>
      <c r="Q25" s="8">
        <f t="shared" si="19"/>
        <v>6.0180148425784816</v>
      </c>
      <c r="R25" s="8">
        <f t="shared" si="20"/>
        <v>16.995586231612602</v>
      </c>
      <c r="S25" s="8">
        <f t="shared" si="21"/>
        <v>10.441835810048763</v>
      </c>
      <c r="T25" s="8">
        <f t="shared" si="22"/>
        <v>4.1825966840034949</v>
      </c>
      <c r="U25" s="8">
        <f t="shared" si="23"/>
        <v>2.8626981634825279</v>
      </c>
      <c r="V25" s="8">
        <f t="shared" si="24"/>
        <v>2.2166555778028996</v>
      </c>
      <c r="W25" s="8">
        <f t="shared" si="25"/>
        <v>2.1556660030815675</v>
      </c>
      <c r="X25" s="8"/>
      <c r="Y25" s="37">
        <f t="shared" si="28"/>
        <v>1.54332340252619E-3</v>
      </c>
      <c r="Z25" s="38">
        <f t="shared" si="26"/>
        <v>10.837216932538906</v>
      </c>
    </row>
    <row r="26" spans="2:26" x14ac:dyDescent="0.25">
      <c r="B26" s="1">
        <v>164</v>
      </c>
      <c r="C26" t="s">
        <v>87</v>
      </c>
      <c r="D26" s="2"/>
      <c r="G26" s="2">
        <v>2288.85</v>
      </c>
      <c r="I26" s="2">
        <f t="shared" si="27"/>
        <v>1.3036938190895499E-2</v>
      </c>
      <c r="J26" s="8">
        <f t="shared" si="0"/>
        <v>131.52497611019595</v>
      </c>
      <c r="K26" s="8">
        <f t="shared" si="14"/>
        <v>30.760003814508384</v>
      </c>
      <c r="L26" s="8">
        <f t="shared" si="15"/>
        <v>-8.3165236107360556</v>
      </c>
      <c r="M26" s="8">
        <f t="shared" si="16"/>
        <v>9.5752399930670169</v>
      </c>
      <c r="N26" s="8">
        <f t="shared" si="17"/>
        <v>19.508083200710296</v>
      </c>
      <c r="O26" s="8"/>
      <c r="P26" s="8">
        <f t="shared" si="18"/>
        <v>26.649978680446669</v>
      </c>
      <c r="Q26" s="8">
        <f t="shared" si="19"/>
        <v>29.844289275979886</v>
      </c>
      <c r="R26" s="8">
        <f t="shared" si="20"/>
        <v>84.2838054041394</v>
      </c>
      <c r="S26" s="8">
        <f t="shared" si="21"/>
        <v>51.782718494236924</v>
      </c>
      <c r="T26" s="8">
        <f t="shared" si="22"/>
        <v>20.742159769860464</v>
      </c>
      <c r="U26" s="8">
        <f t="shared" si="23"/>
        <v>14.196573842975655</v>
      </c>
      <c r="V26" s="8">
        <f t="shared" si="24"/>
        <v>10.992746282563084</v>
      </c>
      <c r="W26" s="8">
        <f t="shared" si="25"/>
        <v>10.69028931653431</v>
      </c>
      <c r="X26" s="8"/>
      <c r="Y26" s="37">
        <f t="shared" si="28"/>
        <v>7.6535853227717408E-3</v>
      </c>
      <c r="Z26" s="38">
        <f t="shared" si="26"/>
        <v>53.743476136503162</v>
      </c>
    </row>
    <row r="27" spans="2:26" x14ac:dyDescent="0.25">
      <c r="B27" s="1">
        <v>166</v>
      </c>
      <c r="C27" t="s">
        <v>97</v>
      </c>
      <c r="D27" s="2"/>
      <c r="G27" s="15">
        <v>6611.63</v>
      </c>
      <c r="H27" s="15"/>
      <c r="I27" s="2">
        <f t="shared" si="27"/>
        <v>3.7658829390772836E-2</v>
      </c>
      <c r="J27" s="8">
        <f>I27*$J$3</f>
        <v>379.92637254492644</v>
      </c>
      <c r="K27" s="8">
        <f>I27*$K$3</f>
        <v>88.854125006058965</v>
      </c>
      <c r="L27" s="8">
        <f>I27*$L$3</f>
        <v>-24.023320444961804</v>
      </c>
      <c r="M27" s="8">
        <f>I27*$M$3</f>
        <v>27.659280422640926</v>
      </c>
      <c r="N27" s="8">
        <f>I27*$N$3</f>
        <v>56.351542535470742</v>
      </c>
      <c r="O27" s="8"/>
      <c r="P27" s="8">
        <f>I27*$P$3</f>
        <v>76.981802452323919</v>
      </c>
      <c r="Q27" s="8">
        <f>I27*$Q$3</f>
        <v>86.208968829651084</v>
      </c>
      <c r="R27" s="8">
        <f>I27*$R$3</f>
        <v>243.46433201134639</v>
      </c>
      <c r="S27" s="8">
        <f>I27*$S$3</f>
        <v>149.58087034014972</v>
      </c>
      <c r="T27" s="8">
        <f>I27*$T$5</f>
        <v>59.916327325601301</v>
      </c>
      <c r="U27" s="8">
        <f>I27*$U$3</f>
        <v>41.008582265082083</v>
      </c>
      <c r="V27" s="8">
        <f>I27*$V$3</f>
        <v>31.753924942299658</v>
      </c>
      <c r="W27" s="8">
        <f>I27*$W$3</f>
        <v>30.880240100433724</v>
      </c>
      <c r="X27" s="8"/>
      <c r="Y27" s="37">
        <f t="shared" si="28"/>
        <v>2.2108340139195375E-2</v>
      </c>
      <c r="Z27" s="38">
        <f>Y27*$Z$3</f>
        <v>155.24476445742991</v>
      </c>
    </row>
    <row r="28" spans="2:26" x14ac:dyDescent="0.25">
      <c r="B28" s="1">
        <v>167</v>
      </c>
      <c r="C28" t="s">
        <v>78</v>
      </c>
      <c r="D28" s="2"/>
      <c r="G28" s="2">
        <v>2769.25</v>
      </c>
      <c r="I28" s="2">
        <f t="shared" si="27"/>
        <v>1.577322283467128E-2</v>
      </c>
      <c r="J28" s="8">
        <f t="shared" si="0"/>
        <v>159.13036681877804</v>
      </c>
      <c r="K28" s="8">
        <f t="shared" si="14"/>
        <v>37.216130617265151</v>
      </c>
      <c r="L28" s="8">
        <f t="shared" si="15"/>
        <v>-10.062054310693503</v>
      </c>
      <c r="M28" s="8">
        <f t="shared" si="16"/>
        <v>11.584958975381015</v>
      </c>
      <c r="N28" s="8">
        <f t="shared" si="17"/>
        <v>23.60257745311706</v>
      </c>
      <c r="O28" s="8"/>
      <c r="P28" s="8">
        <f t="shared" si="18"/>
        <v>32.243464386406686</v>
      </c>
      <c r="Q28" s="8">
        <f t="shared" si="19"/>
        <v>36.10821944535784</v>
      </c>
      <c r="R28" s="8">
        <f t="shared" si="20"/>
        <v>101.97388562614982</v>
      </c>
      <c r="S28" s="8">
        <f t="shared" si="21"/>
        <v>62.651241099314326</v>
      </c>
      <c r="T28" s="8">
        <f t="shared" si="22"/>
        <v>25.095670726647047</v>
      </c>
      <c r="U28" s="8">
        <f t="shared" si="23"/>
        <v>17.176251005815292</v>
      </c>
      <c r="V28" s="8">
        <f t="shared" si="24"/>
        <v>13.299981494194824</v>
      </c>
      <c r="W28" s="8">
        <f t="shared" si="25"/>
        <v>12.93404272443045</v>
      </c>
      <c r="X28" s="8"/>
      <c r="Y28" s="37">
        <f t="shared" si="28"/>
        <v>9.2599738537193985E-3</v>
      </c>
      <c r="Z28" s="38">
        <f t="shared" si="26"/>
        <v>65.023536400817619</v>
      </c>
    </row>
    <row r="29" spans="2:26" x14ac:dyDescent="0.25">
      <c r="B29" s="1">
        <v>168</v>
      </c>
      <c r="C29" t="s">
        <v>40</v>
      </c>
      <c r="D29" s="2"/>
      <c r="G29" s="2">
        <v>8711.27</v>
      </c>
      <c r="I29" s="2">
        <f t="shared" si="27"/>
        <v>4.9618056471241997E-2</v>
      </c>
      <c r="J29" s="8">
        <f>I29*$J$3</f>
        <v>500.57870923803085</v>
      </c>
      <c r="K29" s="8">
        <f>I29*$K$3</f>
        <v>117.07132334107192</v>
      </c>
      <c r="L29" s="8">
        <f>I29*$L$3</f>
        <v>-31.652350584134695</v>
      </c>
      <c r="M29" s="8">
        <f>I29*$M$3</f>
        <v>36.442973936433113</v>
      </c>
      <c r="N29" s="8">
        <f>I29*$N$3</f>
        <v>74.246971161872381</v>
      </c>
      <c r="O29" s="8"/>
      <c r="P29" s="8">
        <f>I29*$P$3</f>
        <v>101.42873485794819</v>
      </c>
      <c r="Q29" s="8">
        <f>I29*$Q$3</f>
        <v>113.5861510545319</v>
      </c>
      <c r="R29" s="8">
        <f>I29*$R$3</f>
        <v>320.78073508657951</v>
      </c>
      <c r="S29" s="8">
        <f>I29*$S$3</f>
        <v>197.08292030377322</v>
      </c>
      <c r="T29" s="8">
        <f>I29*$T$5</f>
        <v>78.943816387440151</v>
      </c>
      <c r="U29" s="8">
        <f>I29*$U$3</f>
        <v>54.031582594358973</v>
      </c>
      <c r="V29" s="8">
        <f>I29*$V$3</f>
        <v>41.837945216551255</v>
      </c>
      <c r="W29" s="8">
        <f>I29*$W$3</f>
        <v>40.68680630641844</v>
      </c>
      <c r="X29" s="8"/>
      <c r="Y29" s="37">
        <f t="shared" si="28"/>
        <v>2.9129234425454613E-2</v>
      </c>
      <c r="Z29" s="38">
        <f>Y29*$Z$3</f>
        <v>204.5454841355423</v>
      </c>
    </row>
    <row r="30" spans="2:26" x14ac:dyDescent="0.25">
      <c r="B30" s="1">
        <v>610</v>
      </c>
      <c r="C30" t="s">
        <v>53</v>
      </c>
      <c r="D30" s="2"/>
      <c r="G30" s="2">
        <v>8515.39</v>
      </c>
      <c r="I30" s="2">
        <f t="shared" si="27"/>
        <v>4.8502354064866471E-2</v>
      </c>
      <c r="J30" s="8">
        <f t="shared" si="0"/>
        <v>489.32278931297446</v>
      </c>
      <c r="K30" s="8">
        <f t="shared" si="14"/>
        <v>114.43887929834919</v>
      </c>
      <c r="L30" s="8">
        <f t="shared" si="15"/>
        <v>-30.940621705059616</v>
      </c>
      <c r="M30" s="8">
        <f t="shared" si="16"/>
        <v>35.623523990022477</v>
      </c>
      <c r="N30" s="8">
        <f t="shared" si="17"/>
        <v>72.57746755204424</v>
      </c>
      <c r="O30" s="8"/>
      <c r="P30" s="8">
        <f t="shared" si="18"/>
        <v>99.148027155859396</v>
      </c>
      <c r="Q30" s="8">
        <f t="shared" si="19"/>
        <v>111.03207394883297</v>
      </c>
      <c r="R30" s="8">
        <f t="shared" si="20"/>
        <v>313.56771902936174</v>
      </c>
      <c r="S30" s="8">
        <f t="shared" si="21"/>
        <v>192.65135034564963</v>
      </c>
      <c r="T30" s="8">
        <f t="shared" si="22"/>
        <v>77.168700387824501</v>
      </c>
      <c r="U30" s="8">
        <f t="shared" si="23"/>
        <v>52.816638458936346</v>
      </c>
      <c r="V30" s="8">
        <f t="shared" si="24"/>
        <v>40.897184947495411</v>
      </c>
      <c r="W30" s="8">
        <f t="shared" si="25"/>
        <v>39.771930333190504</v>
      </c>
      <c r="X30" s="8"/>
      <c r="Y30" s="37">
        <f t="shared" si="28"/>
        <v>2.8474239867915002E-2</v>
      </c>
      <c r="Z30" s="38">
        <f t="shared" si="26"/>
        <v>199.94611235249914</v>
      </c>
    </row>
    <row r="31" spans="2:26" x14ac:dyDescent="0.25">
      <c r="B31" s="1">
        <v>620</v>
      </c>
      <c r="C31" t="s">
        <v>54</v>
      </c>
      <c r="D31" s="2"/>
      <c r="G31" s="2">
        <v>11709.54</v>
      </c>
      <c r="I31" s="2">
        <f t="shared" si="27"/>
        <v>6.6695742064276156E-2</v>
      </c>
      <c r="J31" s="8">
        <f t="shared" si="0"/>
        <v>672.86933121933896</v>
      </c>
      <c r="K31" s="8">
        <f t="shared" si="14"/>
        <v>157.36526861355637</v>
      </c>
      <c r="L31" s="8">
        <f t="shared" si="15"/>
        <v>-42.546547777643042</v>
      </c>
      <c r="M31" s="8">
        <f t="shared" si="16"/>
        <v>48.986021673948912</v>
      </c>
      <c r="N31" s="8">
        <f t="shared" si="17"/>
        <v>99.801507552720906</v>
      </c>
      <c r="O31" s="8"/>
      <c r="P31" s="8">
        <f t="shared" si="18"/>
        <v>136.33876897037268</v>
      </c>
      <c r="Q31" s="8">
        <f t="shared" si="19"/>
        <v>152.68055969096162</v>
      </c>
      <c r="R31" s="8">
        <f t="shared" si="20"/>
        <v>431.18797244554537</v>
      </c>
      <c r="S31" s="8">
        <f t="shared" si="21"/>
        <v>264.91548747930489</v>
      </c>
      <c r="T31" s="8">
        <f t="shared" si="22"/>
        <v>106.11492649652529</v>
      </c>
      <c r="U31" s="8">
        <f t="shared" si="23"/>
        <v>72.62832832089353</v>
      </c>
      <c r="V31" s="8">
        <f t="shared" si="24"/>
        <v>56.237849708597658</v>
      </c>
      <c r="W31" s="8">
        <f t="shared" si="25"/>
        <v>54.690508492706449</v>
      </c>
      <c r="X31" s="8"/>
      <c r="Y31" s="37">
        <f t="shared" si="28"/>
        <v>3.9155018232041691E-2</v>
      </c>
      <c r="Z31" s="38">
        <f t="shared" si="26"/>
        <v>274.94653802539676</v>
      </c>
    </row>
    <row r="32" spans="2:26" x14ac:dyDescent="0.25">
      <c r="B32" s="1">
        <v>630</v>
      </c>
      <c r="C32" t="s">
        <v>55</v>
      </c>
      <c r="D32" s="2"/>
      <c r="G32" s="2">
        <v>1576.93</v>
      </c>
      <c r="I32" s="2">
        <f t="shared" si="27"/>
        <v>8.9819511725839785E-3</v>
      </c>
      <c r="J32" s="8">
        <f t="shared" si="0"/>
        <v>90.615671877777629</v>
      </c>
      <c r="K32" s="8">
        <f t="shared" si="14"/>
        <v>21.192464694153266</v>
      </c>
      <c r="L32" s="8">
        <f t="shared" si="15"/>
        <v>-5.7297662920147712</v>
      </c>
      <c r="M32" s="8">
        <f t="shared" si="16"/>
        <v>6.596973677727755</v>
      </c>
      <c r="N32" s="8">
        <f t="shared" si="17"/>
        <v>13.440322276119486</v>
      </c>
      <c r="O32" s="8"/>
      <c r="P32" s="8">
        <f t="shared" si="18"/>
        <v>18.360814767484445</v>
      </c>
      <c r="Q32" s="8">
        <f t="shared" si="19"/>
        <v>20.561572443790968</v>
      </c>
      <c r="R32" s="8">
        <f t="shared" si="20"/>
        <v>58.06831433075542</v>
      </c>
      <c r="S32" s="8">
        <f t="shared" si="21"/>
        <v>35.676310057503564</v>
      </c>
      <c r="T32" s="8">
        <f t="shared" si="22"/>
        <v>14.290553774116287</v>
      </c>
      <c r="U32" s="8">
        <f t="shared" si="23"/>
        <v>9.7808957293853247</v>
      </c>
      <c r="V32" s="8">
        <f t="shared" si="24"/>
        <v>7.5735812287228113</v>
      </c>
      <c r="W32" s="8">
        <f t="shared" si="25"/>
        <v>7.3651999615188624</v>
      </c>
      <c r="X32" s="8"/>
      <c r="Y32" s="37">
        <f t="shared" si="28"/>
        <v>5.273027198391525E-3</v>
      </c>
      <c r="Z32" s="38">
        <f t="shared" si="26"/>
        <v>37.027196987105292</v>
      </c>
    </row>
    <row r="33" spans="2:27" x14ac:dyDescent="0.25">
      <c r="B33" s="1">
        <v>640</v>
      </c>
      <c r="C33" t="s">
        <v>89</v>
      </c>
      <c r="D33" s="2"/>
      <c r="G33" s="2">
        <v>6153.84</v>
      </c>
      <c r="I33" s="2">
        <f t="shared" si="27"/>
        <v>3.5051327835664357E-2</v>
      </c>
      <c r="J33" s="8">
        <f t="shared" si="0"/>
        <v>353.62022805599685</v>
      </c>
      <c r="K33" s="8">
        <f t="shared" si="14"/>
        <v>82.701855461858258</v>
      </c>
      <c r="L33" s="8">
        <f t="shared" si="15"/>
        <v>-22.359943052927004</v>
      </c>
      <c r="M33" s="8">
        <f t="shared" si="16"/>
        <v>25.744148755460401</v>
      </c>
      <c r="N33" s="8">
        <f t="shared" si="17"/>
        <v>52.44975543345307</v>
      </c>
      <c r="O33" s="8"/>
      <c r="P33" s="8">
        <f t="shared" si="18"/>
        <v>71.651573848386718</v>
      </c>
      <c r="Q33" s="8">
        <f t="shared" si="19"/>
        <v>80.23985019468121</v>
      </c>
      <c r="R33" s="8">
        <f t="shared" si="20"/>
        <v>226.60683445757007</v>
      </c>
      <c r="S33" s="8">
        <f t="shared" si="21"/>
        <v>139.22387416325884</v>
      </c>
      <c r="T33" s="8">
        <f t="shared" si="22"/>
        <v>55.767714126377065</v>
      </c>
      <c r="U33" s="8">
        <f t="shared" si="23"/>
        <v>38.1691434466467</v>
      </c>
      <c r="V33" s="8">
        <f t="shared" si="24"/>
        <v>29.555279631032189</v>
      </c>
      <c r="W33" s="8">
        <f t="shared" si="25"/>
        <v>28.742088825244775</v>
      </c>
      <c r="X33" s="8"/>
      <c r="Y33" s="37">
        <f t="shared" si="28"/>
        <v>2.0577556197516507E-2</v>
      </c>
      <c r="Z33" s="38">
        <f t="shared" si="26"/>
        <v>144.49559961896091</v>
      </c>
    </row>
    <row r="34" spans="2:27" x14ac:dyDescent="0.25">
      <c r="B34" s="1">
        <v>650</v>
      </c>
      <c r="C34" t="s">
        <v>56</v>
      </c>
      <c r="D34" s="2"/>
      <c r="G34" s="53">
        <v>2494</v>
      </c>
      <c r="H34" s="53"/>
      <c r="I34" s="2">
        <f t="shared" si="27"/>
        <v>1.4205441094039966E-2</v>
      </c>
      <c r="J34" s="8">
        <f t="shared" si="0"/>
        <v>143.31358123897536</v>
      </c>
      <c r="K34" s="8">
        <f t="shared" si="14"/>
        <v>33.517027989332597</v>
      </c>
      <c r="L34" s="8">
        <f t="shared" si="15"/>
        <v>-9.0619349827099747</v>
      </c>
      <c r="M34" s="8">
        <f t="shared" si="16"/>
        <v>10.433470320339534</v>
      </c>
      <c r="N34" s="8">
        <f t="shared" si="17"/>
        <v>21.256595889888583</v>
      </c>
      <c r="O34" s="8"/>
      <c r="P34" s="8">
        <f t="shared" si="18"/>
        <v>29.038620630025559</v>
      </c>
      <c r="Q34" s="8">
        <f t="shared" si="19"/>
        <v>32.519237806887233</v>
      </c>
      <c r="R34" s="8">
        <f t="shared" si="20"/>
        <v>91.838176672968373</v>
      </c>
      <c r="S34" s="8">
        <f t="shared" si="21"/>
        <v>56.424012025526743</v>
      </c>
      <c r="T34" s="8">
        <f t="shared" si="22"/>
        <v>22.601282943850407</v>
      </c>
      <c r="U34" s="8">
        <f t="shared" si="23"/>
        <v>15.469015079354822</v>
      </c>
      <c r="V34" s="8">
        <f t="shared" si="24"/>
        <v>11.9780279304945</v>
      </c>
      <c r="W34" s="8">
        <f t="shared" si="25"/>
        <v>11.648461697112772</v>
      </c>
      <c r="X34" s="8"/>
      <c r="Y34" s="37">
        <f t="shared" si="28"/>
        <v>8.3395774275259286E-3</v>
      </c>
      <c r="Z34" s="38">
        <f t="shared" si="26"/>
        <v>58.560512696087073</v>
      </c>
    </row>
    <row r="35" spans="2:27" x14ac:dyDescent="0.25">
      <c r="B35" s="1">
        <v>660</v>
      </c>
      <c r="C35" t="s">
        <v>93</v>
      </c>
      <c r="D35" s="2"/>
      <c r="G35" s="2">
        <v>0</v>
      </c>
      <c r="I35" s="2">
        <f t="shared" si="27"/>
        <v>0</v>
      </c>
      <c r="J35" s="8">
        <f t="shared" si="0"/>
        <v>0</v>
      </c>
      <c r="K35" s="8">
        <f t="shared" si="14"/>
        <v>0</v>
      </c>
      <c r="L35" s="8">
        <f t="shared" si="15"/>
        <v>0</v>
      </c>
      <c r="M35" s="8">
        <f t="shared" si="16"/>
        <v>0</v>
      </c>
      <c r="N35" s="8">
        <f t="shared" si="17"/>
        <v>0</v>
      </c>
      <c r="O35" s="8"/>
      <c r="P35" s="8">
        <f t="shared" si="18"/>
        <v>0</v>
      </c>
      <c r="Q35" s="8">
        <f t="shared" si="19"/>
        <v>0</v>
      </c>
      <c r="R35" s="8">
        <f t="shared" si="20"/>
        <v>0</v>
      </c>
      <c r="S35" s="8">
        <f t="shared" si="21"/>
        <v>0</v>
      </c>
      <c r="T35" s="8">
        <f t="shared" si="22"/>
        <v>0</v>
      </c>
      <c r="U35" s="8">
        <f t="shared" si="23"/>
        <v>0</v>
      </c>
      <c r="V35" s="8">
        <f t="shared" si="24"/>
        <v>0</v>
      </c>
      <c r="W35" s="8">
        <f t="shared" si="25"/>
        <v>0</v>
      </c>
      <c r="X35" s="8"/>
      <c r="Y35" s="37">
        <f t="shared" si="28"/>
        <v>0</v>
      </c>
      <c r="Z35" s="38">
        <f t="shared" si="26"/>
        <v>0</v>
      </c>
    </row>
    <row r="36" spans="2:27" x14ac:dyDescent="0.25">
      <c r="D36" s="2"/>
      <c r="F36" s="8">
        <f>SUM(G6:G35)</f>
        <v>175566.52999999997</v>
      </c>
      <c r="I36" s="2">
        <f>G36/$G$38</f>
        <v>0</v>
      </c>
      <c r="J36" s="8">
        <f t="shared" ref="J36" si="29">I36*$J$3</f>
        <v>0</v>
      </c>
      <c r="K36" s="8">
        <f t="shared" si="14"/>
        <v>0</v>
      </c>
      <c r="L36" s="8">
        <f t="shared" si="15"/>
        <v>0</v>
      </c>
      <c r="M36" s="8">
        <f t="shared" si="16"/>
        <v>0</v>
      </c>
      <c r="N36" s="8">
        <f t="shared" si="17"/>
        <v>0</v>
      </c>
      <c r="O36" s="8"/>
      <c r="P36" s="8">
        <f t="shared" si="18"/>
        <v>0</v>
      </c>
      <c r="Q36" s="8">
        <f t="shared" si="19"/>
        <v>0</v>
      </c>
      <c r="R36" s="8">
        <f t="shared" si="20"/>
        <v>0</v>
      </c>
      <c r="S36" s="8">
        <f t="shared" si="21"/>
        <v>0</v>
      </c>
      <c r="T36" s="8">
        <f t="shared" ref="T36" si="30">I36*$T$3</f>
        <v>0</v>
      </c>
      <c r="U36" s="8">
        <f t="shared" si="23"/>
        <v>0</v>
      </c>
      <c r="V36" s="8">
        <f t="shared" si="24"/>
        <v>0</v>
      </c>
      <c r="W36" s="8">
        <f t="shared" si="25"/>
        <v>0</v>
      </c>
      <c r="X36" s="8"/>
      <c r="Y36" s="37">
        <f t="shared" si="28"/>
        <v>0</v>
      </c>
      <c r="Z36" s="38">
        <f t="shared" si="26"/>
        <v>0</v>
      </c>
    </row>
    <row r="37" spans="2:27" x14ac:dyDescent="0.25">
      <c r="C37" s="32" t="s">
        <v>60</v>
      </c>
      <c r="D37" s="2"/>
      <c r="G37" s="2">
        <v>123489.39</v>
      </c>
      <c r="J37" s="8"/>
      <c r="K37" s="8"/>
      <c r="L37" s="8"/>
      <c r="M37" s="8"/>
      <c r="Y37" s="37">
        <f>G37/G38</f>
        <v>0.41293076559059594</v>
      </c>
      <c r="Z37" s="38">
        <f t="shared" si="26"/>
        <v>2899.5998359771647</v>
      </c>
    </row>
    <row r="38" spans="2:27" ht="15.75" thickBot="1" x14ac:dyDescent="0.3">
      <c r="D38" s="14"/>
      <c r="G38" s="34">
        <f t="shared" ref="G38:W38" si="31">SUM(G6:G37)</f>
        <v>299055.92</v>
      </c>
      <c r="H38" s="34"/>
      <c r="I38" s="14">
        <f t="shared" si="31"/>
        <v>1</v>
      </c>
      <c r="J38" s="14">
        <f t="shared" si="31"/>
        <v>10088.640000000005</v>
      </c>
      <c r="K38" s="14">
        <f t="shared" si="31"/>
        <v>2359.4500000000007</v>
      </c>
      <c r="L38" s="14">
        <f t="shared" si="31"/>
        <v>-637.92000000000007</v>
      </c>
      <c r="M38" s="14">
        <f t="shared" si="31"/>
        <v>734.47000000000014</v>
      </c>
      <c r="N38" s="14">
        <f t="shared" si="31"/>
        <v>1496.3699999999997</v>
      </c>
      <c r="O38" s="14">
        <f t="shared" si="31"/>
        <v>0</v>
      </c>
      <c r="P38" s="14">
        <f t="shared" si="31"/>
        <v>2044.1900000000005</v>
      </c>
      <c r="Q38" s="14">
        <f t="shared" si="31"/>
        <v>2289.2100000000005</v>
      </c>
      <c r="R38" s="14">
        <f t="shared" si="31"/>
        <v>6465.0000000000018</v>
      </c>
      <c r="S38" s="14">
        <f t="shared" si="31"/>
        <v>3972.0000000000005</v>
      </c>
      <c r="T38" s="14">
        <f t="shared" si="31"/>
        <v>1591.0300000000007</v>
      </c>
      <c r="U38" s="14">
        <f t="shared" si="31"/>
        <v>1088.9500000000003</v>
      </c>
      <c r="V38" s="14">
        <f t="shared" si="31"/>
        <v>843.20000000000027</v>
      </c>
      <c r="W38" s="14">
        <f t="shared" si="31"/>
        <v>820.00000000000034</v>
      </c>
      <c r="X38" s="14"/>
      <c r="Y38" s="14">
        <f>SUM(Y6:Y37)</f>
        <v>1</v>
      </c>
      <c r="Z38" s="14">
        <f t="shared" ref="Z38" si="32">SUM(Z6:Z37)</f>
        <v>7022.0000000000009</v>
      </c>
      <c r="AA38" s="8"/>
    </row>
    <row r="39" spans="2:27" ht="16.5" thickTop="1" thickBot="1" x14ac:dyDescent="0.3">
      <c r="G39" s="22" t="s">
        <v>61</v>
      </c>
      <c r="H39" s="22"/>
      <c r="I39" s="22" t="s">
        <v>62</v>
      </c>
    </row>
    <row r="40" spans="2:27" x14ac:dyDescent="0.25">
      <c r="C40" s="17">
        <v>43350</v>
      </c>
      <c r="D40" s="23"/>
      <c r="E40" s="23"/>
      <c r="F40" s="23"/>
      <c r="G40" s="18">
        <v>59574.15</v>
      </c>
      <c r="H40" s="18"/>
      <c r="I40" s="3">
        <v>25789.5</v>
      </c>
      <c r="K40" s="2">
        <v>8228.34</v>
      </c>
    </row>
    <row r="41" spans="2:27" ht="15.75" thickBot="1" x14ac:dyDescent="0.3">
      <c r="C41" s="19">
        <v>43358</v>
      </c>
      <c r="D41" s="24"/>
      <c r="E41" s="24"/>
      <c r="F41" s="24"/>
      <c r="G41" s="2">
        <v>64965.36</v>
      </c>
      <c r="I41" s="4">
        <v>25237.51</v>
      </c>
      <c r="K41" s="2">
        <v>7959.7</v>
      </c>
    </row>
    <row r="42" spans="2:27" ht="15.75" thickBot="1" x14ac:dyDescent="0.3">
      <c r="C42" s="20"/>
      <c r="D42" s="20"/>
      <c r="E42" s="20"/>
      <c r="F42" s="20"/>
      <c r="G42" s="21">
        <f>SUM(G40:I41)</f>
        <v>175566.52000000002</v>
      </c>
      <c r="H42" s="5"/>
      <c r="I42" s="5"/>
    </row>
    <row r="43" spans="2:27" ht="15.75" thickBot="1" x14ac:dyDescent="0.3">
      <c r="G43" s="2">
        <f>G37</f>
        <v>123489.39</v>
      </c>
    </row>
    <row r="44" spans="2:27" ht="15.75" thickBot="1" x14ac:dyDescent="0.3">
      <c r="G44" s="33">
        <f>SUM(G42:G43)</f>
        <v>299055.91000000003</v>
      </c>
      <c r="H44" s="31"/>
    </row>
  </sheetData>
  <pageMargins left="0" right="0" top="0.75" bottom="0.75" header="0.3" footer="0.3"/>
  <pageSetup paperSize="5" scale="6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  <pageSetUpPr fitToPage="1"/>
  </sheetPr>
  <dimension ref="B1:AD54"/>
  <sheetViews>
    <sheetView zoomScale="85" zoomScaleNormal="85" workbookViewId="0">
      <selection activeCell="C16" sqref="C16:C20"/>
    </sheetView>
  </sheetViews>
  <sheetFormatPr defaultRowHeight="15" x14ac:dyDescent="0.25"/>
  <cols>
    <col min="2" max="2" width="9.140625" style="1"/>
    <col min="3" max="3" width="17.28515625" customWidth="1"/>
    <col min="4" max="4" width="9" hidden="1" customWidth="1"/>
    <col min="5" max="5" width="8.140625" hidden="1" customWidth="1"/>
    <col min="6" max="6" width="12.7109375" hidden="1" customWidth="1"/>
    <col min="7" max="7" width="13.85546875" style="2" customWidth="1"/>
    <col min="8" max="8" width="12.140625" style="12" customWidth="1"/>
    <col min="9" max="9" width="11.28515625" customWidth="1"/>
    <col min="10" max="10" width="13.42578125" customWidth="1"/>
    <col min="11" max="11" width="13.28515625" customWidth="1"/>
    <col min="12" max="12" width="15.7109375" customWidth="1"/>
    <col min="13" max="13" width="11.7109375" customWidth="1"/>
    <col min="14" max="14" width="1" customWidth="1"/>
    <col min="15" max="15" width="13.140625" customWidth="1"/>
    <col min="16" max="16" width="15.140625" customWidth="1"/>
    <col min="17" max="17" width="17.42578125" customWidth="1"/>
    <col min="18" max="18" width="15.5703125" customWidth="1"/>
    <col min="19" max="19" width="15.28515625" customWidth="1"/>
    <col min="20" max="20" width="15.140625" customWidth="1"/>
    <col min="21" max="21" width="15.85546875" customWidth="1"/>
    <col min="22" max="23" width="15.5703125" customWidth="1"/>
    <col min="24" max="24" width="2.85546875" customWidth="1"/>
    <col min="25" max="25" width="8.5703125" customWidth="1"/>
    <col min="26" max="26" width="11.85546875" customWidth="1"/>
    <col min="27" max="27" width="12.7109375" customWidth="1"/>
  </cols>
  <sheetData>
    <row r="1" spans="2:28" ht="15.75" thickBot="1" x14ac:dyDescent="0.3">
      <c r="B1" s="2" t="s">
        <v>98</v>
      </c>
      <c r="I1">
        <v>7251</v>
      </c>
      <c r="J1">
        <v>7252</v>
      </c>
      <c r="K1">
        <v>7253</v>
      </c>
      <c r="L1">
        <v>7254</v>
      </c>
      <c r="M1">
        <v>7260</v>
      </c>
      <c r="O1">
        <v>7251</v>
      </c>
      <c r="P1">
        <v>7252</v>
      </c>
      <c r="Q1">
        <v>7253</v>
      </c>
      <c r="R1">
        <v>7260</v>
      </c>
      <c r="V1">
        <v>8222</v>
      </c>
      <c r="W1">
        <v>8222</v>
      </c>
      <c r="Z1">
        <v>7248</v>
      </c>
    </row>
    <row r="2" spans="2:28" ht="17.25" thickBot="1" x14ac:dyDescent="0.4">
      <c r="I2" s="49" t="s">
        <v>1</v>
      </c>
      <c r="J2" s="49" t="s">
        <v>2</v>
      </c>
      <c r="K2" s="49" t="s">
        <v>3</v>
      </c>
      <c r="L2" s="49" t="s">
        <v>4</v>
      </c>
      <c r="M2" s="49" t="s">
        <v>5</v>
      </c>
      <c r="N2" s="49"/>
      <c r="O2" s="50" t="s">
        <v>8</v>
      </c>
      <c r="P2" s="50" t="s">
        <v>12</v>
      </c>
      <c r="Q2" s="50" t="s">
        <v>7</v>
      </c>
      <c r="R2" s="50" t="s">
        <v>11</v>
      </c>
      <c r="S2" s="50" t="s">
        <v>9</v>
      </c>
      <c r="T2" s="50" t="s">
        <v>13</v>
      </c>
      <c r="U2" t="s">
        <v>6</v>
      </c>
      <c r="V2" t="s">
        <v>83</v>
      </c>
      <c r="W2" t="s">
        <v>99</v>
      </c>
      <c r="X2" s="2"/>
      <c r="Y2" s="35"/>
      <c r="Z2" s="36" t="s">
        <v>15</v>
      </c>
      <c r="AA2" s="2"/>
    </row>
    <row r="3" spans="2:28" ht="15.75" thickBot="1" x14ac:dyDescent="0.3">
      <c r="I3" s="83">
        <v>8982.9500000000007</v>
      </c>
      <c r="J3" s="84">
        <v>2100.8200000000002</v>
      </c>
      <c r="K3" s="83">
        <v>5176.29</v>
      </c>
      <c r="L3" s="84">
        <v>653.41999999999996</v>
      </c>
      <c r="M3" s="33">
        <v>1463.14</v>
      </c>
      <c r="N3" s="2"/>
      <c r="O3" s="27">
        <v>1216.92</v>
      </c>
      <c r="P3" s="27">
        <v>1468.51</v>
      </c>
      <c r="Q3" s="27">
        <v>5462</v>
      </c>
      <c r="R3" s="27">
        <v>819.17</v>
      </c>
      <c r="S3" s="21">
        <v>1212.42</v>
      </c>
      <c r="T3" s="21">
        <v>880</v>
      </c>
      <c r="U3" s="30">
        <v>953</v>
      </c>
      <c r="V3" s="30">
        <v>3972</v>
      </c>
      <c r="W3" s="30">
        <v>6000</v>
      </c>
      <c r="X3" s="2"/>
      <c r="Y3" s="37"/>
      <c r="Z3" s="38">
        <v>7022</v>
      </c>
      <c r="AA3" s="2"/>
    </row>
    <row r="4" spans="2:28" x14ac:dyDescent="0.25">
      <c r="Y4" s="39"/>
      <c r="Z4" s="40">
        <v>0.04</v>
      </c>
    </row>
    <row r="5" spans="2:28" x14ac:dyDescent="0.25">
      <c r="D5">
        <v>7222</v>
      </c>
      <c r="E5" t="s">
        <v>16</v>
      </c>
      <c r="F5" t="s">
        <v>17</v>
      </c>
      <c r="Y5" s="39"/>
      <c r="Z5" s="40"/>
    </row>
    <row r="6" spans="2:28" x14ac:dyDescent="0.25">
      <c r="B6" s="1">
        <v>111</v>
      </c>
      <c r="C6" t="s">
        <v>20</v>
      </c>
      <c r="D6" s="2"/>
      <c r="G6" s="88">
        <v>9719.8799999999992</v>
      </c>
      <c r="H6" s="2">
        <f t="shared" ref="H6:H16" si="0">G6/$F$38</f>
        <v>6.0884321868064306E-2</v>
      </c>
      <c r="I6" s="85">
        <f t="shared" ref="I6:I38" si="1">H6*$I$3</f>
        <v>546.92081912472827</v>
      </c>
      <c r="J6" s="85">
        <f t="shared" ref="J6:J38" si="2">H6*$J$3</f>
        <v>127.90700106686687</v>
      </c>
      <c r="K6" s="85">
        <f t="shared" ref="K6:K38" si="3">H6*$K$3</f>
        <v>315.15490644244261</v>
      </c>
      <c r="L6" s="85">
        <f>H6*$L$3</f>
        <v>39.783033595030574</v>
      </c>
      <c r="M6" s="85">
        <f>H6*$M$3</f>
        <v>89.08228669803961</v>
      </c>
      <c r="N6" s="8"/>
      <c r="O6" s="85">
        <f t="shared" ref="O6:O38" si="4">H6*$O$3</f>
        <v>74.091348967684823</v>
      </c>
      <c r="P6" s="85">
        <f t="shared" ref="P6:P38" si="5">H6*$P$3</f>
        <v>89.40923550647112</v>
      </c>
      <c r="Q6" s="85">
        <f t="shared" ref="Q6:Q38" si="6">H6*$Q$3</f>
        <v>332.55016604336726</v>
      </c>
      <c r="R6" s="85">
        <f t="shared" ref="R6:R37" si="7">H6*$R$3</f>
        <v>49.874609944662232</v>
      </c>
      <c r="S6" s="85">
        <f>H6*$S$3</f>
        <v>73.817369519278529</v>
      </c>
      <c r="T6" s="85">
        <f t="shared" ref="T6:T38" si="8">H6*$T$3</f>
        <v>53.578203243896589</v>
      </c>
      <c r="U6" s="85">
        <f t="shared" ref="U6:U38" si="9">H6*$U$3</f>
        <v>58.022758740265282</v>
      </c>
      <c r="V6" s="86">
        <f t="shared" ref="V6:W38" si="10">G6*$W$3</f>
        <v>58319279.999999993</v>
      </c>
      <c r="W6" s="86">
        <f t="shared" si="10"/>
        <v>365.30593120838586</v>
      </c>
      <c r="X6" s="8"/>
      <c r="Y6" s="37">
        <f>G6/$G$40</f>
        <v>3.4607298797908463E-2</v>
      </c>
      <c r="Z6" s="87">
        <f t="shared" ref="Z6:Z39" si="11">Y6*$Z$3</f>
        <v>243.01245215891322</v>
      </c>
    </row>
    <row r="7" spans="2:28" x14ac:dyDescent="0.25">
      <c r="C7" t="s">
        <v>24</v>
      </c>
      <c r="D7" s="2"/>
      <c r="G7" s="2">
        <v>3352.23</v>
      </c>
      <c r="H7" s="2">
        <f t="shared" si="0"/>
        <v>2.0998021610943881E-2</v>
      </c>
      <c r="I7" s="68">
        <f>H7*$I$3</f>
        <v>188.62417823002835</v>
      </c>
      <c r="J7" s="68">
        <f>H7*$J$3</f>
        <v>44.113063760703128</v>
      </c>
      <c r="K7" s="68">
        <f>H7*$K$3</f>
        <v>108.6918492845127</v>
      </c>
      <c r="L7" s="68">
        <f>H7*$L$3</f>
        <v>13.720527281022949</v>
      </c>
      <c r="M7" s="68">
        <f>H7*$M$3</f>
        <v>30.723045339836432</v>
      </c>
      <c r="N7" s="8"/>
      <c r="O7" s="68">
        <f>H7*$O$3</f>
        <v>25.55291245878983</v>
      </c>
      <c r="P7" s="68">
        <f>H7*$P$3</f>
        <v>30.8358047158872</v>
      </c>
      <c r="Q7" s="68">
        <f>H7*$Q$3</f>
        <v>114.69119403897548</v>
      </c>
      <c r="R7" s="68">
        <f>H7*$R$3</f>
        <v>17.200949363036898</v>
      </c>
      <c r="S7" s="68">
        <f>H7*$S$3</f>
        <v>25.45842136154058</v>
      </c>
      <c r="T7" s="68">
        <f>H7*$T$3</f>
        <v>18.478259017630617</v>
      </c>
      <c r="U7" s="68">
        <f>H7*$U$3</f>
        <v>20.011114595229518</v>
      </c>
      <c r="V7" s="8">
        <f>G7*$W$3</f>
        <v>20113380</v>
      </c>
      <c r="W7" s="8">
        <f>H7*$W$3</f>
        <v>125.98812966566328</v>
      </c>
      <c r="X7" s="8"/>
      <c r="Y7" s="37">
        <f>G7/$G$40</f>
        <v>1.1935499743753287E-2</v>
      </c>
      <c r="Z7" s="80">
        <f>Y7*$Z$3</f>
        <v>83.811079200635575</v>
      </c>
    </row>
    <row r="8" spans="2:28" x14ac:dyDescent="0.25">
      <c r="C8" t="s">
        <v>22</v>
      </c>
      <c r="D8" s="2"/>
      <c r="G8" s="2">
        <v>2874.67</v>
      </c>
      <c r="H8" s="2">
        <f t="shared" si="0"/>
        <v>1.8006635220236097E-2</v>
      </c>
      <c r="I8" s="68">
        <f t="shared" si="1"/>
        <v>161.75270385161986</v>
      </c>
      <c r="J8" s="68">
        <f t="shared" si="2"/>
        <v>37.828699403376397</v>
      </c>
      <c r="K8" s="68">
        <f t="shared" si="3"/>
        <v>93.207565824155907</v>
      </c>
      <c r="L8" s="68">
        <f t="shared" ref="L8:L38" si="12">H8*$L$3</f>
        <v>11.765895585606669</v>
      </c>
      <c r="M8" s="68">
        <f t="shared" ref="M8:M38" si="13">H8*$M$3</f>
        <v>26.346228256136243</v>
      </c>
      <c r="N8" s="8"/>
      <c r="O8" s="68">
        <f t="shared" si="4"/>
        <v>21.912634532209712</v>
      </c>
      <c r="P8" s="68">
        <f t="shared" si="5"/>
        <v>26.442923887268911</v>
      </c>
      <c r="Q8" s="68">
        <f t="shared" si="6"/>
        <v>98.352241572929557</v>
      </c>
      <c r="R8" s="68">
        <f t="shared" si="7"/>
        <v>14.750495373360803</v>
      </c>
      <c r="S8" s="68">
        <f t="shared" ref="S8:S38" si="14">H8*$S$3</f>
        <v>21.831604673718651</v>
      </c>
      <c r="T8" s="68">
        <f t="shared" si="8"/>
        <v>15.845838993807766</v>
      </c>
      <c r="U8" s="68">
        <f t="shared" si="9"/>
        <v>17.160323364884999</v>
      </c>
      <c r="V8" s="8">
        <f t="shared" si="10"/>
        <v>17248020</v>
      </c>
      <c r="W8" s="8">
        <f t="shared" si="10"/>
        <v>108.03981132141658</v>
      </c>
      <c r="X8" s="8"/>
      <c r="Y8" s="37">
        <f>G8/$G$40</f>
        <v>1.0235163771094246E-2</v>
      </c>
      <c r="Z8" s="80">
        <f t="shared" si="11"/>
        <v>71.871320000623797</v>
      </c>
    </row>
    <row r="9" spans="2:28" x14ac:dyDescent="0.25">
      <c r="B9" s="1" t="s">
        <v>25</v>
      </c>
      <c r="C9" t="s">
        <v>26</v>
      </c>
      <c r="D9" s="2"/>
      <c r="G9" s="2">
        <v>342.93</v>
      </c>
      <c r="H9" s="2">
        <f t="shared" si="0"/>
        <v>2.1480780110675539E-3</v>
      </c>
      <c r="I9" s="68">
        <f>H9*$I$3</f>
        <v>19.296077369519285</v>
      </c>
      <c r="J9" s="68">
        <f>H9*$J$3</f>
        <v>4.5127252472109385</v>
      </c>
      <c r="K9" s="68">
        <f>H9*$K$3</f>
        <v>11.119074727908869</v>
      </c>
      <c r="L9" s="68">
        <f>H9*$L$3</f>
        <v>1.403597133991761</v>
      </c>
      <c r="M9" s="68">
        <f>H9*$M$3</f>
        <v>3.1429388611133811</v>
      </c>
      <c r="N9" s="8"/>
      <c r="O9" s="68">
        <f>H9*$O$3</f>
        <v>2.6140390932283277</v>
      </c>
      <c r="P9" s="68">
        <f>H9*$P$3</f>
        <v>3.1544740400328135</v>
      </c>
      <c r="Q9" s="68">
        <f>H9*$Q$3</f>
        <v>11.73280209645098</v>
      </c>
      <c r="R9" s="68">
        <f>H9*$R$3</f>
        <v>1.7596410643262079</v>
      </c>
      <c r="S9" s="68">
        <f>H9*$S$3</f>
        <v>2.6043727421785237</v>
      </c>
      <c r="T9" s="68">
        <f>H9*$T$3</f>
        <v>1.8903086497394475</v>
      </c>
      <c r="U9" s="68">
        <f>H9*$U$3</f>
        <v>2.0471183445473788</v>
      </c>
      <c r="V9" s="8">
        <f>G9*$W$3</f>
        <v>2057580</v>
      </c>
      <c r="W9" s="8">
        <f>H9*$W$3</f>
        <v>12.888468066405323</v>
      </c>
      <c r="X9" s="8"/>
      <c r="Y9" s="37">
        <f>G9/$G$40</f>
        <v>1.2209904830889631E-3</v>
      </c>
      <c r="Z9" s="80">
        <f>Y9*$Z$3</f>
        <v>8.5737951722506995</v>
      </c>
    </row>
    <row r="10" spans="2:28" ht="15.75" thickBot="1" x14ac:dyDescent="0.3">
      <c r="C10" s="82" t="s">
        <v>28</v>
      </c>
      <c r="D10" s="2"/>
      <c r="G10" s="2">
        <v>7580.93</v>
      </c>
      <c r="H10" s="2">
        <f t="shared" si="0"/>
        <v>4.7486160547173917E-2</v>
      </c>
      <c r="I10" s="68">
        <f>H10*$I$3</f>
        <v>426.56580588723597</v>
      </c>
      <c r="J10" s="68">
        <f>H10*$J$3</f>
        <v>99.759875800713914</v>
      </c>
      <c r="K10" s="68">
        <f>H10*$K$3</f>
        <v>245.80213797873088</v>
      </c>
      <c r="L10" s="68">
        <f>H10*$L$3</f>
        <v>31.028407024734378</v>
      </c>
      <c r="M10" s="68">
        <f>H10*$M$3</f>
        <v>69.478900942992055</v>
      </c>
      <c r="N10" s="8"/>
      <c r="O10" s="8">
        <f>H10*$O$3</f>
        <v>57.786858493066887</v>
      </c>
      <c r="P10" s="8">
        <f>H10*$P$3</f>
        <v>69.733901625130372</v>
      </c>
      <c r="Q10" s="68">
        <f>H10*$Q$3</f>
        <v>259.36940890866396</v>
      </c>
      <c r="R10" s="8">
        <f>H10*$R$3</f>
        <v>38.899238135428455</v>
      </c>
      <c r="S10" s="8">
        <f>H10*$S$3</f>
        <v>57.573170770604605</v>
      </c>
      <c r="T10" s="8">
        <f>H10*$T$3</f>
        <v>41.787821281513047</v>
      </c>
      <c r="U10" s="68">
        <f>H10*$U$3</f>
        <v>45.254311001456742</v>
      </c>
      <c r="V10" s="8">
        <f>G10*$W$3</f>
        <v>45485580</v>
      </c>
      <c r="W10" s="8">
        <f>H10*$W$3</f>
        <v>284.91696328304351</v>
      </c>
      <c r="X10" s="8"/>
      <c r="Y10" s="37">
        <f>G10/$G$40</f>
        <v>2.6991640809971754E-2</v>
      </c>
      <c r="Z10" s="81">
        <f>Y10*$Z$3</f>
        <v>189.53530176762166</v>
      </c>
    </row>
    <row r="11" spans="2:28" ht="15.75" thickBot="1" x14ac:dyDescent="0.3">
      <c r="D11" s="2"/>
      <c r="G11" s="2">
        <v>0</v>
      </c>
      <c r="H11" s="2">
        <f t="shared" si="0"/>
        <v>0</v>
      </c>
      <c r="I11" s="79">
        <f>SUM(I6:I10)</f>
        <v>1343.1595844631315</v>
      </c>
      <c r="J11" s="79">
        <f>SUM(J6:J10)</f>
        <v>314.12136527887122</v>
      </c>
      <c r="K11" s="79">
        <f>SUM(K6:K10)</f>
        <v>773.97553425775106</v>
      </c>
      <c r="L11" s="79">
        <f>SUM(L6:L10)</f>
        <v>97.701460620386342</v>
      </c>
      <c r="M11" s="79">
        <f>SUM(M6:M10)</f>
        <v>218.77340009811772</v>
      </c>
      <c r="N11" s="79">
        <f t="shared" ref="N11:X11" si="15">SUM(N6:N9)</f>
        <v>0</v>
      </c>
      <c r="O11" s="79">
        <f t="shared" ref="O11:W11" si="16">SUM(O6:O10)</f>
        <v>181.95779354497958</v>
      </c>
      <c r="P11" s="79">
        <f t="shared" si="16"/>
        <v>219.57633977479043</v>
      </c>
      <c r="Q11" s="79">
        <f t="shared" si="16"/>
        <v>816.69581266038722</v>
      </c>
      <c r="R11" s="79">
        <f t="shared" si="16"/>
        <v>122.48493388081459</v>
      </c>
      <c r="S11" s="79">
        <f t="shared" si="16"/>
        <v>181.28493906732089</v>
      </c>
      <c r="T11" s="79">
        <f t="shared" si="16"/>
        <v>131.58043118658748</v>
      </c>
      <c r="U11" s="79">
        <f t="shared" si="16"/>
        <v>142.49562604638393</v>
      </c>
      <c r="V11" s="79">
        <f t="shared" ref="V11" si="17">SUM(V6:V10)</f>
        <v>143223840</v>
      </c>
      <c r="W11" s="79">
        <f t="shared" si="16"/>
        <v>897.13930354491458</v>
      </c>
      <c r="X11" s="79">
        <f t="shared" si="15"/>
        <v>0</v>
      </c>
      <c r="Y11" s="79">
        <f>SUM(Y6:Y10)</f>
        <v>8.4990593605816719E-2</v>
      </c>
      <c r="Z11" s="79">
        <f>SUM(Z6:Z10)</f>
        <v>596.80394830004502</v>
      </c>
    </row>
    <row r="12" spans="2:28" x14ac:dyDescent="0.25">
      <c r="B12" s="1">
        <v>112</v>
      </c>
      <c r="C12" t="s">
        <v>27</v>
      </c>
      <c r="D12" s="2"/>
      <c r="G12" s="2">
        <v>32321.919999999998</v>
      </c>
      <c r="H12" s="2">
        <f t="shared" si="0"/>
        <v>0.20246116008364559</v>
      </c>
      <c r="I12" s="68">
        <f t="shared" si="1"/>
        <v>1818.6984779733843</v>
      </c>
      <c r="J12" s="68">
        <f t="shared" si="2"/>
        <v>425.33445432692434</v>
      </c>
      <c r="K12" s="68">
        <f t="shared" si="3"/>
        <v>1047.9976783293739</v>
      </c>
      <c r="L12" s="68">
        <f t="shared" si="12"/>
        <v>132.29217122185568</v>
      </c>
      <c r="M12" s="68">
        <f t="shared" si="13"/>
        <v>296.22902176478522</v>
      </c>
      <c r="N12" s="8"/>
      <c r="O12" s="8">
        <f t="shared" si="4"/>
        <v>246.37903492899</v>
      </c>
      <c r="P12" s="8">
        <f t="shared" si="5"/>
        <v>297.31623819443439</v>
      </c>
      <c r="Q12" s="8">
        <f t="shared" si="6"/>
        <v>1105.8428563768723</v>
      </c>
      <c r="R12" s="8">
        <f t="shared" si="7"/>
        <v>165.85010850571996</v>
      </c>
      <c r="S12" s="8">
        <f t="shared" si="14"/>
        <v>245.46795970861359</v>
      </c>
      <c r="T12" s="8">
        <f t="shared" si="8"/>
        <v>178.16582087360811</v>
      </c>
      <c r="U12" s="8">
        <f t="shared" si="9"/>
        <v>192.94548555971426</v>
      </c>
      <c r="V12" s="8">
        <f t="shared" si="10"/>
        <v>193931520</v>
      </c>
      <c r="W12" s="8">
        <f t="shared" si="10"/>
        <v>1214.7669605018737</v>
      </c>
      <c r="X12" s="8"/>
      <c r="Y12" s="37">
        <f>G12/$G$40</f>
        <v>0.11508108568851606</v>
      </c>
      <c r="Z12" s="38">
        <f t="shared" si="11"/>
        <v>808.09938370475982</v>
      </c>
    </row>
    <row r="13" spans="2:28" ht="15.75" thickBot="1" x14ac:dyDescent="0.3">
      <c r="B13" s="1">
        <v>122</v>
      </c>
      <c r="C13" t="s">
        <v>29</v>
      </c>
      <c r="D13" s="2"/>
      <c r="G13" s="2">
        <v>2914.07</v>
      </c>
      <c r="H13" s="2">
        <f t="shared" si="0"/>
        <v>1.825343274053488E-2</v>
      </c>
      <c r="I13" s="8">
        <f t="shared" si="1"/>
        <v>163.9696736365878</v>
      </c>
      <c r="J13" s="8">
        <f t="shared" si="2"/>
        <v>38.347176569970486</v>
      </c>
      <c r="K13" s="8">
        <f t="shared" si="3"/>
        <v>94.485061360503295</v>
      </c>
      <c r="L13" s="8">
        <f t="shared" si="12"/>
        <v>11.927158021320301</v>
      </c>
      <c r="M13" s="8">
        <f t="shared" si="13"/>
        <v>26.707327579986206</v>
      </c>
      <c r="N13" s="8"/>
      <c r="O13" s="8">
        <f t="shared" si="4"/>
        <v>22.212967370611707</v>
      </c>
      <c r="P13" s="8">
        <f t="shared" si="5"/>
        <v>26.805348513802876</v>
      </c>
      <c r="Q13" s="8">
        <f t="shared" si="6"/>
        <v>99.700249628801515</v>
      </c>
      <c r="R13" s="8">
        <f t="shared" si="7"/>
        <v>14.952664498063957</v>
      </c>
      <c r="S13" s="8">
        <f t="shared" si="14"/>
        <v>22.130826923279301</v>
      </c>
      <c r="T13" s="8">
        <f t="shared" si="8"/>
        <v>16.063020811670693</v>
      </c>
      <c r="U13" s="8">
        <f t="shared" si="9"/>
        <v>17.395521401729741</v>
      </c>
      <c r="V13" s="8">
        <f t="shared" si="10"/>
        <v>17484420</v>
      </c>
      <c r="W13" s="8">
        <f t="shared" si="10"/>
        <v>109.52059644320929</v>
      </c>
      <c r="X13" s="8"/>
      <c r="Y13" s="37">
        <f>G13/$G$40</f>
        <v>1.0375446117443954E-2</v>
      </c>
      <c r="Z13" s="38">
        <f t="shared" si="11"/>
        <v>72.85638263669145</v>
      </c>
    </row>
    <row r="14" spans="2:28" ht="15.75" thickBot="1" x14ac:dyDescent="0.3">
      <c r="B14" s="1">
        <v>123</v>
      </c>
      <c r="C14" t="s">
        <v>30</v>
      </c>
      <c r="D14" s="2"/>
      <c r="G14" s="55">
        <v>17161.830000000002</v>
      </c>
      <c r="H14" s="56">
        <f t="shared" si="0"/>
        <v>0.10749992608602187</v>
      </c>
      <c r="I14" s="57">
        <f t="shared" si="1"/>
        <v>965.6664610344302</v>
      </c>
      <c r="J14" s="57">
        <f t="shared" si="2"/>
        <v>225.83799472003648</v>
      </c>
      <c r="K14" s="57">
        <f t="shared" si="3"/>
        <v>556.45079239981408</v>
      </c>
      <c r="L14" s="57">
        <f t="shared" si="12"/>
        <v>70.2426017031284</v>
      </c>
      <c r="M14" s="57">
        <f t="shared" si="13"/>
        <v>157.28744185350203</v>
      </c>
      <c r="N14" s="57"/>
      <c r="O14" s="57">
        <f t="shared" si="4"/>
        <v>130.81881005260175</v>
      </c>
      <c r="P14" s="57">
        <f t="shared" si="5"/>
        <v>157.86471645658398</v>
      </c>
      <c r="Q14" s="57">
        <f t="shared" si="6"/>
        <v>587.16459628185146</v>
      </c>
      <c r="R14" s="57">
        <f t="shared" si="7"/>
        <v>88.060714451886525</v>
      </c>
      <c r="S14" s="57">
        <f t="shared" si="14"/>
        <v>130.33506038521463</v>
      </c>
      <c r="T14" s="57">
        <f t="shared" si="8"/>
        <v>94.59993495569924</v>
      </c>
      <c r="U14" s="57">
        <f t="shared" si="9"/>
        <v>102.44742955997884</v>
      </c>
      <c r="V14" s="57">
        <f t="shared" si="10"/>
        <v>102970980.00000001</v>
      </c>
      <c r="W14" s="57">
        <f t="shared" si="10"/>
        <v>644.99955651613118</v>
      </c>
      <c r="X14" s="57"/>
      <c r="Y14" s="55">
        <f>G14/$G$40</f>
        <v>6.1104106092761387E-2</v>
      </c>
      <c r="Z14" s="58">
        <f t="shared" si="11"/>
        <v>429.07303298337047</v>
      </c>
    </row>
    <row r="15" spans="2:28" ht="15.75" thickBot="1" x14ac:dyDescent="0.3">
      <c r="B15" s="1">
        <v>166</v>
      </c>
      <c r="C15" t="s">
        <v>59</v>
      </c>
      <c r="D15" s="2"/>
      <c r="G15" s="16">
        <v>6543.56</v>
      </c>
      <c r="H15" s="2">
        <f t="shared" si="0"/>
        <v>4.0988182282393495E-2</v>
      </c>
      <c r="I15" s="65">
        <f t="shared" si="1"/>
        <v>368.1947920336267</v>
      </c>
      <c r="J15" s="65">
        <f t="shared" si="2"/>
        <v>86.108793102497913</v>
      </c>
      <c r="K15" s="8">
        <f t="shared" si="3"/>
        <v>212.16671806653062</v>
      </c>
      <c r="L15" s="8">
        <f t="shared" si="12"/>
        <v>26.782498066961555</v>
      </c>
      <c r="M15" s="8">
        <f t="shared" si="13"/>
        <v>59.971449024661226</v>
      </c>
      <c r="N15" s="8"/>
      <c r="O15" s="8">
        <f t="shared" si="4"/>
        <v>49.879338783090297</v>
      </c>
      <c r="P15" s="8">
        <f t="shared" si="5"/>
        <v>60.191555563517674</v>
      </c>
      <c r="Q15" s="8">
        <f t="shared" si="6"/>
        <v>223.87745162643327</v>
      </c>
      <c r="R15" s="8">
        <f t="shared" si="7"/>
        <v>33.576289280268277</v>
      </c>
      <c r="S15" s="8">
        <f t="shared" si="14"/>
        <v>49.694891962819526</v>
      </c>
      <c r="T15" s="8">
        <f t="shared" si="8"/>
        <v>36.069600408506275</v>
      </c>
      <c r="U15" s="8">
        <f t="shared" si="9"/>
        <v>39.061737715120998</v>
      </c>
      <c r="V15" s="8">
        <f t="shared" si="10"/>
        <v>39261360</v>
      </c>
      <c r="W15" s="8">
        <f t="shared" si="10"/>
        <v>245.92909369436097</v>
      </c>
      <c r="X15" s="8"/>
      <c r="Y15" s="37">
        <f>G15/$G$40</f>
        <v>2.3298120565484547E-2</v>
      </c>
      <c r="Z15" s="38">
        <f t="shared" si="11"/>
        <v>163.5994026108325</v>
      </c>
    </row>
    <row r="16" spans="2:28" x14ac:dyDescent="0.25">
      <c r="B16" s="1">
        <v>134</v>
      </c>
      <c r="C16" t="s">
        <v>85</v>
      </c>
      <c r="D16" s="2"/>
      <c r="H16" s="2">
        <f t="shared" si="0"/>
        <v>0</v>
      </c>
      <c r="I16" s="8">
        <f t="shared" si="1"/>
        <v>0</v>
      </c>
      <c r="J16" s="8">
        <f t="shared" si="2"/>
        <v>0</v>
      </c>
      <c r="K16" s="8">
        <f t="shared" si="3"/>
        <v>0</v>
      </c>
      <c r="L16" s="8">
        <f t="shared" si="12"/>
        <v>0</v>
      </c>
      <c r="M16" s="8">
        <f t="shared" si="13"/>
        <v>0</v>
      </c>
      <c r="N16" s="8"/>
      <c r="O16" s="8">
        <f t="shared" si="4"/>
        <v>0</v>
      </c>
      <c r="P16" s="8">
        <f t="shared" si="5"/>
        <v>0</v>
      </c>
      <c r="Q16" s="8">
        <f t="shared" si="6"/>
        <v>0</v>
      </c>
      <c r="R16" s="8">
        <f t="shared" si="7"/>
        <v>0</v>
      </c>
      <c r="S16" s="8">
        <f t="shared" si="14"/>
        <v>0</v>
      </c>
      <c r="T16" s="8">
        <f t="shared" si="8"/>
        <v>0</v>
      </c>
      <c r="U16" s="8">
        <f t="shared" si="9"/>
        <v>0</v>
      </c>
      <c r="V16" s="8">
        <f t="shared" si="10"/>
        <v>0</v>
      </c>
      <c r="W16" s="8">
        <f t="shared" si="10"/>
        <v>0</v>
      </c>
      <c r="X16" s="8"/>
      <c r="Y16" s="37">
        <f>G16/$G$40</f>
        <v>0</v>
      </c>
      <c r="Z16" s="38">
        <f t="shared" si="11"/>
        <v>0</v>
      </c>
      <c r="AB16" t="s">
        <v>77</v>
      </c>
    </row>
    <row r="17" spans="2:26" ht="15.75" thickBot="1" x14ac:dyDescent="0.3">
      <c r="C17" t="s">
        <v>86</v>
      </c>
      <c r="D17" s="2"/>
      <c r="H17" s="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37"/>
      <c r="Z17" s="38"/>
    </row>
    <row r="18" spans="2:26" ht="15.75" thickBot="1" x14ac:dyDescent="0.3">
      <c r="C18" t="s">
        <v>36</v>
      </c>
      <c r="D18" s="2"/>
      <c r="E18" s="26">
        <v>7120</v>
      </c>
      <c r="F18" s="26">
        <v>7130</v>
      </c>
      <c r="G18" s="52">
        <v>7827.72</v>
      </c>
      <c r="H18" s="2">
        <f t="shared" ref="H18:H37" si="18">G18/$F$38</f>
        <v>4.903202755312662E-2</v>
      </c>
      <c r="I18" s="8">
        <f t="shared" si="1"/>
        <v>440.45225190835879</v>
      </c>
      <c r="J18" s="8">
        <f t="shared" si="2"/>
        <v>103.00746412415947</v>
      </c>
      <c r="K18" s="8">
        <f t="shared" si="3"/>
        <v>253.80399390297379</v>
      </c>
      <c r="L18" s="8">
        <f t="shared" si="12"/>
        <v>32.038507443763997</v>
      </c>
      <c r="M18" s="8">
        <f t="shared" si="13"/>
        <v>71.740720794081682</v>
      </c>
      <c r="N18" s="8"/>
      <c r="O18" s="8">
        <f t="shared" si="4"/>
        <v>59.668054969950852</v>
      </c>
      <c r="P18" s="8">
        <f t="shared" si="5"/>
        <v>72.004022782041972</v>
      </c>
      <c r="Q18" s="8">
        <f t="shared" si="6"/>
        <v>267.81293449517761</v>
      </c>
      <c r="R18" s="8">
        <f t="shared" si="7"/>
        <v>40.165566010694732</v>
      </c>
      <c r="S18" s="8">
        <f t="shared" si="14"/>
        <v>59.447410845961777</v>
      </c>
      <c r="T18" s="8">
        <f t="shared" si="8"/>
        <v>43.148184246751427</v>
      </c>
      <c r="U18" s="8">
        <f t="shared" si="9"/>
        <v>46.727522258129667</v>
      </c>
      <c r="V18" s="8">
        <f t="shared" si="10"/>
        <v>46966320</v>
      </c>
      <c r="W18" s="8">
        <f t="shared" si="10"/>
        <v>294.19216531875969</v>
      </c>
      <c r="X18" s="8"/>
      <c r="Y18" s="37">
        <f t="shared" ref="Y18:Y39" si="19">G18/$G$40</f>
        <v>2.7870328126104855E-2</v>
      </c>
      <c r="Z18" s="38">
        <f t="shared" si="11"/>
        <v>195.70544410150831</v>
      </c>
    </row>
    <row r="19" spans="2:26" x14ac:dyDescent="0.25">
      <c r="C19" t="s">
        <v>73</v>
      </c>
      <c r="D19" s="2"/>
      <c r="G19" s="2">
        <v>1869.23</v>
      </c>
      <c r="H19" s="2">
        <f t="shared" si="18"/>
        <v>1.1708663169240963E-2</v>
      </c>
      <c r="I19" s="8">
        <f t="shared" si="1"/>
        <v>105.17833581613311</v>
      </c>
      <c r="J19" s="8">
        <f t="shared" si="2"/>
        <v>24.597793759204801</v>
      </c>
      <c r="K19" s="8">
        <f t="shared" si="3"/>
        <v>60.6074360763103</v>
      </c>
      <c r="L19" s="8">
        <f t="shared" si="12"/>
        <v>7.6506746880454291</v>
      </c>
      <c r="M19" s="8">
        <f t="shared" si="13"/>
        <v>17.131413429443224</v>
      </c>
      <c r="N19" s="8"/>
      <c r="O19" s="8">
        <f t="shared" si="4"/>
        <v>14.248506383912714</v>
      </c>
      <c r="P19" s="8">
        <f t="shared" si="5"/>
        <v>17.194288950662045</v>
      </c>
      <c r="Q19" s="8">
        <f t="shared" si="6"/>
        <v>63.95271823039414</v>
      </c>
      <c r="R19" s="8">
        <f t="shared" si="7"/>
        <v>9.5913856083471192</v>
      </c>
      <c r="S19" s="8">
        <f t="shared" si="14"/>
        <v>14.195817399651128</v>
      </c>
      <c r="T19" s="8">
        <f t="shared" si="8"/>
        <v>10.303623588932048</v>
      </c>
      <c r="U19" s="8">
        <f t="shared" si="9"/>
        <v>11.158356000286638</v>
      </c>
      <c r="V19" s="8">
        <f t="shared" si="10"/>
        <v>11215380</v>
      </c>
      <c r="W19" s="8">
        <f t="shared" si="10"/>
        <v>70.25197901544577</v>
      </c>
      <c r="X19" s="8"/>
      <c r="Y19" s="37">
        <f t="shared" si="19"/>
        <v>6.6553291946005967E-3</v>
      </c>
      <c r="Z19" s="38">
        <f t="shared" si="11"/>
        <v>46.733721604485389</v>
      </c>
    </row>
    <row r="20" spans="2:26" x14ac:dyDescent="0.25">
      <c r="C20" t="s">
        <v>38</v>
      </c>
      <c r="D20" s="2"/>
      <c r="G20" s="2">
        <v>7153.85</v>
      </c>
      <c r="H20" s="2">
        <f t="shared" si="18"/>
        <v>4.4810975649478377E-2</v>
      </c>
      <c r="I20" s="8">
        <f t="shared" si="1"/>
        <v>402.53475371048182</v>
      </c>
      <c r="J20" s="8">
        <f t="shared" si="2"/>
        <v>94.139793863937172</v>
      </c>
      <c r="K20" s="8">
        <f t="shared" si="3"/>
        <v>231.95460514463844</v>
      </c>
      <c r="L20" s="8">
        <f t="shared" si="12"/>
        <v>29.280387708882159</v>
      </c>
      <c r="M20" s="8">
        <f t="shared" si="13"/>
        <v>65.564730911777801</v>
      </c>
      <c r="N20" s="8"/>
      <c r="O20" s="8">
        <f t="shared" si="4"/>
        <v>54.531372487363228</v>
      </c>
      <c r="P20" s="8">
        <f t="shared" si="5"/>
        <v>65.805365851015495</v>
      </c>
      <c r="Q20" s="8">
        <f t="shared" si="6"/>
        <v>244.7575489974509</v>
      </c>
      <c r="R20" s="8">
        <f t="shared" si="7"/>
        <v>36.707806922783199</v>
      </c>
      <c r="S20" s="8">
        <f t="shared" si="14"/>
        <v>54.329723096940576</v>
      </c>
      <c r="T20" s="8">
        <f t="shared" si="8"/>
        <v>39.433658571540974</v>
      </c>
      <c r="U20" s="8">
        <f t="shared" si="9"/>
        <v>42.704859793952892</v>
      </c>
      <c r="V20" s="8">
        <f t="shared" si="10"/>
        <v>42923100</v>
      </c>
      <c r="W20" s="8">
        <f t="shared" si="10"/>
        <v>268.86585389687025</v>
      </c>
      <c r="X20" s="8"/>
      <c r="Y20" s="37">
        <f t="shared" si="19"/>
        <v>2.5471037142991221E-2</v>
      </c>
      <c r="Z20" s="38">
        <f t="shared" si="11"/>
        <v>178.85762281808437</v>
      </c>
    </row>
    <row r="21" spans="2:26" ht="15.75" thickBot="1" x14ac:dyDescent="0.3">
      <c r="B21" s="1">
        <v>141</v>
      </c>
      <c r="C21" t="s">
        <v>19</v>
      </c>
      <c r="D21" s="2"/>
      <c r="E21" s="26"/>
      <c r="F21" s="26"/>
      <c r="G21" s="6">
        <v>5778.46</v>
      </c>
      <c r="H21" s="2">
        <f t="shared" si="18"/>
        <v>3.619567510522094E-2</v>
      </c>
      <c r="I21" s="8">
        <f t="shared" si="1"/>
        <v>325.14393968644447</v>
      </c>
      <c r="J21" s="8">
        <f t="shared" si="2"/>
        <v>76.040598174550254</v>
      </c>
      <c r="K21" s="8">
        <f t="shared" si="3"/>
        <v>187.35931109040411</v>
      </c>
      <c r="L21" s="8">
        <f t="shared" si="12"/>
        <v>23.650978027253466</v>
      </c>
      <c r="M21" s="8">
        <f t="shared" si="13"/>
        <v>52.959340073452971</v>
      </c>
      <c r="N21" s="8"/>
      <c r="O21" s="8">
        <f t="shared" si="4"/>
        <v>44.047240949045467</v>
      </c>
      <c r="P21" s="8">
        <f t="shared" si="5"/>
        <v>53.153710848768</v>
      </c>
      <c r="Q21" s="8">
        <f t="shared" si="6"/>
        <v>197.70077742471676</v>
      </c>
      <c r="R21" s="8">
        <f t="shared" si="7"/>
        <v>29.650411175943837</v>
      </c>
      <c r="S21" s="8">
        <f t="shared" si="14"/>
        <v>43.884360411071974</v>
      </c>
      <c r="T21" s="8">
        <f t="shared" si="8"/>
        <v>31.852194092594427</v>
      </c>
      <c r="U21" s="8">
        <f t="shared" si="9"/>
        <v>34.494478375275555</v>
      </c>
      <c r="V21" s="8">
        <f t="shared" si="10"/>
        <v>34670760</v>
      </c>
      <c r="W21" s="8">
        <f t="shared" si="10"/>
        <v>217.17405063132563</v>
      </c>
      <c r="X21" s="8"/>
      <c r="Y21" s="37">
        <f t="shared" si="19"/>
        <v>2.0574008301724112E-2</v>
      </c>
      <c r="Z21" s="38">
        <f t="shared" si="11"/>
        <v>144.47068629470672</v>
      </c>
    </row>
    <row r="22" spans="2:26" ht="15.75" thickBot="1" x14ac:dyDescent="0.3">
      <c r="B22" s="1">
        <v>151</v>
      </c>
      <c r="C22" t="s">
        <v>41</v>
      </c>
      <c r="D22" s="2"/>
      <c r="G22" s="33">
        <v>14630.69</v>
      </c>
      <c r="H22" s="31">
        <f t="shared" si="18"/>
        <v>9.1645127214725883E-2</v>
      </c>
      <c r="I22" s="29">
        <f t="shared" si="1"/>
        <v>823.24359551352188</v>
      </c>
      <c r="J22" s="29">
        <f t="shared" si="2"/>
        <v>192.52991615524044</v>
      </c>
      <c r="K22" s="29">
        <f t="shared" si="3"/>
        <v>474.38175555031341</v>
      </c>
      <c r="L22" s="29">
        <f t="shared" si="12"/>
        <v>59.882759024646184</v>
      </c>
      <c r="M22" s="29">
        <f t="shared" si="13"/>
        <v>134.08965143295404</v>
      </c>
      <c r="N22" s="29"/>
      <c r="O22" s="29">
        <f t="shared" si="4"/>
        <v>111.52478821014422</v>
      </c>
      <c r="P22" s="29">
        <f t="shared" si="5"/>
        <v>134.58178576609711</v>
      </c>
      <c r="Q22" s="29">
        <f t="shared" si="6"/>
        <v>500.56568484683277</v>
      </c>
      <c r="R22" s="29">
        <f t="shared" si="7"/>
        <v>75.072938860487</v>
      </c>
      <c r="S22" s="29">
        <f t="shared" si="14"/>
        <v>111.11238513767796</v>
      </c>
      <c r="T22" s="29">
        <f t="shared" si="8"/>
        <v>80.647711948958772</v>
      </c>
      <c r="U22" s="29">
        <f t="shared" si="9"/>
        <v>87.337806235633764</v>
      </c>
      <c r="V22" s="29">
        <f t="shared" si="10"/>
        <v>87784140</v>
      </c>
      <c r="W22" s="29">
        <f t="shared" si="10"/>
        <v>549.87076328835531</v>
      </c>
      <c r="X22" s="29"/>
      <c r="Y22" s="47">
        <f t="shared" si="19"/>
        <v>5.2092069084142135E-2</v>
      </c>
      <c r="Z22" s="48">
        <f t="shared" si="11"/>
        <v>365.79050910884609</v>
      </c>
    </row>
    <row r="23" spans="2:26" x14ac:dyDescent="0.25">
      <c r="B23" s="1">
        <v>152</v>
      </c>
      <c r="C23" t="s">
        <v>46</v>
      </c>
      <c r="D23" s="2"/>
      <c r="G23" s="2">
        <v>395.68</v>
      </c>
      <c r="H23" s="2">
        <f t="shared" si="18"/>
        <v>2.4784985490310255E-3</v>
      </c>
      <c r="I23" s="8">
        <f t="shared" si="1"/>
        <v>22.264228541018252</v>
      </c>
      <c r="J23" s="8">
        <f t="shared" si="2"/>
        <v>5.2068793217753591</v>
      </c>
      <c r="K23" s="8">
        <f t="shared" si="3"/>
        <v>12.829427254363807</v>
      </c>
      <c r="L23" s="8">
        <f t="shared" si="12"/>
        <v>1.6195005219078527</v>
      </c>
      <c r="M23" s="8">
        <f t="shared" si="13"/>
        <v>3.6263903670292548</v>
      </c>
      <c r="N23" s="8"/>
      <c r="O23" s="8">
        <f t="shared" si="4"/>
        <v>3.0161344542868358</v>
      </c>
      <c r="P23" s="8">
        <f t="shared" si="5"/>
        <v>3.6396999042375513</v>
      </c>
      <c r="Q23" s="8">
        <f t="shared" si="6"/>
        <v>13.537559074807461</v>
      </c>
      <c r="R23" s="8">
        <f t="shared" si="7"/>
        <v>2.030311656409745</v>
      </c>
      <c r="S23" s="8">
        <f t="shared" si="14"/>
        <v>3.004981210816196</v>
      </c>
      <c r="T23" s="8">
        <f t="shared" si="8"/>
        <v>2.1810787231473023</v>
      </c>
      <c r="U23" s="8">
        <f t="shared" si="9"/>
        <v>2.3620091172265671</v>
      </c>
      <c r="V23" s="8">
        <f t="shared" si="10"/>
        <v>2374080</v>
      </c>
      <c r="W23" s="8">
        <f t="shared" si="10"/>
        <v>14.870991294186153</v>
      </c>
      <c r="X23" s="8"/>
      <c r="Y23" s="37">
        <f t="shared" si="19"/>
        <v>1.4088050457779749E-3</v>
      </c>
      <c r="Z23" s="38">
        <f t="shared" si="11"/>
        <v>9.8926290314529393</v>
      </c>
    </row>
    <row r="24" spans="2:26" x14ac:dyDescent="0.25">
      <c r="B24" s="1">
        <v>160.1</v>
      </c>
      <c r="C24" t="s">
        <v>52</v>
      </c>
      <c r="D24" s="2"/>
      <c r="G24" s="2">
        <v>461.54</v>
      </c>
      <c r="H24" s="2">
        <f t="shared" si="18"/>
        <v>2.891038769510159E-3</v>
      </c>
      <c r="I24" s="8">
        <f t="shared" si="1"/>
        <v>25.970056714571285</v>
      </c>
      <c r="J24" s="8">
        <f t="shared" si="2"/>
        <v>6.0735520677623329</v>
      </c>
      <c r="K24" s="8">
        <f t="shared" si="3"/>
        <v>14.96485507222774</v>
      </c>
      <c r="L24" s="8">
        <f t="shared" si="12"/>
        <v>1.889062552773328</v>
      </c>
      <c r="M24" s="8">
        <f t="shared" si="13"/>
        <v>4.2299944652210941</v>
      </c>
      <c r="N24" s="8"/>
      <c r="O24" s="8">
        <f t="shared" si="4"/>
        <v>3.5181628993923031</v>
      </c>
      <c r="P24" s="8">
        <f t="shared" si="5"/>
        <v>4.2455193434133633</v>
      </c>
      <c r="Q24" s="8">
        <f t="shared" si="6"/>
        <v>15.790853759064488</v>
      </c>
      <c r="R24" s="8">
        <f t="shared" si="7"/>
        <v>2.368252228819637</v>
      </c>
      <c r="S24" s="8">
        <f t="shared" si="14"/>
        <v>3.505153224929507</v>
      </c>
      <c r="T24" s="8">
        <f t="shared" si="8"/>
        <v>2.5441141171689399</v>
      </c>
      <c r="U24" s="8">
        <f t="shared" si="9"/>
        <v>2.7551599473431816</v>
      </c>
      <c r="V24" s="8">
        <f t="shared" si="10"/>
        <v>2769240</v>
      </c>
      <c r="W24" s="8">
        <f t="shared" si="10"/>
        <v>17.346232617060956</v>
      </c>
      <c r="X24" s="8"/>
      <c r="Y24" s="37">
        <f t="shared" si="19"/>
        <v>1.6432973130518767E-3</v>
      </c>
      <c r="Z24" s="38">
        <f t="shared" si="11"/>
        <v>11.539233732250278</v>
      </c>
    </row>
    <row r="25" spans="2:26" x14ac:dyDescent="0.25">
      <c r="B25" s="1">
        <v>160.19999999999999</v>
      </c>
      <c r="C25" t="s">
        <v>88</v>
      </c>
      <c r="D25" s="2"/>
      <c r="G25" s="2">
        <v>461.54</v>
      </c>
      <c r="H25" s="2">
        <f t="shared" si="18"/>
        <v>2.891038769510159E-3</v>
      </c>
      <c r="I25" s="8">
        <f t="shared" si="1"/>
        <v>25.970056714571285</v>
      </c>
      <c r="J25" s="8">
        <f t="shared" si="2"/>
        <v>6.0735520677623329</v>
      </c>
      <c r="K25" s="8">
        <f t="shared" si="3"/>
        <v>14.96485507222774</v>
      </c>
      <c r="L25" s="8">
        <f t="shared" si="12"/>
        <v>1.889062552773328</v>
      </c>
      <c r="M25" s="8">
        <f t="shared" si="13"/>
        <v>4.2299944652210941</v>
      </c>
      <c r="N25" s="8"/>
      <c r="O25" s="8">
        <f t="shared" si="4"/>
        <v>3.5181628993923031</v>
      </c>
      <c r="P25" s="8">
        <f t="shared" si="5"/>
        <v>4.2455193434133633</v>
      </c>
      <c r="Q25" s="8">
        <f t="shared" si="6"/>
        <v>15.790853759064488</v>
      </c>
      <c r="R25" s="8">
        <f t="shared" si="7"/>
        <v>2.368252228819637</v>
      </c>
      <c r="S25" s="8">
        <f t="shared" si="14"/>
        <v>3.505153224929507</v>
      </c>
      <c r="T25" s="8">
        <f t="shared" si="8"/>
        <v>2.5441141171689399</v>
      </c>
      <c r="U25" s="8">
        <f t="shared" si="9"/>
        <v>2.7551599473431816</v>
      </c>
      <c r="V25" s="8">
        <f t="shared" si="10"/>
        <v>2769240</v>
      </c>
      <c r="W25" s="8">
        <f t="shared" si="10"/>
        <v>17.346232617060956</v>
      </c>
      <c r="X25" s="8"/>
      <c r="Y25" s="37">
        <f t="shared" si="19"/>
        <v>1.6432973130518767E-3</v>
      </c>
      <c r="Z25" s="38">
        <f t="shared" si="11"/>
        <v>11.539233732250278</v>
      </c>
    </row>
    <row r="26" spans="2:26" x14ac:dyDescent="0.25">
      <c r="B26" s="1">
        <v>160.30000000000001</v>
      </c>
      <c r="C26" t="s">
        <v>48</v>
      </c>
      <c r="D26" s="2"/>
      <c r="G26" s="2">
        <v>461.54</v>
      </c>
      <c r="H26" s="2">
        <f t="shared" si="18"/>
        <v>2.891038769510159E-3</v>
      </c>
      <c r="I26" s="8">
        <f t="shared" si="1"/>
        <v>25.970056714571285</v>
      </c>
      <c r="J26" s="8">
        <f t="shared" si="2"/>
        <v>6.0735520677623329</v>
      </c>
      <c r="K26" s="8">
        <f t="shared" si="3"/>
        <v>14.96485507222774</v>
      </c>
      <c r="L26" s="8">
        <f t="shared" si="12"/>
        <v>1.889062552773328</v>
      </c>
      <c r="M26" s="8">
        <f t="shared" si="13"/>
        <v>4.2299944652210941</v>
      </c>
      <c r="N26" s="8"/>
      <c r="O26" s="8">
        <f t="shared" si="4"/>
        <v>3.5181628993923031</v>
      </c>
      <c r="P26" s="8">
        <f t="shared" si="5"/>
        <v>4.2455193434133633</v>
      </c>
      <c r="Q26" s="8">
        <f t="shared" si="6"/>
        <v>15.790853759064488</v>
      </c>
      <c r="R26" s="8">
        <f t="shared" si="7"/>
        <v>2.368252228819637</v>
      </c>
      <c r="S26" s="8">
        <f t="shared" si="14"/>
        <v>3.505153224929507</v>
      </c>
      <c r="T26" s="8">
        <f t="shared" si="8"/>
        <v>2.5441141171689399</v>
      </c>
      <c r="U26" s="8">
        <f t="shared" si="9"/>
        <v>2.7551599473431816</v>
      </c>
      <c r="V26" s="8">
        <f t="shared" si="10"/>
        <v>2769240</v>
      </c>
      <c r="W26" s="8">
        <f t="shared" si="10"/>
        <v>17.346232617060956</v>
      </c>
      <c r="X26" s="8"/>
      <c r="Y26" s="37">
        <f t="shared" si="19"/>
        <v>1.6432973130518767E-3</v>
      </c>
      <c r="Z26" s="38">
        <f t="shared" si="11"/>
        <v>11.539233732250278</v>
      </c>
    </row>
    <row r="27" spans="2:26" x14ac:dyDescent="0.25">
      <c r="B27" s="59">
        <v>164</v>
      </c>
      <c r="C27" s="60" t="s">
        <v>87</v>
      </c>
      <c r="D27" s="61"/>
      <c r="E27" s="60"/>
      <c r="F27" s="60"/>
      <c r="G27" s="61">
        <v>2302.86</v>
      </c>
      <c r="H27" s="61">
        <f t="shared" si="18"/>
        <v>1.442487658871206E-2</v>
      </c>
      <c r="I27" s="62">
        <f t="shared" si="1"/>
        <v>129.577945152571</v>
      </c>
      <c r="J27" s="62">
        <f t="shared" si="2"/>
        <v>30.304069235098073</v>
      </c>
      <c r="K27" s="62">
        <f t="shared" si="3"/>
        <v>74.667344437384344</v>
      </c>
      <c r="L27" s="62">
        <f t="shared" si="12"/>
        <v>9.4255028605962341</v>
      </c>
      <c r="M27" s="62">
        <f t="shared" si="13"/>
        <v>21.105613932008165</v>
      </c>
      <c r="N27" s="62"/>
      <c r="O27" s="62">
        <f t="shared" si="4"/>
        <v>17.553920818335481</v>
      </c>
      <c r="P27" s="62">
        <f t="shared" si="5"/>
        <v>21.183075519289545</v>
      </c>
      <c r="Q27" s="62">
        <f t="shared" si="6"/>
        <v>78.78867592754527</v>
      </c>
      <c r="R27" s="62">
        <f t="shared" si="7"/>
        <v>11.816426155175257</v>
      </c>
      <c r="S27" s="62">
        <f t="shared" si="14"/>
        <v>17.489008873686277</v>
      </c>
      <c r="T27" s="62">
        <f t="shared" si="8"/>
        <v>12.693891398066613</v>
      </c>
      <c r="U27" s="62">
        <f t="shared" si="9"/>
        <v>13.746907389042592</v>
      </c>
      <c r="V27" s="62">
        <f t="shared" si="10"/>
        <v>13817160</v>
      </c>
      <c r="W27" s="62">
        <f t="shared" si="10"/>
        <v>86.549259532272359</v>
      </c>
      <c r="X27" s="62"/>
      <c r="Y27" s="63">
        <f t="shared" si="19"/>
        <v>8.1992539115453584E-3</v>
      </c>
      <c r="Z27" s="64">
        <f t="shared" si="11"/>
        <v>57.575160966871508</v>
      </c>
    </row>
    <row r="28" spans="2:26" x14ac:dyDescent="0.25">
      <c r="B28" s="1">
        <v>167</v>
      </c>
      <c r="C28" t="s">
        <v>78</v>
      </c>
      <c r="D28" s="2"/>
      <c r="G28" s="2">
        <v>0</v>
      </c>
      <c r="H28" s="2">
        <f t="shared" si="18"/>
        <v>0</v>
      </c>
      <c r="I28" s="8">
        <f t="shared" si="1"/>
        <v>0</v>
      </c>
      <c r="J28" s="8">
        <f t="shared" si="2"/>
        <v>0</v>
      </c>
      <c r="K28" s="8">
        <f t="shared" si="3"/>
        <v>0</v>
      </c>
      <c r="L28" s="8">
        <f t="shared" si="12"/>
        <v>0</v>
      </c>
      <c r="M28" s="8">
        <f t="shared" si="13"/>
        <v>0</v>
      </c>
      <c r="N28" s="8"/>
      <c r="O28" s="8">
        <f t="shared" si="4"/>
        <v>0</v>
      </c>
      <c r="P28" s="8">
        <f t="shared" si="5"/>
        <v>0</v>
      </c>
      <c r="Q28" s="8">
        <f t="shared" si="6"/>
        <v>0</v>
      </c>
      <c r="R28" s="8">
        <f t="shared" si="7"/>
        <v>0</v>
      </c>
      <c r="S28" s="8">
        <f t="shared" si="14"/>
        <v>0</v>
      </c>
      <c r="T28" s="8">
        <f t="shared" si="8"/>
        <v>0</v>
      </c>
      <c r="U28" s="8">
        <f t="shared" si="9"/>
        <v>0</v>
      </c>
      <c r="V28" s="8">
        <f t="shared" si="10"/>
        <v>0</v>
      </c>
      <c r="W28" s="8">
        <f t="shared" si="10"/>
        <v>0</v>
      </c>
      <c r="X28" s="8"/>
      <c r="Y28" s="37">
        <f t="shared" si="19"/>
        <v>0</v>
      </c>
      <c r="Z28" s="38">
        <f t="shared" si="11"/>
        <v>0</v>
      </c>
    </row>
    <row r="29" spans="2:26" x14ac:dyDescent="0.25">
      <c r="B29" s="1">
        <v>168</v>
      </c>
      <c r="C29" t="s">
        <v>40</v>
      </c>
      <c r="D29" s="2"/>
      <c r="G29" s="2">
        <v>6230.78</v>
      </c>
      <c r="H29" s="2">
        <f t="shared" si="18"/>
        <v>3.9028960749422595E-2</v>
      </c>
      <c r="I29" s="8">
        <f>H29*$I$3</f>
        <v>350.5952029640257</v>
      </c>
      <c r="J29" s="8">
        <f>H29*$J$3</f>
        <v>81.99282132160198</v>
      </c>
      <c r="K29" s="8">
        <f>H29*$K$3</f>
        <v>202.02521923762868</v>
      </c>
      <c r="L29" s="8">
        <f>H29*$L$3</f>
        <v>25.502303532887709</v>
      </c>
      <c r="M29" s="8">
        <f>H29*$M$3</f>
        <v>57.104833630910178</v>
      </c>
      <c r="N29" s="8"/>
      <c r="O29" s="8">
        <f>H29*$O$3</f>
        <v>47.495122915187345</v>
      </c>
      <c r="P29" s="8">
        <f>H29*$P$3</f>
        <v>57.314419150134576</v>
      </c>
      <c r="Q29" s="8">
        <f>H29*$Q$3</f>
        <v>213.17618361334621</v>
      </c>
      <c r="R29" s="8">
        <f>H29*$R$3</f>
        <v>31.971353777104504</v>
      </c>
      <c r="S29" s="8">
        <f>H29*$S$3</f>
        <v>47.319492591814942</v>
      </c>
      <c r="T29" s="8">
        <f>H29*$T$3</f>
        <v>34.345485459491883</v>
      </c>
      <c r="U29" s="8">
        <f>H29*$U$3</f>
        <v>37.19459959419973</v>
      </c>
      <c r="V29" s="8">
        <f>G29*$W$3</f>
        <v>37384680</v>
      </c>
      <c r="W29" s="8">
        <f>H29*$W$3</f>
        <v>234.17376449653557</v>
      </c>
      <c r="X29" s="8"/>
      <c r="Y29" s="37">
        <f t="shared" si="19"/>
        <v>2.2184478121543897E-2</v>
      </c>
      <c r="Z29" s="38">
        <f>Y29*$Z$3</f>
        <v>155.77940536948125</v>
      </c>
    </row>
    <row r="30" spans="2:26" x14ac:dyDescent="0.25">
      <c r="B30" s="1">
        <v>169</v>
      </c>
      <c r="C30" t="s">
        <v>47</v>
      </c>
      <c r="D30" s="2"/>
      <c r="G30" s="2">
        <v>0</v>
      </c>
      <c r="H30" s="2">
        <f t="shared" si="18"/>
        <v>0</v>
      </c>
      <c r="I30" s="8">
        <f t="shared" si="1"/>
        <v>0</v>
      </c>
      <c r="J30" s="8">
        <f t="shared" si="2"/>
        <v>0</v>
      </c>
      <c r="K30" s="8">
        <f t="shared" si="3"/>
        <v>0</v>
      </c>
      <c r="L30" s="8">
        <f t="shared" si="12"/>
        <v>0</v>
      </c>
      <c r="M30" s="8">
        <f t="shared" si="13"/>
        <v>0</v>
      </c>
      <c r="N30" s="8"/>
      <c r="O30" s="8">
        <f t="shared" si="4"/>
        <v>0</v>
      </c>
      <c r="P30" s="8">
        <f t="shared" si="5"/>
        <v>0</v>
      </c>
      <c r="Q30" s="8">
        <f t="shared" si="6"/>
        <v>0</v>
      </c>
      <c r="R30" s="8">
        <f t="shared" si="7"/>
        <v>0</v>
      </c>
      <c r="S30" s="8">
        <f t="shared" si="14"/>
        <v>0</v>
      </c>
      <c r="T30" s="8">
        <f t="shared" si="8"/>
        <v>0</v>
      </c>
      <c r="U30" s="8">
        <f t="shared" si="9"/>
        <v>0</v>
      </c>
      <c r="V30" s="8">
        <f t="shared" si="10"/>
        <v>0</v>
      </c>
      <c r="W30" s="8">
        <f t="shared" si="10"/>
        <v>0</v>
      </c>
      <c r="X30" s="8"/>
      <c r="Y30" s="37">
        <f t="shared" si="19"/>
        <v>0</v>
      </c>
      <c r="Z30" s="38">
        <f t="shared" si="11"/>
        <v>0</v>
      </c>
    </row>
    <row r="31" spans="2:26" x14ac:dyDescent="0.25">
      <c r="B31" s="1">
        <v>610</v>
      </c>
      <c r="C31" t="s">
        <v>53</v>
      </c>
      <c r="D31" s="2"/>
      <c r="G31" s="2">
        <v>8515.39</v>
      </c>
      <c r="H31" s="2">
        <f t="shared" si="18"/>
        <v>5.3339521227843974E-2</v>
      </c>
      <c r="I31" s="8">
        <f t="shared" si="1"/>
        <v>479.14625221366106</v>
      </c>
      <c r="J31" s="8">
        <f t="shared" si="2"/>
        <v>112.05673298587918</v>
      </c>
      <c r="K31" s="8">
        <f t="shared" si="3"/>
        <v>276.10083033647646</v>
      </c>
      <c r="L31" s="8">
        <f t="shared" si="12"/>
        <v>34.853109960697807</v>
      </c>
      <c r="M31" s="8">
        <f t="shared" si="13"/>
        <v>78.043187089307636</v>
      </c>
      <c r="N31" s="8"/>
      <c r="O31" s="8">
        <f t="shared" si="4"/>
        <v>64.909930172587892</v>
      </c>
      <c r="P31" s="8">
        <f t="shared" si="5"/>
        <v>78.329620318301153</v>
      </c>
      <c r="Q31" s="8">
        <f t="shared" si="6"/>
        <v>291.34046494648379</v>
      </c>
      <c r="R31" s="8">
        <f t="shared" si="7"/>
        <v>43.694135604212946</v>
      </c>
      <c r="S31" s="8">
        <f t="shared" si="14"/>
        <v>64.669902327062601</v>
      </c>
      <c r="T31" s="8">
        <f t="shared" si="8"/>
        <v>46.938778680502693</v>
      </c>
      <c r="U31" s="8">
        <f t="shared" si="9"/>
        <v>50.832563730135305</v>
      </c>
      <c r="V31" s="8">
        <f t="shared" si="10"/>
        <v>51092340</v>
      </c>
      <c r="W31" s="8">
        <f t="shared" si="10"/>
        <v>320.03712736706382</v>
      </c>
      <c r="X31" s="8"/>
      <c r="Y31" s="37">
        <f t="shared" si="19"/>
        <v>3.0318753535097321E-2</v>
      </c>
      <c r="Z31" s="38">
        <f t="shared" si="11"/>
        <v>212.89828732345339</v>
      </c>
    </row>
    <row r="32" spans="2:26" x14ac:dyDescent="0.25">
      <c r="B32" s="1">
        <v>620</v>
      </c>
      <c r="C32" t="s">
        <v>54</v>
      </c>
      <c r="D32" s="2"/>
      <c r="G32" s="2">
        <v>7172.93</v>
      </c>
      <c r="H32" s="2">
        <f t="shared" si="18"/>
        <v>4.4930490793826112E-2</v>
      </c>
      <c r="I32" s="8">
        <f t="shared" si="1"/>
        <v>403.6083522764003</v>
      </c>
      <c r="J32" s="8">
        <f t="shared" si="2"/>
        <v>94.390873669485785</v>
      </c>
      <c r="K32" s="8">
        <f t="shared" si="3"/>
        <v>232.57325019117417</v>
      </c>
      <c r="L32" s="8">
        <f t="shared" si="12"/>
        <v>29.358481294501857</v>
      </c>
      <c r="M32" s="8">
        <f t="shared" si="13"/>
        <v>65.73959830007874</v>
      </c>
      <c r="N32" s="8"/>
      <c r="O32" s="8">
        <f t="shared" si="4"/>
        <v>54.676812856822878</v>
      </c>
      <c r="P32" s="8">
        <f t="shared" si="5"/>
        <v>65.980875035641589</v>
      </c>
      <c r="Q32" s="8">
        <f t="shared" si="6"/>
        <v>245.41034071587822</v>
      </c>
      <c r="R32" s="8">
        <f t="shared" si="7"/>
        <v>36.805710143578537</v>
      </c>
      <c r="S32" s="8">
        <f t="shared" si="14"/>
        <v>54.474625648250658</v>
      </c>
      <c r="T32" s="8">
        <f t="shared" si="8"/>
        <v>39.538831898566976</v>
      </c>
      <c r="U32" s="8">
        <f t="shared" si="9"/>
        <v>42.818757726516289</v>
      </c>
      <c r="V32" s="8">
        <f t="shared" si="10"/>
        <v>43037580</v>
      </c>
      <c r="W32" s="8">
        <f t="shared" si="10"/>
        <v>269.58294476295669</v>
      </c>
      <c r="X32" s="8"/>
      <c r="Y32" s="37">
        <f t="shared" si="19"/>
        <v>2.5538970827467169E-2</v>
      </c>
      <c r="Z32" s="38">
        <f t="shared" si="11"/>
        <v>179.33465315047445</v>
      </c>
    </row>
    <row r="33" spans="2:30" x14ac:dyDescent="0.25">
      <c r="B33" s="1">
        <v>630</v>
      </c>
      <c r="C33" t="s">
        <v>55</v>
      </c>
      <c r="D33" s="2"/>
      <c r="G33" s="2">
        <v>1576.93</v>
      </c>
      <c r="H33" s="2">
        <f t="shared" si="18"/>
        <v>9.8777262356538002E-3</v>
      </c>
      <c r="I33" s="8">
        <f t="shared" si="1"/>
        <v>88.731120888566309</v>
      </c>
      <c r="J33" s="8">
        <f t="shared" si="2"/>
        <v>20.751324830386217</v>
      </c>
      <c r="K33" s="8">
        <f t="shared" si="3"/>
        <v>51.129975536352411</v>
      </c>
      <c r="L33" s="8">
        <f t="shared" si="12"/>
        <v>6.454303876900906</v>
      </c>
      <c r="M33" s="8">
        <f t="shared" si="13"/>
        <v>14.452496364434502</v>
      </c>
      <c r="N33" s="8"/>
      <c r="O33" s="8">
        <f t="shared" si="4"/>
        <v>12.020402610691823</v>
      </c>
      <c r="P33" s="8">
        <f t="shared" si="5"/>
        <v>14.505539754319962</v>
      </c>
      <c r="Q33" s="8">
        <f t="shared" si="6"/>
        <v>53.952140699141054</v>
      </c>
      <c r="R33" s="8">
        <f t="shared" si="7"/>
        <v>8.0915370004605229</v>
      </c>
      <c r="S33" s="8">
        <f t="shared" si="14"/>
        <v>11.975952842631381</v>
      </c>
      <c r="T33" s="8">
        <f t="shared" si="8"/>
        <v>8.6923990873753443</v>
      </c>
      <c r="U33" s="8">
        <f t="shared" si="9"/>
        <v>9.413473102578072</v>
      </c>
      <c r="V33" s="8">
        <f t="shared" si="10"/>
        <v>9461580</v>
      </c>
      <c r="W33" s="8">
        <f t="shared" si="10"/>
        <v>59.266357413922798</v>
      </c>
      <c r="X33" s="8"/>
      <c r="Y33" s="37">
        <f t="shared" si="19"/>
        <v>5.6146050870366504E-3</v>
      </c>
      <c r="Z33" s="38">
        <f t="shared" si="11"/>
        <v>39.425756921171356</v>
      </c>
    </row>
    <row r="34" spans="2:30" x14ac:dyDescent="0.25">
      <c r="B34" s="1">
        <v>640</v>
      </c>
      <c r="C34" t="s">
        <v>89</v>
      </c>
      <c r="D34" s="2"/>
      <c r="G34" s="2">
        <v>6153.84</v>
      </c>
      <c r="H34" s="2">
        <f t="shared" si="18"/>
        <v>3.8547016556230003E-2</v>
      </c>
      <c r="I34" s="8">
        <f t="shared" si="1"/>
        <v>346.26592237378634</v>
      </c>
      <c r="J34" s="8">
        <f t="shared" si="2"/>
        <v>80.98034332165912</v>
      </c>
      <c r="K34" s="8">
        <f t="shared" si="3"/>
        <v>199.53053632984779</v>
      </c>
      <c r="L34" s="8">
        <f t="shared" si="12"/>
        <v>25.187391558171807</v>
      </c>
      <c r="M34" s="8">
        <f t="shared" si="13"/>
        <v>56.39968180408237</v>
      </c>
      <c r="N34" s="8"/>
      <c r="O34" s="8">
        <f t="shared" si="4"/>
        <v>46.908635387607418</v>
      </c>
      <c r="P34" s="8">
        <f t="shared" si="5"/>
        <v>56.606679282989319</v>
      </c>
      <c r="Q34" s="8">
        <f t="shared" si="6"/>
        <v>210.54380443012829</v>
      </c>
      <c r="R34" s="8">
        <f t="shared" si="7"/>
        <v>31.57655955236693</v>
      </c>
      <c r="S34" s="8">
        <f t="shared" si="14"/>
        <v>46.735173813104382</v>
      </c>
      <c r="T34" s="8">
        <f t="shared" si="8"/>
        <v>33.921374569482403</v>
      </c>
      <c r="U34" s="8">
        <f t="shared" si="9"/>
        <v>36.735306778087192</v>
      </c>
      <c r="V34" s="8">
        <f t="shared" si="10"/>
        <v>36923040</v>
      </c>
      <c r="W34" s="8">
        <f t="shared" si="10"/>
        <v>231.28209933738</v>
      </c>
      <c r="X34" s="8"/>
      <c r="Y34" s="37">
        <f t="shared" si="19"/>
        <v>2.1910535894941196E-2</v>
      </c>
      <c r="Z34" s="38">
        <f t="shared" si="11"/>
        <v>153.85578305427708</v>
      </c>
    </row>
    <row r="35" spans="2:30" x14ac:dyDescent="0.25">
      <c r="B35" s="1">
        <v>650</v>
      </c>
      <c r="C35" t="s">
        <v>56</v>
      </c>
      <c r="D35" s="2"/>
      <c r="G35" s="53">
        <v>4205.5600000000004</v>
      </c>
      <c r="H35" s="2">
        <f t="shared" si="18"/>
        <v>2.6343192372277904E-2</v>
      </c>
      <c r="I35" s="8">
        <f t="shared" si="1"/>
        <v>236.63957992055381</v>
      </c>
      <c r="J35" s="8">
        <f t="shared" si="2"/>
        <v>55.342305399528868</v>
      </c>
      <c r="K35" s="8">
        <f t="shared" si="3"/>
        <v>136.36000324469839</v>
      </c>
      <c r="L35" s="8">
        <f t="shared" si="12"/>
        <v>17.213168759893826</v>
      </c>
      <c r="M35" s="8">
        <f t="shared" si="13"/>
        <v>38.543778487574698</v>
      </c>
      <c r="N35" s="8"/>
      <c r="O35" s="8">
        <f t="shared" si="4"/>
        <v>32.057557661672426</v>
      </c>
      <c r="P35" s="8">
        <f t="shared" si="5"/>
        <v>38.685241430613829</v>
      </c>
      <c r="Q35" s="8">
        <f t="shared" si="6"/>
        <v>143.88651673738192</v>
      </c>
      <c r="R35" s="8">
        <f t="shared" si="7"/>
        <v>21.579552895598891</v>
      </c>
      <c r="S35" s="8">
        <f t="shared" si="14"/>
        <v>31.939013295997178</v>
      </c>
      <c r="T35" s="8">
        <f t="shared" si="8"/>
        <v>23.182009287604554</v>
      </c>
      <c r="U35" s="8">
        <f t="shared" si="9"/>
        <v>25.105062330780843</v>
      </c>
      <c r="V35" s="8">
        <f t="shared" si="10"/>
        <v>25233360.000000004</v>
      </c>
      <c r="W35" s="8">
        <f t="shared" si="10"/>
        <v>158.05915423366741</v>
      </c>
      <c r="X35" s="8"/>
      <c r="Y35" s="37">
        <f t="shared" si="19"/>
        <v>1.4973751891230338E-2</v>
      </c>
      <c r="Z35" s="38">
        <f t="shared" si="11"/>
        <v>105.14568578021944</v>
      </c>
    </row>
    <row r="36" spans="2:30" x14ac:dyDescent="0.25">
      <c r="B36" s="1">
        <v>660</v>
      </c>
      <c r="C36" t="s">
        <v>93</v>
      </c>
      <c r="D36" s="2"/>
      <c r="G36" s="2">
        <v>1634.5</v>
      </c>
      <c r="H36" s="2">
        <f t="shared" si="18"/>
        <v>1.023833875452692E-2</v>
      </c>
      <c r="I36" s="8">
        <f t="shared" si="1"/>
        <v>91.970485114977606</v>
      </c>
      <c r="J36" s="8">
        <f t="shared" si="2"/>
        <v>21.508906822285244</v>
      </c>
      <c r="K36" s="8">
        <f t="shared" si="3"/>
        <v>52.996610511670148</v>
      </c>
      <c r="L36" s="8">
        <f t="shared" si="12"/>
        <v>6.6899353089829798</v>
      </c>
      <c r="M36" s="8">
        <f t="shared" si="13"/>
        <v>14.980122965298518</v>
      </c>
      <c r="N36" s="8"/>
      <c r="O36" s="8">
        <f t="shared" si="4"/>
        <v>12.459239197158899</v>
      </c>
      <c r="P36" s="8">
        <f t="shared" si="5"/>
        <v>15.035102844410327</v>
      </c>
      <c r="Q36" s="8">
        <f t="shared" si="6"/>
        <v>55.921806277226032</v>
      </c>
      <c r="R36" s="8">
        <f t="shared" si="7"/>
        <v>8.3869399575458168</v>
      </c>
      <c r="S36" s="8">
        <f t="shared" si="14"/>
        <v>12.413166672763529</v>
      </c>
      <c r="T36" s="8">
        <f t="shared" si="8"/>
        <v>9.0097381039836897</v>
      </c>
      <c r="U36" s="8">
        <f t="shared" si="9"/>
        <v>9.7571368330641537</v>
      </c>
      <c r="V36" s="8">
        <f t="shared" si="10"/>
        <v>9807000</v>
      </c>
      <c r="W36" s="8">
        <f t="shared" si="10"/>
        <v>61.430032527161515</v>
      </c>
      <c r="X36" s="8"/>
      <c r="Y36" s="37">
        <f t="shared" si="19"/>
        <v>5.8195810941268191E-3</v>
      </c>
      <c r="Z36" s="38">
        <f t="shared" si="11"/>
        <v>40.865098442958526</v>
      </c>
    </row>
    <row r="37" spans="2:30" x14ac:dyDescent="0.25">
      <c r="D37" s="2"/>
      <c r="G37" s="2">
        <v>-0.02</v>
      </c>
      <c r="H37" s="2">
        <f t="shared" si="18"/>
        <v>-1.2527792908567659E-7</v>
      </c>
      <c r="I37" s="8">
        <f t="shared" si="1"/>
        <v>-1.1253653730801786E-3</v>
      </c>
      <c r="J37" s="8">
        <f t="shared" si="2"/>
        <v>-2.6318637898177109E-4</v>
      </c>
      <c r="K37" s="8">
        <f t="shared" si="3"/>
        <v>-6.4847489154689687E-4</v>
      </c>
      <c r="L37" s="8">
        <f t="shared" si="12"/>
        <v>-8.1859104423162788E-5</v>
      </c>
      <c r="M37" s="8">
        <f t="shared" si="13"/>
        <v>-1.8329914916241684E-4</v>
      </c>
      <c r="N37" s="8"/>
      <c r="O37" s="8">
        <f t="shared" si="4"/>
        <v>-1.5245321746294157E-4</v>
      </c>
      <c r="P37" s="8">
        <f t="shared" si="5"/>
        <v>-1.8397189164160693E-4</v>
      </c>
      <c r="Q37" s="8">
        <f t="shared" si="6"/>
        <v>-6.8426804866596549E-4</v>
      </c>
      <c r="R37" s="8">
        <f t="shared" si="7"/>
        <v>-1.0262392116911368E-4</v>
      </c>
      <c r="S37" s="8">
        <f t="shared" si="14"/>
        <v>-1.5188946678205601E-4</v>
      </c>
      <c r="T37" s="8">
        <f t="shared" si="8"/>
        <v>-1.1024457759539539E-4</v>
      </c>
      <c r="U37" s="8">
        <f t="shared" si="9"/>
        <v>-1.1938986641864979E-4</v>
      </c>
      <c r="V37" s="8">
        <f t="shared" si="10"/>
        <v>-120</v>
      </c>
      <c r="W37" s="8">
        <f t="shared" si="10"/>
        <v>-7.5166757451405951E-4</v>
      </c>
      <c r="X37" s="8"/>
      <c r="Y37" s="37">
        <f t="shared" si="19"/>
        <v>-7.1209312867871764E-8</v>
      </c>
      <c r="Z37" s="38">
        <f t="shared" si="11"/>
        <v>-5.0003179495819547E-4</v>
      </c>
    </row>
    <row r="38" spans="2:30" x14ac:dyDescent="0.25">
      <c r="F38" s="8">
        <f>SUM(G6:G37)</f>
        <v>159645.03999999998</v>
      </c>
      <c r="I38" s="8">
        <f t="shared" si="1"/>
        <v>0</v>
      </c>
      <c r="J38" s="8">
        <f t="shared" si="2"/>
        <v>0</v>
      </c>
      <c r="K38" s="8">
        <f t="shared" si="3"/>
        <v>0</v>
      </c>
      <c r="L38" s="8">
        <f t="shared" si="12"/>
        <v>0</v>
      </c>
      <c r="M38" s="8">
        <f t="shared" si="13"/>
        <v>0</v>
      </c>
      <c r="N38" s="8"/>
      <c r="O38" s="8">
        <f t="shared" si="4"/>
        <v>0</v>
      </c>
      <c r="P38" s="8">
        <f t="shared" si="5"/>
        <v>0</v>
      </c>
      <c r="Q38" s="8">
        <f t="shared" si="6"/>
        <v>0</v>
      </c>
      <c r="R38" s="8">
        <f>H38*$R$3</f>
        <v>0</v>
      </c>
      <c r="S38" s="8">
        <f t="shared" si="14"/>
        <v>0</v>
      </c>
      <c r="T38" s="8">
        <f t="shared" si="8"/>
        <v>0</v>
      </c>
      <c r="U38" s="8">
        <f t="shared" si="9"/>
        <v>0</v>
      </c>
      <c r="V38" s="8">
        <f t="shared" si="10"/>
        <v>0</v>
      </c>
      <c r="W38" s="8">
        <f t="shared" si="10"/>
        <v>0</v>
      </c>
      <c r="X38" s="8"/>
      <c r="Y38" s="37">
        <f t="shared" si="19"/>
        <v>0</v>
      </c>
      <c r="Z38" s="38">
        <f t="shared" si="11"/>
        <v>0</v>
      </c>
    </row>
    <row r="39" spans="2:30" x14ac:dyDescent="0.25">
      <c r="B39" s="45"/>
      <c r="C39" s="32" t="s">
        <v>60</v>
      </c>
      <c r="D39" s="32"/>
      <c r="E39" s="32"/>
      <c r="F39" s="32"/>
      <c r="G39" s="31">
        <f>G49</f>
        <v>121217.1</v>
      </c>
      <c r="H39" s="46"/>
      <c r="I39" s="29"/>
      <c r="J39" s="29"/>
      <c r="K39" s="29"/>
      <c r="L39" s="29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47">
        <f t="shared" si="19"/>
        <v>0.43158931994180488</v>
      </c>
      <c r="Z39" s="48">
        <f t="shared" si="11"/>
        <v>3030.6202046313538</v>
      </c>
    </row>
    <row r="40" spans="2:30" ht="15.75" thickBot="1" x14ac:dyDescent="0.3">
      <c r="G40" s="34">
        <f>F38+G39</f>
        <v>280862.14</v>
      </c>
      <c r="H40" s="54">
        <f t="shared" ref="H40:W40" si="20">SUM(H6:H38)</f>
        <v>1</v>
      </c>
      <c r="I40" s="54">
        <f t="shared" si="20"/>
        <v>10326.109584463129</v>
      </c>
      <c r="J40" s="54">
        <f t="shared" si="20"/>
        <v>2414.9413652788721</v>
      </c>
      <c r="K40" s="54">
        <f t="shared" si="20"/>
        <v>5950.26553425775</v>
      </c>
      <c r="L40" s="54">
        <f t="shared" si="20"/>
        <v>751.12146062038653</v>
      </c>
      <c r="M40" s="54">
        <f t="shared" si="20"/>
        <v>1681.913400098118</v>
      </c>
      <c r="N40" s="54">
        <f t="shared" si="20"/>
        <v>0</v>
      </c>
      <c r="O40" s="54">
        <f t="shared" si="20"/>
        <v>1398.8777935449798</v>
      </c>
      <c r="P40" s="54">
        <f t="shared" si="20"/>
        <v>1688.086339774791</v>
      </c>
      <c r="Q40" s="54">
        <f t="shared" si="20"/>
        <v>6278.6958126603877</v>
      </c>
      <c r="R40" s="54">
        <f t="shared" si="20"/>
        <v>941.65493388081472</v>
      </c>
      <c r="S40" s="54">
        <f t="shared" si="20"/>
        <v>1393.704939067321</v>
      </c>
      <c r="T40" s="54">
        <f t="shared" si="20"/>
        <v>1011.5804311865875</v>
      </c>
      <c r="U40" s="54">
        <f t="shared" si="20"/>
        <v>1095.4956260463841</v>
      </c>
      <c r="V40" s="54">
        <f t="shared" ref="V40" si="21">SUM(V6:V38)</f>
        <v>1101094080</v>
      </c>
      <c r="W40" s="54">
        <f t="shared" si="20"/>
        <v>6897.1393035449146</v>
      </c>
      <c r="X40" s="14"/>
      <c r="Y40" s="54">
        <f>SUM(Y6:Y39)</f>
        <v>1.0849905936058166</v>
      </c>
      <c r="Z40" s="54">
        <f>SUM(Z6:Z39)</f>
        <v>7618.8039483000439</v>
      </c>
      <c r="AA40" s="8"/>
    </row>
    <row r="41" spans="2:30" ht="16.5" thickTop="1" thickBot="1" x14ac:dyDescent="0.3">
      <c r="G41" s="22" t="s">
        <v>61</v>
      </c>
      <c r="H41" s="41" t="s">
        <v>62</v>
      </c>
    </row>
    <row r="42" spans="2:30" x14ac:dyDescent="0.25">
      <c r="C42" s="17">
        <v>43827</v>
      </c>
      <c r="D42" s="23"/>
      <c r="E42" s="23"/>
      <c r="F42" s="23"/>
      <c r="G42" s="18"/>
      <c r="H42" s="42"/>
      <c r="I42" s="2">
        <v>5090.99</v>
      </c>
      <c r="J42" s="2">
        <v>1254.73</v>
      </c>
      <c r="K42" s="2">
        <v>1446.63</v>
      </c>
      <c r="L42" s="2">
        <v>278.48</v>
      </c>
      <c r="M42" s="2">
        <v>773.39</v>
      </c>
    </row>
    <row r="43" spans="2:30" x14ac:dyDescent="0.25">
      <c r="C43" s="19">
        <v>43813</v>
      </c>
      <c r="D43" s="24"/>
      <c r="E43" s="24"/>
      <c r="F43" s="24"/>
      <c r="H43" s="43"/>
      <c r="I43" s="2">
        <v>4747.8100000000004</v>
      </c>
      <c r="J43" s="2">
        <v>1110.3900000000001</v>
      </c>
      <c r="K43" s="2">
        <v>1244.43</v>
      </c>
      <c r="L43" s="2">
        <v>228.17</v>
      </c>
      <c r="M43" s="2">
        <v>690.08</v>
      </c>
    </row>
    <row r="44" spans="2:30" ht="15.75" thickBot="1" x14ac:dyDescent="0.3">
      <c r="C44" s="19"/>
      <c r="D44" s="24"/>
      <c r="E44" s="24"/>
      <c r="F44" s="24"/>
      <c r="H44" s="43"/>
      <c r="I44" s="2"/>
      <c r="J44" s="2"/>
      <c r="K44" s="2"/>
      <c r="L44" s="2"/>
      <c r="M44" s="2"/>
    </row>
    <row r="45" spans="2:30" ht="15.75" thickBot="1" x14ac:dyDescent="0.3">
      <c r="C45" s="20"/>
      <c r="D45" s="20"/>
      <c r="E45" s="20"/>
      <c r="F45" s="20"/>
      <c r="G45" s="21">
        <f>SUM(G42:G44)</f>
        <v>0</v>
      </c>
      <c r="H45" s="44"/>
      <c r="I45" s="27">
        <f>SUM(I42:I44)</f>
        <v>9838.7999999999993</v>
      </c>
      <c r="J45" s="28">
        <f t="shared" ref="J45:M45" si="22">SUM(J42:J44)</f>
        <v>2365.12</v>
      </c>
      <c r="K45" s="28">
        <f>SUM(K42:K44)</f>
        <v>2691.0600000000004</v>
      </c>
      <c r="L45" s="28">
        <f t="shared" ref="L45" si="23">SUM(L42:L44)</f>
        <v>506.65</v>
      </c>
      <c r="M45" s="25">
        <f t="shared" si="22"/>
        <v>1463.47</v>
      </c>
      <c r="P45" t="s">
        <v>100</v>
      </c>
      <c r="Q45" t="s">
        <v>101</v>
      </c>
      <c r="R45" t="s">
        <v>102</v>
      </c>
      <c r="S45" t="s">
        <v>103</v>
      </c>
      <c r="T45" t="s">
        <v>104</v>
      </c>
      <c r="U45" t="s">
        <v>105</v>
      </c>
    </row>
    <row r="46" spans="2:30" ht="15.75" thickBot="1" x14ac:dyDescent="0.3">
      <c r="G46" s="2">
        <f>G39</f>
        <v>121217.1</v>
      </c>
      <c r="P46" s="51">
        <v>5538.46</v>
      </c>
      <c r="Q46" s="51">
        <v>3000</v>
      </c>
      <c r="R46" s="51">
        <v>630.77</v>
      </c>
      <c r="S46" s="51">
        <v>2034</v>
      </c>
      <c r="T46" s="51">
        <v>3558.6</v>
      </c>
      <c r="U46" s="51"/>
      <c r="V46" s="51">
        <v>14761.83</v>
      </c>
      <c r="W46" s="51">
        <v>14761.83</v>
      </c>
      <c r="AD46">
        <v>114.44</v>
      </c>
    </row>
    <row r="47" spans="2:30" ht="15.75" thickBot="1" x14ac:dyDescent="0.3">
      <c r="G47" s="33">
        <f>SUM(G45:G46)</f>
        <v>121217.1</v>
      </c>
      <c r="P47" s="51"/>
      <c r="Q47" s="51"/>
      <c r="R47" s="51"/>
      <c r="S47" s="51"/>
      <c r="T47" s="51"/>
      <c r="U47" s="51">
        <v>2400</v>
      </c>
      <c r="V47" s="51">
        <v>2400</v>
      </c>
      <c r="W47" s="51">
        <v>2400</v>
      </c>
    </row>
    <row r="48" spans="2:30" x14ac:dyDescent="0.25">
      <c r="P48" s="51"/>
      <c r="Q48" s="51"/>
      <c r="R48" s="51"/>
      <c r="S48" s="51"/>
      <c r="T48" s="51"/>
      <c r="U48" s="51"/>
      <c r="V48" s="51">
        <v>17161.830000000002</v>
      </c>
      <c r="W48" s="51">
        <v>17161.830000000002</v>
      </c>
      <c r="AD48">
        <v>151.65</v>
      </c>
    </row>
    <row r="49" spans="7:23" x14ac:dyDescent="0.25">
      <c r="G49" s="2">
        <v>121217.1</v>
      </c>
    </row>
    <row r="51" spans="7:23" x14ac:dyDescent="0.25">
      <c r="P51" t="s">
        <v>106</v>
      </c>
      <c r="Q51" t="s">
        <v>107</v>
      </c>
      <c r="R51" t="s">
        <v>108</v>
      </c>
      <c r="S51" t="s">
        <v>109</v>
      </c>
      <c r="T51" t="s">
        <v>102</v>
      </c>
      <c r="U51" t="s">
        <v>104</v>
      </c>
    </row>
    <row r="52" spans="7:23" x14ac:dyDescent="0.25">
      <c r="P52" s="51">
        <v>2289.2600000000002</v>
      </c>
      <c r="Q52" s="51">
        <v>5538.46</v>
      </c>
      <c r="R52" s="51">
        <v>1869.23</v>
      </c>
      <c r="S52" s="51"/>
      <c r="T52" s="51"/>
      <c r="U52" s="51"/>
      <c r="V52" s="51">
        <v>9696.9500000000007</v>
      </c>
      <c r="W52" s="51">
        <v>9696.9500000000007</v>
      </c>
    </row>
    <row r="53" spans="7:23" x14ac:dyDescent="0.25">
      <c r="P53" s="51"/>
      <c r="Q53" s="51"/>
      <c r="R53" s="51"/>
      <c r="S53" s="51">
        <v>3076.92</v>
      </c>
      <c r="T53" s="51">
        <v>3153.85</v>
      </c>
      <c r="U53" s="51">
        <v>923.08</v>
      </c>
      <c r="V53" s="51">
        <v>7153.85</v>
      </c>
      <c r="W53" s="51">
        <v>7153.85</v>
      </c>
    </row>
    <row r="54" spans="7:23" x14ac:dyDescent="0.25">
      <c r="P54" s="51"/>
      <c r="Q54" s="51"/>
      <c r="R54" s="51"/>
      <c r="S54" s="51"/>
      <c r="T54" s="51"/>
      <c r="U54" s="51"/>
      <c r="V54" s="51">
        <v>16850.800000000003</v>
      </c>
      <c r="W54" s="51">
        <v>16850.800000000003</v>
      </c>
    </row>
  </sheetData>
  <pageMargins left="0" right="0" top="0.75" bottom="0.75" header="0.3" footer="0.3"/>
  <pageSetup paperSize="5" scale="65" orientation="landscape" r:id="rId1"/>
  <headerFooter>
    <oddFooter>&amp;L&amp;Z&amp;F &amp;D &amp;T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  <pageSetUpPr fitToPage="1"/>
  </sheetPr>
  <dimension ref="B1:AC54"/>
  <sheetViews>
    <sheetView zoomScale="85" zoomScaleNormal="85" workbookViewId="0">
      <selection activeCell="G26" sqref="G26"/>
    </sheetView>
  </sheetViews>
  <sheetFormatPr defaultRowHeight="15" x14ac:dyDescent="0.25"/>
  <cols>
    <col min="2" max="2" width="9.140625" style="1"/>
    <col min="3" max="3" width="17.28515625" customWidth="1"/>
    <col min="4" max="4" width="9" hidden="1" customWidth="1"/>
    <col min="5" max="5" width="8.140625" hidden="1" customWidth="1"/>
    <col min="6" max="6" width="12.7109375" hidden="1" customWidth="1"/>
    <col min="7" max="7" width="13.85546875" style="2" customWidth="1"/>
    <col min="8" max="8" width="12.140625" style="12" customWidth="1"/>
    <col min="9" max="9" width="11.28515625" customWidth="1"/>
    <col min="10" max="10" width="13.42578125" customWidth="1"/>
    <col min="11" max="11" width="13.28515625" customWidth="1"/>
    <col min="12" max="12" width="15.7109375" customWidth="1"/>
    <col min="13" max="13" width="11.7109375" customWidth="1"/>
    <col min="14" max="14" width="1" customWidth="1"/>
    <col min="15" max="15" width="13.140625" customWidth="1"/>
    <col min="16" max="16" width="15.140625" customWidth="1"/>
    <col min="17" max="17" width="17.42578125" customWidth="1"/>
    <col min="18" max="18" width="15.5703125" customWidth="1"/>
    <col min="19" max="19" width="15.28515625" customWidth="1"/>
    <col min="20" max="20" width="15.140625" customWidth="1"/>
    <col min="21" max="21" width="15.85546875" customWidth="1"/>
    <col min="22" max="22" width="15.5703125" customWidth="1"/>
    <col min="23" max="23" width="2.85546875" customWidth="1"/>
    <col min="24" max="24" width="8.5703125" customWidth="1"/>
    <col min="25" max="25" width="11.85546875" customWidth="1"/>
    <col min="26" max="26" width="12.7109375" customWidth="1"/>
  </cols>
  <sheetData>
    <row r="1" spans="2:27" ht="15.75" thickBot="1" x14ac:dyDescent="0.3">
      <c r="B1" s="2" t="s">
        <v>110</v>
      </c>
      <c r="I1">
        <v>7251</v>
      </c>
      <c r="J1">
        <v>7252</v>
      </c>
      <c r="K1">
        <v>7253</v>
      </c>
      <c r="L1">
        <v>7254</v>
      </c>
      <c r="M1">
        <v>7260</v>
      </c>
      <c r="O1">
        <v>7251</v>
      </c>
      <c r="P1">
        <v>7252</v>
      </c>
      <c r="Q1">
        <v>7253</v>
      </c>
      <c r="R1">
        <v>7260</v>
      </c>
      <c r="V1">
        <v>8222</v>
      </c>
      <c r="Y1">
        <v>7248</v>
      </c>
    </row>
    <row r="2" spans="2:27" ht="17.25" thickBot="1" x14ac:dyDescent="0.4">
      <c r="I2" s="49" t="s">
        <v>1</v>
      </c>
      <c r="J2" s="49" t="s">
        <v>2</v>
      </c>
      <c r="K2" s="49" t="s">
        <v>3</v>
      </c>
      <c r="L2" s="49" t="s">
        <v>4</v>
      </c>
      <c r="M2" s="49" t="s">
        <v>5</v>
      </c>
      <c r="N2" s="49"/>
      <c r="O2" s="50" t="s">
        <v>83</v>
      </c>
      <c r="P2" s="50" t="s">
        <v>12</v>
      </c>
      <c r="Q2" s="50" t="s">
        <v>7</v>
      </c>
      <c r="R2" s="50" t="s">
        <v>11</v>
      </c>
      <c r="S2" s="50" t="s">
        <v>9</v>
      </c>
      <c r="T2" s="50" t="s">
        <v>13</v>
      </c>
      <c r="U2" t="s">
        <v>6</v>
      </c>
      <c r="V2" t="s">
        <v>111</v>
      </c>
      <c r="W2" s="2"/>
      <c r="X2" s="35"/>
      <c r="Y2" s="36" t="s">
        <v>15</v>
      </c>
      <c r="Z2" s="2"/>
    </row>
    <row r="3" spans="2:27" x14ac:dyDescent="0.25">
      <c r="I3" s="67">
        <v>8266.0300000000007</v>
      </c>
      <c r="J3" s="77">
        <v>1933.18</v>
      </c>
      <c r="K3" s="67">
        <v>4679.3500000000004</v>
      </c>
      <c r="L3" s="77">
        <v>590.04999999999995</v>
      </c>
      <c r="M3" s="67">
        <v>1359.1</v>
      </c>
      <c r="N3" s="2"/>
      <c r="O3" s="76">
        <v>3972</v>
      </c>
      <c r="P3" s="76">
        <v>2289.21</v>
      </c>
      <c r="Q3" s="76">
        <v>6192</v>
      </c>
      <c r="R3" s="76">
        <v>1183.33</v>
      </c>
      <c r="S3" s="67">
        <v>1594.7</v>
      </c>
      <c r="T3" s="67">
        <v>1220</v>
      </c>
      <c r="U3" s="75">
        <v>1450</v>
      </c>
      <c r="V3" s="30">
        <v>6000</v>
      </c>
      <c r="W3" s="2"/>
      <c r="X3" s="37"/>
      <c r="Y3" s="38">
        <v>3472.02</v>
      </c>
      <c r="Z3" s="2"/>
    </row>
    <row r="4" spans="2:27" x14ac:dyDescent="0.25">
      <c r="I4" s="66"/>
      <c r="J4" s="66"/>
      <c r="K4" s="66"/>
      <c r="L4" s="66"/>
      <c r="M4" s="66"/>
      <c r="P4" s="66"/>
      <c r="Q4" s="66"/>
      <c r="R4" s="66"/>
      <c r="S4" s="66"/>
      <c r="T4" s="66"/>
      <c r="U4" s="66"/>
      <c r="X4" s="39"/>
      <c r="Y4" s="40">
        <v>0.04</v>
      </c>
    </row>
    <row r="5" spans="2:27" x14ac:dyDescent="0.25">
      <c r="D5">
        <v>7222</v>
      </c>
      <c r="E5" t="s">
        <v>16</v>
      </c>
      <c r="F5" t="s">
        <v>17</v>
      </c>
      <c r="I5" s="66"/>
      <c r="J5" s="66"/>
      <c r="K5" s="66"/>
      <c r="L5" s="66"/>
      <c r="M5" s="66"/>
      <c r="P5" s="66"/>
      <c r="Q5" s="66"/>
      <c r="R5" s="66"/>
      <c r="S5" s="66"/>
      <c r="T5" s="66"/>
      <c r="U5" s="66"/>
      <c r="X5" s="39"/>
      <c r="Y5" s="40"/>
    </row>
    <row r="6" spans="2:27" x14ac:dyDescent="0.25">
      <c r="B6" s="1">
        <v>111</v>
      </c>
      <c r="C6" t="s">
        <v>20</v>
      </c>
      <c r="D6" s="2"/>
      <c r="G6" s="88">
        <v>8320.92</v>
      </c>
      <c r="H6" s="2">
        <f>G6/$F$38</f>
        <v>5.7040168770875727E-2</v>
      </c>
      <c r="I6" s="85">
        <f t="shared" ref="I6:I37" si="0">H6*$I$3</f>
        <v>471.49574626512191</v>
      </c>
      <c r="J6" s="85">
        <f t="shared" ref="J6:J37" si="1">H6*$J$3</f>
        <v>110.26891346448154</v>
      </c>
      <c r="K6" s="85">
        <f t="shared" ref="K6:K37" si="2">H6*$K$3</f>
        <v>266.91091373799736</v>
      </c>
      <c r="L6" s="85">
        <f t="shared" ref="L6:L37" si="3">H6*$L$3</f>
        <v>33.656551583255222</v>
      </c>
      <c r="M6" s="85">
        <f t="shared" ref="M6:M37" si="4">H6*$M$3</f>
        <v>77.523293376497193</v>
      </c>
      <c r="N6" s="8"/>
      <c r="O6" s="8">
        <f t="shared" ref="O6:O37" si="5">H6*$O$3</f>
        <v>226.56355035791839</v>
      </c>
      <c r="P6" s="85">
        <f t="shared" ref="P6:P37" si="6">H6*$P$3</f>
        <v>130.57692475197643</v>
      </c>
      <c r="Q6" s="85">
        <f t="shared" ref="Q6:Q37" si="7">H6*$Q$3</f>
        <v>353.19272502926248</v>
      </c>
      <c r="R6" s="85">
        <f t="shared" ref="R6:R37" si="8">H6*$R$3</f>
        <v>67.497342911640374</v>
      </c>
      <c r="S6" s="85">
        <f>H6*$S$3</f>
        <v>90.961957138915523</v>
      </c>
      <c r="T6" s="85">
        <f t="shared" ref="T6:T37" si="9">H6*$T$3</f>
        <v>69.589005900468393</v>
      </c>
      <c r="U6" s="85">
        <f t="shared" ref="U6:U37" si="10">H6*$U$3</f>
        <v>82.708244717769801</v>
      </c>
      <c r="V6" s="86">
        <f t="shared" ref="V6:V37" si="11">H6*$V$3</f>
        <v>342.24101262525437</v>
      </c>
      <c r="W6" s="8"/>
      <c r="X6" s="37">
        <f>G6/$G$40</f>
        <v>2.8979583563455244E-2</v>
      </c>
      <c r="Y6" s="80">
        <f t="shared" ref="Y6:Y37" si="12">X6*$Y$3</f>
        <v>100.61769372398787</v>
      </c>
    </row>
    <row r="7" spans="2:27" x14ac:dyDescent="0.25">
      <c r="C7" t="s">
        <v>24</v>
      </c>
      <c r="D7" s="2"/>
      <c r="G7" s="2">
        <v>2269.1</v>
      </c>
      <c r="H7" s="2">
        <f>G7/$F$38</f>
        <v>1.5554751993528853E-2</v>
      </c>
      <c r="I7" s="68">
        <f>H7*$I$3</f>
        <v>128.57604662106931</v>
      </c>
      <c r="J7" s="68">
        <f>H7*$J$3</f>
        <v>30.07013545885011</v>
      </c>
      <c r="K7" s="68">
        <f>H7*$K$3</f>
        <v>72.786128740919239</v>
      </c>
      <c r="L7" s="68">
        <f>H7*$L$3</f>
        <v>9.1780814137816993</v>
      </c>
      <c r="M7" s="68">
        <f>H7*$M$3</f>
        <v>21.140463434405063</v>
      </c>
      <c r="N7" s="8"/>
      <c r="O7" s="8">
        <f>H7*$O$3</f>
        <v>61.783474918296605</v>
      </c>
      <c r="P7" s="68">
        <f>H7*$P$3</f>
        <v>35.608093811106187</v>
      </c>
      <c r="Q7" s="68">
        <f>H7*$Q$3</f>
        <v>96.315024343930659</v>
      </c>
      <c r="R7" s="68">
        <f>H7*$R$3</f>
        <v>18.406404676502497</v>
      </c>
      <c r="S7" s="68">
        <f>H7*$S$3</f>
        <v>24.805163004080462</v>
      </c>
      <c r="T7" s="68">
        <f>H7*$T$3</f>
        <v>18.976797432105201</v>
      </c>
      <c r="U7" s="68">
        <f>H7*$U$3</f>
        <v>22.554390390616838</v>
      </c>
      <c r="V7" s="8">
        <f>H7*$V$3</f>
        <v>93.32851196117312</v>
      </c>
      <c r="W7" s="8"/>
      <c r="X7" s="37">
        <f>G7/$G$40</f>
        <v>7.9026806006831322E-3</v>
      </c>
      <c r="Y7" s="80">
        <f>X7*$Y$3</f>
        <v>27.438265099183848</v>
      </c>
    </row>
    <row r="8" spans="2:27" x14ac:dyDescent="0.25">
      <c r="C8" t="s">
        <v>22</v>
      </c>
      <c r="D8" s="2"/>
      <c r="G8" s="2">
        <v>3076</v>
      </c>
      <c r="H8" s="2">
        <f>G8/$F$38</f>
        <v>2.1086076916881035E-2</v>
      </c>
      <c r="I8" s="68">
        <f t="shared" si="0"/>
        <v>174.29814437724616</v>
      </c>
      <c r="J8" s="68">
        <f t="shared" si="1"/>
        <v>40.76318217417608</v>
      </c>
      <c r="K8" s="68">
        <f t="shared" si="2"/>
        <v>98.669134021007281</v>
      </c>
      <c r="L8" s="68">
        <f t="shared" si="3"/>
        <v>12.441839684805654</v>
      </c>
      <c r="M8" s="68">
        <f t="shared" si="4"/>
        <v>28.658087137733013</v>
      </c>
      <c r="N8" s="8"/>
      <c r="O8" s="8">
        <f t="shared" si="5"/>
        <v>83.75389751385147</v>
      </c>
      <c r="P8" s="68">
        <f t="shared" si="6"/>
        <v>48.270458138893233</v>
      </c>
      <c r="Q8" s="68">
        <f t="shared" si="7"/>
        <v>130.56498826932736</v>
      </c>
      <c r="R8" s="68">
        <f t="shared" si="8"/>
        <v>24.951787398052833</v>
      </c>
      <c r="S8" s="68">
        <f t="shared" ref="S8:S38" si="13">H8*$S$3</f>
        <v>33.625966859350186</v>
      </c>
      <c r="T8" s="68">
        <f t="shared" si="9"/>
        <v>25.725013838594862</v>
      </c>
      <c r="U8" s="68">
        <f t="shared" si="10"/>
        <v>30.5748115294775</v>
      </c>
      <c r="V8" s="8">
        <f t="shared" si="11"/>
        <v>126.51646150128622</v>
      </c>
      <c r="W8" s="8"/>
      <c r="X8" s="37">
        <f>G8/$G$40</f>
        <v>1.0712901823498882E-2</v>
      </c>
      <c r="Y8" s="80">
        <f t="shared" si="12"/>
        <v>37.195409389224587</v>
      </c>
    </row>
    <row r="9" spans="2:27" x14ac:dyDescent="0.25">
      <c r="B9" s="1" t="s">
        <v>25</v>
      </c>
      <c r="C9" t="s">
        <v>26</v>
      </c>
      <c r="D9" s="2"/>
      <c r="G9" s="2">
        <v>324.16000000000003</v>
      </c>
      <c r="H9" s="2">
        <f>G9/$F$38</f>
        <v>2.222127013451286E-3</v>
      </c>
      <c r="I9" s="68">
        <f t="shared" si="0"/>
        <v>18.368168556998736</v>
      </c>
      <c r="J9" s="68">
        <f t="shared" si="1"/>
        <v>4.2957714998637577</v>
      </c>
      <c r="K9" s="68">
        <f t="shared" si="2"/>
        <v>10.398110040393275</v>
      </c>
      <c r="L9" s="68">
        <f t="shared" si="3"/>
        <v>1.3111660442869313</v>
      </c>
      <c r="M9" s="68">
        <f t="shared" si="4"/>
        <v>3.0200928239816425</v>
      </c>
      <c r="N9" s="8"/>
      <c r="O9" s="8">
        <f t="shared" si="5"/>
        <v>8.826288497428509</v>
      </c>
      <c r="P9" s="68">
        <f t="shared" si="6"/>
        <v>5.0869153804628189</v>
      </c>
      <c r="Q9" s="68">
        <f t="shared" si="7"/>
        <v>13.759410467290364</v>
      </c>
      <c r="R9" s="68">
        <f t="shared" si="8"/>
        <v>2.6295095588273103</v>
      </c>
      <c r="S9" s="68">
        <f t="shared" si="13"/>
        <v>3.5436259483507659</v>
      </c>
      <c r="T9" s="68">
        <f t="shared" si="9"/>
        <v>2.7109949564105689</v>
      </c>
      <c r="U9" s="68">
        <f t="shared" si="10"/>
        <v>3.2220841695043649</v>
      </c>
      <c r="V9" s="8">
        <f t="shared" si="11"/>
        <v>13.332762080707717</v>
      </c>
      <c r="W9" s="8"/>
      <c r="X9" s="37">
        <f>G9/$G$40</f>
        <v>1.1289643222059161E-3</v>
      </c>
      <c r="Y9" s="80">
        <f t="shared" si="12"/>
        <v>3.919786705985385</v>
      </c>
    </row>
    <row r="10" spans="2:27" x14ac:dyDescent="0.25">
      <c r="C10" t="s">
        <v>28</v>
      </c>
      <c r="D10" s="2"/>
      <c r="G10" s="31">
        <v>7422.73</v>
      </c>
      <c r="H10" s="2">
        <f>G10/$F$38</f>
        <v>5.0883048021209472E-2</v>
      </c>
      <c r="I10" s="68">
        <f>H10*$I$3</f>
        <v>420.60080143475818</v>
      </c>
      <c r="J10" s="68">
        <f>H10*$J$3</f>
        <v>98.36609077364173</v>
      </c>
      <c r="K10" s="68">
        <f>H10*$K$3</f>
        <v>238.09959075804656</v>
      </c>
      <c r="L10" s="68">
        <f>H10*$L$3</f>
        <v>30.023542484914646</v>
      </c>
      <c r="M10" s="68">
        <f>H10*$M$3</f>
        <v>69.155150565625789</v>
      </c>
      <c r="N10" s="8"/>
      <c r="O10" s="8">
        <f>H10*$O$3</f>
        <v>202.10746674024404</v>
      </c>
      <c r="P10" s="68">
        <f>H10*$P$3</f>
        <v>116.48198236063294</v>
      </c>
      <c r="Q10" s="68">
        <f>H10*$Q$3</f>
        <v>315.06783334732904</v>
      </c>
      <c r="R10" s="68">
        <f>H10*$R$3</f>
        <v>60.211437214937803</v>
      </c>
      <c r="S10" s="68">
        <f>H10*$S$3</f>
        <v>81.143196679422744</v>
      </c>
      <c r="T10" s="68">
        <f>H10*$T$3</f>
        <v>62.077318585875553</v>
      </c>
      <c r="U10" s="68">
        <f>H10*$U$3</f>
        <v>73.780419630753741</v>
      </c>
      <c r="V10" s="8">
        <f>H10*$V$3</f>
        <v>305.29828812725685</v>
      </c>
      <c r="W10" s="8"/>
      <c r="X10" s="37">
        <f>G10/$G$40</f>
        <v>2.5851423196469395E-2</v>
      </c>
      <c r="Y10" s="80">
        <f>X10*$Y$3</f>
        <v>89.756658366605663</v>
      </c>
    </row>
    <row r="11" spans="2:27" x14ac:dyDescent="0.25">
      <c r="D11" s="2"/>
      <c r="H11" s="2"/>
      <c r="I11" s="8"/>
      <c r="J11" s="8"/>
      <c r="K11" s="8"/>
      <c r="L11" s="8"/>
      <c r="M11" s="8"/>
      <c r="N11" s="8"/>
      <c r="O11" s="8"/>
      <c r="P11" s="68"/>
      <c r="Q11" s="68"/>
      <c r="R11" s="68"/>
      <c r="S11" s="68"/>
      <c r="T11" s="68"/>
      <c r="U11" s="68"/>
      <c r="V11" s="8"/>
      <c r="W11" s="8"/>
      <c r="X11" s="37"/>
      <c r="Y11" s="80"/>
    </row>
    <row r="12" spans="2:27" x14ac:dyDescent="0.25">
      <c r="B12" s="1">
        <v>112</v>
      </c>
      <c r="C12" t="s">
        <v>27</v>
      </c>
      <c r="D12" s="2"/>
      <c r="G12" s="2">
        <v>20405.16</v>
      </c>
      <c r="H12" s="2">
        <f>G12/$F$38</f>
        <v>0.13987801471432515</v>
      </c>
      <c r="I12" s="8">
        <f t="shared" si="0"/>
        <v>1156.2358659690533</v>
      </c>
      <c r="J12" s="8">
        <f t="shared" si="1"/>
        <v>270.4093804854391</v>
      </c>
      <c r="K12" s="8">
        <f t="shared" si="2"/>
        <v>654.53818815347745</v>
      </c>
      <c r="L12" s="8">
        <f t="shared" si="3"/>
        <v>82.535022582187551</v>
      </c>
      <c r="M12" s="8">
        <f t="shared" si="4"/>
        <v>190.1082097982393</v>
      </c>
      <c r="N12" s="8"/>
      <c r="O12" s="8">
        <f t="shared" si="5"/>
        <v>555.59547444529949</v>
      </c>
      <c r="P12" s="68">
        <f t="shared" si="6"/>
        <v>320.21015006418025</v>
      </c>
      <c r="Q12" s="68">
        <f t="shared" si="7"/>
        <v>866.1246671111013</v>
      </c>
      <c r="R12" s="68">
        <f t="shared" si="8"/>
        <v>165.52185115190238</v>
      </c>
      <c r="S12" s="68">
        <f t="shared" si="13"/>
        <v>223.06347006493434</v>
      </c>
      <c r="T12" s="68">
        <f t="shared" si="9"/>
        <v>170.65117795147668</v>
      </c>
      <c r="U12" s="68">
        <f t="shared" si="10"/>
        <v>202.82312133577148</v>
      </c>
      <c r="V12" s="8">
        <f t="shared" si="11"/>
        <v>839.26808828595085</v>
      </c>
      <c r="W12" s="8"/>
      <c r="X12" s="37">
        <f>G12/$G$40</f>
        <v>7.1065824373467645E-2</v>
      </c>
      <c r="Y12" s="38">
        <f t="shared" si="12"/>
        <v>246.74196354116714</v>
      </c>
    </row>
    <row r="13" spans="2:27" x14ac:dyDescent="0.25">
      <c r="B13" s="1">
        <v>122</v>
      </c>
      <c r="C13" t="s">
        <v>29</v>
      </c>
      <c r="D13" s="2"/>
      <c r="G13" s="2">
        <v>2914.07</v>
      </c>
      <c r="H13" s="2">
        <f>G13/$F$38</f>
        <v>1.9976041664881507E-2</v>
      </c>
      <c r="I13" s="8">
        <f t="shared" si="0"/>
        <v>165.12255968316049</v>
      </c>
      <c r="J13" s="8">
        <f t="shared" si="1"/>
        <v>38.617284225715636</v>
      </c>
      <c r="K13" s="8">
        <f t="shared" si="2"/>
        <v>93.474890564563296</v>
      </c>
      <c r="L13" s="8">
        <f t="shared" si="3"/>
        <v>11.786863384363333</v>
      </c>
      <c r="M13" s="8">
        <f t="shared" si="4"/>
        <v>27.149438226740454</v>
      </c>
      <c r="N13" s="8"/>
      <c r="O13" s="8">
        <f t="shared" si="5"/>
        <v>79.344837492909349</v>
      </c>
      <c r="P13" s="68">
        <f t="shared" si="6"/>
        <v>45.729354339663395</v>
      </c>
      <c r="Q13" s="8">
        <f t="shared" si="7"/>
        <v>123.6916499889463</v>
      </c>
      <c r="R13" s="68">
        <f t="shared" si="8"/>
        <v>23.638249383304231</v>
      </c>
      <c r="S13" s="68">
        <f t="shared" si="13"/>
        <v>31.855793642986541</v>
      </c>
      <c r="T13" s="68">
        <f t="shared" si="9"/>
        <v>24.37077083115544</v>
      </c>
      <c r="U13" s="68">
        <f t="shared" si="10"/>
        <v>28.965260414078188</v>
      </c>
      <c r="V13" s="8">
        <f t="shared" si="11"/>
        <v>119.85624998928904</v>
      </c>
      <c r="W13" s="8"/>
      <c r="X13" s="37">
        <f>G13/$G$40</f>
        <v>1.0148942073083027E-2</v>
      </c>
      <c r="Y13" s="38">
        <f t="shared" si="12"/>
        <v>35.237329856585731</v>
      </c>
    </row>
    <row r="14" spans="2:27" ht="15.75" thickBot="1" x14ac:dyDescent="0.3">
      <c r="B14" s="1">
        <v>123</v>
      </c>
      <c r="C14" t="s">
        <v>30</v>
      </c>
      <c r="D14" s="2"/>
      <c r="G14" s="55">
        <v>16699.05</v>
      </c>
      <c r="H14" s="56">
        <f>G14/$F$38</f>
        <v>0.114472513894292</v>
      </c>
      <c r="I14" s="57">
        <f t="shared" si="0"/>
        <v>946.2332340256346</v>
      </c>
      <c r="J14" s="57">
        <f t="shared" si="1"/>
        <v>221.29597441016742</v>
      </c>
      <c r="K14" s="57">
        <f t="shared" si="2"/>
        <v>535.65695789125527</v>
      </c>
      <c r="L14" s="57">
        <f t="shared" si="3"/>
        <v>67.544506823326984</v>
      </c>
      <c r="M14" s="57">
        <f t="shared" si="4"/>
        <v>155.57959363373226</v>
      </c>
      <c r="N14" s="57"/>
      <c r="O14" s="57">
        <f t="shared" si="5"/>
        <v>454.68482518812783</v>
      </c>
      <c r="P14" s="57">
        <f t="shared" si="6"/>
        <v>262.0516235319522</v>
      </c>
      <c r="Q14" s="57">
        <f t="shared" si="7"/>
        <v>708.8138060334561</v>
      </c>
      <c r="R14" s="57">
        <f t="shared" si="8"/>
        <v>135.45875986653255</v>
      </c>
      <c r="S14" s="57">
        <f t="shared" si="13"/>
        <v>182.54931790722745</v>
      </c>
      <c r="T14" s="57">
        <f t="shared" si="9"/>
        <v>139.65646695103624</v>
      </c>
      <c r="U14" s="57">
        <f t="shared" si="10"/>
        <v>165.9851451467234</v>
      </c>
      <c r="V14" s="57">
        <f t="shared" si="11"/>
        <v>686.83508336575198</v>
      </c>
      <c r="W14" s="57"/>
      <c r="X14" s="55">
        <f>G14/$G$40</f>
        <v>5.8158414562971071E-2</v>
      </c>
      <c r="Y14" s="58">
        <f t="shared" si="12"/>
        <v>201.92717853092682</v>
      </c>
    </row>
    <row r="15" spans="2:27" ht="15.75" thickBot="1" x14ac:dyDescent="0.3">
      <c r="B15" s="1">
        <v>166</v>
      </c>
      <c r="C15" t="s">
        <v>59</v>
      </c>
      <c r="D15" s="2"/>
      <c r="G15" s="16">
        <v>6957.85</v>
      </c>
      <c r="H15" s="2">
        <f>G15/$F$38</f>
        <v>4.7696280974031439E-2</v>
      </c>
      <c r="I15" s="65">
        <f t="shared" si="0"/>
        <v>394.25888941977314</v>
      </c>
      <c r="J15" s="65">
        <f t="shared" si="1"/>
        <v>92.205496453378103</v>
      </c>
      <c r="K15" s="8">
        <f t="shared" si="2"/>
        <v>223.18759237583404</v>
      </c>
      <c r="L15" s="8">
        <f t="shared" si="3"/>
        <v>28.143190588727247</v>
      </c>
      <c r="M15" s="8">
        <f t="shared" si="4"/>
        <v>64.824015471806121</v>
      </c>
      <c r="N15" s="8"/>
      <c r="O15" s="8">
        <f t="shared" si="5"/>
        <v>189.44962802885289</v>
      </c>
      <c r="P15" s="8">
        <f t="shared" si="6"/>
        <v>109.18680336856251</v>
      </c>
      <c r="Q15" s="8">
        <f t="shared" si="7"/>
        <v>295.33537179120265</v>
      </c>
      <c r="R15" s="8">
        <f t="shared" si="8"/>
        <v>56.440440165000616</v>
      </c>
      <c r="S15" s="8">
        <f t="shared" si="13"/>
        <v>76.061259269287945</v>
      </c>
      <c r="T15" s="8">
        <f t="shared" si="9"/>
        <v>58.189462788318359</v>
      </c>
      <c r="U15" s="8">
        <f t="shared" si="10"/>
        <v>69.159607412345594</v>
      </c>
      <c r="V15" s="8">
        <f t="shared" si="11"/>
        <v>286.17768584418866</v>
      </c>
      <c r="W15" s="8"/>
      <c r="X15" s="37">
        <f>G15/$G$40</f>
        <v>2.4232367995003806E-2</v>
      </c>
      <c r="Y15" s="38">
        <f t="shared" si="12"/>
        <v>84.13526632601311</v>
      </c>
    </row>
    <row r="16" spans="2:27" x14ac:dyDescent="0.25">
      <c r="B16" s="1">
        <v>134</v>
      </c>
      <c r="C16" t="s">
        <v>85</v>
      </c>
      <c r="D16" s="2"/>
      <c r="H16" s="2">
        <f>G16/$F$38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8">
        <f t="shared" si="3"/>
        <v>0</v>
      </c>
      <c r="M16" s="8">
        <f t="shared" si="4"/>
        <v>0</v>
      </c>
      <c r="N16" s="8"/>
      <c r="O16" s="8">
        <f t="shared" si="5"/>
        <v>0</v>
      </c>
      <c r="P16" s="8">
        <f t="shared" si="6"/>
        <v>0</v>
      </c>
      <c r="Q16" s="8">
        <f t="shared" si="7"/>
        <v>0</v>
      </c>
      <c r="R16" s="8">
        <f t="shared" si="8"/>
        <v>0</v>
      </c>
      <c r="S16" s="8">
        <f t="shared" si="13"/>
        <v>0</v>
      </c>
      <c r="T16" s="8">
        <f t="shared" si="9"/>
        <v>0</v>
      </c>
      <c r="U16" s="8">
        <f t="shared" si="10"/>
        <v>0</v>
      </c>
      <c r="V16" s="8">
        <f t="shared" si="11"/>
        <v>0</v>
      </c>
      <c r="W16" s="8"/>
      <c r="X16" s="37">
        <f>G16/$G$40</f>
        <v>0</v>
      </c>
      <c r="Y16" s="38">
        <f t="shared" si="12"/>
        <v>0</v>
      </c>
      <c r="AA16" t="s">
        <v>77</v>
      </c>
    </row>
    <row r="17" spans="2:25" ht="15.75" thickBot="1" x14ac:dyDescent="0.3">
      <c r="C17" t="s">
        <v>86</v>
      </c>
      <c r="D17" s="2"/>
      <c r="H17" s="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37"/>
      <c r="Y17" s="38"/>
    </row>
    <row r="18" spans="2:25" ht="15.75" thickBot="1" x14ac:dyDescent="0.3">
      <c r="C18" t="s">
        <v>36</v>
      </c>
      <c r="D18" s="2"/>
      <c r="E18" s="26">
        <v>7120</v>
      </c>
      <c r="F18" s="26">
        <v>7130</v>
      </c>
      <c r="G18" s="52">
        <v>7739.23</v>
      </c>
      <c r="H18" s="2">
        <f t="shared" ref="H18:H37" si="14">G18/$F$38</f>
        <v>5.3052665493313785E-2</v>
      </c>
      <c r="I18" s="8">
        <f t="shared" si="0"/>
        <v>438.53492454769656</v>
      </c>
      <c r="J18" s="8">
        <f t="shared" si="1"/>
        <v>102.56035187836434</v>
      </c>
      <c r="K18" s="8">
        <f t="shared" si="2"/>
        <v>248.25199027613789</v>
      </c>
      <c r="L18" s="8">
        <f t="shared" si="3"/>
        <v>31.303725274329796</v>
      </c>
      <c r="M18" s="8">
        <f t="shared" si="4"/>
        <v>72.103877671962763</v>
      </c>
      <c r="N18" s="8"/>
      <c r="O18" s="8">
        <f t="shared" si="5"/>
        <v>210.72518733944236</v>
      </c>
      <c r="P18" s="8">
        <f t="shared" si="6"/>
        <v>121.44869237394884</v>
      </c>
      <c r="Q18" s="8">
        <f t="shared" si="7"/>
        <v>328.50210473459896</v>
      </c>
      <c r="R18" s="8">
        <f t="shared" si="8"/>
        <v>62.778810658203</v>
      </c>
      <c r="S18" s="8">
        <f t="shared" si="13"/>
        <v>84.603085662187496</v>
      </c>
      <c r="T18" s="8">
        <f t="shared" si="9"/>
        <v>64.72425190184282</v>
      </c>
      <c r="U18" s="8">
        <f t="shared" si="10"/>
        <v>76.926364965304984</v>
      </c>
      <c r="V18" s="8">
        <f t="shared" si="11"/>
        <v>318.31599295988269</v>
      </c>
      <c r="W18" s="8"/>
      <c r="X18" s="37">
        <f t="shared" ref="X18:X39" si="15">G18/$G$40</f>
        <v>2.6953709746253985E-2</v>
      </c>
      <c r="Y18" s="38">
        <f t="shared" si="12"/>
        <v>93.583819313188755</v>
      </c>
    </row>
    <row r="19" spans="2:25" x14ac:dyDescent="0.25">
      <c r="C19" t="s">
        <v>73</v>
      </c>
      <c r="D19" s="2"/>
      <c r="G19" s="2">
        <v>1869.23</v>
      </c>
      <c r="H19" s="2">
        <f t="shared" si="14"/>
        <v>1.2813630544649393E-2</v>
      </c>
      <c r="I19" s="8">
        <f t="shared" si="0"/>
        <v>105.91785449098823</v>
      </c>
      <c r="J19" s="8">
        <f t="shared" si="1"/>
        <v>24.771054296305312</v>
      </c>
      <c r="K19" s="8">
        <f t="shared" si="2"/>
        <v>59.959462089105138</v>
      </c>
      <c r="L19" s="8">
        <f t="shared" si="3"/>
        <v>7.5606827028703734</v>
      </c>
      <c r="M19" s="8">
        <f t="shared" si="4"/>
        <v>17.415005273232989</v>
      </c>
      <c r="N19" s="8"/>
      <c r="O19" s="8">
        <f t="shared" si="5"/>
        <v>50.895740523347385</v>
      </c>
      <c r="P19" s="8">
        <f t="shared" si="6"/>
        <v>29.333091179116838</v>
      </c>
      <c r="Q19" s="8">
        <f t="shared" si="7"/>
        <v>79.342000332469041</v>
      </c>
      <c r="R19" s="8">
        <f t="shared" si="8"/>
        <v>15.162753432399965</v>
      </c>
      <c r="S19" s="8">
        <f t="shared" si="13"/>
        <v>20.433896629552386</v>
      </c>
      <c r="T19" s="8">
        <f t="shared" si="9"/>
        <v>15.632629264472259</v>
      </c>
      <c r="U19" s="8">
        <f t="shared" si="10"/>
        <v>18.579764289741618</v>
      </c>
      <c r="V19" s="8">
        <f t="shared" si="11"/>
        <v>76.881783267896353</v>
      </c>
      <c r="W19" s="8"/>
      <c r="X19" s="37">
        <f t="shared" si="15"/>
        <v>6.5100381910074183E-3</v>
      </c>
      <c r="Y19" s="38">
        <f t="shared" si="12"/>
        <v>22.602982799941575</v>
      </c>
    </row>
    <row r="20" spans="2:25" x14ac:dyDescent="0.25">
      <c r="C20" t="s">
        <v>38</v>
      </c>
      <c r="D20" s="2"/>
      <c r="G20" s="2">
        <v>5265.39</v>
      </c>
      <c r="H20" s="2">
        <f t="shared" si="14"/>
        <v>3.6094414348951963E-2</v>
      </c>
      <c r="I20" s="8">
        <f t="shared" si="0"/>
        <v>298.3575118408674</v>
      </c>
      <c r="J20" s="8">
        <f t="shared" si="1"/>
        <v>69.776999931106957</v>
      </c>
      <c r="K20" s="8">
        <f t="shared" si="2"/>
        <v>168.89839778376839</v>
      </c>
      <c r="L20" s="8">
        <f t="shared" si="3"/>
        <v>21.297509186599104</v>
      </c>
      <c r="M20" s="8">
        <f t="shared" si="4"/>
        <v>49.05591854166061</v>
      </c>
      <c r="N20" s="8"/>
      <c r="O20" s="8">
        <f t="shared" si="5"/>
        <v>143.36701379403721</v>
      </c>
      <c r="P20" s="8">
        <f t="shared" si="6"/>
        <v>82.627694271764327</v>
      </c>
      <c r="Q20" s="8">
        <f t="shared" si="7"/>
        <v>223.49661364871056</v>
      </c>
      <c r="R20" s="8">
        <f t="shared" si="8"/>
        <v>42.711603331545327</v>
      </c>
      <c r="S20" s="8">
        <f t="shared" si="13"/>
        <v>57.559762562273697</v>
      </c>
      <c r="T20" s="8">
        <f t="shared" si="9"/>
        <v>44.035185505721394</v>
      </c>
      <c r="U20" s="8">
        <f t="shared" si="10"/>
        <v>52.336900805980349</v>
      </c>
      <c r="V20" s="8">
        <f t="shared" si="11"/>
        <v>216.56648609371177</v>
      </c>
      <c r="W20" s="8"/>
      <c r="X20" s="37">
        <f t="shared" si="15"/>
        <v>1.8337973385056171E-2</v>
      </c>
      <c r="Y20" s="38">
        <f t="shared" si="12"/>
        <v>63.669810352382726</v>
      </c>
    </row>
    <row r="21" spans="2:25" ht="15.75" thickBot="1" x14ac:dyDescent="0.3">
      <c r="B21" s="1">
        <v>141</v>
      </c>
      <c r="C21" t="s">
        <v>19</v>
      </c>
      <c r="D21" s="2"/>
      <c r="E21" s="26"/>
      <c r="F21" s="26"/>
      <c r="G21" s="6">
        <v>5778.46</v>
      </c>
      <c r="H21" s="2">
        <f t="shared" si="14"/>
        <v>3.9611525364473467E-2</v>
      </c>
      <c r="I21" s="8">
        <f t="shared" si="0"/>
        <v>327.43005700849864</v>
      </c>
      <c r="J21" s="8">
        <f t="shared" si="1"/>
        <v>76.576208604092812</v>
      </c>
      <c r="K21" s="8">
        <f t="shared" si="2"/>
        <v>185.35619121424892</v>
      </c>
      <c r="L21" s="8">
        <f t="shared" si="3"/>
        <v>23.372780541307566</v>
      </c>
      <c r="M21" s="8">
        <f t="shared" si="4"/>
        <v>53.836024122855882</v>
      </c>
      <c r="N21" s="8"/>
      <c r="O21" s="8">
        <f t="shared" si="5"/>
        <v>157.33697874768862</v>
      </c>
      <c r="P21" s="8">
        <f t="shared" si="6"/>
        <v>90.679099979606306</v>
      </c>
      <c r="Q21" s="8">
        <f t="shared" si="7"/>
        <v>245.27456505681971</v>
      </c>
      <c r="R21" s="8">
        <f t="shared" si="8"/>
        <v>46.873506309542385</v>
      </c>
      <c r="S21" s="8">
        <f t="shared" si="13"/>
        <v>63.168499498725836</v>
      </c>
      <c r="T21" s="8">
        <f t="shared" si="9"/>
        <v>48.326060944657627</v>
      </c>
      <c r="U21" s="8">
        <f t="shared" si="10"/>
        <v>57.436711778486526</v>
      </c>
      <c r="V21" s="8">
        <f t="shared" si="11"/>
        <v>237.66915218684079</v>
      </c>
      <c r="W21" s="8"/>
      <c r="X21" s="37">
        <f t="shared" si="15"/>
        <v>2.012486172659797E-2</v>
      </c>
      <c r="Y21" s="38">
        <f t="shared" si="12"/>
        <v>69.87392241198269</v>
      </c>
    </row>
    <row r="22" spans="2:25" ht="15.75" thickBot="1" x14ac:dyDescent="0.3">
      <c r="B22" s="1">
        <v>151</v>
      </c>
      <c r="C22" t="s">
        <v>41</v>
      </c>
      <c r="D22" s="2"/>
      <c r="G22" s="33">
        <v>14563.37</v>
      </c>
      <c r="H22" s="31">
        <f t="shared" si="14"/>
        <v>9.9832360204485618E-2</v>
      </c>
      <c r="I22" s="29">
        <f t="shared" si="0"/>
        <v>825.21728442108429</v>
      </c>
      <c r="J22" s="29">
        <f t="shared" si="1"/>
        <v>192.99392210010751</v>
      </c>
      <c r="K22" s="29">
        <f t="shared" si="2"/>
        <v>467.15055472285979</v>
      </c>
      <c r="L22" s="29">
        <f t="shared" si="3"/>
        <v>58.906084138656738</v>
      </c>
      <c r="M22" s="29">
        <f t="shared" si="4"/>
        <v>135.68216075391641</v>
      </c>
      <c r="N22" s="29"/>
      <c r="O22" s="29">
        <f t="shared" si="5"/>
        <v>396.5341347322169</v>
      </c>
      <c r="P22" s="29">
        <f t="shared" si="6"/>
        <v>228.53723730371053</v>
      </c>
      <c r="Q22" s="29">
        <f t="shared" si="7"/>
        <v>618.16197438617496</v>
      </c>
      <c r="R22" s="29">
        <f t="shared" si="8"/>
        <v>118.13462680077396</v>
      </c>
      <c r="S22" s="29">
        <f t="shared" si="13"/>
        <v>159.20266481809321</v>
      </c>
      <c r="T22" s="29">
        <f t="shared" si="9"/>
        <v>121.79547944947245</v>
      </c>
      <c r="U22" s="29">
        <f t="shared" si="10"/>
        <v>144.75692229650414</v>
      </c>
      <c r="V22" s="29">
        <f t="shared" si="11"/>
        <v>598.99416122691366</v>
      </c>
      <c r="W22" s="29"/>
      <c r="X22" s="47">
        <f t="shared" si="15"/>
        <v>5.072040085477534E-2</v>
      </c>
      <c r="Y22" s="48">
        <f t="shared" si="12"/>
        <v>176.10224617579706</v>
      </c>
    </row>
    <row r="23" spans="2:25" x14ac:dyDescent="0.25">
      <c r="B23" s="1">
        <v>152</v>
      </c>
      <c r="C23" t="s">
        <v>46</v>
      </c>
      <c r="D23" s="2"/>
      <c r="G23" s="2">
        <v>380.38</v>
      </c>
      <c r="H23" s="2">
        <f t="shared" si="14"/>
        <v>2.6075168847994822E-3</v>
      </c>
      <c r="I23" s="8">
        <f t="shared" si="0"/>
        <v>21.553812795259066</v>
      </c>
      <c r="J23" s="8">
        <f t="shared" si="1"/>
        <v>5.0407994913566636</v>
      </c>
      <c r="K23" s="8">
        <f t="shared" si="2"/>
        <v>12.201484134886458</v>
      </c>
      <c r="L23" s="8">
        <f t="shared" si="3"/>
        <v>1.5385653378759343</v>
      </c>
      <c r="M23" s="8">
        <f t="shared" si="4"/>
        <v>3.5438761981309761</v>
      </c>
      <c r="N23" s="8"/>
      <c r="O23" s="8">
        <f t="shared" si="5"/>
        <v>10.357057066423543</v>
      </c>
      <c r="P23" s="8">
        <f t="shared" si="6"/>
        <v>5.9691537278518227</v>
      </c>
      <c r="Q23" s="8">
        <f t="shared" si="7"/>
        <v>16.145744550678394</v>
      </c>
      <c r="R23" s="8">
        <f t="shared" si="8"/>
        <v>3.0855529552897711</v>
      </c>
      <c r="S23" s="8">
        <f t="shared" si="13"/>
        <v>4.1582071761897348</v>
      </c>
      <c r="T23" s="8">
        <f t="shared" si="9"/>
        <v>3.1811705994553683</v>
      </c>
      <c r="U23" s="8">
        <f t="shared" si="10"/>
        <v>3.7808994829592493</v>
      </c>
      <c r="V23" s="8">
        <f t="shared" si="11"/>
        <v>15.645101308796892</v>
      </c>
      <c r="W23" s="8"/>
      <c r="X23" s="37">
        <f t="shared" si="15"/>
        <v>1.3247638477316337E-3</v>
      </c>
      <c r="Y23" s="38">
        <f t="shared" si="12"/>
        <v>4.5996065746011867</v>
      </c>
    </row>
    <row r="24" spans="2:25" x14ac:dyDescent="0.25">
      <c r="B24" s="1">
        <v>160.1</v>
      </c>
      <c r="C24" t="s">
        <v>52</v>
      </c>
      <c r="D24" s="2"/>
      <c r="G24" s="2">
        <v>611.54</v>
      </c>
      <c r="H24" s="2">
        <f t="shared" si="14"/>
        <v>4.1921259680589816E-3</v>
      </c>
      <c r="I24" s="8">
        <f t="shared" si="0"/>
        <v>34.652239015754589</v>
      </c>
      <c r="J24" s="8">
        <f t="shared" si="1"/>
        <v>8.1041340789322618</v>
      </c>
      <c r="K24" s="8">
        <f t="shared" si="2"/>
        <v>19.616424648636798</v>
      </c>
      <c r="L24" s="8">
        <f t="shared" si="3"/>
        <v>2.4735639274532017</v>
      </c>
      <c r="M24" s="8">
        <f t="shared" si="4"/>
        <v>5.6975184031889619</v>
      </c>
      <c r="N24" s="8"/>
      <c r="O24" s="8">
        <f t="shared" si="5"/>
        <v>16.651124345130274</v>
      </c>
      <c r="P24" s="8">
        <f t="shared" si="6"/>
        <v>9.5966566873403014</v>
      </c>
      <c r="Q24" s="8">
        <f t="shared" si="7"/>
        <v>25.957643994221215</v>
      </c>
      <c r="R24" s="8">
        <f t="shared" si="8"/>
        <v>4.9606684217832342</v>
      </c>
      <c r="S24" s="8">
        <f t="shared" si="13"/>
        <v>6.685183281263658</v>
      </c>
      <c r="T24" s="8">
        <f t="shared" si="9"/>
        <v>5.1143936810319577</v>
      </c>
      <c r="U24" s="8">
        <f t="shared" si="10"/>
        <v>6.0785826536855234</v>
      </c>
      <c r="V24" s="8">
        <f t="shared" si="11"/>
        <v>25.152755808353891</v>
      </c>
      <c r="W24" s="8"/>
      <c r="X24" s="37">
        <f t="shared" si="15"/>
        <v>2.1298335439344949E-3</v>
      </c>
      <c r="Y24" s="38">
        <f t="shared" si="12"/>
        <v>7.3948246612114454</v>
      </c>
    </row>
    <row r="25" spans="2:25" x14ac:dyDescent="0.25">
      <c r="B25" s="1">
        <v>160.19999999999999</v>
      </c>
      <c r="C25" t="s">
        <v>88</v>
      </c>
      <c r="D25" s="2"/>
      <c r="G25" s="2">
        <v>611.54</v>
      </c>
      <c r="H25" s="2">
        <f t="shared" si="14"/>
        <v>4.1921259680589816E-3</v>
      </c>
      <c r="I25" s="8">
        <f t="shared" si="0"/>
        <v>34.652239015754589</v>
      </c>
      <c r="J25" s="8">
        <f t="shared" si="1"/>
        <v>8.1041340789322618</v>
      </c>
      <c r="K25" s="8">
        <f t="shared" si="2"/>
        <v>19.616424648636798</v>
      </c>
      <c r="L25" s="8">
        <f t="shared" si="3"/>
        <v>2.4735639274532017</v>
      </c>
      <c r="M25" s="8">
        <f t="shared" si="4"/>
        <v>5.6975184031889619</v>
      </c>
      <c r="N25" s="8"/>
      <c r="O25" s="8">
        <f t="shared" si="5"/>
        <v>16.651124345130274</v>
      </c>
      <c r="P25" s="8">
        <f t="shared" si="6"/>
        <v>9.5966566873403014</v>
      </c>
      <c r="Q25" s="8">
        <f t="shared" si="7"/>
        <v>25.957643994221215</v>
      </c>
      <c r="R25" s="8">
        <f t="shared" si="8"/>
        <v>4.9606684217832342</v>
      </c>
      <c r="S25" s="8">
        <f t="shared" si="13"/>
        <v>6.685183281263658</v>
      </c>
      <c r="T25" s="8">
        <f t="shared" si="9"/>
        <v>5.1143936810319577</v>
      </c>
      <c r="U25" s="8">
        <f t="shared" si="10"/>
        <v>6.0785826536855234</v>
      </c>
      <c r="V25" s="8">
        <f t="shared" si="11"/>
        <v>25.152755808353891</v>
      </c>
      <c r="W25" s="8"/>
      <c r="X25" s="37">
        <f t="shared" si="15"/>
        <v>2.1298335439344949E-3</v>
      </c>
      <c r="Y25" s="38">
        <f t="shared" si="12"/>
        <v>7.3948246612114454</v>
      </c>
    </row>
    <row r="26" spans="2:25" x14ac:dyDescent="0.25">
      <c r="B26" s="1">
        <v>160.30000000000001</v>
      </c>
      <c r="C26" t="s">
        <v>48</v>
      </c>
      <c r="D26" s="2"/>
      <c r="G26" s="2">
        <v>611.54</v>
      </c>
      <c r="H26" s="2">
        <f t="shared" si="14"/>
        <v>4.1921259680589816E-3</v>
      </c>
      <c r="I26" s="8">
        <f t="shared" si="0"/>
        <v>34.652239015754589</v>
      </c>
      <c r="J26" s="8">
        <f t="shared" si="1"/>
        <v>8.1041340789322618</v>
      </c>
      <c r="K26" s="8">
        <f t="shared" si="2"/>
        <v>19.616424648636798</v>
      </c>
      <c r="L26" s="8">
        <f t="shared" si="3"/>
        <v>2.4735639274532017</v>
      </c>
      <c r="M26" s="8">
        <f t="shared" si="4"/>
        <v>5.6975184031889619</v>
      </c>
      <c r="N26" s="8"/>
      <c r="O26" s="8">
        <f t="shared" si="5"/>
        <v>16.651124345130274</v>
      </c>
      <c r="P26" s="8">
        <f t="shared" si="6"/>
        <v>9.5966566873403014</v>
      </c>
      <c r="Q26" s="8">
        <f t="shared" si="7"/>
        <v>25.957643994221215</v>
      </c>
      <c r="R26" s="8">
        <f t="shared" si="8"/>
        <v>4.9606684217832342</v>
      </c>
      <c r="S26" s="8">
        <f t="shared" si="13"/>
        <v>6.685183281263658</v>
      </c>
      <c r="T26" s="8">
        <f t="shared" si="9"/>
        <v>5.1143936810319577</v>
      </c>
      <c r="U26" s="8">
        <f t="shared" si="10"/>
        <v>6.0785826536855234</v>
      </c>
      <c r="V26" s="8">
        <f t="shared" si="11"/>
        <v>25.152755808353891</v>
      </c>
      <c r="W26" s="8"/>
      <c r="X26" s="37">
        <f t="shared" si="15"/>
        <v>2.1298335439344949E-3</v>
      </c>
      <c r="Y26" s="38">
        <f t="shared" si="12"/>
        <v>7.3948246612114454</v>
      </c>
    </row>
    <row r="27" spans="2:25" x14ac:dyDescent="0.25">
      <c r="B27" s="59">
        <v>164</v>
      </c>
      <c r="C27" s="60" t="s">
        <v>87</v>
      </c>
      <c r="D27" s="61"/>
      <c r="E27" s="60"/>
      <c r="F27" s="60"/>
      <c r="G27" s="61">
        <v>5085.8599999999997</v>
      </c>
      <c r="H27" s="61">
        <f t="shared" si="14"/>
        <v>3.4863730542421513E-2</v>
      </c>
      <c r="I27" s="62">
        <f t="shared" si="0"/>
        <v>288.18464257557252</v>
      </c>
      <c r="J27" s="62">
        <f t="shared" si="1"/>
        <v>67.397866609998417</v>
      </c>
      <c r="K27" s="62">
        <f t="shared" si="2"/>
        <v>163.13959751368012</v>
      </c>
      <c r="L27" s="62">
        <f t="shared" si="3"/>
        <v>20.571344206555811</v>
      </c>
      <c r="M27" s="62">
        <f t="shared" si="4"/>
        <v>47.383296180205072</v>
      </c>
      <c r="N27" s="62"/>
      <c r="O27" s="62">
        <f t="shared" si="5"/>
        <v>138.47873771449824</v>
      </c>
      <c r="P27" s="62">
        <f t="shared" si="6"/>
        <v>79.810400595016759</v>
      </c>
      <c r="Q27" s="62">
        <f t="shared" si="7"/>
        <v>215.87621951867402</v>
      </c>
      <c r="R27" s="62">
        <f t="shared" si="8"/>
        <v>41.255298262763645</v>
      </c>
      <c r="S27" s="62">
        <f t="shared" si="13"/>
        <v>55.597191095999591</v>
      </c>
      <c r="T27" s="62">
        <f t="shared" si="9"/>
        <v>42.533751261754247</v>
      </c>
      <c r="U27" s="62">
        <f t="shared" si="10"/>
        <v>50.552409286511192</v>
      </c>
      <c r="V27" s="62">
        <f t="shared" si="11"/>
        <v>209.18238325452907</v>
      </c>
      <c r="W27" s="62"/>
      <c r="X27" s="63">
        <f t="shared" si="15"/>
        <v>1.7712717447353716E-2</v>
      </c>
      <c r="Y27" s="64">
        <f t="shared" si="12"/>
        <v>61.498909231561051</v>
      </c>
    </row>
    <row r="28" spans="2:25" x14ac:dyDescent="0.25">
      <c r="B28" s="1">
        <v>167</v>
      </c>
      <c r="C28" t="s">
        <v>78</v>
      </c>
      <c r="D28" s="2"/>
      <c r="H28" s="2">
        <f t="shared" si="14"/>
        <v>0</v>
      </c>
      <c r="I28" s="8">
        <f t="shared" si="0"/>
        <v>0</v>
      </c>
      <c r="J28" s="8">
        <f t="shared" si="1"/>
        <v>0</v>
      </c>
      <c r="K28" s="8">
        <f t="shared" si="2"/>
        <v>0</v>
      </c>
      <c r="L28" s="8">
        <f t="shared" si="3"/>
        <v>0</v>
      </c>
      <c r="M28" s="8">
        <f t="shared" si="4"/>
        <v>0</v>
      </c>
      <c r="N28" s="8"/>
      <c r="O28" s="8">
        <f t="shared" si="5"/>
        <v>0</v>
      </c>
      <c r="P28" s="8">
        <f t="shared" si="6"/>
        <v>0</v>
      </c>
      <c r="Q28" s="8">
        <f t="shared" si="7"/>
        <v>0</v>
      </c>
      <c r="R28" s="8">
        <f t="shared" si="8"/>
        <v>0</v>
      </c>
      <c r="S28" s="8">
        <f t="shared" si="13"/>
        <v>0</v>
      </c>
      <c r="T28" s="8">
        <f t="shared" si="9"/>
        <v>0</v>
      </c>
      <c r="U28" s="8">
        <f t="shared" si="10"/>
        <v>0</v>
      </c>
      <c r="V28" s="8">
        <f t="shared" si="11"/>
        <v>0</v>
      </c>
      <c r="W28" s="8"/>
      <c r="X28" s="37">
        <f t="shared" si="15"/>
        <v>0</v>
      </c>
      <c r="Y28" s="38">
        <f t="shared" si="12"/>
        <v>0</v>
      </c>
    </row>
    <row r="29" spans="2:25" x14ac:dyDescent="0.25">
      <c r="B29" s="1">
        <v>168</v>
      </c>
      <c r="C29" t="s">
        <v>40</v>
      </c>
      <c r="D29" s="2"/>
      <c r="G29" s="2">
        <v>10303.58</v>
      </c>
      <c r="H29" s="2">
        <f t="shared" si="14"/>
        <v>7.0631365539413876E-2</v>
      </c>
      <c r="I29" s="8">
        <f>H29*$I$3</f>
        <v>583.84098648976135</v>
      </c>
      <c r="J29" s="8">
        <f>H29*$J$3</f>
        <v>136.54314323348413</v>
      </c>
      <c r="K29" s="8">
        <f>H29*$K$3</f>
        <v>330.50888033685635</v>
      </c>
      <c r="L29" s="8">
        <f>H29*$L$3</f>
        <v>41.676037236531151</v>
      </c>
      <c r="M29" s="8">
        <f>H29*$M$3</f>
        <v>95.99508890461739</v>
      </c>
      <c r="N29" s="8"/>
      <c r="O29" s="8">
        <f>H29*$O$3</f>
        <v>280.5477839225519</v>
      </c>
      <c r="P29" s="8">
        <f>H29*$P$3</f>
        <v>161.69002830648165</v>
      </c>
      <c r="Q29" s="8">
        <f>H29*$Q$3</f>
        <v>437.34941542005072</v>
      </c>
      <c r="R29" s="8">
        <f>H29*$R$3</f>
        <v>83.580213783754616</v>
      </c>
      <c r="S29" s="8">
        <f>H29*$S$3</f>
        <v>112.63583862570331</v>
      </c>
      <c r="T29" s="8">
        <f>H29*$T$3</f>
        <v>86.170265958084926</v>
      </c>
      <c r="U29" s="8">
        <f>H29*$U$3</f>
        <v>102.41548003215011</v>
      </c>
      <c r="V29" s="8">
        <f>H29*$V$3</f>
        <v>423.78819323648327</v>
      </c>
      <c r="W29" s="8"/>
      <c r="X29" s="37">
        <f t="shared" si="15"/>
        <v>3.5884668716048965E-2</v>
      </c>
      <c r="Y29" s="38">
        <f>X29*$Y$3</f>
        <v>124.59228747549632</v>
      </c>
    </row>
    <row r="30" spans="2:25" x14ac:dyDescent="0.25">
      <c r="B30" s="1">
        <v>169</v>
      </c>
      <c r="C30" t="s">
        <v>47</v>
      </c>
      <c r="D30" s="2"/>
      <c r="H30" s="2">
        <f t="shared" si="14"/>
        <v>0</v>
      </c>
      <c r="I30" s="8">
        <f t="shared" si="0"/>
        <v>0</v>
      </c>
      <c r="J30" s="8">
        <f t="shared" si="1"/>
        <v>0</v>
      </c>
      <c r="K30" s="8">
        <f t="shared" si="2"/>
        <v>0</v>
      </c>
      <c r="L30" s="8">
        <f t="shared" si="3"/>
        <v>0</v>
      </c>
      <c r="M30" s="8">
        <f t="shared" si="4"/>
        <v>0</v>
      </c>
      <c r="N30" s="8"/>
      <c r="O30" s="8">
        <f t="shared" si="5"/>
        <v>0</v>
      </c>
      <c r="P30" s="8">
        <f t="shared" si="6"/>
        <v>0</v>
      </c>
      <c r="Q30" s="8">
        <f t="shared" si="7"/>
        <v>0</v>
      </c>
      <c r="R30" s="8">
        <f t="shared" si="8"/>
        <v>0</v>
      </c>
      <c r="S30" s="8">
        <f t="shared" si="13"/>
        <v>0</v>
      </c>
      <c r="T30" s="8">
        <f t="shared" si="9"/>
        <v>0</v>
      </c>
      <c r="U30" s="8">
        <f t="shared" si="10"/>
        <v>0</v>
      </c>
      <c r="V30" s="8">
        <f t="shared" si="11"/>
        <v>0</v>
      </c>
      <c r="W30" s="8"/>
      <c r="X30" s="37">
        <f t="shared" si="15"/>
        <v>0</v>
      </c>
      <c r="Y30" s="38">
        <f t="shared" si="12"/>
        <v>0</v>
      </c>
    </row>
    <row r="31" spans="2:25" x14ac:dyDescent="0.25">
      <c r="B31" s="1">
        <v>610</v>
      </c>
      <c r="C31" t="s">
        <v>53</v>
      </c>
      <c r="D31" s="2"/>
      <c r="G31" s="2">
        <v>8515.39</v>
      </c>
      <c r="H31" s="2">
        <f t="shared" si="14"/>
        <v>5.8373266748127296E-2</v>
      </c>
      <c r="I31" s="8">
        <f t="shared" si="0"/>
        <v>482.5151741380227</v>
      </c>
      <c r="J31" s="8">
        <f t="shared" si="1"/>
        <v>112.84603181214473</v>
      </c>
      <c r="K31" s="8">
        <f t="shared" si="2"/>
        <v>273.1489457578495</v>
      </c>
      <c r="L31" s="8">
        <f t="shared" si="3"/>
        <v>34.443146044732508</v>
      </c>
      <c r="M31" s="8">
        <f t="shared" si="4"/>
        <v>79.335106837379797</v>
      </c>
      <c r="N31" s="8"/>
      <c r="O31" s="8">
        <f t="shared" si="5"/>
        <v>231.85861552356161</v>
      </c>
      <c r="P31" s="8">
        <f t="shared" si="6"/>
        <v>133.62866597248049</v>
      </c>
      <c r="Q31" s="8">
        <f t="shared" si="7"/>
        <v>361.44726770440423</v>
      </c>
      <c r="R31" s="8">
        <f t="shared" si="8"/>
        <v>69.074837741061472</v>
      </c>
      <c r="S31" s="8">
        <f t="shared" si="13"/>
        <v>93.087848483238602</v>
      </c>
      <c r="T31" s="8">
        <f t="shared" si="9"/>
        <v>71.215385432715308</v>
      </c>
      <c r="U31" s="8">
        <f t="shared" si="10"/>
        <v>84.641236784784581</v>
      </c>
      <c r="V31" s="8">
        <f t="shared" si="11"/>
        <v>350.23960048876376</v>
      </c>
      <c r="W31" s="8"/>
      <c r="X31" s="37">
        <f t="shared" si="15"/>
        <v>2.9656871605593025E-2</v>
      </c>
      <c r="Y31" s="38">
        <f t="shared" si="12"/>
        <v>102.96925135205109</v>
      </c>
    </row>
    <row r="32" spans="2:25" x14ac:dyDescent="0.25">
      <c r="B32" s="1">
        <v>620</v>
      </c>
      <c r="C32" t="s">
        <v>54</v>
      </c>
      <c r="D32" s="2"/>
      <c r="G32" s="2">
        <v>7172.93</v>
      </c>
      <c r="H32" s="2">
        <f t="shared" si="14"/>
        <v>4.9170661150651322E-2</v>
      </c>
      <c r="I32" s="8">
        <f t="shared" si="0"/>
        <v>406.44616019111839</v>
      </c>
      <c r="J32" s="8">
        <f t="shared" si="1"/>
        <v>95.055738723216123</v>
      </c>
      <c r="K32" s="8">
        <f t="shared" si="2"/>
        <v>230.08673325530029</v>
      </c>
      <c r="L32" s="8">
        <f t="shared" si="3"/>
        <v>29.013148611941812</v>
      </c>
      <c r="M32" s="8">
        <f t="shared" si="4"/>
        <v>66.827845569850211</v>
      </c>
      <c r="N32" s="8"/>
      <c r="O32" s="8">
        <f t="shared" si="5"/>
        <v>195.30586609038704</v>
      </c>
      <c r="P32" s="8">
        <f t="shared" si="6"/>
        <v>112.56196921268251</v>
      </c>
      <c r="Q32" s="8">
        <f t="shared" si="7"/>
        <v>304.46473384483301</v>
      </c>
      <c r="R32" s="8">
        <f t="shared" si="8"/>
        <v>58.185118459400222</v>
      </c>
      <c r="S32" s="8">
        <f t="shared" si="13"/>
        <v>78.41245333694367</v>
      </c>
      <c r="T32" s="8">
        <f t="shared" si="9"/>
        <v>59.988206603794616</v>
      </c>
      <c r="U32" s="8">
        <f t="shared" si="10"/>
        <v>71.29745866844442</v>
      </c>
      <c r="V32" s="8">
        <f t="shared" si="11"/>
        <v>295.02396690390793</v>
      </c>
      <c r="W32" s="8"/>
      <c r="X32" s="37">
        <f t="shared" si="15"/>
        <v>2.4981435265549364E-2</v>
      </c>
      <c r="Y32" s="38">
        <f t="shared" si="12"/>
        <v>86.7360428706927</v>
      </c>
    </row>
    <row r="33" spans="2:29" x14ac:dyDescent="0.25">
      <c r="B33" s="1">
        <v>630</v>
      </c>
      <c r="C33" t="s">
        <v>55</v>
      </c>
      <c r="D33" s="2"/>
      <c r="G33" s="2">
        <v>1576.93</v>
      </c>
      <c r="H33" s="2">
        <f t="shared" si="14"/>
        <v>1.08099048350251E-2</v>
      </c>
      <c r="I33" s="8">
        <f t="shared" si="0"/>
        <v>89.354997663462527</v>
      </c>
      <c r="J33" s="8">
        <f t="shared" si="1"/>
        <v>20.897491828973823</v>
      </c>
      <c r="K33" s="8">
        <f t="shared" si="2"/>
        <v>50.583328189774704</v>
      </c>
      <c r="L33" s="8">
        <f t="shared" si="3"/>
        <v>6.3783843479065601</v>
      </c>
      <c r="M33" s="8">
        <f t="shared" si="4"/>
        <v>14.691741661282611</v>
      </c>
      <c r="N33" s="8"/>
      <c r="O33" s="8">
        <f t="shared" si="5"/>
        <v>42.936942004719697</v>
      </c>
      <c r="P33" s="8">
        <f t="shared" si="6"/>
        <v>24.746142247387809</v>
      </c>
      <c r="Q33" s="8">
        <f t="shared" si="7"/>
        <v>66.934930738475416</v>
      </c>
      <c r="R33" s="8">
        <f t="shared" si="8"/>
        <v>12.79168468843025</v>
      </c>
      <c r="S33" s="8">
        <f t="shared" si="13"/>
        <v>17.238555240414527</v>
      </c>
      <c r="T33" s="8">
        <f t="shared" si="9"/>
        <v>13.188083898730621</v>
      </c>
      <c r="U33" s="8">
        <f t="shared" si="10"/>
        <v>15.674362010786394</v>
      </c>
      <c r="V33" s="8">
        <f t="shared" si="11"/>
        <v>64.859429010150592</v>
      </c>
      <c r="W33" s="8"/>
      <c r="X33" s="37">
        <f t="shared" si="15"/>
        <v>5.4920338987419033E-3</v>
      </c>
      <c r="Y33" s="38">
        <f t="shared" si="12"/>
        <v>19.068451537109862</v>
      </c>
    </row>
    <row r="34" spans="2:29" x14ac:dyDescent="0.25">
      <c r="B34" s="1">
        <v>640</v>
      </c>
      <c r="C34" t="s">
        <v>89</v>
      </c>
      <c r="D34" s="2"/>
      <c r="G34" s="2">
        <v>6153.84</v>
      </c>
      <c r="H34" s="2">
        <f t="shared" si="14"/>
        <v>4.2184767091735756E-2</v>
      </c>
      <c r="I34" s="8">
        <f t="shared" si="0"/>
        <v>348.70055032330055</v>
      </c>
      <c r="J34" s="8">
        <f t="shared" si="1"/>
        <v>81.550748046401736</v>
      </c>
      <c r="K34" s="8">
        <f t="shared" si="2"/>
        <v>197.39728989071372</v>
      </c>
      <c r="L34" s="8">
        <f t="shared" si="3"/>
        <v>24.891121822478681</v>
      </c>
      <c r="M34" s="8">
        <f t="shared" si="4"/>
        <v>57.333316954378063</v>
      </c>
      <c r="N34" s="8"/>
      <c r="O34" s="8">
        <f t="shared" si="5"/>
        <v>167.55789488837442</v>
      </c>
      <c r="P34" s="8">
        <f t="shared" si="6"/>
        <v>96.569790674072408</v>
      </c>
      <c r="Q34" s="8">
        <f t="shared" si="7"/>
        <v>261.20807783202781</v>
      </c>
      <c r="R34" s="8">
        <f t="shared" si="8"/>
        <v>49.918500442663671</v>
      </c>
      <c r="S34" s="8">
        <f t="shared" si="13"/>
        <v>67.272048081191016</v>
      </c>
      <c r="T34" s="8">
        <f t="shared" si="9"/>
        <v>51.465415851917619</v>
      </c>
      <c r="U34" s="8">
        <f t="shared" si="10"/>
        <v>61.167912283016847</v>
      </c>
      <c r="V34" s="8">
        <f t="shared" si="11"/>
        <v>253.10860255041453</v>
      </c>
      <c r="W34" s="8"/>
      <c r="X34" s="37">
        <f t="shared" si="15"/>
        <v>2.1432211884759546E-2</v>
      </c>
      <c r="Y34" s="38">
        <f t="shared" si="12"/>
        <v>74.413068308122845</v>
      </c>
    </row>
    <row r="35" spans="2:29" x14ac:dyDescent="0.25">
      <c r="B35" s="1">
        <v>650</v>
      </c>
      <c r="C35" t="s">
        <v>56</v>
      </c>
      <c r="D35" s="2"/>
      <c r="G35" s="53">
        <v>1250</v>
      </c>
      <c r="H35" s="2">
        <f t="shared" si="14"/>
        <v>8.5687893842982098E-3</v>
      </c>
      <c r="I35" s="8">
        <f t="shared" si="0"/>
        <v>70.829870114290543</v>
      </c>
      <c r="J35" s="8">
        <f t="shared" si="1"/>
        <v>16.565012261937614</v>
      </c>
      <c r="K35" s="8">
        <f t="shared" si="2"/>
        <v>40.096364605415829</v>
      </c>
      <c r="L35" s="8">
        <f t="shared" si="3"/>
        <v>5.0560141762051583</v>
      </c>
      <c r="M35" s="8">
        <f t="shared" si="4"/>
        <v>11.645841652199696</v>
      </c>
      <c r="N35" s="8"/>
      <c r="O35" s="8">
        <f t="shared" si="5"/>
        <v>34.03523143443249</v>
      </c>
      <c r="P35" s="8">
        <f t="shared" si="6"/>
        <v>19.615758346429306</v>
      </c>
      <c r="Q35" s="8">
        <f t="shared" si="7"/>
        <v>53.057943867574515</v>
      </c>
      <c r="R35" s="8">
        <f t="shared" si="8"/>
        <v>10.1397055421216</v>
      </c>
      <c r="S35" s="8">
        <f t="shared" si="13"/>
        <v>13.664648431140355</v>
      </c>
      <c r="T35" s="8">
        <f t="shared" si="9"/>
        <v>10.453923048843816</v>
      </c>
      <c r="U35" s="8">
        <f t="shared" si="10"/>
        <v>12.424744607232403</v>
      </c>
      <c r="V35" s="8">
        <f t="shared" si="11"/>
        <v>51.412736305789259</v>
      </c>
      <c r="W35" s="8"/>
      <c r="X35" s="37">
        <f t="shared" si="15"/>
        <v>4.3534223925141757E-3</v>
      </c>
      <c r="Y35" s="38">
        <f t="shared" si="12"/>
        <v>15.115169615257068</v>
      </c>
    </row>
    <row r="36" spans="2:29" x14ac:dyDescent="0.25">
      <c r="B36" s="1">
        <v>660</v>
      </c>
      <c r="C36" t="s">
        <v>93</v>
      </c>
      <c r="D36" s="2"/>
      <c r="G36" s="2">
        <v>0</v>
      </c>
      <c r="H36" s="2">
        <f t="shared" si="14"/>
        <v>0</v>
      </c>
      <c r="I36" s="8">
        <f t="shared" si="0"/>
        <v>0</v>
      </c>
      <c r="J36" s="8">
        <f t="shared" si="1"/>
        <v>0</v>
      </c>
      <c r="K36" s="8">
        <f t="shared" si="2"/>
        <v>0</v>
      </c>
      <c r="L36" s="8">
        <f t="shared" si="3"/>
        <v>0</v>
      </c>
      <c r="M36" s="8">
        <f t="shared" si="4"/>
        <v>0</v>
      </c>
      <c r="N36" s="8"/>
      <c r="O36" s="8">
        <f t="shared" si="5"/>
        <v>0</v>
      </c>
      <c r="P36" s="8">
        <f t="shared" si="6"/>
        <v>0</v>
      </c>
      <c r="Q36" s="8">
        <f t="shared" si="7"/>
        <v>0</v>
      </c>
      <c r="R36" s="8">
        <f t="shared" si="8"/>
        <v>0</v>
      </c>
      <c r="S36" s="8">
        <f t="shared" si="13"/>
        <v>0</v>
      </c>
      <c r="T36" s="8">
        <f t="shared" si="9"/>
        <v>0</v>
      </c>
      <c r="U36" s="8">
        <f t="shared" si="10"/>
        <v>0</v>
      </c>
      <c r="V36" s="8">
        <f t="shared" si="11"/>
        <v>0</v>
      </c>
      <c r="W36" s="8"/>
      <c r="X36" s="37">
        <f t="shared" si="15"/>
        <v>0</v>
      </c>
      <c r="Y36" s="38">
        <f t="shared" si="12"/>
        <v>0</v>
      </c>
    </row>
    <row r="37" spans="2:29" x14ac:dyDescent="0.25">
      <c r="D37" s="2"/>
      <c r="H37" s="2">
        <f t="shared" si="14"/>
        <v>0</v>
      </c>
      <c r="I37" s="8">
        <f t="shared" si="0"/>
        <v>0</v>
      </c>
      <c r="J37" s="8">
        <f t="shared" si="1"/>
        <v>0</v>
      </c>
      <c r="K37" s="8">
        <f t="shared" si="2"/>
        <v>0</v>
      </c>
      <c r="L37" s="8">
        <f t="shared" si="3"/>
        <v>0</v>
      </c>
      <c r="M37" s="8">
        <f t="shared" si="4"/>
        <v>0</v>
      </c>
      <c r="N37" s="8"/>
      <c r="O37" s="8">
        <f t="shared" si="5"/>
        <v>0</v>
      </c>
      <c r="P37" s="8">
        <f t="shared" si="6"/>
        <v>0</v>
      </c>
      <c r="Q37" s="8">
        <f t="shared" si="7"/>
        <v>0</v>
      </c>
      <c r="R37" s="8">
        <f t="shared" si="8"/>
        <v>0</v>
      </c>
      <c r="S37" s="8">
        <f t="shared" si="13"/>
        <v>0</v>
      </c>
      <c r="T37" s="8">
        <f t="shared" si="9"/>
        <v>0</v>
      </c>
      <c r="U37" s="8">
        <f t="shared" si="10"/>
        <v>0</v>
      </c>
      <c r="V37" s="8">
        <f t="shared" si="11"/>
        <v>0</v>
      </c>
      <c r="W37" s="8"/>
      <c r="X37" s="37">
        <f t="shared" si="15"/>
        <v>0</v>
      </c>
      <c r="Y37" s="38">
        <f t="shared" si="12"/>
        <v>0</v>
      </c>
    </row>
    <row r="38" spans="2:29" x14ac:dyDescent="0.25">
      <c r="F38" s="8">
        <f>SUM(G6:G37)</f>
        <v>145878.24999999997</v>
      </c>
      <c r="I38" s="8">
        <f t="shared" ref="I38" si="16">H38*$I$3</f>
        <v>0</v>
      </c>
      <c r="J38" s="8">
        <f t="shared" ref="J38" si="17">H38*$J$3</f>
        <v>0</v>
      </c>
      <c r="K38" s="8">
        <f t="shared" ref="K38" si="18">H38*$K$3</f>
        <v>0</v>
      </c>
      <c r="L38" s="8">
        <f t="shared" ref="L38" si="19">H38*$L$3</f>
        <v>0</v>
      </c>
      <c r="M38" s="8">
        <f t="shared" ref="M38" si="20">H38*$M$3</f>
        <v>0</v>
      </c>
      <c r="N38" s="8"/>
      <c r="O38" s="8">
        <f t="shared" ref="O38" si="21">H38*$O$3</f>
        <v>0</v>
      </c>
      <c r="P38" s="8">
        <f t="shared" ref="P38" si="22">H38*$P$3</f>
        <v>0</v>
      </c>
      <c r="Q38" s="8">
        <f t="shared" ref="Q38" si="23">H38*$Q$3</f>
        <v>0</v>
      </c>
      <c r="R38" s="8">
        <f>H38*$R$3</f>
        <v>0</v>
      </c>
      <c r="S38" s="8">
        <f t="shared" si="13"/>
        <v>0</v>
      </c>
      <c r="T38" s="8">
        <f t="shared" ref="T38" si="24">H38*$T$3</f>
        <v>0</v>
      </c>
      <c r="U38" s="8">
        <f t="shared" ref="U38" si="25">H38*$U$3</f>
        <v>0</v>
      </c>
      <c r="V38" s="8">
        <f t="shared" ref="V38" si="26">H38*$V$3</f>
        <v>0</v>
      </c>
      <c r="W38" s="8"/>
      <c r="X38" s="37">
        <f t="shared" si="15"/>
        <v>0</v>
      </c>
      <c r="Y38" s="38">
        <f t="shared" ref="Y38:Y39" si="27">X38*$Y$3</f>
        <v>0</v>
      </c>
    </row>
    <row r="39" spans="2:29" x14ac:dyDescent="0.25">
      <c r="B39" s="45"/>
      <c r="C39" s="32" t="s">
        <v>60</v>
      </c>
      <c r="D39" s="32"/>
      <c r="E39" s="32"/>
      <c r="F39" s="32"/>
      <c r="G39" s="31">
        <v>141252.17000000001</v>
      </c>
      <c r="H39" s="46"/>
      <c r="I39" s="29"/>
      <c r="J39" s="29"/>
      <c r="K39" s="29"/>
      <c r="L39" s="29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47">
        <f t="shared" si="15"/>
        <v>0.49194428789537531</v>
      </c>
      <c r="Y39" s="48">
        <f t="shared" si="27"/>
        <v>1708.0404064585009</v>
      </c>
    </row>
    <row r="40" spans="2:29" ht="15.75" thickBot="1" x14ac:dyDescent="0.3">
      <c r="G40" s="34">
        <f>F38+G39</f>
        <v>287130.42</v>
      </c>
      <c r="H40" s="54">
        <f t="shared" ref="H40:V40" si="28">SUM(H6:H38)</f>
        <v>0.99999999999999989</v>
      </c>
      <c r="I40" s="54">
        <f t="shared" si="28"/>
        <v>8266.0299999999988</v>
      </c>
      <c r="J40" s="54">
        <f t="shared" si="28"/>
        <v>1933.1800000000003</v>
      </c>
      <c r="K40" s="54">
        <f t="shared" si="28"/>
        <v>4679.3500000000031</v>
      </c>
      <c r="L40" s="54">
        <f t="shared" si="28"/>
        <v>590.05000000000007</v>
      </c>
      <c r="M40" s="54">
        <f t="shared" si="28"/>
        <v>1359.1000000000001</v>
      </c>
      <c r="N40" s="54">
        <f t="shared" si="28"/>
        <v>0</v>
      </c>
      <c r="O40" s="54">
        <f t="shared" si="28"/>
        <v>3972.0000000000009</v>
      </c>
      <c r="P40" s="54">
        <f t="shared" si="28"/>
        <v>2289.2100000000005</v>
      </c>
      <c r="Q40" s="54">
        <f t="shared" si="28"/>
        <v>6192</v>
      </c>
      <c r="R40" s="54">
        <f t="shared" si="28"/>
        <v>1183.3300000000002</v>
      </c>
      <c r="S40" s="54">
        <f t="shared" si="28"/>
        <v>1594.7</v>
      </c>
      <c r="T40" s="54">
        <f t="shared" si="28"/>
        <v>1220.0000000000002</v>
      </c>
      <c r="U40" s="54">
        <f t="shared" si="28"/>
        <v>1450.0000000000005</v>
      </c>
      <c r="V40" s="54">
        <f t="shared" si="28"/>
        <v>6000.0000000000018</v>
      </c>
      <c r="W40" s="14"/>
      <c r="X40" s="54">
        <f>SUM(X6:X39)</f>
        <v>1</v>
      </c>
      <c r="Y40" s="54">
        <f>SUM(Y6:Y39)</f>
        <v>3472.0200000000004</v>
      </c>
      <c r="Z40" s="8"/>
    </row>
    <row r="41" spans="2:29" ht="16.5" thickTop="1" thickBot="1" x14ac:dyDescent="0.3">
      <c r="G41" s="22" t="s">
        <v>61</v>
      </c>
      <c r="H41" s="41" t="s">
        <v>62</v>
      </c>
    </row>
    <row r="42" spans="2:29" x14ac:dyDescent="0.25">
      <c r="C42" s="17">
        <v>43827</v>
      </c>
      <c r="D42" s="23"/>
      <c r="E42" s="23"/>
      <c r="F42" s="23"/>
      <c r="G42" s="18"/>
      <c r="H42" s="42"/>
      <c r="I42" s="2"/>
      <c r="J42" s="2"/>
      <c r="K42" s="2"/>
      <c r="L42" s="2"/>
      <c r="M42" s="2"/>
    </row>
    <row r="43" spans="2:29" x14ac:dyDescent="0.25">
      <c r="C43" s="19">
        <v>43813</v>
      </c>
      <c r="D43" s="24"/>
      <c r="E43" s="24"/>
      <c r="F43" s="24"/>
      <c r="H43" s="43"/>
      <c r="I43" s="2"/>
      <c r="J43" s="2"/>
      <c r="K43" s="2"/>
      <c r="L43" s="2"/>
      <c r="M43" s="2"/>
    </row>
    <row r="44" spans="2:29" ht="15.75" thickBot="1" x14ac:dyDescent="0.3">
      <c r="C44" s="19"/>
      <c r="D44" s="24"/>
      <c r="E44" s="24"/>
      <c r="F44" s="24"/>
      <c r="H44" s="43"/>
      <c r="I44" s="2"/>
      <c r="J44" s="2"/>
      <c r="K44" s="2"/>
      <c r="L44" s="2"/>
      <c r="M44" s="2"/>
    </row>
    <row r="45" spans="2:29" ht="15.75" thickBot="1" x14ac:dyDescent="0.3">
      <c r="C45" s="20"/>
      <c r="D45" s="20"/>
      <c r="E45" s="20"/>
      <c r="F45" s="20"/>
      <c r="G45" s="21">
        <f>SUM(G42:G44)</f>
        <v>0</v>
      </c>
      <c r="H45" s="44"/>
      <c r="I45" s="27">
        <f>SUM(I42:I44)</f>
        <v>0</v>
      </c>
      <c r="J45" s="28">
        <f t="shared" ref="J45:M45" si="29">SUM(J42:J44)</f>
        <v>0</v>
      </c>
      <c r="K45" s="28">
        <f>SUM(K42:K44)</f>
        <v>0</v>
      </c>
      <c r="L45" s="28">
        <f t="shared" ref="L45" si="30">SUM(L42:L44)</f>
        <v>0</v>
      </c>
      <c r="M45" s="25">
        <f t="shared" si="29"/>
        <v>0</v>
      </c>
      <c r="P45" t="s">
        <v>100</v>
      </c>
      <c r="Q45" t="s">
        <v>101</v>
      </c>
      <c r="R45" t="s">
        <v>102</v>
      </c>
      <c r="S45" t="s">
        <v>103</v>
      </c>
      <c r="T45" t="s">
        <v>104</v>
      </c>
      <c r="U45" t="s">
        <v>105</v>
      </c>
    </row>
    <row r="46" spans="2:29" ht="15.75" thickBot="1" x14ac:dyDescent="0.3">
      <c r="G46" s="2">
        <f>G39</f>
        <v>141252.17000000001</v>
      </c>
      <c r="P46" s="51">
        <v>5538.46</v>
      </c>
      <c r="Q46" s="51">
        <v>3000</v>
      </c>
      <c r="R46" s="51">
        <v>630.77</v>
      </c>
      <c r="S46" s="51">
        <v>2034</v>
      </c>
      <c r="T46" s="51">
        <v>3558.6</v>
      </c>
      <c r="U46" s="51"/>
      <c r="V46" s="51">
        <v>14761.83</v>
      </c>
      <c r="AC46">
        <v>114.44</v>
      </c>
    </row>
    <row r="47" spans="2:29" ht="15.75" thickBot="1" x14ac:dyDescent="0.3">
      <c r="G47" s="33">
        <f>SUM(G45:G46)</f>
        <v>141252.17000000001</v>
      </c>
      <c r="P47" s="51"/>
      <c r="Q47" s="51"/>
      <c r="R47" s="51"/>
      <c r="S47" s="51"/>
      <c r="T47" s="51"/>
      <c r="U47" s="51">
        <v>2400</v>
      </c>
      <c r="V47" s="51">
        <v>2400</v>
      </c>
    </row>
    <row r="48" spans="2:29" x14ac:dyDescent="0.25">
      <c r="P48" s="51"/>
      <c r="Q48" s="51"/>
      <c r="R48" s="51"/>
      <c r="S48" s="51"/>
      <c r="T48" s="51"/>
      <c r="U48" s="51"/>
      <c r="V48" s="51">
        <v>17161.830000000002</v>
      </c>
      <c r="AC48">
        <v>151.65</v>
      </c>
    </row>
    <row r="49" spans="7:22" x14ac:dyDescent="0.25">
      <c r="G49" s="2">
        <v>149181</v>
      </c>
    </row>
    <row r="51" spans="7:22" x14ac:dyDescent="0.25">
      <c r="P51" t="s">
        <v>106</v>
      </c>
      <c r="Q51" t="s">
        <v>107</v>
      </c>
      <c r="R51" t="s">
        <v>108</v>
      </c>
      <c r="S51" t="s">
        <v>109</v>
      </c>
      <c r="T51" t="s">
        <v>102</v>
      </c>
      <c r="U51" t="s">
        <v>104</v>
      </c>
    </row>
    <row r="52" spans="7:22" x14ac:dyDescent="0.25">
      <c r="P52" s="51">
        <v>2289.2600000000002</v>
      </c>
      <c r="Q52" s="51">
        <v>5538.46</v>
      </c>
      <c r="R52" s="51">
        <v>1869.23</v>
      </c>
      <c r="S52" s="51"/>
      <c r="T52" s="51"/>
      <c r="U52" s="51"/>
      <c r="V52" s="51">
        <v>9696.9500000000007</v>
      </c>
    </row>
    <row r="53" spans="7:22" x14ac:dyDescent="0.25">
      <c r="P53" s="51"/>
      <c r="Q53" s="51"/>
      <c r="R53" s="51"/>
      <c r="S53" s="51">
        <v>3076.92</v>
      </c>
      <c r="T53" s="51">
        <v>3153.85</v>
      </c>
      <c r="U53" s="51">
        <v>923.08</v>
      </c>
      <c r="V53" s="51">
        <v>7153.85</v>
      </c>
    </row>
    <row r="54" spans="7:22" x14ac:dyDescent="0.25">
      <c r="P54" s="51"/>
      <c r="Q54" s="51"/>
      <c r="R54" s="51"/>
      <c r="S54" s="51"/>
      <c r="T54" s="51"/>
      <c r="U54" s="51"/>
      <c r="V54" s="51">
        <v>16850.800000000003</v>
      </c>
    </row>
  </sheetData>
  <pageMargins left="0" right="0" top="0.75" bottom="0.75" header="0.3" footer="0.3"/>
  <pageSetup paperSize="5" scale="65" orientation="landscape" r:id="rId1"/>
  <headerFooter>
    <oddFooter>&amp;L&amp;Z&amp;F &amp;D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05DBBEFF17B4F8A92A5F968B7829E" ma:contentTypeVersion="12" ma:contentTypeDescription="Create a new document." ma:contentTypeScope="" ma:versionID="b673b3f655e65447dbf2ea0c98c51ccc">
  <xsd:schema xmlns:xsd="http://www.w3.org/2001/XMLSchema" xmlns:xs="http://www.w3.org/2001/XMLSchema" xmlns:p="http://schemas.microsoft.com/office/2006/metadata/properties" xmlns:ns3="0bd01695-ff6e-408f-a85e-4b68f8fbc739" xmlns:ns4="da649f4b-3950-432b-b80f-41e5fc3f1ebe" targetNamespace="http://schemas.microsoft.com/office/2006/metadata/properties" ma:root="true" ma:fieldsID="f001dd2a23d342e5ba7c40678999f5b4" ns3:_="" ns4:_="">
    <xsd:import namespace="0bd01695-ff6e-408f-a85e-4b68f8fbc739"/>
    <xsd:import namespace="da649f4b-3950-432b-b80f-41e5fc3f1e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01695-ff6e-408f-a85e-4b68f8fbc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49f4b-3950-432b-b80f-41e5fc3f1eb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D1B34F-6694-4C45-A5F2-219046932597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0bd01695-ff6e-408f-a85e-4b68f8fbc739"/>
    <ds:schemaRef ds:uri="http://schemas.microsoft.com/office/infopath/2007/PartnerControls"/>
    <ds:schemaRef ds:uri="da649f4b-3950-432b-b80f-41e5fc3f1eb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23B3CB4-B4B9-4C92-8B82-4F8EA1604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d01695-ff6e-408f-a85e-4b68f8fbc739"/>
    <ds:schemaRef ds:uri="da649f4b-3950-432b-b80f-41e5fc3f1e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2FB41F-C30B-46B7-A06E-2C429874AB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22</vt:i4>
      </vt:variant>
    </vt:vector>
  </HeadingPairs>
  <TitlesOfParts>
    <vt:vector size="50" baseType="lpstr">
      <vt:lpstr>Nov 2019 Alloc </vt:lpstr>
      <vt:lpstr>Oct 2019 Alloc</vt:lpstr>
      <vt:lpstr>Sept 2019 Alloc  (2)</vt:lpstr>
      <vt:lpstr>Sept 2019 Alloc </vt:lpstr>
      <vt:lpstr>August 2019 Alloc  (2)</vt:lpstr>
      <vt:lpstr>August 2019 Alloc </vt:lpstr>
      <vt:lpstr>July 2019 Alloc (2)</vt:lpstr>
      <vt:lpstr>July 2019 Alloc</vt:lpstr>
      <vt:lpstr>June 2019 Alloc - NRTC</vt:lpstr>
      <vt:lpstr>June 2019 Alloc - Mise USJP</vt:lpstr>
      <vt:lpstr>June 2019 Alloc- Sermon</vt:lpstr>
      <vt:lpstr>June 2019 Alloc</vt:lpstr>
      <vt:lpstr>May 2019 Alloc  (NRTC)</vt:lpstr>
      <vt:lpstr>May 2019 Alloc  (2)</vt:lpstr>
      <vt:lpstr>May 2019 Alloc </vt:lpstr>
      <vt:lpstr>April Revised (NRTC)</vt:lpstr>
      <vt:lpstr>April Revised</vt:lpstr>
      <vt:lpstr>April 2019 Alloc  </vt:lpstr>
      <vt:lpstr>March 2019 Alloc  (NRTC)</vt:lpstr>
      <vt:lpstr>March 2019 Alloc </vt:lpstr>
      <vt:lpstr>Feb 2019 Alloc </vt:lpstr>
      <vt:lpstr>Jan 2019 Alloc</vt:lpstr>
      <vt:lpstr>Dec Alloc </vt:lpstr>
      <vt:lpstr>Nov Alloc </vt:lpstr>
      <vt:lpstr>OCT Alloc</vt:lpstr>
      <vt:lpstr>Sept Alloc</vt:lpstr>
      <vt:lpstr>August Alloc </vt:lpstr>
      <vt:lpstr>July Alloc</vt:lpstr>
      <vt:lpstr>'April 2019 Alloc  '!Print_Area</vt:lpstr>
      <vt:lpstr>'August 2019 Alloc '!Print_Area</vt:lpstr>
      <vt:lpstr>'August 2019 Alloc  (2)'!Print_Area</vt:lpstr>
      <vt:lpstr>'August Alloc '!Print_Area</vt:lpstr>
      <vt:lpstr>'Dec Alloc '!Print_Area</vt:lpstr>
      <vt:lpstr>'Feb 2019 Alloc '!Print_Area</vt:lpstr>
      <vt:lpstr>'Jan 2019 Alloc'!Print_Area</vt:lpstr>
      <vt:lpstr>'July 2019 Alloc'!Print_Area</vt:lpstr>
      <vt:lpstr>'July 2019 Alloc (2)'!Print_Area</vt:lpstr>
      <vt:lpstr>'July Alloc'!Print_Area</vt:lpstr>
      <vt:lpstr>'June 2019 Alloc'!Print_Area</vt:lpstr>
      <vt:lpstr>'June 2019 Alloc- Sermon'!Print_Area</vt:lpstr>
      <vt:lpstr>'March 2019 Alloc '!Print_Area</vt:lpstr>
      <vt:lpstr>'March 2019 Alloc  (NRTC)'!Print_Area</vt:lpstr>
      <vt:lpstr>'May 2019 Alloc '!Print_Area</vt:lpstr>
      <vt:lpstr>'May 2019 Alloc  (2)'!Print_Area</vt:lpstr>
      <vt:lpstr>'May 2019 Alloc  (NRTC)'!Print_Area</vt:lpstr>
      <vt:lpstr>'Nov 2019 Alloc '!Print_Area</vt:lpstr>
      <vt:lpstr>'Nov Alloc '!Print_Area</vt:lpstr>
      <vt:lpstr>'Oct 2019 Alloc'!Print_Area</vt:lpstr>
      <vt:lpstr>'Sept 2019 Alloc '!Print_Area</vt:lpstr>
      <vt:lpstr>'Sept 2019 Alloc 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Ward</dc:creator>
  <cp:keywords/>
  <dc:description/>
  <cp:lastModifiedBy>Patricia Mise</cp:lastModifiedBy>
  <cp:revision/>
  <cp:lastPrinted>2019-12-04T23:16:10Z</cp:lastPrinted>
  <dcterms:created xsi:type="dcterms:W3CDTF">2018-10-22T14:32:18Z</dcterms:created>
  <dcterms:modified xsi:type="dcterms:W3CDTF">2019-12-05T02:21:11Z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0x01010046105DBBEFF17B4F8A92A5F968B7829E</vt:lpwstr>
  </property>
</Properties>
</file>